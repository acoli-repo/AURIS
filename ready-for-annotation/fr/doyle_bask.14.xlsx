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<sst xmlns="http://schemas.openxmlformats.org/spreadsheetml/2006/main" count="12618" uniqueCount="3049">
  <si>
    <t>ID</t>
  </si>
  <si>
    <t>PRED_ID</t>
  </si>
  <si>
    <t>MARKER_AUTO</t>
  </si>
  <si>
    <t>PREDICATE</t>
  </si>
  <si>
    <t>TEXT</t>
  </si>
  <si>
    <t>SENTENCE</t>
  </si>
  <si>
    <t>MARKER</t>
  </si>
  <si>
    <t>TARGET</t>
  </si>
  <si>
    <t>RELATION</t>
  </si>
  <si>
    <t>COMMENT</t>
  </si>
  <si>
    <t>4</t>
  </si>
  <si>
    <t>25</t>
  </si>
  <si>
    <t>si?</t>
  </si>
  <si>
    <t>communiquer (communiquer consister)</t>
  </si>
  <si>
    <t>Un des de les défauts de Sherlock Holmes si l' on peut appeler cela un défaut consistait en sa répugnance à communiquer ses projets à ceux qui devaient l' aider dans leur exécution .</t>
  </si>
  <si>
    <t>file://conllu/fr/doyle_bask.14.conllu#s4_0</t>
  </si>
  <si>
    <t>_</t>
  </si>
  <si>
    <t>5</t>
  </si>
  <si>
    <t>2</t>
  </si>
  <si>
    <t>préférer</t>
  </si>
  <si>
    <t>Il préférait attendre le dernier moment .</t>
  </si>
  <si>
    <t>file://conllu/fr/doyle_bask.14.conllu#s5_0</t>
  </si>
  <si>
    <t>6</t>
  </si>
  <si>
    <t>aussi?</t>
  </si>
  <si>
    <t>attribuer</t>
  </si>
  <si>
    <t>J' attribue cette retenue , partie à son caractère impérieux qui le portait à dominer et à surprendre ses amis , et partie aussi à sa méfiance professionnelle , qui le poussait à ne négliger aucune précaution .</t>
  </si>
  <si>
    <t>file://conllu/fr/doyle_bask.14.conllu#s6_0</t>
  </si>
  <si>
    <t>7</t>
  </si>
  <si>
    <t>résultat?</t>
  </si>
  <si>
    <t>être (être désagréable)</t>
  </si>
  <si>
    <t>Le résultat n' en était pas moins fort désagréable pour ceux qui l' assistaient dans ses entreprises .</t>
  </si>
  <si>
    <t>file://conllu/fr/doyle_bask.14.conllu#s7_0</t>
  </si>
  <si>
    <t>8</t>
  </si>
  <si>
    <t>9</t>
  </si>
  <si>
    <t>autant?</t>
  </si>
  <si>
    <t>souffrir</t>
  </si>
  <si>
    <t>Pour mon compte , j' en ai souvent souffert , mais jamais autant que pendant la longue course en voiture que nous fîmes , ce soir -là , dans l' obscurité .</t>
  </si>
  <si>
    <t>file://conllu/fr/doyle_bask.14.conllu#s8_0</t>
  </si>
  <si>
    <t>être (être point)</t>
  </si>
  <si>
    <t>Nous étions sur le point de tenter la suprême épreuve ;</t>
  </si>
  <si>
    <t>file://conllu/fr/doyle_bask.14.conllu#s9_0</t>
  </si>
  <si>
    <t>10</t>
  </si>
  <si>
    <t>encore?</t>
  </si>
  <si>
    <t>aller</t>
  </si>
  <si>
    <t>nous allions enfin donner notre dernier effort , et Holmes ne nous avait encore rien dit .</t>
  </si>
  <si>
    <t>file://conllu/fr/doyle_bask.14.conllu#s10_0</t>
  </si>
  <si>
    <t>11</t>
  </si>
  <si>
    <t>3</t>
  </si>
  <si>
    <t>à?</t>
  </si>
  <si>
    <t>pouvoir</t>
  </si>
  <si>
    <t>À peine pouvais -je soupçonner ce qu' il comptait faire .</t>
  </si>
  <si>
    <t>file://conllu/fr/doyle_bask.14.conllu#s11_0</t>
  </si>
  <si>
    <t>12</t>
  </si>
  <si>
    <t>lorsque?</t>
  </si>
  <si>
    <t>frémettre</t>
  </si>
  <si>
    <t>Je frémis par anticipation , lorsque le vent glacial qui nous frappait le visage et les sombres espaces qui s' étendaient de chaque côté de l' étroite route m' apprirent que nous retournions de nouveau sur la lande .</t>
  </si>
  <si>
    <t>file://conllu/fr/doyle_bask.14.conllu#s12_0</t>
  </si>
  <si>
    <t>13</t>
  </si>
  <si>
    <t>rapproch</t>
  </si>
  <si>
    <t>Chaque tour de roue , chaque foulée des de les chevaux nous rapprochaient davantage de notre ultime aventure .</t>
  </si>
  <si>
    <t>file://conllu/fr/doyle_bask.14.conllu#s13_0</t>
  </si>
  <si>
    <t>14</t>
  </si>
  <si>
    <t>s'?</t>
  </si>
  <si>
    <t>opposavoir</t>
  </si>
  <si>
    <t>La présence du de le conducteur s' opposait à toute espèce de conversation intéressante , et nous ne parlâmes que de choses insignifiantes , alors que nos nerfs vibraient sous le coup de l' émotion et de l' attente .</t>
  </si>
  <si>
    <t>file://conllu/fr/doyle_bask.14.conllu#s14_0</t>
  </si>
  <si>
    <t>15</t>
  </si>
  <si>
    <t>après?</t>
  </si>
  <si>
    <t>sentir</t>
  </si>
  <si>
    <t>Après cette longue contrainte , je me sentis soulagé à la vue de la maison de Frankland et en reconnaissant que nous nous dirigions vers le château .</t>
  </si>
  <si>
    <t>file://conllu/fr/doyle_bask.14.conllu#s15_0</t>
  </si>
  <si>
    <t>17</t>
  </si>
  <si>
    <t>et?</t>
  </si>
  <si>
    <t>payer</t>
  </si>
  <si>
    <t>Là , Sherlock Holmes paya le cocher , et lui ordonna de retourner sur-le-champ à Coombe Tracey .</t>
  </si>
  <si>
    <t>file://conllu/fr/doyle_bask.14.conllu#s17_0</t>
  </si>
  <si>
    <t>18</t>
  </si>
  <si>
    <t>acheminer</t>
  </si>
  <si>
    <t>Nous nous acheminâmes vers Merripit house .</t>
  </si>
  <si>
    <t>file://conllu/fr/doyle_bask.14.conllu#s18_0</t>
  </si>
  <si>
    <t>19</t>
  </si>
  <si>
    <t>demander</t>
  </si>
  <si>
    <t>« Êtes-vous armé , Lestrade ? » demanda mon ami .</t>
  </si>
  <si>
    <t>file://conllu/fr/doyle_bask.14.conllu#s19_0</t>
  </si>
  <si>
    <t>20</t>
  </si>
  <si>
    <t>détective</t>
  </si>
  <si>
    <t>Le petit détective sourit .</t>
  </si>
  <si>
    <t>file://conllu/fr/doyle_bask.14.conllu#s20_0</t>
  </si>
  <si>
    <t>21</t>
  </si>
  <si>
    <t>30</t>
  </si>
  <si>
    <t>trouver</t>
  </si>
  <si>
    <t>« Tant que j' aurai un pantalon , dit -il , j' y ferai coudre une poche-revolver , et aussi longtemps que j' aurai une poche-revolver , il se trouvera quelque chose dedans .</t>
  </si>
  <si>
    <t>file://conllu/fr/doyle_bask.14.conllu#s21_0</t>
  </si>
  <si>
    <t>22</t>
  </si>
  <si>
    <t>bien</t>
  </si>
  <si>
    <t>Bien .</t>
  </si>
  <si>
    <t>file://conllu/fr/doyle_bask.14.conllu#s22_0</t>
  </si>
  <si>
    <t>23</t>
  </si>
  <si>
    <t>également?</t>
  </si>
  <si>
    <t>être (être prêt)</t>
  </si>
  <si>
    <t>Nous sommes également prêts pour toute éventualité , Watson et moi .</t>
  </si>
  <si>
    <t>file://conllu/fr/doyle_bask.14.conllu#s23_0</t>
  </si>
  <si>
    <t>24</t>
  </si>
  <si>
    <t>reprendre</t>
  </si>
  <si>
    <t>Vous êtes peu communicatif , monsieur Holmes , reprit Lestrade .</t>
  </si>
  <si>
    <t>file://conllu/fr/doyle_bask.14.conllu#s24_0</t>
  </si>
  <si>
    <t>Qu' allons -nous faire ?</t>
  </si>
  <si>
    <t>file://conllu/fr/doyle_bask.14.conllu#s25_0</t>
  </si>
  <si>
    <t>26</t>
  </si>
  <si>
    <t>attendre</t>
  </si>
  <si>
    <t>Attendre .</t>
  </si>
  <si>
    <t>file://conllu/fr/doyle_bask.14.conllu#s26_0</t>
  </si>
  <si>
    <t>27</t>
  </si>
  <si>
    <t>vrai</t>
  </si>
  <si>
    <t>Vrai !</t>
  </si>
  <si>
    <t>file://conllu/fr/doyle_bask.14.conllu#s27_0</t>
  </si>
  <si>
    <t>28</t>
  </si>
  <si>
    <t>en?</t>
  </si>
  <si>
    <t>sembler (sembler faire)</t>
  </si>
  <si>
    <t>l' endroit ne me semble pas folâtre , fit le détective , en frissonnant à l' aspect des de les pentes sombres de la colline et de l' immense voile de brouillard qui recouvrait la grande fondrière de Grimpen .</t>
  </si>
  <si>
    <t>file://conllu/fr/doyle_bask.14.conllu#s28_0</t>
  </si>
  <si>
    <t>29</t>
  </si>
  <si>
    <t>croire</t>
  </si>
  <si>
    <t>Je crois apercevoir devant nous les lumières d' une maison .</t>
  </si>
  <si>
    <t>file://conllu/fr/doyle_bask.14.conllu#s29_0</t>
  </si>
  <si>
    <t>31</t>
  </si>
  <si>
    <t>murmura</t>
  </si>
  <si>
    <t>C' est Merripit house , le terme de notre voyage , murmura Holmes .</t>
  </si>
  <si>
    <t>file://conllu/fr/doyle_bask.14.conllu#s31_0</t>
  </si>
  <si>
    <t>32</t>
  </si>
  <si>
    <t>enjoindre</t>
  </si>
  <si>
    <t>Je vous enjoins de marcher sur la pointe des de les pieds et de ne parler qu' à voix très basse .</t>
  </si>
  <si>
    <t>file://conllu/fr/doyle_bask.14.conllu#s32_0</t>
  </si>
  <si>
    <t>33</t>
  </si>
  <si>
    <t>1</t>
  </si>
  <si>
    <t>»</t>
  </si>
  <si>
    <t>file://conllu/fr/doyle_bask.14.conllu#s33_0</t>
  </si>
  <si>
    <t>34</t>
  </si>
  <si>
    <t>mais?</t>
  </si>
  <si>
    <t>sentier</t>
  </si>
  <si>
    <t>Nous suivîmes le sentier qui conduisait à la demeure des de les Stapleton ; mais , à deux cents mètres d' elle , Holmes fit halte .</t>
  </si>
  <si>
    <t>file://conllu/fr/doyle_bask.14.conllu#s34_0</t>
  </si>
  <si>
    <t>35</t>
  </si>
  <si>
    <t>suffire</t>
  </si>
  <si>
    <t>« Cela suffit , dit -il .</t>
  </si>
  <si>
    <t>file://conllu/fr/doyle_bask.14.conllu#s35_0</t>
  </si>
  <si>
    <t>36</t>
  </si>
  <si>
    <t>servir</t>
  </si>
  <si>
    <t>Ces rochers , à droite , nous serviront d' abri .</t>
  </si>
  <si>
    <t>file://conllu/fr/doyle_bask.14.conllu#s36_0</t>
  </si>
  <si>
    <t>37</t>
  </si>
  <si>
    <t>C' est ici que nous devons attendre ? demanda Lestrade .</t>
  </si>
  <si>
    <t>file://conllu/fr/doyle_bask.14.conllu#s37_0</t>
  </si>
  <si>
    <t>38</t>
  </si>
  <si>
    <t>oui</t>
  </si>
  <si>
    <t>Oui .</t>
  </si>
  <si>
    <t>file://conllu/fr/doyle_bask.14.conllu#s38_0</t>
  </si>
  <si>
    <t>39</t>
  </si>
  <si>
    <t>Nous allons nous mettre en embuscade ici .</t>
  </si>
  <si>
    <t>file://conllu/fr/doyle_bask.14.conllu#s39_0</t>
  </si>
  <si>
    <t>40</t>
  </si>
  <si>
    <t>Placer</t>
  </si>
  <si>
    <t>Placez -vous dans ce creux , Lestrade .</t>
  </si>
  <si>
    <t>file://conllu/fr/doyle_bask.14.conllu#s40_0</t>
  </si>
  <si>
    <t>41</t>
  </si>
  <si>
    <t>être (être ce)</t>
  </si>
  <si>
    <t>Vous , Watson , vous avez pénétré dans la maison , n' est -ce pas ?</t>
  </si>
  <si>
    <t>file://conllu/fr/doyle_bask.14.conllu#s41_0</t>
  </si>
  <si>
    <t>42</t>
  </si>
  <si>
    <t>Pouvez -vous m' indiquer la situation des de les pièces ?</t>
  </si>
  <si>
    <t>file://conllu/fr/doyle_bask.14.conllu#s42_0</t>
  </si>
  <si>
    <t>43</t>
  </si>
  <si>
    <t>avoir</t>
  </si>
  <si>
    <t>Qu' y a -t -il derrière ces fenêtres grillées , de ce côté ?</t>
  </si>
  <si>
    <t>file://conllu/fr/doyle_bask.14.conllu#s43_0</t>
  </si>
  <si>
    <t>44</t>
  </si>
  <si>
    <t>cuisine</t>
  </si>
  <si>
    <t>--- Les cuisines probablement .</t>
  </si>
  <si>
    <t>file://conllu/fr/doyle_bask.14.conllu#s44_0</t>
  </si>
  <si>
    <t>45</t>
  </si>
  <si>
    <t>celui</t>
  </si>
  <si>
    <t>Et plus loin , celles , qui sont si brillamment éclairées ?</t>
  </si>
  <si>
    <t>file://conllu/fr/doyle_bask.14.conllu#s45_0</t>
  </si>
  <si>
    <t>46</t>
  </si>
  <si>
    <t>salle</t>
  </si>
  <si>
    <t>La salle à manger .</t>
  </si>
  <si>
    <t>file://conllu/fr/doyle_bask.14.conllu#s46_0</t>
  </si>
  <si>
    <t>47</t>
  </si>
  <si>
    <t>lever</t>
  </si>
  <si>
    <t>Les stores sont levés .</t>
  </si>
  <si>
    <t>file://conllu/fr/doyle_bask.14.conllu#s47_0</t>
  </si>
  <si>
    <t>48</t>
  </si>
  <si>
    <t>mieux?</t>
  </si>
  <si>
    <t>connaître</t>
  </si>
  <si>
    <t>Vous connaissez mieux le terrain ...</t>
  </si>
  <si>
    <t>file://conllu/fr/doyle_bask.14.conllu#s48_0</t>
  </si>
  <si>
    <t>49</t>
  </si>
  <si>
    <t>sans?</t>
  </si>
  <si>
    <t>Ramper</t>
  </si>
  <si>
    <t>Rampez sans bruit et voyez ce qui s' y passe ....</t>
  </si>
  <si>
    <t>file://conllu/fr/doyle_bask.14.conllu#s49_0</t>
  </si>
  <si>
    <t>50</t>
  </si>
  <si>
    <t>douter</t>
  </si>
  <si>
    <t>Mais au à le nom du de le ciel , que Stapleton ne se doute pas qu' on le surveille .</t>
  </si>
  <si>
    <t>file://conllu/fr/doyle_bask.14.conllu#s50_0</t>
  </si>
  <si>
    <t>51</t>
  </si>
  <si>
    <t>file://conllu/fr/doyle_bask.14.conllu#s51_0</t>
  </si>
  <si>
    <t>52</t>
  </si>
  <si>
    <t>avanç</t>
  </si>
  <si>
    <t>Sur la pointe des de les pieds , je m' avançai dans le sentier et je parvins au à le petit mur qui entourait le verger .</t>
  </si>
  <si>
    <t>file://conllu/fr/doyle_bask.14.conllu#s52_0</t>
  </si>
  <si>
    <t>53</t>
  </si>
  <si>
    <t>gliss</t>
  </si>
  <si>
    <t>À la faveur de cet abri , je me glissai jusqu' à un endroit d' où je pus apercevoir l' intérieur de la pièce .</t>
  </si>
  <si>
    <t>file://conllu/fr/doyle_bask.14.conllu#s53_0</t>
  </si>
  <si>
    <t>54</t>
  </si>
  <si>
    <t>assir</t>
  </si>
  <si>
    <t>Deux hommes étaient assis en face l' un de l' autre : sir Henry et Stapleton .</t>
  </si>
  <si>
    <t>file://conllu/fr/doyle_bask.14.conllu#s54_0</t>
  </si>
  <si>
    <t>55</t>
  </si>
  <si>
    <t>distinguais</t>
  </si>
  <si>
    <t>Je distinguais nettement leur profil .</t>
  </si>
  <si>
    <t>file://conllu/fr/doyle_bask.14.conllu#s55_0</t>
  </si>
  <si>
    <t>56</t>
  </si>
  <si>
    <t>fumer</t>
  </si>
  <si>
    <t>Ils fumaient .</t>
  </si>
  <si>
    <t>file://conllu/fr/doyle_bask.14.conllu#s56_0</t>
  </si>
  <si>
    <t>58</t>
  </si>
  <si>
    <t>parler</t>
  </si>
  <si>
    <t>Stapleton parlait avec animation ;</t>
  </si>
  <si>
    <t>file://conllu/fr/doyle_bask.14.conllu#s58_0</t>
  </si>
  <si>
    <t>59</t>
  </si>
  <si>
    <t>sembler</t>
  </si>
  <si>
    <t>le baronnet semblait pâle et distrait .</t>
  </si>
  <si>
    <t>file://conllu/fr/doyle_bask.14.conllu#s59_0</t>
  </si>
  <si>
    <t>60</t>
  </si>
  <si>
    <t>assombrisser</t>
  </si>
  <si>
    <t>La longue promenade nocturne qu' il devrait faire sur cette lande maudite assombrissait peut-être ses pensées .</t>
  </si>
  <si>
    <t>file://conllu/fr/doyle_bask.14.conllu#s60_0</t>
  </si>
  <si>
    <t>61</t>
  </si>
  <si>
    <t>Un instant , Stapleton se leva et sortit .</t>
  </si>
  <si>
    <t>file://conllu/fr/doyle_bask.14.conllu#s61_0</t>
  </si>
  <si>
    <t>62</t>
  </si>
  <si>
    <t>remplir</t>
  </si>
  <si>
    <t>Sir Henry remplit son verre , s' enfonça dans son fauteuil et souffla vers le plafond la fumée de son cigare .</t>
  </si>
  <si>
    <t>file://conllu/fr/doyle_bask.14.conllu#s62_0</t>
  </si>
  <si>
    <t>63</t>
  </si>
  <si>
    <t>entendire</t>
  </si>
  <si>
    <t>J' entendis le grincement d' une porte et le craquement d' une chaussure sur le gravier .</t>
  </si>
  <si>
    <t>file://conllu/fr/doyle_bask.14.conllu#s63_0</t>
  </si>
  <si>
    <t>64</t>
  </si>
  <si>
    <t>suiv</t>
  </si>
  <si>
    <t>Les pas suivaient l' allée qui borde le mur derrière lequel j' étais accroupi .</t>
  </si>
  <si>
    <t>file://conllu/fr/doyle_bask.14.conllu#s64_0</t>
  </si>
  <si>
    <t>65</t>
  </si>
  <si>
    <t>risqu</t>
  </si>
  <si>
    <t>Je risquai un œil et je vis le naturaliste s' arrêter à la porte d' un pavillon construit dans un coin du de le verger .</t>
  </si>
  <si>
    <t>file://conllu/fr/doyle_bask.14.conllu#s65_0</t>
  </si>
  <si>
    <t>66</t>
  </si>
  <si>
    <t>tourner</t>
  </si>
  <si>
    <t>Une clef tourna dans la serrure et , comme Stapleton pénétrait dans le réduit , je perçus un bruit singulier , semblable au à le claquement d' une lanière de fouet .</t>
  </si>
  <si>
    <t>file://conllu/fr/doyle_bask.14.conllu#s66_0</t>
  </si>
  <si>
    <t>67</t>
  </si>
  <si>
    <t>rester</t>
  </si>
  <si>
    <t>Stapleton ne resta pas enfermé plus d' une minute .</t>
  </si>
  <si>
    <t>file://conllu/fr/doyle_bask.14.conllu#s67_0</t>
  </si>
  <si>
    <t>68</t>
  </si>
  <si>
    <t>La clef tourna de nouveau ; il repassa devant moi et rentra dans la maison .</t>
  </si>
  <si>
    <t>file://conllu/fr/doyle_bask.14.conllu#s68_0</t>
  </si>
  <si>
    <t>69</t>
  </si>
  <si>
    <t>quand?</t>
  </si>
  <si>
    <t>revins</t>
  </si>
  <si>
    <t>Quand il eut rejoint son hôte , je revins doucement auprès de mes compagnons auxquels à lesquels je racontai ce dont j' avais été témoin .</t>
  </si>
  <si>
    <t>file://conllu/fr/doyle_bask.14.conllu#s69_0</t>
  </si>
  <si>
    <t>70</t>
  </si>
  <si>
    <t>donc?</t>
  </si>
  <si>
    <t>dire</t>
  </si>
  <si>
    <t>« Vous dites donc , Watson , que la dame n' est pas là ?</t>
  </si>
  <si>
    <t>file://conllu/fr/doyle_bask.14.conllu#s70_0</t>
  </si>
  <si>
    <t>71</t>
  </si>
  <si>
    <t>me demanda Holmes , lorsque j' eus terminé mon rapport .</t>
  </si>
  <si>
    <t>file://conllu/fr/doyle_bask.14.conllu#s71_0</t>
  </si>
  <si>
    <t>72</t>
  </si>
  <si>
    <t>non</t>
  </si>
  <si>
    <t>Non .</t>
  </si>
  <si>
    <t>file://conllu/fr/doyle_bask.14.conllu#s72_0</t>
  </si>
  <si>
    <t>73</t>
  </si>
  <si>
    <t>puisque?</t>
  </si>
  <si>
    <t>Où peut -elle être , puisque , sauf celles de la cuisine , toutes les autres fenêtres sont plongées dans l' obscurité ?</t>
  </si>
  <si>
    <t>file://conllu/fr/doyle_bask.14.conllu#s73_0</t>
  </si>
  <si>
    <t>74</t>
  </si>
  <si>
    <t>ignorer</t>
  </si>
  <si>
    <t>Je l' ignore .</t>
  </si>
  <si>
    <t>file://conllu/fr/doyle_bask.14.conllu#s74_0</t>
  </si>
  <si>
    <t>75</t>
  </si>
  <si>
    <t>file://conllu/fr/doyle_bask.14.conllu#s75_0</t>
  </si>
  <si>
    <t>76</t>
  </si>
  <si>
    <t>J' ai dit qu' au-dessus de la grande fondrière de Grimpen s' étendait un voile de brouillard , épais et blanchâtre .</t>
  </si>
  <si>
    <t>file://conllu/fr/doyle_bask.14.conllu#s76_0</t>
  </si>
  <si>
    <t>77</t>
  </si>
  <si>
    <t>comme?</t>
  </si>
  <si>
    <t>rapprocher</t>
  </si>
  <si>
    <t>Lentement , comme un mur mobile , bas , mais épais , il se rapprochait de nous .</t>
  </si>
  <si>
    <t>file://conllu/fr/doyle_bask.14.conllu#s77_0</t>
  </si>
  <si>
    <t>78</t>
  </si>
  <si>
    <t>éclairait</t>
  </si>
  <si>
    <t>La lune l' éclairait , lui donnant , avec la cime des de les pics éloignés qui émergeaient de sa surface , l' aspect d' une gigantesque banquise .</t>
  </si>
  <si>
    <t>file://conllu/fr/doyle_bask.14.conllu#s78_0</t>
  </si>
  <si>
    <t>79</t>
  </si>
  <si>
    <t>Holmes se tourna de ce côté et laissa échapper quelques paroles d' impatience , arrachées sans doute par la marche lente mais continue du de le brouillard .</t>
  </si>
  <si>
    <t>file://conllu/fr/doyle_bask.14.conllu#s79_0</t>
  </si>
  <si>
    <t>80</t>
  </si>
  <si>
    <t>« Il va nous gagner , Watson , fit -il , en me le désignant d' un geste .</t>
  </si>
  <si>
    <t>file://conllu/fr/doyle_bask.14.conllu#s80_0</t>
  </si>
  <si>
    <t>81</t>
  </si>
  <si>
    <t>être</t>
  </si>
  <si>
    <t>Est -ce un contretemps fâcheux ?</t>
  </si>
  <si>
    <t>file://conllu/fr/doyle_bask.14.conllu#s81_0</t>
  </si>
  <si>
    <t>82</t>
  </si>
  <si>
    <t>fâcheux</t>
  </si>
  <si>
    <t>Très fâcheux ....</t>
  </si>
  <si>
    <t>file://conllu/fr/doyle_bask.14.conllu#s82_0</t>
  </si>
  <si>
    <t>83</t>
  </si>
  <si>
    <t>chose</t>
  </si>
  <si>
    <t>La seule chose au à le monde qui pût déranger mes combinaisons ....</t>
  </si>
  <si>
    <t>file://conllu/fr/doyle_bask.14.conllu#s83_0</t>
  </si>
  <si>
    <t>84</t>
  </si>
  <si>
    <t>maintenant?</t>
  </si>
  <si>
    <t>tarder</t>
  </si>
  <si>
    <t>Sir Henry ne tardera pas à partir maintenant ! ...</t>
  </si>
  <si>
    <t>file://conllu/fr/doyle_bask.14.conllu#s84_0</t>
  </si>
  <si>
    <t>85</t>
  </si>
  <si>
    <t>avant que?</t>
  </si>
  <si>
    <t>être (être heure)</t>
  </si>
  <si>
    <t>Il est déjà dix heures .... Notre succès et même sa vie à lui dépendent de sa sortie , avant que le brouillard ait atteint ce sentier .</t>
  </si>
  <si>
    <t>file://conllu/fr/doyle_bask.14.conllu#s85_0</t>
  </si>
  <si>
    <t>86</t>
  </si>
  <si>
    <t>file://conllu/fr/doyle_bask.14.conllu#s86_0</t>
  </si>
  <si>
    <t>87</t>
  </si>
  <si>
    <t>être (être calme)</t>
  </si>
  <si>
    <t>Au-dessus de nos têtes , la nuit était calme et sereine .</t>
  </si>
  <si>
    <t>file://conllu/fr/doyle_bask.14.conllu#s87_0</t>
  </si>
  <si>
    <t>88</t>
  </si>
  <si>
    <t>or?</t>
  </si>
  <si>
    <t>scintill</t>
  </si>
  <si>
    <t>Les étoiles scintillaient , pareilles à des de les clous d' or fixés sur la voûte céleste , et la lune baignait tout le paysage d' une lumière douce et incertaine .</t>
  </si>
  <si>
    <t>file://conllu/fr/doyle_bask.14.conllu#s88_0</t>
  </si>
  <si>
    <t>89</t>
  </si>
  <si>
    <t>détacher</t>
  </si>
  <si>
    <t>Devant nous se détachait la masse sombre de la maison dont les toits dentelés , hérissés de cheminées , se profilaient sur un ciel teinté d' argent .</t>
  </si>
  <si>
    <t>file://conllu/fr/doyle_bask.14.conllu#s89_0</t>
  </si>
  <si>
    <t>90</t>
  </si>
  <si>
    <t>allonge</t>
  </si>
  <si>
    <t>De larges traînées lumineuses , partant des de les fenêtres du de le rez-de-chaussée , s' allongeaient sur le verger et jusque sur la lande .</t>
  </si>
  <si>
    <t>file://conllu/fr/doyle_bask.14.conllu#s90_0</t>
  </si>
  <si>
    <t>91</t>
  </si>
  <si>
    <t>éteignir</t>
  </si>
  <si>
    <t>L' une d' elles s' éteignit subitement .</t>
  </si>
  <si>
    <t>file://conllu/fr/doyle_bask.14.conllu#s91_0</t>
  </si>
  <si>
    <t>92</t>
  </si>
  <si>
    <t>venir</t>
  </si>
  <si>
    <t>Les domestiques venaient de quitter la cuisine .</t>
  </si>
  <si>
    <t>file://conllu/fr/doyle_bask.14.conllu#s92_0</t>
  </si>
  <si>
    <t>93</t>
  </si>
  <si>
    <t>plus que?</t>
  </si>
  <si>
    <t>Il ne resta plus que la lampe de la salle à manger où les deux hommes , le maître de céans aux à les pensées sanguinaires et le convive inconscient du de le danger qui le menaçait , continuaient à causer en fumant leur cigare .</t>
  </si>
  <si>
    <t>file://conllu/fr/doyle_bask.14.conllu#s93_0</t>
  </si>
  <si>
    <t>94</t>
  </si>
  <si>
    <t>De minute en minute , le voile opaque qui recouvrait la lande se rapprochait davantage de la demeure de Stapleton .</t>
  </si>
  <si>
    <t>file://conllu/fr/doyle_bask.14.conllu#s94_0</t>
  </si>
  <si>
    <t>95</t>
  </si>
  <si>
    <t>déjà?</t>
  </si>
  <si>
    <t>enroul</t>
  </si>
  <si>
    <t>Déjà les légers flocons d' ouate , avant-coureurs de la brume , s' enroulaient autour du de le rayon de lumière projeté par la fenêtre illuminée .</t>
  </si>
  <si>
    <t>file://conllu/fr/doyle_bask.14.conllu#s95_0</t>
  </si>
  <si>
    <t>96</t>
  </si>
  <si>
    <t>devenir</t>
  </si>
  <si>
    <t>Le mur du de le verger le plus éloigné de nous devenait invisible et les arbres disparaissaient presque derrière un nuage de vapeurs blanches .</t>
  </si>
  <si>
    <t>file://conllu/fr/doyle_bask.14.conllu#s96_0</t>
  </si>
  <si>
    <t>97</t>
  </si>
  <si>
    <t>bientôt?</t>
  </si>
  <si>
    <t>lécher</t>
  </si>
  <si>
    <t>Bientôt des de les vagues de brouillard léchèrent les deux angles de la maison et se rejoignirent , la faisant ressembler à un vaisseau-fantôme qui voguerait sur une mer silencieuse .</t>
  </si>
  <si>
    <t>file://conllu/fr/doyle_bask.14.conllu#s97_0</t>
  </si>
  <si>
    <t>98</t>
  </si>
  <si>
    <t>crisper</t>
  </si>
  <si>
    <t>Holmes crispa sa main sur le rocher qui nous cachait et frappa du de le pied dans un mouvement d' impatience .</t>
  </si>
  <si>
    <t>file://conllu/fr/doyle_bask.14.conllu#s98_0</t>
  </si>
  <si>
    <t>99</t>
  </si>
  <si>
    <t>envahir</t>
  </si>
  <si>
    <t>« Si sir Henry n' est pas sorti avant un quart d' heure , dit -il , le sentier sera envahi à son tour .</t>
  </si>
  <si>
    <t>file://conllu/fr/doyle_bask.14.conllu#s99_0</t>
  </si>
  <si>
    <t>100</t>
  </si>
  <si>
    <t>être (être impossible)</t>
  </si>
  <si>
    <t>Dans une demi-heure , il nous sera impossible de distinguer notre main au à le bout de notre bras .</t>
  </si>
  <si>
    <t>file://conllu/fr/doyle_bask.14.conllu#s100_0</t>
  </si>
  <si>
    <t>101</t>
  </si>
  <si>
    <t>retirer</t>
  </si>
  <si>
    <t>Si nous nous retirions jusqu' à l' endroit où le terrain se relève ? insinuai-je .</t>
  </si>
  <si>
    <t>file://conllu/fr/doyle_bask.14.conllu#s101_0</t>
  </si>
  <si>
    <t>102</t>
  </si>
  <si>
    <t>être (être préférable)</t>
  </si>
  <si>
    <t>Oui , c' est préférable .</t>
  </si>
  <si>
    <t>file://conllu/fr/doyle_bask.14.conllu#s102_0</t>
  </si>
  <si>
    <t>103</t>
  </si>
  <si>
    <t>file://conllu/fr/doyle_bask.14.conllu#s103_0</t>
  </si>
  <si>
    <t>104</t>
  </si>
  <si>
    <t>fuyion</t>
  </si>
  <si>
    <t>À mesure que cette inondation de brouillard nous gagnait , nous fuyions devant elle .</t>
  </si>
  <si>
    <t>file://conllu/fr/doyle_bask.14.conllu#s104_0</t>
  </si>
  <si>
    <t>105</t>
  </si>
  <si>
    <t>sépar</t>
  </si>
  <si>
    <t>Maintenant six cents mètres environ nous séparaient de la maison .</t>
  </si>
  <si>
    <t>file://conllu/fr/doyle_bask.14.conllu#s105_0</t>
  </si>
  <si>
    <t>106</t>
  </si>
  <si>
    <t>repousser</t>
  </si>
  <si>
    <t>Et ce flot inexorable , dont la lune argentait la crête , nous repoussait toujours .</t>
  </si>
  <si>
    <t>file://conllu/fr/doyle_bask.14.conllu#s106_0</t>
  </si>
  <si>
    <t>107</t>
  </si>
  <si>
    <t>reculer</t>
  </si>
  <si>
    <t>« Nous reculons trop , dit Holmes .</t>
  </si>
  <si>
    <t>file://conllu/fr/doyle_bask.14.conllu#s107_0</t>
  </si>
  <si>
    <t>108</t>
  </si>
  <si>
    <t>devoir</t>
  </si>
  <si>
    <t>Nous ne devons pas courir la chance que le baronnet soit terrassé avant d' arriver jusqu' à nous .</t>
  </si>
  <si>
    <t>file://conllu/fr/doyle_bask.14.conllu#s108_0</t>
  </si>
  <si>
    <t>109</t>
  </si>
  <si>
    <t>Restons où nous sommes , à tout prix .</t>
  </si>
  <si>
    <t>file://conllu/fr/doyle_bask.14.conllu#s109_0</t>
  </si>
  <si>
    <t>110</t>
  </si>
  <si>
    <t>baisser</t>
  </si>
  <si>
    <t>» Mon ami se baissa et appliqua son oreille contre la terre .</t>
  </si>
  <si>
    <t>file://conllu/fr/doyle_bask.14.conllu#s110_0</t>
  </si>
  <si>
    <t>111</t>
  </si>
  <si>
    <t>merci</t>
  </si>
  <si>
    <t>« Merci , mon Dieu ! fit -il en se relevant , ... il me semble que je l' entends venir !</t>
  </si>
  <si>
    <t>file://conllu/fr/doyle_bask.14.conllu#s111_0</t>
  </si>
  <si>
    <t>112</t>
  </si>
  <si>
    <t>file://conllu/fr/doyle_bask.14.conllu#s112_0</t>
  </si>
  <si>
    <t>113</t>
  </si>
  <si>
    <t>rompre</t>
  </si>
  <si>
    <t>Un bruit de pas précipités rompit le silence de la lande .</t>
  </si>
  <si>
    <t>file://conllu/fr/doyle_bask.14.conllu#s113_0</t>
  </si>
  <si>
    <t>114</t>
  </si>
  <si>
    <t>regarder</t>
  </si>
  <si>
    <t>Blottis au à le milieu des de les pierres , nous regardions avec insistance la muraille floconneuse qui nous barrait la vue de la maison .</t>
  </si>
  <si>
    <t>file://conllu/fr/doyle_bask.14.conllu#s114_0</t>
  </si>
  <si>
    <t>115</t>
  </si>
  <si>
    <t>Les pas devinrent de plus en plus distincts et , du de le brouillard , sortit , comme d' un rideau , l' homme que nous attendions .</t>
  </si>
  <si>
    <t>file://conllu/fr/doyle_bask.14.conllu#s115_0</t>
  </si>
  <si>
    <t>116</t>
  </si>
  <si>
    <t>dès qu'?</t>
  </si>
  <si>
    <t>Dès qu' il se retrouva dans une atmosphère plus claire , il regarda autour de lui , surpris de la limpidité de la nuit .</t>
  </si>
  <si>
    <t>file://conllu/fr/doyle_bask.14.conllu#s116_0</t>
  </si>
  <si>
    <t>117</t>
  </si>
  <si>
    <t>descendre</t>
  </si>
  <si>
    <t>Rapidement , sir Henry descendit le sentier , passa tout près de l' endroit où nous étions tapis , et commença l' ascension de la colline qui se dressait derrière nous .</t>
  </si>
  <si>
    <t>file://conllu/fr/doyle_bask.14.conllu#s117_0</t>
  </si>
  <si>
    <t>118</t>
  </si>
  <si>
    <t>Tout en marchant , il tournait à chaque instant la tête de côté et d' autre , comme un homme qui se sent mal à l' aise .</t>
  </si>
  <si>
    <t>file://conllu/fr/doyle_bask.14.conllu#s118_0</t>
  </si>
  <si>
    <t>119</t>
  </si>
  <si>
    <t>cria</t>
  </si>
  <si>
    <t>« Attention ! cria Holmes .</t>
  </si>
  <si>
    <t>file://conllu/fr/doyle_bask.14.conllu#s119_0</t>
  </si>
  <si>
    <t>120</t>
  </si>
  <si>
    <t>Gare</t>
  </si>
  <si>
    <t>Gare à vous !</t>
  </si>
  <si>
    <t>file://conllu/fr/doyle_bask.14.conllu#s120_0</t>
  </si>
  <si>
    <t>121</t>
  </si>
  <si>
    <t>entendre</t>
  </si>
  <si>
    <t>je l' entends !</t>
  </si>
  <si>
    <t>file://conllu/fr/doyle_bask.14.conllu#s121_0</t>
  </si>
  <si>
    <t>122</t>
  </si>
  <si>
    <t>en même temps?</t>
  </si>
  <si>
    <t>percevoir</t>
  </si>
  <si>
    <t>» En même temps , je perçus le bruit sec d' un pistolet qu' on arme .</t>
  </si>
  <si>
    <t>file://conllu/fr/doyle_bask.14.conllu#s122_0</t>
  </si>
  <si>
    <t>123</t>
  </si>
  <si>
    <t>élever</t>
  </si>
  <si>
    <t>Il s' élevait du de le sein de cette mer de brume un bruit continu , semblable à un fouaillement .</t>
  </si>
  <si>
    <t>file://conllu/fr/doyle_bask.14.conllu#s123_0</t>
  </si>
  <si>
    <t>124</t>
  </si>
  <si>
    <t>plus qu'?</t>
  </si>
  <si>
    <t>Les nuées ne se trouvaient plus qu' à cinquante mètres de nous et , tous trois , nous ne les perdions pas de vue , incertains de l' horreur qu' elles allaient nous vomir .</t>
  </si>
  <si>
    <t>file://conllu/fr/doyle_bask.14.conllu#s124_0</t>
  </si>
  <si>
    <t>125</t>
  </si>
  <si>
    <t>toucher</t>
  </si>
  <si>
    <t>Mon coude touchait celui d' Holmes , et , à ce moment , je levai la tête vers lui .</t>
  </si>
  <si>
    <t>file://conllu/fr/doyle_bask.14.conllu#s125_0</t>
  </si>
  <si>
    <t>126</t>
  </si>
  <si>
    <t>être (être pâle)</t>
  </si>
  <si>
    <t>Il était pâle , mais exultant .</t>
  </si>
  <si>
    <t>file://conllu/fr/doyle_bask.14.conllu#s126_0</t>
  </si>
  <si>
    <t>127</t>
  </si>
  <si>
    <t>étincel</t>
  </si>
  <si>
    <t>Ses yeux étincelaient , à la pâle clarté de la lune .</t>
  </si>
  <si>
    <t>file://conllu/fr/doyle_bask.14.conllu#s127_0</t>
  </si>
  <si>
    <t>128</t>
  </si>
  <si>
    <t>soudain?</t>
  </si>
  <si>
    <t>Soudain , ils devinrent fixes et ses lèvres s' entr' ouvrirent d' étonnement .</t>
  </si>
  <si>
    <t>file://conllu/fr/doyle_bask.14.conllu#s128_0</t>
  </si>
  <si>
    <t>129</t>
  </si>
  <si>
    <t>pousser</t>
  </si>
  <si>
    <t>En même temps , Lestrade poussa un cri de terreur et se jeta la face contre terre .</t>
  </si>
  <si>
    <t>file://conllu/fr/doyle_bask.14.conllu#s129_0</t>
  </si>
  <si>
    <t>130</t>
  </si>
  <si>
    <t>saut</t>
  </si>
  <si>
    <t>Je sautai sur mes pieds .</t>
  </si>
  <si>
    <t>file://conllu/fr/doyle_bask.14.conllu#s130_0</t>
  </si>
  <si>
    <t>131</t>
  </si>
  <si>
    <t>nouer</t>
  </si>
  <si>
    <t>Ma main inerte se noua sur la crosse de mon revolver ;</t>
  </si>
  <si>
    <t>file://conllu/fr/doyle_bask.14.conllu#s131_0</t>
  </si>
  <si>
    <t>132</t>
  </si>
  <si>
    <t>je sentis mon cerveau se paralyser devant l' effrayante apparition qui venait de surgir des de les profondeurs du de le brouillard .</t>
  </si>
  <si>
    <t>file://conllu/fr/doyle_bask.14.conllu#s132_0</t>
  </si>
  <si>
    <t>133</t>
  </si>
  <si>
    <t>être (être chien)</t>
  </si>
  <si>
    <t>C' était un chien !</t>
  </si>
  <si>
    <t>file://conllu/fr/doyle_bask.14.conllu#s133_0</t>
  </si>
  <si>
    <t>134</t>
  </si>
  <si>
    <t>auparavant?</t>
  </si>
  <si>
    <t>contempler</t>
  </si>
  <si>
    <t>un énorme chien noir , tel que les yeux des de les mortels n' en avaient jamais contemplé auparavant .</t>
  </si>
  <si>
    <t>file://conllu/fr/doyle_bask.14.conllu#s134_0</t>
  </si>
  <si>
    <t>135</t>
  </si>
  <si>
    <t>souffler</t>
  </si>
  <si>
    <t>Sa gueule soufflait du de le feu ; ses prunelles luisaient comme des de les charbons ardents ;</t>
  </si>
  <si>
    <t>file://conllu/fr/doyle_bask.14.conllu#s135_0</t>
  </si>
  <si>
    <t>136</t>
  </si>
  <si>
    <t>vacill</t>
  </si>
  <si>
    <t>autour de ses babines et de ses crocs vacillaient des de les flammes .</t>
  </si>
  <si>
    <t>file://conllu/fr/doyle_bask.14.conllu#s136_0</t>
  </si>
  <si>
    <t>137</t>
  </si>
  <si>
    <t>enfanter</t>
  </si>
  <si>
    <t>Jamais les rêves les plus insensés d' un esprit en délire n' enfantèrent rien de plus sauvage , de plus terrifiant , de plus diabolique , que cette forme noire et cette face féroce qui s' étaient frayé un passage à travers le mur de brouillard .</t>
  </si>
  <si>
    <t>file://conllu/fr/doyle_bask.14.conllu#s137_0</t>
  </si>
  <si>
    <t>138</t>
  </si>
  <si>
    <t>flairer</t>
  </si>
  <si>
    <t>Avec des de les bonds énormes , ce fantastique animal flairait la piste de notre ami , le serrant de près .</t>
  </si>
  <si>
    <t>file://conllu/fr/doyle_bask.14.conllu#s138_0</t>
  </si>
  <si>
    <t>139</t>
  </si>
  <si>
    <t>hypnotiser</t>
  </si>
  <si>
    <t>Cette apparition nous hypnotisait à tel point , qu' elle nous avait déjà dépassés , lorsque nous revînmes à nous .</t>
  </si>
  <si>
    <t>file://conllu/fr/doyle_bask.14.conllu#s139_0</t>
  </si>
  <si>
    <t>140</t>
  </si>
  <si>
    <t>simultanément?</t>
  </si>
  <si>
    <t>Holmes</t>
  </si>
  <si>
    <t>Holmes et moi fîmes feu simultanément .</t>
  </si>
  <si>
    <t>file://conllu/fr/doyle_bask.14.conllu#s140_0</t>
  </si>
  <si>
    <t>141</t>
  </si>
  <si>
    <t>hurler</t>
  </si>
  <si>
    <t>La bête hurla hideusement , ce qui nous prouva qu' au à le moins l' un de nous l' avait touchée .</t>
  </si>
  <si>
    <t>file://conllu/fr/doyle_bask.14.conllu#s141_0</t>
  </si>
  <si>
    <t>142</t>
  </si>
  <si>
    <t>cependant?</t>
  </si>
  <si>
    <t>bondre</t>
  </si>
  <si>
    <t>Cependant elle bondit en avant et continua sa course .</t>
  </si>
  <si>
    <t>file://conllu/fr/doyle_bask.14.conllu#s142_0</t>
  </si>
  <si>
    <t>143</t>
  </si>
  <si>
    <t>retourner</t>
  </si>
  <si>
    <t>Sir Henry s' était retourné .</t>
  </si>
  <si>
    <t>file://conllu/fr/doyle_bask.14.conllu#s143_0</t>
  </si>
  <si>
    <t>144</t>
  </si>
  <si>
    <t>il</t>
  </si>
  <si>
    <t>Nous aperçûmes son visage décomposé et ses mains étendues en signe d' horreur devant cet être sans nom qui lui donnait la chasse .</t>
  </si>
  <si>
    <t>file://conllu/fr/doyle_bask.14.conllu#s144_0</t>
  </si>
  <si>
    <t>146</t>
  </si>
  <si>
    <t>être (être mortel)</t>
  </si>
  <si>
    <t>Il était mortel , puisque vulnérable , et , si nous l' avions blessé , nous pouvions également le tuer .</t>
  </si>
  <si>
    <t>file://conllu/fr/doyle_bask.14.conllu#s146_0</t>
  </si>
  <si>
    <t>147</t>
  </si>
  <si>
    <t>voir</t>
  </si>
  <si>
    <t>Je n' ai jamais vu courir un homme avec la rapidité que Sherlock Holmes déploya cette nuit -là .</t>
  </si>
  <si>
    <t>file://conllu/fr/doyle_bask.14.conllu#s147_0</t>
  </si>
  <si>
    <t>148</t>
  </si>
  <si>
    <t>réputer</t>
  </si>
  <si>
    <t>Je suis réputé pour ma vitesse , mais il me devança avec autant de facilité que je dépassai moi-même le petit Lestrade .</t>
  </si>
  <si>
    <t>file://conllu/fr/doyle_bask.14.conllu#s148_0</t>
  </si>
  <si>
    <t>149</t>
  </si>
  <si>
    <t>tandis que?</t>
  </si>
  <si>
    <t>voler</t>
  </si>
  <si>
    <t>Tandis que nous volions sur les traces du de le chien , nous entendîmes plusieurs cris répétés de sir Henry , ainsi que l' aboiement furieux de la bête .</t>
  </si>
  <si>
    <t>file://conllu/fr/doyle_bask.14.conllu#s149_0</t>
  </si>
  <si>
    <t>150</t>
  </si>
  <si>
    <t>vis</t>
  </si>
  <si>
    <t>Je la vis s' élancer sur sa victime , la précipiter à terre et la saisir à la gorge .</t>
  </si>
  <si>
    <t>file://conllu/fr/doyle_bask.14.conllu#s150_0</t>
  </si>
  <si>
    <t>151</t>
  </si>
  <si>
    <t>décharger</t>
  </si>
  <si>
    <t>Holmes déchargea cinq fois son revolver dans les flancs du de le monstre .</t>
  </si>
  <si>
    <t>file://conllu/fr/doyle_bask.14.conllu#s151_0</t>
  </si>
  <si>
    <t>152</t>
  </si>
  <si>
    <t>rouler</t>
  </si>
  <si>
    <t>Dans un dernier hurlement d' agonie et après un dernier coup de dents lancé dans le vide , il roula sur le dos .</t>
  </si>
  <si>
    <t>file://conllu/fr/doyle_bask.14.conllu#s152_0</t>
  </si>
  <si>
    <t>153</t>
  </si>
  <si>
    <t>puis?</t>
  </si>
  <si>
    <t>agiter</t>
  </si>
  <si>
    <t>Ses quatre pattes s' agitèrent convulsivement , puis il s' affaissa sur le côté , immobile .</t>
  </si>
  <si>
    <t>file://conllu/fr/doyle_bask.14.conllu#s153_0</t>
  </si>
  <si>
    <t>154</t>
  </si>
  <si>
    <t>Je m' avançai , tremblant encore , et j' appuyai le canon de mon revolver sur cette horrible tête .</t>
  </si>
  <si>
    <t>file://conllu/fr/doyle_bask.14.conllu#s154_0</t>
  </si>
  <si>
    <t>155</t>
  </si>
  <si>
    <t>être (être mort)</t>
  </si>
  <si>
    <t>Inutile de presser la détente , le chien-géant était mort et bien mort , cette fois !</t>
  </si>
  <si>
    <t>file://conllu/fr/doyle_bask.14.conllu#s155_0</t>
  </si>
  <si>
    <t>156</t>
  </si>
  <si>
    <t>évanouir</t>
  </si>
  <si>
    <t>Sir Henry s' était évanoui .</t>
  </si>
  <si>
    <t>file://conllu/fr/doyle_bask.14.conllu#s156_0</t>
  </si>
  <si>
    <t>157</t>
  </si>
  <si>
    <t>déchirer</t>
  </si>
  <si>
    <t>Nous déchirâmes son col et Holmes murmura une prière d' action de grâces , en ne découvrant aucune trace de blessure .</t>
  </si>
  <si>
    <t>file://conllu/fr/doyle_bask.14.conllu#s157_0</t>
  </si>
  <si>
    <t>158</t>
  </si>
  <si>
    <t>revenir</t>
  </si>
  <si>
    <t>Dans quelques minutes , le baronnet serait revenu à lui .</t>
  </si>
  <si>
    <t>file://conllu/fr/doyle_bask.14.conllu#s158_0</t>
  </si>
  <si>
    <t>159</t>
  </si>
  <si>
    <t>ouvrer</t>
  </si>
  <si>
    <t>Déjà notre jeune ami ouvrait ses yeux et essayait de se lever .</t>
  </si>
  <si>
    <t>file://conllu/fr/doyle_bask.14.conllu#s159_0</t>
  </si>
  <si>
    <t>160</t>
  </si>
  <si>
    <t>dessoyer</t>
  </si>
  <si>
    <t>Lestrade lui desserra les dents et lui fît avaler quelques gouttes de cognac .</t>
  </si>
  <si>
    <t>file://conllu/fr/doyle_bask.14.conllu#s160_0</t>
  </si>
  <si>
    <t>161</t>
  </si>
  <si>
    <t>balbutier</t>
  </si>
  <si>
    <t>« Mon Dieu ! balbutia -t -il en tournant vers nous des de les yeux que la frayeur troublait encore .</t>
  </si>
  <si>
    <t>file://conllu/fr/doyle_bask.14.conllu#s161_0</t>
  </si>
  <si>
    <t>162</t>
  </si>
  <si>
    <t>être (être que)</t>
  </si>
  <si>
    <t>Qu' était -ce ?</t>
  </si>
  <si>
    <t>file://conllu/fr/doyle_bask.14.conllu#s162_0</t>
  </si>
  <si>
    <t>164</t>
  </si>
  <si>
    <t>peu importe?</t>
  </si>
  <si>
    <t>importer</t>
  </si>
  <si>
    <t>Peu importe , puisqu' il est mort ! dit Holmes .</t>
  </si>
  <si>
    <t>file://conllu/fr/doyle_bask.14.conllu#s164_0</t>
  </si>
  <si>
    <t>165</t>
  </si>
  <si>
    <t>pour?</t>
  </si>
  <si>
    <t>tuer</t>
  </si>
  <si>
    <t>Nous avons tué pour une bonne fois le revenant de la famille Baskerville .</t>
  </si>
  <si>
    <t>file://conllu/fr/doyle_bask.14.conllu#s165_0</t>
  </si>
  <si>
    <t>166</t>
  </si>
  <si>
    <t>file://conllu/fr/doyle_bask.14.conllu#s166_0</t>
  </si>
  <si>
    <t>167</t>
  </si>
  <si>
    <t>L' animal qui gisait à nos pieds avait des de les proportions qui le rendaient effrayant .</t>
  </si>
  <si>
    <t>file://conllu/fr/doyle_bask.14.conllu#s167_0</t>
  </si>
  <si>
    <t>168</t>
  </si>
  <si>
    <t>être (être limier)</t>
  </si>
  <si>
    <t>Ce n' était ni un limier ni un dogue .</t>
  </si>
  <si>
    <t>file://conllu/fr/doyle_bask.14.conllu#s168_0</t>
  </si>
  <si>
    <t>169</t>
  </si>
  <si>
    <t>mâtiner</t>
  </si>
  <si>
    <t>Élancé , sauvage , aussi gros qu' une petite lionne , il était mâtiné de ces deux races .</t>
  </si>
  <si>
    <t>file://conllu/fr/doyle_bask.14.conllu#s169_0</t>
  </si>
  <si>
    <t>170</t>
  </si>
  <si>
    <t>cerner</t>
  </si>
  <si>
    <t>Même en ce moment , dans le repos de la mort , une flamme bleuâtre semblait suinter de son énorme gueule et un cercle de feu cernait ses yeux , petits , féroces .</t>
  </si>
  <si>
    <t>file://conllu/fr/doyle_bask.14.conllu#s170_0</t>
  </si>
  <si>
    <t>171</t>
  </si>
  <si>
    <t>pos</t>
  </si>
  <si>
    <t>Je posai la main sur ce museau lumineux et , quant je retirai mes doigts , ils brillèrent dans les ténèbres .</t>
  </si>
  <si>
    <t>file://conllu/fr/doyle_bask.14.conllu#s171_0</t>
  </si>
  <si>
    <t>172</t>
  </si>
  <si>
    <t>être (être phosphore)</t>
  </si>
  <si>
    <t>C' est du de le phosphore ! dis-je .</t>
  </si>
  <si>
    <t>file://conllu/fr/doyle_bask.14.conllu#s172_0</t>
  </si>
  <si>
    <t>173</t>
  </si>
  <si>
    <t>répliquer</t>
  </si>
  <si>
    <t>Oui ... une très curieuse préparation , répliqua Holmes , en flairant l' animal .</t>
  </si>
  <si>
    <t>file://conllu/fr/doyle_bask.14.conllu#s173_0</t>
  </si>
  <si>
    <t>174</t>
  </si>
  <si>
    <t>odeur</t>
  </si>
  <si>
    <t>Elle ne répand aucune odeur capable de nuire à l' odorat de la bête .</t>
  </si>
  <si>
    <t>file://conllu/fr/doyle_bask.14.conllu#s174_0</t>
  </si>
  <si>
    <t>175</t>
  </si>
  <si>
    <t>Nous vous devons des de les excuses , sir Henry , pour vous avoir exposé à une semblable frayeur .</t>
  </si>
  <si>
    <t>file://conllu/fr/doyle_bask.14.conllu#s175_0</t>
  </si>
  <si>
    <t>176</t>
  </si>
  <si>
    <t>croyer</t>
  </si>
  <si>
    <t>Je croyais avoir affaire à un chien et non pas à une créature de cette sorte .</t>
  </si>
  <si>
    <t>file://conllu/fr/doyle_bask.14.conllu#s176_0</t>
  </si>
  <si>
    <t>177</t>
  </si>
  <si>
    <t>et puis?</t>
  </si>
  <si>
    <t>laisser</t>
  </si>
  <si>
    <t>Et puis le brouillard nous avait laissé peu de temps pour lui faire l' accueil que nous lui réservions .</t>
  </si>
  <si>
    <t>file://conllu/fr/doyle_bask.14.conllu#s177_0</t>
  </si>
  <si>
    <t>178</t>
  </si>
  <si>
    <t>sauver</t>
  </si>
  <si>
    <t>Vous m' avez sauvé la vie .</t>
  </si>
  <si>
    <t>file://conllu/fr/doyle_bask.14.conllu#s178_0</t>
  </si>
  <si>
    <t>179</t>
  </si>
  <si>
    <t>Après l' avoir d' abord mise en péril .</t>
  </si>
  <si>
    <t>file://conllu/fr/doyle_bask.14.conllu#s179_0</t>
  </si>
  <si>
    <t>180</t>
  </si>
  <si>
    <t>Vous sentez-vous assez fort pour vous tenir debout ?</t>
  </si>
  <si>
    <t>file://conllu/fr/doyle_bask.14.conllu#s180_0</t>
  </si>
  <si>
    <t>181</t>
  </si>
  <si>
    <t>Verser</t>
  </si>
  <si>
    <t>Versez -moi encore une gorgée de cognac et je serai prêt à tout .... Là , merci ! ...</t>
  </si>
  <si>
    <t>file://conllu/fr/doyle_bask.14.conllu#s181_0</t>
  </si>
  <si>
    <t>182</t>
  </si>
  <si>
    <t>aider (aider vouloir)</t>
  </si>
  <si>
    <t>Maintenant voulez -vous m' aider à me mettre sur pied ....</t>
  </si>
  <si>
    <t>file://conllu/fr/doyle_bask.14.conllu#s182_0</t>
  </si>
  <si>
    <t>183</t>
  </si>
  <si>
    <t>Qu' allez -vous faire ?</t>
  </si>
  <si>
    <t>file://conllu/fr/doyle_bask.14.conllu#s183_0</t>
  </si>
  <si>
    <t>184</t>
  </si>
  <si>
    <t>être (être état)</t>
  </si>
  <si>
    <t>Vous n' êtes pas en état de tenter cette nuit de nouvelles aventures .</t>
  </si>
  <si>
    <t>file://conllu/fr/doyle_bask.14.conllu#s184_0</t>
  </si>
  <si>
    <t>185</t>
  </si>
  <si>
    <t>Attendez un moment et l' un de nous retournera avec vous au à le château .</t>
  </si>
  <si>
    <t>file://conllu/fr/doyle_bask.14.conllu#s185_0</t>
  </si>
  <si>
    <t>186</t>
  </si>
  <si>
    <t>file://conllu/fr/doyle_bask.14.conllu#s186_0</t>
  </si>
  <si>
    <t>187</t>
  </si>
  <si>
    <t>essayer</t>
  </si>
  <si>
    <t>Sir Henry essaya de s' affermir sur ses jambes ;</t>
  </si>
  <si>
    <t>file://conllu/fr/doyle_bask.14.conllu#s187_0</t>
  </si>
  <si>
    <t>188</t>
  </si>
  <si>
    <t>mais il était encore pâle comme un spectre et il tremblait de tous ses membres .</t>
  </si>
  <si>
    <t>file://conllu/fr/doyle_bask.14.conllu#s188_0</t>
  </si>
  <si>
    <t>189</t>
  </si>
  <si>
    <t>conduisîme</t>
  </si>
  <si>
    <t>Nous le conduisîmes jusqu' à une roche sur laquelle il s' assit , tout frissonnant , la tête enfouie entre ses mains .</t>
  </si>
  <si>
    <t>file://conllu/fr/doyle_bask.14.conllu#s189_0</t>
  </si>
  <si>
    <t>190</t>
  </si>
  <si>
    <t>falloir</t>
  </si>
  <si>
    <t>« Il faut que nous vous quittions , dit Holmes .</t>
  </si>
  <si>
    <t>file://conllu/fr/doyle_bask.14.conllu#s190_0</t>
  </si>
  <si>
    <t>191</t>
  </si>
  <si>
    <t>Nous devons achever notre tâche et chaque minute a une importance capitale .</t>
  </si>
  <si>
    <t>file://conllu/fr/doyle_bask.14.conllu#s191_0</t>
  </si>
  <si>
    <t>192</t>
  </si>
  <si>
    <t>tenir</t>
  </si>
  <si>
    <t>Nous tenons notre crime , à cette heure ;</t>
  </si>
  <si>
    <t>file://conllu/fr/doyle_bask.14.conllu#s192_0</t>
  </si>
  <si>
    <t>193</t>
  </si>
  <si>
    <t>manquer</t>
  </si>
  <si>
    <t>il ne nous manque plus que le criminel .</t>
  </si>
  <si>
    <t>file://conllu/fr/doyle_bask.14.conllu#s193_0</t>
  </si>
  <si>
    <t>194</t>
  </si>
  <si>
    <t>file://conllu/fr/doyle_bask.14.conllu#s194_0</t>
  </si>
  <si>
    <t>195</t>
  </si>
  <si>
    <t>ajouter</t>
  </si>
  <si>
    <t>Et , tandis que nous nous hâtions dans le petit sentier , mon ami ajouta : « Il y a mille à parier contre un que nous ne trouverons plus Stapleton chez lui .</t>
  </si>
  <si>
    <t>file://conllu/fr/doyle_bask.14.conllu#s195_0</t>
  </si>
  <si>
    <t>196</t>
  </si>
  <si>
    <t>apprendre</t>
  </si>
  <si>
    <t>Les coups de revolver lui auront appris qu' il a perdu la partie .</t>
  </si>
  <si>
    <t>file://conllu/fr/doyle_bask.14.conllu#s196_0</t>
  </si>
  <si>
    <t>197</t>
  </si>
  <si>
    <t>être (être loin)</t>
  </si>
  <si>
    <t>Nous étions assez loin de Merripit house , hasardai-je ;</t>
  </si>
  <si>
    <t>file://conllu/fr/doyle_bask.14.conllu#s197_0</t>
  </si>
  <si>
    <t>198</t>
  </si>
  <si>
    <t>étouffer</t>
  </si>
  <si>
    <t>le brouillard aura étouffé le bruit des de les détonations .</t>
  </si>
  <si>
    <t>file://conllu/fr/doyle_bask.14.conllu#s198_0</t>
  </si>
  <si>
    <t>199</t>
  </si>
  <si>
    <t>suivre</t>
  </si>
  <si>
    <t>--- Il suivait le chien pour l' exciter , ....</t>
  </si>
  <si>
    <t>file://conllu/fr/doyle_bask.14.conllu#s199_0</t>
  </si>
  <si>
    <t>200</t>
  </si>
  <si>
    <t>vous pouvez en être certain .... Non , non , ... il est déjà loin ! ...</t>
  </si>
  <si>
    <t>file://conllu/fr/doyle_bask.14.conllu#s200_0</t>
  </si>
  <si>
    <t>201</t>
  </si>
  <si>
    <t>fouiller</t>
  </si>
  <si>
    <t>D' ailleurs nous fouillerons la maison pour nous en assurer .</t>
  </si>
  <si>
    <t>file://conllu/fr/doyle_bask.14.conllu#s201_0</t>
  </si>
  <si>
    <t>202</t>
  </si>
  <si>
    <t>file://conllu/fr/doyle_bask.14.conllu#s202_0</t>
  </si>
  <si>
    <t>203</t>
  </si>
  <si>
    <t>ouvrir</t>
  </si>
  <si>
    <t>La porte d' entrée était ouverte .</t>
  </si>
  <si>
    <t>file://conllu/fr/doyle_bask.14.conllu#s203_0</t>
  </si>
  <si>
    <t>204</t>
  </si>
  <si>
    <t>ruer</t>
  </si>
  <si>
    <t>Nous nous ruâmes à l' intérieur , courant d' une chambre à l' autre , au à le grand étonnement d' un vieux domestique que nous rencontrâmes dans le corridor .</t>
  </si>
  <si>
    <t>file://conllu/fr/doyle_bask.14.conllu#s204_0</t>
  </si>
  <si>
    <t>205</t>
  </si>
  <si>
    <t>Seule , la salle à manger était restée éclairée .</t>
  </si>
  <si>
    <t>file://conllu/fr/doyle_bask.14.conllu#s205_0</t>
  </si>
  <si>
    <t>206</t>
  </si>
  <si>
    <t>prendre</t>
  </si>
  <si>
    <t>Holmes prit la lampe et explora jusqu' aux à les plus petits recoins .</t>
  </si>
  <si>
    <t>file://conllu/fr/doyle_bask.14.conllu#s206_0</t>
  </si>
  <si>
    <t>207</t>
  </si>
  <si>
    <t>découvrîme</t>
  </si>
  <si>
    <t>Nous ne découvrîmes aucune trace de Stapleton .</t>
  </si>
  <si>
    <t>file://conllu/fr/doyle_bask.14.conllu#s207_0</t>
  </si>
  <si>
    <t>208</t>
  </si>
  <si>
    <t>fermer</t>
  </si>
  <si>
    <t>Cependant , à l' étage supérieur , on avait fermé une porte à clef .</t>
  </si>
  <si>
    <t>file://conllu/fr/doyle_bask.14.conllu#s208_0</t>
  </si>
  <si>
    <t>209</t>
  </si>
  <si>
    <t>« Il y a quelqu'un ! s' écria Lestrade .</t>
  </si>
  <si>
    <t>file://conllu/fr/doyle_bask.14.conllu#s209_0</t>
  </si>
  <si>
    <t>210</t>
  </si>
  <si>
    <t>J' ai entendu du de le bruit .... Ouvrez !</t>
  </si>
  <si>
    <t>file://conllu/fr/doyle_bask.14.conllu#s210_0</t>
  </si>
  <si>
    <t>211</t>
  </si>
  <si>
    <t>file://conllu/fr/doyle_bask.14.conllu#s211_0</t>
  </si>
  <si>
    <t>212</t>
  </si>
  <si>
    <t>plainte</t>
  </si>
  <si>
    <t>Une plainte étouffée , un gémissement , partit de l' intérieur .</t>
  </si>
  <si>
    <t>file://conllu/fr/doyle_bask.14.conllu#s212_0</t>
  </si>
  <si>
    <t>213</t>
  </si>
  <si>
    <t>Holmes prit son élan et , d' un violent coup de pied appliqué à la hauteur de la serrure , fit voler la porte en éclats .</t>
  </si>
  <si>
    <t>file://conllu/fr/doyle_bask.14.conllu#s213_0</t>
  </si>
  <si>
    <t>214</t>
  </si>
  <si>
    <t>précipiter</t>
  </si>
  <si>
    <t>Le revolver au à le poing , nous nous précipitâmes dans la pièce .</t>
  </si>
  <si>
    <t>file://conllu/fr/doyle_bask.14.conllu#s214_0</t>
  </si>
  <si>
    <t>215</t>
  </si>
  <si>
    <t>vîme</t>
  </si>
  <si>
    <t>Nous ne vîmes rien qui ressemblât à l' affreux coquin que nous espérions y surprendre .</t>
  </si>
  <si>
    <t>file://conllu/fr/doyle_bask.14.conllu#s215_0</t>
  </si>
  <si>
    <t>217</t>
  </si>
  <si>
    <t>convertir</t>
  </si>
  <si>
    <t>Stapleton avait converti cette pièce en un petit musée .</t>
  </si>
  <si>
    <t>file://conllu/fr/doyle_bask.14.conllu#s217_0</t>
  </si>
  <si>
    <t>218</t>
  </si>
  <si>
    <t>réunir</t>
  </si>
  <si>
    <t>Dans des de les casiers vitrés , fixés au à le mur , cet être dangereux et complexe avait réuni ses collections de papillons et de phalènes .</t>
  </si>
  <si>
    <t>file://conllu/fr/doyle_bask.14.conllu#s218_0</t>
  </si>
  <si>
    <t>220</t>
  </si>
  <si>
    <t>pendir</t>
  </si>
  <si>
    <t>De cette poutre , pendait un corps si enveloppé , si emmailloté dans un drap qu' il nous fut impossible de reconnaître sur le moment si c' était celui d' un homme ou d' une femme .</t>
  </si>
  <si>
    <t>file://conllu/fr/doyle_bask.14.conllu#s220_0</t>
  </si>
  <si>
    <t>221</t>
  </si>
  <si>
    <t>assujettir</t>
  </si>
  <si>
    <t>Une première serviette enroulée autour du de le cou du de le pendu était fortement assujettie à la poutre par un clou .</t>
  </si>
  <si>
    <t>file://conllu/fr/doyle_bask.14.conllu#s221_0</t>
  </si>
  <si>
    <t>222</t>
  </si>
  <si>
    <t>envelopper</t>
  </si>
  <si>
    <t>Une seconde enveloppait la partie inférieure du de le visage , laissant à découvert deux grands yeux noirs pleins de surprise et de honte qui nous regardaient avec angoisse .</t>
  </si>
  <si>
    <t>file://conllu/fr/doyle_bask.14.conllu#s222_0</t>
  </si>
  <si>
    <t>223</t>
  </si>
  <si>
    <t>Dans l' espace d' une seconde , nous eûmes tranché le bâillon , desserré les liens , et Mme Stapleton s' affaissait à nos pieds sur le parquet .</t>
  </si>
  <si>
    <t>file://conllu/fr/doyle_bask.14.conllu#s223_0</t>
  </si>
  <si>
    <t>225</t>
  </si>
  <si>
    <t>brute</t>
  </si>
  <si>
    <t>« La brute !</t>
  </si>
  <si>
    <t>file://conllu/fr/doyle_bask.14.conllu#s225_0</t>
  </si>
  <si>
    <t>226</t>
  </si>
  <si>
    <t>cria Holmes .... Vite , Lestrade , votre bouteille de cognac !</t>
  </si>
  <si>
    <t>file://conllu/fr/doyle_bask.14.conllu#s226_0</t>
  </si>
  <si>
    <t>227</t>
  </si>
  <si>
    <t>Asseyer</t>
  </si>
  <si>
    <t>Asseyons -la dans un fauteuil ....</t>
  </si>
  <si>
    <t>file://conllu/fr/doyle_bask.14.conllu#s227_0</t>
  </si>
  <si>
    <t>228</t>
  </si>
  <si>
    <t>Elle s' est évanouie d' épuisement .</t>
  </si>
  <si>
    <t>file://conllu/fr/doyle_bask.14.conllu#s228_0</t>
  </si>
  <si>
    <t>229</t>
  </si>
  <si>
    <t>file://conllu/fr/doyle_bask.14.conllu#s229_0</t>
  </si>
  <si>
    <t>230</t>
  </si>
  <si>
    <t>femme</t>
  </si>
  <si>
    <t>La jeune femme entr' ouvrit les yeux .</t>
  </si>
  <si>
    <t>file://conllu/fr/doyle_bask.14.conllu#s230_0</t>
  </si>
  <si>
    <t>231</t>
  </si>
  <si>
    <t>écrier</t>
  </si>
  <si>
    <t>« Est -il sauvé ? s' écria -t -elle , s' est -il échappé ? ...</t>
  </si>
  <si>
    <t>file://conllu/fr/doyle_bask.14.conllu#s231_0</t>
  </si>
  <si>
    <t>232</t>
  </si>
  <si>
    <t>répondre</t>
  </si>
  <si>
    <t>Il ne peut nous échapper , madame , répondit froidement Sherlock Holmes .</t>
  </si>
  <si>
    <t>file://conllu/fr/doyle_bask.14.conllu#s232_0</t>
  </si>
  <si>
    <t>233</t>
  </si>
  <si>
    <t>Non , non , ... pas mon mari , ... sir Henry ?</t>
  </si>
  <si>
    <t>file://conllu/fr/doyle_bask.14.conllu#s233_0</t>
  </si>
  <si>
    <t>234</t>
  </si>
  <si>
    <t>Est -il sain et sauf ?</t>
  </si>
  <si>
    <t>file://conllu/fr/doyle_bask.14.conllu#s234_0</t>
  </si>
  <si>
    <t>235</t>
  </si>
  <si>
    <t>file://conllu/fr/doyle_bask.14.conllu#s235_0</t>
  </si>
  <si>
    <t>236</t>
  </si>
  <si>
    <t>chien</t>
  </si>
  <si>
    <t>Et le chien ?</t>
  </si>
  <si>
    <t>file://conllu/fr/doyle_bask.14.conllu#s236_0</t>
  </si>
  <si>
    <t>237</t>
  </si>
  <si>
    <t>mort</t>
  </si>
  <si>
    <t>Mort .</t>
  </si>
  <si>
    <t>file://conllu/fr/doyle_bask.14.conllu#s237_0</t>
  </si>
  <si>
    <t>238</t>
  </si>
  <si>
    <t>file://conllu/fr/doyle_bask.14.conllu#s238_0</t>
  </si>
  <si>
    <t>239</t>
  </si>
  <si>
    <t>Mme Stapleton poussa un long soupir de satisfaction .</t>
  </si>
  <si>
    <t>file://conllu/fr/doyle_bask.14.conllu#s239_0</t>
  </si>
  <si>
    <t>240</t>
  </si>
  <si>
    <t>« Merci , mon Dieu , merci ! ...</t>
  </si>
  <si>
    <t>file://conllu/fr/doyle_bask.14.conllu#s240_0</t>
  </si>
  <si>
    <t>241</t>
  </si>
  <si>
    <t>oh</t>
  </si>
  <si>
    <t>Oh ! le misérable ! ...</t>
  </si>
  <si>
    <t>file://conllu/fr/doyle_bask.14.conllu#s241_0</t>
  </si>
  <si>
    <t>242</t>
  </si>
  <si>
    <t>mise</t>
  </si>
  <si>
    <t>Voyez dans quel état il m' a mise !</t>
  </si>
  <si>
    <t>file://conllu/fr/doyle_bask.14.conllu#s242_0</t>
  </si>
  <si>
    <t>243</t>
  </si>
  <si>
    <t>file://conllu/fr/doyle_bask.14.conllu#s243_0</t>
  </si>
  <si>
    <t>244</t>
  </si>
  <si>
    <t>relealler</t>
  </si>
  <si>
    <t>Elle releva ses manches et nous montra ses bras couverts d' ecchymoses .</t>
  </si>
  <si>
    <t>file://conllu/fr/doyle_bask.14.conllu#s244_0</t>
  </si>
  <si>
    <t>245</t>
  </si>
  <si>
    <t>être (être rien)</t>
  </si>
  <si>
    <t>« Mais cela n' est rien ... rien !</t>
  </si>
  <si>
    <t>file://conllu/fr/doyle_bask.14.conllu#s245_0</t>
  </si>
  <si>
    <t>246</t>
  </si>
  <si>
    <t>reprit -elle , d' une voix entrecoupée de sanglots .</t>
  </si>
  <si>
    <t>file://conllu/fr/doyle_bask.14.conllu#s246_0</t>
  </si>
  <si>
    <t>247</t>
  </si>
  <si>
    <t>être (être esprit)</t>
  </si>
  <si>
    <t>C' est mon esprit et mon âme qu' il a torturés et souillés !</t>
  </si>
  <si>
    <t>file://conllu/fr/doyle_bask.14.conllu#s247_0</t>
  </si>
  <si>
    <t>248</t>
  </si>
  <si>
    <t>supporter</t>
  </si>
  <si>
    <t>J' aurais tout supporté : les mauvais traitements , la solitude , ma vie brisée , tout , si j' avais pu conserver l' espoir qu' il m' aimait encore !</t>
  </si>
  <si>
    <t>file://conllu/fr/doyle_bask.14.conllu#s248_0</t>
  </si>
  <si>
    <t>249</t>
  </si>
  <si>
    <t>envoler</t>
  </si>
  <si>
    <t>Aujourd'hui , mes illusions se sont envolées , et je sais que je n' ai été qu' un instrument entre ses mains .</t>
  </si>
  <si>
    <t>file://conllu/fr/doyle_bask.14.conllu#s249_0</t>
  </si>
  <si>
    <t>250</t>
  </si>
  <si>
    <t>éprouver</t>
  </si>
  <si>
    <t>Vous n' éprouvez plus pour lui que du de le ressentiment , n' est -ce pas , madame ? demanda Holmes .</t>
  </si>
  <si>
    <t>file://conllu/fr/doyle_bask.14.conllu#s250_0</t>
  </si>
  <si>
    <t>251</t>
  </si>
  <si>
    <t>Désigner</t>
  </si>
  <si>
    <t>Désignez -nous sa retraite .</t>
  </si>
  <si>
    <t>file://conllu/fr/doyle_bask.14.conllu#s251_0</t>
  </si>
  <si>
    <t>252</t>
  </si>
  <si>
    <t>16</t>
  </si>
  <si>
    <t>être (être expiation)</t>
  </si>
  <si>
    <t>Vous l' avez aidé dans le mal , venez -nous en aide maintenant ; ce sera votre expiation .</t>
  </si>
  <si>
    <t>file://conllu/fr/doyle_bask.14.conllu#s252_0</t>
  </si>
  <si>
    <t>253</t>
  </si>
  <si>
    <t>Il ne peut avoir dirigé ses pas que vers un seul endroit , répondit -elle .</t>
  </si>
  <si>
    <t>file://conllu/fr/doyle_bask.14.conllu#s253_0</t>
  </si>
  <si>
    <t>255</t>
  </si>
  <si>
    <t>être (être là)</t>
  </si>
  <si>
    <t>C' était là qu' il cachait son chien .</t>
  </si>
  <si>
    <t>file://conllu/fr/doyle_bask.14.conllu#s255_0</t>
  </si>
  <si>
    <t>256</t>
  </si>
  <si>
    <t>ménager</t>
  </si>
  <si>
    <t>Là , également , il s' était ménagé un refuge pour le cas où il aurait dû fuir précipitamment .</t>
  </si>
  <si>
    <t>file://conllu/fr/doyle_bask.14.conllu#s256_0</t>
  </si>
  <si>
    <t>257</t>
  </si>
  <si>
    <t>courir</t>
  </si>
  <si>
    <t>Il y a couru certainement .</t>
  </si>
  <si>
    <t>file://conllu/fr/doyle_bask.14.conllu#s257_0</t>
  </si>
  <si>
    <t>258</t>
  </si>
  <si>
    <t>file://conllu/fr/doyle_bask.14.conllu#s258_0</t>
  </si>
  <si>
    <t>259</t>
  </si>
  <si>
    <t>Holmes prit la lampe et l' approcha de la fenêtre .</t>
  </si>
  <si>
    <t>file://conllu/fr/doyle_bask.14.conllu#s259_0</t>
  </si>
  <si>
    <t>260</t>
  </si>
  <si>
    <t>obscurcisser</t>
  </si>
  <si>
    <t>Le brouillard en obscurcissait les vitres .</t>
  </si>
  <si>
    <t>file://conllu/fr/doyle_bask.14.conllu#s260_0</t>
  </si>
  <si>
    <t>261</t>
  </si>
  <si>
    <t>vovoir</t>
  </si>
  <si>
    <t>« Voyez , madame , dit -il .</t>
  </si>
  <si>
    <t>file://conllu/fr/doyle_bask.14.conllu#s261_0</t>
  </si>
  <si>
    <t>262</t>
  </si>
  <si>
    <t>soit?</t>
  </si>
  <si>
    <t>défier</t>
  </si>
  <si>
    <t>Je défie qui que ce soit de retrouver cette nuit son chemin à travers la grande fondrière de Grimpen .</t>
  </si>
  <si>
    <t>file://conllu/fr/doyle_bask.14.conllu#s262_0</t>
  </si>
  <si>
    <t>263</t>
  </si>
  <si>
    <t>file://conllu/fr/doyle_bask.14.conllu#s263_0</t>
  </si>
  <si>
    <t>264</t>
  </si>
  <si>
    <t>battre</t>
  </si>
  <si>
    <t>Mme Stapleton battit des de les mains ; ses lèvres se retroussèrent dans un rictus sinistre .</t>
  </si>
  <si>
    <t>file://conllu/fr/doyle_bask.14.conllu#s264_0</t>
  </si>
  <si>
    <t>265</t>
  </si>
  <si>
    <t>« Il peut y pénétrer , mais il n' en ressortira jamais ! s' écria -t -elle .</t>
  </si>
  <si>
    <t>file://conllu/fr/doyle_bask.14.conllu#s265_0</t>
  </si>
  <si>
    <t>266</t>
  </si>
  <si>
    <t>verr</t>
  </si>
  <si>
    <t>Comment , par cette nuit épaisse , verrait -il les balises qui doivent le guider ? ...</t>
  </si>
  <si>
    <t>file://conllu/fr/doyle_bask.14.conllu#s266_0</t>
  </si>
  <si>
    <t>267</t>
  </si>
  <si>
    <t>planter</t>
  </si>
  <si>
    <t>Nous les avons plantées ensemble , lui et moi , pour marquer le seul chemin praticable ....</t>
  </si>
  <si>
    <t>file://conllu/fr/doyle_bask.14.conllu#s267_0</t>
  </si>
  <si>
    <t>268</t>
  </si>
  <si>
    <t>Ah ! s' il m' avait été permis de les arracher aujourd'hui , vous l' auriez à votre merci !</t>
  </si>
  <si>
    <t>file://conllu/fr/doyle_bask.14.conllu#s268_0</t>
  </si>
  <si>
    <t>269</t>
  </si>
  <si>
    <t>file://conllu/fr/doyle_bask.14.conllu#s269_0</t>
  </si>
  <si>
    <t>270</t>
  </si>
  <si>
    <t>pour commencer?</t>
  </si>
  <si>
    <t>être (être évident)</t>
  </si>
  <si>
    <t>Il était évident que , pour commencer nos recherches , nous étions condamnés à attendre que le brouillard se fût dissipé .</t>
  </si>
  <si>
    <t>file://conllu/fr/doyle_bask.14.conllu#s270_0</t>
  </si>
  <si>
    <t>271</t>
  </si>
  <si>
    <t>confier</t>
  </si>
  <si>
    <t>Nous confiâmes à Lestrade la garde de la maison et nous reprîmes , Holmes et moi , le chemin du de le château de Baskerville en compagnie du de le baronnet .</t>
  </si>
  <si>
    <t>file://conllu/fr/doyle_bask.14.conllu#s271_0</t>
  </si>
  <si>
    <t>272</t>
  </si>
  <si>
    <t>histoire de?</t>
  </si>
  <si>
    <t>histoire</t>
  </si>
  <si>
    <t>Impossible de taire plus longtemps à sir Henry l' histoire des de les Stapleton ....</t>
  </si>
  <si>
    <t>file://conllu/fr/doyle_bask.14.conllu#s272_0</t>
  </si>
  <si>
    <t>273</t>
  </si>
  <si>
    <t>Il supporta courageusement le coup que lui porta au à le cœur la vérité sur la femme qu' il avait aimée .</t>
  </si>
  <si>
    <t>file://conllu/fr/doyle_bask.14.conllu#s273_0</t>
  </si>
  <si>
    <t>274</t>
  </si>
  <si>
    <t>déterminer</t>
  </si>
  <si>
    <t>La secousse produite sur ses nerfs par les aventures de cette nuit déterminèrent une fièvre cérébrale .</t>
  </si>
  <si>
    <t>file://conllu/fr/doyle_bask.14.conllu#s274_0</t>
  </si>
  <si>
    <t>275</t>
  </si>
  <si>
    <t>déclarer</t>
  </si>
  <si>
    <t>Le docteur Mortimer , accouru à son chevet , déclara qu' il ne faudrait rien moins qu' un long voyage autour du de le monde , pour rendre à sir Henry la vigueur et la santé qu' il possédait avant de devenir propriétaire de ce néfaste domaine .</t>
  </si>
  <si>
    <t>file://conllu/fr/doyle_bask.14.conllu#s275_0</t>
  </si>
  <si>
    <t>276</t>
  </si>
  <si>
    <t>arriver</t>
  </si>
  <si>
    <t>J' arrive rapidement à la conclusion de cette singulière histoire , dans laquelle je me suis efforcé de faire partager au à le lecteur les angoisses et les vagues soupçons qui , pendant quelques jours , avaient troublé notre existence et qui venaient de se terminer d' une si tragique façon .</t>
  </si>
  <si>
    <t>file://conllu/fr/doyle_bask.14.conllu#s276_0</t>
  </si>
  <si>
    <t>277</t>
  </si>
  <si>
    <t>dissiper</t>
  </si>
  <si>
    <t>Le lendemain du de le drame de Merripit house , le brouillard se dissipa , et Mme Stapleton nous guida vers l' endroit où son mari et elle avaient tracé un chemin à travers la fondrière .</t>
  </si>
  <si>
    <t>file://conllu/fr/doyle_bask.14.conllu#s277_0</t>
  </si>
  <si>
    <t>278</t>
  </si>
  <si>
    <t>mesurer</t>
  </si>
  <si>
    <t>Pendant le trajet , nous pûmes mesurer , à l' empressement qu' elle mettait à nous conduire sur les traces du de le naturaliste , combien cette femme avait souffert .</t>
  </si>
  <si>
    <t>file://conllu/fr/doyle_bask.14.conllu#s278_0</t>
  </si>
  <si>
    <t>279</t>
  </si>
  <si>
    <t>Elle resta sur une sorte de promontoire que la terre ferme jetait dans l' intérieur du de le marécage .</t>
  </si>
  <si>
    <t>file://conllu/fr/doyle_bask.14.conllu#s279_0</t>
  </si>
  <si>
    <t>280</t>
  </si>
  <si>
    <t>indiquer</t>
  </si>
  <si>
    <t>À partir de ce point , de petites balises , plantées ça et là , indiquaient le sentier qui serpentait d' une touffe d' ajoncs à l' autre , au à le milieu de trous tapissés d' écume verdâtre et de flaques bourbeuses qui barraient la route aux à les étrangers .</t>
  </si>
  <si>
    <t>file://conllu/fr/doyle_bask.14.conllu#s280_0</t>
  </si>
  <si>
    <t>282</t>
  </si>
  <si>
    <t>monter</t>
  </si>
  <si>
    <t>une vapeur lourde , chargée de miasmes , nous montait au à le visage .</t>
  </si>
  <si>
    <t>file://conllu/fr/doyle_bask.14.conllu#s282_0</t>
  </si>
  <si>
    <t>284</t>
  </si>
  <si>
    <t>coller</t>
  </si>
  <si>
    <t>Elle se collait à nos talons et , lorsque nous y tombions , on aurait dit qu' une main homicide nous tirait en bas , tellement était tenace l' étreinte qui nous enserrait .</t>
  </si>
  <si>
    <t>file://conllu/fr/doyle_bask.14.conllu#s284_0</t>
  </si>
  <si>
    <t>285</t>
  </si>
  <si>
    <t>la preuve?</t>
  </si>
  <si>
    <t>Une seule fois , nous acquîmes la preuve que Stapleton nous avait devancés dans le sentier .</t>
  </si>
  <si>
    <t>file://conllu/fr/doyle_bask.14.conllu#s285_0</t>
  </si>
  <si>
    <t>286</t>
  </si>
  <si>
    <t>distinguer</t>
  </si>
  <si>
    <t>Dans une touffe de joncs émergeant de la vase , il nous sembla distinguer quelque chose de noir .</t>
  </si>
  <si>
    <t>file://conllu/fr/doyle_bask.14.conllu#s286_0</t>
  </si>
  <si>
    <t>288</t>
  </si>
  <si>
    <t>Si nous n' avions pas été là pour le retirer , il n' aurait jamais plus foulé la terre ferme .</t>
  </si>
  <si>
    <t>file://conllu/fr/doyle_bask.14.conllu#s288_0</t>
  </si>
  <si>
    <t>289</t>
  </si>
  <si>
    <t>Il tenait à la main une vieille bottine .</t>
  </si>
  <si>
    <t>file://conllu/fr/doyle_bask.14.conllu#s289_0</t>
  </si>
  <si>
    <t>290</t>
  </si>
  <si>
    <t>lire</t>
  </si>
  <si>
    <t>À l' intérieur , on lisait cette adresse imprimée : « Meyer , Toronto » .</t>
  </si>
  <si>
    <t>file://conllu/fr/doyle_bask.14.conllu#s290_0</t>
  </si>
  <si>
    <t>291</t>
  </si>
  <si>
    <t>valoir</t>
  </si>
  <si>
    <t>« Cela vaut bien un bain de boue , dit Sherlock .</t>
  </si>
  <si>
    <t>file://conllu/fr/doyle_bask.14.conllu#s291_0</t>
  </si>
  <si>
    <t>292</t>
  </si>
  <si>
    <t>être (être bottine)</t>
  </si>
  <si>
    <t>C' est la bottine volée à notre ami sir Henry .</t>
  </si>
  <si>
    <t>file://conllu/fr/doyle_bask.14.conllu#s292_0</t>
  </si>
  <si>
    <t>293</t>
  </si>
  <si>
    <t>jeter</t>
  </si>
  <si>
    <t>Stapleton l' aura jetée là dans sa fuite , fis-je .</t>
  </si>
  <si>
    <t>file://conllu/fr/doyle_bask.14.conllu#s293_0</t>
  </si>
  <si>
    <t>294</t>
  </si>
  <si>
    <t>certainement</t>
  </si>
  <si>
    <t>Certainement .</t>
  </si>
  <si>
    <t>file://conllu/fr/doyle_bask.14.conllu#s294_0</t>
  </si>
  <si>
    <t>295</t>
  </si>
  <si>
    <t>conserver</t>
  </si>
  <si>
    <t>Il l' avait conservée à la main , après s' en être servi pour mettre le chien sur la piste .</t>
  </si>
  <si>
    <t>file://conllu/fr/doyle_bask.14.conllu#s295_0</t>
  </si>
  <si>
    <t>296</t>
  </si>
  <si>
    <t>enfuir</t>
  </si>
  <si>
    <t>Quand il a vu que tout était perdu , il s' est enfui de Merripit house , ayant toujours cette bottine , et il s' en est débarrassé ici .</t>
  </si>
  <si>
    <t>file://conllu/fr/doyle_bask.14.conllu#s296_0</t>
  </si>
  <si>
    <t>297</t>
  </si>
  <si>
    <t>montrer</t>
  </si>
  <si>
    <t>Cela nous montre qu' il a atteint , sain et sauf , ce point de la fondrière .</t>
  </si>
  <si>
    <t>file://conllu/fr/doyle_bask.14.conllu#s297_0</t>
  </si>
  <si>
    <t>298</t>
  </si>
  <si>
    <t>file://conllu/fr/doyle_bask.14.conllu#s298_0</t>
  </si>
  <si>
    <t>299</t>
  </si>
  <si>
    <t>Ce fut tout ce que nous découvrîmes de lui .</t>
  </si>
  <si>
    <t>file://conllu/fr/doyle_bask.14.conllu#s299_0</t>
  </si>
  <si>
    <t>300</t>
  </si>
  <si>
    <t>relever</t>
  </si>
  <si>
    <t>D' ailleurs , comment relever des de les traces de pas dans le marécage où cette surface de fange mobile reprenait son uniformité après le passage d' un homme ?</t>
  </si>
  <si>
    <t>file://conllu/fr/doyle_bask.14.conllu#s300_0</t>
  </si>
  <si>
    <t>301</t>
  </si>
  <si>
    <t>parvenir</t>
  </si>
  <si>
    <t>Parvenus sur un terrain plus solide formant une espèce d' île au à le milieu de la fondrière , nous poursuivîmes nos recherches avec un soin minutieux .</t>
  </si>
  <si>
    <t>file://conllu/fr/doyle_bask.14.conllu#s301_0</t>
  </si>
  <si>
    <t>302</t>
  </si>
  <si>
    <t>être (être inutile)</t>
  </si>
  <si>
    <t>Elles furent inutiles .</t>
  </si>
  <si>
    <t>file://conllu/fr/doyle_bask.14.conllu#s302_0</t>
  </si>
  <si>
    <t>303</t>
  </si>
  <si>
    <t>Si la terre ne mentait pas , jamais Stapleton n' avait dû gagner cet endroit , malgré sa lutte désespérée contre le brouillard .</t>
  </si>
  <si>
    <t>file://conllu/fr/doyle_bask.14.conllu#s303_0</t>
  </si>
  <si>
    <t>304</t>
  </si>
  <si>
    <t>ensevelir</t>
  </si>
  <si>
    <t>Quelque part dans la grande fondrière de Grimpen , cet homme au à le cœur froid et cruel était enseveli , aspiré par la boue visqueuse .</t>
  </si>
  <si>
    <t>file://conllu/fr/doyle_bask.14.conllu#s304_0</t>
  </si>
  <si>
    <t>305</t>
  </si>
  <si>
    <t>Dans cette île surgie du de le milieu de la vase , nous trouvâmes de nombreuses traces de ses visites , ainsi que du de le séjour de son féroce allié .</t>
  </si>
  <si>
    <t>file://conllu/fr/doyle_bask.14.conllu#s305_0</t>
  </si>
  <si>
    <t>306</t>
  </si>
  <si>
    <t>marqu</t>
  </si>
  <si>
    <t>Une vieille roue et une brouette à demi remplie de décombres marquaient l' emplacement d' une mine abandonnée .</t>
  </si>
  <si>
    <t>file://conllu/fr/doyle_bask.14.conllu#s306_0</t>
  </si>
  <si>
    <t>307</t>
  </si>
  <si>
    <t>retrouver</t>
  </si>
  <si>
    <t>Tout près de là , on retrouvait encore les vestiges des de les cabanes de mineurs , chassés sans doute par les exhalaisons pestilentielles du de le marais .</t>
  </si>
  <si>
    <t>file://conllu/fr/doyle_bask.14.conllu#s307_0</t>
  </si>
  <si>
    <t>308</t>
  </si>
  <si>
    <t>Dans l' une de ces cabanes , une niche à laquelle était fixée une chaîne , puis un amas d' os , indiquaient l' endroit où Stapleton attachait son chien .</t>
  </si>
  <si>
    <t>file://conllu/fr/doyle_bask.14.conllu#s308_0</t>
  </si>
  <si>
    <t>309</t>
  </si>
  <si>
    <t>adhér</t>
  </si>
  <si>
    <t>Un crâne auquel à lequel adhéraient encore des de les poils noirs gisait au à le milieu des de les débris .</t>
  </si>
  <si>
    <t>file://conllu/fr/doyle_bask.14.conllu#s309_0</t>
  </si>
  <si>
    <t>310</t>
  </si>
  <si>
    <t>« Un chien !</t>
  </si>
  <si>
    <t>file://conllu/fr/doyle_bask.14.conllu#s310_0</t>
  </si>
  <si>
    <t>311</t>
  </si>
  <si>
    <t>faire</t>
  </si>
  <si>
    <t>fit Holmes , en le retournant du de le pied .</t>
  </si>
  <si>
    <t>file://conllu/fr/doyle_bask.14.conllu#s311_0</t>
  </si>
  <si>
    <t>312</t>
  </si>
  <si>
    <t>Dieu</t>
  </si>
  <si>
    <t>Par Dieu !</t>
  </si>
  <si>
    <t>file://conllu/fr/doyle_bask.14.conllu#s312_0</t>
  </si>
  <si>
    <t>313</t>
  </si>
  <si>
    <t>être (être caniche)</t>
  </si>
  <si>
    <t>c' était un caniche !</t>
  </si>
  <si>
    <t>file://conllu/fr/doyle_bask.14.conllu#s313_0</t>
  </si>
  <si>
    <t>314</t>
  </si>
  <si>
    <t>revoyer</t>
  </si>
  <si>
    <t>Pauvre Mortimer , il ne reverra plus son favori ! ...</t>
  </si>
  <si>
    <t>file://conllu/fr/doyle_bask.14.conllu#s314_0</t>
  </si>
  <si>
    <t>315</t>
  </si>
  <si>
    <t>Je doute qu' il reste ici des de les secrets que nous n' ayons pas pénétrés .... Stapleton pouvait cacher son chien , mais il ne pouvait l' empêcher d' aboyer !</t>
  </si>
  <si>
    <t>file://conllu/fr/doyle_bask.14.conllu#s315_0</t>
  </si>
  <si>
    <t>316</t>
  </si>
  <si>
    <t>même?</t>
  </si>
  <si>
    <t>hurlement</t>
  </si>
  <si>
    <t>De là ces hurlements si terrifiants à entendre , même en plein jour .</t>
  </si>
  <si>
    <t>file://conllu/fr/doyle_bask.14.conllu#s316_0</t>
  </si>
  <si>
    <t>317</t>
  </si>
  <si>
    <t>alors?</t>
  </si>
  <si>
    <t>exposer</t>
  </si>
  <si>
    <t>Enfermer la bête dans un des de les pavillons de Merripit house exposait le naturaliste aux à les plus grands risques et ce ne fut que le dernier jour , alors qu' il se croyait au à le terme de ses efforts , qu' il osa s' y décider ....</t>
  </si>
  <si>
    <t>file://conllu/fr/doyle_bask.14.conllu#s317_0</t>
  </si>
  <si>
    <t>318</t>
  </si>
  <si>
    <t>être (être composition)</t>
  </si>
  <si>
    <t>La pâte contenue dans cette boîte d' étain est sans doute la composition phosphorescente dont il enduisait son chien .</t>
  </si>
  <si>
    <t>file://conllu/fr/doyle_bask.14.conllu#s318_0</t>
  </si>
  <si>
    <t>319</t>
  </si>
  <si>
    <t>suggérer</t>
  </si>
  <si>
    <t>Cette idée lui fut sûrement suggérée par l' histoire du de le chien des de les Baskerville et par le désir d' effrayer sir Charles jusqu' à le tuer .</t>
  </si>
  <si>
    <t>file://conllu/fr/doyle_bask.14.conllu#s319_0</t>
  </si>
  <si>
    <t>320</t>
  </si>
  <si>
    <t>Est -il étonnant que ce pauvre diable de Selden ait couru , ait crié ainsi que sir Henry et nous-mêmes --- lorsqu' il vit bondir à sa poursuite , dans les ténèbres de la lande , une créature aussi étrange ? ...</t>
  </si>
  <si>
    <t>file://conllu/fr/doyle_bask.14.conllu#s320_0</t>
  </si>
  <si>
    <t>321</t>
  </si>
  <si>
    <t>Il faut admirer l' ingéniosité de l' invention .</t>
  </si>
  <si>
    <t>file://conllu/fr/doyle_bask.14.conllu#s321_0</t>
  </si>
  <si>
    <t>322</t>
  </si>
  <si>
    <t>en effet?</t>
  </si>
  <si>
    <t>présenter</t>
  </si>
  <si>
    <t>En effet , indépendamment de la possibilité de tuer sa victime , cela présentait l' avantage d' éloigner du de le monstre tous les paysans qui , le rencontrant sur la lande cela est arrivé à plusieurs auraient eu l' intention de l' examiner de trop près .</t>
  </si>
  <si>
    <t>file://conllu/fr/doyle_bask.14.conllu#s322_0</t>
  </si>
  <si>
    <t>323</t>
  </si>
  <si>
    <t>répéter (répéter dire)</t>
  </si>
  <si>
    <t>Je l' ai dit à Londres , Watson , et je le répète ici à cette heure , nous n' avons jamais donné la chasse à un homme plus dangereux que celui qui gît là-bas .</t>
  </si>
  <si>
    <t>file://conllu/fr/doyle_bask.14.conllu#s323_0</t>
  </si>
  <si>
    <t>324</t>
  </si>
  <si>
    <t>file://conllu/fr/doyle_bask.14.conllu#s324_0</t>
  </si>
  <si>
    <t>325</t>
  </si>
  <si>
    <t>étendre</t>
  </si>
  <si>
    <t>En prononçant ces dernières paroles , Holmes étendit la main vers le grand espace moucheté de vert qui représentait la fondrière de Grimpen et qui s' étendait au à le loin jusqu' aux à les pentes sombres de la lande .</t>
  </si>
  <si>
    <t>file://conllu/fr/doyle_bask.14.conllu#s325_0</t>
  </si>
  <si>
    <t>WORD</t>
  </si>
  <si>
    <t>GR</t>
  </si>
  <si>
    <t>NP_TYPE</t>
  </si>
  <si>
    <t>REF_AUTO</t>
  </si>
  <si>
    <t>COREF</t>
  </si>
  <si>
    <t>REF</t>
  </si>
  <si>
    <t>IS</t>
  </si>
  <si>
    <t>CB</t>
  </si>
  <si>
    <t>GR_ANTE</t>
  </si>
  <si>
    <t>REF_DIST</t>
  </si>
  <si>
    <t>REF_DIST_ANTE</t>
  </si>
  <si>
    <t># text = Un des défauts de Sherlock Holmes --- si l'on peut appeler cela un défaut --- consistait en sa répugnance à communiquer ses projets à ceux qui devaient l'aider dans leur exécution.</t>
  </si>
  <si>
    <t>Un</t>
  </si>
  <si>
    <t>SBJ</t>
  </si>
  <si>
    <t>pron</t>
  </si>
  <si>
    <t>?OLD</t>
  </si>
  <si>
    <t>de</t>
  </si>
  <si>
    <t>les</t>
  </si>
  <si>
    <t>défauts</t>
  </si>
  <si>
    <t>other_2</t>
  </si>
  <si>
    <t>def-np.poss</t>
  </si>
  <si>
    <t>Sherlock</t>
  </si>
  <si>
    <t>other_3</t>
  </si>
  <si>
    <t>ne</t>
  </si>
  <si>
    <t>other_4</t>
  </si>
  <si>
    <t>si</t>
  </si>
  <si>
    <t>l'</t>
  </si>
  <si>
    <t>SBJ_2</t>
  </si>
  <si>
    <t>on</t>
  </si>
  <si>
    <t>peut</t>
  </si>
  <si>
    <t>appeler</t>
  </si>
  <si>
    <t>cela</t>
  </si>
  <si>
    <t>pron.pds</t>
  </si>
  <si>
    <t>un</t>
  </si>
  <si>
    <t>défaut</t>
  </si>
  <si>
    <t>OBJ_3</t>
  </si>
  <si>
    <t>indef-np.a</t>
  </si>
  <si>
    <t>consistait</t>
  </si>
  <si>
    <t>en</t>
  </si>
  <si>
    <t>sa</t>
  </si>
  <si>
    <t>pron.ppos</t>
  </si>
  <si>
    <t>répugnance</t>
  </si>
  <si>
    <t>other</t>
  </si>
  <si>
    <t>à</t>
  </si>
  <si>
    <t>communiquer</t>
  </si>
  <si>
    <t>ses</t>
  </si>
  <si>
    <t>projets</t>
  </si>
  <si>
    <t>OBJ_2</t>
  </si>
  <si>
    <t>ceux</t>
  </si>
  <si>
    <t>qui</t>
  </si>
  <si>
    <t>SBJ_4</t>
  </si>
  <si>
    <t>devaient</t>
  </si>
  <si>
    <t>OBJ_5</t>
  </si>
  <si>
    <t>pron.pper</t>
  </si>
  <si>
    <t>aider</t>
  </si>
  <si>
    <t>dans</t>
  </si>
  <si>
    <t>leur</t>
  </si>
  <si>
    <t>other_6</t>
  </si>
  <si>
    <t>exécution</t>
  </si>
  <si>
    <t>other_5</t>
  </si>
  <si>
    <t>.</t>
  </si>
  <si>
    <t># text = Il préférait attendre le dernier moment.</t>
  </si>
  <si>
    <t>Il</t>
  </si>
  <si>
    <t>préférait</t>
  </si>
  <si>
    <t>le</t>
  </si>
  <si>
    <t>dernier</t>
  </si>
  <si>
    <t>moment</t>
  </si>
  <si>
    <t>def-np.the</t>
  </si>
  <si>
    <t># text = J'attribue cette retenue, partie à son caractère impérieux qui le portait à dominer et à surprendre ses amis, et partie aussi à sa méfiance professionnelle, qui le poussait à ne négliger aucune précaution.</t>
  </si>
  <si>
    <t>J'</t>
  </si>
  <si>
    <t>attribue</t>
  </si>
  <si>
    <t>cette</t>
  </si>
  <si>
    <t>retenue</t>
  </si>
  <si>
    <t>OBJ</t>
  </si>
  <si>
    <t>def-np.dem</t>
  </si>
  <si>
    <t>,</t>
  </si>
  <si>
    <t>partie</t>
  </si>
  <si>
    <t>indef-np.bare</t>
  </si>
  <si>
    <t>son</t>
  </si>
  <si>
    <t>caractère</t>
  </si>
  <si>
    <t>impérieux</t>
  </si>
  <si>
    <t>SBJ_3</t>
  </si>
  <si>
    <t>portait</t>
  </si>
  <si>
    <t>dominer</t>
  </si>
  <si>
    <t>et</t>
  </si>
  <si>
    <t>surprendre</t>
  </si>
  <si>
    <t>amis</t>
  </si>
  <si>
    <t>aussi</t>
  </si>
  <si>
    <t>méfiance</t>
  </si>
  <si>
    <t>professionnelle</t>
  </si>
  <si>
    <t>OBJ_4</t>
  </si>
  <si>
    <t>poussait</t>
  </si>
  <si>
    <t>négliger</t>
  </si>
  <si>
    <t>aucune</t>
  </si>
  <si>
    <t>précaution</t>
  </si>
  <si>
    <t>indef-np</t>
  </si>
  <si>
    <t># text = Le résultat n'en était pas moins fort désagréable pour ceux qui l'assistaient dans ses entreprises.</t>
  </si>
  <si>
    <t>Le</t>
  </si>
  <si>
    <t>résultat</t>
  </si>
  <si>
    <t>n'</t>
  </si>
  <si>
    <t>était</t>
  </si>
  <si>
    <t>pas</t>
  </si>
  <si>
    <t>moins</t>
  </si>
  <si>
    <t>fort</t>
  </si>
  <si>
    <t>désagréable</t>
  </si>
  <si>
    <t>pour</t>
  </si>
  <si>
    <t>assistaient</t>
  </si>
  <si>
    <t>entreprises</t>
  </si>
  <si>
    <t># text = Pour mon compte, j'en ai souvent souffert, mais jamais autant que pendant la longue course en voiture que nous fîmes, ce soir-là, dans l'obscurité.</t>
  </si>
  <si>
    <t>Pour</t>
  </si>
  <si>
    <t>mon</t>
  </si>
  <si>
    <t>compte</t>
  </si>
  <si>
    <t>j'</t>
  </si>
  <si>
    <t>ai</t>
  </si>
  <si>
    <t>souvent</t>
  </si>
  <si>
    <t>souffert</t>
  </si>
  <si>
    <t>mais</t>
  </si>
  <si>
    <t>jamais</t>
  </si>
  <si>
    <t>autant</t>
  </si>
  <si>
    <t>que</t>
  </si>
  <si>
    <t>pendant</t>
  </si>
  <si>
    <t>la</t>
  </si>
  <si>
    <t>longue</t>
  </si>
  <si>
    <t>course</t>
  </si>
  <si>
    <t>voiture</t>
  </si>
  <si>
    <t>nous</t>
  </si>
  <si>
    <t>fîmes</t>
  </si>
  <si>
    <t>ce</t>
  </si>
  <si>
    <t>soir</t>
  </si>
  <si>
    <t>-là</t>
  </si>
  <si>
    <t>obscurité</t>
  </si>
  <si>
    <t># text = Nous étions sur le point de tenter la suprême épreuve ;</t>
  </si>
  <si>
    <t>Nous</t>
  </si>
  <si>
    <t>étions</t>
  </si>
  <si>
    <t>sur</t>
  </si>
  <si>
    <t>point</t>
  </si>
  <si>
    <t>tenter</t>
  </si>
  <si>
    <t>suprême</t>
  </si>
  <si>
    <t>épreuve</t>
  </si>
  <si>
    <t>;</t>
  </si>
  <si>
    <t># text = nous allions enfin donner notre dernier effort, et Holmes ne nous avait encore rien dit.</t>
  </si>
  <si>
    <t>allions</t>
  </si>
  <si>
    <t>enfin</t>
  </si>
  <si>
    <t>donner</t>
  </si>
  <si>
    <t>notre</t>
  </si>
  <si>
    <t>effort</t>
  </si>
  <si>
    <t>avait</t>
  </si>
  <si>
    <t>encore</t>
  </si>
  <si>
    <t>rien</t>
  </si>
  <si>
    <t>dit</t>
  </si>
  <si>
    <t># text = À peine pouvais-je soupçonner ce qu'il comptait faire.</t>
  </si>
  <si>
    <t>À</t>
  </si>
  <si>
    <t>peine</t>
  </si>
  <si>
    <t>pouvais</t>
  </si>
  <si>
    <t>-je</t>
  </si>
  <si>
    <t>soupçonner</t>
  </si>
  <si>
    <t>qu'</t>
  </si>
  <si>
    <t>comptait</t>
  </si>
  <si>
    <t># text = Je frémis par anticipation, lorsque le vent glacial qui nous frappait le visage et les sombres espaces qui s'étendaient de chaque côté de l'étroite route m'apprirent que nous retournions de nouveau sur la lande.</t>
  </si>
  <si>
    <t>Je</t>
  </si>
  <si>
    <t>frémis</t>
  </si>
  <si>
    <t>par</t>
  </si>
  <si>
    <t>anticipation</t>
  </si>
  <si>
    <t>lorsque</t>
  </si>
  <si>
    <t>vent</t>
  </si>
  <si>
    <t>glacial</t>
  </si>
  <si>
    <t>frappait</t>
  </si>
  <si>
    <t>visage</t>
  </si>
  <si>
    <t>sombres</t>
  </si>
  <si>
    <t>espaces</t>
  </si>
  <si>
    <t>SBJ_7</t>
  </si>
  <si>
    <t>s'</t>
  </si>
  <si>
    <t>étendaient</t>
  </si>
  <si>
    <t>chaque</t>
  </si>
  <si>
    <t>côté</t>
  </si>
  <si>
    <t>other_7</t>
  </si>
  <si>
    <t>étroite</t>
  </si>
  <si>
    <t>route</t>
  </si>
  <si>
    <t>other_8</t>
  </si>
  <si>
    <t>m'</t>
  </si>
  <si>
    <t>apprirent</t>
  </si>
  <si>
    <t>retournions</t>
  </si>
  <si>
    <t>nouveau</t>
  </si>
  <si>
    <t>lande</t>
  </si>
  <si>
    <t># text = Chaque tour de roue, chaque foulée des chevaux nous rapprochaient davantage de notre ultime aventure.</t>
  </si>
  <si>
    <t>Chaque</t>
  </si>
  <si>
    <t>tour</t>
  </si>
  <si>
    <t>roue</t>
  </si>
  <si>
    <t>foulée</t>
  </si>
  <si>
    <t>chevaux</t>
  </si>
  <si>
    <t>rapprochaient</t>
  </si>
  <si>
    <t>davantage</t>
  </si>
  <si>
    <t>ultime</t>
  </si>
  <si>
    <t>aventure</t>
  </si>
  <si>
    <t># text = La présence du conducteur s'opposait à toute espèce de conversation intéressante, et nous ne parlâmes que de choses insignifiantes, alors que nos nerfs vibraient sous le coup de l'émotion et de l'attente.</t>
  </si>
  <si>
    <t>La</t>
  </si>
  <si>
    <t>présence</t>
  </si>
  <si>
    <t>conducteur</t>
  </si>
  <si>
    <t>opposait</t>
  </si>
  <si>
    <t>toute</t>
  </si>
  <si>
    <t>espèce</t>
  </si>
  <si>
    <t>conversation</t>
  </si>
  <si>
    <t>intéressante</t>
  </si>
  <si>
    <t>parlâmes</t>
  </si>
  <si>
    <t>choses</t>
  </si>
  <si>
    <t>insignifiantes</t>
  </si>
  <si>
    <t>alors</t>
  </si>
  <si>
    <t>nos</t>
  </si>
  <si>
    <t>nerfs</t>
  </si>
  <si>
    <t>vibraient</t>
  </si>
  <si>
    <t>sous</t>
  </si>
  <si>
    <t>coup</t>
  </si>
  <si>
    <t>émotion</t>
  </si>
  <si>
    <t>attente</t>
  </si>
  <si>
    <t># text = Après cette longue contrainte, je me sentis soulagé à la vue de la maison de Frankland et en reconnaissant que nous nous dirigions vers le château.</t>
  </si>
  <si>
    <t>Après</t>
  </si>
  <si>
    <t>contrainte</t>
  </si>
  <si>
    <t>je</t>
  </si>
  <si>
    <t>me</t>
  </si>
  <si>
    <t>sentis</t>
  </si>
  <si>
    <t>soulagé</t>
  </si>
  <si>
    <t>vue</t>
  </si>
  <si>
    <t>maison</t>
  </si>
  <si>
    <t>Frankland</t>
  </si>
  <si>
    <t>reconnaissant</t>
  </si>
  <si>
    <t>dirigions</t>
  </si>
  <si>
    <t>vers</t>
  </si>
  <si>
    <t>château</t>
  </si>
  <si>
    <t># text = Au lieu de nous arrêter à l'entrée principale, nous poussâmes jusqu'à la porte de l'avenue.</t>
  </si>
  <si>
    <t>lieu</t>
  </si>
  <si>
    <t>arrêter</t>
  </si>
  <si>
    <t>entrée</t>
  </si>
  <si>
    <t>principale</t>
  </si>
  <si>
    <t>poussâmes</t>
  </si>
  <si>
    <t>jusqu'</t>
  </si>
  <si>
    <t>porte</t>
  </si>
  <si>
    <t>avenue</t>
  </si>
  <si>
    <t># text = Là, Sherlock Holmes paya le cocher, et lui ordonna de retourner sur-le-champ à Coombe Tracey.</t>
  </si>
  <si>
    <t>Là</t>
  </si>
  <si>
    <t>paya</t>
  </si>
  <si>
    <t>cocher</t>
  </si>
  <si>
    <t>lui</t>
  </si>
  <si>
    <t>ordonna</t>
  </si>
  <si>
    <t>sur-le-champ</t>
  </si>
  <si>
    <t>Coombe</t>
  </si>
  <si>
    <t>Tracey</t>
  </si>
  <si>
    <t># text = Nous nous acheminâmes vers Merripit house.</t>
  </si>
  <si>
    <t>acheminâmes</t>
  </si>
  <si>
    <t>Merripit</t>
  </si>
  <si>
    <t>house</t>
  </si>
  <si>
    <t># text = « Êtes-vous armé, Lestrade ? » demanda mon ami.</t>
  </si>
  <si>
    <t>«</t>
  </si>
  <si>
    <t>Êtes-vous</t>
  </si>
  <si>
    <t>armé</t>
  </si>
  <si>
    <t>Lestrade</t>
  </si>
  <si>
    <t>?</t>
  </si>
  <si>
    <t>demanda</t>
  </si>
  <si>
    <t>ami</t>
  </si>
  <si>
    <t># text = Le petit détective sourit.</t>
  </si>
  <si>
    <t>petit</t>
  </si>
  <si>
    <t>sourit</t>
  </si>
  <si>
    <t># text = « Tant que j'aurai un pantalon, dit-il, j'y ferai coudre une poche-revolver, et aussi longtemps que j'aurai une poche-revolver, il se trouvera quelque chose dedans.</t>
  </si>
  <si>
    <t>Tant</t>
  </si>
  <si>
    <t>aurai</t>
  </si>
  <si>
    <t>pantalon</t>
  </si>
  <si>
    <t>-il</t>
  </si>
  <si>
    <t>y</t>
  </si>
  <si>
    <t>ferai</t>
  </si>
  <si>
    <t>coudre</t>
  </si>
  <si>
    <t>une</t>
  </si>
  <si>
    <t>poche-revolver</t>
  </si>
  <si>
    <t>longtemps</t>
  </si>
  <si>
    <t>se</t>
  </si>
  <si>
    <t>trouvera</t>
  </si>
  <si>
    <t>quelque</t>
  </si>
  <si>
    <t>dedans</t>
  </si>
  <si>
    <t># text = --- Bien.</t>
  </si>
  <si>
    <t>Bien</t>
  </si>
  <si>
    <t># text = Nous sommes également prêts pour toute éventualité, Watson et moi.</t>
  </si>
  <si>
    <t>sommes</t>
  </si>
  <si>
    <t>également</t>
  </si>
  <si>
    <t>prêts</t>
  </si>
  <si>
    <t>éventualité</t>
  </si>
  <si>
    <t>Watson</t>
  </si>
  <si>
    <t>moi</t>
  </si>
  <si>
    <t># text = --- Vous êtes peu communicatif, monsieur Holmes, reprit Lestrade.</t>
  </si>
  <si>
    <t>Vous</t>
  </si>
  <si>
    <t>êtes</t>
  </si>
  <si>
    <t>peu</t>
  </si>
  <si>
    <t>communicatif</t>
  </si>
  <si>
    <t>monsieur</t>
  </si>
  <si>
    <t>reprit</t>
  </si>
  <si>
    <t># text = Qu'allons-nous faire ?</t>
  </si>
  <si>
    <t>Qu'</t>
  </si>
  <si>
    <t>pron.pint</t>
  </si>
  <si>
    <t>allons</t>
  </si>
  <si>
    <t>-nous</t>
  </si>
  <si>
    <t># text = --- Attendre.</t>
  </si>
  <si>
    <t>Attendre</t>
  </si>
  <si>
    <t># text = --- Vrai !</t>
  </si>
  <si>
    <t>Vrai</t>
  </si>
  <si>
    <t>!</t>
  </si>
  <si>
    <t># text = l'endroit ne me semble pas folâtre, fit le détective, en frissonnant à l'aspect des pentes sombres de la colline et de l'immense voile de brouillard qui recouvrait la grande fondrière de Grimpen.</t>
  </si>
  <si>
    <t>endroit</t>
  </si>
  <si>
    <t>semble</t>
  </si>
  <si>
    <t>folâtre</t>
  </si>
  <si>
    <t>fit</t>
  </si>
  <si>
    <t>frissonnant</t>
  </si>
  <si>
    <t>aspect</t>
  </si>
  <si>
    <t>pentes</t>
  </si>
  <si>
    <t>colline</t>
  </si>
  <si>
    <t>immense</t>
  </si>
  <si>
    <t>voile</t>
  </si>
  <si>
    <t>brouillard</t>
  </si>
  <si>
    <t>SBJ_5</t>
  </si>
  <si>
    <t>recouvrait</t>
  </si>
  <si>
    <t>grande</t>
  </si>
  <si>
    <t>fondrière</t>
  </si>
  <si>
    <t>Grimpen</t>
  </si>
  <si>
    <t># text = Je crois apercevoir devant nous les lumières d'une maison.</t>
  </si>
  <si>
    <t>crois</t>
  </si>
  <si>
    <t>apercevoir</t>
  </si>
  <si>
    <t>devant</t>
  </si>
  <si>
    <t>lumières</t>
  </si>
  <si>
    <t>d'</t>
  </si>
  <si>
    <t># text = ---</t>
  </si>
  <si>
    <t># text = C'est Merripit house, le terme de notre voyage, murmura Holmes.</t>
  </si>
  <si>
    <t>C'</t>
  </si>
  <si>
    <t>est</t>
  </si>
  <si>
    <t>terme</t>
  </si>
  <si>
    <t>voyage</t>
  </si>
  <si>
    <t># text = Je vous enjoins de marcher sur la pointe des pieds et de ne parler qu'à voix très basse.</t>
  </si>
  <si>
    <t>vous</t>
  </si>
  <si>
    <t>enjoins</t>
  </si>
  <si>
    <t>marcher</t>
  </si>
  <si>
    <t>pointe</t>
  </si>
  <si>
    <t>pieds</t>
  </si>
  <si>
    <t>voix</t>
  </si>
  <si>
    <t>très</t>
  </si>
  <si>
    <t>basse</t>
  </si>
  <si>
    <t># text = »</t>
  </si>
  <si>
    <t># text = Nous suivîmes le sentier qui conduisait à la demeure des Stapleton ; mais, à deux cents mètres d'elle, Holmes fit halte.</t>
  </si>
  <si>
    <t>suivîmes</t>
  </si>
  <si>
    <t>conduisait</t>
  </si>
  <si>
    <t>demeure</t>
  </si>
  <si>
    <t>Stapleton</t>
  </si>
  <si>
    <t>deux</t>
  </si>
  <si>
    <t>cents</t>
  </si>
  <si>
    <t>mètres</t>
  </si>
  <si>
    <t>elle</t>
  </si>
  <si>
    <t>halte</t>
  </si>
  <si>
    <t># text = « Cela suffit, dit-il.</t>
  </si>
  <si>
    <t>Cela</t>
  </si>
  <si>
    <t>suffit</t>
  </si>
  <si>
    <t># text = Ces rochers, à droite, nous serviront d'abri.</t>
  </si>
  <si>
    <t>Ces</t>
  </si>
  <si>
    <t>rochers</t>
  </si>
  <si>
    <t>droite</t>
  </si>
  <si>
    <t>serviront</t>
  </si>
  <si>
    <t>abri</t>
  </si>
  <si>
    <t># text = --- C'est ici que nous devons attendre ? demanda Lestrade.</t>
  </si>
  <si>
    <t>ici</t>
  </si>
  <si>
    <t>devons</t>
  </si>
  <si>
    <t># text = --- Oui.</t>
  </si>
  <si>
    <t>Oui</t>
  </si>
  <si>
    <t># text = Nous allons nous mettre en embuscade ici.</t>
  </si>
  <si>
    <t>mettre</t>
  </si>
  <si>
    <t>embuscade</t>
  </si>
  <si>
    <t># text = Placez-vous dans ce creux, Lestrade.</t>
  </si>
  <si>
    <t>Placez</t>
  </si>
  <si>
    <t>-vous</t>
  </si>
  <si>
    <t>creux</t>
  </si>
  <si>
    <t># text = Vous, Watson, vous avez pénétré dans la maison, n'est-ce pas ?</t>
  </si>
  <si>
    <t>avez</t>
  </si>
  <si>
    <t>pénétré</t>
  </si>
  <si>
    <t>-ce</t>
  </si>
  <si>
    <t># text = Pouvez-vous m'indiquer la situation des pièces ?</t>
  </si>
  <si>
    <t>Pouvez</t>
  </si>
  <si>
    <t>situation</t>
  </si>
  <si>
    <t>pièces</t>
  </si>
  <si>
    <t># text = Qu'y a-t-il derrière ces fenêtres grillées, de ce côté ?</t>
  </si>
  <si>
    <t>a</t>
  </si>
  <si>
    <t>-t</t>
  </si>
  <si>
    <t>derrière</t>
  </si>
  <si>
    <t>ces</t>
  </si>
  <si>
    <t>fenêtres</t>
  </si>
  <si>
    <t>grillées</t>
  </si>
  <si>
    <t># text = --- Les cuisines probablement.</t>
  </si>
  <si>
    <t>---</t>
  </si>
  <si>
    <t>Les</t>
  </si>
  <si>
    <t>cuisines</t>
  </si>
  <si>
    <t>probablement</t>
  </si>
  <si>
    <t># text = --- Et plus loin, celles, qui sont si brillamment éclairées ?</t>
  </si>
  <si>
    <t>Et</t>
  </si>
  <si>
    <t>plus</t>
  </si>
  <si>
    <t>loin</t>
  </si>
  <si>
    <t>celles</t>
  </si>
  <si>
    <t>sont</t>
  </si>
  <si>
    <t>brillamment</t>
  </si>
  <si>
    <t>éclairées</t>
  </si>
  <si>
    <t># text = --- La salle à manger.</t>
  </si>
  <si>
    <t>manger</t>
  </si>
  <si>
    <t># text = --- Les stores sont levés.</t>
  </si>
  <si>
    <t>stores</t>
  </si>
  <si>
    <t>levés</t>
  </si>
  <si>
    <t># text = Vous connaissez mieux le terrain...</t>
  </si>
  <si>
    <t>connaissez</t>
  </si>
  <si>
    <t>mieux</t>
  </si>
  <si>
    <t>terrain</t>
  </si>
  <si>
    <t>...</t>
  </si>
  <si>
    <t># text = Rampez sans bruit et voyez ce qui s'y passe....</t>
  </si>
  <si>
    <t>Rampez</t>
  </si>
  <si>
    <t>sans</t>
  </si>
  <si>
    <t>bruit</t>
  </si>
  <si>
    <t>voyez</t>
  </si>
  <si>
    <t>passe</t>
  </si>
  <si>
    <t>....</t>
  </si>
  <si>
    <t># text = Mais au nom du ciel, que Stapleton ne se doute pas qu'on le surveille.</t>
  </si>
  <si>
    <t>Mais</t>
  </si>
  <si>
    <t>nom</t>
  </si>
  <si>
    <t>ciel</t>
  </si>
  <si>
    <t>doute</t>
  </si>
  <si>
    <t>surveille</t>
  </si>
  <si>
    <t># text = Sur la pointe des pieds, je m'avançai dans le sentier et je parvins au petit mur qui entourait le verger.</t>
  </si>
  <si>
    <t>Sur</t>
  </si>
  <si>
    <t>avançai</t>
  </si>
  <si>
    <t>parvins</t>
  </si>
  <si>
    <t>mur</t>
  </si>
  <si>
    <t>entourait</t>
  </si>
  <si>
    <t>verger</t>
  </si>
  <si>
    <t># text = À la faveur de cet abri, je me glissai jusqu'à un endroit d'où je pus apercevoir l'intérieur de la pièce.</t>
  </si>
  <si>
    <t>faveur</t>
  </si>
  <si>
    <t>cet</t>
  </si>
  <si>
    <t>glissai</t>
  </si>
  <si>
    <t>où</t>
  </si>
  <si>
    <t>pus</t>
  </si>
  <si>
    <t>intérieur</t>
  </si>
  <si>
    <t>pièce</t>
  </si>
  <si>
    <t># text = Deux hommes étaient assis en face l'un de l'autre : sir Henry et Stapleton.</t>
  </si>
  <si>
    <t>Deux</t>
  </si>
  <si>
    <t>hommes</t>
  </si>
  <si>
    <t>indef-np.quant</t>
  </si>
  <si>
    <t>étaient</t>
  </si>
  <si>
    <t>assis</t>
  </si>
  <si>
    <t>face</t>
  </si>
  <si>
    <t>autre</t>
  </si>
  <si>
    <t>:</t>
  </si>
  <si>
    <t>sir</t>
  </si>
  <si>
    <t>Henry</t>
  </si>
  <si>
    <t># text = Je distinguais nettement leur profil.</t>
  </si>
  <si>
    <t>nettement</t>
  </si>
  <si>
    <t>profil</t>
  </si>
  <si>
    <t># text = Ils fumaient.</t>
  </si>
  <si>
    <t>Ils</t>
  </si>
  <si>
    <t>fumaient</t>
  </si>
  <si>
    <t># text = Du café et des liqueurs se trouvaient devant eux, sur la table.</t>
  </si>
  <si>
    <t>De</t>
  </si>
  <si>
    <t>café</t>
  </si>
  <si>
    <t>liqueurs</t>
  </si>
  <si>
    <t>trouvaient</t>
  </si>
  <si>
    <t>eux</t>
  </si>
  <si>
    <t>table</t>
  </si>
  <si>
    <t># text = Stapleton parlait avec animation ;</t>
  </si>
  <si>
    <t>parlait</t>
  </si>
  <si>
    <t>avec</t>
  </si>
  <si>
    <t>animation</t>
  </si>
  <si>
    <t># text = le baronnet semblait pâle et distrait.</t>
  </si>
  <si>
    <t>baronnet</t>
  </si>
  <si>
    <t>semblait</t>
  </si>
  <si>
    <t>pâle</t>
  </si>
  <si>
    <t>distrait</t>
  </si>
  <si>
    <t># text = La longue promenade nocturne qu'il devrait faire sur cette lande maudite assombrissait peut-être ses pensées.</t>
  </si>
  <si>
    <t>promenade</t>
  </si>
  <si>
    <t>nocturne</t>
  </si>
  <si>
    <t>devrait</t>
  </si>
  <si>
    <t>maudite</t>
  </si>
  <si>
    <t>assombrissait</t>
  </si>
  <si>
    <t>peut-être</t>
  </si>
  <si>
    <t>pensées</t>
  </si>
  <si>
    <t># text = Un instant, Stapleton se leva et sortit.</t>
  </si>
  <si>
    <t>instant</t>
  </si>
  <si>
    <t>leva</t>
  </si>
  <si>
    <t>sortit</t>
  </si>
  <si>
    <t># text = Sir Henry remplit son verre, s'enfonça dans son fauteuil et souffla vers le plafond la fumée de son cigare.</t>
  </si>
  <si>
    <t>Sir</t>
  </si>
  <si>
    <t>remplit</t>
  </si>
  <si>
    <t>verre</t>
  </si>
  <si>
    <t>enfonça</t>
  </si>
  <si>
    <t>fauteuil</t>
  </si>
  <si>
    <t>souffla</t>
  </si>
  <si>
    <t>plafond</t>
  </si>
  <si>
    <t>fumée</t>
  </si>
  <si>
    <t>cigare</t>
  </si>
  <si>
    <t># text = J'entendis le grincement d'une porte et le craquement d'une chaussure sur le gravier.</t>
  </si>
  <si>
    <t>entendis</t>
  </si>
  <si>
    <t>grincement</t>
  </si>
  <si>
    <t>craquement</t>
  </si>
  <si>
    <t>chaussure</t>
  </si>
  <si>
    <t>gravier</t>
  </si>
  <si>
    <t># text = Les pas suivaient l'allée qui borde le mur derrière lequel j'étais accroupi.</t>
  </si>
  <si>
    <t>suivaient</t>
  </si>
  <si>
    <t>allée</t>
  </si>
  <si>
    <t>borde</t>
  </si>
  <si>
    <t>lequel</t>
  </si>
  <si>
    <t>étais</t>
  </si>
  <si>
    <t>accroupi</t>
  </si>
  <si>
    <t># text = Je risquai un œil et je vis le naturaliste s'arrêter à la porte d'un pavillon construit dans un coin du verger.</t>
  </si>
  <si>
    <t>risquai</t>
  </si>
  <si>
    <t>œil</t>
  </si>
  <si>
    <t>naturaliste</t>
  </si>
  <si>
    <t>pavillon</t>
  </si>
  <si>
    <t>construit</t>
  </si>
  <si>
    <t>coin</t>
  </si>
  <si>
    <t># text = Une clef tourna dans la serrure et, comme Stapleton pénétrait dans le réduit, je perçus un bruit singulier, semblable au claquement d'une lanière de fouet.</t>
  </si>
  <si>
    <t>Une</t>
  </si>
  <si>
    <t>clef</t>
  </si>
  <si>
    <t>tourna</t>
  </si>
  <si>
    <t>serrure</t>
  </si>
  <si>
    <t>comme</t>
  </si>
  <si>
    <t>pénétrait</t>
  </si>
  <si>
    <t>réduit</t>
  </si>
  <si>
    <t>perçus</t>
  </si>
  <si>
    <t>singulier</t>
  </si>
  <si>
    <t>semblable</t>
  </si>
  <si>
    <t>claquement</t>
  </si>
  <si>
    <t>lanière</t>
  </si>
  <si>
    <t>fouet</t>
  </si>
  <si>
    <t># text = Stapleton ne resta pas enfermé plus d'une minute.</t>
  </si>
  <si>
    <t>resta</t>
  </si>
  <si>
    <t>enfermé</t>
  </si>
  <si>
    <t>minute</t>
  </si>
  <si>
    <t># text = La clef tourna de nouveau ; il repassa devant moi et rentra dans la maison.</t>
  </si>
  <si>
    <t>repassa</t>
  </si>
  <si>
    <t>rentra</t>
  </si>
  <si>
    <t># text = Quand il eut rejoint son hôte, je revins doucement auprès de mes compagnons auxquels je racontai ce dont j'avais été témoin.</t>
  </si>
  <si>
    <t>Quand</t>
  </si>
  <si>
    <t>eut</t>
  </si>
  <si>
    <t>rejoint</t>
  </si>
  <si>
    <t>hôte</t>
  </si>
  <si>
    <t>doucement</t>
  </si>
  <si>
    <t>auprès</t>
  </si>
  <si>
    <t>mes</t>
  </si>
  <si>
    <t>compagnons</t>
  </si>
  <si>
    <t>lesquels</t>
  </si>
  <si>
    <t>racontai</t>
  </si>
  <si>
    <t>dont</t>
  </si>
  <si>
    <t>SBJ_6</t>
  </si>
  <si>
    <t>avais</t>
  </si>
  <si>
    <t>été</t>
  </si>
  <si>
    <t>témoin</t>
  </si>
  <si>
    <t># text = « Vous dites donc, Watson, que la dame n'est pas là ?</t>
  </si>
  <si>
    <t>dites</t>
  </si>
  <si>
    <t>donc</t>
  </si>
  <si>
    <t>dame</t>
  </si>
  <si>
    <t>là</t>
  </si>
  <si>
    <t># text = me demanda Holmes, lorsque j'eus terminé mon rapport.</t>
  </si>
  <si>
    <t>eus</t>
  </si>
  <si>
    <t>terminé</t>
  </si>
  <si>
    <t>rapport</t>
  </si>
  <si>
    <t># text = --- Non.</t>
  </si>
  <si>
    <t>Non</t>
  </si>
  <si>
    <t># text = --- Où peut-elle être, puisque, sauf celles de la cuisine, toutes les autres fenêtres sont plongées dans l'obscurité ?</t>
  </si>
  <si>
    <t>Où</t>
  </si>
  <si>
    <t>-elle</t>
  </si>
  <si>
    <t>puisque</t>
  </si>
  <si>
    <t>sauf</t>
  </si>
  <si>
    <t>toutes</t>
  </si>
  <si>
    <t>autres</t>
  </si>
  <si>
    <t>plongées</t>
  </si>
  <si>
    <t># text = --- Je l'ignore.</t>
  </si>
  <si>
    <t>ignore</t>
  </si>
  <si>
    <t># text = J'ai dit qu'au-dessus de la grande fondrière de Grimpen s'étendait un voile de brouillard, épais et blanchâtre.</t>
  </si>
  <si>
    <t>au-dessus</t>
  </si>
  <si>
    <t>étendait</t>
  </si>
  <si>
    <t>épais</t>
  </si>
  <si>
    <t>blanchâtre</t>
  </si>
  <si>
    <t># text = Lentement, comme un mur mobile, bas, mais épais, il se rapprochait de nous.</t>
  </si>
  <si>
    <t>Lentement</t>
  </si>
  <si>
    <t>mobile</t>
  </si>
  <si>
    <t>bas</t>
  </si>
  <si>
    <t>rapprochait</t>
  </si>
  <si>
    <t># text = La lune l'éclairait, lui donnant, avec la cime des pics éloignés qui émergeaient de sa surface, l'aspect d'une gigantesque banquise.</t>
  </si>
  <si>
    <t>lune</t>
  </si>
  <si>
    <t>donnant</t>
  </si>
  <si>
    <t>cime</t>
  </si>
  <si>
    <t>pics</t>
  </si>
  <si>
    <t>éloignés</t>
  </si>
  <si>
    <t>émergeaient</t>
  </si>
  <si>
    <t>surface</t>
  </si>
  <si>
    <t>gigantesque</t>
  </si>
  <si>
    <t>banquise</t>
  </si>
  <si>
    <t># text = Holmes se tourna de ce côté et laissa échapper quelques paroles d'impatience, arrachées sans doute par la marche lente --- mais continue --- du brouillard.</t>
  </si>
  <si>
    <t>laissa</t>
  </si>
  <si>
    <t>échapper</t>
  </si>
  <si>
    <t>quelques</t>
  </si>
  <si>
    <t>paroles</t>
  </si>
  <si>
    <t>impatience</t>
  </si>
  <si>
    <t>arrachées</t>
  </si>
  <si>
    <t>marche</t>
  </si>
  <si>
    <t>lente</t>
  </si>
  <si>
    <t>continue</t>
  </si>
  <si>
    <t># text = « Il va nous gagner, Watson, fit-il, en me le désignant d'un geste.</t>
  </si>
  <si>
    <t>va</t>
  </si>
  <si>
    <t>gagner</t>
  </si>
  <si>
    <t>désignant</t>
  </si>
  <si>
    <t>geste</t>
  </si>
  <si>
    <t># text = --- Est-ce un contretemps fâcheux ?</t>
  </si>
  <si>
    <t>Est</t>
  </si>
  <si>
    <t>contretemps</t>
  </si>
  <si>
    <t># text = --- Très fâcheux....</t>
  </si>
  <si>
    <t>Très</t>
  </si>
  <si>
    <t># text = La seule chose au monde qui pût déranger mes combinaisons....</t>
  </si>
  <si>
    <t>seule</t>
  </si>
  <si>
    <t>monde</t>
  </si>
  <si>
    <t>pût</t>
  </si>
  <si>
    <t>déranger</t>
  </si>
  <si>
    <t>combinaisons</t>
  </si>
  <si>
    <t># text = Sir Henry ne tardera pas à partir maintenant !...</t>
  </si>
  <si>
    <t>tardera</t>
  </si>
  <si>
    <t>partir</t>
  </si>
  <si>
    <t>maintenant</t>
  </si>
  <si>
    <t># text = Il est déjà dix heures.... Notre succès --- et même sa vie à lui --- dépendent de sa sortie, avant que le brouillard ait atteint ce sentier.</t>
  </si>
  <si>
    <t>déjà</t>
  </si>
  <si>
    <t>dix</t>
  </si>
  <si>
    <t>heures</t>
  </si>
  <si>
    <t>Notre</t>
  </si>
  <si>
    <t>succès</t>
  </si>
  <si>
    <t>même</t>
  </si>
  <si>
    <t>vie</t>
  </si>
  <si>
    <t>dépendent</t>
  </si>
  <si>
    <t>sortie</t>
  </si>
  <si>
    <t>avant</t>
  </si>
  <si>
    <t>ait</t>
  </si>
  <si>
    <t>atteint</t>
  </si>
  <si>
    <t># text = Au-dessus de nos têtes, la nuit était calme et sereine.</t>
  </si>
  <si>
    <t>Au-dessus</t>
  </si>
  <si>
    <t>têtes</t>
  </si>
  <si>
    <t>nuit</t>
  </si>
  <si>
    <t>calme</t>
  </si>
  <si>
    <t>sereine</t>
  </si>
  <si>
    <t># text = Les étoiles scintillaient, pareilles à des clous d'or fixés sur la voûte céleste, et la lune baignait tout le paysage d'une lumière douce et incertaine.</t>
  </si>
  <si>
    <t>étoiles</t>
  </si>
  <si>
    <t>scintillaient</t>
  </si>
  <si>
    <t>pareilles</t>
  </si>
  <si>
    <t>clous</t>
  </si>
  <si>
    <t>or</t>
  </si>
  <si>
    <t>fixés</t>
  </si>
  <si>
    <t>voûte</t>
  </si>
  <si>
    <t>céleste</t>
  </si>
  <si>
    <t>baignait</t>
  </si>
  <si>
    <t>tout</t>
  </si>
  <si>
    <t>paysage</t>
  </si>
  <si>
    <t>lumière</t>
  </si>
  <si>
    <t>douce</t>
  </si>
  <si>
    <t>incertaine</t>
  </si>
  <si>
    <t># text = Devant nous se détachait la masse sombre de la maison dont les toits dentelés, hérissés de cheminées, se profilaient sur un ciel teinté d'argent.</t>
  </si>
  <si>
    <t>Devant</t>
  </si>
  <si>
    <t>détachait</t>
  </si>
  <si>
    <t>masse</t>
  </si>
  <si>
    <t>sombre</t>
  </si>
  <si>
    <t>toits</t>
  </si>
  <si>
    <t>dentelés</t>
  </si>
  <si>
    <t>hérissés</t>
  </si>
  <si>
    <t>cheminées</t>
  </si>
  <si>
    <t>profilaient</t>
  </si>
  <si>
    <t>teinté</t>
  </si>
  <si>
    <t>argent</t>
  </si>
  <si>
    <t># text = De larges traînées lumineuses, partant des fenêtres du rez-de-chaussée, s'allongeaient sur le verger et jusque sur la lande.</t>
  </si>
  <si>
    <t>larges</t>
  </si>
  <si>
    <t>traînées</t>
  </si>
  <si>
    <t>lumineuses</t>
  </si>
  <si>
    <t>partant</t>
  </si>
  <si>
    <t>rez-de-chaussée</t>
  </si>
  <si>
    <t>allongeaient</t>
  </si>
  <si>
    <t>jusque</t>
  </si>
  <si>
    <t># text = L'une d'elles s'éteignit subitement.</t>
  </si>
  <si>
    <t>L'</t>
  </si>
  <si>
    <t>elles</t>
  </si>
  <si>
    <t>éteignit</t>
  </si>
  <si>
    <t>subitement</t>
  </si>
  <si>
    <t># text = Les domestiques venaient de quitter la cuisine.</t>
  </si>
  <si>
    <t>domestiques</t>
  </si>
  <si>
    <t>venaient</t>
  </si>
  <si>
    <t>quitter</t>
  </si>
  <si>
    <t># text = Il ne resta plus que la lampe de la salle à manger où les deux hommes, le maître de céans aux pensées sanguinaires et le convive inconscient du danger qui le menaçait, continuaient à causer en fumant leur cigare.</t>
  </si>
  <si>
    <t>lampe</t>
  </si>
  <si>
    <t>maître</t>
  </si>
  <si>
    <t>céans</t>
  </si>
  <si>
    <t>sanguinaires</t>
  </si>
  <si>
    <t>convive</t>
  </si>
  <si>
    <t>inconscient</t>
  </si>
  <si>
    <t>danger</t>
  </si>
  <si>
    <t>OBJ_6</t>
  </si>
  <si>
    <t>menaçait</t>
  </si>
  <si>
    <t>continuaient</t>
  </si>
  <si>
    <t>causer</t>
  </si>
  <si>
    <t>fumant</t>
  </si>
  <si>
    <t># text = De minute en minute, le voile opaque qui recouvrait la lande se rapprochait davantage de la demeure de Stapleton.</t>
  </si>
  <si>
    <t>opaque</t>
  </si>
  <si>
    <t># text = Déjà les légers flocons d'ouate, avant-coureurs de la brume, s'enroulaient autour du rayon de lumière projeté par la fenêtre illuminée.</t>
  </si>
  <si>
    <t>Déjà</t>
  </si>
  <si>
    <t>légers</t>
  </si>
  <si>
    <t>flocons</t>
  </si>
  <si>
    <t>ouate</t>
  </si>
  <si>
    <t>avant-coureurs</t>
  </si>
  <si>
    <t>brume</t>
  </si>
  <si>
    <t>enroulaient</t>
  </si>
  <si>
    <t>autour</t>
  </si>
  <si>
    <t>rayon</t>
  </si>
  <si>
    <t>projeté</t>
  </si>
  <si>
    <t>fenêtre</t>
  </si>
  <si>
    <t>illuminée</t>
  </si>
  <si>
    <t># text = Le mur du verger le plus éloigné de nous devenait invisible et les arbres disparaissaient presque derrière un nuage de vapeurs blanches.</t>
  </si>
  <si>
    <t>éloigné</t>
  </si>
  <si>
    <t>devenait</t>
  </si>
  <si>
    <t>invisible</t>
  </si>
  <si>
    <t>arbres</t>
  </si>
  <si>
    <t>disparaissaient</t>
  </si>
  <si>
    <t>presque</t>
  </si>
  <si>
    <t>nuage</t>
  </si>
  <si>
    <t>vapeurs</t>
  </si>
  <si>
    <t>blanches</t>
  </si>
  <si>
    <t># text = Bientôt des vagues de brouillard léchèrent les deux angles de la maison et se rejoignirent, la faisant ressembler à un vaisseau-fantôme qui voguerait sur une mer silencieuse.</t>
  </si>
  <si>
    <t>Bientôt</t>
  </si>
  <si>
    <t>vagues</t>
  </si>
  <si>
    <t>léchèrent</t>
  </si>
  <si>
    <t>angles</t>
  </si>
  <si>
    <t>rejoignirent</t>
  </si>
  <si>
    <t>faisant</t>
  </si>
  <si>
    <t>ressembler</t>
  </si>
  <si>
    <t>vaisseau-fantôme</t>
  </si>
  <si>
    <t>voguerait</t>
  </si>
  <si>
    <t>mer</t>
  </si>
  <si>
    <t>silencieuse</t>
  </si>
  <si>
    <t># text = Holmes crispa sa main sur le rocher qui nous cachait et frappa du pied dans un mouvement d'impatience.</t>
  </si>
  <si>
    <t>crispa</t>
  </si>
  <si>
    <t>main</t>
  </si>
  <si>
    <t>rocher</t>
  </si>
  <si>
    <t>cachait</t>
  </si>
  <si>
    <t>frappa</t>
  </si>
  <si>
    <t>pied</t>
  </si>
  <si>
    <t>mouvement</t>
  </si>
  <si>
    <t># text = « Si sir Henry n'est pas sorti avant un quart d'heure, dit-il, le sentier sera envahi à son tour.</t>
  </si>
  <si>
    <t>Si</t>
  </si>
  <si>
    <t>sorti</t>
  </si>
  <si>
    <t>quart</t>
  </si>
  <si>
    <t>heure</t>
  </si>
  <si>
    <t>sera</t>
  </si>
  <si>
    <t>envahi</t>
  </si>
  <si>
    <t># text = Dans une demi-heure, il nous sera impossible de distinguer notre main au bout de notre bras.</t>
  </si>
  <si>
    <t>Dans</t>
  </si>
  <si>
    <t>demi-heure</t>
  </si>
  <si>
    <t>impossible</t>
  </si>
  <si>
    <t>bout</t>
  </si>
  <si>
    <t>bras</t>
  </si>
  <si>
    <t># text = --- Si nous nous retirions jusqu'à l'endroit où le terrain se relève ? insinuai-je.</t>
  </si>
  <si>
    <t>retirions</t>
  </si>
  <si>
    <t>relève</t>
  </si>
  <si>
    <t>insinuai-je</t>
  </si>
  <si>
    <t># text = --- Oui, c'est préférable.</t>
  </si>
  <si>
    <t>c'</t>
  </si>
  <si>
    <t>préférable</t>
  </si>
  <si>
    <t># text = À mesure que cette inondation de brouillard nous gagnait, nous fuyions devant elle.</t>
  </si>
  <si>
    <t>mesure</t>
  </si>
  <si>
    <t>inondation</t>
  </si>
  <si>
    <t>gagnait</t>
  </si>
  <si>
    <t>fuyions</t>
  </si>
  <si>
    <t># text = Maintenant six cents mètres environ nous séparaient de la maison.</t>
  </si>
  <si>
    <t>Maintenant</t>
  </si>
  <si>
    <t>six</t>
  </si>
  <si>
    <t>environ</t>
  </si>
  <si>
    <t>séparaient</t>
  </si>
  <si>
    <t># text = Et ce flot inexorable, dont la lune argentait la crête, nous repoussait toujours.</t>
  </si>
  <si>
    <t>flot</t>
  </si>
  <si>
    <t>inexorable</t>
  </si>
  <si>
    <t>argentait</t>
  </si>
  <si>
    <t>crête</t>
  </si>
  <si>
    <t>repoussait</t>
  </si>
  <si>
    <t>toujours</t>
  </si>
  <si>
    <t># text = « Nous reculons trop, dit Holmes.</t>
  </si>
  <si>
    <t>reculons</t>
  </si>
  <si>
    <t>trop</t>
  </si>
  <si>
    <t># text = Nous ne devons pas courir la chance que le baronnet soit terrassé avant d'arriver jusqu'à nous.</t>
  </si>
  <si>
    <t>chance</t>
  </si>
  <si>
    <t>soit</t>
  </si>
  <si>
    <t>terrassé</t>
  </si>
  <si>
    <t># text = Restons où nous sommes, à tout prix.</t>
  </si>
  <si>
    <t>Restons</t>
  </si>
  <si>
    <t>prix</t>
  </si>
  <si>
    <t># text = » Mon ami se baissa et appliqua son oreille contre la terre.</t>
  </si>
  <si>
    <t>Mon</t>
  </si>
  <si>
    <t>baissa</t>
  </si>
  <si>
    <t>appliqua</t>
  </si>
  <si>
    <t>oreille</t>
  </si>
  <si>
    <t>contre</t>
  </si>
  <si>
    <t>terre</t>
  </si>
  <si>
    <t># text = « Merci, mon Dieu ! fit-il en se relevant,... il me semble que je l'entends venir !</t>
  </si>
  <si>
    <t>Merci</t>
  </si>
  <si>
    <t>relevant</t>
  </si>
  <si>
    <t>entends</t>
  </si>
  <si>
    <t># text = Un bruit de pas précipités rompit le silence de la lande.</t>
  </si>
  <si>
    <t>précipités</t>
  </si>
  <si>
    <t>rompit</t>
  </si>
  <si>
    <t>silence</t>
  </si>
  <si>
    <t># text = Blottis au milieu des pierres, nous regardions avec insistance la muraille floconneuse qui nous barrait la vue de la maison.</t>
  </si>
  <si>
    <t>Blottis</t>
  </si>
  <si>
    <t>milieu</t>
  </si>
  <si>
    <t>pierres</t>
  </si>
  <si>
    <t>regardions</t>
  </si>
  <si>
    <t>insistance</t>
  </si>
  <si>
    <t>muraille</t>
  </si>
  <si>
    <t>floconneuse</t>
  </si>
  <si>
    <t>barrait</t>
  </si>
  <si>
    <t># text = Les pas devinrent de plus en plus distincts et, du brouillard, sortit, comme d'un rideau, l'homme que nous attendions.</t>
  </si>
  <si>
    <t>devinrent</t>
  </si>
  <si>
    <t>distincts</t>
  </si>
  <si>
    <t>rideau</t>
  </si>
  <si>
    <t>homme</t>
  </si>
  <si>
    <t>attendions</t>
  </si>
  <si>
    <t># text = Dès qu'il se retrouva dans une atmosphère plus claire, il regarda autour de lui, surpris de la limpidité de la nuit.</t>
  </si>
  <si>
    <t>Dès</t>
  </si>
  <si>
    <t>retrouva</t>
  </si>
  <si>
    <t>atmosphère</t>
  </si>
  <si>
    <t>claire</t>
  </si>
  <si>
    <t>regarda</t>
  </si>
  <si>
    <t>surpris</t>
  </si>
  <si>
    <t>limpidité</t>
  </si>
  <si>
    <t># text = Rapidement, sir Henry descendit le sentier, passa tout près de l'endroit où nous étions tapis, et commença l'ascension de la colline qui se dressait derrière nous.</t>
  </si>
  <si>
    <t>Rapidement</t>
  </si>
  <si>
    <t>descendit</t>
  </si>
  <si>
    <t>passa</t>
  </si>
  <si>
    <t>près</t>
  </si>
  <si>
    <t>tapis</t>
  </si>
  <si>
    <t>commença</t>
  </si>
  <si>
    <t>ascension</t>
  </si>
  <si>
    <t>dressait</t>
  </si>
  <si>
    <t># text = Tout en marchant, il tournait à chaque instant la tête de côté et d'autre, comme un homme qui se sent mal à l'aise.</t>
  </si>
  <si>
    <t>Tout</t>
  </si>
  <si>
    <t>marchant</t>
  </si>
  <si>
    <t>tournait</t>
  </si>
  <si>
    <t>tête</t>
  </si>
  <si>
    <t>sent</t>
  </si>
  <si>
    <t>mal</t>
  </si>
  <si>
    <t>aise</t>
  </si>
  <si>
    <t># text = « Attention ! cria Holmes.</t>
  </si>
  <si>
    <t>Attention</t>
  </si>
  <si>
    <t># text = Gare à vous !</t>
  </si>
  <si>
    <t># text = je l'entends !</t>
  </si>
  <si>
    <t># text = » En même temps, je perçus le bruit sec d'un pistolet qu'on arme.</t>
  </si>
  <si>
    <t>En</t>
  </si>
  <si>
    <t>temps</t>
  </si>
  <si>
    <t>sec</t>
  </si>
  <si>
    <t>pistolet</t>
  </si>
  <si>
    <t>arme</t>
  </si>
  <si>
    <t># text = Il s'élevait du sein de cette mer de brume un bruit continu, semblable à un fouaillement.</t>
  </si>
  <si>
    <t>élevait</t>
  </si>
  <si>
    <t>sein</t>
  </si>
  <si>
    <t>continu</t>
  </si>
  <si>
    <t>fouaillement</t>
  </si>
  <si>
    <t># text = Les nuées ne se trouvaient plus qu'à cinquante mètres de nous et, tous trois, nous ne les perdions pas de vue, incertains de l'horreur qu'elles allaient nous vomir.</t>
  </si>
  <si>
    <t>nuées</t>
  </si>
  <si>
    <t>cinquante</t>
  </si>
  <si>
    <t>tous</t>
  </si>
  <si>
    <t>trois</t>
  </si>
  <si>
    <t>perdions</t>
  </si>
  <si>
    <t>incertains</t>
  </si>
  <si>
    <t>horreur</t>
  </si>
  <si>
    <t>allaient</t>
  </si>
  <si>
    <t>vomir</t>
  </si>
  <si>
    <t># text = Mon coude touchait celui d'Holmes, et, à ce moment, je levai la tête vers lui.</t>
  </si>
  <si>
    <t>coude</t>
  </si>
  <si>
    <t>touchait</t>
  </si>
  <si>
    <t>levai</t>
  </si>
  <si>
    <t># text = Il était pâle, mais exultant.</t>
  </si>
  <si>
    <t>exultant</t>
  </si>
  <si>
    <t># text = Ses yeux étincelaient, à la pâle clarté de la lune.</t>
  </si>
  <si>
    <t>Ses</t>
  </si>
  <si>
    <t>yeux</t>
  </si>
  <si>
    <t>étincelaient</t>
  </si>
  <si>
    <t>clarté</t>
  </si>
  <si>
    <t># text = Soudain, ils devinrent fixes et ses lèvres s'entr'ouvrirent d'étonnement.</t>
  </si>
  <si>
    <t>Soudain</t>
  </si>
  <si>
    <t>ils</t>
  </si>
  <si>
    <t>fixes</t>
  </si>
  <si>
    <t>lèvres</t>
  </si>
  <si>
    <t>entr'</t>
  </si>
  <si>
    <t>ouvrirent</t>
  </si>
  <si>
    <t>étonnement</t>
  </si>
  <si>
    <t># text = En même temps, Lestrade poussa un cri de terreur et se jeta la face contre terre.</t>
  </si>
  <si>
    <t>poussa</t>
  </si>
  <si>
    <t>cri</t>
  </si>
  <si>
    <t>terreur</t>
  </si>
  <si>
    <t>jeta</t>
  </si>
  <si>
    <t># text = Je sautai sur mes pieds.</t>
  </si>
  <si>
    <t>sautai</t>
  </si>
  <si>
    <t># text = Ma main inerte se noua sur la crosse de mon revolver ;</t>
  </si>
  <si>
    <t>Ma</t>
  </si>
  <si>
    <t>inerte</t>
  </si>
  <si>
    <t>noua</t>
  </si>
  <si>
    <t>crosse</t>
  </si>
  <si>
    <t>revolver</t>
  </si>
  <si>
    <t># text = je sentis mon cerveau se paralyser devant l'effrayante apparition qui venait de surgir des profondeurs du brouillard.</t>
  </si>
  <si>
    <t>cerveau</t>
  </si>
  <si>
    <t>paralyser</t>
  </si>
  <si>
    <t>effrayante</t>
  </si>
  <si>
    <t>apparition</t>
  </si>
  <si>
    <t>venait</t>
  </si>
  <si>
    <t>surgir</t>
  </si>
  <si>
    <t>profondeurs</t>
  </si>
  <si>
    <t># text = C'était un chien !</t>
  </si>
  <si>
    <t># text = un énorme chien noir, tel que les yeux des mortels n'en avaient jamais contemplé auparavant.</t>
  </si>
  <si>
    <t>énorme</t>
  </si>
  <si>
    <t>noir</t>
  </si>
  <si>
    <t>tel</t>
  </si>
  <si>
    <t>mortels</t>
  </si>
  <si>
    <t>avaient</t>
  </si>
  <si>
    <t>contemplé</t>
  </si>
  <si>
    <t>auparavant</t>
  </si>
  <si>
    <t># text = Sa gueule soufflait du feu ; ses prunelles luisaient comme des charbons ardents ;</t>
  </si>
  <si>
    <t>Sa</t>
  </si>
  <si>
    <t>gueule</t>
  </si>
  <si>
    <t>soufflait</t>
  </si>
  <si>
    <t>feu</t>
  </si>
  <si>
    <t>prunelles</t>
  </si>
  <si>
    <t>luisaient</t>
  </si>
  <si>
    <t>charbons</t>
  </si>
  <si>
    <t>ardents</t>
  </si>
  <si>
    <t># text = autour de ses babines et de ses crocs vacillaient des flammes.</t>
  </si>
  <si>
    <t>babines</t>
  </si>
  <si>
    <t>crocs</t>
  </si>
  <si>
    <t>vacillaient</t>
  </si>
  <si>
    <t>flammes</t>
  </si>
  <si>
    <t># text = Jamais les rêves les plus insensés d'un esprit en délire n'enfantèrent rien de plus sauvage, de plus terrifiant, de plus diabolique, que cette forme noire et cette face féroce qui s'étaient frayé un passage à travers le mur de brouillard.</t>
  </si>
  <si>
    <t>Jamais</t>
  </si>
  <si>
    <t>rêves</t>
  </si>
  <si>
    <t>insensés</t>
  </si>
  <si>
    <t>esprit</t>
  </si>
  <si>
    <t>délire</t>
  </si>
  <si>
    <t>enfantèrent</t>
  </si>
  <si>
    <t>sauvage</t>
  </si>
  <si>
    <t>terrifiant</t>
  </si>
  <si>
    <t>diabolique</t>
  </si>
  <si>
    <t>forme</t>
  </si>
  <si>
    <t>noire</t>
  </si>
  <si>
    <t>féroce</t>
  </si>
  <si>
    <t>frayé</t>
  </si>
  <si>
    <t>passage</t>
  </si>
  <si>
    <t>travers</t>
  </si>
  <si>
    <t># text = Avec des bonds énormes, ce fantastique animal flairait la piste de notre ami, le serrant de près.</t>
  </si>
  <si>
    <t>Avec</t>
  </si>
  <si>
    <t>bonds</t>
  </si>
  <si>
    <t>énormes</t>
  </si>
  <si>
    <t>fantastique</t>
  </si>
  <si>
    <t>animal</t>
  </si>
  <si>
    <t>flairait</t>
  </si>
  <si>
    <t>piste</t>
  </si>
  <si>
    <t>serrant</t>
  </si>
  <si>
    <t># text = Cette apparition nous hypnotisait à tel point, qu'elle nous avait déjà dépassés, lorsque nous revînmes à nous.</t>
  </si>
  <si>
    <t>Cette</t>
  </si>
  <si>
    <t>hypnotisait</t>
  </si>
  <si>
    <t>dépassés</t>
  </si>
  <si>
    <t>revînmes</t>
  </si>
  <si>
    <t># text = Holmes et moi fîmes feu simultanément.</t>
  </si>
  <si>
    <t>simultanément</t>
  </si>
  <si>
    <t># text = La bête hurla hideusement, ce qui nous prouva qu'au moins l'un de nous l'avait touchée.</t>
  </si>
  <si>
    <t>bête</t>
  </si>
  <si>
    <t>hurla</t>
  </si>
  <si>
    <t>hideusement</t>
  </si>
  <si>
    <t>prouva</t>
  </si>
  <si>
    <t>touchée</t>
  </si>
  <si>
    <t># text = Cependant elle bondit en avant et continua sa course.</t>
  </si>
  <si>
    <t>Cependant</t>
  </si>
  <si>
    <t>bondit</t>
  </si>
  <si>
    <t>continua</t>
  </si>
  <si>
    <t># text = Sir Henry s'était retourné.</t>
  </si>
  <si>
    <t>retourné</t>
  </si>
  <si>
    <t># text = Nous aperçûmes son visage décomposé et ses mains étendues en signe d'horreur devant cet être sans nom qui lui donnait la chasse.</t>
  </si>
  <si>
    <t>aperçûmes</t>
  </si>
  <si>
    <t>décomposé</t>
  </si>
  <si>
    <t>mains</t>
  </si>
  <si>
    <t>étendues</t>
  </si>
  <si>
    <t>signe</t>
  </si>
  <si>
    <t>donnait</t>
  </si>
  <si>
    <t>chasse</t>
  </si>
  <si>
    <t># text = Au cri de douleur du chien, toutes nos craintes s'évanouirent.</t>
  </si>
  <si>
    <t>douleur</t>
  </si>
  <si>
    <t>craintes</t>
  </si>
  <si>
    <t>évanouirent</t>
  </si>
  <si>
    <t># text = Il était mortel, puisque vulnérable, et, si nous l'avions blessé, nous pouvions également le tuer.</t>
  </si>
  <si>
    <t>mortel</t>
  </si>
  <si>
    <t>vulnérable</t>
  </si>
  <si>
    <t>avions</t>
  </si>
  <si>
    <t>blessé</t>
  </si>
  <si>
    <t>pouvions</t>
  </si>
  <si>
    <t># text = Je n'ai jamais vu courir un homme avec la rapidité que Sherlock Holmes déploya cette nuit-là.</t>
  </si>
  <si>
    <t>vu</t>
  </si>
  <si>
    <t>rapidité</t>
  </si>
  <si>
    <t>déploya</t>
  </si>
  <si>
    <t># text = Je suis réputé pour ma vitesse, mais il me devança avec autant de facilité que je dépassai moi-même le petit Lestrade.</t>
  </si>
  <si>
    <t>suis</t>
  </si>
  <si>
    <t>réputé</t>
  </si>
  <si>
    <t>ma</t>
  </si>
  <si>
    <t>vitesse</t>
  </si>
  <si>
    <t>devança</t>
  </si>
  <si>
    <t>facilité</t>
  </si>
  <si>
    <t>dépassai</t>
  </si>
  <si>
    <t>moi-même</t>
  </si>
  <si>
    <t># text = Tandis que nous volions sur les traces du chien, nous entendîmes plusieurs cris répétés de sir Henry, ainsi que l'aboiement furieux de la bête.</t>
  </si>
  <si>
    <t>Tandis</t>
  </si>
  <si>
    <t>volions</t>
  </si>
  <si>
    <t>traces</t>
  </si>
  <si>
    <t>entendîmes</t>
  </si>
  <si>
    <t>plusieurs</t>
  </si>
  <si>
    <t>cris</t>
  </si>
  <si>
    <t>répétés</t>
  </si>
  <si>
    <t>ainsi</t>
  </si>
  <si>
    <t>aboiement</t>
  </si>
  <si>
    <t>furieux</t>
  </si>
  <si>
    <t># text = Je la vis s'élancer sur sa victime, la précipiter à terre et la saisir à la gorge.</t>
  </si>
  <si>
    <t>élancer</t>
  </si>
  <si>
    <t>victime</t>
  </si>
  <si>
    <t>saisir</t>
  </si>
  <si>
    <t>gorge</t>
  </si>
  <si>
    <t># text = Holmes déchargea cinq fois son revolver dans les flancs du monstre.</t>
  </si>
  <si>
    <t>déchargea</t>
  </si>
  <si>
    <t>cinq</t>
  </si>
  <si>
    <t>fois</t>
  </si>
  <si>
    <t>flancs</t>
  </si>
  <si>
    <t>monstre</t>
  </si>
  <si>
    <t># text = Dans un dernier hurlement d'agonie et après un dernier coup de dents lancé dans le vide, il roula sur le dos.</t>
  </si>
  <si>
    <t>agonie</t>
  </si>
  <si>
    <t>après</t>
  </si>
  <si>
    <t>dents</t>
  </si>
  <si>
    <t>lancé</t>
  </si>
  <si>
    <t>vide</t>
  </si>
  <si>
    <t>roula</t>
  </si>
  <si>
    <t>dos</t>
  </si>
  <si>
    <t># text = Ses quatre pattes s'agitèrent convulsivement, puis il s'affaissa sur le côté, immobile.</t>
  </si>
  <si>
    <t>quatre</t>
  </si>
  <si>
    <t>pattes</t>
  </si>
  <si>
    <t>agitèrent</t>
  </si>
  <si>
    <t>convulsivement</t>
  </si>
  <si>
    <t>puis</t>
  </si>
  <si>
    <t>affaissa</t>
  </si>
  <si>
    <t>immobile</t>
  </si>
  <si>
    <t># text = Je m'avançai, tremblant encore, et j'appuyai le canon de mon revolver sur cette horrible tête.</t>
  </si>
  <si>
    <t>tremblant</t>
  </si>
  <si>
    <t>appuyai</t>
  </si>
  <si>
    <t>canon</t>
  </si>
  <si>
    <t>horrible</t>
  </si>
  <si>
    <t># text = Inutile de presser la détente, le chien-géant était mort --- et bien mort, cette fois !</t>
  </si>
  <si>
    <t>Inutile</t>
  </si>
  <si>
    <t>presser</t>
  </si>
  <si>
    <t>détente</t>
  </si>
  <si>
    <t>chien-géant</t>
  </si>
  <si>
    <t># text = Sir Henry s'était évanoui.</t>
  </si>
  <si>
    <t>évanoui</t>
  </si>
  <si>
    <t># text = Nous déchirâmes son col et Holmes murmura une prière d'action de grâces, en ne découvrant aucune trace de blessure.</t>
  </si>
  <si>
    <t>déchirâmes</t>
  </si>
  <si>
    <t>col</t>
  </si>
  <si>
    <t>prière</t>
  </si>
  <si>
    <t>action</t>
  </si>
  <si>
    <t>grâces</t>
  </si>
  <si>
    <t>découvrant</t>
  </si>
  <si>
    <t>trace</t>
  </si>
  <si>
    <t>blessure</t>
  </si>
  <si>
    <t># text = Dans quelques minutes, le baronnet serait revenu à lui.</t>
  </si>
  <si>
    <t>minutes</t>
  </si>
  <si>
    <t>serait</t>
  </si>
  <si>
    <t>revenu</t>
  </si>
  <si>
    <t># text = Déjà notre jeune ami ouvrait ses yeux et essayait de se lever.</t>
  </si>
  <si>
    <t>jeune</t>
  </si>
  <si>
    <t>ouvrait</t>
  </si>
  <si>
    <t>essayait</t>
  </si>
  <si>
    <t># text = Lestrade lui desserra les dents et lui fît avaler quelques gouttes de cognac.</t>
  </si>
  <si>
    <t>desserra</t>
  </si>
  <si>
    <t>fît</t>
  </si>
  <si>
    <t>avaler</t>
  </si>
  <si>
    <t>gouttes</t>
  </si>
  <si>
    <t>cognac</t>
  </si>
  <si>
    <t># text = « Mon Dieu ! balbutia-t-il en tournant vers nous des yeux que la frayeur troublait encore.</t>
  </si>
  <si>
    <t>balbutia</t>
  </si>
  <si>
    <t>tournant</t>
  </si>
  <si>
    <t>frayeur</t>
  </si>
  <si>
    <t>troublait</t>
  </si>
  <si>
    <t># text = Qu'était-ce ?</t>
  </si>
  <si>
    <t># text = Au nom du ciel, dites-moi ce que c'était !</t>
  </si>
  <si>
    <t>-moi</t>
  </si>
  <si>
    <t># text = --- Peu importe, puisqu'il est mort ! dit Holmes.</t>
  </si>
  <si>
    <t>Peu</t>
  </si>
  <si>
    <t>importe</t>
  </si>
  <si>
    <t>puisqu'</t>
  </si>
  <si>
    <t># text = Nous avons tué pour une bonne fois le revenant de la famille Baskerville.</t>
  </si>
  <si>
    <t>avons</t>
  </si>
  <si>
    <t>tué</t>
  </si>
  <si>
    <t>bonne</t>
  </si>
  <si>
    <t>revenant</t>
  </si>
  <si>
    <t>famille</t>
  </si>
  <si>
    <t>Baskerville</t>
  </si>
  <si>
    <t># text = L'animal qui gisait à nos pieds avait des proportions qui le rendaient effrayant.</t>
  </si>
  <si>
    <t>gisait</t>
  </si>
  <si>
    <t>proportions</t>
  </si>
  <si>
    <t>rendaient</t>
  </si>
  <si>
    <t>effrayant</t>
  </si>
  <si>
    <t># text = Ce n'était ni un limier ni un dogue.</t>
  </si>
  <si>
    <t>Ce</t>
  </si>
  <si>
    <t>ni</t>
  </si>
  <si>
    <t>limier</t>
  </si>
  <si>
    <t>dogue</t>
  </si>
  <si>
    <t># text = Élancé, sauvage, aussi gros qu'une petite lionne, il était mâtiné de ces deux races.</t>
  </si>
  <si>
    <t>Élancé</t>
  </si>
  <si>
    <t>gros</t>
  </si>
  <si>
    <t>petite</t>
  </si>
  <si>
    <t>lionne</t>
  </si>
  <si>
    <t>mâtiné</t>
  </si>
  <si>
    <t>races</t>
  </si>
  <si>
    <t># text = Même en ce moment, dans le repos de la mort, une flamme bleuâtre semblait suinter de son énorme gueule et un cercle de feu cernait ses yeux, petits, féroces.</t>
  </si>
  <si>
    <t>Même</t>
  </si>
  <si>
    <t>repos</t>
  </si>
  <si>
    <t>flamme</t>
  </si>
  <si>
    <t>bleuâtre</t>
  </si>
  <si>
    <t>suinter</t>
  </si>
  <si>
    <t>cercle</t>
  </si>
  <si>
    <t>cernait</t>
  </si>
  <si>
    <t>petits</t>
  </si>
  <si>
    <t>féroces</t>
  </si>
  <si>
    <t># text = Je posai la main sur ce museau lumineux et, quant je retirai mes doigts, ils brillèrent dans les ténèbres.</t>
  </si>
  <si>
    <t>posai</t>
  </si>
  <si>
    <t>museau</t>
  </si>
  <si>
    <t>lumineux</t>
  </si>
  <si>
    <t>quant</t>
  </si>
  <si>
    <t>retirai</t>
  </si>
  <si>
    <t>doigts</t>
  </si>
  <si>
    <t>brillèrent</t>
  </si>
  <si>
    <t>ténèbres</t>
  </si>
  <si>
    <t># text = --- C'est du phosphore ! dis-je.</t>
  </si>
  <si>
    <t>phosphore</t>
  </si>
  <si>
    <t>dis-je</t>
  </si>
  <si>
    <t># text = --- Oui... une très curieuse préparation, répliqua Holmes, en flairant l'animal.</t>
  </si>
  <si>
    <t>curieuse</t>
  </si>
  <si>
    <t>préparation</t>
  </si>
  <si>
    <t>répliqua</t>
  </si>
  <si>
    <t>flairant</t>
  </si>
  <si>
    <t># text = Elle ne répand aucune odeur capable de nuire à l'odorat de la bête.</t>
  </si>
  <si>
    <t>Elle</t>
  </si>
  <si>
    <t>répand</t>
  </si>
  <si>
    <t>capable</t>
  </si>
  <si>
    <t>nuire</t>
  </si>
  <si>
    <t>odorat</t>
  </si>
  <si>
    <t># text = Nous vous devons des excuses, sir Henry, pour vous avoir exposé à une semblable frayeur.</t>
  </si>
  <si>
    <t>excuses</t>
  </si>
  <si>
    <t>exposé</t>
  </si>
  <si>
    <t># text = Je croyais avoir affaire à un chien et non pas à une créature de cette sorte.</t>
  </si>
  <si>
    <t>croyais</t>
  </si>
  <si>
    <t>affaire</t>
  </si>
  <si>
    <t>créature</t>
  </si>
  <si>
    <t>sorte</t>
  </si>
  <si>
    <t># text = Et puis le brouillard nous avait laissé peu de temps pour lui faire l'accueil que nous lui réservions.</t>
  </si>
  <si>
    <t>laissé</t>
  </si>
  <si>
    <t>accueil</t>
  </si>
  <si>
    <t>réservions</t>
  </si>
  <si>
    <t># text = --- Vous m'avez sauvé la vie.</t>
  </si>
  <si>
    <t>sauvé</t>
  </si>
  <si>
    <t># text = --- Après l'avoir d'abord mise en péril.</t>
  </si>
  <si>
    <t>abord</t>
  </si>
  <si>
    <t>péril</t>
  </si>
  <si>
    <t># text = Vous sentez-vous assez fort pour vous tenir debout ?</t>
  </si>
  <si>
    <t>sentez-vous</t>
  </si>
  <si>
    <t>assez</t>
  </si>
  <si>
    <t>debout</t>
  </si>
  <si>
    <t># text = --- Versez-moi encore une gorgée de cognac et je serai prêt à tout.... Là, merci !...</t>
  </si>
  <si>
    <t>Versez</t>
  </si>
  <si>
    <t>gorgée</t>
  </si>
  <si>
    <t>serai</t>
  </si>
  <si>
    <t>prêt</t>
  </si>
  <si>
    <t># text = Maintenant voulez-vous m'aider à me mettre sur pied....</t>
  </si>
  <si>
    <t>voulez</t>
  </si>
  <si>
    <t># text = Qu'allez-vous faire ?</t>
  </si>
  <si>
    <t>allez</t>
  </si>
  <si>
    <t># text = --- Vous n'êtes pas en état de tenter cette nuit de nouvelles aventures.</t>
  </si>
  <si>
    <t>état</t>
  </si>
  <si>
    <t>nouvelles</t>
  </si>
  <si>
    <t>aventures</t>
  </si>
  <si>
    <t># text = Attendez un moment et l'un de nous retournera avec vous au château.</t>
  </si>
  <si>
    <t>Attendez</t>
  </si>
  <si>
    <t>retournera</t>
  </si>
  <si>
    <t># text = Sir Henry essaya de s'affermir sur ses jambes ;</t>
  </si>
  <si>
    <t>essaya</t>
  </si>
  <si>
    <t>affermir</t>
  </si>
  <si>
    <t>jambes</t>
  </si>
  <si>
    <t># text = mais il était encore pâle comme un spectre et il tremblait de tous ses membres.</t>
  </si>
  <si>
    <t>spectre</t>
  </si>
  <si>
    <t>tremblait</t>
  </si>
  <si>
    <t>membres</t>
  </si>
  <si>
    <t># text = Nous le conduisîmes jusqu'à une roche sur laquelle il s'assit, tout frissonnant, la tête enfouie entre ses mains.</t>
  </si>
  <si>
    <t>conduisîmes</t>
  </si>
  <si>
    <t>roche</t>
  </si>
  <si>
    <t>laquelle</t>
  </si>
  <si>
    <t>assit</t>
  </si>
  <si>
    <t>enfouie</t>
  </si>
  <si>
    <t>entre</t>
  </si>
  <si>
    <t># text = « Il faut que nous vous quittions, dit Holmes.</t>
  </si>
  <si>
    <t>faut</t>
  </si>
  <si>
    <t>quittions</t>
  </si>
  <si>
    <t># text = Nous devons achever notre tâche et chaque minute a une importance capitale.</t>
  </si>
  <si>
    <t>achever</t>
  </si>
  <si>
    <t>tâche</t>
  </si>
  <si>
    <t>importance</t>
  </si>
  <si>
    <t>capitale</t>
  </si>
  <si>
    <t># text = Nous tenons notre crime, à cette heure ;</t>
  </si>
  <si>
    <t>tenons</t>
  </si>
  <si>
    <t>crime</t>
  </si>
  <si>
    <t># text = il ne nous manque plus que le criminel.</t>
  </si>
  <si>
    <t>manque</t>
  </si>
  <si>
    <t>criminel</t>
  </si>
  <si>
    <t># text = Et, tandis que nous nous hâtions dans le petit sentier, mon ami ajouta : « Il y a mille à parier contre un que nous ne trouverons plus Stapleton chez lui.</t>
  </si>
  <si>
    <t>tandis</t>
  </si>
  <si>
    <t>hâtions</t>
  </si>
  <si>
    <t>ajouta</t>
  </si>
  <si>
    <t>mille</t>
  </si>
  <si>
    <t>parier</t>
  </si>
  <si>
    <t>trouverons</t>
  </si>
  <si>
    <t>chez</t>
  </si>
  <si>
    <t># text = Les coups de revolver lui auront appris qu'il a perdu la partie.</t>
  </si>
  <si>
    <t>coups</t>
  </si>
  <si>
    <t>auront</t>
  </si>
  <si>
    <t>appris</t>
  </si>
  <si>
    <t>perdu</t>
  </si>
  <si>
    <t># text = --- Nous étions assez loin de Merripit house, hasardai-je ;</t>
  </si>
  <si>
    <t>hasardai-je</t>
  </si>
  <si>
    <t># text = le brouillard aura étouffé le bruit des détonations.</t>
  </si>
  <si>
    <t>aura</t>
  </si>
  <si>
    <t>étouffé</t>
  </si>
  <si>
    <t>détonations</t>
  </si>
  <si>
    <t># text = --- Il suivait le chien pour l'exciter,....</t>
  </si>
  <si>
    <t>suivait</t>
  </si>
  <si>
    <t>exciter</t>
  </si>
  <si>
    <t># text = vous pouvez en être certain.... Non, non,... il est déjà loin !...</t>
  </si>
  <si>
    <t>pouvez</t>
  </si>
  <si>
    <t>certain</t>
  </si>
  <si>
    <t># text = D'ailleurs nous fouillerons la maison pour nous en assurer.</t>
  </si>
  <si>
    <t>D'</t>
  </si>
  <si>
    <t>ailleurs</t>
  </si>
  <si>
    <t>fouillerons</t>
  </si>
  <si>
    <t>assurer</t>
  </si>
  <si>
    <t># text = La porte d'entrée était ouverte.</t>
  </si>
  <si>
    <t>ouverte</t>
  </si>
  <si>
    <t># text = Nous nous ruâmes à l'intérieur, courant d'une chambre à l'autre, au grand étonnement d'un vieux domestique que nous rencontrâmes dans le corridor.</t>
  </si>
  <si>
    <t>ruâmes</t>
  </si>
  <si>
    <t>courant</t>
  </si>
  <si>
    <t>chambre</t>
  </si>
  <si>
    <t>grand</t>
  </si>
  <si>
    <t>vieux</t>
  </si>
  <si>
    <t>domestique</t>
  </si>
  <si>
    <t>rencontrâmes</t>
  </si>
  <si>
    <t>corridor</t>
  </si>
  <si>
    <t># text = Seule, la salle à manger était restée éclairée.</t>
  </si>
  <si>
    <t>Seule</t>
  </si>
  <si>
    <t>restée</t>
  </si>
  <si>
    <t>éclairée</t>
  </si>
  <si>
    <t># text = Holmes prit la lampe et explora jusqu'aux plus petits recoins.</t>
  </si>
  <si>
    <t>prit</t>
  </si>
  <si>
    <t>explora</t>
  </si>
  <si>
    <t>recoins</t>
  </si>
  <si>
    <t># text = Nous ne découvrîmes aucune trace de Stapleton.</t>
  </si>
  <si>
    <t>découvrîmes</t>
  </si>
  <si>
    <t># text = Cependant, à l'étage supérieur, on avait fermé une porte à clef.</t>
  </si>
  <si>
    <t>étage</t>
  </si>
  <si>
    <t>supérieur</t>
  </si>
  <si>
    <t>fermé</t>
  </si>
  <si>
    <t># text = « Il y a quelqu'un ! s'écria Lestrade.</t>
  </si>
  <si>
    <t>quelqu'un</t>
  </si>
  <si>
    <t>écria</t>
  </si>
  <si>
    <t># text = J'ai entendu du bruit.... Ouvrez !</t>
  </si>
  <si>
    <t>entendu</t>
  </si>
  <si>
    <t>Ouvrez</t>
  </si>
  <si>
    <t># text = Une plainte étouffée, un gémissement, partit de l'intérieur.</t>
  </si>
  <si>
    <t>étouffée</t>
  </si>
  <si>
    <t>gémissement</t>
  </si>
  <si>
    <t>partit</t>
  </si>
  <si>
    <t># text = Holmes prit son élan et, d'un violent coup de pied appliqué à la hauteur de la serrure, fit voler la porte en éclats.</t>
  </si>
  <si>
    <t>élan</t>
  </si>
  <si>
    <t>violent</t>
  </si>
  <si>
    <t>appliqué</t>
  </si>
  <si>
    <t>hauteur</t>
  </si>
  <si>
    <t>éclats</t>
  </si>
  <si>
    <t># text = Le revolver au poing, nous nous précipitâmes dans la pièce.</t>
  </si>
  <si>
    <t>poing</t>
  </si>
  <si>
    <t>précipitâmes</t>
  </si>
  <si>
    <t># text = Nous ne vîmes rien qui ressemblât à l'affreux coquin que nous espérions y surprendre.</t>
  </si>
  <si>
    <t>vîmes</t>
  </si>
  <si>
    <t>ressemblât</t>
  </si>
  <si>
    <t>affreux</t>
  </si>
  <si>
    <t>coquin</t>
  </si>
  <si>
    <t>espérions</t>
  </si>
  <si>
    <t># text = Au contraire, nous nous arrêtâmes devant un objet si étrange, si inattendu, que nous en demeurâmes saisis pendant un moment.</t>
  </si>
  <si>
    <t>contraire</t>
  </si>
  <si>
    <t>arrêtâmes</t>
  </si>
  <si>
    <t>objet</t>
  </si>
  <si>
    <t>étrange</t>
  </si>
  <si>
    <t>inattendu</t>
  </si>
  <si>
    <t>demeurâmes</t>
  </si>
  <si>
    <t>saisis</t>
  </si>
  <si>
    <t># text = Stapleton avait converti cette pièce en un petit musée.</t>
  </si>
  <si>
    <t>converti</t>
  </si>
  <si>
    <t>musée</t>
  </si>
  <si>
    <t># text = Dans des casiers vitrés, fixés au mur, cet être dangereux et complexe avait réuni ses collections de papillons et de phalènes.</t>
  </si>
  <si>
    <t>casiers</t>
  </si>
  <si>
    <t>vitrés</t>
  </si>
  <si>
    <t>dangereux</t>
  </si>
  <si>
    <t>complexe</t>
  </si>
  <si>
    <t>réuni</t>
  </si>
  <si>
    <t>collections</t>
  </si>
  <si>
    <t>papillons</t>
  </si>
  <si>
    <t>phalènes</t>
  </si>
  <si>
    <t># text = Au centre, une poutre verticale soutenait l'armature de chêne vermoulu qui supportait les ardoises du toit.</t>
  </si>
  <si>
    <t>centre</t>
  </si>
  <si>
    <t>poutre</t>
  </si>
  <si>
    <t>verticale</t>
  </si>
  <si>
    <t>soutenait</t>
  </si>
  <si>
    <t>armature</t>
  </si>
  <si>
    <t>chêne</t>
  </si>
  <si>
    <t>vermoulu</t>
  </si>
  <si>
    <t>supportait</t>
  </si>
  <si>
    <t>ardoises</t>
  </si>
  <si>
    <t>toit</t>
  </si>
  <si>
    <t># text = De cette poutre, pendait un corps si enveloppé, si emmailloté dans un drap qu'il nous fut impossible de reconnaître sur le moment si c'était celui d'un homme ou d'une femme.</t>
  </si>
  <si>
    <t>pendait</t>
  </si>
  <si>
    <t>corps</t>
  </si>
  <si>
    <t>enveloppé</t>
  </si>
  <si>
    <t>emmailloté</t>
  </si>
  <si>
    <t>drap</t>
  </si>
  <si>
    <t>fut</t>
  </si>
  <si>
    <t>reconnaître</t>
  </si>
  <si>
    <t>ou</t>
  </si>
  <si>
    <t># text = Une première serviette enroulée autour du cou du pendu était fortement assujettie à la poutre par un clou.</t>
  </si>
  <si>
    <t>première</t>
  </si>
  <si>
    <t>serviette</t>
  </si>
  <si>
    <t>enroulée</t>
  </si>
  <si>
    <t>cou</t>
  </si>
  <si>
    <t>pendu</t>
  </si>
  <si>
    <t>fortement</t>
  </si>
  <si>
    <t>assujettie</t>
  </si>
  <si>
    <t>clou</t>
  </si>
  <si>
    <t># text = Une seconde enveloppait la partie inférieure du visage, laissant à découvert deux grands yeux noirs --- pleins de surprise et de honte --- qui nous regardaient avec angoisse.</t>
  </si>
  <si>
    <t>seconde</t>
  </si>
  <si>
    <t>enveloppait</t>
  </si>
  <si>
    <t>inférieure</t>
  </si>
  <si>
    <t>laissant</t>
  </si>
  <si>
    <t>découvert</t>
  </si>
  <si>
    <t>grands</t>
  </si>
  <si>
    <t>noirs</t>
  </si>
  <si>
    <t>pleins</t>
  </si>
  <si>
    <t>surprise</t>
  </si>
  <si>
    <t>honte</t>
  </si>
  <si>
    <t>regardaient</t>
  </si>
  <si>
    <t>angoisse</t>
  </si>
  <si>
    <t># text = Dans l'espace d'une seconde, nous eûmes tranché le bâillon, desserré les liens, et Mme Stapleton s'affaissait à nos pieds sur le parquet.</t>
  </si>
  <si>
    <t>espace</t>
  </si>
  <si>
    <t>eûmes</t>
  </si>
  <si>
    <t>tranché</t>
  </si>
  <si>
    <t>bâillon</t>
  </si>
  <si>
    <t>desserré</t>
  </si>
  <si>
    <t>liens</t>
  </si>
  <si>
    <t>Mme</t>
  </si>
  <si>
    <t>affaissait</t>
  </si>
  <si>
    <t>parquet</t>
  </si>
  <si>
    <t># text = Au moment où sa jolie tête retombait sur sa poitrine je distinguai sur la blancheur du cou le sillon rouge produit par une mèche de fouet.</t>
  </si>
  <si>
    <t>jolie</t>
  </si>
  <si>
    <t>retombait</t>
  </si>
  <si>
    <t>poitrine</t>
  </si>
  <si>
    <t>distinguai</t>
  </si>
  <si>
    <t>blancheur</t>
  </si>
  <si>
    <t>sillon</t>
  </si>
  <si>
    <t>rouge</t>
  </si>
  <si>
    <t>produit</t>
  </si>
  <si>
    <t>mèche</t>
  </si>
  <si>
    <t># text = « La brute !</t>
  </si>
  <si>
    <t># text = cria Holmes.... Vite, Lestrade, votre bouteille de cognac !</t>
  </si>
  <si>
    <t>Vite</t>
  </si>
  <si>
    <t>votre</t>
  </si>
  <si>
    <t>bouteille</t>
  </si>
  <si>
    <t># text = Asseyons-la dans un fauteuil....</t>
  </si>
  <si>
    <t>Asseyons</t>
  </si>
  <si>
    <t>-la</t>
  </si>
  <si>
    <t># text = Elle s'est évanouie d'épuisement.</t>
  </si>
  <si>
    <t>évanouie</t>
  </si>
  <si>
    <t>épuisement</t>
  </si>
  <si>
    <t># text = La jeune femme entr'ouvrit les yeux.</t>
  </si>
  <si>
    <t>ouvrit</t>
  </si>
  <si>
    <t># text = « Est-il sauvé ? s'écria-t-elle, s'est-il échappé ?...</t>
  </si>
  <si>
    <t>échappé</t>
  </si>
  <si>
    <t># text = --- Il ne peut nous échapper, madame, répondit froidement Sherlock Holmes.</t>
  </si>
  <si>
    <t>madame</t>
  </si>
  <si>
    <t>répondit</t>
  </si>
  <si>
    <t>froidement</t>
  </si>
  <si>
    <t># text = --- Non, non,... pas mon mari,... sir Henry ?</t>
  </si>
  <si>
    <t>mari</t>
  </si>
  <si>
    <t># text = Est-il sain et sauf ?</t>
  </si>
  <si>
    <t>sain</t>
  </si>
  <si>
    <t># text = --- Et le chien ?</t>
  </si>
  <si>
    <t># text = --- Mort.</t>
  </si>
  <si>
    <t>Mort</t>
  </si>
  <si>
    <t># text = Mme Stapleton poussa un long soupir de satisfaction.</t>
  </si>
  <si>
    <t>long</t>
  </si>
  <si>
    <t>soupir</t>
  </si>
  <si>
    <t>satisfaction</t>
  </si>
  <si>
    <t># text = « Merci, mon Dieu, merci !...</t>
  </si>
  <si>
    <t># text = Oh ! le misérable !...</t>
  </si>
  <si>
    <t>Oh</t>
  </si>
  <si>
    <t>misérable</t>
  </si>
  <si>
    <t># text = Voyez dans quel état il m'a mise !</t>
  </si>
  <si>
    <t>Voyez</t>
  </si>
  <si>
    <t>quel</t>
  </si>
  <si>
    <t># text = Elle releva ses manches et nous montra ses bras couverts d'ecchymoses.</t>
  </si>
  <si>
    <t>releva</t>
  </si>
  <si>
    <t>manches</t>
  </si>
  <si>
    <t>montra</t>
  </si>
  <si>
    <t>couverts</t>
  </si>
  <si>
    <t>ecchymoses</t>
  </si>
  <si>
    <t># text = « Mais cela n'est rien... rien !</t>
  </si>
  <si>
    <t># text = reprit-elle, d'une voix entrecoupée de sanglots.</t>
  </si>
  <si>
    <t>entrecoupée</t>
  </si>
  <si>
    <t>sanglots</t>
  </si>
  <si>
    <t># text = C'est mon esprit et mon âme qu'il a torturés et souillés !</t>
  </si>
  <si>
    <t>âme</t>
  </si>
  <si>
    <t>torturés</t>
  </si>
  <si>
    <t>souillés</t>
  </si>
  <si>
    <t># text = J'aurais tout supporté : les mauvais traitements, la solitude, ma vie brisée, tout, si j'avais pu conserver l'espoir qu'il m'aimait encore !</t>
  </si>
  <si>
    <t>aurais</t>
  </si>
  <si>
    <t>supporté</t>
  </si>
  <si>
    <t>mauvais</t>
  </si>
  <si>
    <t>traitements</t>
  </si>
  <si>
    <t>solitude</t>
  </si>
  <si>
    <t>brisée</t>
  </si>
  <si>
    <t>pu</t>
  </si>
  <si>
    <t>espoir</t>
  </si>
  <si>
    <t>aimait</t>
  </si>
  <si>
    <t># text = Aujourd'hui, mes illusions se sont envolées, et je sais que je n'ai été qu'un instrument entre ses mains.</t>
  </si>
  <si>
    <t>Aujourd'hui</t>
  </si>
  <si>
    <t>illusions</t>
  </si>
  <si>
    <t>envolées</t>
  </si>
  <si>
    <t>sais</t>
  </si>
  <si>
    <t>instrument</t>
  </si>
  <si>
    <t># text = --- Vous n'éprouvez plus pour lui que du ressentiment, n'est-ce pas, madame ? demanda Holmes.</t>
  </si>
  <si>
    <t>éprouvez</t>
  </si>
  <si>
    <t>ressentiment</t>
  </si>
  <si>
    <t># text = Désignez-nous sa retraite.</t>
  </si>
  <si>
    <t>Désignez</t>
  </si>
  <si>
    <t>retraite</t>
  </si>
  <si>
    <t># text = Vous l'avez aidé dans le mal, venez-nous en aide maintenant ; ce sera votre expiation.</t>
  </si>
  <si>
    <t>aidé</t>
  </si>
  <si>
    <t>venez</t>
  </si>
  <si>
    <t>aide</t>
  </si>
  <si>
    <t>expiation</t>
  </si>
  <si>
    <t># text = --- Il ne peut avoir dirigé ses pas que vers un seul endroit, répondit-elle.</t>
  </si>
  <si>
    <t>dirigé</t>
  </si>
  <si>
    <t>seul</t>
  </si>
  <si>
    <t># text = Au cœur même de la grande fondrière, il existe, sur un îlot de terre ferme, une ancienne mine d'étain.</t>
  </si>
  <si>
    <t>cœur</t>
  </si>
  <si>
    <t>existe</t>
  </si>
  <si>
    <t>îlot</t>
  </si>
  <si>
    <t>ferme</t>
  </si>
  <si>
    <t>ancienne</t>
  </si>
  <si>
    <t>mine</t>
  </si>
  <si>
    <t>étain</t>
  </si>
  <si>
    <t># text = C'était là qu'il cachait son chien.</t>
  </si>
  <si>
    <t># text = Là, également, il s'était ménagé un refuge pour le cas où il aurait dû fuir précipitamment.</t>
  </si>
  <si>
    <t>ménagé</t>
  </si>
  <si>
    <t>refuge</t>
  </si>
  <si>
    <t>cas</t>
  </si>
  <si>
    <t>aurait</t>
  </si>
  <si>
    <t>dû</t>
  </si>
  <si>
    <t>fuir</t>
  </si>
  <si>
    <t>précipitamment</t>
  </si>
  <si>
    <t># text = Il y a couru certainement.</t>
  </si>
  <si>
    <t>couru</t>
  </si>
  <si>
    <t># text = Holmes prit la lampe et l'approcha de la fenêtre.</t>
  </si>
  <si>
    <t>approcha</t>
  </si>
  <si>
    <t># text = Le brouillard en obscurcissait les vitres.</t>
  </si>
  <si>
    <t>obscurcissait</t>
  </si>
  <si>
    <t>vitres</t>
  </si>
  <si>
    <t># text = « Voyez, madame, dit-il.</t>
  </si>
  <si>
    <t># text = Je défie qui que ce soit de retrouver cette nuit son chemin à travers la grande fondrière de Grimpen.</t>
  </si>
  <si>
    <t>défie</t>
  </si>
  <si>
    <t>chemin</t>
  </si>
  <si>
    <t># text = Mme Stapleton battit des mains ; ses lèvres se retroussèrent dans un rictus sinistre.</t>
  </si>
  <si>
    <t>battit</t>
  </si>
  <si>
    <t>retroussèrent</t>
  </si>
  <si>
    <t>rictus</t>
  </si>
  <si>
    <t>sinistre</t>
  </si>
  <si>
    <t># text = « Il peut y pénétrer, mais il n'en ressortira jamais ! s'écria-t-elle.</t>
  </si>
  <si>
    <t>pénétrer</t>
  </si>
  <si>
    <t>ressortira</t>
  </si>
  <si>
    <t># text = Comment, par cette nuit épaisse, verrait-il les balises qui doivent le guider ?...</t>
  </si>
  <si>
    <t>Comment</t>
  </si>
  <si>
    <t>épaisse</t>
  </si>
  <si>
    <t>verrait</t>
  </si>
  <si>
    <t>balises</t>
  </si>
  <si>
    <t>doivent</t>
  </si>
  <si>
    <t>guider</t>
  </si>
  <si>
    <t># text = Nous les avons plantées ensemble, lui et moi, pour marquer le seul chemin praticable....</t>
  </si>
  <si>
    <t>plantées</t>
  </si>
  <si>
    <t>ensemble</t>
  </si>
  <si>
    <t>marquer</t>
  </si>
  <si>
    <t>praticable</t>
  </si>
  <si>
    <t># text = Ah ! s'il m'avait été permis de les arracher aujourd'hui, vous l'auriez à votre merci !</t>
  </si>
  <si>
    <t>Ah</t>
  </si>
  <si>
    <t>permis</t>
  </si>
  <si>
    <t>arracher</t>
  </si>
  <si>
    <t>aujourd'hui</t>
  </si>
  <si>
    <t>auriez</t>
  </si>
  <si>
    <t># text = Il était évident que, pour commencer nos recherches, nous étions condamnés à attendre que le brouillard se fût dissipé.</t>
  </si>
  <si>
    <t>évident</t>
  </si>
  <si>
    <t>commencer</t>
  </si>
  <si>
    <t>recherches</t>
  </si>
  <si>
    <t>condamnés</t>
  </si>
  <si>
    <t>fût</t>
  </si>
  <si>
    <t>dissipé</t>
  </si>
  <si>
    <t># text = Nous confiâmes à Lestrade la garde de la maison et nous reprîmes, Holmes et moi, le chemin du château de Baskerville en compagnie du baronnet.</t>
  </si>
  <si>
    <t>confiâmes</t>
  </si>
  <si>
    <t>garde</t>
  </si>
  <si>
    <t>reprîmes</t>
  </si>
  <si>
    <t>compagnie</t>
  </si>
  <si>
    <t># text = Impossible de taire plus longtemps à sir Henry l'histoire des Stapleton....</t>
  </si>
  <si>
    <t>Impossible</t>
  </si>
  <si>
    <t>taire</t>
  </si>
  <si>
    <t># text = Il supporta courageusement le coup que lui porta au cœur la vérité sur la femme qu'il avait aimée.</t>
  </si>
  <si>
    <t>supporta</t>
  </si>
  <si>
    <t>courageusement</t>
  </si>
  <si>
    <t>porta</t>
  </si>
  <si>
    <t>vérité</t>
  </si>
  <si>
    <t>aimée</t>
  </si>
  <si>
    <t># text = La secousse produite sur ses nerfs par les aventures de cette nuit déterminèrent une fièvre cérébrale.</t>
  </si>
  <si>
    <t>secousse</t>
  </si>
  <si>
    <t>produite</t>
  </si>
  <si>
    <t>déterminèrent</t>
  </si>
  <si>
    <t>fièvre</t>
  </si>
  <si>
    <t>cérébrale</t>
  </si>
  <si>
    <t># text = Le docteur Mortimer, accouru à son chevet, déclara qu'il ne faudrait rien moins qu'un long voyage autour du monde, pour rendre à sir Henry la vigueur et la santé qu'il possédait avant de devenir propriétaire de ce néfaste domaine.</t>
  </si>
  <si>
    <t>docteur</t>
  </si>
  <si>
    <t>Mortimer</t>
  </si>
  <si>
    <t>accouru</t>
  </si>
  <si>
    <t>chevet</t>
  </si>
  <si>
    <t>déclara</t>
  </si>
  <si>
    <t>faudrait</t>
  </si>
  <si>
    <t>rendre</t>
  </si>
  <si>
    <t>vigueur</t>
  </si>
  <si>
    <t>santé</t>
  </si>
  <si>
    <t>possédait</t>
  </si>
  <si>
    <t>propriétaire</t>
  </si>
  <si>
    <t>néfaste</t>
  </si>
  <si>
    <t>other_9</t>
  </si>
  <si>
    <t>domaine</t>
  </si>
  <si>
    <t>other_10</t>
  </si>
  <si>
    <t># text = J'arrive rapidement à la conclusion de cette singulière histoire, dans laquelle je me suis efforcé de faire partager au lecteur les angoisses et les vagues soupçons qui, pendant quelques jours, avaient troublé notre existence et qui venaient de se terminer d'une si tragique façon.</t>
  </si>
  <si>
    <t>arrive</t>
  </si>
  <si>
    <t>rapidement</t>
  </si>
  <si>
    <t>conclusion</t>
  </si>
  <si>
    <t>singulière</t>
  </si>
  <si>
    <t>efforcé</t>
  </si>
  <si>
    <t>partager</t>
  </si>
  <si>
    <t>lecteur</t>
  </si>
  <si>
    <t>angoisses</t>
  </si>
  <si>
    <t>soupçons</t>
  </si>
  <si>
    <t>SBJ_8</t>
  </si>
  <si>
    <t>jours</t>
  </si>
  <si>
    <t>troublé</t>
  </si>
  <si>
    <t>existence</t>
  </si>
  <si>
    <t>OBJ_8</t>
  </si>
  <si>
    <t>SBJ_10</t>
  </si>
  <si>
    <t>terminer</t>
  </si>
  <si>
    <t>tragique</t>
  </si>
  <si>
    <t>façon</t>
  </si>
  <si>
    <t>other_11</t>
  </si>
  <si>
    <t># text = Le lendemain du drame de Merripit house, le brouillard se dissipa, et Mme Stapleton nous guida vers l'endroit où son mari et elle avaient tracé un chemin à travers la fondrière.</t>
  </si>
  <si>
    <t>lendemain</t>
  </si>
  <si>
    <t>drame</t>
  </si>
  <si>
    <t>dissipa</t>
  </si>
  <si>
    <t>guida</t>
  </si>
  <si>
    <t>tracé</t>
  </si>
  <si>
    <t># text = Pendant le trajet, nous pûmes mesurer, à l'empressement qu'elle mettait à nous conduire sur les traces du naturaliste, combien cette femme avait souffert.</t>
  </si>
  <si>
    <t>Pendant</t>
  </si>
  <si>
    <t>trajet</t>
  </si>
  <si>
    <t>pûmes</t>
  </si>
  <si>
    <t>empressement</t>
  </si>
  <si>
    <t>mettait</t>
  </si>
  <si>
    <t>conduire</t>
  </si>
  <si>
    <t>combien</t>
  </si>
  <si>
    <t># text = Elle resta sur une sorte de promontoire que la terre ferme jetait dans l'intérieur du marécage.</t>
  </si>
  <si>
    <t>promontoire</t>
  </si>
  <si>
    <t>jetait</t>
  </si>
  <si>
    <t>marécage</t>
  </si>
  <si>
    <t># text = À partir de ce point, de petites balises, plantées ça et là, indiquaient le sentier qui serpentait d'une touffe d'ajoncs à l'autre, au milieu de trous tapissés d'écume verdâtre et de flaques bourbeuses qui barraient la route aux étrangers.</t>
  </si>
  <si>
    <t>petites</t>
  </si>
  <si>
    <t>ça</t>
  </si>
  <si>
    <t>indiquaient</t>
  </si>
  <si>
    <t>serpentait</t>
  </si>
  <si>
    <t>touffe</t>
  </si>
  <si>
    <t>ajoncs</t>
  </si>
  <si>
    <t>trous</t>
  </si>
  <si>
    <t>tapissés</t>
  </si>
  <si>
    <t>écume</t>
  </si>
  <si>
    <t>verdâtre</t>
  </si>
  <si>
    <t>flaques</t>
  </si>
  <si>
    <t>bourbeuses</t>
  </si>
  <si>
    <t>barraient</t>
  </si>
  <si>
    <t>OBJ_10</t>
  </si>
  <si>
    <t>étrangers</t>
  </si>
  <si>
    <t># text = Des roseaux desséchés et des plantes aquatiques limoneuses exhalaient des odeurs fades de choses en décomposition ;</t>
  </si>
  <si>
    <t>roseaux</t>
  </si>
  <si>
    <t>desséchés</t>
  </si>
  <si>
    <t>plantes</t>
  </si>
  <si>
    <t>aquatiques</t>
  </si>
  <si>
    <t>limoneuses</t>
  </si>
  <si>
    <t>exhalaient</t>
  </si>
  <si>
    <t>odeurs</t>
  </si>
  <si>
    <t>fades</t>
  </si>
  <si>
    <t>décomposition</t>
  </si>
  <si>
    <t># text = une vapeur lourde, chargée de miasmes, nous montait au visage.</t>
  </si>
  <si>
    <t>vapeur</t>
  </si>
  <si>
    <t>lourde</t>
  </si>
  <si>
    <t>chargée</t>
  </si>
  <si>
    <t>miasmes</t>
  </si>
  <si>
    <t>montait</t>
  </si>
  <si>
    <t># text = Au moindre faux pas, nous enfoncions jusqu'au-dessus du genou dans cette boue visqueuse, frissonnante, qui ondulait sous la pression de nos pieds jusqu'à plusieurs mètres de distance.</t>
  </si>
  <si>
    <t>moindre</t>
  </si>
  <si>
    <t>faux</t>
  </si>
  <si>
    <t>enfoncions</t>
  </si>
  <si>
    <t>genou</t>
  </si>
  <si>
    <t>boue</t>
  </si>
  <si>
    <t>visqueuse</t>
  </si>
  <si>
    <t>frissonnante</t>
  </si>
  <si>
    <t>ondulait</t>
  </si>
  <si>
    <t>pression</t>
  </si>
  <si>
    <t>distance</t>
  </si>
  <si>
    <t># text = Elle se collait à nos talons et, lorsque nous y tombions, on aurait dit qu'une main homicide nous tirait en bas, tellement était tenace l'étreinte qui nous enserrait.</t>
  </si>
  <si>
    <t>collait</t>
  </si>
  <si>
    <t>talons</t>
  </si>
  <si>
    <t>tombions</t>
  </si>
  <si>
    <t>homicide</t>
  </si>
  <si>
    <t>tirait</t>
  </si>
  <si>
    <t>tellement</t>
  </si>
  <si>
    <t>tenace</t>
  </si>
  <si>
    <t>étreinte</t>
  </si>
  <si>
    <t>enserrait</t>
  </si>
  <si>
    <t># text = Une seule fois, nous acquîmes la preuve que Stapleton nous avait devancés dans le sentier.</t>
  </si>
  <si>
    <t>acquîmes</t>
  </si>
  <si>
    <t>preuve</t>
  </si>
  <si>
    <t>devancés</t>
  </si>
  <si>
    <t># text = Dans une touffe de joncs émergeant de la vase, il nous sembla distinguer quelque chose de noir.</t>
  </si>
  <si>
    <t>joncs</t>
  </si>
  <si>
    <t>émergeant</t>
  </si>
  <si>
    <t>vase</t>
  </si>
  <si>
    <t>sembla</t>
  </si>
  <si>
    <t># text = Du sentier, Holmes sauta sur la touffe et s'enfonça jusqu'à la ceinture.</t>
  </si>
  <si>
    <t>sauta</t>
  </si>
  <si>
    <t>ceinture</t>
  </si>
  <si>
    <t># text = Si nous n'avions pas été là pour le retirer, il n'aurait jamais plus foulé la terre ferme.</t>
  </si>
  <si>
    <t>foulé</t>
  </si>
  <si>
    <t># text = Il tenait à la main une vieille bottine.</t>
  </si>
  <si>
    <t>tenait</t>
  </si>
  <si>
    <t>vieille</t>
  </si>
  <si>
    <t>bottine</t>
  </si>
  <si>
    <t># text = À l'intérieur, on lisait cette adresse imprimée : « Meyer, Toronto ».</t>
  </si>
  <si>
    <t>lisait</t>
  </si>
  <si>
    <t>adresse</t>
  </si>
  <si>
    <t>imprimée</t>
  </si>
  <si>
    <t>Meyer</t>
  </si>
  <si>
    <t>Toronto</t>
  </si>
  <si>
    <t># text = « Cela vaut bien un bain de boue, dit Sherlock.</t>
  </si>
  <si>
    <t>vaut</t>
  </si>
  <si>
    <t>bain</t>
  </si>
  <si>
    <t># text = C'est la bottine volée à notre ami sir Henry.</t>
  </si>
  <si>
    <t>volée</t>
  </si>
  <si>
    <t># text = --- Stapleton l'aura jetée là dans sa fuite, fis-je.</t>
  </si>
  <si>
    <t>jetée</t>
  </si>
  <si>
    <t>fuite</t>
  </si>
  <si>
    <t>fis-je</t>
  </si>
  <si>
    <t># text = --- Certainement.</t>
  </si>
  <si>
    <t>Certainement</t>
  </si>
  <si>
    <t># text = Il l'avait conservée à la main, après s'en être servi pour mettre le chien sur la piste.</t>
  </si>
  <si>
    <t>conservée</t>
  </si>
  <si>
    <t>servi</t>
  </si>
  <si>
    <t># text = Quand il a vu que tout était perdu, il s'est enfui de Merripit house, ayant toujours cette bottine, et il s'en est débarrassé ici.</t>
  </si>
  <si>
    <t>enfui</t>
  </si>
  <si>
    <t>ayant</t>
  </si>
  <si>
    <t>débarrassé</t>
  </si>
  <si>
    <t># text = Cela nous montre qu'il a atteint, sain et sauf, ce point de la fondrière.</t>
  </si>
  <si>
    <t>montre</t>
  </si>
  <si>
    <t># text = Ce fut tout ce que nous découvrîmes de lui.</t>
  </si>
  <si>
    <t># text = D'ailleurs, comment relever des traces de pas dans le marécage où cette surface de fange mobile reprenait son uniformité après le passage d'un homme ?</t>
  </si>
  <si>
    <t>comment</t>
  </si>
  <si>
    <t>fange</t>
  </si>
  <si>
    <t>reprenait</t>
  </si>
  <si>
    <t>uniformité</t>
  </si>
  <si>
    <t># text = Parvenus sur un terrain plus solide formant une espèce d'île au milieu de la fondrière, nous poursuivîmes nos recherches avec un soin minutieux.</t>
  </si>
  <si>
    <t>Parvenus</t>
  </si>
  <si>
    <t>solide</t>
  </si>
  <si>
    <t>formant</t>
  </si>
  <si>
    <t>île</t>
  </si>
  <si>
    <t>poursuivîmes</t>
  </si>
  <si>
    <t>soin</t>
  </si>
  <si>
    <t>minutieux</t>
  </si>
  <si>
    <t># text = Elles furent inutiles.</t>
  </si>
  <si>
    <t>Elles</t>
  </si>
  <si>
    <t>furent</t>
  </si>
  <si>
    <t>inutiles</t>
  </si>
  <si>
    <t># text = Si la terre ne mentait pas, jamais Stapleton n'avait dû gagner cet endroit, malgré sa lutte désespérée contre le brouillard.</t>
  </si>
  <si>
    <t>mentait</t>
  </si>
  <si>
    <t>malgré</t>
  </si>
  <si>
    <t>lutte</t>
  </si>
  <si>
    <t>désespérée</t>
  </si>
  <si>
    <t># text = Quelque part dans la grande fondrière de Grimpen, cet homme au cœur froid et cruel était enseveli, aspiré par la boue visqueuse.</t>
  </si>
  <si>
    <t>Quelque</t>
  </si>
  <si>
    <t>part</t>
  </si>
  <si>
    <t>froid</t>
  </si>
  <si>
    <t>cruel</t>
  </si>
  <si>
    <t>enseveli</t>
  </si>
  <si>
    <t>aspiré</t>
  </si>
  <si>
    <t># text = Dans cette île surgie du milieu de la vase, nous trouvâmes de nombreuses traces de ses visites, ainsi que du séjour de son féroce allié.</t>
  </si>
  <si>
    <t>surgie</t>
  </si>
  <si>
    <t>trouvâmes</t>
  </si>
  <si>
    <t>nombreuses</t>
  </si>
  <si>
    <t>visites</t>
  </si>
  <si>
    <t>séjour</t>
  </si>
  <si>
    <t>allié</t>
  </si>
  <si>
    <t># text = Une vieille roue et une brouette à demi remplie de décombres marquaient l'emplacement d'une mine abandonnée.</t>
  </si>
  <si>
    <t>brouette</t>
  </si>
  <si>
    <t>demi</t>
  </si>
  <si>
    <t>remplie</t>
  </si>
  <si>
    <t>décombres</t>
  </si>
  <si>
    <t>marquaient</t>
  </si>
  <si>
    <t>emplacement</t>
  </si>
  <si>
    <t>abandonnée</t>
  </si>
  <si>
    <t># text = Tout près de là, on retrouvait encore les vestiges des cabanes de mineurs, chassés sans doute par les exhalaisons pestilentielles du marais.</t>
  </si>
  <si>
    <t>retrouvait</t>
  </si>
  <si>
    <t>vestiges</t>
  </si>
  <si>
    <t>cabanes</t>
  </si>
  <si>
    <t>mineurs</t>
  </si>
  <si>
    <t>chassés</t>
  </si>
  <si>
    <t>exhalaisons</t>
  </si>
  <si>
    <t>pestilentielles</t>
  </si>
  <si>
    <t>marais</t>
  </si>
  <si>
    <t># text = Dans l'une de ces cabanes, une niche à laquelle était fixée une chaîne, puis un amas d'os, indiquaient l'endroit où Stapleton attachait son chien.</t>
  </si>
  <si>
    <t>niche</t>
  </si>
  <si>
    <t>fixée</t>
  </si>
  <si>
    <t>chaîne</t>
  </si>
  <si>
    <t>amas</t>
  </si>
  <si>
    <t>os</t>
  </si>
  <si>
    <t>attachait</t>
  </si>
  <si>
    <t># text = Un crâne auquel adhéraient encore des poils noirs gisait au milieu des débris.</t>
  </si>
  <si>
    <t>crâne</t>
  </si>
  <si>
    <t>adhéraient</t>
  </si>
  <si>
    <t>poils</t>
  </si>
  <si>
    <t>débris</t>
  </si>
  <si>
    <t># text = « Un chien !</t>
  </si>
  <si>
    <t># text = fit Holmes, en le retournant du pied.</t>
  </si>
  <si>
    <t>retournant</t>
  </si>
  <si>
    <t># text = Par Dieu !</t>
  </si>
  <si>
    <t>Par</t>
  </si>
  <si>
    <t># text = c'était un caniche !</t>
  </si>
  <si>
    <t>caniche</t>
  </si>
  <si>
    <t># text = Pauvre Mortimer, il ne reverra plus son favori !...</t>
  </si>
  <si>
    <t>Pauvre</t>
  </si>
  <si>
    <t>reverra</t>
  </si>
  <si>
    <t>favori</t>
  </si>
  <si>
    <t># text = Je doute qu'il reste ici des secrets que nous n'ayons pas pénétrés.... Stapleton pouvait cacher son chien, mais il ne pouvait l'empêcher d'aboyer !</t>
  </si>
  <si>
    <t>reste</t>
  </si>
  <si>
    <t>secrets</t>
  </si>
  <si>
    <t>ayons</t>
  </si>
  <si>
    <t>pénétrés</t>
  </si>
  <si>
    <t>pouvait</t>
  </si>
  <si>
    <t>cacher</t>
  </si>
  <si>
    <t>empêcher</t>
  </si>
  <si>
    <t>aboyer</t>
  </si>
  <si>
    <t># text = De là ces hurlements si terrifiants à entendre, même en plein jour.</t>
  </si>
  <si>
    <t>hurlements</t>
  </si>
  <si>
    <t>terrifiants</t>
  </si>
  <si>
    <t>plein</t>
  </si>
  <si>
    <t>jour</t>
  </si>
  <si>
    <t># text = Enfermer la bête dans un des pavillons de Merripit house exposait le naturaliste aux plus grands risques et ce ne fut que le dernier jour, alors qu'il se croyait au terme de ses efforts, qu'il osa s'y décider....</t>
  </si>
  <si>
    <t>Enfermer</t>
  </si>
  <si>
    <t>pavillons</t>
  </si>
  <si>
    <t>exposait</t>
  </si>
  <si>
    <t>risques</t>
  </si>
  <si>
    <t>croyait</t>
  </si>
  <si>
    <t>efforts</t>
  </si>
  <si>
    <t>osa</t>
  </si>
  <si>
    <t>décider</t>
  </si>
  <si>
    <t># text = La pâte contenue dans cette boîte d'étain est sans doute la composition phosphorescente dont il enduisait son chien.</t>
  </si>
  <si>
    <t>pâte</t>
  </si>
  <si>
    <t>contenue</t>
  </si>
  <si>
    <t>boîte</t>
  </si>
  <si>
    <t>composition</t>
  </si>
  <si>
    <t>phosphorescente</t>
  </si>
  <si>
    <t>enduisait</t>
  </si>
  <si>
    <t># text = Cette idée lui fut sûrement suggérée par l'histoire du chien des Baskerville et par le désir d'effrayer sir Charles jusqu'à le tuer.</t>
  </si>
  <si>
    <t>idée</t>
  </si>
  <si>
    <t>sûrement</t>
  </si>
  <si>
    <t>suggérée</t>
  </si>
  <si>
    <t>désir</t>
  </si>
  <si>
    <t>effrayer</t>
  </si>
  <si>
    <t>Charles</t>
  </si>
  <si>
    <t># text = Est-il étonnant que ce pauvre diable de Selden ait couru, ait crié --- ainsi que sir Henry et nous-mêmes --- lorsqu'il vit bondir à sa poursuite, dans les ténèbres de la lande, une créature aussi étrange ?...</t>
  </si>
  <si>
    <t>étonnant</t>
  </si>
  <si>
    <t>pauvre</t>
  </si>
  <si>
    <t>diable</t>
  </si>
  <si>
    <t>Selden</t>
  </si>
  <si>
    <t>crié</t>
  </si>
  <si>
    <t>nous-mêmes</t>
  </si>
  <si>
    <t>lorsqu'</t>
  </si>
  <si>
    <t>vit</t>
  </si>
  <si>
    <t>bondir</t>
  </si>
  <si>
    <t>poursuite</t>
  </si>
  <si>
    <t>OBJ_7</t>
  </si>
  <si>
    <t># text = Il faut admirer l'ingéniosité de l'invention.</t>
  </si>
  <si>
    <t>admirer</t>
  </si>
  <si>
    <t>ingéniosité</t>
  </si>
  <si>
    <t>invention</t>
  </si>
  <si>
    <t># text = En effet, indépendamment de la possibilité de tuer sa victime, cela présentait l'avantage d'éloigner du monstre tous les paysans qui, le rencontrant sur la lande --- cela est arrivé à plusieurs --- auraient eu l'intention de l'examiner de trop près.</t>
  </si>
  <si>
    <t>effet</t>
  </si>
  <si>
    <t>indépendamment</t>
  </si>
  <si>
    <t>possibilité</t>
  </si>
  <si>
    <t>présentait</t>
  </si>
  <si>
    <t>avantage</t>
  </si>
  <si>
    <t>éloigner</t>
  </si>
  <si>
    <t>paysans</t>
  </si>
  <si>
    <t>rencontrant</t>
  </si>
  <si>
    <t>arrivé</t>
  </si>
  <si>
    <t>auraient</t>
  </si>
  <si>
    <t>eu</t>
  </si>
  <si>
    <t>intention</t>
  </si>
  <si>
    <t>examiner</t>
  </si>
  <si>
    <t># text = Je l'ai dit à Londres, Watson, et je le répète ici à cette heure, nous n'avons jamais donné la chasse à un homme plus dangereux que celui qui gît là-bas.</t>
  </si>
  <si>
    <t>Londres</t>
  </si>
  <si>
    <t>répète</t>
  </si>
  <si>
    <t>donné</t>
  </si>
  <si>
    <t>gît</t>
  </si>
  <si>
    <t>là-bas</t>
  </si>
  <si>
    <t># text = En prononçant ces dernières paroles, Holmes étendit la main vers le grand espace moucheté de vert qui représentait la fondrière de Grimpen et qui s'étendait au loin jusqu'aux pentes sombres de la lande.</t>
  </si>
  <si>
    <t>prononçant</t>
  </si>
  <si>
    <t>dernières</t>
  </si>
  <si>
    <t>étendit</t>
  </si>
  <si>
    <t>moucheté</t>
  </si>
  <si>
    <t>vert</t>
  </si>
  <si>
    <t>représentait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</si>
</sst>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11"/>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18</v>
      </c>
      <c r="C3" s="6" t="s">
        <v>16</v>
      </c>
      <c r="D3" s="7" t="s">
        <v>19</v>
      </c>
      <c r="E3" s="8" t="s">
        <v>20</v>
      </c>
      <c r="F3" s="6" t="s">
        <v>21</v>
      </c>
      <c r="G3" s="9">
        <f>IF(A3=1,"_",IF(C3="_","???",C3))</f>
        <v/>
      </c>
      <c r="H3" s="10" t="s">
        <v>16</v>
      </c>
      <c r="I3" s="11" t="s">
        <v>16</v>
      </c>
      <c r="J3" s="12"/>
    </row>
    <row r="4" spans="1:10" ht="60" customHeight="1">
      <c r="A4" s="6" t="s">
        <v>22</v>
      </c>
      <c r="B4" s="6" t="s">
        <v>18</v>
      </c>
      <c r="C4" s="6" t="s">
        <v>23</v>
      </c>
      <c r="D4" s="7" t="s">
        <v>24</v>
      </c>
      <c r="E4" s="8" t="s">
        <v>25</v>
      </c>
      <c r="F4" s="6" t="s">
        <v>26</v>
      </c>
      <c r="G4" s="9">
        <f>IF(A4=1,"_",IF(C4="_","???",C4))</f>
        <v/>
      </c>
      <c r="H4" s="10" t="s">
        <v>16</v>
      </c>
      <c r="I4" s="11" t="s">
        <v>16</v>
      </c>
      <c r="J4" s="12"/>
    </row>
    <row r="5" spans="1:10" ht="60" customHeight="1">
      <c r="A5" s="6" t="s">
        <v>27</v>
      </c>
      <c r="B5" s="6" t="s">
        <v>17</v>
      </c>
      <c r="C5" s="6" t="s">
        <v>28</v>
      </c>
      <c r="D5" s="7" t="s">
        <v>29</v>
      </c>
      <c r="E5" s="8" t="s">
        <v>30</v>
      </c>
      <c r="F5" s="6" t="s">
        <v>31</v>
      </c>
      <c r="G5" s="9">
        <f>IF(A5=1,"_",IF(C5="_","???",C5))</f>
        <v/>
      </c>
      <c r="H5" s="10" t="s">
        <v>16</v>
      </c>
      <c r="I5" s="11" t="s">
        <v>16</v>
      </c>
      <c r="J5" s="12"/>
    </row>
    <row r="6" spans="1:10" ht="60" customHeight="1">
      <c r="A6" s="6" t="s">
        <v>32</v>
      </c>
      <c r="B6" s="6" t="s">
        <v>33</v>
      </c>
      <c r="C6" s="6" t="s">
        <v>34</v>
      </c>
      <c r="D6" s="7" t="s">
        <v>35</v>
      </c>
      <c r="E6" s="8" t="s">
        <v>36</v>
      </c>
      <c r="F6" s="6" t="s">
        <v>37</v>
      </c>
      <c r="G6" s="9">
        <f>IF(A6=1,"_",IF(C6="_","???",C6))</f>
        <v/>
      </c>
      <c r="H6" s="10" t="s">
        <v>16</v>
      </c>
      <c r="I6" s="11" t="s">
        <v>16</v>
      </c>
      <c r="J6" s="12"/>
    </row>
    <row r="7" spans="1:10" ht="60" customHeight="1">
      <c r="A7" s="6" t="s">
        <v>33</v>
      </c>
      <c r="B7" s="6" t="s">
        <v>18</v>
      </c>
      <c r="C7" s="6" t="s">
        <v>16</v>
      </c>
      <c r="D7" s="7" t="s">
        <v>38</v>
      </c>
      <c r="E7" s="8" t="s">
        <v>39</v>
      </c>
      <c r="F7" s="6" t="s">
        <v>40</v>
      </c>
      <c r="G7" s="9">
        <f>IF(A7=1,"_",IF(C7="_","???",C7))</f>
        <v/>
      </c>
      <c r="H7" s="10" t="s">
        <v>16</v>
      </c>
      <c r="I7" s="11" t="s">
        <v>16</v>
      </c>
      <c r="J7" s="12"/>
    </row>
    <row r="8" spans="1:10" ht="60" customHeight="1">
      <c r="A8" s="6" t="s">
        <v>41</v>
      </c>
      <c r="B8" s="6" t="s">
        <v>18</v>
      </c>
      <c r="C8" s="6" t="s">
        <v>42</v>
      </c>
      <c r="D8" s="7" t="s">
        <v>43</v>
      </c>
      <c r="E8" s="8" t="s">
        <v>44</v>
      </c>
      <c r="F8" s="6" t="s">
        <v>45</v>
      </c>
      <c r="G8" s="9">
        <f>IF(A8=1,"_",IF(C8="_","???",C8))</f>
        <v/>
      </c>
      <c r="H8" s="10" t="s">
        <v>16</v>
      </c>
      <c r="I8" s="11" t="s">
        <v>16</v>
      </c>
      <c r="J8" s="12"/>
    </row>
    <row r="9" spans="1:10" ht="60" customHeight="1">
      <c r="A9" s="6" t="s">
        <v>46</v>
      </c>
      <c r="B9" s="6" t="s">
        <v>47</v>
      </c>
      <c r="C9" s="6" t="s">
        <v>48</v>
      </c>
      <c r="D9" s="7" t="s">
        <v>49</v>
      </c>
      <c r="E9" s="8" t="s">
        <v>50</v>
      </c>
      <c r="F9" s="6" t="s">
        <v>51</v>
      </c>
      <c r="G9" s="9">
        <f>IF(A9=1,"_",IF(C9="_","???",C9))</f>
        <v/>
      </c>
      <c r="H9" s="10" t="s">
        <v>16</v>
      </c>
      <c r="I9" s="11" t="s">
        <v>16</v>
      </c>
      <c r="J9" s="12"/>
    </row>
    <row r="10" spans="1:10" ht="60" customHeight="1">
      <c r="A10" s="6" t="s">
        <v>52</v>
      </c>
      <c r="B10" s="6" t="s">
        <v>18</v>
      </c>
      <c r="C10" s="6" t="s">
        <v>53</v>
      </c>
      <c r="D10" s="7" t="s">
        <v>54</v>
      </c>
      <c r="E10" s="8" t="s">
        <v>55</v>
      </c>
      <c r="F10" s="6" t="s">
        <v>56</v>
      </c>
      <c r="G10" s="9">
        <f>IF(A10=1,"_",IF(C10="_","???",C10))</f>
        <v/>
      </c>
      <c r="H10" s="10" t="s">
        <v>16</v>
      </c>
      <c r="I10" s="11" t="s">
        <v>16</v>
      </c>
      <c r="J10" s="12"/>
    </row>
    <row r="11" spans="1:10" ht="60" customHeight="1">
      <c r="A11" s="6" t="s">
        <v>57</v>
      </c>
      <c r="B11" s="6" t="s">
        <v>52</v>
      </c>
      <c r="C11" s="6" t="s">
        <v>16</v>
      </c>
      <c r="D11" s="7" t="s">
        <v>58</v>
      </c>
      <c r="E11" s="8" t="s">
        <v>59</v>
      </c>
      <c r="F11" s="6" t="s">
        <v>60</v>
      </c>
      <c r="G11" s="9">
        <f>IF(A11=1,"_",IF(C11="_","???",C11))</f>
        <v/>
      </c>
      <c r="H11" s="10" t="s">
        <v>16</v>
      </c>
      <c r="I11" s="11" t="s">
        <v>16</v>
      </c>
      <c r="J11" s="12"/>
    </row>
    <row r="12" spans="1:10" ht="60" customHeight="1">
      <c r="A12" s="6" t="s">
        <v>61</v>
      </c>
      <c r="B12" s="6" t="s">
        <v>27</v>
      </c>
      <c r="C12" s="6" t="s">
        <v>62</v>
      </c>
      <c r="D12" s="7" t="s">
        <v>63</v>
      </c>
      <c r="E12" s="8" t="s">
        <v>64</v>
      </c>
      <c r="F12" s="6" t="s">
        <v>65</v>
      </c>
      <c r="G12" s="9">
        <f>IF(A12=1,"_",IF(C12="_","???",C12))</f>
        <v/>
      </c>
      <c r="H12" s="10" t="s">
        <v>16</v>
      </c>
      <c r="I12" s="11" t="s">
        <v>16</v>
      </c>
      <c r="J12" s="12"/>
    </row>
    <row r="13" spans="1:10" ht="60" customHeight="1">
      <c r="A13" s="6" t="s">
        <v>66</v>
      </c>
      <c r="B13" s="6" t="s">
        <v>32</v>
      </c>
      <c r="C13" s="6" t="s">
        <v>67</v>
      </c>
      <c r="D13" s="7" t="s">
        <v>68</v>
      </c>
      <c r="E13" s="8" t="s">
        <v>69</v>
      </c>
      <c r="F13" s="6" t="s">
        <v>70</v>
      </c>
      <c r="G13" s="9">
        <f>IF(A13=1,"_",IF(C13="_","???",C13))</f>
        <v/>
      </c>
      <c r="H13" s="10" t="s">
        <v>16</v>
      </c>
      <c r="I13" s="11" t="s">
        <v>16</v>
      </c>
      <c r="J13" s="12"/>
    </row>
    <row r="14" spans="1:10" ht="60" customHeight="1">
      <c r="A14" s="6" t="s">
        <v>71</v>
      </c>
      <c r="B14" s="6" t="s">
        <v>17</v>
      </c>
      <c r="C14" s="6" t="s">
        <v>72</v>
      </c>
      <c r="D14" s="7" t="s">
        <v>73</v>
      </c>
      <c r="E14" s="8" t="s">
        <v>74</v>
      </c>
      <c r="F14" s="6" t="s">
        <v>75</v>
      </c>
      <c r="G14" s="9">
        <f>IF(A14=1,"_",IF(C14="_","???",C14))</f>
        <v/>
      </c>
      <c r="H14" s="10" t="s">
        <v>16</v>
      </c>
      <c r="I14" s="11" t="s">
        <v>16</v>
      </c>
      <c r="J14" s="12"/>
    </row>
    <row r="15" spans="1:10" ht="60" customHeight="1">
      <c r="A15" s="6" t="s">
        <v>76</v>
      </c>
      <c r="B15" s="6" t="s">
        <v>47</v>
      </c>
      <c r="C15" s="6" t="s">
        <v>16</v>
      </c>
      <c r="D15" s="7" t="s">
        <v>77</v>
      </c>
      <c r="E15" s="8" t="s">
        <v>78</v>
      </c>
      <c r="F15" s="6" t="s">
        <v>79</v>
      </c>
      <c r="G15" s="9">
        <f>IF(A15=1,"_",IF(C15="_","???",C15))</f>
        <v/>
      </c>
      <c r="H15" s="10" t="s">
        <v>16</v>
      </c>
      <c r="I15" s="11" t="s">
        <v>16</v>
      </c>
      <c r="J15" s="12"/>
    </row>
    <row r="16" spans="1:10" ht="60" customHeight="1">
      <c r="A16" s="6" t="s">
        <v>80</v>
      </c>
      <c r="B16" s="6" t="s">
        <v>32</v>
      </c>
      <c r="C16" s="6" t="s">
        <v>16</v>
      </c>
      <c r="D16" s="7" t="s">
        <v>81</v>
      </c>
      <c r="E16" s="8" t="s">
        <v>82</v>
      </c>
      <c r="F16" s="6" t="s">
        <v>83</v>
      </c>
      <c r="G16" s="9">
        <f>IF(A16=1,"_",IF(C16="_","???",C16))</f>
        <v/>
      </c>
      <c r="H16" s="10" t="s">
        <v>16</v>
      </c>
      <c r="I16" s="11" t="s">
        <v>16</v>
      </c>
      <c r="J16" s="12"/>
    </row>
    <row r="17" spans="1:10" ht="60" customHeight="1">
      <c r="A17" s="6" t="s">
        <v>84</v>
      </c>
      <c r="B17" s="6" t="s">
        <v>47</v>
      </c>
      <c r="C17" s="6" t="s">
        <v>16</v>
      </c>
      <c r="D17" s="7" t="s">
        <v>85</v>
      </c>
      <c r="E17" s="8" t="s">
        <v>86</v>
      </c>
      <c r="F17" s="6" t="s">
        <v>87</v>
      </c>
      <c r="G17" s="9">
        <f>IF(A17=1,"_",IF(C17="_","???",C17))</f>
        <v/>
      </c>
      <c r="H17" s="10" t="s">
        <v>16</v>
      </c>
      <c r="I17" s="11" t="s">
        <v>16</v>
      </c>
      <c r="J17" s="12"/>
    </row>
    <row r="18" spans="1:10" ht="60" customHeight="1">
      <c r="A18" s="6" t="s">
        <v>88</v>
      </c>
      <c r="B18" s="6" t="s">
        <v>89</v>
      </c>
      <c r="C18" s="6" t="s">
        <v>16</v>
      </c>
      <c r="D18" s="7" t="s">
        <v>90</v>
      </c>
      <c r="E18" s="8" t="s">
        <v>91</v>
      </c>
      <c r="F18" s="6" t="s">
        <v>92</v>
      </c>
      <c r="G18" s="9">
        <f>IF(A18=1,"_",IF(C18="_","???",C18))</f>
        <v/>
      </c>
      <c r="H18" s="10" t="s">
        <v>16</v>
      </c>
      <c r="I18" s="11" t="s">
        <v>16</v>
      </c>
      <c r="J18" s="12"/>
    </row>
    <row r="19" spans="1:10" ht="60" customHeight="1">
      <c r="A19" s="6" t="s">
        <v>93</v>
      </c>
      <c r="B19" s="6" t="s">
        <v>10</v>
      </c>
      <c r="C19" s="6" t="s">
        <v>16</v>
      </c>
      <c r="D19" s="7" t="s">
        <v>94</v>
      </c>
      <c r="E19" s="8" t="s">
        <v>95</v>
      </c>
      <c r="F19" s="6" t="s">
        <v>96</v>
      </c>
      <c r="G19" s="9">
        <f>IF(A19=1,"_",IF(C19="_","???",C19))</f>
        <v/>
      </c>
      <c r="H19" s="10" t="s">
        <v>16</v>
      </c>
      <c r="I19" s="11" t="s">
        <v>16</v>
      </c>
      <c r="J19" s="12"/>
    </row>
    <row r="20" spans="1:10" ht="60" customHeight="1">
      <c r="A20" s="6" t="s">
        <v>97</v>
      </c>
      <c r="B20" s="6" t="s">
        <v>18</v>
      </c>
      <c r="C20" s="6" t="s">
        <v>98</v>
      </c>
      <c r="D20" s="7" t="s">
        <v>99</v>
      </c>
      <c r="E20" s="8" t="s">
        <v>100</v>
      </c>
      <c r="F20" s="6" t="s">
        <v>101</v>
      </c>
      <c r="G20" s="9">
        <f>IF(A20=1,"_",IF(C20="_","???",C20))</f>
        <v/>
      </c>
      <c r="H20" s="10" t="s">
        <v>16</v>
      </c>
      <c r="I20" s="11" t="s">
        <v>16</v>
      </c>
      <c r="J20" s="12"/>
    </row>
    <row r="21" spans="1:10" ht="60" customHeight="1">
      <c r="A21" s="6" t="s">
        <v>102</v>
      </c>
      <c r="B21" s="6" t="s">
        <v>52</v>
      </c>
      <c r="C21" s="6" t="s">
        <v>16</v>
      </c>
      <c r="D21" s="7" t="s">
        <v>103</v>
      </c>
      <c r="E21" s="8" t="s">
        <v>104</v>
      </c>
      <c r="F21" s="6" t="s">
        <v>105</v>
      </c>
      <c r="G21" s="9">
        <f>IF(A21=1,"_",IF(C21="_","???",C21))</f>
        <v/>
      </c>
      <c r="H21" s="10" t="s">
        <v>16</v>
      </c>
      <c r="I21" s="11" t="s">
        <v>16</v>
      </c>
      <c r="J21" s="12"/>
    </row>
    <row r="22" spans="1:10" ht="60" customHeight="1">
      <c r="A22" s="6" t="s">
        <v>11</v>
      </c>
      <c r="B22" s="6" t="s">
        <v>18</v>
      </c>
      <c r="C22" s="6" t="s">
        <v>16</v>
      </c>
      <c r="D22" s="7" t="s">
        <v>43</v>
      </c>
      <c r="E22" s="8" t="s">
        <v>106</v>
      </c>
      <c r="F22" s="6" t="s">
        <v>107</v>
      </c>
      <c r="G22" s="9">
        <f>IF(A22=1,"_",IF(C22="_","???",C22))</f>
        <v/>
      </c>
      <c r="H22" s="10" t="s">
        <v>16</v>
      </c>
      <c r="I22" s="11" t="s">
        <v>16</v>
      </c>
      <c r="J22" s="12"/>
    </row>
    <row r="23" spans="1:10" ht="60" customHeight="1">
      <c r="A23" s="6" t="s">
        <v>108</v>
      </c>
      <c r="B23" s="6" t="s">
        <v>47</v>
      </c>
      <c r="C23" s="6" t="s">
        <v>16</v>
      </c>
      <c r="D23" s="7" t="s">
        <v>109</v>
      </c>
      <c r="E23" s="8" t="s">
        <v>110</v>
      </c>
      <c r="F23" s="6" t="s">
        <v>111</v>
      </c>
      <c r="G23" s="9">
        <f>IF(A23=1,"_",IF(C23="_","???",C23))</f>
        <v/>
      </c>
      <c r="H23" s="10" t="s">
        <v>16</v>
      </c>
      <c r="I23" s="11" t="s">
        <v>16</v>
      </c>
      <c r="J23" s="12"/>
    </row>
    <row r="24" spans="1:10" ht="60" customHeight="1">
      <c r="A24" s="6" t="s">
        <v>112</v>
      </c>
      <c r="B24" s="6" t="s">
        <v>47</v>
      </c>
      <c r="C24" s="6" t="s">
        <v>16</v>
      </c>
      <c r="D24" s="7" t="s">
        <v>113</v>
      </c>
      <c r="E24" s="8" t="s">
        <v>114</v>
      </c>
      <c r="F24" s="6" t="s">
        <v>115</v>
      </c>
      <c r="G24" s="9">
        <f>IF(A24=1,"_",IF(C24="_","???",C24))</f>
        <v/>
      </c>
      <c r="H24" s="10" t="s">
        <v>16</v>
      </c>
      <c r="I24" s="11" t="s">
        <v>16</v>
      </c>
      <c r="J24" s="12"/>
    </row>
    <row r="25" spans="1:10" ht="60" customHeight="1">
      <c r="A25" s="6" t="s">
        <v>116</v>
      </c>
      <c r="B25" s="6" t="s">
        <v>17</v>
      </c>
      <c r="C25" s="6" t="s">
        <v>117</v>
      </c>
      <c r="D25" s="7" t="s">
        <v>118</v>
      </c>
      <c r="E25" s="8" t="s">
        <v>119</v>
      </c>
      <c r="F25" s="6" t="s">
        <v>120</v>
      </c>
      <c r="G25" s="9">
        <f>IF(A25=1,"_",IF(C25="_","???",C25))</f>
        <v/>
      </c>
      <c r="H25" s="10" t="s">
        <v>16</v>
      </c>
      <c r="I25" s="11" t="s">
        <v>16</v>
      </c>
      <c r="J25" s="12"/>
    </row>
    <row r="26" spans="1:10" ht="60" customHeight="1">
      <c r="A26" s="6" t="s">
        <v>121</v>
      </c>
      <c r="B26" s="6" t="s">
        <v>18</v>
      </c>
      <c r="C26" s="6" t="s">
        <v>16</v>
      </c>
      <c r="D26" s="7" t="s">
        <v>122</v>
      </c>
      <c r="E26" s="8" t="s">
        <v>123</v>
      </c>
      <c r="F26" s="6" t="s">
        <v>124</v>
      </c>
      <c r="G26" s="9">
        <f>IF(A26=1,"_",IF(C26="_","???",C26))</f>
        <v/>
      </c>
      <c r="H26" s="10" t="s">
        <v>16</v>
      </c>
      <c r="I26" s="11" t="s">
        <v>16</v>
      </c>
      <c r="J26" s="12"/>
    </row>
    <row r="27" spans="1:10" ht="60" customHeight="1">
      <c r="A27" s="6" t="s">
        <v>125</v>
      </c>
      <c r="B27" s="6" t="s">
        <v>52</v>
      </c>
      <c r="C27" s="6" t="s">
        <v>16</v>
      </c>
      <c r="D27" s="7" t="s">
        <v>126</v>
      </c>
      <c r="E27" s="8" t="s">
        <v>127</v>
      </c>
      <c r="F27" s="6" t="s">
        <v>128</v>
      </c>
      <c r="G27" s="9">
        <f>IF(A27=1,"_",IF(C27="_","???",C27))</f>
        <v/>
      </c>
      <c r="H27" s="10" t="s">
        <v>16</v>
      </c>
      <c r="I27" s="11" t="s">
        <v>16</v>
      </c>
      <c r="J27" s="12"/>
    </row>
    <row r="28" spans="1:10" ht="60" customHeight="1">
      <c r="A28" s="6" t="s">
        <v>129</v>
      </c>
      <c r="B28" s="6" t="s">
        <v>47</v>
      </c>
      <c r="C28" s="6" t="s">
        <v>16</v>
      </c>
      <c r="D28" s="7" t="s">
        <v>130</v>
      </c>
      <c r="E28" s="8" t="s">
        <v>131</v>
      </c>
      <c r="F28" s="6" t="s">
        <v>132</v>
      </c>
      <c r="G28" s="9">
        <f>IF(A28=1,"_",IF(C28="_","???",C28))</f>
        <v/>
      </c>
      <c r="H28" s="10" t="s">
        <v>16</v>
      </c>
      <c r="I28" s="11" t="s">
        <v>16</v>
      </c>
      <c r="J28" s="12"/>
    </row>
    <row r="29" spans="1:10" ht="60" customHeight="1">
      <c r="A29" s="6" t="s">
        <v>133</v>
      </c>
      <c r="B29" s="6" t="s">
        <v>134</v>
      </c>
      <c r="C29" s="6" t="s">
        <v>16</v>
      </c>
      <c r="D29" s="7" t="s">
        <v>135</v>
      </c>
      <c r="E29" s="8" t="s">
        <v>135</v>
      </c>
      <c r="F29" s="6" t="s">
        <v>136</v>
      </c>
      <c r="G29" s="9">
        <f>IF(A29=1,"_",IF(C29="_","???",C29))</f>
        <v/>
      </c>
      <c r="H29" s="10" t="s">
        <v>16</v>
      </c>
      <c r="I29" s="11" t="s">
        <v>16</v>
      </c>
      <c r="J29" s="12"/>
    </row>
    <row r="30" spans="1:10" ht="60" customHeight="1">
      <c r="A30" s="6" t="s">
        <v>137</v>
      </c>
      <c r="B30" s="6" t="s">
        <v>10</v>
      </c>
      <c r="C30" s="6" t="s">
        <v>138</v>
      </c>
      <c r="D30" s="7" t="s">
        <v>139</v>
      </c>
      <c r="E30" s="8" t="s">
        <v>140</v>
      </c>
      <c r="F30" s="6" t="s">
        <v>141</v>
      </c>
      <c r="G30" s="9">
        <f>IF(A30=1,"_",IF(C30="_","???",C30))</f>
        <v/>
      </c>
      <c r="H30" s="10" t="s">
        <v>16</v>
      </c>
      <c r="I30" s="11" t="s">
        <v>16</v>
      </c>
      <c r="J30" s="12"/>
    </row>
    <row r="31" spans="1:10" ht="60" customHeight="1">
      <c r="A31" s="6" t="s">
        <v>142</v>
      </c>
      <c r="B31" s="6" t="s">
        <v>47</v>
      </c>
      <c r="C31" s="6" t="s">
        <v>16</v>
      </c>
      <c r="D31" s="7" t="s">
        <v>143</v>
      </c>
      <c r="E31" s="8" t="s">
        <v>144</v>
      </c>
      <c r="F31" s="6" t="s">
        <v>145</v>
      </c>
      <c r="G31" s="9">
        <f>IF(A31=1,"_",IF(C31="_","???",C31))</f>
        <v/>
      </c>
      <c r="H31" s="10" t="s">
        <v>16</v>
      </c>
      <c r="I31" s="11" t="s">
        <v>16</v>
      </c>
      <c r="J31" s="12"/>
    </row>
    <row r="32" spans="1:10" ht="60" customHeight="1">
      <c r="A32" s="6" t="s">
        <v>146</v>
      </c>
      <c r="B32" s="6" t="s">
        <v>32</v>
      </c>
      <c r="C32" s="6" t="s">
        <v>16</v>
      </c>
      <c r="D32" s="7" t="s">
        <v>147</v>
      </c>
      <c r="E32" s="8" t="s">
        <v>148</v>
      </c>
      <c r="F32" s="6" t="s">
        <v>149</v>
      </c>
      <c r="G32" s="9">
        <f>IF(A32=1,"_",IF(C32="_","???",C32))</f>
        <v/>
      </c>
      <c r="H32" s="10" t="s">
        <v>16</v>
      </c>
      <c r="I32" s="11" t="s">
        <v>16</v>
      </c>
      <c r="J32" s="12"/>
    </row>
    <row r="33" spans="1:10" ht="60" customHeight="1">
      <c r="A33" s="6" t="s">
        <v>150</v>
      </c>
      <c r="B33" s="6" t="s">
        <v>46</v>
      </c>
      <c r="C33" s="6" t="s">
        <v>16</v>
      </c>
      <c r="D33" s="7" t="s">
        <v>81</v>
      </c>
      <c r="E33" s="8" t="s">
        <v>151</v>
      </c>
      <c r="F33" s="6" t="s">
        <v>152</v>
      </c>
      <c r="G33" s="9">
        <f>IF(A33=1,"_",IF(C33="_","???",C33))</f>
        <v/>
      </c>
      <c r="H33" s="10" t="s">
        <v>16</v>
      </c>
      <c r="I33" s="11" t="s">
        <v>16</v>
      </c>
      <c r="J33" s="12"/>
    </row>
    <row r="34" spans="1:10" ht="60" customHeight="1">
      <c r="A34" s="6" t="s">
        <v>153</v>
      </c>
      <c r="B34" s="6" t="s">
        <v>10</v>
      </c>
      <c r="C34" s="6" t="s">
        <v>16</v>
      </c>
      <c r="D34" s="7" t="s">
        <v>154</v>
      </c>
      <c r="E34" s="8" t="s">
        <v>155</v>
      </c>
      <c r="F34" s="6" t="s">
        <v>156</v>
      </c>
      <c r="G34" s="9">
        <f>IF(A34=1,"_",IF(C34="_","???",C34))</f>
        <v/>
      </c>
      <c r="H34" s="10" t="s">
        <v>16</v>
      </c>
      <c r="I34" s="11" t="s">
        <v>16</v>
      </c>
      <c r="J34" s="12"/>
    </row>
    <row r="35" spans="1:10" ht="60" customHeight="1">
      <c r="A35" s="6" t="s">
        <v>157</v>
      </c>
      <c r="B35" s="6" t="s">
        <v>18</v>
      </c>
      <c r="C35" s="6" t="s">
        <v>16</v>
      </c>
      <c r="D35" s="7" t="s">
        <v>43</v>
      </c>
      <c r="E35" s="8" t="s">
        <v>158</v>
      </c>
      <c r="F35" s="6" t="s">
        <v>159</v>
      </c>
      <c r="G35" s="9">
        <f>IF(A35=1,"_",IF(C35="_","???",C35))</f>
        <v/>
      </c>
      <c r="H35" s="10" t="s">
        <v>16</v>
      </c>
      <c r="I35" s="11" t="s">
        <v>16</v>
      </c>
      <c r="J35" s="12"/>
    </row>
    <row r="36" spans="1:10" ht="60" customHeight="1">
      <c r="A36" s="6" t="s">
        <v>160</v>
      </c>
      <c r="B36" s="6" t="s">
        <v>134</v>
      </c>
      <c r="C36" s="6" t="s">
        <v>16</v>
      </c>
      <c r="D36" s="7" t="s">
        <v>161</v>
      </c>
      <c r="E36" s="8" t="s">
        <v>162</v>
      </c>
      <c r="F36" s="6" t="s">
        <v>163</v>
      </c>
      <c r="G36" s="9">
        <f>IF(A36=1,"_",IF(C36="_","???",C36))</f>
        <v/>
      </c>
      <c r="H36" s="10" t="s">
        <v>16</v>
      </c>
      <c r="I36" s="11" t="s">
        <v>16</v>
      </c>
      <c r="J36" s="12"/>
    </row>
    <row r="37" spans="1:10" ht="60" customHeight="1">
      <c r="A37" s="6" t="s">
        <v>164</v>
      </c>
      <c r="B37" s="6" t="s">
        <v>57</v>
      </c>
      <c r="C37" s="6" t="s">
        <v>16</v>
      </c>
      <c r="D37" s="7" t="s">
        <v>165</v>
      </c>
      <c r="E37" s="8" t="s">
        <v>166</v>
      </c>
      <c r="F37" s="6" t="s">
        <v>167</v>
      </c>
      <c r="G37" s="9">
        <f>IF(A37=1,"_",IF(C37="_","???",C37))</f>
        <v/>
      </c>
      <c r="H37" s="10" t="s">
        <v>16</v>
      </c>
      <c r="I37" s="11" t="s">
        <v>16</v>
      </c>
      <c r="J37" s="12"/>
    </row>
    <row r="38" spans="1:10" ht="60" customHeight="1">
      <c r="A38" s="6" t="s">
        <v>168</v>
      </c>
      <c r="B38" s="6" t="s">
        <v>134</v>
      </c>
      <c r="C38" s="6" t="s">
        <v>16</v>
      </c>
      <c r="D38" s="7" t="s">
        <v>49</v>
      </c>
      <c r="E38" s="8" t="s">
        <v>169</v>
      </c>
      <c r="F38" s="6" t="s">
        <v>170</v>
      </c>
      <c r="G38" s="9">
        <f>IF(A38=1,"_",IF(C38="_","???",C38))</f>
        <v/>
      </c>
      <c r="H38" s="10" t="s">
        <v>16</v>
      </c>
      <c r="I38" s="11" t="s">
        <v>16</v>
      </c>
      <c r="J38" s="12"/>
    </row>
    <row r="39" spans="1:10" ht="60" customHeight="1">
      <c r="A39" s="6" t="s">
        <v>171</v>
      </c>
      <c r="B39" s="6" t="s">
        <v>47</v>
      </c>
      <c r="C39" s="6" t="s">
        <v>16</v>
      </c>
      <c r="D39" s="7" t="s">
        <v>172</v>
      </c>
      <c r="E39" s="8" t="s">
        <v>173</v>
      </c>
      <c r="F39" s="6" t="s">
        <v>174</v>
      </c>
      <c r="G39" s="9">
        <f>IF(A39=1,"_",IF(C39="_","???",C39))</f>
        <v/>
      </c>
      <c r="H39" s="10" t="s">
        <v>16</v>
      </c>
      <c r="I39" s="11" t="s">
        <v>16</v>
      </c>
      <c r="J39" s="12"/>
    </row>
    <row r="40" spans="1:10" ht="60" customHeight="1">
      <c r="A40" s="6" t="s">
        <v>175</v>
      </c>
      <c r="B40" s="6" t="s">
        <v>47</v>
      </c>
      <c r="C40" s="6" t="s">
        <v>16</v>
      </c>
      <c r="D40" s="7" t="s">
        <v>176</v>
      </c>
      <c r="E40" s="8" t="s">
        <v>177</v>
      </c>
      <c r="F40" s="6" t="s">
        <v>178</v>
      </c>
      <c r="G40" s="9">
        <f>IF(A40=1,"_",IF(C40="_","???",C40))</f>
        <v/>
      </c>
      <c r="H40" s="10" t="s">
        <v>16</v>
      </c>
      <c r="I40" s="11" t="s">
        <v>16</v>
      </c>
      <c r="J40" s="12"/>
    </row>
    <row r="41" spans="1:10" ht="60" customHeight="1">
      <c r="A41" s="6" t="s">
        <v>179</v>
      </c>
      <c r="B41" s="6" t="s">
        <v>32</v>
      </c>
      <c r="C41" s="6" t="s">
        <v>12</v>
      </c>
      <c r="D41" s="7" t="s">
        <v>180</v>
      </c>
      <c r="E41" s="8" t="s">
        <v>181</v>
      </c>
      <c r="F41" s="6" t="s">
        <v>182</v>
      </c>
      <c r="G41" s="9">
        <f>IF(A41=1,"_",IF(C41="_","???",C41))</f>
        <v/>
      </c>
      <c r="H41" s="10" t="s">
        <v>16</v>
      </c>
      <c r="I41" s="11" t="s">
        <v>16</v>
      </c>
      <c r="J41" s="12"/>
    </row>
    <row r="42" spans="1:10" ht="60" customHeight="1">
      <c r="A42" s="6" t="s">
        <v>183</v>
      </c>
      <c r="B42" s="6" t="s">
        <v>10</v>
      </c>
      <c r="C42" s="6" t="s">
        <v>48</v>
      </c>
      <c r="D42" s="7" t="s">
        <v>184</v>
      </c>
      <c r="E42" s="8" t="s">
        <v>185</v>
      </c>
      <c r="F42" s="6" t="s">
        <v>186</v>
      </c>
      <c r="G42" s="9">
        <f>IF(A42=1,"_",IF(C42="_","???",C42))</f>
        <v/>
      </c>
      <c r="H42" s="10" t="s">
        <v>16</v>
      </c>
      <c r="I42" s="11" t="s">
        <v>16</v>
      </c>
      <c r="J42" s="12"/>
    </row>
    <row r="43" spans="1:10" ht="60" customHeight="1">
      <c r="A43" s="6" t="s">
        <v>187</v>
      </c>
      <c r="B43" s="6" t="s">
        <v>27</v>
      </c>
      <c r="C43" s="6" t="s">
        <v>16</v>
      </c>
      <c r="D43" s="7" t="s">
        <v>188</v>
      </c>
      <c r="E43" s="8" t="s">
        <v>189</v>
      </c>
      <c r="F43" s="6" t="s">
        <v>190</v>
      </c>
      <c r="G43" s="9">
        <f>IF(A43=1,"_",IF(C43="_","???",C43))</f>
        <v/>
      </c>
      <c r="H43" s="10" t="s">
        <v>16</v>
      </c>
      <c r="I43" s="11" t="s">
        <v>16</v>
      </c>
      <c r="J43" s="12"/>
    </row>
    <row r="44" spans="1:10" ht="60" customHeight="1">
      <c r="A44" s="6" t="s">
        <v>191</v>
      </c>
      <c r="B44" s="6" t="s">
        <v>18</v>
      </c>
      <c r="C44" s="6" t="s">
        <v>192</v>
      </c>
      <c r="D44" s="7" t="s">
        <v>193</v>
      </c>
      <c r="E44" s="8" t="s">
        <v>194</v>
      </c>
      <c r="F44" s="6" t="s">
        <v>195</v>
      </c>
      <c r="G44" s="9">
        <f>IF(A44=1,"_",IF(C44="_","???",C44))</f>
        <v/>
      </c>
      <c r="H44" s="10" t="s">
        <v>16</v>
      </c>
      <c r="I44" s="11" t="s">
        <v>16</v>
      </c>
      <c r="J44" s="12"/>
    </row>
    <row r="45" spans="1:10" ht="60" customHeight="1">
      <c r="A45" s="6" t="s">
        <v>196</v>
      </c>
      <c r="B45" s="6" t="s">
        <v>134</v>
      </c>
      <c r="C45" s="6" t="s">
        <v>197</v>
      </c>
      <c r="D45" s="7" t="s">
        <v>198</v>
      </c>
      <c r="E45" s="8" t="s">
        <v>199</v>
      </c>
      <c r="F45" s="6" t="s">
        <v>200</v>
      </c>
      <c r="G45" s="9">
        <f>IF(A45=1,"_",IF(C45="_","???",C45))</f>
        <v/>
      </c>
      <c r="H45" s="10" t="s">
        <v>16</v>
      </c>
      <c r="I45" s="11" t="s">
        <v>16</v>
      </c>
      <c r="J45" s="12"/>
    </row>
    <row r="46" spans="1:10" ht="60" customHeight="1">
      <c r="A46" s="6" t="s">
        <v>201</v>
      </c>
      <c r="B46" s="6" t="s">
        <v>57</v>
      </c>
      <c r="C46" s="6" t="s">
        <v>138</v>
      </c>
      <c r="D46" s="7" t="s">
        <v>202</v>
      </c>
      <c r="E46" s="8" t="s">
        <v>203</v>
      </c>
      <c r="F46" s="6" t="s">
        <v>204</v>
      </c>
      <c r="G46" s="9">
        <f>IF(A46=1,"_",IF(C46="_","???",C46))</f>
        <v/>
      </c>
      <c r="H46" s="10" t="s">
        <v>16</v>
      </c>
      <c r="I46" s="11" t="s">
        <v>16</v>
      </c>
      <c r="J46" s="12"/>
    </row>
    <row r="47" spans="1:10" ht="60" customHeight="1">
      <c r="A47" s="6" t="s">
        <v>205</v>
      </c>
      <c r="B47" s="6" t="s">
        <v>134</v>
      </c>
      <c r="C47" s="6" t="s">
        <v>16</v>
      </c>
      <c r="D47" s="7" t="s">
        <v>135</v>
      </c>
      <c r="E47" s="8" t="s">
        <v>135</v>
      </c>
      <c r="F47" s="6" t="s">
        <v>206</v>
      </c>
      <c r="G47" s="9">
        <f>IF(A47=1,"_",IF(C47="_","???",C47))</f>
        <v/>
      </c>
      <c r="H47" s="10" t="s">
        <v>16</v>
      </c>
      <c r="I47" s="11" t="s">
        <v>16</v>
      </c>
      <c r="J47" s="12"/>
    </row>
    <row r="48" spans="1:10" ht="60" customHeight="1">
      <c r="A48" s="6" t="s">
        <v>207</v>
      </c>
      <c r="B48" s="6" t="s">
        <v>41</v>
      </c>
      <c r="C48" s="6" t="s">
        <v>72</v>
      </c>
      <c r="D48" s="7" t="s">
        <v>208</v>
      </c>
      <c r="E48" s="8" t="s">
        <v>209</v>
      </c>
      <c r="F48" s="6" t="s">
        <v>210</v>
      </c>
      <c r="G48" s="9">
        <f>IF(A48=1,"_",IF(C48="_","???",C48))</f>
        <v/>
      </c>
      <c r="H48" s="10" t="s">
        <v>16</v>
      </c>
      <c r="I48" s="11" t="s">
        <v>16</v>
      </c>
      <c r="J48" s="12"/>
    </row>
    <row r="49" spans="1:10" ht="60" customHeight="1">
      <c r="A49" s="6" t="s">
        <v>211</v>
      </c>
      <c r="B49" s="6" t="s">
        <v>41</v>
      </c>
      <c r="C49" s="6" t="s">
        <v>48</v>
      </c>
      <c r="D49" s="7" t="s">
        <v>212</v>
      </c>
      <c r="E49" s="8" t="s">
        <v>213</v>
      </c>
      <c r="F49" s="6" t="s">
        <v>214</v>
      </c>
      <c r="G49" s="9">
        <f>IF(A49=1,"_",IF(C49="_","???",C49))</f>
        <v/>
      </c>
      <c r="H49" s="10" t="s">
        <v>16</v>
      </c>
      <c r="I49" s="11" t="s">
        <v>16</v>
      </c>
      <c r="J49" s="12"/>
    </row>
    <row r="50" spans="1:10" ht="60" customHeight="1">
      <c r="A50" s="6" t="s">
        <v>215</v>
      </c>
      <c r="B50" s="6" t="s">
        <v>10</v>
      </c>
      <c r="C50" s="6" t="s">
        <v>117</v>
      </c>
      <c r="D50" s="7" t="s">
        <v>216</v>
      </c>
      <c r="E50" s="8" t="s">
        <v>217</v>
      </c>
      <c r="F50" s="6" t="s">
        <v>218</v>
      </c>
      <c r="G50" s="9">
        <f>IF(A50=1,"_",IF(C50="_","???",C50))</f>
        <v/>
      </c>
      <c r="H50" s="10" t="s">
        <v>16</v>
      </c>
      <c r="I50" s="11" t="s">
        <v>16</v>
      </c>
      <c r="J50" s="12"/>
    </row>
    <row r="51" spans="1:10" ht="60" customHeight="1">
      <c r="A51" s="6" t="s">
        <v>219</v>
      </c>
      <c r="B51" s="6" t="s">
        <v>18</v>
      </c>
      <c r="C51" s="6" t="s">
        <v>16</v>
      </c>
      <c r="D51" s="7" t="s">
        <v>220</v>
      </c>
      <c r="E51" s="8" t="s">
        <v>221</v>
      </c>
      <c r="F51" s="6" t="s">
        <v>222</v>
      </c>
      <c r="G51" s="9">
        <f>IF(A51=1,"_",IF(C51="_","???",C51))</f>
        <v/>
      </c>
      <c r="H51" s="10" t="s">
        <v>16</v>
      </c>
      <c r="I51" s="11" t="s">
        <v>16</v>
      </c>
      <c r="J51" s="12"/>
    </row>
    <row r="52" spans="1:10" ht="60" customHeight="1">
      <c r="A52" s="6" t="s">
        <v>223</v>
      </c>
      <c r="B52" s="6" t="s">
        <v>18</v>
      </c>
      <c r="C52" s="6" t="s">
        <v>16</v>
      </c>
      <c r="D52" s="7" t="s">
        <v>224</v>
      </c>
      <c r="E52" s="8" t="s">
        <v>225</v>
      </c>
      <c r="F52" s="6" t="s">
        <v>226</v>
      </c>
      <c r="G52" s="9">
        <f>IF(A52=1,"_",IF(C52="_","???",C52))</f>
        <v/>
      </c>
      <c r="H52" s="10" t="s">
        <v>16</v>
      </c>
      <c r="I52" s="11" t="s">
        <v>16</v>
      </c>
      <c r="J52" s="12"/>
    </row>
    <row r="53" spans="1:10" ht="60" customHeight="1">
      <c r="A53" s="6" t="s">
        <v>227</v>
      </c>
      <c r="B53" s="6" t="s">
        <v>18</v>
      </c>
      <c r="C53" s="6" t="s">
        <v>16</v>
      </c>
      <c r="D53" s="7" t="s">
        <v>228</v>
      </c>
      <c r="E53" s="8" t="s">
        <v>229</v>
      </c>
      <c r="F53" s="6" t="s">
        <v>230</v>
      </c>
      <c r="G53" s="9">
        <f>IF(A53=1,"_",IF(C53="_","???",C53))</f>
        <v/>
      </c>
      <c r="H53" s="10" t="s">
        <v>16</v>
      </c>
      <c r="I53" s="11" t="s">
        <v>16</v>
      </c>
      <c r="J53" s="12"/>
    </row>
    <row r="54" spans="1:10" ht="60" customHeight="1">
      <c r="A54" s="6" t="s">
        <v>231</v>
      </c>
      <c r="B54" s="6" t="s">
        <v>47</v>
      </c>
      <c r="C54" s="6" t="s">
        <v>16</v>
      </c>
      <c r="D54" s="7" t="s">
        <v>232</v>
      </c>
      <c r="E54" s="8" t="s">
        <v>233</v>
      </c>
      <c r="F54" s="6" t="s">
        <v>234</v>
      </c>
      <c r="G54" s="9">
        <f>IF(A54=1,"_",IF(C54="_","???",C54))</f>
        <v/>
      </c>
      <c r="H54" s="10" t="s">
        <v>16</v>
      </c>
      <c r="I54" s="11" t="s">
        <v>16</v>
      </c>
      <c r="J54" s="12"/>
    </row>
    <row r="55" spans="1:10" ht="60" customHeight="1">
      <c r="A55" s="6" t="s">
        <v>235</v>
      </c>
      <c r="B55" s="6" t="s">
        <v>57</v>
      </c>
      <c r="C55" s="6" t="s">
        <v>16</v>
      </c>
      <c r="D55" s="7" t="s">
        <v>236</v>
      </c>
      <c r="E55" s="8" t="s">
        <v>237</v>
      </c>
      <c r="F55" s="6" t="s">
        <v>238</v>
      </c>
      <c r="G55" s="9">
        <f>IF(A55=1,"_",IF(C55="_","???",C55))</f>
        <v/>
      </c>
      <c r="H55" s="10" t="s">
        <v>16</v>
      </c>
      <c r="I55" s="11" t="s">
        <v>16</v>
      </c>
      <c r="J55" s="12"/>
    </row>
    <row r="56" spans="1:10" ht="60" customHeight="1">
      <c r="A56" s="6" t="s">
        <v>239</v>
      </c>
      <c r="B56" s="6" t="s">
        <v>22</v>
      </c>
      <c r="C56" s="6" t="s">
        <v>72</v>
      </c>
      <c r="D56" s="7" t="s">
        <v>188</v>
      </c>
      <c r="E56" s="8" t="s">
        <v>240</v>
      </c>
      <c r="F56" s="6" t="s">
        <v>241</v>
      </c>
      <c r="G56" s="9">
        <f>IF(A56=1,"_",IF(C56="_","???",C56))</f>
        <v/>
      </c>
      <c r="H56" s="10" t="s">
        <v>16</v>
      </c>
      <c r="I56" s="11" t="s">
        <v>16</v>
      </c>
      <c r="J56" s="12"/>
    </row>
    <row r="57" spans="1:10" ht="60" customHeight="1">
      <c r="A57" s="6" t="s">
        <v>242</v>
      </c>
      <c r="B57" s="6" t="s">
        <v>47</v>
      </c>
      <c r="C57" s="6" t="s">
        <v>62</v>
      </c>
      <c r="D57" s="7" t="s">
        <v>243</v>
      </c>
      <c r="E57" s="8" t="s">
        <v>244</v>
      </c>
      <c r="F57" s="6" t="s">
        <v>245</v>
      </c>
      <c r="G57" s="9">
        <f>IF(A57=1,"_",IF(C57="_","???",C57))</f>
        <v/>
      </c>
      <c r="H57" s="10" t="s">
        <v>16</v>
      </c>
      <c r="I57" s="11" t="s">
        <v>16</v>
      </c>
      <c r="J57" s="12"/>
    </row>
    <row r="58" spans="1:10" ht="60" customHeight="1">
      <c r="A58" s="6" t="s">
        <v>246</v>
      </c>
      <c r="B58" s="6" t="s">
        <v>18</v>
      </c>
      <c r="C58" s="6" t="s">
        <v>16</v>
      </c>
      <c r="D58" s="7" t="s">
        <v>247</v>
      </c>
      <c r="E58" s="8" t="s">
        <v>248</v>
      </c>
      <c r="F58" s="6" t="s">
        <v>249</v>
      </c>
      <c r="G58" s="9">
        <f>IF(A58=1,"_",IF(C58="_","???",C58))</f>
        <v/>
      </c>
      <c r="H58" s="10" t="s">
        <v>16</v>
      </c>
      <c r="I58" s="11" t="s">
        <v>16</v>
      </c>
      <c r="J58" s="12"/>
    </row>
    <row r="59" spans="1:10" ht="60" customHeight="1">
      <c r="A59" s="6" t="s">
        <v>250</v>
      </c>
      <c r="B59" s="6" t="s">
        <v>47</v>
      </c>
      <c r="C59" s="6" t="s">
        <v>16</v>
      </c>
      <c r="D59" s="7" t="s">
        <v>251</v>
      </c>
      <c r="E59" s="8" t="s">
        <v>252</v>
      </c>
      <c r="F59" s="6" t="s">
        <v>253</v>
      </c>
      <c r="G59" s="9">
        <f>IF(A59=1,"_",IF(C59="_","???",C59))</f>
        <v/>
      </c>
      <c r="H59" s="10" t="s">
        <v>16</v>
      </c>
      <c r="I59" s="11" t="s">
        <v>16</v>
      </c>
      <c r="J59" s="12"/>
    </row>
    <row r="60" spans="1:10" ht="60" customHeight="1">
      <c r="A60" s="6" t="s">
        <v>254</v>
      </c>
      <c r="B60" s="6" t="s">
        <v>18</v>
      </c>
      <c r="C60" s="6" t="s">
        <v>72</v>
      </c>
      <c r="D60" s="7" t="s">
        <v>255</v>
      </c>
      <c r="E60" s="8" t="s">
        <v>256</v>
      </c>
      <c r="F60" s="6" t="s">
        <v>257</v>
      </c>
      <c r="G60" s="9">
        <f>IF(A60=1,"_",IF(C60="_","???",C60))</f>
        <v/>
      </c>
      <c r="H60" s="10" t="s">
        <v>16</v>
      </c>
      <c r="I60" s="11" t="s">
        <v>16</v>
      </c>
      <c r="J60" s="12"/>
    </row>
    <row r="61" spans="1:10" ht="60" customHeight="1">
      <c r="A61" s="6" t="s">
        <v>258</v>
      </c>
      <c r="B61" s="6" t="s">
        <v>47</v>
      </c>
      <c r="C61" s="6" t="s">
        <v>72</v>
      </c>
      <c r="D61" s="7" t="s">
        <v>259</v>
      </c>
      <c r="E61" s="8" t="s">
        <v>260</v>
      </c>
      <c r="F61" s="6" t="s">
        <v>261</v>
      </c>
      <c r="G61" s="9">
        <f>IF(A61=1,"_",IF(C61="_","???",C61))</f>
        <v/>
      </c>
      <c r="H61" s="10" t="s">
        <v>16</v>
      </c>
      <c r="I61" s="11" t="s">
        <v>16</v>
      </c>
      <c r="J61" s="12"/>
    </row>
    <row r="62" spans="1:10" ht="60" customHeight="1">
      <c r="A62" s="6" t="s">
        <v>262</v>
      </c>
      <c r="B62" s="6" t="s">
        <v>47</v>
      </c>
      <c r="C62" s="6" t="s">
        <v>16</v>
      </c>
      <c r="D62" s="7" t="s">
        <v>263</v>
      </c>
      <c r="E62" s="8" t="s">
        <v>264</v>
      </c>
      <c r="F62" s="6" t="s">
        <v>265</v>
      </c>
      <c r="G62" s="9">
        <f>IF(A62=1,"_",IF(C62="_","???",C62))</f>
        <v/>
      </c>
      <c r="H62" s="10" t="s">
        <v>16</v>
      </c>
      <c r="I62" s="11" t="s">
        <v>16</v>
      </c>
      <c r="J62" s="12"/>
    </row>
    <row r="63" spans="1:10" ht="60" customHeight="1">
      <c r="A63" s="6" t="s">
        <v>266</v>
      </c>
      <c r="B63" s="6" t="s">
        <v>47</v>
      </c>
      <c r="C63" s="6" t="s">
        <v>16</v>
      </c>
      <c r="D63" s="7" t="s">
        <v>259</v>
      </c>
      <c r="E63" s="8" t="s">
        <v>267</v>
      </c>
      <c r="F63" s="6" t="s">
        <v>268</v>
      </c>
      <c r="G63" s="9">
        <f>IF(A63=1,"_",IF(C63="_","???",C63))</f>
        <v/>
      </c>
      <c r="H63" s="10" t="s">
        <v>16</v>
      </c>
      <c r="I63" s="11" t="s">
        <v>16</v>
      </c>
      <c r="J63" s="12"/>
    </row>
    <row r="64" spans="1:10" ht="60" customHeight="1">
      <c r="A64" s="6" t="s">
        <v>269</v>
      </c>
      <c r="B64" s="6" t="s">
        <v>33</v>
      </c>
      <c r="C64" s="6" t="s">
        <v>270</v>
      </c>
      <c r="D64" s="7" t="s">
        <v>271</v>
      </c>
      <c r="E64" s="8" t="s">
        <v>272</v>
      </c>
      <c r="F64" s="6" t="s">
        <v>273</v>
      </c>
      <c r="G64" s="9">
        <f>IF(A64=1,"_",IF(C64="_","???",C64))</f>
        <v/>
      </c>
      <c r="H64" s="10" t="s">
        <v>16</v>
      </c>
      <c r="I64" s="11" t="s">
        <v>16</v>
      </c>
      <c r="J64" s="12"/>
    </row>
    <row r="65" spans="1:10" ht="60" customHeight="1">
      <c r="A65" s="6" t="s">
        <v>274</v>
      </c>
      <c r="B65" s="6" t="s">
        <v>47</v>
      </c>
      <c r="C65" s="6" t="s">
        <v>275</v>
      </c>
      <c r="D65" s="7" t="s">
        <v>276</v>
      </c>
      <c r="E65" s="8" t="s">
        <v>277</v>
      </c>
      <c r="F65" s="6" t="s">
        <v>278</v>
      </c>
      <c r="G65" s="9">
        <f>IF(A65=1,"_",IF(C65="_","???",C65))</f>
        <v/>
      </c>
      <c r="H65" s="10" t="s">
        <v>16</v>
      </c>
      <c r="I65" s="11" t="s">
        <v>16</v>
      </c>
      <c r="J65" s="12"/>
    </row>
    <row r="66" spans="1:10" ht="60" customHeight="1">
      <c r="A66" s="6" t="s">
        <v>279</v>
      </c>
      <c r="B66" s="6" t="s">
        <v>18</v>
      </c>
      <c r="C66" s="6" t="s">
        <v>53</v>
      </c>
      <c r="D66" s="7" t="s">
        <v>81</v>
      </c>
      <c r="E66" s="8" t="s">
        <v>280</v>
      </c>
      <c r="F66" s="6" t="s">
        <v>281</v>
      </c>
      <c r="G66" s="9">
        <f>IF(A66=1,"_",IF(C66="_","???",C66))</f>
        <v/>
      </c>
      <c r="H66" s="10" t="s">
        <v>16</v>
      </c>
      <c r="I66" s="11" t="s">
        <v>16</v>
      </c>
      <c r="J66" s="12"/>
    </row>
    <row r="67" spans="1:10" ht="60" customHeight="1">
      <c r="A67" s="6" t="s">
        <v>282</v>
      </c>
      <c r="B67" s="6" t="s">
        <v>10</v>
      </c>
      <c r="C67" s="6" t="s">
        <v>16</v>
      </c>
      <c r="D67" s="7" t="s">
        <v>283</v>
      </c>
      <c r="E67" s="8" t="s">
        <v>284</v>
      </c>
      <c r="F67" s="6" t="s">
        <v>285</v>
      </c>
      <c r="G67" s="9">
        <f>IF(A67=1,"_",IF(C67="_","???",C67))</f>
        <v/>
      </c>
      <c r="H67" s="10" t="s">
        <v>16</v>
      </c>
      <c r="I67" s="11" t="s">
        <v>16</v>
      </c>
      <c r="J67" s="12"/>
    </row>
    <row r="68" spans="1:10" ht="60" customHeight="1">
      <c r="A68" s="6" t="s">
        <v>286</v>
      </c>
      <c r="B68" s="6" t="s">
        <v>10</v>
      </c>
      <c r="C68" s="6" t="s">
        <v>287</v>
      </c>
      <c r="D68" s="7" t="s">
        <v>49</v>
      </c>
      <c r="E68" s="8" t="s">
        <v>288</v>
      </c>
      <c r="F68" s="6" t="s">
        <v>289</v>
      </c>
      <c r="G68" s="9">
        <f>IF(A68=1,"_",IF(C68="_","???",C68))</f>
        <v/>
      </c>
      <c r="H68" s="10" t="s">
        <v>16</v>
      </c>
      <c r="I68" s="11" t="s">
        <v>16</v>
      </c>
      <c r="J68" s="12"/>
    </row>
    <row r="69" spans="1:10" ht="60" customHeight="1">
      <c r="A69" s="6" t="s">
        <v>290</v>
      </c>
      <c r="B69" s="6" t="s">
        <v>17</v>
      </c>
      <c r="C69" s="6" t="s">
        <v>16</v>
      </c>
      <c r="D69" s="7" t="s">
        <v>291</v>
      </c>
      <c r="E69" s="8" t="s">
        <v>292</v>
      </c>
      <c r="F69" s="6" t="s">
        <v>293</v>
      </c>
      <c r="G69" s="9">
        <f>IF(A69=1,"_",IF(C69="_","???",C69))</f>
        <v/>
      </c>
      <c r="H69" s="10" t="s">
        <v>16</v>
      </c>
      <c r="I69" s="11" t="s">
        <v>16</v>
      </c>
      <c r="J69" s="12"/>
    </row>
    <row r="70" spans="1:10" ht="60" customHeight="1">
      <c r="A70" s="6" t="s">
        <v>294</v>
      </c>
      <c r="B70" s="6" t="s">
        <v>134</v>
      </c>
      <c r="C70" s="6" t="s">
        <v>16</v>
      </c>
      <c r="D70" s="7" t="s">
        <v>135</v>
      </c>
      <c r="E70" s="8" t="s">
        <v>135</v>
      </c>
      <c r="F70" s="6" t="s">
        <v>295</v>
      </c>
      <c r="G70" s="9">
        <f>IF(A70=1,"_",IF(C70="_","???",C70))</f>
        <v/>
      </c>
      <c r="H70" s="10" t="s">
        <v>16</v>
      </c>
      <c r="I70" s="11" t="s">
        <v>16</v>
      </c>
      <c r="J70" s="12"/>
    </row>
    <row r="71" spans="1:10" ht="60" customHeight="1">
      <c r="A71" s="6" t="s">
        <v>296</v>
      </c>
      <c r="B71" s="6" t="s">
        <v>47</v>
      </c>
      <c r="C71" s="6" t="s">
        <v>62</v>
      </c>
      <c r="D71" s="7" t="s">
        <v>276</v>
      </c>
      <c r="E71" s="8" t="s">
        <v>297</v>
      </c>
      <c r="F71" s="6" t="s">
        <v>298</v>
      </c>
      <c r="G71" s="9">
        <f>IF(A71=1,"_",IF(C71="_","???",C71))</f>
        <v/>
      </c>
      <c r="H71" s="10" t="s">
        <v>16</v>
      </c>
      <c r="I71" s="11" t="s">
        <v>16</v>
      </c>
      <c r="J71" s="12"/>
    </row>
    <row r="72" spans="1:10" ht="60" customHeight="1">
      <c r="A72" s="6" t="s">
        <v>299</v>
      </c>
      <c r="B72" s="6" t="s">
        <v>66</v>
      </c>
      <c r="C72" s="6" t="s">
        <v>300</v>
      </c>
      <c r="D72" s="7" t="s">
        <v>301</v>
      </c>
      <c r="E72" s="8" t="s">
        <v>302</v>
      </c>
      <c r="F72" s="6" t="s">
        <v>303</v>
      </c>
      <c r="G72" s="9">
        <f>IF(A72=1,"_",IF(C72="_","???",C72))</f>
        <v/>
      </c>
      <c r="H72" s="10" t="s">
        <v>16</v>
      </c>
      <c r="I72" s="11" t="s">
        <v>16</v>
      </c>
      <c r="J72" s="12"/>
    </row>
    <row r="73" spans="1:10" ht="60" customHeight="1">
      <c r="A73" s="6" t="s">
        <v>304</v>
      </c>
      <c r="B73" s="6" t="s">
        <v>10</v>
      </c>
      <c r="C73" s="6" t="s">
        <v>16</v>
      </c>
      <c r="D73" s="7" t="s">
        <v>305</v>
      </c>
      <c r="E73" s="8" t="s">
        <v>306</v>
      </c>
      <c r="F73" s="6" t="s">
        <v>307</v>
      </c>
      <c r="G73" s="9">
        <f>IF(A73=1,"_",IF(C73="_","???",C73))</f>
        <v/>
      </c>
      <c r="H73" s="10" t="s">
        <v>16</v>
      </c>
      <c r="I73" s="11" t="s">
        <v>16</v>
      </c>
      <c r="J73" s="12"/>
    </row>
    <row r="74" spans="1:10" ht="60" customHeight="1">
      <c r="A74" s="6" t="s">
        <v>308</v>
      </c>
      <c r="B74" s="6" t="s">
        <v>47</v>
      </c>
      <c r="C74" s="6" t="s">
        <v>138</v>
      </c>
      <c r="D74" s="7" t="s">
        <v>259</v>
      </c>
      <c r="E74" s="8" t="s">
        <v>309</v>
      </c>
      <c r="F74" s="6" t="s">
        <v>310</v>
      </c>
      <c r="G74" s="9">
        <f>IF(A74=1,"_",IF(C74="_","???",C74))</f>
        <v/>
      </c>
      <c r="H74" s="10" t="s">
        <v>16</v>
      </c>
      <c r="I74" s="11" t="s">
        <v>16</v>
      </c>
      <c r="J74" s="12"/>
    </row>
    <row r="75" spans="1:10" ht="60" customHeight="1">
      <c r="A75" s="6" t="s">
        <v>311</v>
      </c>
      <c r="B75" s="6" t="s">
        <v>47</v>
      </c>
      <c r="C75" s="6" t="s">
        <v>16</v>
      </c>
      <c r="D75" s="7" t="s">
        <v>43</v>
      </c>
      <c r="E75" s="8" t="s">
        <v>312</v>
      </c>
      <c r="F75" s="6" t="s">
        <v>313</v>
      </c>
      <c r="G75" s="9">
        <f>IF(A75=1,"_",IF(C75="_","???",C75))</f>
        <v/>
      </c>
      <c r="H75" s="10" t="s">
        <v>16</v>
      </c>
      <c r="I75" s="11" t="s">
        <v>16</v>
      </c>
      <c r="J75" s="12"/>
    </row>
    <row r="76" spans="1:10" ht="60" customHeight="1">
      <c r="A76" s="6" t="s">
        <v>314</v>
      </c>
      <c r="B76" s="6" t="s">
        <v>47</v>
      </c>
      <c r="C76" s="6" t="s">
        <v>16</v>
      </c>
      <c r="D76" s="7" t="s">
        <v>315</v>
      </c>
      <c r="E76" s="8" t="s">
        <v>316</v>
      </c>
      <c r="F76" s="6" t="s">
        <v>317</v>
      </c>
      <c r="G76" s="9">
        <f>IF(A76=1,"_",IF(C76="_","???",C76))</f>
        <v/>
      </c>
      <c r="H76" s="10" t="s">
        <v>16</v>
      </c>
      <c r="I76" s="11" t="s">
        <v>16</v>
      </c>
      <c r="J76" s="12"/>
    </row>
    <row r="77" spans="1:10" ht="60" customHeight="1">
      <c r="A77" s="6" t="s">
        <v>318</v>
      </c>
      <c r="B77" s="6" t="s">
        <v>10</v>
      </c>
      <c r="C77" s="6" t="s">
        <v>16</v>
      </c>
      <c r="D77" s="7" t="s">
        <v>319</v>
      </c>
      <c r="E77" s="8" t="s">
        <v>320</v>
      </c>
      <c r="F77" s="6" t="s">
        <v>321</v>
      </c>
      <c r="G77" s="9">
        <f>IF(A77=1,"_",IF(C77="_","???",C77))</f>
        <v/>
      </c>
      <c r="H77" s="10" t="s">
        <v>16</v>
      </c>
      <c r="I77" s="11" t="s">
        <v>16</v>
      </c>
      <c r="J77" s="12"/>
    </row>
    <row r="78" spans="1:10" ht="60" customHeight="1">
      <c r="A78" s="6" t="s">
        <v>322</v>
      </c>
      <c r="B78" s="6" t="s">
        <v>47</v>
      </c>
      <c r="C78" s="6" t="s">
        <v>48</v>
      </c>
      <c r="D78" s="7" t="s">
        <v>323</v>
      </c>
      <c r="E78" s="8" t="s">
        <v>324</v>
      </c>
      <c r="F78" s="6" t="s">
        <v>325</v>
      </c>
      <c r="G78" s="9">
        <f>IF(A78=1,"_",IF(C78="_","???",C78))</f>
        <v/>
      </c>
      <c r="H78" s="10" t="s">
        <v>16</v>
      </c>
      <c r="I78" s="11" t="s">
        <v>16</v>
      </c>
      <c r="J78" s="12"/>
    </row>
    <row r="79" spans="1:10" ht="60" customHeight="1">
      <c r="A79" s="6" t="s">
        <v>326</v>
      </c>
      <c r="B79" s="6" t="s">
        <v>10</v>
      </c>
      <c r="C79" s="6" t="s">
        <v>327</v>
      </c>
      <c r="D79" s="7" t="s">
        <v>328</v>
      </c>
      <c r="E79" s="8" t="s">
        <v>329</v>
      </c>
      <c r="F79" s="6" t="s">
        <v>330</v>
      </c>
      <c r="G79" s="9">
        <f>IF(A79=1,"_",IF(C79="_","???",C79))</f>
        <v/>
      </c>
      <c r="H79" s="10" t="s">
        <v>16</v>
      </c>
      <c r="I79" s="11" t="s">
        <v>16</v>
      </c>
      <c r="J79" s="12"/>
    </row>
    <row r="80" spans="1:10" ht="60" customHeight="1">
      <c r="A80" s="6" t="s">
        <v>331</v>
      </c>
      <c r="B80" s="6" t="s">
        <v>18</v>
      </c>
      <c r="C80" s="6" t="s">
        <v>332</v>
      </c>
      <c r="D80" s="7" t="s">
        <v>333</v>
      </c>
      <c r="E80" s="8" t="s">
        <v>334</v>
      </c>
      <c r="F80" s="6" t="s">
        <v>335</v>
      </c>
      <c r="G80" s="9">
        <f>IF(A80=1,"_",IF(C80="_","???",C80))</f>
        <v/>
      </c>
      <c r="H80" s="10" t="s">
        <v>16</v>
      </c>
      <c r="I80" s="11" t="s">
        <v>16</v>
      </c>
      <c r="J80" s="12"/>
    </row>
    <row r="81" spans="1:10" ht="60" customHeight="1">
      <c r="A81" s="6" t="s">
        <v>336</v>
      </c>
      <c r="B81" s="6" t="s">
        <v>134</v>
      </c>
      <c r="C81" s="6" t="s">
        <v>16</v>
      </c>
      <c r="D81" s="7" t="s">
        <v>135</v>
      </c>
      <c r="E81" s="8" t="s">
        <v>135</v>
      </c>
      <c r="F81" s="6" t="s">
        <v>337</v>
      </c>
      <c r="G81" s="9">
        <f>IF(A81=1,"_",IF(C81="_","???",C81))</f>
        <v/>
      </c>
      <c r="H81" s="10" t="s">
        <v>16</v>
      </c>
      <c r="I81" s="11" t="s">
        <v>16</v>
      </c>
      <c r="J81" s="12"/>
    </row>
    <row r="82" spans="1:10" ht="60" customHeight="1">
      <c r="A82" s="6" t="s">
        <v>338</v>
      </c>
      <c r="B82" s="6" t="s">
        <v>32</v>
      </c>
      <c r="C82" s="6" t="s">
        <v>72</v>
      </c>
      <c r="D82" s="7" t="s">
        <v>339</v>
      </c>
      <c r="E82" s="8" t="s">
        <v>340</v>
      </c>
      <c r="F82" s="6" t="s">
        <v>341</v>
      </c>
      <c r="G82" s="9">
        <f>IF(A82=1,"_",IF(C82="_","???",C82))</f>
        <v/>
      </c>
      <c r="H82" s="10" t="s">
        <v>16</v>
      </c>
      <c r="I82" s="11" t="s">
        <v>16</v>
      </c>
      <c r="J82" s="12"/>
    </row>
    <row r="83" spans="1:10" ht="60" customHeight="1">
      <c r="A83" s="6" t="s">
        <v>342</v>
      </c>
      <c r="B83" s="6" t="s">
        <v>47</v>
      </c>
      <c r="C83" s="6" t="s">
        <v>343</v>
      </c>
      <c r="D83" s="7" t="s">
        <v>344</v>
      </c>
      <c r="E83" s="8" t="s">
        <v>345</v>
      </c>
      <c r="F83" s="6" t="s">
        <v>346</v>
      </c>
      <c r="G83" s="9">
        <f>IF(A83=1,"_",IF(C83="_","???",C83))</f>
        <v/>
      </c>
      <c r="H83" s="10" t="s">
        <v>16</v>
      </c>
      <c r="I83" s="11" t="s">
        <v>16</v>
      </c>
      <c r="J83" s="12"/>
    </row>
    <row r="84" spans="1:10" ht="60" customHeight="1">
      <c r="A84" s="6" t="s">
        <v>347</v>
      </c>
      <c r="B84" s="6" t="s">
        <v>10</v>
      </c>
      <c r="C84" s="6" t="s">
        <v>16</v>
      </c>
      <c r="D84" s="7" t="s">
        <v>348</v>
      </c>
      <c r="E84" s="8" t="s">
        <v>349</v>
      </c>
      <c r="F84" s="6" t="s">
        <v>350</v>
      </c>
      <c r="G84" s="9">
        <f>IF(A84=1,"_",IF(C84="_","???",C84))</f>
        <v/>
      </c>
      <c r="H84" s="10" t="s">
        <v>16</v>
      </c>
      <c r="I84" s="11" t="s">
        <v>16</v>
      </c>
      <c r="J84" s="12"/>
    </row>
    <row r="85" spans="1:10" ht="60" customHeight="1">
      <c r="A85" s="6" t="s">
        <v>351</v>
      </c>
      <c r="B85" s="6" t="s">
        <v>66</v>
      </c>
      <c r="C85" s="6" t="s">
        <v>62</v>
      </c>
      <c r="D85" s="7" t="s">
        <v>352</v>
      </c>
      <c r="E85" s="8" t="s">
        <v>353</v>
      </c>
      <c r="F85" s="6" t="s">
        <v>354</v>
      </c>
      <c r="G85" s="9">
        <f>IF(A85=1,"_",IF(C85="_","???",C85))</f>
        <v/>
      </c>
      <c r="H85" s="10" t="s">
        <v>16</v>
      </c>
      <c r="I85" s="11" t="s">
        <v>16</v>
      </c>
      <c r="J85" s="12"/>
    </row>
    <row r="86" spans="1:10" ht="60" customHeight="1">
      <c r="A86" s="6" t="s">
        <v>355</v>
      </c>
      <c r="B86" s="6" t="s">
        <v>22</v>
      </c>
      <c r="C86" s="6" t="s">
        <v>62</v>
      </c>
      <c r="D86" s="7" t="s">
        <v>356</v>
      </c>
      <c r="E86" s="8" t="s">
        <v>357</v>
      </c>
      <c r="F86" s="6" t="s">
        <v>358</v>
      </c>
      <c r="G86" s="9">
        <f>IF(A86=1,"_",IF(C86="_","???",C86))</f>
        <v/>
      </c>
      <c r="H86" s="10" t="s">
        <v>16</v>
      </c>
      <c r="I86" s="11" t="s">
        <v>16</v>
      </c>
      <c r="J86" s="12"/>
    </row>
    <row r="87" spans="1:10" ht="60" customHeight="1">
      <c r="A87" s="6" t="s">
        <v>359</v>
      </c>
      <c r="B87" s="6" t="s">
        <v>47</v>
      </c>
      <c r="C87" s="6" t="s">
        <v>16</v>
      </c>
      <c r="D87" s="7" t="s">
        <v>360</v>
      </c>
      <c r="E87" s="8" t="s">
        <v>361</v>
      </c>
      <c r="F87" s="6" t="s">
        <v>362</v>
      </c>
      <c r="G87" s="9">
        <f>IF(A87=1,"_",IF(C87="_","???",C87))</f>
        <v/>
      </c>
      <c r="H87" s="10" t="s">
        <v>16</v>
      </c>
      <c r="I87" s="11" t="s">
        <v>16</v>
      </c>
      <c r="J87" s="12"/>
    </row>
    <row r="88" spans="1:10" ht="60" customHeight="1">
      <c r="A88" s="6" t="s">
        <v>363</v>
      </c>
      <c r="B88" s="6" t="s">
        <v>47</v>
      </c>
      <c r="C88" s="6" t="s">
        <v>364</v>
      </c>
      <c r="D88" s="7" t="s">
        <v>263</v>
      </c>
      <c r="E88" s="8" t="s">
        <v>365</v>
      </c>
      <c r="F88" s="6" t="s">
        <v>366</v>
      </c>
      <c r="G88" s="9">
        <f>IF(A88=1,"_",IF(C88="_","???",C88))</f>
        <v/>
      </c>
      <c r="H88" s="10" t="s">
        <v>16</v>
      </c>
      <c r="I88" s="11" t="s">
        <v>16</v>
      </c>
      <c r="J88" s="12"/>
    </row>
    <row r="89" spans="1:10" ht="60" customHeight="1">
      <c r="A89" s="6" t="s">
        <v>367</v>
      </c>
      <c r="B89" s="6" t="s">
        <v>61</v>
      </c>
      <c r="C89" s="6" t="s">
        <v>16</v>
      </c>
      <c r="D89" s="7" t="s">
        <v>301</v>
      </c>
      <c r="E89" s="8" t="s">
        <v>368</v>
      </c>
      <c r="F89" s="6" t="s">
        <v>369</v>
      </c>
      <c r="G89" s="9">
        <f>IF(A89=1,"_",IF(C89="_","???",C89))</f>
        <v/>
      </c>
      <c r="H89" s="10" t="s">
        <v>16</v>
      </c>
      <c r="I89" s="11" t="s">
        <v>16</v>
      </c>
      <c r="J89" s="12"/>
    </row>
    <row r="90" spans="1:10" ht="60" customHeight="1">
      <c r="A90" s="6" t="s">
        <v>370</v>
      </c>
      <c r="B90" s="6" t="s">
        <v>61</v>
      </c>
      <c r="C90" s="6" t="s">
        <v>371</v>
      </c>
      <c r="D90" s="7" t="s">
        <v>372</v>
      </c>
      <c r="E90" s="8" t="s">
        <v>373</v>
      </c>
      <c r="F90" s="6" t="s">
        <v>374</v>
      </c>
      <c r="G90" s="9">
        <f>IF(A90=1,"_",IF(C90="_","???",C90))</f>
        <v/>
      </c>
      <c r="H90" s="10" t="s">
        <v>16</v>
      </c>
      <c r="I90" s="11" t="s">
        <v>16</v>
      </c>
      <c r="J90" s="12"/>
    </row>
    <row r="91" spans="1:10" ht="60" customHeight="1">
      <c r="A91" s="6" t="s">
        <v>375</v>
      </c>
      <c r="B91" s="6" t="s">
        <v>46</v>
      </c>
      <c r="C91" s="6" t="s">
        <v>72</v>
      </c>
      <c r="D91" s="7" t="s">
        <v>376</v>
      </c>
      <c r="E91" s="8" t="s">
        <v>377</v>
      </c>
      <c r="F91" s="6" t="s">
        <v>378</v>
      </c>
      <c r="G91" s="9">
        <f>IF(A91=1,"_",IF(C91="_","???",C91))</f>
        <v/>
      </c>
      <c r="H91" s="10" t="s">
        <v>16</v>
      </c>
      <c r="I91" s="11" t="s">
        <v>16</v>
      </c>
      <c r="J91" s="12"/>
    </row>
    <row r="92" spans="1:10" ht="60" customHeight="1">
      <c r="A92" s="6" t="s">
        <v>379</v>
      </c>
      <c r="B92" s="6" t="s">
        <v>27</v>
      </c>
      <c r="C92" s="6" t="s">
        <v>380</v>
      </c>
      <c r="D92" s="7" t="s">
        <v>381</v>
      </c>
      <c r="E92" s="8" t="s">
        <v>382</v>
      </c>
      <c r="F92" s="6" t="s">
        <v>383</v>
      </c>
      <c r="G92" s="9">
        <f>IF(A92=1,"_",IF(C92="_","???",C92))</f>
        <v/>
      </c>
      <c r="H92" s="10" t="s">
        <v>16</v>
      </c>
      <c r="I92" s="11" t="s">
        <v>16</v>
      </c>
      <c r="J92" s="12"/>
    </row>
    <row r="93" spans="1:10" ht="60" customHeight="1">
      <c r="A93" s="6" t="s">
        <v>384</v>
      </c>
      <c r="B93" s="6" t="s">
        <v>18</v>
      </c>
      <c r="C93" s="6" t="s">
        <v>72</v>
      </c>
      <c r="D93" s="7" t="s">
        <v>385</v>
      </c>
      <c r="E93" s="8" t="s">
        <v>386</v>
      </c>
      <c r="F93" s="6" t="s">
        <v>387</v>
      </c>
      <c r="G93" s="9">
        <f>IF(A93=1,"_",IF(C93="_","???",C93))</f>
        <v/>
      </c>
      <c r="H93" s="10" t="s">
        <v>16</v>
      </c>
      <c r="I93" s="11" t="s">
        <v>16</v>
      </c>
      <c r="J93" s="12"/>
    </row>
    <row r="94" spans="1:10" ht="60" customHeight="1">
      <c r="A94" s="6" t="s">
        <v>388</v>
      </c>
      <c r="B94" s="6" t="s">
        <v>88</v>
      </c>
      <c r="C94" s="6" t="s">
        <v>12</v>
      </c>
      <c r="D94" s="7" t="s">
        <v>389</v>
      </c>
      <c r="E94" s="8" t="s">
        <v>390</v>
      </c>
      <c r="F94" s="6" t="s">
        <v>391</v>
      </c>
      <c r="G94" s="9">
        <f>IF(A94=1,"_",IF(C94="_","???",C94))</f>
        <v/>
      </c>
      <c r="H94" s="10" t="s">
        <v>16</v>
      </c>
      <c r="I94" s="11" t="s">
        <v>16</v>
      </c>
      <c r="J94" s="12"/>
    </row>
    <row r="95" spans="1:10" ht="60" customHeight="1">
      <c r="A95" s="6" t="s">
        <v>392</v>
      </c>
      <c r="B95" s="6" t="s">
        <v>27</v>
      </c>
      <c r="C95" s="6" t="s">
        <v>16</v>
      </c>
      <c r="D95" s="7" t="s">
        <v>393</v>
      </c>
      <c r="E95" s="8" t="s">
        <v>394</v>
      </c>
      <c r="F95" s="6" t="s">
        <v>395</v>
      </c>
      <c r="G95" s="9">
        <f>IF(A95=1,"_",IF(C95="_","???",C95))</f>
        <v/>
      </c>
      <c r="H95" s="10" t="s">
        <v>16</v>
      </c>
      <c r="I95" s="11" t="s">
        <v>16</v>
      </c>
      <c r="J95" s="12"/>
    </row>
    <row r="96" spans="1:10" ht="60" customHeight="1">
      <c r="A96" s="6" t="s">
        <v>396</v>
      </c>
      <c r="B96" s="6" t="s">
        <v>22</v>
      </c>
      <c r="C96" s="6" t="s">
        <v>12</v>
      </c>
      <c r="D96" s="7" t="s">
        <v>397</v>
      </c>
      <c r="E96" s="8" t="s">
        <v>398</v>
      </c>
      <c r="F96" s="6" t="s">
        <v>399</v>
      </c>
      <c r="G96" s="9">
        <f>IF(A96=1,"_",IF(C96="_","???",C96))</f>
        <v/>
      </c>
      <c r="H96" s="10" t="s">
        <v>16</v>
      </c>
      <c r="I96" s="11" t="s">
        <v>16</v>
      </c>
      <c r="J96" s="12"/>
    </row>
    <row r="97" spans="1:10" ht="60" customHeight="1">
      <c r="A97" s="6" t="s">
        <v>400</v>
      </c>
      <c r="B97" s="6" t="s">
        <v>27</v>
      </c>
      <c r="C97" s="6" t="s">
        <v>16</v>
      </c>
      <c r="D97" s="7" t="s">
        <v>401</v>
      </c>
      <c r="E97" s="8" t="s">
        <v>402</v>
      </c>
      <c r="F97" s="6" t="s">
        <v>403</v>
      </c>
      <c r="G97" s="9">
        <f>IF(A97=1,"_",IF(C97="_","???",C97))</f>
        <v/>
      </c>
      <c r="H97" s="10" t="s">
        <v>16</v>
      </c>
      <c r="I97" s="11" t="s">
        <v>16</v>
      </c>
      <c r="J97" s="12"/>
    </row>
    <row r="98" spans="1:10" ht="60" customHeight="1">
      <c r="A98" s="6" t="s">
        <v>404</v>
      </c>
      <c r="B98" s="6" t="s">
        <v>134</v>
      </c>
      <c r="C98" s="6" t="s">
        <v>16</v>
      </c>
      <c r="D98" s="7" t="s">
        <v>135</v>
      </c>
      <c r="E98" s="8" t="s">
        <v>135</v>
      </c>
      <c r="F98" s="6" t="s">
        <v>405</v>
      </c>
      <c r="G98" s="9">
        <f>IF(A98=1,"_",IF(C98="_","???",C98))</f>
        <v/>
      </c>
      <c r="H98" s="10" t="s">
        <v>16</v>
      </c>
      <c r="I98" s="11" t="s">
        <v>16</v>
      </c>
      <c r="J98" s="12"/>
    </row>
    <row r="99" spans="1:10" ht="60" customHeight="1">
      <c r="A99" s="6" t="s">
        <v>406</v>
      </c>
      <c r="B99" s="6" t="s">
        <v>52</v>
      </c>
      <c r="C99" s="6" t="s">
        <v>48</v>
      </c>
      <c r="D99" s="7" t="s">
        <v>407</v>
      </c>
      <c r="E99" s="8" t="s">
        <v>408</v>
      </c>
      <c r="F99" s="6" t="s">
        <v>409</v>
      </c>
      <c r="G99" s="9">
        <f>IF(A99=1,"_",IF(C99="_","???",C99))</f>
        <v/>
      </c>
      <c r="H99" s="10" t="s">
        <v>16</v>
      </c>
      <c r="I99" s="11" t="s">
        <v>16</v>
      </c>
      <c r="J99" s="12"/>
    </row>
    <row r="100" spans="1:10" ht="60" customHeight="1">
      <c r="A100" s="6" t="s">
        <v>410</v>
      </c>
      <c r="B100" s="6" t="s">
        <v>27</v>
      </c>
      <c r="C100" s="6" t="s">
        <v>327</v>
      </c>
      <c r="D100" s="7" t="s">
        <v>411</v>
      </c>
      <c r="E100" s="8" t="s">
        <v>412</v>
      </c>
      <c r="F100" s="6" t="s">
        <v>413</v>
      </c>
      <c r="G100" s="9">
        <f>IF(A100=1,"_",IF(C100="_","???",C100))</f>
        <v/>
      </c>
      <c r="H100" s="10" t="s">
        <v>16</v>
      </c>
      <c r="I100" s="11" t="s">
        <v>16</v>
      </c>
      <c r="J100" s="12"/>
    </row>
    <row r="101" spans="1:10" ht="60" customHeight="1">
      <c r="A101" s="6" t="s">
        <v>414</v>
      </c>
      <c r="B101" s="6" t="s">
        <v>61</v>
      </c>
      <c r="C101" s="6" t="s">
        <v>72</v>
      </c>
      <c r="D101" s="7" t="s">
        <v>415</v>
      </c>
      <c r="E101" s="8" t="s">
        <v>416</v>
      </c>
      <c r="F101" s="6" t="s">
        <v>417</v>
      </c>
      <c r="G101" s="9">
        <f>IF(A101=1,"_",IF(C101="_","???",C101))</f>
        <v/>
      </c>
      <c r="H101" s="10" t="s">
        <v>16</v>
      </c>
      <c r="I101" s="11" t="s">
        <v>16</v>
      </c>
      <c r="J101" s="12"/>
    </row>
    <row r="102" spans="1:10" ht="60" customHeight="1">
      <c r="A102" s="6" t="s">
        <v>418</v>
      </c>
      <c r="B102" s="6" t="s">
        <v>47</v>
      </c>
      <c r="C102" s="6" t="s">
        <v>16</v>
      </c>
      <c r="D102" s="7" t="s">
        <v>419</v>
      </c>
      <c r="E102" s="8" t="s">
        <v>420</v>
      </c>
      <c r="F102" s="6" t="s">
        <v>421</v>
      </c>
      <c r="G102" s="9">
        <f>IF(A102=1,"_",IF(C102="_","???",C102))</f>
        <v/>
      </c>
      <c r="H102" s="10" t="s">
        <v>16</v>
      </c>
      <c r="I102" s="11" t="s">
        <v>16</v>
      </c>
      <c r="J102" s="12"/>
    </row>
    <row r="103" spans="1:10" ht="60" customHeight="1">
      <c r="A103" s="6" t="s">
        <v>422</v>
      </c>
      <c r="B103" s="6" t="s">
        <v>47</v>
      </c>
      <c r="C103" s="6" t="s">
        <v>16</v>
      </c>
      <c r="D103" s="7" t="s">
        <v>423</v>
      </c>
      <c r="E103" s="8" t="s">
        <v>424</v>
      </c>
      <c r="F103" s="6" t="s">
        <v>425</v>
      </c>
      <c r="G103" s="9">
        <f>IF(A103=1,"_",IF(C103="_","???",C103))</f>
        <v/>
      </c>
      <c r="H103" s="10" t="s">
        <v>16</v>
      </c>
      <c r="I103" s="11" t="s">
        <v>16</v>
      </c>
      <c r="J103" s="12"/>
    </row>
    <row r="104" spans="1:10" ht="60" customHeight="1">
      <c r="A104" s="6" t="s">
        <v>426</v>
      </c>
      <c r="B104" s="6" t="s">
        <v>134</v>
      </c>
      <c r="C104" s="6" t="s">
        <v>48</v>
      </c>
      <c r="D104" s="7" t="s">
        <v>263</v>
      </c>
      <c r="E104" s="8" t="s">
        <v>427</v>
      </c>
      <c r="F104" s="6" t="s">
        <v>428</v>
      </c>
      <c r="G104" s="9">
        <f>IF(A104=1,"_",IF(C104="_","???",C104))</f>
        <v/>
      </c>
      <c r="H104" s="10" t="s">
        <v>16</v>
      </c>
      <c r="I104" s="11" t="s">
        <v>16</v>
      </c>
      <c r="J104" s="12"/>
    </row>
    <row r="105" spans="1:10" ht="60" customHeight="1">
      <c r="A105" s="6" t="s">
        <v>429</v>
      </c>
      <c r="B105" s="6" t="s">
        <v>17</v>
      </c>
      <c r="C105" s="6" t="s">
        <v>72</v>
      </c>
      <c r="D105" s="7" t="s">
        <v>430</v>
      </c>
      <c r="E105" s="8" t="s">
        <v>431</v>
      </c>
      <c r="F105" s="6" t="s">
        <v>432</v>
      </c>
      <c r="G105" s="9">
        <f>IF(A105=1,"_",IF(C105="_","???",C105))</f>
        <v/>
      </c>
      <c r="H105" s="10" t="s">
        <v>16</v>
      </c>
      <c r="I105" s="11" t="s">
        <v>16</v>
      </c>
      <c r="J105" s="12"/>
    </row>
    <row r="106" spans="1:10" ht="60" customHeight="1">
      <c r="A106" s="6" t="s">
        <v>433</v>
      </c>
      <c r="B106" s="6" t="s">
        <v>18</v>
      </c>
      <c r="C106" s="6" t="s">
        <v>16</v>
      </c>
      <c r="D106" s="7" t="s">
        <v>434</v>
      </c>
      <c r="E106" s="8" t="s">
        <v>435</v>
      </c>
      <c r="F106" s="6" t="s">
        <v>436</v>
      </c>
      <c r="G106" s="9">
        <f>IF(A106=1,"_",IF(C106="_","???",C106))</f>
        <v/>
      </c>
      <c r="H106" s="10" t="s">
        <v>16</v>
      </c>
      <c r="I106" s="11" t="s">
        <v>16</v>
      </c>
      <c r="J106" s="12"/>
    </row>
    <row r="107" spans="1:10" ht="60" customHeight="1">
      <c r="A107" s="6" t="s">
        <v>437</v>
      </c>
      <c r="B107" s="6" t="s">
        <v>134</v>
      </c>
      <c r="C107" s="6" t="s">
        <v>16</v>
      </c>
      <c r="D107" s="7" t="s">
        <v>135</v>
      </c>
      <c r="E107" s="8" t="s">
        <v>135</v>
      </c>
      <c r="F107" s="6" t="s">
        <v>438</v>
      </c>
      <c r="G107" s="9">
        <f>IF(A107=1,"_",IF(C107="_","???",C107))</f>
        <v/>
      </c>
      <c r="H107" s="10" t="s">
        <v>16</v>
      </c>
      <c r="I107" s="11" t="s">
        <v>16</v>
      </c>
      <c r="J107" s="12"/>
    </row>
    <row r="108" spans="1:10" ht="60" customHeight="1">
      <c r="A108" s="6" t="s">
        <v>439</v>
      </c>
      <c r="B108" s="6" t="s">
        <v>22</v>
      </c>
      <c r="C108" s="6" t="s">
        <v>16</v>
      </c>
      <c r="D108" s="7" t="s">
        <v>440</v>
      </c>
      <c r="E108" s="8" t="s">
        <v>441</v>
      </c>
      <c r="F108" s="6" t="s">
        <v>442</v>
      </c>
      <c r="G108" s="9">
        <f>IF(A108=1,"_",IF(C108="_","???",C108))</f>
        <v/>
      </c>
      <c r="H108" s="10" t="s">
        <v>16</v>
      </c>
      <c r="I108" s="11" t="s">
        <v>16</v>
      </c>
      <c r="J108" s="12"/>
    </row>
    <row r="109" spans="1:10" ht="60" customHeight="1">
      <c r="A109" s="6" t="s">
        <v>443</v>
      </c>
      <c r="B109" s="6" t="s">
        <v>41</v>
      </c>
      <c r="C109" s="6" t="s">
        <v>16</v>
      </c>
      <c r="D109" s="7" t="s">
        <v>444</v>
      </c>
      <c r="E109" s="8" t="s">
        <v>445</v>
      </c>
      <c r="F109" s="6" t="s">
        <v>446</v>
      </c>
      <c r="G109" s="9">
        <f>IF(A109=1,"_",IF(C109="_","???",C109))</f>
        <v/>
      </c>
      <c r="H109" s="10" t="s">
        <v>16</v>
      </c>
      <c r="I109" s="11" t="s">
        <v>16</v>
      </c>
      <c r="J109" s="12"/>
    </row>
    <row r="110" spans="1:10" ht="60" customHeight="1">
      <c r="A110" s="6" t="s">
        <v>447</v>
      </c>
      <c r="B110" s="6" t="s">
        <v>47</v>
      </c>
      <c r="C110" s="6" t="s">
        <v>72</v>
      </c>
      <c r="D110" s="7" t="s">
        <v>376</v>
      </c>
      <c r="E110" s="8" t="s">
        <v>448</v>
      </c>
      <c r="F110" s="6" t="s">
        <v>449</v>
      </c>
      <c r="G110" s="9">
        <f>IF(A110=1,"_",IF(C110="_","???",C110))</f>
        <v/>
      </c>
      <c r="H110" s="10" t="s">
        <v>16</v>
      </c>
      <c r="I110" s="11" t="s">
        <v>16</v>
      </c>
      <c r="J110" s="12"/>
    </row>
    <row r="111" spans="1:10" ht="60" customHeight="1">
      <c r="A111" s="6" t="s">
        <v>450</v>
      </c>
      <c r="B111" s="6" t="s">
        <v>57</v>
      </c>
      <c r="C111" s="6" t="s">
        <v>451</v>
      </c>
      <c r="D111" s="7" t="s">
        <v>444</v>
      </c>
      <c r="E111" s="8" t="s">
        <v>452</v>
      </c>
      <c r="F111" s="6" t="s">
        <v>453</v>
      </c>
      <c r="G111" s="9">
        <f>IF(A111=1,"_",IF(C111="_","???",C111))</f>
        <v/>
      </c>
      <c r="H111" s="10" t="s">
        <v>16</v>
      </c>
      <c r="I111" s="11" t="s">
        <v>16</v>
      </c>
      <c r="J111" s="12"/>
    </row>
    <row r="112" spans="1:10" ht="60" customHeight="1">
      <c r="A112" s="6" t="s">
        <v>454</v>
      </c>
      <c r="B112" s="6" t="s">
        <v>17</v>
      </c>
      <c r="C112" s="6" t="s">
        <v>72</v>
      </c>
      <c r="D112" s="7" t="s">
        <v>455</v>
      </c>
      <c r="E112" s="8" t="s">
        <v>456</v>
      </c>
      <c r="F112" s="6" t="s">
        <v>457</v>
      </c>
      <c r="G112" s="9">
        <f>IF(A112=1,"_",IF(C112="_","???",C112))</f>
        <v/>
      </c>
      <c r="H112" s="10" t="s">
        <v>16</v>
      </c>
      <c r="I112" s="11" t="s">
        <v>16</v>
      </c>
      <c r="J112" s="12"/>
    </row>
    <row r="113" spans="1:10" ht="60" customHeight="1">
      <c r="A113" s="6" t="s">
        <v>458</v>
      </c>
      <c r="B113" s="6" t="s">
        <v>22</v>
      </c>
      <c r="C113" s="6" t="s">
        <v>48</v>
      </c>
      <c r="D113" s="7" t="s">
        <v>259</v>
      </c>
      <c r="E113" s="8" t="s">
        <v>459</v>
      </c>
      <c r="F113" s="6" t="s">
        <v>460</v>
      </c>
      <c r="G113" s="9">
        <f>IF(A113=1,"_",IF(C113="_","???",C113))</f>
        <v/>
      </c>
      <c r="H113" s="10" t="s">
        <v>16</v>
      </c>
      <c r="I113" s="11" t="s">
        <v>16</v>
      </c>
      <c r="J113" s="12"/>
    </row>
    <row r="114" spans="1:10" ht="60" customHeight="1">
      <c r="A114" s="6" t="s">
        <v>461</v>
      </c>
      <c r="B114" s="6" t="s">
        <v>10</v>
      </c>
      <c r="C114" s="6" t="s">
        <v>16</v>
      </c>
      <c r="D114" s="7" t="s">
        <v>462</v>
      </c>
      <c r="E114" s="8" t="s">
        <v>463</v>
      </c>
      <c r="F114" s="6" t="s">
        <v>464</v>
      </c>
      <c r="G114" s="9">
        <f>IF(A114=1,"_",IF(C114="_","???",C114))</f>
        <v/>
      </c>
      <c r="H114" s="10" t="s">
        <v>16</v>
      </c>
      <c r="I114" s="11" t="s">
        <v>16</v>
      </c>
      <c r="J114" s="12"/>
    </row>
    <row r="115" spans="1:10" ht="60" customHeight="1">
      <c r="A115" s="6" t="s">
        <v>465</v>
      </c>
      <c r="B115" s="6" t="s">
        <v>134</v>
      </c>
      <c r="C115" s="6" t="s">
        <v>48</v>
      </c>
      <c r="D115" s="7" t="s">
        <v>466</v>
      </c>
      <c r="E115" s="8" t="s">
        <v>467</v>
      </c>
      <c r="F115" s="6" t="s">
        <v>468</v>
      </c>
      <c r="G115" s="9">
        <f>IF(A115=1,"_",IF(C115="_","???",C115))</f>
        <v/>
      </c>
      <c r="H115" s="10" t="s">
        <v>16</v>
      </c>
      <c r="I115" s="11" t="s">
        <v>16</v>
      </c>
      <c r="J115" s="12"/>
    </row>
    <row r="116" spans="1:10" ht="60" customHeight="1">
      <c r="A116" s="6" t="s">
        <v>469</v>
      </c>
      <c r="B116" s="6" t="s">
        <v>47</v>
      </c>
      <c r="C116" s="6" t="s">
        <v>16</v>
      </c>
      <c r="D116" s="7" t="s">
        <v>470</v>
      </c>
      <c r="E116" s="8" t="s">
        <v>471</v>
      </c>
      <c r="F116" s="6" t="s">
        <v>472</v>
      </c>
      <c r="G116" s="9">
        <f>IF(A116=1,"_",IF(C116="_","???",C116))</f>
        <v/>
      </c>
      <c r="H116" s="10" t="s">
        <v>16</v>
      </c>
      <c r="I116" s="11" t="s">
        <v>16</v>
      </c>
      <c r="J116" s="12"/>
    </row>
    <row r="117" spans="1:10" ht="60" customHeight="1">
      <c r="A117" s="6" t="s">
        <v>473</v>
      </c>
      <c r="B117" s="6" t="s">
        <v>27</v>
      </c>
      <c r="C117" s="6" t="s">
        <v>474</v>
      </c>
      <c r="D117" s="7" t="s">
        <v>475</v>
      </c>
      <c r="E117" s="8" t="s">
        <v>476</v>
      </c>
      <c r="F117" s="6" t="s">
        <v>477</v>
      </c>
      <c r="G117" s="9">
        <f>IF(A117=1,"_",IF(C117="_","???",C117))</f>
        <v/>
      </c>
      <c r="H117" s="10" t="s">
        <v>16</v>
      </c>
      <c r="I117" s="11" t="s">
        <v>16</v>
      </c>
      <c r="J117" s="12"/>
    </row>
    <row r="118" spans="1:10" ht="60" customHeight="1">
      <c r="A118" s="6" t="s">
        <v>478</v>
      </c>
      <c r="B118" s="6" t="s">
        <v>47</v>
      </c>
      <c r="C118" s="6" t="s">
        <v>62</v>
      </c>
      <c r="D118" s="7" t="s">
        <v>479</v>
      </c>
      <c r="E118" s="8" t="s">
        <v>480</v>
      </c>
      <c r="F118" s="6" t="s">
        <v>481</v>
      </c>
      <c r="G118" s="9">
        <f>IF(A118=1,"_",IF(C118="_","???",C118))</f>
        <v/>
      </c>
      <c r="H118" s="10" t="s">
        <v>16</v>
      </c>
      <c r="I118" s="11" t="s">
        <v>16</v>
      </c>
      <c r="J118" s="12"/>
    </row>
    <row r="119" spans="1:10" ht="60" customHeight="1">
      <c r="A119" s="6" t="s">
        <v>482</v>
      </c>
      <c r="B119" s="6" t="s">
        <v>17</v>
      </c>
      <c r="C119" s="6" t="s">
        <v>483</v>
      </c>
      <c r="D119" s="7" t="s">
        <v>90</v>
      </c>
      <c r="E119" s="8" t="s">
        <v>484</v>
      </c>
      <c r="F119" s="6" t="s">
        <v>485</v>
      </c>
      <c r="G119" s="9">
        <f>IF(A119=1,"_",IF(C119="_","???",C119))</f>
        <v/>
      </c>
      <c r="H119" s="10" t="s">
        <v>16</v>
      </c>
      <c r="I119" s="11" t="s">
        <v>16</v>
      </c>
      <c r="J119" s="12"/>
    </row>
    <row r="120" spans="1:10" ht="60" customHeight="1">
      <c r="A120" s="6" t="s">
        <v>486</v>
      </c>
      <c r="B120" s="6" t="s">
        <v>47</v>
      </c>
      <c r="C120" s="6" t="s">
        <v>16</v>
      </c>
      <c r="D120" s="7" t="s">
        <v>487</v>
      </c>
      <c r="E120" s="8" t="s">
        <v>488</v>
      </c>
      <c r="F120" s="6" t="s">
        <v>489</v>
      </c>
      <c r="G120" s="9">
        <f>IF(A120=1,"_",IF(C120="_","???",C120))</f>
        <v/>
      </c>
      <c r="H120" s="10" t="s">
        <v>16</v>
      </c>
      <c r="I120" s="11" t="s">
        <v>16</v>
      </c>
      <c r="J120" s="12"/>
    </row>
    <row r="121" spans="1:10" ht="60" customHeight="1">
      <c r="A121" s="6" t="s">
        <v>490</v>
      </c>
      <c r="B121" s="6" t="s">
        <v>18</v>
      </c>
      <c r="C121" s="6" t="s">
        <v>138</v>
      </c>
      <c r="D121" s="7" t="s">
        <v>491</v>
      </c>
      <c r="E121" s="8" t="s">
        <v>492</v>
      </c>
      <c r="F121" s="6" t="s">
        <v>493</v>
      </c>
      <c r="G121" s="9">
        <f>IF(A121=1,"_",IF(C121="_","???",C121))</f>
        <v/>
      </c>
      <c r="H121" s="10" t="s">
        <v>16</v>
      </c>
      <c r="I121" s="11" t="s">
        <v>16</v>
      </c>
      <c r="J121" s="12"/>
    </row>
    <row r="122" spans="1:10" ht="60" customHeight="1">
      <c r="A122" s="6" t="s">
        <v>494</v>
      </c>
      <c r="B122" s="6" t="s">
        <v>47</v>
      </c>
      <c r="C122" s="6" t="s">
        <v>48</v>
      </c>
      <c r="D122" s="7" t="s">
        <v>495</v>
      </c>
      <c r="E122" s="8" t="s">
        <v>496</v>
      </c>
      <c r="F122" s="6" t="s">
        <v>497</v>
      </c>
      <c r="G122" s="9">
        <f>IF(A122=1,"_",IF(C122="_","???",C122))</f>
        <v/>
      </c>
      <c r="H122" s="10" t="s">
        <v>16</v>
      </c>
      <c r="I122" s="11" t="s">
        <v>16</v>
      </c>
      <c r="J122" s="12"/>
    </row>
    <row r="123" spans="1:10" ht="60" customHeight="1">
      <c r="A123" s="6" t="s">
        <v>498</v>
      </c>
      <c r="B123" s="6" t="s">
        <v>10</v>
      </c>
      <c r="C123" s="6" t="s">
        <v>499</v>
      </c>
      <c r="D123" s="7" t="s">
        <v>376</v>
      </c>
      <c r="E123" s="8" t="s">
        <v>500</v>
      </c>
      <c r="F123" s="6" t="s">
        <v>501</v>
      </c>
      <c r="G123" s="9">
        <f>IF(A123=1,"_",IF(C123="_","???",C123))</f>
        <v/>
      </c>
      <c r="H123" s="10" t="s">
        <v>16</v>
      </c>
      <c r="I123" s="11" t="s">
        <v>16</v>
      </c>
      <c r="J123" s="12"/>
    </row>
    <row r="124" spans="1:10" ht="60" customHeight="1">
      <c r="A124" s="6" t="s">
        <v>502</v>
      </c>
      <c r="B124" s="6" t="s">
        <v>22</v>
      </c>
      <c r="C124" s="6" t="s">
        <v>474</v>
      </c>
      <c r="D124" s="7" t="s">
        <v>503</v>
      </c>
      <c r="E124" s="8" t="s">
        <v>504</v>
      </c>
      <c r="F124" s="6" t="s">
        <v>505</v>
      </c>
      <c r="G124" s="9">
        <f>IF(A124=1,"_",IF(C124="_","???",C124))</f>
        <v/>
      </c>
      <c r="H124" s="10" t="s">
        <v>16</v>
      </c>
      <c r="I124" s="11" t="s">
        <v>16</v>
      </c>
      <c r="J124" s="12"/>
    </row>
    <row r="125" spans="1:10" ht="60" customHeight="1">
      <c r="A125" s="6" t="s">
        <v>506</v>
      </c>
      <c r="B125" s="6" t="s">
        <v>18</v>
      </c>
      <c r="C125" s="6" t="s">
        <v>16</v>
      </c>
      <c r="D125" s="7" t="s">
        <v>507</v>
      </c>
      <c r="E125" s="8" t="s">
        <v>508</v>
      </c>
      <c r="F125" s="6" t="s">
        <v>509</v>
      </c>
      <c r="G125" s="9">
        <f>IF(A125=1,"_",IF(C125="_","???",C125))</f>
        <v/>
      </c>
      <c r="H125" s="10" t="s">
        <v>16</v>
      </c>
      <c r="I125" s="11" t="s">
        <v>16</v>
      </c>
      <c r="J125" s="12"/>
    </row>
    <row r="126" spans="1:10" ht="60" customHeight="1">
      <c r="A126" s="6" t="s">
        <v>510</v>
      </c>
      <c r="B126" s="6" t="s">
        <v>17</v>
      </c>
      <c r="C126" s="6" t="s">
        <v>16</v>
      </c>
      <c r="D126" s="7" t="s">
        <v>511</v>
      </c>
      <c r="E126" s="8" t="s">
        <v>512</v>
      </c>
      <c r="F126" s="6" t="s">
        <v>513</v>
      </c>
      <c r="G126" s="9">
        <f>IF(A126=1,"_",IF(C126="_","???",C126))</f>
        <v/>
      </c>
      <c r="H126" s="10" t="s">
        <v>16</v>
      </c>
      <c r="I126" s="11" t="s">
        <v>16</v>
      </c>
      <c r="J126" s="12"/>
    </row>
    <row r="127" spans="1:10" ht="60" customHeight="1">
      <c r="A127" s="6" t="s">
        <v>514</v>
      </c>
      <c r="B127" s="6" t="s">
        <v>18</v>
      </c>
      <c r="C127" s="6" t="s">
        <v>16</v>
      </c>
      <c r="D127" s="7" t="s">
        <v>68</v>
      </c>
      <c r="E127" s="8" t="s">
        <v>515</v>
      </c>
      <c r="F127" s="6" t="s">
        <v>516</v>
      </c>
      <c r="G127" s="9">
        <f>IF(A127=1,"_",IF(C127="_","???",C127))</f>
        <v/>
      </c>
      <c r="H127" s="10" t="s">
        <v>16</v>
      </c>
      <c r="I127" s="11" t="s">
        <v>16</v>
      </c>
      <c r="J127" s="12"/>
    </row>
    <row r="128" spans="1:10" ht="60" customHeight="1">
      <c r="A128" s="6" t="s">
        <v>517</v>
      </c>
      <c r="B128" s="6" t="s">
        <v>18</v>
      </c>
      <c r="C128" s="6" t="s">
        <v>16</v>
      </c>
      <c r="D128" s="7" t="s">
        <v>518</v>
      </c>
      <c r="E128" s="8" t="s">
        <v>519</v>
      </c>
      <c r="F128" s="6" t="s">
        <v>520</v>
      </c>
      <c r="G128" s="9">
        <f>IF(A128=1,"_",IF(C128="_","???",C128))</f>
        <v/>
      </c>
      <c r="H128" s="10" t="s">
        <v>16</v>
      </c>
      <c r="I128" s="11" t="s">
        <v>16</v>
      </c>
      <c r="J128" s="12"/>
    </row>
    <row r="129" spans="1:10" ht="60" customHeight="1">
      <c r="A129" s="6" t="s">
        <v>521</v>
      </c>
      <c r="B129" s="6" t="s">
        <v>71</v>
      </c>
      <c r="C129" s="6" t="s">
        <v>522</v>
      </c>
      <c r="D129" s="7" t="s">
        <v>523</v>
      </c>
      <c r="E129" s="8" t="s">
        <v>524</v>
      </c>
      <c r="F129" s="6" t="s">
        <v>525</v>
      </c>
      <c r="G129" s="9">
        <f>IF(A129=1,"_",IF(C129="_","???",C129))</f>
        <v/>
      </c>
      <c r="H129" s="10" t="s">
        <v>16</v>
      </c>
      <c r="I129" s="11" t="s">
        <v>16</v>
      </c>
      <c r="J129" s="12"/>
    </row>
    <row r="130" spans="1:10" ht="60" customHeight="1">
      <c r="A130" s="6" t="s">
        <v>526</v>
      </c>
      <c r="B130" s="6" t="s">
        <v>47</v>
      </c>
      <c r="C130" s="6" t="s">
        <v>16</v>
      </c>
      <c r="D130" s="7" t="s">
        <v>527</v>
      </c>
      <c r="E130" s="8" t="s">
        <v>528</v>
      </c>
      <c r="F130" s="6" t="s">
        <v>529</v>
      </c>
      <c r="G130" s="9">
        <f>IF(A130=1,"_",IF(C130="_","???",C130))</f>
        <v/>
      </c>
      <c r="H130" s="10" t="s">
        <v>16</v>
      </c>
      <c r="I130" s="11" t="s">
        <v>16</v>
      </c>
      <c r="J130" s="12"/>
    </row>
    <row r="131" spans="1:10" ht="60" customHeight="1">
      <c r="A131" s="6" t="s">
        <v>530</v>
      </c>
      <c r="B131" s="6" t="s">
        <v>33</v>
      </c>
      <c r="C131" s="6" t="s">
        <v>16</v>
      </c>
      <c r="D131" s="7" t="s">
        <v>531</v>
      </c>
      <c r="E131" s="8" t="s">
        <v>532</v>
      </c>
      <c r="F131" s="6" t="s">
        <v>533</v>
      </c>
      <c r="G131" s="9">
        <f>IF(A131=1,"_",IF(C131="_","???",C131))</f>
        <v/>
      </c>
      <c r="H131" s="10" t="s">
        <v>16</v>
      </c>
      <c r="I131" s="11" t="s">
        <v>16</v>
      </c>
      <c r="J131" s="12"/>
    </row>
    <row r="132" spans="1:10" ht="60" customHeight="1">
      <c r="A132" s="6" t="s">
        <v>534</v>
      </c>
      <c r="B132" s="6" t="s">
        <v>57</v>
      </c>
      <c r="C132" s="6" t="s">
        <v>16</v>
      </c>
      <c r="D132" s="7" t="s">
        <v>535</v>
      </c>
      <c r="E132" s="8" t="s">
        <v>536</v>
      </c>
      <c r="F132" s="6" t="s">
        <v>537</v>
      </c>
      <c r="G132" s="9">
        <f>IF(A132=1,"_",IF(C132="_","???",C132))</f>
        <v/>
      </c>
      <c r="H132" s="10" t="s">
        <v>16</v>
      </c>
      <c r="I132" s="11" t="s">
        <v>16</v>
      </c>
      <c r="J132" s="12"/>
    </row>
    <row r="133" spans="1:10" ht="60" customHeight="1">
      <c r="A133" s="6" t="s">
        <v>538</v>
      </c>
      <c r="B133" s="6" t="s">
        <v>41</v>
      </c>
      <c r="C133" s="6" t="s">
        <v>16</v>
      </c>
      <c r="D133" s="7" t="s">
        <v>539</v>
      </c>
      <c r="E133" s="8" t="s">
        <v>540</v>
      </c>
      <c r="F133" s="6" t="s">
        <v>541</v>
      </c>
      <c r="G133" s="9">
        <f>IF(A133=1,"_",IF(C133="_","???",C133))</f>
        <v/>
      </c>
      <c r="H133" s="10" t="s">
        <v>16</v>
      </c>
      <c r="I133" s="11" t="s">
        <v>16</v>
      </c>
      <c r="J133" s="12"/>
    </row>
    <row r="134" spans="1:10" ht="60" customHeight="1">
      <c r="A134" s="6" t="s">
        <v>542</v>
      </c>
      <c r="B134" s="6" t="s">
        <v>10</v>
      </c>
      <c r="C134" s="6" t="s">
        <v>371</v>
      </c>
      <c r="D134" s="7" t="s">
        <v>543</v>
      </c>
      <c r="E134" s="8" t="s">
        <v>544</v>
      </c>
      <c r="F134" s="6" t="s">
        <v>545</v>
      </c>
      <c r="G134" s="9">
        <f>IF(A134=1,"_",IF(C134="_","???",C134))</f>
        <v/>
      </c>
      <c r="H134" s="10" t="s">
        <v>16</v>
      </c>
      <c r="I134" s="11" t="s">
        <v>16</v>
      </c>
      <c r="J134" s="12"/>
    </row>
    <row r="135" spans="1:10" ht="60" customHeight="1">
      <c r="A135" s="6" t="s">
        <v>546</v>
      </c>
      <c r="B135" s="6" t="s">
        <v>134</v>
      </c>
      <c r="C135" s="6" t="s">
        <v>547</v>
      </c>
      <c r="D135" s="7" t="s">
        <v>548</v>
      </c>
      <c r="E135" s="8" t="s">
        <v>549</v>
      </c>
      <c r="F135" s="6" t="s">
        <v>550</v>
      </c>
      <c r="G135" s="9">
        <f>IF(A135=1,"_",IF(C135="_","???",C135))</f>
        <v/>
      </c>
      <c r="H135" s="10" t="s">
        <v>16</v>
      </c>
      <c r="I135" s="11" t="s">
        <v>16</v>
      </c>
      <c r="J135" s="12"/>
    </row>
    <row r="136" spans="1:10" ht="60" customHeight="1">
      <c r="A136" s="6" t="s">
        <v>551</v>
      </c>
      <c r="B136" s="6" t="s">
        <v>47</v>
      </c>
      <c r="C136" s="6" t="s">
        <v>16</v>
      </c>
      <c r="D136" s="7" t="s">
        <v>552</v>
      </c>
      <c r="E136" s="8" t="s">
        <v>553</v>
      </c>
      <c r="F136" s="6" t="s">
        <v>554</v>
      </c>
      <c r="G136" s="9">
        <f>IF(A136=1,"_",IF(C136="_","???",C136))</f>
        <v/>
      </c>
      <c r="H136" s="10" t="s">
        <v>16</v>
      </c>
      <c r="I136" s="11" t="s">
        <v>16</v>
      </c>
      <c r="J136" s="12"/>
    </row>
    <row r="137" spans="1:10" ht="60" customHeight="1">
      <c r="A137" s="6" t="s">
        <v>555</v>
      </c>
      <c r="B137" s="6" t="s">
        <v>47</v>
      </c>
      <c r="C137" s="6" t="s">
        <v>556</v>
      </c>
      <c r="D137" s="7" t="s">
        <v>557</v>
      </c>
      <c r="E137" s="8" t="s">
        <v>558</v>
      </c>
      <c r="F137" s="6" t="s">
        <v>559</v>
      </c>
      <c r="G137" s="9">
        <f>IF(A137=1,"_",IF(C137="_","???",C137))</f>
        <v/>
      </c>
      <c r="H137" s="10" t="s">
        <v>16</v>
      </c>
      <c r="I137" s="11" t="s">
        <v>16</v>
      </c>
      <c r="J137" s="12"/>
    </row>
    <row r="138" spans="1:10" ht="60" customHeight="1">
      <c r="A138" s="6" t="s">
        <v>560</v>
      </c>
      <c r="B138" s="6" t="s">
        <v>17</v>
      </c>
      <c r="C138" s="6" t="s">
        <v>62</v>
      </c>
      <c r="D138" s="7" t="s">
        <v>561</v>
      </c>
      <c r="E138" s="8" t="s">
        <v>562</v>
      </c>
      <c r="F138" s="6" t="s">
        <v>563</v>
      </c>
      <c r="G138" s="9">
        <f>IF(A138=1,"_",IF(C138="_","???",C138))</f>
        <v/>
      </c>
      <c r="H138" s="10" t="s">
        <v>16</v>
      </c>
      <c r="I138" s="11" t="s">
        <v>16</v>
      </c>
      <c r="J138" s="12"/>
    </row>
    <row r="139" spans="1:10" ht="60" customHeight="1">
      <c r="A139" s="6" t="s">
        <v>564</v>
      </c>
      <c r="B139" s="6" t="s">
        <v>134</v>
      </c>
      <c r="C139" s="6" t="s">
        <v>16</v>
      </c>
      <c r="D139" s="7" t="s">
        <v>565</v>
      </c>
      <c r="E139" s="8" t="s">
        <v>566</v>
      </c>
      <c r="F139" s="6" t="s">
        <v>567</v>
      </c>
      <c r="G139" s="9">
        <f>IF(A139=1,"_",IF(C139="_","???",C139))</f>
        <v/>
      </c>
      <c r="H139" s="10" t="s">
        <v>16</v>
      </c>
      <c r="I139" s="11" t="s">
        <v>16</v>
      </c>
      <c r="J139" s="12"/>
    </row>
    <row r="140" spans="1:10" ht="60" customHeight="1">
      <c r="A140" s="6" t="s">
        <v>568</v>
      </c>
      <c r="B140" s="6" t="s">
        <v>18</v>
      </c>
      <c r="C140" s="6" t="s">
        <v>98</v>
      </c>
      <c r="D140" s="7" t="s">
        <v>569</v>
      </c>
      <c r="E140" s="8" t="s">
        <v>570</v>
      </c>
      <c r="F140" s="6" t="s">
        <v>571</v>
      </c>
      <c r="G140" s="9">
        <f>IF(A140=1,"_",IF(C140="_","???",C140))</f>
        <v/>
      </c>
      <c r="H140" s="10" t="s">
        <v>16</v>
      </c>
      <c r="I140" s="11" t="s">
        <v>16</v>
      </c>
      <c r="J140" s="12"/>
    </row>
    <row r="141" spans="1:10" ht="60" customHeight="1">
      <c r="A141" s="6" t="s">
        <v>572</v>
      </c>
      <c r="B141" s="6" t="s">
        <v>17</v>
      </c>
      <c r="C141" s="6" t="s">
        <v>16</v>
      </c>
      <c r="D141" s="7" t="s">
        <v>573</v>
      </c>
      <c r="E141" s="8" t="s">
        <v>574</v>
      </c>
      <c r="F141" s="6" t="s">
        <v>575</v>
      </c>
      <c r="G141" s="9">
        <f>IF(A141=1,"_",IF(C141="_","???",C141))</f>
        <v/>
      </c>
      <c r="H141" s="10" t="s">
        <v>16</v>
      </c>
      <c r="I141" s="11" t="s">
        <v>16</v>
      </c>
      <c r="J141" s="12"/>
    </row>
    <row r="142" spans="1:10" ht="60" customHeight="1">
      <c r="A142" s="6" t="s">
        <v>576</v>
      </c>
      <c r="B142" s="6" t="s">
        <v>47</v>
      </c>
      <c r="C142" s="6" t="s">
        <v>34</v>
      </c>
      <c r="D142" s="7" t="s">
        <v>577</v>
      </c>
      <c r="E142" s="8" t="s">
        <v>578</v>
      </c>
      <c r="F142" s="6" t="s">
        <v>579</v>
      </c>
      <c r="G142" s="9">
        <f>IF(A142=1,"_",IF(C142="_","???",C142))</f>
        <v/>
      </c>
      <c r="H142" s="10" t="s">
        <v>16</v>
      </c>
      <c r="I142" s="11" t="s">
        <v>16</v>
      </c>
      <c r="J142" s="12"/>
    </row>
    <row r="143" spans="1:10" ht="60" customHeight="1">
      <c r="A143" s="6" t="s">
        <v>580</v>
      </c>
      <c r="B143" s="6" t="s">
        <v>10</v>
      </c>
      <c r="C143" s="6" t="s">
        <v>581</v>
      </c>
      <c r="D143" s="7" t="s">
        <v>582</v>
      </c>
      <c r="E143" s="8" t="s">
        <v>583</v>
      </c>
      <c r="F143" s="6" t="s">
        <v>584</v>
      </c>
      <c r="G143" s="9">
        <f>IF(A143=1,"_",IF(C143="_","???",C143))</f>
        <v/>
      </c>
      <c r="H143" s="10" t="s">
        <v>16</v>
      </c>
      <c r="I143" s="11" t="s">
        <v>16</v>
      </c>
      <c r="J143" s="12"/>
    </row>
    <row r="144" spans="1:10" ht="60" customHeight="1">
      <c r="A144" s="6" t="s">
        <v>585</v>
      </c>
      <c r="B144" s="6" t="s">
        <v>47</v>
      </c>
      <c r="C144" s="6" t="s">
        <v>62</v>
      </c>
      <c r="D144" s="7" t="s">
        <v>586</v>
      </c>
      <c r="E144" s="8" t="s">
        <v>587</v>
      </c>
      <c r="F144" s="6" t="s">
        <v>588</v>
      </c>
      <c r="G144" s="9">
        <f>IF(A144=1,"_",IF(C144="_","???",C144))</f>
        <v/>
      </c>
      <c r="H144" s="10" t="s">
        <v>16</v>
      </c>
      <c r="I144" s="11" t="s">
        <v>16</v>
      </c>
      <c r="J144" s="12"/>
    </row>
    <row r="145" spans="1:10" ht="60" customHeight="1">
      <c r="A145" s="6" t="s">
        <v>589</v>
      </c>
      <c r="B145" s="6" t="s">
        <v>18</v>
      </c>
      <c r="C145" s="6" t="s">
        <v>16</v>
      </c>
      <c r="D145" s="7" t="s">
        <v>590</v>
      </c>
      <c r="E145" s="8" t="s">
        <v>591</v>
      </c>
      <c r="F145" s="6" t="s">
        <v>592</v>
      </c>
      <c r="G145" s="9">
        <f>IF(A145=1,"_",IF(C145="_","???",C145))</f>
        <v/>
      </c>
      <c r="H145" s="10" t="s">
        <v>16</v>
      </c>
      <c r="I145" s="11" t="s">
        <v>16</v>
      </c>
      <c r="J145" s="12"/>
    </row>
    <row r="146" spans="1:10" ht="60" customHeight="1">
      <c r="A146" s="6" t="s">
        <v>593</v>
      </c>
      <c r="B146" s="6" t="s">
        <v>84</v>
      </c>
      <c r="C146" s="6" t="s">
        <v>16</v>
      </c>
      <c r="D146" s="7" t="s">
        <v>594</v>
      </c>
      <c r="E146" s="8" t="s">
        <v>595</v>
      </c>
      <c r="F146" s="6" t="s">
        <v>596</v>
      </c>
      <c r="G146" s="9">
        <f>IF(A146=1,"_",IF(C146="_","???",C146))</f>
        <v/>
      </c>
      <c r="H146" s="10" t="s">
        <v>16</v>
      </c>
      <c r="I146" s="11" t="s">
        <v>16</v>
      </c>
      <c r="J146" s="12"/>
    </row>
    <row r="147" spans="1:10" ht="60" customHeight="1">
      <c r="A147" s="6" t="s">
        <v>597</v>
      </c>
      <c r="B147" s="6" t="s">
        <v>17</v>
      </c>
      <c r="C147" s="6" t="s">
        <v>598</v>
      </c>
      <c r="D147" s="7" t="s">
        <v>599</v>
      </c>
      <c r="E147" s="8" t="s">
        <v>600</v>
      </c>
      <c r="F147" s="6" t="s">
        <v>601</v>
      </c>
      <c r="G147" s="9">
        <f>IF(A147=1,"_",IF(C147="_","???",C147))</f>
        <v/>
      </c>
      <c r="H147" s="10" t="s">
        <v>16</v>
      </c>
      <c r="I147" s="11" t="s">
        <v>16</v>
      </c>
      <c r="J147" s="12"/>
    </row>
    <row r="148" spans="1:10" ht="60" customHeight="1">
      <c r="A148" s="6" t="s">
        <v>602</v>
      </c>
      <c r="B148" s="6" t="s">
        <v>47</v>
      </c>
      <c r="C148" s="6" t="s">
        <v>42</v>
      </c>
      <c r="D148" s="7" t="s">
        <v>208</v>
      </c>
      <c r="E148" s="8" t="s">
        <v>603</v>
      </c>
      <c r="F148" s="6" t="s">
        <v>604</v>
      </c>
      <c r="G148" s="9">
        <f>IF(A148=1,"_",IF(C148="_","???",C148))</f>
        <v/>
      </c>
      <c r="H148" s="10" t="s">
        <v>16</v>
      </c>
      <c r="I148" s="11" t="s">
        <v>16</v>
      </c>
      <c r="J148" s="12"/>
    </row>
    <row r="149" spans="1:10" ht="60" customHeight="1">
      <c r="A149" s="6" t="s">
        <v>605</v>
      </c>
      <c r="B149" s="6" t="s">
        <v>33</v>
      </c>
      <c r="C149" s="6" t="s">
        <v>72</v>
      </c>
      <c r="D149" s="7" t="s">
        <v>606</v>
      </c>
      <c r="E149" s="8" t="s">
        <v>607</v>
      </c>
      <c r="F149" s="6" t="s">
        <v>608</v>
      </c>
      <c r="G149" s="9">
        <f>IF(A149=1,"_",IF(C149="_","???",C149))</f>
        <v/>
      </c>
      <c r="H149" s="10" t="s">
        <v>16</v>
      </c>
      <c r="I149" s="11" t="s">
        <v>16</v>
      </c>
      <c r="J149" s="12"/>
    </row>
    <row r="150" spans="1:10" ht="60" customHeight="1">
      <c r="A150" s="6" t="s">
        <v>609</v>
      </c>
      <c r="B150" s="6" t="s">
        <v>17</v>
      </c>
      <c r="C150" s="6" t="s">
        <v>62</v>
      </c>
      <c r="D150" s="7" t="s">
        <v>610</v>
      </c>
      <c r="E150" s="8" t="s">
        <v>611</v>
      </c>
      <c r="F150" s="6" t="s">
        <v>612</v>
      </c>
      <c r="G150" s="9">
        <f>IF(A150=1,"_",IF(C150="_","???",C150))</f>
        <v/>
      </c>
      <c r="H150" s="10" t="s">
        <v>16</v>
      </c>
      <c r="I150" s="11" t="s">
        <v>16</v>
      </c>
      <c r="J150" s="12"/>
    </row>
    <row r="151" spans="1:10" ht="60" customHeight="1">
      <c r="A151" s="6" t="s">
        <v>613</v>
      </c>
      <c r="B151" s="6" t="s">
        <v>18</v>
      </c>
      <c r="C151" s="6" t="s">
        <v>16</v>
      </c>
      <c r="D151" s="7" t="s">
        <v>614</v>
      </c>
      <c r="E151" s="8" t="s">
        <v>615</v>
      </c>
      <c r="F151" s="6" t="s">
        <v>616</v>
      </c>
      <c r="G151" s="9">
        <f>IF(A151=1,"_",IF(C151="_","???",C151))</f>
        <v/>
      </c>
      <c r="H151" s="10" t="s">
        <v>16</v>
      </c>
      <c r="I151" s="11" t="s">
        <v>16</v>
      </c>
      <c r="J151" s="12"/>
    </row>
    <row r="152" spans="1:10" ht="60" customHeight="1">
      <c r="A152" s="6" t="s">
        <v>617</v>
      </c>
      <c r="B152" s="6" t="s">
        <v>32</v>
      </c>
      <c r="C152" s="6" t="s">
        <v>48</v>
      </c>
      <c r="D152" s="7" t="s">
        <v>618</v>
      </c>
      <c r="E152" s="8" t="s">
        <v>619</v>
      </c>
      <c r="F152" s="6" t="s">
        <v>620</v>
      </c>
      <c r="G152" s="9">
        <f>IF(A152=1,"_",IF(C152="_","???",C152))</f>
        <v/>
      </c>
      <c r="H152" s="10" t="s">
        <v>16</v>
      </c>
      <c r="I152" s="11" t="s">
        <v>16</v>
      </c>
      <c r="J152" s="12"/>
    </row>
    <row r="153" spans="1:10" ht="60" customHeight="1">
      <c r="A153" s="6" t="s">
        <v>621</v>
      </c>
      <c r="B153" s="6" t="s">
        <v>17</v>
      </c>
      <c r="C153" s="6" t="s">
        <v>371</v>
      </c>
      <c r="D153" s="7" t="s">
        <v>622</v>
      </c>
      <c r="E153" s="8" t="s">
        <v>623</v>
      </c>
      <c r="F153" s="6" t="s">
        <v>624</v>
      </c>
      <c r="G153" s="9">
        <f>IF(A153=1,"_",IF(C153="_","???",C153))</f>
        <v/>
      </c>
      <c r="H153" s="10" t="s">
        <v>16</v>
      </c>
      <c r="I153" s="11" t="s">
        <v>16</v>
      </c>
      <c r="J153" s="12"/>
    </row>
    <row r="154" spans="1:10" ht="60" customHeight="1">
      <c r="A154" s="6" t="s">
        <v>625</v>
      </c>
      <c r="B154" s="6" t="s">
        <v>47</v>
      </c>
      <c r="C154" s="6" t="s">
        <v>72</v>
      </c>
      <c r="D154" s="7" t="s">
        <v>626</v>
      </c>
      <c r="E154" s="8" t="s">
        <v>627</v>
      </c>
      <c r="F154" s="6" t="s">
        <v>628</v>
      </c>
      <c r="G154" s="9">
        <f>IF(A154=1,"_",IF(C154="_","???",C154))</f>
        <v/>
      </c>
      <c r="H154" s="10" t="s">
        <v>16</v>
      </c>
      <c r="I154" s="11" t="s">
        <v>16</v>
      </c>
      <c r="J154" s="12"/>
    </row>
    <row r="155" spans="1:10" ht="60" customHeight="1">
      <c r="A155" s="6" t="s">
        <v>629</v>
      </c>
      <c r="B155" s="6" t="s">
        <v>17</v>
      </c>
      <c r="C155" s="6" t="s">
        <v>117</v>
      </c>
      <c r="D155" s="7" t="s">
        <v>630</v>
      </c>
      <c r="E155" s="8" t="s">
        <v>631</v>
      </c>
      <c r="F155" s="6" t="s">
        <v>632</v>
      </c>
      <c r="G155" s="9">
        <f>IF(A155=1,"_",IF(C155="_","???",C155))</f>
        <v/>
      </c>
      <c r="H155" s="10" t="s">
        <v>16</v>
      </c>
      <c r="I155" s="11" t="s">
        <v>16</v>
      </c>
      <c r="J155" s="12"/>
    </row>
    <row r="156" spans="1:10" ht="60" customHeight="1">
      <c r="A156" s="6" t="s">
        <v>633</v>
      </c>
      <c r="B156" s="6" t="s">
        <v>18</v>
      </c>
      <c r="C156" s="6" t="s">
        <v>16</v>
      </c>
      <c r="D156" s="7" t="s">
        <v>634</v>
      </c>
      <c r="E156" s="8" t="s">
        <v>635</v>
      </c>
      <c r="F156" s="6" t="s">
        <v>636</v>
      </c>
      <c r="G156" s="9">
        <f>IF(A156=1,"_",IF(C156="_","???",C156))</f>
        <v/>
      </c>
      <c r="H156" s="10" t="s">
        <v>16</v>
      </c>
      <c r="I156" s="11" t="s">
        <v>16</v>
      </c>
      <c r="J156" s="12"/>
    </row>
    <row r="157" spans="1:10" ht="60" customHeight="1">
      <c r="A157" s="6" t="s">
        <v>637</v>
      </c>
      <c r="B157" s="6" t="s">
        <v>10</v>
      </c>
      <c r="C157" s="6" t="s">
        <v>638</v>
      </c>
      <c r="D157" s="7" t="s">
        <v>639</v>
      </c>
      <c r="E157" s="8" t="s">
        <v>640</v>
      </c>
      <c r="F157" s="6" t="s">
        <v>641</v>
      </c>
      <c r="G157" s="9">
        <f>IF(A157=1,"_",IF(C157="_","???",C157))</f>
        <v/>
      </c>
      <c r="H157" s="10" t="s">
        <v>16</v>
      </c>
      <c r="I157" s="11" t="s">
        <v>16</v>
      </c>
      <c r="J157" s="12"/>
    </row>
    <row r="158" spans="1:10" ht="60" customHeight="1">
      <c r="A158" s="6" t="s">
        <v>642</v>
      </c>
      <c r="B158" s="6" t="s">
        <v>47</v>
      </c>
      <c r="C158" s="6" t="s">
        <v>643</v>
      </c>
      <c r="D158" s="7" t="s">
        <v>644</v>
      </c>
      <c r="E158" s="8" t="s">
        <v>645</v>
      </c>
      <c r="F158" s="6" t="s">
        <v>646</v>
      </c>
      <c r="G158" s="9">
        <f>IF(A158=1,"_",IF(C158="_","???",C158))</f>
        <v/>
      </c>
      <c r="H158" s="10" t="s">
        <v>16</v>
      </c>
      <c r="I158" s="11" t="s">
        <v>16</v>
      </c>
      <c r="J158" s="12"/>
    </row>
    <row r="159" spans="1:10" ht="60" customHeight="1">
      <c r="A159" s="6" t="s">
        <v>647</v>
      </c>
      <c r="B159" s="6" t="s">
        <v>134</v>
      </c>
      <c r="C159" s="6" t="s">
        <v>16</v>
      </c>
      <c r="D159" s="7" t="s">
        <v>135</v>
      </c>
      <c r="E159" s="8" t="s">
        <v>135</v>
      </c>
      <c r="F159" s="6" t="s">
        <v>648</v>
      </c>
      <c r="G159" s="9">
        <f>IF(A159=1,"_",IF(C159="_","???",C159))</f>
        <v/>
      </c>
      <c r="H159" s="10" t="s">
        <v>16</v>
      </c>
      <c r="I159" s="11" t="s">
        <v>16</v>
      </c>
      <c r="J159" s="12"/>
    </row>
    <row r="160" spans="1:10" ht="60" customHeight="1">
      <c r="A160" s="6" t="s">
        <v>649</v>
      </c>
      <c r="B160" s="6" t="s">
        <v>32</v>
      </c>
      <c r="C160" s="6" t="s">
        <v>16</v>
      </c>
      <c r="D160" s="7" t="s">
        <v>172</v>
      </c>
      <c r="E160" s="8" t="s">
        <v>650</v>
      </c>
      <c r="F160" s="6" t="s">
        <v>651</v>
      </c>
      <c r="G160" s="9">
        <f>IF(A160=1,"_",IF(C160="_","???",C160))</f>
        <v/>
      </c>
      <c r="H160" s="10" t="s">
        <v>16</v>
      </c>
      <c r="I160" s="11" t="s">
        <v>16</v>
      </c>
      <c r="J160" s="12"/>
    </row>
    <row r="161" spans="1:10" ht="60" customHeight="1">
      <c r="A161" s="6" t="s">
        <v>652</v>
      </c>
      <c r="B161" s="6" t="s">
        <v>47</v>
      </c>
      <c r="C161" s="6" t="s">
        <v>16</v>
      </c>
      <c r="D161" s="7" t="s">
        <v>653</v>
      </c>
      <c r="E161" s="8" t="s">
        <v>654</v>
      </c>
      <c r="F161" s="6" t="s">
        <v>655</v>
      </c>
      <c r="G161" s="9">
        <f>IF(A161=1,"_",IF(C161="_","???",C161))</f>
        <v/>
      </c>
      <c r="H161" s="10" t="s">
        <v>16</v>
      </c>
      <c r="I161" s="11" t="s">
        <v>16</v>
      </c>
      <c r="J161" s="12"/>
    </row>
    <row r="162" spans="1:10" ht="60" customHeight="1">
      <c r="A162" s="6" t="s">
        <v>656</v>
      </c>
      <c r="B162" s="6" t="s">
        <v>61</v>
      </c>
      <c r="C162" s="6" t="s">
        <v>16</v>
      </c>
      <c r="D162" s="7" t="s">
        <v>657</v>
      </c>
      <c r="E162" s="8" t="s">
        <v>658</v>
      </c>
      <c r="F162" s="6" t="s">
        <v>659</v>
      </c>
      <c r="G162" s="9">
        <f>IF(A162=1,"_",IF(C162="_","???",C162))</f>
        <v/>
      </c>
      <c r="H162" s="10" t="s">
        <v>16</v>
      </c>
      <c r="I162" s="11" t="s">
        <v>16</v>
      </c>
      <c r="J162" s="12"/>
    </row>
    <row r="163" spans="1:10" ht="60" customHeight="1">
      <c r="A163" s="6" t="s">
        <v>660</v>
      </c>
      <c r="B163" s="6" t="s">
        <v>112</v>
      </c>
      <c r="C163" s="6" t="s">
        <v>16</v>
      </c>
      <c r="D163" s="7" t="s">
        <v>661</v>
      </c>
      <c r="E163" s="8" t="s">
        <v>662</v>
      </c>
      <c r="F163" s="6" t="s">
        <v>663</v>
      </c>
      <c r="G163" s="9">
        <f>IF(A163=1,"_",IF(C163="_","???",C163))</f>
        <v/>
      </c>
      <c r="H163" s="10" t="s">
        <v>16</v>
      </c>
      <c r="I163" s="11" t="s">
        <v>16</v>
      </c>
      <c r="J163" s="12"/>
    </row>
    <row r="164" spans="1:10" ht="60" customHeight="1">
      <c r="A164" s="6" t="s">
        <v>664</v>
      </c>
      <c r="B164" s="6" t="s">
        <v>18</v>
      </c>
      <c r="C164" s="6" t="s">
        <v>72</v>
      </c>
      <c r="D164" s="7" t="s">
        <v>665</v>
      </c>
      <c r="E164" s="8" t="s">
        <v>666</v>
      </c>
      <c r="F164" s="6" t="s">
        <v>667</v>
      </c>
      <c r="G164" s="9">
        <f>IF(A164=1,"_",IF(C164="_","???",C164))</f>
        <v/>
      </c>
      <c r="H164" s="10" t="s">
        <v>16</v>
      </c>
      <c r="I164" s="11" t="s">
        <v>16</v>
      </c>
      <c r="J164" s="12"/>
    </row>
    <row r="165" spans="1:10" ht="60" customHeight="1">
      <c r="A165" s="6" t="s">
        <v>668</v>
      </c>
      <c r="B165" s="6" t="s">
        <v>10</v>
      </c>
      <c r="C165" s="6" t="s">
        <v>16</v>
      </c>
      <c r="D165" s="7" t="s">
        <v>669</v>
      </c>
      <c r="E165" s="8" t="s">
        <v>670</v>
      </c>
      <c r="F165" s="6" t="s">
        <v>671</v>
      </c>
      <c r="G165" s="9">
        <f>IF(A165=1,"_",IF(C165="_","???",C165))</f>
        <v/>
      </c>
      <c r="H165" s="10" t="s">
        <v>16</v>
      </c>
      <c r="I165" s="11" t="s">
        <v>16</v>
      </c>
      <c r="J165" s="12"/>
    </row>
    <row r="166" spans="1:10" ht="60" customHeight="1">
      <c r="A166" s="6" t="s">
        <v>672</v>
      </c>
      <c r="B166" s="6" t="s">
        <v>41</v>
      </c>
      <c r="C166" s="6" t="s">
        <v>117</v>
      </c>
      <c r="D166" s="7" t="s">
        <v>673</v>
      </c>
      <c r="E166" s="8" t="s">
        <v>674</v>
      </c>
      <c r="F166" s="6" t="s">
        <v>675</v>
      </c>
      <c r="G166" s="9">
        <f>IF(A166=1,"_",IF(C166="_","???",C166))</f>
        <v/>
      </c>
      <c r="H166" s="10" t="s">
        <v>16</v>
      </c>
      <c r="I166" s="11" t="s">
        <v>16</v>
      </c>
      <c r="J166" s="12"/>
    </row>
    <row r="167" spans="1:10" ht="60" customHeight="1">
      <c r="A167" s="6" t="s">
        <v>676</v>
      </c>
      <c r="B167" s="6" t="s">
        <v>17</v>
      </c>
      <c r="C167" s="6" t="s">
        <v>16</v>
      </c>
      <c r="D167" s="7" t="s">
        <v>677</v>
      </c>
      <c r="E167" s="8" t="s">
        <v>678</v>
      </c>
      <c r="F167" s="6" t="s">
        <v>679</v>
      </c>
      <c r="G167" s="9">
        <f>IF(A167=1,"_",IF(C167="_","???",C167))</f>
        <v/>
      </c>
      <c r="H167" s="10" t="s">
        <v>16</v>
      </c>
      <c r="I167" s="11" t="s">
        <v>16</v>
      </c>
      <c r="J167" s="12"/>
    </row>
    <row r="168" spans="1:10" ht="60" customHeight="1">
      <c r="A168" s="6" t="s">
        <v>680</v>
      </c>
      <c r="B168" s="6" t="s">
        <v>47</v>
      </c>
      <c r="C168" s="6" t="s">
        <v>643</v>
      </c>
      <c r="D168" s="7" t="s">
        <v>423</v>
      </c>
      <c r="E168" s="8" t="s">
        <v>681</v>
      </c>
      <c r="F168" s="6" t="s">
        <v>682</v>
      </c>
      <c r="G168" s="9">
        <f>IF(A168=1,"_",IF(C168="_","???",C168))</f>
        <v/>
      </c>
      <c r="H168" s="10" t="s">
        <v>16</v>
      </c>
      <c r="I168" s="11" t="s">
        <v>16</v>
      </c>
      <c r="J168" s="12"/>
    </row>
    <row r="169" spans="1:10" ht="60" customHeight="1">
      <c r="A169" s="6" t="s">
        <v>683</v>
      </c>
      <c r="B169" s="6" t="s">
        <v>18</v>
      </c>
      <c r="C169" s="6" t="s">
        <v>16</v>
      </c>
      <c r="D169" s="7" t="s">
        <v>684</v>
      </c>
      <c r="E169" s="8" t="s">
        <v>685</v>
      </c>
      <c r="F169" s="6" t="s">
        <v>686</v>
      </c>
      <c r="G169" s="9">
        <f>IF(A169=1,"_",IF(C169="_","???",C169))</f>
        <v/>
      </c>
      <c r="H169" s="10" t="s">
        <v>16</v>
      </c>
      <c r="I169" s="11" t="s">
        <v>16</v>
      </c>
      <c r="J169" s="12"/>
    </row>
    <row r="170" spans="1:10" ht="60" customHeight="1">
      <c r="A170" s="6" t="s">
        <v>687</v>
      </c>
      <c r="B170" s="6" t="s">
        <v>27</v>
      </c>
      <c r="C170" s="6" t="s">
        <v>688</v>
      </c>
      <c r="D170" s="7" t="s">
        <v>689</v>
      </c>
      <c r="E170" s="8" t="s">
        <v>690</v>
      </c>
      <c r="F170" s="6" t="s">
        <v>691</v>
      </c>
      <c r="G170" s="9">
        <f>IF(A170=1,"_",IF(C170="_","???",C170))</f>
        <v/>
      </c>
      <c r="H170" s="10" t="s">
        <v>16</v>
      </c>
      <c r="I170" s="11" t="s">
        <v>16</v>
      </c>
      <c r="J170" s="12"/>
    </row>
    <row r="171" spans="1:10" ht="60" customHeight="1">
      <c r="A171" s="6" t="s">
        <v>692</v>
      </c>
      <c r="B171" s="6" t="s">
        <v>27</v>
      </c>
      <c r="C171" s="6" t="s">
        <v>16</v>
      </c>
      <c r="D171" s="7" t="s">
        <v>693</v>
      </c>
      <c r="E171" s="8" t="s">
        <v>694</v>
      </c>
      <c r="F171" s="6" t="s">
        <v>695</v>
      </c>
      <c r="G171" s="9">
        <f>IF(A171=1,"_",IF(C171="_","???",C171))</f>
        <v/>
      </c>
      <c r="H171" s="10" t="s">
        <v>16</v>
      </c>
      <c r="I171" s="11" t="s">
        <v>16</v>
      </c>
      <c r="J171" s="12"/>
    </row>
    <row r="172" spans="1:10" ht="60" customHeight="1">
      <c r="A172" s="6" t="s">
        <v>696</v>
      </c>
      <c r="B172" s="6" t="s">
        <v>17</v>
      </c>
      <c r="C172" s="6" t="s">
        <v>67</v>
      </c>
      <c r="D172" s="7" t="s">
        <v>172</v>
      </c>
      <c r="E172" s="8" t="s">
        <v>697</v>
      </c>
      <c r="F172" s="6" t="s">
        <v>698</v>
      </c>
      <c r="G172" s="9">
        <f>IF(A172=1,"_",IF(C172="_","???",C172))</f>
        <v/>
      </c>
      <c r="H172" s="10" t="s">
        <v>16</v>
      </c>
      <c r="I172" s="11" t="s">
        <v>16</v>
      </c>
      <c r="J172" s="12"/>
    </row>
    <row r="173" spans="1:10" ht="60" customHeight="1">
      <c r="A173" s="6" t="s">
        <v>699</v>
      </c>
      <c r="B173" s="6" t="s">
        <v>134</v>
      </c>
      <c r="C173" s="6" t="s">
        <v>16</v>
      </c>
      <c r="D173" s="7" t="s">
        <v>565</v>
      </c>
      <c r="E173" s="8" t="s">
        <v>700</v>
      </c>
      <c r="F173" s="6" t="s">
        <v>701</v>
      </c>
      <c r="G173" s="9">
        <f>IF(A173=1,"_",IF(C173="_","???",C173))</f>
        <v/>
      </c>
      <c r="H173" s="10" t="s">
        <v>16</v>
      </c>
      <c r="I173" s="11" t="s">
        <v>16</v>
      </c>
      <c r="J173" s="12"/>
    </row>
    <row r="174" spans="1:10" ht="60" customHeight="1">
      <c r="A174" s="6" t="s">
        <v>702</v>
      </c>
      <c r="B174" s="6" t="s">
        <v>47</v>
      </c>
      <c r="C174" s="6" t="s">
        <v>42</v>
      </c>
      <c r="D174" s="7" t="s">
        <v>703</v>
      </c>
      <c r="E174" s="8" t="s">
        <v>704</v>
      </c>
      <c r="F174" s="6" t="s">
        <v>705</v>
      </c>
      <c r="G174" s="9">
        <f>IF(A174=1,"_",IF(C174="_","???",C174))</f>
        <v/>
      </c>
      <c r="H174" s="10" t="s">
        <v>16</v>
      </c>
      <c r="I174" s="11" t="s">
        <v>16</v>
      </c>
      <c r="J174" s="12"/>
    </row>
    <row r="175" spans="1:10" ht="60" customHeight="1">
      <c r="A175" s="6" t="s">
        <v>706</v>
      </c>
      <c r="B175" s="6" t="s">
        <v>17</v>
      </c>
      <c r="C175" s="6" t="s">
        <v>327</v>
      </c>
      <c r="D175" s="7" t="s">
        <v>707</v>
      </c>
      <c r="E175" s="8" t="s">
        <v>708</v>
      </c>
      <c r="F175" s="6" t="s">
        <v>709</v>
      </c>
      <c r="G175" s="9">
        <f>IF(A175=1,"_",IF(C175="_","???",C175))</f>
        <v/>
      </c>
      <c r="H175" s="10" t="s">
        <v>16</v>
      </c>
      <c r="I175" s="11" t="s">
        <v>16</v>
      </c>
      <c r="J175" s="12"/>
    </row>
    <row r="176" spans="1:10" ht="60" customHeight="1">
      <c r="A176" s="6" t="s">
        <v>710</v>
      </c>
      <c r="B176" s="6" t="s">
        <v>18</v>
      </c>
      <c r="C176" s="6" t="s">
        <v>16</v>
      </c>
      <c r="D176" s="7" t="s">
        <v>43</v>
      </c>
      <c r="E176" s="8" t="s">
        <v>711</v>
      </c>
      <c r="F176" s="6" t="s">
        <v>712</v>
      </c>
      <c r="G176" s="9">
        <f>IF(A176=1,"_",IF(C176="_","???",C176))</f>
        <v/>
      </c>
      <c r="H176" s="10" t="s">
        <v>16</v>
      </c>
      <c r="I176" s="11" t="s">
        <v>16</v>
      </c>
      <c r="J176" s="12"/>
    </row>
    <row r="177" spans="1:10" ht="60" customHeight="1">
      <c r="A177" s="6" t="s">
        <v>713</v>
      </c>
      <c r="B177" s="6" t="s">
        <v>17</v>
      </c>
      <c r="C177" s="6" t="s">
        <v>117</v>
      </c>
      <c r="D177" s="7" t="s">
        <v>714</v>
      </c>
      <c r="E177" s="8" t="s">
        <v>715</v>
      </c>
      <c r="F177" s="6" t="s">
        <v>716</v>
      </c>
      <c r="G177" s="9">
        <f>IF(A177=1,"_",IF(C177="_","???",C177))</f>
        <v/>
      </c>
      <c r="H177" s="10" t="s">
        <v>16</v>
      </c>
      <c r="I177" s="11" t="s">
        <v>16</v>
      </c>
      <c r="J177" s="12"/>
    </row>
    <row r="178" spans="1:10" ht="60" customHeight="1">
      <c r="A178" s="6" t="s">
        <v>717</v>
      </c>
      <c r="B178" s="6" t="s">
        <v>134</v>
      </c>
      <c r="C178" s="6" t="s">
        <v>16</v>
      </c>
      <c r="D178" s="7" t="s">
        <v>109</v>
      </c>
      <c r="E178" s="8" t="s">
        <v>718</v>
      </c>
      <c r="F178" s="6" t="s">
        <v>719</v>
      </c>
      <c r="G178" s="9">
        <f>IF(A178=1,"_",IF(C178="_","???",C178))</f>
        <v/>
      </c>
      <c r="H178" s="10" t="s">
        <v>16</v>
      </c>
      <c r="I178" s="11" t="s">
        <v>16</v>
      </c>
      <c r="J178" s="12"/>
    </row>
    <row r="179" spans="1:10" ht="60" customHeight="1">
      <c r="A179" s="6" t="s">
        <v>720</v>
      </c>
      <c r="B179" s="6" t="s">
        <v>134</v>
      </c>
      <c r="C179" s="6" t="s">
        <v>16</v>
      </c>
      <c r="D179" s="7" t="s">
        <v>135</v>
      </c>
      <c r="E179" s="8" t="s">
        <v>135</v>
      </c>
      <c r="F179" s="6" t="s">
        <v>721</v>
      </c>
      <c r="G179" s="9">
        <f>IF(A179=1,"_",IF(C179="_","???",C179))</f>
        <v/>
      </c>
      <c r="H179" s="10" t="s">
        <v>16</v>
      </c>
      <c r="I179" s="11" t="s">
        <v>16</v>
      </c>
      <c r="J179" s="12"/>
    </row>
    <row r="180" spans="1:10" ht="60" customHeight="1">
      <c r="A180" s="6" t="s">
        <v>722</v>
      </c>
      <c r="B180" s="6" t="s">
        <v>47</v>
      </c>
      <c r="C180" s="6" t="s">
        <v>62</v>
      </c>
      <c r="D180" s="7" t="s">
        <v>723</v>
      </c>
      <c r="E180" s="8" t="s">
        <v>724</v>
      </c>
      <c r="F180" s="6" t="s">
        <v>725</v>
      </c>
      <c r="G180" s="9">
        <f>IF(A180=1,"_",IF(C180="_","???",C180))</f>
        <v/>
      </c>
      <c r="H180" s="10" t="s">
        <v>16</v>
      </c>
      <c r="I180" s="11" t="s">
        <v>16</v>
      </c>
      <c r="J180" s="12"/>
    </row>
    <row r="181" spans="1:10" ht="60" customHeight="1">
      <c r="A181" s="6" t="s">
        <v>726</v>
      </c>
      <c r="B181" s="6" t="s">
        <v>47</v>
      </c>
      <c r="C181" s="6" t="s">
        <v>42</v>
      </c>
      <c r="D181" s="7" t="s">
        <v>491</v>
      </c>
      <c r="E181" s="8" t="s">
        <v>727</v>
      </c>
      <c r="F181" s="6" t="s">
        <v>728</v>
      </c>
      <c r="G181" s="9">
        <f>IF(A181=1,"_",IF(C181="_","???",C181))</f>
        <v/>
      </c>
      <c r="H181" s="10" t="s">
        <v>16</v>
      </c>
      <c r="I181" s="11" t="s">
        <v>16</v>
      </c>
      <c r="J181" s="12"/>
    </row>
    <row r="182" spans="1:10" ht="60" customHeight="1">
      <c r="A182" s="6" t="s">
        <v>729</v>
      </c>
      <c r="B182" s="6" t="s">
        <v>47</v>
      </c>
      <c r="C182" s="6" t="s">
        <v>48</v>
      </c>
      <c r="D182" s="7" t="s">
        <v>730</v>
      </c>
      <c r="E182" s="8" t="s">
        <v>731</v>
      </c>
      <c r="F182" s="6" t="s">
        <v>732</v>
      </c>
      <c r="G182" s="9">
        <f>IF(A182=1,"_",IF(C182="_","???",C182))</f>
        <v/>
      </c>
      <c r="H182" s="10" t="s">
        <v>16</v>
      </c>
      <c r="I182" s="11" t="s">
        <v>16</v>
      </c>
      <c r="J182" s="12"/>
    </row>
    <row r="183" spans="1:10" ht="60" customHeight="1">
      <c r="A183" s="6" t="s">
        <v>733</v>
      </c>
      <c r="B183" s="6" t="s">
        <v>47</v>
      </c>
      <c r="C183" s="6" t="s">
        <v>16</v>
      </c>
      <c r="D183" s="7" t="s">
        <v>734</v>
      </c>
      <c r="E183" s="8" t="s">
        <v>735</v>
      </c>
      <c r="F183" s="6" t="s">
        <v>736</v>
      </c>
      <c r="G183" s="9">
        <f>IF(A183=1,"_",IF(C183="_","???",C183))</f>
        <v/>
      </c>
      <c r="H183" s="10" t="s">
        <v>16</v>
      </c>
      <c r="I183" s="11" t="s">
        <v>16</v>
      </c>
      <c r="J183" s="12"/>
    </row>
    <row r="184" spans="1:10" ht="60" customHeight="1">
      <c r="A184" s="6" t="s">
        <v>737</v>
      </c>
      <c r="B184" s="6" t="s">
        <v>18</v>
      </c>
      <c r="C184" s="6" t="s">
        <v>16</v>
      </c>
      <c r="D184" s="7" t="s">
        <v>423</v>
      </c>
      <c r="E184" s="8" t="s">
        <v>738</v>
      </c>
      <c r="F184" s="6" t="s">
        <v>739</v>
      </c>
      <c r="G184" s="9">
        <f>IF(A184=1,"_",IF(C184="_","???",C184))</f>
        <v/>
      </c>
      <c r="H184" s="10" t="s">
        <v>16</v>
      </c>
      <c r="I184" s="11" t="s">
        <v>16</v>
      </c>
      <c r="J184" s="12"/>
    </row>
    <row r="185" spans="1:10" ht="60" customHeight="1">
      <c r="A185" s="6" t="s">
        <v>740</v>
      </c>
      <c r="B185" s="6" t="s">
        <v>18</v>
      </c>
      <c r="C185" s="6" t="s">
        <v>48</v>
      </c>
      <c r="D185" s="7" t="s">
        <v>741</v>
      </c>
      <c r="E185" s="8" t="s">
        <v>742</v>
      </c>
      <c r="F185" s="6" t="s">
        <v>743</v>
      </c>
      <c r="G185" s="9">
        <f>IF(A185=1,"_",IF(C185="_","???",C185))</f>
        <v/>
      </c>
      <c r="H185" s="10" t="s">
        <v>16</v>
      </c>
      <c r="I185" s="11" t="s">
        <v>16</v>
      </c>
      <c r="J185" s="12"/>
    </row>
    <row r="186" spans="1:10" ht="60" customHeight="1">
      <c r="A186" s="6" t="s">
        <v>744</v>
      </c>
      <c r="B186" s="6" t="s">
        <v>10</v>
      </c>
      <c r="C186" s="6" t="s">
        <v>364</v>
      </c>
      <c r="D186" s="7" t="s">
        <v>745</v>
      </c>
      <c r="E186" s="8" t="s">
        <v>746</v>
      </c>
      <c r="F186" s="6" t="s">
        <v>747</v>
      </c>
      <c r="G186" s="9">
        <f>IF(A186=1,"_",IF(C186="_","???",C186))</f>
        <v/>
      </c>
      <c r="H186" s="10" t="s">
        <v>16</v>
      </c>
      <c r="I186" s="11" t="s">
        <v>16</v>
      </c>
      <c r="J186" s="12"/>
    </row>
    <row r="187" spans="1:10" ht="60" customHeight="1">
      <c r="A187" s="6" t="s">
        <v>748</v>
      </c>
      <c r="B187" s="6" t="s">
        <v>134</v>
      </c>
      <c r="C187" s="6" t="s">
        <v>16</v>
      </c>
      <c r="D187" s="7" t="s">
        <v>135</v>
      </c>
      <c r="E187" s="8" t="s">
        <v>135</v>
      </c>
      <c r="F187" s="6" t="s">
        <v>749</v>
      </c>
      <c r="G187" s="9">
        <f>IF(A187=1,"_",IF(C187="_","???",C187))</f>
        <v/>
      </c>
      <c r="H187" s="10" t="s">
        <v>16</v>
      </c>
      <c r="I187" s="11" t="s">
        <v>16</v>
      </c>
      <c r="J187" s="12"/>
    </row>
    <row r="188" spans="1:10" ht="60" customHeight="1">
      <c r="A188" s="6" t="s">
        <v>750</v>
      </c>
      <c r="B188" s="6" t="s">
        <v>66</v>
      </c>
      <c r="C188" s="6" t="s">
        <v>72</v>
      </c>
      <c r="D188" s="7" t="s">
        <v>751</v>
      </c>
      <c r="E188" s="8" t="s">
        <v>752</v>
      </c>
      <c r="F188" s="6" t="s">
        <v>753</v>
      </c>
      <c r="G188" s="9">
        <f>IF(A188=1,"_",IF(C188="_","???",C188))</f>
        <v/>
      </c>
      <c r="H188" s="10" t="s">
        <v>16</v>
      </c>
      <c r="I188" s="11" t="s">
        <v>16</v>
      </c>
      <c r="J188" s="12"/>
    </row>
    <row r="189" spans="1:10" ht="60" customHeight="1">
      <c r="A189" s="6" t="s">
        <v>754</v>
      </c>
      <c r="B189" s="6" t="s">
        <v>27</v>
      </c>
      <c r="C189" s="6" t="s">
        <v>16</v>
      </c>
      <c r="D189" s="7" t="s">
        <v>755</v>
      </c>
      <c r="E189" s="8" t="s">
        <v>756</v>
      </c>
      <c r="F189" s="6" t="s">
        <v>757</v>
      </c>
      <c r="G189" s="9">
        <f>IF(A189=1,"_",IF(C189="_","???",C189))</f>
        <v/>
      </c>
      <c r="H189" s="10" t="s">
        <v>16</v>
      </c>
      <c r="I189" s="11" t="s">
        <v>16</v>
      </c>
      <c r="J189" s="12"/>
    </row>
    <row r="190" spans="1:10" ht="60" customHeight="1">
      <c r="A190" s="6" t="s">
        <v>758</v>
      </c>
      <c r="B190" s="6" t="s">
        <v>10</v>
      </c>
      <c r="C190" s="6" t="s">
        <v>16</v>
      </c>
      <c r="D190" s="7" t="s">
        <v>759</v>
      </c>
      <c r="E190" s="8" t="s">
        <v>760</v>
      </c>
      <c r="F190" s="6" t="s">
        <v>761</v>
      </c>
      <c r="G190" s="9">
        <f>IF(A190=1,"_",IF(C190="_","???",C190))</f>
        <v/>
      </c>
      <c r="H190" s="10" t="s">
        <v>16</v>
      </c>
      <c r="I190" s="11" t="s">
        <v>16</v>
      </c>
      <c r="J190" s="12"/>
    </row>
    <row r="191" spans="1:10" ht="60" customHeight="1">
      <c r="A191" s="6" t="s">
        <v>762</v>
      </c>
      <c r="B191" s="6" t="s">
        <v>10</v>
      </c>
      <c r="C191" s="6" t="s">
        <v>16</v>
      </c>
      <c r="D191" s="7" t="s">
        <v>763</v>
      </c>
      <c r="E191" s="8" t="s">
        <v>764</v>
      </c>
      <c r="F191" s="6" t="s">
        <v>765</v>
      </c>
      <c r="G191" s="9">
        <f>IF(A191=1,"_",IF(C191="_","???",C191))</f>
        <v/>
      </c>
      <c r="H191" s="10" t="s">
        <v>16</v>
      </c>
      <c r="I191" s="11" t="s">
        <v>16</v>
      </c>
      <c r="J191" s="12"/>
    </row>
    <row r="192" spans="1:10" ht="60" customHeight="1">
      <c r="A192" s="6" t="s">
        <v>766</v>
      </c>
      <c r="B192" s="6" t="s">
        <v>47</v>
      </c>
      <c r="C192" s="6" t="s">
        <v>643</v>
      </c>
      <c r="D192" s="7" t="s">
        <v>767</v>
      </c>
      <c r="E192" s="8" t="s">
        <v>768</v>
      </c>
      <c r="F192" s="6" t="s">
        <v>769</v>
      </c>
      <c r="G192" s="9">
        <f>IF(A192=1,"_",IF(C192="_","???",C192))</f>
        <v/>
      </c>
      <c r="H192" s="10" t="s">
        <v>16</v>
      </c>
      <c r="I192" s="11" t="s">
        <v>16</v>
      </c>
      <c r="J192" s="12"/>
    </row>
    <row r="193" spans="1:10" ht="60" customHeight="1">
      <c r="A193" s="6" t="s">
        <v>770</v>
      </c>
      <c r="B193" s="6" t="s">
        <v>18</v>
      </c>
      <c r="C193" s="6" t="s">
        <v>117</v>
      </c>
      <c r="D193" s="7" t="s">
        <v>49</v>
      </c>
      <c r="E193" s="8" t="s">
        <v>771</v>
      </c>
      <c r="F193" s="6" t="s">
        <v>772</v>
      </c>
      <c r="G193" s="9">
        <f>IF(A193=1,"_",IF(C193="_","???",C193))</f>
        <v/>
      </c>
      <c r="H193" s="10" t="s">
        <v>16</v>
      </c>
      <c r="I193" s="11" t="s">
        <v>16</v>
      </c>
      <c r="J193" s="12"/>
    </row>
    <row r="194" spans="1:10" ht="60" customHeight="1">
      <c r="A194" s="6" t="s">
        <v>773</v>
      </c>
      <c r="B194" s="6" t="s">
        <v>10</v>
      </c>
      <c r="C194" s="6" t="s">
        <v>643</v>
      </c>
      <c r="D194" s="7" t="s">
        <v>774</v>
      </c>
      <c r="E194" s="8" t="s">
        <v>775</v>
      </c>
      <c r="F194" s="6" t="s">
        <v>776</v>
      </c>
      <c r="G194" s="9">
        <f>IF(A194=1,"_",IF(C194="_","???",C194))</f>
        <v/>
      </c>
      <c r="H194" s="10" t="s">
        <v>16</v>
      </c>
      <c r="I194" s="11" t="s">
        <v>16</v>
      </c>
      <c r="J194" s="12"/>
    </row>
    <row r="195" spans="1:10" ht="60" customHeight="1">
      <c r="A195" s="6" t="s">
        <v>777</v>
      </c>
      <c r="B195" s="6" t="s">
        <v>134</v>
      </c>
      <c r="C195" s="6" t="s">
        <v>16</v>
      </c>
      <c r="D195" s="7" t="s">
        <v>135</v>
      </c>
      <c r="E195" s="8" t="s">
        <v>135</v>
      </c>
      <c r="F195" s="6" t="s">
        <v>778</v>
      </c>
      <c r="G195" s="9">
        <f>IF(A195=1,"_",IF(C195="_","???",C195))</f>
        <v/>
      </c>
      <c r="H195" s="10" t="s">
        <v>16</v>
      </c>
      <c r="I195" s="11" t="s">
        <v>16</v>
      </c>
      <c r="J195" s="12"/>
    </row>
    <row r="196" spans="1:10" ht="60" customHeight="1">
      <c r="A196" s="6" t="s">
        <v>779</v>
      </c>
      <c r="B196" s="6" t="s">
        <v>22</v>
      </c>
      <c r="C196" s="6" t="s">
        <v>16</v>
      </c>
      <c r="D196" s="7" t="s">
        <v>780</v>
      </c>
      <c r="E196" s="8" t="s">
        <v>781</v>
      </c>
      <c r="F196" s="6" t="s">
        <v>782</v>
      </c>
      <c r="G196" s="9">
        <f>IF(A196=1,"_",IF(C196="_","???",C196))</f>
        <v/>
      </c>
      <c r="H196" s="10" t="s">
        <v>16</v>
      </c>
      <c r="I196" s="11" t="s">
        <v>16</v>
      </c>
      <c r="J196" s="12"/>
    </row>
    <row r="197" spans="1:10" ht="60" customHeight="1">
      <c r="A197" s="6" t="s">
        <v>783</v>
      </c>
      <c r="B197" s="6" t="s">
        <v>47</v>
      </c>
      <c r="C197" s="6" t="s">
        <v>48</v>
      </c>
      <c r="D197" s="7" t="s">
        <v>784</v>
      </c>
      <c r="E197" s="8" t="s">
        <v>785</v>
      </c>
      <c r="F197" s="6" t="s">
        <v>786</v>
      </c>
      <c r="G197" s="9">
        <f>IF(A197=1,"_",IF(C197="_","???",C197))</f>
        <v/>
      </c>
      <c r="H197" s="10" t="s">
        <v>16</v>
      </c>
      <c r="I197" s="11" t="s">
        <v>16</v>
      </c>
      <c r="J197" s="12"/>
    </row>
    <row r="198" spans="1:10" ht="60" customHeight="1">
      <c r="A198" s="6" t="s">
        <v>787</v>
      </c>
      <c r="B198" s="6" t="s">
        <v>32</v>
      </c>
      <c r="C198" s="6" t="s">
        <v>16</v>
      </c>
      <c r="D198" s="7" t="s">
        <v>263</v>
      </c>
      <c r="E198" s="8" t="s">
        <v>788</v>
      </c>
      <c r="F198" s="6" t="s">
        <v>789</v>
      </c>
      <c r="G198" s="9">
        <f>IF(A198=1,"_",IF(C198="_","???",C198))</f>
        <v/>
      </c>
      <c r="H198" s="10" t="s">
        <v>16</v>
      </c>
      <c r="I198" s="11" t="s">
        <v>16</v>
      </c>
      <c r="J198" s="12"/>
    </row>
    <row r="199" spans="1:10" ht="60" customHeight="1">
      <c r="A199" s="6" t="s">
        <v>790</v>
      </c>
      <c r="B199" s="6" t="s">
        <v>18</v>
      </c>
      <c r="C199" s="6" t="s">
        <v>72</v>
      </c>
      <c r="D199" s="7" t="s">
        <v>791</v>
      </c>
      <c r="E199" s="8" t="s">
        <v>792</v>
      </c>
      <c r="F199" s="6" t="s">
        <v>793</v>
      </c>
      <c r="G199" s="9">
        <f>IF(A199=1,"_",IF(C199="_","???",C199))</f>
        <v/>
      </c>
      <c r="H199" s="10" t="s">
        <v>16</v>
      </c>
      <c r="I199" s="11" t="s">
        <v>16</v>
      </c>
      <c r="J199" s="12"/>
    </row>
    <row r="200" spans="1:10" ht="60" customHeight="1">
      <c r="A200" s="6" t="s">
        <v>794</v>
      </c>
      <c r="B200" s="6" t="s">
        <v>47</v>
      </c>
      <c r="C200" s="6" t="s">
        <v>16</v>
      </c>
      <c r="D200" s="7" t="s">
        <v>795</v>
      </c>
      <c r="E200" s="8" t="s">
        <v>796</v>
      </c>
      <c r="F200" s="6" t="s">
        <v>797</v>
      </c>
      <c r="G200" s="9">
        <f>IF(A200=1,"_",IF(C200="_","???",C200))</f>
        <v/>
      </c>
      <c r="H200" s="10" t="s">
        <v>16</v>
      </c>
      <c r="I200" s="11" t="s">
        <v>16</v>
      </c>
      <c r="J200" s="12"/>
    </row>
    <row r="201" spans="1:10" ht="60" customHeight="1">
      <c r="A201" s="6" t="s">
        <v>798</v>
      </c>
      <c r="B201" s="6" t="s">
        <v>41</v>
      </c>
      <c r="C201" s="6" t="s">
        <v>556</v>
      </c>
      <c r="D201" s="7" t="s">
        <v>799</v>
      </c>
      <c r="E201" s="8" t="s">
        <v>800</v>
      </c>
      <c r="F201" s="6" t="s">
        <v>801</v>
      </c>
      <c r="G201" s="9">
        <f>IF(A201=1,"_",IF(C201="_","???",C201))</f>
        <v/>
      </c>
      <c r="H201" s="10" t="s">
        <v>16</v>
      </c>
      <c r="I201" s="11" t="s">
        <v>16</v>
      </c>
      <c r="J201" s="12"/>
    </row>
    <row r="202" spans="1:10" ht="60" customHeight="1">
      <c r="A202" s="6" t="s">
        <v>802</v>
      </c>
      <c r="B202" s="6" t="s">
        <v>10</v>
      </c>
      <c r="C202" s="6" t="s">
        <v>62</v>
      </c>
      <c r="D202" s="7" t="s">
        <v>172</v>
      </c>
      <c r="E202" s="8" t="s">
        <v>803</v>
      </c>
      <c r="F202" s="6" t="s">
        <v>804</v>
      </c>
      <c r="G202" s="9">
        <f>IF(A202=1,"_",IF(C202="_","???",C202))</f>
        <v/>
      </c>
      <c r="H202" s="10" t="s">
        <v>16</v>
      </c>
      <c r="I202" s="11" t="s">
        <v>16</v>
      </c>
      <c r="J202" s="12"/>
    </row>
    <row r="203" spans="1:10" ht="60" customHeight="1">
      <c r="A203" s="6" t="s">
        <v>805</v>
      </c>
      <c r="B203" s="6" t="s">
        <v>47</v>
      </c>
      <c r="C203" s="6" t="s">
        <v>16</v>
      </c>
      <c r="D203" s="7" t="s">
        <v>470</v>
      </c>
      <c r="E203" s="8" t="s">
        <v>806</v>
      </c>
      <c r="F203" s="6" t="s">
        <v>807</v>
      </c>
      <c r="G203" s="9">
        <f>IF(A203=1,"_",IF(C203="_","???",C203))</f>
        <v/>
      </c>
      <c r="H203" s="10" t="s">
        <v>16</v>
      </c>
      <c r="I203" s="11" t="s">
        <v>16</v>
      </c>
      <c r="J203" s="12"/>
    </row>
    <row r="204" spans="1:10" ht="60" customHeight="1">
      <c r="A204" s="6" t="s">
        <v>808</v>
      </c>
      <c r="B204" s="6" t="s">
        <v>134</v>
      </c>
      <c r="C204" s="6" t="s">
        <v>16</v>
      </c>
      <c r="D204" s="7" t="s">
        <v>135</v>
      </c>
      <c r="E204" s="8" t="s">
        <v>135</v>
      </c>
      <c r="F204" s="6" t="s">
        <v>809</v>
      </c>
      <c r="G204" s="9">
        <f>IF(A204=1,"_",IF(C204="_","???",C204))</f>
        <v/>
      </c>
      <c r="H204" s="10" t="s">
        <v>16</v>
      </c>
      <c r="I204" s="11" t="s">
        <v>16</v>
      </c>
      <c r="J204" s="12"/>
    </row>
    <row r="205" spans="1:10" ht="60" customHeight="1">
      <c r="A205" s="6" t="s">
        <v>810</v>
      </c>
      <c r="B205" s="6" t="s">
        <v>18</v>
      </c>
      <c r="C205" s="6" t="s">
        <v>16</v>
      </c>
      <c r="D205" s="7" t="s">
        <v>811</v>
      </c>
      <c r="E205" s="8" t="s">
        <v>812</v>
      </c>
      <c r="F205" s="6" t="s">
        <v>813</v>
      </c>
      <c r="G205" s="9">
        <f>IF(A205=1,"_",IF(C205="_","???",C205))</f>
        <v/>
      </c>
      <c r="H205" s="10" t="s">
        <v>16</v>
      </c>
      <c r="I205" s="11" t="s">
        <v>16</v>
      </c>
      <c r="J205" s="12"/>
    </row>
    <row r="206" spans="1:10" ht="60" customHeight="1">
      <c r="A206" s="6" t="s">
        <v>814</v>
      </c>
      <c r="B206" s="6" t="s">
        <v>18</v>
      </c>
      <c r="C206" s="6" t="s">
        <v>72</v>
      </c>
      <c r="D206" s="7" t="s">
        <v>791</v>
      </c>
      <c r="E206" s="8" t="s">
        <v>815</v>
      </c>
      <c r="F206" s="6" t="s">
        <v>816</v>
      </c>
      <c r="G206" s="9">
        <f>IF(A206=1,"_",IF(C206="_","???",C206))</f>
        <v/>
      </c>
      <c r="H206" s="10" t="s">
        <v>16</v>
      </c>
      <c r="I206" s="11" t="s">
        <v>16</v>
      </c>
      <c r="J206" s="12"/>
    </row>
    <row r="207" spans="1:10" ht="60" customHeight="1">
      <c r="A207" s="6" t="s">
        <v>817</v>
      </c>
      <c r="B207" s="6" t="s">
        <v>33</v>
      </c>
      <c r="C207" s="6" t="s">
        <v>16</v>
      </c>
      <c r="D207" s="7" t="s">
        <v>818</v>
      </c>
      <c r="E207" s="8" t="s">
        <v>819</v>
      </c>
      <c r="F207" s="6" t="s">
        <v>820</v>
      </c>
      <c r="G207" s="9">
        <f>IF(A207=1,"_",IF(C207="_","???",C207))</f>
        <v/>
      </c>
      <c r="H207" s="10" t="s">
        <v>16</v>
      </c>
      <c r="I207" s="11" t="s">
        <v>16</v>
      </c>
      <c r="J207" s="12"/>
    </row>
    <row r="208" spans="1:10" ht="60" customHeight="1">
      <c r="A208" s="6" t="s">
        <v>821</v>
      </c>
      <c r="B208" s="6" t="s">
        <v>47</v>
      </c>
      <c r="C208" s="6" t="s">
        <v>16</v>
      </c>
      <c r="D208" s="7" t="s">
        <v>822</v>
      </c>
      <c r="E208" s="8" t="s">
        <v>823</v>
      </c>
      <c r="F208" s="6" t="s">
        <v>824</v>
      </c>
      <c r="G208" s="9">
        <f>IF(A208=1,"_",IF(C208="_","???",C208))</f>
        <v/>
      </c>
      <c r="H208" s="10" t="s">
        <v>16</v>
      </c>
      <c r="I208" s="11" t="s">
        <v>16</v>
      </c>
      <c r="J208" s="12"/>
    </row>
    <row r="209" spans="1:10" ht="60" customHeight="1">
      <c r="A209" s="6" t="s">
        <v>825</v>
      </c>
      <c r="B209" s="6" t="s">
        <v>47</v>
      </c>
      <c r="C209" s="6" t="s">
        <v>117</v>
      </c>
      <c r="D209" s="7" t="s">
        <v>826</v>
      </c>
      <c r="E209" s="8" t="s">
        <v>827</v>
      </c>
      <c r="F209" s="6" t="s">
        <v>828</v>
      </c>
      <c r="G209" s="9">
        <f>IF(A209=1,"_",IF(C209="_","???",C209))</f>
        <v/>
      </c>
      <c r="H209" s="10" t="s">
        <v>16</v>
      </c>
      <c r="I209" s="11" t="s">
        <v>16</v>
      </c>
      <c r="J209" s="12"/>
    </row>
    <row r="210" spans="1:10" ht="60" customHeight="1">
      <c r="A210" s="6" t="s">
        <v>829</v>
      </c>
      <c r="B210" s="6" t="s">
        <v>76</v>
      </c>
      <c r="C210" s="6" t="s">
        <v>16</v>
      </c>
      <c r="D210" s="7" t="s">
        <v>830</v>
      </c>
      <c r="E210" s="8" t="s">
        <v>831</v>
      </c>
      <c r="F210" s="6" t="s">
        <v>832</v>
      </c>
      <c r="G210" s="9">
        <f>IF(A210=1,"_",IF(C210="_","???",C210))</f>
        <v/>
      </c>
      <c r="H210" s="10" t="s">
        <v>16</v>
      </c>
      <c r="I210" s="11" t="s">
        <v>16</v>
      </c>
      <c r="J210" s="12"/>
    </row>
    <row r="211" spans="1:10" ht="60" customHeight="1">
      <c r="A211" s="6" t="s">
        <v>833</v>
      </c>
      <c r="B211" s="6" t="s">
        <v>17</v>
      </c>
      <c r="C211" s="6" t="s">
        <v>12</v>
      </c>
      <c r="D211" s="7" t="s">
        <v>834</v>
      </c>
      <c r="E211" s="8" t="s">
        <v>835</v>
      </c>
      <c r="F211" s="6" t="s">
        <v>836</v>
      </c>
      <c r="G211" s="9">
        <f>IF(A211=1,"_",IF(C211="_","???",C211))</f>
        <v/>
      </c>
      <c r="H211" s="10" t="s">
        <v>16</v>
      </c>
      <c r="I211" s="11" t="s">
        <v>16</v>
      </c>
      <c r="J211" s="12"/>
    </row>
    <row r="212" spans="1:10" ht="60" customHeight="1">
      <c r="A212" s="6" t="s">
        <v>837</v>
      </c>
      <c r="B212" s="6" t="s">
        <v>61</v>
      </c>
      <c r="C212" s="6" t="s">
        <v>48</v>
      </c>
      <c r="D212" s="7" t="s">
        <v>838</v>
      </c>
      <c r="E212" s="8" t="s">
        <v>839</v>
      </c>
      <c r="F212" s="6" t="s">
        <v>840</v>
      </c>
      <c r="G212" s="9">
        <f>IF(A212=1,"_",IF(C212="_","???",C212))</f>
        <v/>
      </c>
      <c r="H212" s="10" t="s">
        <v>16</v>
      </c>
      <c r="I212" s="11" t="s">
        <v>16</v>
      </c>
      <c r="J212" s="12"/>
    </row>
    <row r="213" spans="1:10" ht="60" customHeight="1">
      <c r="A213" s="6" t="s">
        <v>841</v>
      </c>
      <c r="B213" s="6" t="s">
        <v>47</v>
      </c>
      <c r="C213" s="6" t="s">
        <v>16</v>
      </c>
      <c r="D213" s="7" t="s">
        <v>842</v>
      </c>
      <c r="E213" s="8" t="s">
        <v>843</v>
      </c>
      <c r="F213" s="6" t="s">
        <v>844</v>
      </c>
      <c r="G213" s="9">
        <f>IF(A213=1,"_",IF(C213="_","???",C213))</f>
        <v/>
      </c>
      <c r="H213" s="10" t="s">
        <v>16</v>
      </c>
      <c r="I213" s="11" t="s">
        <v>16</v>
      </c>
      <c r="J213" s="12"/>
    </row>
    <row r="214" spans="1:10" ht="60" customHeight="1">
      <c r="A214" s="6" t="s">
        <v>845</v>
      </c>
      <c r="B214" s="6" t="s">
        <v>32</v>
      </c>
      <c r="C214" s="6" t="s">
        <v>62</v>
      </c>
      <c r="D214" s="7" t="s">
        <v>565</v>
      </c>
      <c r="E214" s="8" t="s">
        <v>846</v>
      </c>
      <c r="F214" s="6" t="s">
        <v>847</v>
      </c>
      <c r="G214" s="9">
        <f>IF(A214=1,"_",IF(C214="_","???",C214))</f>
        <v/>
      </c>
      <c r="H214" s="10" t="s">
        <v>16</v>
      </c>
      <c r="I214" s="11" t="s">
        <v>16</v>
      </c>
      <c r="J214" s="12"/>
    </row>
    <row r="215" spans="1:10" ht="60" customHeight="1">
      <c r="A215" s="6" t="s">
        <v>848</v>
      </c>
      <c r="B215" s="6" t="s">
        <v>47</v>
      </c>
      <c r="C215" s="6" t="s">
        <v>16</v>
      </c>
      <c r="D215" s="7" t="s">
        <v>849</v>
      </c>
      <c r="E215" s="8" t="s">
        <v>850</v>
      </c>
      <c r="F215" s="6" t="s">
        <v>851</v>
      </c>
      <c r="G215" s="9">
        <f>IF(A215=1,"_",IF(C215="_","???",C215))</f>
        <v/>
      </c>
      <c r="H215" s="10" t="s">
        <v>16</v>
      </c>
      <c r="I215" s="11" t="s">
        <v>16</v>
      </c>
      <c r="J215" s="12"/>
    </row>
    <row r="216" spans="1:10" ht="60" customHeight="1">
      <c r="A216" s="6" t="s">
        <v>852</v>
      </c>
      <c r="B216" s="6" t="s">
        <v>134</v>
      </c>
      <c r="C216" s="6" t="s">
        <v>16</v>
      </c>
      <c r="D216" s="7" t="s">
        <v>462</v>
      </c>
      <c r="E216" s="8" t="s">
        <v>853</v>
      </c>
      <c r="F216" s="6" t="s">
        <v>854</v>
      </c>
      <c r="G216" s="9">
        <f>IF(A216=1,"_",IF(C216="_","???",C216))</f>
        <v/>
      </c>
      <c r="H216" s="10" t="s">
        <v>16</v>
      </c>
      <c r="I216" s="11" t="s">
        <v>16</v>
      </c>
      <c r="J216" s="12"/>
    </row>
    <row r="217" spans="1:10" ht="60" customHeight="1">
      <c r="A217" s="6" t="s">
        <v>855</v>
      </c>
      <c r="B217" s="6" t="s">
        <v>134</v>
      </c>
      <c r="C217" s="6" t="s">
        <v>16</v>
      </c>
      <c r="D217" s="7" t="s">
        <v>856</v>
      </c>
      <c r="E217" s="8" t="s">
        <v>857</v>
      </c>
      <c r="F217" s="6" t="s">
        <v>858</v>
      </c>
      <c r="G217" s="9">
        <f>IF(A217=1,"_",IF(C217="_","???",C217))</f>
        <v/>
      </c>
      <c r="H217" s="10" t="s">
        <v>16</v>
      </c>
      <c r="I217" s="11" t="s">
        <v>16</v>
      </c>
      <c r="J217" s="12"/>
    </row>
    <row r="218" spans="1:10" ht="60" customHeight="1">
      <c r="A218" s="6" t="s">
        <v>859</v>
      </c>
      <c r="B218" s="6" t="s">
        <v>10</v>
      </c>
      <c r="C218" s="6" t="s">
        <v>62</v>
      </c>
      <c r="D218" s="7" t="s">
        <v>610</v>
      </c>
      <c r="E218" s="8" t="s">
        <v>860</v>
      </c>
      <c r="F218" s="6" t="s">
        <v>861</v>
      </c>
      <c r="G218" s="9">
        <f>IF(A218=1,"_",IF(C218="_","???",C218))</f>
        <v/>
      </c>
      <c r="H218" s="10" t="s">
        <v>16</v>
      </c>
      <c r="I218" s="11" t="s">
        <v>16</v>
      </c>
      <c r="J218" s="12"/>
    </row>
    <row r="219" spans="1:10" ht="60" customHeight="1">
      <c r="A219" s="6" t="s">
        <v>862</v>
      </c>
      <c r="B219" s="6" t="s">
        <v>134</v>
      </c>
      <c r="C219" s="6" t="s">
        <v>16</v>
      </c>
      <c r="D219" s="7" t="s">
        <v>135</v>
      </c>
      <c r="E219" s="8" t="s">
        <v>135</v>
      </c>
      <c r="F219" s="6" t="s">
        <v>863</v>
      </c>
      <c r="G219" s="9">
        <f>IF(A219=1,"_",IF(C219="_","???",C219))</f>
        <v/>
      </c>
      <c r="H219" s="10" t="s">
        <v>16</v>
      </c>
      <c r="I219" s="11" t="s">
        <v>16</v>
      </c>
      <c r="J219" s="12"/>
    </row>
    <row r="220" spans="1:10" ht="60" customHeight="1">
      <c r="A220" s="6" t="s">
        <v>864</v>
      </c>
      <c r="B220" s="6" t="s">
        <v>47</v>
      </c>
      <c r="C220" s="6" t="s">
        <v>16</v>
      </c>
      <c r="D220" s="7" t="s">
        <v>865</v>
      </c>
      <c r="E220" s="8" t="s">
        <v>866</v>
      </c>
      <c r="F220" s="6" t="s">
        <v>867</v>
      </c>
      <c r="G220" s="9">
        <f>IF(A220=1,"_",IF(C220="_","???",C220))</f>
        <v/>
      </c>
      <c r="H220" s="10" t="s">
        <v>16</v>
      </c>
      <c r="I220" s="11" t="s">
        <v>16</v>
      </c>
      <c r="J220" s="12"/>
    </row>
    <row r="221" spans="1:10" ht="60" customHeight="1">
      <c r="A221" s="6" t="s">
        <v>868</v>
      </c>
      <c r="B221" s="6" t="s">
        <v>27</v>
      </c>
      <c r="C221" s="6" t="s">
        <v>62</v>
      </c>
      <c r="D221" s="7" t="s">
        <v>869</v>
      </c>
      <c r="E221" s="8" t="s">
        <v>870</v>
      </c>
      <c r="F221" s="6" t="s">
        <v>871</v>
      </c>
      <c r="G221" s="9">
        <f>IF(A221=1,"_",IF(C221="_","???",C221))</f>
        <v/>
      </c>
      <c r="H221" s="10" t="s">
        <v>16</v>
      </c>
      <c r="I221" s="11" t="s">
        <v>16</v>
      </c>
      <c r="J221" s="12"/>
    </row>
    <row r="222" spans="1:10" ht="60" customHeight="1">
      <c r="A222" s="6" t="s">
        <v>872</v>
      </c>
      <c r="B222" s="6" t="s">
        <v>46</v>
      </c>
      <c r="C222" s="6" t="s">
        <v>16</v>
      </c>
      <c r="D222" s="7" t="s">
        <v>873</v>
      </c>
      <c r="E222" s="8" t="s">
        <v>874</v>
      </c>
      <c r="F222" s="6" t="s">
        <v>875</v>
      </c>
      <c r="G222" s="9">
        <f>IF(A222=1,"_",IF(C222="_","???",C222))</f>
        <v/>
      </c>
      <c r="H222" s="10" t="s">
        <v>16</v>
      </c>
      <c r="I222" s="11" t="s">
        <v>16</v>
      </c>
      <c r="J222" s="12"/>
    </row>
    <row r="223" spans="1:10" ht="60" customHeight="1">
      <c r="A223" s="6" t="s">
        <v>876</v>
      </c>
      <c r="B223" s="6" t="s">
        <v>47</v>
      </c>
      <c r="C223" s="6" t="s">
        <v>16</v>
      </c>
      <c r="D223" s="7" t="s">
        <v>283</v>
      </c>
      <c r="E223" s="8" t="s">
        <v>877</v>
      </c>
      <c r="F223" s="6" t="s">
        <v>878</v>
      </c>
      <c r="G223" s="9">
        <f>IF(A223=1,"_",IF(C223="_","???",C223))</f>
        <v/>
      </c>
      <c r="H223" s="10" t="s">
        <v>16</v>
      </c>
      <c r="I223" s="11" t="s">
        <v>16</v>
      </c>
      <c r="J223" s="12"/>
    </row>
    <row r="224" spans="1:10" ht="60" customHeight="1">
      <c r="A224" s="6" t="s">
        <v>879</v>
      </c>
      <c r="B224" s="6" t="s">
        <v>134</v>
      </c>
      <c r="C224" s="6" t="s">
        <v>72</v>
      </c>
      <c r="D224" s="7" t="s">
        <v>315</v>
      </c>
      <c r="E224" s="8" t="s">
        <v>880</v>
      </c>
      <c r="F224" s="6" t="s">
        <v>881</v>
      </c>
      <c r="G224" s="9">
        <f>IF(A224=1,"_",IF(C224="_","???",C224))</f>
        <v/>
      </c>
      <c r="H224" s="10" t="s">
        <v>16</v>
      </c>
      <c r="I224" s="11" t="s">
        <v>16</v>
      </c>
      <c r="J224" s="12"/>
    </row>
    <row r="225" spans="1:10" ht="60" customHeight="1">
      <c r="A225" s="6" t="s">
        <v>882</v>
      </c>
      <c r="B225" s="6" t="s">
        <v>47</v>
      </c>
      <c r="C225" s="6" t="s">
        <v>16</v>
      </c>
      <c r="D225" s="7" t="s">
        <v>154</v>
      </c>
      <c r="E225" s="8" t="s">
        <v>155</v>
      </c>
      <c r="F225" s="6" t="s">
        <v>883</v>
      </c>
      <c r="G225" s="9">
        <f>IF(A225=1,"_",IF(C225="_","???",C225))</f>
        <v/>
      </c>
      <c r="H225" s="10" t="s">
        <v>16</v>
      </c>
      <c r="I225" s="11" t="s">
        <v>16</v>
      </c>
      <c r="J225" s="12"/>
    </row>
    <row r="226" spans="1:10" ht="60" customHeight="1">
      <c r="A226" s="6" t="s">
        <v>884</v>
      </c>
      <c r="B226" s="6" t="s">
        <v>17</v>
      </c>
      <c r="C226" s="6" t="s">
        <v>72</v>
      </c>
      <c r="D226" s="7" t="s">
        <v>885</v>
      </c>
      <c r="E226" s="8" t="s">
        <v>886</v>
      </c>
      <c r="F226" s="6" t="s">
        <v>887</v>
      </c>
      <c r="G226" s="9">
        <f>IF(A226=1,"_",IF(C226="_","???",C226))</f>
        <v/>
      </c>
      <c r="H226" s="10" t="s">
        <v>16</v>
      </c>
      <c r="I226" s="11" t="s">
        <v>16</v>
      </c>
      <c r="J226" s="12"/>
    </row>
    <row r="227" spans="1:10" ht="60" customHeight="1">
      <c r="A227" s="6" t="s">
        <v>888</v>
      </c>
      <c r="B227" s="6" t="s">
        <v>47</v>
      </c>
      <c r="C227" s="6" t="s">
        <v>16</v>
      </c>
      <c r="D227" s="7" t="s">
        <v>889</v>
      </c>
      <c r="E227" s="8" t="s">
        <v>890</v>
      </c>
      <c r="F227" s="6" t="s">
        <v>891</v>
      </c>
      <c r="G227" s="9">
        <f>IF(A227=1,"_",IF(C227="_","???",C227))</f>
        <v/>
      </c>
      <c r="H227" s="10" t="s">
        <v>16</v>
      </c>
      <c r="I227" s="11" t="s">
        <v>16</v>
      </c>
      <c r="J227" s="12"/>
    </row>
    <row r="228" spans="1:10" ht="60" customHeight="1">
      <c r="A228" s="6" t="s">
        <v>892</v>
      </c>
      <c r="B228" s="6" t="s">
        <v>134</v>
      </c>
      <c r="C228" s="6" t="s">
        <v>16</v>
      </c>
      <c r="D228" s="7" t="s">
        <v>135</v>
      </c>
      <c r="E228" s="8" t="s">
        <v>135</v>
      </c>
      <c r="F228" s="6" t="s">
        <v>893</v>
      </c>
      <c r="G228" s="9">
        <f>IF(A228=1,"_",IF(C228="_","???",C228))</f>
        <v/>
      </c>
      <c r="H228" s="10" t="s">
        <v>16</v>
      </c>
      <c r="I228" s="11" t="s">
        <v>16</v>
      </c>
      <c r="J228" s="12"/>
    </row>
    <row r="229" spans="1:10" ht="60" customHeight="1">
      <c r="A229" s="6" t="s">
        <v>894</v>
      </c>
      <c r="B229" s="6" t="s">
        <v>47</v>
      </c>
      <c r="C229" s="6" t="s">
        <v>16</v>
      </c>
      <c r="D229" s="7" t="s">
        <v>503</v>
      </c>
      <c r="E229" s="8" t="s">
        <v>895</v>
      </c>
      <c r="F229" s="6" t="s">
        <v>896</v>
      </c>
      <c r="G229" s="9">
        <f>IF(A229=1,"_",IF(C229="_","???",C229))</f>
        <v/>
      </c>
      <c r="H229" s="10" t="s">
        <v>16</v>
      </c>
      <c r="I229" s="11" t="s">
        <v>16</v>
      </c>
      <c r="J229" s="12"/>
    </row>
    <row r="230" spans="1:10" ht="60" customHeight="1">
      <c r="A230" s="6" t="s">
        <v>897</v>
      </c>
      <c r="B230" s="6" t="s">
        <v>18</v>
      </c>
      <c r="C230" s="6" t="s">
        <v>16</v>
      </c>
      <c r="D230" s="7" t="s">
        <v>434</v>
      </c>
      <c r="E230" s="8" t="s">
        <v>898</v>
      </c>
      <c r="F230" s="6" t="s">
        <v>899</v>
      </c>
      <c r="G230" s="9">
        <f>IF(A230=1,"_",IF(C230="_","???",C230))</f>
        <v/>
      </c>
      <c r="H230" s="10" t="s">
        <v>16</v>
      </c>
      <c r="I230" s="11" t="s">
        <v>16</v>
      </c>
      <c r="J230" s="12"/>
    </row>
    <row r="231" spans="1:10" ht="60" customHeight="1">
      <c r="A231" s="6" t="s">
        <v>900</v>
      </c>
      <c r="B231" s="6" t="s">
        <v>134</v>
      </c>
      <c r="C231" s="6" t="s">
        <v>16</v>
      </c>
      <c r="D231" s="7" t="s">
        <v>901</v>
      </c>
      <c r="E231" s="8" t="s">
        <v>902</v>
      </c>
      <c r="F231" s="6" t="s">
        <v>903</v>
      </c>
      <c r="G231" s="9">
        <f>IF(A231=1,"_",IF(C231="_","???",C231))</f>
        <v/>
      </c>
      <c r="H231" s="10" t="s">
        <v>16</v>
      </c>
      <c r="I231" s="11" t="s">
        <v>16</v>
      </c>
      <c r="J231" s="12"/>
    </row>
    <row r="232" spans="1:10" ht="60" customHeight="1">
      <c r="A232" s="6" t="s">
        <v>904</v>
      </c>
      <c r="B232" s="6" t="s">
        <v>32</v>
      </c>
      <c r="C232" s="6" t="s">
        <v>16</v>
      </c>
      <c r="D232" s="7" t="s">
        <v>905</v>
      </c>
      <c r="E232" s="8" t="s">
        <v>906</v>
      </c>
      <c r="F232" s="6" t="s">
        <v>907</v>
      </c>
      <c r="G232" s="9">
        <f>IF(A232=1,"_",IF(C232="_","???",C232))</f>
        <v/>
      </c>
      <c r="H232" s="10" t="s">
        <v>16</v>
      </c>
      <c r="I232" s="11" t="s">
        <v>16</v>
      </c>
      <c r="J232" s="12"/>
    </row>
    <row r="233" spans="1:10" ht="60" customHeight="1">
      <c r="A233" s="6" t="s">
        <v>908</v>
      </c>
      <c r="B233" s="6" t="s">
        <v>134</v>
      </c>
      <c r="C233" s="6" t="s">
        <v>16</v>
      </c>
      <c r="D233" s="7" t="s">
        <v>135</v>
      </c>
      <c r="E233" s="8" t="s">
        <v>135</v>
      </c>
      <c r="F233" s="6" t="s">
        <v>909</v>
      </c>
      <c r="G233" s="9">
        <f>IF(A233=1,"_",IF(C233="_","???",C233))</f>
        <v/>
      </c>
      <c r="H233" s="10" t="s">
        <v>16</v>
      </c>
      <c r="I233" s="11" t="s">
        <v>16</v>
      </c>
      <c r="J233" s="12"/>
    </row>
    <row r="234" spans="1:10" ht="60" customHeight="1">
      <c r="A234" s="6" t="s">
        <v>910</v>
      </c>
      <c r="B234" s="6" t="s">
        <v>18</v>
      </c>
      <c r="C234" s="6" t="s">
        <v>72</v>
      </c>
      <c r="D234" s="7" t="s">
        <v>911</v>
      </c>
      <c r="E234" s="8" t="s">
        <v>912</v>
      </c>
      <c r="F234" s="6" t="s">
        <v>913</v>
      </c>
      <c r="G234" s="9">
        <f>IF(A234=1,"_",IF(C234="_","???",C234))</f>
        <v/>
      </c>
      <c r="H234" s="10" t="s">
        <v>16</v>
      </c>
      <c r="I234" s="11" t="s">
        <v>16</v>
      </c>
      <c r="J234" s="12"/>
    </row>
    <row r="235" spans="1:10" ht="60" customHeight="1">
      <c r="A235" s="6" t="s">
        <v>914</v>
      </c>
      <c r="B235" s="6" t="s">
        <v>17</v>
      </c>
      <c r="C235" s="6" t="s">
        <v>138</v>
      </c>
      <c r="D235" s="7" t="s">
        <v>915</v>
      </c>
      <c r="E235" s="8" t="s">
        <v>916</v>
      </c>
      <c r="F235" s="6" t="s">
        <v>917</v>
      </c>
      <c r="G235" s="9">
        <f>IF(A235=1,"_",IF(C235="_","???",C235))</f>
        <v/>
      </c>
      <c r="H235" s="10" t="s">
        <v>16</v>
      </c>
      <c r="I235" s="11" t="s">
        <v>16</v>
      </c>
      <c r="J235" s="12"/>
    </row>
    <row r="236" spans="1:10" ht="60" customHeight="1">
      <c r="A236" s="6" t="s">
        <v>918</v>
      </c>
      <c r="B236" s="6" t="s">
        <v>134</v>
      </c>
      <c r="C236" s="6" t="s">
        <v>16</v>
      </c>
      <c r="D236" s="7" t="s">
        <v>103</v>
      </c>
      <c r="E236" s="8" t="s">
        <v>919</v>
      </c>
      <c r="F236" s="6" t="s">
        <v>920</v>
      </c>
      <c r="G236" s="9">
        <f>IF(A236=1,"_",IF(C236="_","???",C236))</f>
        <v/>
      </c>
      <c r="H236" s="10" t="s">
        <v>16</v>
      </c>
      <c r="I236" s="11" t="s">
        <v>16</v>
      </c>
      <c r="J236" s="12"/>
    </row>
    <row r="237" spans="1:10" ht="60" customHeight="1">
      <c r="A237" s="6" t="s">
        <v>921</v>
      </c>
      <c r="B237" s="6" t="s">
        <v>18</v>
      </c>
      <c r="C237" s="6" t="s">
        <v>72</v>
      </c>
      <c r="D237" s="7" t="s">
        <v>922</v>
      </c>
      <c r="E237" s="8" t="s">
        <v>923</v>
      </c>
      <c r="F237" s="6" t="s">
        <v>924</v>
      </c>
      <c r="G237" s="9">
        <f>IF(A237=1,"_",IF(C237="_","???",C237))</f>
        <v/>
      </c>
      <c r="H237" s="10" t="s">
        <v>16</v>
      </c>
      <c r="I237" s="11" t="s">
        <v>16</v>
      </c>
      <c r="J237" s="12"/>
    </row>
    <row r="238" spans="1:10" ht="60" customHeight="1">
      <c r="A238" s="6" t="s">
        <v>925</v>
      </c>
      <c r="B238" s="6" t="s">
        <v>10</v>
      </c>
      <c r="C238" s="6" t="s">
        <v>16</v>
      </c>
      <c r="D238" s="7" t="s">
        <v>926</v>
      </c>
      <c r="E238" s="8" t="s">
        <v>927</v>
      </c>
      <c r="F238" s="6" t="s">
        <v>928</v>
      </c>
      <c r="G238" s="9">
        <f>IF(A238=1,"_",IF(C238="_","???",C238))</f>
        <v/>
      </c>
      <c r="H238" s="10" t="s">
        <v>16</v>
      </c>
      <c r="I238" s="11" t="s">
        <v>16</v>
      </c>
      <c r="J238" s="12"/>
    </row>
    <row r="239" spans="1:10" ht="60" customHeight="1">
      <c r="A239" s="6" t="s">
        <v>929</v>
      </c>
      <c r="B239" s="6" t="s">
        <v>27</v>
      </c>
      <c r="C239" s="6" t="s">
        <v>72</v>
      </c>
      <c r="D239" s="7" t="s">
        <v>930</v>
      </c>
      <c r="E239" s="8" t="s">
        <v>931</v>
      </c>
      <c r="F239" s="6" t="s">
        <v>932</v>
      </c>
      <c r="G239" s="9">
        <f>IF(A239=1,"_",IF(C239="_","???",C239))</f>
        <v/>
      </c>
      <c r="H239" s="10" t="s">
        <v>16</v>
      </c>
      <c r="I239" s="11" t="s">
        <v>16</v>
      </c>
      <c r="J239" s="12"/>
    </row>
    <row r="240" spans="1:10" ht="60" customHeight="1">
      <c r="A240" s="6" t="s">
        <v>933</v>
      </c>
      <c r="B240" s="6" t="s">
        <v>22</v>
      </c>
      <c r="C240" s="6" t="s">
        <v>643</v>
      </c>
      <c r="D240" s="7" t="s">
        <v>934</v>
      </c>
      <c r="E240" s="8" t="s">
        <v>935</v>
      </c>
      <c r="F240" s="6" t="s">
        <v>936</v>
      </c>
      <c r="G240" s="9">
        <f>IF(A240=1,"_",IF(C240="_","???",C240))</f>
        <v/>
      </c>
      <c r="H240" s="10" t="s">
        <v>16</v>
      </c>
      <c r="I240" s="11" t="s">
        <v>16</v>
      </c>
      <c r="J240" s="12"/>
    </row>
    <row r="241" spans="1:10" ht="60" customHeight="1">
      <c r="A241" s="6" t="s">
        <v>937</v>
      </c>
      <c r="B241" s="6" t="s">
        <v>134</v>
      </c>
      <c r="C241" s="6" t="s">
        <v>16</v>
      </c>
      <c r="D241" s="7" t="s">
        <v>938</v>
      </c>
      <c r="E241" s="8" t="s">
        <v>939</v>
      </c>
      <c r="F241" s="6" t="s">
        <v>940</v>
      </c>
      <c r="G241" s="9">
        <f>IF(A241=1,"_",IF(C241="_","???",C241))</f>
        <v/>
      </c>
      <c r="H241" s="10" t="s">
        <v>16</v>
      </c>
      <c r="I241" s="11" t="s">
        <v>16</v>
      </c>
      <c r="J241" s="12"/>
    </row>
    <row r="242" spans="1:10" ht="60" customHeight="1">
      <c r="A242" s="6" t="s">
        <v>941</v>
      </c>
      <c r="B242" s="6" t="s">
        <v>942</v>
      </c>
      <c r="C242" s="6" t="s">
        <v>16</v>
      </c>
      <c r="D242" s="7" t="s">
        <v>943</v>
      </c>
      <c r="E242" s="8" t="s">
        <v>944</v>
      </c>
      <c r="F242" s="6" t="s">
        <v>945</v>
      </c>
      <c r="G242" s="9">
        <f>IF(A242=1,"_",IF(C242="_","???",C242))</f>
        <v/>
      </c>
      <c r="H242" s="10" t="s">
        <v>16</v>
      </c>
      <c r="I242" s="11" t="s">
        <v>16</v>
      </c>
      <c r="J242" s="12"/>
    </row>
    <row r="243" spans="1:10" ht="60" customHeight="1">
      <c r="A243" s="6" t="s">
        <v>946</v>
      </c>
      <c r="B243" s="6" t="s">
        <v>942</v>
      </c>
      <c r="C243" s="6" t="s">
        <v>16</v>
      </c>
      <c r="D243" s="7" t="s">
        <v>873</v>
      </c>
      <c r="E243" s="8" t="s">
        <v>947</v>
      </c>
      <c r="F243" s="6" t="s">
        <v>948</v>
      </c>
      <c r="G243" s="9">
        <f>IF(A243=1,"_",IF(C243="_","???",C243))</f>
        <v/>
      </c>
      <c r="H243" s="10" t="s">
        <v>16</v>
      </c>
      <c r="I243" s="11" t="s">
        <v>16</v>
      </c>
      <c r="J243" s="12"/>
    </row>
    <row r="244" spans="1:10" ht="60" customHeight="1">
      <c r="A244" s="6" t="s">
        <v>949</v>
      </c>
      <c r="B244" s="6" t="s">
        <v>18</v>
      </c>
      <c r="C244" s="6" t="s">
        <v>16</v>
      </c>
      <c r="D244" s="7" t="s">
        <v>950</v>
      </c>
      <c r="E244" s="8" t="s">
        <v>951</v>
      </c>
      <c r="F244" s="6" t="s">
        <v>952</v>
      </c>
      <c r="G244" s="9">
        <f>IF(A244=1,"_",IF(C244="_","???",C244))</f>
        <v/>
      </c>
      <c r="H244" s="10" t="s">
        <v>16</v>
      </c>
      <c r="I244" s="11" t="s">
        <v>16</v>
      </c>
      <c r="J244" s="12"/>
    </row>
    <row r="245" spans="1:10" ht="60" customHeight="1">
      <c r="A245" s="6" t="s">
        <v>953</v>
      </c>
      <c r="B245" s="6" t="s">
        <v>32</v>
      </c>
      <c r="C245" s="6" t="s">
        <v>98</v>
      </c>
      <c r="D245" s="7" t="s">
        <v>954</v>
      </c>
      <c r="E245" s="8" t="s">
        <v>955</v>
      </c>
      <c r="F245" s="6" t="s">
        <v>956</v>
      </c>
      <c r="G245" s="9">
        <f>IF(A245=1,"_",IF(C245="_","???",C245))</f>
        <v/>
      </c>
      <c r="H245" s="10" t="s">
        <v>16</v>
      </c>
      <c r="I245" s="11" t="s">
        <v>16</v>
      </c>
      <c r="J245" s="12"/>
    </row>
    <row r="246" spans="1:10" ht="60" customHeight="1">
      <c r="A246" s="6" t="s">
        <v>957</v>
      </c>
      <c r="B246" s="6" t="s">
        <v>10</v>
      </c>
      <c r="C246" s="6" t="s">
        <v>16</v>
      </c>
      <c r="D246" s="7" t="s">
        <v>958</v>
      </c>
      <c r="E246" s="8" t="s">
        <v>959</v>
      </c>
      <c r="F246" s="6" t="s">
        <v>960</v>
      </c>
      <c r="G246" s="9">
        <f>IF(A246=1,"_",IF(C246="_","???",C246))</f>
        <v/>
      </c>
      <c r="H246" s="10" t="s">
        <v>16</v>
      </c>
      <c r="I246" s="11" t="s">
        <v>16</v>
      </c>
      <c r="J246" s="12"/>
    </row>
    <row r="247" spans="1:10" ht="60" customHeight="1">
      <c r="A247" s="6" t="s">
        <v>961</v>
      </c>
      <c r="B247" s="6" t="s">
        <v>134</v>
      </c>
      <c r="C247" s="6" t="s">
        <v>16</v>
      </c>
      <c r="D247" s="7" t="s">
        <v>135</v>
      </c>
      <c r="E247" s="8" t="s">
        <v>135</v>
      </c>
      <c r="F247" s="6" t="s">
        <v>962</v>
      </c>
      <c r="G247" s="9">
        <f>IF(A247=1,"_",IF(C247="_","???",C247))</f>
        <v/>
      </c>
      <c r="H247" s="10" t="s">
        <v>16</v>
      </c>
      <c r="I247" s="11" t="s">
        <v>16</v>
      </c>
      <c r="J247" s="12"/>
    </row>
    <row r="248" spans="1:10" ht="60" customHeight="1">
      <c r="A248" s="6" t="s">
        <v>963</v>
      </c>
      <c r="B248" s="6" t="s">
        <v>18</v>
      </c>
      <c r="C248" s="6" t="s">
        <v>16</v>
      </c>
      <c r="D248" s="7" t="s">
        <v>791</v>
      </c>
      <c r="E248" s="8" t="s">
        <v>964</v>
      </c>
      <c r="F248" s="6" t="s">
        <v>965</v>
      </c>
      <c r="G248" s="9">
        <f>IF(A248=1,"_",IF(C248="_","???",C248))</f>
        <v/>
      </c>
      <c r="H248" s="10" t="s">
        <v>16</v>
      </c>
      <c r="I248" s="11" t="s">
        <v>16</v>
      </c>
      <c r="J248" s="12"/>
    </row>
    <row r="249" spans="1:10" ht="60" customHeight="1">
      <c r="A249" s="6" t="s">
        <v>966</v>
      </c>
      <c r="B249" s="6" t="s">
        <v>10</v>
      </c>
      <c r="C249" s="6" t="s">
        <v>117</v>
      </c>
      <c r="D249" s="7" t="s">
        <v>967</v>
      </c>
      <c r="E249" s="8" t="s">
        <v>968</v>
      </c>
      <c r="F249" s="6" t="s">
        <v>969</v>
      </c>
      <c r="G249" s="9">
        <f>IF(A249=1,"_",IF(C249="_","???",C249))</f>
        <v/>
      </c>
      <c r="H249" s="10" t="s">
        <v>16</v>
      </c>
      <c r="I249" s="11" t="s">
        <v>16</v>
      </c>
      <c r="J249" s="12"/>
    </row>
    <row r="250" spans="1:10" ht="60" customHeight="1">
      <c r="A250" s="6" t="s">
        <v>970</v>
      </c>
      <c r="B250" s="6" t="s">
        <v>18</v>
      </c>
      <c r="C250" s="6" t="s">
        <v>16</v>
      </c>
      <c r="D250" s="7" t="s">
        <v>971</v>
      </c>
      <c r="E250" s="8" t="s">
        <v>972</v>
      </c>
      <c r="F250" s="6" t="s">
        <v>973</v>
      </c>
      <c r="G250" s="9">
        <f>IF(A250=1,"_",IF(C250="_","???",C250))</f>
        <v/>
      </c>
      <c r="H250" s="10" t="s">
        <v>16</v>
      </c>
      <c r="I250" s="11" t="s">
        <v>16</v>
      </c>
      <c r="J250" s="12"/>
    </row>
    <row r="251" spans="1:10" ht="60" customHeight="1">
      <c r="A251" s="6" t="s">
        <v>974</v>
      </c>
      <c r="B251" s="6" t="s">
        <v>18</v>
      </c>
      <c r="C251" s="6" t="s">
        <v>975</v>
      </c>
      <c r="D251" s="7" t="s">
        <v>976</v>
      </c>
      <c r="E251" s="8" t="s">
        <v>977</v>
      </c>
      <c r="F251" s="6" t="s">
        <v>978</v>
      </c>
      <c r="G251" s="9">
        <f>IF(A251=1,"_",IF(C251="_","???",C251))</f>
        <v/>
      </c>
      <c r="H251" s="10" t="s">
        <v>16</v>
      </c>
      <c r="I251" s="11" t="s">
        <v>16</v>
      </c>
      <c r="J251" s="12"/>
    </row>
    <row r="252" spans="1:10" ht="60" customHeight="1">
      <c r="A252" s="6" t="s">
        <v>979</v>
      </c>
      <c r="B252" s="6" t="s">
        <v>134</v>
      </c>
      <c r="C252" s="6" t="s">
        <v>16</v>
      </c>
      <c r="D252" s="7" t="s">
        <v>135</v>
      </c>
      <c r="E252" s="8" t="s">
        <v>135</v>
      </c>
      <c r="F252" s="6" t="s">
        <v>980</v>
      </c>
      <c r="G252" s="9">
        <f>IF(A252=1,"_",IF(C252="_","???",C252))</f>
        <v/>
      </c>
      <c r="H252" s="10" t="s">
        <v>16</v>
      </c>
      <c r="I252" s="11" t="s">
        <v>16</v>
      </c>
      <c r="J252" s="12"/>
    </row>
    <row r="253" spans="1:10" ht="60" customHeight="1">
      <c r="A253" s="6" t="s">
        <v>981</v>
      </c>
      <c r="B253" s="6" t="s">
        <v>47</v>
      </c>
      <c r="C253" s="6" t="s">
        <v>16</v>
      </c>
      <c r="D253" s="7" t="s">
        <v>982</v>
      </c>
      <c r="E253" s="8" t="s">
        <v>983</v>
      </c>
      <c r="F253" s="6" t="s">
        <v>984</v>
      </c>
      <c r="G253" s="9">
        <f>IF(A253=1,"_",IF(C253="_","???",C253))</f>
        <v/>
      </c>
      <c r="H253" s="10" t="s">
        <v>16</v>
      </c>
      <c r="I253" s="11" t="s">
        <v>16</v>
      </c>
      <c r="J253" s="12"/>
    </row>
    <row r="254" spans="1:10" ht="60" customHeight="1">
      <c r="A254" s="6" t="s">
        <v>985</v>
      </c>
      <c r="B254" s="6" t="s">
        <v>47</v>
      </c>
      <c r="C254" s="6" t="s">
        <v>138</v>
      </c>
      <c r="D254" s="7" t="s">
        <v>49</v>
      </c>
      <c r="E254" s="8" t="s">
        <v>986</v>
      </c>
      <c r="F254" s="6" t="s">
        <v>987</v>
      </c>
      <c r="G254" s="9">
        <f>IF(A254=1,"_",IF(C254="_","???",C254))</f>
        <v/>
      </c>
      <c r="H254" s="10" t="s">
        <v>16</v>
      </c>
      <c r="I254" s="11" t="s">
        <v>16</v>
      </c>
      <c r="J254" s="12"/>
    </row>
    <row r="255" spans="1:10" ht="60" customHeight="1">
      <c r="A255" s="6" t="s">
        <v>988</v>
      </c>
      <c r="B255" s="6" t="s">
        <v>32</v>
      </c>
      <c r="C255" s="6" t="s">
        <v>16</v>
      </c>
      <c r="D255" s="7" t="s">
        <v>989</v>
      </c>
      <c r="E255" s="8" t="s">
        <v>990</v>
      </c>
      <c r="F255" s="6" t="s">
        <v>991</v>
      </c>
      <c r="G255" s="9">
        <f>IF(A255=1,"_",IF(C255="_","???",C255))</f>
        <v/>
      </c>
      <c r="H255" s="10" t="s">
        <v>16</v>
      </c>
      <c r="I255" s="11" t="s">
        <v>16</v>
      </c>
      <c r="J255" s="12"/>
    </row>
    <row r="256" spans="1:10" ht="60" customHeight="1">
      <c r="A256" s="6" t="s">
        <v>992</v>
      </c>
      <c r="B256" s="6" t="s">
        <v>10</v>
      </c>
      <c r="C256" s="6" t="s">
        <v>643</v>
      </c>
      <c r="D256" s="7" t="s">
        <v>993</v>
      </c>
      <c r="E256" s="8" t="s">
        <v>994</v>
      </c>
      <c r="F256" s="6" t="s">
        <v>995</v>
      </c>
      <c r="G256" s="9">
        <f>IF(A256=1,"_",IF(C256="_","???",C256))</f>
        <v/>
      </c>
      <c r="H256" s="10" t="s">
        <v>16</v>
      </c>
      <c r="I256" s="11" t="s">
        <v>16</v>
      </c>
      <c r="J256" s="12"/>
    </row>
    <row r="257" spans="1:10" ht="60" customHeight="1">
      <c r="A257" s="6" t="s">
        <v>996</v>
      </c>
      <c r="B257" s="6" t="s">
        <v>942</v>
      </c>
      <c r="C257" s="6" t="s">
        <v>48</v>
      </c>
      <c r="D257" s="7" t="s">
        <v>172</v>
      </c>
      <c r="E257" s="8" t="s">
        <v>997</v>
      </c>
      <c r="F257" s="6" t="s">
        <v>998</v>
      </c>
      <c r="G257" s="9">
        <f>IF(A257=1,"_",IF(C257="_","???",C257))</f>
        <v/>
      </c>
      <c r="H257" s="10" t="s">
        <v>16</v>
      </c>
      <c r="I257" s="11" t="s">
        <v>16</v>
      </c>
      <c r="J257" s="12"/>
    </row>
    <row r="258" spans="1:10" ht="60" customHeight="1">
      <c r="A258" s="6" t="s">
        <v>999</v>
      </c>
      <c r="B258" s="6" t="s">
        <v>134</v>
      </c>
      <c r="C258" s="6" t="s">
        <v>16</v>
      </c>
      <c r="D258" s="7" t="s">
        <v>135</v>
      </c>
      <c r="E258" s="8" t="s">
        <v>135</v>
      </c>
      <c r="F258" s="6" t="s">
        <v>1000</v>
      </c>
      <c r="G258" s="9">
        <f>IF(A258=1,"_",IF(C258="_","???",C258))</f>
        <v/>
      </c>
      <c r="H258" s="10" t="s">
        <v>16</v>
      </c>
      <c r="I258" s="11" t="s">
        <v>16</v>
      </c>
      <c r="J258" s="12"/>
    </row>
    <row r="259" spans="1:10" ht="60" customHeight="1">
      <c r="A259" s="6" t="s">
        <v>1001</v>
      </c>
      <c r="B259" s="6" t="s">
        <v>18</v>
      </c>
      <c r="C259" s="6" t="s">
        <v>1002</v>
      </c>
      <c r="D259" s="7" t="s">
        <v>1003</v>
      </c>
      <c r="E259" s="8" t="s">
        <v>1004</v>
      </c>
      <c r="F259" s="6" t="s">
        <v>1005</v>
      </c>
      <c r="G259" s="9">
        <f>IF(A259=1,"_",IF(C259="_","???",C259))</f>
        <v/>
      </c>
      <c r="H259" s="10" t="s">
        <v>16</v>
      </c>
      <c r="I259" s="11" t="s">
        <v>16</v>
      </c>
      <c r="J259" s="12"/>
    </row>
    <row r="260" spans="1:10" ht="60" customHeight="1">
      <c r="A260" s="6" t="s">
        <v>1006</v>
      </c>
      <c r="B260" s="6" t="s">
        <v>18</v>
      </c>
      <c r="C260" s="6" t="s">
        <v>48</v>
      </c>
      <c r="D260" s="7" t="s">
        <v>1007</v>
      </c>
      <c r="E260" s="8" t="s">
        <v>1008</v>
      </c>
      <c r="F260" s="6" t="s">
        <v>1009</v>
      </c>
      <c r="G260" s="9">
        <f>IF(A260=1,"_",IF(C260="_","???",C260))</f>
        <v/>
      </c>
      <c r="H260" s="10" t="s">
        <v>16</v>
      </c>
      <c r="I260" s="11" t="s">
        <v>16</v>
      </c>
      <c r="J260" s="12"/>
    </row>
    <row r="261" spans="1:10" ht="60" customHeight="1">
      <c r="A261" s="6" t="s">
        <v>1010</v>
      </c>
      <c r="B261" s="6" t="s">
        <v>41</v>
      </c>
      <c r="C261" s="6" t="s">
        <v>1011</v>
      </c>
      <c r="D261" s="7" t="s">
        <v>1012</v>
      </c>
      <c r="E261" s="8" t="s">
        <v>1013</v>
      </c>
      <c r="F261" s="6" t="s">
        <v>1014</v>
      </c>
      <c r="G261" s="9">
        <f>IF(A261=1,"_",IF(C261="_","???",C261))</f>
        <v/>
      </c>
      <c r="H261" s="10" t="s">
        <v>16</v>
      </c>
      <c r="I261" s="11" t="s">
        <v>16</v>
      </c>
      <c r="J261" s="12"/>
    </row>
    <row r="262" spans="1:10" ht="60" customHeight="1">
      <c r="A262" s="6" t="s">
        <v>1015</v>
      </c>
      <c r="B262" s="6" t="s">
        <v>18</v>
      </c>
      <c r="C262" s="6" t="s">
        <v>16</v>
      </c>
      <c r="D262" s="7" t="s">
        <v>926</v>
      </c>
      <c r="E262" s="8" t="s">
        <v>1016</v>
      </c>
      <c r="F262" s="6" t="s">
        <v>1017</v>
      </c>
      <c r="G262" s="9">
        <f>IF(A262=1,"_",IF(C262="_","???",C262))</f>
        <v/>
      </c>
      <c r="H262" s="10" t="s">
        <v>16</v>
      </c>
      <c r="I262" s="11" t="s">
        <v>16</v>
      </c>
      <c r="J262" s="12"/>
    </row>
    <row r="263" spans="1:10" ht="60" customHeight="1">
      <c r="A263" s="6" t="s">
        <v>1018</v>
      </c>
      <c r="B263" s="6" t="s">
        <v>57</v>
      </c>
      <c r="C263" s="6" t="s">
        <v>16</v>
      </c>
      <c r="D263" s="7" t="s">
        <v>1019</v>
      </c>
      <c r="E263" s="8" t="s">
        <v>1020</v>
      </c>
      <c r="F263" s="6" t="s">
        <v>1021</v>
      </c>
      <c r="G263" s="9">
        <f>IF(A263=1,"_",IF(C263="_","???",C263))</f>
        <v/>
      </c>
      <c r="H263" s="10" t="s">
        <v>16</v>
      </c>
      <c r="I263" s="11" t="s">
        <v>16</v>
      </c>
      <c r="J263" s="12"/>
    </row>
    <row r="264" spans="1:10" ht="60" customHeight="1">
      <c r="A264" s="6" t="s">
        <v>1022</v>
      </c>
      <c r="B264" s="6" t="s">
        <v>41</v>
      </c>
      <c r="C264" s="6" t="s">
        <v>16</v>
      </c>
      <c r="D264" s="7" t="s">
        <v>1023</v>
      </c>
      <c r="E264" s="8" t="s">
        <v>1024</v>
      </c>
      <c r="F264" s="6" t="s">
        <v>1025</v>
      </c>
      <c r="G264" s="9">
        <f>IF(A264=1,"_",IF(C264="_","???",C264))</f>
        <v/>
      </c>
      <c r="H264" s="10" t="s">
        <v>16</v>
      </c>
      <c r="I264" s="11" t="s">
        <v>16</v>
      </c>
      <c r="J264" s="12"/>
    </row>
    <row r="265" spans="1:10" ht="60" customHeight="1">
      <c r="A265" s="6" t="s">
        <v>1026</v>
      </c>
      <c r="B265" s="6" t="s">
        <v>18</v>
      </c>
      <c r="C265" s="6" t="s">
        <v>48</v>
      </c>
      <c r="D265" s="7" t="s">
        <v>1027</v>
      </c>
      <c r="E265" s="8" t="s">
        <v>1028</v>
      </c>
      <c r="F265" s="6" t="s">
        <v>1029</v>
      </c>
      <c r="G265" s="9">
        <f>IF(A265=1,"_",IF(C265="_","???",C265))</f>
        <v/>
      </c>
      <c r="H265" s="10" t="s">
        <v>16</v>
      </c>
      <c r="I265" s="11" t="s">
        <v>16</v>
      </c>
      <c r="J265" s="12"/>
    </row>
    <row r="266" spans="1:10" ht="60" customHeight="1">
      <c r="A266" s="6" t="s">
        <v>1030</v>
      </c>
      <c r="B266" s="6" t="s">
        <v>57</v>
      </c>
      <c r="C266" s="6" t="s">
        <v>72</v>
      </c>
      <c r="D266" s="7" t="s">
        <v>1031</v>
      </c>
      <c r="E266" s="8" t="s">
        <v>1032</v>
      </c>
      <c r="F266" s="6" t="s">
        <v>1033</v>
      </c>
      <c r="G266" s="9">
        <f>IF(A266=1,"_",IF(C266="_","???",C266))</f>
        <v/>
      </c>
      <c r="H266" s="10" t="s">
        <v>16</v>
      </c>
      <c r="I266" s="11" t="s">
        <v>16</v>
      </c>
      <c r="J266" s="12"/>
    </row>
    <row r="267" spans="1:10" ht="60" customHeight="1">
      <c r="A267" s="6" t="s">
        <v>1034</v>
      </c>
      <c r="B267" s="6" t="s">
        <v>27</v>
      </c>
      <c r="C267" s="6" t="s">
        <v>48</v>
      </c>
      <c r="D267" s="7" t="s">
        <v>1035</v>
      </c>
      <c r="E267" s="8" t="s">
        <v>1036</v>
      </c>
      <c r="F267" s="6" t="s">
        <v>1037</v>
      </c>
      <c r="G267" s="9">
        <f>IF(A267=1,"_",IF(C267="_","???",C267))</f>
        <v/>
      </c>
      <c r="H267" s="10" t="s">
        <v>16</v>
      </c>
      <c r="I267" s="11" t="s">
        <v>16</v>
      </c>
      <c r="J267" s="12"/>
    </row>
    <row r="268" spans="1:10" ht="60" customHeight="1">
      <c r="A268" s="6" t="s">
        <v>1038</v>
      </c>
      <c r="B268" s="6" t="s">
        <v>18</v>
      </c>
      <c r="C268" s="6" t="s">
        <v>16</v>
      </c>
      <c r="D268" s="7" t="s">
        <v>263</v>
      </c>
      <c r="E268" s="8" t="s">
        <v>1039</v>
      </c>
      <c r="F268" s="6" t="s">
        <v>1040</v>
      </c>
      <c r="G268" s="9">
        <f>IF(A268=1,"_",IF(C268="_","???",C268))</f>
        <v/>
      </c>
      <c r="H268" s="10" t="s">
        <v>16</v>
      </c>
      <c r="I268" s="11" t="s">
        <v>16</v>
      </c>
      <c r="J268" s="12"/>
    </row>
    <row r="269" spans="1:10" ht="60" customHeight="1">
      <c r="A269" s="6" t="s">
        <v>1041</v>
      </c>
      <c r="B269" s="6" t="s">
        <v>942</v>
      </c>
      <c r="C269" s="6" t="s">
        <v>48</v>
      </c>
      <c r="D269" s="7" t="s">
        <v>1042</v>
      </c>
      <c r="E269" s="8" t="s">
        <v>1043</v>
      </c>
      <c r="F269" s="6" t="s">
        <v>1044</v>
      </c>
      <c r="G269" s="9">
        <f>IF(A269=1,"_",IF(C269="_","???",C269))</f>
        <v/>
      </c>
      <c r="H269" s="10" t="s">
        <v>16</v>
      </c>
      <c r="I269" s="11" t="s">
        <v>16</v>
      </c>
      <c r="J269" s="12"/>
    </row>
    <row r="270" spans="1:10" ht="60" customHeight="1">
      <c r="A270" s="6" t="s">
        <v>1045</v>
      </c>
      <c r="B270" s="6" t="s">
        <v>41</v>
      </c>
      <c r="C270" s="6" t="s">
        <v>48</v>
      </c>
      <c r="D270" s="7" t="s">
        <v>1046</v>
      </c>
      <c r="E270" s="8" t="s">
        <v>1047</v>
      </c>
      <c r="F270" s="6" t="s">
        <v>1048</v>
      </c>
      <c r="G270" s="9">
        <f>IF(A270=1,"_",IF(C270="_","???",C270))</f>
        <v/>
      </c>
      <c r="H270" s="10" t="s">
        <v>16</v>
      </c>
      <c r="I270" s="11" t="s">
        <v>16</v>
      </c>
      <c r="J270" s="12"/>
    </row>
    <row r="271" spans="1:10" ht="60" customHeight="1">
      <c r="A271" s="6" t="s">
        <v>1049</v>
      </c>
      <c r="B271" s="6" t="s">
        <v>47</v>
      </c>
      <c r="C271" s="6" t="s">
        <v>53</v>
      </c>
      <c r="D271" s="7" t="s">
        <v>1050</v>
      </c>
      <c r="E271" s="8" t="s">
        <v>1051</v>
      </c>
      <c r="F271" s="6" t="s">
        <v>1052</v>
      </c>
      <c r="G271" s="9">
        <f>IF(A271=1,"_",IF(C271="_","???",C271))</f>
        <v/>
      </c>
      <c r="H271" s="10" t="s">
        <v>16</v>
      </c>
      <c r="I271" s="11" t="s">
        <v>16</v>
      </c>
      <c r="J271" s="12"/>
    </row>
    <row r="272" spans="1:10" ht="60" customHeight="1">
      <c r="A272" s="6" t="s">
        <v>1053</v>
      </c>
      <c r="B272" s="6" t="s">
        <v>17</v>
      </c>
      <c r="C272" s="6" t="s">
        <v>1054</v>
      </c>
      <c r="D272" s="7" t="s">
        <v>565</v>
      </c>
      <c r="E272" s="8" t="s">
        <v>1055</v>
      </c>
      <c r="F272" s="6" t="s">
        <v>1056</v>
      </c>
      <c r="G272" s="9">
        <f>IF(A272=1,"_",IF(C272="_","???",C272))</f>
        <v/>
      </c>
      <c r="H272" s="10" t="s">
        <v>16</v>
      </c>
      <c r="I272" s="11" t="s">
        <v>16</v>
      </c>
      <c r="J272" s="12"/>
    </row>
    <row r="273" spans="1:10" ht="60" customHeight="1">
      <c r="A273" s="6" t="s">
        <v>1057</v>
      </c>
      <c r="B273" s="6" t="s">
        <v>61</v>
      </c>
      <c r="C273" s="6" t="s">
        <v>16</v>
      </c>
      <c r="D273" s="7" t="s">
        <v>1058</v>
      </c>
      <c r="E273" s="8" t="s">
        <v>1059</v>
      </c>
      <c r="F273" s="6" t="s">
        <v>1060</v>
      </c>
      <c r="G273" s="9">
        <f>IF(A273=1,"_",IF(C273="_","???",C273))</f>
        <v/>
      </c>
      <c r="H273" s="10" t="s">
        <v>16</v>
      </c>
      <c r="I273" s="11" t="s">
        <v>16</v>
      </c>
      <c r="J273" s="12"/>
    </row>
    <row r="274" spans="1:10" ht="60" customHeight="1">
      <c r="A274" s="6" t="s">
        <v>1061</v>
      </c>
      <c r="B274" s="6" t="s">
        <v>61</v>
      </c>
      <c r="C274" s="6" t="s">
        <v>643</v>
      </c>
      <c r="D274" s="7" t="s">
        <v>172</v>
      </c>
      <c r="E274" s="8" t="s">
        <v>1062</v>
      </c>
      <c r="F274" s="6" t="s">
        <v>1063</v>
      </c>
      <c r="G274" s="9">
        <f>IF(A274=1,"_",IF(C274="_","???",C274))</f>
        <v/>
      </c>
      <c r="H274" s="10" t="s">
        <v>16</v>
      </c>
      <c r="I274" s="11" t="s">
        <v>16</v>
      </c>
      <c r="J274" s="12"/>
    </row>
    <row r="275" spans="1:10" ht="60" customHeight="1">
      <c r="A275" s="6" t="s">
        <v>1064</v>
      </c>
      <c r="B275" s="6" t="s">
        <v>18</v>
      </c>
      <c r="C275" s="6" t="s">
        <v>48</v>
      </c>
      <c r="D275" s="7" t="s">
        <v>741</v>
      </c>
      <c r="E275" s="8" t="s">
        <v>1065</v>
      </c>
      <c r="F275" s="6" t="s">
        <v>1066</v>
      </c>
      <c r="G275" s="9">
        <f>IF(A275=1,"_",IF(C275="_","???",C275))</f>
        <v/>
      </c>
      <c r="H275" s="10" t="s">
        <v>16</v>
      </c>
      <c r="I275" s="11" t="s">
        <v>16</v>
      </c>
      <c r="J275" s="12"/>
    </row>
    <row r="276" spans="1:10" ht="60" customHeight="1">
      <c r="A276" s="6" t="s">
        <v>1067</v>
      </c>
      <c r="B276" s="6" t="s">
        <v>22</v>
      </c>
      <c r="C276" s="6" t="s">
        <v>48</v>
      </c>
      <c r="D276" s="7" t="s">
        <v>1068</v>
      </c>
      <c r="E276" s="8" t="s">
        <v>1069</v>
      </c>
      <c r="F276" s="6" t="s">
        <v>1070</v>
      </c>
      <c r="G276" s="9">
        <f>IF(A276=1,"_",IF(C276="_","???",C276))</f>
        <v/>
      </c>
      <c r="H276" s="10" t="s">
        <v>16</v>
      </c>
      <c r="I276" s="11" t="s">
        <v>16</v>
      </c>
      <c r="J276" s="12"/>
    </row>
    <row r="277" spans="1:10" ht="60" customHeight="1">
      <c r="A277" s="6" t="s">
        <v>1071</v>
      </c>
      <c r="B277" s="6" t="s">
        <v>47</v>
      </c>
      <c r="C277" s="6" t="s">
        <v>16</v>
      </c>
      <c r="D277" s="7" t="s">
        <v>1072</v>
      </c>
      <c r="E277" s="8" t="s">
        <v>1073</v>
      </c>
      <c r="F277" s="6" t="s">
        <v>1074</v>
      </c>
      <c r="G277" s="9">
        <f>IF(A277=1,"_",IF(C277="_","???",C277))</f>
        <v/>
      </c>
      <c r="H277" s="10" t="s">
        <v>16</v>
      </c>
      <c r="I277" s="11" t="s">
        <v>16</v>
      </c>
      <c r="J277" s="12"/>
    </row>
    <row r="278" spans="1:10" ht="60" customHeight="1">
      <c r="A278" s="6" t="s">
        <v>1075</v>
      </c>
      <c r="B278" s="6" t="s">
        <v>18</v>
      </c>
      <c r="C278" s="6" t="s">
        <v>16</v>
      </c>
      <c r="D278" s="7" t="s">
        <v>1076</v>
      </c>
      <c r="E278" s="8" t="s">
        <v>1077</v>
      </c>
      <c r="F278" s="6" t="s">
        <v>1078</v>
      </c>
      <c r="G278" s="9">
        <f>IF(A278=1,"_",IF(C278="_","???",C278))</f>
        <v/>
      </c>
      <c r="H278" s="10" t="s">
        <v>16</v>
      </c>
      <c r="I278" s="11" t="s">
        <v>16</v>
      </c>
      <c r="J278" s="12"/>
    </row>
    <row r="279" spans="1:10" ht="60" customHeight="1">
      <c r="A279" s="6" t="s">
        <v>1079</v>
      </c>
      <c r="B279" s="6" t="s">
        <v>22</v>
      </c>
      <c r="C279" s="6" t="s">
        <v>16</v>
      </c>
      <c r="D279" s="7" t="s">
        <v>1080</v>
      </c>
      <c r="E279" s="8" t="s">
        <v>1081</v>
      </c>
      <c r="F279" s="6" t="s">
        <v>1082</v>
      </c>
      <c r="G279" s="9">
        <f>IF(A279=1,"_",IF(C279="_","???",C279))</f>
        <v/>
      </c>
      <c r="H279" s="10" t="s">
        <v>16</v>
      </c>
      <c r="I279" s="11" t="s">
        <v>16</v>
      </c>
      <c r="J279" s="12"/>
    </row>
    <row r="280" spans="1:10" ht="60" customHeight="1">
      <c r="A280" s="6" t="s">
        <v>1083</v>
      </c>
      <c r="B280" s="6" t="s">
        <v>47</v>
      </c>
      <c r="C280" s="6" t="s">
        <v>16</v>
      </c>
      <c r="D280" s="7" t="s">
        <v>1084</v>
      </c>
      <c r="E280" s="8" t="s">
        <v>1085</v>
      </c>
      <c r="F280" s="6" t="s">
        <v>1086</v>
      </c>
      <c r="G280" s="9">
        <f>IF(A280=1,"_",IF(C280="_","???",C280))</f>
        <v/>
      </c>
      <c r="H280" s="10" t="s">
        <v>16</v>
      </c>
      <c r="I280" s="11" t="s">
        <v>16</v>
      </c>
      <c r="J280" s="12"/>
    </row>
    <row r="281" spans="1:10" ht="60" customHeight="1">
      <c r="A281" s="6" t="s">
        <v>1087</v>
      </c>
      <c r="B281" s="6" t="s">
        <v>10</v>
      </c>
      <c r="C281" s="6" t="s">
        <v>67</v>
      </c>
      <c r="D281" s="7" t="s">
        <v>1088</v>
      </c>
      <c r="E281" s="8" t="s">
        <v>1089</v>
      </c>
      <c r="F281" s="6" t="s">
        <v>1090</v>
      </c>
      <c r="G281" s="9">
        <f>IF(A281=1,"_",IF(C281="_","???",C281))</f>
        <v/>
      </c>
      <c r="H281" s="10" t="s">
        <v>16</v>
      </c>
      <c r="I281" s="11" t="s">
        <v>16</v>
      </c>
      <c r="J281" s="12"/>
    </row>
    <row r="282" spans="1:10" ht="60" customHeight="1">
      <c r="A282" s="6" t="s">
        <v>1091</v>
      </c>
      <c r="B282" s="6" t="s">
        <v>57</v>
      </c>
      <c r="C282" s="6" t="s">
        <v>270</v>
      </c>
      <c r="D282" s="7" t="s">
        <v>1092</v>
      </c>
      <c r="E282" s="8" t="s">
        <v>1093</v>
      </c>
      <c r="F282" s="6" t="s">
        <v>1094</v>
      </c>
      <c r="G282" s="9">
        <f>IF(A282=1,"_",IF(C282="_","???",C282))</f>
        <v/>
      </c>
      <c r="H282" s="10" t="s">
        <v>16</v>
      </c>
      <c r="I282" s="11" t="s">
        <v>16</v>
      </c>
      <c r="J282" s="12"/>
    </row>
    <row r="283" spans="1:10" ht="60" customHeight="1">
      <c r="A283" s="6" t="s">
        <v>1095</v>
      </c>
      <c r="B283" s="6" t="s">
        <v>47</v>
      </c>
      <c r="C283" s="6" t="s">
        <v>16</v>
      </c>
      <c r="D283" s="7" t="s">
        <v>1096</v>
      </c>
      <c r="E283" s="8" t="s">
        <v>1097</v>
      </c>
      <c r="F283" s="6" t="s">
        <v>1098</v>
      </c>
      <c r="G283" s="9">
        <f>IF(A283=1,"_",IF(C283="_","???",C283))</f>
        <v/>
      </c>
      <c r="H283" s="10" t="s">
        <v>16</v>
      </c>
      <c r="I283" s="11" t="s">
        <v>16</v>
      </c>
      <c r="J283" s="12"/>
    </row>
    <row r="284" spans="1:10" ht="60" customHeight="1">
      <c r="A284" s="6" t="s">
        <v>1099</v>
      </c>
      <c r="B284" s="6" t="s">
        <v>134</v>
      </c>
      <c r="C284" s="6" t="s">
        <v>16</v>
      </c>
      <c r="D284" s="7" t="s">
        <v>135</v>
      </c>
      <c r="E284" s="8" t="s">
        <v>135</v>
      </c>
      <c r="F284" s="6" t="s">
        <v>1100</v>
      </c>
      <c r="G284" s="9">
        <f>IF(A284=1,"_",IF(C284="_","???",C284))</f>
        <v/>
      </c>
      <c r="H284" s="10" t="s">
        <v>16</v>
      </c>
      <c r="I284" s="11" t="s">
        <v>16</v>
      </c>
      <c r="J284" s="12"/>
    </row>
    <row r="285" spans="1:10" ht="60" customHeight="1">
      <c r="A285" s="6" t="s">
        <v>1101</v>
      </c>
      <c r="B285" s="6" t="s">
        <v>18</v>
      </c>
      <c r="C285" s="6" t="s">
        <v>16</v>
      </c>
      <c r="D285" s="7" t="s">
        <v>165</v>
      </c>
      <c r="E285" s="8" t="s">
        <v>1102</v>
      </c>
      <c r="F285" s="6" t="s">
        <v>1103</v>
      </c>
      <c r="G285" s="9">
        <f>IF(A285=1,"_",IF(C285="_","???",C285))</f>
        <v/>
      </c>
      <c r="H285" s="10" t="s">
        <v>16</v>
      </c>
      <c r="I285" s="11" t="s">
        <v>16</v>
      </c>
      <c r="J285" s="12"/>
    </row>
    <row r="286" spans="1:10" ht="60" customHeight="1">
      <c r="A286" s="6" t="s">
        <v>1104</v>
      </c>
      <c r="B286" s="6" t="s">
        <v>17</v>
      </c>
      <c r="C286" s="6" t="s">
        <v>16</v>
      </c>
      <c r="D286" s="7" t="s">
        <v>1105</v>
      </c>
      <c r="E286" s="8" t="s">
        <v>1106</v>
      </c>
      <c r="F286" s="6" t="s">
        <v>1107</v>
      </c>
      <c r="G286" s="9">
        <f>IF(A286=1,"_",IF(C286="_","???",C286))</f>
        <v/>
      </c>
      <c r="H286" s="10" t="s">
        <v>16</v>
      </c>
      <c r="I286" s="11" t="s">
        <v>16</v>
      </c>
      <c r="J286" s="12"/>
    </row>
    <row r="287" spans="1:10" ht="60" customHeight="1">
      <c r="A287" s="6" t="s">
        <v>1108</v>
      </c>
      <c r="B287" s="6" t="s">
        <v>134</v>
      </c>
      <c r="C287" s="6" t="s">
        <v>16</v>
      </c>
      <c r="D287" s="7" t="s">
        <v>1109</v>
      </c>
      <c r="E287" s="8" t="s">
        <v>1110</v>
      </c>
      <c r="F287" s="6" t="s">
        <v>1111</v>
      </c>
      <c r="G287" s="9">
        <f>IF(A287=1,"_",IF(C287="_","???",C287))</f>
        <v/>
      </c>
      <c r="H287" s="10" t="s">
        <v>16</v>
      </c>
      <c r="I287" s="11" t="s">
        <v>16</v>
      </c>
      <c r="J287" s="12"/>
    </row>
    <row r="288" spans="1:10" ht="60" customHeight="1">
      <c r="A288" s="6" t="s">
        <v>1112</v>
      </c>
      <c r="B288" s="6" t="s">
        <v>18</v>
      </c>
      <c r="C288" s="6" t="s">
        <v>16</v>
      </c>
      <c r="D288" s="7" t="s">
        <v>1113</v>
      </c>
      <c r="E288" s="8" t="s">
        <v>1114</v>
      </c>
      <c r="F288" s="6" t="s">
        <v>1115</v>
      </c>
      <c r="G288" s="9">
        <f>IF(A288=1,"_",IF(C288="_","???",C288))</f>
        <v/>
      </c>
      <c r="H288" s="10" t="s">
        <v>16</v>
      </c>
      <c r="I288" s="11" t="s">
        <v>16</v>
      </c>
      <c r="J288" s="12"/>
    </row>
    <row r="289" spans="1:10" ht="60" customHeight="1">
      <c r="A289" s="6" t="s">
        <v>1116</v>
      </c>
      <c r="B289" s="6" t="s">
        <v>52</v>
      </c>
      <c r="C289" s="6" t="s">
        <v>12</v>
      </c>
      <c r="D289" s="7" t="s">
        <v>423</v>
      </c>
      <c r="E289" s="8" t="s">
        <v>1117</v>
      </c>
      <c r="F289" s="6" t="s">
        <v>1118</v>
      </c>
      <c r="G289" s="9">
        <f>IF(A289=1,"_",IF(C289="_","???",C289))</f>
        <v/>
      </c>
      <c r="H289" s="10" t="s">
        <v>16</v>
      </c>
      <c r="I289" s="11" t="s">
        <v>16</v>
      </c>
      <c r="J289" s="12"/>
    </row>
    <row r="290" spans="1:10" ht="60" customHeight="1">
      <c r="A290" s="6" t="s">
        <v>1119</v>
      </c>
      <c r="B290" s="6" t="s">
        <v>80</v>
      </c>
      <c r="C290" s="6" t="s">
        <v>16</v>
      </c>
      <c r="D290" s="7" t="s">
        <v>1120</v>
      </c>
      <c r="E290" s="8" t="s">
        <v>1121</v>
      </c>
      <c r="F290" s="6" t="s">
        <v>1122</v>
      </c>
      <c r="G290" s="9">
        <f>IF(A290=1,"_",IF(C290="_","???",C290))</f>
        <v/>
      </c>
      <c r="H290" s="10" t="s">
        <v>16</v>
      </c>
      <c r="I290" s="11" t="s">
        <v>16</v>
      </c>
      <c r="J290" s="12"/>
    </row>
    <row r="291" spans="1:10" ht="60" customHeight="1">
      <c r="A291" s="6" t="s">
        <v>1123</v>
      </c>
      <c r="B291" s="6" t="s">
        <v>57</v>
      </c>
      <c r="C291" s="6" t="s">
        <v>16</v>
      </c>
      <c r="D291" s="7" t="s">
        <v>90</v>
      </c>
      <c r="E291" s="8" t="s">
        <v>1124</v>
      </c>
      <c r="F291" s="6" t="s">
        <v>1125</v>
      </c>
      <c r="G291" s="9">
        <f>IF(A291=1,"_",IF(C291="_","???",C291))</f>
        <v/>
      </c>
      <c r="H291" s="10" t="s">
        <v>16</v>
      </c>
      <c r="I291" s="11" t="s">
        <v>16</v>
      </c>
      <c r="J291" s="12"/>
    </row>
    <row r="292" spans="1:10" ht="60" customHeight="1">
      <c r="A292" s="6" t="s">
        <v>1126</v>
      </c>
      <c r="B292" s="6" t="s">
        <v>52</v>
      </c>
      <c r="C292" s="6" t="s">
        <v>16</v>
      </c>
      <c r="D292" s="7" t="s">
        <v>1127</v>
      </c>
      <c r="E292" s="8" t="s">
        <v>1128</v>
      </c>
      <c r="F292" s="6" t="s">
        <v>1129</v>
      </c>
      <c r="G292" s="9">
        <f>IF(A292=1,"_",IF(C292="_","???",C292))</f>
        <v/>
      </c>
      <c r="H292" s="10" t="s">
        <v>16</v>
      </c>
      <c r="I292" s="11" t="s">
        <v>16</v>
      </c>
      <c r="J292" s="12"/>
    </row>
    <row r="293" spans="1:10" ht="60" customHeight="1">
      <c r="A293" s="6" t="s">
        <v>1130</v>
      </c>
      <c r="B293" s="6" t="s">
        <v>27</v>
      </c>
      <c r="C293" s="6" t="s">
        <v>42</v>
      </c>
      <c r="D293" s="7" t="s">
        <v>1131</v>
      </c>
      <c r="E293" s="8" t="s">
        <v>1132</v>
      </c>
      <c r="F293" s="6" t="s">
        <v>1133</v>
      </c>
      <c r="G293" s="9">
        <f>IF(A293=1,"_",IF(C293="_","???",C293))</f>
        <v/>
      </c>
      <c r="H293" s="10" t="s">
        <v>16</v>
      </c>
      <c r="I293" s="11" t="s">
        <v>16</v>
      </c>
      <c r="J293" s="12"/>
    </row>
    <row r="294" spans="1:10" ht="60" customHeight="1">
      <c r="A294" s="6" t="s">
        <v>1134</v>
      </c>
      <c r="B294" s="6" t="s">
        <v>97</v>
      </c>
      <c r="C294" s="6" t="s">
        <v>16</v>
      </c>
      <c r="D294" s="7" t="s">
        <v>1042</v>
      </c>
      <c r="E294" s="8" t="s">
        <v>1135</v>
      </c>
      <c r="F294" s="6" t="s">
        <v>1136</v>
      </c>
      <c r="G294" s="9">
        <f>IF(A294=1,"_",IF(C294="_","???",C294))</f>
        <v/>
      </c>
      <c r="H294" s="10" t="s">
        <v>16</v>
      </c>
      <c r="I294" s="11" t="s">
        <v>16</v>
      </c>
      <c r="J294" s="12"/>
    </row>
    <row r="295" spans="1:10" ht="60" customHeight="1">
      <c r="A295" s="6" t="s">
        <v>1137</v>
      </c>
      <c r="B295" s="6" t="s">
        <v>17</v>
      </c>
      <c r="C295" s="6" t="s">
        <v>42</v>
      </c>
      <c r="D295" s="7" t="s">
        <v>1138</v>
      </c>
      <c r="E295" s="8" t="s">
        <v>1139</v>
      </c>
      <c r="F295" s="6" t="s">
        <v>1140</v>
      </c>
      <c r="G295" s="9">
        <f>IF(A295=1,"_",IF(C295="_","???",C295))</f>
        <v/>
      </c>
      <c r="H295" s="10" t="s">
        <v>16</v>
      </c>
      <c r="I295" s="11" t="s">
        <v>16</v>
      </c>
      <c r="J295" s="12"/>
    </row>
    <row r="296" spans="1:10" ht="60" customHeight="1">
      <c r="A296" s="6" t="s">
        <v>1141</v>
      </c>
      <c r="B296" s="6" t="s">
        <v>47</v>
      </c>
      <c r="C296" s="6" t="s">
        <v>16</v>
      </c>
      <c r="D296" s="7" t="s">
        <v>885</v>
      </c>
      <c r="E296" s="8" t="s">
        <v>1142</v>
      </c>
      <c r="F296" s="6" t="s">
        <v>1143</v>
      </c>
      <c r="G296" s="9">
        <f>IF(A296=1,"_",IF(C296="_","???",C296))</f>
        <v/>
      </c>
      <c r="H296" s="10" t="s">
        <v>16</v>
      </c>
      <c r="I296" s="11" t="s">
        <v>16</v>
      </c>
      <c r="J296" s="12"/>
    </row>
    <row r="297" spans="1:10" ht="60" customHeight="1">
      <c r="A297" s="6" t="s">
        <v>1144</v>
      </c>
      <c r="B297" s="6" t="s">
        <v>134</v>
      </c>
      <c r="C297" s="6" t="s">
        <v>117</v>
      </c>
      <c r="D297" s="7" t="s">
        <v>1145</v>
      </c>
      <c r="E297" s="8" t="s">
        <v>1146</v>
      </c>
      <c r="F297" s="6" t="s">
        <v>1147</v>
      </c>
      <c r="G297" s="9">
        <f>IF(A297=1,"_",IF(C297="_","???",C297))</f>
        <v/>
      </c>
      <c r="H297" s="10" t="s">
        <v>16</v>
      </c>
      <c r="I297" s="11" t="s">
        <v>16</v>
      </c>
      <c r="J297" s="12"/>
    </row>
    <row r="298" spans="1:10" ht="60" customHeight="1">
      <c r="A298" s="6" t="s">
        <v>1148</v>
      </c>
      <c r="B298" s="6" t="s">
        <v>18</v>
      </c>
      <c r="C298" s="6" t="s">
        <v>16</v>
      </c>
      <c r="D298" s="7" t="s">
        <v>1149</v>
      </c>
      <c r="E298" s="8" t="s">
        <v>1150</v>
      </c>
      <c r="F298" s="6" t="s">
        <v>1151</v>
      </c>
      <c r="G298" s="9">
        <f>IF(A298=1,"_",IF(C298="_","???",C298))</f>
        <v/>
      </c>
      <c r="H298" s="10" t="s">
        <v>16</v>
      </c>
      <c r="I298" s="11" t="s">
        <v>16</v>
      </c>
      <c r="J298" s="12"/>
    </row>
    <row r="299" spans="1:10" ht="60" customHeight="1">
      <c r="A299" s="6" t="s">
        <v>1152</v>
      </c>
      <c r="B299" s="6" t="s">
        <v>18</v>
      </c>
      <c r="C299" s="6" t="s">
        <v>16</v>
      </c>
      <c r="D299" s="7" t="s">
        <v>1153</v>
      </c>
      <c r="E299" s="8" t="s">
        <v>1154</v>
      </c>
      <c r="F299" s="6" t="s">
        <v>1155</v>
      </c>
      <c r="G299" s="9">
        <f>IF(A299=1,"_",IF(C299="_","???",C299))</f>
        <v/>
      </c>
      <c r="H299" s="10" t="s">
        <v>16</v>
      </c>
      <c r="I299" s="11" t="s">
        <v>16</v>
      </c>
      <c r="J299" s="12"/>
    </row>
    <row r="300" spans="1:10" ht="60" customHeight="1">
      <c r="A300" s="6" t="s">
        <v>1156</v>
      </c>
      <c r="B300" s="6" t="s">
        <v>22</v>
      </c>
      <c r="C300" s="6" t="s">
        <v>16</v>
      </c>
      <c r="D300" s="7" t="s">
        <v>1157</v>
      </c>
      <c r="E300" s="8" t="s">
        <v>1158</v>
      </c>
      <c r="F300" s="6" t="s">
        <v>1159</v>
      </c>
      <c r="G300" s="9">
        <f>IF(A300=1,"_",IF(C300="_","???",C300))</f>
        <v/>
      </c>
      <c r="H300" s="10" t="s">
        <v>16</v>
      </c>
      <c r="I300" s="11" t="s">
        <v>16</v>
      </c>
      <c r="J300" s="12"/>
    </row>
    <row r="301" spans="1:10" ht="60" customHeight="1">
      <c r="A301" s="6" t="s">
        <v>1160</v>
      </c>
      <c r="B301" s="6" t="s">
        <v>134</v>
      </c>
      <c r="C301" s="6" t="s">
        <v>16</v>
      </c>
      <c r="D301" s="7" t="s">
        <v>565</v>
      </c>
      <c r="E301" s="8" t="s">
        <v>1161</v>
      </c>
      <c r="F301" s="6" t="s">
        <v>1162</v>
      </c>
      <c r="G301" s="9">
        <f>IF(A301=1,"_",IF(C301="_","???",C301))</f>
        <v/>
      </c>
      <c r="H301" s="10" t="s">
        <v>16</v>
      </c>
      <c r="I301" s="11" t="s">
        <v>16</v>
      </c>
      <c r="J301" s="12"/>
    </row>
    <row r="302" spans="1:10" ht="60" customHeight="1">
      <c r="A302" s="6" t="s">
        <v>1163</v>
      </c>
      <c r="B302" s="6" t="s">
        <v>10</v>
      </c>
      <c r="C302" s="6" t="s">
        <v>1164</v>
      </c>
      <c r="D302" s="7" t="s">
        <v>1165</v>
      </c>
      <c r="E302" s="8" t="s">
        <v>1166</v>
      </c>
      <c r="F302" s="6" t="s">
        <v>1167</v>
      </c>
      <c r="G302" s="9">
        <f>IF(A302=1,"_",IF(C302="_","???",C302))</f>
        <v/>
      </c>
      <c r="H302" s="10" t="s">
        <v>16</v>
      </c>
      <c r="I302" s="11" t="s">
        <v>16</v>
      </c>
      <c r="J302" s="12"/>
    </row>
    <row r="303" spans="1:10" ht="60" customHeight="1">
      <c r="A303" s="6" t="s">
        <v>1168</v>
      </c>
      <c r="B303" s="6" t="s">
        <v>52</v>
      </c>
      <c r="C303" s="6" t="s">
        <v>1169</v>
      </c>
      <c r="D303" s="7" t="s">
        <v>1170</v>
      </c>
      <c r="E303" s="8" t="s">
        <v>1171</v>
      </c>
      <c r="F303" s="6" t="s">
        <v>1172</v>
      </c>
      <c r="G303" s="9">
        <f>IF(A303=1,"_",IF(C303="_","???",C303))</f>
        <v/>
      </c>
      <c r="H303" s="10" t="s">
        <v>16</v>
      </c>
      <c r="I303" s="11" t="s">
        <v>16</v>
      </c>
      <c r="J303" s="12"/>
    </row>
    <row r="304" spans="1:10" ht="60" customHeight="1">
      <c r="A304" s="6" t="s">
        <v>1173</v>
      </c>
      <c r="B304" s="6" t="s">
        <v>33</v>
      </c>
      <c r="C304" s="6" t="s">
        <v>197</v>
      </c>
      <c r="D304" s="7" t="s">
        <v>1174</v>
      </c>
      <c r="E304" s="8" t="s">
        <v>1175</v>
      </c>
      <c r="F304" s="6" t="s">
        <v>1176</v>
      </c>
      <c r="G304" s="9">
        <f>IF(A304=1,"_",IF(C304="_","???",C304))</f>
        <v/>
      </c>
      <c r="H304" s="10" t="s">
        <v>16</v>
      </c>
      <c r="I304" s="11" t="s">
        <v>16</v>
      </c>
      <c r="J304" s="12"/>
    </row>
    <row r="305" spans="1:10" ht="60" customHeight="1">
      <c r="A305" s="6" t="s">
        <v>1177</v>
      </c>
      <c r="B305" s="6" t="s">
        <v>22</v>
      </c>
      <c r="C305" s="6" t="s">
        <v>16</v>
      </c>
      <c r="D305" s="7" t="s">
        <v>1178</v>
      </c>
      <c r="E305" s="8" t="s">
        <v>1179</v>
      </c>
      <c r="F305" s="6" t="s">
        <v>1180</v>
      </c>
      <c r="G305" s="9">
        <f>IF(A305=1,"_",IF(C305="_","???",C305))</f>
        <v/>
      </c>
      <c r="H305" s="10" t="s">
        <v>16</v>
      </c>
      <c r="I305" s="11" t="s">
        <v>16</v>
      </c>
      <c r="J305" s="12"/>
    </row>
    <row r="306" spans="1:10" ht="60" customHeight="1">
      <c r="A306" s="6" t="s">
        <v>1181</v>
      </c>
      <c r="B306" s="6" t="s">
        <v>134</v>
      </c>
      <c r="C306" s="6" t="s">
        <v>16</v>
      </c>
      <c r="D306" s="7" t="s">
        <v>315</v>
      </c>
      <c r="E306" s="8" t="s">
        <v>1182</v>
      </c>
      <c r="F306" s="6" t="s">
        <v>1183</v>
      </c>
      <c r="G306" s="9">
        <f>IF(A306=1,"_",IF(C306="_","???",C306))</f>
        <v/>
      </c>
      <c r="H306" s="10" t="s">
        <v>16</v>
      </c>
      <c r="I306" s="11" t="s">
        <v>16</v>
      </c>
      <c r="J306" s="12"/>
    </row>
    <row r="307" spans="1:10" ht="60" customHeight="1">
      <c r="A307" s="6" t="s">
        <v>1184</v>
      </c>
      <c r="B307" s="6" t="s">
        <v>18</v>
      </c>
      <c r="C307" s="6" t="s">
        <v>16</v>
      </c>
      <c r="D307" s="7" t="s">
        <v>734</v>
      </c>
      <c r="E307" s="8" t="s">
        <v>1185</v>
      </c>
      <c r="F307" s="6" t="s">
        <v>1186</v>
      </c>
      <c r="G307" s="9">
        <f>IF(A307=1,"_",IF(C307="_","???",C307))</f>
        <v/>
      </c>
      <c r="H307" s="10" t="s">
        <v>16</v>
      </c>
      <c r="I307" s="11" t="s">
        <v>16</v>
      </c>
      <c r="J307" s="12"/>
    </row>
    <row r="308" spans="1:10" ht="60" customHeight="1">
      <c r="A308" s="6" t="s">
        <v>1187</v>
      </c>
      <c r="B308" s="6" t="s">
        <v>61</v>
      </c>
      <c r="C308" s="6" t="s">
        <v>1188</v>
      </c>
      <c r="D308" s="7" t="s">
        <v>1189</v>
      </c>
      <c r="E308" s="8" t="s">
        <v>1190</v>
      </c>
      <c r="F308" s="6" t="s">
        <v>1191</v>
      </c>
      <c r="G308" s="9">
        <f>IF(A308=1,"_",IF(C308="_","???",C308))</f>
        <v/>
      </c>
      <c r="H308" s="10" t="s">
        <v>16</v>
      </c>
      <c r="I308" s="11" t="s">
        <v>16</v>
      </c>
      <c r="J308" s="12"/>
    </row>
    <row r="309" spans="1:10" ht="60" customHeight="1">
      <c r="A309" s="6" t="s">
        <v>1192</v>
      </c>
      <c r="B309" s="6" t="s">
        <v>57</v>
      </c>
      <c r="C309" s="6" t="s">
        <v>72</v>
      </c>
      <c r="D309" s="7" t="s">
        <v>1193</v>
      </c>
      <c r="E309" s="8" t="s">
        <v>1194</v>
      </c>
      <c r="F309" s="6" t="s">
        <v>1195</v>
      </c>
      <c r="G309" s="9">
        <f>IF(A309=1,"_",IF(C309="_","???",C309))</f>
        <v/>
      </c>
      <c r="H309" s="10" t="s">
        <v>16</v>
      </c>
      <c r="I309" s="11" t="s">
        <v>16</v>
      </c>
      <c r="J309" s="12"/>
    </row>
    <row r="310" spans="1:10" ht="60" customHeight="1">
      <c r="A310" s="6" t="s">
        <v>1196</v>
      </c>
      <c r="B310" s="6" t="s">
        <v>134</v>
      </c>
      <c r="C310" s="6" t="s">
        <v>16</v>
      </c>
      <c r="D310" s="7" t="s">
        <v>135</v>
      </c>
      <c r="E310" s="8" t="s">
        <v>135</v>
      </c>
      <c r="F310" s="6" t="s">
        <v>1197</v>
      </c>
      <c r="G310" s="9">
        <f>IF(A310=1,"_",IF(C310="_","???",C310))</f>
        <v/>
      </c>
      <c r="H310" s="10" t="s">
        <v>16</v>
      </c>
      <c r="I310" s="11" t="s">
        <v>16</v>
      </c>
      <c r="J310" s="12"/>
    </row>
    <row r="311" spans="1:10" ht="60" customHeight="1">
      <c r="A311" s="6" t="s">
        <v>1198</v>
      </c>
      <c r="B311" s="6" t="s">
        <v>32</v>
      </c>
      <c r="C311" s="6" t="s">
        <v>117</v>
      </c>
      <c r="D311" s="7" t="s">
        <v>1199</v>
      </c>
      <c r="E311" s="8" t="s">
        <v>1200</v>
      </c>
      <c r="F311" s="6" t="s">
        <v>1201</v>
      </c>
      <c r="G311" s="9">
        <f>IF(A311=1,"_",IF(C311="_","???",C311))</f>
        <v/>
      </c>
      <c r="H311" s="10" t="s">
        <v>16</v>
      </c>
      <c r="I311" s="11" t="s">
        <v>16</v>
      </c>
      <c r="J31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92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1202</v>
      </c>
      <c r="B1" s="13" t="s">
        <v>1203</v>
      </c>
      <c r="C1" s="13" t="s">
        <v>1204</v>
      </c>
      <c r="D1" s="13" t="s">
        <v>1205</v>
      </c>
      <c r="E1" s="14" t="s">
        <v>1206</v>
      </c>
      <c r="F1" s="15" t="s">
        <v>1207</v>
      </c>
      <c r="G1" s="16" t="s">
        <v>1208</v>
      </c>
      <c r="H1" s="17" t="s">
        <v>1209</v>
      </c>
      <c r="I1" s="18" t="s">
        <v>1210</v>
      </c>
      <c r="J1" s="18" t="s">
        <v>1211</v>
      </c>
      <c r="K1" s="18" t="s">
        <v>1212</v>
      </c>
      <c r="L1" s="19" t="s">
        <v>9</v>
      </c>
    </row>
    <row r="2" spans="1:12">
      <c r="A2" s="20" t="s">
        <v>1213</v>
      </c>
    </row>
    <row r="3" spans="1:12">
      <c r="A3" s="20" t="s">
        <v>1214</v>
      </c>
      <c r="B3" s="21" t="s">
        <v>1215</v>
      </c>
      <c r="C3" s="21" t="s">
        <v>1216</v>
      </c>
      <c r="D3" s="21" t="s">
        <v>1217</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1218</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1219</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1220</v>
      </c>
      <c r="B6" s="21" t="s">
        <v>1221</v>
      </c>
      <c r="C6" s="21" t="s">
        <v>1222</v>
      </c>
      <c r="D6" s="21" t="s">
        <v>1217</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1218</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1223</v>
      </c>
      <c r="B8" s="21" t="s">
        <v>1224</v>
      </c>
      <c r="C8" s="21" t="s">
        <v>1225</v>
      </c>
      <c r="D8" s="21" t="s">
        <v>1217</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548</v>
      </c>
      <c r="B9" s="21" t="s">
        <v>1226</v>
      </c>
      <c r="C9" s="21" t="s">
        <v>1225</v>
      </c>
      <c r="D9" s="21" t="s">
        <v>1217</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16</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16</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1227</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1228</v>
      </c>
      <c r="B13" s="21" t="s">
        <v>1229</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1230</v>
      </c>
      <c r="B14" s="21" t="s">
        <v>1224</v>
      </c>
      <c r="C14" s="21" t="s">
        <v>1216</v>
      </c>
      <c r="D14" s="21" t="s">
        <v>1217</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1231</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1232</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1233</v>
      </c>
      <c r="B17" s="21" t="s">
        <v>1224</v>
      </c>
      <c r="C17" s="21" t="s">
        <v>1234</v>
      </c>
      <c r="D17" s="21" t="s">
        <v>1217</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1235</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1236</v>
      </c>
      <c r="B19" s="21" t="s">
        <v>1237</v>
      </c>
      <c r="C19" s="21" t="s">
        <v>1238</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16</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16</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1239</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1240</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1241</v>
      </c>
      <c r="B24" s="21" t="s">
        <v>1221</v>
      </c>
      <c r="C24" s="21" t="s">
        <v>1242</v>
      </c>
      <c r="D24" s="21" t="s">
        <v>1217</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1243</v>
      </c>
      <c r="B25" s="21" t="s">
        <v>1244</v>
      </c>
      <c r="C25" s="21" t="s">
        <v>1222</v>
      </c>
      <c r="D25" s="21" t="s">
        <v>1217</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1245</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1246</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1247</v>
      </c>
      <c r="B28" s="21" t="s">
        <v>1224</v>
      </c>
      <c r="C28" s="21" t="s">
        <v>1242</v>
      </c>
      <c r="D28" s="21" t="s">
        <v>1217</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1248</v>
      </c>
      <c r="B29" s="21" t="s">
        <v>1249</v>
      </c>
      <c r="C29" s="21" t="s">
        <v>1222</v>
      </c>
      <c r="D29" s="21" t="s">
        <v>1217</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1245</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1250</v>
      </c>
      <c r="B31" s="21" t="s">
        <v>1221</v>
      </c>
      <c r="C31" s="21" t="s">
        <v>1234</v>
      </c>
      <c r="D31" s="21" t="s">
        <v>1217</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1251</v>
      </c>
      <c r="B32" s="21" t="s">
        <v>1252</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1253</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1228</v>
      </c>
      <c r="B34" s="21" t="s">
        <v>1254</v>
      </c>
      <c r="C34" s="21" t="s">
        <v>1255</v>
      </c>
      <c r="D34" s="21" t="s">
        <v>1217</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1256</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1257</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1258</v>
      </c>
      <c r="B37" s="21" t="s">
        <v>1259</v>
      </c>
      <c r="C37" s="21" t="s">
        <v>1242</v>
      </c>
      <c r="D37" s="21" t="s">
        <v>1217</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1260</v>
      </c>
      <c r="B38" s="21" t="s">
        <v>1261</v>
      </c>
      <c r="C38" s="21" t="s">
        <v>1222</v>
      </c>
      <c r="D38" s="21" t="s">
        <v>1217</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1262</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row>
    <row r="41" spans="1:12">
      <c r="A41" s="20" t="s">
        <v>1263</v>
      </c>
    </row>
    <row r="42" spans="1:12">
      <c r="A42" s="20" t="s">
        <v>1264</v>
      </c>
      <c r="B42" s="21" t="s">
        <v>1215</v>
      </c>
      <c r="C42" s="21" t="s">
        <v>1255</v>
      </c>
      <c r="D42" s="21" t="s">
        <v>1217</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1265</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109</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1266</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1267</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1268</v>
      </c>
      <c r="B47" s="21" t="s">
        <v>1249</v>
      </c>
      <c r="C47" s="21" t="s">
        <v>1269</v>
      </c>
      <c r="D47" s="21" t="s">
        <v>1217</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1262</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row>
    <row r="50" spans="1:12">
      <c r="A50" s="20" t="s">
        <v>1270</v>
      </c>
    </row>
    <row r="51" spans="1:12">
      <c r="A51" s="20" t="s">
        <v>1271</v>
      </c>
      <c r="B51" s="21" t="s">
        <v>1215</v>
      </c>
      <c r="C51" s="21" t="s">
        <v>1255</v>
      </c>
      <c r="D51" s="21" t="s">
        <v>1217</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1272</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1273</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1274</v>
      </c>
      <c r="B54" s="21" t="s">
        <v>1275</v>
      </c>
      <c r="C54" s="21" t="s">
        <v>1276</v>
      </c>
      <c r="D54" s="21" t="s">
        <v>1217</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1277</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1278</v>
      </c>
      <c r="B56" s="21" t="s">
        <v>1221</v>
      </c>
      <c r="C56" s="21" t="s">
        <v>1279</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1245</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1280</v>
      </c>
      <c r="B58" s="21" t="s">
        <v>1226</v>
      </c>
      <c r="C58" s="21" t="s">
        <v>1242</v>
      </c>
      <c r="D58" s="21" t="s">
        <v>1217</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1281</v>
      </c>
      <c r="B59" s="21" t="s">
        <v>1224</v>
      </c>
      <c r="C59" s="21" t="s">
        <v>1222</v>
      </c>
      <c r="D59" s="21" t="s">
        <v>1217</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1282</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1251</v>
      </c>
      <c r="B61" s="21" t="s">
        <v>1283</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1266</v>
      </c>
      <c r="B62" s="21" t="s">
        <v>1237</v>
      </c>
      <c r="C62" s="21" t="s">
        <v>1255</v>
      </c>
      <c r="D62" s="21" t="s">
        <v>1217</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1284</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1245</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1285</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1286</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1245</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1287</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1247</v>
      </c>
      <c r="B69" s="21" t="s">
        <v>1259</v>
      </c>
      <c r="C69" s="21" t="s">
        <v>1242</v>
      </c>
      <c r="D69" s="21" t="s">
        <v>1217</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1288</v>
      </c>
      <c r="B70" s="21" t="s">
        <v>1254</v>
      </c>
      <c r="C70" s="21" t="s">
        <v>1222</v>
      </c>
      <c r="D70" s="21" t="s">
        <v>1217</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1277</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1286</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1278</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1289</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1245</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1241</v>
      </c>
      <c r="B76" s="21" t="s">
        <v>1224</v>
      </c>
      <c r="C76" s="21" t="s">
        <v>1242</v>
      </c>
      <c r="D76" s="21" t="s">
        <v>1217</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1290</v>
      </c>
      <c r="B77" s="21" t="s">
        <v>1221</v>
      </c>
      <c r="C77" s="21" t="s">
        <v>1222</v>
      </c>
      <c r="D77" s="21" t="s">
        <v>1217</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1291</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1277</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1251</v>
      </c>
      <c r="B80" s="21" t="s">
        <v>1252</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1266</v>
      </c>
      <c r="B81" s="21" t="s">
        <v>1292</v>
      </c>
      <c r="C81" s="21" t="s">
        <v>1255</v>
      </c>
      <c r="D81" s="21" t="s">
        <v>1217</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1293</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1245</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1225</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1294</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1295</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1296</v>
      </c>
      <c r="B87" s="21" t="s">
        <v>1254</v>
      </c>
      <c r="C87" s="21" t="s">
        <v>1297</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1262</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row>
    <row r="90" spans="1:12">
      <c r="A90" s="20" t="s">
        <v>1298</v>
      </c>
    </row>
    <row r="91" spans="1:12">
      <c r="A91" s="20" t="s">
        <v>1299</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1300</v>
      </c>
      <c r="B92" s="21" t="s">
        <v>1215</v>
      </c>
      <c r="C92" s="21" t="s">
        <v>1269</v>
      </c>
      <c r="D92" s="21" t="s">
        <v>1217</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1301</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1240</v>
      </c>
      <c r="B94" s="21" t="s">
        <v>1275</v>
      </c>
      <c r="C94" s="21" t="s">
        <v>1216</v>
      </c>
      <c r="D94" s="21" t="s">
        <v>1217</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1302</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1303</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1304</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1305</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1306</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1307</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1250</v>
      </c>
      <c r="B101" s="21" t="s">
        <v>1244</v>
      </c>
      <c r="C101" s="21" t="s">
        <v>1234</v>
      </c>
      <c r="D101" s="21" t="s">
        <v>1217</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1251</v>
      </c>
      <c r="B102" s="21" t="s">
        <v>1283</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1228</v>
      </c>
      <c r="B103" s="21" t="s">
        <v>1237</v>
      </c>
      <c r="C103" s="21" t="s">
        <v>1255</v>
      </c>
      <c r="D103" s="21" t="s">
        <v>1217</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1308</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1257</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1247</v>
      </c>
      <c r="B106" s="21" t="s">
        <v>1226</v>
      </c>
      <c r="C106" s="21" t="s">
        <v>1242</v>
      </c>
      <c r="D106" s="21" t="s">
        <v>1217</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1309</v>
      </c>
      <c r="B107" s="21" t="s">
        <v>1224</v>
      </c>
      <c r="C107" s="21" t="s">
        <v>1222</v>
      </c>
      <c r="D107" s="21" t="s">
        <v>1217</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1262</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row>
    <row r="110" spans="1:12">
      <c r="A110" s="20" t="s">
        <v>1310</v>
      </c>
    </row>
    <row r="111" spans="1:12">
      <c r="A111" s="20" t="s">
        <v>1311</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1312</v>
      </c>
      <c r="B112" s="21" t="s">
        <v>1221</v>
      </c>
      <c r="C112" s="21" t="s">
        <v>1242</v>
      </c>
      <c r="D112" s="21" t="s">
        <v>1217</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1313</v>
      </c>
      <c r="B113" s="21" t="s">
        <v>1244</v>
      </c>
      <c r="C113" s="21" t="s">
        <v>1222</v>
      </c>
      <c r="D113" s="21" t="s">
        <v>1217</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1277</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1314</v>
      </c>
      <c r="B115" s="21" t="s">
        <v>1215</v>
      </c>
      <c r="C115" s="21" t="s">
        <v>1255</v>
      </c>
      <c r="D115" s="21" t="s">
        <v>1217</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1240</v>
      </c>
      <c r="B116" s="21" t="s">
        <v>1275</v>
      </c>
      <c r="C116" s="21" t="s">
        <v>1216</v>
      </c>
      <c r="D116" s="21" t="s">
        <v>1217</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1315</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1316</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1317</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1277</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1318</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1319</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1320</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1321</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1322</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1323</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1324</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1325</v>
      </c>
      <c r="B128" s="21" t="s">
        <v>1221</v>
      </c>
      <c r="C128" s="21" t="s">
        <v>1269</v>
      </c>
      <c r="D128" s="21" t="s">
        <v>1217</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1240</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1326</v>
      </c>
      <c r="B130" s="21" t="s">
        <v>1224</v>
      </c>
      <c r="C130" s="21" t="s">
        <v>1279</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1321</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1327</v>
      </c>
      <c r="B132" s="21" t="s">
        <v>1224</v>
      </c>
      <c r="C132" s="21" t="s">
        <v>1255</v>
      </c>
      <c r="D132" s="21" t="s">
        <v>1217</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1328</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1277</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1329</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1330</v>
      </c>
      <c r="B136" s="21" t="s">
        <v>1244</v>
      </c>
      <c r="C136" s="21" t="s">
        <v>1276</v>
      </c>
      <c r="D136" s="21" t="s">
        <v>1217</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1331</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1277</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1257</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1228</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1332</v>
      </c>
      <c r="B141" s="21" t="s">
        <v>1244</v>
      </c>
      <c r="C141" s="21" t="s">
        <v>1269</v>
      </c>
      <c r="D141" s="21" t="s">
        <v>1217</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1262</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row>
    <row r="144" spans="1:12">
      <c r="A144" s="20" t="s">
        <v>1333</v>
      </c>
    </row>
    <row r="145" spans="1:12">
      <c r="A145" s="20" t="s">
        <v>1334</v>
      </c>
      <c r="B145" s="21" t="s">
        <v>1215</v>
      </c>
      <c r="C145" s="21" t="s">
        <v>1255</v>
      </c>
      <c r="D145" s="21" t="s">
        <v>1217</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1335</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1336</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1266</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1337</v>
      </c>
      <c r="B149" s="21" t="s">
        <v>1244</v>
      </c>
      <c r="C149" s="21" t="s">
        <v>1269</v>
      </c>
      <c r="D149" s="21" t="s">
        <v>1217</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1218</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1338</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1323</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1339</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1340</v>
      </c>
      <c r="B154" s="21" t="s">
        <v>1249</v>
      </c>
      <c r="C154" s="21" t="s">
        <v>1269</v>
      </c>
      <c r="D154" s="21" t="s">
        <v>1217</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1341</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row>
    <row r="157" spans="1:12">
      <c r="A157" s="20" t="s">
        <v>1342</v>
      </c>
    </row>
    <row r="158" spans="1:12">
      <c r="A158" s="20" t="s">
        <v>1327</v>
      </c>
      <c r="B158" s="21" t="s">
        <v>1215</v>
      </c>
      <c r="C158" s="21" t="s">
        <v>1255</v>
      </c>
      <c r="D158" s="21" t="s">
        <v>1217</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1343</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1344</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1345</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1346</v>
      </c>
      <c r="B162" s="21" t="s">
        <v>1224</v>
      </c>
      <c r="C162" s="21" t="s">
        <v>1242</v>
      </c>
      <c r="D162" s="21" t="s">
        <v>1217</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1267</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1347</v>
      </c>
      <c r="B164" s="21" t="s">
        <v>1249</v>
      </c>
      <c r="C164" s="21" t="s">
        <v>1222</v>
      </c>
      <c r="D164" s="21" t="s">
        <v>1217</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1277</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1286</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548</v>
      </c>
      <c r="B167" s="21" t="s">
        <v>1229</v>
      </c>
      <c r="C167" s="21" t="s">
        <v>1225</v>
      </c>
      <c r="D167" s="21" t="s">
        <v>1217</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1225</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1327</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1348</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1349</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1350</v>
      </c>
      <c r="B172" s="21" t="s">
        <v>1237</v>
      </c>
      <c r="C172" s="21" t="s">
        <v>1216</v>
      </c>
      <c r="D172" s="21" t="s">
        <v>1217</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1351</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1262</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row>
    <row r="176" spans="1:12">
      <c r="A176" s="20" t="s">
        <v>1352</v>
      </c>
    </row>
    <row r="177" spans="1:12">
      <c r="A177" s="20" t="s">
        <v>1353</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1354</v>
      </c>
      <c r="B178" s="21" t="s">
        <v>1221</v>
      </c>
      <c r="C178" s="21" t="s">
        <v>1279</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1355</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1356</v>
      </c>
      <c r="B180" s="21" t="s">
        <v>1215</v>
      </c>
      <c r="C180" s="21" t="s">
        <v>1255</v>
      </c>
      <c r="D180" s="21" t="s">
        <v>1217</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1357</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1329</v>
      </c>
      <c r="B182" s="21" t="s">
        <v>1249</v>
      </c>
      <c r="C182" s="21" t="s">
        <v>1234</v>
      </c>
      <c r="D182" s="21" t="s">
        <v>1217</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1358</v>
      </c>
      <c r="B183" s="21" t="s">
        <v>1254</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565</v>
      </c>
      <c r="B184" s="21" t="s">
        <v>1252</v>
      </c>
      <c r="C184" s="21" t="s">
        <v>1255</v>
      </c>
      <c r="D184" s="21" t="s">
        <v>1217</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1359</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1145</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1262</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row>
    <row r="189" spans="1:12">
      <c r="A189" s="20" t="s">
        <v>1360</v>
      </c>
    </row>
    <row r="190" spans="1:12">
      <c r="A190" s="20" t="s">
        <v>1361</v>
      </c>
      <c r="B190" s="21" t="s">
        <v>1215</v>
      </c>
      <c r="C190" s="21" t="s">
        <v>1255</v>
      </c>
      <c r="D190" s="21" t="s">
        <v>1217</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1362</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1363</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1364</v>
      </c>
      <c r="B193" s="21" t="s">
        <v>1244</v>
      </c>
      <c r="C193" s="21" t="s">
        <v>1279</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1277</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1365</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1266</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1366</v>
      </c>
      <c r="B197" s="21" t="s">
        <v>1229</v>
      </c>
      <c r="C197" s="21" t="s">
        <v>1269</v>
      </c>
      <c r="D197" s="21" t="s">
        <v>1217</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1367</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1251</v>
      </c>
      <c r="B199" s="21" t="s">
        <v>1252</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1327</v>
      </c>
      <c r="B200" s="21" t="s">
        <v>1292</v>
      </c>
      <c r="C200" s="21" t="s">
        <v>1255</v>
      </c>
      <c r="D200" s="21" t="s">
        <v>1217</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1368</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1266</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1369</v>
      </c>
      <c r="B203" s="21" t="s">
        <v>1292</v>
      </c>
      <c r="C203" s="21" t="s">
        <v>1269</v>
      </c>
      <c r="D203" s="21" t="s">
        <v>1217</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1286</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1219</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1370</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1371</v>
      </c>
      <c r="B207" s="21" t="s">
        <v>1261</v>
      </c>
      <c r="C207" s="21" t="s">
        <v>1269</v>
      </c>
      <c r="D207" s="21" t="s">
        <v>1217</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1251</v>
      </c>
      <c r="B208" s="21" t="s">
        <v>1372</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1373</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1374</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1218</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1375</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1376</v>
      </c>
      <c r="B213" s="21" t="s">
        <v>1377</v>
      </c>
      <c r="C213" s="21" t="s">
        <v>1297</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1218</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1228</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1378</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1379</v>
      </c>
      <c r="B217" s="21" t="s">
        <v>1380</v>
      </c>
      <c r="C217" s="21" t="s">
        <v>1269</v>
      </c>
      <c r="D217" s="21" t="s">
        <v>1217</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1381</v>
      </c>
      <c r="B218" s="21" t="s">
        <v>1249</v>
      </c>
      <c r="C218" s="21" t="s">
        <v>1255</v>
      </c>
      <c r="D218" s="21" t="s">
        <v>1217</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1382</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1321</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1327</v>
      </c>
      <c r="B221" s="21" t="s">
        <v>1283</v>
      </c>
      <c r="C221" s="21" t="s">
        <v>1255</v>
      </c>
      <c r="D221" s="21" t="s">
        <v>1217</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1383</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1218</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1384</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1336</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1323</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1385</v>
      </c>
      <c r="B227" s="21" t="s">
        <v>1224</v>
      </c>
      <c r="C227" s="21" t="s">
        <v>1269</v>
      </c>
      <c r="D227" s="21" t="s">
        <v>1217</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1262</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row>
    <row r="230" spans="1:12">
      <c r="A230" s="20" t="s">
        <v>1386</v>
      </c>
    </row>
    <row r="231" spans="1:12">
      <c r="A231" s="20" t="s">
        <v>1387</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1388</v>
      </c>
      <c r="B232" s="21" t="s">
        <v>1244</v>
      </c>
      <c r="C232" s="21" t="s">
        <v>1297</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1218</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1389</v>
      </c>
      <c r="B234" s="21" t="s">
        <v>1221</v>
      </c>
      <c r="C234" s="21" t="s">
        <v>1279</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1277</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1375</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1390</v>
      </c>
      <c r="B237" s="21" t="s">
        <v>1215</v>
      </c>
      <c r="C237" s="21" t="s">
        <v>1297</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1218</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1219</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1391</v>
      </c>
      <c r="B240" s="21" t="s">
        <v>1221</v>
      </c>
      <c r="C240" s="21" t="s">
        <v>1269</v>
      </c>
      <c r="D240" s="21" t="s">
        <v>1217</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1327</v>
      </c>
      <c r="B241" s="21" t="s">
        <v>1215</v>
      </c>
      <c r="C241" s="21" t="s">
        <v>1255</v>
      </c>
      <c r="D241" s="21" t="s">
        <v>1217</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1392</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1393</v>
      </c>
      <c r="B243" s="21" t="s">
        <v>1275</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1218</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1346</v>
      </c>
      <c r="B245" s="21" t="s">
        <v>1224</v>
      </c>
      <c r="C245" s="21" t="s">
        <v>1242</v>
      </c>
      <c r="D245" s="21" t="s">
        <v>1217</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1394</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1395</v>
      </c>
      <c r="B247" s="21" t="s">
        <v>1221</v>
      </c>
      <c r="C247" s="21" t="s">
        <v>1222</v>
      </c>
      <c r="D247" s="21" t="s">
        <v>1217</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1262</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row>
    <row r="250" spans="1:12">
      <c r="A250" s="20" t="s">
        <v>1396</v>
      </c>
    </row>
    <row r="251" spans="1:12">
      <c r="A251" s="20" t="s">
        <v>1397</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1398</v>
      </c>
      <c r="B252" s="21" t="s">
        <v>1215</v>
      </c>
      <c r="C252" s="21" t="s">
        <v>1269</v>
      </c>
      <c r="D252" s="21" t="s">
        <v>1217</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1218</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1266</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1399</v>
      </c>
      <c r="B255" s="21" t="s">
        <v>1221</v>
      </c>
      <c r="C255" s="21" t="s">
        <v>1269</v>
      </c>
      <c r="D255" s="21" t="s">
        <v>1217</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1373</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1400</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1245</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1401</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1402</v>
      </c>
      <c r="B260" s="21" t="s">
        <v>1244</v>
      </c>
      <c r="C260" s="21" t="s">
        <v>1297</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1218</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1403</v>
      </c>
      <c r="B262" s="21" t="s">
        <v>1221</v>
      </c>
      <c r="C262" s="21" t="s">
        <v>1279</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1404</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1277</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1286</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1327</v>
      </c>
      <c r="B266" s="21" t="s">
        <v>1229</v>
      </c>
      <c r="C266" s="21" t="s">
        <v>1255</v>
      </c>
      <c r="D266" s="21" t="s">
        <v>1217</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1225</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1405</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1321</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1218</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1406</v>
      </c>
      <c r="B271" s="21" t="s">
        <v>1221</v>
      </c>
      <c r="C271" s="21" t="s">
        <v>1279</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1407</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1277</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1408</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1321</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1409</v>
      </c>
      <c r="B276" s="21" t="s">
        <v>1226</v>
      </c>
      <c r="C276" s="21" t="s">
        <v>1242</v>
      </c>
      <c r="D276" s="21" t="s">
        <v>1217</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1410</v>
      </c>
      <c r="B277" s="21" t="s">
        <v>1283</v>
      </c>
      <c r="C277" s="21" t="s">
        <v>1222</v>
      </c>
      <c r="D277" s="21" t="s">
        <v>1217</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1411</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1412</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1266</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1413</v>
      </c>
      <c r="B281" s="21" t="s">
        <v>1224</v>
      </c>
      <c r="C281" s="21" t="s">
        <v>1269</v>
      </c>
      <c r="D281" s="21" t="s">
        <v>1217</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1218</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1228</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1414</v>
      </c>
      <c r="B284" s="21" t="s">
        <v>1226</v>
      </c>
      <c r="C284" s="21" t="s">
        <v>1269</v>
      </c>
      <c r="D284" s="21" t="s">
        <v>1217</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1286</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1218</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1228</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1415</v>
      </c>
      <c r="B288" s="21" t="s">
        <v>1261</v>
      </c>
      <c r="C288" s="21" t="s">
        <v>1269</v>
      </c>
      <c r="D288" s="21" t="s">
        <v>1217</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1262</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row>
    <row r="291" spans="1:12">
      <c r="A291" s="20" t="s">
        <v>1416</v>
      </c>
    </row>
    <row r="292" spans="1:12">
      <c r="A292" s="20" t="s">
        <v>1417</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1273</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1324</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1418</v>
      </c>
      <c r="B295" s="21" t="s">
        <v>1244</v>
      </c>
      <c r="C295" s="21" t="s">
        <v>1276</v>
      </c>
      <c r="D295" s="21" t="s">
        <v>1217</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1277</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1419</v>
      </c>
      <c r="B297" s="21" t="s">
        <v>1215</v>
      </c>
      <c r="C297" s="21" t="s">
        <v>1255</v>
      </c>
      <c r="D297" s="21" t="s">
        <v>1217</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1420</v>
      </c>
      <c r="B298" s="21" t="s">
        <v>1275</v>
      </c>
      <c r="C298" s="21" t="s">
        <v>1255</v>
      </c>
      <c r="D298" s="21" t="s">
        <v>1217</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1421</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1422</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1245</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1323</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1423</v>
      </c>
      <c r="B303" s="21" t="s">
        <v>1221</v>
      </c>
      <c r="C303" s="21" t="s">
        <v>1269</v>
      </c>
      <c r="D303" s="21" t="s">
        <v>1217</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1218</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1323</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1424</v>
      </c>
      <c r="B306" s="21" t="s">
        <v>1224</v>
      </c>
      <c r="C306" s="21" t="s">
        <v>1222</v>
      </c>
      <c r="D306" s="21" t="s">
        <v>1217</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1218</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1425</v>
      </c>
      <c r="B308" s="21" t="s">
        <v>1226</v>
      </c>
      <c r="C308" s="21" t="s">
        <v>1225</v>
      </c>
      <c r="D308" s="21" t="s">
        <v>1217</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1286</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1240</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1426</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1321</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1327</v>
      </c>
      <c r="B313" s="21" t="s">
        <v>1252</v>
      </c>
      <c r="C313" s="21" t="s">
        <v>1255</v>
      </c>
      <c r="D313" s="21" t="s">
        <v>1217</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1327</v>
      </c>
      <c r="B314" s="21" t="s">
        <v>1292</v>
      </c>
      <c r="C314" s="21" t="s">
        <v>1255</v>
      </c>
      <c r="D314" s="21" t="s">
        <v>1217</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1427</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1428</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1266</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1429</v>
      </c>
      <c r="B318" s="21" t="s">
        <v>1226</v>
      </c>
      <c r="C318" s="21" t="s">
        <v>1269</v>
      </c>
      <c r="D318" s="21" t="s">
        <v>1217</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1262</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row>
    <row r="321" spans="1:12">
      <c r="A321" s="20" t="s">
        <v>1430</v>
      </c>
    </row>
    <row r="322" spans="1:12">
      <c r="A322" s="20" t="s">
        <v>1353</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1266</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1431</v>
      </c>
      <c r="B324" s="21" t="s">
        <v>1244</v>
      </c>
      <c r="C324" s="21" t="s">
        <v>1269</v>
      </c>
      <c r="D324" s="21" t="s">
        <v>1217</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1218</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1327</v>
      </c>
      <c r="B326" s="21" t="s">
        <v>1237</v>
      </c>
      <c r="C326" s="21" t="s">
        <v>1255</v>
      </c>
      <c r="D326" s="21" t="s">
        <v>1217</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1432</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1245</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1228</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1433</v>
      </c>
      <c r="B330" s="21" t="s">
        <v>1224</v>
      </c>
      <c r="C330" s="21" t="s">
        <v>1269</v>
      </c>
      <c r="D330" s="21" t="s">
        <v>1217</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1434</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1277</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1327</v>
      </c>
      <c r="B333" s="21" t="s">
        <v>1215</v>
      </c>
      <c r="C333" s="21" t="s">
        <v>1255</v>
      </c>
      <c r="D333" s="21" t="s">
        <v>1217</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1435</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1436</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1245</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1323</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1437</v>
      </c>
      <c r="B338" s="21" t="s">
        <v>1244</v>
      </c>
      <c r="C338" s="21" t="s">
        <v>1269</v>
      </c>
      <c r="D338" s="21" t="s">
        <v>1217</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1218</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1228</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1438</v>
      </c>
      <c r="B341" s="21" t="s">
        <v>1221</v>
      </c>
      <c r="C341" s="21" t="s">
        <v>1269</v>
      </c>
      <c r="D341" s="21" t="s">
        <v>1217</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1262</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row>
    <row r="344" spans="1:12">
      <c r="A344" s="20" t="s">
        <v>1439</v>
      </c>
    </row>
    <row r="345" spans="1:12">
      <c r="A345" s="20" t="s">
        <v>1440</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1277</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1223</v>
      </c>
      <c r="B347" s="21" t="s">
        <v>1215</v>
      </c>
      <c r="C347" s="21" t="s">
        <v>1225</v>
      </c>
      <c r="D347" s="21" t="s">
        <v>1217</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548</v>
      </c>
      <c r="B348" s="21" t="s">
        <v>1221</v>
      </c>
      <c r="C348" s="21" t="s">
        <v>1225</v>
      </c>
      <c r="D348" s="21" t="s">
        <v>1217</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1441</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1266</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1442</v>
      </c>
      <c r="B351" s="21" t="s">
        <v>1275</v>
      </c>
      <c r="C351" s="21" t="s">
        <v>1269</v>
      </c>
      <c r="D351" s="21" t="s">
        <v>1217</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1277</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1286</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1443</v>
      </c>
      <c r="B354" s="21" t="s">
        <v>1249</v>
      </c>
      <c r="C354" s="21" t="s">
        <v>1255</v>
      </c>
      <c r="D354" s="21" t="s">
        <v>1217</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1444</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1218</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561</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1445</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1245</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1446</v>
      </c>
      <c r="B360" s="21" t="s">
        <v>1224</v>
      </c>
      <c r="C360" s="21" t="s">
        <v>1225</v>
      </c>
      <c r="D360" s="21" t="s">
        <v>1217</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1447</v>
      </c>
      <c r="B361" s="21" t="s">
        <v>1226</v>
      </c>
      <c r="C361" s="21" t="s">
        <v>1225</v>
      </c>
      <c r="D361" s="21" t="s">
        <v>1217</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1262</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row>
    <row r="364" spans="1:12">
      <c r="A364" s="20" t="s">
        <v>1448</v>
      </c>
    </row>
    <row r="365" spans="1:12">
      <c r="A365" s="20" t="s">
        <v>1334</v>
      </c>
      <c r="B365" s="21" t="s">
        <v>1215</v>
      </c>
      <c r="C365" s="21" t="s">
        <v>1255</v>
      </c>
      <c r="D365" s="21" t="s">
        <v>1217</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1327</v>
      </c>
      <c r="B366" s="21" t="s">
        <v>1275</v>
      </c>
      <c r="C366" s="21" t="s">
        <v>1255</v>
      </c>
      <c r="D366" s="21" t="s">
        <v>1217</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1449</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1428</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1450</v>
      </c>
      <c r="B369" s="21" t="s">
        <v>1244</v>
      </c>
      <c r="C369" s="21" t="s">
        <v>1225</v>
      </c>
      <c r="D369" s="21" t="s">
        <v>1217</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1451</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1262</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row>
    <row r="373" spans="1:12">
      <c r="A373" s="20" t="s">
        <v>1452</v>
      </c>
    </row>
    <row r="374" spans="1:12">
      <c r="A374" s="20" t="s">
        <v>1453</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1454</v>
      </c>
      <c r="B375" s="21" t="s">
        <v>1215</v>
      </c>
      <c r="C375" s="21" t="s">
        <v>1255</v>
      </c>
      <c r="D375" s="21" t="s">
        <v>1217</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1455</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1277</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1456</v>
      </c>
      <c r="B378" s="21" t="s">
        <v>1221</v>
      </c>
      <c r="C378" s="21" t="s">
        <v>1225</v>
      </c>
      <c r="D378" s="21" t="s">
        <v>1217</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1457</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135</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1458</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1312</v>
      </c>
      <c r="B382" s="21" t="s">
        <v>1221</v>
      </c>
      <c r="C382" s="21" t="s">
        <v>1242</v>
      </c>
      <c r="D382" s="21" t="s">
        <v>1217</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1459</v>
      </c>
      <c r="B383" s="21" t="s">
        <v>1275</v>
      </c>
      <c r="C383" s="21" t="s">
        <v>1222</v>
      </c>
      <c r="D383" s="21" t="s">
        <v>1217</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1262</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row>
    <row r="386" spans="1:12">
      <c r="A386" s="20" t="s">
        <v>1460</v>
      </c>
    </row>
    <row r="387" spans="1:12">
      <c r="A387" s="20" t="s">
        <v>1299</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1461</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85</v>
      </c>
      <c r="B389" s="21" t="s">
        <v>1244</v>
      </c>
      <c r="C389" s="21" t="s">
        <v>1269</v>
      </c>
      <c r="D389" s="21" t="s">
        <v>1217</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1462</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1262</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row>
    <row r="393" spans="1:12">
      <c r="A393" s="20" t="s">
        <v>1463</v>
      </c>
    </row>
    <row r="394" spans="1:12">
      <c r="A394" s="20" t="s">
        <v>1453</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1464</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1321</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1314</v>
      </c>
      <c r="B397" s="21" t="s">
        <v>1229</v>
      </c>
      <c r="C397" s="21" t="s">
        <v>1255</v>
      </c>
      <c r="D397" s="21" t="s">
        <v>1217</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1465</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1235</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1466</v>
      </c>
      <c r="B400" s="21" t="s">
        <v>1249</v>
      </c>
      <c r="C400" s="21" t="s">
        <v>1238</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1277</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1351</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1467</v>
      </c>
      <c r="B403" s="21" t="s">
        <v>1283</v>
      </c>
      <c r="C403" s="21" t="s">
        <v>1255</v>
      </c>
      <c r="D403" s="21" t="s">
        <v>1217</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1277</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1314</v>
      </c>
      <c r="B405" s="21" t="s">
        <v>1283</v>
      </c>
      <c r="C405" s="21" t="s">
        <v>1255</v>
      </c>
      <c r="D405" s="21" t="s">
        <v>1217</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1468</v>
      </c>
      <c r="B406" s="21" t="s">
        <v>1237</v>
      </c>
      <c r="C406" s="21" t="s">
        <v>1216</v>
      </c>
      <c r="D406" s="21" t="s">
        <v>1217</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1469</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1470</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1471</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1472</v>
      </c>
      <c r="B410" s="21" t="s">
        <v>1292</v>
      </c>
      <c r="C410" s="21" t="s">
        <v>1238</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1277</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1286</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1289</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1473</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1321</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1314</v>
      </c>
      <c r="B416" s="21" t="s">
        <v>1252</v>
      </c>
      <c r="C416" s="21" t="s">
        <v>1255</v>
      </c>
      <c r="D416" s="21" t="s">
        <v>1217</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1465</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1471</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1472</v>
      </c>
      <c r="B419" s="21" t="s">
        <v>1292</v>
      </c>
      <c r="C419" s="21" t="s">
        <v>1238</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1277</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565</v>
      </c>
      <c r="B421" s="21" t="s">
        <v>1215</v>
      </c>
      <c r="C421" s="21" t="s">
        <v>1255</v>
      </c>
      <c r="D421" s="21" t="s">
        <v>1217</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1474</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1475</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1476</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323</v>
      </c>
      <c r="B425" s="21" t="s">
        <v>1275</v>
      </c>
      <c r="C425" s="21" t="s">
        <v>1297</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1477</v>
      </c>
      <c r="B426" s="21" t="s">
        <v>1221</v>
      </c>
      <c r="C426" s="21" t="s">
        <v>1279</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1262</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row>
    <row r="429" spans="1:12">
      <c r="A429" s="20" t="s">
        <v>1478</v>
      </c>
    </row>
    <row r="430" spans="1:12">
      <c r="A430" s="20" t="s">
        <v>16</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16</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16</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1479</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1262</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row>
    <row r="436" spans="1:12">
      <c r="A436" s="20" t="s">
        <v>1480</v>
      </c>
    </row>
    <row r="437" spans="1:12">
      <c r="A437" s="20" t="s">
        <v>1334</v>
      </c>
      <c r="B437" s="21" t="s">
        <v>1215</v>
      </c>
      <c r="C437" s="21" t="s">
        <v>1255</v>
      </c>
      <c r="D437" s="21" t="s">
        <v>1217</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1481</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1482</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1483</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1307</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1401</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1484</v>
      </c>
      <c r="B443" s="21" t="s">
        <v>1244</v>
      </c>
      <c r="C443" s="21" t="s">
        <v>1297</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1277</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1485</v>
      </c>
      <c r="B445" s="21" t="s">
        <v>1221</v>
      </c>
      <c r="C445" s="21" t="s">
        <v>1225</v>
      </c>
      <c r="D445" s="21" t="s">
        <v>1217</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1286</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1486</v>
      </c>
      <c r="B447" s="21" t="s">
        <v>1221</v>
      </c>
      <c r="C447" s="21" t="s">
        <v>1216</v>
      </c>
      <c r="D447" s="21" t="s">
        <v>1217</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1262</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row>
    <row r="450" spans="1:12">
      <c r="A450" s="20" t="s">
        <v>1487</v>
      </c>
    </row>
    <row r="451" spans="1:12">
      <c r="A451" s="20" t="s">
        <v>16</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16</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16</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1488</v>
      </c>
      <c r="B454" s="21" t="s">
        <v>1229</v>
      </c>
      <c r="C454" s="21" t="s">
        <v>1255</v>
      </c>
      <c r="D454" s="21" t="s">
        <v>1217</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1489</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1490</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1491</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1277</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1492</v>
      </c>
      <c r="B459" s="21" t="s">
        <v>1215</v>
      </c>
      <c r="C459" s="21" t="s">
        <v>1279</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548</v>
      </c>
      <c r="B460" s="21" t="s">
        <v>1221</v>
      </c>
      <c r="C460" s="21" t="s">
        <v>1225</v>
      </c>
      <c r="D460" s="21" t="s">
        <v>1217</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1277</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1493</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1456</v>
      </c>
      <c r="B463" s="21" t="s">
        <v>1275</v>
      </c>
      <c r="C463" s="21" t="s">
        <v>1225</v>
      </c>
      <c r="D463" s="21" t="s">
        <v>1217</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1262</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row>
    <row r="466" spans="1:12">
      <c r="A466" s="20" t="s">
        <v>1494</v>
      </c>
    </row>
    <row r="467" spans="1:12">
      <c r="A467" s="20" t="s">
        <v>1495</v>
      </c>
      <c r="B467" s="21" t="s">
        <v>1215</v>
      </c>
      <c r="C467" s="21" t="s">
        <v>1496</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1497</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1498</v>
      </c>
      <c r="B469" s="21" t="s">
        <v>1249</v>
      </c>
      <c r="C469" s="21" t="s">
        <v>1255</v>
      </c>
      <c r="D469" s="21" t="s">
        <v>1217</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1145</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1457</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row>
    <row r="473" spans="1:12">
      <c r="A473" s="20" t="s">
        <v>1499</v>
      </c>
    </row>
    <row r="474" spans="1:12">
      <c r="A474" s="20" t="s">
        <v>16</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16</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1500</v>
      </c>
      <c r="B476" s="21" t="s">
        <v>1244</v>
      </c>
      <c r="C476" s="21" t="s">
        <v>1225</v>
      </c>
      <c r="D476" s="21" t="s">
        <v>1217</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1262</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row>
    <row r="479" spans="1:12">
      <c r="A479" s="20" t="s">
        <v>1501</v>
      </c>
    </row>
    <row r="480" spans="1:12">
      <c r="A480" s="20" t="s">
        <v>16</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16</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1502</v>
      </c>
      <c r="B482" s="21" t="s">
        <v>1244</v>
      </c>
      <c r="C482" s="21" t="s">
        <v>1225</v>
      </c>
      <c r="D482" s="21" t="s">
        <v>1217</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1503</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row>
    <row r="485" spans="1:12">
      <c r="A485" s="20" t="s">
        <v>1504</v>
      </c>
    </row>
    <row r="486" spans="1:12">
      <c r="A486" s="20" t="s">
        <v>1228</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1505</v>
      </c>
      <c r="B487" s="21" t="s">
        <v>1229</v>
      </c>
      <c r="C487" s="21" t="s">
        <v>1269</v>
      </c>
      <c r="D487" s="21" t="s">
        <v>1217</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1225</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1420</v>
      </c>
      <c r="B489" s="21" t="s">
        <v>1249</v>
      </c>
      <c r="C489" s="21" t="s">
        <v>1255</v>
      </c>
      <c r="D489" s="21" t="s">
        <v>1217</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1506</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1303</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1507</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1277</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1508</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1266</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85</v>
      </c>
      <c r="B496" s="21" t="s">
        <v>1215</v>
      </c>
      <c r="C496" s="21" t="s">
        <v>1269</v>
      </c>
      <c r="D496" s="21" t="s">
        <v>1217</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1277</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1240</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1509</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1245</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1228</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1510</v>
      </c>
      <c r="B502" s="21" t="s">
        <v>1221</v>
      </c>
      <c r="C502" s="21" t="s">
        <v>1269</v>
      </c>
      <c r="D502" s="21" t="s">
        <v>1217</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1218</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1219</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1511</v>
      </c>
      <c r="B505" s="21" t="s">
        <v>1224</v>
      </c>
      <c r="C505" s="21" t="s">
        <v>1269</v>
      </c>
      <c r="D505" s="21" t="s">
        <v>1217</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1370</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1218</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1323</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1512</v>
      </c>
      <c r="B509" s="21" t="s">
        <v>1226</v>
      </c>
      <c r="C509" s="21" t="s">
        <v>1269</v>
      </c>
      <c r="D509" s="21" t="s">
        <v>1217</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1286</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1218</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1228</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1513</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1514</v>
      </c>
      <c r="B514" s="21" t="s">
        <v>1261</v>
      </c>
      <c r="C514" s="21" t="s">
        <v>1269</v>
      </c>
      <c r="D514" s="21" t="s">
        <v>1217</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1218</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1515</v>
      </c>
      <c r="B516" s="21" t="s">
        <v>1259</v>
      </c>
      <c r="C516" s="21" t="s">
        <v>1279</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1251</v>
      </c>
      <c r="B517" s="21" t="s">
        <v>1516</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1517</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1323</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1518</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1519</v>
      </c>
      <c r="B521" s="21" t="s">
        <v>1254</v>
      </c>
      <c r="C521" s="21" t="s">
        <v>1222</v>
      </c>
      <c r="D521" s="21" t="s">
        <v>1217</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1218</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1520</v>
      </c>
      <c r="B523" s="21" t="s">
        <v>1259</v>
      </c>
      <c r="C523" s="21" t="s">
        <v>1225</v>
      </c>
      <c r="D523" s="21" t="s">
        <v>1217</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1262</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row>
    <row r="526" spans="1:12">
      <c r="A526" s="20" t="s">
        <v>1521</v>
      </c>
    </row>
    <row r="527" spans="1:12">
      <c r="A527" s="20" t="s">
        <v>1361</v>
      </c>
      <c r="B527" s="21" t="s">
        <v>1215</v>
      </c>
      <c r="C527" s="21" t="s">
        <v>1255</v>
      </c>
      <c r="D527" s="21" t="s">
        <v>1217</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1522</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1523</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1524</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1327</v>
      </c>
      <c r="B531" s="21" t="s">
        <v>1221</v>
      </c>
      <c r="C531" s="21" t="s">
        <v>1255</v>
      </c>
      <c r="D531" s="21" t="s">
        <v>1217</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1219</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1525</v>
      </c>
      <c r="B533" s="21" t="s">
        <v>1249</v>
      </c>
      <c r="C533" s="21" t="s">
        <v>1269</v>
      </c>
      <c r="D533" s="21" t="s">
        <v>1217</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1526</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1471</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1424</v>
      </c>
      <c r="B536" s="21" t="s">
        <v>1224</v>
      </c>
      <c r="C536" s="21" t="s">
        <v>1238</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1262</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row>
    <row r="539" spans="1:12">
      <c r="A539" s="20" t="s">
        <v>1527</v>
      </c>
    </row>
    <row r="540" spans="1:12">
      <c r="A540" s="20" t="s">
        <v>16</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16</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row>
    <row r="543" spans="1:12">
      <c r="A543" s="20" t="s">
        <v>1528</v>
      </c>
    </row>
    <row r="544" spans="1:12">
      <c r="A544" s="20" t="s">
        <v>1529</v>
      </c>
      <c r="B544" s="21" t="s">
        <v>1229</v>
      </c>
      <c r="C544" s="21" t="s">
        <v>1234</v>
      </c>
      <c r="D544" s="21" t="s">
        <v>1217</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1530</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1450</v>
      </c>
      <c r="B546" s="21" t="s">
        <v>1215</v>
      </c>
      <c r="C546" s="21" t="s">
        <v>1225</v>
      </c>
      <c r="D546" s="21" t="s">
        <v>1217</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1451</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1277</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1266</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1531</v>
      </c>
      <c r="B550" s="21" t="s">
        <v>1221</v>
      </c>
      <c r="C550" s="21" t="s">
        <v>1222</v>
      </c>
      <c r="D550" s="21" t="s">
        <v>1217</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1218</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1346</v>
      </c>
      <c r="B552" s="21" t="s">
        <v>1226</v>
      </c>
      <c r="C552" s="21" t="s">
        <v>1242</v>
      </c>
      <c r="D552" s="21" t="s">
        <v>1217</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1532</v>
      </c>
      <c r="B553" s="21" t="s">
        <v>1224</v>
      </c>
      <c r="C553" s="21" t="s">
        <v>1222</v>
      </c>
      <c r="D553" s="21" t="s">
        <v>1217</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1277</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126</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548</v>
      </c>
      <c r="B556" s="21" t="s">
        <v>1275</v>
      </c>
      <c r="C556" s="21" t="s">
        <v>1225</v>
      </c>
      <c r="D556" s="21" t="s">
        <v>1217</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1262</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row>
    <row r="559" spans="1:12">
      <c r="A559" s="20" t="s">
        <v>1533</v>
      </c>
    </row>
    <row r="560" spans="1:12">
      <c r="A560" s="20" t="s">
        <v>1361</v>
      </c>
      <c r="B560" s="21" t="s">
        <v>1215</v>
      </c>
      <c r="C560" s="21" t="s">
        <v>1255</v>
      </c>
      <c r="D560" s="21" t="s">
        <v>1217</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1534</v>
      </c>
      <c r="B561" s="21" t="s">
        <v>1275</v>
      </c>
      <c r="C561" s="21" t="s">
        <v>1255</v>
      </c>
      <c r="D561" s="21" t="s">
        <v>1217</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1535</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1218</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1536</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1336</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1323</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1537</v>
      </c>
      <c r="B567" s="21" t="s">
        <v>1221</v>
      </c>
      <c r="C567" s="21" t="s">
        <v>1269</v>
      </c>
      <c r="D567" s="21" t="s">
        <v>1217</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1218</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1219</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1538</v>
      </c>
      <c r="B570" s="21" t="s">
        <v>1224</v>
      </c>
      <c r="C570" s="21" t="s">
        <v>1269</v>
      </c>
      <c r="D570" s="21" t="s">
        <v>1217</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1286</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1218</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1225</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228</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1358</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1245</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1539</v>
      </c>
      <c r="B577" s="21" t="s">
        <v>1224</v>
      </c>
      <c r="C577" s="21" t="s">
        <v>1279</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1540</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1541</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1262</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row>
    <row r="582" spans="1:12">
      <c r="A582" s="20" t="s">
        <v>1542</v>
      </c>
    </row>
    <row r="583" spans="1:12">
      <c r="A583" s="20" t="s">
        <v>135</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row>
    <row r="585" spans="1:12">
      <c r="A585" s="20" t="s">
        <v>1543</v>
      </c>
    </row>
    <row r="586" spans="1:12">
      <c r="A586" s="20" t="s">
        <v>1334</v>
      </c>
      <c r="B586" s="21" t="s">
        <v>1215</v>
      </c>
      <c r="C586" s="21" t="s">
        <v>1255</v>
      </c>
      <c r="D586" s="21" t="s">
        <v>1217</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1544</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1266</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139</v>
      </c>
      <c r="B589" s="21" t="s">
        <v>1244</v>
      </c>
      <c r="C589" s="21" t="s">
        <v>1269</v>
      </c>
      <c r="D589" s="21" t="s">
        <v>1217</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1251</v>
      </c>
      <c r="B590" s="21" t="s">
        <v>1229</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1545</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1245</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1323</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1546</v>
      </c>
      <c r="B594" s="21" t="s">
        <v>1221</v>
      </c>
      <c r="C594" s="21" t="s">
        <v>1222</v>
      </c>
      <c r="D594" s="21" t="s">
        <v>1217</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1218</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1219</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1547</v>
      </c>
      <c r="B597" s="21" t="s">
        <v>1224</v>
      </c>
      <c r="C597" s="21" t="s">
        <v>1225</v>
      </c>
      <c r="D597" s="21" t="s">
        <v>1217</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1341</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1318</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1277</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1245</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1548</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1549</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1550</v>
      </c>
      <c r="B604" s="21" t="s">
        <v>1221</v>
      </c>
      <c r="C604" s="21" t="s">
        <v>1222</v>
      </c>
      <c r="D604" s="21" t="s">
        <v>1217</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1526</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1551</v>
      </c>
      <c r="B606" s="21" t="s">
        <v>1224</v>
      </c>
      <c r="C606" s="21" t="s">
        <v>1255</v>
      </c>
      <c r="D606" s="21" t="s">
        <v>1217</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1277</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548</v>
      </c>
      <c r="B608" s="21" t="s">
        <v>1229</v>
      </c>
      <c r="C608" s="21" t="s">
        <v>1225</v>
      </c>
      <c r="D608" s="21" t="s">
        <v>1217</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1508</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1552</v>
      </c>
      <c r="B610" s="21" t="s">
        <v>1249</v>
      </c>
      <c r="C610" s="21" t="s">
        <v>1279</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1262</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row>
    <row r="613" spans="1:12">
      <c r="A613" s="20" t="s">
        <v>1553</v>
      </c>
    </row>
    <row r="614" spans="1:12">
      <c r="A614" s="20" t="s">
        <v>1453</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1554</v>
      </c>
      <c r="B615" s="21" t="s">
        <v>1215</v>
      </c>
      <c r="C615" s="21" t="s">
        <v>1234</v>
      </c>
      <c r="D615" s="21" t="s">
        <v>1217</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1555</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1277</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1351</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1467</v>
      </c>
      <c r="B619" s="21" t="s">
        <v>1229</v>
      </c>
      <c r="C619" s="21" t="s">
        <v>1255</v>
      </c>
      <c r="D619" s="21" t="s">
        <v>1217</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1262</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row>
    <row r="622" spans="1:12">
      <c r="A622" s="20" t="s">
        <v>1556</v>
      </c>
    </row>
    <row r="623" spans="1:12">
      <c r="A623" s="20" t="s">
        <v>1557</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1558</v>
      </c>
      <c r="B624" s="21" t="s">
        <v>1215</v>
      </c>
      <c r="C624" s="21" t="s">
        <v>1276</v>
      </c>
      <c r="D624" s="21" t="s">
        <v>1217</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1277</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1245</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1559</v>
      </c>
      <c r="B627" s="21" t="s">
        <v>1221</v>
      </c>
      <c r="C627" s="21" t="s">
        <v>1279</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1277</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1327</v>
      </c>
      <c r="B629" s="21" t="s">
        <v>1275</v>
      </c>
      <c r="C629" s="21" t="s">
        <v>1255</v>
      </c>
      <c r="D629" s="21" t="s">
        <v>1217</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1560</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1526</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1561</v>
      </c>
      <c r="B632" s="21" t="s">
        <v>1244</v>
      </c>
      <c r="C632" s="21" t="s">
        <v>1279</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1262</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row>
    <row r="635" spans="1:12">
      <c r="A635" s="20" t="s">
        <v>1562</v>
      </c>
    </row>
    <row r="636" spans="1:12">
      <c r="A636" s="20" t="s">
        <v>16</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16</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1529</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1530</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1563</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1321</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1327</v>
      </c>
      <c r="B642" s="21" t="s">
        <v>1229</v>
      </c>
      <c r="C642" s="21" t="s">
        <v>1255</v>
      </c>
      <c r="D642" s="21" t="s">
        <v>1217</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1564</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109</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1457</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1458</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1456</v>
      </c>
      <c r="B647" s="21" t="s">
        <v>1275</v>
      </c>
      <c r="C647" s="21" t="s">
        <v>1225</v>
      </c>
      <c r="D647" s="21" t="s">
        <v>1217</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1262</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row>
    <row r="650" spans="1:12">
      <c r="A650" s="20" t="s">
        <v>1565</v>
      </c>
    </row>
    <row r="651" spans="1:12">
      <c r="A651" s="20" t="s">
        <v>16</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16</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16</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1566</v>
      </c>
      <c r="B654" s="21" t="s">
        <v>1244</v>
      </c>
      <c r="C654" s="21" t="s">
        <v>1225</v>
      </c>
      <c r="D654" s="21" t="s">
        <v>1217</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1262</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row>
    <row r="657" spans="1:12">
      <c r="A657" s="20" t="s">
        <v>1567</v>
      </c>
    </row>
    <row r="658" spans="1:12">
      <c r="A658" s="20" t="s">
        <v>1334</v>
      </c>
      <c r="B658" s="21" t="s">
        <v>1215</v>
      </c>
      <c r="C658" s="21" t="s">
        <v>1255</v>
      </c>
      <c r="D658" s="21" t="s">
        <v>1217</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1497</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1327</v>
      </c>
      <c r="B660" s="21" t="s">
        <v>1249</v>
      </c>
      <c r="C660" s="21" t="s">
        <v>1255</v>
      </c>
      <c r="D660" s="21" t="s">
        <v>1217</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1568</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1240</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1569</v>
      </c>
      <c r="B663" s="21" t="s">
        <v>1221</v>
      </c>
      <c r="C663" s="21" t="s">
        <v>1279</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1563</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1262</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row>
    <row r="667" spans="1:12">
      <c r="A667" s="20" t="s">
        <v>1570</v>
      </c>
    </row>
    <row r="668" spans="1:12">
      <c r="A668" s="20" t="s">
        <v>1571</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1572</v>
      </c>
      <c r="B669" s="21" t="s">
        <v>1275</v>
      </c>
      <c r="C669" s="21" t="s">
        <v>1255</v>
      </c>
      <c r="D669" s="21" t="s">
        <v>1217</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1257</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1329</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1573</v>
      </c>
      <c r="B672" s="21" t="s">
        <v>1244</v>
      </c>
      <c r="C672" s="21" t="s">
        <v>1276</v>
      </c>
      <c r="D672" s="21" t="s">
        <v>1217</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1277</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1456</v>
      </c>
      <c r="B674" s="21" t="s">
        <v>1221</v>
      </c>
      <c r="C674" s="21" t="s">
        <v>1225</v>
      </c>
      <c r="D674" s="21" t="s">
        <v>1217</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1262</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row>
    <row r="677" spans="1:12">
      <c r="A677" s="20" t="s">
        <v>1574</v>
      </c>
    </row>
    <row r="678" spans="1:12">
      <c r="A678" s="20" t="s">
        <v>1488</v>
      </c>
      <c r="B678" s="21" t="s">
        <v>1244</v>
      </c>
      <c r="C678" s="21" t="s">
        <v>1255</v>
      </c>
      <c r="D678" s="21" t="s">
        <v>1217</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1277</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1485</v>
      </c>
      <c r="B680" s="21" t="s">
        <v>1215</v>
      </c>
      <c r="C680" s="21" t="s">
        <v>1225</v>
      </c>
      <c r="D680" s="21" t="s">
        <v>1217</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1277</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1534</v>
      </c>
      <c r="B682" s="21" t="s">
        <v>1283</v>
      </c>
      <c r="C682" s="21" t="s">
        <v>1255</v>
      </c>
      <c r="D682" s="21" t="s">
        <v>1217</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1575</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1576</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1257</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1323</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1424</v>
      </c>
      <c r="B687" s="21" t="s">
        <v>1224</v>
      </c>
      <c r="C687" s="21" t="s">
        <v>1269</v>
      </c>
      <c r="D687" s="21" t="s">
        <v>1217</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1277</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1301</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1530</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1577</v>
      </c>
      <c r="B691" s="21" t="s">
        <v>1244</v>
      </c>
      <c r="C691" s="21" t="s">
        <v>1234</v>
      </c>
      <c r="D691" s="21" t="s">
        <v>1217</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1303</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1457</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row>
    <row r="695" spans="1:12">
      <c r="A695" s="20" t="s">
        <v>1578</v>
      </c>
    </row>
    <row r="696" spans="1:12">
      <c r="A696" s="20" t="s">
        <v>1579</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1572</v>
      </c>
      <c r="B697" s="21" t="s">
        <v>1215</v>
      </c>
      <c r="C697" s="21" t="s">
        <v>1255</v>
      </c>
      <c r="D697" s="21" t="s">
        <v>1217</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1381</v>
      </c>
      <c r="B698" s="21" t="s">
        <v>1249</v>
      </c>
      <c r="C698" s="21" t="s">
        <v>1255</v>
      </c>
      <c r="D698" s="21" t="s">
        <v>1217</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1042</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1323</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1580</v>
      </c>
      <c r="B701" s="21" t="s">
        <v>1275</v>
      </c>
      <c r="C701" s="21" t="s">
        <v>1269</v>
      </c>
      <c r="D701" s="21" t="s">
        <v>1217</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1218</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1219</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1581</v>
      </c>
      <c r="B704" s="21" t="s">
        <v>1221</v>
      </c>
      <c r="C704" s="21" t="s">
        <v>1269</v>
      </c>
      <c r="D704" s="21" t="s">
        <v>1217</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1457</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row>
    <row r="707" spans="1:12">
      <c r="A707" s="20" t="s">
        <v>1582</v>
      </c>
    </row>
    <row r="708" spans="1:12">
      <c r="A708" s="20" t="s">
        <v>1495</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1468</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1583</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1584</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1467</v>
      </c>
      <c r="B712" s="21" t="s">
        <v>1215</v>
      </c>
      <c r="C712" s="21" t="s">
        <v>1255</v>
      </c>
      <c r="D712" s="21" t="s">
        <v>1217</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1585</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1586</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1587</v>
      </c>
      <c r="B715" s="21" t="s">
        <v>1244</v>
      </c>
      <c r="C715" s="21" t="s">
        <v>1276</v>
      </c>
      <c r="D715" s="21" t="s">
        <v>1217</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1588</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1277</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1218</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1329</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1376</v>
      </c>
      <c r="B720" s="21" t="s">
        <v>1244</v>
      </c>
      <c r="C720" s="21" t="s">
        <v>1276</v>
      </c>
      <c r="D720" s="21" t="s">
        <v>1217</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1457</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row>
    <row r="723" spans="1:12">
      <c r="A723" s="20" t="s">
        <v>1589</v>
      </c>
    </row>
    <row r="724" spans="1:12">
      <c r="A724" s="20" t="s">
        <v>1590</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1591</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1592</v>
      </c>
      <c r="B726" s="21" t="s">
        <v>1244</v>
      </c>
      <c r="C726" s="21" t="s">
        <v>1269</v>
      </c>
      <c r="D726" s="21" t="s">
        <v>1217</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1593</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1262</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row>
    <row r="730" spans="1:12">
      <c r="A730" s="20" t="s">
        <v>1594</v>
      </c>
    </row>
    <row r="731" spans="1:12">
      <c r="A731" s="20" t="s">
        <v>16</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16</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16</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1595</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1596</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1597</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1277</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1598</v>
      </c>
      <c r="B738" s="21" t="s">
        <v>1244</v>
      </c>
      <c r="C738" s="21" t="s">
        <v>1234</v>
      </c>
      <c r="D738" s="21" t="s">
        <v>1217</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1277</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1251</v>
      </c>
      <c r="B740" s="21" t="s">
        <v>1229</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1599</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1227</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1600</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1601</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1457</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row>
    <row r="747" spans="1:12">
      <c r="A747" s="20" t="s">
        <v>1602</v>
      </c>
    </row>
    <row r="748" spans="1:12">
      <c r="A748" s="20" t="s">
        <v>16</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16</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1397</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184</v>
      </c>
      <c r="B751" s="21" t="s">
        <v>1244</v>
      </c>
      <c r="C751" s="21" t="s">
        <v>1269</v>
      </c>
      <c r="D751" s="21" t="s">
        <v>1217</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1245</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1603</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1262</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row>
    <row r="756" spans="1:12">
      <c r="A756" s="20" t="s">
        <v>1604</v>
      </c>
    </row>
    <row r="757" spans="1:12">
      <c r="A757" s="20" t="s">
        <v>16</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16</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16</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1591</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1605</v>
      </c>
      <c r="B761" s="21" t="s">
        <v>1215</v>
      </c>
      <c r="C761" s="21" t="s">
        <v>1269</v>
      </c>
      <c r="D761" s="21" t="s">
        <v>1217</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1599</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1606</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1262</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row>
    <row r="766" spans="1:12">
      <c r="A766" s="20" t="s">
        <v>1607</v>
      </c>
    </row>
    <row r="767" spans="1:12">
      <c r="A767" s="20" t="s">
        <v>1488</v>
      </c>
      <c r="B767" s="21" t="s">
        <v>1215</v>
      </c>
      <c r="C767" s="21" t="s">
        <v>1255</v>
      </c>
      <c r="D767" s="21" t="s">
        <v>1217</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1608</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1609</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1266</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1610</v>
      </c>
      <c r="B771" s="21" t="s">
        <v>1275</v>
      </c>
      <c r="C771" s="21" t="s">
        <v>1269</v>
      </c>
      <c r="D771" s="21" t="s">
        <v>1217</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1611</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row>
    <row r="774" spans="1:12">
      <c r="A774" s="20" t="s">
        <v>1612</v>
      </c>
    </row>
    <row r="775" spans="1:12">
      <c r="A775" s="20" t="s">
        <v>1613</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1614</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1615</v>
      </c>
      <c r="B777" s="21" t="s">
        <v>1244</v>
      </c>
      <c r="C777" s="21" t="s">
        <v>1279</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1286</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1616</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1329</v>
      </c>
      <c r="B780" s="21" t="s">
        <v>1249</v>
      </c>
      <c r="C780" s="21" t="s">
        <v>1234</v>
      </c>
      <c r="D780" s="21" t="s">
        <v>1217</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1251</v>
      </c>
      <c r="B781" s="21" t="s">
        <v>1252</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1373</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1468</v>
      </c>
      <c r="B783" s="21" t="s">
        <v>1292</v>
      </c>
      <c r="C783" s="21" t="s">
        <v>1216</v>
      </c>
      <c r="D783" s="21" t="s">
        <v>1217</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1617</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1618</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row>
    <row r="787" spans="1:12">
      <c r="A787" s="20" t="s">
        <v>1619</v>
      </c>
    </row>
    <row r="788" spans="1:12">
      <c r="A788" s="20" t="s">
        <v>1620</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1245</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1266</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1621</v>
      </c>
      <c r="B791" s="21" t="s">
        <v>1244</v>
      </c>
      <c r="C791" s="21" t="s">
        <v>1269</v>
      </c>
      <c r="D791" s="21" t="s">
        <v>1217</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1218</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1266</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1622</v>
      </c>
      <c r="B794" s="21" t="s">
        <v>1221</v>
      </c>
      <c r="C794" s="21" t="s">
        <v>1269</v>
      </c>
      <c r="D794" s="21" t="s">
        <v>1217</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1277</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1321</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1547</v>
      </c>
      <c r="B797" s="21" t="s">
        <v>1215</v>
      </c>
      <c r="C797" s="21" t="s">
        <v>1225</v>
      </c>
      <c r="D797" s="21" t="s">
        <v>1217</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1225</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1474</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1623</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1303</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1358</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1230</v>
      </c>
      <c r="B803" s="21" t="s">
        <v>1229</v>
      </c>
      <c r="C803" s="21" t="s">
        <v>1216</v>
      </c>
      <c r="D803" s="21" t="s">
        <v>1217</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1266</v>
      </c>
      <c r="B804" s="21" t="s">
        <v>1249</v>
      </c>
      <c r="C804" s="21" t="s">
        <v>1255</v>
      </c>
      <c r="D804" s="21" t="s">
        <v>1217</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1624</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1262</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row>
    <row r="808" spans="1:12">
      <c r="A808" s="20" t="s">
        <v>1542</v>
      </c>
    </row>
    <row r="809" spans="1:12">
      <c r="A809" s="20" t="s">
        <v>135</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row>
    <row r="811" spans="1:12">
      <c r="A811" s="20" t="s">
        <v>1625</v>
      </c>
    </row>
    <row r="812" spans="1:12">
      <c r="A812" s="20" t="s">
        <v>1626</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1323</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1537</v>
      </c>
      <c r="B814" s="21" t="s">
        <v>1244</v>
      </c>
      <c r="C814" s="21" t="s">
        <v>1269</v>
      </c>
      <c r="D814" s="21" t="s">
        <v>1217</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1218</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1219</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1538</v>
      </c>
      <c r="B817" s="21" t="s">
        <v>1221</v>
      </c>
      <c r="C817" s="21" t="s">
        <v>1269</v>
      </c>
      <c r="D817" s="21" t="s">
        <v>1217</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1277</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1419</v>
      </c>
      <c r="B819" s="21" t="s">
        <v>1215</v>
      </c>
      <c r="C819" s="21" t="s">
        <v>1255</v>
      </c>
      <c r="D819" s="21" t="s">
        <v>1217</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1381</v>
      </c>
      <c r="B820" s="21" t="s">
        <v>1275</v>
      </c>
      <c r="C820" s="21" t="s">
        <v>1255</v>
      </c>
      <c r="D820" s="21" t="s">
        <v>1217</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1627</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1257</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1266</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139</v>
      </c>
      <c r="B824" s="21" t="s">
        <v>1244</v>
      </c>
      <c r="C824" s="21" t="s">
        <v>1269</v>
      </c>
      <c r="D824" s="21" t="s">
        <v>1217</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1286</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1419</v>
      </c>
      <c r="B826" s="21" t="s">
        <v>1229</v>
      </c>
      <c r="C826" s="21" t="s">
        <v>1255</v>
      </c>
      <c r="D826" s="21" t="s">
        <v>1217</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1628</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1245</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1266</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1461</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1629</v>
      </c>
      <c r="B831" s="21" t="s">
        <v>1221</v>
      </c>
      <c r="C831" s="21" t="s">
        <v>1269</v>
      </c>
      <c r="D831" s="21" t="s">
        <v>1217</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1251</v>
      </c>
      <c r="B832" s="21" t="s">
        <v>1252</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1630</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1266</v>
      </c>
      <c r="B834" s="21" t="s">
        <v>1254</v>
      </c>
      <c r="C834" s="21" t="s">
        <v>1255</v>
      </c>
      <c r="D834" s="21" t="s">
        <v>1217</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1631</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1262</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row>
    <row r="838" spans="1:12">
      <c r="A838" s="20" t="s">
        <v>1632</v>
      </c>
    </row>
    <row r="839" spans="1:12">
      <c r="A839" s="20" t="s">
        <v>1353</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1323</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1633</v>
      </c>
      <c r="B841" s="21" t="s">
        <v>1244</v>
      </c>
      <c r="C841" s="21" t="s">
        <v>1222</v>
      </c>
      <c r="D841" s="21" t="s">
        <v>1217</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1218</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1634</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1561</v>
      </c>
      <c r="B844" s="21" t="s">
        <v>1221</v>
      </c>
      <c r="C844" s="21" t="s">
        <v>1276</v>
      </c>
      <c r="D844" s="21" t="s">
        <v>1217</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1277</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1419</v>
      </c>
      <c r="B846" s="21" t="s">
        <v>1215</v>
      </c>
      <c r="C846" s="21" t="s">
        <v>1255</v>
      </c>
      <c r="D846" s="21" t="s">
        <v>1217</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1420</v>
      </c>
      <c r="B847" s="21" t="s">
        <v>1275</v>
      </c>
      <c r="C847" s="21" t="s">
        <v>1255</v>
      </c>
      <c r="D847" s="21" t="s">
        <v>1217</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1635</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1436</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1245</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1235</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1505</v>
      </c>
      <c r="B852" s="21" t="s">
        <v>1244</v>
      </c>
      <c r="C852" s="21" t="s">
        <v>1238</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1526</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1636</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1419</v>
      </c>
      <c r="B855" s="21" t="s">
        <v>1283</v>
      </c>
      <c r="C855" s="21" t="s">
        <v>1255</v>
      </c>
      <c r="D855" s="21" t="s">
        <v>1217</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1637</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1523</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1228</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1638</v>
      </c>
      <c r="B859" s="21" t="s">
        <v>1292</v>
      </c>
      <c r="C859" s="21" t="s">
        <v>1269</v>
      </c>
      <c r="D859" s="21" t="s">
        <v>1217</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1218</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1323</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1639</v>
      </c>
      <c r="B862" s="21" t="s">
        <v>1261</v>
      </c>
      <c r="C862" s="21" t="s">
        <v>1269</v>
      </c>
      <c r="D862" s="21" t="s">
        <v>1217</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1262</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row>
    <row r="865" spans="1:12">
      <c r="A865" s="20" t="s">
        <v>1640</v>
      </c>
    </row>
    <row r="866" spans="1:12">
      <c r="A866" s="20" t="s">
        <v>1641</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1642</v>
      </c>
      <c r="B867" s="21" t="s">
        <v>1215</v>
      </c>
      <c r="C867" s="21" t="s">
        <v>1643</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1644</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1645</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1240</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1646</v>
      </c>
      <c r="B871" s="21" t="s">
        <v>1224</v>
      </c>
      <c r="C871" s="21" t="s">
        <v>1279</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1228</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1235</v>
      </c>
      <c r="B873" s="21" t="s">
        <v>1244</v>
      </c>
      <c r="C873" s="21" t="s">
        <v>1216</v>
      </c>
      <c r="D873" s="21" t="s">
        <v>1217</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1218</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1228</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1647</v>
      </c>
      <c r="B876" s="21" t="s">
        <v>1221</v>
      </c>
      <c r="C876" s="21" t="s">
        <v>1216</v>
      </c>
      <c r="D876" s="21" t="s">
        <v>1217</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1648</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1649</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1650</v>
      </c>
      <c r="B879" s="21" t="s">
        <v>1249</v>
      </c>
      <c r="C879" s="21" t="s">
        <v>1225</v>
      </c>
      <c r="D879" s="21" t="s">
        <v>1217</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1286</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1547</v>
      </c>
      <c r="B881" s="21" t="s">
        <v>1224</v>
      </c>
      <c r="C881" s="21" t="s">
        <v>1225</v>
      </c>
      <c r="D881" s="21" t="s">
        <v>1217</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1262</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row>
    <row r="884" spans="1:12">
      <c r="A884" s="20" t="s">
        <v>1651</v>
      </c>
    </row>
    <row r="885" spans="1:12">
      <c r="A885" s="20" t="s">
        <v>1361</v>
      </c>
      <c r="B885" s="21" t="s">
        <v>1215</v>
      </c>
      <c r="C885" s="21" t="s">
        <v>1255</v>
      </c>
      <c r="D885" s="21" t="s">
        <v>1217</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220</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1652</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1258</v>
      </c>
      <c r="B888" s="21" t="s">
        <v>1221</v>
      </c>
      <c r="C888" s="21" t="s">
        <v>1242</v>
      </c>
      <c r="D888" s="21" t="s">
        <v>1217</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1653</v>
      </c>
      <c r="B889" s="21" t="s">
        <v>1275</v>
      </c>
      <c r="C889" s="21" t="s">
        <v>1222</v>
      </c>
      <c r="D889" s="21" t="s">
        <v>1217</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1262</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row>
    <row r="892" spans="1:12">
      <c r="A892" s="20" t="s">
        <v>1654</v>
      </c>
    </row>
    <row r="893" spans="1:12">
      <c r="A893" s="20" t="s">
        <v>1655</v>
      </c>
      <c r="B893" s="21" t="s">
        <v>1215</v>
      </c>
      <c r="C893" s="21" t="s">
        <v>1255</v>
      </c>
      <c r="D893" s="21" t="s">
        <v>1217</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1656</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1262</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row>
    <row r="897" spans="1:12">
      <c r="A897" s="20" t="s">
        <v>1657</v>
      </c>
    </row>
    <row r="898" spans="1:12">
      <c r="A898" s="20" t="s">
        <v>1658</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1266</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1659</v>
      </c>
      <c r="B900" s="21" t="s">
        <v>1244</v>
      </c>
      <c r="C900" s="21" t="s">
        <v>1269</v>
      </c>
      <c r="D900" s="21" t="s">
        <v>1217</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1286</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1218</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1219</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1660</v>
      </c>
      <c r="B904" s="21" t="s">
        <v>1221</v>
      </c>
      <c r="C904" s="21" t="s">
        <v>1269</v>
      </c>
      <c r="D904" s="21" t="s">
        <v>1217</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1474</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1661</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1524</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1662</v>
      </c>
      <c r="B908" s="21" t="s">
        <v>1244</v>
      </c>
      <c r="C908" s="21" t="s">
        <v>1216</v>
      </c>
      <c r="D908" s="21" t="s">
        <v>1217</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1277</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1336</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1323</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1663</v>
      </c>
      <c r="B912" s="21" t="s">
        <v>1244</v>
      </c>
      <c r="C912" s="21" t="s">
        <v>1269</v>
      </c>
      <c r="D912" s="21" t="s">
        <v>1217</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1262</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row>
    <row r="915" spans="1:12">
      <c r="A915" s="20" t="s">
        <v>1664</v>
      </c>
    </row>
    <row r="916" spans="1:12">
      <c r="A916" s="20" t="s">
        <v>1547</v>
      </c>
      <c r="B916" s="21" t="s">
        <v>1215</v>
      </c>
      <c r="C916" s="21" t="s">
        <v>1225</v>
      </c>
      <c r="D916" s="21" t="s">
        <v>1217</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1665</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1666</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1667</v>
      </c>
      <c r="B919" s="21" t="s">
        <v>1244</v>
      </c>
      <c r="C919" s="21" t="s">
        <v>1279</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1341</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row>
    <row r="922" spans="1:12">
      <c r="A922" s="20" t="s">
        <v>1668</v>
      </c>
    </row>
    <row r="923" spans="1:12">
      <c r="A923" s="20" t="s">
        <v>1266</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1669</v>
      </c>
      <c r="B924" s="21" t="s">
        <v>1215</v>
      </c>
      <c r="C924" s="21" t="s">
        <v>1269</v>
      </c>
      <c r="D924" s="21" t="s">
        <v>1217</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1670</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1671</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1286</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1672</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1262</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row>
    <row r="931" spans="1:12">
      <c r="A931" s="20" t="s">
        <v>1673</v>
      </c>
    </row>
    <row r="932" spans="1:12">
      <c r="A932" s="20" t="s">
        <v>1397</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1324</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1674</v>
      </c>
      <c r="B934" s="21" t="s">
        <v>1215</v>
      </c>
      <c r="C934" s="21" t="s">
        <v>1269</v>
      </c>
      <c r="D934" s="21" t="s">
        <v>1217</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1675</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1358</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565</v>
      </c>
      <c r="B937" s="21" t="s">
        <v>1283</v>
      </c>
      <c r="C937" s="21" t="s">
        <v>1255</v>
      </c>
      <c r="D937" s="21" t="s">
        <v>1217</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1676</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1145</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1336</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1273</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1385</v>
      </c>
      <c r="B942" s="21" t="s">
        <v>1226</v>
      </c>
      <c r="C942" s="21" t="s">
        <v>1276</v>
      </c>
      <c r="D942" s="21" t="s">
        <v>1217</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1677</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1678</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1679</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1247</v>
      </c>
      <c r="B946" s="21" t="s">
        <v>1221</v>
      </c>
      <c r="C946" s="21" t="s">
        <v>1242</v>
      </c>
      <c r="D946" s="21" t="s">
        <v>1217</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1680</v>
      </c>
      <c r="B947" s="21" t="s">
        <v>1275</v>
      </c>
      <c r="C947" s="21" t="s">
        <v>1222</v>
      </c>
      <c r="D947" s="21" t="s">
        <v>1217</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1262</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row>
    <row r="950" spans="1:12">
      <c r="A950" s="20" t="s">
        <v>1681</v>
      </c>
    </row>
    <row r="951" spans="1:12">
      <c r="A951" s="20" t="s">
        <v>1214</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1682</v>
      </c>
      <c r="B952" s="21" t="s">
        <v>1244</v>
      </c>
      <c r="C952" s="21" t="s">
        <v>1238</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1277</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1547</v>
      </c>
      <c r="B954" s="21" t="s">
        <v>1215</v>
      </c>
      <c r="C954" s="21" t="s">
        <v>1225</v>
      </c>
      <c r="D954" s="21" t="s">
        <v>1217</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1474</v>
      </c>
      <c r="B955" s="21" t="s">
        <v>1275</v>
      </c>
      <c r="C955" s="21" t="s">
        <v>1255</v>
      </c>
      <c r="D955" s="21" t="s">
        <v>1217</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1683</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1286</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1684</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1262</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row>
    <row r="961" spans="1:12">
      <c r="A961" s="20" t="s">
        <v>1685</v>
      </c>
    </row>
    <row r="962" spans="1:12">
      <c r="A962" s="20" t="s">
        <v>1686</v>
      </c>
      <c r="B962" s="21" t="s">
        <v>1215</v>
      </c>
      <c r="C962" s="21" t="s">
        <v>1225</v>
      </c>
      <c r="D962" s="21" t="s">
        <v>1217</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1650</v>
      </c>
      <c r="B963" s="21" t="s">
        <v>1221</v>
      </c>
      <c r="C963" s="21" t="s">
        <v>1225</v>
      </c>
      <c r="D963" s="21" t="s">
        <v>1217</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1687</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1280</v>
      </c>
      <c r="B965" s="21" t="s">
        <v>1221</v>
      </c>
      <c r="C965" s="21" t="s">
        <v>1242</v>
      </c>
      <c r="D965" s="21" t="s">
        <v>1217</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1688</v>
      </c>
      <c r="B966" s="21" t="s">
        <v>1275</v>
      </c>
      <c r="C966" s="21" t="s">
        <v>1222</v>
      </c>
      <c r="D966" s="21" t="s">
        <v>1217</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1277</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1373</v>
      </c>
      <c r="B968" s="21" t="s">
        <v>1249</v>
      </c>
      <c r="C968" s="21" t="s">
        <v>1255</v>
      </c>
      <c r="D968" s="21" t="s">
        <v>1217</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1689</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1257</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1280</v>
      </c>
      <c r="B971" s="21" t="s">
        <v>1224</v>
      </c>
      <c r="C971" s="21" t="s">
        <v>1242</v>
      </c>
      <c r="D971" s="21" t="s">
        <v>1217</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1690</v>
      </c>
      <c r="B972" s="21" t="s">
        <v>1221</v>
      </c>
      <c r="C972" s="21" t="s">
        <v>1222</v>
      </c>
      <c r="D972" s="21" t="s">
        <v>1217</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1286</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1691</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1428</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1266</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1692</v>
      </c>
      <c r="B977" s="21" t="s">
        <v>1221</v>
      </c>
      <c r="C977" s="21" t="s">
        <v>1269</v>
      </c>
      <c r="D977" s="21" t="s">
        <v>1217</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1323</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1693</v>
      </c>
      <c r="B979" s="21" t="s">
        <v>1224</v>
      </c>
      <c r="C979" s="21" t="s">
        <v>1222</v>
      </c>
      <c r="D979" s="21" t="s">
        <v>1217</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1218</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1280</v>
      </c>
      <c r="B981" s="21" t="s">
        <v>1261</v>
      </c>
      <c r="C981" s="21" t="s">
        <v>1242</v>
      </c>
      <c r="D981" s="21" t="s">
        <v>1217</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1694</v>
      </c>
      <c r="B982" s="21" t="s">
        <v>1226</v>
      </c>
      <c r="C982" s="21" t="s">
        <v>1222</v>
      </c>
      <c r="D982" s="21" t="s">
        <v>1217</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1262</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row>
    <row r="985" spans="1:12">
      <c r="A985" s="20" t="s">
        <v>1695</v>
      </c>
    </row>
    <row r="986" spans="1:12">
      <c r="A986" s="20" t="s">
        <v>1271</v>
      </c>
      <c r="B986" s="21" t="s">
        <v>1215</v>
      </c>
      <c r="C986" s="21" t="s">
        <v>1255</v>
      </c>
      <c r="D986" s="21" t="s">
        <v>1217</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1696</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1266</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1697</v>
      </c>
      <c r="B989" s="21" t="s">
        <v>1275</v>
      </c>
      <c r="C989" s="21" t="s">
        <v>1269</v>
      </c>
      <c r="D989" s="21" t="s">
        <v>1217</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1526</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1471</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1437</v>
      </c>
      <c r="B992" s="21" t="s">
        <v>1221</v>
      </c>
      <c r="C992" s="21" t="s">
        <v>1238</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1286</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1266</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1698</v>
      </c>
      <c r="B995" s="21" t="s">
        <v>1221</v>
      </c>
      <c r="C995" s="21" t="s">
        <v>1269</v>
      </c>
      <c r="D995" s="21" t="s">
        <v>1217</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1526</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1471</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1699</v>
      </c>
      <c r="B998" s="21" t="s">
        <v>1224</v>
      </c>
      <c r="C998" s="21" t="s">
        <v>1238</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1336</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1266</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1700</v>
      </c>
      <c r="B1001" s="21" t="s">
        <v>1226</v>
      </c>
      <c r="C1001" s="21" t="s">
        <v>1269</v>
      </c>
      <c r="D1001" s="21" t="s">
        <v>1217</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1262</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row>
    <row r="1004" spans="1:12">
      <c r="A1004" s="20" t="s">
        <v>1701</v>
      </c>
    </row>
    <row r="1005" spans="1:12">
      <c r="A1005" s="20" t="s">
        <v>1591</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1303</v>
      </c>
      <c r="B1006" s="21" t="s">
        <v>1215</v>
      </c>
      <c r="C1006" s="21" t="s">
        <v>1269</v>
      </c>
      <c r="D1006" s="21" t="s">
        <v>1217</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1702</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1228</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1703</v>
      </c>
      <c r="B1009" s="21" t="s">
        <v>1275</v>
      </c>
      <c r="C1009" s="21" t="s">
        <v>1269</v>
      </c>
      <c r="D1009" s="21" t="s">
        <v>1217</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1251</v>
      </c>
      <c r="B1010" s="21" t="s">
        <v>1283</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1704</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1266</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1629</v>
      </c>
      <c r="B1013" s="21" t="s">
        <v>1237</v>
      </c>
      <c r="C1013" s="21" t="s">
        <v>1269</v>
      </c>
      <c r="D1013" s="21" t="s">
        <v>1217</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1585</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1705</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1314</v>
      </c>
      <c r="B1016" s="21" t="s">
        <v>1516</v>
      </c>
      <c r="C1016" s="21" t="s">
        <v>1255</v>
      </c>
      <c r="D1016" s="21" t="s">
        <v>1217</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1706</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1707</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1262</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row>
    <row r="1021" spans="1:12">
      <c r="A1021" s="20" t="s">
        <v>1708</v>
      </c>
    </row>
    <row r="1022" spans="1:12">
      <c r="A1022" s="20" t="s">
        <v>1361</v>
      </c>
      <c r="B1022" s="21" t="s">
        <v>1215</v>
      </c>
      <c r="C1022" s="21" t="s">
        <v>1255</v>
      </c>
      <c r="D1022" s="21" t="s">
        <v>1217</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1709</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1235</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1710</v>
      </c>
      <c r="B1025" s="21" t="s">
        <v>1275</v>
      </c>
      <c r="C1025" s="21" t="s">
        <v>1238</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1286</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1419</v>
      </c>
      <c r="B1027" s="21" t="s">
        <v>1229</v>
      </c>
      <c r="C1027" s="21" t="s">
        <v>1255</v>
      </c>
      <c r="D1027" s="21" t="s">
        <v>1217</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586</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1266</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1711</v>
      </c>
      <c r="B1030" s="21" t="s">
        <v>1249</v>
      </c>
      <c r="C1030" s="21" t="s">
        <v>1269</v>
      </c>
      <c r="D1030" s="21" t="s">
        <v>1217</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1373</v>
      </c>
      <c r="B1031" s="21" t="s">
        <v>1237</v>
      </c>
      <c r="C1031" s="21" t="s">
        <v>1255</v>
      </c>
      <c r="D1031" s="21" t="s">
        <v>1217</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1432</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1245</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1323</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1437</v>
      </c>
      <c r="B1035" s="21" t="s">
        <v>1224</v>
      </c>
      <c r="C1035" s="21" t="s">
        <v>1269</v>
      </c>
      <c r="D1035" s="21" t="s">
        <v>1217</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1526</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1235</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1712</v>
      </c>
      <c r="B1038" s="21" t="s">
        <v>1226</v>
      </c>
      <c r="C1038" s="21" t="s">
        <v>1238</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1713</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1257</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1235</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1714</v>
      </c>
      <c r="B1042" s="21" t="s">
        <v>1259</v>
      </c>
      <c r="C1042" s="21" t="s">
        <v>1238</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1218</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1266</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1631</v>
      </c>
      <c r="B1045" s="21" t="s">
        <v>1377</v>
      </c>
      <c r="C1045" s="21" t="s">
        <v>1269</v>
      </c>
      <c r="D1045" s="21" t="s">
        <v>1217</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1262</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row>
    <row r="1048" spans="1:12">
      <c r="A1048" s="20" t="s">
        <v>1715</v>
      </c>
    </row>
    <row r="1049" spans="1:12">
      <c r="A1049" s="20" t="s">
        <v>1716</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1717</v>
      </c>
      <c r="B1050" s="21" t="s">
        <v>1215</v>
      </c>
      <c r="C1050" s="21" t="s">
        <v>1238</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1718</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1257</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1323</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1719</v>
      </c>
      <c r="B1054" s="21" t="s">
        <v>1244</v>
      </c>
      <c r="C1054" s="21" t="s">
        <v>1269</v>
      </c>
      <c r="D1054" s="21" t="s">
        <v>1217</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1286</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1277</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1720</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1547</v>
      </c>
      <c r="B1058" s="21" t="s">
        <v>1229</v>
      </c>
      <c r="C1058" s="21" t="s">
        <v>1225</v>
      </c>
      <c r="D1058" s="21" t="s">
        <v>1217</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1721</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1257</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1266</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1722</v>
      </c>
      <c r="B1062" s="21" t="s">
        <v>1221</v>
      </c>
      <c r="C1062" s="21" t="s">
        <v>1269</v>
      </c>
      <c r="D1062" s="21" t="s">
        <v>1217</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1277</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1419</v>
      </c>
      <c r="B1064" s="21" t="s">
        <v>1229</v>
      </c>
      <c r="C1064" s="21" t="s">
        <v>1255</v>
      </c>
      <c r="D1064" s="21" t="s">
        <v>1217</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1723</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1235</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1615</v>
      </c>
      <c r="B1067" s="21" t="s">
        <v>1249</v>
      </c>
      <c r="C1067" s="21" t="s">
        <v>1238</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1724</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1277</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1725</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1245</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1266</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1726</v>
      </c>
      <c r="B1073" s="21" t="s">
        <v>1226</v>
      </c>
      <c r="C1073" s="21" t="s">
        <v>1269</v>
      </c>
      <c r="D1073" s="21" t="s">
        <v>1217</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1526</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1471</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1727</v>
      </c>
      <c r="B1076" s="21" t="s">
        <v>1261</v>
      </c>
      <c r="C1076" s="21" t="s">
        <v>1238</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1218</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1728</v>
      </c>
      <c r="B1078" s="21" t="s">
        <v>1259</v>
      </c>
      <c r="C1078" s="21" t="s">
        <v>1279</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1262</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row>
    <row r="1081" spans="1:12">
      <c r="A1081" s="20" t="s">
        <v>1729</v>
      </c>
    </row>
    <row r="1082" spans="1:12">
      <c r="A1082" s="20" t="s">
        <v>1547</v>
      </c>
      <c r="B1082" s="21" t="s">
        <v>1215</v>
      </c>
      <c r="C1082" s="21" t="s">
        <v>1225</v>
      </c>
      <c r="D1082" s="21" t="s">
        <v>1217</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1225</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1730</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1303</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1731</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1596</v>
      </c>
      <c r="B1087" s="21" t="s">
        <v>1249</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1526</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1471</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1732</v>
      </c>
      <c r="B1090" s="21" t="s">
        <v>1224</v>
      </c>
      <c r="C1090" s="21" t="s">
        <v>1238</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1262</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row>
    <row r="1093" spans="1:12">
      <c r="A1093" s="20" t="s">
        <v>1733</v>
      </c>
    </row>
    <row r="1094" spans="1:12">
      <c r="A1094" s="20" t="s">
        <v>1397</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1717</v>
      </c>
      <c r="B1095" s="21" t="s">
        <v>1215</v>
      </c>
      <c r="C1095" s="21" t="s">
        <v>1269</v>
      </c>
      <c r="D1095" s="21" t="s">
        <v>1217</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1718</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1218</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1384</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1341</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565</v>
      </c>
      <c r="B1100" s="21" t="s">
        <v>1229</v>
      </c>
      <c r="C1100" s="21" t="s">
        <v>1255</v>
      </c>
      <c r="D1100" s="21" t="s">
        <v>1217</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1734</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1524</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1486</v>
      </c>
      <c r="B1103" s="21" t="s">
        <v>1221</v>
      </c>
      <c r="C1103" s="21" t="s">
        <v>1216</v>
      </c>
      <c r="D1103" s="21" t="s">
        <v>1217</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1286</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1735</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1257</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1323</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1424</v>
      </c>
      <c r="B1108" s="21" t="s">
        <v>1224</v>
      </c>
      <c r="C1108" s="21" t="s">
        <v>1269</v>
      </c>
      <c r="D1108" s="21" t="s">
        <v>1217</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1262</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row>
    <row r="1111" spans="1:12">
      <c r="A1111" s="20" t="s">
        <v>1736</v>
      </c>
    </row>
    <row r="1112" spans="1:12">
      <c r="A1112" s="20" t="s">
        <v>1737</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565</v>
      </c>
      <c r="B1113" s="21" t="s">
        <v>1229</v>
      </c>
      <c r="C1113" s="21" t="s">
        <v>1255</v>
      </c>
      <c r="D1113" s="21" t="s">
        <v>1217</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1738</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1739</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1280</v>
      </c>
      <c r="B1116" s="21" t="s">
        <v>1224</v>
      </c>
      <c r="C1116" s="21" t="s">
        <v>1242</v>
      </c>
      <c r="D1116" s="21" t="s">
        <v>1217</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1740</v>
      </c>
      <c r="B1117" s="21" t="s">
        <v>1249</v>
      </c>
      <c r="C1117" s="21" t="s">
        <v>1222</v>
      </c>
      <c r="D1117" s="21" t="s">
        <v>1217</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1277</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1419</v>
      </c>
      <c r="B1119" s="21" t="s">
        <v>1215</v>
      </c>
      <c r="C1119" s="21" t="s">
        <v>1255</v>
      </c>
      <c r="D1119" s="21" t="s">
        <v>1217</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271</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1741</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1742</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1218</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1743</v>
      </c>
      <c r="B1124" s="21" t="s">
        <v>1224</v>
      </c>
      <c r="C1124" s="21" t="s">
        <v>1242</v>
      </c>
      <c r="D1124" s="21" t="s">
        <v>1217</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1744</v>
      </c>
      <c r="B1125" s="21" t="s">
        <v>1221</v>
      </c>
      <c r="C1125" s="21" t="s">
        <v>1222</v>
      </c>
      <c r="D1125" s="21" t="s">
        <v>1217</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1245</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1745</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1419</v>
      </c>
      <c r="B1128" s="21" t="s">
        <v>1252</v>
      </c>
      <c r="C1128" s="21" t="s">
        <v>1255</v>
      </c>
      <c r="D1128" s="21" t="s">
        <v>1217</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1746</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1329</v>
      </c>
      <c r="B1130" s="21" t="s">
        <v>1292</v>
      </c>
      <c r="C1130" s="21" t="s">
        <v>1234</v>
      </c>
      <c r="D1130" s="21" t="s">
        <v>1217</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1747</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1314</v>
      </c>
      <c r="B1132" s="21" t="s">
        <v>1748</v>
      </c>
      <c r="C1132" s="21" t="s">
        <v>1255</v>
      </c>
      <c r="D1132" s="21" t="s">
        <v>1217</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1749</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1750</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1751</v>
      </c>
      <c r="B1135" s="21" t="s">
        <v>1261</v>
      </c>
      <c r="C1135" s="21" t="s">
        <v>1279</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1262</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row>
    <row r="1138" spans="1:12">
      <c r="A1138" s="20" t="s">
        <v>1752</v>
      </c>
    </row>
    <row r="1139" spans="1:12">
      <c r="A1139" s="20" t="s">
        <v>1453</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1488</v>
      </c>
      <c r="B1140" s="21" t="s">
        <v>1215</v>
      </c>
      <c r="C1140" s="21" t="s">
        <v>1255</v>
      </c>
      <c r="D1140" s="21" t="s">
        <v>1217</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1753</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1754</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1277</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1485</v>
      </c>
      <c r="B1144" s="21" t="s">
        <v>1244</v>
      </c>
      <c r="C1144" s="21" t="s">
        <v>1225</v>
      </c>
      <c r="D1144" s="21" t="s">
        <v>1217</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1277</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1321</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1323</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1755</v>
      </c>
      <c r="B1148" s="21" t="s">
        <v>1229</v>
      </c>
      <c r="C1148" s="21" t="s">
        <v>1269</v>
      </c>
      <c r="D1148" s="21" t="s">
        <v>1217</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1301</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1530</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1303</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1756</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1457</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row>
    <row r="1155" spans="1:12">
      <c r="A1155" s="20" t="s">
        <v>1757</v>
      </c>
    </row>
    <row r="1156" spans="1:12">
      <c r="A1156" s="20" t="s">
        <v>1420</v>
      </c>
      <c r="B1156" s="21" t="s">
        <v>1275</v>
      </c>
      <c r="C1156" s="21" t="s">
        <v>1255</v>
      </c>
      <c r="D1156" s="21" t="s">
        <v>1217</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1458</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548</v>
      </c>
      <c r="B1158" s="21" t="s">
        <v>1275</v>
      </c>
      <c r="C1158" s="21" t="s">
        <v>1225</v>
      </c>
      <c r="D1158" s="21" t="s">
        <v>1217</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1277</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1365</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1314</v>
      </c>
      <c r="B1161" s="21" t="s">
        <v>1229</v>
      </c>
      <c r="C1161" s="21" t="s">
        <v>1255</v>
      </c>
      <c r="D1161" s="21" t="s">
        <v>1217</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1758</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1759</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1312</v>
      </c>
      <c r="B1164" s="21" t="s">
        <v>1226</v>
      </c>
      <c r="C1164" s="21" t="s">
        <v>1242</v>
      </c>
      <c r="D1164" s="21" t="s">
        <v>1217</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1760</v>
      </c>
      <c r="B1165" s="21" t="s">
        <v>1237</v>
      </c>
      <c r="C1165" s="21" t="s">
        <v>1222</v>
      </c>
      <c r="D1165" s="21" t="s">
        <v>1217</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1262</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row>
    <row r="1168" spans="1:12">
      <c r="A1168" s="20" t="s">
        <v>1761</v>
      </c>
    </row>
    <row r="1169" spans="1:12">
      <c r="A1169" s="20" t="s">
        <v>16</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16</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16</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1762</v>
      </c>
      <c r="B1172" s="21" t="s">
        <v>1244</v>
      </c>
      <c r="C1172" s="21" t="s">
        <v>1225</v>
      </c>
      <c r="D1172" s="21" t="s">
        <v>1217</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1262</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row>
    <row r="1175" spans="1:12">
      <c r="A1175" s="20" t="s">
        <v>1763</v>
      </c>
    </row>
    <row r="1176" spans="1:12">
      <c r="A1176" s="20" t="s">
        <v>16</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16</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1764</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1231</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1765</v>
      </c>
      <c r="B1180" s="21" t="s">
        <v>1215</v>
      </c>
      <c r="C1180" s="21" t="s">
        <v>1255</v>
      </c>
      <c r="D1180" s="21" t="s">
        <v>1217</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315</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1277</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1766</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1277</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1767</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1598</v>
      </c>
      <c r="B1186" s="21" t="s">
        <v>1221</v>
      </c>
      <c r="C1186" s="21" t="s">
        <v>1234</v>
      </c>
      <c r="D1186" s="21" t="s">
        <v>1217</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1218</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1323</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176</v>
      </c>
      <c r="B1189" s="21" t="s">
        <v>1224</v>
      </c>
      <c r="C1189" s="21" t="s">
        <v>1269</v>
      </c>
      <c r="D1189" s="21" t="s">
        <v>1217</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1277</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1768</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1219</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1769</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1587</v>
      </c>
      <c r="B1194" s="21" t="s">
        <v>1229</v>
      </c>
      <c r="C1194" s="21" t="s">
        <v>1269</v>
      </c>
      <c r="D1194" s="21" t="s">
        <v>1217</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1599</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1770</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1257</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1228</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1332</v>
      </c>
      <c r="B1199" s="21" t="s">
        <v>1221</v>
      </c>
      <c r="C1199" s="21" t="s">
        <v>1269</v>
      </c>
      <c r="D1199" s="21" t="s">
        <v>1217</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1457</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row>
    <row r="1202" spans="1:12">
      <c r="A1202" s="20" t="s">
        <v>1771</v>
      </c>
    </row>
    <row r="1203" spans="1:12">
      <c r="A1203" s="20" t="s">
        <v>16</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16</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1361</v>
      </c>
      <c r="B1205" s="21" t="s">
        <v>1215</v>
      </c>
      <c r="C1205" s="21" t="s">
        <v>1255</v>
      </c>
      <c r="D1205" s="21" t="s">
        <v>1217</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1228</v>
      </c>
      <c r="B1206" s="21" t="s">
        <v>1275</v>
      </c>
      <c r="C1206" s="21" t="s">
        <v>1255</v>
      </c>
      <c r="D1206" s="21" t="s">
        <v>1217</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1772</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1262</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row>
    <row r="1210" spans="1:12">
      <c r="A1210" s="20" t="s">
        <v>1542</v>
      </c>
    </row>
    <row r="1211" spans="1:12">
      <c r="A1211" s="20" t="s">
        <v>135</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row>
    <row r="1213" spans="1:12">
      <c r="A1213" s="20" t="s">
        <v>1773</v>
      </c>
    </row>
    <row r="1214" spans="1:12">
      <c r="A1214" s="20" t="s">
        <v>1271</v>
      </c>
      <c r="B1214" s="21" t="s">
        <v>1215</v>
      </c>
      <c r="C1214" s="21" t="s">
        <v>1255</v>
      </c>
      <c r="D1214" s="21" t="s">
        <v>1217</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1315</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1351</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1358</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1774</v>
      </c>
      <c r="B1218" s="21" t="s">
        <v>1229</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1218</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1323</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1518</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1519</v>
      </c>
      <c r="B1222" s="21" t="s">
        <v>1224</v>
      </c>
      <c r="C1222" s="21" t="s">
        <v>1222</v>
      </c>
      <c r="D1222" s="21" t="s">
        <v>1217</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1218</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1520</v>
      </c>
      <c r="B1224" s="21" t="s">
        <v>1226</v>
      </c>
      <c r="C1224" s="21" t="s">
        <v>1225</v>
      </c>
      <c r="D1224" s="21" t="s">
        <v>1217</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1373</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1775</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1235</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1514</v>
      </c>
      <c r="B1228" s="21" t="s">
        <v>1249</v>
      </c>
      <c r="C1228" s="21" t="s">
        <v>1238</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1218</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1515</v>
      </c>
      <c r="B1230" s="21" t="s">
        <v>1224</v>
      </c>
      <c r="C1230" s="21" t="s">
        <v>1279</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1277</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1776</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1286</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1777</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1262</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row>
    <row r="1237" spans="1:12">
      <c r="A1237" s="20" t="s">
        <v>1778</v>
      </c>
    </row>
    <row r="1238" spans="1:12">
      <c r="A1238" s="20" t="s">
        <v>1779</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1277</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1720</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1235</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1629</v>
      </c>
      <c r="B1242" s="21" t="s">
        <v>1244</v>
      </c>
      <c r="C1242" s="21" t="s">
        <v>1238</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1780</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1277</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1781</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1277</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1318</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1776</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1277</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565</v>
      </c>
      <c r="B1250" s="21" t="s">
        <v>1215</v>
      </c>
      <c r="C1250" s="21" t="s">
        <v>1255</v>
      </c>
      <c r="D1250" s="21" t="s">
        <v>1217</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1474</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1782</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1218</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1327</v>
      </c>
      <c r="B1254" s="21" t="s">
        <v>1244</v>
      </c>
      <c r="C1254" s="21" t="s">
        <v>1255</v>
      </c>
      <c r="D1254" s="21" t="s">
        <v>1217</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1262</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row>
    <row r="1257" spans="1:12">
      <c r="A1257" s="20" t="s">
        <v>1783</v>
      </c>
    </row>
    <row r="1258" spans="1:12">
      <c r="A1258" s="20" t="s">
        <v>1397</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1784</v>
      </c>
      <c r="B1259" s="21" t="s">
        <v>1215</v>
      </c>
      <c r="C1259" s="21" t="s">
        <v>1269</v>
      </c>
      <c r="D1259" s="21" t="s">
        <v>1217</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1228</v>
      </c>
      <c r="B1260" s="21" t="s">
        <v>1275</v>
      </c>
      <c r="C1260" s="21" t="s">
        <v>1255</v>
      </c>
      <c r="D1260" s="21" t="s">
        <v>1217</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305</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1277</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1443</v>
      </c>
      <c r="B1263" s="21" t="s">
        <v>1249</v>
      </c>
      <c r="C1263" s="21" t="s">
        <v>1255</v>
      </c>
      <c r="D1263" s="21" t="s">
        <v>1217</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1785</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1277</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1666</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1323</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1786</v>
      </c>
      <c r="B1268" s="21" t="s">
        <v>1221</v>
      </c>
      <c r="C1268" s="21" t="s">
        <v>1269</v>
      </c>
      <c r="D1268" s="21" t="s">
        <v>1217</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1218</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1219</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1787</v>
      </c>
      <c r="B1271" s="21" t="s">
        <v>1224</v>
      </c>
      <c r="C1271" s="21" t="s">
        <v>1269</v>
      </c>
      <c r="D1271" s="21" t="s">
        <v>1217</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1788</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1251</v>
      </c>
      <c r="B1273" s="21" t="s">
        <v>1516</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1789</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1218</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1241</v>
      </c>
      <c r="B1276" s="21" t="s">
        <v>1259</v>
      </c>
      <c r="C1276" s="21" t="s">
        <v>1242</v>
      </c>
      <c r="D1276" s="21" t="s">
        <v>1217</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1790</v>
      </c>
      <c r="B1277" s="21" t="s">
        <v>1261</v>
      </c>
      <c r="C1277" s="21" t="s">
        <v>1222</v>
      </c>
      <c r="D1277" s="21" t="s">
        <v>1217</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1277</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1228</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1510</v>
      </c>
      <c r="B1280" s="21" t="s">
        <v>1249</v>
      </c>
      <c r="C1280" s="21" t="s">
        <v>1269</v>
      </c>
      <c r="D1280" s="21" t="s">
        <v>1217</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1526</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1471</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1791</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1792</v>
      </c>
      <c r="B1284" s="21" t="s">
        <v>1224</v>
      </c>
      <c r="C1284" s="21" t="s">
        <v>1238</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1262</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row>
    <row r="1287" spans="1:12">
      <c r="A1287" s="20" t="s">
        <v>1793</v>
      </c>
    </row>
    <row r="1288" spans="1:12">
      <c r="A1288" s="20" t="s">
        <v>548</v>
      </c>
      <c r="B1288" s="21" t="s">
        <v>1215</v>
      </c>
      <c r="C1288" s="21" t="s">
        <v>1225</v>
      </c>
      <c r="D1288" s="21" t="s">
        <v>1217</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1474</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1718</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1218</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1329</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1376</v>
      </c>
      <c r="B1293" s="21" t="s">
        <v>1244</v>
      </c>
      <c r="C1293" s="21" t="s">
        <v>1276</v>
      </c>
      <c r="D1293" s="21" t="s">
        <v>1217</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1286</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1794</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1795</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1796</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1797</v>
      </c>
      <c r="B1298" s="21" t="s">
        <v>1237</v>
      </c>
      <c r="C1298" s="21" t="s">
        <v>1297</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1526</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1798</v>
      </c>
      <c r="B1300" s="21" t="s">
        <v>1226</v>
      </c>
      <c r="C1300" s="21" t="s">
        <v>1279</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1277</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1799</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1614</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1623</v>
      </c>
      <c r="B1304" s="21" t="s">
        <v>1261</v>
      </c>
      <c r="C1304" s="21" t="s">
        <v>1279</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1363</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1323</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1800</v>
      </c>
      <c r="B1307" s="21" t="s">
        <v>1261</v>
      </c>
      <c r="C1307" s="21" t="s">
        <v>1269</v>
      </c>
      <c r="D1307" s="21" t="s">
        <v>1217</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1801</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16</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16</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16</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1318</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1802</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16</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16</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16</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1218</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1266</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1515</v>
      </c>
      <c r="B1319" s="21" t="s">
        <v>1221</v>
      </c>
      <c r="C1319" s="21" t="s">
        <v>1269</v>
      </c>
      <c r="D1319" s="21" t="s">
        <v>1217</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1262</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row>
    <row r="1322" spans="1:12">
      <c r="A1322" s="20" t="s">
        <v>1803</v>
      </c>
    </row>
    <row r="1323" spans="1:12">
      <c r="A1323" s="20" t="s">
        <v>1453</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1264</v>
      </c>
      <c r="B1324" s="21" t="s">
        <v>1215</v>
      </c>
      <c r="C1324" s="21" t="s">
        <v>1255</v>
      </c>
      <c r="D1324" s="21" t="s">
        <v>1217</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1804</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1327</v>
      </c>
      <c r="B1326" s="21" t="s">
        <v>1249</v>
      </c>
      <c r="C1326" s="21" t="s">
        <v>1255</v>
      </c>
      <c r="D1326" s="21" t="s">
        <v>1217</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1805</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1277</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1485</v>
      </c>
      <c r="B1329" s="21" t="s">
        <v>1244</v>
      </c>
      <c r="C1329" s="21" t="s">
        <v>1225</v>
      </c>
      <c r="D1329" s="21" t="s">
        <v>1217</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1277</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1508</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1467</v>
      </c>
      <c r="B1332" s="21" t="s">
        <v>1229</v>
      </c>
      <c r="C1332" s="21" t="s">
        <v>1255</v>
      </c>
      <c r="D1332" s="21" t="s">
        <v>1217</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1277</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1240</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1420</v>
      </c>
      <c r="B1335" s="21" t="s">
        <v>1221</v>
      </c>
      <c r="C1335" s="21" t="s">
        <v>1255</v>
      </c>
      <c r="D1335" s="21" t="s">
        <v>1217</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1266</v>
      </c>
      <c r="B1336" s="21" t="s">
        <v>1237</v>
      </c>
      <c r="C1336" s="21" t="s">
        <v>1255</v>
      </c>
      <c r="D1336" s="21" t="s">
        <v>1217</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1806</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1526</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1235</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1807</v>
      </c>
      <c r="B1340" s="21" t="s">
        <v>1224</v>
      </c>
      <c r="C1340" s="21" t="s">
        <v>1238</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1262</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row>
    <row r="1343" spans="1:12">
      <c r="A1343" s="20" t="s">
        <v>1808</v>
      </c>
    </row>
    <row r="1344" spans="1:12">
      <c r="A1344" s="20" t="s">
        <v>16</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16</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1809</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1577</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1235</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1810</v>
      </c>
      <c r="B1349" s="21" t="s">
        <v>1215</v>
      </c>
      <c r="C1349" s="21" t="s">
        <v>1238</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319</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1457</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row>
    <row r="1353" spans="1:12">
      <c r="A1353" s="20" t="s">
        <v>1811</v>
      </c>
    </row>
    <row r="1354" spans="1:12">
      <c r="A1354" s="20" t="s">
        <v>16</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16</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1812</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319</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1618</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row>
    <row r="1360" spans="1:12">
      <c r="A1360" s="20" t="s">
        <v>1813</v>
      </c>
    </row>
    <row r="1361" spans="1:12">
      <c r="A1361" s="20" t="s">
        <v>1397</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1814</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323</v>
      </c>
      <c r="B1363" s="21" t="s">
        <v>1244</v>
      </c>
      <c r="C1363" s="21" t="s">
        <v>1269</v>
      </c>
      <c r="D1363" s="21" t="s">
        <v>1217</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1245</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1266</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1815</v>
      </c>
      <c r="B1366" s="21" t="s">
        <v>1244</v>
      </c>
      <c r="C1366" s="21" t="s">
        <v>1269</v>
      </c>
      <c r="D1366" s="21" t="s">
        <v>1217</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1251</v>
      </c>
      <c r="B1367" s="21" t="s">
        <v>1229</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1816</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1817</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1743</v>
      </c>
      <c r="B1370" s="21" t="s">
        <v>1226</v>
      </c>
      <c r="C1370" s="21" t="s">
        <v>1242</v>
      </c>
      <c r="D1370" s="21" t="s">
        <v>1217</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1818</v>
      </c>
      <c r="B1371" s="21" t="s">
        <v>1237</v>
      </c>
      <c r="C1371" s="21" t="s">
        <v>1222</v>
      </c>
      <c r="D1371" s="21" t="s">
        <v>1217</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1618</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row>
    <row r="1374" spans="1:12">
      <c r="A1374" s="20" t="s">
        <v>1819</v>
      </c>
    </row>
    <row r="1375" spans="1:12">
      <c r="A1375" s="20" t="s">
        <v>1686</v>
      </c>
      <c r="B1375" s="21" t="s">
        <v>1215</v>
      </c>
      <c r="C1375" s="21" t="s">
        <v>1225</v>
      </c>
      <c r="D1375" s="21" t="s">
        <v>1217</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1650</v>
      </c>
      <c r="B1376" s="21" t="s">
        <v>1221</v>
      </c>
      <c r="C1376" s="21" t="s">
        <v>1225</v>
      </c>
      <c r="D1376" s="21" t="s">
        <v>1217</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1225</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1820</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1303</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1245</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1821</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1822</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1503</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1611</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row>
    <row r="1386" spans="1:12">
      <c r="A1386" s="20" t="s">
        <v>1823</v>
      </c>
    </row>
    <row r="1387" spans="1:12">
      <c r="A1387" s="20" t="s">
        <v>1264</v>
      </c>
      <c r="B1387" s="21" t="s">
        <v>1215</v>
      </c>
      <c r="C1387" s="21" t="s">
        <v>1255</v>
      </c>
      <c r="D1387" s="21" t="s">
        <v>1217</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1530</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1824</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1825</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1826</v>
      </c>
      <c r="B1391" s="21" t="s">
        <v>1244</v>
      </c>
      <c r="C1391" s="21" t="s">
        <v>1643</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1618</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1827</v>
      </c>
      <c r="B1393" s="21" t="s">
        <v>1221</v>
      </c>
      <c r="C1393" s="21" t="s">
        <v>1242</v>
      </c>
      <c r="D1393" s="21" t="s">
        <v>1217</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1828</v>
      </c>
      <c r="B1394" s="21" t="s">
        <v>1244</v>
      </c>
      <c r="C1394" s="21" t="s">
        <v>1222</v>
      </c>
      <c r="D1394" s="21" t="s">
        <v>1217</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16</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16</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1286</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1829</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1241</v>
      </c>
      <c r="B1399" s="21" t="s">
        <v>1224</v>
      </c>
      <c r="C1399" s="21" t="s">
        <v>1242</v>
      </c>
      <c r="D1399" s="21" t="s">
        <v>1217</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1830</v>
      </c>
      <c r="B1400" s="21" t="s">
        <v>1221</v>
      </c>
      <c r="C1400" s="21" t="s">
        <v>1222</v>
      </c>
      <c r="D1400" s="21" t="s">
        <v>1217</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1245</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1443</v>
      </c>
      <c r="B1402" s="21" t="s">
        <v>1224</v>
      </c>
      <c r="C1402" s="21" t="s">
        <v>1255</v>
      </c>
      <c r="D1402" s="21" t="s">
        <v>1217</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16</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16</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16</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1831</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1218</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1241</v>
      </c>
      <c r="B1408" s="21" t="s">
        <v>1224</v>
      </c>
      <c r="C1408" s="21" t="s">
        <v>1242</v>
      </c>
      <c r="D1408" s="21" t="s">
        <v>1217</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1832</v>
      </c>
      <c r="B1409" s="21" t="s">
        <v>1221</v>
      </c>
      <c r="C1409" s="21" t="s">
        <v>1222</v>
      </c>
      <c r="D1409" s="21" t="s">
        <v>1217</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1277</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1833</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1321</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1266</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1515</v>
      </c>
      <c r="B1414" s="21" t="s">
        <v>1229</v>
      </c>
      <c r="C1414" s="21" t="s">
        <v>1269</v>
      </c>
      <c r="D1414" s="21" t="s">
        <v>1217</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1834</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1835</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1329</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139</v>
      </c>
      <c r="B1418" s="21" t="s">
        <v>1249</v>
      </c>
      <c r="C1418" s="21" t="s">
        <v>1276</v>
      </c>
      <c r="D1418" s="21" t="s">
        <v>1217</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1262</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row>
    <row r="1421" spans="1:12">
      <c r="A1421" s="20" t="s">
        <v>1542</v>
      </c>
    </row>
    <row r="1422" spans="1:12">
      <c r="A1422" s="20" t="s">
        <v>135</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row>
    <row r="1424" spans="1:12">
      <c r="A1424" s="20" t="s">
        <v>1836</v>
      </c>
    </row>
    <row r="1425" spans="1:12">
      <c r="A1425" s="20" t="s">
        <v>1837</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1218</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1409</v>
      </c>
      <c r="B1427" s="21" t="s">
        <v>1224</v>
      </c>
      <c r="C1427" s="21" t="s">
        <v>1242</v>
      </c>
      <c r="D1427" s="21" t="s">
        <v>1217</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1838</v>
      </c>
      <c r="B1428" s="21" t="s">
        <v>1221</v>
      </c>
      <c r="C1428" s="21" t="s">
        <v>1222</v>
      </c>
      <c r="D1428" s="21" t="s">
        <v>1217</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1277</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1323</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1839</v>
      </c>
      <c r="B1431" s="21" t="s">
        <v>1215</v>
      </c>
      <c r="C1431" s="21" t="s">
        <v>1269</v>
      </c>
      <c r="D1431" s="21" t="s">
        <v>1217</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1302</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1840</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1286</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1841</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1262</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row>
    <row r="1438" spans="1:12">
      <c r="A1438" s="20" t="s">
        <v>1842</v>
      </c>
    </row>
    <row r="1439" spans="1:12">
      <c r="A1439" s="20" t="s">
        <v>1591</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1843</v>
      </c>
      <c r="B1440" s="21" t="s">
        <v>1215</v>
      </c>
      <c r="C1440" s="21" t="s">
        <v>1269</v>
      </c>
      <c r="D1440" s="21" t="s">
        <v>1217</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1844</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1277</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1845</v>
      </c>
      <c r="B1443" s="21" t="s">
        <v>1275</v>
      </c>
      <c r="C1443" s="21" t="s">
        <v>1279</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1245</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1218</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1219</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1846</v>
      </c>
      <c r="B1447" s="21" t="s">
        <v>1244</v>
      </c>
      <c r="C1447" s="21" t="s">
        <v>1269</v>
      </c>
      <c r="D1447" s="21" t="s">
        <v>1217</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1526</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1847</v>
      </c>
      <c r="B1449" s="21" t="s">
        <v>1221</v>
      </c>
      <c r="C1449" s="21" t="s">
        <v>1279</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1848</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1336</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1323</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1849</v>
      </c>
      <c r="B1453" s="21" t="s">
        <v>1224</v>
      </c>
      <c r="C1453" s="21" t="s">
        <v>1269</v>
      </c>
      <c r="D1453" s="21" t="s">
        <v>1217</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1850</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1277</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1286</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1323</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1784</v>
      </c>
      <c r="B1458" s="21" t="s">
        <v>1229</v>
      </c>
      <c r="C1458" s="21" t="s">
        <v>1216</v>
      </c>
      <c r="D1458" s="21" t="s">
        <v>1217</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1851</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1852</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1266</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1853</v>
      </c>
      <c r="B1462" s="21" t="s">
        <v>1249</v>
      </c>
      <c r="C1462" s="21" t="s">
        <v>1269</v>
      </c>
      <c r="D1462" s="21" t="s">
        <v>1217</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1526</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1471</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1854</v>
      </c>
      <c r="B1465" s="21" t="s">
        <v>1224</v>
      </c>
      <c r="C1465" s="21" t="s">
        <v>1238</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1855</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1286</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1856</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1262</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row>
    <row r="1471" spans="1:12">
      <c r="A1471" s="20" t="s">
        <v>1857</v>
      </c>
    </row>
    <row r="1472" spans="1:12">
      <c r="A1472" s="20" t="s">
        <v>1858</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1327</v>
      </c>
      <c r="B1473" s="21" t="s">
        <v>1244</v>
      </c>
      <c r="C1473" s="21" t="s">
        <v>1255</v>
      </c>
      <c r="D1473" s="21" t="s">
        <v>1217</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1474</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1859</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1323</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1860</v>
      </c>
      <c r="B1477" s="21" t="s">
        <v>1215</v>
      </c>
      <c r="C1477" s="21" t="s">
        <v>1269</v>
      </c>
      <c r="D1477" s="21" t="s">
        <v>1217</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1861</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1218</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1323</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1424</v>
      </c>
      <c r="B1481" s="21" t="s">
        <v>1221</v>
      </c>
      <c r="C1481" s="21" t="s">
        <v>1269</v>
      </c>
      <c r="D1481" s="21" t="s">
        <v>1217</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1747</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1219</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1862</v>
      </c>
      <c r="B1484" s="21" t="s">
        <v>1252</v>
      </c>
      <c r="C1484" s="21" t="s">
        <v>1269</v>
      </c>
      <c r="D1484" s="21" t="s">
        <v>1217</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1863</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1277</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1864</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1218</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1865</v>
      </c>
      <c r="B1489" s="21" t="s">
        <v>1259</v>
      </c>
      <c r="C1489" s="21" t="s">
        <v>1279</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1277</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1474</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1866</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1336</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1235</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1622</v>
      </c>
      <c r="B1495" s="21" t="s">
        <v>1226</v>
      </c>
      <c r="C1495" s="21" t="s">
        <v>1238</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1867</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1526</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1868</v>
      </c>
      <c r="B1498" s="21" t="s">
        <v>1259</v>
      </c>
      <c r="C1498" s="21" t="s">
        <v>1279</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1262</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row>
    <row r="1501" spans="1:12">
      <c r="A1501" s="20" t="s">
        <v>1869</v>
      </c>
    </row>
    <row r="1502" spans="1:12">
      <c r="A1502" s="20" t="s">
        <v>1658</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1870</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1871</v>
      </c>
      <c r="B1504" s="21" t="s">
        <v>1215</v>
      </c>
      <c r="C1504" s="21" t="s">
        <v>1238</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1872</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1277</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1873</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1218</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1219</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1587</v>
      </c>
      <c r="B1510" s="21" t="s">
        <v>1224</v>
      </c>
      <c r="C1510" s="21" t="s">
        <v>1269</v>
      </c>
      <c r="D1510" s="21" t="s">
        <v>1217</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1218</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1266</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1874</v>
      </c>
      <c r="B1513" s="21" t="s">
        <v>1226</v>
      </c>
      <c r="C1513" s="21" t="s">
        <v>1269</v>
      </c>
      <c r="D1513" s="21" t="s">
        <v>1217</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1277</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1373</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1875</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1336</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1266</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1631</v>
      </c>
      <c r="B1519" s="21" t="s">
        <v>1244</v>
      </c>
      <c r="C1519" s="21" t="s">
        <v>1269</v>
      </c>
      <c r="D1519" s="21" t="s">
        <v>1217</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1286</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1876</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1336</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1323</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1385</v>
      </c>
      <c r="B1524" s="21" t="s">
        <v>1221</v>
      </c>
      <c r="C1524" s="21" t="s">
        <v>1269</v>
      </c>
      <c r="D1524" s="21" t="s">
        <v>1217</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1262</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row>
    <row r="1527" spans="1:12">
      <c r="A1527" s="20" t="s">
        <v>1877</v>
      </c>
    </row>
    <row r="1528" spans="1:12">
      <c r="A1528" s="20" t="s">
        <v>1878</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1471</v>
      </c>
      <c r="B1529" s="21" t="s">
        <v>1215</v>
      </c>
      <c r="C1529" s="21" t="s">
        <v>1222</v>
      </c>
      <c r="D1529" s="21" t="s">
        <v>1217</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1526</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1879</v>
      </c>
      <c r="B1531" s="21" t="s">
        <v>1221</v>
      </c>
      <c r="C1531" s="21" t="s">
        <v>1255</v>
      </c>
      <c r="D1531" s="21" t="s">
        <v>1217</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1373</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1880</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1881</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1262</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row>
    <row r="1537" spans="1:12">
      <c r="A1537" s="20" t="s">
        <v>1882</v>
      </c>
    </row>
    <row r="1538" spans="1:12">
      <c r="A1538" s="20" t="s">
        <v>1591</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1883</v>
      </c>
      <c r="B1539" s="21" t="s">
        <v>1215</v>
      </c>
      <c r="C1539" s="21" t="s">
        <v>1269</v>
      </c>
      <c r="D1539" s="21" t="s">
        <v>1217</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1884</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1218</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1885</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1323</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176</v>
      </c>
      <c r="B1544" s="21" t="s">
        <v>1249</v>
      </c>
      <c r="C1544" s="21" t="s">
        <v>1269</v>
      </c>
      <c r="D1544" s="21" t="s">
        <v>1217</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1262</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row>
    <row r="1547" spans="1:12">
      <c r="A1547" s="20" t="s">
        <v>1886</v>
      </c>
    </row>
    <row r="1548" spans="1:12">
      <c r="A1548" s="20" t="s">
        <v>1264</v>
      </c>
      <c r="B1548" s="21" t="s">
        <v>1215</v>
      </c>
      <c r="C1548" s="21" t="s">
        <v>1255</v>
      </c>
      <c r="D1548" s="21" t="s">
        <v>1217</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1225</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1730</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1596</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1321</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1323</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1887</v>
      </c>
      <c r="B1554" s="21" t="s">
        <v>1244</v>
      </c>
      <c r="C1554" s="21" t="s">
        <v>1269</v>
      </c>
      <c r="D1554" s="21" t="s">
        <v>1217</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1218</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1323</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184</v>
      </c>
      <c r="B1557" s="21" t="s">
        <v>1221</v>
      </c>
      <c r="C1557" s="21" t="s">
        <v>1269</v>
      </c>
      <c r="D1557" s="21" t="s">
        <v>1217</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1245</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1603</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1636</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1219</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1548</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1642</v>
      </c>
      <c r="B1563" s="21" t="s">
        <v>1283</v>
      </c>
      <c r="C1563" s="21" t="s">
        <v>1269</v>
      </c>
      <c r="D1563" s="21" t="s">
        <v>1217</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1277</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1266</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1888</v>
      </c>
      <c r="B1566" s="21" t="s">
        <v>1226</v>
      </c>
      <c r="C1566" s="21" t="s">
        <v>1269</v>
      </c>
      <c r="D1566" s="21" t="s">
        <v>1217</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1218</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1889</v>
      </c>
      <c r="B1568" s="21" t="s">
        <v>1261</v>
      </c>
      <c r="C1568" s="21" t="s">
        <v>1279</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1245</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1219</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1680</v>
      </c>
      <c r="B1571" s="21" t="s">
        <v>1261</v>
      </c>
      <c r="C1571" s="21" t="s">
        <v>1269</v>
      </c>
      <c r="D1571" s="21" t="s">
        <v>1217</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1890</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1286</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1266</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1891</v>
      </c>
      <c r="B1575" s="21" t="s">
        <v>1226</v>
      </c>
      <c r="C1575" s="21" t="s">
        <v>1269</v>
      </c>
      <c r="D1575" s="21" t="s">
        <v>1217</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1892</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1218</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1266</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1893</v>
      </c>
      <c r="B1579" s="21" t="s">
        <v>1261</v>
      </c>
      <c r="C1579" s="21" t="s">
        <v>1269</v>
      </c>
      <c r="D1579" s="21" t="s">
        <v>1217</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1251</v>
      </c>
      <c r="B1580" s="21" t="s">
        <v>1748</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1266</v>
      </c>
      <c r="B1581" s="21" t="s">
        <v>1894</v>
      </c>
      <c r="C1581" s="21" t="s">
        <v>1255</v>
      </c>
      <c r="D1581" s="21" t="s">
        <v>1217</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1895</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1277</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1896</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1245</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1897</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1240</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1898</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1258</v>
      </c>
      <c r="B1589" s="21" t="s">
        <v>1259</v>
      </c>
      <c r="C1589" s="21" t="s">
        <v>1242</v>
      </c>
      <c r="D1589" s="21" t="s">
        <v>1217</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1694</v>
      </c>
      <c r="B1590" s="21" t="s">
        <v>1254</v>
      </c>
      <c r="C1590" s="21" t="s">
        <v>1222</v>
      </c>
      <c r="D1590" s="21" t="s">
        <v>1217</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1262</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row>
    <row r="1593" spans="1:12">
      <c r="A1593" s="20" t="s">
        <v>1899</v>
      </c>
    </row>
    <row r="1594" spans="1:12">
      <c r="A1594" s="20" t="s">
        <v>1658</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1732</v>
      </c>
      <c r="B1595" s="21" t="s">
        <v>1244</v>
      </c>
      <c r="C1595" s="21" t="s">
        <v>1279</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1240</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1732</v>
      </c>
      <c r="B1597" s="21" t="s">
        <v>1221</v>
      </c>
      <c r="C1597" s="21" t="s">
        <v>1279</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1277</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1266</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1514</v>
      </c>
      <c r="B1600" s="21" t="s">
        <v>1215</v>
      </c>
      <c r="C1600" s="21" t="s">
        <v>1269</v>
      </c>
      <c r="D1600" s="21" t="s">
        <v>1217</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1900</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1251</v>
      </c>
      <c r="B1602" s="21" t="s">
        <v>1283</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1517</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1323</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1385</v>
      </c>
      <c r="B1605" s="21" t="s">
        <v>1237</v>
      </c>
      <c r="C1605" s="21" t="s">
        <v>1269</v>
      </c>
      <c r="D1605" s="21" t="s">
        <v>1217</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1474</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1782</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1393</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1218</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1323</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1546</v>
      </c>
      <c r="B1611" s="21" t="s">
        <v>1221</v>
      </c>
      <c r="C1611" s="21" t="s">
        <v>1222</v>
      </c>
      <c r="D1611" s="21" t="s">
        <v>1217</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1218</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1547</v>
      </c>
      <c r="B1613" s="21" t="s">
        <v>1224</v>
      </c>
      <c r="C1613" s="21" t="s">
        <v>1225</v>
      </c>
      <c r="D1613" s="21" t="s">
        <v>1217</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1262</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row>
    <row r="1616" spans="1:12">
      <c r="A1616" s="20" t="s">
        <v>1901</v>
      </c>
    </row>
    <row r="1617" spans="1:12">
      <c r="A1617" s="20" t="s">
        <v>1902</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1219</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1903</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1904</v>
      </c>
      <c r="B1620" s="21" t="s">
        <v>1215</v>
      </c>
      <c r="C1620" s="21" t="s">
        <v>1269</v>
      </c>
      <c r="D1620" s="21" t="s">
        <v>1217</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1526</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1905</v>
      </c>
      <c r="B1622" s="21" t="s">
        <v>1221</v>
      </c>
      <c r="C1622" s="21" t="s">
        <v>1279</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1277</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1906</v>
      </c>
      <c r="B1624" s="21" t="s">
        <v>1221</v>
      </c>
      <c r="C1624" s="21" t="s">
        <v>1279</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1218</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1323</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1907</v>
      </c>
      <c r="B1627" s="21" t="s">
        <v>1224</v>
      </c>
      <c r="C1627" s="21" t="s">
        <v>1269</v>
      </c>
      <c r="D1627" s="21" t="s">
        <v>1217</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1277</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1373</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1908</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1909</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1218</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1266</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1910</v>
      </c>
      <c r="B1634" s="21" t="s">
        <v>1221</v>
      </c>
      <c r="C1634" s="21" t="s">
        <v>1269</v>
      </c>
      <c r="D1634" s="21" t="s">
        <v>1217</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1218</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1854</v>
      </c>
      <c r="B1636" s="21" t="s">
        <v>1224</v>
      </c>
      <c r="C1636" s="21" t="s">
        <v>1279</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1911</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1363</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1323</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1912</v>
      </c>
      <c r="B1640" s="21" t="s">
        <v>1226</v>
      </c>
      <c r="C1640" s="21" t="s">
        <v>1269</v>
      </c>
      <c r="D1640" s="21" t="s">
        <v>1217</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1913</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1262</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row>
    <row r="1644" spans="1:12">
      <c r="A1644" s="20" t="s">
        <v>1914</v>
      </c>
    </row>
    <row r="1645" spans="1:12">
      <c r="A1645" s="20" t="s">
        <v>1299</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1629</v>
      </c>
      <c r="B1646" s="21" t="s">
        <v>1215</v>
      </c>
      <c r="C1646" s="21" t="s">
        <v>1269</v>
      </c>
      <c r="D1646" s="21" t="s">
        <v>1217</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1218</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1266</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1631</v>
      </c>
      <c r="B1649" s="21" t="s">
        <v>1221</v>
      </c>
      <c r="C1649" s="21" t="s">
        <v>1269</v>
      </c>
      <c r="D1649" s="21" t="s">
        <v>1217</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1266</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1596</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1915</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1218</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1327</v>
      </c>
      <c r="B1654" s="21" t="s">
        <v>1226</v>
      </c>
      <c r="C1654" s="21" t="s">
        <v>1255</v>
      </c>
      <c r="D1654" s="21" t="s">
        <v>1217</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1916</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1917</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1286</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1219</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1918</v>
      </c>
      <c r="B1659" s="21" t="s">
        <v>1229</v>
      </c>
      <c r="C1659" s="21" t="s">
        <v>1269</v>
      </c>
      <c r="D1659" s="21" t="s">
        <v>1217</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1919</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1920</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1585</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1235</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1921</v>
      </c>
      <c r="B1664" s="21" t="s">
        <v>1221</v>
      </c>
      <c r="C1664" s="21" t="s">
        <v>1238</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1218</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1922</v>
      </c>
      <c r="B1666" s="21" t="s">
        <v>1224</v>
      </c>
      <c r="C1666" s="21" t="s">
        <v>1279</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1923</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1262</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row>
    <row r="1670" spans="1:12">
      <c r="A1670" s="20" t="s">
        <v>1924</v>
      </c>
    </row>
    <row r="1671" spans="1:12">
      <c r="A1671" s="20" t="s">
        <v>1925</v>
      </c>
      <c r="B1671" s="21" t="s">
        <v>1215</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1218</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1219</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1926</v>
      </c>
      <c r="B1674" s="21" t="s">
        <v>1221</v>
      </c>
      <c r="C1674" s="21" t="s">
        <v>1269</v>
      </c>
      <c r="D1674" s="21" t="s">
        <v>1217</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1218</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1515</v>
      </c>
      <c r="B1676" s="21" t="s">
        <v>1224</v>
      </c>
      <c r="C1676" s="21" t="s">
        <v>1279</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1927</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1219</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1548</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1928</v>
      </c>
      <c r="B1680" s="21" t="s">
        <v>1275</v>
      </c>
      <c r="C1680" s="21" t="s">
        <v>1269</v>
      </c>
      <c r="D1680" s="21" t="s">
        <v>1217</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1218</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1323</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1424</v>
      </c>
      <c r="B1683" s="21" t="s">
        <v>1221</v>
      </c>
      <c r="C1683" s="21" t="s">
        <v>1269</v>
      </c>
      <c r="D1683" s="21" t="s">
        <v>1217</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1286</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1474</v>
      </c>
      <c r="B1685" s="21" t="s">
        <v>1249</v>
      </c>
      <c r="C1685" s="21" t="s">
        <v>1255</v>
      </c>
      <c r="D1685" s="21" t="s">
        <v>1217</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1929</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1277</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1323</v>
      </c>
      <c r="B1688" s="21" t="s">
        <v>1249</v>
      </c>
      <c r="C1688" s="21" t="s">
        <v>1255</v>
      </c>
      <c r="D1688" s="21" t="s">
        <v>1217</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1930</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1931</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1245</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1235</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1932</v>
      </c>
      <c r="B1693" s="21" t="s">
        <v>1221</v>
      </c>
      <c r="C1693" s="21" t="s">
        <v>1238</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1251</v>
      </c>
      <c r="B1694" s="21" t="s">
        <v>1252</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1933</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1336</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1471</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1934</v>
      </c>
      <c r="B1698" s="21" t="s">
        <v>1226</v>
      </c>
      <c r="C1698" s="21" t="s">
        <v>1238</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1935</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1262</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row>
    <row r="1702" spans="1:12">
      <c r="A1702" s="20" t="s">
        <v>1936</v>
      </c>
    </row>
    <row r="1703" spans="1:12">
      <c r="A1703" s="20" t="s">
        <v>548</v>
      </c>
      <c r="B1703" s="21" t="s">
        <v>1215</v>
      </c>
      <c r="C1703" s="21" t="s">
        <v>1225</v>
      </c>
      <c r="D1703" s="21" t="s">
        <v>1217</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1937</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1241</v>
      </c>
      <c r="B1705" s="21" t="s">
        <v>1221</v>
      </c>
      <c r="C1705" s="21" t="s">
        <v>1242</v>
      </c>
      <c r="D1705" s="21" t="s">
        <v>1217</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1938</v>
      </c>
      <c r="B1706" s="21" t="s">
        <v>1275</v>
      </c>
      <c r="C1706" s="21" t="s">
        <v>1222</v>
      </c>
      <c r="D1706" s="21" t="s">
        <v>1217</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1336</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1266</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1939</v>
      </c>
      <c r="B1709" s="21" t="s">
        <v>1244</v>
      </c>
      <c r="C1709" s="21" t="s">
        <v>1269</v>
      </c>
      <c r="D1709" s="21" t="s">
        <v>1217</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1251</v>
      </c>
      <c r="B1710" s="21" t="s">
        <v>1283</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1327</v>
      </c>
      <c r="B1711" s="21" t="s">
        <v>1237</v>
      </c>
      <c r="C1711" s="21" t="s">
        <v>1255</v>
      </c>
      <c r="D1711" s="21" t="s">
        <v>1217</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1940</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1286</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1941</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1218</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1266</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1942</v>
      </c>
      <c r="B1717" s="21" t="s">
        <v>1221</v>
      </c>
      <c r="C1717" s="21" t="s">
        <v>1269</v>
      </c>
      <c r="D1717" s="21" t="s">
        <v>1217</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1257</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1235</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1943</v>
      </c>
      <c r="B1720" s="21" t="s">
        <v>1221</v>
      </c>
      <c r="C1720" s="21" t="s">
        <v>1238</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1526</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1798</v>
      </c>
      <c r="B1722" s="21" t="s">
        <v>1224</v>
      </c>
      <c r="C1722" s="21" t="s">
        <v>1279</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1262</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row>
    <row r="1725" spans="1:12">
      <c r="A1725" s="20" t="s">
        <v>1944</v>
      </c>
    </row>
    <row r="1726" spans="1:12">
      <c r="A1726" s="20" t="s">
        <v>1453</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1945</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1649</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1650</v>
      </c>
      <c r="B1729" s="21" t="s">
        <v>1283</v>
      </c>
      <c r="C1729" s="21" t="s">
        <v>1225</v>
      </c>
      <c r="D1729" s="21" t="s">
        <v>1217</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1301</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1530</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1303</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1946</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1833</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1235</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1947</v>
      </c>
      <c r="B1736" s="21" t="s">
        <v>1224</v>
      </c>
      <c r="C1736" s="21" t="s">
        <v>1238</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1526</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1948</v>
      </c>
      <c r="B1738" s="21" t="s">
        <v>1226</v>
      </c>
      <c r="C1738" s="21" t="s">
        <v>1279</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1277</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1351</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1467</v>
      </c>
      <c r="B1741" s="21" t="s">
        <v>1229</v>
      </c>
      <c r="C1741" s="21" t="s">
        <v>1255</v>
      </c>
      <c r="D1741" s="21" t="s">
        <v>1217</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1277</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1266</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139</v>
      </c>
      <c r="B1744" s="21" t="s">
        <v>1215</v>
      </c>
      <c r="C1744" s="21" t="s">
        <v>1269</v>
      </c>
      <c r="D1744" s="21" t="s">
        <v>1217</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1949</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1950</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1245</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1280</v>
      </c>
      <c r="B1748" s="21" t="s">
        <v>1221</v>
      </c>
      <c r="C1748" s="21" t="s">
        <v>1242</v>
      </c>
      <c r="D1748" s="21" t="s">
        <v>1217</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1388</v>
      </c>
      <c r="B1749" s="21" t="s">
        <v>1244</v>
      </c>
      <c r="C1749" s="21" t="s">
        <v>1222</v>
      </c>
      <c r="D1749" s="21" t="s">
        <v>1217</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1262</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row>
    <row r="1752" spans="1:12">
      <c r="A1752" s="20" t="s">
        <v>1951</v>
      </c>
    </row>
    <row r="1753" spans="1:12">
      <c r="A1753" s="20" t="s">
        <v>1952</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1471</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1953</v>
      </c>
      <c r="B1755" s="21" t="s">
        <v>1244</v>
      </c>
      <c r="C1755" s="21" t="s">
        <v>1238</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1277</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565</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1327</v>
      </c>
      <c r="B1758" s="21" t="s">
        <v>1275</v>
      </c>
      <c r="C1758" s="21" t="s">
        <v>1255</v>
      </c>
      <c r="D1758" s="21" t="s">
        <v>1217</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1949</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1954</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1218</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1058</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1346</v>
      </c>
      <c r="B1763" s="21" t="s">
        <v>1224</v>
      </c>
      <c r="C1763" s="21" t="s">
        <v>1242</v>
      </c>
      <c r="D1763" s="21" t="s">
        <v>1217</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1938</v>
      </c>
      <c r="B1764" s="21" t="s">
        <v>1249</v>
      </c>
      <c r="C1764" s="21" t="s">
        <v>1222</v>
      </c>
      <c r="D1764" s="21" t="s">
        <v>1217</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1245</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1266</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1955</v>
      </c>
      <c r="B1767" s="21" t="s">
        <v>1221</v>
      </c>
      <c r="C1767" s="21" t="s">
        <v>1222</v>
      </c>
      <c r="D1767" s="21" t="s">
        <v>1217</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1218</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1346</v>
      </c>
      <c r="B1769" s="21" t="s">
        <v>1226</v>
      </c>
      <c r="C1769" s="21" t="s">
        <v>1242</v>
      </c>
      <c r="D1769" s="21" t="s">
        <v>1217</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1956</v>
      </c>
      <c r="B1770" s="21" t="s">
        <v>1224</v>
      </c>
      <c r="C1770" s="21" t="s">
        <v>1222</v>
      </c>
      <c r="D1770" s="21" t="s">
        <v>1217</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1262</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row>
    <row r="1773" spans="1:12">
      <c r="A1773" s="20" t="s">
        <v>1957</v>
      </c>
    </row>
    <row r="1774" spans="1:12">
      <c r="A1774" s="20" t="s">
        <v>16</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16</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1945</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1327</v>
      </c>
      <c r="B1777" s="21" t="s">
        <v>1215</v>
      </c>
      <c r="C1777" s="21" t="s">
        <v>1255</v>
      </c>
      <c r="D1777" s="21" t="s">
        <v>1217</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1327</v>
      </c>
      <c r="B1778" s="21" t="s">
        <v>1275</v>
      </c>
      <c r="C1778" s="21" t="s">
        <v>1255</v>
      </c>
      <c r="D1778" s="21" t="s">
        <v>1217</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1958</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1436</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1245</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1228</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1505</v>
      </c>
      <c r="B1783" s="21" t="s">
        <v>1244</v>
      </c>
      <c r="C1783" s="21" t="s">
        <v>1269</v>
      </c>
      <c r="D1783" s="21" t="s">
        <v>1217</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1636</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1266</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1610</v>
      </c>
      <c r="B1786" s="21" t="s">
        <v>1283</v>
      </c>
      <c r="C1786" s="21" t="s">
        <v>1269</v>
      </c>
      <c r="D1786" s="21" t="s">
        <v>1217</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1474</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1959</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1457</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1960</v>
      </c>
      <c r="B1790" s="21" t="s">
        <v>1237</v>
      </c>
      <c r="C1790" s="21" t="s">
        <v>1279</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1262</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row>
    <row r="1793" spans="1:12">
      <c r="A1793" s="20" t="s">
        <v>1961</v>
      </c>
    </row>
    <row r="1794" spans="1:12">
      <c r="A1794" s="20" t="s">
        <v>16</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16</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16</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1566</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1277</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1962</v>
      </c>
      <c r="B1799" s="21" t="s">
        <v>1215</v>
      </c>
      <c r="C1799" s="21" t="s">
        <v>1234</v>
      </c>
      <c r="D1799" s="21" t="s">
        <v>1217</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1530</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1963</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1262</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row>
    <row r="1804" spans="1:12">
      <c r="A1804" s="20" t="s">
        <v>1542</v>
      </c>
    </row>
    <row r="1805" spans="1:12">
      <c r="A1805" s="20" t="s">
        <v>135</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row>
    <row r="1807" spans="1:12">
      <c r="A1807" s="20" t="s">
        <v>1964</v>
      </c>
    </row>
    <row r="1808" spans="1:12">
      <c r="A1808" s="20" t="s">
        <v>1353</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1965</v>
      </c>
      <c r="B1809" s="21" t="s">
        <v>1221</v>
      </c>
      <c r="C1809" s="21" t="s">
        <v>1279</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1321</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1273</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1966</v>
      </c>
      <c r="B1812" s="21" t="s">
        <v>1283</v>
      </c>
      <c r="C1812" s="21" t="s">
        <v>1276</v>
      </c>
      <c r="D1812" s="21" t="s">
        <v>1217</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1218</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1515</v>
      </c>
      <c r="B1814" s="21" t="s">
        <v>1226</v>
      </c>
      <c r="C1814" s="21" t="s">
        <v>1279</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1327</v>
      </c>
      <c r="B1815" s="21" t="s">
        <v>1237</v>
      </c>
      <c r="C1815" s="21" t="s">
        <v>1255</v>
      </c>
      <c r="D1815" s="21" t="s">
        <v>1217</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1967</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1277</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1327</v>
      </c>
      <c r="B1818" s="21" t="s">
        <v>1275</v>
      </c>
      <c r="C1818" s="21" t="s">
        <v>1255</v>
      </c>
      <c r="D1818" s="21" t="s">
        <v>1217</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1968</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1524</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1551</v>
      </c>
      <c r="B1821" s="21" t="s">
        <v>1244</v>
      </c>
      <c r="C1821" s="21" t="s">
        <v>1255</v>
      </c>
      <c r="D1821" s="21" t="s">
        <v>1217</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1262</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row>
    <row r="1824" spans="1:12">
      <c r="A1824" s="20" t="s">
        <v>1969</v>
      </c>
    </row>
    <row r="1825" spans="1:12">
      <c r="A1825" s="20" t="s">
        <v>1970</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1971</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1549</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1550</v>
      </c>
      <c r="B1828" s="21" t="s">
        <v>1244</v>
      </c>
      <c r="C1828" s="21" t="s">
        <v>1643</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1972</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1327</v>
      </c>
      <c r="B1830" s="21" t="s">
        <v>1215</v>
      </c>
      <c r="C1830" s="21" t="s">
        <v>1255</v>
      </c>
      <c r="D1830" s="21" t="s">
        <v>1217</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1973</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1218</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1323</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1424</v>
      </c>
      <c r="B1834" s="21" t="s">
        <v>1244</v>
      </c>
      <c r="C1834" s="21" t="s">
        <v>1269</v>
      </c>
      <c r="D1834" s="21" t="s">
        <v>1217</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1262</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row>
    <row r="1837" spans="1:12">
      <c r="A1837" s="20" t="s">
        <v>1974</v>
      </c>
    </row>
    <row r="1838" spans="1:12">
      <c r="A1838" s="20" t="s">
        <v>1595</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1329</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1975</v>
      </c>
      <c r="B1840" s="21" t="s">
        <v>1215</v>
      </c>
      <c r="C1840" s="21" t="s">
        <v>1276</v>
      </c>
      <c r="D1840" s="21" t="s">
        <v>1217</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1976</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1277</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1747</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1323</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1784</v>
      </c>
      <c r="B1845" s="21" t="s">
        <v>1283</v>
      </c>
      <c r="C1845" s="21" t="s">
        <v>1216</v>
      </c>
      <c r="D1845" s="21" t="s">
        <v>1217</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1977</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1323</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1978</v>
      </c>
      <c r="B1848" s="21" t="s">
        <v>1237</v>
      </c>
      <c r="C1848" s="21" t="s">
        <v>1269</v>
      </c>
      <c r="D1848" s="21" t="s">
        <v>1217</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1277</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1327</v>
      </c>
      <c r="B1850" s="21" t="s">
        <v>1215</v>
      </c>
      <c r="C1850" s="21" t="s">
        <v>1255</v>
      </c>
      <c r="D1850" s="21" t="s">
        <v>1217</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1979</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1980</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1262</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row>
    <row r="1855" spans="1:12">
      <c r="A1855" s="20" t="s">
        <v>1981</v>
      </c>
    </row>
    <row r="1856" spans="1:12">
      <c r="A1856" s="20" t="s">
        <v>1453</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1334</v>
      </c>
      <c r="B1857" s="21" t="s">
        <v>1215</v>
      </c>
      <c r="C1857" s="21" t="s">
        <v>1255</v>
      </c>
      <c r="D1857" s="21" t="s">
        <v>1217</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1982</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1983</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1277</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1351</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548</v>
      </c>
      <c r="B1862" s="21" t="s">
        <v>1221</v>
      </c>
      <c r="C1862" s="21" t="s">
        <v>1225</v>
      </c>
      <c r="D1862" s="21" t="s">
        <v>1217</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1262</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row>
    <row r="1865" spans="1:12">
      <c r="A1865" s="20" t="s">
        <v>1984</v>
      </c>
    </row>
    <row r="1866" spans="1:12">
      <c r="A1866" s="20" t="s">
        <v>1334</v>
      </c>
      <c r="B1866" s="21" t="s">
        <v>1215</v>
      </c>
      <c r="C1866" s="21" t="s">
        <v>1255</v>
      </c>
      <c r="D1866" s="21" t="s">
        <v>1217</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1225</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1564</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1303</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958</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1323</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1985</v>
      </c>
      <c r="B1872" s="21" t="s">
        <v>1249</v>
      </c>
      <c r="C1872" s="21" t="s">
        <v>1269</v>
      </c>
      <c r="D1872" s="21" t="s">
        <v>1217</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1321</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1266</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1669</v>
      </c>
      <c r="B1875" s="21" t="s">
        <v>1252</v>
      </c>
      <c r="C1875" s="21" t="s">
        <v>1269</v>
      </c>
      <c r="D1875" s="21" t="s">
        <v>1217</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1986</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1987</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1833</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1526</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1027</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1436</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1245</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1327</v>
      </c>
      <c r="B1883" s="21" t="s">
        <v>1259</v>
      </c>
      <c r="C1883" s="21" t="s">
        <v>1255</v>
      </c>
      <c r="D1883" s="21" t="s">
        <v>1217</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1262</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row>
    <row r="1886" spans="1:12">
      <c r="A1886" s="20" t="s">
        <v>1988</v>
      </c>
    </row>
    <row r="1887" spans="1:12">
      <c r="A1887" s="20" t="s">
        <v>1989</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1636</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1327</v>
      </c>
      <c r="B1889" s="21" t="s">
        <v>1229</v>
      </c>
      <c r="C1889" s="21" t="s">
        <v>1255</v>
      </c>
      <c r="D1889" s="21" t="s">
        <v>1217</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1481</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1277</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1245</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1852</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1990</v>
      </c>
      <c r="B1894" s="21" t="s">
        <v>1221</v>
      </c>
      <c r="C1894" s="21" t="s">
        <v>1279</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1262</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row>
    <row r="1897" spans="1:12">
      <c r="A1897" s="20" t="s">
        <v>1991</v>
      </c>
    </row>
    <row r="1898" spans="1:12">
      <c r="A1898" s="20" t="s">
        <v>135</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1992</v>
      </c>
      <c r="B1899" s="21" t="s">
        <v>1221</v>
      </c>
      <c r="C1899" s="21" t="s">
        <v>1242</v>
      </c>
      <c r="D1899" s="21" t="s">
        <v>1217</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1459</v>
      </c>
      <c r="B1900" s="21" t="s">
        <v>1215</v>
      </c>
      <c r="C1900" s="21" t="s">
        <v>1222</v>
      </c>
      <c r="D1900" s="21" t="s">
        <v>1217</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1474</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1993</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1286</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1994</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1280</v>
      </c>
      <c r="B1905" s="21" t="s">
        <v>1224</v>
      </c>
      <c r="C1905" s="21" t="s">
        <v>1242</v>
      </c>
      <c r="D1905" s="21" t="s">
        <v>1217</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1995</v>
      </c>
      <c r="B1906" s="21" t="s">
        <v>1249</v>
      </c>
      <c r="C1906" s="21" t="s">
        <v>1222</v>
      </c>
      <c r="D1906" s="21" t="s">
        <v>1217</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1996</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1323</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1997</v>
      </c>
      <c r="B1909" s="21" t="s">
        <v>1224</v>
      </c>
      <c r="C1909" s="21" t="s">
        <v>1269</v>
      </c>
      <c r="D1909" s="21" t="s">
        <v>1217</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1262</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row>
    <row r="1912" spans="1:12">
      <c r="A1912" s="20" t="s">
        <v>1998</v>
      </c>
    </row>
    <row r="1913" spans="1:12">
      <c r="A1913" s="20" t="s">
        <v>1453</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1999</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1277</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1312</v>
      </c>
      <c r="B1916" s="21" t="s">
        <v>1221</v>
      </c>
      <c r="C1916" s="21" t="s">
        <v>1242</v>
      </c>
      <c r="D1916" s="21" t="s">
        <v>1217</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1149</v>
      </c>
      <c r="B1917" s="21" t="s">
        <v>1244</v>
      </c>
      <c r="C1917" s="21" t="s">
        <v>1225</v>
      </c>
      <c r="D1917" s="21" t="s">
        <v>1217</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1503</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1508</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1467</v>
      </c>
      <c r="B1920" s="21" t="s">
        <v>1229</v>
      </c>
      <c r="C1920" s="21" t="s">
        <v>1255</v>
      </c>
      <c r="D1920" s="21" t="s">
        <v>1217</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1240</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1474</v>
      </c>
      <c r="B1922" s="21" t="s">
        <v>1237</v>
      </c>
      <c r="C1922" s="21" t="s">
        <v>1255</v>
      </c>
      <c r="D1922" s="21" t="s">
        <v>1217</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2000</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1277</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1611</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565</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1420</v>
      </c>
      <c r="B1927" s="21" t="s">
        <v>1237</v>
      </c>
      <c r="C1927" s="21" t="s">
        <v>1255</v>
      </c>
      <c r="D1927" s="21" t="s">
        <v>1217</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1506</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1321</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1419</v>
      </c>
      <c r="B1930" s="21" t="s">
        <v>1252</v>
      </c>
      <c r="C1930" s="21" t="s">
        <v>1255</v>
      </c>
      <c r="D1930" s="21" t="s">
        <v>1217</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1228</v>
      </c>
      <c r="B1931" s="21" t="s">
        <v>1292</v>
      </c>
      <c r="C1931" s="21" t="s">
        <v>1255</v>
      </c>
      <c r="D1931" s="21" t="s">
        <v>1217</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2001</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360</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1503</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row>
    <row r="1936" spans="1:12">
      <c r="A1936" s="20" t="s">
        <v>1542</v>
      </c>
    </row>
    <row r="1937" spans="1:12">
      <c r="A1937" s="20" t="s">
        <v>135</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row>
    <row r="1939" spans="1:12">
      <c r="A1939" s="20" t="s">
        <v>2002</v>
      </c>
    </row>
    <row r="1940" spans="1:12">
      <c r="A1940" s="20" t="s">
        <v>1214</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1615</v>
      </c>
      <c r="B1941" s="21" t="s">
        <v>1215</v>
      </c>
      <c r="C1941" s="21" t="s">
        <v>1238</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1218</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1303</v>
      </c>
      <c r="B1943" s="21" t="s">
        <v>1221</v>
      </c>
      <c r="C1943" s="21" t="s">
        <v>1279</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2003</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2004</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1266</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2005</v>
      </c>
      <c r="B1947" s="21" t="s">
        <v>1275</v>
      </c>
      <c r="C1947" s="21" t="s">
        <v>1269</v>
      </c>
      <c r="D1947" s="21" t="s">
        <v>1217</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1218</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1323</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1385</v>
      </c>
      <c r="B1950" s="21" t="s">
        <v>1221</v>
      </c>
      <c r="C1950" s="21" t="s">
        <v>1269</v>
      </c>
      <c r="D1950" s="21" t="s">
        <v>1217</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1262</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row>
    <row r="1953" spans="1:12">
      <c r="A1953" s="20" t="s">
        <v>2006</v>
      </c>
    </row>
    <row r="1954" spans="1:12">
      <c r="A1954" s="20" t="s">
        <v>2007</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1245</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1266</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2008</v>
      </c>
      <c r="B1957" s="21" t="s">
        <v>1221</v>
      </c>
      <c r="C1957" s="21" t="s">
        <v>1269</v>
      </c>
      <c r="D1957" s="21" t="s">
        <v>1217</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1218</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1219</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2009</v>
      </c>
      <c r="B1960" s="21" t="s">
        <v>1224</v>
      </c>
      <c r="C1960" s="21" t="s">
        <v>1269</v>
      </c>
      <c r="D1960" s="21" t="s">
        <v>1217</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1277</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1327</v>
      </c>
      <c r="B1962" s="21" t="s">
        <v>1275</v>
      </c>
      <c r="C1962" s="21" t="s">
        <v>1255</v>
      </c>
      <c r="D1962" s="21" t="s">
        <v>1217</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2010</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1666</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2011</v>
      </c>
      <c r="B1965" s="21" t="s">
        <v>1244</v>
      </c>
      <c r="C1965" s="21" t="s">
        <v>1279</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1323</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2012</v>
      </c>
      <c r="B1967" s="21" t="s">
        <v>1215</v>
      </c>
      <c r="C1967" s="21" t="s">
        <v>1269</v>
      </c>
      <c r="D1967" s="21" t="s">
        <v>1217</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2013</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1251</v>
      </c>
      <c r="B1969" s="21" t="s">
        <v>1283</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1327</v>
      </c>
      <c r="B1970" s="21" t="s">
        <v>1237</v>
      </c>
      <c r="C1970" s="21" t="s">
        <v>1255</v>
      </c>
      <c r="D1970" s="21" t="s">
        <v>1217</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2014</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1323</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1423</v>
      </c>
      <c r="B1973" s="21" t="s">
        <v>1237</v>
      </c>
      <c r="C1973" s="21" t="s">
        <v>1269</v>
      </c>
      <c r="D1973" s="21" t="s">
        <v>1217</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1218</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1323</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1424</v>
      </c>
      <c r="B1976" s="21" t="s">
        <v>1226</v>
      </c>
      <c r="C1976" s="21" t="s">
        <v>1269</v>
      </c>
      <c r="D1976" s="21" t="s">
        <v>1217</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1262</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row>
    <row r="1979" spans="1:12">
      <c r="A1979" s="20" t="s">
        <v>2015</v>
      </c>
    </row>
    <row r="1980" spans="1:12">
      <c r="A1980" s="20" t="s">
        <v>1591</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1303</v>
      </c>
      <c r="B1981" s="21" t="s">
        <v>1215</v>
      </c>
      <c r="C1981" s="21" t="s">
        <v>1269</v>
      </c>
      <c r="D1981" s="21" t="s">
        <v>1217</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2016</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1218</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1596</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1240</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1596</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2017</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1286</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1277</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1218</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1266</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1515</v>
      </c>
      <c r="B1992" s="21" t="s">
        <v>1244</v>
      </c>
      <c r="C1992" s="21" t="s">
        <v>1269</v>
      </c>
      <c r="D1992" s="21" t="s">
        <v>1217</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1277</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1684</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1277</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1720</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1526</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1235</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2018</v>
      </c>
      <c r="B1999" s="21" t="s">
        <v>1221</v>
      </c>
      <c r="C1999" s="21" t="s">
        <v>1238</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1277</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1228</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2019</v>
      </c>
      <c r="B2002" s="21" t="s">
        <v>1224</v>
      </c>
      <c r="C2002" s="21" t="s">
        <v>1269</v>
      </c>
      <c r="D2002" s="21" t="s">
        <v>1217</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1321</v>
      </c>
      <c r="B2003" s="21" t="s">
        <v>1254</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1327</v>
      </c>
      <c r="B2004" s="21" t="s">
        <v>1254</v>
      </c>
      <c r="C2004" s="21" t="s">
        <v>1255</v>
      </c>
      <c r="D2004" s="21" t="s">
        <v>1217</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2020</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1262</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row>
    <row r="2008" spans="1:12">
      <c r="A2008" s="20" t="s">
        <v>2021</v>
      </c>
    </row>
    <row r="2009" spans="1:12">
      <c r="A2009" s="20" t="s">
        <v>2022</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1358</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565</v>
      </c>
      <c r="B2011" s="21" t="s">
        <v>1229</v>
      </c>
      <c r="C2011" s="21" t="s">
        <v>1255</v>
      </c>
      <c r="D2011" s="21" t="s">
        <v>1217</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1474</v>
      </c>
      <c r="B2012" s="21" t="s">
        <v>1249</v>
      </c>
      <c r="C2012" s="21" t="s">
        <v>1255</v>
      </c>
      <c r="D2012" s="21" t="s">
        <v>1217</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2023</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1257</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1471</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2024</v>
      </c>
      <c r="B2016" s="21" t="s">
        <v>1221</v>
      </c>
      <c r="C2016" s="21" t="s">
        <v>1238</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1596</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2025</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1277</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565</v>
      </c>
      <c r="B2020" s="21" t="s">
        <v>1215</v>
      </c>
      <c r="C2020" s="21" t="s">
        <v>1255</v>
      </c>
      <c r="D2020" s="21" t="s">
        <v>1217</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2026</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1909</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1218</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1443</v>
      </c>
      <c r="B2024" s="21" t="s">
        <v>1221</v>
      </c>
      <c r="C2024" s="21" t="s">
        <v>1255</v>
      </c>
      <c r="D2024" s="21" t="s">
        <v>1217</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1277</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2027</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1218</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1323</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2028</v>
      </c>
      <c r="B2029" s="21" t="s">
        <v>1224</v>
      </c>
      <c r="C2029" s="21" t="s">
        <v>1269</v>
      </c>
      <c r="D2029" s="21" t="s">
        <v>1217</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1218</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1323</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1839</v>
      </c>
      <c r="B2032" s="21" t="s">
        <v>1226</v>
      </c>
      <c r="C2032" s="21" t="s">
        <v>1269</v>
      </c>
      <c r="D2032" s="21" t="s">
        <v>1217</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1262</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row>
    <row r="2035" spans="1:12">
      <c r="A2035" s="20" t="s">
        <v>2029</v>
      </c>
    </row>
    <row r="2036" spans="1:12">
      <c r="A2036" s="20" t="s">
        <v>2030</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1277</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1649</v>
      </c>
      <c r="B2038" s="21" t="s">
        <v>1215</v>
      </c>
      <c r="C2038" s="21" t="s">
        <v>1225</v>
      </c>
      <c r="D2038" s="21" t="s">
        <v>1217</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1650</v>
      </c>
      <c r="B2039" s="21" t="s">
        <v>1221</v>
      </c>
      <c r="C2039" s="21" t="s">
        <v>1225</v>
      </c>
      <c r="D2039" s="21" t="s">
        <v>1217</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2031</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1266</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139</v>
      </c>
      <c r="B2042" s="21" t="s">
        <v>1275</v>
      </c>
      <c r="C2042" s="21" t="s">
        <v>1269</v>
      </c>
      <c r="D2042" s="21" t="s">
        <v>1217</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1277</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2032</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1852</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2033</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1218</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1228</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1505</v>
      </c>
      <c r="B2049" s="21" t="s">
        <v>1224</v>
      </c>
      <c r="C2049" s="21" t="s">
        <v>1269</v>
      </c>
      <c r="D2049" s="21" t="s">
        <v>1217</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1636</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1327</v>
      </c>
      <c r="B2051" s="21" t="s">
        <v>1516</v>
      </c>
      <c r="C2051" s="21" t="s">
        <v>1255</v>
      </c>
      <c r="D2051" s="21" t="s">
        <v>1217</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1335</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2034</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1277</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1286</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2035</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1228</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2036</v>
      </c>
      <c r="B2058" s="21" t="s">
        <v>1249</v>
      </c>
      <c r="C2058" s="21" t="s">
        <v>1269</v>
      </c>
      <c r="D2058" s="21" t="s">
        <v>1217</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1218</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1323</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1512</v>
      </c>
      <c r="B2061" s="21" t="s">
        <v>1224</v>
      </c>
      <c r="C2061" s="21" t="s">
        <v>1269</v>
      </c>
      <c r="D2061" s="21" t="s">
        <v>1217</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1251</v>
      </c>
      <c r="B2062" s="21" t="s">
        <v>1516</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1474</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2037</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1585</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1327</v>
      </c>
      <c r="B2066" s="21" t="s">
        <v>1261</v>
      </c>
      <c r="C2066" s="21" t="s">
        <v>1255</v>
      </c>
      <c r="D2066" s="21" t="s">
        <v>1217</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1262</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row>
    <row r="2069" spans="1:12">
      <c r="A2069" s="20" t="s">
        <v>2038</v>
      </c>
    </row>
    <row r="2070" spans="1:12">
      <c r="A2070" s="20" t="s">
        <v>2039</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1240</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2040</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1277</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565</v>
      </c>
      <c r="B2074" s="21" t="s">
        <v>1215</v>
      </c>
      <c r="C2074" s="21" t="s">
        <v>1255</v>
      </c>
      <c r="D2074" s="21" t="s">
        <v>1217</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2041</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1245</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1375</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1682</v>
      </c>
      <c r="B2078" s="21" t="s">
        <v>1244</v>
      </c>
      <c r="C2078" s="21" t="s">
        <v>1297</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1323</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2042</v>
      </c>
      <c r="B2080" s="21" t="s">
        <v>1275</v>
      </c>
      <c r="C2080" s="21" t="s">
        <v>1269</v>
      </c>
      <c r="D2080" s="21" t="s">
        <v>1217</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1218</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1376</v>
      </c>
      <c r="B2082" s="21" t="s">
        <v>1224</v>
      </c>
      <c r="C2082" s="21" t="s">
        <v>1279</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1286</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1526</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1647</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1277</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1720</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1235</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2019</v>
      </c>
      <c r="B2089" s="21" t="s">
        <v>1221</v>
      </c>
      <c r="C2089" s="21" t="s">
        <v>1238</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1251</v>
      </c>
      <c r="B2090" s="21" t="s">
        <v>1252</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1474</v>
      </c>
      <c r="B2091" s="21" t="s">
        <v>1292</v>
      </c>
      <c r="C2091" s="21" t="s">
        <v>1255</v>
      </c>
      <c r="D2091" s="21" t="s">
        <v>1217</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2043</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2044</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1245</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1228</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2045</v>
      </c>
      <c r="B2096" s="21" t="s">
        <v>1226</v>
      </c>
      <c r="C2096" s="21" t="s">
        <v>1269</v>
      </c>
      <c r="D2096" s="21" t="s">
        <v>1217</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1262</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row>
    <row r="2099" spans="1:12">
      <c r="A2099" s="20" t="s">
        <v>2046</v>
      </c>
    </row>
    <row r="2100" spans="1:12">
      <c r="A2100" s="20" t="s">
        <v>1453</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2047</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1503</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462</v>
      </c>
      <c r="B2103" s="21" t="s">
        <v>1244</v>
      </c>
      <c r="C2103" s="21" t="s">
        <v>1225</v>
      </c>
      <c r="D2103" s="21" t="s">
        <v>1217</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548</v>
      </c>
      <c r="B2104" s="21" t="s">
        <v>1244</v>
      </c>
      <c r="C2104" s="21" t="s">
        <v>1225</v>
      </c>
      <c r="D2104" s="21" t="s">
        <v>1217</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1262</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row>
    <row r="2107" spans="1:12">
      <c r="A2107" s="20" t="s">
        <v>2048</v>
      </c>
    </row>
    <row r="2108" spans="1:12">
      <c r="A2108" s="20" t="s">
        <v>466</v>
      </c>
      <c r="B2108" s="21" t="s">
        <v>1244</v>
      </c>
      <c r="C2108" s="21" t="s">
        <v>1225</v>
      </c>
      <c r="D2108" s="21" t="s">
        <v>1217</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1245</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1534</v>
      </c>
      <c r="B2110" s="21" t="s">
        <v>1244</v>
      </c>
      <c r="C2110" s="21" t="s">
        <v>1255</v>
      </c>
      <c r="D2110" s="21" t="s">
        <v>1217</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1503</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row>
    <row r="2113" spans="1:12">
      <c r="A2113" s="20" t="s">
        <v>2049</v>
      </c>
    </row>
    <row r="2114" spans="1:12">
      <c r="A2114" s="20" t="s">
        <v>1419</v>
      </c>
      <c r="B2114" s="21" t="s">
        <v>1215</v>
      </c>
      <c r="C2114" s="21" t="s">
        <v>1255</v>
      </c>
      <c r="D2114" s="21" t="s">
        <v>1217</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1228</v>
      </c>
      <c r="B2115" s="21" t="s">
        <v>1275</v>
      </c>
      <c r="C2115" s="21" t="s">
        <v>1255</v>
      </c>
      <c r="D2115" s="21" t="s">
        <v>1217</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2001</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1503</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row>
    <row r="2119" spans="1:12">
      <c r="A2119" s="20" t="s">
        <v>2050</v>
      </c>
    </row>
    <row r="2120" spans="1:12">
      <c r="A2120" s="20" t="s">
        <v>135</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2051</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1829</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2052</v>
      </c>
      <c r="B2123" s="21" t="s">
        <v>1221</v>
      </c>
      <c r="C2123" s="21" t="s">
        <v>1279</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1277</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1419</v>
      </c>
      <c r="B2125" s="21" t="s">
        <v>1215</v>
      </c>
      <c r="C2125" s="21" t="s">
        <v>1255</v>
      </c>
      <c r="D2125" s="21" t="s">
        <v>1217</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1723</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1266</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1615</v>
      </c>
      <c r="B2128" s="21" t="s">
        <v>1275</v>
      </c>
      <c r="C2128" s="21" t="s">
        <v>1269</v>
      </c>
      <c r="D2128" s="21" t="s">
        <v>1217</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2053</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1526</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1235</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2054</v>
      </c>
      <c r="B2132" s="21" t="s">
        <v>1221</v>
      </c>
      <c r="C2132" s="21" t="s">
        <v>1238</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1358</v>
      </c>
      <c r="B2133" s="21" t="s">
        <v>1292</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1230</v>
      </c>
      <c r="B2134" s="21" t="s">
        <v>1252</v>
      </c>
      <c r="C2134" s="21" t="s">
        <v>1216</v>
      </c>
      <c r="D2134" s="21" t="s">
        <v>1217</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2055</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1262</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row>
    <row r="2138" spans="1:12">
      <c r="A2138" s="20" t="s">
        <v>2056</v>
      </c>
    </row>
    <row r="2139" spans="1:12">
      <c r="A2139" s="20" t="s">
        <v>1264</v>
      </c>
      <c r="B2139" s="21" t="s">
        <v>1215</v>
      </c>
      <c r="C2139" s="21" t="s">
        <v>1255</v>
      </c>
      <c r="D2139" s="21" t="s">
        <v>1217</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1373</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2057</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1218</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1266</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2058</v>
      </c>
      <c r="B2144" s="21" t="s">
        <v>1244</v>
      </c>
      <c r="C2144" s="21" t="s">
        <v>1222</v>
      </c>
      <c r="D2144" s="21" t="s">
        <v>1217</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1218</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1273</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1934</v>
      </c>
      <c r="B2147" s="21" t="s">
        <v>1221</v>
      </c>
      <c r="C2147" s="21" t="s">
        <v>1276</v>
      </c>
      <c r="D2147" s="21" t="s">
        <v>1217</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1218</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1907</v>
      </c>
      <c r="B2149" s="21" t="s">
        <v>1224</v>
      </c>
      <c r="C2149" s="21" t="s">
        <v>1279</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1235</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1615</v>
      </c>
      <c r="B2151" s="21" t="s">
        <v>1275</v>
      </c>
      <c r="C2151" s="21" t="s">
        <v>1238</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2059</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1277</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1725</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1245</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1235</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2060</v>
      </c>
      <c r="B2157" s="21" t="s">
        <v>1224</v>
      </c>
      <c r="C2157" s="21" t="s">
        <v>1238</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1262</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row>
    <row r="2160" spans="1:12">
      <c r="A2160" s="20" t="s">
        <v>2061</v>
      </c>
    </row>
    <row r="2161" spans="1:12">
      <c r="A2161" s="20" t="s">
        <v>1591</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2062</v>
      </c>
      <c r="B2162" s="21" t="s">
        <v>1215</v>
      </c>
      <c r="C2162" s="21" t="s">
        <v>1269</v>
      </c>
      <c r="D2162" s="21" t="s">
        <v>1217</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1225</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1474</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1661</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1596</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1358</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1245</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2063</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1550</v>
      </c>
      <c r="B2170" s="21" t="s">
        <v>1244</v>
      </c>
      <c r="C2170" s="21" t="s">
        <v>1222</v>
      </c>
      <c r="D2170" s="21" t="s">
        <v>1217</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1218</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1327</v>
      </c>
      <c r="B2172" s="21" t="s">
        <v>1221</v>
      </c>
      <c r="C2172" s="21" t="s">
        <v>1255</v>
      </c>
      <c r="D2172" s="21" t="s">
        <v>1217</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1286</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1277</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2064</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2065</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1277</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1327</v>
      </c>
      <c r="B2178" s="21" t="s">
        <v>1229</v>
      </c>
      <c r="C2178" s="21" t="s">
        <v>1255</v>
      </c>
      <c r="D2178" s="21" t="s">
        <v>1217</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1225</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1219</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2066</v>
      </c>
      <c r="B2181" s="21" t="s">
        <v>1244</v>
      </c>
      <c r="C2181" s="21" t="s">
        <v>1269</v>
      </c>
      <c r="D2181" s="21" t="s">
        <v>1217</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1303</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1218</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1423</v>
      </c>
      <c r="B2184" s="21" t="s">
        <v>1221</v>
      </c>
      <c r="C2184" s="21" t="s">
        <v>1279</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1277</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2067</v>
      </c>
      <c r="B2186" s="21" t="s">
        <v>1221</v>
      </c>
      <c r="C2186" s="21" t="s">
        <v>1279</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1218</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1228</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2068</v>
      </c>
      <c r="B2189" s="21" t="s">
        <v>1224</v>
      </c>
      <c r="C2189" s="21" t="s">
        <v>1269</v>
      </c>
      <c r="D2189" s="21" t="s">
        <v>1217</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1358</v>
      </c>
      <c r="B2190" s="21" t="s">
        <v>1254</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1879</v>
      </c>
      <c r="B2191" s="21" t="s">
        <v>1516</v>
      </c>
      <c r="C2191" s="21" t="s">
        <v>1255</v>
      </c>
      <c r="D2191" s="21" t="s">
        <v>1217</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2069</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1327</v>
      </c>
      <c r="B2193" s="21" t="s">
        <v>1894</v>
      </c>
      <c r="C2193" s="21" t="s">
        <v>1255</v>
      </c>
      <c r="D2193" s="21" t="s">
        <v>1217</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2070</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1262</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row>
    <row r="2197" spans="1:12">
      <c r="A2197" s="20" t="s">
        <v>2071</v>
      </c>
    </row>
    <row r="2198" spans="1:12">
      <c r="A2198" s="20" t="s">
        <v>1992</v>
      </c>
      <c r="B2198" s="21" t="s">
        <v>1221</v>
      </c>
      <c r="C2198" s="21" t="s">
        <v>1242</v>
      </c>
      <c r="D2198" s="21" t="s">
        <v>1217</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2072</v>
      </c>
      <c r="B2199" s="21" t="s">
        <v>1215</v>
      </c>
      <c r="C2199" s="21" t="s">
        <v>1222</v>
      </c>
      <c r="D2199" s="21" t="s">
        <v>1217</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2073</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180</v>
      </c>
      <c r="B2201" s="21" t="s">
        <v>1275</v>
      </c>
      <c r="C2201" s="21" t="s">
        <v>1234</v>
      </c>
      <c r="D2201" s="21" t="s">
        <v>1217</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1526</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548</v>
      </c>
      <c r="B2203" s="21" t="s">
        <v>1221</v>
      </c>
      <c r="C2203" s="21" t="s">
        <v>1225</v>
      </c>
      <c r="D2203" s="21" t="s">
        <v>1217</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1277</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1286</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1277</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1245</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1329</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1268</v>
      </c>
      <c r="B2209" s="21" t="s">
        <v>1224</v>
      </c>
      <c r="C2209" s="21" t="s">
        <v>1276</v>
      </c>
      <c r="D2209" s="21" t="s">
        <v>1217</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1277</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1419</v>
      </c>
      <c r="B2211" s="21" t="s">
        <v>1283</v>
      </c>
      <c r="C2211" s="21" t="s">
        <v>1255</v>
      </c>
      <c r="D2211" s="21" t="s">
        <v>1217</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2074</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1323</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2042</v>
      </c>
      <c r="B2214" s="21" t="s">
        <v>1237</v>
      </c>
      <c r="C2214" s="21" t="s">
        <v>1269</v>
      </c>
      <c r="D2214" s="21" t="s">
        <v>1217</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1428</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1443</v>
      </c>
      <c r="B2216" s="21" t="s">
        <v>1224</v>
      </c>
      <c r="C2216" s="21" t="s">
        <v>1255</v>
      </c>
      <c r="D2216" s="21" t="s">
        <v>1217</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1262</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row>
    <row r="2219" spans="1:12">
      <c r="A2219" s="20" t="s">
        <v>2075</v>
      </c>
    </row>
    <row r="2220" spans="1:12">
      <c r="A2220" s="20" t="s">
        <v>1264</v>
      </c>
      <c r="B2220" s="21" t="s">
        <v>1215</v>
      </c>
      <c r="C2220" s="21" t="s">
        <v>1255</v>
      </c>
      <c r="D2220" s="21" t="s">
        <v>1217</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1302</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1671</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1277</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1318</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2076</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1262</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row>
    <row r="2228" spans="1:12">
      <c r="A2228" s="20" t="s">
        <v>2077</v>
      </c>
    </row>
    <row r="2229" spans="1:12">
      <c r="A2229" s="20" t="s">
        <v>2078</v>
      </c>
      <c r="B2229" s="21" t="s">
        <v>1221</v>
      </c>
      <c r="C2229" s="21" t="s">
        <v>1242</v>
      </c>
      <c r="D2229" s="21" t="s">
        <v>1217</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2079</v>
      </c>
      <c r="B2230" s="21" t="s">
        <v>1215</v>
      </c>
      <c r="C2230" s="21" t="s">
        <v>1222</v>
      </c>
      <c r="D2230" s="21" t="s">
        <v>1217</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2080</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1277</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1245</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1323</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1671</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2081</v>
      </c>
      <c r="B2236" s="21" t="s">
        <v>1244</v>
      </c>
      <c r="C2236" s="21" t="s">
        <v>1269</v>
      </c>
      <c r="D2236" s="21" t="s">
        <v>1217</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1218</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1323</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1784</v>
      </c>
      <c r="B2239" s="21" t="s">
        <v>1221</v>
      </c>
      <c r="C2239" s="21" t="s">
        <v>1269</v>
      </c>
      <c r="D2239" s="21" t="s">
        <v>1217</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1262</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row>
    <row r="2242" spans="1:12">
      <c r="A2242" s="20" t="s">
        <v>2082</v>
      </c>
    </row>
    <row r="2243" spans="1:12">
      <c r="A2243" s="20" t="s">
        <v>2083</v>
      </c>
      <c r="B2243" s="21" t="s">
        <v>1244</v>
      </c>
      <c r="C2243" s="21" t="s">
        <v>1225</v>
      </c>
      <c r="D2243" s="21" t="s">
        <v>1217</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1277</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2084</v>
      </c>
      <c r="B2245" s="21" t="s">
        <v>1215</v>
      </c>
      <c r="C2245" s="21" t="s">
        <v>1255</v>
      </c>
      <c r="D2245" s="21" t="s">
        <v>1217</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2016</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2085</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1286</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1247</v>
      </c>
      <c r="B2249" s="21" t="s">
        <v>1224</v>
      </c>
      <c r="C2249" s="21" t="s">
        <v>1242</v>
      </c>
      <c r="D2249" s="21" t="s">
        <v>1217</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2086</v>
      </c>
      <c r="B2250" s="21" t="s">
        <v>1229</v>
      </c>
      <c r="C2250" s="21" t="s">
        <v>1222</v>
      </c>
      <c r="D2250" s="21" t="s">
        <v>1217</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1373</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2087</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2088</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1526</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2089</v>
      </c>
      <c r="B2255" s="21" t="s">
        <v>1221</v>
      </c>
      <c r="C2255" s="21" t="s">
        <v>1279</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1262</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row>
    <row r="2258" spans="1:12">
      <c r="A2258" s="20" t="s">
        <v>2090</v>
      </c>
    </row>
    <row r="2259" spans="1:12">
      <c r="A2259" s="20" t="s">
        <v>2051</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1829</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2052</v>
      </c>
      <c r="B2261" s="21" t="s">
        <v>1221</v>
      </c>
      <c r="C2261" s="21" t="s">
        <v>1279</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1277</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1456</v>
      </c>
      <c r="B2263" s="21" t="s">
        <v>1215</v>
      </c>
      <c r="C2263" s="21" t="s">
        <v>1225</v>
      </c>
      <c r="D2263" s="21" t="s">
        <v>1217</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2091</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1235</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2092</v>
      </c>
      <c r="B2266" s="21" t="s">
        <v>1275</v>
      </c>
      <c r="C2266" s="21" t="s">
        <v>1238</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1218</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2093</v>
      </c>
      <c r="B2268" s="21" t="s">
        <v>1221</v>
      </c>
      <c r="C2268" s="21" t="s">
        <v>1279</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1286</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1474</v>
      </c>
      <c r="B2270" s="21" t="s">
        <v>1249</v>
      </c>
      <c r="C2270" s="21" t="s">
        <v>1255</v>
      </c>
      <c r="D2270" s="21" t="s">
        <v>1217</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2094</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1323</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1646</v>
      </c>
      <c r="B2273" s="21" t="s">
        <v>1249</v>
      </c>
      <c r="C2273" s="21" t="s">
        <v>1269</v>
      </c>
      <c r="D2273" s="21" t="s">
        <v>1217</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1996</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1997</v>
      </c>
      <c r="B2275" s="21" t="s">
        <v>1224</v>
      </c>
      <c r="C2275" s="21" t="s">
        <v>1279</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1262</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row>
    <row r="2278" spans="1:12">
      <c r="A2278" s="20" t="s">
        <v>2095</v>
      </c>
    </row>
    <row r="2279" spans="1:12">
      <c r="A2279" s="20" t="s">
        <v>1361</v>
      </c>
      <c r="B2279" s="21" t="s">
        <v>1215</v>
      </c>
      <c r="C2279" s="21" t="s">
        <v>1255</v>
      </c>
      <c r="D2279" s="21" t="s">
        <v>1217</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2096</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1336</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1743</v>
      </c>
      <c r="B2282" s="21" t="s">
        <v>1221</v>
      </c>
      <c r="C2282" s="21" t="s">
        <v>1242</v>
      </c>
      <c r="D2282" s="21" t="s">
        <v>1217</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1538</v>
      </c>
      <c r="B2283" s="21" t="s">
        <v>1244</v>
      </c>
      <c r="C2283" s="21" t="s">
        <v>1222</v>
      </c>
      <c r="D2283" s="21" t="s">
        <v>1217</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1262</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row>
    <row r="2286" spans="1:12">
      <c r="A2286" s="20" t="s">
        <v>2097</v>
      </c>
    </row>
    <row r="2287" spans="1:12">
      <c r="A2287" s="20" t="s">
        <v>2098</v>
      </c>
      <c r="B2287" s="21" t="s">
        <v>1221</v>
      </c>
      <c r="C2287" s="21" t="s">
        <v>1242</v>
      </c>
      <c r="D2287" s="21" t="s">
        <v>1217</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1938</v>
      </c>
      <c r="B2288" s="21" t="s">
        <v>1215</v>
      </c>
      <c r="C2288" s="21" t="s">
        <v>1222</v>
      </c>
      <c r="D2288" s="21" t="s">
        <v>1217</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2099</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1474</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2100</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1336</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1323</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2101</v>
      </c>
      <c r="B2294" s="21" t="s">
        <v>1244</v>
      </c>
      <c r="C2294" s="21" t="s">
        <v>1222</v>
      </c>
      <c r="D2294" s="21" t="s">
        <v>1217</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1218</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1312</v>
      </c>
      <c r="B2296" s="21" t="s">
        <v>1224</v>
      </c>
      <c r="C2296" s="21" t="s">
        <v>1242</v>
      </c>
      <c r="D2296" s="21" t="s">
        <v>1217</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2102</v>
      </c>
      <c r="B2297" s="21" t="s">
        <v>1221</v>
      </c>
      <c r="C2297" s="21" t="s">
        <v>1222</v>
      </c>
      <c r="D2297" s="21" t="s">
        <v>1217</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1341</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row>
    <row r="2300" spans="1:12">
      <c r="A2300" s="20" t="s">
        <v>2103</v>
      </c>
    </row>
    <row r="2301" spans="1:12">
      <c r="A2301" s="20" t="s">
        <v>1419</v>
      </c>
      <c r="B2301" s="21" t="s">
        <v>1215</v>
      </c>
      <c r="C2301" s="21" t="s">
        <v>1255</v>
      </c>
      <c r="D2301" s="21" t="s">
        <v>1217</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1421</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1312</v>
      </c>
      <c r="B2303" s="21" t="s">
        <v>1221</v>
      </c>
      <c r="C2303" s="21" t="s">
        <v>1242</v>
      </c>
      <c r="D2303" s="21" t="s">
        <v>1217</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2104</v>
      </c>
      <c r="B2304" s="21" t="s">
        <v>1275</v>
      </c>
      <c r="C2304" s="21" t="s">
        <v>1222</v>
      </c>
      <c r="D2304" s="21" t="s">
        <v>1217</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1474</v>
      </c>
      <c r="B2305" s="21" t="s">
        <v>1237</v>
      </c>
      <c r="C2305" s="21" t="s">
        <v>1255</v>
      </c>
      <c r="D2305" s="21" t="s">
        <v>1217</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2105</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1524</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1228</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2106</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2107</v>
      </c>
      <c r="B2310" s="21" t="s">
        <v>1224</v>
      </c>
      <c r="C2310" s="21" t="s">
        <v>1269</v>
      </c>
      <c r="D2310" s="21" t="s">
        <v>1217</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1251</v>
      </c>
      <c r="B2311" s="21" t="s">
        <v>1516</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2108</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1218</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2109</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1218</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1219</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2110</v>
      </c>
      <c r="B2317" s="21" t="s">
        <v>1259</v>
      </c>
      <c r="C2317" s="21" t="s">
        <v>1269</v>
      </c>
      <c r="D2317" s="21" t="s">
        <v>1217</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1218</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1266</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1515</v>
      </c>
      <c r="B2320" s="21" t="s">
        <v>1377</v>
      </c>
      <c r="C2320" s="21" t="s">
        <v>1269</v>
      </c>
      <c r="D2320" s="21" t="s">
        <v>1217</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1262</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row>
    <row r="2323" spans="1:12">
      <c r="A2323" s="20" t="s">
        <v>2111</v>
      </c>
    </row>
    <row r="2324" spans="1:12">
      <c r="A2324" s="20" t="s">
        <v>1529</v>
      </c>
      <c r="B2324" s="21" t="s">
        <v>1215</v>
      </c>
      <c r="C2324" s="21" t="s">
        <v>1234</v>
      </c>
      <c r="D2324" s="21" t="s">
        <v>1217</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1302</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1235</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885</v>
      </c>
      <c r="B2327" s="21" t="s">
        <v>1244</v>
      </c>
      <c r="C2327" s="21" t="s">
        <v>1238</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1503</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row>
    <row r="2330" spans="1:12">
      <c r="A2330" s="20" t="s">
        <v>2112</v>
      </c>
    </row>
    <row r="2331" spans="1:12">
      <c r="A2331" s="20" t="s">
        <v>1235</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2113</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885</v>
      </c>
      <c r="B2333" s="21" t="s">
        <v>1215</v>
      </c>
      <c r="C2333" s="21" t="s">
        <v>1238</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2114</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1277</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2115</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1321</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1219</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2079</v>
      </c>
      <c r="B2339" s="21" t="s">
        <v>1224</v>
      </c>
      <c r="C2339" s="21" t="s">
        <v>1269</v>
      </c>
      <c r="D2339" s="21" t="s">
        <v>1217</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1218</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1219</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2116</v>
      </c>
      <c r="B2342" s="21" t="s">
        <v>1226</v>
      </c>
      <c r="C2342" s="21" t="s">
        <v>1269</v>
      </c>
      <c r="D2342" s="21" t="s">
        <v>1217</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1301</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1240</v>
      </c>
      <c r="B2344" s="21" t="s">
        <v>1275</v>
      </c>
      <c r="C2344" s="21" t="s">
        <v>1216</v>
      </c>
      <c r="D2344" s="21" t="s">
        <v>1217</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2117</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1319</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2118</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2119</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1262</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row>
    <row r="2351" spans="1:12">
      <c r="A2351" s="20" t="s">
        <v>2120</v>
      </c>
    </row>
    <row r="2352" spans="1:12">
      <c r="A2352" s="20" t="s">
        <v>2121</v>
      </c>
      <c r="B2352" s="21" t="s">
        <v>1221</v>
      </c>
      <c r="C2352" s="21" t="s">
        <v>1242</v>
      </c>
      <c r="D2352" s="21" t="s">
        <v>1217</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2122</v>
      </c>
      <c r="B2353" s="21" t="s">
        <v>1215</v>
      </c>
      <c r="C2353" s="21" t="s">
        <v>1222</v>
      </c>
      <c r="D2353" s="21" t="s">
        <v>1217</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2123</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1218</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1266</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2124</v>
      </c>
      <c r="B2357" s="21" t="s">
        <v>1244</v>
      </c>
      <c r="C2357" s="21" t="s">
        <v>1269</v>
      </c>
      <c r="D2357" s="21" t="s">
        <v>1217</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1341</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1247</v>
      </c>
      <c r="B2359" s="21" t="s">
        <v>1224</v>
      </c>
      <c r="C2359" s="21" t="s">
        <v>1242</v>
      </c>
      <c r="D2359" s="21" t="s">
        <v>1217</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2125</v>
      </c>
      <c r="B2360" s="21" t="s">
        <v>1229</v>
      </c>
      <c r="C2360" s="21" t="s">
        <v>1222</v>
      </c>
      <c r="D2360" s="21" t="s">
        <v>1217</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2126</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1720</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1218</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1219</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2127</v>
      </c>
      <c r="B2365" s="21" t="s">
        <v>1221</v>
      </c>
      <c r="C2365" s="21" t="s">
        <v>1269</v>
      </c>
      <c r="D2365" s="21" t="s">
        <v>1217</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2128</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1341</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row>
    <row r="2369" spans="1:12">
      <c r="A2369" s="20" t="s">
        <v>2129</v>
      </c>
    </row>
    <row r="2370" spans="1:12">
      <c r="A2370" s="20" t="s">
        <v>1909</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1218</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1247</v>
      </c>
      <c r="B2372" s="21" t="s">
        <v>1224</v>
      </c>
      <c r="C2372" s="21" t="s">
        <v>1242</v>
      </c>
      <c r="D2372" s="21" t="s">
        <v>1217</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2130</v>
      </c>
      <c r="B2373" s="21" t="s">
        <v>1221</v>
      </c>
      <c r="C2373" s="21" t="s">
        <v>1222</v>
      </c>
      <c r="D2373" s="21" t="s">
        <v>1217</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1286</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1218</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1247</v>
      </c>
      <c r="B2376" s="21" t="s">
        <v>1226</v>
      </c>
      <c r="C2376" s="21" t="s">
        <v>1242</v>
      </c>
      <c r="D2376" s="21" t="s">
        <v>1217</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2131</v>
      </c>
      <c r="B2377" s="21" t="s">
        <v>1224</v>
      </c>
      <c r="C2377" s="21" t="s">
        <v>1222</v>
      </c>
      <c r="D2377" s="21" t="s">
        <v>1217</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2132</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1218</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1219</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2133</v>
      </c>
      <c r="B2381" s="21" t="s">
        <v>1244</v>
      </c>
      <c r="C2381" s="21" t="s">
        <v>1269</v>
      </c>
      <c r="D2381" s="21" t="s">
        <v>1217</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1262</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row>
    <row r="2384" spans="1:12">
      <c r="A2384" s="20" t="s">
        <v>2134</v>
      </c>
    </row>
    <row r="2385" spans="1:12">
      <c r="A2385" s="20" t="s">
        <v>2135</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1219</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2136</v>
      </c>
      <c r="B2387" s="21" t="s">
        <v>1215</v>
      </c>
      <c r="C2387" s="21" t="s">
        <v>1269</v>
      </c>
      <c r="D2387" s="21" t="s">
        <v>1217</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1219</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1596</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2137</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1526</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1235</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2138</v>
      </c>
      <c r="B2393" s="21" t="s">
        <v>1221</v>
      </c>
      <c r="C2393" s="21" t="s">
        <v>1238</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1240</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2139</v>
      </c>
      <c r="B2395" s="21" t="s">
        <v>1224</v>
      </c>
      <c r="C2395" s="21" t="s">
        <v>1279</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1301</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2140</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1350</v>
      </c>
      <c r="B2398" s="21" t="s">
        <v>1275</v>
      </c>
      <c r="C2398" s="21" t="s">
        <v>1216</v>
      </c>
      <c r="D2398" s="21" t="s">
        <v>1217</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1218</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1596</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2141</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1277</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1218</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1596</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2142</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1277</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1218</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1596</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2143</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1277</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1321</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1273</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2144</v>
      </c>
      <c r="B2413" s="21" t="s">
        <v>1221</v>
      </c>
      <c r="C2413" s="21" t="s">
        <v>1276</v>
      </c>
      <c r="D2413" s="21" t="s">
        <v>1217</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2145</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1286</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1273</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1646</v>
      </c>
      <c r="B2417" s="21" t="s">
        <v>1224</v>
      </c>
      <c r="C2417" s="21" t="s">
        <v>1276</v>
      </c>
      <c r="D2417" s="21" t="s">
        <v>1217</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2146</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1251</v>
      </c>
      <c r="B2419" s="21" t="s">
        <v>1516</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1373</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1644</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2147</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1235</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2148</v>
      </c>
      <c r="B2424" s="21" t="s">
        <v>1254</v>
      </c>
      <c r="C2424" s="21" t="s">
        <v>1238</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1245</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2149</v>
      </c>
      <c r="B2426" s="21" t="s">
        <v>1380</v>
      </c>
      <c r="C2426" s="21" t="s">
        <v>1279</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1266</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1629</v>
      </c>
      <c r="B2428" s="21" t="s">
        <v>1259</v>
      </c>
      <c r="C2428" s="21" t="s">
        <v>1269</v>
      </c>
      <c r="D2428" s="21" t="s">
        <v>1217</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1218</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1515</v>
      </c>
      <c r="B2430" s="21" t="s">
        <v>1377</v>
      </c>
      <c r="C2430" s="21" t="s">
        <v>1279</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1262</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row>
    <row r="2433" spans="1:12">
      <c r="A2433" s="20" t="s">
        <v>2150</v>
      </c>
    </row>
    <row r="2434" spans="1:12">
      <c r="A2434" s="20" t="s">
        <v>2151</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1218</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1219</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2152</v>
      </c>
      <c r="B2437" s="21" t="s">
        <v>1221</v>
      </c>
      <c r="C2437" s="21" t="s">
        <v>1269</v>
      </c>
      <c r="D2437" s="21" t="s">
        <v>1217</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2153</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1277</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1329</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2154</v>
      </c>
      <c r="B2441" s="21" t="s">
        <v>1215</v>
      </c>
      <c r="C2441" s="21" t="s">
        <v>1276</v>
      </c>
      <c r="D2441" s="21" t="s">
        <v>1217</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2155</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2156</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1323</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2157</v>
      </c>
      <c r="B2445" s="21" t="s">
        <v>1275</v>
      </c>
      <c r="C2445" s="21" t="s">
        <v>1222</v>
      </c>
      <c r="D2445" s="21" t="s">
        <v>1217</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1218</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1346</v>
      </c>
      <c r="B2447" s="21" t="s">
        <v>1224</v>
      </c>
      <c r="C2447" s="21" t="s">
        <v>1242</v>
      </c>
      <c r="D2447" s="21" t="s">
        <v>1217</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1459</v>
      </c>
      <c r="B2448" s="21" t="s">
        <v>1221</v>
      </c>
      <c r="C2448" s="21" t="s">
        <v>1222</v>
      </c>
      <c r="D2448" s="21" t="s">
        <v>1217</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1277</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1266</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2158</v>
      </c>
      <c r="B2451" s="21" t="s">
        <v>1224</v>
      </c>
      <c r="C2451" s="21" t="s">
        <v>1269</v>
      </c>
      <c r="D2451" s="21" t="s">
        <v>1217</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1218</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2033</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1262</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row>
    <row r="2456" spans="1:12">
      <c r="A2456" s="20" t="s">
        <v>2159</v>
      </c>
    </row>
    <row r="2457" spans="1:12">
      <c r="A2457" s="20" t="s">
        <v>2160</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2107</v>
      </c>
      <c r="B2458" s="21" t="s">
        <v>1215</v>
      </c>
      <c r="C2458" s="21" t="s">
        <v>1276</v>
      </c>
      <c r="D2458" s="21" t="s">
        <v>1217</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1327</v>
      </c>
      <c r="B2459" s="21" t="s">
        <v>1215</v>
      </c>
      <c r="C2459" s="21" t="s">
        <v>1255</v>
      </c>
      <c r="D2459" s="21" t="s">
        <v>1217</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2161</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1245</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2115</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1337</v>
      </c>
      <c r="B2463" s="21" t="s">
        <v>1244</v>
      </c>
      <c r="C2463" s="21" t="s">
        <v>1297</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1277</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1358</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1551</v>
      </c>
      <c r="B2466" s="21" t="s">
        <v>1229</v>
      </c>
      <c r="C2466" s="21" t="s">
        <v>1255</v>
      </c>
      <c r="D2466" s="21" t="s">
        <v>1217</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1327</v>
      </c>
      <c r="B2467" s="21" t="s">
        <v>1249</v>
      </c>
      <c r="C2467" s="21" t="s">
        <v>1255</v>
      </c>
      <c r="D2467" s="21" t="s">
        <v>1217</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1348</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1824</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2162</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1277</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1365</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1327</v>
      </c>
      <c r="B2473" s="21" t="s">
        <v>1283</v>
      </c>
      <c r="C2473" s="21" t="s">
        <v>1255</v>
      </c>
      <c r="D2473" s="21" t="s">
        <v>1217</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2163</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1245</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1327</v>
      </c>
      <c r="B2476" s="21" t="s">
        <v>1224</v>
      </c>
      <c r="C2476" s="21" t="s">
        <v>1255</v>
      </c>
      <c r="D2476" s="21" t="s">
        <v>1217</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1262</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row>
    <row r="2479" spans="1:12">
      <c r="A2479" s="20" t="s">
        <v>2164</v>
      </c>
    </row>
    <row r="2480" spans="1:12">
      <c r="A2480" s="20" t="s">
        <v>548</v>
      </c>
      <c r="B2480" s="21" t="s">
        <v>1244</v>
      </c>
      <c r="C2480" s="21" t="s">
        <v>1225</v>
      </c>
      <c r="D2480" s="21" t="s">
        <v>1217</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1286</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1486</v>
      </c>
      <c r="B2482" s="21" t="s">
        <v>1244</v>
      </c>
      <c r="C2482" s="21" t="s">
        <v>1216</v>
      </c>
      <c r="D2482" s="21" t="s">
        <v>1217</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1328</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2124</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2165</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1262</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row>
    <row r="2488" spans="1:12">
      <c r="A2488" s="20" t="s">
        <v>2166</v>
      </c>
    </row>
    <row r="2489" spans="1:12">
      <c r="A2489" s="20" t="s">
        <v>1397</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2167</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2168</v>
      </c>
      <c r="B2491" s="21" t="s">
        <v>1244</v>
      </c>
      <c r="C2491" s="21" t="s">
        <v>1269</v>
      </c>
      <c r="D2491" s="21" t="s">
        <v>1217</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2169</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1277</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1329</v>
      </c>
      <c r="B2494" s="21" t="s">
        <v>1244</v>
      </c>
      <c r="C2494" s="21" t="s">
        <v>1234</v>
      </c>
      <c r="D2494" s="21" t="s">
        <v>1217</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1251</v>
      </c>
      <c r="B2495" s="21" t="s">
        <v>1283</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1327</v>
      </c>
      <c r="B2496" s="21" t="s">
        <v>1237</v>
      </c>
      <c r="C2496" s="21" t="s">
        <v>1255</v>
      </c>
      <c r="D2496" s="21" t="s">
        <v>1217</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2170</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1358</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1245</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1266</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1304</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1228</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1235</v>
      </c>
      <c r="B2503" s="21" t="s">
        <v>1252</v>
      </c>
      <c r="C2503" s="21" t="s">
        <v>1216</v>
      </c>
      <c r="D2503" s="21" t="s">
        <v>1217</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1218</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1327</v>
      </c>
      <c r="B2505" s="21" t="s">
        <v>1261</v>
      </c>
      <c r="C2505" s="21" t="s">
        <v>1255</v>
      </c>
      <c r="D2505" s="21" t="s">
        <v>1217</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1228</v>
      </c>
      <c r="B2506" s="21" t="s">
        <v>1292</v>
      </c>
      <c r="C2506" s="21" t="s">
        <v>1255</v>
      </c>
      <c r="D2506" s="21" t="s">
        <v>1217</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1348</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2171</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1262</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row>
    <row r="2511" spans="1:12">
      <c r="A2511" s="20" t="s">
        <v>2172</v>
      </c>
    </row>
    <row r="2512" spans="1:12">
      <c r="A2512" s="20" t="s">
        <v>2173</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1551</v>
      </c>
      <c r="B2513" s="21" t="s">
        <v>1215</v>
      </c>
      <c r="C2513" s="21" t="s">
        <v>1255</v>
      </c>
      <c r="D2513" s="21" t="s">
        <v>1217</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2174</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1240</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1833</v>
      </c>
      <c r="B2516" s="21" t="s">
        <v>1244</v>
      </c>
      <c r="C2516" s="21" t="s">
        <v>1279</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1286</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2175</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1241</v>
      </c>
      <c r="B2519" s="21" t="s">
        <v>1224</v>
      </c>
      <c r="C2519" s="21" t="s">
        <v>1242</v>
      </c>
      <c r="D2519" s="21" t="s">
        <v>1217</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1325</v>
      </c>
      <c r="B2520" s="21" t="s">
        <v>1249</v>
      </c>
      <c r="C2520" s="21" t="s">
        <v>1222</v>
      </c>
      <c r="D2520" s="21" t="s">
        <v>1217</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1262</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row>
    <row r="2523" spans="1:12">
      <c r="A2523" s="20" t="s">
        <v>2176</v>
      </c>
    </row>
    <row r="2524" spans="1:12">
      <c r="A2524" s="20" t="s">
        <v>1686</v>
      </c>
      <c r="B2524" s="21" t="s">
        <v>1215</v>
      </c>
      <c r="C2524" s="21" t="s">
        <v>1225</v>
      </c>
      <c r="D2524" s="21" t="s">
        <v>1217</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1650</v>
      </c>
      <c r="B2525" s="21" t="s">
        <v>1221</v>
      </c>
      <c r="C2525" s="21" t="s">
        <v>1225</v>
      </c>
      <c r="D2525" s="21" t="s">
        <v>1217</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1373</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1302</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2177</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1262</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row>
    <row r="2531" spans="1:12">
      <c r="A2531" s="20" t="s">
        <v>2178</v>
      </c>
    </row>
    <row r="2532" spans="1:12">
      <c r="A2532" s="20" t="s">
        <v>1334</v>
      </c>
      <c r="B2532" s="21" t="s">
        <v>1244</v>
      </c>
      <c r="C2532" s="21" t="s">
        <v>1255</v>
      </c>
      <c r="D2532" s="21" t="s">
        <v>1217</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2179</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1280</v>
      </c>
      <c r="B2534" s="21" t="s">
        <v>1221</v>
      </c>
      <c r="C2534" s="21" t="s">
        <v>1242</v>
      </c>
      <c r="D2534" s="21" t="s">
        <v>1217</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1369</v>
      </c>
      <c r="B2535" s="21" t="s">
        <v>1244</v>
      </c>
      <c r="C2535" s="21" t="s">
        <v>1222</v>
      </c>
      <c r="D2535" s="21" t="s">
        <v>1217</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2180</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1286</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1247</v>
      </c>
      <c r="B2538" s="21" t="s">
        <v>1224</v>
      </c>
      <c r="C2538" s="21" t="s">
        <v>1242</v>
      </c>
      <c r="D2538" s="21" t="s">
        <v>1217</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2181</v>
      </c>
      <c r="B2539" s="21" t="s">
        <v>1221</v>
      </c>
      <c r="C2539" s="21" t="s">
        <v>1222</v>
      </c>
      <c r="D2539" s="21" t="s">
        <v>1217</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2182</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1240</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2183</v>
      </c>
      <c r="B2542" s="21" t="s">
        <v>1224</v>
      </c>
      <c r="C2542" s="21" t="s">
        <v>1279</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1526</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2068</v>
      </c>
      <c r="B2544" s="21" t="s">
        <v>1226</v>
      </c>
      <c r="C2544" s="21" t="s">
        <v>1279</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1524</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1634</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315</v>
      </c>
      <c r="B2547" s="21" t="s">
        <v>1224</v>
      </c>
      <c r="C2547" s="21" t="s">
        <v>1276</v>
      </c>
      <c r="D2547" s="21" t="s">
        <v>1217</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1614</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1621</v>
      </c>
      <c r="B2549" s="21" t="s">
        <v>1224</v>
      </c>
      <c r="C2549" s="21" t="s">
        <v>1279</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1251</v>
      </c>
      <c r="B2550" s="21" t="s">
        <v>1516</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1443</v>
      </c>
      <c r="B2551" s="21" t="s">
        <v>1254</v>
      </c>
      <c r="C2551" s="21" t="s">
        <v>1255</v>
      </c>
      <c r="D2551" s="21" t="s">
        <v>1217</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2184</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1323</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2185</v>
      </c>
      <c r="B2554" s="21" t="s">
        <v>1254</v>
      </c>
      <c r="C2554" s="21" t="s">
        <v>1269</v>
      </c>
      <c r="D2554" s="21" t="s">
        <v>1217</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1262</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row>
    <row r="2557" spans="1:12">
      <c r="A2557" s="20" t="s">
        <v>2186</v>
      </c>
    </row>
    <row r="2558" spans="1:12">
      <c r="A2558" s="20" t="s">
        <v>1353</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1266</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2092</v>
      </c>
      <c r="B2560" s="21" t="s">
        <v>1244</v>
      </c>
      <c r="C2560" s="21" t="s">
        <v>1269</v>
      </c>
      <c r="D2560" s="21" t="s">
        <v>1217</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1218</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2187</v>
      </c>
      <c r="B2562" s="21" t="s">
        <v>1221</v>
      </c>
      <c r="C2562" s="21" t="s">
        <v>1279</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1218</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1266</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885</v>
      </c>
      <c r="B2565" s="21" t="s">
        <v>1224</v>
      </c>
      <c r="C2565" s="21" t="s">
        <v>1269</v>
      </c>
      <c r="D2565" s="21" t="s">
        <v>1217</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1277</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1768</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1409</v>
      </c>
      <c r="B2568" s="21" t="s">
        <v>1221</v>
      </c>
      <c r="C2568" s="21" t="s">
        <v>1242</v>
      </c>
      <c r="D2568" s="21" t="s">
        <v>1217</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2188</v>
      </c>
      <c r="B2569" s="21" t="s">
        <v>1215</v>
      </c>
      <c r="C2569" s="21" t="s">
        <v>1222</v>
      </c>
      <c r="D2569" s="21" t="s">
        <v>1217</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1373</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2189</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1262</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row>
    <row r="2574" spans="1:12">
      <c r="A2574" s="20" t="s">
        <v>2190</v>
      </c>
    </row>
    <row r="2575" spans="1:12">
      <c r="A2575" s="20" t="s">
        <v>1264</v>
      </c>
      <c r="B2575" s="21" t="s">
        <v>1215</v>
      </c>
      <c r="C2575" s="21" t="s">
        <v>1255</v>
      </c>
      <c r="D2575" s="21" t="s">
        <v>1217</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1302</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2191</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1277</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1766</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2192</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1277</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1286</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1277</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1227</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1327</v>
      </c>
      <c r="B2585" s="21" t="s">
        <v>1283</v>
      </c>
      <c r="C2585" s="21" t="s">
        <v>1255</v>
      </c>
      <c r="D2585" s="21" t="s">
        <v>1217</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1228</v>
      </c>
      <c r="B2586" s="21" t="s">
        <v>1237</v>
      </c>
      <c r="C2586" s="21" t="s">
        <v>1255</v>
      </c>
      <c r="D2586" s="21" t="s">
        <v>1217</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2193</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2194</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1277</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1327</v>
      </c>
      <c r="B2590" s="21" t="s">
        <v>1249</v>
      </c>
      <c r="C2590" s="21" t="s">
        <v>1255</v>
      </c>
      <c r="D2590" s="21" t="s">
        <v>1217</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2195</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1482</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1266</v>
      </c>
      <c r="B2593" s="21" t="s">
        <v>1237</v>
      </c>
      <c r="C2593" s="21" t="s">
        <v>1255</v>
      </c>
      <c r="D2593" s="21" t="s">
        <v>1217</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644</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1262</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row>
    <row r="2597" spans="1:12">
      <c r="A2597" s="20" t="s">
        <v>2196</v>
      </c>
    </row>
    <row r="2598" spans="1:12">
      <c r="A2598" s="20" t="s">
        <v>1361</v>
      </c>
      <c r="B2598" s="21" t="s">
        <v>1215</v>
      </c>
      <c r="C2598" s="21" t="s">
        <v>1255</v>
      </c>
      <c r="D2598" s="21" t="s">
        <v>1217</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1301</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1315</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1319</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2197</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958</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1235</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2019</v>
      </c>
      <c r="B2605" s="21" t="s">
        <v>1249</v>
      </c>
      <c r="C2605" s="21" t="s">
        <v>1238</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1666</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1323</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2198</v>
      </c>
      <c r="B2608" s="21" t="s">
        <v>1224</v>
      </c>
      <c r="C2608" s="21" t="s">
        <v>1269</v>
      </c>
      <c r="D2608" s="21" t="s">
        <v>1217</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1321</v>
      </c>
      <c r="B2609" s="21" t="s">
        <v>1254</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1223</v>
      </c>
      <c r="B2610" s="21" t="s">
        <v>1516</v>
      </c>
      <c r="C2610" s="21" t="s">
        <v>1225</v>
      </c>
      <c r="D2610" s="21" t="s">
        <v>1217</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548</v>
      </c>
      <c r="B2611" s="21" t="s">
        <v>1259</v>
      </c>
      <c r="C2611" s="21" t="s">
        <v>1225</v>
      </c>
      <c r="D2611" s="21" t="s">
        <v>1217</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2199</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1273</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1839</v>
      </c>
      <c r="B2614" s="21" t="s">
        <v>1261</v>
      </c>
      <c r="C2614" s="21" t="s">
        <v>1276</v>
      </c>
      <c r="D2614" s="21" t="s">
        <v>1217</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1331</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1262</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row>
    <row r="2618" spans="1:12">
      <c r="A2618" s="20" t="s">
        <v>2200</v>
      </c>
    </row>
    <row r="2619" spans="1:12">
      <c r="A2619" s="20" t="s">
        <v>1361</v>
      </c>
      <c r="B2619" s="21" t="s">
        <v>1215</v>
      </c>
      <c r="C2619" s="21" t="s">
        <v>1255</v>
      </c>
      <c r="D2619" s="21" t="s">
        <v>1217</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2201</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2202</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1307</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2203</v>
      </c>
      <c r="B2623" s="21" t="s">
        <v>1221</v>
      </c>
      <c r="C2623" s="21" t="s">
        <v>1242</v>
      </c>
      <c r="D2623" s="21" t="s">
        <v>1217</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2204</v>
      </c>
      <c r="B2624" s="21" t="s">
        <v>1244</v>
      </c>
      <c r="C2624" s="21" t="s">
        <v>1222</v>
      </c>
      <c r="D2624" s="21" t="s">
        <v>1217</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1277</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1318</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565</v>
      </c>
      <c r="B2627" s="21" t="s">
        <v>1229</v>
      </c>
      <c r="C2627" s="21" t="s">
        <v>1255</v>
      </c>
      <c r="D2627" s="21" t="s">
        <v>1217</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1420</v>
      </c>
      <c r="B2628" s="21" t="s">
        <v>1249</v>
      </c>
      <c r="C2628" s="21" t="s">
        <v>1255</v>
      </c>
      <c r="D2628" s="21" t="s">
        <v>1217</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2205</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1666</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1320</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1218</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2206</v>
      </c>
      <c r="B2633" s="21" t="s">
        <v>1224</v>
      </c>
      <c r="C2633" s="21" t="s">
        <v>1279</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1321</v>
      </c>
      <c r="B2634" s="21" t="s">
        <v>1254</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1419</v>
      </c>
      <c r="B2635" s="21" t="s">
        <v>1516</v>
      </c>
      <c r="C2635" s="21" t="s">
        <v>1255</v>
      </c>
      <c r="D2635" s="21" t="s">
        <v>1217</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2207</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2208</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1266</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1461</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1456</v>
      </c>
      <c r="B2640" s="21" t="s">
        <v>1261</v>
      </c>
      <c r="C2640" s="21" t="s">
        <v>1225</v>
      </c>
      <c r="D2640" s="21" t="s">
        <v>1217</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1262</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row>
    <row r="2643" spans="1:12">
      <c r="A2643" s="20" t="s">
        <v>2209</v>
      </c>
    </row>
    <row r="2644" spans="1:12">
      <c r="A2644" s="20" t="s">
        <v>2210</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1321</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1327</v>
      </c>
      <c r="B2646" s="21" t="s">
        <v>1275</v>
      </c>
      <c r="C2646" s="21" t="s">
        <v>1255</v>
      </c>
      <c r="D2646" s="21" t="s">
        <v>1217</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2211</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1336</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1219</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2212</v>
      </c>
      <c r="B2650" s="21" t="s">
        <v>1244</v>
      </c>
      <c r="C2650" s="21" t="s">
        <v>1269</v>
      </c>
      <c r="D2650" s="21" t="s">
        <v>1217</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1218</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1266</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885</v>
      </c>
      <c r="B2653" s="21" t="s">
        <v>1221</v>
      </c>
      <c r="C2653" s="21" t="s">
        <v>1269</v>
      </c>
      <c r="D2653" s="21" t="s">
        <v>1217</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1277</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1327</v>
      </c>
      <c r="B2655" s="21" t="s">
        <v>1215</v>
      </c>
      <c r="C2655" s="21" t="s">
        <v>1255</v>
      </c>
      <c r="D2655" s="21" t="s">
        <v>1217</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2213</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2214</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2215</v>
      </c>
      <c r="B2658" s="21" t="s">
        <v>1221</v>
      </c>
      <c r="C2658" s="21" t="s">
        <v>1297</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2216</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1218</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1649</v>
      </c>
      <c r="B2661" s="21" t="s">
        <v>1226</v>
      </c>
      <c r="C2661" s="21" t="s">
        <v>1225</v>
      </c>
      <c r="D2661" s="21" t="s">
        <v>1217</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1650</v>
      </c>
      <c r="B2662" s="21" t="s">
        <v>1261</v>
      </c>
      <c r="C2662" s="21" t="s">
        <v>1225</v>
      </c>
      <c r="D2662" s="21" t="s">
        <v>1217</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1277</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2217</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1321</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1228</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2218</v>
      </c>
      <c r="B2667" s="21" t="s">
        <v>1261</v>
      </c>
      <c r="C2667" s="21" t="s">
        <v>1269</v>
      </c>
      <c r="D2667" s="21" t="s">
        <v>1217</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2219</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1218</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1323</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2167</v>
      </c>
      <c r="B2671" s="21" t="s">
        <v>1259</v>
      </c>
      <c r="C2671" s="21" t="s">
        <v>1269</v>
      </c>
      <c r="D2671" s="21" t="s">
        <v>1217</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1262</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row>
    <row r="2674" spans="1:12">
      <c r="A2674" s="20" t="s">
        <v>2220</v>
      </c>
    </row>
    <row r="2675" spans="1:12">
      <c r="A2675" s="20" t="s">
        <v>1361</v>
      </c>
      <c r="B2675" s="21" t="s">
        <v>1215</v>
      </c>
      <c r="C2675" s="21" t="s">
        <v>1255</v>
      </c>
      <c r="D2675" s="21" t="s">
        <v>1217</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1323</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586</v>
      </c>
      <c r="B2677" s="21" t="s">
        <v>1244</v>
      </c>
      <c r="C2677" s="21" t="s">
        <v>1269</v>
      </c>
      <c r="D2677" s="21" t="s">
        <v>1217</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1373</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2221</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1336</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1241</v>
      </c>
      <c r="B2681" s="21" t="s">
        <v>1224</v>
      </c>
      <c r="C2681" s="21" t="s">
        <v>1242</v>
      </c>
      <c r="D2681" s="21" t="s">
        <v>1217</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2222</v>
      </c>
      <c r="B2682" s="21" t="s">
        <v>1221</v>
      </c>
      <c r="C2682" s="21" t="s">
        <v>1222</v>
      </c>
      <c r="D2682" s="21" t="s">
        <v>1217</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1277</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1323</v>
      </c>
      <c r="B2684" s="21" t="s">
        <v>1249</v>
      </c>
      <c r="C2684" s="21" t="s">
        <v>1255</v>
      </c>
      <c r="D2684" s="21" t="s">
        <v>1217</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818</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1245</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1997</v>
      </c>
      <c r="B2687" s="21" t="s">
        <v>1221</v>
      </c>
      <c r="C2687" s="21" t="s">
        <v>1279</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1286</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1323</v>
      </c>
      <c r="B2689" s="21" t="s">
        <v>1249</v>
      </c>
      <c r="C2689" s="21" t="s">
        <v>1255</v>
      </c>
      <c r="D2689" s="21" t="s">
        <v>1217</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2223</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1245</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1323</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2224</v>
      </c>
      <c r="B2693" s="21" t="s">
        <v>1221</v>
      </c>
      <c r="C2693" s="21" t="s">
        <v>1269</v>
      </c>
      <c r="D2693" s="21" t="s">
        <v>1217</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1262</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row>
    <row r="2696" spans="1:12">
      <c r="A2696" s="20" t="s">
        <v>2225</v>
      </c>
    </row>
    <row r="2697" spans="1:12">
      <c r="A2697" s="20" t="s">
        <v>548</v>
      </c>
      <c r="B2697" s="21" t="s">
        <v>1215</v>
      </c>
      <c r="C2697" s="21" t="s">
        <v>1225</v>
      </c>
      <c r="D2697" s="21" t="s">
        <v>1217</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2226</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2227</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2228</v>
      </c>
      <c r="B2700" s="21" t="s">
        <v>1244</v>
      </c>
      <c r="C2700" s="21" t="s">
        <v>1643</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1280</v>
      </c>
      <c r="B2701" s="21" t="s">
        <v>1221</v>
      </c>
      <c r="C2701" s="21" t="s">
        <v>1242</v>
      </c>
      <c r="D2701" s="21" t="s">
        <v>1217</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2102</v>
      </c>
      <c r="B2702" s="21" t="s">
        <v>1275</v>
      </c>
      <c r="C2702" s="21" t="s">
        <v>1222</v>
      </c>
      <c r="D2702" s="21" t="s">
        <v>1217</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1257</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1219</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2229</v>
      </c>
      <c r="B2705" s="21" t="s">
        <v>1244</v>
      </c>
      <c r="C2705" s="21" t="s">
        <v>1269</v>
      </c>
      <c r="D2705" s="21" t="s">
        <v>1217</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1218</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1266</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2230</v>
      </c>
      <c r="B2708" s="21" t="s">
        <v>1221</v>
      </c>
      <c r="C2708" s="21" t="s">
        <v>1269</v>
      </c>
      <c r="D2708" s="21" t="s">
        <v>1217</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1262</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row>
    <row r="2711" spans="1:12">
      <c r="A2711" s="20" t="s">
        <v>2231</v>
      </c>
    </row>
    <row r="2712" spans="1:12">
      <c r="A2712" s="20" t="s">
        <v>1952</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1235</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1267</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1165</v>
      </c>
      <c r="B2715" s="21" t="s">
        <v>1244</v>
      </c>
      <c r="C2715" s="21" t="s">
        <v>1238</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1526</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2232</v>
      </c>
      <c r="B2717" s="21" t="s">
        <v>1221</v>
      </c>
      <c r="C2717" s="21" t="s">
        <v>1279</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1286</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2233</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1235</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1267</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1413</v>
      </c>
      <c r="B2722" s="21" t="s">
        <v>1221</v>
      </c>
      <c r="C2722" s="21" t="s">
        <v>1238</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1218</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2234</v>
      </c>
      <c r="B2724" s="21" t="s">
        <v>1224</v>
      </c>
      <c r="C2724" s="21" t="s">
        <v>1279</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2235</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1257</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1266</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2236</v>
      </c>
      <c r="B2728" s="21" t="s">
        <v>1261</v>
      </c>
      <c r="C2728" s="21" t="s">
        <v>1269</v>
      </c>
      <c r="D2728" s="21" t="s">
        <v>1217</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1277</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565</v>
      </c>
      <c r="B2730" s="21" t="s">
        <v>1215</v>
      </c>
      <c r="C2730" s="21" t="s">
        <v>1255</v>
      </c>
      <c r="D2730" s="21" t="s">
        <v>1217</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2237</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1336</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1266</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2238</v>
      </c>
      <c r="B2734" s="21" t="s">
        <v>1244</v>
      </c>
      <c r="C2734" s="21" t="s">
        <v>1269</v>
      </c>
      <c r="D2734" s="21" t="s">
        <v>1217</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1262</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row>
    <row r="2737" spans="1:12">
      <c r="A2737" s="20" t="s">
        <v>2239</v>
      </c>
    </row>
    <row r="2738" spans="1:12">
      <c r="A2738" s="20" t="s">
        <v>2078</v>
      </c>
      <c r="B2738" s="21" t="s">
        <v>1221</v>
      </c>
      <c r="C2738" s="21" t="s">
        <v>1242</v>
      </c>
      <c r="D2738" s="21" t="s">
        <v>1217</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2240</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2241</v>
      </c>
      <c r="B2740" s="21" t="s">
        <v>1215</v>
      </c>
      <c r="C2740" s="21" t="s">
        <v>1222</v>
      </c>
      <c r="D2740" s="21" t="s">
        <v>1217</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1373</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2242</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2243</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1277</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2244</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565</v>
      </c>
      <c r="B2746" s="21" t="s">
        <v>1229</v>
      </c>
      <c r="C2746" s="21" t="s">
        <v>1255</v>
      </c>
      <c r="D2746" s="21" t="s">
        <v>1217</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1373</v>
      </c>
      <c r="B2747" s="21" t="s">
        <v>1249</v>
      </c>
      <c r="C2747" s="21" t="s">
        <v>1255</v>
      </c>
      <c r="D2747" s="21" t="s">
        <v>1217</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2245</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1336</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1266</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1376</v>
      </c>
      <c r="B2751" s="21" t="s">
        <v>1221</v>
      </c>
      <c r="C2751" s="21" t="s">
        <v>1269</v>
      </c>
      <c r="D2751" s="21" t="s">
        <v>1217</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1277</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2246</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1262</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row>
    <row r="2756" spans="1:12">
      <c r="A2756" s="20" t="s">
        <v>2247</v>
      </c>
    </row>
    <row r="2757" spans="1:12">
      <c r="A2757" s="20" t="s">
        <v>1361</v>
      </c>
      <c r="B2757" s="21" t="s">
        <v>1215</v>
      </c>
      <c r="C2757" s="21" t="s">
        <v>1255</v>
      </c>
      <c r="D2757" s="21" t="s">
        <v>1217</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1381</v>
      </c>
      <c r="B2758" s="21" t="s">
        <v>1275</v>
      </c>
      <c r="C2758" s="21" t="s">
        <v>1255</v>
      </c>
      <c r="D2758" s="21" t="s">
        <v>1217</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1627</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1277</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2248</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1349</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1277</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1286</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1314</v>
      </c>
      <c r="B2765" s="21" t="s">
        <v>1229</v>
      </c>
      <c r="C2765" s="21" t="s">
        <v>1255</v>
      </c>
      <c r="D2765" s="21" t="s">
        <v>1217</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2249</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1266</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2250</v>
      </c>
      <c r="B2768" s="21" t="s">
        <v>1249</v>
      </c>
      <c r="C2768" s="21" t="s">
        <v>1222</v>
      </c>
      <c r="D2768" s="21" t="s">
        <v>1217</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1218</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1312</v>
      </c>
      <c r="B2770" s="21" t="s">
        <v>1226</v>
      </c>
      <c r="C2770" s="21" t="s">
        <v>1242</v>
      </c>
      <c r="D2770" s="21" t="s">
        <v>1217</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2102</v>
      </c>
      <c r="B2771" s="21" t="s">
        <v>1224</v>
      </c>
      <c r="C2771" s="21" t="s">
        <v>1222</v>
      </c>
      <c r="D2771" s="21" t="s">
        <v>1217</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1336</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1273</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2251</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2042</v>
      </c>
      <c r="B2775" s="21" t="s">
        <v>1226</v>
      </c>
      <c r="C2775" s="21" t="s">
        <v>1276</v>
      </c>
      <c r="D2775" s="21" t="s">
        <v>1217</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1262</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row>
    <row r="2778" spans="1:12">
      <c r="A2778" s="20" t="s">
        <v>2252</v>
      </c>
    </row>
    <row r="2779" spans="1:12">
      <c r="A2779" s="20" t="s">
        <v>2253</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1218</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2254</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1323</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2255</v>
      </c>
      <c r="B2783" s="21" t="s">
        <v>1292</v>
      </c>
      <c r="C2783" s="21" t="s">
        <v>1269</v>
      </c>
      <c r="D2783" s="21" t="s">
        <v>1217</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1277</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1266</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2256</v>
      </c>
      <c r="B2786" s="21" t="s">
        <v>1215</v>
      </c>
      <c r="C2786" s="21" t="s">
        <v>1269</v>
      </c>
      <c r="D2786" s="21" t="s">
        <v>1217</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1302</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889</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16</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16</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1286</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94</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889</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1277</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1273</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2228</v>
      </c>
      <c r="B2796" s="21" t="s">
        <v>1244</v>
      </c>
      <c r="C2796" s="21" t="s">
        <v>1276</v>
      </c>
      <c r="D2796" s="21" t="s">
        <v>1217</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1503</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row>
    <row r="2799" spans="1:12">
      <c r="A2799" s="20" t="s">
        <v>2257</v>
      </c>
    </row>
    <row r="2800" spans="1:12">
      <c r="A2800" s="20" t="s">
        <v>1686</v>
      </c>
      <c r="B2800" s="21" t="s">
        <v>1215</v>
      </c>
      <c r="C2800" s="21" t="s">
        <v>1225</v>
      </c>
      <c r="D2800" s="21" t="s">
        <v>1217</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1650</v>
      </c>
      <c r="B2801" s="21" t="s">
        <v>1221</v>
      </c>
      <c r="C2801" s="21" t="s">
        <v>1225</v>
      </c>
      <c r="D2801" s="21" t="s">
        <v>1217</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1373</v>
      </c>
      <c r="B2802" s="21" t="s">
        <v>1275</v>
      </c>
      <c r="C2802" s="21" t="s">
        <v>1255</v>
      </c>
      <c r="D2802" s="21" t="s">
        <v>1217</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1302</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2258</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1262</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row>
    <row r="2807" spans="1:12">
      <c r="A2807" s="20" t="s">
        <v>2259</v>
      </c>
    </row>
    <row r="2808" spans="1:12">
      <c r="A2808" s="20" t="s">
        <v>1334</v>
      </c>
      <c r="B2808" s="21" t="s">
        <v>1215</v>
      </c>
      <c r="C2808" s="21" t="s">
        <v>1255</v>
      </c>
      <c r="D2808" s="21" t="s">
        <v>1217</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2260</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1280</v>
      </c>
      <c r="B2810" s="21" t="s">
        <v>1221</v>
      </c>
      <c r="C2810" s="21" t="s">
        <v>1242</v>
      </c>
      <c r="D2810" s="21" t="s">
        <v>1217</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2261</v>
      </c>
      <c r="B2811" s="21" t="s">
        <v>1275</v>
      </c>
      <c r="C2811" s="21" t="s">
        <v>1222</v>
      </c>
      <c r="D2811" s="21" t="s">
        <v>1217</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1286</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548</v>
      </c>
      <c r="B2813" s="21" t="s">
        <v>1221</v>
      </c>
      <c r="C2813" s="21" t="s">
        <v>1225</v>
      </c>
      <c r="D2813" s="21" t="s">
        <v>1217</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126</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1471</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2262</v>
      </c>
      <c r="B2816" s="21" t="s">
        <v>1249</v>
      </c>
      <c r="C2816" s="21" t="s">
        <v>1238</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1526</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2263</v>
      </c>
      <c r="B2818" s="21" t="s">
        <v>1224</v>
      </c>
      <c r="C2818" s="21" t="s">
        <v>1279</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1218</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2264</v>
      </c>
      <c r="B2820" s="21" t="s">
        <v>1226</v>
      </c>
      <c r="C2820" s="21" t="s">
        <v>1279</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1277</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1240</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1225</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2265</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1295</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2266</v>
      </c>
      <c r="B2826" s="21" t="s">
        <v>1237</v>
      </c>
      <c r="C2826" s="21" t="s">
        <v>1297</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1218</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2267</v>
      </c>
      <c r="B2828" s="21" t="s">
        <v>1226</v>
      </c>
      <c r="C2828" s="21" t="s">
        <v>1279</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1262</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row>
    <row r="2831" spans="1:12">
      <c r="A2831" s="20" t="s">
        <v>2268</v>
      </c>
    </row>
    <row r="2832" spans="1:12">
      <c r="A2832" s="20" t="s">
        <v>1952</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1796</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2269</v>
      </c>
      <c r="B2834" s="21" t="s">
        <v>1244</v>
      </c>
      <c r="C2834" s="21" t="s">
        <v>1297</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1277</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1266</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1669</v>
      </c>
      <c r="B2837" s="21" t="s">
        <v>1215</v>
      </c>
      <c r="C2837" s="21" t="s">
        <v>1269</v>
      </c>
      <c r="D2837" s="21" t="s">
        <v>1217</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2270</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2271</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1245</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1443</v>
      </c>
      <c r="B2841" s="21" t="s">
        <v>1244</v>
      </c>
      <c r="C2841" s="21" t="s">
        <v>1255</v>
      </c>
      <c r="D2841" s="21" t="s">
        <v>1217</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1262</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row>
    <row r="2844" spans="1:12">
      <c r="A2844" s="20" t="s">
        <v>2272</v>
      </c>
    </row>
    <row r="2845" spans="1:12">
      <c r="A2845" s="20" t="s">
        <v>1902</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1346</v>
      </c>
      <c r="B2846" s="21" t="s">
        <v>1221</v>
      </c>
      <c r="C2846" s="21" t="s">
        <v>1242</v>
      </c>
      <c r="D2846" s="21" t="s">
        <v>1217</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2273</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1459</v>
      </c>
      <c r="B2848" s="21" t="s">
        <v>1215</v>
      </c>
      <c r="C2848" s="21" t="s">
        <v>1222</v>
      </c>
      <c r="D2848" s="21" t="s">
        <v>1217</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2274</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1247</v>
      </c>
      <c r="B2850" s="21" t="s">
        <v>1221</v>
      </c>
      <c r="C2850" s="21" t="s">
        <v>1242</v>
      </c>
      <c r="D2850" s="21" t="s">
        <v>1217</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2079</v>
      </c>
      <c r="B2851" s="21" t="s">
        <v>1275</v>
      </c>
      <c r="C2851" s="21" t="s">
        <v>1222</v>
      </c>
      <c r="D2851" s="21" t="s">
        <v>1217</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1286</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2275</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1218</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1474</v>
      </c>
      <c r="B2855" s="21" t="s">
        <v>1237</v>
      </c>
      <c r="C2855" s="21" t="s">
        <v>1255</v>
      </c>
      <c r="D2855" s="21" t="s">
        <v>1217</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188</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1262</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row>
    <row r="2859" spans="1:12">
      <c r="A2859" s="20" t="s">
        <v>2276</v>
      </c>
    </row>
    <row r="2860" spans="1:12">
      <c r="A2860" s="20" t="s">
        <v>1456</v>
      </c>
      <c r="B2860" s="21" t="s">
        <v>1215</v>
      </c>
      <c r="C2860" s="21" t="s">
        <v>1225</v>
      </c>
      <c r="D2860" s="21" t="s">
        <v>1217</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1443</v>
      </c>
      <c r="B2861" s="21" t="s">
        <v>1275</v>
      </c>
      <c r="C2861" s="21" t="s">
        <v>1255</v>
      </c>
      <c r="D2861" s="21" t="s">
        <v>1217</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2277</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1219</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2234</v>
      </c>
      <c r="B2864" s="21" t="s">
        <v>1275</v>
      </c>
      <c r="C2864" s="21" t="s">
        <v>1269</v>
      </c>
      <c r="D2864" s="21" t="s">
        <v>1217</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1286</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1443</v>
      </c>
      <c r="B2866" s="21" t="s">
        <v>1249</v>
      </c>
      <c r="C2866" s="21" t="s">
        <v>1255</v>
      </c>
      <c r="D2866" s="21" t="s">
        <v>1217</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2278</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2279</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1796</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2280</v>
      </c>
      <c r="B2870" s="21" t="s">
        <v>1237</v>
      </c>
      <c r="C2870" s="21" t="s">
        <v>1297</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1218</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2281</v>
      </c>
      <c r="B2872" s="21" t="s">
        <v>1226</v>
      </c>
      <c r="C2872" s="21" t="s">
        <v>1279</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1262</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row>
    <row r="2875" spans="1:12">
      <c r="A2875" s="20" t="s">
        <v>2282</v>
      </c>
    </row>
    <row r="2876" spans="1:12">
      <c r="A2876" s="20" t="s">
        <v>1453</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1992</v>
      </c>
      <c r="B2877" s="21" t="s">
        <v>1215</v>
      </c>
      <c r="C2877" s="21" t="s">
        <v>1225</v>
      </c>
      <c r="D2877" s="21" t="s">
        <v>1217</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1149</v>
      </c>
      <c r="B2878" s="21" t="s">
        <v>1221</v>
      </c>
      <c r="C2878" s="21" t="s">
        <v>1225</v>
      </c>
      <c r="D2878" s="21" t="s">
        <v>1217</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1503</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2283</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1584</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1467</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1240</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2284</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1428</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1327</v>
      </c>
      <c r="B2886" s="21" t="s">
        <v>1221</v>
      </c>
      <c r="C2886" s="21" t="s">
        <v>1255</v>
      </c>
      <c r="D2886" s="21" t="s">
        <v>1217</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1218</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1219</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2079</v>
      </c>
      <c r="B2889" s="21" t="s">
        <v>1224</v>
      </c>
      <c r="C2889" s="21" t="s">
        <v>1269</v>
      </c>
      <c r="D2889" s="21" t="s">
        <v>1217</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1321</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1323</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2285</v>
      </c>
      <c r="B2892" s="21" t="s">
        <v>1283</v>
      </c>
      <c r="C2892" s="21" t="s">
        <v>1269</v>
      </c>
      <c r="D2892" s="21" t="s">
        <v>1217</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2286</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1349</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1262</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row>
    <row r="2897" spans="1:12">
      <c r="A2897" s="20" t="s">
        <v>2287</v>
      </c>
    </row>
    <row r="2898" spans="1:12">
      <c r="A2898" s="20" t="s">
        <v>1495</v>
      </c>
      <c r="B2898" s="21" t="s">
        <v>1244</v>
      </c>
      <c r="C2898" s="21" t="s">
        <v>1496</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1302</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1577</v>
      </c>
      <c r="B2900" s="21" t="s">
        <v>1215</v>
      </c>
      <c r="C2900" s="21" t="s">
        <v>1234</v>
      </c>
      <c r="D2900" s="21" t="s">
        <v>1217</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1457</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row>
    <row r="2903" spans="1:12">
      <c r="A2903" s="20" t="s">
        <v>2288</v>
      </c>
    </row>
    <row r="2904" spans="1:12">
      <c r="A2904" s="20" t="s">
        <v>1353</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1266</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1621</v>
      </c>
      <c r="B2906" s="21" t="s">
        <v>1244</v>
      </c>
      <c r="C2906" s="21" t="s">
        <v>1269</v>
      </c>
      <c r="D2906" s="21" t="s">
        <v>1217</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1218</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1266</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1622</v>
      </c>
      <c r="B2909" s="21" t="s">
        <v>1244</v>
      </c>
      <c r="C2909" s="21" t="s">
        <v>1269</v>
      </c>
      <c r="D2909" s="21" t="s">
        <v>1217</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1277</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1753</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2289</v>
      </c>
      <c r="B2912" s="21" t="s">
        <v>1221</v>
      </c>
      <c r="C2912" s="21" t="s">
        <v>1216</v>
      </c>
      <c r="D2912" s="21" t="s">
        <v>1217</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1329</v>
      </c>
      <c r="B2913" s="21" t="s">
        <v>1244</v>
      </c>
      <c r="C2913" s="21" t="s">
        <v>1234</v>
      </c>
      <c r="D2913" s="21" t="s">
        <v>1217</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1321</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1962</v>
      </c>
      <c r="B2915" s="21" t="s">
        <v>1283</v>
      </c>
      <c r="C2915" s="21" t="s">
        <v>1234</v>
      </c>
      <c r="D2915" s="21" t="s">
        <v>1217</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1302</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1503</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row>
    <row r="2919" spans="1:12">
      <c r="A2919" s="20" t="s">
        <v>2290</v>
      </c>
    </row>
    <row r="2920" spans="1:12">
      <c r="A2920" s="20" t="s">
        <v>16</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16</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2291</v>
      </c>
      <c r="B2922" s="21" t="s">
        <v>1215</v>
      </c>
      <c r="C2922" s="21" t="s">
        <v>1225</v>
      </c>
      <c r="D2922" s="21" t="s">
        <v>1217</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2292</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1277</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2293</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565</v>
      </c>
      <c r="B2926" s="21" t="s">
        <v>1229</v>
      </c>
      <c r="C2926" s="21" t="s">
        <v>1255</v>
      </c>
      <c r="D2926" s="21" t="s">
        <v>1217</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1530</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889</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1503</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1351</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548</v>
      </c>
      <c r="B2931" s="21" t="s">
        <v>1224</v>
      </c>
      <c r="C2931" s="21" t="s">
        <v>1225</v>
      </c>
      <c r="D2931" s="21" t="s">
        <v>1217</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1262</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row>
    <row r="2934" spans="1:12">
      <c r="A2934" s="20" t="s">
        <v>2294</v>
      </c>
    </row>
    <row r="2935" spans="1:12">
      <c r="A2935" s="20" t="s">
        <v>1334</v>
      </c>
      <c r="B2935" s="21" t="s">
        <v>1215</v>
      </c>
      <c r="C2935" s="21" t="s">
        <v>1255</v>
      </c>
      <c r="D2935" s="21" t="s">
        <v>1217</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2295</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2296</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1307</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1471</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2297</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2228</v>
      </c>
      <c r="B2941" s="21" t="s">
        <v>1244</v>
      </c>
      <c r="C2941" s="21" t="s">
        <v>1238</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1266</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2298</v>
      </c>
      <c r="B2943" s="21" t="s">
        <v>1275</v>
      </c>
      <c r="C2943" s="21" t="s">
        <v>1269</v>
      </c>
      <c r="D2943" s="21" t="s">
        <v>1217</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1218</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1323</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2299</v>
      </c>
      <c r="B2946" s="21" t="s">
        <v>1221</v>
      </c>
      <c r="C2946" s="21" t="s">
        <v>1269</v>
      </c>
      <c r="D2946" s="21" t="s">
        <v>1217</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2300</v>
      </c>
      <c r="B2947" s="21" t="s">
        <v>1224</v>
      </c>
      <c r="C2947" s="21" t="s">
        <v>1225</v>
      </c>
      <c r="D2947" s="21" t="s">
        <v>1217</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1262</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row>
    <row r="2950" spans="1:12">
      <c r="A2950" s="20" t="s">
        <v>1542</v>
      </c>
    </row>
    <row r="2951" spans="1:12">
      <c r="A2951" s="20" t="s">
        <v>135</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row>
    <row r="2953" spans="1:12">
      <c r="A2953" s="20" t="s">
        <v>2301</v>
      </c>
    </row>
    <row r="2954" spans="1:12">
      <c r="A2954" s="20" t="s">
        <v>1878</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2155</v>
      </c>
      <c r="B2955" s="21" t="s">
        <v>1215</v>
      </c>
      <c r="C2955" s="21" t="s">
        <v>1269</v>
      </c>
      <c r="D2955" s="21" t="s">
        <v>1217</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1251</v>
      </c>
      <c r="B2956" s="21" t="s">
        <v>1283</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2302</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1245</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1409</v>
      </c>
      <c r="B2959" s="21" t="s">
        <v>1226</v>
      </c>
      <c r="C2959" s="21" t="s">
        <v>1242</v>
      </c>
      <c r="D2959" s="21" t="s">
        <v>1217</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1538</v>
      </c>
      <c r="B2960" s="21" t="s">
        <v>1224</v>
      </c>
      <c r="C2960" s="21" t="s">
        <v>1222</v>
      </c>
      <c r="D2960" s="21" t="s">
        <v>1217</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1348</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1218</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1219</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2303</v>
      </c>
      <c r="B2964" s="21" t="s">
        <v>1244</v>
      </c>
      <c r="C2964" s="21" t="s">
        <v>1269</v>
      </c>
      <c r="D2964" s="21" t="s">
        <v>1217</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1251</v>
      </c>
      <c r="B2965" s="21" t="s">
        <v>1283</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1266</v>
      </c>
      <c r="B2966" s="21" t="s">
        <v>1237</v>
      </c>
      <c r="C2966" s="21" t="s">
        <v>1255</v>
      </c>
      <c r="D2966" s="21" t="s">
        <v>1217</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2304</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2305</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1262</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row>
    <row r="2971" spans="1:12">
      <c r="A2971" s="20" t="s">
        <v>2306</v>
      </c>
    </row>
    <row r="2972" spans="1:12">
      <c r="A2972" s="20" t="s">
        <v>2307</v>
      </c>
      <c r="B2972" s="21" t="s">
        <v>1215</v>
      </c>
      <c r="C2972" s="21" t="s">
        <v>1234</v>
      </c>
      <c r="D2972" s="21" t="s">
        <v>1217</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1301</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1302</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2308</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1235</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2309</v>
      </c>
      <c r="B2977" s="21" t="s">
        <v>1244</v>
      </c>
      <c r="C2977" s="21" t="s">
        <v>1238</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2308</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1235</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2310</v>
      </c>
      <c r="B2980" s="21" t="s">
        <v>1244</v>
      </c>
      <c r="C2980" s="21" t="s">
        <v>1238</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1262</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row>
    <row r="2983" spans="1:12">
      <c r="A2983" s="20" t="s">
        <v>2311</v>
      </c>
    </row>
    <row r="2984" spans="1:12">
      <c r="A2984" s="20" t="s">
        <v>2312</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1277</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2141</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1277</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1289</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2313</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1358</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1471</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2314</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2315</v>
      </c>
      <c r="B2993" s="21" t="s">
        <v>1224</v>
      </c>
      <c r="C2993" s="21" t="s">
        <v>1238</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1277</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565</v>
      </c>
      <c r="B2995" s="21" t="s">
        <v>1215</v>
      </c>
      <c r="C2995" s="21" t="s">
        <v>1255</v>
      </c>
      <c r="D2995" s="21" t="s">
        <v>1217</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1302</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2316</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1218</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1586</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1548</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2317</v>
      </c>
      <c r="B3001" s="21" t="s">
        <v>1244</v>
      </c>
      <c r="C3001" s="21" t="s">
        <v>1276</v>
      </c>
      <c r="D3001" s="21" t="s">
        <v>1217</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1262</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row>
    <row r="3004" spans="1:12">
      <c r="A3004" s="20" t="s">
        <v>2318</v>
      </c>
    </row>
    <row r="3005" spans="1:12">
      <c r="A3005" s="20" t="s">
        <v>2319</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1240</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1329</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1268</v>
      </c>
      <c r="B3008" s="21" t="s">
        <v>1221</v>
      </c>
      <c r="C3008" s="21" t="s">
        <v>1276</v>
      </c>
      <c r="D3008" s="21" t="s">
        <v>1217</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1277</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1257</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1266</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2320</v>
      </c>
      <c r="B3012" s="21" t="s">
        <v>1224</v>
      </c>
      <c r="C3012" s="21" t="s">
        <v>1269</v>
      </c>
      <c r="D3012" s="21" t="s">
        <v>1217</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1218</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1323</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889</v>
      </c>
      <c r="B3015" s="21" t="s">
        <v>1226</v>
      </c>
      <c r="C3015" s="21" t="s">
        <v>1269</v>
      </c>
      <c r="D3015" s="21" t="s">
        <v>1217</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1277</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1471</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2321</v>
      </c>
      <c r="B3018" s="21" t="s">
        <v>1229</v>
      </c>
      <c r="C3018" s="21" t="s">
        <v>1238</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2322</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1670</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2323</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1218</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1280</v>
      </c>
      <c r="B3023" s="21" t="s">
        <v>1226</v>
      </c>
      <c r="C3023" s="21" t="s">
        <v>1242</v>
      </c>
      <c r="D3023" s="21" t="s">
        <v>1217</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2113</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2122</v>
      </c>
      <c r="B3025" s="21" t="s">
        <v>1224</v>
      </c>
      <c r="C3025" s="21" t="s">
        <v>1222</v>
      </c>
      <c r="D3025" s="21" t="s">
        <v>1217</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1286</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1235</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2324</v>
      </c>
      <c r="B3028" s="21" t="s">
        <v>1226</v>
      </c>
      <c r="C3028" s="21" t="s">
        <v>1238</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1218</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2124</v>
      </c>
      <c r="B3030" s="21" t="s">
        <v>1261</v>
      </c>
      <c r="C3030" s="21" t="s">
        <v>1279</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2325</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1247</v>
      </c>
      <c r="B3032" s="21" t="s">
        <v>1221</v>
      </c>
      <c r="C3032" s="21" t="s">
        <v>1242</v>
      </c>
      <c r="D3032" s="21" t="s">
        <v>1217</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2079</v>
      </c>
      <c r="B3033" s="21" t="s">
        <v>1275</v>
      </c>
      <c r="C3033" s="21" t="s">
        <v>1222</v>
      </c>
      <c r="D3033" s="21" t="s">
        <v>1217</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1277</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2326</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1277</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2327</v>
      </c>
      <c r="B3037" s="21" t="s">
        <v>1224</v>
      </c>
      <c r="C3037" s="21" t="s">
        <v>1279</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1262</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row>
    <row r="3040" spans="1:12">
      <c r="A3040" s="20" t="s">
        <v>2328</v>
      </c>
    </row>
    <row r="3041" spans="1:12">
      <c r="A3041" s="20" t="s">
        <v>1361</v>
      </c>
      <c r="B3041" s="21" t="s">
        <v>1215</v>
      </c>
      <c r="C3041" s="21" t="s">
        <v>1255</v>
      </c>
      <c r="D3041" s="21" t="s">
        <v>1217</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2329</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1323</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1938</v>
      </c>
      <c r="B3044" s="21" t="s">
        <v>1275</v>
      </c>
      <c r="C3044" s="21" t="s">
        <v>1269</v>
      </c>
      <c r="D3044" s="21" t="s">
        <v>1217</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1336</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1329</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2330</v>
      </c>
      <c r="B3047" s="21" t="s">
        <v>1221</v>
      </c>
      <c r="C3047" s="21" t="s">
        <v>1276</v>
      </c>
      <c r="D3047" s="21" t="s">
        <v>1217</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2331</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1286</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1277</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2332</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1419</v>
      </c>
      <c r="B3052" s="21" t="s">
        <v>1229</v>
      </c>
      <c r="C3052" s="21" t="s">
        <v>1255</v>
      </c>
      <c r="D3052" s="21" t="s">
        <v>1217</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2333</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1743</v>
      </c>
      <c r="B3054" s="21" t="s">
        <v>1224</v>
      </c>
      <c r="C3054" s="21" t="s">
        <v>1242</v>
      </c>
      <c r="D3054" s="21" t="s">
        <v>1217</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2334</v>
      </c>
      <c r="B3055" s="21" t="s">
        <v>1249</v>
      </c>
      <c r="C3055" s="21" t="s">
        <v>1222</v>
      </c>
      <c r="D3055" s="21" t="s">
        <v>1217</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1277</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2084</v>
      </c>
      <c r="B3057" s="21" t="s">
        <v>1229</v>
      </c>
      <c r="C3057" s="21" t="s">
        <v>1255</v>
      </c>
      <c r="D3057" s="21" t="s">
        <v>1217</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2335</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1257</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1219</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2336</v>
      </c>
      <c r="B3061" s="21" t="s">
        <v>1221</v>
      </c>
      <c r="C3061" s="21" t="s">
        <v>1269</v>
      </c>
      <c r="D3061" s="21" t="s">
        <v>1217</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1262</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row>
    <row r="3064" spans="1:12">
      <c r="A3064" s="20" t="s">
        <v>2337</v>
      </c>
    </row>
    <row r="3065" spans="1:12">
      <c r="A3065" s="20" t="s">
        <v>16</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16</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1529</v>
      </c>
      <c r="B3067" s="21" t="s">
        <v>1215</v>
      </c>
      <c r="C3067" s="21" t="s">
        <v>1234</v>
      </c>
      <c r="D3067" s="21" t="s">
        <v>1217</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1530</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1218</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1266</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2338</v>
      </c>
      <c r="B3071" s="21" t="s">
        <v>1244</v>
      </c>
      <c r="C3071" s="21" t="s">
        <v>1269</v>
      </c>
      <c r="D3071" s="21" t="s">
        <v>1217</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1503</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2339</v>
      </c>
      <c r="B3073" s="21" t="s">
        <v>1244</v>
      </c>
      <c r="C3073" s="21" t="s">
        <v>1279</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1262</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row>
    <row r="3076" spans="1:12">
      <c r="A3076" s="20" t="s">
        <v>2340</v>
      </c>
    </row>
    <row r="3077" spans="1:12">
      <c r="A3077" s="20" t="s">
        <v>16</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16</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1566</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1611</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1471</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1540</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2341</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2342</v>
      </c>
      <c r="B3084" s="21" t="s">
        <v>1215</v>
      </c>
      <c r="C3084" s="21" t="s">
        <v>1238</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1277</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2343</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548</v>
      </c>
      <c r="B3087" s="21" t="s">
        <v>1275</v>
      </c>
      <c r="C3087" s="21" t="s">
        <v>1225</v>
      </c>
      <c r="D3087" s="21" t="s">
        <v>1217</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1277</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1240</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2344</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1228</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2155</v>
      </c>
      <c r="B3092" s="21" t="s">
        <v>1249</v>
      </c>
      <c r="C3092" s="21" t="s">
        <v>1269</v>
      </c>
      <c r="D3092" s="21" t="s">
        <v>1217</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1262</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row>
    <row r="3095" spans="1:12">
      <c r="A3095" s="20" t="s">
        <v>2345</v>
      </c>
    </row>
    <row r="3096" spans="1:12">
      <c r="A3096" s="20" t="s">
        <v>2346</v>
      </c>
      <c r="B3096" s="21" t="s">
        <v>1215</v>
      </c>
      <c r="C3096" s="21" t="s">
        <v>1255</v>
      </c>
      <c r="D3096" s="21" t="s">
        <v>1217</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1225</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2347</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1295</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677</v>
      </c>
      <c r="B3100" s="21" t="s">
        <v>1244</v>
      </c>
      <c r="C3100" s="21" t="s">
        <v>1297</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2348</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1218</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2349</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1245</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1228</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2350</v>
      </c>
      <c r="B3106" s="21" t="s">
        <v>1221</v>
      </c>
      <c r="C3106" s="21" t="s">
        <v>1269</v>
      </c>
      <c r="D3106" s="21" t="s">
        <v>1217</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1218</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1323</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2167</v>
      </c>
      <c r="B3109" s="21" t="s">
        <v>1224</v>
      </c>
      <c r="C3109" s="21" t="s">
        <v>1269</v>
      </c>
      <c r="D3109" s="21" t="s">
        <v>1217</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1262</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row>
    <row r="3112" spans="1:12">
      <c r="A3112" s="20" t="s">
        <v>2351</v>
      </c>
    </row>
    <row r="3113" spans="1:12">
      <c r="A3113" s="20" t="s">
        <v>1334</v>
      </c>
      <c r="B3113" s="21" t="s">
        <v>1215</v>
      </c>
      <c r="C3113" s="21" t="s">
        <v>1255</v>
      </c>
      <c r="D3113" s="21" t="s">
        <v>1217</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1534</v>
      </c>
      <c r="B3114" s="21" t="s">
        <v>1275</v>
      </c>
      <c r="C3114" s="21" t="s">
        <v>1255</v>
      </c>
      <c r="D3114" s="21" t="s">
        <v>1217</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1564</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1218</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1219</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2352</v>
      </c>
      <c r="B3118" s="21" t="s">
        <v>1244</v>
      </c>
      <c r="C3118" s="21" t="s">
        <v>1269</v>
      </c>
      <c r="D3118" s="21" t="s">
        <v>1217</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1277</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1649</v>
      </c>
      <c r="B3120" s="21" t="s">
        <v>1275</v>
      </c>
      <c r="C3120" s="21" t="s">
        <v>1225</v>
      </c>
      <c r="D3120" s="21" t="s">
        <v>1217</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1650</v>
      </c>
      <c r="B3121" s="21" t="s">
        <v>1221</v>
      </c>
      <c r="C3121" s="21" t="s">
        <v>1225</v>
      </c>
      <c r="D3121" s="21" t="s">
        <v>1217</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1277</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1307</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1534</v>
      </c>
      <c r="B3124" s="21" t="s">
        <v>1249</v>
      </c>
      <c r="C3124" s="21" t="s">
        <v>1255</v>
      </c>
      <c r="D3124" s="21" t="s">
        <v>1217</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172</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2353</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1245</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1471</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1725</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2285</v>
      </c>
      <c r="B3130" s="21" t="s">
        <v>1221</v>
      </c>
      <c r="C3130" s="21" t="s">
        <v>1238</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1262</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row>
    <row r="3133" spans="1:12">
      <c r="A3133" s="20" t="s">
        <v>2354</v>
      </c>
    </row>
    <row r="3134" spans="1:12">
      <c r="A3134" s="20" t="s">
        <v>1361</v>
      </c>
      <c r="B3134" s="21" t="s">
        <v>1215</v>
      </c>
      <c r="C3134" s="21" t="s">
        <v>1255</v>
      </c>
      <c r="D3134" s="21" t="s">
        <v>1217</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2355</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172</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2356</v>
      </c>
      <c r="B3137" s="21" t="s">
        <v>1249</v>
      </c>
      <c r="C3137" s="21" t="s">
        <v>1279</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1245</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1235</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885</v>
      </c>
      <c r="B3140" s="21" t="s">
        <v>1221</v>
      </c>
      <c r="C3140" s="21" t="s">
        <v>1222</v>
      </c>
      <c r="D3140" s="21" t="s">
        <v>1217</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1286</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283</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1303</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1245</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1471</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2357</v>
      </c>
      <c r="B3146" s="21" t="s">
        <v>1224</v>
      </c>
      <c r="C3146" s="21" t="s">
        <v>1238</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1218</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1273</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2358</v>
      </c>
      <c r="B3149" s="21" t="s">
        <v>1224</v>
      </c>
      <c r="C3149" s="21" t="s">
        <v>1276</v>
      </c>
      <c r="D3149" s="21" t="s">
        <v>1217</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1262</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row>
    <row r="3152" spans="1:12">
      <c r="A3152" s="20" t="s">
        <v>2359</v>
      </c>
    </row>
    <row r="3153" spans="1:12">
      <c r="A3153" s="20" t="s">
        <v>1595</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2244</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1266</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1515</v>
      </c>
      <c r="B3156" s="21" t="s">
        <v>1215</v>
      </c>
      <c r="C3156" s="21" t="s">
        <v>1269</v>
      </c>
      <c r="D3156" s="21" t="s">
        <v>1217</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1327</v>
      </c>
      <c r="B3157" s="21" t="s">
        <v>1275</v>
      </c>
      <c r="C3157" s="21" t="s">
        <v>1255</v>
      </c>
      <c r="D3157" s="21" t="s">
        <v>1217</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1348</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2360</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1490</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1218</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2052</v>
      </c>
      <c r="B3162" s="21" t="s">
        <v>1224</v>
      </c>
      <c r="C3162" s="21" t="s">
        <v>1279</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1307</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1443</v>
      </c>
      <c r="B3164" s="21" t="s">
        <v>1249</v>
      </c>
      <c r="C3164" s="21" t="s">
        <v>1255</v>
      </c>
      <c r="D3164" s="21" t="s">
        <v>1217</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1145</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1228</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2361</v>
      </c>
      <c r="B3167" s="21" t="s">
        <v>1249</v>
      </c>
      <c r="C3167" s="21" t="s">
        <v>1269</v>
      </c>
      <c r="D3167" s="21" t="s">
        <v>1217</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1321</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1327</v>
      </c>
      <c r="B3169" s="21" t="s">
        <v>1283</v>
      </c>
      <c r="C3169" s="21" t="s">
        <v>1255</v>
      </c>
      <c r="D3169" s="21" t="s">
        <v>1217</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1443</v>
      </c>
      <c r="B3170" s="21" t="s">
        <v>1237</v>
      </c>
      <c r="C3170" s="21" t="s">
        <v>1255</v>
      </c>
      <c r="D3170" s="21" t="s">
        <v>1217</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2362</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1262</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row>
    <row r="3174" spans="1:12">
      <c r="A3174" s="20" t="s">
        <v>2363</v>
      </c>
    </row>
    <row r="3175" spans="1:12">
      <c r="A3175" s="20" t="s">
        <v>16</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16</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16</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1488</v>
      </c>
      <c r="B3178" s="21" t="s">
        <v>1215</v>
      </c>
      <c r="C3178" s="21" t="s">
        <v>1255</v>
      </c>
      <c r="D3178" s="21" t="s">
        <v>1217</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1381</v>
      </c>
      <c r="B3179" s="21" t="s">
        <v>1275</v>
      </c>
      <c r="C3179" s="21" t="s">
        <v>1255</v>
      </c>
      <c r="D3179" s="21" t="s">
        <v>1217</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1575</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2364</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1323</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1830</v>
      </c>
      <c r="B3183" s="21" t="s">
        <v>1275</v>
      </c>
      <c r="C3183" s="21" t="s">
        <v>1269</v>
      </c>
      <c r="D3183" s="21" t="s">
        <v>1217</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1262</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row>
    <row r="3186" spans="1:12">
      <c r="A3186" s="20" t="s">
        <v>2365</v>
      </c>
    </row>
    <row r="3187" spans="1:12">
      <c r="A3187" s="20" t="s">
        <v>16</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16</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1417</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1228</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172</v>
      </c>
      <c r="B3191" s="21" t="s">
        <v>1244</v>
      </c>
      <c r="C3191" s="21" t="s">
        <v>1269</v>
      </c>
      <c r="D3191" s="21" t="s">
        <v>1217</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1526</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2366</v>
      </c>
      <c r="B3193" s="21" t="s">
        <v>1224</v>
      </c>
      <c r="C3193" s="21" t="s">
        <v>1279</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905</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1240</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2367</v>
      </c>
      <c r="B3196" s="21" t="s">
        <v>1221</v>
      </c>
      <c r="C3196" s="21" t="s">
        <v>1279</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1262</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row>
    <row r="3199" spans="1:12">
      <c r="A3199" s="20" t="s">
        <v>2368</v>
      </c>
    </row>
    <row r="3200" spans="1:12">
      <c r="A3200" s="20" t="s">
        <v>1488</v>
      </c>
      <c r="B3200" s="21" t="s">
        <v>1244</v>
      </c>
      <c r="C3200" s="21" t="s">
        <v>1255</v>
      </c>
      <c r="D3200" s="21" t="s">
        <v>1217</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2369</v>
      </c>
      <c r="B3201" s="21" t="s">
        <v>1229</v>
      </c>
      <c r="C3201" s="21" t="s">
        <v>1255</v>
      </c>
      <c r="D3201" s="21" t="s">
        <v>1217</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2370</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1305</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1307</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1534</v>
      </c>
      <c r="B3205" s="21" t="s">
        <v>1237</v>
      </c>
      <c r="C3205" s="21" t="s">
        <v>1255</v>
      </c>
      <c r="D3205" s="21" t="s">
        <v>1217</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741</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2371</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1457</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row>
    <row r="3210" spans="1:12">
      <c r="A3210" s="20" t="s">
        <v>2372</v>
      </c>
    </row>
    <row r="3211" spans="1:12">
      <c r="A3211" s="20" t="s">
        <v>16</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16</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2373</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2289</v>
      </c>
      <c r="B3214" s="21" t="s">
        <v>1275</v>
      </c>
      <c r="C3214" s="21" t="s">
        <v>1216</v>
      </c>
      <c r="D3214" s="21" t="s">
        <v>1217</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1349</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1471</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2374</v>
      </c>
      <c r="B3217" s="21" t="s">
        <v>1275</v>
      </c>
      <c r="C3217" s="21" t="s">
        <v>1238</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1218</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2281</v>
      </c>
      <c r="B3219" s="21" t="s">
        <v>1221</v>
      </c>
      <c r="C3219" s="21" t="s">
        <v>1279</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1286</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1419</v>
      </c>
      <c r="B3221" s="21" t="s">
        <v>1229</v>
      </c>
      <c r="C3221" s="21" t="s">
        <v>1255</v>
      </c>
      <c r="D3221" s="21" t="s">
        <v>1217</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2375</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2376</v>
      </c>
      <c r="B3223" s="21" t="s">
        <v>1249</v>
      </c>
      <c r="C3223" s="21" t="s">
        <v>1279</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1245</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1852</v>
      </c>
      <c r="B3225" s="21" t="s">
        <v>1221</v>
      </c>
      <c r="C3225" s="21" t="s">
        <v>1216</v>
      </c>
      <c r="D3225" s="21" t="s">
        <v>1217</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1618</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1440</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1277</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434</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1503</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1611</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row>
    <row r="3233" spans="1:12">
      <c r="A3233" s="20" t="s">
        <v>2377</v>
      </c>
    </row>
    <row r="3234" spans="1:12">
      <c r="A3234" s="20" t="s">
        <v>1970</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2378</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1572</v>
      </c>
      <c r="B3236" s="21" t="s">
        <v>1215</v>
      </c>
      <c r="C3236" s="21" t="s">
        <v>1255</v>
      </c>
      <c r="D3236" s="21" t="s">
        <v>1217</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1381</v>
      </c>
      <c r="B3237" s="21" t="s">
        <v>1249</v>
      </c>
      <c r="C3237" s="21" t="s">
        <v>1255</v>
      </c>
      <c r="D3237" s="21" t="s">
        <v>1217</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1256</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1245</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1420</v>
      </c>
      <c r="B3240" s="21" t="s">
        <v>1237</v>
      </c>
      <c r="C3240" s="21" t="s">
        <v>1255</v>
      </c>
      <c r="D3240" s="21" t="s">
        <v>1217</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1568</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1336</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1942</v>
      </c>
      <c r="B3243" s="21" t="s">
        <v>1224</v>
      </c>
      <c r="C3243" s="21" t="s">
        <v>1279</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1618</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row>
    <row r="3246" spans="1:12">
      <c r="A3246" s="20" t="s">
        <v>2379</v>
      </c>
    </row>
    <row r="3247" spans="1:12">
      <c r="A3247" s="20" t="s">
        <v>1495</v>
      </c>
      <c r="B3247" s="21" t="s">
        <v>1275</v>
      </c>
      <c r="C3247" s="21" t="s">
        <v>1496</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2380</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1572</v>
      </c>
      <c r="B3249" s="21" t="s">
        <v>1215</v>
      </c>
      <c r="C3249" s="21" t="s">
        <v>1255</v>
      </c>
      <c r="D3249" s="21" t="s">
        <v>1217</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1145</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1457</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row>
    <row r="3253" spans="1:12">
      <c r="A3253" s="20" t="s">
        <v>2381</v>
      </c>
    </row>
    <row r="3254" spans="1:12">
      <c r="A3254" s="20" t="s">
        <v>16</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16</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1488</v>
      </c>
      <c r="B3256" s="21" t="s">
        <v>1215</v>
      </c>
      <c r="C3256" s="21" t="s">
        <v>1255</v>
      </c>
      <c r="D3256" s="21" t="s">
        <v>1217</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1301</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1489</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1303</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1240</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2382</v>
      </c>
      <c r="B3261" s="21" t="s">
        <v>1244</v>
      </c>
      <c r="C3261" s="21" t="s">
        <v>1279</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1218</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1338</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1273</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1839</v>
      </c>
      <c r="B3265" s="21" t="s">
        <v>1249</v>
      </c>
      <c r="C3265" s="21" t="s">
        <v>1276</v>
      </c>
      <c r="D3265" s="21" t="s">
        <v>1217</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1218</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2383</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2384</v>
      </c>
      <c r="B3268" s="21" t="s">
        <v>1224</v>
      </c>
      <c r="C3268" s="21" t="s">
        <v>1279</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1262</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row>
    <row r="3271" spans="1:12">
      <c r="A3271" s="20" t="s">
        <v>2385</v>
      </c>
    </row>
    <row r="3272" spans="1:12">
      <c r="A3272" s="20" t="s">
        <v>2386</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1235</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1268</v>
      </c>
      <c r="B3274" s="21" t="s">
        <v>1275</v>
      </c>
      <c r="C3274" s="21" t="s">
        <v>1238</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1286</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1228</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1235</v>
      </c>
      <c r="B3277" s="21" t="s">
        <v>1221</v>
      </c>
      <c r="C3277" s="21" t="s">
        <v>1216</v>
      </c>
      <c r="D3277" s="21" t="s">
        <v>1217</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1218</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1327</v>
      </c>
      <c r="B3279" s="21" t="s">
        <v>1292</v>
      </c>
      <c r="C3279" s="21" t="s">
        <v>1255</v>
      </c>
      <c r="D3279" s="21" t="s">
        <v>1217</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2387</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1666</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1534</v>
      </c>
      <c r="B3282" s="21" t="s">
        <v>1226</v>
      </c>
      <c r="C3282" s="21" t="s">
        <v>1255</v>
      </c>
      <c r="D3282" s="21" t="s">
        <v>1217</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1245</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1266</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1429</v>
      </c>
      <c r="B3285" s="21" t="s">
        <v>1226</v>
      </c>
      <c r="C3285" s="21" t="s">
        <v>1269</v>
      </c>
      <c r="D3285" s="21" t="s">
        <v>1217</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1262</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row>
    <row r="3288" spans="1:12">
      <c r="A3288" s="20" t="s">
        <v>1542</v>
      </c>
    </row>
    <row r="3289" spans="1:12">
      <c r="A3289" s="20" t="s">
        <v>135</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row>
    <row r="3291" spans="1:12">
      <c r="A3291" s="20" t="s">
        <v>2388</v>
      </c>
    </row>
    <row r="3292" spans="1:12">
      <c r="A3292" s="20" t="s">
        <v>1686</v>
      </c>
      <c r="B3292" s="21" t="s">
        <v>1215</v>
      </c>
      <c r="C3292" s="21" t="s">
        <v>1225</v>
      </c>
      <c r="D3292" s="21" t="s">
        <v>1217</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1650</v>
      </c>
      <c r="B3293" s="21" t="s">
        <v>1221</v>
      </c>
      <c r="C3293" s="21" t="s">
        <v>1225</v>
      </c>
      <c r="D3293" s="21" t="s">
        <v>1217</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2389</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1218</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1373</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2390</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1336</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1247</v>
      </c>
      <c r="B3299" s="21" t="s">
        <v>1224</v>
      </c>
      <c r="C3299" s="21" t="s">
        <v>1242</v>
      </c>
      <c r="D3299" s="21" t="s">
        <v>1217</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2391</v>
      </c>
      <c r="B3300" s="21" t="s">
        <v>1221</v>
      </c>
      <c r="C3300" s="21" t="s">
        <v>1222</v>
      </c>
      <c r="D3300" s="21" t="s">
        <v>1217</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1341</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row>
    <row r="3303" spans="1:12">
      <c r="A3303" s="20" t="s">
        <v>2392</v>
      </c>
    </row>
    <row r="3304" spans="1:12">
      <c r="A3304" s="20" t="s">
        <v>1318</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565</v>
      </c>
      <c r="B3305" s="21" t="s">
        <v>1215</v>
      </c>
      <c r="C3305" s="21" t="s">
        <v>1255</v>
      </c>
      <c r="D3305" s="21" t="s">
        <v>1217</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1302</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1349</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1671</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1720</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1235</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2393</v>
      </c>
      <c r="B3311" s="21" t="s">
        <v>1244</v>
      </c>
      <c r="C3311" s="21" t="s">
        <v>1238</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1286</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565</v>
      </c>
      <c r="B3313" s="21" t="s">
        <v>1229</v>
      </c>
      <c r="C3313" s="21" t="s">
        <v>1255</v>
      </c>
      <c r="D3313" s="21" t="s">
        <v>1217</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2394</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1218</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2064</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1247</v>
      </c>
      <c r="B3317" s="21" t="s">
        <v>1224</v>
      </c>
      <c r="C3317" s="21" t="s">
        <v>1242</v>
      </c>
      <c r="D3317" s="21" t="s">
        <v>1217</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2395</v>
      </c>
      <c r="B3318" s="21" t="s">
        <v>1221</v>
      </c>
      <c r="C3318" s="21" t="s">
        <v>1222</v>
      </c>
      <c r="D3318" s="21" t="s">
        <v>1217</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1262</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row>
    <row r="3321" spans="1:12">
      <c r="A3321" s="20" t="s">
        <v>2396</v>
      </c>
    </row>
    <row r="3322" spans="1:12">
      <c r="A3322" s="20" t="s">
        <v>1334</v>
      </c>
      <c r="B3322" s="21" t="s">
        <v>1215</v>
      </c>
      <c r="C3322" s="21" t="s">
        <v>1255</v>
      </c>
      <c r="D3322" s="21" t="s">
        <v>1217</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1266</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2397</v>
      </c>
      <c r="B3324" s="21" t="s">
        <v>1244</v>
      </c>
      <c r="C3324" s="21" t="s">
        <v>1269</v>
      </c>
      <c r="D3324" s="21" t="s">
        <v>1217</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1436</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1245</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1471</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2398</v>
      </c>
      <c r="B3328" s="21" t="s">
        <v>1244</v>
      </c>
      <c r="C3328" s="21" t="s">
        <v>1238</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1336</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2399</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565</v>
      </c>
      <c r="B3331" s="21" t="s">
        <v>1283</v>
      </c>
      <c r="C3331" s="21" t="s">
        <v>1255</v>
      </c>
      <c r="D3331" s="21" t="s">
        <v>1217</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1373</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2400</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1277</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1852</v>
      </c>
      <c r="B3335" s="21" t="s">
        <v>1249</v>
      </c>
      <c r="C3335" s="21" t="s">
        <v>1216</v>
      </c>
      <c r="D3335" s="21" t="s">
        <v>1217</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1509</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1277</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1323</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2042</v>
      </c>
      <c r="B3339" s="21" t="s">
        <v>1249</v>
      </c>
      <c r="C3339" s="21" t="s">
        <v>1269</v>
      </c>
      <c r="D3339" s="21" t="s">
        <v>1217</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2401</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2402</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1247</v>
      </c>
      <c r="B3342" s="21" t="s">
        <v>1261</v>
      </c>
      <c r="C3342" s="21" t="s">
        <v>1242</v>
      </c>
      <c r="D3342" s="21" t="s">
        <v>1217</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2181</v>
      </c>
      <c r="B3343" s="21" t="s">
        <v>1226</v>
      </c>
      <c r="C3343" s="21" t="s">
        <v>1222</v>
      </c>
      <c r="D3343" s="21" t="s">
        <v>1217</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1262</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row>
    <row r="3346" spans="1:12">
      <c r="A3346" s="20" t="s">
        <v>2403</v>
      </c>
    </row>
    <row r="3347" spans="1:12">
      <c r="A3347" s="20" t="s">
        <v>1453</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1264</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2404</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1321</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1327</v>
      </c>
      <c r="B3351" s="21" t="s">
        <v>1224</v>
      </c>
      <c r="C3351" s="21" t="s">
        <v>1255</v>
      </c>
      <c r="D3351" s="21" t="s">
        <v>1217</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1534</v>
      </c>
      <c r="B3352" s="21" t="s">
        <v>1224</v>
      </c>
      <c r="C3352" s="21" t="s">
        <v>1255</v>
      </c>
      <c r="D3352" s="21" t="s">
        <v>1217</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2405</v>
      </c>
      <c r="B3353" s="21" t="s">
        <v>1229</v>
      </c>
      <c r="C3353" s="21" t="s">
        <v>1279</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1277</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1351</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548</v>
      </c>
      <c r="B3356" s="21" t="s">
        <v>1221</v>
      </c>
      <c r="C3356" s="21" t="s">
        <v>1225</v>
      </c>
      <c r="D3356" s="21" t="s">
        <v>1217</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1262</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row>
    <row r="3359" spans="1:12">
      <c r="A3359" s="20" t="s">
        <v>2406</v>
      </c>
    </row>
    <row r="3360" spans="1:12">
      <c r="A3360" s="20" t="s">
        <v>1334</v>
      </c>
      <c r="B3360" s="21" t="s">
        <v>1215</v>
      </c>
      <c r="C3360" s="21" t="s">
        <v>1255</v>
      </c>
      <c r="D3360" s="21" t="s">
        <v>1217</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1564</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2407</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1346</v>
      </c>
      <c r="B3363" s="21" t="s">
        <v>1224</v>
      </c>
      <c r="C3363" s="21" t="s">
        <v>1242</v>
      </c>
      <c r="D3363" s="21" t="s">
        <v>1217</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2408</v>
      </c>
      <c r="B3364" s="21" t="s">
        <v>1249</v>
      </c>
      <c r="C3364" s="21" t="s">
        <v>1222</v>
      </c>
      <c r="D3364" s="21" t="s">
        <v>1217</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1286</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1375</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1732</v>
      </c>
      <c r="B3367" s="21" t="s">
        <v>1283</v>
      </c>
      <c r="C3367" s="21" t="s">
        <v>1297</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1583</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1471</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2409</v>
      </c>
      <c r="B3370" s="21" t="s">
        <v>1237</v>
      </c>
      <c r="C3370" s="21" t="s">
        <v>1238</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2410</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1262</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row>
    <row r="3374" spans="1:12">
      <c r="A3374" s="20" t="s">
        <v>2411</v>
      </c>
    </row>
    <row r="3375" spans="1:12">
      <c r="A3375" s="20" t="s">
        <v>1334</v>
      </c>
      <c r="B3375" s="21" t="s">
        <v>1215</v>
      </c>
      <c r="C3375" s="21" t="s">
        <v>1255</v>
      </c>
      <c r="D3375" s="21" t="s">
        <v>1217</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2412</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1346</v>
      </c>
      <c r="B3377" s="21" t="s">
        <v>1221</v>
      </c>
      <c r="C3377" s="21" t="s">
        <v>1242</v>
      </c>
      <c r="D3377" s="21" t="s">
        <v>1217</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2413</v>
      </c>
      <c r="B3378" s="21" t="s">
        <v>1275</v>
      </c>
      <c r="C3378" s="21" t="s">
        <v>1222</v>
      </c>
      <c r="D3378" s="21" t="s">
        <v>1217</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1277</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1245</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1273</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1948</v>
      </c>
      <c r="B3382" s="21" t="s">
        <v>1244</v>
      </c>
      <c r="C3382" s="21" t="s">
        <v>1276</v>
      </c>
      <c r="D3382" s="21" t="s">
        <v>1217</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1341</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row>
    <row r="3385" spans="1:12">
      <c r="A3385" s="20" t="s">
        <v>2414</v>
      </c>
    </row>
    <row r="3386" spans="1:12">
      <c r="A3386" s="20" t="s">
        <v>565</v>
      </c>
      <c r="B3386" s="21" t="s">
        <v>1215</v>
      </c>
      <c r="C3386" s="21" t="s">
        <v>1255</v>
      </c>
      <c r="D3386" s="21" t="s">
        <v>1217</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1225</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1327</v>
      </c>
      <c r="B3388" s="21" t="s">
        <v>1275</v>
      </c>
      <c r="C3388" s="21" t="s">
        <v>1255</v>
      </c>
      <c r="D3388" s="21" t="s">
        <v>1217</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2415</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1596</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1321</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1266</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2416</v>
      </c>
      <c r="B3393" s="21" t="s">
        <v>1244</v>
      </c>
      <c r="C3393" s="21" t="s">
        <v>1269</v>
      </c>
      <c r="D3393" s="21" t="s">
        <v>1217</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1262</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row>
    <row r="3396" spans="1:12">
      <c r="A3396" s="20" t="s">
        <v>1542</v>
      </c>
    </row>
    <row r="3397" spans="1:12">
      <c r="A3397" s="20" t="s">
        <v>135</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row>
    <row r="3399" spans="1:12">
      <c r="A3399" s="20" t="s">
        <v>2417</v>
      </c>
    </row>
    <row r="3400" spans="1:12">
      <c r="A3400" s="20" t="s">
        <v>1595</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1277</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2418</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1321</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1327</v>
      </c>
      <c r="B3404" s="21" t="s">
        <v>1229</v>
      </c>
      <c r="C3404" s="21" t="s">
        <v>1255</v>
      </c>
      <c r="D3404" s="21" t="s">
        <v>1217</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1327</v>
      </c>
      <c r="B3405" s="21" t="s">
        <v>1249</v>
      </c>
      <c r="C3405" s="21" t="s">
        <v>1255</v>
      </c>
      <c r="D3405" s="21" t="s">
        <v>1217</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2419</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1257</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1266</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1461</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139</v>
      </c>
      <c r="B3410" s="21" t="s">
        <v>1221</v>
      </c>
      <c r="C3410" s="21" t="s">
        <v>1269</v>
      </c>
      <c r="D3410" s="21" t="s">
        <v>1217</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1277</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1312</v>
      </c>
      <c r="B3412" s="21" t="s">
        <v>1221</v>
      </c>
      <c r="C3412" s="21" t="s">
        <v>1242</v>
      </c>
      <c r="D3412" s="21" t="s">
        <v>1217</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1459</v>
      </c>
      <c r="B3413" s="21" t="s">
        <v>1215</v>
      </c>
      <c r="C3413" s="21" t="s">
        <v>1222</v>
      </c>
      <c r="D3413" s="21" t="s">
        <v>1217</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2420</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1648</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1453</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1264</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1468</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1583</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2421</v>
      </c>
      <c r="B3420" s="21" t="s">
        <v>1249</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1245</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2422</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1996</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1235</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1321</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1327</v>
      </c>
      <c r="B3426" s="21" t="s">
        <v>1252</v>
      </c>
      <c r="C3426" s="21" t="s">
        <v>1255</v>
      </c>
      <c r="D3426" s="21" t="s">
        <v>1217</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1225</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2423</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1596</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1547</v>
      </c>
      <c r="B3430" s="21" t="s">
        <v>1292</v>
      </c>
      <c r="C3430" s="21" t="s">
        <v>1225</v>
      </c>
      <c r="D3430" s="21" t="s">
        <v>1217</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2424</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1443</v>
      </c>
      <c r="B3432" s="21" t="s">
        <v>1226</v>
      </c>
      <c r="C3432" s="21" t="s">
        <v>1255</v>
      </c>
      <c r="D3432" s="21" t="s">
        <v>1217</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1262</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row>
    <row r="3435" spans="1:12">
      <c r="A3435" s="20" t="s">
        <v>2425</v>
      </c>
    </row>
    <row r="3436" spans="1:12">
      <c r="A3436" s="20" t="s">
        <v>1591</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2426</v>
      </c>
      <c r="B3437" s="21" t="s">
        <v>1215</v>
      </c>
      <c r="C3437" s="21" t="s">
        <v>1269</v>
      </c>
      <c r="D3437" s="21" t="s">
        <v>1217</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1218</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2102</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1443</v>
      </c>
      <c r="B3440" s="21" t="s">
        <v>1275</v>
      </c>
      <c r="C3440" s="21" t="s">
        <v>1255</v>
      </c>
      <c r="D3440" s="21" t="s">
        <v>1217</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2427</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2428</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1358</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565</v>
      </c>
      <c r="B3444" s="21" t="s">
        <v>1229</v>
      </c>
      <c r="C3444" s="21" t="s">
        <v>1255</v>
      </c>
      <c r="D3444" s="21" t="s">
        <v>1217</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1583</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2429</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1323</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1278</v>
      </c>
      <c r="B3448" s="21" t="s">
        <v>1249</v>
      </c>
      <c r="C3448" s="21" t="s">
        <v>1269</v>
      </c>
      <c r="D3448" s="21" t="s">
        <v>1217</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1262</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row>
    <row r="3451" spans="1:12">
      <c r="A3451" s="20" t="s">
        <v>2430</v>
      </c>
    </row>
    <row r="3452" spans="1:12">
      <c r="A3452" s="20" t="s">
        <v>16</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16</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1334</v>
      </c>
      <c r="B3454" s="21" t="s">
        <v>1215</v>
      </c>
      <c r="C3454" s="21" t="s">
        <v>1255</v>
      </c>
      <c r="D3454" s="21" t="s">
        <v>1217</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1335</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2370</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1597</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1218</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1450</v>
      </c>
      <c r="B3459" s="21" t="s">
        <v>1244</v>
      </c>
      <c r="C3459" s="21" t="s">
        <v>1225</v>
      </c>
      <c r="D3459" s="21" t="s">
        <v>1217</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1451</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1277</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2431</v>
      </c>
      <c r="B3462" s="21" t="s">
        <v>1221</v>
      </c>
      <c r="C3462" s="21" t="s">
        <v>1279</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1341</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row>
    <row r="3465" spans="1:12">
      <c r="A3465" s="20" t="s">
        <v>2432</v>
      </c>
    </row>
    <row r="3466" spans="1:12">
      <c r="A3466" s="20" t="s">
        <v>1266</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1515</v>
      </c>
      <c r="B3467" s="21" t="s">
        <v>1215</v>
      </c>
      <c r="C3467" s="21" t="s">
        <v>1269</v>
      </c>
      <c r="D3467" s="21" t="s">
        <v>1217</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2433</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2434</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1266</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1615</v>
      </c>
      <c r="B3471" s="21" t="s">
        <v>1275</v>
      </c>
      <c r="C3471" s="21" t="s">
        <v>1269</v>
      </c>
      <c r="D3471" s="21" t="s">
        <v>1217</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1218</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1219</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2435</v>
      </c>
      <c r="B3474" s="21" t="s">
        <v>1221</v>
      </c>
      <c r="C3474" s="21" t="s">
        <v>1269</v>
      </c>
      <c r="D3474" s="21" t="s">
        <v>1217</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1262</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row>
    <row r="3477" spans="1:12">
      <c r="A3477" s="20" t="s">
        <v>2436</v>
      </c>
    </row>
    <row r="3478" spans="1:12">
      <c r="A3478" s="20" t="s">
        <v>1590</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1264</v>
      </c>
      <c r="B3479" s="21" t="s">
        <v>1215</v>
      </c>
      <c r="C3479" s="21" t="s">
        <v>1255</v>
      </c>
      <c r="D3479" s="21" t="s">
        <v>1217</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2437</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1266</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885</v>
      </c>
      <c r="B3482" s="21" t="s">
        <v>1275</v>
      </c>
      <c r="C3482" s="21" t="s">
        <v>1269</v>
      </c>
      <c r="D3482" s="21" t="s">
        <v>1217</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1307</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1228</v>
      </c>
      <c r="B3484" s="21" t="s">
        <v>1249</v>
      </c>
      <c r="C3484" s="21" t="s">
        <v>1255</v>
      </c>
      <c r="D3484" s="21" t="s">
        <v>1217</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2438</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1277</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1618</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row>
    <row r="3489" spans="1:12">
      <c r="A3489" s="20" t="s">
        <v>2439</v>
      </c>
    </row>
    <row r="3490" spans="1:12">
      <c r="A3490" s="20" t="s">
        <v>1534</v>
      </c>
      <c r="B3490" s="21" t="s">
        <v>1215</v>
      </c>
      <c r="C3490" s="21" t="s">
        <v>1255</v>
      </c>
      <c r="D3490" s="21" t="s">
        <v>1217</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2440</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1240</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315</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2441</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1618</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1762</v>
      </c>
      <c r="B3496" s="21" t="s">
        <v>1224</v>
      </c>
      <c r="C3496" s="21" t="s">
        <v>1225</v>
      </c>
      <c r="D3496" s="21" t="s">
        <v>1217</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1277</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283</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1277</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1611</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565</v>
      </c>
      <c r="B3501" s="21" t="s">
        <v>1283</v>
      </c>
      <c r="C3501" s="21" t="s">
        <v>1255</v>
      </c>
      <c r="D3501" s="21" t="s">
        <v>1217</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1530</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1824</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1597</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1503</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1611</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row>
    <row r="3508" spans="1:12">
      <c r="A3508" s="20" t="s">
        <v>2442</v>
      </c>
    </row>
    <row r="3509" spans="1:12">
      <c r="A3509" s="20" t="s">
        <v>2443</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2444</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1327</v>
      </c>
      <c r="B3511" s="21" t="s">
        <v>1215</v>
      </c>
      <c r="C3511" s="21" t="s">
        <v>1255</v>
      </c>
      <c r="D3511" s="21" t="s">
        <v>1217</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2445</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1323</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1424</v>
      </c>
      <c r="B3514" s="21" t="s">
        <v>1275</v>
      </c>
      <c r="C3514" s="21" t="s">
        <v>1269</v>
      </c>
      <c r="D3514" s="21" t="s">
        <v>1217</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1307</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1327</v>
      </c>
      <c r="B3516" s="21" t="s">
        <v>1249</v>
      </c>
      <c r="C3516" s="21" t="s">
        <v>1255</v>
      </c>
      <c r="D3516" s="21" t="s">
        <v>1217</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1240</v>
      </c>
      <c r="B3517" s="21" t="s">
        <v>1249</v>
      </c>
      <c r="C3517" s="21" t="s">
        <v>1216</v>
      </c>
      <c r="D3517" s="21" t="s">
        <v>1217</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2446</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1262</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row>
    <row r="3521" spans="1:12">
      <c r="A3521" s="20" t="s">
        <v>1542</v>
      </c>
    </row>
    <row r="3522" spans="1:12">
      <c r="A3522" s="20" t="s">
        <v>135</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row>
    <row r="3524" spans="1:12">
      <c r="A3524" s="20" t="s">
        <v>2447</v>
      </c>
    </row>
    <row r="3525" spans="1:12">
      <c r="A3525" s="20" t="s">
        <v>1397</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1437</v>
      </c>
      <c r="B3526" s="21" t="s">
        <v>1215</v>
      </c>
      <c r="C3526" s="21" t="s">
        <v>1269</v>
      </c>
      <c r="D3526" s="21" t="s">
        <v>1217</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1526</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1433</v>
      </c>
      <c r="B3528" s="21" t="s">
        <v>1221</v>
      </c>
      <c r="C3528" s="21" t="s">
        <v>1279</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1302</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2448</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1262</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row>
    <row r="3533" spans="1:12">
      <c r="A3533" s="20" t="s">
        <v>2449</v>
      </c>
    </row>
    <row r="3534" spans="1:12">
      <c r="A3534" s="20" t="s">
        <v>1334</v>
      </c>
      <c r="B3534" s="21" t="s">
        <v>1215</v>
      </c>
      <c r="C3534" s="21" t="s">
        <v>1255</v>
      </c>
      <c r="D3534" s="21" t="s">
        <v>1217</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1327</v>
      </c>
      <c r="B3535" s="21" t="s">
        <v>1275</v>
      </c>
      <c r="C3535" s="21" t="s">
        <v>1255</v>
      </c>
      <c r="D3535" s="21" t="s">
        <v>1217</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2450</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1245</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1228</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1638</v>
      </c>
      <c r="B3539" s="21" t="s">
        <v>1244</v>
      </c>
      <c r="C3539" s="21" t="s">
        <v>1269</v>
      </c>
      <c r="D3539" s="21" t="s">
        <v>1217</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1277</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2451</v>
      </c>
      <c r="B3541" s="21" t="s">
        <v>1244</v>
      </c>
      <c r="C3541" s="21" t="s">
        <v>1279</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1526</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1471</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2452</v>
      </c>
      <c r="B3544" s="21" t="s">
        <v>1221</v>
      </c>
      <c r="C3544" s="21" t="s">
        <v>1238</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1245</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1228</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1647</v>
      </c>
      <c r="B3547" s="21" t="s">
        <v>1224</v>
      </c>
      <c r="C3547" s="21" t="s">
        <v>1216</v>
      </c>
      <c r="D3547" s="21" t="s">
        <v>1217</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1277</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1245</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1266</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2453</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2089</v>
      </c>
      <c r="B3552" s="21" t="s">
        <v>1244</v>
      </c>
      <c r="C3552" s="21" t="s">
        <v>1269</v>
      </c>
      <c r="D3552" s="21" t="s">
        <v>1217</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1526</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1235</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2454</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2455</v>
      </c>
      <c r="B3556" s="21" t="s">
        <v>1221</v>
      </c>
      <c r="C3556" s="21" t="s">
        <v>1238</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1321</v>
      </c>
      <c r="B3557" s="21" t="s">
        <v>1292</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1327</v>
      </c>
      <c r="B3558" s="21" t="s">
        <v>1252</v>
      </c>
      <c r="C3558" s="21" t="s">
        <v>1255</v>
      </c>
      <c r="D3558" s="21" t="s">
        <v>1217</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2456</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1257</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1266</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2457</v>
      </c>
      <c r="B3562" s="21" t="s">
        <v>1226</v>
      </c>
      <c r="C3562" s="21" t="s">
        <v>1269</v>
      </c>
      <c r="D3562" s="21" t="s">
        <v>1217</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1262</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row>
    <row r="3565" spans="1:12">
      <c r="A3565" s="20" t="s">
        <v>2458</v>
      </c>
    </row>
    <row r="3566" spans="1:12">
      <c r="A3566" s="20" t="s">
        <v>2459</v>
      </c>
      <c r="B3566" s="21" t="s">
        <v>1244</v>
      </c>
      <c r="C3566" s="21" t="s">
        <v>1225</v>
      </c>
      <c r="D3566" s="21" t="s">
        <v>1217</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1277</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1323</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184</v>
      </c>
      <c r="B3569" s="21" t="s">
        <v>1215</v>
      </c>
      <c r="C3569" s="21" t="s">
        <v>1269</v>
      </c>
      <c r="D3569" s="21" t="s">
        <v>1217</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1245</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1603</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1302</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2460</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2461</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1262</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row>
    <row r="3577" spans="1:12">
      <c r="A3577" s="20" t="s">
        <v>2462</v>
      </c>
    </row>
    <row r="3578" spans="1:12">
      <c r="A3578" s="20" t="s">
        <v>548</v>
      </c>
      <c r="B3578" s="21" t="s">
        <v>1215</v>
      </c>
      <c r="C3578" s="21" t="s">
        <v>1225</v>
      </c>
      <c r="D3578" s="21" t="s">
        <v>1217</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2463</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1323</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1887</v>
      </c>
      <c r="B3581" s="21" t="s">
        <v>1275</v>
      </c>
      <c r="C3581" s="21" t="s">
        <v>1269</v>
      </c>
      <c r="D3581" s="21" t="s">
        <v>1217</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1286</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2464</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1436</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1245</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1219</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1596</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2326</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2465</v>
      </c>
      <c r="B3589" s="21" t="s">
        <v>1221</v>
      </c>
      <c r="C3589" s="21" t="s">
        <v>1269</v>
      </c>
      <c r="D3589" s="21" t="s">
        <v>1217</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1262</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row>
    <row r="3592" spans="1:12">
      <c r="A3592" s="20" t="s">
        <v>2466</v>
      </c>
    </row>
    <row r="3593" spans="1:12">
      <c r="A3593" s="20" t="s">
        <v>1334</v>
      </c>
      <c r="B3593" s="21" t="s">
        <v>1215</v>
      </c>
      <c r="C3593" s="21" t="s">
        <v>1255</v>
      </c>
      <c r="D3593" s="21" t="s">
        <v>1217</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1225</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2467</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1295</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2266</v>
      </c>
      <c r="B3597" s="21" t="s">
        <v>1275</v>
      </c>
      <c r="C3597" s="21" t="s">
        <v>1222</v>
      </c>
      <c r="D3597" s="21" t="s">
        <v>1217</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1218</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1547</v>
      </c>
      <c r="B3599" s="21" t="s">
        <v>1221</v>
      </c>
      <c r="C3599" s="21" t="s">
        <v>1225</v>
      </c>
      <c r="D3599" s="21" t="s">
        <v>1217</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1262</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row>
    <row r="3602" spans="1:12">
      <c r="A3602" s="20" t="s">
        <v>2468</v>
      </c>
    </row>
    <row r="3603" spans="1:12">
      <c r="A3603" s="20" t="s">
        <v>2173</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1277</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1245</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1228</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2469</v>
      </c>
      <c r="B3607" s="21" t="s">
        <v>1244</v>
      </c>
      <c r="C3607" s="21" t="s">
        <v>1269</v>
      </c>
      <c r="D3607" s="21" t="s">
        <v>1217</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2470</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1277</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1230</v>
      </c>
      <c r="B3610" s="21" t="s">
        <v>1215</v>
      </c>
      <c r="C3610" s="21" t="s">
        <v>1216</v>
      </c>
      <c r="D3610" s="21" t="s">
        <v>1217</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1348</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2471</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1471</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1437</v>
      </c>
      <c r="B3614" s="21" t="s">
        <v>1275</v>
      </c>
      <c r="C3614" s="21" t="s">
        <v>1238</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1245</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1717</v>
      </c>
      <c r="B3616" s="21" t="s">
        <v>1221</v>
      </c>
      <c r="C3616" s="21" t="s">
        <v>1279</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1262</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row>
    <row r="3619" spans="1:12">
      <c r="A3619" s="20" t="s">
        <v>2472</v>
      </c>
    </row>
    <row r="3620" spans="1:12">
      <c r="A3620" s="20" t="s">
        <v>1453</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1264</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1468</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1583</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2473</v>
      </c>
      <c r="B3624" s="21" t="s">
        <v>1275</v>
      </c>
      <c r="C3624" s="21" t="s">
        <v>1216</v>
      </c>
      <c r="D3624" s="21" t="s">
        <v>1217</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1503</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1373</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2474</v>
      </c>
      <c r="B3627" s="21" t="s">
        <v>1215</v>
      </c>
      <c r="C3627" s="21" t="s">
        <v>1225</v>
      </c>
      <c r="D3627" s="21" t="s">
        <v>1217</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1456</v>
      </c>
      <c r="B3628" s="21" t="s">
        <v>1221</v>
      </c>
      <c r="C3628" s="21" t="s">
        <v>1225</v>
      </c>
      <c r="D3628" s="21" t="s">
        <v>1217</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1262</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row>
    <row r="3631" spans="1:12">
      <c r="A3631" s="20" t="s">
        <v>2475</v>
      </c>
    </row>
    <row r="3632" spans="1:12">
      <c r="A3632" s="20" t="s">
        <v>1271</v>
      </c>
      <c r="B3632" s="21" t="s">
        <v>1215</v>
      </c>
      <c r="C3632" s="21" t="s">
        <v>1255</v>
      </c>
      <c r="D3632" s="21" t="s">
        <v>1217</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1315</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2476</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1218</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1266</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1615</v>
      </c>
      <c r="B3637" s="21" t="s">
        <v>1244</v>
      </c>
      <c r="C3637" s="21" t="s">
        <v>1269</v>
      </c>
      <c r="D3637" s="21" t="s">
        <v>1217</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1618</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2477</v>
      </c>
      <c r="B3639" s="21" t="s">
        <v>1244</v>
      </c>
      <c r="C3639" s="21" t="s">
        <v>1225</v>
      </c>
      <c r="D3639" s="21" t="s">
        <v>1217</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1503</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row>
    <row r="3642" spans="1:12">
      <c r="A3642" s="20" t="s">
        <v>1542</v>
      </c>
    </row>
    <row r="3643" spans="1:12">
      <c r="A3643" s="20" t="s">
        <v>135</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row>
    <row r="3645" spans="1:12">
      <c r="A3645" s="20" t="s">
        <v>2478</v>
      </c>
    </row>
    <row r="3646" spans="1:12">
      <c r="A3646" s="20" t="s">
        <v>1716</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811</v>
      </c>
      <c r="B3647" s="21" t="s">
        <v>1244</v>
      </c>
      <c r="C3647" s="21" t="s">
        <v>1238</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2479</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1277</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1235</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2480</v>
      </c>
      <c r="B3651" s="21" t="s">
        <v>1244</v>
      </c>
      <c r="C3651" s="21" t="s">
        <v>1238</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1277</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2481</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1218</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1228</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1638</v>
      </c>
      <c r="B3656" s="21" t="s">
        <v>1224</v>
      </c>
      <c r="C3656" s="21" t="s">
        <v>1269</v>
      </c>
      <c r="D3656" s="21" t="s">
        <v>1217</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1262</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row>
    <row r="3659" spans="1:12">
      <c r="A3659" s="20" t="s">
        <v>2482</v>
      </c>
    </row>
    <row r="3660" spans="1:12">
      <c r="A3660" s="20" t="s">
        <v>548</v>
      </c>
      <c r="B3660" s="21" t="s">
        <v>1215</v>
      </c>
      <c r="C3660" s="21" t="s">
        <v>1225</v>
      </c>
      <c r="D3660" s="21" t="s">
        <v>1217</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2463</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1280</v>
      </c>
      <c r="B3662" s="21" t="s">
        <v>1221</v>
      </c>
      <c r="C3662" s="21" t="s">
        <v>1242</v>
      </c>
      <c r="D3662" s="21" t="s">
        <v>1217</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2483</v>
      </c>
      <c r="B3663" s="21" t="s">
        <v>1275</v>
      </c>
      <c r="C3663" s="21" t="s">
        <v>1222</v>
      </c>
      <c r="D3663" s="21" t="s">
        <v>1217</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1286</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1277</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1526</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1235</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2484</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1413</v>
      </c>
      <c r="B3669" s="21" t="s">
        <v>1221</v>
      </c>
      <c r="C3669" s="21" t="s">
        <v>1238</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1218</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1942</v>
      </c>
      <c r="B3671" s="21" t="s">
        <v>1224</v>
      </c>
      <c r="C3671" s="21" t="s">
        <v>1279</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2485</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1245</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1323</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2486</v>
      </c>
      <c r="B3675" s="21" t="s">
        <v>1226</v>
      </c>
      <c r="C3675" s="21" t="s">
        <v>1269</v>
      </c>
      <c r="D3675" s="21" t="s">
        <v>1217</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1218</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1323</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1719</v>
      </c>
      <c r="B3678" s="21" t="s">
        <v>1261</v>
      </c>
      <c r="C3678" s="21" t="s">
        <v>1269</v>
      </c>
      <c r="D3678" s="21" t="s">
        <v>1217</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1277</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1508</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582</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1323</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1437</v>
      </c>
      <c r="B3683" s="21" t="s">
        <v>1249</v>
      </c>
      <c r="C3683" s="21" t="s">
        <v>1269</v>
      </c>
      <c r="D3683" s="21" t="s">
        <v>1217</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1240</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2487</v>
      </c>
      <c r="B3685" s="21" t="s">
        <v>1221</v>
      </c>
      <c r="C3685" s="21" t="s">
        <v>1279</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1262</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row>
    <row r="3688" spans="1:12">
      <c r="A3688" s="20" t="s">
        <v>2488</v>
      </c>
    </row>
    <row r="3689" spans="1:12">
      <c r="A3689" s="20" t="s">
        <v>1299</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2102</v>
      </c>
      <c r="B3690" s="21" t="s">
        <v>1244</v>
      </c>
      <c r="C3690" s="21" t="s">
        <v>1269</v>
      </c>
      <c r="D3690" s="21" t="s">
        <v>1217</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1245</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1266</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2489</v>
      </c>
      <c r="B3693" s="21" t="s">
        <v>1221</v>
      </c>
      <c r="C3693" s="21" t="s">
        <v>1269</v>
      </c>
      <c r="D3693" s="21" t="s">
        <v>1217</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1277</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1327</v>
      </c>
      <c r="B3695" s="21" t="s">
        <v>1215</v>
      </c>
      <c r="C3695" s="21" t="s">
        <v>1255</v>
      </c>
      <c r="D3695" s="21" t="s">
        <v>1217</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1327</v>
      </c>
      <c r="B3696" s="21" t="s">
        <v>1275</v>
      </c>
      <c r="C3696" s="21" t="s">
        <v>1255</v>
      </c>
      <c r="D3696" s="21" t="s">
        <v>1217</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2490</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1257</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1323</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1639</v>
      </c>
      <c r="B3700" s="21" t="s">
        <v>1244</v>
      </c>
      <c r="C3700" s="21" t="s">
        <v>1269</v>
      </c>
      <c r="D3700" s="21" t="s">
        <v>1217</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1262</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row>
    <row r="3703" spans="1:12">
      <c r="A3703" s="20" t="s">
        <v>2491</v>
      </c>
    </row>
    <row r="3704" spans="1:12">
      <c r="A3704" s="20" t="s">
        <v>1334</v>
      </c>
      <c r="B3704" s="21" t="s">
        <v>1215</v>
      </c>
      <c r="C3704" s="21" t="s">
        <v>1255</v>
      </c>
      <c r="D3704" s="21" t="s">
        <v>1217</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1225</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2492</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1350</v>
      </c>
      <c r="B3707" s="21" t="s">
        <v>1244</v>
      </c>
      <c r="C3707" s="21" t="s">
        <v>1216</v>
      </c>
      <c r="D3707" s="21" t="s">
        <v>1217</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1251</v>
      </c>
      <c r="B3708" s="21" t="s">
        <v>1283</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2493</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1245</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1228</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2494</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2495</v>
      </c>
      <c r="B3713" s="21" t="s">
        <v>1224</v>
      </c>
      <c r="C3713" s="21" t="s">
        <v>1269</v>
      </c>
      <c r="D3713" s="21" t="s">
        <v>1217</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1321</v>
      </c>
      <c r="B3714" s="21" t="s">
        <v>1254</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1327</v>
      </c>
      <c r="B3715" s="21" t="s">
        <v>1254</v>
      </c>
      <c r="C3715" s="21" t="s">
        <v>1255</v>
      </c>
      <c r="D3715" s="21" t="s">
        <v>1217</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2496</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1468</v>
      </c>
      <c r="B3717" s="21" t="s">
        <v>1894</v>
      </c>
      <c r="C3717" s="21" t="s">
        <v>1216</v>
      </c>
      <c r="D3717" s="21" t="s">
        <v>1217</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1287</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1262</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row>
    <row r="3721" spans="1:12">
      <c r="A3721" s="20" t="s">
        <v>2497</v>
      </c>
    </row>
    <row r="3722" spans="1:12">
      <c r="A3722" s="20" t="s">
        <v>1353</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1266</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2498</v>
      </c>
      <c r="B3724" s="21" t="s">
        <v>1221</v>
      </c>
      <c r="C3724" s="21" t="s">
        <v>1279</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1277</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1327</v>
      </c>
      <c r="B3726" s="21" t="s">
        <v>1215</v>
      </c>
      <c r="C3726" s="21" t="s">
        <v>1255</v>
      </c>
      <c r="D3726" s="21" t="s">
        <v>1217</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1327</v>
      </c>
      <c r="B3727" s="21" t="s">
        <v>1275</v>
      </c>
      <c r="C3727" s="21" t="s">
        <v>1255</v>
      </c>
      <c r="D3727" s="21" t="s">
        <v>1217</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2499</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1524</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1235</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2500</v>
      </c>
      <c r="B3731" s="21" t="s">
        <v>1244</v>
      </c>
      <c r="C3731" s="21" t="s">
        <v>1238</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1227</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2501</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1277</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1227</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2502</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1277</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1321</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1327</v>
      </c>
      <c r="B3739" s="21" t="s">
        <v>1283</v>
      </c>
      <c r="C3739" s="21" t="s">
        <v>1255</v>
      </c>
      <c r="D3739" s="21" t="s">
        <v>1217</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1240</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2503</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2504</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1322</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1235</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1268</v>
      </c>
      <c r="B3745" s="21" t="s">
        <v>1226</v>
      </c>
      <c r="C3745" s="21" t="s">
        <v>1238</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1262</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row>
    <row r="3748" spans="1:12">
      <c r="A3748" s="20" t="s">
        <v>2505</v>
      </c>
    </row>
    <row r="3749" spans="1:12">
      <c r="A3749" s="20" t="s">
        <v>1547</v>
      </c>
      <c r="B3749" s="21" t="s">
        <v>1215</v>
      </c>
      <c r="C3749" s="21" t="s">
        <v>1225</v>
      </c>
      <c r="D3749" s="21" t="s">
        <v>1217</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t="s">
        <v>1348</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t="s">
        <v>2506</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t="s">
        <v>1273</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1639</v>
      </c>
      <c r="B3753" s="21" t="s">
        <v>1275</v>
      </c>
      <c r="C3753" s="21" t="s">
        <v>1276</v>
      </c>
      <c r="D3753" s="21" t="s">
        <v>1217</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1240</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1235</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1461</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2507</v>
      </c>
      <c r="B3757" s="21" t="s">
        <v>1244</v>
      </c>
      <c r="C3757" s="21" t="s">
        <v>1238</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1262</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row>
    <row r="3760" spans="1:12">
      <c r="A3760" s="20" t="s">
        <v>2508</v>
      </c>
    </row>
    <row r="3761" spans="1:12">
      <c r="A3761" s="20" t="s">
        <v>1952</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1218</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1219</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2509</v>
      </c>
      <c r="B3764" s="21" t="s">
        <v>1244</v>
      </c>
      <c r="C3764" s="21" t="s">
        <v>1269</v>
      </c>
      <c r="D3764" s="21" t="s">
        <v>1217</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2510</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1277</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1848</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1245</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1266</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1629</v>
      </c>
      <c r="B3770" s="21" t="s">
        <v>1224</v>
      </c>
      <c r="C3770" s="21" t="s">
        <v>1269</v>
      </c>
      <c r="D3770" s="21" t="s">
        <v>1217</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1277</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1634</v>
      </c>
      <c r="B3772" s="21" t="s">
        <v>1215</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315</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2511</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1286</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2512</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1348</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2513</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1247</v>
      </c>
      <c r="B3779" s="21" t="s">
        <v>1221</v>
      </c>
      <c r="C3779" s="21" t="s">
        <v>1242</v>
      </c>
      <c r="D3779" s="21" t="s">
        <v>1217</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2514</v>
      </c>
      <c r="B3780" s="21" t="s">
        <v>1275</v>
      </c>
      <c r="C3780" s="21" t="s">
        <v>1222</v>
      </c>
      <c r="D3780" s="21" t="s">
        <v>1217</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1218</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2515</v>
      </c>
      <c r="B3782" s="21" t="s">
        <v>1221</v>
      </c>
      <c r="C3782" s="21" t="s">
        <v>1279</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1286</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1218</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2516</v>
      </c>
      <c r="B3785" s="21" t="s">
        <v>1224</v>
      </c>
      <c r="C3785" s="21" t="s">
        <v>1279</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1262</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row>
    <row r="3788" spans="1:12">
      <c r="A3788" s="20" t="s">
        <v>2517</v>
      </c>
    </row>
    <row r="3789" spans="1:12">
      <c r="A3789" s="20" t="s">
        <v>1353</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1266</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2518</v>
      </c>
      <c r="B3791" s="21" t="s">
        <v>1244</v>
      </c>
      <c r="C3791" s="21" t="s">
        <v>1269</v>
      </c>
      <c r="D3791" s="21" t="s">
        <v>1217</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1277</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t="s">
        <v>1471</v>
      </c>
      <c r="E3793" s="22">
        <f>IF(D3793="?OLD","!!!","")</f>
        <v/>
      </c>
      <c r="F3793" s="23" t="str">
        <f>IF(OR(E3793="",E3793="!!!"),"",IF(NOT(ISNA(VLOOKUP(E3793,E$1:E3792,1,FALSE()))),"OLD",IF(AND(E3793&lt;&gt;"",E3793&lt;&gt;"!!!"),"NEW","")))</f>
        <v> </v>
      </c>
      <c r="G3793" s="24" t="str">
        <f>IF(OR(E3793="",E3793="!!!"),"",IF(OR(J3793=0,AND(J3793=1,K3793=1),AND(J3793=1,I3793="SBJ"),AND(J3793=1,I3793=0)),"?IN_FOCUS",IF(J3793&lt;=2,"?ACTIVATED",IF(J3793&lt;&gt;"","?FAMILIAR",IF(F3793="NEW",IF(ISNA(VLOOKUP(E3793,#REF!,1,FALSE())),"?TYPE_IDENTIFIABLE","?REFERENTIAL"),"_")))))</f>
        <v> </v>
      </c>
      <c r="H3793" s="25" t="str">
        <f>IF(J3793&lt;&gt;1,"",IF(I3793="SBJ","CB","?"))</f>
        <v> </v>
      </c>
      <c r="I3793" s="26" t="str">
        <f>IF(OR(E3793="",E3793="!!!",F3793="NEW"),"",INDEX(B3792:B$2,-1+SUMPRODUCT(MAX(ROW(E3792:E$2)*(E3793=E3792:E$2)))))</f>
        <v> </v>
      </c>
      <c r="J3793" s="26" t="str">
        <f>IF(OR(E3793="",E3793="!!!",F3793="NEW"),"",COUNTBLANK(OFFSET(A$1,,,SUMPRODUCT(MAX(ROW(E$2:E3793)*(E3793=E$2:E3793)))))-COUNTBLANK(OFFSET(A$1,,,SUMPRODUCT(MAX(ROW(E$1:E3792)*(E2=E$1:E3792))))))</f>
        <v> </v>
      </c>
      <c r="K3793" s="26" t="str">
        <f>IF(OR(E3793="",E3793="!!!",F3793="NEW"),"",INDEX(J$1:J3792,SUMPRODUCT(MAX(ROW(E$1:E3792)*(E3793=E$1:E3792)))))</f>
        <v> </v>
      </c>
      <c r="L3793" s="27"/>
    </row>
    <row r="3794" spans="1:12">
      <c r="A3794" s="20" t="s">
        <v>2519</v>
      </c>
      <c r="B3794" s="21" t="s">
        <v>1215</v>
      </c>
      <c r="C3794" s="21" t="s">
        <v>1238</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2520</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2521</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1228</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2522</v>
      </c>
      <c r="B3798" s="21" t="s">
        <v>1275</v>
      </c>
      <c r="C3798" s="21" t="s">
        <v>1269</v>
      </c>
      <c r="D3798" s="21" t="s">
        <v>1217</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1218</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2523</v>
      </c>
      <c r="B3800" s="21" t="s">
        <v>1221</v>
      </c>
      <c r="C3800" s="21" t="s">
        <v>1279</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2524</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1251</v>
      </c>
      <c r="B3802" s="21" t="s">
        <v>1283</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2525</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1219</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2526</v>
      </c>
      <c r="B3805" s="21" t="s">
        <v>1237</v>
      </c>
      <c r="C3805" s="21" t="s">
        <v>1269</v>
      </c>
      <c r="D3805" s="21" t="s">
        <v>1217</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1218</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1266</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2527</v>
      </c>
      <c r="B3808" s="21" t="s">
        <v>1226</v>
      </c>
      <c r="C3808" s="21" t="s">
        <v>1269</v>
      </c>
      <c r="D3808" s="21" t="s">
        <v>1217</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1262</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row>
    <row r="3811" spans="1:12">
      <c r="A3811" s="20" t="s">
        <v>2528</v>
      </c>
    </row>
    <row r="3812" spans="1:12">
      <c r="A3812" s="20" t="s">
        <v>1658</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1273</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2519</v>
      </c>
      <c r="B3814" s="21" t="s">
        <v>1244</v>
      </c>
      <c r="C3814" s="21" t="s">
        <v>1276</v>
      </c>
      <c r="D3814" s="21" t="s">
        <v>1217</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1277</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2529</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1235</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2530</v>
      </c>
      <c r="B3818" s="21" t="s">
        <v>1275</v>
      </c>
      <c r="C3818" s="21" t="s">
        <v>1238</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1227</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2531</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1277</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1227</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2532</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1257</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1235</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2533</v>
      </c>
      <c r="B3826" s="21" t="s">
        <v>1221</v>
      </c>
      <c r="C3826" s="21" t="s">
        <v>1238</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1358</v>
      </c>
      <c r="B3827" s="21" t="s">
        <v>1292</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565</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1327</v>
      </c>
      <c r="B3829" s="21" t="s">
        <v>1292</v>
      </c>
      <c r="C3829" s="21" t="s">
        <v>1255</v>
      </c>
      <c r="D3829" s="21" t="s">
        <v>1217</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2534</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1954</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t="s">
        <v>1218</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2535</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1336</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1266</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1268</v>
      </c>
      <c r="B3836" s="21" t="s">
        <v>1261</v>
      </c>
      <c r="C3836" s="21" t="s">
        <v>1269</v>
      </c>
      <c r="D3836" s="21" t="s">
        <v>1217</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1227</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1962</v>
      </c>
      <c r="B3838" s="21" t="s">
        <v>1748</v>
      </c>
      <c r="C3838" s="21" t="s">
        <v>1234</v>
      </c>
      <c r="D3838" s="21" t="s">
        <v>1217</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1302</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180</v>
      </c>
      <c r="B3840" s="21" t="s">
        <v>1261</v>
      </c>
      <c r="C3840" s="21" t="s">
        <v>1234</v>
      </c>
      <c r="D3840" s="21" t="s">
        <v>1217</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1526</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1235</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2019</v>
      </c>
      <c r="B3843" s="21" t="s">
        <v>1259</v>
      </c>
      <c r="C3843" s="21" t="s">
        <v>1238</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2536</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1526</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1471</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865</v>
      </c>
      <c r="B3847" s="21" t="s">
        <v>1377</v>
      </c>
      <c r="C3847" s="21" t="s">
        <v>1238</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1262</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row>
    <row r="3850" spans="1:12">
      <c r="A3850" s="20" t="s">
        <v>2537</v>
      </c>
    </row>
    <row r="3851" spans="1:12">
      <c r="A3851" s="20" t="s">
        <v>1716</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2538</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2539</v>
      </c>
      <c r="B3853" s="21" t="s">
        <v>1215</v>
      </c>
      <c r="C3853" s="21" t="s">
        <v>1238</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2540</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1909</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1218</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1266</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2541</v>
      </c>
      <c r="B3858" s="21" t="s">
        <v>1226</v>
      </c>
      <c r="C3858" s="21" t="s">
        <v>1269</v>
      </c>
      <c r="D3858" s="21" t="s">
        <v>1217</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1218</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1266</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2542</v>
      </c>
      <c r="B3861" s="21" t="s">
        <v>1261</v>
      </c>
      <c r="C3861" s="21" t="s">
        <v>1269</v>
      </c>
      <c r="D3861" s="21" t="s">
        <v>1217</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1302</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2543</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2544</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1245</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1323</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2519</v>
      </c>
      <c r="B3867" s="21" t="s">
        <v>1244</v>
      </c>
      <c r="C3867" s="21" t="s">
        <v>1269</v>
      </c>
      <c r="D3867" s="21" t="s">
        <v>1217</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1363</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1235</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t="s">
        <v>2545</v>
      </c>
      <c r="B3870" s="21" t="s">
        <v>1221</v>
      </c>
      <c r="C3870" s="21" t="s">
        <v>1238</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1262</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row>
    <row r="3873" spans="1:12">
      <c r="A3873" s="20" t="s">
        <v>2546</v>
      </c>
    </row>
    <row r="3874" spans="1:12">
      <c r="A3874" s="20" t="s">
        <v>1716</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2547</v>
      </c>
      <c r="B3875" s="21" t="s">
        <v>1215</v>
      </c>
      <c r="C3875" s="21" t="s">
        <v>1238</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2548</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1323</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1278</v>
      </c>
      <c r="B3878" s="21" t="s">
        <v>1275</v>
      </c>
      <c r="C3878" s="21" t="s">
        <v>1269</v>
      </c>
      <c r="D3878" s="21" t="s">
        <v>1217</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2549</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1218</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1266</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1369</v>
      </c>
      <c r="B3882" s="21" t="s">
        <v>1221</v>
      </c>
      <c r="C3882" s="21" t="s">
        <v>1269</v>
      </c>
      <c r="D3882" s="21" t="s">
        <v>1217</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1277</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2550</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1245</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2551</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1548</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2552</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2079</v>
      </c>
      <c r="B3889" s="21" t="s">
        <v>1221</v>
      </c>
      <c r="C3889" s="21" t="s">
        <v>1643</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2553</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16</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16</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16</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2554</v>
      </c>
      <c r="B3894" s="21" t="s">
        <v>1224</v>
      </c>
      <c r="C3894" s="21" t="s">
        <v>1279</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t="s">
        <v>1218</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2555</v>
      </c>
      <c r="B3896" s="21" t="s">
        <v>1226</v>
      </c>
      <c r="C3896" s="21" t="s">
        <v>1279</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t="s">
        <v>1286</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1218</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2556</v>
      </c>
      <c r="B3899" s="21" t="s">
        <v>1261</v>
      </c>
      <c r="C3899" s="21" t="s">
        <v>1279</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16</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16</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16</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1251</v>
      </c>
      <c r="B3903" s="21" t="s">
        <v>1252</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1327</v>
      </c>
      <c r="B3904" s="21" t="s">
        <v>1292</v>
      </c>
      <c r="C3904" s="21" t="s">
        <v>1255</v>
      </c>
      <c r="D3904" s="21" t="s">
        <v>1217</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2557</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1666</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2558</v>
      </c>
      <c r="B3907" s="21" t="s">
        <v>1226</v>
      </c>
      <c r="C3907" s="21" t="s">
        <v>1279</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1262</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row>
    <row r="3910" spans="1:12">
      <c r="A3910" s="20" t="s">
        <v>2559</v>
      </c>
    </row>
    <row r="3911" spans="1:12">
      <c r="A3911" s="20" t="s">
        <v>1952</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1228</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t="s">
        <v>2560</v>
      </c>
      <c r="B3913" s="21" t="s">
        <v>1244</v>
      </c>
      <c r="C3913" s="21" t="s">
        <v>1269</v>
      </c>
      <c r="D3913" s="21" t="s">
        <v>1217</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t="s">
        <v>1526</v>
      </c>
      <c r="E3914" s="22">
        <f>IF(D3914="?OLD","!!!","")</f>
        <v/>
      </c>
      <c r="F3914" s="23" t="str">
        <f>IF(OR(E3914="",E3914="!!!"),"",IF(NOT(ISNA(VLOOKUP(E3914,E$1:E3913,1,FALSE()))),"OLD",IF(AND(E3914&lt;&gt;"",E3914&lt;&gt;"!!!"),"NEW","")))</f>
        <v> </v>
      </c>
      <c r="G3914" s="24" t="str">
        <f>IF(OR(E3914="",E3914="!!!"),"",IF(OR(J3914=0,AND(J3914=1,K3914=1),AND(J3914=1,I3914="SBJ"),AND(J3914=1,I3914=0)),"?IN_FOCUS",IF(J3914&lt;=2,"?ACTIVATED",IF(J3914&lt;&gt;"","?FAMILIAR",IF(F3914="NEW",IF(ISNA(VLOOKUP(E3914,#REF!,1,FALSE())),"?TYPE_IDENTIFIABLE","?REFERENTIAL"),"_")))))</f>
        <v> </v>
      </c>
      <c r="H3914" s="25" t="str">
        <f>IF(J3914&lt;&gt;1,"",IF(I3914="SBJ","CB","?"))</f>
        <v> </v>
      </c>
      <c r="I3914" s="26" t="str">
        <f>IF(OR(E3914="",E3914="!!!",F3914="NEW"),"",INDEX(B3913:B$2,-1+SUMPRODUCT(MAX(ROW(E3913:E$2)*(E3914=E3913:E$2)))))</f>
        <v> </v>
      </c>
      <c r="J3914" s="26" t="str">
        <f>IF(OR(E3914="",E3914="!!!",F3914="NEW"),"",COUNTBLANK(OFFSET(A$1,,,SUMPRODUCT(MAX(ROW(E$2:E3914)*(E3914=E$2:E3914)))))-COUNTBLANK(OFFSET(A$1,,,SUMPRODUCT(MAX(ROW(E$1:E3913)*(E2=E$1:E3913))))))</f>
        <v> </v>
      </c>
      <c r="K3914" s="26" t="str">
        <f>IF(OR(E3914="",E3914="!!!",F3914="NEW"),"",INDEX(J$1:J3913,SUMPRODUCT(MAX(ROW(E$1:E3913)*(E3914=E$1:E3913)))))</f>
        <v> </v>
      </c>
      <c r="L3914" s="27"/>
    </row>
    <row r="3915" spans="1:12">
      <c r="A3915" s="20" t="s">
        <v>1471</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2547</v>
      </c>
      <c r="B3916" s="21" t="s">
        <v>1221</v>
      </c>
      <c r="C3916" s="21" t="s">
        <v>1238</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1277</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1327</v>
      </c>
      <c r="B3918" s="21" t="s">
        <v>1244</v>
      </c>
      <c r="C3918" s="21" t="s">
        <v>1255</v>
      </c>
      <c r="D3918" s="21" t="s">
        <v>1217</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2561</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2562</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1266</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2563</v>
      </c>
      <c r="B3922" s="21" t="s">
        <v>1249</v>
      </c>
      <c r="C3922" s="21" t="s">
        <v>1269</v>
      </c>
      <c r="D3922" s="21" t="s">
        <v>1217</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1277</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2564</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1219</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2565</v>
      </c>
      <c r="B3926" s="21" t="s">
        <v>1244</v>
      </c>
      <c r="C3926" s="21" t="s">
        <v>1269</v>
      </c>
      <c r="D3926" s="21" t="s">
        <v>1217</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1277</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1286</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2566</v>
      </c>
      <c r="B3929" s="21" t="s">
        <v>1229</v>
      </c>
      <c r="C3929" s="21" t="s">
        <v>1225</v>
      </c>
      <c r="D3929" s="21" t="s">
        <v>1217</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t="s">
        <v>1547</v>
      </c>
      <c r="B3930" s="21" t="s">
        <v>1224</v>
      </c>
      <c r="C3930" s="21" t="s">
        <v>1225</v>
      </c>
      <c r="D3930" s="21" t="s">
        <v>1217</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1373</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2567</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1245</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1409</v>
      </c>
      <c r="B3934" s="21" t="s">
        <v>1224</v>
      </c>
      <c r="C3934" s="21" t="s">
        <v>1242</v>
      </c>
      <c r="D3934" s="21" t="s">
        <v>1217</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1538</v>
      </c>
      <c r="B3935" s="21" t="s">
        <v>1221</v>
      </c>
      <c r="C3935" s="21" t="s">
        <v>1222</v>
      </c>
      <c r="D3935" s="21" t="s">
        <v>1217</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1336</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1266</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2568</v>
      </c>
      <c r="B3938" s="21" t="s">
        <v>1221</v>
      </c>
      <c r="C3938" s="21" t="s">
        <v>1269</v>
      </c>
      <c r="D3938" s="21" t="s">
        <v>1217</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1262</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row>
    <row r="3941" spans="1:12">
      <c r="A3941" s="20" t="s">
        <v>2569</v>
      </c>
    </row>
    <row r="3942" spans="1:12">
      <c r="A3942" s="20" t="s">
        <v>1353</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1266</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1268</v>
      </c>
      <c r="B3944" s="21" t="s">
        <v>1244</v>
      </c>
      <c r="C3944" s="21" t="s">
        <v>1269</v>
      </c>
      <c r="D3944" s="21" t="s">
        <v>1217</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1636</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1241</v>
      </c>
      <c r="B3946" s="21" t="s">
        <v>1224</v>
      </c>
      <c r="C3946" s="21" t="s">
        <v>1242</v>
      </c>
      <c r="D3946" s="21" t="s">
        <v>1217</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t="s">
        <v>2570</v>
      </c>
      <c r="E3947" s="22">
        <f>IF(D3947="?OLD","!!!","")</f>
        <v/>
      </c>
      <c r="F3947" s="23" t="str">
        <f>IF(OR(E3947="",E3947="!!!"),"",IF(NOT(ISNA(VLOOKUP(E3947,E$1:E3946,1,FALSE()))),"OLD",IF(AND(E3947&lt;&gt;"",E3947&lt;&gt;"!!!"),"NEW","")))</f>
        <v> </v>
      </c>
      <c r="G3947" s="24" t="str">
        <f>IF(OR(E3947="",E3947="!!!"),"",IF(OR(J3947=0,AND(J3947=1,K3947=1),AND(J3947=1,I3947="SBJ"),AND(J3947=1,I3947=0)),"?IN_FOCUS",IF(J3947&lt;=2,"?ACTIVATED",IF(J3947&lt;&gt;"","?FAMILIAR",IF(F3947="NEW",IF(ISNA(VLOOKUP(E3947,#REF!,1,FALSE())),"?TYPE_IDENTIFIABLE","?REFERENTIAL"),"_")))))</f>
        <v> </v>
      </c>
      <c r="H3947" s="25" t="str">
        <f>IF(J3947&lt;&gt;1,"",IF(I3947="SBJ","CB","?"))</f>
        <v> </v>
      </c>
      <c r="I3947" s="26" t="str">
        <f>IF(OR(E3947="",E3947="!!!",F3947="NEW"),"",INDEX(B3946:B$2,-1+SUMPRODUCT(MAX(ROW(E3946:E$2)*(E3947=E3946:E$2)))))</f>
        <v> </v>
      </c>
      <c r="J3947" s="26" t="str">
        <f>IF(OR(E3947="",E3947="!!!",F3947="NEW"),"",COUNTBLANK(OFFSET(A$1,,,SUMPRODUCT(MAX(ROW(E$2:E3947)*(E3947=E$2:E3947)))))-COUNTBLANK(OFFSET(A$1,,,SUMPRODUCT(MAX(ROW(E$1:E3946)*(E2=E$1:E3946))))))</f>
        <v> </v>
      </c>
      <c r="K3947" s="26" t="str">
        <f>IF(OR(E3947="",E3947="!!!",F3947="NEW"),"",INDEX(J$1:J3946,SUMPRODUCT(MAX(ROW(E$1:E3946)*(E3947=E$1:E3946)))))</f>
        <v> </v>
      </c>
      <c r="L3947" s="27"/>
    </row>
    <row r="3948" spans="1:12">
      <c r="A3948" s="20" t="s">
        <v>2042</v>
      </c>
      <c r="B3948" s="21" t="s">
        <v>1229</v>
      </c>
      <c r="C3948" s="21" t="s">
        <v>1222</v>
      </c>
      <c r="D3948" s="21" t="s">
        <v>1217</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2571</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1336</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1241</v>
      </c>
      <c r="B3951" s="21" t="s">
        <v>1224</v>
      </c>
      <c r="C3951" s="21" t="s">
        <v>1242</v>
      </c>
      <c r="D3951" s="21" t="s">
        <v>1217</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2572</v>
      </c>
      <c r="B3952" s="21" t="s">
        <v>1221</v>
      </c>
      <c r="C3952" s="21" t="s">
        <v>1222</v>
      </c>
      <c r="D3952" s="21" t="s">
        <v>1217</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1419</v>
      </c>
      <c r="B3953" s="21" t="s">
        <v>1283</v>
      </c>
      <c r="C3953" s="21" t="s">
        <v>1255</v>
      </c>
      <c r="D3953" s="21" t="s">
        <v>1217</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2573</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1336</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t="s">
        <v>1323</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2574</v>
      </c>
      <c r="B3957" s="21" t="s">
        <v>1224</v>
      </c>
      <c r="C3957" s="21" t="s">
        <v>1269</v>
      </c>
      <c r="D3957" s="21" t="s">
        <v>1217</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1218</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1266</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2541</v>
      </c>
      <c r="B3960" s="21" t="s">
        <v>1226</v>
      </c>
      <c r="C3960" s="21" t="s">
        <v>1269</v>
      </c>
      <c r="D3960" s="21" t="s">
        <v>1217</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1266</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2575</v>
      </c>
      <c r="B3962" s="21" t="s">
        <v>1237</v>
      </c>
      <c r="C3962" s="21" t="s">
        <v>1269</v>
      </c>
      <c r="D3962" s="21" t="s">
        <v>1217</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2576</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2577</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1363</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1471</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2578</v>
      </c>
      <c r="B3967" s="21" t="s">
        <v>1261</v>
      </c>
      <c r="C3967" s="21" t="s">
        <v>1238</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1218</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1728</v>
      </c>
      <c r="B3969" s="21" t="s">
        <v>1259</v>
      </c>
      <c r="C3969" s="21" t="s">
        <v>1279</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1262</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row>
    <row r="3972" spans="1:12">
      <c r="A3972" s="20" t="s">
        <v>2579</v>
      </c>
    </row>
    <row r="3973" spans="1:12">
      <c r="A3973" s="20" t="s">
        <v>1453</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1397</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849</v>
      </c>
      <c r="B3975" s="21" t="s">
        <v>1244</v>
      </c>
      <c r="C3975" s="21" t="s">
        <v>1269</v>
      </c>
      <c r="D3975" s="21" t="s">
        <v>1217</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1503</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row>
    <row r="3978" spans="1:12">
      <c r="A3978" s="20" t="s">
        <v>2580</v>
      </c>
    </row>
    <row r="3979" spans="1:12">
      <c r="A3979" s="20" t="s">
        <v>462</v>
      </c>
      <c r="B3979" s="21" t="s">
        <v>1244</v>
      </c>
      <c r="C3979" s="21" t="s">
        <v>1279</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548</v>
      </c>
      <c r="B3980" s="21" t="s">
        <v>1244</v>
      </c>
      <c r="C3980" s="21" t="s">
        <v>1225</v>
      </c>
      <c r="D3980" s="21" t="s">
        <v>1217</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1618</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2581</v>
      </c>
      <c r="B3982" s="21" t="s">
        <v>1221</v>
      </c>
      <c r="C3982" s="21" t="s">
        <v>1225</v>
      </c>
      <c r="D3982" s="21" t="s">
        <v>1217</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t="s">
        <v>1277</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1456</v>
      </c>
      <c r="B3984" s="21" t="s">
        <v>1221</v>
      </c>
      <c r="C3984" s="21" t="s">
        <v>1225</v>
      </c>
      <c r="D3984" s="21" t="s">
        <v>1217</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1277</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2582</v>
      </c>
      <c r="B3986" s="21" t="s">
        <v>1224</v>
      </c>
      <c r="C3986" s="21" t="s">
        <v>1242</v>
      </c>
      <c r="D3986" s="21" t="s">
        <v>1217</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2583</v>
      </c>
      <c r="B3987" s="21" t="s">
        <v>1221</v>
      </c>
      <c r="C3987" s="21" t="s">
        <v>1222</v>
      </c>
      <c r="D3987" s="21" t="s">
        <v>1217</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1218</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2281</v>
      </c>
      <c r="B3989" s="21" t="s">
        <v>1224</v>
      </c>
      <c r="C3989" s="21" t="s">
        <v>1279</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1503</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row>
    <row r="3992" spans="1:12">
      <c r="A3992" s="20" t="s">
        <v>2584</v>
      </c>
    </row>
    <row r="3993" spans="1:12">
      <c r="A3993" s="20" t="s">
        <v>2585</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2586</v>
      </c>
      <c r="B3994" s="21" t="s">
        <v>1215</v>
      </c>
      <c r="C3994" s="21" t="s">
        <v>1255</v>
      </c>
      <c r="D3994" s="21" t="s">
        <v>1217</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1257</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1235</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1690</v>
      </c>
      <c r="B3997" s="21" t="s">
        <v>1244</v>
      </c>
      <c r="C3997" s="21" t="s">
        <v>1238</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1618</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row>
    <row r="4000" spans="1:12">
      <c r="A4000" s="20" t="s">
        <v>2587</v>
      </c>
    </row>
    <row r="4001" spans="1:12">
      <c r="A4001" s="20" t="s">
        <v>2346</v>
      </c>
      <c r="B4001" s="21" t="s">
        <v>1215</v>
      </c>
      <c r="C4001" s="21" t="s">
        <v>1255</v>
      </c>
      <c r="D4001" s="21" t="s">
        <v>1217</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1373</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1530</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2588</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1526</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2589</v>
      </c>
      <c r="B4006" s="21" t="s">
        <v>1244</v>
      </c>
      <c r="C4006" s="21" t="s">
        <v>1279</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1262</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row>
    <row r="4009" spans="1:12">
      <c r="A4009" s="20" t="s">
        <v>1542</v>
      </c>
    </row>
    <row r="4010" spans="1:12">
      <c r="A4010" s="20" t="s">
        <v>135</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row>
    <row r="4012" spans="1:12">
      <c r="A4012" s="20" t="s">
        <v>2590</v>
      </c>
    </row>
    <row r="4013" spans="1:12">
      <c r="A4013" s="20" t="s">
        <v>1397</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2273</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865</v>
      </c>
      <c r="B4015" s="21" t="s">
        <v>1244</v>
      </c>
      <c r="C4015" s="21" t="s">
        <v>1269</v>
      </c>
      <c r="D4015" s="21" t="s">
        <v>1217</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2087</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2591</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1219</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2079</v>
      </c>
      <c r="B4019" s="21" t="s">
        <v>1249</v>
      </c>
      <c r="C4019" s="21" t="s">
        <v>1269</v>
      </c>
      <c r="D4019" s="21" t="s">
        <v>1217</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1262</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row>
    <row r="4022" spans="1:12">
      <c r="A4022" s="20" t="s">
        <v>2592</v>
      </c>
    </row>
    <row r="4023" spans="1:12">
      <c r="A4023" s="20" t="s">
        <v>1453</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1809</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1467</v>
      </c>
      <c r="B4025" s="21" t="s">
        <v>1229</v>
      </c>
      <c r="C4025" s="21" t="s">
        <v>1255</v>
      </c>
      <c r="D4025" s="21" t="s">
        <v>1217</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2364</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1457</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1373</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2474</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1584</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1765</v>
      </c>
      <c r="B4031" s="21" t="s">
        <v>1215</v>
      </c>
      <c r="C4031" s="21" t="s">
        <v>1255</v>
      </c>
      <c r="D4031" s="21" t="s">
        <v>1217</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1277</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1373</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1530</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1467</v>
      </c>
      <c r="B4035" s="21" t="s">
        <v>1229</v>
      </c>
      <c r="C4035" s="21" t="s">
        <v>1255</v>
      </c>
      <c r="D4035" s="21" t="s">
        <v>1217</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2593</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1457</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1611</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row>
    <row r="4040" spans="1:12">
      <c r="A4040" s="20" t="s">
        <v>2594</v>
      </c>
    </row>
    <row r="4041" spans="1:12">
      <c r="A4041" s="20" t="s">
        <v>16</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16</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1264</v>
      </c>
      <c r="B4043" s="21" t="s">
        <v>1229</v>
      </c>
      <c r="C4043" s="21" t="s">
        <v>1255</v>
      </c>
      <c r="D4043" s="21" t="s">
        <v>1217</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1225</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t="s">
        <v>1231</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1327</v>
      </c>
      <c r="B4046" s="21" t="s">
        <v>1237</v>
      </c>
      <c r="C4046" s="21" t="s">
        <v>1255</v>
      </c>
      <c r="D4046" s="21" t="s">
        <v>1217</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1795</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1277</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2595</v>
      </c>
      <c r="B4049" s="21" t="s">
        <v>1224</v>
      </c>
      <c r="C4049" s="21" t="s">
        <v>1279</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1277</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2596</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t="s">
        <v>2597</v>
      </c>
      <c r="E4052" s="22">
        <f>IF(D4052="?OLD","!!!","")</f>
        <v/>
      </c>
      <c r="F4052" s="23" t="str">
        <f>IF(OR(E4052="",E4052="!!!"),"",IF(NOT(ISNA(VLOOKUP(E4052,E$1:E4051,1,FALSE()))),"OLD",IF(AND(E4052&lt;&gt;"",E4052&lt;&gt;"!!!"),"NEW","")))</f>
        <v> </v>
      </c>
      <c r="G4052" s="24" t="str">
        <f>IF(OR(E4052="",E4052="!!!"),"",IF(OR(J4052=0,AND(J4052=1,K4052=1),AND(J4052=1,I4052="SBJ"),AND(J4052=1,I4052=0)),"?IN_FOCUS",IF(J4052&lt;=2,"?ACTIVATED",IF(J4052&lt;&gt;"","?FAMILIAR",IF(F4052="NEW",IF(ISNA(VLOOKUP(E4052,#REF!,1,FALSE())),"?TYPE_IDENTIFIABLE","?REFERENTIAL"),"_")))))</f>
        <v> </v>
      </c>
      <c r="H4052" s="25" t="str">
        <f>IF(J4052&lt;&gt;1,"",IF(I4052="SBJ","CB","?"))</f>
        <v> </v>
      </c>
      <c r="I4052" s="26" t="str">
        <f>IF(OR(E4052="",E4052="!!!",F4052="NEW"),"",INDEX(B4051:B$2,-1+SUMPRODUCT(MAX(ROW(E4051:E$2)*(E4052=E4051:E$2)))))</f>
        <v> </v>
      </c>
      <c r="J4052" s="26" t="str">
        <f>IF(OR(E4052="",E4052="!!!",F4052="NEW"),"",COUNTBLANK(OFFSET(A$1,,,SUMPRODUCT(MAX(ROW(E$2:E4052)*(E4052=E$2:E4052)))))-COUNTBLANK(OFFSET(A$1,,,SUMPRODUCT(MAX(ROW(E$1:E4051)*(E2=E$1:E4051))))))</f>
        <v> </v>
      </c>
      <c r="K4052" s="26" t="str">
        <f>IF(OR(E4052="",E4052="!!!",F4052="NEW"),"",INDEX(J$1:J4051,SUMPRODUCT(MAX(ROW(E$1:E4051)*(E4052=E$1:E4051)))))</f>
        <v> </v>
      </c>
      <c r="L4052" s="27"/>
    </row>
    <row r="4053" spans="1:12">
      <c r="A4053" s="20" t="s">
        <v>1223</v>
      </c>
      <c r="B4053" s="21" t="s">
        <v>1215</v>
      </c>
      <c r="C4053" s="21" t="s">
        <v>1225</v>
      </c>
      <c r="D4053" s="21" t="s">
        <v>1217</v>
      </c>
      <c r="E4053" s="22">
        <f>IF(D4053="?OLD","!!!","")</f>
        <v/>
      </c>
      <c r="F4053" s="23" t="str">
        <f>IF(OR(E4053="",E4053="!!!"),"",IF(NOT(ISNA(VLOOKUP(E4053,E$1:E4052,1,FALSE()))),"OLD",IF(AND(E4053&lt;&gt;"",E4053&lt;&gt;"!!!"),"NEW","")))</f>
        <v> </v>
      </c>
      <c r="G4053" s="24" t="str">
        <f>IF(OR(E4053="",E4053="!!!"),"",IF(OR(J4053=0,AND(J4053=1,K4053=1),AND(J4053=1,I4053="SBJ"),AND(J4053=1,I4053=0)),"?IN_FOCUS",IF(J4053&lt;=2,"?ACTIVATED",IF(J4053&lt;&gt;"","?FAMILIAR",IF(F4053="NEW",IF(ISNA(VLOOKUP(E4053,#REF!,1,FALSE())),"?TYPE_IDENTIFIABLE","?REFERENTIAL"),"_")))))</f>
        <v> </v>
      </c>
      <c r="H4053" s="25" t="str">
        <f>IF(J4053&lt;&gt;1,"",IF(I4053="SBJ","CB","?"))</f>
        <v> </v>
      </c>
      <c r="I4053" s="26" t="str">
        <f>IF(OR(E4053="",E4053="!!!",F4053="NEW"),"",INDEX(B4052:B$2,-1+SUMPRODUCT(MAX(ROW(E4052:E$2)*(E4053=E4052:E$2)))))</f>
        <v> </v>
      </c>
      <c r="J4053" s="26" t="str">
        <f>IF(OR(E4053="",E4053="!!!",F4053="NEW"),"",COUNTBLANK(OFFSET(A$1,,,SUMPRODUCT(MAX(ROW(E$2:E4053)*(E4053=E$2:E4053)))))-COUNTBLANK(OFFSET(A$1,,,SUMPRODUCT(MAX(ROW(E$1:E4052)*(E2=E$1:E4052))))))</f>
        <v> </v>
      </c>
      <c r="K4053" s="26" t="str">
        <f>IF(OR(E4053="",E4053="!!!",F4053="NEW"),"",INDEX(J$1:J4052,SUMPRODUCT(MAX(ROW(E$1:E4052)*(E4053=E$1:E4052)))))</f>
        <v> </v>
      </c>
      <c r="L4053" s="27"/>
    </row>
    <row r="4054" spans="1:12">
      <c r="A4054" s="20" t="s">
        <v>548</v>
      </c>
      <c r="B4054" s="21" t="s">
        <v>1221</v>
      </c>
      <c r="C4054" s="21" t="s">
        <v>1225</v>
      </c>
      <c r="D4054" s="21" t="s">
        <v>1217</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1262</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row>
    <row r="4057" spans="1:12">
      <c r="A4057" s="20" t="s">
        <v>2598</v>
      </c>
    </row>
    <row r="4058" spans="1:12">
      <c r="A4058" s="20" t="s">
        <v>16</v>
      </c>
      <c r="E4058" s="22">
        <f>IF(D4058="?OLD","!!!","")</f>
        <v/>
      </c>
      <c r="F4058" s="23" t="str">
        <f>IF(OR(E4058="",E4058="!!!"),"",IF(NOT(ISNA(VLOOKUP(E4058,E$1:E4057,1,FALSE()))),"OLD",IF(AND(E4058&lt;&gt;"",E4058&lt;&gt;"!!!"),"NEW","")))</f>
        <v> </v>
      </c>
      <c r="G4058" s="24" t="str">
        <f>IF(OR(E4058="",E4058="!!!"),"",IF(OR(J4058=0,AND(J4058=1,K4058=1),AND(J4058=1,I4058="SBJ"),AND(J4058=1,I4058=0)),"?IN_FOCUS",IF(J4058&lt;=2,"?ACTIVATED",IF(J4058&lt;&gt;"","?FAMILIAR",IF(F4058="NEW",IF(ISNA(VLOOKUP(E4058,#REF!,1,FALSE())),"?TYPE_IDENTIFIABLE","?REFERENTIAL"),"_")))))</f>
        <v> </v>
      </c>
      <c r="H4058" s="25" t="str">
        <f>IF(J4058&lt;&gt;1,"",IF(I4058="SBJ","CB","?"))</f>
        <v> </v>
      </c>
      <c r="I4058" s="26" t="str">
        <f>IF(OR(E4058="",E4058="!!!",F4058="NEW"),"",INDEX(B4057:B$2,-1+SUMPRODUCT(MAX(ROW(E4057:E$2)*(E4058=E4057:E$2)))))</f>
        <v> </v>
      </c>
      <c r="J4058" s="26" t="str">
        <f>IF(OR(E4058="",E4058="!!!",F4058="NEW"),"",COUNTBLANK(OFFSET(A$1,,,SUMPRODUCT(MAX(ROW(E$2:E4058)*(E4058=E$2:E4058)))))-COUNTBLANK(OFFSET(A$1,,,SUMPRODUCT(MAX(ROW(E$1:E4057)*(E2=E$1:E4057))))))</f>
        <v> </v>
      </c>
      <c r="K4058" s="26" t="str">
        <f>IF(OR(E4058="",E4058="!!!",F4058="NEW"),"",INDEX(J$1:J4057,SUMPRODUCT(MAX(ROW(E$1:E4057)*(E4058=E$1:E4057)))))</f>
        <v> </v>
      </c>
      <c r="L4058" s="27"/>
    </row>
    <row r="4059" spans="1:12">
      <c r="A4059" s="20" t="s">
        <v>16</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1762</v>
      </c>
      <c r="B4060" s="21" t="s">
        <v>1244</v>
      </c>
      <c r="C4060" s="21" t="s">
        <v>1225</v>
      </c>
      <c r="D4060" s="21" t="s">
        <v>1217</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1277</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283</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1277</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1611</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1303</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1312</v>
      </c>
      <c r="B4066" s="21" t="s">
        <v>1221</v>
      </c>
      <c r="C4066" s="21" t="s">
        <v>1242</v>
      </c>
      <c r="D4066" s="21" t="s">
        <v>1217</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2599</v>
      </c>
      <c r="B4067" s="21" t="s">
        <v>1244</v>
      </c>
      <c r="C4067" s="21" t="s">
        <v>1222</v>
      </c>
      <c r="D4067" s="21" t="s">
        <v>1217</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t="s">
        <v>1277</v>
      </c>
      <c r="E4068" s="22">
        <f>IF(D4068="?OLD","!!!","")</f>
        <v/>
      </c>
      <c r="F4068" s="23" t="str">
        <f>IF(OR(E4068="",E4068="!!!"),"",IF(NOT(ISNA(VLOOKUP(E4068,E$1:E4067,1,FALSE()))),"OLD",IF(AND(E4068&lt;&gt;"",E4068&lt;&gt;"!!!"),"NEW","")))</f>
        <v> </v>
      </c>
      <c r="G4068" s="24" t="str">
        <f>IF(OR(E4068="",E4068="!!!"),"",IF(OR(J4068=0,AND(J4068=1,K4068=1),AND(J4068=1,I4068="SBJ"),AND(J4068=1,I4068=0)),"?IN_FOCUS",IF(J4068&lt;=2,"?ACTIVATED",IF(J4068&lt;&gt;"","?FAMILIAR",IF(F4068="NEW",IF(ISNA(VLOOKUP(E4068,#REF!,1,FALSE())),"?TYPE_IDENTIFIABLE","?REFERENTIAL"),"_")))))</f>
        <v> </v>
      </c>
      <c r="H4068" s="25" t="str">
        <f>IF(J4068&lt;&gt;1,"",IF(I4068="SBJ","CB","?"))</f>
        <v> </v>
      </c>
      <c r="I4068" s="26" t="str">
        <f>IF(OR(E4068="",E4068="!!!",F4068="NEW"),"",INDEX(B4067:B$2,-1+SUMPRODUCT(MAX(ROW(E4067:E$2)*(E4068=E4067:E$2)))))</f>
        <v> </v>
      </c>
      <c r="J4068" s="26" t="str">
        <f>IF(OR(E4068="",E4068="!!!",F4068="NEW"),"",COUNTBLANK(OFFSET(A$1,,,SUMPRODUCT(MAX(ROW(E$2:E4068)*(E4068=E$2:E4068)))))-COUNTBLANK(OFFSET(A$1,,,SUMPRODUCT(MAX(ROW(E$1:E4067)*(E2=E$1:E4067))))))</f>
        <v> </v>
      </c>
      <c r="K4068" s="26" t="str">
        <f>IF(OR(E4068="",E4068="!!!",F4068="NEW"),"",INDEX(J$1:J4067,SUMPRODUCT(MAX(ROW(E$1:E4067)*(E4068=E$1:E4067)))))</f>
        <v> </v>
      </c>
      <c r="L4068" s="27"/>
    </row>
    <row r="4069" spans="1:12">
      <c r="A4069" s="20" t="s">
        <v>1611</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t="s">
        <v>1649</v>
      </c>
      <c r="B4070" s="21" t="s">
        <v>1244</v>
      </c>
      <c r="C4070" s="21" t="s">
        <v>1279</v>
      </c>
      <c r="E4070" s="22">
        <f>IF(D4070="?OLD","!!!","")</f>
        <v/>
      </c>
      <c r="F4070" s="23" t="str">
        <f>IF(OR(E4070="",E4070="!!!"),"",IF(NOT(ISNA(VLOOKUP(E4070,E$1:E4069,1,FALSE()))),"OLD",IF(AND(E4070&lt;&gt;"",E4070&lt;&gt;"!!!"),"NEW","")))</f>
        <v> </v>
      </c>
      <c r="G4070" s="24" t="str">
        <f>IF(OR(E4070="",E4070="!!!"),"",IF(OR(J4070=0,AND(J4070=1,K4070=1),AND(J4070=1,I4070="SBJ"),AND(J4070=1,I4070=0)),"?IN_FOCUS",IF(J4070&lt;=2,"?ACTIVATED",IF(J4070&lt;&gt;"","?FAMILIAR",IF(F4070="NEW",IF(ISNA(VLOOKUP(E4070,#REF!,1,FALSE())),"?TYPE_IDENTIFIABLE","?REFERENTIAL"),"_")))))</f>
        <v> </v>
      </c>
      <c r="H4070" s="25" t="str">
        <f>IF(J4070&lt;&gt;1,"",IF(I4070="SBJ","CB","?"))</f>
        <v> </v>
      </c>
      <c r="I4070" s="26" t="str">
        <f>IF(OR(E4070="",E4070="!!!",F4070="NEW"),"",INDEX(B4069:B$2,-1+SUMPRODUCT(MAX(ROW(E4069:E$2)*(E4070=E4069:E$2)))))</f>
        <v> </v>
      </c>
      <c r="J4070" s="26" t="str">
        <f>IF(OR(E4070="",E4070="!!!",F4070="NEW"),"",COUNTBLANK(OFFSET(A$1,,,SUMPRODUCT(MAX(ROW(E$2:E4070)*(E4070=E$2:E4070)))))-COUNTBLANK(OFFSET(A$1,,,SUMPRODUCT(MAX(ROW(E$1:E4069)*(E2=E$1:E4069))))))</f>
        <v> </v>
      </c>
      <c r="K4070" s="26" t="str">
        <f>IF(OR(E4070="",E4070="!!!",F4070="NEW"),"",INDEX(J$1:J4069,SUMPRODUCT(MAX(ROW(E$1:E4069)*(E4070=E$1:E4069)))))</f>
        <v> </v>
      </c>
      <c r="L4070" s="27"/>
    </row>
    <row r="4071" spans="1:12">
      <c r="A4071" s="20" t="s">
        <v>1650</v>
      </c>
      <c r="B4071" s="21" t="s">
        <v>1221</v>
      </c>
      <c r="C4071" s="21" t="s">
        <v>1225</v>
      </c>
      <c r="D4071" s="21" t="s">
        <v>1217</v>
      </c>
      <c r="E4071" s="22">
        <f>IF(D4071="?OLD","!!!","")</f>
        <v/>
      </c>
      <c r="F4071" s="23" t="str">
        <f>IF(OR(E4071="",E4071="!!!"),"",IF(NOT(ISNA(VLOOKUP(E4071,E$1:E4070,1,FALSE()))),"OLD",IF(AND(E4071&lt;&gt;"",E4071&lt;&gt;"!!!"),"NEW","")))</f>
        <v> </v>
      </c>
      <c r="G4071" s="24" t="str">
        <f>IF(OR(E4071="",E4071="!!!"),"",IF(OR(J4071=0,AND(J4071=1,K4071=1),AND(J4071=1,I4071="SBJ"),AND(J4071=1,I4071=0)),"?IN_FOCUS",IF(J4071&lt;=2,"?ACTIVATED",IF(J4071&lt;&gt;"","?FAMILIAR",IF(F4071="NEW",IF(ISNA(VLOOKUP(E4071,#REF!,1,FALSE())),"?TYPE_IDENTIFIABLE","?REFERENTIAL"),"_")))))</f>
        <v> </v>
      </c>
      <c r="H4071" s="25" t="str">
        <f>IF(J4071&lt;&gt;1,"",IF(I4071="SBJ","CB","?"))</f>
        <v> </v>
      </c>
      <c r="I4071" s="26" t="str">
        <f>IF(OR(E4071="",E4071="!!!",F4071="NEW"),"",INDEX(B4070:B$2,-1+SUMPRODUCT(MAX(ROW(E4070:E$2)*(E4071=E4070:E$2)))))</f>
        <v> </v>
      </c>
      <c r="J4071" s="26" t="str">
        <f>IF(OR(E4071="",E4071="!!!",F4071="NEW"),"",COUNTBLANK(OFFSET(A$1,,,SUMPRODUCT(MAX(ROW(E$2:E4071)*(E4071=E$2:E4071)))))-COUNTBLANK(OFFSET(A$1,,,SUMPRODUCT(MAX(ROW(E$1:E4070)*(E2=E$1:E4070))))))</f>
        <v> </v>
      </c>
      <c r="K4071" s="26" t="str">
        <f>IF(OR(E4071="",E4071="!!!",F4071="NEW"),"",INDEX(J$1:J4070,SUMPRODUCT(MAX(ROW(E$1:E4070)*(E4071=E$1:E4070)))))</f>
        <v> </v>
      </c>
      <c r="L4071" s="27"/>
    </row>
    <row r="4072" spans="1:12">
      <c r="A4072" s="20" t="s">
        <v>1457</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row>
    <row r="4074" spans="1:12">
      <c r="A4074" s="20" t="s">
        <v>2600</v>
      </c>
    </row>
    <row r="4075" spans="1:12">
      <c r="A4075" s="20" t="s">
        <v>1809</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1467</v>
      </c>
      <c r="B4076" s="21" t="s">
        <v>1215</v>
      </c>
      <c r="C4076" s="21" t="s">
        <v>1255</v>
      </c>
      <c r="D4076" s="21" t="s">
        <v>1217</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2601</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1286</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t="s">
        <v>1767</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t="s">
        <v>1457</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row>
    <row r="4082" spans="1:12">
      <c r="A4082" s="20" t="s">
        <v>1565</v>
      </c>
    </row>
    <row r="4083" spans="1:12">
      <c r="A4083" s="20" t="s">
        <v>16</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16</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1566</v>
      </c>
      <c r="B4085" s="21" t="s">
        <v>1244</v>
      </c>
      <c r="C4085" s="21" t="s">
        <v>1225</v>
      </c>
      <c r="D4085" s="21" t="s">
        <v>1217</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1262</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row>
    <row r="4088" spans="1:12">
      <c r="A4088" s="20" t="s">
        <v>2602</v>
      </c>
    </row>
    <row r="4089" spans="1:12">
      <c r="A4089" s="20" t="s">
        <v>16</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16</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1595</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1266</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885</v>
      </c>
      <c r="B4093" s="21" t="s">
        <v>1244</v>
      </c>
      <c r="C4093" s="21" t="s">
        <v>1269</v>
      </c>
      <c r="D4093" s="21" t="s">
        <v>1217</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t="s">
        <v>1457</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row>
    <row r="4096" spans="1:12">
      <c r="A4096" s="20" t="s">
        <v>2603</v>
      </c>
    </row>
    <row r="4097" spans="1:12">
      <c r="A4097" s="20" t="s">
        <v>16</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16</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2604</v>
      </c>
      <c r="B4099" s="21" t="s">
        <v>1244</v>
      </c>
      <c r="C4099" s="21" t="s">
        <v>1279</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1262</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row>
    <row r="4102" spans="1:12">
      <c r="A4102" s="20" t="s">
        <v>1542</v>
      </c>
    </row>
    <row r="4103" spans="1:12">
      <c r="A4103" s="20" t="s">
        <v>135</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row>
    <row r="4105" spans="1:12">
      <c r="A4105" s="20" t="s">
        <v>2605</v>
      </c>
    </row>
    <row r="4106" spans="1:12">
      <c r="A4106" s="20" t="s">
        <v>2566</v>
      </c>
      <c r="B4106" s="21" t="s">
        <v>1215</v>
      </c>
      <c r="C4106" s="21" t="s">
        <v>1279</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1547</v>
      </c>
      <c r="B4107" s="21" t="s">
        <v>1221</v>
      </c>
      <c r="C4107" s="21" t="s">
        <v>1225</v>
      </c>
      <c r="D4107" s="21" t="s">
        <v>1217</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2091</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1235</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2606</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2607</v>
      </c>
      <c r="B4111" s="21" t="s">
        <v>1275</v>
      </c>
      <c r="C4111" s="21" t="s">
        <v>1238</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1218</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2608</v>
      </c>
      <c r="B4113" s="21" t="s">
        <v>1221</v>
      </c>
      <c r="C4113" s="21" t="s">
        <v>1279</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1262</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row>
    <row r="4116" spans="1:12">
      <c r="A4116" s="20" t="s">
        <v>2609</v>
      </c>
    </row>
    <row r="4117" spans="1:12">
      <c r="A4117" s="20" t="s">
        <v>1453</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1999</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1277</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1312</v>
      </c>
      <c r="B4120" s="21" t="s">
        <v>1221</v>
      </c>
      <c r="C4120" s="21" t="s">
        <v>1242</v>
      </c>
      <c r="D4120" s="21" t="s">
        <v>1217</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t="s">
        <v>1149</v>
      </c>
      <c r="B4121" s="21" t="s">
        <v>1244</v>
      </c>
      <c r="C4121" s="21" t="s">
        <v>1225</v>
      </c>
      <c r="D4121" s="21" t="s">
        <v>1217</v>
      </c>
      <c r="E4121" s="22">
        <f>IF(D4121="?OLD","!!!","")</f>
        <v/>
      </c>
      <c r="F4121" s="23" t="str">
        <f>IF(OR(E4121="",E4121="!!!"),"",IF(NOT(ISNA(VLOOKUP(E4121,E$1:E4120,1,FALSE()))),"OLD",IF(AND(E4121&lt;&gt;"",E4121&lt;&gt;"!!!"),"NEW","")))</f>
        <v> </v>
      </c>
      <c r="G4121" s="24" t="str">
        <f>IF(OR(E4121="",E4121="!!!"),"",IF(OR(J4121=0,AND(J4121=1,K4121=1),AND(J4121=1,I4121="SBJ"),AND(J4121=1,I4121=0)),"?IN_FOCUS",IF(J4121&lt;=2,"?ACTIVATED",IF(J4121&lt;&gt;"","?FAMILIAR",IF(F4121="NEW",IF(ISNA(VLOOKUP(E4121,#REF!,1,FALSE())),"?TYPE_IDENTIFIABLE","?REFERENTIAL"),"_")))))</f>
        <v> </v>
      </c>
      <c r="H4121" s="25" t="str">
        <f>IF(J4121&lt;&gt;1,"",IF(I4121="SBJ","CB","?"))</f>
        <v> </v>
      </c>
      <c r="I4121" s="26" t="str">
        <f>IF(OR(E4121="",E4121="!!!",F4121="NEW"),"",INDEX(B4120:B$2,-1+SUMPRODUCT(MAX(ROW(E4120:E$2)*(E4121=E4120:E$2)))))</f>
        <v> </v>
      </c>
      <c r="J4121" s="26" t="str">
        <f>IF(OR(E4121="",E4121="!!!",F4121="NEW"),"",COUNTBLANK(OFFSET(A$1,,,SUMPRODUCT(MAX(ROW(E$2:E4121)*(E4121=E$2:E4121)))))-COUNTBLANK(OFFSET(A$1,,,SUMPRODUCT(MAX(ROW(E$1:E4120)*(E2=E$1:E4120))))))</f>
        <v> </v>
      </c>
      <c r="K4121" s="26" t="str">
        <f>IF(OR(E4121="",E4121="!!!",F4121="NEW"),"",INDEX(J$1:J4120,SUMPRODUCT(MAX(ROW(E$1:E4120)*(E4121=E$1:E4120)))))</f>
        <v> </v>
      </c>
      <c r="L4121" s="27"/>
    </row>
    <row r="4122" spans="1:12">
      <c r="A4122" s="20" t="s">
        <v>1277</v>
      </c>
      <c r="E4122" s="22">
        <f>IF(D4122="?OLD","!!!","")</f>
        <v/>
      </c>
      <c r="F4122" s="23" t="str">
        <f>IF(OR(E4122="",E4122="!!!"),"",IF(NOT(ISNA(VLOOKUP(E4122,E$1:E4121,1,FALSE()))),"OLD",IF(AND(E4122&lt;&gt;"",E4122&lt;&gt;"!!!"),"NEW","")))</f>
        <v> </v>
      </c>
      <c r="G4122" s="24" t="str">
        <f>IF(OR(E4122="",E4122="!!!"),"",IF(OR(J4122=0,AND(J4122=1,K4122=1),AND(J4122=1,I4122="SBJ"),AND(J4122=1,I4122=0)),"?IN_FOCUS",IF(J4122&lt;=2,"?ACTIVATED",IF(J4122&lt;&gt;"","?FAMILIAR",IF(F4122="NEW",IF(ISNA(VLOOKUP(E4122,#REF!,1,FALSE())),"?TYPE_IDENTIFIABLE","?REFERENTIAL"),"_")))))</f>
        <v> </v>
      </c>
      <c r="H4122" s="25" t="str">
        <f>IF(J4122&lt;&gt;1,"",IF(I4122="SBJ","CB","?"))</f>
        <v> </v>
      </c>
      <c r="I4122" s="26" t="str">
        <f>IF(OR(E4122="",E4122="!!!",F4122="NEW"),"",INDEX(B4121:B$2,-1+SUMPRODUCT(MAX(ROW(E4121:E$2)*(E4122=E4121:E$2)))))</f>
        <v> </v>
      </c>
      <c r="J4122" s="26" t="str">
        <f>IF(OR(E4122="",E4122="!!!",F4122="NEW"),"",COUNTBLANK(OFFSET(A$1,,,SUMPRODUCT(MAX(ROW(E$2:E4122)*(E4122=E$2:E4122)))))-COUNTBLANK(OFFSET(A$1,,,SUMPRODUCT(MAX(ROW(E$1:E4121)*(E2=E$1:E4121))))))</f>
        <v> </v>
      </c>
      <c r="K4122" s="26" t="str">
        <f>IF(OR(E4122="",E4122="!!!",F4122="NEW"),"",INDEX(J$1:J4121,SUMPRODUCT(MAX(ROW(E$1:E4121)*(E4122=E$1:E4121)))))</f>
        <v> </v>
      </c>
      <c r="L4122" s="27"/>
    </row>
    <row r="4123" spans="1:12">
      <c r="A4123" s="20" t="s">
        <v>434</v>
      </c>
      <c r="E4123" s="22">
        <f>IF(D4123="?OLD","!!!","")</f>
        <v/>
      </c>
      <c r="F4123" s="23" t="str">
        <f>IF(OR(E4123="",E4123="!!!"),"",IF(NOT(ISNA(VLOOKUP(E4123,E$1:E4122,1,FALSE()))),"OLD",IF(AND(E4123&lt;&gt;"",E4123&lt;&gt;"!!!"),"NEW","")))</f>
        <v> </v>
      </c>
      <c r="G4123" s="24" t="str">
        <f>IF(OR(E4123="",E4123="!!!"),"",IF(OR(J4123=0,AND(J4123=1,K4123=1),AND(J4123=1,I4123="SBJ"),AND(J4123=1,I4123=0)),"?IN_FOCUS",IF(J4123&lt;=2,"?ACTIVATED",IF(J4123&lt;&gt;"","?FAMILIAR",IF(F4123="NEW",IF(ISNA(VLOOKUP(E4123,#REF!,1,FALSE())),"?TYPE_IDENTIFIABLE","?REFERENTIAL"),"_")))))</f>
        <v> </v>
      </c>
      <c r="H4123" s="25" t="str">
        <f>IF(J4123&lt;&gt;1,"",IF(I4123="SBJ","CB","?"))</f>
        <v> </v>
      </c>
      <c r="I4123" s="26" t="str">
        <f>IF(OR(E4123="",E4123="!!!",F4123="NEW"),"",INDEX(B4122:B$2,-1+SUMPRODUCT(MAX(ROW(E4122:E$2)*(E4123=E4122:E$2)))))</f>
        <v> </v>
      </c>
      <c r="J4123" s="26" t="str">
        <f>IF(OR(E4123="",E4123="!!!",F4123="NEW"),"",COUNTBLANK(OFFSET(A$1,,,SUMPRODUCT(MAX(ROW(E$2:E4123)*(E4123=E$2:E4123)))))-COUNTBLANK(OFFSET(A$1,,,SUMPRODUCT(MAX(ROW(E$1:E4122)*(E2=E$1:E4122))))))</f>
        <v> </v>
      </c>
      <c r="K4123" s="26" t="str">
        <f>IF(OR(E4123="",E4123="!!!",F4123="NEW"),"",INDEX(J$1:J4122,SUMPRODUCT(MAX(ROW(E$1:E4122)*(E4123=E$1:E4122)))))</f>
        <v> </v>
      </c>
      <c r="L4123" s="27"/>
    </row>
    <row r="4124" spans="1:12">
      <c r="A4124" s="20" t="s">
        <v>1503</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t="s">
        <v>1611</v>
      </c>
      <c r="E4125" s="22">
        <f>IF(D4125="?OLD","!!!","")</f>
        <v/>
      </c>
      <c r="F4125" s="23" t="str">
        <f>IF(OR(E4125="",E4125="!!!"),"",IF(NOT(ISNA(VLOOKUP(E4125,E$1:E4124,1,FALSE()))),"OLD",IF(AND(E4125&lt;&gt;"",E4125&lt;&gt;"!!!"),"NEW","")))</f>
        <v> </v>
      </c>
      <c r="G4125" s="24" t="str">
        <f>IF(OR(E4125="",E4125="!!!"),"",IF(OR(J4125=0,AND(J4125=1,K4125=1),AND(J4125=1,I4125="SBJ"),AND(J4125=1,I4125=0)),"?IN_FOCUS",IF(J4125&lt;=2,"?ACTIVATED",IF(J4125&lt;&gt;"","?FAMILIAR",IF(F4125="NEW",IF(ISNA(VLOOKUP(E4125,#REF!,1,FALSE())),"?TYPE_IDENTIFIABLE","?REFERENTIAL"),"_")))))</f>
        <v> </v>
      </c>
      <c r="H4125" s="25" t="str">
        <f>IF(J4125&lt;&gt;1,"",IF(I4125="SBJ","CB","?"))</f>
        <v> </v>
      </c>
      <c r="I4125" s="26" t="str">
        <f>IF(OR(E4125="",E4125="!!!",F4125="NEW"),"",INDEX(B4124:B$2,-1+SUMPRODUCT(MAX(ROW(E4124:E$2)*(E4125=E4124:E$2)))))</f>
        <v> </v>
      </c>
      <c r="J4125" s="26" t="str">
        <f>IF(OR(E4125="",E4125="!!!",F4125="NEW"),"",COUNTBLANK(OFFSET(A$1,,,SUMPRODUCT(MAX(ROW(E$2:E4125)*(E4125=E$2:E4125)))))-COUNTBLANK(OFFSET(A$1,,,SUMPRODUCT(MAX(ROW(E$1:E4124)*(E2=E$1:E4124))))))</f>
        <v> </v>
      </c>
      <c r="K4125" s="26" t="str">
        <f>IF(OR(E4125="",E4125="!!!",F4125="NEW"),"",INDEX(J$1:J4124,SUMPRODUCT(MAX(ROW(E$1:E4124)*(E4125=E$1:E4124)))))</f>
        <v> </v>
      </c>
      <c r="L4125" s="27"/>
    </row>
    <row r="4126" spans="1:12">
      <c r="A4126" s="20"/>
    </row>
    <row r="4127" spans="1:12">
      <c r="A4127" s="20" t="s">
        <v>2610</v>
      </c>
    </row>
    <row r="4128" spans="1:12">
      <c r="A4128" s="20" t="s">
        <v>2611</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t="s">
        <v>1503</v>
      </c>
      <c r="E4129" s="22">
        <f>IF(D4129="?OLD","!!!","")</f>
        <v/>
      </c>
      <c r="F4129" s="23" t="str">
        <f>IF(OR(E4129="",E4129="!!!"),"",IF(NOT(ISNA(VLOOKUP(E4129,E$1:E4128,1,FALSE()))),"OLD",IF(AND(E4129&lt;&gt;"",E4129&lt;&gt;"!!!"),"NEW","")))</f>
        <v> </v>
      </c>
      <c r="G4129" s="24" t="str">
        <f>IF(OR(E4129="",E4129="!!!"),"",IF(OR(J4129=0,AND(J4129=1,K4129=1),AND(J4129=1,I4129="SBJ"),AND(J4129=1,I4129=0)),"?IN_FOCUS",IF(J4129&lt;=2,"?ACTIVATED",IF(J4129&lt;&gt;"","?FAMILIAR",IF(F4129="NEW",IF(ISNA(VLOOKUP(E4129,#REF!,1,FALSE())),"?TYPE_IDENTIFIABLE","?REFERENTIAL"),"_")))))</f>
        <v> </v>
      </c>
      <c r="H4129" s="25" t="str">
        <f>IF(J4129&lt;&gt;1,"",IF(I4129="SBJ","CB","?"))</f>
        <v> </v>
      </c>
      <c r="I4129" s="26" t="str">
        <f>IF(OR(E4129="",E4129="!!!",F4129="NEW"),"",INDEX(B4128:B$2,-1+SUMPRODUCT(MAX(ROW(E4128:E$2)*(E4129=E4128:E$2)))))</f>
        <v> </v>
      </c>
      <c r="J4129" s="26" t="str">
        <f>IF(OR(E4129="",E4129="!!!",F4129="NEW"),"",COUNTBLANK(OFFSET(A$1,,,SUMPRODUCT(MAX(ROW(E$2:E4129)*(E4129=E$2:E4129)))))-COUNTBLANK(OFFSET(A$1,,,SUMPRODUCT(MAX(ROW(E$1:E4128)*(E2=E$1:E4128))))))</f>
        <v> </v>
      </c>
      <c r="K4129" s="26" t="str">
        <f>IF(OR(E4129="",E4129="!!!",F4129="NEW"),"",INDEX(J$1:J4128,SUMPRODUCT(MAX(ROW(E$1:E4128)*(E4129=E$1:E4128)))))</f>
        <v> </v>
      </c>
      <c r="L4129" s="27"/>
    </row>
    <row r="4130" spans="1:12">
      <c r="A4130" s="20" t="s">
        <v>1266</v>
      </c>
      <c r="E4130" s="22">
        <f>IF(D4130="?OLD","!!!","")</f>
        <v/>
      </c>
      <c r="F4130" s="23" t="str">
        <f>IF(OR(E4130="",E4130="!!!"),"",IF(NOT(ISNA(VLOOKUP(E4130,E$1:E4129,1,FALSE()))),"OLD",IF(AND(E4130&lt;&gt;"",E4130&lt;&gt;"!!!"),"NEW","")))</f>
        <v> </v>
      </c>
      <c r="G4130" s="24" t="str">
        <f>IF(OR(E4130="",E4130="!!!"),"",IF(OR(J4130=0,AND(J4130=1,K4130=1),AND(J4130=1,I4130="SBJ"),AND(J4130=1,I4130=0)),"?IN_FOCUS",IF(J4130&lt;=2,"?ACTIVATED",IF(J4130&lt;&gt;"","?FAMILIAR",IF(F4130="NEW",IF(ISNA(VLOOKUP(E4130,#REF!,1,FALSE())),"?TYPE_IDENTIFIABLE","?REFERENTIAL"),"_")))))</f>
        <v> </v>
      </c>
      <c r="H4130" s="25" t="str">
        <f>IF(J4130&lt;&gt;1,"",IF(I4130="SBJ","CB","?"))</f>
        <v> </v>
      </c>
      <c r="I4130" s="26" t="str">
        <f>IF(OR(E4130="",E4130="!!!",F4130="NEW"),"",INDEX(B4129:B$2,-1+SUMPRODUCT(MAX(ROW(E4129:E$2)*(E4130=E4129:E$2)))))</f>
        <v> </v>
      </c>
      <c r="J4130" s="26" t="str">
        <f>IF(OR(E4130="",E4130="!!!",F4130="NEW"),"",COUNTBLANK(OFFSET(A$1,,,SUMPRODUCT(MAX(ROW(E$2:E4130)*(E4130=E$2:E4130)))))-COUNTBLANK(OFFSET(A$1,,,SUMPRODUCT(MAX(ROW(E$1:E4129)*(E2=E$1:E4129))))))</f>
        <v> </v>
      </c>
      <c r="K4130" s="26" t="str">
        <f>IF(OR(E4130="",E4130="!!!",F4130="NEW"),"",INDEX(J$1:J4129,SUMPRODUCT(MAX(ROW(E$1:E4129)*(E4130=E$1:E4129)))))</f>
        <v> </v>
      </c>
      <c r="L4130" s="27"/>
    </row>
    <row r="4131" spans="1:12">
      <c r="A4131" s="20" t="s">
        <v>2612</v>
      </c>
      <c r="B4131" s="21" t="s">
        <v>1244</v>
      </c>
      <c r="C4131" s="21" t="s">
        <v>1269</v>
      </c>
      <c r="D4131" s="21" t="s">
        <v>1217</v>
      </c>
      <c r="E4131" s="22">
        <f>IF(D4131="?OLD","!!!","")</f>
        <v/>
      </c>
      <c r="F4131" s="23" t="str">
        <f>IF(OR(E4131="",E4131="!!!"),"",IF(NOT(ISNA(VLOOKUP(E4131,E$1:E4130,1,FALSE()))),"OLD",IF(AND(E4131&lt;&gt;"",E4131&lt;&gt;"!!!"),"NEW","")))</f>
        <v> </v>
      </c>
      <c r="G4131" s="24" t="str">
        <f>IF(OR(E4131="",E4131="!!!"),"",IF(OR(J4131=0,AND(J4131=1,K4131=1),AND(J4131=1,I4131="SBJ"),AND(J4131=1,I4131=0)),"?IN_FOCUS",IF(J4131&lt;=2,"?ACTIVATED",IF(J4131&lt;&gt;"","?FAMILIAR",IF(F4131="NEW",IF(ISNA(VLOOKUP(E4131,#REF!,1,FALSE())),"?TYPE_IDENTIFIABLE","?REFERENTIAL"),"_")))))</f>
        <v> </v>
      </c>
      <c r="H4131" s="25" t="str">
        <f>IF(J4131&lt;&gt;1,"",IF(I4131="SBJ","CB","?"))</f>
        <v> </v>
      </c>
      <c r="I4131" s="26" t="str">
        <f>IF(OR(E4131="",E4131="!!!",F4131="NEW"),"",INDEX(B4130:B$2,-1+SUMPRODUCT(MAX(ROW(E4130:E$2)*(E4131=E4130:E$2)))))</f>
        <v> </v>
      </c>
      <c r="J4131" s="26" t="str">
        <f>IF(OR(E4131="",E4131="!!!",F4131="NEW"),"",COUNTBLANK(OFFSET(A$1,,,SUMPRODUCT(MAX(ROW(E$2:E4131)*(E4131=E$2:E4131)))))-COUNTBLANK(OFFSET(A$1,,,SUMPRODUCT(MAX(ROW(E$1:E4130)*(E2=E$1:E4130))))))</f>
        <v> </v>
      </c>
      <c r="K4131" s="26" t="str">
        <f>IF(OR(E4131="",E4131="!!!",F4131="NEW"),"",INDEX(J$1:J4130,SUMPRODUCT(MAX(ROW(E$1:E4130)*(E4131=E$1:E4130)))))</f>
        <v> </v>
      </c>
      <c r="L4131" s="27"/>
    </row>
    <row r="4132" spans="1:12">
      <c r="A4132" s="20" t="s">
        <v>1503</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t="s">
        <v>1611</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row>
    <row r="4135" spans="1:12">
      <c r="A4135" s="20" t="s">
        <v>2613</v>
      </c>
    </row>
    <row r="4136" spans="1:12">
      <c r="A4136" s="20" t="s">
        <v>2614</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1257</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2615</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2382</v>
      </c>
      <c r="B4139" s="21" t="s">
        <v>1221</v>
      </c>
      <c r="C4139" s="21" t="s">
        <v>1297</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t="s">
        <v>565</v>
      </c>
      <c r="B4140" s="21" t="s">
        <v>1215</v>
      </c>
      <c r="C4140" s="21" t="s">
        <v>1255</v>
      </c>
      <c r="D4140" s="21" t="s">
        <v>1217</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1381</v>
      </c>
      <c r="B4141" s="21" t="s">
        <v>1275</v>
      </c>
      <c r="C4141" s="21" t="s">
        <v>1255</v>
      </c>
      <c r="D4141" s="21" t="s">
        <v>1217</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t="s">
        <v>1583</v>
      </c>
      <c r="E4142" s="22">
        <f>IF(D4142="?OLD","!!!","")</f>
        <v/>
      </c>
      <c r="F4142" s="23" t="str">
        <f>IF(OR(E4142="",E4142="!!!"),"",IF(NOT(ISNA(VLOOKUP(E4142,E$1:E4141,1,FALSE()))),"OLD",IF(AND(E4142&lt;&gt;"",E4142&lt;&gt;"!!!"),"NEW","")))</f>
        <v> </v>
      </c>
      <c r="G4142" s="24" t="str">
        <f>IF(OR(E4142="",E4142="!!!"),"",IF(OR(J4142=0,AND(J4142=1,K4142=1),AND(J4142=1,I4142="SBJ"),AND(J4142=1,I4142=0)),"?IN_FOCUS",IF(J4142&lt;=2,"?ACTIVATED",IF(J4142&lt;&gt;"","?FAMILIAR",IF(F4142="NEW",IF(ISNA(VLOOKUP(E4142,#REF!,1,FALSE())),"?TYPE_IDENTIFIABLE","?REFERENTIAL"),"_")))))</f>
        <v> </v>
      </c>
      <c r="H4142" s="25" t="str">
        <f>IF(J4142&lt;&gt;1,"",IF(I4142="SBJ","CB","?"))</f>
        <v> </v>
      </c>
      <c r="I4142" s="26" t="str">
        <f>IF(OR(E4142="",E4142="!!!",F4142="NEW"),"",INDEX(B4141:B$2,-1+SUMPRODUCT(MAX(ROW(E4141:E$2)*(E4142=E4141:E$2)))))</f>
        <v> </v>
      </c>
      <c r="J4142" s="26" t="str">
        <f>IF(OR(E4142="",E4142="!!!",F4142="NEW"),"",COUNTBLANK(OFFSET(A$1,,,SUMPRODUCT(MAX(ROW(E$2:E4142)*(E4142=E$2:E4142)))))-COUNTBLANK(OFFSET(A$1,,,SUMPRODUCT(MAX(ROW(E$1:E4141)*(E2=E$1:E4141))))))</f>
        <v> </v>
      </c>
      <c r="K4142" s="26" t="str">
        <f>IF(OR(E4142="",E4142="!!!",F4142="NEW"),"",INDEX(J$1:J4141,SUMPRODUCT(MAX(ROW(E$1:E4141)*(E4142=E$1:E4141)))))</f>
        <v> </v>
      </c>
      <c r="L4142" s="27"/>
    </row>
    <row r="4143" spans="1:12">
      <c r="A4143" s="20" t="s">
        <v>905</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1503</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row>
    <row r="4146" spans="1:12">
      <c r="A4146" s="20" t="s">
        <v>1542</v>
      </c>
    </row>
    <row r="4147" spans="1:12">
      <c r="A4147" s="20" t="s">
        <v>135</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row>
    <row r="4149" spans="1:12">
      <c r="A4149" s="20" t="s">
        <v>2616</v>
      </c>
    </row>
    <row r="4150" spans="1:12">
      <c r="A4150" s="20" t="s">
        <v>2346</v>
      </c>
      <c r="B4150" s="21" t="s">
        <v>1215</v>
      </c>
      <c r="C4150" s="21" t="s">
        <v>1255</v>
      </c>
      <c r="D4150" s="21" t="s">
        <v>1217</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t="s">
        <v>2617</v>
      </c>
      <c r="E4151" s="22">
        <f>IF(D4151="?OLD","!!!","")</f>
        <v/>
      </c>
      <c r="F4151" s="23" t="str">
        <f>IF(OR(E4151="",E4151="!!!"),"",IF(NOT(ISNA(VLOOKUP(E4151,E$1:E4150,1,FALSE()))),"OLD",IF(AND(E4151&lt;&gt;"",E4151&lt;&gt;"!!!"),"NEW","")))</f>
        <v> </v>
      </c>
      <c r="G4151" s="24" t="str">
        <f>IF(OR(E4151="",E4151="!!!"),"",IF(OR(J4151=0,AND(J4151=1,K4151=1),AND(J4151=1,I4151="SBJ"),AND(J4151=1,I4151=0)),"?IN_FOCUS",IF(J4151&lt;=2,"?ACTIVATED",IF(J4151&lt;&gt;"","?FAMILIAR",IF(F4151="NEW",IF(ISNA(VLOOKUP(E4151,#REF!,1,FALSE())),"?TYPE_IDENTIFIABLE","?REFERENTIAL"),"_")))))</f>
        <v> </v>
      </c>
      <c r="H4151" s="25" t="str">
        <f>IF(J4151&lt;&gt;1,"",IF(I4151="SBJ","CB","?"))</f>
        <v> </v>
      </c>
      <c r="I4151" s="26" t="str">
        <f>IF(OR(E4151="",E4151="!!!",F4151="NEW"),"",INDEX(B4150:B$2,-1+SUMPRODUCT(MAX(ROW(E4150:E$2)*(E4151=E4150:E$2)))))</f>
        <v> </v>
      </c>
      <c r="J4151" s="26" t="str">
        <f>IF(OR(E4151="",E4151="!!!",F4151="NEW"),"",COUNTBLANK(OFFSET(A$1,,,SUMPRODUCT(MAX(ROW(E$2:E4151)*(E4151=E$2:E4151)))))-COUNTBLANK(OFFSET(A$1,,,SUMPRODUCT(MAX(ROW(E$1:E4150)*(E2=E$1:E4150))))))</f>
        <v> </v>
      </c>
      <c r="K4151" s="26" t="str">
        <f>IF(OR(E4151="",E4151="!!!",F4151="NEW"),"",INDEX(J$1:J4150,SUMPRODUCT(MAX(ROW(E$1:E4150)*(E4151=E$1:E4150)))))</f>
        <v> </v>
      </c>
      <c r="L4151" s="27"/>
    </row>
    <row r="4152" spans="1:12">
      <c r="A4152" s="20" t="s">
        <v>1247</v>
      </c>
      <c r="B4152" s="21" t="s">
        <v>1221</v>
      </c>
      <c r="C4152" s="21" t="s">
        <v>1242</v>
      </c>
      <c r="D4152" s="21" t="s">
        <v>1217</v>
      </c>
      <c r="E4152" s="22">
        <f>IF(D4152="?OLD","!!!","")</f>
        <v/>
      </c>
      <c r="F4152" s="23" t="str">
        <f>IF(OR(E4152="",E4152="!!!"),"",IF(NOT(ISNA(VLOOKUP(E4152,E$1:E4151,1,FALSE()))),"OLD",IF(AND(E4152&lt;&gt;"",E4152&lt;&gt;"!!!"),"NEW","")))</f>
        <v> </v>
      </c>
      <c r="G4152" s="24" t="str">
        <f>IF(OR(E4152="",E4152="!!!"),"",IF(OR(J4152=0,AND(J4152=1,K4152=1),AND(J4152=1,I4152="SBJ"),AND(J4152=1,I4152=0)),"?IN_FOCUS",IF(J4152&lt;=2,"?ACTIVATED",IF(J4152&lt;&gt;"","?FAMILIAR",IF(F4152="NEW",IF(ISNA(VLOOKUP(E4152,#REF!,1,FALSE())),"?TYPE_IDENTIFIABLE","?REFERENTIAL"),"_")))))</f>
        <v> </v>
      </c>
      <c r="H4152" s="25" t="str">
        <f>IF(J4152&lt;&gt;1,"",IF(I4152="SBJ","CB","?"))</f>
        <v> </v>
      </c>
      <c r="I4152" s="26" t="str">
        <f>IF(OR(E4152="",E4152="!!!",F4152="NEW"),"",INDEX(B4151:B$2,-1+SUMPRODUCT(MAX(ROW(E4151:E$2)*(E4152=E4151:E$2)))))</f>
        <v> </v>
      </c>
      <c r="J4152" s="26" t="str">
        <f>IF(OR(E4152="",E4152="!!!",F4152="NEW"),"",COUNTBLANK(OFFSET(A$1,,,SUMPRODUCT(MAX(ROW(E$2:E4152)*(E4152=E$2:E4152)))))-COUNTBLANK(OFFSET(A$1,,,SUMPRODUCT(MAX(ROW(E$1:E4151)*(E2=E$1:E4151))))))</f>
        <v> </v>
      </c>
      <c r="K4152" s="26" t="str">
        <f>IF(OR(E4152="",E4152="!!!",F4152="NEW"),"",INDEX(J$1:J4151,SUMPRODUCT(MAX(ROW(E$1:E4151)*(E4152=E$1:E4151)))))</f>
        <v> </v>
      </c>
      <c r="L4152" s="27"/>
    </row>
    <row r="4153" spans="1:12">
      <c r="A4153" s="20" t="s">
        <v>2618</v>
      </c>
      <c r="B4153" s="21" t="s">
        <v>1275</v>
      </c>
      <c r="C4153" s="21" t="s">
        <v>1222</v>
      </c>
      <c r="D4153" s="21" t="s">
        <v>1217</v>
      </c>
      <c r="E4153" s="22">
        <f>IF(D4153="?OLD","!!!","")</f>
        <v/>
      </c>
      <c r="F4153" s="23" t="str">
        <f>IF(OR(E4153="",E4153="!!!"),"",IF(NOT(ISNA(VLOOKUP(E4153,E$1:E4152,1,FALSE()))),"OLD",IF(AND(E4153&lt;&gt;"",E4153&lt;&gt;"!!!"),"NEW","")))</f>
        <v> </v>
      </c>
      <c r="G4153" s="24" t="str">
        <f>IF(OR(E4153="",E4153="!!!"),"",IF(OR(J4153=0,AND(J4153=1,K4153=1),AND(J4153=1,I4153="SBJ"),AND(J4153=1,I4153=0)),"?IN_FOCUS",IF(J4153&lt;=2,"?ACTIVATED",IF(J4153&lt;&gt;"","?FAMILIAR",IF(F4153="NEW",IF(ISNA(VLOOKUP(E4153,#REF!,1,FALSE())),"?TYPE_IDENTIFIABLE","?REFERENTIAL"),"_")))))</f>
        <v> </v>
      </c>
      <c r="H4153" s="25" t="str">
        <f>IF(J4153&lt;&gt;1,"",IF(I4153="SBJ","CB","?"))</f>
        <v> </v>
      </c>
      <c r="I4153" s="26" t="str">
        <f>IF(OR(E4153="",E4153="!!!",F4153="NEW"),"",INDEX(B4152:B$2,-1+SUMPRODUCT(MAX(ROW(E4152:E$2)*(E4153=E4152:E$2)))))</f>
        <v> </v>
      </c>
      <c r="J4153" s="26" t="str">
        <f>IF(OR(E4153="",E4153="!!!",F4153="NEW"),"",COUNTBLANK(OFFSET(A$1,,,SUMPRODUCT(MAX(ROW(E$2:E4153)*(E4153=E$2:E4153)))))-COUNTBLANK(OFFSET(A$1,,,SUMPRODUCT(MAX(ROW(E$1:E4152)*(E2=E$1:E4152))))))</f>
        <v> </v>
      </c>
      <c r="K4153" s="26" t="str">
        <f>IF(OR(E4153="",E4153="!!!",F4153="NEW"),"",INDEX(J$1:J4152,SUMPRODUCT(MAX(ROW(E$1:E4152)*(E4153=E$1:E4152)))))</f>
        <v> </v>
      </c>
      <c r="L4153" s="27"/>
    </row>
    <row r="4154" spans="1:12">
      <c r="A4154" s="20" t="s">
        <v>1286</v>
      </c>
      <c r="E4154" s="22">
        <f>IF(D4154="?OLD","!!!","")</f>
        <v/>
      </c>
      <c r="F4154" s="23" t="str">
        <f>IF(OR(E4154="",E4154="!!!"),"",IF(NOT(ISNA(VLOOKUP(E4154,E$1:E4153,1,FALSE()))),"OLD",IF(AND(E4154&lt;&gt;"",E4154&lt;&gt;"!!!"),"NEW","")))</f>
        <v> </v>
      </c>
      <c r="G4154" s="24" t="str">
        <f>IF(OR(E4154="",E4154="!!!"),"",IF(OR(J4154=0,AND(J4154=1,K4154=1),AND(J4154=1,I4154="SBJ"),AND(J4154=1,I4154=0)),"?IN_FOCUS",IF(J4154&lt;=2,"?ACTIVATED",IF(J4154&lt;&gt;"","?FAMILIAR",IF(F4154="NEW",IF(ISNA(VLOOKUP(E4154,#REF!,1,FALSE())),"?TYPE_IDENTIFIABLE","?REFERENTIAL"),"_")))))</f>
        <v> </v>
      </c>
      <c r="H4154" s="25" t="str">
        <f>IF(J4154&lt;&gt;1,"",IF(I4154="SBJ","CB","?"))</f>
        <v> </v>
      </c>
      <c r="I4154" s="26" t="str">
        <f>IF(OR(E4154="",E4154="!!!",F4154="NEW"),"",INDEX(B4153:B$2,-1+SUMPRODUCT(MAX(ROW(E4153:E$2)*(E4154=E4153:E$2)))))</f>
        <v> </v>
      </c>
      <c r="J4154" s="26" t="str">
        <f>IF(OR(E4154="",E4154="!!!",F4154="NEW"),"",COUNTBLANK(OFFSET(A$1,,,SUMPRODUCT(MAX(ROW(E$2:E4154)*(E4154=E$2:E4154)))))-COUNTBLANK(OFFSET(A$1,,,SUMPRODUCT(MAX(ROW(E$1:E4153)*(E2=E$1:E4153))))))</f>
        <v> </v>
      </c>
      <c r="K4154" s="26" t="str">
        <f>IF(OR(E4154="",E4154="!!!",F4154="NEW"),"",INDEX(J$1:J4153,SUMPRODUCT(MAX(ROW(E$1:E4153)*(E4154=E$1:E4153)))))</f>
        <v> </v>
      </c>
      <c r="L4154" s="27"/>
    </row>
    <row r="4155" spans="1:12">
      <c r="A4155" s="20" t="s">
        <v>1327</v>
      </c>
      <c r="B4155" s="21" t="s">
        <v>1229</v>
      </c>
      <c r="C4155" s="21" t="s">
        <v>1255</v>
      </c>
      <c r="D4155" s="21" t="s">
        <v>1217</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t="s">
        <v>2619</v>
      </c>
      <c r="E4156" s="22">
        <f>IF(D4156="?OLD","!!!","")</f>
        <v/>
      </c>
      <c r="F4156" s="23" t="str">
        <f>IF(OR(E4156="",E4156="!!!"),"",IF(NOT(ISNA(VLOOKUP(E4156,E$1:E4155,1,FALSE()))),"OLD",IF(AND(E4156&lt;&gt;"",E4156&lt;&gt;"!!!"),"NEW","")))</f>
        <v> </v>
      </c>
      <c r="G4156" s="24" t="str">
        <f>IF(OR(E4156="",E4156="!!!"),"",IF(OR(J4156=0,AND(J4156=1,K4156=1),AND(J4156=1,I4156="SBJ"),AND(J4156=1,I4156=0)),"?IN_FOCUS",IF(J4156&lt;=2,"?ACTIVATED",IF(J4156&lt;&gt;"","?FAMILIAR",IF(F4156="NEW",IF(ISNA(VLOOKUP(E4156,#REF!,1,FALSE())),"?TYPE_IDENTIFIABLE","?REFERENTIAL"),"_")))))</f>
        <v> </v>
      </c>
      <c r="H4156" s="25" t="str">
        <f>IF(J4156&lt;&gt;1,"",IF(I4156="SBJ","CB","?"))</f>
        <v> </v>
      </c>
      <c r="I4156" s="26" t="str">
        <f>IF(OR(E4156="",E4156="!!!",F4156="NEW"),"",INDEX(B4155:B$2,-1+SUMPRODUCT(MAX(ROW(E4155:E$2)*(E4156=E4155:E$2)))))</f>
        <v> </v>
      </c>
      <c r="J4156" s="26" t="str">
        <f>IF(OR(E4156="",E4156="!!!",F4156="NEW"),"",COUNTBLANK(OFFSET(A$1,,,SUMPRODUCT(MAX(ROW(E$2:E4156)*(E4156=E$2:E4156)))))-COUNTBLANK(OFFSET(A$1,,,SUMPRODUCT(MAX(ROW(E$1:E4155)*(E2=E$1:E4155))))))</f>
        <v> </v>
      </c>
      <c r="K4156" s="26" t="str">
        <f>IF(OR(E4156="",E4156="!!!",F4156="NEW"),"",INDEX(J$1:J4155,SUMPRODUCT(MAX(ROW(E$1:E4155)*(E4156=E$1:E4155)))))</f>
        <v> </v>
      </c>
      <c r="L4156" s="27"/>
    </row>
    <row r="4157" spans="1:12">
      <c r="A4157" s="20" t="s">
        <v>1247</v>
      </c>
      <c r="B4157" s="21" t="s">
        <v>1224</v>
      </c>
      <c r="C4157" s="21" t="s">
        <v>1242</v>
      </c>
      <c r="D4157" s="21" t="s">
        <v>1217</v>
      </c>
      <c r="E4157" s="22">
        <f>IF(D4157="?OLD","!!!","")</f>
        <v/>
      </c>
      <c r="F4157" s="23" t="str">
        <f>IF(OR(E4157="",E4157="!!!"),"",IF(NOT(ISNA(VLOOKUP(E4157,E$1:E4156,1,FALSE()))),"OLD",IF(AND(E4157&lt;&gt;"",E4157&lt;&gt;"!!!"),"NEW","")))</f>
        <v> </v>
      </c>
      <c r="G4157" s="24" t="str">
        <f>IF(OR(E4157="",E4157="!!!"),"",IF(OR(J4157=0,AND(J4157=1,K4157=1),AND(J4157=1,I4157="SBJ"),AND(J4157=1,I4157=0)),"?IN_FOCUS",IF(J4157&lt;=2,"?ACTIVATED",IF(J4157&lt;&gt;"","?FAMILIAR",IF(F4157="NEW",IF(ISNA(VLOOKUP(E4157,#REF!,1,FALSE())),"?TYPE_IDENTIFIABLE","?REFERENTIAL"),"_")))))</f>
        <v> </v>
      </c>
      <c r="H4157" s="25" t="str">
        <f>IF(J4157&lt;&gt;1,"",IF(I4157="SBJ","CB","?"))</f>
        <v> </v>
      </c>
      <c r="I4157" s="26" t="str">
        <f>IF(OR(E4157="",E4157="!!!",F4157="NEW"),"",INDEX(B4156:B$2,-1+SUMPRODUCT(MAX(ROW(E4156:E$2)*(E4157=E4156:E$2)))))</f>
        <v> </v>
      </c>
      <c r="J4157" s="26" t="str">
        <f>IF(OR(E4157="",E4157="!!!",F4157="NEW"),"",COUNTBLANK(OFFSET(A$1,,,SUMPRODUCT(MAX(ROW(E$2:E4157)*(E4157=E$2:E4157)))))-COUNTBLANK(OFFSET(A$1,,,SUMPRODUCT(MAX(ROW(E$1:E4156)*(E2=E$1:E4156))))))</f>
        <v> </v>
      </c>
      <c r="K4157" s="26" t="str">
        <f>IF(OR(E4157="",E4157="!!!",F4157="NEW"),"",INDEX(J$1:J4156,SUMPRODUCT(MAX(ROW(E$1:E4156)*(E4157=E$1:E4156)))))</f>
        <v> </v>
      </c>
      <c r="L4157" s="27"/>
    </row>
    <row r="4158" spans="1:12">
      <c r="A4158" s="20" t="s">
        <v>1956</v>
      </c>
      <c r="B4158" s="21" t="s">
        <v>1249</v>
      </c>
      <c r="C4158" s="21" t="s">
        <v>1222</v>
      </c>
      <c r="D4158" s="21" t="s">
        <v>1217</v>
      </c>
      <c r="E4158" s="22">
        <f>IF(D4158="?OLD","!!!","")</f>
        <v/>
      </c>
      <c r="F4158" s="23" t="str">
        <f>IF(OR(E4158="",E4158="!!!"),"",IF(NOT(ISNA(VLOOKUP(E4158,E$1:E4157,1,FALSE()))),"OLD",IF(AND(E4158&lt;&gt;"",E4158&lt;&gt;"!!!"),"NEW","")))</f>
        <v> </v>
      </c>
      <c r="G4158" s="24" t="str">
        <f>IF(OR(E4158="",E4158="!!!"),"",IF(OR(J4158=0,AND(J4158=1,K4158=1),AND(J4158=1,I4158="SBJ"),AND(J4158=1,I4158=0)),"?IN_FOCUS",IF(J4158&lt;=2,"?ACTIVATED",IF(J4158&lt;&gt;"","?FAMILIAR",IF(F4158="NEW",IF(ISNA(VLOOKUP(E4158,#REF!,1,FALSE())),"?TYPE_IDENTIFIABLE","?REFERENTIAL"),"_")))))</f>
        <v> </v>
      </c>
      <c r="H4158" s="25" t="str">
        <f>IF(J4158&lt;&gt;1,"",IF(I4158="SBJ","CB","?"))</f>
        <v> </v>
      </c>
      <c r="I4158" s="26" t="str">
        <f>IF(OR(E4158="",E4158="!!!",F4158="NEW"),"",INDEX(B4157:B$2,-1+SUMPRODUCT(MAX(ROW(E4157:E$2)*(E4158=E4157:E$2)))))</f>
        <v> </v>
      </c>
      <c r="J4158" s="26" t="str">
        <f>IF(OR(E4158="",E4158="!!!",F4158="NEW"),"",COUNTBLANK(OFFSET(A$1,,,SUMPRODUCT(MAX(ROW(E$2:E4158)*(E4158=E$2:E4158)))))-COUNTBLANK(OFFSET(A$1,,,SUMPRODUCT(MAX(ROW(E$1:E4157)*(E2=E$1:E4157))))))</f>
        <v> </v>
      </c>
      <c r="K4158" s="26" t="str">
        <f>IF(OR(E4158="",E4158="!!!",F4158="NEW"),"",INDEX(J$1:J4157,SUMPRODUCT(MAX(ROW(E$1:E4157)*(E4158=E$1:E4157)))))</f>
        <v> </v>
      </c>
      <c r="L4158" s="27"/>
    </row>
    <row r="4159" spans="1:12">
      <c r="A4159" s="20" t="s">
        <v>2620</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t="s">
        <v>1526</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t="s">
        <v>2621</v>
      </c>
      <c r="B4161" s="21" t="s">
        <v>1226</v>
      </c>
      <c r="C4161" s="21" t="s">
        <v>1279</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t="s">
        <v>1262</v>
      </c>
      <c r="E4162" s="22">
        <f>IF(D4162="?OLD","!!!","")</f>
        <v/>
      </c>
      <c r="F4162" s="23" t="str">
        <f>IF(OR(E4162="",E4162="!!!"),"",IF(NOT(ISNA(VLOOKUP(E4162,E$1:E4161,1,FALSE()))),"OLD",IF(AND(E4162&lt;&gt;"",E4162&lt;&gt;"!!!"),"NEW","")))</f>
        <v> </v>
      </c>
      <c r="G4162" s="24" t="str">
        <f>IF(OR(E4162="",E4162="!!!"),"",IF(OR(J4162=0,AND(J4162=1,K4162=1),AND(J4162=1,I4162="SBJ"),AND(J4162=1,I4162=0)),"?IN_FOCUS",IF(J4162&lt;=2,"?ACTIVATED",IF(J4162&lt;&gt;"","?FAMILIAR",IF(F4162="NEW",IF(ISNA(VLOOKUP(E4162,#REF!,1,FALSE())),"?TYPE_IDENTIFIABLE","?REFERENTIAL"),"_")))))</f>
        <v> </v>
      </c>
      <c r="H4162" s="25" t="str">
        <f>IF(J4162&lt;&gt;1,"",IF(I4162="SBJ","CB","?"))</f>
        <v> </v>
      </c>
      <c r="I4162" s="26" t="str">
        <f>IF(OR(E4162="",E4162="!!!",F4162="NEW"),"",INDEX(B4161:B$2,-1+SUMPRODUCT(MAX(ROW(E4161:E$2)*(E4162=E4161:E$2)))))</f>
        <v> </v>
      </c>
      <c r="J4162" s="26" t="str">
        <f>IF(OR(E4162="",E4162="!!!",F4162="NEW"),"",COUNTBLANK(OFFSET(A$1,,,SUMPRODUCT(MAX(ROW(E$2:E4162)*(E4162=E$2:E4162)))))-COUNTBLANK(OFFSET(A$1,,,SUMPRODUCT(MAX(ROW(E$1:E4161)*(E2=E$1:E4161))))))</f>
        <v> </v>
      </c>
      <c r="K4162" s="26" t="str">
        <f>IF(OR(E4162="",E4162="!!!",F4162="NEW"),"",INDEX(J$1:J4161,SUMPRODUCT(MAX(ROW(E$1:E4161)*(E4162=E$1:E4161)))))</f>
        <v> </v>
      </c>
      <c r="L4162" s="27"/>
    </row>
    <row r="4163" spans="1:12">
      <c r="A4163" s="20"/>
    </row>
    <row r="4164" spans="1:12">
      <c r="A4164" s="20" t="s">
        <v>2622</v>
      </c>
    </row>
    <row r="4165" spans="1:12">
      <c r="A4165" s="20" t="s">
        <v>1453</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t="s">
        <v>1620</v>
      </c>
      <c r="E4166" s="22">
        <f>IF(D4166="?OLD","!!!","")</f>
        <v/>
      </c>
      <c r="F4166" s="23" t="str">
        <f>IF(OR(E4166="",E4166="!!!"),"",IF(NOT(ISNA(VLOOKUP(E4166,E$1:E4165,1,FALSE()))),"OLD",IF(AND(E4166&lt;&gt;"",E4166&lt;&gt;"!!!"),"NEW","")))</f>
        <v> </v>
      </c>
      <c r="G4166" s="24" t="str">
        <f>IF(OR(E4166="",E4166="!!!"),"",IF(OR(J4166=0,AND(J4166=1,K4166=1),AND(J4166=1,I4166="SBJ"),AND(J4166=1,I4166=0)),"?IN_FOCUS",IF(J4166&lt;=2,"?ACTIVATED",IF(J4166&lt;&gt;"","?FAMILIAR",IF(F4166="NEW",IF(ISNA(VLOOKUP(E4166,#REF!,1,FALSE())),"?TYPE_IDENTIFIABLE","?REFERENTIAL"),"_")))))</f>
        <v> </v>
      </c>
      <c r="H4166" s="25" t="str">
        <f>IF(J4166&lt;&gt;1,"",IF(I4166="SBJ","CB","?"))</f>
        <v> </v>
      </c>
      <c r="I4166" s="26" t="str">
        <f>IF(OR(E4166="",E4166="!!!",F4166="NEW"),"",INDEX(B4165:B$2,-1+SUMPRODUCT(MAX(ROW(E4165:E$2)*(E4166=E4165:E$2)))))</f>
        <v> </v>
      </c>
      <c r="J4166" s="26" t="str">
        <f>IF(OR(E4166="",E4166="!!!",F4166="NEW"),"",COUNTBLANK(OFFSET(A$1,,,SUMPRODUCT(MAX(ROW(E$2:E4166)*(E4166=E$2:E4166)))))-COUNTBLANK(OFFSET(A$1,,,SUMPRODUCT(MAX(ROW(E$1:E4165)*(E2=E$1:E4165))))))</f>
        <v> </v>
      </c>
      <c r="K4166" s="26" t="str">
        <f>IF(OR(E4166="",E4166="!!!",F4166="NEW"),"",INDEX(J$1:J4165,SUMPRODUCT(MAX(ROW(E$1:E4165)*(E4166=E$1:E4165)))))</f>
        <v> </v>
      </c>
      <c r="L4166" s="27"/>
    </row>
    <row r="4167" spans="1:12">
      <c r="A4167" s="20" t="s">
        <v>1233</v>
      </c>
      <c r="B4167" s="21" t="s">
        <v>1215</v>
      </c>
      <c r="C4167" s="21" t="s">
        <v>1234</v>
      </c>
      <c r="D4167" s="21" t="s">
        <v>1217</v>
      </c>
      <c r="E4167" s="22">
        <f>IF(D4167="?OLD","!!!","")</f>
        <v/>
      </c>
      <c r="F4167" s="23" t="str">
        <f>IF(OR(E4167="",E4167="!!!"),"",IF(NOT(ISNA(VLOOKUP(E4167,E$1:E4166,1,FALSE()))),"OLD",IF(AND(E4167&lt;&gt;"",E4167&lt;&gt;"!!!"),"NEW","")))</f>
        <v> </v>
      </c>
      <c r="G4167" s="24" t="str">
        <f>IF(OR(E4167="",E4167="!!!"),"",IF(OR(J4167=0,AND(J4167=1,K4167=1),AND(J4167=1,I4167="SBJ"),AND(J4167=1,I4167=0)),"?IN_FOCUS",IF(J4167&lt;=2,"?ACTIVATED",IF(J4167&lt;&gt;"","?FAMILIAR",IF(F4167="NEW",IF(ISNA(VLOOKUP(E4167,#REF!,1,FALSE())),"?TYPE_IDENTIFIABLE","?REFERENTIAL"),"_")))))</f>
        <v> </v>
      </c>
      <c r="H4167" s="25" t="str">
        <f>IF(J4167&lt;&gt;1,"",IF(I4167="SBJ","CB","?"))</f>
        <v> </v>
      </c>
      <c r="I4167" s="26" t="str">
        <f>IF(OR(E4167="",E4167="!!!",F4167="NEW"),"",INDEX(B4166:B$2,-1+SUMPRODUCT(MAX(ROW(E4166:E$2)*(E4167=E4166:E$2)))))</f>
        <v> </v>
      </c>
      <c r="J4167" s="26" t="str">
        <f>IF(OR(E4167="",E4167="!!!",F4167="NEW"),"",COUNTBLANK(OFFSET(A$1,,,SUMPRODUCT(MAX(ROW(E$2:E4167)*(E4167=E$2:E4167)))))-COUNTBLANK(OFFSET(A$1,,,SUMPRODUCT(MAX(ROW(E$1:E4166)*(E2=E$1:E4166))))))</f>
        <v> </v>
      </c>
      <c r="K4167" s="26" t="str">
        <f>IF(OR(E4167="",E4167="!!!",F4167="NEW"),"",INDEX(J$1:J4166,SUMPRODUCT(MAX(ROW(E$1:E4166)*(E4167=E$1:E4166)))))</f>
        <v> </v>
      </c>
      <c r="L4167" s="27"/>
    </row>
    <row r="4168" spans="1:12">
      <c r="A4168" s="20" t="s">
        <v>1301</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t="s">
        <v>1530</v>
      </c>
      <c r="E4169" s="22">
        <f>IF(D4169="?OLD","!!!","")</f>
        <v/>
      </c>
      <c r="F4169" s="23" t="str">
        <f>IF(OR(E4169="",E4169="!!!"),"",IF(NOT(ISNA(VLOOKUP(E4169,E$1:E4168,1,FALSE()))),"OLD",IF(AND(E4169&lt;&gt;"",E4169&lt;&gt;"!!!"),"NEW","")))</f>
        <v> </v>
      </c>
      <c r="G4169" s="24" t="str">
        <f>IF(OR(E4169="",E4169="!!!"),"",IF(OR(J4169=0,AND(J4169=1,K4169=1),AND(J4169=1,I4169="SBJ"),AND(J4169=1,I4169=0)),"?IN_FOCUS",IF(J4169&lt;=2,"?ACTIVATED",IF(J4169&lt;&gt;"","?FAMILIAR",IF(F4169="NEW",IF(ISNA(VLOOKUP(E4169,#REF!,1,FALSE())),"?TYPE_IDENTIFIABLE","?REFERENTIAL"),"_")))))</f>
        <v> </v>
      </c>
      <c r="H4169" s="25" t="str">
        <f>IF(J4169&lt;&gt;1,"",IF(I4169="SBJ","CB","?"))</f>
        <v> </v>
      </c>
      <c r="I4169" s="26" t="str">
        <f>IF(OR(E4169="",E4169="!!!",F4169="NEW"),"",INDEX(B4168:B$2,-1+SUMPRODUCT(MAX(ROW(E4168:E$2)*(E4169=E4168:E$2)))))</f>
        <v> </v>
      </c>
      <c r="J4169" s="26" t="str">
        <f>IF(OR(E4169="",E4169="!!!",F4169="NEW"),"",COUNTBLANK(OFFSET(A$1,,,SUMPRODUCT(MAX(ROW(E$2:E4169)*(E4169=E$2:E4169)))))-COUNTBLANK(OFFSET(A$1,,,SUMPRODUCT(MAX(ROW(E$1:E4168)*(E2=E$1:E4168))))))</f>
        <v> </v>
      </c>
      <c r="K4169" s="26" t="str">
        <f>IF(OR(E4169="",E4169="!!!",F4169="NEW"),"",INDEX(J$1:J4168,SUMPRODUCT(MAX(ROW(E$1:E4168)*(E4169=E$1:E4168)))))</f>
        <v> </v>
      </c>
      <c r="L4169" s="27"/>
    </row>
    <row r="4170" spans="1:12">
      <c r="A4170" s="20" t="s">
        <v>1350</v>
      </c>
      <c r="B4170" s="21" t="s">
        <v>1244</v>
      </c>
      <c r="C4170" s="21" t="s">
        <v>1216</v>
      </c>
      <c r="D4170" s="21" t="s">
        <v>1217</v>
      </c>
      <c r="E4170" s="22">
        <f>IF(D4170="?OLD","!!!","")</f>
        <v/>
      </c>
      <c r="F4170" s="23" t="str">
        <f>IF(OR(E4170="",E4170="!!!"),"",IF(NOT(ISNA(VLOOKUP(E4170,E$1:E4169,1,FALSE()))),"OLD",IF(AND(E4170&lt;&gt;"",E4170&lt;&gt;"!!!"),"NEW","")))</f>
        <v> </v>
      </c>
      <c r="G4170" s="24" t="str">
        <f>IF(OR(E4170="",E4170="!!!"),"",IF(OR(J4170=0,AND(J4170=1,K4170=1),AND(J4170=1,I4170="SBJ"),AND(J4170=1,I4170=0)),"?IN_FOCUS",IF(J4170&lt;=2,"?ACTIVATED",IF(J4170&lt;&gt;"","?FAMILIAR",IF(F4170="NEW",IF(ISNA(VLOOKUP(E4170,#REF!,1,FALSE())),"?TYPE_IDENTIFIABLE","?REFERENTIAL"),"_")))))</f>
        <v> </v>
      </c>
      <c r="H4170" s="25" t="str">
        <f>IF(J4170&lt;&gt;1,"",IF(I4170="SBJ","CB","?"))</f>
        <v> </v>
      </c>
      <c r="I4170" s="26" t="str">
        <f>IF(OR(E4170="",E4170="!!!",F4170="NEW"),"",INDEX(B4169:B$2,-1+SUMPRODUCT(MAX(ROW(E4169:E$2)*(E4170=E4169:E$2)))))</f>
        <v> </v>
      </c>
      <c r="J4170" s="26" t="str">
        <f>IF(OR(E4170="",E4170="!!!",F4170="NEW"),"",COUNTBLANK(OFFSET(A$1,,,SUMPRODUCT(MAX(ROW(E$2:E4170)*(E4170=E$2:E4170)))))-COUNTBLANK(OFFSET(A$1,,,SUMPRODUCT(MAX(ROW(E$1:E4169)*(E2=E$1:E4169))))))</f>
        <v> </v>
      </c>
      <c r="K4170" s="26" t="str">
        <f>IF(OR(E4170="",E4170="!!!",F4170="NEW"),"",INDEX(J$1:J4169,SUMPRODUCT(MAX(ROW(E$1:E4169)*(E4170=E$1:E4169)))))</f>
        <v> </v>
      </c>
      <c r="L4170" s="27"/>
    </row>
    <row r="4171" spans="1:12">
      <c r="A4171" s="20" t="s">
        <v>1611</v>
      </c>
      <c r="E4171" s="22">
        <f>IF(D4171="?OLD","!!!","")</f>
        <v/>
      </c>
      <c r="F4171" s="23" t="str">
        <f>IF(OR(E4171="",E4171="!!!"),"",IF(NOT(ISNA(VLOOKUP(E4171,E$1:E4170,1,FALSE()))),"OLD",IF(AND(E4171&lt;&gt;"",E4171&lt;&gt;"!!!"),"NEW","")))</f>
        <v> </v>
      </c>
      <c r="G4171" s="24" t="str">
        <f>IF(OR(E4171="",E4171="!!!"),"",IF(OR(J4171=0,AND(J4171=1,K4171=1),AND(J4171=1,I4171="SBJ"),AND(J4171=1,I4171=0)),"?IN_FOCUS",IF(J4171&lt;=2,"?ACTIVATED",IF(J4171&lt;&gt;"","?FAMILIAR",IF(F4171="NEW",IF(ISNA(VLOOKUP(E4171,#REF!,1,FALSE())),"?TYPE_IDENTIFIABLE","?REFERENTIAL"),"_")))))</f>
        <v> </v>
      </c>
      <c r="H4171" s="25" t="str">
        <f>IF(J4171&lt;&gt;1,"",IF(I4171="SBJ","CB","?"))</f>
        <v> </v>
      </c>
      <c r="I4171" s="26" t="str">
        <f>IF(OR(E4171="",E4171="!!!",F4171="NEW"),"",INDEX(B4170:B$2,-1+SUMPRODUCT(MAX(ROW(E4170:E$2)*(E4171=E4170:E$2)))))</f>
        <v> </v>
      </c>
      <c r="J4171" s="26" t="str">
        <f>IF(OR(E4171="",E4171="!!!",F4171="NEW"),"",COUNTBLANK(OFFSET(A$1,,,SUMPRODUCT(MAX(ROW(E$2:E4171)*(E4171=E$2:E4171)))))-COUNTBLANK(OFFSET(A$1,,,SUMPRODUCT(MAX(ROW(E$1:E4170)*(E2=E$1:E4170))))))</f>
        <v> </v>
      </c>
      <c r="K4171" s="26" t="str">
        <f>IF(OR(E4171="",E4171="!!!",F4171="NEW"),"",INDEX(J$1:J4170,SUMPRODUCT(MAX(ROW(E$1:E4170)*(E4171=E$1:E4170)))))</f>
        <v> </v>
      </c>
      <c r="L4171" s="27"/>
    </row>
    <row r="4172" spans="1:12">
      <c r="A4172" s="20" t="s">
        <v>1350</v>
      </c>
      <c r="B4172" s="21" t="s">
        <v>1244</v>
      </c>
      <c r="C4172" s="21" t="s">
        <v>1216</v>
      </c>
      <c r="D4172" s="21" t="s">
        <v>1217</v>
      </c>
      <c r="E4172" s="22">
        <f>IF(D4172="?OLD","!!!","")</f>
        <v/>
      </c>
      <c r="F4172" s="23" t="str">
        <f>IF(OR(E4172="",E4172="!!!"),"",IF(NOT(ISNA(VLOOKUP(E4172,E$1:E4171,1,FALSE()))),"OLD",IF(AND(E4172&lt;&gt;"",E4172&lt;&gt;"!!!"),"NEW","")))</f>
        <v> </v>
      </c>
      <c r="G4172" s="24" t="str">
        <f>IF(OR(E4172="",E4172="!!!"),"",IF(OR(J4172=0,AND(J4172=1,K4172=1),AND(J4172=1,I4172="SBJ"),AND(J4172=1,I4172=0)),"?IN_FOCUS",IF(J4172&lt;=2,"?ACTIVATED",IF(J4172&lt;&gt;"","?FAMILIAR",IF(F4172="NEW",IF(ISNA(VLOOKUP(E4172,#REF!,1,FALSE())),"?TYPE_IDENTIFIABLE","?REFERENTIAL"),"_")))))</f>
        <v> </v>
      </c>
      <c r="H4172" s="25" t="str">
        <f>IF(J4172&lt;&gt;1,"",IF(I4172="SBJ","CB","?"))</f>
        <v> </v>
      </c>
      <c r="I4172" s="26" t="str">
        <f>IF(OR(E4172="",E4172="!!!",F4172="NEW"),"",INDEX(B4171:B$2,-1+SUMPRODUCT(MAX(ROW(E4171:E$2)*(E4172=E4171:E$2)))))</f>
        <v> </v>
      </c>
      <c r="J4172" s="26" t="str">
        <f>IF(OR(E4172="",E4172="!!!",F4172="NEW"),"",COUNTBLANK(OFFSET(A$1,,,SUMPRODUCT(MAX(ROW(E$2:E4172)*(E4172=E$2:E4172)))))-COUNTBLANK(OFFSET(A$1,,,SUMPRODUCT(MAX(ROW(E$1:E4171)*(E2=E$1:E4171))))))</f>
        <v> </v>
      </c>
      <c r="K4172" s="26" t="str">
        <f>IF(OR(E4172="",E4172="!!!",F4172="NEW"),"",INDEX(J$1:J4171,SUMPRODUCT(MAX(ROW(E$1:E4171)*(E4172=E$1:E4171)))))</f>
        <v> </v>
      </c>
      <c r="L4172" s="27"/>
    </row>
    <row r="4173" spans="1:12">
      <c r="A4173" s="20" t="s">
        <v>1503</v>
      </c>
      <c r="E4173" s="22">
        <f>IF(D4173="?OLD","!!!","")</f>
        <v/>
      </c>
      <c r="F4173" s="23" t="str">
        <f>IF(OR(E4173="",E4173="!!!"),"",IF(NOT(ISNA(VLOOKUP(E4173,E$1:E4172,1,FALSE()))),"OLD",IF(AND(E4173&lt;&gt;"",E4173&lt;&gt;"!!!"),"NEW","")))</f>
        <v> </v>
      </c>
      <c r="G4173" s="24" t="str">
        <f>IF(OR(E4173="",E4173="!!!"),"",IF(OR(J4173=0,AND(J4173=1,K4173=1),AND(J4173=1,I4173="SBJ"),AND(J4173=1,I4173=0)),"?IN_FOCUS",IF(J4173&lt;=2,"?ACTIVATED",IF(J4173&lt;&gt;"","?FAMILIAR",IF(F4173="NEW",IF(ISNA(VLOOKUP(E4173,#REF!,1,FALSE())),"?TYPE_IDENTIFIABLE","?REFERENTIAL"),"_")))))</f>
        <v> </v>
      </c>
      <c r="H4173" s="25" t="str">
        <f>IF(J4173&lt;&gt;1,"",IF(I4173="SBJ","CB","?"))</f>
        <v> </v>
      </c>
      <c r="I4173" s="26" t="str">
        <f>IF(OR(E4173="",E4173="!!!",F4173="NEW"),"",INDEX(B4172:B$2,-1+SUMPRODUCT(MAX(ROW(E4172:E$2)*(E4173=E4172:E$2)))))</f>
        <v> </v>
      </c>
      <c r="J4173" s="26" t="str">
        <f>IF(OR(E4173="",E4173="!!!",F4173="NEW"),"",COUNTBLANK(OFFSET(A$1,,,SUMPRODUCT(MAX(ROW(E$2:E4173)*(E4173=E$2:E4173)))))-COUNTBLANK(OFFSET(A$1,,,SUMPRODUCT(MAX(ROW(E$1:E4172)*(E2=E$1:E4172))))))</f>
        <v> </v>
      </c>
      <c r="K4173" s="26" t="str">
        <f>IF(OR(E4173="",E4173="!!!",F4173="NEW"),"",INDEX(J$1:J4172,SUMPRODUCT(MAX(ROW(E$1:E4172)*(E4173=E$1:E4172)))))</f>
        <v> </v>
      </c>
      <c r="L4173" s="27"/>
    </row>
    <row r="4174" spans="1:12">
      <c r="A4174" s="20"/>
    </row>
    <row r="4175" spans="1:12">
      <c r="A4175" s="20" t="s">
        <v>2623</v>
      </c>
    </row>
    <row r="4176" spans="1:12">
      <c r="A4176" s="20" t="s">
        <v>1493</v>
      </c>
      <c r="E4176" s="22">
        <f>IF(D4176="?OLD","!!!","")</f>
        <v/>
      </c>
      <c r="F4176" s="23" t="str">
        <f>IF(OR(E4176="",E4176="!!!"),"",IF(NOT(ISNA(VLOOKUP(E4176,E$1:E4175,1,FALSE()))),"OLD",IF(AND(E4176&lt;&gt;"",E4176&lt;&gt;"!!!"),"NEW","")))</f>
        <v> </v>
      </c>
      <c r="G4176" s="24" t="str">
        <f>IF(OR(E4176="",E4176="!!!"),"",IF(OR(J4176=0,AND(J4176=1,K4176=1),AND(J4176=1,I4176="SBJ"),AND(J4176=1,I4176=0)),"?IN_FOCUS",IF(J4176&lt;=2,"?ACTIVATED",IF(J4176&lt;&gt;"","?FAMILIAR",IF(F4176="NEW",IF(ISNA(VLOOKUP(E4176,#REF!,1,FALSE())),"?TYPE_IDENTIFIABLE","?REFERENTIAL"),"_")))))</f>
        <v> </v>
      </c>
      <c r="H4176" s="25" t="str">
        <f>IF(J4176&lt;&gt;1,"",IF(I4176="SBJ","CB","?"))</f>
        <v> </v>
      </c>
      <c r="I4176" s="26" t="str">
        <f>IF(OR(E4176="",E4176="!!!",F4176="NEW"),"",INDEX(B4175:B$2,-1+SUMPRODUCT(MAX(ROW(E4175:E$2)*(E4176=E4175:E$2)))))</f>
        <v> </v>
      </c>
      <c r="J4176" s="26" t="str">
        <f>IF(OR(E4176="",E4176="!!!",F4176="NEW"),"",COUNTBLANK(OFFSET(A$1,,,SUMPRODUCT(MAX(ROW(E$2:E4176)*(E4176=E$2:E4176)))))-COUNTBLANK(OFFSET(A$1,,,SUMPRODUCT(MAX(ROW(E$1:E4175)*(E2=E$1:E4175))))))</f>
        <v> </v>
      </c>
      <c r="K4176" s="26" t="str">
        <f>IF(OR(E4176="",E4176="!!!",F4176="NEW"),"",INDEX(J$1:J4175,SUMPRODUCT(MAX(ROW(E$1:E4175)*(E4176=E$1:E4175)))))</f>
        <v> </v>
      </c>
      <c r="L4176" s="27"/>
    </row>
    <row r="4177" spans="1:12">
      <c r="A4177" s="20" t="s">
        <v>1765</v>
      </c>
      <c r="B4177" s="21" t="s">
        <v>1215</v>
      </c>
      <c r="C4177" s="21" t="s">
        <v>1255</v>
      </c>
      <c r="D4177" s="21" t="s">
        <v>1217</v>
      </c>
      <c r="E4177" s="22">
        <f>IF(D4177="?OLD","!!!","")</f>
        <v/>
      </c>
      <c r="F4177" s="23" t="str">
        <f>IF(OR(E4177="",E4177="!!!"),"",IF(NOT(ISNA(VLOOKUP(E4177,E$1:E4176,1,FALSE()))),"OLD",IF(AND(E4177&lt;&gt;"",E4177&lt;&gt;"!!!"),"NEW","")))</f>
        <v> </v>
      </c>
      <c r="G4177" s="24" t="str">
        <f>IF(OR(E4177="",E4177="!!!"),"",IF(OR(J4177=0,AND(J4177=1,K4177=1),AND(J4177=1,I4177="SBJ"),AND(J4177=1,I4177=0)),"?IN_FOCUS",IF(J4177&lt;=2,"?ACTIVATED",IF(J4177&lt;&gt;"","?FAMILIAR",IF(F4177="NEW",IF(ISNA(VLOOKUP(E4177,#REF!,1,FALSE())),"?TYPE_IDENTIFIABLE","?REFERENTIAL"),"_")))))</f>
        <v> </v>
      </c>
      <c r="H4177" s="25" t="str">
        <f>IF(J4177&lt;&gt;1,"",IF(I4177="SBJ","CB","?"))</f>
        <v> </v>
      </c>
      <c r="I4177" s="26" t="str">
        <f>IF(OR(E4177="",E4177="!!!",F4177="NEW"),"",INDEX(B4176:B$2,-1+SUMPRODUCT(MAX(ROW(E4176:E$2)*(E4177=E4176:E$2)))))</f>
        <v> </v>
      </c>
      <c r="J4177" s="26" t="str">
        <f>IF(OR(E4177="",E4177="!!!",F4177="NEW"),"",COUNTBLANK(OFFSET(A$1,,,SUMPRODUCT(MAX(ROW(E$2:E4177)*(E4177=E$2:E4177)))))-COUNTBLANK(OFFSET(A$1,,,SUMPRODUCT(MAX(ROW(E$1:E4176)*(E2=E$1:E4176))))))</f>
        <v> </v>
      </c>
      <c r="K4177" s="26" t="str">
        <f>IF(OR(E4177="",E4177="!!!",F4177="NEW"),"",INDEX(J$1:J4176,SUMPRODUCT(MAX(ROW(E$1:E4176)*(E4177=E$1:E4176)))))</f>
        <v> </v>
      </c>
      <c r="L4177" s="27"/>
    </row>
    <row r="4178" spans="1:12">
      <c r="A4178" s="20" t="s">
        <v>1277</v>
      </c>
      <c r="E4178" s="22">
        <f>IF(D4178="?OLD","!!!","")</f>
        <v/>
      </c>
      <c r="F4178" s="23" t="str">
        <f>IF(OR(E4178="",E4178="!!!"),"",IF(NOT(ISNA(VLOOKUP(E4178,E$1:E4177,1,FALSE()))),"OLD",IF(AND(E4178&lt;&gt;"",E4178&lt;&gt;"!!!"),"NEW","")))</f>
        <v> </v>
      </c>
      <c r="G4178" s="24" t="str">
        <f>IF(OR(E4178="",E4178="!!!"),"",IF(OR(J4178=0,AND(J4178=1,K4178=1),AND(J4178=1,I4178="SBJ"),AND(J4178=1,I4178=0)),"?IN_FOCUS",IF(J4178&lt;=2,"?ACTIVATED",IF(J4178&lt;&gt;"","?FAMILIAR",IF(F4178="NEW",IF(ISNA(VLOOKUP(E4178,#REF!,1,FALSE())),"?TYPE_IDENTIFIABLE","?REFERENTIAL"),"_")))))</f>
        <v> </v>
      </c>
      <c r="H4178" s="25" t="str">
        <f>IF(J4178&lt;&gt;1,"",IF(I4178="SBJ","CB","?"))</f>
        <v> </v>
      </c>
      <c r="I4178" s="26" t="str">
        <f>IF(OR(E4178="",E4178="!!!",F4178="NEW"),"",INDEX(B4177:B$2,-1+SUMPRODUCT(MAX(ROW(E4177:E$2)*(E4178=E4177:E$2)))))</f>
        <v> </v>
      </c>
      <c r="J4178" s="26" t="str">
        <f>IF(OR(E4178="",E4178="!!!",F4178="NEW"),"",COUNTBLANK(OFFSET(A$1,,,SUMPRODUCT(MAX(ROW(E$2:E4178)*(E4178=E$2:E4178)))))-COUNTBLANK(OFFSET(A$1,,,SUMPRODUCT(MAX(ROW(E$1:E4177)*(E2=E$1:E4177))))))</f>
        <v> </v>
      </c>
      <c r="K4178" s="26" t="str">
        <f>IF(OR(E4178="",E4178="!!!",F4178="NEW"),"",INDEX(J$1:J4177,SUMPRODUCT(MAX(ROW(E$1:E4177)*(E4178=E$1:E4177)))))</f>
        <v> </v>
      </c>
      <c r="L4178" s="27"/>
    </row>
    <row r="4179" spans="1:12">
      <c r="A4179" s="20" t="s">
        <v>1526</v>
      </c>
      <c r="E4179" s="22">
        <f>IF(D4179="?OLD","!!!","")</f>
        <v/>
      </c>
      <c r="F4179" s="23" t="str">
        <f>IF(OR(E4179="",E4179="!!!"),"",IF(NOT(ISNA(VLOOKUP(E4179,E$1:E4178,1,FALSE()))),"OLD",IF(AND(E4179&lt;&gt;"",E4179&lt;&gt;"!!!"),"NEW","")))</f>
        <v> </v>
      </c>
      <c r="G4179" s="24" t="str">
        <f>IF(OR(E4179="",E4179="!!!"),"",IF(OR(J4179=0,AND(J4179=1,K4179=1),AND(J4179=1,I4179="SBJ"),AND(J4179=1,I4179=0)),"?IN_FOCUS",IF(J4179&lt;=2,"?ACTIVATED",IF(J4179&lt;&gt;"","?FAMILIAR",IF(F4179="NEW",IF(ISNA(VLOOKUP(E4179,#REF!,1,FALSE())),"?TYPE_IDENTIFIABLE","?REFERENTIAL"),"_")))))</f>
        <v> </v>
      </c>
      <c r="H4179" s="25" t="str">
        <f>IF(J4179&lt;&gt;1,"",IF(I4179="SBJ","CB","?"))</f>
        <v> </v>
      </c>
      <c r="I4179" s="26" t="str">
        <f>IF(OR(E4179="",E4179="!!!",F4179="NEW"),"",INDEX(B4178:B$2,-1+SUMPRODUCT(MAX(ROW(E4178:E$2)*(E4179=E4178:E$2)))))</f>
        <v> </v>
      </c>
      <c r="J4179" s="26" t="str">
        <f>IF(OR(E4179="",E4179="!!!",F4179="NEW"),"",COUNTBLANK(OFFSET(A$1,,,SUMPRODUCT(MAX(ROW(E$2:E4179)*(E4179=E$2:E4179)))))-COUNTBLANK(OFFSET(A$1,,,SUMPRODUCT(MAX(ROW(E$1:E4178)*(E2=E$1:E4178))))))</f>
        <v> </v>
      </c>
      <c r="K4179" s="26" t="str">
        <f>IF(OR(E4179="",E4179="!!!",F4179="NEW"),"",INDEX(J$1:J4178,SUMPRODUCT(MAX(ROW(E$1:E4178)*(E4179=E$1:E4178)))))</f>
        <v> </v>
      </c>
      <c r="L4179" s="27"/>
    </row>
    <row r="4180" spans="1:12">
      <c r="A4180" s="20" t="s">
        <v>1471</v>
      </c>
      <c r="E4180" s="22">
        <f>IF(D4180="?OLD","!!!","")</f>
        <v/>
      </c>
      <c r="F4180" s="23" t="str">
        <f>IF(OR(E4180="",E4180="!!!"),"",IF(NOT(ISNA(VLOOKUP(E4180,E$1:E4179,1,FALSE()))),"OLD",IF(AND(E4180&lt;&gt;"",E4180&lt;&gt;"!!!"),"NEW","")))</f>
        <v> </v>
      </c>
      <c r="G4180" s="24" t="str">
        <f>IF(OR(E4180="",E4180="!!!"),"",IF(OR(J4180=0,AND(J4180=1,K4180=1),AND(J4180=1,I4180="SBJ"),AND(J4180=1,I4180=0)),"?IN_FOCUS",IF(J4180&lt;=2,"?ACTIVATED",IF(J4180&lt;&gt;"","?FAMILIAR",IF(F4180="NEW",IF(ISNA(VLOOKUP(E4180,#REF!,1,FALSE())),"?TYPE_IDENTIFIABLE","?REFERENTIAL"),"_")))))</f>
        <v> </v>
      </c>
      <c r="H4180" s="25" t="str">
        <f>IF(J4180&lt;&gt;1,"",IF(I4180="SBJ","CB","?"))</f>
        <v> </v>
      </c>
      <c r="I4180" s="26" t="str">
        <f>IF(OR(E4180="",E4180="!!!",F4180="NEW"),"",INDEX(B4179:B$2,-1+SUMPRODUCT(MAX(ROW(E4179:E$2)*(E4180=E4179:E$2)))))</f>
        <v> </v>
      </c>
      <c r="J4180" s="26" t="str">
        <f>IF(OR(E4180="",E4180="!!!",F4180="NEW"),"",COUNTBLANK(OFFSET(A$1,,,SUMPRODUCT(MAX(ROW(E$2:E4180)*(E4180=E$2:E4180)))))-COUNTBLANK(OFFSET(A$1,,,SUMPRODUCT(MAX(ROW(E$1:E4179)*(E2=E$1:E4179))))))</f>
        <v> </v>
      </c>
      <c r="K4180" s="26" t="str">
        <f>IF(OR(E4180="",E4180="!!!",F4180="NEW"),"",INDEX(J$1:J4179,SUMPRODUCT(MAX(ROW(E$1:E4179)*(E4180=E$1:E4179)))))</f>
        <v> </v>
      </c>
      <c r="L4180" s="27"/>
    </row>
    <row r="4181" spans="1:12">
      <c r="A4181" s="20" t="s">
        <v>1539</v>
      </c>
      <c r="B4181" s="21" t="s">
        <v>1244</v>
      </c>
      <c r="C4181" s="21" t="s">
        <v>1238</v>
      </c>
      <c r="E4181" s="22">
        <f>IF(D4181="?OLD","!!!","")</f>
        <v/>
      </c>
      <c r="F4181" s="23" t="str">
        <f>IF(OR(E4181="",E4181="!!!"),"",IF(NOT(ISNA(VLOOKUP(E4181,E$1:E4180,1,FALSE()))),"OLD",IF(AND(E4181&lt;&gt;"",E4181&lt;&gt;"!!!"),"NEW","")))</f>
        <v> </v>
      </c>
      <c r="G4181" s="24" t="str">
        <f>IF(OR(E4181="",E4181="!!!"),"",IF(OR(J4181=0,AND(J4181=1,K4181=1),AND(J4181=1,I4181="SBJ"),AND(J4181=1,I4181=0)),"?IN_FOCUS",IF(J4181&lt;=2,"?ACTIVATED",IF(J4181&lt;&gt;"","?FAMILIAR",IF(F4181="NEW",IF(ISNA(VLOOKUP(E4181,#REF!,1,FALSE())),"?TYPE_IDENTIFIABLE","?REFERENTIAL"),"_")))))</f>
        <v> </v>
      </c>
      <c r="H4181" s="25" t="str">
        <f>IF(J4181&lt;&gt;1,"",IF(I4181="SBJ","CB","?"))</f>
        <v> </v>
      </c>
      <c r="I4181" s="26" t="str">
        <f>IF(OR(E4181="",E4181="!!!",F4181="NEW"),"",INDEX(B4180:B$2,-1+SUMPRODUCT(MAX(ROW(E4180:E$2)*(E4181=E4180:E$2)))))</f>
        <v> </v>
      </c>
      <c r="J4181" s="26" t="str">
        <f>IF(OR(E4181="",E4181="!!!",F4181="NEW"),"",COUNTBLANK(OFFSET(A$1,,,SUMPRODUCT(MAX(ROW(E$2:E4181)*(E4181=E$2:E4181)))))-COUNTBLANK(OFFSET(A$1,,,SUMPRODUCT(MAX(ROW(E$1:E4180)*(E2=E$1:E4180))))))</f>
        <v> </v>
      </c>
      <c r="K4181" s="26" t="str">
        <f>IF(OR(E4181="",E4181="!!!",F4181="NEW"),"",INDEX(J$1:J4180,SUMPRODUCT(MAX(ROW(E$1:E4180)*(E4181=E$1:E4180)))))</f>
        <v> </v>
      </c>
      <c r="L4181" s="27"/>
    </row>
    <row r="4182" spans="1:12">
      <c r="A4182" s="20" t="s">
        <v>2624</v>
      </c>
      <c r="E4182" s="22">
        <f>IF(D4182="?OLD","!!!","")</f>
        <v/>
      </c>
      <c r="F4182" s="23" t="str">
        <f>IF(OR(E4182="",E4182="!!!"),"",IF(NOT(ISNA(VLOOKUP(E4182,E$1:E4181,1,FALSE()))),"OLD",IF(AND(E4182&lt;&gt;"",E4182&lt;&gt;"!!!"),"NEW","")))</f>
        <v> </v>
      </c>
      <c r="G4182" s="24" t="str">
        <f>IF(OR(E4182="",E4182="!!!"),"",IF(OR(J4182=0,AND(J4182=1,K4182=1),AND(J4182=1,I4182="SBJ"),AND(J4182=1,I4182=0)),"?IN_FOCUS",IF(J4182&lt;=2,"?ACTIVATED",IF(J4182&lt;&gt;"","?FAMILIAR",IF(F4182="NEW",IF(ISNA(VLOOKUP(E4182,#REF!,1,FALSE())),"?TYPE_IDENTIFIABLE","?REFERENTIAL"),"_")))))</f>
        <v> </v>
      </c>
      <c r="H4182" s="25" t="str">
        <f>IF(J4182&lt;&gt;1,"",IF(I4182="SBJ","CB","?"))</f>
        <v> </v>
      </c>
      <c r="I4182" s="26" t="str">
        <f>IF(OR(E4182="",E4182="!!!",F4182="NEW"),"",INDEX(B4181:B$2,-1+SUMPRODUCT(MAX(ROW(E4181:E$2)*(E4182=E4181:E$2)))))</f>
        <v> </v>
      </c>
      <c r="J4182" s="26" t="str">
        <f>IF(OR(E4182="",E4182="!!!",F4182="NEW"),"",COUNTBLANK(OFFSET(A$1,,,SUMPRODUCT(MAX(ROW(E$2:E4182)*(E4182=E$2:E4182)))))-COUNTBLANK(OFFSET(A$1,,,SUMPRODUCT(MAX(ROW(E$1:E4181)*(E2=E$1:E4181))))))</f>
        <v> </v>
      </c>
      <c r="K4182" s="26" t="str">
        <f>IF(OR(E4182="",E4182="!!!",F4182="NEW"),"",INDEX(J$1:J4181,SUMPRODUCT(MAX(ROW(E$1:E4181)*(E4182=E$1:E4181)))))</f>
        <v> </v>
      </c>
      <c r="L4182" s="27"/>
    </row>
    <row r="4183" spans="1:12">
      <c r="A4183" s="20" t="s">
        <v>1218</v>
      </c>
      <c r="E4183" s="22">
        <f>IF(D4183="?OLD","!!!","")</f>
        <v/>
      </c>
      <c r="F4183" s="23" t="str">
        <f>IF(OR(E4183="",E4183="!!!"),"",IF(NOT(ISNA(VLOOKUP(E4183,E$1:E4182,1,FALSE()))),"OLD",IF(AND(E4183&lt;&gt;"",E4183&lt;&gt;"!!!"),"NEW","")))</f>
        <v> </v>
      </c>
      <c r="G4183" s="24" t="str">
        <f>IF(OR(E4183="",E4183="!!!"),"",IF(OR(J4183=0,AND(J4183=1,K4183=1),AND(J4183=1,I4183="SBJ"),AND(J4183=1,I4183=0)),"?IN_FOCUS",IF(J4183&lt;=2,"?ACTIVATED",IF(J4183&lt;&gt;"","?FAMILIAR",IF(F4183="NEW",IF(ISNA(VLOOKUP(E4183,#REF!,1,FALSE())),"?TYPE_IDENTIFIABLE","?REFERENTIAL"),"_")))))</f>
        <v> </v>
      </c>
      <c r="H4183" s="25" t="str">
        <f>IF(J4183&lt;&gt;1,"",IF(I4183="SBJ","CB","?"))</f>
        <v> </v>
      </c>
      <c r="I4183" s="26" t="str">
        <f>IF(OR(E4183="",E4183="!!!",F4183="NEW"),"",INDEX(B4182:B$2,-1+SUMPRODUCT(MAX(ROW(E4182:E$2)*(E4183=E4182:E$2)))))</f>
        <v> </v>
      </c>
      <c r="J4183" s="26" t="str">
        <f>IF(OR(E4183="",E4183="!!!",F4183="NEW"),"",COUNTBLANK(OFFSET(A$1,,,SUMPRODUCT(MAX(ROW(E$2:E4183)*(E4183=E$2:E4183)))))-COUNTBLANK(OFFSET(A$1,,,SUMPRODUCT(MAX(ROW(E$1:E4182)*(E2=E$1:E4182))))))</f>
        <v> </v>
      </c>
      <c r="K4183" s="26" t="str">
        <f>IF(OR(E4183="",E4183="!!!",F4183="NEW"),"",INDEX(J$1:J4182,SUMPRODUCT(MAX(ROW(E$1:E4182)*(E4183=E$1:E4182)))))</f>
        <v> </v>
      </c>
      <c r="L4183" s="27"/>
    </row>
    <row r="4184" spans="1:12">
      <c r="A4184" s="20" t="s">
        <v>2625</v>
      </c>
      <c r="B4184" s="21" t="s">
        <v>1224</v>
      </c>
      <c r="C4184" s="21" t="s">
        <v>1279</v>
      </c>
      <c r="E4184" s="22">
        <f>IF(D4184="?OLD","!!!","")</f>
        <v/>
      </c>
      <c r="F4184" s="23" t="str">
        <f>IF(OR(E4184="",E4184="!!!"),"",IF(NOT(ISNA(VLOOKUP(E4184,E$1:E4183,1,FALSE()))),"OLD",IF(AND(E4184&lt;&gt;"",E4184&lt;&gt;"!!!"),"NEW","")))</f>
        <v> </v>
      </c>
      <c r="G4184" s="24" t="str">
        <f>IF(OR(E4184="",E4184="!!!"),"",IF(OR(J4184=0,AND(J4184=1,K4184=1),AND(J4184=1,I4184="SBJ"),AND(J4184=1,I4184=0)),"?IN_FOCUS",IF(J4184&lt;=2,"?ACTIVATED",IF(J4184&lt;&gt;"","?FAMILIAR",IF(F4184="NEW",IF(ISNA(VLOOKUP(E4184,#REF!,1,FALSE())),"?TYPE_IDENTIFIABLE","?REFERENTIAL"),"_")))))</f>
        <v> </v>
      </c>
      <c r="H4184" s="25" t="str">
        <f>IF(J4184&lt;&gt;1,"",IF(I4184="SBJ","CB","?"))</f>
        <v> </v>
      </c>
      <c r="I4184" s="26" t="str">
        <f>IF(OR(E4184="",E4184="!!!",F4184="NEW"),"",INDEX(B4183:B$2,-1+SUMPRODUCT(MAX(ROW(E4183:E$2)*(E4184=E4183:E$2)))))</f>
        <v> </v>
      </c>
      <c r="J4184" s="26" t="str">
        <f>IF(OR(E4184="",E4184="!!!",F4184="NEW"),"",COUNTBLANK(OFFSET(A$1,,,SUMPRODUCT(MAX(ROW(E$2:E4184)*(E4184=E$2:E4184)))))-COUNTBLANK(OFFSET(A$1,,,SUMPRODUCT(MAX(ROW(E$1:E4183)*(E2=E$1:E4183))))))</f>
        <v> </v>
      </c>
      <c r="K4184" s="26" t="str">
        <f>IF(OR(E4184="",E4184="!!!",F4184="NEW"),"",INDEX(J$1:J4183,SUMPRODUCT(MAX(ROW(E$1:E4183)*(E4184=E$1:E4183)))))</f>
        <v> </v>
      </c>
      <c r="L4184" s="27"/>
    </row>
    <row r="4185" spans="1:12">
      <c r="A4185" s="20" t="s">
        <v>1262</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row>
    <row r="4187" spans="1:12">
      <c r="A4187" s="20" t="s">
        <v>2626</v>
      </c>
    </row>
    <row r="4188" spans="1:12">
      <c r="A4188" s="20" t="s">
        <v>1529</v>
      </c>
      <c r="B4188" s="21" t="s">
        <v>1215</v>
      </c>
      <c r="C4188" s="21" t="s">
        <v>1234</v>
      </c>
      <c r="D4188" s="21" t="s">
        <v>1217</v>
      </c>
      <c r="E4188" s="22">
        <f>IF(D4188="?OLD","!!!","")</f>
        <v/>
      </c>
      <c r="F4188" s="23" t="str">
        <f>IF(OR(E4188="",E4188="!!!"),"",IF(NOT(ISNA(VLOOKUP(E4188,E$1:E4187,1,FALSE()))),"OLD",IF(AND(E4188&lt;&gt;"",E4188&lt;&gt;"!!!"),"NEW","")))</f>
        <v> </v>
      </c>
      <c r="G4188" s="24" t="str">
        <f>IF(OR(E4188="",E4188="!!!"),"",IF(OR(J4188=0,AND(J4188=1,K4188=1),AND(J4188=1,I4188="SBJ"),AND(J4188=1,I4188=0)),"?IN_FOCUS",IF(J4188&lt;=2,"?ACTIVATED",IF(J4188&lt;&gt;"","?FAMILIAR",IF(F4188="NEW",IF(ISNA(VLOOKUP(E4188,#REF!,1,FALSE())),"?TYPE_IDENTIFIABLE","?REFERENTIAL"),"_")))))</f>
        <v> </v>
      </c>
      <c r="H4188" s="25" t="str">
        <f>IF(J4188&lt;&gt;1,"",IF(I4188="SBJ","CB","?"))</f>
        <v> </v>
      </c>
      <c r="I4188" s="26" t="str">
        <f>IF(OR(E4188="",E4188="!!!",F4188="NEW"),"",INDEX(B4187:B$2,-1+SUMPRODUCT(MAX(ROW(E4187:E$2)*(E4188=E4187:E$2)))))</f>
        <v> </v>
      </c>
      <c r="J4188" s="26" t="str">
        <f>IF(OR(E4188="",E4188="!!!",F4188="NEW"),"",COUNTBLANK(OFFSET(A$1,,,SUMPRODUCT(MAX(ROW(E$2:E4188)*(E4188=E$2:E4188)))))-COUNTBLANK(OFFSET(A$1,,,SUMPRODUCT(MAX(ROW(E$1:E4187)*(E2=E$1:E4187))))))</f>
        <v> </v>
      </c>
      <c r="K4188" s="26" t="str">
        <f>IF(OR(E4188="",E4188="!!!",F4188="NEW"),"",INDEX(J$1:J4187,SUMPRODUCT(MAX(ROW(E$1:E4187)*(E4188=E$1:E4187)))))</f>
        <v> </v>
      </c>
      <c r="L4188" s="27"/>
    </row>
    <row r="4189" spans="1:12">
      <c r="A4189" s="20" t="s">
        <v>1530</v>
      </c>
      <c r="E4189" s="22">
        <f>IF(D4189="?OLD","!!!","")</f>
        <v/>
      </c>
      <c r="F4189" s="23" t="str">
        <f>IF(OR(E4189="",E4189="!!!"),"",IF(NOT(ISNA(VLOOKUP(E4189,E$1:E4188,1,FALSE()))),"OLD",IF(AND(E4189&lt;&gt;"",E4189&lt;&gt;"!!!"),"NEW","")))</f>
        <v> </v>
      </c>
      <c r="G4189" s="24" t="str">
        <f>IF(OR(E4189="",E4189="!!!"),"",IF(OR(J4189=0,AND(J4189=1,K4189=1),AND(J4189=1,I4189="SBJ"),AND(J4189=1,I4189=0)),"?IN_FOCUS",IF(J4189&lt;=2,"?ACTIVATED",IF(J4189&lt;&gt;"","?FAMILIAR",IF(F4189="NEW",IF(ISNA(VLOOKUP(E4189,#REF!,1,FALSE())),"?TYPE_IDENTIFIABLE","?REFERENTIAL"),"_")))))</f>
        <v> </v>
      </c>
      <c r="H4189" s="25" t="str">
        <f>IF(J4189&lt;&gt;1,"",IF(I4189="SBJ","CB","?"))</f>
        <v> </v>
      </c>
      <c r="I4189" s="26" t="str">
        <f>IF(OR(E4189="",E4189="!!!",F4189="NEW"),"",INDEX(B4188:B$2,-1+SUMPRODUCT(MAX(ROW(E4188:E$2)*(E4189=E4188:E$2)))))</f>
        <v> </v>
      </c>
      <c r="J4189" s="26" t="str">
        <f>IF(OR(E4189="",E4189="!!!",F4189="NEW"),"",COUNTBLANK(OFFSET(A$1,,,SUMPRODUCT(MAX(ROW(E$2:E4189)*(E4189=E$2:E4189)))))-COUNTBLANK(OFFSET(A$1,,,SUMPRODUCT(MAX(ROW(E$1:E4188)*(E2=E$1:E4188))))))</f>
        <v> </v>
      </c>
      <c r="K4189" s="26" t="str">
        <f>IF(OR(E4189="",E4189="!!!",F4189="NEW"),"",INDEX(J$1:J4188,SUMPRODUCT(MAX(ROW(E$1:E4188)*(E4189=E$1:E4188)))))</f>
        <v> </v>
      </c>
      <c r="L4189" s="27"/>
    </row>
    <row r="4190" spans="1:12">
      <c r="A4190" s="20" t="s">
        <v>1312</v>
      </c>
      <c r="B4190" s="21" t="s">
        <v>1244</v>
      </c>
      <c r="C4190" s="21" t="s">
        <v>1242</v>
      </c>
      <c r="D4190" s="21" t="s">
        <v>1217</v>
      </c>
      <c r="E4190" s="22">
        <f>IF(D4190="?OLD","!!!","")</f>
        <v/>
      </c>
      <c r="F4190" s="23" t="str">
        <f>IF(OR(E4190="",E4190="!!!"),"",IF(NOT(ISNA(VLOOKUP(E4190,E$1:E4189,1,FALSE()))),"OLD",IF(AND(E4190&lt;&gt;"",E4190&lt;&gt;"!!!"),"NEW","")))</f>
        <v> </v>
      </c>
      <c r="G4190" s="24" t="str">
        <f>IF(OR(E4190="",E4190="!!!"),"",IF(OR(J4190=0,AND(J4190=1,K4190=1),AND(J4190=1,I4190="SBJ"),AND(J4190=1,I4190=0)),"?IN_FOCUS",IF(J4190&lt;=2,"?ACTIVATED",IF(J4190&lt;&gt;"","?FAMILIAR",IF(F4190="NEW",IF(ISNA(VLOOKUP(E4190,#REF!,1,FALSE())),"?TYPE_IDENTIFIABLE","?REFERENTIAL"),"_")))))</f>
        <v> </v>
      </c>
      <c r="H4190" s="25" t="str">
        <f>IF(J4190&lt;&gt;1,"",IF(I4190="SBJ","CB","?"))</f>
        <v> </v>
      </c>
      <c r="I4190" s="26" t="str">
        <f>IF(OR(E4190="",E4190="!!!",F4190="NEW"),"",INDEX(B4189:B$2,-1+SUMPRODUCT(MAX(ROW(E4189:E$2)*(E4190=E4189:E$2)))))</f>
        <v> </v>
      </c>
      <c r="J4190" s="26" t="str">
        <f>IF(OR(E4190="",E4190="!!!",F4190="NEW"),"",COUNTBLANK(OFFSET(A$1,,,SUMPRODUCT(MAX(ROW(E$2:E4190)*(E4190=E$2:E4190)))))-COUNTBLANK(OFFSET(A$1,,,SUMPRODUCT(MAX(ROW(E$1:E4189)*(E2=E$1:E4189))))))</f>
        <v> </v>
      </c>
      <c r="K4190" s="26" t="str">
        <f>IF(OR(E4190="",E4190="!!!",F4190="NEW"),"",INDEX(J$1:J4189,SUMPRODUCT(MAX(ROW(E$1:E4189)*(E4190=E$1:E4189)))))</f>
        <v> </v>
      </c>
      <c r="L4190" s="27"/>
    </row>
    <row r="4191" spans="1:12">
      <c r="A4191" s="20" t="s">
        <v>2138</v>
      </c>
      <c r="B4191" s="21" t="s">
        <v>1244</v>
      </c>
      <c r="C4191" s="21" t="s">
        <v>1222</v>
      </c>
      <c r="D4191" s="21" t="s">
        <v>1217</v>
      </c>
      <c r="E4191" s="22">
        <f>IF(D4191="?OLD","!!!","")</f>
        <v/>
      </c>
      <c r="F4191" s="23" t="str">
        <f>IF(OR(E4191="",E4191="!!!"),"",IF(NOT(ISNA(VLOOKUP(E4191,E$1:E4190,1,FALSE()))),"OLD",IF(AND(E4191&lt;&gt;"",E4191&lt;&gt;"!!!"),"NEW","")))</f>
        <v> </v>
      </c>
      <c r="G4191" s="24" t="str">
        <f>IF(OR(E4191="",E4191="!!!"),"",IF(OR(J4191=0,AND(J4191=1,K4191=1),AND(J4191=1,I4191="SBJ"),AND(J4191=1,I4191=0)),"?IN_FOCUS",IF(J4191&lt;=2,"?ACTIVATED",IF(J4191&lt;&gt;"","?FAMILIAR",IF(F4191="NEW",IF(ISNA(VLOOKUP(E4191,#REF!,1,FALSE())),"?TYPE_IDENTIFIABLE","?REFERENTIAL"),"_")))))</f>
        <v> </v>
      </c>
      <c r="H4191" s="25" t="str">
        <f>IF(J4191&lt;&gt;1,"",IF(I4191="SBJ","CB","?"))</f>
        <v> </v>
      </c>
      <c r="I4191" s="26" t="str">
        <f>IF(OR(E4191="",E4191="!!!",F4191="NEW"),"",INDEX(B4190:B$2,-1+SUMPRODUCT(MAX(ROW(E4190:E$2)*(E4191=E4190:E$2)))))</f>
        <v> </v>
      </c>
      <c r="J4191" s="26" t="str">
        <f>IF(OR(E4191="",E4191="!!!",F4191="NEW"),"",COUNTBLANK(OFFSET(A$1,,,SUMPRODUCT(MAX(ROW(E$2:E4191)*(E4191=E$2:E4191)))))-COUNTBLANK(OFFSET(A$1,,,SUMPRODUCT(MAX(ROW(E$1:E4190)*(E2=E$1:E4190))))))</f>
        <v> </v>
      </c>
      <c r="K4191" s="26" t="str">
        <f>IF(OR(E4191="",E4191="!!!",F4191="NEW"),"",INDEX(J$1:J4190,SUMPRODUCT(MAX(ROW(E$1:E4190)*(E4191=E$1:E4190)))))</f>
        <v> </v>
      </c>
      <c r="L4191" s="27"/>
    </row>
    <row r="4192" spans="1:12">
      <c r="A4192" s="20" t="s">
        <v>1286</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1312</v>
      </c>
      <c r="B4193" s="21" t="s">
        <v>1221</v>
      </c>
      <c r="C4193" s="21" t="s">
        <v>1242</v>
      </c>
      <c r="D4193" s="21" t="s">
        <v>1217</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t="s">
        <v>2627</v>
      </c>
      <c r="B4194" s="21" t="s">
        <v>1244</v>
      </c>
      <c r="C4194" s="21" t="s">
        <v>1222</v>
      </c>
      <c r="D4194" s="21" t="s">
        <v>1217</v>
      </c>
      <c r="E4194" s="22">
        <f>IF(D4194="?OLD","!!!","")</f>
        <v/>
      </c>
      <c r="F4194" s="23" t="str">
        <f>IF(OR(E4194="",E4194="!!!"),"",IF(NOT(ISNA(VLOOKUP(E4194,E$1:E4193,1,FALSE()))),"OLD",IF(AND(E4194&lt;&gt;"",E4194&lt;&gt;"!!!"),"NEW","")))</f>
        <v> </v>
      </c>
      <c r="G4194" s="24" t="str">
        <f>IF(OR(E4194="",E4194="!!!"),"",IF(OR(J4194=0,AND(J4194=1,K4194=1),AND(J4194=1,I4194="SBJ"),AND(J4194=1,I4194=0)),"?IN_FOCUS",IF(J4194&lt;=2,"?ACTIVATED",IF(J4194&lt;&gt;"","?FAMILIAR",IF(F4194="NEW",IF(ISNA(VLOOKUP(E4194,#REF!,1,FALSE())),"?TYPE_IDENTIFIABLE","?REFERENTIAL"),"_")))))</f>
        <v> </v>
      </c>
      <c r="H4194" s="25" t="str">
        <f>IF(J4194&lt;&gt;1,"",IF(I4194="SBJ","CB","?"))</f>
        <v> </v>
      </c>
      <c r="I4194" s="26" t="str">
        <f>IF(OR(E4194="",E4194="!!!",F4194="NEW"),"",INDEX(B4193:B$2,-1+SUMPRODUCT(MAX(ROW(E4193:E$2)*(E4194=E4193:E$2)))))</f>
        <v> </v>
      </c>
      <c r="J4194" s="26" t="str">
        <f>IF(OR(E4194="",E4194="!!!",F4194="NEW"),"",COUNTBLANK(OFFSET(A$1,,,SUMPRODUCT(MAX(ROW(E$2:E4194)*(E4194=E$2:E4194)))))-COUNTBLANK(OFFSET(A$1,,,SUMPRODUCT(MAX(ROW(E$1:E4193)*(E2=E$1:E4193))))))</f>
        <v> </v>
      </c>
      <c r="K4194" s="26" t="str">
        <f>IF(OR(E4194="",E4194="!!!",F4194="NEW"),"",INDEX(J$1:J4193,SUMPRODUCT(MAX(ROW(E$1:E4193)*(E4194=E$1:E4193)))))</f>
        <v> </v>
      </c>
      <c r="L4194" s="27"/>
    </row>
    <row r="4195" spans="1:12">
      <c r="A4195" s="20" t="s">
        <v>1358</v>
      </c>
      <c r="B4195" s="21" t="s">
        <v>1249</v>
      </c>
      <c r="E4195" s="22">
        <f>IF(D4195="?OLD","!!!","")</f>
        <v/>
      </c>
      <c r="F4195" s="23" t="str">
        <f>IF(OR(E4195="",E4195="!!!"),"",IF(NOT(ISNA(VLOOKUP(E4195,E$1:E4194,1,FALSE()))),"OLD",IF(AND(E4195&lt;&gt;"",E4195&lt;&gt;"!!!"),"NEW","")))</f>
        <v> </v>
      </c>
      <c r="G4195" s="24" t="str">
        <f>IF(OR(E4195="",E4195="!!!"),"",IF(OR(J4195=0,AND(J4195=1,K4195=1),AND(J4195=1,I4195="SBJ"),AND(J4195=1,I4195=0)),"?IN_FOCUS",IF(J4195&lt;=2,"?ACTIVATED",IF(J4195&lt;&gt;"","?FAMILIAR",IF(F4195="NEW",IF(ISNA(VLOOKUP(E4195,#REF!,1,FALSE())),"?TYPE_IDENTIFIABLE","?REFERENTIAL"),"_")))))</f>
        <v> </v>
      </c>
      <c r="H4195" s="25" t="str">
        <f>IF(J4195&lt;&gt;1,"",IF(I4195="SBJ","CB","?"))</f>
        <v> </v>
      </c>
      <c r="I4195" s="26" t="str">
        <f>IF(OR(E4195="",E4195="!!!",F4195="NEW"),"",INDEX(B4194:B$2,-1+SUMPRODUCT(MAX(ROW(E4194:E$2)*(E4195=E4194:E$2)))))</f>
        <v> </v>
      </c>
      <c r="J4195" s="26" t="str">
        <f>IF(OR(E4195="",E4195="!!!",F4195="NEW"),"",COUNTBLANK(OFFSET(A$1,,,SUMPRODUCT(MAX(ROW(E$2:E4195)*(E4195=E$2:E4195)))))-COUNTBLANK(OFFSET(A$1,,,SUMPRODUCT(MAX(ROW(E$1:E4194)*(E2=E$1:E4194))))))</f>
        <v> </v>
      </c>
      <c r="K4195" s="26" t="str">
        <f>IF(OR(E4195="",E4195="!!!",F4195="NEW"),"",INDEX(J$1:J4194,SUMPRODUCT(MAX(ROW(E$1:E4194)*(E4195=E$1:E4194)))))</f>
        <v> </v>
      </c>
      <c r="L4195" s="27"/>
    </row>
    <row r="4196" spans="1:12">
      <c r="A4196" s="20" t="s">
        <v>565</v>
      </c>
      <c r="B4196" s="21" t="s">
        <v>1229</v>
      </c>
      <c r="C4196" s="21" t="s">
        <v>1255</v>
      </c>
      <c r="D4196" s="21" t="s">
        <v>1217</v>
      </c>
      <c r="E4196" s="22">
        <f>IF(D4196="?OLD","!!!","")</f>
        <v/>
      </c>
      <c r="F4196" s="23" t="str">
        <f>IF(OR(E4196="",E4196="!!!"),"",IF(NOT(ISNA(VLOOKUP(E4196,E$1:E4195,1,FALSE()))),"OLD",IF(AND(E4196&lt;&gt;"",E4196&lt;&gt;"!!!"),"NEW","")))</f>
        <v> </v>
      </c>
      <c r="G4196" s="24" t="str">
        <f>IF(OR(E4196="",E4196="!!!"),"",IF(OR(J4196=0,AND(J4196=1,K4196=1),AND(J4196=1,I4196="SBJ"),AND(J4196=1,I4196=0)),"?IN_FOCUS",IF(J4196&lt;=2,"?ACTIVATED",IF(J4196&lt;&gt;"","?FAMILIAR",IF(F4196="NEW",IF(ISNA(VLOOKUP(E4196,#REF!,1,FALSE())),"?TYPE_IDENTIFIABLE","?REFERENTIAL"),"_")))))</f>
        <v> </v>
      </c>
      <c r="H4196" s="25" t="str">
        <f>IF(J4196&lt;&gt;1,"",IF(I4196="SBJ","CB","?"))</f>
        <v> </v>
      </c>
      <c r="I4196" s="26" t="str">
        <f>IF(OR(E4196="",E4196="!!!",F4196="NEW"),"",INDEX(B4195:B$2,-1+SUMPRODUCT(MAX(ROW(E4195:E$2)*(E4196=E4195:E$2)))))</f>
        <v> </v>
      </c>
      <c r="J4196" s="26" t="str">
        <f>IF(OR(E4196="",E4196="!!!",F4196="NEW"),"",COUNTBLANK(OFFSET(A$1,,,SUMPRODUCT(MAX(ROW(E$2:E4196)*(E4196=E$2:E4196)))))-COUNTBLANK(OFFSET(A$1,,,SUMPRODUCT(MAX(ROW(E$1:E4195)*(E2=E$1:E4195))))))</f>
        <v> </v>
      </c>
      <c r="K4196" s="26" t="str">
        <f>IF(OR(E4196="",E4196="!!!",F4196="NEW"),"",INDEX(J$1:J4195,SUMPRODUCT(MAX(ROW(E$1:E4195)*(E4196=E$1:E4195)))))</f>
        <v> </v>
      </c>
      <c r="L4196" s="27"/>
    </row>
    <row r="4197" spans="1:12">
      <c r="A4197" s="20" t="s">
        <v>1583</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t="s">
        <v>2628</v>
      </c>
      <c r="E4198" s="22">
        <f>IF(D4198="?OLD","!!!","")</f>
        <v/>
      </c>
      <c r="F4198" s="23" t="str">
        <f>IF(OR(E4198="",E4198="!!!"),"",IF(NOT(ISNA(VLOOKUP(E4198,E$1:E4197,1,FALSE()))),"OLD",IF(AND(E4198&lt;&gt;"",E4198&lt;&gt;"!!!"),"NEW","")))</f>
        <v> </v>
      </c>
      <c r="G4198" s="24" t="str">
        <f>IF(OR(E4198="",E4198="!!!"),"",IF(OR(J4198=0,AND(J4198=1,K4198=1),AND(J4198=1,I4198="SBJ"),AND(J4198=1,I4198=0)),"?IN_FOCUS",IF(J4198&lt;=2,"?ACTIVATED",IF(J4198&lt;&gt;"","?FAMILIAR",IF(F4198="NEW",IF(ISNA(VLOOKUP(E4198,#REF!,1,FALSE())),"?TYPE_IDENTIFIABLE","?REFERENTIAL"),"_")))))</f>
        <v> </v>
      </c>
      <c r="H4198" s="25" t="str">
        <f>IF(J4198&lt;&gt;1,"",IF(I4198="SBJ","CB","?"))</f>
        <v> </v>
      </c>
      <c r="I4198" s="26" t="str">
        <f>IF(OR(E4198="",E4198="!!!",F4198="NEW"),"",INDEX(B4197:B$2,-1+SUMPRODUCT(MAX(ROW(E4197:E$2)*(E4198=E4197:E$2)))))</f>
        <v> </v>
      </c>
      <c r="J4198" s="26" t="str">
        <f>IF(OR(E4198="",E4198="!!!",F4198="NEW"),"",COUNTBLANK(OFFSET(A$1,,,SUMPRODUCT(MAX(ROW(E$2:E4198)*(E4198=E$2:E4198)))))-COUNTBLANK(OFFSET(A$1,,,SUMPRODUCT(MAX(ROW(E$1:E4197)*(E2=E$1:E4197))))))</f>
        <v> </v>
      </c>
      <c r="K4198" s="26" t="str">
        <f>IF(OR(E4198="",E4198="!!!",F4198="NEW"),"",INDEX(J$1:J4197,SUMPRODUCT(MAX(ROW(E$1:E4197)*(E4198=E$1:E4197)))))</f>
        <v> </v>
      </c>
      <c r="L4198" s="27"/>
    </row>
    <row r="4199" spans="1:12">
      <c r="A4199" s="20" t="s">
        <v>1286</v>
      </c>
      <c r="E4199" s="22">
        <f>IF(D4199="?OLD","!!!","")</f>
        <v/>
      </c>
      <c r="F4199" s="23" t="str">
        <f>IF(OR(E4199="",E4199="!!!"),"",IF(NOT(ISNA(VLOOKUP(E4199,E$1:E4198,1,FALSE()))),"OLD",IF(AND(E4199&lt;&gt;"",E4199&lt;&gt;"!!!"),"NEW","")))</f>
        <v> </v>
      </c>
      <c r="G4199" s="24" t="str">
        <f>IF(OR(E4199="",E4199="!!!"),"",IF(OR(J4199=0,AND(J4199=1,K4199=1),AND(J4199=1,I4199="SBJ"),AND(J4199=1,I4199=0)),"?IN_FOCUS",IF(J4199&lt;=2,"?ACTIVATED",IF(J4199&lt;&gt;"","?FAMILIAR",IF(F4199="NEW",IF(ISNA(VLOOKUP(E4199,#REF!,1,FALSE())),"?TYPE_IDENTIFIABLE","?REFERENTIAL"),"_")))))</f>
        <v> </v>
      </c>
      <c r="H4199" s="25" t="str">
        <f>IF(J4199&lt;&gt;1,"",IF(I4199="SBJ","CB","?"))</f>
        <v> </v>
      </c>
      <c r="I4199" s="26" t="str">
        <f>IF(OR(E4199="",E4199="!!!",F4199="NEW"),"",INDEX(B4198:B$2,-1+SUMPRODUCT(MAX(ROW(E4198:E$2)*(E4199=E4198:E$2)))))</f>
        <v> </v>
      </c>
      <c r="J4199" s="26" t="str">
        <f>IF(OR(E4199="",E4199="!!!",F4199="NEW"),"",COUNTBLANK(OFFSET(A$1,,,SUMPRODUCT(MAX(ROW(E$2:E4199)*(E4199=E$2:E4199)))))-COUNTBLANK(OFFSET(A$1,,,SUMPRODUCT(MAX(ROW(E$1:E4198)*(E2=E$1:E4198))))))</f>
        <v> </v>
      </c>
      <c r="K4199" s="26" t="str">
        <f>IF(OR(E4199="",E4199="!!!",F4199="NEW"),"",INDEX(J$1:J4198,SUMPRODUCT(MAX(ROW(E$1:E4198)*(E4199=E$1:E4198)))))</f>
        <v> </v>
      </c>
      <c r="L4199" s="27"/>
    </row>
    <row r="4200" spans="1:12">
      <c r="A4200" s="20" t="s">
        <v>2629</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t="s">
        <v>1503</v>
      </c>
      <c r="E4201" s="22">
        <f>IF(D4201="?OLD","!!!","")</f>
        <v/>
      </c>
      <c r="F4201" s="23" t="str">
        <f>IF(OR(E4201="",E4201="!!!"),"",IF(NOT(ISNA(VLOOKUP(E4201,E$1:E4200,1,FALSE()))),"OLD",IF(AND(E4201&lt;&gt;"",E4201&lt;&gt;"!!!"),"NEW","")))</f>
        <v> </v>
      </c>
      <c r="G4201" s="24" t="str">
        <f>IF(OR(E4201="",E4201="!!!"),"",IF(OR(J4201=0,AND(J4201=1,K4201=1),AND(J4201=1,I4201="SBJ"),AND(J4201=1,I4201=0)),"?IN_FOCUS",IF(J4201&lt;=2,"?ACTIVATED",IF(J4201&lt;&gt;"","?FAMILIAR",IF(F4201="NEW",IF(ISNA(VLOOKUP(E4201,#REF!,1,FALSE())),"?TYPE_IDENTIFIABLE","?REFERENTIAL"),"_")))))</f>
        <v> </v>
      </c>
      <c r="H4201" s="25" t="str">
        <f>IF(J4201&lt;&gt;1,"",IF(I4201="SBJ","CB","?"))</f>
        <v> </v>
      </c>
      <c r="I4201" s="26" t="str">
        <f>IF(OR(E4201="",E4201="!!!",F4201="NEW"),"",INDEX(B4200:B$2,-1+SUMPRODUCT(MAX(ROW(E4200:E$2)*(E4201=E4200:E$2)))))</f>
        <v> </v>
      </c>
      <c r="J4201" s="26" t="str">
        <f>IF(OR(E4201="",E4201="!!!",F4201="NEW"),"",COUNTBLANK(OFFSET(A$1,,,SUMPRODUCT(MAX(ROW(E$2:E4201)*(E4201=E$2:E4201)))))-COUNTBLANK(OFFSET(A$1,,,SUMPRODUCT(MAX(ROW(E$1:E4200)*(E2=E$1:E4200))))))</f>
        <v> </v>
      </c>
      <c r="K4201" s="26" t="str">
        <f>IF(OR(E4201="",E4201="!!!",F4201="NEW"),"",INDEX(J$1:J4200,SUMPRODUCT(MAX(ROW(E$1:E4200)*(E4201=E$1:E4200)))))</f>
        <v> </v>
      </c>
      <c r="L4201" s="27"/>
    </row>
    <row r="4202" spans="1:12">
      <c r="A4202" s="20"/>
    </row>
    <row r="4203" spans="1:12">
      <c r="A4203" s="20" t="s">
        <v>2630</v>
      </c>
    </row>
    <row r="4204" spans="1:12">
      <c r="A4204" s="20" t="s">
        <v>1271</v>
      </c>
      <c r="B4204" s="21" t="s">
        <v>1215</v>
      </c>
      <c r="C4204" s="21" t="s">
        <v>1255</v>
      </c>
      <c r="D4204" s="21" t="s">
        <v>1217</v>
      </c>
      <c r="E4204" s="22">
        <f>IF(D4204="?OLD","!!!","")</f>
        <v/>
      </c>
      <c r="F4204" s="23" t="str">
        <f>IF(OR(E4204="",E4204="!!!"),"",IF(NOT(ISNA(VLOOKUP(E4204,E$1:E4203,1,FALSE()))),"OLD",IF(AND(E4204&lt;&gt;"",E4204&lt;&gt;"!!!"),"NEW","")))</f>
        <v> </v>
      </c>
      <c r="G4204" s="24" t="str">
        <f>IF(OR(E4204="",E4204="!!!"),"",IF(OR(J4204=0,AND(J4204=1,K4204=1),AND(J4204=1,I4204="SBJ"),AND(J4204=1,I4204=0)),"?IN_FOCUS",IF(J4204&lt;=2,"?ACTIVATED",IF(J4204&lt;&gt;"","?FAMILIAR",IF(F4204="NEW",IF(ISNA(VLOOKUP(E4204,#REF!,1,FALSE())),"?TYPE_IDENTIFIABLE","?REFERENTIAL"),"_")))))</f>
        <v> </v>
      </c>
      <c r="H4204" s="25" t="str">
        <f>IF(J4204&lt;&gt;1,"",IF(I4204="SBJ","CB","?"))</f>
        <v> </v>
      </c>
      <c r="I4204" s="26" t="str">
        <f>IF(OR(E4204="",E4204="!!!",F4204="NEW"),"",INDEX(B4203:B$2,-1+SUMPRODUCT(MAX(ROW(E4203:E$2)*(E4204=E4203:E$2)))))</f>
        <v> </v>
      </c>
      <c r="J4204" s="26" t="str">
        <f>IF(OR(E4204="",E4204="!!!",F4204="NEW"),"",COUNTBLANK(OFFSET(A$1,,,SUMPRODUCT(MAX(ROW(E$2:E4204)*(E4204=E$2:E4204)))))-COUNTBLANK(OFFSET(A$1,,,SUMPRODUCT(MAX(ROW(E$1:E4203)*(E2=E$1:E4203))))))</f>
        <v> </v>
      </c>
      <c r="K4204" s="26" t="str">
        <f>IF(OR(E4204="",E4204="!!!",F4204="NEW"),"",INDEX(J$1:J4203,SUMPRODUCT(MAX(ROW(E$1:E4203)*(E4204=E$1:E4203)))))</f>
        <v> </v>
      </c>
      <c r="L4204" s="27"/>
    </row>
    <row r="4205" spans="1:12">
      <c r="A4205" s="20" t="s">
        <v>2631</v>
      </c>
      <c r="E4205" s="22">
        <f>IF(D4205="?OLD","!!!","")</f>
        <v/>
      </c>
      <c r="F4205" s="23" t="str">
        <f>IF(OR(E4205="",E4205="!!!"),"",IF(NOT(ISNA(VLOOKUP(E4205,E$1:E4204,1,FALSE()))),"OLD",IF(AND(E4205&lt;&gt;"",E4205&lt;&gt;"!!!"),"NEW","")))</f>
        <v> </v>
      </c>
      <c r="G4205" s="24" t="str">
        <f>IF(OR(E4205="",E4205="!!!"),"",IF(OR(J4205=0,AND(J4205=1,K4205=1),AND(J4205=1,I4205="SBJ"),AND(J4205=1,I4205=0)),"?IN_FOCUS",IF(J4205&lt;=2,"?ACTIVATED",IF(J4205&lt;&gt;"","?FAMILIAR",IF(F4205="NEW",IF(ISNA(VLOOKUP(E4205,#REF!,1,FALSE())),"?TYPE_IDENTIFIABLE","?REFERENTIAL"),"_")))))</f>
        <v> </v>
      </c>
      <c r="H4205" s="25" t="str">
        <f>IF(J4205&lt;&gt;1,"",IF(I4205="SBJ","CB","?"))</f>
        <v> </v>
      </c>
      <c r="I4205" s="26" t="str">
        <f>IF(OR(E4205="",E4205="!!!",F4205="NEW"),"",INDEX(B4204:B$2,-1+SUMPRODUCT(MAX(ROW(E4204:E$2)*(E4205=E4204:E$2)))))</f>
        <v> </v>
      </c>
      <c r="J4205" s="26" t="str">
        <f>IF(OR(E4205="",E4205="!!!",F4205="NEW"),"",COUNTBLANK(OFFSET(A$1,,,SUMPRODUCT(MAX(ROW(E$2:E4205)*(E4205=E$2:E4205)))))-COUNTBLANK(OFFSET(A$1,,,SUMPRODUCT(MAX(ROW(E$1:E4204)*(E2=E$1:E4204))))))</f>
        <v> </v>
      </c>
      <c r="K4205" s="26" t="str">
        <f>IF(OR(E4205="",E4205="!!!",F4205="NEW"),"",INDEX(J$1:J4204,SUMPRODUCT(MAX(ROW(E$1:E4204)*(E4205=E$1:E4204)))))</f>
        <v> </v>
      </c>
      <c r="L4205" s="27"/>
    </row>
    <row r="4206" spans="1:12">
      <c r="A4206" s="20" t="s">
        <v>1852</v>
      </c>
      <c r="B4206" s="21" t="s">
        <v>1275</v>
      </c>
      <c r="C4206" s="21" t="s">
        <v>1216</v>
      </c>
      <c r="D4206" s="21" t="s">
        <v>1217</v>
      </c>
      <c r="E4206" s="22">
        <f>IF(D4206="?OLD","!!!","")</f>
        <v/>
      </c>
      <c r="F4206" s="23" t="str">
        <f>IF(OR(E4206="",E4206="!!!"),"",IF(NOT(ISNA(VLOOKUP(E4206,E$1:E4205,1,FALSE()))),"OLD",IF(AND(E4206&lt;&gt;"",E4206&lt;&gt;"!!!"),"NEW","")))</f>
        <v> </v>
      </c>
      <c r="G4206" s="24" t="str">
        <f>IF(OR(E4206="",E4206="!!!"),"",IF(OR(J4206=0,AND(J4206=1,K4206=1),AND(J4206=1,I4206="SBJ"),AND(J4206=1,I4206=0)),"?IN_FOCUS",IF(J4206&lt;=2,"?ACTIVATED",IF(J4206&lt;&gt;"","?FAMILIAR",IF(F4206="NEW",IF(ISNA(VLOOKUP(E4206,#REF!,1,FALSE())),"?TYPE_IDENTIFIABLE","?REFERENTIAL"),"_")))))</f>
        <v> </v>
      </c>
      <c r="H4206" s="25" t="str">
        <f>IF(J4206&lt;&gt;1,"",IF(I4206="SBJ","CB","?"))</f>
        <v> </v>
      </c>
      <c r="I4206" s="26" t="str">
        <f>IF(OR(E4206="",E4206="!!!",F4206="NEW"),"",INDEX(B4205:B$2,-1+SUMPRODUCT(MAX(ROW(E4205:E$2)*(E4206=E4205:E$2)))))</f>
        <v> </v>
      </c>
      <c r="J4206" s="26" t="str">
        <f>IF(OR(E4206="",E4206="!!!",F4206="NEW"),"",COUNTBLANK(OFFSET(A$1,,,SUMPRODUCT(MAX(ROW(E$2:E4206)*(E4206=E$2:E4206)))))-COUNTBLANK(OFFSET(A$1,,,SUMPRODUCT(MAX(ROW(E$1:E4205)*(E2=E$1:E4205))))))</f>
        <v> </v>
      </c>
      <c r="K4206" s="26" t="str">
        <f>IF(OR(E4206="",E4206="!!!",F4206="NEW"),"",INDEX(J$1:J4205,SUMPRODUCT(MAX(ROW(E$1:E4205)*(E4206=E$1:E4205)))))</f>
        <v> </v>
      </c>
      <c r="L4206" s="27"/>
    </row>
    <row r="4207" spans="1:12">
      <c r="A4207" s="20" t="s">
        <v>2632</v>
      </c>
      <c r="E4207" s="22">
        <f>IF(D4207="?OLD","!!!","")</f>
        <v/>
      </c>
      <c r="F4207" s="23" t="str">
        <f>IF(OR(E4207="",E4207="!!!"),"",IF(NOT(ISNA(VLOOKUP(E4207,E$1:E4206,1,FALSE()))),"OLD",IF(AND(E4207&lt;&gt;"",E4207&lt;&gt;"!!!"),"NEW","")))</f>
        <v> </v>
      </c>
      <c r="G4207" s="24" t="str">
        <f>IF(OR(E4207="",E4207="!!!"),"",IF(OR(J4207=0,AND(J4207=1,K4207=1),AND(J4207=1,I4207="SBJ"),AND(J4207=1,I4207=0)),"?IN_FOCUS",IF(J4207&lt;=2,"?ACTIVATED",IF(J4207&lt;&gt;"","?FAMILIAR",IF(F4207="NEW",IF(ISNA(VLOOKUP(E4207,#REF!,1,FALSE())),"?TYPE_IDENTIFIABLE","?REFERENTIAL"),"_")))))</f>
        <v> </v>
      </c>
      <c r="H4207" s="25" t="str">
        <f>IF(J4207&lt;&gt;1,"",IF(I4207="SBJ","CB","?"))</f>
        <v> </v>
      </c>
      <c r="I4207" s="26" t="str">
        <f>IF(OR(E4207="",E4207="!!!",F4207="NEW"),"",INDEX(B4206:B$2,-1+SUMPRODUCT(MAX(ROW(E4206:E$2)*(E4207=E4206:E$2)))))</f>
        <v> </v>
      </c>
      <c r="J4207" s="26" t="str">
        <f>IF(OR(E4207="",E4207="!!!",F4207="NEW"),"",COUNTBLANK(OFFSET(A$1,,,SUMPRODUCT(MAX(ROW(E$2:E4207)*(E4207=E$2:E4207)))))-COUNTBLANK(OFFSET(A$1,,,SUMPRODUCT(MAX(ROW(E$1:E4206)*(E2=E$1:E4206))))))</f>
        <v> </v>
      </c>
      <c r="K4207" s="26" t="str">
        <f>IF(OR(E4207="",E4207="!!!",F4207="NEW"),"",INDEX(J$1:J4206,SUMPRODUCT(MAX(ROW(E$1:E4206)*(E4207=E$1:E4206)))))</f>
        <v> </v>
      </c>
      <c r="L4207" s="27"/>
    </row>
    <row r="4208" spans="1:12">
      <c r="A4208" s="20" t="s">
        <v>1648</v>
      </c>
      <c r="E4208" s="22">
        <f>IF(D4208="?OLD","!!!","")</f>
        <v/>
      </c>
      <c r="F4208" s="23" t="str">
        <f>IF(OR(E4208="",E4208="!!!"),"",IF(NOT(ISNA(VLOOKUP(E4208,E$1:E4207,1,FALSE()))),"OLD",IF(AND(E4208&lt;&gt;"",E4208&lt;&gt;"!!!"),"NEW","")))</f>
        <v> </v>
      </c>
      <c r="G4208" s="24" t="str">
        <f>IF(OR(E4208="",E4208="!!!"),"",IF(OR(J4208=0,AND(J4208=1,K4208=1),AND(J4208=1,I4208="SBJ"),AND(J4208=1,I4208=0)),"?IN_FOCUS",IF(J4208&lt;=2,"?ACTIVATED",IF(J4208&lt;&gt;"","?FAMILIAR",IF(F4208="NEW",IF(ISNA(VLOOKUP(E4208,#REF!,1,FALSE())),"?TYPE_IDENTIFIABLE","?REFERENTIAL"),"_")))))</f>
        <v> </v>
      </c>
      <c r="H4208" s="25" t="str">
        <f>IF(J4208&lt;&gt;1,"",IF(I4208="SBJ","CB","?"))</f>
        <v> </v>
      </c>
      <c r="I4208" s="26" t="str">
        <f>IF(OR(E4208="",E4208="!!!",F4208="NEW"),"",INDEX(B4207:B$2,-1+SUMPRODUCT(MAX(ROW(E4207:E$2)*(E4208=E4207:E$2)))))</f>
        <v> </v>
      </c>
      <c r="J4208" s="26" t="str">
        <f>IF(OR(E4208="",E4208="!!!",F4208="NEW"),"",COUNTBLANK(OFFSET(A$1,,,SUMPRODUCT(MAX(ROW(E$2:E4208)*(E4208=E$2:E4208)))))-COUNTBLANK(OFFSET(A$1,,,SUMPRODUCT(MAX(ROW(E$1:E4207)*(E2=E$1:E4207))))))</f>
        <v> </v>
      </c>
      <c r="K4208" s="26" t="str">
        <f>IF(OR(E4208="",E4208="!!!",F4208="NEW"),"",INDEX(J$1:J4207,SUMPRODUCT(MAX(ROW(E$1:E4207)*(E4208=E$1:E4207)))))</f>
        <v> </v>
      </c>
      <c r="L4208" s="27"/>
    </row>
    <row r="4209" spans="1:12">
      <c r="A4209" s="20" t="s">
        <v>1219</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2633</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t="s">
        <v>2634</v>
      </c>
      <c r="B4211" s="21" t="s">
        <v>1244</v>
      </c>
      <c r="C4211" s="21" t="s">
        <v>1269</v>
      </c>
      <c r="D4211" s="21" t="s">
        <v>1217</v>
      </c>
      <c r="E4211" s="22">
        <f>IF(D4211="?OLD","!!!","")</f>
        <v/>
      </c>
      <c r="F4211" s="23" t="str">
        <f>IF(OR(E4211="",E4211="!!!"),"",IF(NOT(ISNA(VLOOKUP(E4211,E$1:E4210,1,FALSE()))),"OLD",IF(AND(E4211&lt;&gt;"",E4211&lt;&gt;"!!!"),"NEW","")))</f>
        <v> </v>
      </c>
      <c r="G4211" s="24" t="str">
        <f>IF(OR(E4211="",E4211="!!!"),"",IF(OR(J4211=0,AND(J4211=1,K4211=1),AND(J4211=1,I4211="SBJ"),AND(J4211=1,I4211=0)),"?IN_FOCUS",IF(J4211&lt;=2,"?ACTIVATED",IF(J4211&lt;&gt;"","?FAMILIAR",IF(F4211="NEW",IF(ISNA(VLOOKUP(E4211,#REF!,1,FALSE())),"?TYPE_IDENTIFIABLE","?REFERENTIAL"),"_")))))</f>
        <v> </v>
      </c>
      <c r="H4211" s="25" t="str">
        <f>IF(J4211&lt;&gt;1,"",IF(I4211="SBJ","CB","?"))</f>
        <v> </v>
      </c>
      <c r="I4211" s="26" t="str">
        <f>IF(OR(E4211="",E4211="!!!",F4211="NEW"),"",INDEX(B4210:B$2,-1+SUMPRODUCT(MAX(ROW(E4210:E$2)*(E4211=E4210:E$2)))))</f>
        <v> </v>
      </c>
      <c r="J4211" s="26" t="str">
        <f>IF(OR(E4211="",E4211="!!!",F4211="NEW"),"",COUNTBLANK(OFFSET(A$1,,,SUMPRODUCT(MAX(ROW(E$2:E4211)*(E4211=E$2:E4211)))))-COUNTBLANK(OFFSET(A$1,,,SUMPRODUCT(MAX(ROW(E$1:E4210)*(E2=E$1:E4210))))))</f>
        <v> </v>
      </c>
      <c r="K4211" s="26" t="str">
        <f>IF(OR(E4211="",E4211="!!!",F4211="NEW"),"",INDEX(J$1:J4210,SUMPRODUCT(MAX(ROW(E$1:E4210)*(E4211=E$1:E4210)))))</f>
        <v> </v>
      </c>
      <c r="L4211" s="27"/>
    </row>
    <row r="4212" spans="1:12">
      <c r="A4212" s="20" t="s">
        <v>1277</v>
      </c>
      <c r="E4212" s="22">
        <f>IF(D4212="?OLD","!!!","")</f>
        <v/>
      </c>
      <c r="F4212" s="23" t="str">
        <f>IF(OR(E4212="",E4212="!!!"),"",IF(NOT(ISNA(VLOOKUP(E4212,E$1:E4211,1,FALSE()))),"OLD",IF(AND(E4212&lt;&gt;"",E4212&lt;&gt;"!!!"),"NEW","")))</f>
        <v> </v>
      </c>
      <c r="G4212" s="24" t="str">
        <f>IF(OR(E4212="",E4212="!!!"),"",IF(OR(J4212=0,AND(J4212=1,K4212=1),AND(J4212=1,I4212="SBJ"),AND(J4212=1,I4212=0)),"?IN_FOCUS",IF(J4212&lt;=2,"?ACTIVATED",IF(J4212&lt;&gt;"","?FAMILIAR",IF(F4212="NEW",IF(ISNA(VLOOKUP(E4212,#REF!,1,FALSE())),"?TYPE_IDENTIFIABLE","?REFERENTIAL"),"_")))))</f>
        <v> </v>
      </c>
      <c r="H4212" s="25" t="str">
        <f>IF(J4212&lt;&gt;1,"",IF(I4212="SBJ","CB","?"))</f>
        <v> </v>
      </c>
      <c r="I4212" s="26" t="str">
        <f>IF(OR(E4212="",E4212="!!!",F4212="NEW"),"",INDEX(B4211:B$2,-1+SUMPRODUCT(MAX(ROW(E4211:E$2)*(E4212=E4211:E$2)))))</f>
        <v> </v>
      </c>
      <c r="J4212" s="26" t="str">
        <f>IF(OR(E4212="",E4212="!!!",F4212="NEW"),"",COUNTBLANK(OFFSET(A$1,,,SUMPRODUCT(MAX(ROW(E$2:E4212)*(E4212=E$2:E4212)))))-COUNTBLANK(OFFSET(A$1,,,SUMPRODUCT(MAX(ROW(E$1:E4211)*(E2=E$1:E4211))))))</f>
        <v> </v>
      </c>
      <c r="K4212" s="26" t="str">
        <f>IF(OR(E4212="",E4212="!!!",F4212="NEW"),"",INDEX(J$1:J4211,SUMPRODUCT(MAX(ROW(E$1:E4211)*(E4212=E$1:E4211)))))</f>
        <v> </v>
      </c>
      <c r="L4212" s="27"/>
    </row>
    <row r="4213" spans="1:12">
      <c r="A4213" s="20" t="s">
        <v>1323</v>
      </c>
      <c r="E4213" s="22">
        <f>IF(D4213="?OLD","!!!","")</f>
        <v/>
      </c>
      <c r="F4213" s="23" t="str">
        <f>IF(OR(E4213="",E4213="!!!"),"",IF(NOT(ISNA(VLOOKUP(E4213,E$1:E4212,1,FALSE()))),"OLD",IF(AND(E4213&lt;&gt;"",E4213&lt;&gt;"!!!"),"NEW","")))</f>
        <v> </v>
      </c>
      <c r="G4213" s="24" t="str">
        <f>IF(OR(E4213="",E4213="!!!"),"",IF(OR(J4213=0,AND(J4213=1,K4213=1),AND(J4213=1,I4213="SBJ"),AND(J4213=1,I4213=0)),"?IN_FOCUS",IF(J4213&lt;=2,"?ACTIVATED",IF(J4213&lt;&gt;"","?FAMILIAR",IF(F4213="NEW",IF(ISNA(VLOOKUP(E4213,#REF!,1,FALSE())),"?TYPE_IDENTIFIABLE","?REFERENTIAL"),"_")))))</f>
        <v> </v>
      </c>
      <c r="H4213" s="25" t="str">
        <f>IF(J4213&lt;&gt;1,"",IF(I4213="SBJ","CB","?"))</f>
        <v> </v>
      </c>
      <c r="I4213" s="26" t="str">
        <f>IF(OR(E4213="",E4213="!!!",F4213="NEW"),"",INDEX(B4212:B$2,-1+SUMPRODUCT(MAX(ROW(E4212:E$2)*(E4213=E4212:E$2)))))</f>
        <v> </v>
      </c>
      <c r="J4213" s="26" t="str">
        <f>IF(OR(E4213="",E4213="!!!",F4213="NEW"),"",COUNTBLANK(OFFSET(A$1,,,SUMPRODUCT(MAX(ROW(E$2:E4213)*(E4213=E$2:E4213)))))-COUNTBLANK(OFFSET(A$1,,,SUMPRODUCT(MAX(ROW(E$1:E4212)*(E2=E$1:E4212))))))</f>
        <v> </v>
      </c>
      <c r="K4213" s="26" t="str">
        <f>IF(OR(E4213="",E4213="!!!",F4213="NEW"),"",INDEX(J$1:J4212,SUMPRODUCT(MAX(ROW(E$1:E4212)*(E4213=E$1:E4212)))))</f>
        <v> </v>
      </c>
      <c r="L4213" s="27"/>
    </row>
    <row r="4214" spans="1:12">
      <c r="A4214" s="20" t="s">
        <v>2635</v>
      </c>
      <c r="B4214" s="21" t="s">
        <v>1221</v>
      </c>
      <c r="C4214" s="21" t="s">
        <v>1269</v>
      </c>
      <c r="D4214" s="21" t="s">
        <v>1217</v>
      </c>
      <c r="E4214" s="22">
        <f>IF(D4214="?OLD","!!!","")</f>
        <v/>
      </c>
      <c r="F4214" s="23" t="str">
        <f>IF(OR(E4214="",E4214="!!!"),"",IF(NOT(ISNA(VLOOKUP(E4214,E$1:E4213,1,FALSE()))),"OLD",IF(AND(E4214&lt;&gt;"",E4214&lt;&gt;"!!!"),"NEW","")))</f>
        <v> </v>
      </c>
      <c r="G4214" s="24" t="str">
        <f>IF(OR(E4214="",E4214="!!!"),"",IF(OR(J4214=0,AND(J4214=1,K4214=1),AND(J4214=1,I4214="SBJ"),AND(J4214=1,I4214=0)),"?IN_FOCUS",IF(J4214&lt;=2,"?ACTIVATED",IF(J4214&lt;&gt;"","?FAMILIAR",IF(F4214="NEW",IF(ISNA(VLOOKUP(E4214,#REF!,1,FALSE())),"?TYPE_IDENTIFIABLE","?REFERENTIAL"),"_")))))</f>
        <v> </v>
      </c>
      <c r="H4214" s="25" t="str">
        <f>IF(J4214&lt;&gt;1,"",IF(I4214="SBJ","CB","?"))</f>
        <v> </v>
      </c>
      <c r="I4214" s="26" t="str">
        <f>IF(OR(E4214="",E4214="!!!",F4214="NEW"),"",INDEX(B4213:B$2,-1+SUMPRODUCT(MAX(ROW(E4213:E$2)*(E4214=E4213:E$2)))))</f>
        <v> </v>
      </c>
      <c r="J4214" s="26" t="str">
        <f>IF(OR(E4214="",E4214="!!!",F4214="NEW"),"",COUNTBLANK(OFFSET(A$1,,,SUMPRODUCT(MAX(ROW(E$2:E4214)*(E4214=E$2:E4214)))))-COUNTBLANK(OFFSET(A$1,,,SUMPRODUCT(MAX(ROW(E$1:E4213)*(E2=E$1:E4213))))))</f>
        <v> </v>
      </c>
      <c r="K4214" s="26" t="str">
        <f>IF(OR(E4214="",E4214="!!!",F4214="NEW"),"",INDEX(J$1:J4213,SUMPRODUCT(MAX(ROW(E$1:E4213)*(E4214=E$1:E4213)))))</f>
        <v> </v>
      </c>
      <c r="L4214" s="27"/>
    </row>
    <row r="4215" spans="1:12">
      <c r="A4215" s="20" t="s">
        <v>1277</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t="s">
        <v>2203</v>
      </c>
      <c r="B4216" s="21" t="s">
        <v>1224</v>
      </c>
      <c r="C4216" s="21" t="s">
        <v>1242</v>
      </c>
      <c r="D4216" s="21" t="s">
        <v>1217</v>
      </c>
      <c r="E4216" s="22">
        <f>IF(D4216="?OLD","!!!","")</f>
        <v/>
      </c>
      <c r="F4216" s="23" t="str">
        <f>IF(OR(E4216="",E4216="!!!"),"",IF(NOT(ISNA(VLOOKUP(E4216,E$1:E4215,1,FALSE()))),"OLD",IF(AND(E4216&lt;&gt;"",E4216&lt;&gt;"!!!"),"NEW","")))</f>
        <v> </v>
      </c>
      <c r="G4216" s="24" t="str">
        <f>IF(OR(E4216="",E4216="!!!"),"",IF(OR(J4216=0,AND(J4216=1,K4216=1),AND(J4216=1,I4216="SBJ"),AND(J4216=1,I4216=0)),"?IN_FOCUS",IF(J4216&lt;=2,"?ACTIVATED",IF(J4216&lt;&gt;"","?FAMILIAR",IF(F4216="NEW",IF(ISNA(VLOOKUP(E4216,#REF!,1,FALSE())),"?TYPE_IDENTIFIABLE","?REFERENTIAL"),"_")))))</f>
        <v> </v>
      </c>
      <c r="H4216" s="25" t="str">
        <f>IF(J4216&lt;&gt;1,"",IF(I4216="SBJ","CB","?"))</f>
        <v> </v>
      </c>
      <c r="I4216" s="26" t="str">
        <f>IF(OR(E4216="",E4216="!!!",F4216="NEW"),"",INDEX(B4215:B$2,-1+SUMPRODUCT(MAX(ROW(E4215:E$2)*(E4216=E4215:E$2)))))</f>
        <v> </v>
      </c>
      <c r="J4216" s="26" t="str">
        <f>IF(OR(E4216="",E4216="!!!",F4216="NEW"),"",COUNTBLANK(OFFSET(A$1,,,SUMPRODUCT(MAX(ROW(E$2:E4216)*(E4216=E$2:E4216)))))-COUNTBLANK(OFFSET(A$1,,,SUMPRODUCT(MAX(ROW(E$1:E4215)*(E2=E$1:E4215))))))</f>
        <v> </v>
      </c>
      <c r="K4216" s="26" t="str">
        <f>IF(OR(E4216="",E4216="!!!",F4216="NEW"),"",INDEX(J$1:J4215,SUMPRODUCT(MAX(ROW(E$1:E4215)*(E4216=E$1:E4215)))))</f>
        <v> </v>
      </c>
      <c r="L4216" s="27"/>
    </row>
    <row r="4217" spans="1:12">
      <c r="A4217" s="20" t="s">
        <v>1830</v>
      </c>
      <c r="B4217" s="21" t="s">
        <v>1221</v>
      </c>
      <c r="C4217" s="21" t="s">
        <v>1222</v>
      </c>
      <c r="D4217" s="21" t="s">
        <v>1217</v>
      </c>
      <c r="E4217" s="22">
        <f>IF(D4217="?OLD","!!!","")</f>
        <v/>
      </c>
      <c r="F4217" s="23" t="str">
        <f>IF(OR(E4217="",E4217="!!!"),"",IF(NOT(ISNA(VLOOKUP(E4217,E$1:E4216,1,FALSE()))),"OLD",IF(AND(E4217&lt;&gt;"",E4217&lt;&gt;"!!!"),"NEW","")))</f>
        <v> </v>
      </c>
      <c r="G4217" s="24" t="str">
        <f>IF(OR(E4217="",E4217="!!!"),"",IF(OR(J4217=0,AND(J4217=1,K4217=1),AND(J4217=1,I4217="SBJ"),AND(J4217=1,I4217=0)),"?IN_FOCUS",IF(J4217&lt;=2,"?ACTIVATED",IF(J4217&lt;&gt;"","?FAMILIAR",IF(F4217="NEW",IF(ISNA(VLOOKUP(E4217,#REF!,1,FALSE())),"?TYPE_IDENTIFIABLE","?REFERENTIAL"),"_")))))</f>
        <v> </v>
      </c>
      <c r="H4217" s="25" t="str">
        <f>IF(J4217&lt;&gt;1,"",IF(I4217="SBJ","CB","?"))</f>
        <v> </v>
      </c>
      <c r="I4217" s="26" t="str">
        <f>IF(OR(E4217="",E4217="!!!",F4217="NEW"),"",INDEX(B4216:B$2,-1+SUMPRODUCT(MAX(ROW(E4216:E$2)*(E4217=E4216:E$2)))))</f>
        <v> </v>
      </c>
      <c r="J4217" s="26" t="str">
        <f>IF(OR(E4217="",E4217="!!!",F4217="NEW"),"",COUNTBLANK(OFFSET(A$1,,,SUMPRODUCT(MAX(ROW(E$2:E4217)*(E4217=E$2:E4217)))))-COUNTBLANK(OFFSET(A$1,,,SUMPRODUCT(MAX(ROW(E$1:E4216)*(E2=E$1:E4216))))))</f>
        <v> </v>
      </c>
      <c r="K4217" s="26" t="str">
        <f>IF(OR(E4217="",E4217="!!!",F4217="NEW"),"",INDEX(J$1:J4216,SUMPRODUCT(MAX(ROW(E$1:E4216)*(E4217=E$1:E4216)))))</f>
        <v> </v>
      </c>
      <c r="L4217" s="27"/>
    </row>
    <row r="4218" spans="1:12">
      <c r="A4218" s="20" t="s">
        <v>2636</v>
      </c>
      <c r="E4218" s="22">
        <f>IF(D4218="?OLD","!!!","")</f>
        <v/>
      </c>
      <c r="F4218" s="23" t="str">
        <f>IF(OR(E4218="",E4218="!!!"),"",IF(NOT(ISNA(VLOOKUP(E4218,E$1:E4217,1,FALSE()))),"OLD",IF(AND(E4218&lt;&gt;"",E4218&lt;&gt;"!!!"),"NEW","")))</f>
        <v> </v>
      </c>
      <c r="G4218" s="24" t="str">
        <f>IF(OR(E4218="",E4218="!!!"),"",IF(OR(J4218=0,AND(J4218=1,K4218=1),AND(J4218=1,I4218="SBJ"),AND(J4218=1,I4218=0)),"?IN_FOCUS",IF(J4218&lt;=2,"?ACTIVATED",IF(J4218&lt;&gt;"","?FAMILIAR",IF(F4218="NEW",IF(ISNA(VLOOKUP(E4218,#REF!,1,FALSE())),"?TYPE_IDENTIFIABLE","?REFERENTIAL"),"_")))))</f>
        <v> </v>
      </c>
      <c r="H4218" s="25" t="str">
        <f>IF(J4218&lt;&gt;1,"",IF(I4218="SBJ","CB","?"))</f>
        <v> </v>
      </c>
      <c r="I4218" s="26" t="str">
        <f>IF(OR(E4218="",E4218="!!!",F4218="NEW"),"",INDEX(B4217:B$2,-1+SUMPRODUCT(MAX(ROW(E4217:E$2)*(E4218=E4217:E$2)))))</f>
        <v> </v>
      </c>
      <c r="J4218" s="26" t="str">
        <f>IF(OR(E4218="",E4218="!!!",F4218="NEW"),"",COUNTBLANK(OFFSET(A$1,,,SUMPRODUCT(MAX(ROW(E$2:E4218)*(E4218=E$2:E4218)))))-COUNTBLANK(OFFSET(A$1,,,SUMPRODUCT(MAX(ROW(E$1:E4217)*(E2=E$1:E4217))))))</f>
        <v> </v>
      </c>
      <c r="K4218" s="26" t="str">
        <f>IF(OR(E4218="",E4218="!!!",F4218="NEW"),"",INDEX(J$1:J4217,SUMPRODUCT(MAX(ROW(E$1:E4217)*(E4218=E$1:E4217)))))</f>
        <v> </v>
      </c>
      <c r="L4218" s="27"/>
    </row>
    <row r="4219" spans="1:12">
      <c r="A4219" s="20" t="s">
        <v>1277</v>
      </c>
      <c r="E4219" s="22">
        <f>IF(D4219="?OLD","!!!","")</f>
        <v/>
      </c>
      <c r="F4219" s="23" t="str">
        <f>IF(OR(E4219="",E4219="!!!"),"",IF(NOT(ISNA(VLOOKUP(E4219,E$1:E4218,1,FALSE()))),"OLD",IF(AND(E4219&lt;&gt;"",E4219&lt;&gt;"!!!"),"NEW","")))</f>
        <v> </v>
      </c>
      <c r="G4219" s="24" t="str">
        <f>IF(OR(E4219="",E4219="!!!"),"",IF(OR(J4219=0,AND(J4219=1,K4219=1),AND(J4219=1,I4219="SBJ"),AND(J4219=1,I4219=0)),"?IN_FOCUS",IF(J4219&lt;=2,"?ACTIVATED",IF(J4219&lt;&gt;"","?FAMILIAR",IF(F4219="NEW",IF(ISNA(VLOOKUP(E4219,#REF!,1,FALSE())),"?TYPE_IDENTIFIABLE","?REFERENTIAL"),"_")))))</f>
        <v> </v>
      </c>
      <c r="H4219" s="25" t="str">
        <f>IF(J4219&lt;&gt;1,"",IF(I4219="SBJ","CB","?"))</f>
        <v> </v>
      </c>
      <c r="I4219" s="26" t="str">
        <f>IF(OR(E4219="",E4219="!!!",F4219="NEW"),"",INDEX(B4218:B$2,-1+SUMPRODUCT(MAX(ROW(E4218:E$2)*(E4219=E4218:E$2)))))</f>
        <v> </v>
      </c>
      <c r="J4219" s="26" t="str">
        <f>IF(OR(E4219="",E4219="!!!",F4219="NEW"),"",COUNTBLANK(OFFSET(A$1,,,SUMPRODUCT(MAX(ROW(E$2:E4219)*(E4219=E$2:E4219)))))-COUNTBLANK(OFFSET(A$1,,,SUMPRODUCT(MAX(ROW(E$1:E4218)*(E2=E$1:E4218))))))</f>
        <v> </v>
      </c>
      <c r="K4219" s="26" t="str">
        <f>IF(OR(E4219="",E4219="!!!",F4219="NEW"),"",INDEX(J$1:J4218,SUMPRODUCT(MAX(ROW(E$1:E4218)*(E4219=E$1:E4218)))))</f>
        <v> </v>
      </c>
      <c r="L4219" s="27"/>
    </row>
    <row r="4220" spans="1:12">
      <c r="A4220" s="20" t="s">
        <v>1852</v>
      </c>
      <c r="B4220" s="21" t="s">
        <v>1221</v>
      </c>
      <c r="C4220" s="21" t="s">
        <v>1216</v>
      </c>
      <c r="D4220" s="21" t="s">
        <v>1217</v>
      </c>
      <c r="E4220" s="22">
        <f>IF(D4220="?OLD","!!!","")</f>
        <v/>
      </c>
      <c r="F4220" s="23" t="str">
        <f>IF(OR(E4220="",E4220="!!!"),"",IF(NOT(ISNA(VLOOKUP(E4220,E$1:E4219,1,FALSE()))),"OLD",IF(AND(E4220&lt;&gt;"",E4220&lt;&gt;"!!!"),"NEW","")))</f>
        <v> </v>
      </c>
      <c r="G4220" s="24" t="str">
        <f>IF(OR(E4220="",E4220="!!!"),"",IF(OR(J4220=0,AND(J4220=1,K4220=1),AND(J4220=1,I4220="SBJ"),AND(J4220=1,I4220=0)),"?IN_FOCUS",IF(J4220&lt;=2,"?ACTIVATED",IF(J4220&lt;&gt;"","?FAMILIAR",IF(F4220="NEW",IF(ISNA(VLOOKUP(E4220,#REF!,1,FALSE())),"?TYPE_IDENTIFIABLE","?REFERENTIAL"),"_")))))</f>
        <v> </v>
      </c>
      <c r="H4220" s="25" t="str">
        <f>IF(J4220&lt;&gt;1,"",IF(I4220="SBJ","CB","?"))</f>
        <v> </v>
      </c>
      <c r="I4220" s="26" t="str">
        <f>IF(OR(E4220="",E4220="!!!",F4220="NEW"),"",INDEX(B4219:B$2,-1+SUMPRODUCT(MAX(ROW(E4219:E$2)*(E4220=E4219:E$2)))))</f>
        <v> </v>
      </c>
      <c r="J4220" s="26" t="str">
        <f>IF(OR(E4220="",E4220="!!!",F4220="NEW"),"",COUNTBLANK(OFFSET(A$1,,,SUMPRODUCT(MAX(ROW(E$2:E4220)*(E4220=E$2:E4220)))))-COUNTBLANK(OFFSET(A$1,,,SUMPRODUCT(MAX(ROW(E$1:E4219)*(E2=E$1:E4219))))))</f>
        <v> </v>
      </c>
      <c r="K4220" s="26" t="str">
        <f>IF(OR(E4220="",E4220="!!!",F4220="NEW"),"",INDEX(J$1:J4219,SUMPRODUCT(MAX(ROW(E$1:E4219)*(E4220=E$1:E4219)))))</f>
        <v> </v>
      </c>
      <c r="L4220" s="27"/>
    </row>
    <row r="4221" spans="1:12">
      <c r="A4221" s="20" t="s">
        <v>1277</v>
      </c>
      <c r="E4221" s="22">
        <f>IF(D4221="?OLD","!!!","")</f>
        <v/>
      </c>
      <c r="F4221" s="23" t="str">
        <f>IF(OR(E4221="",E4221="!!!"),"",IF(NOT(ISNA(VLOOKUP(E4221,E$1:E4220,1,FALSE()))),"OLD",IF(AND(E4221&lt;&gt;"",E4221&lt;&gt;"!!!"),"NEW","")))</f>
        <v> </v>
      </c>
      <c r="G4221" s="24" t="str">
        <f>IF(OR(E4221="",E4221="!!!"),"",IF(OR(J4221=0,AND(J4221=1,K4221=1),AND(J4221=1,I4221="SBJ"),AND(J4221=1,I4221=0)),"?IN_FOCUS",IF(J4221&lt;=2,"?ACTIVATED",IF(J4221&lt;&gt;"","?FAMILIAR",IF(F4221="NEW",IF(ISNA(VLOOKUP(E4221,#REF!,1,FALSE())),"?TYPE_IDENTIFIABLE","?REFERENTIAL"),"_")))))</f>
        <v> </v>
      </c>
      <c r="H4221" s="25" t="str">
        <f>IF(J4221&lt;&gt;1,"",IF(I4221="SBJ","CB","?"))</f>
        <v> </v>
      </c>
      <c r="I4221" s="26" t="str">
        <f>IF(OR(E4221="",E4221="!!!",F4221="NEW"),"",INDEX(B4220:B$2,-1+SUMPRODUCT(MAX(ROW(E4220:E$2)*(E4221=E4220:E$2)))))</f>
        <v> </v>
      </c>
      <c r="J4221" s="26" t="str">
        <f>IF(OR(E4221="",E4221="!!!",F4221="NEW"),"",COUNTBLANK(OFFSET(A$1,,,SUMPRODUCT(MAX(ROW(E$2:E4221)*(E4221=E$2:E4221)))))-COUNTBLANK(OFFSET(A$1,,,SUMPRODUCT(MAX(ROW(E$1:E4220)*(E2=E$1:E4220))))))</f>
        <v> </v>
      </c>
      <c r="K4221" s="26" t="str">
        <f>IF(OR(E4221="",E4221="!!!",F4221="NEW"),"",INDEX(J$1:J4220,SUMPRODUCT(MAX(ROW(E$1:E4220)*(E4221=E$1:E4220)))))</f>
        <v> </v>
      </c>
      <c r="L4221" s="27"/>
    </row>
    <row r="4222" spans="1:12">
      <c r="A4222" s="20" t="s">
        <v>1227</v>
      </c>
      <c r="E4222" s="22">
        <f>IF(D4222="?OLD","!!!","")</f>
        <v/>
      </c>
      <c r="F4222" s="23" t="str">
        <f>IF(OR(E4222="",E4222="!!!"),"",IF(NOT(ISNA(VLOOKUP(E4222,E$1:E4221,1,FALSE()))),"OLD",IF(AND(E4222&lt;&gt;"",E4222&lt;&gt;"!!!"),"NEW","")))</f>
        <v> </v>
      </c>
      <c r="G4222" s="24" t="str">
        <f>IF(OR(E4222="",E4222="!!!"),"",IF(OR(J4222=0,AND(J4222=1,K4222=1),AND(J4222=1,I4222="SBJ"),AND(J4222=1,I4222=0)),"?IN_FOCUS",IF(J4222&lt;=2,"?ACTIVATED",IF(J4222&lt;&gt;"","?FAMILIAR",IF(F4222="NEW",IF(ISNA(VLOOKUP(E4222,#REF!,1,FALSE())),"?TYPE_IDENTIFIABLE","?REFERENTIAL"),"_")))))</f>
        <v> </v>
      </c>
      <c r="H4222" s="25" t="str">
        <f>IF(J4222&lt;&gt;1,"",IF(I4222="SBJ","CB","?"))</f>
        <v> </v>
      </c>
      <c r="I4222" s="26" t="str">
        <f>IF(OR(E4222="",E4222="!!!",F4222="NEW"),"",INDEX(B4221:B$2,-1+SUMPRODUCT(MAX(ROW(E4221:E$2)*(E4222=E4221:E$2)))))</f>
        <v> </v>
      </c>
      <c r="J4222" s="26" t="str">
        <f>IF(OR(E4222="",E4222="!!!",F4222="NEW"),"",COUNTBLANK(OFFSET(A$1,,,SUMPRODUCT(MAX(ROW(E$2:E4222)*(E4222=E$2:E4222)))))-COUNTBLANK(OFFSET(A$1,,,SUMPRODUCT(MAX(ROW(E$1:E4221)*(E2=E$1:E4221))))))</f>
        <v> </v>
      </c>
      <c r="K4222" s="26" t="str">
        <f>IF(OR(E4222="",E4222="!!!",F4222="NEW"),"",INDEX(J$1:J4221,SUMPRODUCT(MAX(ROW(E$1:E4221)*(E4222=E$1:E4221)))))</f>
        <v> </v>
      </c>
      <c r="L4222" s="27"/>
    </row>
    <row r="4223" spans="1:12">
      <c r="A4223" s="20" t="s">
        <v>1314</v>
      </c>
      <c r="B4223" s="21" t="s">
        <v>1283</v>
      </c>
      <c r="C4223" s="21" t="s">
        <v>1255</v>
      </c>
      <c r="D4223" s="21" t="s">
        <v>1217</v>
      </c>
      <c r="E4223" s="22">
        <f>IF(D4223="?OLD","!!!","")</f>
        <v/>
      </c>
      <c r="F4223" s="23" t="str">
        <f>IF(OR(E4223="",E4223="!!!"),"",IF(NOT(ISNA(VLOOKUP(E4223,E$1:E4222,1,FALSE()))),"OLD",IF(AND(E4223&lt;&gt;"",E4223&lt;&gt;"!!!"),"NEW","")))</f>
        <v> </v>
      </c>
      <c r="G4223" s="24" t="str">
        <f>IF(OR(E4223="",E4223="!!!"),"",IF(OR(J4223=0,AND(J4223=1,K4223=1),AND(J4223=1,I4223="SBJ"),AND(J4223=1,I4223=0)),"?IN_FOCUS",IF(J4223&lt;=2,"?ACTIVATED",IF(J4223&lt;&gt;"","?FAMILIAR",IF(F4223="NEW",IF(ISNA(VLOOKUP(E4223,#REF!,1,FALSE())),"?TYPE_IDENTIFIABLE","?REFERENTIAL"),"_")))))</f>
        <v> </v>
      </c>
      <c r="H4223" s="25" t="str">
        <f>IF(J4223&lt;&gt;1,"",IF(I4223="SBJ","CB","?"))</f>
        <v> </v>
      </c>
      <c r="I4223" s="26" t="str">
        <f>IF(OR(E4223="",E4223="!!!",F4223="NEW"),"",INDEX(B4222:B$2,-1+SUMPRODUCT(MAX(ROW(E4222:E$2)*(E4223=E4222:E$2)))))</f>
        <v> </v>
      </c>
      <c r="J4223" s="26" t="str">
        <f>IF(OR(E4223="",E4223="!!!",F4223="NEW"),"",COUNTBLANK(OFFSET(A$1,,,SUMPRODUCT(MAX(ROW(E$2:E4223)*(E4223=E$2:E4223)))))-COUNTBLANK(OFFSET(A$1,,,SUMPRODUCT(MAX(ROW(E$1:E4222)*(E2=E$1:E4222))))))</f>
        <v> </v>
      </c>
      <c r="K4223" s="26" t="str">
        <f>IF(OR(E4223="",E4223="!!!",F4223="NEW"),"",INDEX(J$1:J4222,SUMPRODUCT(MAX(ROW(E$1:E4222)*(E4223=E$1:E4222)))))</f>
        <v> </v>
      </c>
      <c r="L4223" s="27"/>
    </row>
    <row r="4224" spans="1:12">
      <c r="A4224" s="20" t="s">
        <v>1749</v>
      </c>
      <c r="E4224" s="22">
        <f>IF(D4224="?OLD","!!!","")</f>
        <v/>
      </c>
      <c r="F4224" s="23" t="str">
        <f>IF(OR(E4224="",E4224="!!!"),"",IF(NOT(ISNA(VLOOKUP(E4224,E$1:E4223,1,FALSE()))),"OLD",IF(AND(E4224&lt;&gt;"",E4224&lt;&gt;"!!!"),"NEW","")))</f>
        <v> </v>
      </c>
      <c r="G4224" s="24" t="str">
        <f>IF(OR(E4224="",E4224="!!!"),"",IF(OR(J4224=0,AND(J4224=1,K4224=1),AND(J4224=1,I4224="SBJ"),AND(J4224=1,I4224=0)),"?IN_FOCUS",IF(J4224&lt;=2,"?ACTIVATED",IF(J4224&lt;&gt;"","?FAMILIAR",IF(F4224="NEW",IF(ISNA(VLOOKUP(E4224,#REF!,1,FALSE())),"?TYPE_IDENTIFIABLE","?REFERENTIAL"),"_")))))</f>
        <v> </v>
      </c>
      <c r="H4224" s="25" t="str">
        <f>IF(J4224&lt;&gt;1,"",IF(I4224="SBJ","CB","?"))</f>
        <v> </v>
      </c>
      <c r="I4224" s="26" t="str">
        <f>IF(OR(E4224="",E4224="!!!",F4224="NEW"),"",INDEX(B4223:B$2,-1+SUMPRODUCT(MAX(ROW(E4223:E$2)*(E4224=E4223:E$2)))))</f>
        <v> </v>
      </c>
      <c r="J4224" s="26" t="str">
        <f>IF(OR(E4224="",E4224="!!!",F4224="NEW"),"",COUNTBLANK(OFFSET(A$1,,,SUMPRODUCT(MAX(ROW(E$2:E4224)*(E4224=E$2:E4224)))))-COUNTBLANK(OFFSET(A$1,,,SUMPRODUCT(MAX(ROW(E$1:E4223)*(E2=E$1:E4223))))))</f>
        <v> </v>
      </c>
      <c r="K4224" s="26" t="str">
        <f>IF(OR(E4224="",E4224="!!!",F4224="NEW"),"",INDEX(J$1:J4223,SUMPRODUCT(MAX(ROW(E$1:E4223)*(E4224=E$1:E4223)))))</f>
        <v> </v>
      </c>
      <c r="L4224" s="27"/>
    </row>
    <row r="4225" spans="1:12">
      <c r="A4225" s="20" t="s">
        <v>2637</v>
      </c>
      <c r="E4225" s="22">
        <f>IF(D4225="?OLD","!!!","")</f>
        <v/>
      </c>
      <c r="F4225" s="23" t="str">
        <f>IF(OR(E4225="",E4225="!!!"),"",IF(NOT(ISNA(VLOOKUP(E4225,E$1:E4224,1,FALSE()))),"OLD",IF(AND(E4225&lt;&gt;"",E4225&lt;&gt;"!!!"),"NEW","")))</f>
        <v> </v>
      </c>
      <c r="G4225" s="24" t="str">
        <f>IF(OR(E4225="",E4225="!!!"),"",IF(OR(J4225=0,AND(J4225=1,K4225=1),AND(J4225=1,I4225="SBJ"),AND(J4225=1,I4225=0)),"?IN_FOCUS",IF(J4225&lt;=2,"?ACTIVATED",IF(J4225&lt;&gt;"","?FAMILIAR",IF(F4225="NEW",IF(ISNA(VLOOKUP(E4225,#REF!,1,FALSE())),"?TYPE_IDENTIFIABLE","?REFERENTIAL"),"_")))))</f>
        <v> </v>
      </c>
      <c r="H4225" s="25" t="str">
        <f>IF(J4225&lt;&gt;1,"",IF(I4225="SBJ","CB","?"))</f>
        <v> </v>
      </c>
      <c r="I4225" s="26" t="str">
        <f>IF(OR(E4225="",E4225="!!!",F4225="NEW"),"",INDEX(B4224:B$2,-1+SUMPRODUCT(MAX(ROW(E4224:E$2)*(E4225=E4224:E$2)))))</f>
        <v> </v>
      </c>
      <c r="J4225" s="26" t="str">
        <f>IF(OR(E4225="",E4225="!!!",F4225="NEW"),"",COUNTBLANK(OFFSET(A$1,,,SUMPRODUCT(MAX(ROW(E$2:E4225)*(E4225=E$2:E4225)))))-COUNTBLANK(OFFSET(A$1,,,SUMPRODUCT(MAX(ROW(E$1:E4224)*(E2=E$1:E4224))))))</f>
        <v> </v>
      </c>
      <c r="K4225" s="26" t="str">
        <f>IF(OR(E4225="",E4225="!!!",F4225="NEW"),"",INDEX(J$1:J4224,SUMPRODUCT(MAX(ROW(E$1:E4224)*(E4225=E$1:E4224)))))</f>
        <v> </v>
      </c>
      <c r="L4225" s="27"/>
    </row>
    <row r="4226" spans="1:12">
      <c r="A4226" s="20" t="s">
        <v>1088</v>
      </c>
      <c r="E4226" s="22">
        <f>IF(D4226="?OLD","!!!","")</f>
        <v/>
      </c>
      <c r="F4226" s="23" t="str">
        <f>IF(OR(E4226="",E4226="!!!"),"",IF(NOT(ISNA(VLOOKUP(E4226,E$1:E4225,1,FALSE()))),"OLD",IF(AND(E4226&lt;&gt;"",E4226&lt;&gt;"!!!"),"NEW","")))</f>
        <v> </v>
      </c>
      <c r="G4226" s="24" t="str">
        <f>IF(OR(E4226="",E4226="!!!"),"",IF(OR(J4226=0,AND(J4226=1,K4226=1),AND(J4226=1,I4226="SBJ"),AND(J4226=1,I4226=0)),"?IN_FOCUS",IF(J4226&lt;=2,"?ACTIVATED",IF(J4226&lt;&gt;"","?FAMILIAR",IF(F4226="NEW",IF(ISNA(VLOOKUP(E4226,#REF!,1,FALSE())),"?TYPE_IDENTIFIABLE","?REFERENTIAL"),"_")))))</f>
        <v> </v>
      </c>
      <c r="H4226" s="25" t="str">
        <f>IF(J4226&lt;&gt;1,"",IF(I4226="SBJ","CB","?"))</f>
        <v> </v>
      </c>
      <c r="I4226" s="26" t="str">
        <f>IF(OR(E4226="",E4226="!!!",F4226="NEW"),"",INDEX(B4225:B$2,-1+SUMPRODUCT(MAX(ROW(E4225:E$2)*(E4226=E4225:E$2)))))</f>
        <v> </v>
      </c>
      <c r="J4226" s="26" t="str">
        <f>IF(OR(E4226="",E4226="!!!",F4226="NEW"),"",COUNTBLANK(OFFSET(A$1,,,SUMPRODUCT(MAX(ROW(E$2:E4226)*(E4226=E$2:E4226)))))-COUNTBLANK(OFFSET(A$1,,,SUMPRODUCT(MAX(ROW(E$1:E4225)*(E2=E$1:E4225))))))</f>
        <v> </v>
      </c>
      <c r="K4226" s="26" t="str">
        <f>IF(OR(E4226="",E4226="!!!",F4226="NEW"),"",INDEX(J$1:J4225,SUMPRODUCT(MAX(ROW(E$1:E4225)*(E4226=E$1:E4225)))))</f>
        <v> </v>
      </c>
      <c r="L4226" s="27"/>
    </row>
    <row r="4227" spans="1:12">
      <c r="A4227" s="20" t="s">
        <v>1228</v>
      </c>
      <c r="E4227" s="22">
        <f>IF(D4227="?OLD","!!!","")</f>
        <v/>
      </c>
      <c r="F4227" s="23" t="str">
        <f>IF(OR(E4227="",E4227="!!!"),"",IF(NOT(ISNA(VLOOKUP(E4227,E$1:E4226,1,FALSE()))),"OLD",IF(AND(E4227&lt;&gt;"",E4227&lt;&gt;"!!!"),"NEW","")))</f>
        <v> </v>
      </c>
      <c r="G4227" s="24" t="str">
        <f>IF(OR(E4227="",E4227="!!!"),"",IF(OR(J4227=0,AND(J4227=1,K4227=1),AND(J4227=1,I4227="SBJ"),AND(J4227=1,I4227=0)),"?IN_FOCUS",IF(J4227&lt;=2,"?ACTIVATED",IF(J4227&lt;&gt;"","?FAMILIAR",IF(F4227="NEW",IF(ISNA(VLOOKUP(E4227,#REF!,1,FALSE())),"?TYPE_IDENTIFIABLE","?REFERENTIAL"),"_")))))</f>
        <v> </v>
      </c>
      <c r="H4227" s="25" t="str">
        <f>IF(J4227&lt;&gt;1,"",IF(I4227="SBJ","CB","?"))</f>
        <v> </v>
      </c>
      <c r="I4227" s="26" t="str">
        <f>IF(OR(E4227="",E4227="!!!",F4227="NEW"),"",INDEX(B4226:B$2,-1+SUMPRODUCT(MAX(ROW(E4226:E$2)*(E4227=E4226:E$2)))))</f>
        <v> </v>
      </c>
      <c r="J4227" s="26" t="str">
        <f>IF(OR(E4227="",E4227="!!!",F4227="NEW"),"",COUNTBLANK(OFFSET(A$1,,,SUMPRODUCT(MAX(ROW(E$2:E4227)*(E4227=E$2:E4227)))))-COUNTBLANK(OFFSET(A$1,,,SUMPRODUCT(MAX(ROW(E$1:E4226)*(E2=E$1:E4226))))))</f>
        <v> </v>
      </c>
      <c r="K4227" s="26" t="str">
        <f>IF(OR(E4227="",E4227="!!!",F4227="NEW"),"",INDEX(J$1:J4226,SUMPRODUCT(MAX(ROW(E$1:E4226)*(E4227=E$1:E4226)))))</f>
        <v> </v>
      </c>
      <c r="L4227" s="27"/>
    </row>
    <row r="4228" spans="1:12">
      <c r="A4228" s="20" t="s">
        <v>2638</v>
      </c>
      <c r="B4228" s="21" t="s">
        <v>1292</v>
      </c>
      <c r="C4228" s="21" t="s">
        <v>1269</v>
      </c>
      <c r="D4228" s="21" t="s">
        <v>1217</v>
      </c>
      <c r="E4228" s="22">
        <f>IF(D4228="?OLD","!!!","")</f>
        <v/>
      </c>
      <c r="F4228" s="23" t="str">
        <f>IF(OR(E4228="",E4228="!!!"),"",IF(NOT(ISNA(VLOOKUP(E4228,E$1:E4227,1,FALSE()))),"OLD",IF(AND(E4228&lt;&gt;"",E4228&lt;&gt;"!!!"),"NEW","")))</f>
        <v> </v>
      </c>
      <c r="G4228" s="24" t="str">
        <f>IF(OR(E4228="",E4228="!!!"),"",IF(OR(J4228=0,AND(J4228=1,K4228=1),AND(J4228=1,I4228="SBJ"),AND(J4228=1,I4228=0)),"?IN_FOCUS",IF(J4228&lt;=2,"?ACTIVATED",IF(J4228&lt;&gt;"","?FAMILIAR",IF(F4228="NEW",IF(ISNA(VLOOKUP(E4228,#REF!,1,FALSE())),"?TYPE_IDENTIFIABLE","?REFERENTIAL"),"_")))))</f>
        <v> </v>
      </c>
      <c r="H4228" s="25" t="str">
        <f>IF(J4228&lt;&gt;1,"",IF(I4228="SBJ","CB","?"))</f>
        <v> </v>
      </c>
      <c r="I4228" s="26" t="str">
        <f>IF(OR(E4228="",E4228="!!!",F4228="NEW"),"",INDEX(B4227:B$2,-1+SUMPRODUCT(MAX(ROW(E4227:E$2)*(E4228=E4227:E$2)))))</f>
        <v> </v>
      </c>
      <c r="J4228" s="26" t="str">
        <f>IF(OR(E4228="",E4228="!!!",F4228="NEW"),"",COUNTBLANK(OFFSET(A$1,,,SUMPRODUCT(MAX(ROW(E$2:E4228)*(E4228=E$2:E4228)))))-COUNTBLANK(OFFSET(A$1,,,SUMPRODUCT(MAX(ROW(E$1:E4227)*(E2=E$1:E4227))))))</f>
        <v> </v>
      </c>
      <c r="K4228" s="26" t="str">
        <f>IF(OR(E4228="",E4228="!!!",F4228="NEW"),"",INDEX(J$1:J4227,SUMPRODUCT(MAX(ROW(E$1:E4227)*(E4228=E$1:E4227)))))</f>
        <v> </v>
      </c>
      <c r="L4228" s="27"/>
    </row>
    <row r="4229" spans="1:12">
      <c r="A4229" s="20" t="s">
        <v>1358</v>
      </c>
      <c r="B4229" s="21" t="s">
        <v>1894</v>
      </c>
      <c r="E4229" s="22">
        <f>IF(D4229="?OLD","!!!","")</f>
        <v/>
      </c>
      <c r="F4229" s="23" t="str">
        <f>IF(OR(E4229="",E4229="!!!"),"",IF(NOT(ISNA(VLOOKUP(E4229,E$1:E4228,1,FALSE()))),"OLD",IF(AND(E4229&lt;&gt;"",E4229&lt;&gt;"!!!"),"NEW","")))</f>
        <v> </v>
      </c>
      <c r="G4229" s="24" t="str">
        <f>IF(OR(E4229="",E4229="!!!"),"",IF(OR(J4229=0,AND(J4229=1,K4229=1),AND(J4229=1,I4229="SBJ"),AND(J4229=1,I4229=0)),"?IN_FOCUS",IF(J4229&lt;=2,"?ACTIVATED",IF(J4229&lt;&gt;"","?FAMILIAR",IF(F4229="NEW",IF(ISNA(VLOOKUP(E4229,#REF!,1,FALSE())),"?TYPE_IDENTIFIABLE","?REFERENTIAL"),"_")))))</f>
        <v> </v>
      </c>
      <c r="H4229" s="25" t="str">
        <f>IF(J4229&lt;&gt;1,"",IF(I4229="SBJ","CB","?"))</f>
        <v> </v>
      </c>
      <c r="I4229" s="26" t="str">
        <f>IF(OR(E4229="",E4229="!!!",F4229="NEW"),"",INDEX(B4228:B$2,-1+SUMPRODUCT(MAX(ROW(E4228:E$2)*(E4229=E4228:E$2)))))</f>
        <v> </v>
      </c>
      <c r="J4229" s="26" t="str">
        <f>IF(OR(E4229="",E4229="!!!",F4229="NEW"),"",COUNTBLANK(OFFSET(A$1,,,SUMPRODUCT(MAX(ROW(E$2:E4229)*(E4229=E$2:E4229)))))-COUNTBLANK(OFFSET(A$1,,,SUMPRODUCT(MAX(ROW(E$1:E4228)*(E2=E$1:E4228))))))</f>
        <v> </v>
      </c>
      <c r="K4229" s="26" t="str">
        <f>IF(OR(E4229="",E4229="!!!",F4229="NEW"),"",INDEX(J$1:J4228,SUMPRODUCT(MAX(ROW(E$1:E4228)*(E4229=E$1:E4228)))))</f>
        <v> </v>
      </c>
      <c r="L4229" s="27"/>
    </row>
    <row r="4230" spans="1:12">
      <c r="A4230" s="20" t="s">
        <v>565</v>
      </c>
      <c r="B4230" s="21" t="s">
        <v>1748</v>
      </c>
      <c r="C4230" s="21" t="s">
        <v>1255</v>
      </c>
      <c r="D4230" s="21" t="s">
        <v>1217</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1381</v>
      </c>
      <c r="B4231" s="21" t="s">
        <v>1894</v>
      </c>
      <c r="C4231" s="21" t="s">
        <v>1255</v>
      </c>
      <c r="D4231" s="21" t="s">
        <v>1217</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2639</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t="s">
        <v>1349</v>
      </c>
      <c r="E4233" s="22">
        <f>IF(D4233="?OLD","!!!","")</f>
        <v/>
      </c>
      <c r="F4233" s="23" t="str">
        <f>IF(OR(E4233="",E4233="!!!"),"",IF(NOT(ISNA(VLOOKUP(E4233,E$1:E4232,1,FALSE()))),"OLD",IF(AND(E4233&lt;&gt;"",E4233&lt;&gt;"!!!"),"NEW","")))</f>
        <v> </v>
      </c>
      <c r="G4233" s="24" t="str">
        <f>IF(OR(E4233="",E4233="!!!"),"",IF(OR(J4233=0,AND(J4233=1,K4233=1),AND(J4233=1,I4233="SBJ"),AND(J4233=1,I4233=0)),"?IN_FOCUS",IF(J4233&lt;=2,"?ACTIVATED",IF(J4233&lt;&gt;"","?FAMILIAR",IF(F4233="NEW",IF(ISNA(VLOOKUP(E4233,#REF!,1,FALSE())),"?TYPE_IDENTIFIABLE","?REFERENTIAL"),"_")))))</f>
        <v> </v>
      </c>
      <c r="H4233" s="25" t="str">
        <f>IF(J4233&lt;&gt;1,"",IF(I4233="SBJ","CB","?"))</f>
        <v> </v>
      </c>
      <c r="I4233" s="26" t="str">
        <f>IF(OR(E4233="",E4233="!!!",F4233="NEW"),"",INDEX(B4232:B$2,-1+SUMPRODUCT(MAX(ROW(E4232:E$2)*(E4233=E4232:E$2)))))</f>
        <v> </v>
      </c>
      <c r="J4233" s="26" t="str">
        <f>IF(OR(E4233="",E4233="!!!",F4233="NEW"),"",COUNTBLANK(OFFSET(A$1,,,SUMPRODUCT(MAX(ROW(E$2:E4233)*(E4233=E$2:E4233)))))-COUNTBLANK(OFFSET(A$1,,,SUMPRODUCT(MAX(ROW(E$1:E4232)*(E2=E$1:E4232))))))</f>
        <v> </v>
      </c>
      <c r="K4233" s="26" t="str">
        <f>IF(OR(E4233="",E4233="!!!",F4233="NEW"),"",INDEX(J$1:J4232,SUMPRODUCT(MAX(ROW(E$1:E4232)*(E4233=E$1:E4232)))))</f>
        <v> </v>
      </c>
      <c r="L4233" s="27"/>
    </row>
    <row r="4234" spans="1:12">
      <c r="A4234" s="20" t="s">
        <v>1503</v>
      </c>
      <c r="E4234" s="22">
        <f>IF(D4234="?OLD","!!!","")</f>
        <v/>
      </c>
      <c r="F4234" s="23" t="str">
        <f>IF(OR(E4234="",E4234="!!!"),"",IF(NOT(ISNA(VLOOKUP(E4234,E$1:E4233,1,FALSE()))),"OLD",IF(AND(E4234&lt;&gt;"",E4234&lt;&gt;"!!!"),"NEW","")))</f>
        <v> </v>
      </c>
      <c r="G4234" s="24" t="str">
        <f>IF(OR(E4234="",E4234="!!!"),"",IF(OR(J4234=0,AND(J4234=1,K4234=1),AND(J4234=1,I4234="SBJ"),AND(J4234=1,I4234=0)),"?IN_FOCUS",IF(J4234&lt;=2,"?ACTIVATED",IF(J4234&lt;&gt;"","?FAMILIAR",IF(F4234="NEW",IF(ISNA(VLOOKUP(E4234,#REF!,1,FALSE())),"?TYPE_IDENTIFIABLE","?REFERENTIAL"),"_")))))</f>
        <v> </v>
      </c>
      <c r="H4234" s="25" t="str">
        <f>IF(J4234&lt;&gt;1,"",IF(I4234="SBJ","CB","?"))</f>
        <v> </v>
      </c>
      <c r="I4234" s="26" t="str">
        <f>IF(OR(E4234="",E4234="!!!",F4234="NEW"),"",INDEX(B4233:B$2,-1+SUMPRODUCT(MAX(ROW(E4233:E$2)*(E4234=E4233:E$2)))))</f>
        <v> </v>
      </c>
      <c r="J4234" s="26" t="str">
        <f>IF(OR(E4234="",E4234="!!!",F4234="NEW"),"",COUNTBLANK(OFFSET(A$1,,,SUMPRODUCT(MAX(ROW(E$2:E4234)*(E4234=E$2:E4234)))))-COUNTBLANK(OFFSET(A$1,,,SUMPRODUCT(MAX(ROW(E$1:E4233)*(E2=E$1:E4233))))))</f>
        <v> </v>
      </c>
      <c r="K4234" s="26" t="str">
        <f>IF(OR(E4234="",E4234="!!!",F4234="NEW"),"",INDEX(J$1:J4233,SUMPRODUCT(MAX(ROW(E$1:E4233)*(E4234=E$1:E4233)))))</f>
        <v> </v>
      </c>
      <c r="L4234" s="27"/>
    </row>
    <row r="4235" spans="1:12">
      <c r="A4235" s="20"/>
    </row>
    <row r="4236" spans="1:12">
      <c r="A4236" s="20" t="s">
        <v>2640</v>
      </c>
    </row>
    <row r="4237" spans="1:12">
      <c r="A4237" s="20" t="s">
        <v>2641</v>
      </c>
      <c r="E4237" s="22">
        <f>IF(D4237="?OLD","!!!","")</f>
        <v/>
      </c>
      <c r="F4237" s="23" t="str">
        <f>IF(OR(E4237="",E4237="!!!"),"",IF(NOT(ISNA(VLOOKUP(E4237,E$1:E4236,1,FALSE()))),"OLD",IF(AND(E4237&lt;&gt;"",E4237&lt;&gt;"!!!"),"NEW","")))</f>
        <v> </v>
      </c>
      <c r="G4237" s="24" t="str">
        <f>IF(OR(E4237="",E4237="!!!"),"",IF(OR(J4237=0,AND(J4237=1,K4237=1),AND(J4237=1,I4237="SBJ"),AND(J4237=1,I4237=0)),"?IN_FOCUS",IF(J4237&lt;=2,"?ACTIVATED",IF(J4237&lt;&gt;"","?FAMILIAR",IF(F4237="NEW",IF(ISNA(VLOOKUP(E4237,#REF!,1,FALSE())),"?TYPE_IDENTIFIABLE","?REFERENTIAL"),"_")))))</f>
        <v> </v>
      </c>
      <c r="H4237" s="25" t="str">
        <f>IF(J4237&lt;&gt;1,"",IF(I4237="SBJ","CB","?"))</f>
        <v> </v>
      </c>
      <c r="I4237" s="26" t="str">
        <f>IF(OR(E4237="",E4237="!!!",F4237="NEW"),"",INDEX(B4236:B$2,-1+SUMPRODUCT(MAX(ROW(E4236:E$2)*(E4237=E4236:E$2)))))</f>
        <v> </v>
      </c>
      <c r="J4237" s="26" t="str">
        <f>IF(OR(E4237="",E4237="!!!",F4237="NEW"),"",COUNTBLANK(OFFSET(A$1,,,SUMPRODUCT(MAX(ROW(E$2:E4237)*(E4237=E$2:E4237)))))-COUNTBLANK(OFFSET(A$1,,,SUMPRODUCT(MAX(ROW(E$1:E4236)*(E2=E$1:E4236))))))</f>
        <v> </v>
      </c>
      <c r="K4237" s="26" t="str">
        <f>IF(OR(E4237="",E4237="!!!",F4237="NEW"),"",INDEX(J$1:J4236,SUMPRODUCT(MAX(ROW(E$1:E4236)*(E4237=E$1:E4236)))))</f>
        <v> </v>
      </c>
      <c r="L4237" s="27"/>
    </row>
    <row r="4238" spans="1:12">
      <c r="A4238" s="20" t="s">
        <v>1277</v>
      </c>
      <c r="E4238" s="22">
        <f>IF(D4238="?OLD","!!!","")</f>
        <v/>
      </c>
      <c r="F4238" s="23" t="str">
        <f>IF(OR(E4238="",E4238="!!!"),"",IF(NOT(ISNA(VLOOKUP(E4238,E$1:E4237,1,FALSE()))),"OLD",IF(AND(E4238&lt;&gt;"",E4238&lt;&gt;"!!!"),"NEW","")))</f>
        <v> </v>
      </c>
      <c r="G4238" s="24" t="str">
        <f>IF(OR(E4238="",E4238="!!!"),"",IF(OR(J4238=0,AND(J4238=1,K4238=1),AND(J4238=1,I4238="SBJ"),AND(J4238=1,I4238=0)),"?IN_FOCUS",IF(J4238&lt;=2,"?ACTIVATED",IF(J4238&lt;&gt;"","?FAMILIAR",IF(F4238="NEW",IF(ISNA(VLOOKUP(E4238,#REF!,1,FALSE())),"?TYPE_IDENTIFIABLE","?REFERENTIAL"),"_")))))</f>
        <v> </v>
      </c>
      <c r="H4238" s="25" t="str">
        <f>IF(J4238&lt;&gt;1,"",IF(I4238="SBJ","CB","?"))</f>
        <v> </v>
      </c>
      <c r="I4238" s="26" t="str">
        <f>IF(OR(E4238="",E4238="!!!",F4238="NEW"),"",INDEX(B4237:B$2,-1+SUMPRODUCT(MAX(ROW(E4237:E$2)*(E4238=E4237:E$2)))))</f>
        <v> </v>
      </c>
      <c r="J4238" s="26" t="str">
        <f>IF(OR(E4238="",E4238="!!!",F4238="NEW"),"",COUNTBLANK(OFFSET(A$1,,,SUMPRODUCT(MAX(ROW(E$2:E4238)*(E4238=E$2:E4238)))))-COUNTBLANK(OFFSET(A$1,,,SUMPRODUCT(MAX(ROW(E$1:E4237)*(E2=E$1:E4237))))))</f>
        <v> </v>
      </c>
      <c r="K4238" s="26" t="str">
        <f>IF(OR(E4238="",E4238="!!!",F4238="NEW"),"",INDEX(J$1:J4237,SUMPRODUCT(MAX(ROW(E$1:E4237)*(E4238=E$1:E4237)))))</f>
        <v> </v>
      </c>
      <c r="L4238" s="27"/>
    </row>
    <row r="4239" spans="1:12">
      <c r="A4239" s="20" t="s">
        <v>1743</v>
      </c>
      <c r="B4239" s="21" t="s">
        <v>1221</v>
      </c>
      <c r="C4239" s="21" t="s">
        <v>1242</v>
      </c>
      <c r="D4239" s="21" t="s">
        <v>1217</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2642</v>
      </c>
      <c r="B4240" s="21" t="s">
        <v>1215</v>
      </c>
      <c r="C4240" s="21" t="s">
        <v>1222</v>
      </c>
      <c r="D4240" s="21" t="s">
        <v>1217</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1474</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t="s">
        <v>1599</v>
      </c>
      <c r="E4242" s="22">
        <f>IF(D4242="?OLD","!!!","")</f>
        <v/>
      </c>
      <c r="F4242" s="23" t="str">
        <f>IF(OR(E4242="",E4242="!!!"),"",IF(NOT(ISNA(VLOOKUP(E4242,E$1:E4241,1,FALSE()))),"OLD",IF(AND(E4242&lt;&gt;"",E4242&lt;&gt;"!!!"),"NEW","")))</f>
        <v> </v>
      </c>
      <c r="G4242" s="24" t="str">
        <f>IF(OR(E4242="",E4242="!!!"),"",IF(OR(J4242=0,AND(J4242=1,K4242=1),AND(J4242=1,I4242="SBJ"),AND(J4242=1,I4242=0)),"?IN_FOCUS",IF(J4242&lt;=2,"?ACTIVATED",IF(J4242&lt;&gt;"","?FAMILIAR",IF(F4242="NEW",IF(ISNA(VLOOKUP(E4242,#REF!,1,FALSE())),"?TYPE_IDENTIFIABLE","?REFERENTIAL"),"_")))))</f>
        <v> </v>
      </c>
      <c r="H4242" s="25" t="str">
        <f>IF(J4242&lt;&gt;1,"",IF(I4242="SBJ","CB","?"))</f>
        <v> </v>
      </c>
      <c r="I4242" s="26" t="str">
        <f>IF(OR(E4242="",E4242="!!!",F4242="NEW"),"",INDEX(B4241:B$2,-1+SUMPRODUCT(MAX(ROW(E4241:E$2)*(E4242=E4241:E$2)))))</f>
        <v> </v>
      </c>
      <c r="J4242" s="26" t="str">
        <f>IF(OR(E4242="",E4242="!!!",F4242="NEW"),"",COUNTBLANK(OFFSET(A$1,,,SUMPRODUCT(MAX(ROW(E$2:E4242)*(E4242=E$2:E4242)))))-COUNTBLANK(OFFSET(A$1,,,SUMPRODUCT(MAX(ROW(E$1:E4241)*(E2=E$1:E4241))))))</f>
        <v> </v>
      </c>
      <c r="K4242" s="26" t="str">
        <f>IF(OR(E4242="",E4242="!!!",F4242="NEW"),"",INDEX(J$1:J4241,SUMPRODUCT(MAX(ROW(E$1:E4241)*(E4242=E$1:E4241)))))</f>
        <v> </v>
      </c>
      <c r="L4242" s="27"/>
    </row>
    <row r="4243" spans="1:12">
      <c r="A4243" s="20" t="s">
        <v>2643</v>
      </c>
      <c r="E4243" s="22">
        <f>IF(D4243="?OLD","!!!","")</f>
        <v/>
      </c>
      <c r="F4243" s="23" t="str">
        <f>IF(OR(E4243="",E4243="!!!"),"",IF(NOT(ISNA(VLOOKUP(E4243,E$1:E4242,1,FALSE()))),"OLD",IF(AND(E4243&lt;&gt;"",E4243&lt;&gt;"!!!"),"NEW","")))</f>
        <v> </v>
      </c>
      <c r="G4243" s="24" t="str">
        <f>IF(OR(E4243="",E4243="!!!"),"",IF(OR(J4243=0,AND(J4243=1,K4243=1),AND(J4243=1,I4243="SBJ"),AND(J4243=1,I4243=0)),"?IN_FOCUS",IF(J4243&lt;=2,"?ACTIVATED",IF(J4243&lt;&gt;"","?FAMILIAR",IF(F4243="NEW",IF(ISNA(VLOOKUP(E4243,#REF!,1,FALSE())),"?TYPE_IDENTIFIABLE","?REFERENTIAL"),"_")))))</f>
        <v> </v>
      </c>
      <c r="H4243" s="25" t="str">
        <f>IF(J4243&lt;&gt;1,"",IF(I4243="SBJ","CB","?"))</f>
        <v> </v>
      </c>
      <c r="I4243" s="26" t="str">
        <f>IF(OR(E4243="",E4243="!!!",F4243="NEW"),"",INDEX(B4242:B$2,-1+SUMPRODUCT(MAX(ROW(E4242:E$2)*(E4243=E4242:E$2)))))</f>
        <v> </v>
      </c>
      <c r="J4243" s="26" t="str">
        <f>IF(OR(E4243="",E4243="!!!",F4243="NEW"),"",COUNTBLANK(OFFSET(A$1,,,SUMPRODUCT(MAX(ROW(E$2:E4243)*(E4243=E$2:E4243)))))-COUNTBLANK(OFFSET(A$1,,,SUMPRODUCT(MAX(ROW(E$1:E4242)*(E2=E$1:E4242))))))</f>
        <v> </v>
      </c>
      <c r="K4243" s="26" t="str">
        <f>IF(OR(E4243="",E4243="!!!",F4243="NEW"),"",INDEX(J$1:J4242,SUMPRODUCT(MAX(ROW(E$1:E4242)*(E4243=E$1:E4242)))))</f>
        <v> </v>
      </c>
      <c r="L4243" s="27"/>
    </row>
    <row r="4244" spans="1:12">
      <c r="A4244" s="20" t="s">
        <v>1277</v>
      </c>
      <c r="E4244" s="22">
        <f>IF(D4244="?OLD","!!!","")</f>
        <v/>
      </c>
      <c r="F4244" s="23" t="str">
        <f>IF(OR(E4244="",E4244="!!!"),"",IF(NOT(ISNA(VLOOKUP(E4244,E$1:E4243,1,FALSE()))),"OLD",IF(AND(E4244&lt;&gt;"",E4244&lt;&gt;"!!!"),"NEW","")))</f>
        <v> </v>
      </c>
      <c r="G4244" s="24" t="str">
        <f>IF(OR(E4244="",E4244="!!!"),"",IF(OR(J4244=0,AND(J4244=1,K4244=1),AND(J4244=1,I4244="SBJ"),AND(J4244=1,I4244=0)),"?IN_FOCUS",IF(J4244&lt;=2,"?ACTIVATED",IF(J4244&lt;&gt;"","?FAMILIAR",IF(F4244="NEW",IF(ISNA(VLOOKUP(E4244,#REF!,1,FALSE())),"?TYPE_IDENTIFIABLE","?REFERENTIAL"),"_")))))</f>
        <v> </v>
      </c>
      <c r="H4244" s="25" t="str">
        <f>IF(J4244&lt;&gt;1,"",IF(I4244="SBJ","CB","?"))</f>
        <v> </v>
      </c>
      <c r="I4244" s="26" t="str">
        <f>IF(OR(E4244="",E4244="!!!",F4244="NEW"),"",INDEX(B4243:B$2,-1+SUMPRODUCT(MAX(ROW(E4243:E$2)*(E4244=E4243:E$2)))))</f>
        <v> </v>
      </c>
      <c r="J4244" s="26" t="str">
        <f>IF(OR(E4244="",E4244="!!!",F4244="NEW"),"",COUNTBLANK(OFFSET(A$1,,,SUMPRODUCT(MAX(ROW(E$2:E4244)*(E4244=E$2:E4244)))))-COUNTBLANK(OFFSET(A$1,,,SUMPRODUCT(MAX(ROW(E$1:E4243)*(E2=E$1:E4243))))))</f>
        <v> </v>
      </c>
      <c r="K4244" s="26" t="str">
        <f>IF(OR(E4244="",E4244="!!!",F4244="NEW"),"",INDEX(J$1:J4243,SUMPRODUCT(MAX(ROW(E$1:E4243)*(E4244=E$1:E4243)))))</f>
        <v> </v>
      </c>
      <c r="L4244" s="27"/>
    </row>
    <row r="4245" spans="1:12">
      <c r="A4245" s="20" t="s">
        <v>1286</v>
      </c>
      <c r="E4245" s="22">
        <f>IF(D4245="?OLD","!!!","")</f>
        <v/>
      </c>
      <c r="F4245" s="23" t="str">
        <f>IF(OR(E4245="",E4245="!!!"),"",IF(NOT(ISNA(VLOOKUP(E4245,E$1:E4244,1,FALSE()))),"OLD",IF(AND(E4245&lt;&gt;"",E4245&lt;&gt;"!!!"),"NEW","")))</f>
        <v> </v>
      </c>
      <c r="G4245" s="24" t="str">
        <f>IF(OR(E4245="",E4245="!!!"),"",IF(OR(J4245=0,AND(J4245=1,K4245=1),AND(J4245=1,I4245="SBJ"),AND(J4245=1,I4245=0)),"?IN_FOCUS",IF(J4245&lt;=2,"?ACTIVATED",IF(J4245&lt;&gt;"","?FAMILIAR",IF(F4245="NEW",IF(ISNA(VLOOKUP(E4245,#REF!,1,FALSE())),"?TYPE_IDENTIFIABLE","?REFERENTIAL"),"_")))))</f>
        <v> </v>
      </c>
      <c r="H4245" s="25" t="str">
        <f>IF(J4245&lt;&gt;1,"",IF(I4245="SBJ","CB","?"))</f>
        <v> </v>
      </c>
      <c r="I4245" s="26" t="str">
        <f>IF(OR(E4245="",E4245="!!!",F4245="NEW"),"",INDEX(B4244:B$2,-1+SUMPRODUCT(MAX(ROW(E4244:E$2)*(E4245=E4244:E$2)))))</f>
        <v> </v>
      </c>
      <c r="J4245" s="26" t="str">
        <f>IF(OR(E4245="",E4245="!!!",F4245="NEW"),"",COUNTBLANK(OFFSET(A$1,,,SUMPRODUCT(MAX(ROW(E$2:E4245)*(E4245=E$2:E4245)))))-COUNTBLANK(OFFSET(A$1,,,SUMPRODUCT(MAX(ROW(E$1:E4244)*(E2=E$1:E4244))))))</f>
        <v> </v>
      </c>
      <c r="K4245" s="26" t="str">
        <f>IF(OR(E4245="",E4245="!!!",F4245="NEW"),"",INDEX(J$1:J4244,SUMPRODUCT(MAX(ROW(E$1:E4244)*(E4245=E$1:E4244)))))</f>
        <v> </v>
      </c>
      <c r="L4245" s="27"/>
    </row>
    <row r="4246" spans="1:12">
      <c r="A4246" s="20" t="s">
        <v>1419</v>
      </c>
      <c r="B4246" s="21" t="s">
        <v>1229</v>
      </c>
      <c r="C4246" s="21" t="s">
        <v>1255</v>
      </c>
      <c r="D4246" s="21" t="s">
        <v>1217</v>
      </c>
      <c r="E4246" s="22">
        <f>IF(D4246="?OLD","!!!","")</f>
        <v/>
      </c>
      <c r="F4246" s="23" t="str">
        <f>IF(OR(E4246="",E4246="!!!"),"",IF(NOT(ISNA(VLOOKUP(E4246,E$1:E4245,1,FALSE()))),"OLD",IF(AND(E4246&lt;&gt;"",E4246&lt;&gt;"!!!"),"NEW","")))</f>
        <v> </v>
      </c>
      <c r="G4246" s="24" t="str">
        <f>IF(OR(E4246="",E4246="!!!"),"",IF(OR(J4246=0,AND(J4246=1,K4246=1),AND(J4246=1,I4246="SBJ"),AND(J4246=1,I4246=0)),"?IN_FOCUS",IF(J4246&lt;=2,"?ACTIVATED",IF(J4246&lt;&gt;"","?FAMILIAR",IF(F4246="NEW",IF(ISNA(VLOOKUP(E4246,#REF!,1,FALSE())),"?TYPE_IDENTIFIABLE","?REFERENTIAL"),"_")))))</f>
        <v> </v>
      </c>
      <c r="H4246" s="25" t="str">
        <f>IF(J4246&lt;&gt;1,"",IF(I4246="SBJ","CB","?"))</f>
        <v> </v>
      </c>
      <c r="I4246" s="26" t="str">
        <f>IF(OR(E4246="",E4246="!!!",F4246="NEW"),"",INDEX(B4245:B$2,-1+SUMPRODUCT(MAX(ROW(E4245:E$2)*(E4246=E4245:E$2)))))</f>
        <v> </v>
      </c>
      <c r="J4246" s="26" t="str">
        <f>IF(OR(E4246="",E4246="!!!",F4246="NEW"),"",COUNTBLANK(OFFSET(A$1,,,SUMPRODUCT(MAX(ROW(E$2:E4246)*(E4246=E$2:E4246)))))-COUNTBLANK(OFFSET(A$1,,,SUMPRODUCT(MAX(ROW(E$1:E4245)*(E2=E$1:E4245))))))</f>
        <v> </v>
      </c>
      <c r="K4246" s="26" t="str">
        <f>IF(OR(E4246="",E4246="!!!",F4246="NEW"),"",INDEX(J$1:J4245,SUMPRODUCT(MAX(ROW(E$1:E4245)*(E4246=E$1:E4245)))))</f>
        <v> </v>
      </c>
      <c r="L4246" s="27"/>
    </row>
    <row r="4247" spans="1:12">
      <c r="A4247" s="20" t="s">
        <v>2644</v>
      </c>
      <c r="E4247" s="22">
        <f>IF(D4247="?OLD","!!!","")</f>
        <v/>
      </c>
      <c r="F4247" s="23" t="str">
        <f>IF(OR(E4247="",E4247="!!!"),"",IF(NOT(ISNA(VLOOKUP(E4247,E$1:E4246,1,FALSE()))),"OLD",IF(AND(E4247&lt;&gt;"",E4247&lt;&gt;"!!!"),"NEW","")))</f>
        <v> </v>
      </c>
      <c r="G4247" s="24" t="str">
        <f>IF(OR(E4247="",E4247="!!!"),"",IF(OR(J4247=0,AND(J4247=1,K4247=1),AND(J4247=1,I4247="SBJ"),AND(J4247=1,I4247=0)),"?IN_FOCUS",IF(J4247&lt;=2,"?ACTIVATED",IF(J4247&lt;&gt;"","?FAMILIAR",IF(F4247="NEW",IF(ISNA(VLOOKUP(E4247,#REF!,1,FALSE())),"?TYPE_IDENTIFIABLE","?REFERENTIAL"),"_")))))</f>
        <v> </v>
      </c>
      <c r="H4247" s="25" t="str">
        <f>IF(J4247&lt;&gt;1,"",IF(I4247="SBJ","CB","?"))</f>
        <v> </v>
      </c>
      <c r="I4247" s="26" t="str">
        <f>IF(OR(E4247="",E4247="!!!",F4247="NEW"),"",INDEX(B4246:B$2,-1+SUMPRODUCT(MAX(ROW(E4246:E$2)*(E4247=E4246:E$2)))))</f>
        <v> </v>
      </c>
      <c r="J4247" s="26" t="str">
        <f>IF(OR(E4247="",E4247="!!!",F4247="NEW"),"",COUNTBLANK(OFFSET(A$1,,,SUMPRODUCT(MAX(ROW(E$2:E4247)*(E4247=E$2:E4247)))))-COUNTBLANK(OFFSET(A$1,,,SUMPRODUCT(MAX(ROW(E$1:E4246)*(E2=E$1:E4246))))))</f>
        <v> </v>
      </c>
      <c r="K4247" s="26" t="str">
        <f>IF(OR(E4247="",E4247="!!!",F4247="NEW"),"",INDEX(J$1:J4246,SUMPRODUCT(MAX(ROW(E$1:E4246)*(E4247=E$1:E4246)))))</f>
        <v> </v>
      </c>
      <c r="L4247" s="27"/>
    </row>
    <row r="4248" spans="1:12">
      <c r="A4248" s="20" t="s">
        <v>1321</v>
      </c>
      <c r="E4248" s="22">
        <f>IF(D4248="?OLD","!!!","")</f>
        <v/>
      </c>
      <c r="F4248" s="23" t="str">
        <f>IF(OR(E4248="",E4248="!!!"),"",IF(NOT(ISNA(VLOOKUP(E4248,E$1:E4247,1,FALSE()))),"OLD",IF(AND(E4248&lt;&gt;"",E4248&lt;&gt;"!!!"),"NEW","")))</f>
        <v> </v>
      </c>
      <c r="G4248" s="24" t="str">
        <f>IF(OR(E4248="",E4248="!!!"),"",IF(OR(J4248=0,AND(J4248=1,K4248=1),AND(J4248=1,I4248="SBJ"),AND(J4248=1,I4248=0)),"?IN_FOCUS",IF(J4248&lt;=2,"?ACTIVATED",IF(J4248&lt;&gt;"","?FAMILIAR",IF(F4248="NEW",IF(ISNA(VLOOKUP(E4248,#REF!,1,FALSE())),"?TYPE_IDENTIFIABLE","?REFERENTIAL"),"_")))))</f>
        <v> </v>
      </c>
      <c r="H4248" s="25" t="str">
        <f>IF(J4248&lt;&gt;1,"",IF(I4248="SBJ","CB","?"))</f>
        <v> </v>
      </c>
      <c r="I4248" s="26" t="str">
        <f>IF(OR(E4248="",E4248="!!!",F4248="NEW"),"",INDEX(B4247:B$2,-1+SUMPRODUCT(MAX(ROW(E4247:E$2)*(E4248=E4247:E$2)))))</f>
        <v> </v>
      </c>
      <c r="J4248" s="26" t="str">
        <f>IF(OR(E4248="",E4248="!!!",F4248="NEW"),"",COUNTBLANK(OFFSET(A$1,,,SUMPRODUCT(MAX(ROW(E$2:E4248)*(E4248=E$2:E4248)))))-COUNTBLANK(OFFSET(A$1,,,SUMPRODUCT(MAX(ROW(E$1:E4247)*(E2=E$1:E4247))))))</f>
        <v> </v>
      </c>
      <c r="K4248" s="26" t="str">
        <f>IF(OR(E4248="",E4248="!!!",F4248="NEW"),"",INDEX(J$1:J4247,SUMPRODUCT(MAX(ROW(E$1:E4247)*(E4248=E$1:E4247)))))</f>
        <v> </v>
      </c>
      <c r="L4248" s="27"/>
    </row>
    <row r="4249" spans="1:12">
      <c r="A4249" s="20" t="s">
        <v>1419</v>
      </c>
      <c r="B4249" s="21" t="s">
        <v>1283</v>
      </c>
      <c r="C4249" s="21" t="s">
        <v>1255</v>
      </c>
      <c r="D4249" s="21" t="s">
        <v>1217</v>
      </c>
      <c r="E4249" s="22">
        <f>IF(D4249="?OLD","!!!","")</f>
        <v/>
      </c>
      <c r="F4249" s="23" t="str">
        <f>IF(OR(E4249="",E4249="!!!"),"",IF(NOT(ISNA(VLOOKUP(E4249,E$1:E4248,1,FALSE()))),"OLD",IF(AND(E4249&lt;&gt;"",E4249&lt;&gt;"!!!"),"NEW","")))</f>
        <v> </v>
      </c>
      <c r="G4249" s="24" t="str">
        <f>IF(OR(E4249="",E4249="!!!"),"",IF(OR(J4249=0,AND(J4249=1,K4249=1),AND(J4249=1,I4249="SBJ"),AND(J4249=1,I4249=0)),"?IN_FOCUS",IF(J4249&lt;=2,"?ACTIVATED",IF(J4249&lt;&gt;"","?FAMILIAR",IF(F4249="NEW",IF(ISNA(VLOOKUP(E4249,#REF!,1,FALSE())),"?TYPE_IDENTIFIABLE","?REFERENTIAL"),"_")))))</f>
        <v> </v>
      </c>
      <c r="H4249" s="25" t="str">
        <f>IF(J4249&lt;&gt;1,"",IF(I4249="SBJ","CB","?"))</f>
        <v> </v>
      </c>
      <c r="I4249" s="26" t="str">
        <f>IF(OR(E4249="",E4249="!!!",F4249="NEW"),"",INDEX(B4248:B$2,-1+SUMPRODUCT(MAX(ROW(E4248:E$2)*(E4249=E4248:E$2)))))</f>
        <v> </v>
      </c>
      <c r="J4249" s="26" t="str">
        <f>IF(OR(E4249="",E4249="!!!",F4249="NEW"),"",COUNTBLANK(OFFSET(A$1,,,SUMPRODUCT(MAX(ROW(E$2:E4249)*(E4249=E$2:E4249)))))-COUNTBLANK(OFFSET(A$1,,,SUMPRODUCT(MAX(ROW(E$1:E4248)*(E2=E$1:E4248))))))</f>
        <v> </v>
      </c>
      <c r="K4249" s="26" t="str">
        <f>IF(OR(E4249="",E4249="!!!",F4249="NEW"),"",INDEX(J$1:J4248,SUMPRODUCT(MAX(ROW(E$1:E4248)*(E4249=E$1:E4248)))))</f>
        <v> </v>
      </c>
      <c r="L4249" s="27"/>
    </row>
    <row r="4250" spans="1:12">
      <c r="A4250" s="20" t="s">
        <v>1301</v>
      </c>
      <c r="E4250" s="22">
        <f>IF(D4250="?OLD","!!!","")</f>
        <v/>
      </c>
      <c r="F4250" s="23" t="str">
        <f>IF(OR(E4250="",E4250="!!!"),"",IF(NOT(ISNA(VLOOKUP(E4250,E$1:E4249,1,FALSE()))),"OLD",IF(AND(E4250&lt;&gt;"",E4250&lt;&gt;"!!!"),"NEW","")))</f>
        <v> </v>
      </c>
      <c r="G4250" s="24" t="str">
        <f>IF(OR(E4250="",E4250="!!!"),"",IF(OR(J4250=0,AND(J4250=1,K4250=1),AND(J4250=1,I4250="SBJ"),AND(J4250=1,I4250=0)),"?IN_FOCUS",IF(J4250&lt;=2,"?ACTIVATED",IF(J4250&lt;&gt;"","?FAMILIAR",IF(F4250="NEW",IF(ISNA(VLOOKUP(E4250,#REF!,1,FALSE())),"?TYPE_IDENTIFIABLE","?REFERENTIAL"),"_")))))</f>
        <v> </v>
      </c>
      <c r="H4250" s="25" t="str">
        <f>IF(J4250&lt;&gt;1,"",IF(I4250="SBJ","CB","?"))</f>
        <v> </v>
      </c>
      <c r="I4250" s="26" t="str">
        <f>IF(OR(E4250="",E4250="!!!",F4250="NEW"),"",INDEX(B4249:B$2,-1+SUMPRODUCT(MAX(ROW(E4249:E$2)*(E4250=E4249:E$2)))))</f>
        <v> </v>
      </c>
      <c r="J4250" s="26" t="str">
        <f>IF(OR(E4250="",E4250="!!!",F4250="NEW"),"",COUNTBLANK(OFFSET(A$1,,,SUMPRODUCT(MAX(ROW(E$2:E4250)*(E4250=E$2:E4250)))))-COUNTBLANK(OFFSET(A$1,,,SUMPRODUCT(MAX(ROW(E$1:E4249)*(E2=E$1:E4249))))))</f>
        <v> </v>
      </c>
      <c r="K4250" s="26" t="str">
        <f>IF(OR(E4250="",E4250="!!!",F4250="NEW"),"",INDEX(J$1:J4249,SUMPRODUCT(MAX(ROW(E$1:E4249)*(E4250=E$1:E4249)))))</f>
        <v> </v>
      </c>
      <c r="L4250" s="27"/>
    </row>
    <row r="4251" spans="1:12">
      <c r="A4251" s="20" t="s">
        <v>1315</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t="s">
        <v>1750</v>
      </c>
      <c r="E4252" s="22">
        <f>IF(D4252="?OLD","!!!","")</f>
        <v/>
      </c>
      <c r="F4252" s="23" t="str">
        <f>IF(OR(E4252="",E4252="!!!"),"",IF(NOT(ISNA(VLOOKUP(E4252,E$1:E4251,1,FALSE()))),"OLD",IF(AND(E4252&lt;&gt;"",E4252&lt;&gt;"!!!"),"NEW","")))</f>
        <v> </v>
      </c>
      <c r="G4252" s="24" t="str">
        <f>IF(OR(E4252="",E4252="!!!"),"",IF(OR(J4252=0,AND(J4252=1,K4252=1),AND(J4252=1,I4252="SBJ"),AND(J4252=1,I4252=0)),"?IN_FOCUS",IF(J4252&lt;=2,"?ACTIVATED",IF(J4252&lt;&gt;"","?FAMILIAR",IF(F4252="NEW",IF(ISNA(VLOOKUP(E4252,#REF!,1,FALSE())),"?TYPE_IDENTIFIABLE","?REFERENTIAL"),"_")))))</f>
        <v> </v>
      </c>
      <c r="H4252" s="25" t="str">
        <f>IF(J4252&lt;&gt;1,"",IF(I4252="SBJ","CB","?"))</f>
        <v> </v>
      </c>
      <c r="I4252" s="26" t="str">
        <f>IF(OR(E4252="",E4252="!!!",F4252="NEW"),"",INDEX(B4251:B$2,-1+SUMPRODUCT(MAX(ROW(E4251:E$2)*(E4252=E4251:E$2)))))</f>
        <v> </v>
      </c>
      <c r="J4252" s="26" t="str">
        <f>IF(OR(E4252="",E4252="!!!",F4252="NEW"),"",COUNTBLANK(OFFSET(A$1,,,SUMPRODUCT(MAX(ROW(E$2:E4252)*(E4252=E$2:E4252)))))-COUNTBLANK(OFFSET(A$1,,,SUMPRODUCT(MAX(ROW(E$1:E4251)*(E2=E$1:E4251))))))</f>
        <v> </v>
      </c>
      <c r="K4252" s="26" t="str">
        <f>IF(OR(E4252="",E4252="!!!",F4252="NEW"),"",INDEX(J$1:J4251,SUMPRODUCT(MAX(ROW(E$1:E4251)*(E4252=E$1:E4251)))))</f>
        <v> </v>
      </c>
      <c r="L4252" s="27"/>
    </row>
    <row r="4253" spans="1:12">
      <c r="A4253" s="20" t="s">
        <v>1358</v>
      </c>
      <c r="E4253" s="22">
        <f>IF(D4253="?OLD","!!!","")</f>
        <v/>
      </c>
      <c r="F4253" s="23" t="str">
        <f>IF(OR(E4253="",E4253="!!!"),"",IF(NOT(ISNA(VLOOKUP(E4253,E$1:E4252,1,FALSE()))),"OLD",IF(AND(E4253&lt;&gt;"",E4253&lt;&gt;"!!!"),"NEW","")))</f>
        <v> </v>
      </c>
      <c r="G4253" s="24" t="str">
        <f>IF(OR(E4253="",E4253="!!!"),"",IF(OR(J4253=0,AND(J4253=1,K4253=1),AND(J4253=1,I4253="SBJ"),AND(J4253=1,I4253=0)),"?IN_FOCUS",IF(J4253&lt;=2,"?ACTIVATED",IF(J4253&lt;&gt;"","?FAMILIAR",IF(F4253="NEW",IF(ISNA(VLOOKUP(E4253,#REF!,1,FALSE())),"?TYPE_IDENTIFIABLE","?REFERENTIAL"),"_")))))</f>
        <v> </v>
      </c>
      <c r="H4253" s="25" t="str">
        <f>IF(J4253&lt;&gt;1,"",IF(I4253="SBJ","CB","?"))</f>
        <v> </v>
      </c>
      <c r="I4253" s="26" t="str">
        <f>IF(OR(E4253="",E4253="!!!",F4253="NEW"),"",INDEX(B4252:B$2,-1+SUMPRODUCT(MAX(ROW(E4252:E$2)*(E4253=E4252:E$2)))))</f>
        <v> </v>
      </c>
      <c r="J4253" s="26" t="str">
        <f>IF(OR(E4253="",E4253="!!!",F4253="NEW"),"",COUNTBLANK(OFFSET(A$1,,,SUMPRODUCT(MAX(ROW(E$2:E4253)*(E4253=E$2:E4253)))))-COUNTBLANK(OFFSET(A$1,,,SUMPRODUCT(MAX(ROW(E$1:E4252)*(E2=E$1:E4252))))))</f>
        <v> </v>
      </c>
      <c r="K4253" s="26" t="str">
        <f>IF(OR(E4253="",E4253="!!!",F4253="NEW"),"",INDEX(J$1:J4252,SUMPRODUCT(MAX(ROW(E$1:E4252)*(E4253=E$1:E4252)))))</f>
        <v> </v>
      </c>
      <c r="L4253" s="27"/>
    </row>
    <row r="4254" spans="1:12">
      <c r="A4254" s="20" t="s">
        <v>1235</v>
      </c>
      <c r="E4254" s="22">
        <f>IF(D4254="?OLD","!!!","")</f>
        <v/>
      </c>
      <c r="F4254" s="23" t="str">
        <f>IF(OR(E4254="",E4254="!!!"),"",IF(NOT(ISNA(VLOOKUP(E4254,E$1:E4253,1,FALSE()))),"OLD",IF(AND(E4254&lt;&gt;"",E4254&lt;&gt;"!!!"),"NEW","")))</f>
        <v> </v>
      </c>
      <c r="G4254" s="24" t="str">
        <f>IF(OR(E4254="",E4254="!!!"),"",IF(OR(J4254=0,AND(J4254=1,K4254=1),AND(J4254=1,I4254="SBJ"),AND(J4254=1,I4254=0)),"?IN_FOCUS",IF(J4254&lt;=2,"?ACTIVATED",IF(J4254&lt;&gt;"","?FAMILIAR",IF(F4254="NEW",IF(ISNA(VLOOKUP(E4254,#REF!,1,FALSE())),"?TYPE_IDENTIFIABLE","?REFERENTIAL"),"_")))))</f>
        <v> </v>
      </c>
      <c r="H4254" s="25" t="str">
        <f>IF(J4254&lt;&gt;1,"",IF(I4254="SBJ","CB","?"))</f>
        <v> </v>
      </c>
      <c r="I4254" s="26" t="str">
        <f>IF(OR(E4254="",E4254="!!!",F4254="NEW"),"",INDEX(B4253:B$2,-1+SUMPRODUCT(MAX(ROW(E4253:E$2)*(E4254=E4253:E$2)))))</f>
        <v> </v>
      </c>
      <c r="J4254" s="26" t="str">
        <f>IF(OR(E4254="",E4254="!!!",F4254="NEW"),"",COUNTBLANK(OFFSET(A$1,,,SUMPRODUCT(MAX(ROW(E$2:E4254)*(E4254=E$2:E4254)))))-COUNTBLANK(OFFSET(A$1,,,SUMPRODUCT(MAX(ROW(E$1:E4253)*(E2=E$1:E4253))))))</f>
        <v> </v>
      </c>
      <c r="K4254" s="26" t="str">
        <f>IF(OR(E4254="",E4254="!!!",F4254="NEW"),"",INDEX(J$1:J4253,SUMPRODUCT(MAX(ROW(E$1:E4253)*(E4254=E$1:E4253)))))</f>
        <v> </v>
      </c>
      <c r="L4254" s="27"/>
    </row>
    <row r="4255" spans="1:12">
      <c r="A4255" s="20" t="s">
        <v>2645</v>
      </c>
      <c r="B4255" s="21" t="s">
        <v>1221</v>
      </c>
      <c r="C4255" s="21" t="s">
        <v>1238</v>
      </c>
      <c r="E4255" s="22">
        <f>IF(D4255="?OLD","!!!","")</f>
        <v/>
      </c>
      <c r="F4255" s="23" t="str">
        <f>IF(OR(E4255="",E4255="!!!"),"",IF(NOT(ISNA(VLOOKUP(E4255,E$1:E4254,1,FALSE()))),"OLD",IF(AND(E4255&lt;&gt;"",E4255&lt;&gt;"!!!"),"NEW","")))</f>
        <v> </v>
      </c>
      <c r="G4255" s="24" t="str">
        <f>IF(OR(E4255="",E4255="!!!"),"",IF(OR(J4255=0,AND(J4255=1,K4255=1),AND(J4255=1,I4255="SBJ"),AND(J4255=1,I4255=0)),"?IN_FOCUS",IF(J4255&lt;=2,"?ACTIVATED",IF(J4255&lt;&gt;"","?FAMILIAR",IF(F4255="NEW",IF(ISNA(VLOOKUP(E4255,#REF!,1,FALSE())),"?TYPE_IDENTIFIABLE","?REFERENTIAL"),"_")))))</f>
        <v> </v>
      </c>
      <c r="H4255" s="25" t="str">
        <f>IF(J4255&lt;&gt;1,"",IF(I4255="SBJ","CB","?"))</f>
        <v> </v>
      </c>
      <c r="I4255" s="26" t="str">
        <f>IF(OR(E4255="",E4255="!!!",F4255="NEW"),"",INDEX(B4254:B$2,-1+SUMPRODUCT(MAX(ROW(E4254:E$2)*(E4255=E4254:E$2)))))</f>
        <v> </v>
      </c>
      <c r="J4255" s="26" t="str">
        <f>IF(OR(E4255="",E4255="!!!",F4255="NEW"),"",COUNTBLANK(OFFSET(A$1,,,SUMPRODUCT(MAX(ROW(E$2:E4255)*(E4255=E$2:E4255)))))-COUNTBLANK(OFFSET(A$1,,,SUMPRODUCT(MAX(ROW(E$1:E4254)*(E2=E$1:E4254))))))</f>
        <v> </v>
      </c>
      <c r="K4255" s="26" t="str">
        <f>IF(OR(E4255="",E4255="!!!",F4255="NEW"),"",INDEX(J$1:J4254,SUMPRODUCT(MAX(ROW(E$1:E4254)*(E4255=E$1:E4254)))))</f>
        <v> </v>
      </c>
      <c r="L4255" s="27"/>
    </row>
    <row r="4256" spans="1:12">
      <c r="A4256" s="20" t="s">
        <v>2402</v>
      </c>
      <c r="E4256" s="22">
        <f>IF(D4256="?OLD","!!!","")</f>
        <v/>
      </c>
      <c r="F4256" s="23" t="str">
        <f>IF(OR(E4256="",E4256="!!!"),"",IF(NOT(ISNA(VLOOKUP(E4256,E$1:E4255,1,FALSE()))),"OLD",IF(AND(E4256&lt;&gt;"",E4256&lt;&gt;"!!!"),"NEW","")))</f>
        <v> </v>
      </c>
      <c r="G4256" s="24" t="str">
        <f>IF(OR(E4256="",E4256="!!!"),"",IF(OR(J4256=0,AND(J4256=1,K4256=1),AND(J4256=1,I4256="SBJ"),AND(J4256=1,I4256=0)),"?IN_FOCUS",IF(J4256&lt;=2,"?ACTIVATED",IF(J4256&lt;&gt;"","?FAMILIAR",IF(F4256="NEW",IF(ISNA(VLOOKUP(E4256,#REF!,1,FALSE())),"?TYPE_IDENTIFIABLE","?REFERENTIAL"),"_")))))</f>
        <v> </v>
      </c>
      <c r="H4256" s="25" t="str">
        <f>IF(J4256&lt;&gt;1,"",IF(I4256="SBJ","CB","?"))</f>
        <v> </v>
      </c>
      <c r="I4256" s="26" t="str">
        <f>IF(OR(E4256="",E4256="!!!",F4256="NEW"),"",INDEX(B4255:B$2,-1+SUMPRODUCT(MAX(ROW(E4255:E$2)*(E4256=E4255:E$2)))))</f>
        <v> </v>
      </c>
      <c r="J4256" s="26" t="str">
        <f>IF(OR(E4256="",E4256="!!!",F4256="NEW"),"",COUNTBLANK(OFFSET(A$1,,,SUMPRODUCT(MAX(ROW(E$2:E4256)*(E4256=E$2:E4256)))))-COUNTBLANK(OFFSET(A$1,,,SUMPRODUCT(MAX(ROW(E$1:E4255)*(E2=E$1:E4255))))))</f>
        <v> </v>
      </c>
      <c r="K4256" s="26" t="str">
        <f>IF(OR(E4256="",E4256="!!!",F4256="NEW"),"",INDEX(J$1:J4255,SUMPRODUCT(MAX(ROW(E$1:E4255)*(E4256=E$1:E4255)))))</f>
        <v> </v>
      </c>
      <c r="L4256" s="27"/>
    </row>
    <row r="4257" spans="1:12">
      <c r="A4257" s="20" t="s">
        <v>1247</v>
      </c>
      <c r="B4257" s="21" t="s">
        <v>1226</v>
      </c>
      <c r="C4257" s="21" t="s">
        <v>1242</v>
      </c>
      <c r="D4257" s="21" t="s">
        <v>1217</v>
      </c>
      <c r="E4257" s="22">
        <f>IF(D4257="?OLD","!!!","")</f>
        <v/>
      </c>
      <c r="F4257" s="23" t="str">
        <f>IF(OR(E4257="",E4257="!!!"),"",IF(NOT(ISNA(VLOOKUP(E4257,E$1:E4256,1,FALSE()))),"OLD",IF(AND(E4257&lt;&gt;"",E4257&lt;&gt;"!!!"),"NEW","")))</f>
        <v> </v>
      </c>
      <c r="G4257" s="24" t="str">
        <f>IF(OR(E4257="",E4257="!!!"),"",IF(OR(J4257=0,AND(J4257=1,K4257=1),AND(J4257=1,I4257="SBJ"),AND(J4257=1,I4257=0)),"?IN_FOCUS",IF(J4257&lt;=2,"?ACTIVATED",IF(J4257&lt;&gt;"","?FAMILIAR",IF(F4257="NEW",IF(ISNA(VLOOKUP(E4257,#REF!,1,FALSE())),"?TYPE_IDENTIFIABLE","?REFERENTIAL"),"_")))))</f>
        <v> </v>
      </c>
      <c r="H4257" s="25" t="str">
        <f>IF(J4257&lt;&gt;1,"",IF(I4257="SBJ","CB","?"))</f>
        <v> </v>
      </c>
      <c r="I4257" s="26" t="str">
        <f>IF(OR(E4257="",E4257="!!!",F4257="NEW"),"",INDEX(B4256:B$2,-1+SUMPRODUCT(MAX(ROW(E4256:E$2)*(E4257=E4256:E$2)))))</f>
        <v> </v>
      </c>
      <c r="J4257" s="26" t="str">
        <f>IF(OR(E4257="",E4257="!!!",F4257="NEW"),"",COUNTBLANK(OFFSET(A$1,,,SUMPRODUCT(MAX(ROW(E$2:E4257)*(E4257=E$2:E4257)))))-COUNTBLANK(OFFSET(A$1,,,SUMPRODUCT(MAX(ROW(E$1:E4256)*(E2=E$1:E4256))))))</f>
        <v> </v>
      </c>
      <c r="K4257" s="26" t="str">
        <f>IF(OR(E4257="",E4257="!!!",F4257="NEW"),"",INDEX(J$1:J4256,SUMPRODUCT(MAX(ROW(E$1:E4256)*(E4257=E$1:E4256)))))</f>
        <v> </v>
      </c>
      <c r="L4257" s="27"/>
    </row>
    <row r="4258" spans="1:12">
      <c r="A4258" s="20" t="s">
        <v>2181</v>
      </c>
      <c r="B4258" s="21" t="s">
        <v>1224</v>
      </c>
      <c r="C4258" s="21" t="s">
        <v>1222</v>
      </c>
      <c r="D4258" s="21" t="s">
        <v>1217</v>
      </c>
      <c r="E4258" s="22">
        <f>IF(D4258="?OLD","!!!","")</f>
        <v/>
      </c>
      <c r="F4258" s="23" t="str">
        <f>IF(OR(E4258="",E4258="!!!"),"",IF(NOT(ISNA(VLOOKUP(E4258,E$1:E4257,1,FALSE()))),"OLD",IF(AND(E4258&lt;&gt;"",E4258&lt;&gt;"!!!"),"NEW","")))</f>
        <v> </v>
      </c>
      <c r="G4258" s="24" t="str">
        <f>IF(OR(E4258="",E4258="!!!"),"",IF(OR(J4258=0,AND(J4258=1,K4258=1),AND(J4258=1,I4258="SBJ"),AND(J4258=1,I4258=0)),"?IN_FOCUS",IF(J4258&lt;=2,"?ACTIVATED",IF(J4258&lt;&gt;"","?FAMILIAR",IF(F4258="NEW",IF(ISNA(VLOOKUP(E4258,#REF!,1,FALSE())),"?TYPE_IDENTIFIABLE","?REFERENTIAL"),"_")))))</f>
        <v> </v>
      </c>
      <c r="H4258" s="25" t="str">
        <f>IF(J4258&lt;&gt;1,"",IF(I4258="SBJ","CB","?"))</f>
        <v> </v>
      </c>
      <c r="I4258" s="26" t="str">
        <f>IF(OR(E4258="",E4258="!!!",F4258="NEW"),"",INDEX(B4257:B$2,-1+SUMPRODUCT(MAX(ROW(E4257:E$2)*(E4258=E4257:E$2)))))</f>
        <v> </v>
      </c>
      <c r="J4258" s="26" t="str">
        <f>IF(OR(E4258="",E4258="!!!",F4258="NEW"),"",COUNTBLANK(OFFSET(A$1,,,SUMPRODUCT(MAX(ROW(E$2:E4258)*(E4258=E$2:E4258)))))-COUNTBLANK(OFFSET(A$1,,,SUMPRODUCT(MAX(ROW(E$1:E4257)*(E2=E$1:E4257))))))</f>
        <v> </v>
      </c>
      <c r="K4258" s="26" t="str">
        <f>IF(OR(E4258="",E4258="!!!",F4258="NEW"),"",INDEX(J$1:J4257,SUMPRODUCT(MAX(ROW(E$1:E4257)*(E4258=E$1:E4257)))))</f>
        <v> </v>
      </c>
      <c r="L4258" s="27"/>
    </row>
    <row r="4259" spans="1:12">
      <c r="A4259" s="20" t="s">
        <v>1262</v>
      </c>
      <c r="E4259" s="22">
        <f>IF(D4259="?OLD","!!!","")</f>
        <v/>
      </c>
      <c r="F4259" s="23" t="str">
        <f>IF(OR(E4259="",E4259="!!!"),"",IF(NOT(ISNA(VLOOKUP(E4259,E$1:E4258,1,FALSE()))),"OLD",IF(AND(E4259&lt;&gt;"",E4259&lt;&gt;"!!!"),"NEW","")))</f>
        <v> </v>
      </c>
      <c r="G4259" s="24" t="str">
        <f>IF(OR(E4259="",E4259="!!!"),"",IF(OR(J4259=0,AND(J4259=1,K4259=1),AND(J4259=1,I4259="SBJ"),AND(J4259=1,I4259=0)),"?IN_FOCUS",IF(J4259&lt;=2,"?ACTIVATED",IF(J4259&lt;&gt;"","?FAMILIAR",IF(F4259="NEW",IF(ISNA(VLOOKUP(E4259,#REF!,1,FALSE())),"?TYPE_IDENTIFIABLE","?REFERENTIAL"),"_")))))</f>
        <v> </v>
      </c>
      <c r="H4259" s="25" t="str">
        <f>IF(J4259&lt;&gt;1,"",IF(I4259="SBJ","CB","?"))</f>
        <v> </v>
      </c>
      <c r="I4259" s="26" t="str">
        <f>IF(OR(E4259="",E4259="!!!",F4259="NEW"),"",INDEX(B4258:B$2,-1+SUMPRODUCT(MAX(ROW(E4258:E$2)*(E4259=E4258:E$2)))))</f>
        <v> </v>
      </c>
      <c r="J4259" s="26" t="str">
        <f>IF(OR(E4259="",E4259="!!!",F4259="NEW"),"",COUNTBLANK(OFFSET(A$1,,,SUMPRODUCT(MAX(ROW(E$2:E4259)*(E4259=E$2:E4259)))))-COUNTBLANK(OFFSET(A$1,,,SUMPRODUCT(MAX(ROW(E$1:E4258)*(E2=E$1:E4258))))))</f>
        <v> </v>
      </c>
      <c r="K4259" s="26" t="str">
        <f>IF(OR(E4259="",E4259="!!!",F4259="NEW"),"",INDEX(J$1:J4258,SUMPRODUCT(MAX(ROW(E$1:E4258)*(E4259=E$1:E4258)))))</f>
        <v> </v>
      </c>
      <c r="L4259" s="27"/>
    </row>
    <row r="4260" spans="1:12">
      <c r="A4260" s="20"/>
    </row>
    <row r="4261" spans="1:12">
      <c r="A4261" s="20" t="s">
        <v>2646</v>
      </c>
    </row>
    <row r="4262" spans="1:12">
      <c r="A4262" s="20" t="s">
        <v>16</v>
      </c>
      <c r="E4262" s="22">
        <f>IF(D4262="?OLD","!!!","")</f>
        <v/>
      </c>
      <c r="F4262" s="23" t="str">
        <f>IF(OR(E4262="",E4262="!!!"),"",IF(NOT(ISNA(VLOOKUP(E4262,E$1:E4261,1,FALSE()))),"OLD",IF(AND(E4262&lt;&gt;"",E4262&lt;&gt;"!!!"),"NEW","")))</f>
        <v> </v>
      </c>
      <c r="G4262" s="24" t="str">
        <f>IF(OR(E4262="",E4262="!!!"),"",IF(OR(J4262=0,AND(J4262=1,K4262=1),AND(J4262=1,I4262="SBJ"),AND(J4262=1,I4262=0)),"?IN_FOCUS",IF(J4262&lt;=2,"?ACTIVATED",IF(J4262&lt;&gt;"","?FAMILIAR",IF(F4262="NEW",IF(ISNA(VLOOKUP(E4262,#REF!,1,FALSE())),"?TYPE_IDENTIFIABLE","?REFERENTIAL"),"_")))))</f>
        <v> </v>
      </c>
      <c r="H4262" s="25" t="str">
        <f>IF(J4262&lt;&gt;1,"",IF(I4262="SBJ","CB","?"))</f>
        <v> </v>
      </c>
      <c r="I4262" s="26" t="str">
        <f>IF(OR(E4262="",E4262="!!!",F4262="NEW"),"",INDEX(B4261:B$2,-1+SUMPRODUCT(MAX(ROW(E4261:E$2)*(E4262=E4261:E$2)))))</f>
        <v> </v>
      </c>
      <c r="J4262" s="26" t="str">
        <f>IF(OR(E4262="",E4262="!!!",F4262="NEW"),"",COUNTBLANK(OFFSET(A$1,,,SUMPRODUCT(MAX(ROW(E$2:E4262)*(E4262=E$2:E4262)))))-COUNTBLANK(OFFSET(A$1,,,SUMPRODUCT(MAX(ROW(E$1:E4261)*(E2=E$1:E4261))))))</f>
        <v> </v>
      </c>
      <c r="K4262" s="26" t="str">
        <f>IF(OR(E4262="",E4262="!!!",F4262="NEW"),"",INDEX(J$1:J4261,SUMPRODUCT(MAX(ROW(E$1:E4261)*(E4262=E$1:E4261)))))</f>
        <v> </v>
      </c>
      <c r="L4262" s="27"/>
    </row>
    <row r="4263" spans="1:12">
      <c r="A4263" s="20" t="s">
        <v>16</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t="s">
        <v>16</v>
      </c>
      <c r="E4264" s="22">
        <f>IF(D4264="?OLD","!!!","")</f>
        <v/>
      </c>
      <c r="F4264" s="23" t="str">
        <f>IF(OR(E4264="",E4264="!!!"),"",IF(NOT(ISNA(VLOOKUP(E4264,E$1:E4263,1,FALSE()))),"OLD",IF(AND(E4264&lt;&gt;"",E4264&lt;&gt;"!!!"),"NEW","")))</f>
        <v> </v>
      </c>
      <c r="G4264" s="24" t="str">
        <f>IF(OR(E4264="",E4264="!!!"),"",IF(OR(J4264=0,AND(J4264=1,K4264=1),AND(J4264=1,I4264="SBJ"),AND(J4264=1,I4264=0)),"?IN_FOCUS",IF(J4264&lt;=2,"?ACTIVATED",IF(J4264&lt;&gt;"","?FAMILIAR",IF(F4264="NEW",IF(ISNA(VLOOKUP(E4264,#REF!,1,FALSE())),"?TYPE_IDENTIFIABLE","?REFERENTIAL"),"_")))))</f>
        <v> </v>
      </c>
      <c r="H4264" s="25" t="str">
        <f>IF(J4264&lt;&gt;1,"",IF(I4264="SBJ","CB","?"))</f>
        <v> </v>
      </c>
      <c r="I4264" s="26" t="str">
        <f>IF(OR(E4264="",E4264="!!!",F4264="NEW"),"",INDEX(B4263:B$2,-1+SUMPRODUCT(MAX(ROW(E4263:E$2)*(E4264=E4263:E$2)))))</f>
        <v> </v>
      </c>
      <c r="J4264" s="26" t="str">
        <f>IF(OR(E4264="",E4264="!!!",F4264="NEW"),"",COUNTBLANK(OFFSET(A$1,,,SUMPRODUCT(MAX(ROW(E$2:E4264)*(E4264=E$2:E4264)))))-COUNTBLANK(OFFSET(A$1,,,SUMPRODUCT(MAX(ROW(E$1:E4263)*(E2=E$1:E4263))))))</f>
        <v> </v>
      </c>
      <c r="K4264" s="26" t="str">
        <f>IF(OR(E4264="",E4264="!!!",F4264="NEW"),"",INDEX(J$1:J4263,SUMPRODUCT(MAX(ROW(E$1:E4263)*(E4264=E$1:E4263)))))</f>
        <v> </v>
      </c>
      <c r="L4264" s="27"/>
    </row>
    <row r="4265" spans="1:12">
      <c r="A4265" s="20" t="s">
        <v>1488</v>
      </c>
      <c r="B4265" s="21" t="s">
        <v>1215</v>
      </c>
      <c r="C4265" s="21" t="s">
        <v>1255</v>
      </c>
      <c r="D4265" s="21" t="s">
        <v>1217</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1301</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t="s">
        <v>2647</v>
      </c>
      <c r="E4267" s="22">
        <f>IF(D4267="?OLD","!!!","")</f>
        <v/>
      </c>
      <c r="F4267" s="23" t="str">
        <f>IF(OR(E4267="",E4267="!!!"),"",IF(NOT(ISNA(VLOOKUP(E4267,E$1:E4266,1,FALSE()))),"OLD",IF(AND(E4267&lt;&gt;"",E4267&lt;&gt;"!!!"),"NEW","")))</f>
        <v> </v>
      </c>
      <c r="G4267" s="24" t="str">
        <f>IF(OR(E4267="",E4267="!!!"),"",IF(OR(J4267=0,AND(J4267=1,K4267=1),AND(J4267=1,I4267="SBJ"),AND(J4267=1,I4267=0)),"?IN_FOCUS",IF(J4267&lt;=2,"?ACTIVATED",IF(J4267&lt;&gt;"","?FAMILIAR",IF(F4267="NEW",IF(ISNA(VLOOKUP(E4267,#REF!,1,FALSE())),"?TYPE_IDENTIFIABLE","?REFERENTIAL"),"_")))))</f>
        <v> </v>
      </c>
      <c r="H4267" s="25" t="str">
        <f>IF(J4267&lt;&gt;1,"",IF(I4267="SBJ","CB","?"))</f>
        <v> </v>
      </c>
      <c r="I4267" s="26" t="str">
        <f>IF(OR(E4267="",E4267="!!!",F4267="NEW"),"",INDEX(B4266:B$2,-1+SUMPRODUCT(MAX(ROW(E4266:E$2)*(E4267=E4266:E$2)))))</f>
        <v> </v>
      </c>
      <c r="J4267" s="26" t="str">
        <f>IF(OR(E4267="",E4267="!!!",F4267="NEW"),"",COUNTBLANK(OFFSET(A$1,,,SUMPRODUCT(MAX(ROW(E$2:E4267)*(E4267=E$2:E4267)))))-COUNTBLANK(OFFSET(A$1,,,SUMPRODUCT(MAX(ROW(E$1:E4266)*(E2=E$1:E4266))))))</f>
        <v> </v>
      </c>
      <c r="K4267" s="26" t="str">
        <f>IF(OR(E4267="",E4267="!!!",F4267="NEW"),"",INDEX(J$1:J4266,SUMPRODUCT(MAX(ROW(E$1:E4266)*(E4267=E$1:E4266)))))</f>
        <v> </v>
      </c>
      <c r="L4267" s="27"/>
    </row>
    <row r="4268" spans="1:12">
      <c r="A4268" s="20" t="s">
        <v>1596</v>
      </c>
      <c r="E4268" s="22">
        <f>IF(D4268="?OLD","!!!","")</f>
        <v/>
      </c>
      <c r="F4268" s="23" t="str">
        <f>IF(OR(E4268="",E4268="!!!"),"",IF(NOT(ISNA(VLOOKUP(E4268,E$1:E4267,1,FALSE()))),"OLD",IF(AND(E4268&lt;&gt;"",E4268&lt;&gt;"!!!"),"NEW","")))</f>
        <v> </v>
      </c>
      <c r="G4268" s="24" t="str">
        <f>IF(OR(E4268="",E4268="!!!"),"",IF(OR(J4268=0,AND(J4268=1,K4268=1),AND(J4268=1,I4268="SBJ"),AND(J4268=1,I4268=0)),"?IN_FOCUS",IF(J4268&lt;=2,"?ACTIVATED",IF(J4268&lt;&gt;"","?FAMILIAR",IF(F4268="NEW",IF(ISNA(VLOOKUP(E4268,#REF!,1,FALSE())),"?TYPE_IDENTIFIABLE","?REFERENTIAL"),"_")))))</f>
        <v> </v>
      </c>
      <c r="H4268" s="25" t="str">
        <f>IF(J4268&lt;&gt;1,"",IF(I4268="SBJ","CB","?"))</f>
        <v> </v>
      </c>
      <c r="I4268" s="26" t="str">
        <f>IF(OR(E4268="",E4268="!!!",F4268="NEW"),"",INDEX(B4267:B$2,-1+SUMPRODUCT(MAX(ROW(E4267:E$2)*(E4268=E4267:E$2)))))</f>
        <v> </v>
      </c>
      <c r="J4268" s="26" t="str">
        <f>IF(OR(E4268="",E4268="!!!",F4268="NEW"),"",COUNTBLANK(OFFSET(A$1,,,SUMPRODUCT(MAX(ROW(E$2:E4268)*(E4268=E$2:E4268)))))-COUNTBLANK(OFFSET(A$1,,,SUMPRODUCT(MAX(ROW(E$1:E4267)*(E2=E$1:E4267))))))</f>
        <v> </v>
      </c>
      <c r="K4268" s="26" t="str">
        <f>IF(OR(E4268="",E4268="!!!",F4268="NEW"),"",INDEX(J$1:J4267,SUMPRODUCT(MAX(ROW(E$1:E4267)*(E4268=E$1:E4267)))))</f>
        <v> </v>
      </c>
      <c r="L4268" s="27"/>
    </row>
    <row r="4269" spans="1:12">
      <c r="A4269" s="20" t="s">
        <v>1307</v>
      </c>
      <c r="E4269" s="22">
        <f>IF(D4269="?OLD","!!!","")</f>
        <v/>
      </c>
      <c r="F4269" s="23" t="str">
        <f>IF(OR(E4269="",E4269="!!!"),"",IF(NOT(ISNA(VLOOKUP(E4269,E$1:E4268,1,FALSE()))),"OLD",IF(AND(E4269&lt;&gt;"",E4269&lt;&gt;"!!!"),"NEW","")))</f>
        <v> </v>
      </c>
      <c r="G4269" s="24" t="str">
        <f>IF(OR(E4269="",E4269="!!!"),"",IF(OR(J4269=0,AND(J4269=1,K4269=1),AND(J4269=1,I4269="SBJ"),AND(J4269=1,I4269=0)),"?IN_FOCUS",IF(J4269&lt;=2,"?ACTIVATED",IF(J4269&lt;&gt;"","?FAMILIAR",IF(F4269="NEW",IF(ISNA(VLOOKUP(E4269,#REF!,1,FALSE())),"?TYPE_IDENTIFIABLE","?REFERENTIAL"),"_")))))</f>
        <v> </v>
      </c>
      <c r="H4269" s="25" t="str">
        <f>IF(J4269&lt;&gt;1,"",IF(I4269="SBJ","CB","?"))</f>
        <v> </v>
      </c>
      <c r="I4269" s="26" t="str">
        <f>IF(OR(E4269="",E4269="!!!",F4269="NEW"),"",INDEX(B4268:B$2,-1+SUMPRODUCT(MAX(ROW(E4268:E$2)*(E4269=E4268:E$2)))))</f>
        <v> </v>
      </c>
      <c r="J4269" s="26" t="str">
        <f>IF(OR(E4269="",E4269="!!!",F4269="NEW"),"",COUNTBLANK(OFFSET(A$1,,,SUMPRODUCT(MAX(ROW(E$2:E4269)*(E4269=E$2:E4269)))))-COUNTBLANK(OFFSET(A$1,,,SUMPRODUCT(MAX(ROW(E$1:E4268)*(E2=E$1:E4268))))))</f>
        <v> </v>
      </c>
      <c r="K4269" s="26" t="str">
        <f>IF(OR(E4269="",E4269="!!!",F4269="NEW"),"",INDEX(J$1:J4268,SUMPRODUCT(MAX(ROW(E$1:E4268)*(E4269=E$1:E4268)))))</f>
        <v> </v>
      </c>
      <c r="L4269" s="27"/>
    </row>
    <row r="4270" spans="1:12">
      <c r="A4270" s="20" t="s">
        <v>1443</v>
      </c>
      <c r="B4270" s="21" t="s">
        <v>1244</v>
      </c>
      <c r="C4270" s="21" t="s">
        <v>1255</v>
      </c>
      <c r="D4270" s="21" t="s">
        <v>1217</v>
      </c>
      <c r="E4270" s="22">
        <f>IF(D4270="?OLD","!!!","")</f>
        <v/>
      </c>
      <c r="F4270" s="23" t="str">
        <f>IF(OR(E4270="",E4270="!!!"),"",IF(NOT(ISNA(VLOOKUP(E4270,E$1:E4269,1,FALSE()))),"OLD",IF(AND(E4270&lt;&gt;"",E4270&lt;&gt;"!!!"),"NEW","")))</f>
        <v> </v>
      </c>
      <c r="G4270" s="24" t="str">
        <f>IF(OR(E4270="",E4270="!!!"),"",IF(OR(J4270=0,AND(J4270=1,K4270=1),AND(J4270=1,I4270="SBJ"),AND(J4270=1,I4270=0)),"?IN_FOCUS",IF(J4270&lt;=2,"?ACTIVATED",IF(J4270&lt;&gt;"","?FAMILIAR",IF(F4270="NEW",IF(ISNA(VLOOKUP(E4270,#REF!,1,FALSE())),"?TYPE_IDENTIFIABLE","?REFERENTIAL"),"_")))))</f>
        <v> </v>
      </c>
      <c r="H4270" s="25" t="str">
        <f>IF(J4270&lt;&gt;1,"",IF(I4270="SBJ","CB","?"))</f>
        <v> </v>
      </c>
      <c r="I4270" s="26" t="str">
        <f>IF(OR(E4270="",E4270="!!!",F4270="NEW"),"",INDEX(B4269:B$2,-1+SUMPRODUCT(MAX(ROW(E4269:E$2)*(E4270=E4269:E$2)))))</f>
        <v> </v>
      </c>
      <c r="J4270" s="26" t="str">
        <f>IF(OR(E4270="",E4270="!!!",F4270="NEW"),"",COUNTBLANK(OFFSET(A$1,,,SUMPRODUCT(MAX(ROW(E$2:E4270)*(E4270=E$2:E4270)))))-COUNTBLANK(OFFSET(A$1,,,SUMPRODUCT(MAX(ROW(E$1:E4269)*(E2=E$1:E4269))))))</f>
        <v> </v>
      </c>
      <c r="K4270" s="26" t="str">
        <f>IF(OR(E4270="",E4270="!!!",F4270="NEW"),"",INDEX(J$1:J4269,SUMPRODUCT(MAX(ROW(E$1:E4269)*(E4270=E$1:E4269)))))</f>
        <v> </v>
      </c>
      <c r="L4270" s="27"/>
    </row>
    <row r="4271" spans="1:12">
      <c r="A4271" s="20" t="s">
        <v>1321</v>
      </c>
      <c r="E4271" s="22">
        <f>IF(D4271="?OLD","!!!","")</f>
        <v/>
      </c>
      <c r="F4271" s="23" t="str">
        <f>IF(OR(E4271="",E4271="!!!"),"",IF(NOT(ISNA(VLOOKUP(E4271,E$1:E4270,1,FALSE()))),"OLD",IF(AND(E4271&lt;&gt;"",E4271&lt;&gt;"!!!"),"NEW","")))</f>
        <v> </v>
      </c>
      <c r="G4271" s="24" t="str">
        <f>IF(OR(E4271="",E4271="!!!"),"",IF(OR(J4271=0,AND(J4271=1,K4271=1),AND(J4271=1,I4271="SBJ"),AND(J4271=1,I4271=0)),"?IN_FOCUS",IF(J4271&lt;=2,"?ACTIVATED",IF(J4271&lt;&gt;"","?FAMILIAR",IF(F4271="NEW",IF(ISNA(VLOOKUP(E4271,#REF!,1,FALSE())),"?TYPE_IDENTIFIABLE","?REFERENTIAL"),"_")))))</f>
        <v> </v>
      </c>
      <c r="H4271" s="25" t="str">
        <f>IF(J4271&lt;&gt;1,"",IF(I4271="SBJ","CB","?"))</f>
        <v> </v>
      </c>
      <c r="I4271" s="26" t="str">
        <f>IF(OR(E4271="",E4271="!!!",F4271="NEW"),"",INDEX(B4270:B$2,-1+SUMPRODUCT(MAX(ROW(E4270:E$2)*(E4271=E4270:E$2)))))</f>
        <v> </v>
      </c>
      <c r="J4271" s="26" t="str">
        <f>IF(OR(E4271="",E4271="!!!",F4271="NEW"),"",COUNTBLANK(OFFSET(A$1,,,SUMPRODUCT(MAX(ROW(E$2:E4271)*(E4271=E$2:E4271)))))-COUNTBLANK(OFFSET(A$1,,,SUMPRODUCT(MAX(ROW(E$1:E4270)*(E2=E$1:E4270))))))</f>
        <v> </v>
      </c>
      <c r="K4271" s="26" t="str">
        <f>IF(OR(E4271="",E4271="!!!",F4271="NEW"),"",INDEX(J$1:J4270,SUMPRODUCT(MAX(ROW(E$1:E4270)*(E4271=E$1:E4270)))))</f>
        <v> </v>
      </c>
      <c r="L4271" s="27"/>
    </row>
    <row r="4272" spans="1:12">
      <c r="A4272" s="20" t="s">
        <v>1218</v>
      </c>
      <c r="E4272" s="22">
        <f>IF(D4272="?OLD","!!!","")</f>
        <v/>
      </c>
      <c r="F4272" s="23" t="str">
        <f>IF(OR(E4272="",E4272="!!!"),"",IF(NOT(ISNA(VLOOKUP(E4272,E$1:E4271,1,FALSE()))),"OLD",IF(AND(E4272&lt;&gt;"",E4272&lt;&gt;"!!!"),"NEW","")))</f>
        <v> </v>
      </c>
      <c r="G4272" s="24" t="str">
        <f>IF(OR(E4272="",E4272="!!!"),"",IF(OR(J4272=0,AND(J4272=1,K4272=1),AND(J4272=1,I4272="SBJ"),AND(J4272=1,I4272=0)),"?IN_FOCUS",IF(J4272&lt;=2,"?ACTIVATED",IF(J4272&lt;&gt;"","?FAMILIAR",IF(F4272="NEW",IF(ISNA(VLOOKUP(E4272,#REF!,1,FALSE())),"?TYPE_IDENTIFIABLE","?REFERENTIAL"),"_")))))</f>
        <v> </v>
      </c>
      <c r="H4272" s="25" t="str">
        <f>IF(J4272&lt;&gt;1,"",IF(I4272="SBJ","CB","?"))</f>
        <v> </v>
      </c>
      <c r="I4272" s="26" t="str">
        <f>IF(OR(E4272="",E4272="!!!",F4272="NEW"),"",INDEX(B4271:B$2,-1+SUMPRODUCT(MAX(ROW(E4271:E$2)*(E4272=E4271:E$2)))))</f>
        <v> </v>
      </c>
      <c r="J4272" s="26" t="str">
        <f>IF(OR(E4272="",E4272="!!!",F4272="NEW"),"",COUNTBLANK(OFFSET(A$1,,,SUMPRODUCT(MAX(ROW(E$2:E4272)*(E4272=E$2:E4272)))))-COUNTBLANK(OFFSET(A$1,,,SUMPRODUCT(MAX(ROW(E$1:E4271)*(E2=E$1:E4271))))))</f>
        <v> </v>
      </c>
      <c r="K4272" s="26" t="str">
        <f>IF(OR(E4272="",E4272="!!!",F4272="NEW"),"",INDEX(J$1:J4271,SUMPRODUCT(MAX(ROW(E$1:E4271)*(E4272=E$1:E4271)))))</f>
        <v> </v>
      </c>
      <c r="L4272" s="27"/>
    </row>
    <row r="4273" spans="1:12">
      <c r="A4273" s="20" t="s">
        <v>1266</v>
      </c>
      <c r="E4273" s="22">
        <f>IF(D4273="?OLD","!!!","")</f>
        <v/>
      </c>
      <c r="F4273" s="23" t="str">
        <f>IF(OR(E4273="",E4273="!!!"),"",IF(NOT(ISNA(VLOOKUP(E4273,E$1:E4272,1,FALSE()))),"OLD",IF(AND(E4273&lt;&gt;"",E4273&lt;&gt;"!!!"),"NEW","")))</f>
        <v> </v>
      </c>
      <c r="G4273" s="24" t="str">
        <f>IF(OR(E4273="",E4273="!!!"),"",IF(OR(J4273=0,AND(J4273=1,K4273=1),AND(J4273=1,I4273="SBJ"),AND(J4273=1,I4273=0)),"?IN_FOCUS",IF(J4273&lt;=2,"?ACTIVATED",IF(J4273&lt;&gt;"","?FAMILIAR",IF(F4273="NEW",IF(ISNA(VLOOKUP(E4273,#REF!,1,FALSE())),"?TYPE_IDENTIFIABLE","?REFERENTIAL"),"_")))))</f>
        <v> </v>
      </c>
      <c r="H4273" s="25" t="str">
        <f>IF(J4273&lt;&gt;1,"",IF(I4273="SBJ","CB","?"))</f>
        <v> </v>
      </c>
      <c r="I4273" s="26" t="str">
        <f>IF(OR(E4273="",E4273="!!!",F4273="NEW"),"",INDEX(B4272:B$2,-1+SUMPRODUCT(MAX(ROW(E4272:E$2)*(E4273=E4272:E$2)))))</f>
        <v> </v>
      </c>
      <c r="J4273" s="26" t="str">
        <f>IF(OR(E4273="",E4273="!!!",F4273="NEW"),"",COUNTBLANK(OFFSET(A$1,,,SUMPRODUCT(MAX(ROW(E$2:E4273)*(E4273=E$2:E4273)))))-COUNTBLANK(OFFSET(A$1,,,SUMPRODUCT(MAX(ROW(E$1:E4272)*(E2=E$1:E4272))))))</f>
        <v> </v>
      </c>
      <c r="K4273" s="26" t="str">
        <f>IF(OR(E4273="",E4273="!!!",F4273="NEW"),"",INDEX(J$1:J4272,SUMPRODUCT(MAX(ROW(E$1:E4272)*(E4273=E$1:E4272)))))</f>
        <v> </v>
      </c>
      <c r="L4273" s="27"/>
    </row>
    <row r="4274" spans="1:12">
      <c r="A4274" s="20" t="s">
        <v>2648</v>
      </c>
      <c r="B4274" s="21" t="s">
        <v>1224</v>
      </c>
      <c r="C4274" s="21" t="s">
        <v>1279</v>
      </c>
      <c r="E4274" s="22">
        <f>IF(D4274="?OLD","!!!","")</f>
        <v/>
      </c>
      <c r="F4274" s="23" t="str">
        <f>IF(OR(E4274="",E4274="!!!"),"",IF(NOT(ISNA(VLOOKUP(E4274,E$1:E4273,1,FALSE()))),"OLD",IF(AND(E4274&lt;&gt;"",E4274&lt;&gt;"!!!"),"NEW","")))</f>
        <v> </v>
      </c>
      <c r="G4274" s="24" t="str">
        <f>IF(OR(E4274="",E4274="!!!"),"",IF(OR(J4274=0,AND(J4274=1,K4274=1),AND(J4274=1,I4274="SBJ"),AND(J4274=1,I4274=0)),"?IN_FOCUS",IF(J4274&lt;=2,"?ACTIVATED",IF(J4274&lt;&gt;"","?FAMILIAR",IF(F4274="NEW",IF(ISNA(VLOOKUP(E4274,#REF!,1,FALSE())),"?TYPE_IDENTIFIABLE","?REFERENTIAL"),"_")))))</f>
        <v> </v>
      </c>
      <c r="H4274" s="25" t="str">
        <f>IF(J4274&lt;&gt;1,"",IF(I4274="SBJ","CB","?"))</f>
        <v> </v>
      </c>
      <c r="I4274" s="26" t="str">
        <f>IF(OR(E4274="",E4274="!!!",F4274="NEW"),"",INDEX(B4273:B$2,-1+SUMPRODUCT(MAX(ROW(E4273:E$2)*(E4274=E4273:E$2)))))</f>
        <v> </v>
      </c>
      <c r="J4274" s="26" t="str">
        <f>IF(OR(E4274="",E4274="!!!",F4274="NEW"),"",COUNTBLANK(OFFSET(A$1,,,SUMPRODUCT(MAX(ROW(E$2:E4274)*(E4274=E$2:E4274)))))-COUNTBLANK(OFFSET(A$1,,,SUMPRODUCT(MAX(ROW(E$1:E4273)*(E2=E$1:E4273))))))</f>
        <v> </v>
      </c>
      <c r="K4274" s="26" t="str">
        <f>IF(OR(E4274="",E4274="!!!",F4274="NEW"),"",INDEX(J$1:J4273,SUMPRODUCT(MAX(ROW(E$1:E4273)*(E4274=E$1:E4273)))))</f>
        <v> </v>
      </c>
      <c r="L4274" s="27"/>
    </row>
    <row r="4275" spans="1:12">
      <c r="A4275" s="20" t="s">
        <v>1277</v>
      </c>
      <c r="E4275" s="22">
        <f>IF(D4275="?OLD","!!!","")</f>
        <v/>
      </c>
      <c r="F4275" s="23" t="str">
        <f>IF(OR(E4275="",E4275="!!!"),"",IF(NOT(ISNA(VLOOKUP(E4275,E$1:E4274,1,FALSE()))),"OLD",IF(AND(E4275&lt;&gt;"",E4275&lt;&gt;"!!!"),"NEW","")))</f>
        <v> </v>
      </c>
      <c r="G4275" s="24" t="str">
        <f>IF(OR(E4275="",E4275="!!!"),"",IF(OR(J4275=0,AND(J4275=1,K4275=1),AND(J4275=1,I4275="SBJ"),AND(J4275=1,I4275=0)),"?IN_FOCUS",IF(J4275&lt;=2,"?ACTIVATED",IF(J4275&lt;&gt;"","?FAMILIAR",IF(F4275="NEW",IF(ISNA(VLOOKUP(E4275,#REF!,1,FALSE())),"?TYPE_IDENTIFIABLE","?REFERENTIAL"),"_")))))</f>
        <v> </v>
      </c>
      <c r="H4275" s="25" t="str">
        <f>IF(J4275&lt;&gt;1,"",IF(I4275="SBJ","CB","?"))</f>
        <v> </v>
      </c>
      <c r="I4275" s="26" t="str">
        <f>IF(OR(E4275="",E4275="!!!",F4275="NEW"),"",INDEX(B4274:B$2,-1+SUMPRODUCT(MAX(ROW(E4274:E$2)*(E4275=E4274:E$2)))))</f>
        <v> </v>
      </c>
      <c r="J4275" s="26" t="str">
        <f>IF(OR(E4275="",E4275="!!!",F4275="NEW"),"",COUNTBLANK(OFFSET(A$1,,,SUMPRODUCT(MAX(ROW(E$2:E4275)*(E4275=E$2:E4275)))))-COUNTBLANK(OFFSET(A$1,,,SUMPRODUCT(MAX(ROW(E$1:E4274)*(E2=E$1:E4274))))))</f>
        <v> </v>
      </c>
      <c r="K4275" s="26" t="str">
        <f>IF(OR(E4275="",E4275="!!!",F4275="NEW"),"",INDEX(J$1:J4274,SUMPRODUCT(MAX(ROW(E$1:E4274)*(E4275=E$1:E4274)))))</f>
        <v> </v>
      </c>
      <c r="L4275" s="27"/>
    </row>
    <row r="4276" spans="1:12">
      <c r="A4276" s="20" t="s">
        <v>1301</v>
      </c>
      <c r="E4276" s="22">
        <f>IF(D4276="?OLD","!!!","")</f>
        <v/>
      </c>
      <c r="F4276" s="23" t="str">
        <f>IF(OR(E4276="",E4276="!!!"),"",IF(NOT(ISNA(VLOOKUP(E4276,E$1:E4275,1,FALSE()))),"OLD",IF(AND(E4276&lt;&gt;"",E4276&lt;&gt;"!!!"),"NEW","")))</f>
        <v> </v>
      </c>
      <c r="G4276" s="24" t="str">
        <f>IF(OR(E4276="",E4276="!!!"),"",IF(OR(J4276=0,AND(J4276=1,K4276=1),AND(J4276=1,I4276="SBJ"),AND(J4276=1,I4276=0)),"?IN_FOCUS",IF(J4276&lt;=2,"?ACTIVATED",IF(J4276&lt;&gt;"","?FAMILIAR",IF(F4276="NEW",IF(ISNA(VLOOKUP(E4276,#REF!,1,FALSE())),"?TYPE_IDENTIFIABLE","?REFERENTIAL"),"_")))))</f>
        <v> </v>
      </c>
      <c r="H4276" s="25" t="str">
        <f>IF(J4276&lt;&gt;1,"",IF(I4276="SBJ","CB","?"))</f>
        <v> </v>
      </c>
      <c r="I4276" s="26" t="str">
        <f>IF(OR(E4276="",E4276="!!!",F4276="NEW"),"",INDEX(B4275:B$2,-1+SUMPRODUCT(MAX(ROW(E4275:E$2)*(E4276=E4275:E$2)))))</f>
        <v> </v>
      </c>
      <c r="J4276" s="26" t="str">
        <f>IF(OR(E4276="",E4276="!!!",F4276="NEW"),"",COUNTBLANK(OFFSET(A$1,,,SUMPRODUCT(MAX(ROW(E$2:E4276)*(E4276=E$2:E4276)))))-COUNTBLANK(OFFSET(A$1,,,SUMPRODUCT(MAX(ROW(E$1:E4275)*(E2=E$1:E4275))))))</f>
        <v> </v>
      </c>
      <c r="K4276" s="26" t="str">
        <f>IF(OR(E4276="",E4276="!!!",F4276="NEW"),"",INDEX(J$1:J4275,SUMPRODUCT(MAX(ROW(E$1:E4275)*(E4276=E$1:E4275)))))</f>
        <v> </v>
      </c>
      <c r="L4276" s="27"/>
    </row>
    <row r="4277" spans="1:12">
      <c r="A4277" s="20" t="s">
        <v>1530</v>
      </c>
      <c r="E4277" s="22">
        <f>IF(D4277="?OLD","!!!","")</f>
        <v/>
      </c>
      <c r="F4277" s="23" t="str">
        <f>IF(OR(E4277="",E4277="!!!"),"",IF(NOT(ISNA(VLOOKUP(E4277,E$1:E4276,1,FALSE()))),"OLD",IF(AND(E4277&lt;&gt;"",E4277&lt;&gt;"!!!"),"NEW","")))</f>
        <v> </v>
      </c>
      <c r="G4277" s="24" t="str">
        <f>IF(OR(E4277="",E4277="!!!"),"",IF(OR(J4277=0,AND(J4277=1,K4277=1),AND(J4277=1,I4277="SBJ"),AND(J4277=1,I4277=0)),"?IN_FOCUS",IF(J4277&lt;=2,"?ACTIVATED",IF(J4277&lt;&gt;"","?FAMILIAR",IF(F4277="NEW",IF(ISNA(VLOOKUP(E4277,#REF!,1,FALSE())),"?TYPE_IDENTIFIABLE","?REFERENTIAL"),"_")))))</f>
        <v> </v>
      </c>
      <c r="H4277" s="25" t="str">
        <f>IF(J4277&lt;&gt;1,"",IF(I4277="SBJ","CB","?"))</f>
        <v> </v>
      </c>
      <c r="I4277" s="26" t="str">
        <f>IF(OR(E4277="",E4277="!!!",F4277="NEW"),"",INDEX(B4276:B$2,-1+SUMPRODUCT(MAX(ROW(E4276:E$2)*(E4277=E4276:E$2)))))</f>
        <v> </v>
      </c>
      <c r="J4277" s="26" t="str">
        <f>IF(OR(E4277="",E4277="!!!",F4277="NEW"),"",COUNTBLANK(OFFSET(A$1,,,SUMPRODUCT(MAX(ROW(E$2:E4277)*(E4277=E$2:E4277)))))-COUNTBLANK(OFFSET(A$1,,,SUMPRODUCT(MAX(ROW(E$1:E4276)*(E2=E$1:E4276))))))</f>
        <v> </v>
      </c>
      <c r="K4277" s="26" t="str">
        <f>IF(OR(E4277="",E4277="!!!",F4277="NEW"),"",INDEX(J$1:J4276,SUMPRODUCT(MAX(ROW(E$1:E4276)*(E4277=E$1:E4276)))))</f>
        <v> </v>
      </c>
      <c r="L4277" s="27"/>
    </row>
    <row r="4278" spans="1:12">
      <c r="A4278" s="20" t="s">
        <v>1577</v>
      </c>
      <c r="B4278" s="21" t="s">
        <v>1229</v>
      </c>
      <c r="C4278" s="21" t="s">
        <v>1234</v>
      </c>
      <c r="D4278" s="21" t="s">
        <v>1217</v>
      </c>
      <c r="E4278" s="22">
        <f>IF(D4278="?OLD","!!!","")</f>
        <v/>
      </c>
      <c r="F4278" s="23" t="str">
        <f>IF(OR(E4278="",E4278="!!!"),"",IF(NOT(ISNA(VLOOKUP(E4278,E$1:E4277,1,FALSE()))),"OLD",IF(AND(E4278&lt;&gt;"",E4278&lt;&gt;"!!!"),"NEW","")))</f>
        <v> </v>
      </c>
      <c r="G4278" s="24" t="str">
        <f>IF(OR(E4278="",E4278="!!!"),"",IF(OR(J4278=0,AND(J4278=1,K4278=1),AND(J4278=1,I4278="SBJ"),AND(J4278=1,I4278=0)),"?IN_FOCUS",IF(J4278&lt;=2,"?ACTIVATED",IF(J4278&lt;&gt;"","?FAMILIAR",IF(F4278="NEW",IF(ISNA(VLOOKUP(E4278,#REF!,1,FALSE())),"?TYPE_IDENTIFIABLE","?REFERENTIAL"),"_")))))</f>
        <v> </v>
      </c>
      <c r="H4278" s="25" t="str">
        <f>IF(J4278&lt;&gt;1,"",IF(I4278="SBJ","CB","?"))</f>
        <v> </v>
      </c>
      <c r="I4278" s="26" t="str">
        <f>IF(OR(E4278="",E4278="!!!",F4278="NEW"),"",INDEX(B4277:B$2,-1+SUMPRODUCT(MAX(ROW(E4277:E$2)*(E4278=E4277:E$2)))))</f>
        <v> </v>
      </c>
      <c r="J4278" s="26" t="str">
        <f>IF(OR(E4278="",E4278="!!!",F4278="NEW"),"",COUNTBLANK(OFFSET(A$1,,,SUMPRODUCT(MAX(ROW(E$2:E4278)*(E4278=E$2:E4278)))))-COUNTBLANK(OFFSET(A$1,,,SUMPRODUCT(MAX(ROW(E$1:E4277)*(E2=E$1:E4277))))))</f>
        <v> </v>
      </c>
      <c r="K4278" s="26" t="str">
        <f>IF(OR(E4278="",E4278="!!!",F4278="NEW"),"",INDEX(J$1:J4277,SUMPRODUCT(MAX(ROW(E$1:E4277)*(E4278=E$1:E4277)))))</f>
        <v> </v>
      </c>
      <c r="L4278" s="27"/>
    </row>
    <row r="4279" spans="1:12">
      <c r="A4279" s="20" t="s">
        <v>1303</v>
      </c>
      <c r="E4279" s="22">
        <f>IF(D4279="?OLD","!!!","")</f>
        <v/>
      </c>
      <c r="F4279" s="23" t="str">
        <f>IF(OR(E4279="",E4279="!!!"),"",IF(NOT(ISNA(VLOOKUP(E4279,E$1:E4278,1,FALSE()))),"OLD",IF(AND(E4279&lt;&gt;"",E4279&lt;&gt;"!!!"),"NEW","")))</f>
        <v> </v>
      </c>
      <c r="G4279" s="24" t="str">
        <f>IF(OR(E4279="",E4279="!!!"),"",IF(OR(J4279=0,AND(J4279=1,K4279=1),AND(J4279=1,I4279="SBJ"),AND(J4279=1,I4279=0)),"?IN_FOCUS",IF(J4279&lt;=2,"?ACTIVATED",IF(J4279&lt;&gt;"","?FAMILIAR",IF(F4279="NEW",IF(ISNA(VLOOKUP(E4279,#REF!,1,FALSE())),"?TYPE_IDENTIFIABLE","?REFERENTIAL"),"_")))))</f>
        <v> </v>
      </c>
      <c r="H4279" s="25" t="str">
        <f>IF(J4279&lt;&gt;1,"",IF(I4279="SBJ","CB","?"))</f>
        <v> </v>
      </c>
      <c r="I4279" s="26" t="str">
        <f>IF(OR(E4279="",E4279="!!!",F4279="NEW"),"",INDEX(B4278:B$2,-1+SUMPRODUCT(MAX(ROW(E4278:E$2)*(E4279=E4278:E$2)))))</f>
        <v> </v>
      </c>
      <c r="J4279" s="26" t="str">
        <f>IF(OR(E4279="",E4279="!!!",F4279="NEW"),"",COUNTBLANK(OFFSET(A$1,,,SUMPRODUCT(MAX(ROW(E$2:E4279)*(E4279=E$2:E4279)))))-COUNTBLANK(OFFSET(A$1,,,SUMPRODUCT(MAX(ROW(E$1:E4278)*(E2=E$1:E4278))))))</f>
        <v> </v>
      </c>
      <c r="K4279" s="26" t="str">
        <f>IF(OR(E4279="",E4279="!!!",F4279="NEW"),"",INDEX(J$1:J4278,SUMPRODUCT(MAX(ROW(E$1:E4278)*(E4279=E$1:E4278)))))</f>
        <v> </v>
      </c>
      <c r="L4279" s="27"/>
    </row>
    <row r="4280" spans="1:12">
      <c r="A4280" s="20" t="s">
        <v>1277</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t="s">
        <v>2595</v>
      </c>
      <c r="B4281" s="21" t="s">
        <v>1221</v>
      </c>
      <c r="C4281" s="21" t="s">
        <v>1279</v>
      </c>
      <c r="E4281" s="22">
        <f>IF(D4281="?OLD","!!!","")</f>
        <v/>
      </c>
      <c r="F4281" s="23" t="str">
        <f>IF(OR(E4281="",E4281="!!!"),"",IF(NOT(ISNA(VLOOKUP(E4281,E$1:E4280,1,FALSE()))),"OLD",IF(AND(E4281&lt;&gt;"",E4281&lt;&gt;"!!!"),"NEW","")))</f>
        <v> </v>
      </c>
      <c r="G4281" s="24" t="str">
        <f>IF(OR(E4281="",E4281="!!!"),"",IF(OR(J4281=0,AND(J4281=1,K4281=1),AND(J4281=1,I4281="SBJ"),AND(J4281=1,I4281=0)),"?IN_FOCUS",IF(J4281&lt;=2,"?ACTIVATED",IF(J4281&lt;&gt;"","?FAMILIAR",IF(F4281="NEW",IF(ISNA(VLOOKUP(E4281,#REF!,1,FALSE())),"?TYPE_IDENTIFIABLE","?REFERENTIAL"),"_")))))</f>
        <v> </v>
      </c>
      <c r="H4281" s="25" t="str">
        <f>IF(J4281&lt;&gt;1,"",IF(I4281="SBJ","CB","?"))</f>
        <v> </v>
      </c>
      <c r="I4281" s="26" t="str">
        <f>IF(OR(E4281="",E4281="!!!",F4281="NEW"),"",INDEX(B4280:B$2,-1+SUMPRODUCT(MAX(ROW(E4280:E$2)*(E4281=E4280:E$2)))))</f>
        <v> </v>
      </c>
      <c r="J4281" s="26" t="str">
        <f>IF(OR(E4281="",E4281="!!!",F4281="NEW"),"",COUNTBLANK(OFFSET(A$1,,,SUMPRODUCT(MAX(ROW(E$2:E4281)*(E4281=E$2:E4281)))))-COUNTBLANK(OFFSET(A$1,,,SUMPRODUCT(MAX(ROW(E$1:E4280)*(E2=E$1:E4280))))))</f>
        <v> </v>
      </c>
      <c r="K4281" s="26" t="str">
        <f>IF(OR(E4281="",E4281="!!!",F4281="NEW"),"",INDEX(J$1:J4280,SUMPRODUCT(MAX(ROW(E$1:E4280)*(E4281=E$1:E4280)))))</f>
        <v> </v>
      </c>
      <c r="L4281" s="27"/>
    </row>
    <row r="4282" spans="1:12">
      <c r="A4282" s="20" t="s">
        <v>1457</v>
      </c>
      <c r="E4282" s="22">
        <f>IF(D4282="?OLD","!!!","")</f>
        <v/>
      </c>
      <c r="F4282" s="23" t="str">
        <f>IF(OR(E4282="",E4282="!!!"),"",IF(NOT(ISNA(VLOOKUP(E4282,E$1:E4281,1,FALSE()))),"OLD",IF(AND(E4282&lt;&gt;"",E4282&lt;&gt;"!!!"),"NEW","")))</f>
        <v> </v>
      </c>
      <c r="G4282" s="24" t="str">
        <f>IF(OR(E4282="",E4282="!!!"),"",IF(OR(J4282=0,AND(J4282=1,K4282=1),AND(J4282=1,I4282="SBJ"),AND(J4282=1,I4282=0)),"?IN_FOCUS",IF(J4282&lt;=2,"?ACTIVATED",IF(J4282&lt;&gt;"","?FAMILIAR",IF(F4282="NEW",IF(ISNA(VLOOKUP(E4282,#REF!,1,FALSE())),"?TYPE_IDENTIFIABLE","?REFERENTIAL"),"_")))))</f>
        <v> </v>
      </c>
      <c r="H4282" s="25" t="str">
        <f>IF(J4282&lt;&gt;1,"",IF(I4282="SBJ","CB","?"))</f>
        <v> </v>
      </c>
      <c r="I4282" s="26" t="str">
        <f>IF(OR(E4282="",E4282="!!!",F4282="NEW"),"",INDEX(B4281:B$2,-1+SUMPRODUCT(MAX(ROW(E4281:E$2)*(E4282=E4281:E$2)))))</f>
        <v> </v>
      </c>
      <c r="J4282" s="26" t="str">
        <f>IF(OR(E4282="",E4282="!!!",F4282="NEW"),"",COUNTBLANK(OFFSET(A$1,,,SUMPRODUCT(MAX(ROW(E$2:E4282)*(E4282=E$2:E4282)))))-COUNTBLANK(OFFSET(A$1,,,SUMPRODUCT(MAX(ROW(E$1:E4281)*(E2=E$1:E4281))))))</f>
        <v> </v>
      </c>
      <c r="K4282" s="26" t="str">
        <f>IF(OR(E4282="",E4282="!!!",F4282="NEW"),"",INDEX(J$1:J4281,SUMPRODUCT(MAX(ROW(E$1:E4281)*(E4282=E$1:E4281)))))</f>
        <v> </v>
      </c>
      <c r="L4282" s="27"/>
    </row>
    <row r="4283" spans="1:12">
      <c r="A4283" s="20" t="s">
        <v>1458</v>
      </c>
      <c r="E4283" s="22">
        <f>IF(D4283="?OLD","!!!","")</f>
        <v/>
      </c>
      <c r="F4283" s="23" t="str">
        <f>IF(OR(E4283="",E4283="!!!"),"",IF(NOT(ISNA(VLOOKUP(E4283,E$1:E4282,1,FALSE()))),"OLD",IF(AND(E4283&lt;&gt;"",E4283&lt;&gt;"!!!"),"NEW","")))</f>
        <v> </v>
      </c>
      <c r="G4283" s="24" t="str">
        <f>IF(OR(E4283="",E4283="!!!"),"",IF(OR(J4283=0,AND(J4283=1,K4283=1),AND(J4283=1,I4283="SBJ"),AND(J4283=1,I4283=0)),"?IN_FOCUS",IF(J4283&lt;=2,"?ACTIVATED",IF(J4283&lt;&gt;"","?FAMILIAR",IF(F4283="NEW",IF(ISNA(VLOOKUP(E4283,#REF!,1,FALSE())),"?TYPE_IDENTIFIABLE","?REFERENTIAL"),"_")))))</f>
        <v> </v>
      </c>
      <c r="H4283" s="25" t="str">
        <f>IF(J4283&lt;&gt;1,"",IF(I4283="SBJ","CB","?"))</f>
        <v> </v>
      </c>
      <c r="I4283" s="26" t="str">
        <f>IF(OR(E4283="",E4283="!!!",F4283="NEW"),"",INDEX(B4282:B$2,-1+SUMPRODUCT(MAX(ROW(E4282:E$2)*(E4283=E4282:E$2)))))</f>
        <v> </v>
      </c>
      <c r="J4283" s="26" t="str">
        <f>IF(OR(E4283="",E4283="!!!",F4283="NEW"),"",COUNTBLANK(OFFSET(A$1,,,SUMPRODUCT(MAX(ROW(E$2:E4283)*(E4283=E$2:E4283)))))-COUNTBLANK(OFFSET(A$1,,,SUMPRODUCT(MAX(ROW(E$1:E4282)*(E2=E$1:E4282))))))</f>
        <v> </v>
      </c>
      <c r="K4283" s="26" t="str">
        <f>IF(OR(E4283="",E4283="!!!",F4283="NEW"),"",INDEX(J$1:J4282,SUMPRODUCT(MAX(ROW(E$1:E4282)*(E4283=E$1:E4282)))))</f>
        <v> </v>
      </c>
      <c r="L4283" s="27"/>
    </row>
    <row r="4284" spans="1:12">
      <c r="A4284" s="20" t="s">
        <v>548</v>
      </c>
      <c r="B4284" s="21" t="s">
        <v>1249</v>
      </c>
      <c r="C4284" s="21" t="s">
        <v>1225</v>
      </c>
      <c r="D4284" s="21" t="s">
        <v>1217</v>
      </c>
      <c r="E4284" s="22">
        <f>IF(D4284="?OLD","!!!","")</f>
        <v/>
      </c>
      <c r="F4284" s="23" t="str">
        <f>IF(OR(E4284="",E4284="!!!"),"",IF(NOT(ISNA(VLOOKUP(E4284,E$1:E4283,1,FALSE()))),"OLD",IF(AND(E4284&lt;&gt;"",E4284&lt;&gt;"!!!"),"NEW","")))</f>
        <v> </v>
      </c>
      <c r="G4284" s="24" t="str">
        <f>IF(OR(E4284="",E4284="!!!"),"",IF(OR(J4284=0,AND(J4284=1,K4284=1),AND(J4284=1,I4284="SBJ"),AND(J4284=1,I4284=0)),"?IN_FOCUS",IF(J4284&lt;=2,"?ACTIVATED",IF(J4284&lt;&gt;"","?FAMILIAR",IF(F4284="NEW",IF(ISNA(VLOOKUP(E4284,#REF!,1,FALSE())),"?TYPE_IDENTIFIABLE","?REFERENTIAL"),"_")))))</f>
        <v> </v>
      </c>
      <c r="H4284" s="25" t="str">
        <f>IF(J4284&lt;&gt;1,"",IF(I4284="SBJ","CB","?"))</f>
        <v> </v>
      </c>
      <c r="I4284" s="26" t="str">
        <f>IF(OR(E4284="",E4284="!!!",F4284="NEW"),"",INDEX(B4283:B$2,-1+SUMPRODUCT(MAX(ROW(E4283:E$2)*(E4284=E4283:E$2)))))</f>
        <v> </v>
      </c>
      <c r="J4284" s="26" t="str">
        <f>IF(OR(E4284="",E4284="!!!",F4284="NEW"),"",COUNTBLANK(OFFSET(A$1,,,SUMPRODUCT(MAX(ROW(E$2:E4284)*(E4284=E$2:E4284)))))-COUNTBLANK(OFFSET(A$1,,,SUMPRODUCT(MAX(ROW(E$1:E4283)*(E2=E$1:E4283))))))</f>
        <v> </v>
      </c>
      <c r="K4284" s="26" t="str">
        <f>IF(OR(E4284="",E4284="!!!",F4284="NEW"),"",INDEX(J$1:J4283,SUMPRODUCT(MAX(ROW(E$1:E4283)*(E4284=E$1:E4283)))))</f>
        <v> </v>
      </c>
      <c r="L4284" s="27"/>
    </row>
    <row r="4285" spans="1:12">
      <c r="A4285" s="20" t="s">
        <v>1262</v>
      </c>
      <c r="E4285" s="22">
        <f>IF(D4285="?OLD","!!!","")</f>
        <v/>
      </c>
      <c r="F4285" s="23" t="str">
        <f>IF(OR(E4285="",E4285="!!!"),"",IF(NOT(ISNA(VLOOKUP(E4285,E$1:E4284,1,FALSE()))),"OLD",IF(AND(E4285&lt;&gt;"",E4285&lt;&gt;"!!!"),"NEW","")))</f>
        <v> </v>
      </c>
      <c r="G4285" s="24" t="str">
        <f>IF(OR(E4285="",E4285="!!!"),"",IF(OR(J4285=0,AND(J4285=1,K4285=1),AND(J4285=1,I4285="SBJ"),AND(J4285=1,I4285=0)),"?IN_FOCUS",IF(J4285&lt;=2,"?ACTIVATED",IF(J4285&lt;&gt;"","?FAMILIAR",IF(F4285="NEW",IF(ISNA(VLOOKUP(E4285,#REF!,1,FALSE())),"?TYPE_IDENTIFIABLE","?REFERENTIAL"),"_")))))</f>
        <v> </v>
      </c>
      <c r="H4285" s="25" t="str">
        <f>IF(J4285&lt;&gt;1,"",IF(I4285="SBJ","CB","?"))</f>
        <v> </v>
      </c>
      <c r="I4285" s="26" t="str">
        <f>IF(OR(E4285="",E4285="!!!",F4285="NEW"),"",INDEX(B4284:B$2,-1+SUMPRODUCT(MAX(ROW(E4284:E$2)*(E4285=E4284:E$2)))))</f>
        <v> </v>
      </c>
      <c r="J4285" s="26" t="str">
        <f>IF(OR(E4285="",E4285="!!!",F4285="NEW"),"",COUNTBLANK(OFFSET(A$1,,,SUMPRODUCT(MAX(ROW(E$2:E4285)*(E4285=E$2:E4285)))))-COUNTBLANK(OFFSET(A$1,,,SUMPRODUCT(MAX(ROW(E$1:E4284)*(E2=E$1:E4284))))))</f>
        <v> </v>
      </c>
      <c r="K4285" s="26" t="str">
        <f>IF(OR(E4285="",E4285="!!!",F4285="NEW"),"",INDEX(J$1:J4284,SUMPRODUCT(MAX(ROW(E$1:E4284)*(E4285=E$1:E4284)))))</f>
        <v> </v>
      </c>
      <c r="L4285" s="27"/>
    </row>
    <row r="4286" spans="1:12">
      <c r="A4286" s="20"/>
    </row>
    <row r="4287" spans="1:12">
      <c r="A4287" s="20" t="s">
        <v>2649</v>
      </c>
    </row>
    <row r="4288" spans="1:12">
      <c r="A4288" s="20" t="s">
        <v>2650</v>
      </c>
      <c r="E4288" s="22">
        <f>IF(D4288="?OLD","!!!","")</f>
        <v/>
      </c>
      <c r="F4288" s="23" t="str">
        <f>IF(OR(E4288="",E4288="!!!"),"",IF(NOT(ISNA(VLOOKUP(E4288,E$1:E4287,1,FALSE()))),"OLD",IF(AND(E4288&lt;&gt;"",E4288&lt;&gt;"!!!"),"NEW","")))</f>
        <v> </v>
      </c>
      <c r="G4288" s="24" t="str">
        <f>IF(OR(E4288="",E4288="!!!"),"",IF(OR(J4288=0,AND(J4288=1,K4288=1),AND(J4288=1,I4288="SBJ"),AND(J4288=1,I4288=0)),"?IN_FOCUS",IF(J4288&lt;=2,"?ACTIVATED",IF(J4288&lt;&gt;"","?FAMILIAR",IF(F4288="NEW",IF(ISNA(VLOOKUP(E4288,#REF!,1,FALSE())),"?TYPE_IDENTIFIABLE","?REFERENTIAL"),"_")))))</f>
        <v> </v>
      </c>
      <c r="H4288" s="25" t="str">
        <f>IF(J4288&lt;&gt;1,"",IF(I4288="SBJ","CB","?"))</f>
        <v> </v>
      </c>
      <c r="I4288" s="26" t="str">
        <f>IF(OR(E4288="",E4288="!!!",F4288="NEW"),"",INDEX(B4287:B$2,-1+SUMPRODUCT(MAX(ROW(E4287:E$2)*(E4288=E4287:E$2)))))</f>
        <v> </v>
      </c>
      <c r="J4288" s="26" t="str">
        <f>IF(OR(E4288="",E4288="!!!",F4288="NEW"),"",COUNTBLANK(OFFSET(A$1,,,SUMPRODUCT(MAX(ROW(E$2:E4288)*(E4288=E$2:E4288)))))-COUNTBLANK(OFFSET(A$1,,,SUMPRODUCT(MAX(ROW(E$1:E4287)*(E2=E$1:E4287))))))</f>
        <v> </v>
      </c>
      <c r="K4288" s="26" t="str">
        <f>IF(OR(E4288="",E4288="!!!",F4288="NEW"),"",INDEX(J$1:J4287,SUMPRODUCT(MAX(ROW(E$1:E4287)*(E4288=E$1:E4287)))))</f>
        <v> </v>
      </c>
      <c r="L4288" s="27"/>
    </row>
    <row r="4289" spans="1:12">
      <c r="A4289" s="20" t="s">
        <v>1498</v>
      </c>
      <c r="B4289" s="21" t="s">
        <v>1221</v>
      </c>
      <c r="C4289" s="21" t="s">
        <v>1255</v>
      </c>
      <c r="D4289" s="21" t="s">
        <v>1217</v>
      </c>
      <c r="E4289" s="22">
        <f>IF(D4289="?OLD","!!!","")</f>
        <v/>
      </c>
      <c r="F4289" s="23" t="str">
        <f>IF(OR(E4289="",E4289="!!!"),"",IF(NOT(ISNA(VLOOKUP(E4289,E$1:E4288,1,FALSE()))),"OLD",IF(AND(E4289&lt;&gt;"",E4289&lt;&gt;"!!!"),"NEW","")))</f>
        <v> </v>
      </c>
      <c r="G4289" s="24" t="str">
        <f>IF(OR(E4289="",E4289="!!!"),"",IF(OR(J4289=0,AND(J4289=1,K4289=1),AND(J4289=1,I4289="SBJ"),AND(J4289=1,I4289=0)),"?IN_FOCUS",IF(J4289&lt;=2,"?ACTIVATED",IF(J4289&lt;&gt;"","?FAMILIAR",IF(F4289="NEW",IF(ISNA(VLOOKUP(E4289,#REF!,1,FALSE())),"?TYPE_IDENTIFIABLE","?REFERENTIAL"),"_")))))</f>
        <v> </v>
      </c>
      <c r="H4289" s="25" t="str">
        <f>IF(J4289&lt;&gt;1,"",IF(I4289="SBJ","CB","?"))</f>
        <v> </v>
      </c>
      <c r="I4289" s="26" t="str">
        <f>IF(OR(E4289="",E4289="!!!",F4289="NEW"),"",INDEX(B4288:B$2,-1+SUMPRODUCT(MAX(ROW(E4288:E$2)*(E4289=E4288:E$2)))))</f>
        <v> </v>
      </c>
      <c r="J4289" s="26" t="str">
        <f>IF(OR(E4289="",E4289="!!!",F4289="NEW"),"",COUNTBLANK(OFFSET(A$1,,,SUMPRODUCT(MAX(ROW(E$2:E4289)*(E4289=E$2:E4289)))))-COUNTBLANK(OFFSET(A$1,,,SUMPRODUCT(MAX(ROW(E$1:E4288)*(E2=E$1:E4288))))))</f>
        <v> </v>
      </c>
      <c r="K4289" s="26" t="str">
        <f>IF(OR(E4289="",E4289="!!!",F4289="NEW"),"",INDEX(J$1:J4288,SUMPRODUCT(MAX(ROW(E$1:E4288)*(E4289=E$1:E4288)))))</f>
        <v> </v>
      </c>
      <c r="L4289" s="27"/>
    </row>
    <row r="4290" spans="1:12">
      <c r="A4290" s="20" t="s">
        <v>1241</v>
      </c>
      <c r="B4290" s="21" t="s">
        <v>1221</v>
      </c>
      <c r="C4290" s="21" t="s">
        <v>1242</v>
      </c>
      <c r="D4290" s="21" t="s">
        <v>1217</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2651</v>
      </c>
      <c r="B4291" s="21" t="s">
        <v>1275</v>
      </c>
      <c r="C4291" s="21" t="s">
        <v>1222</v>
      </c>
      <c r="D4291" s="21" t="s">
        <v>1217</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t="s">
        <v>1262</v>
      </c>
      <c r="E4292" s="22">
        <f>IF(D4292="?OLD","!!!","")</f>
        <v/>
      </c>
      <c r="F4292" s="23" t="str">
        <f>IF(OR(E4292="",E4292="!!!"),"",IF(NOT(ISNA(VLOOKUP(E4292,E$1:E4291,1,FALSE()))),"OLD",IF(AND(E4292&lt;&gt;"",E4292&lt;&gt;"!!!"),"NEW","")))</f>
        <v> </v>
      </c>
      <c r="G4292" s="24" t="str">
        <f>IF(OR(E4292="",E4292="!!!"),"",IF(OR(J4292=0,AND(J4292=1,K4292=1),AND(J4292=1,I4292="SBJ"),AND(J4292=1,I4292=0)),"?IN_FOCUS",IF(J4292&lt;=2,"?ACTIVATED",IF(J4292&lt;&gt;"","?FAMILIAR",IF(F4292="NEW",IF(ISNA(VLOOKUP(E4292,#REF!,1,FALSE())),"?TYPE_IDENTIFIABLE","?REFERENTIAL"),"_")))))</f>
        <v> </v>
      </c>
      <c r="H4292" s="25" t="str">
        <f>IF(J4292&lt;&gt;1,"",IF(I4292="SBJ","CB","?"))</f>
        <v> </v>
      </c>
      <c r="I4292" s="26" t="str">
        <f>IF(OR(E4292="",E4292="!!!",F4292="NEW"),"",INDEX(B4291:B$2,-1+SUMPRODUCT(MAX(ROW(E4291:E$2)*(E4292=E4291:E$2)))))</f>
        <v> </v>
      </c>
      <c r="J4292" s="26" t="str">
        <f>IF(OR(E4292="",E4292="!!!",F4292="NEW"),"",COUNTBLANK(OFFSET(A$1,,,SUMPRODUCT(MAX(ROW(E$2:E4292)*(E4292=E$2:E4292)))))-COUNTBLANK(OFFSET(A$1,,,SUMPRODUCT(MAX(ROW(E$1:E4291)*(E2=E$1:E4291))))))</f>
        <v> </v>
      </c>
      <c r="K4292" s="26" t="str">
        <f>IF(OR(E4292="",E4292="!!!",F4292="NEW"),"",INDEX(J$1:J4291,SUMPRODUCT(MAX(ROW(E$1:E4291)*(E4292=E$1:E4291)))))</f>
        <v> </v>
      </c>
      <c r="L4292" s="27"/>
    </row>
    <row r="4293" spans="1:12">
      <c r="A4293" s="20"/>
    </row>
    <row r="4294" spans="1:12">
      <c r="A4294" s="20" t="s">
        <v>2652</v>
      </c>
    </row>
    <row r="4295" spans="1:12">
      <c r="A4295" s="20" t="s">
        <v>1488</v>
      </c>
      <c r="B4295" s="21" t="s">
        <v>1229</v>
      </c>
      <c r="C4295" s="21" t="s">
        <v>1255</v>
      </c>
      <c r="D4295" s="21" t="s">
        <v>1217</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t="s">
        <v>1228</v>
      </c>
      <c r="B4296" s="21" t="s">
        <v>1249</v>
      </c>
      <c r="C4296" s="21" t="s">
        <v>1255</v>
      </c>
      <c r="D4296" s="21" t="s">
        <v>1217</v>
      </c>
      <c r="E4296" s="22">
        <f>IF(D4296="?OLD","!!!","")</f>
        <v/>
      </c>
      <c r="F4296" s="23" t="str">
        <f>IF(OR(E4296="",E4296="!!!"),"",IF(NOT(ISNA(VLOOKUP(E4296,E$1:E4295,1,FALSE()))),"OLD",IF(AND(E4296&lt;&gt;"",E4296&lt;&gt;"!!!"),"NEW","")))</f>
        <v> </v>
      </c>
      <c r="G4296" s="24" t="str">
        <f>IF(OR(E4296="",E4296="!!!"),"",IF(OR(J4296=0,AND(J4296=1,K4296=1),AND(J4296=1,I4296="SBJ"),AND(J4296=1,I4296=0)),"?IN_FOCUS",IF(J4296&lt;=2,"?ACTIVATED",IF(J4296&lt;&gt;"","?FAMILIAR",IF(F4296="NEW",IF(ISNA(VLOOKUP(E4296,#REF!,1,FALSE())),"?TYPE_IDENTIFIABLE","?REFERENTIAL"),"_")))))</f>
        <v> </v>
      </c>
      <c r="H4296" s="25" t="str">
        <f>IF(J4296&lt;&gt;1,"",IF(I4296="SBJ","CB","?"))</f>
        <v> </v>
      </c>
      <c r="I4296" s="26" t="str">
        <f>IF(OR(E4296="",E4296="!!!",F4296="NEW"),"",INDEX(B4295:B$2,-1+SUMPRODUCT(MAX(ROW(E4295:E$2)*(E4296=E4295:E$2)))))</f>
        <v> </v>
      </c>
      <c r="J4296" s="26" t="str">
        <f>IF(OR(E4296="",E4296="!!!",F4296="NEW"),"",COUNTBLANK(OFFSET(A$1,,,SUMPRODUCT(MAX(ROW(E$2:E4296)*(E4296=E$2:E4296)))))-COUNTBLANK(OFFSET(A$1,,,SUMPRODUCT(MAX(ROW(E$1:E4295)*(E2=E$1:E4295))))))</f>
        <v> </v>
      </c>
      <c r="K4296" s="26" t="str">
        <f>IF(OR(E4296="",E4296="!!!",F4296="NEW"),"",INDEX(J$1:J4295,SUMPRODUCT(MAX(ROW(E$1:E4295)*(E4296=E$1:E4295)))))</f>
        <v> </v>
      </c>
      <c r="L4296" s="27"/>
    </row>
    <row r="4297" spans="1:12">
      <c r="A4297" s="20" t="s">
        <v>1575</v>
      </c>
      <c r="E4297" s="22">
        <f>IF(D4297="?OLD","!!!","")</f>
        <v/>
      </c>
      <c r="F4297" s="23" t="str">
        <f>IF(OR(E4297="",E4297="!!!"),"",IF(NOT(ISNA(VLOOKUP(E4297,E$1:E4296,1,FALSE()))),"OLD",IF(AND(E4297&lt;&gt;"",E4297&lt;&gt;"!!!"),"NEW","")))</f>
        <v> </v>
      </c>
      <c r="G4297" s="24" t="str">
        <f>IF(OR(E4297="",E4297="!!!"),"",IF(OR(J4297=0,AND(J4297=1,K4297=1),AND(J4297=1,I4297="SBJ"),AND(J4297=1,I4297=0)),"?IN_FOCUS",IF(J4297&lt;=2,"?ACTIVATED",IF(J4297&lt;&gt;"","?FAMILIAR",IF(F4297="NEW",IF(ISNA(VLOOKUP(E4297,#REF!,1,FALSE())),"?TYPE_IDENTIFIABLE","?REFERENTIAL"),"_")))))</f>
        <v> </v>
      </c>
      <c r="H4297" s="25" t="str">
        <f>IF(J4297&lt;&gt;1,"",IF(I4297="SBJ","CB","?"))</f>
        <v> </v>
      </c>
      <c r="I4297" s="26" t="str">
        <f>IF(OR(E4297="",E4297="!!!",F4297="NEW"),"",INDEX(B4296:B$2,-1+SUMPRODUCT(MAX(ROW(E4296:E$2)*(E4297=E4296:E$2)))))</f>
        <v> </v>
      </c>
      <c r="J4297" s="26" t="str">
        <f>IF(OR(E4297="",E4297="!!!",F4297="NEW"),"",COUNTBLANK(OFFSET(A$1,,,SUMPRODUCT(MAX(ROW(E$2:E4297)*(E4297=E$2:E4297)))))-COUNTBLANK(OFFSET(A$1,,,SUMPRODUCT(MAX(ROW(E$1:E4296)*(E2=E$1:E4296))))))</f>
        <v> </v>
      </c>
      <c r="K4297" s="26" t="str">
        <f>IF(OR(E4297="",E4297="!!!",F4297="NEW"),"",INDEX(J$1:J4296,SUMPRODUCT(MAX(ROW(E$1:E4296)*(E4297=E$1:E4296)))))</f>
        <v> </v>
      </c>
      <c r="L4297" s="27"/>
    </row>
    <row r="4298" spans="1:12">
      <c r="A4298" s="20" t="s">
        <v>2653</v>
      </c>
      <c r="E4298" s="22">
        <f>IF(D4298="?OLD","!!!","")</f>
        <v/>
      </c>
      <c r="F4298" s="23" t="str">
        <f>IF(OR(E4298="",E4298="!!!"),"",IF(NOT(ISNA(VLOOKUP(E4298,E$1:E4297,1,FALSE()))),"OLD",IF(AND(E4298&lt;&gt;"",E4298&lt;&gt;"!!!"),"NEW","")))</f>
        <v> </v>
      </c>
      <c r="G4298" s="24" t="str">
        <f>IF(OR(E4298="",E4298="!!!"),"",IF(OR(J4298=0,AND(J4298=1,K4298=1),AND(J4298=1,I4298="SBJ"),AND(J4298=1,I4298=0)),"?IN_FOCUS",IF(J4298&lt;=2,"?ACTIVATED",IF(J4298&lt;&gt;"","?FAMILIAR",IF(F4298="NEW",IF(ISNA(VLOOKUP(E4298,#REF!,1,FALSE())),"?TYPE_IDENTIFIABLE","?REFERENTIAL"),"_")))))</f>
        <v> </v>
      </c>
      <c r="H4298" s="25" t="str">
        <f>IF(J4298&lt;&gt;1,"",IF(I4298="SBJ","CB","?"))</f>
        <v> </v>
      </c>
      <c r="I4298" s="26" t="str">
        <f>IF(OR(E4298="",E4298="!!!",F4298="NEW"),"",INDEX(B4297:B$2,-1+SUMPRODUCT(MAX(ROW(E4297:E$2)*(E4298=E4297:E$2)))))</f>
        <v> </v>
      </c>
      <c r="J4298" s="26" t="str">
        <f>IF(OR(E4298="",E4298="!!!",F4298="NEW"),"",COUNTBLANK(OFFSET(A$1,,,SUMPRODUCT(MAX(ROW(E$2:E4298)*(E4298=E$2:E4298)))))-COUNTBLANK(OFFSET(A$1,,,SUMPRODUCT(MAX(ROW(E$1:E4297)*(E2=E$1:E4297))))))</f>
        <v> </v>
      </c>
      <c r="K4298" s="26" t="str">
        <f>IF(OR(E4298="",E4298="!!!",F4298="NEW"),"",INDEX(J$1:J4297,SUMPRODUCT(MAX(ROW(E$1:E4297)*(E4298=E$1:E4297)))))</f>
        <v> </v>
      </c>
      <c r="L4298" s="27"/>
    </row>
    <row r="4299" spans="1:12">
      <c r="A4299" s="20" t="s">
        <v>1257</v>
      </c>
      <c r="E4299" s="22">
        <f>IF(D4299="?OLD","!!!","")</f>
        <v/>
      </c>
      <c r="F4299" s="23" t="str">
        <f>IF(OR(E4299="",E4299="!!!"),"",IF(NOT(ISNA(VLOOKUP(E4299,E$1:E4298,1,FALSE()))),"OLD",IF(AND(E4299&lt;&gt;"",E4299&lt;&gt;"!!!"),"NEW","")))</f>
        <v> </v>
      </c>
      <c r="G4299" s="24" t="str">
        <f>IF(OR(E4299="",E4299="!!!"),"",IF(OR(J4299=0,AND(J4299=1,K4299=1),AND(J4299=1,I4299="SBJ"),AND(J4299=1,I4299=0)),"?IN_FOCUS",IF(J4299&lt;=2,"?ACTIVATED",IF(J4299&lt;&gt;"","?FAMILIAR",IF(F4299="NEW",IF(ISNA(VLOOKUP(E4299,#REF!,1,FALSE())),"?TYPE_IDENTIFIABLE","?REFERENTIAL"),"_")))))</f>
        <v> </v>
      </c>
      <c r="H4299" s="25" t="str">
        <f>IF(J4299&lt;&gt;1,"",IF(I4299="SBJ","CB","?"))</f>
        <v> </v>
      </c>
      <c r="I4299" s="26" t="str">
        <f>IF(OR(E4299="",E4299="!!!",F4299="NEW"),"",INDEX(B4298:B$2,-1+SUMPRODUCT(MAX(ROW(E4298:E$2)*(E4299=E4298:E$2)))))</f>
        <v> </v>
      </c>
      <c r="J4299" s="26" t="str">
        <f>IF(OR(E4299="",E4299="!!!",F4299="NEW"),"",COUNTBLANK(OFFSET(A$1,,,SUMPRODUCT(MAX(ROW(E$2:E4299)*(E4299=E$2:E4299)))))-COUNTBLANK(OFFSET(A$1,,,SUMPRODUCT(MAX(ROW(E$1:E4298)*(E2=E$1:E4298))))))</f>
        <v> </v>
      </c>
      <c r="K4299" s="26" t="str">
        <f>IF(OR(E4299="",E4299="!!!",F4299="NEW"),"",INDEX(J$1:J4298,SUMPRODUCT(MAX(ROW(E$1:E4298)*(E4299=E$1:E4298)))))</f>
        <v> </v>
      </c>
      <c r="L4299" s="27"/>
    </row>
    <row r="4300" spans="1:12">
      <c r="A4300" s="20" t="s">
        <v>1266</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2044</v>
      </c>
      <c r="B4301" s="21" t="s">
        <v>1221</v>
      </c>
      <c r="C4301" s="21" t="s">
        <v>1269</v>
      </c>
      <c r="D4301" s="21" t="s">
        <v>1217</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t="s">
        <v>1277</v>
      </c>
      <c r="E4302" s="22">
        <f>IF(D4302="?OLD","!!!","")</f>
        <v/>
      </c>
      <c r="F4302" s="23" t="str">
        <f>IF(OR(E4302="",E4302="!!!"),"",IF(NOT(ISNA(VLOOKUP(E4302,E$1:E4301,1,FALSE()))),"OLD",IF(AND(E4302&lt;&gt;"",E4302&lt;&gt;"!!!"),"NEW","")))</f>
        <v> </v>
      </c>
      <c r="G4302" s="24" t="str">
        <f>IF(OR(E4302="",E4302="!!!"),"",IF(OR(J4302=0,AND(J4302=1,K4302=1),AND(J4302=1,I4302="SBJ"),AND(J4302=1,I4302=0)),"?IN_FOCUS",IF(J4302&lt;=2,"?ACTIVATED",IF(J4302&lt;&gt;"","?FAMILIAR",IF(F4302="NEW",IF(ISNA(VLOOKUP(E4302,#REF!,1,FALSE())),"?TYPE_IDENTIFIABLE","?REFERENTIAL"),"_")))))</f>
        <v> </v>
      </c>
      <c r="H4302" s="25" t="str">
        <f>IF(J4302&lt;&gt;1,"",IF(I4302="SBJ","CB","?"))</f>
        <v> </v>
      </c>
      <c r="I4302" s="26" t="str">
        <f>IF(OR(E4302="",E4302="!!!",F4302="NEW"),"",INDEX(B4301:B$2,-1+SUMPRODUCT(MAX(ROW(E4301:E$2)*(E4302=E4301:E$2)))))</f>
        <v> </v>
      </c>
      <c r="J4302" s="26" t="str">
        <f>IF(OR(E4302="",E4302="!!!",F4302="NEW"),"",COUNTBLANK(OFFSET(A$1,,,SUMPRODUCT(MAX(ROW(E$2:E4302)*(E4302=E$2:E4302)))))-COUNTBLANK(OFFSET(A$1,,,SUMPRODUCT(MAX(ROW(E$1:E4301)*(E2=E$1:E4301))))))</f>
        <v> </v>
      </c>
      <c r="K4302" s="26" t="str">
        <f>IF(OR(E4302="",E4302="!!!",F4302="NEW"),"",INDEX(J$1:J4301,SUMPRODUCT(MAX(ROW(E$1:E4301)*(E4302=E$1:E4301)))))</f>
        <v> </v>
      </c>
      <c r="L4302" s="27"/>
    </row>
    <row r="4303" spans="1:12">
      <c r="A4303" s="20" t="s">
        <v>2654</v>
      </c>
      <c r="E4303" s="22">
        <f>IF(D4303="?OLD","!!!","")</f>
        <v/>
      </c>
      <c r="F4303" s="23" t="str">
        <f>IF(OR(E4303="",E4303="!!!"),"",IF(NOT(ISNA(VLOOKUP(E4303,E$1:E4302,1,FALSE()))),"OLD",IF(AND(E4303&lt;&gt;"",E4303&lt;&gt;"!!!"),"NEW","")))</f>
        <v> </v>
      </c>
      <c r="G4303" s="24" t="str">
        <f>IF(OR(E4303="",E4303="!!!"),"",IF(OR(J4303=0,AND(J4303=1,K4303=1),AND(J4303=1,I4303="SBJ"),AND(J4303=1,I4303=0)),"?IN_FOCUS",IF(J4303&lt;=2,"?ACTIVATED",IF(J4303&lt;&gt;"","?FAMILIAR",IF(F4303="NEW",IF(ISNA(VLOOKUP(E4303,#REF!,1,FALSE())),"?TYPE_IDENTIFIABLE","?REFERENTIAL"),"_")))))</f>
        <v> </v>
      </c>
      <c r="H4303" s="25" t="str">
        <f>IF(J4303&lt;&gt;1,"",IF(I4303="SBJ","CB","?"))</f>
        <v> </v>
      </c>
      <c r="I4303" s="26" t="str">
        <f>IF(OR(E4303="",E4303="!!!",F4303="NEW"),"",INDEX(B4302:B$2,-1+SUMPRODUCT(MAX(ROW(E4302:E$2)*(E4303=E4302:E$2)))))</f>
        <v> </v>
      </c>
      <c r="J4303" s="26" t="str">
        <f>IF(OR(E4303="",E4303="!!!",F4303="NEW"),"",COUNTBLANK(OFFSET(A$1,,,SUMPRODUCT(MAX(ROW(E$2:E4303)*(E4303=E$2:E4303)))))-COUNTBLANK(OFFSET(A$1,,,SUMPRODUCT(MAX(ROW(E$1:E4302)*(E2=E$1:E4302))))))</f>
        <v> </v>
      </c>
      <c r="K4303" s="26" t="str">
        <f>IF(OR(E4303="",E4303="!!!",F4303="NEW"),"",INDEX(J$1:J4302,SUMPRODUCT(MAX(ROW(E$1:E4302)*(E4303=E$1:E4302)))))</f>
        <v> </v>
      </c>
      <c r="L4303" s="27"/>
    </row>
    <row r="4304" spans="1:12">
      <c r="A4304" s="20" t="s">
        <v>1498</v>
      </c>
      <c r="B4304" s="21" t="s">
        <v>1237</v>
      </c>
      <c r="C4304" s="21" t="s">
        <v>1255</v>
      </c>
      <c r="D4304" s="21" t="s">
        <v>1217</v>
      </c>
      <c r="E4304" s="22">
        <f>IF(D4304="?OLD","!!!","")</f>
        <v/>
      </c>
      <c r="F4304" s="23" t="str">
        <f>IF(OR(E4304="",E4304="!!!"),"",IF(NOT(ISNA(VLOOKUP(E4304,E$1:E4303,1,FALSE()))),"OLD",IF(AND(E4304&lt;&gt;"",E4304&lt;&gt;"!!!"),"NEW","")))</f>
        <v> </v>
      </c>
      <c r="G4304" s="24" t="str">
        <f>IF(OR(E4304="",E4304="!!!"),"",IF(OR(J4304=0,AND(J4304=1,K4304=1),AND(J4304=1,I4304="SBJ"),AND(J4304=1,I4304=0)),"?IN_FOCUS",IF(J4304&lt;=2,"?ACTIVATED",IF(J4304&lt;&gt;"","?FAMILIAR",IF(F4304="NEW",IF(ISNA(VLOOKUP(E4304,#REF!,1,FALSE())),"?TYPE_IDENTIFIABLE","?REFERENTIAL"),"_")))))</f>
        <v> </v>
      </c>
      <c r="H4304" s="25" t="str">
        <f>IF(J4304&lt;&gt;1,"",IF(I4304="SBJ","CB","?"))</f>
        <v> </v>
      </c>
      <c r="I4304" s="26" t="str">
        <f>IF(OR(E4304="",E4304="!!!",F4304="NEW"),"",INDEX(B4303:B$2,-1+SUMPRODUCT(MAX(ROW(E4303:E$2)*(E4304=E4303:E$2)))))</f>
        <v> </v>
      </c>
      <c r="J4304" s="26" t="str">
        <f>IF(OR(E4304="",E4304="!!!",F4304="NEW"),"",COUNTBLANK(OFFSET(A$1,,,SUMPRODUCT(MAX(ROW(E$2:E4304)*(E4304=E$2:E4304)))))-COUNTBLANK(OFFSET(A$1,,,SUMPRODUCT(MAX(ROW(E$1:E4303)*(E2=E$1:E4303))))))</f>
        <v> </v>
      </c>
      <c r="K4304" s="26" t="str">
        <f>IF(OR(E4304="",E4304="!!!",F4304="NEW"),"",INDEX(J$1:J4303,SUMPRODUCT(MAX(ROW(E$1:E4303)*(E4304=E$1:E4303)))))</f>
        <v> </v>
      </c>
      <c r="L4304" s="27"/>
    </row>
    <row r="4305" spans="1:12">
      <c r="A4305" s="20" t="s">
        <v>1240</v>
      </c>
      <c r="E4305" s="22">
        <f>IF(D4305="?OLD","!!!","")</f>
        <v/>
      </c>
      <c r="F4305" s="23" t="str">
        <f>IF(OR(E4305="",E4305="!!!"),"",IF(NOT(ISNA(VLOOKUP(E4305,E$1:E4304,1,FALSE()))),"OLD",IF(AND(E4305&lt;&gt;"",E4305&lt;&gt;"!!!"),"NEW","")))</f>
        <v> </v>
      </c>
      <c r="G4305" s="24" t="str">
        <f>IF(OR(E4305="",E4305="!!!"),"",IF(OR(J4305=0,AND(J4305=1,K4305=1),AND(J4305=1,I4305="SBJ"),AND(J4305=1,I4305=0)),"?IN_FOCUS",IF(J4305&lt;=2,"?ACTIVATED",IF(J4305&lt;&gt;"","?FAMILIAR",IF(F4305="NEW",IF(ISNA(VLOOKUP(E4305,#REF!,1,FALSE())),"?TYPE_IDENTIFIABLE","?REFERENTIAL"),"_")))))</f>
        <v> </v>
      </c>
      <c r="H4305" s="25" t="str">
        <f>IF(J4305&lt;&gt;1,"",IF(I4305="SBJ","CB","?"))</f>
        <v> </v>
      </c>
      <c r="I4305" s="26" t="str">
        <f>IF(OR(E4305="",E4305="!!!",F4305="NEW"),"",INDEX(B4304:B$2,-1+SUMPRODUCT(MAX(ROW(E4304:E$2)*(E4305=E4304:E$2)))))</f>
        <v> </v>
      </c>
      <c r="J4305" s="26" t="str">
        <f>IF(OR(E4305="",E4305="!!!",F4305="NEW"),"",COUNTBLANK(OFFSET(A$1,,,SUMPRODUCT(MAX(ROW(E$2:E4305)*(E4305=E$2:E4305)))))-COUNTBLANK(OFFSET(A$1,,,SUMPRODUCT(MAX(ROW(E$1:E4304)*(E2=E$1:E4304))))))</f>
        <v> </v>
      </c>
      <c r="K4305" s="26" t="str">
        <f>IF(OR(E4305="",E4305="!!!",F4305="NEW"),"",INDEX(J$1:J4304,SUMPRODUCT(MAX(ROW(E$1:E4304)*(E4305=E$1:E4304)))))</f>
        <v> </v>
      </c>
      <c r="L4305" s="27"/>
    </row>
    <row r="4306" spans="1:12">
      <c r="A4306" s="20" t="s">
        <v>2655</v>
      </c>
      <c r="B4306" s="21" t="s">
        <v>1224</v>
      </c>
      <c r="C4306" s="21" t="s">
        <v>1279</v>
      </c>
      <c r="E4306" s="22">
        <f>IF(D4306="?OLD","!!!","")</f>
        <v/>
      </c>
      <c r="F4306" s="23" t="str">
        <f>IF(OR(E4306="",E4306="!!!"),"",IF(NOT(ISNA(VLOOKUP(E4306,E$1:E4305,1,FALSE()))),"OLD",IF(AND(E4306&lt;&gt;"",E4306&lt;&gt;"!!!"),"NEW","")))</f>
        <v> </v>
      </c>
      <c r="G4306" s="24" t="str">
        <f>IF(OR(E4306="",E4306="!!!"),"",IF(OR(J4306=0,AND(J4306=1,K4306=1),AND(J4306=1,I4306="SBJ"),AND(J4306=1,I4306=0)),"?IN_FOCUS",IF(J4306&lt;=2,"?ACTIVATED",IF(J4306&lt;&gt;"","?FAMILIAR",IF(F4306="NEW",IF(ISNA(VLOOKUP(E4306,#REF!,1,FALSE())),"?TYPE_IDENTIFIABLE","?REFERENTIAL"),"_")))))</f>
        <v> </v>
      </c>
      <c r="H4306" s="25" t="str">
        <f>IF(J4306&lt;&gt;1,"",IF(I4306="SBJ","CB","?"))</f>
        <v> </v>
      </c>
      <c r="I4306" s="26" t="str">
        <f>IF(OR(E4306="",E4306="!!!",F4306="NEW"),"",INDEX(B4305:B$2,-1+SUMPRODUCT(MAX(ROW(E4305:E$2)*(E4306=E4305:E$2)))))</f>
        <v> </v>
      </c>
      <c r="J4306" s="26" t="str">
        <f>IF(OR(E4306="",E4306="!!!",F4306="NEW"),"",COUNTBLANK(OFFSET(A$1,,,SUMPRODUCT(MAX(ROW(E$2:E4306)*(E4306=E$2:E4306)))))-COUNTBLANK(OFFSET(A$1,,,SUMPRODUCT(MAX(ROW(E$1:E4305)*(E2=E$1:E4305))))))</f>
        <v> </v>
      </c>
      <c r="K4306" s="26" t="str">
        <f>IF(OR(E4306="",E4306="!!!",F4306="NEW"),"",INDEX(J$1:J4305,SUMPRODUCT(MAX(ROW(E$1:E4305)*(E4306=E$1:E4305)))))</f>
        <v> </v>
      </c>
      <c r="L4306" s="27"/>
    </row>
    <row r="4307" spans="1:12">
      <c r="A4307" s="20" t="s">
        <v>1822</v>
      </c>
      <c r="E4307" s="22">
        <f>IF(D4307="?OLD","!!!","")</f>
        <v/>
      </c>
      <c r="F4307" s="23" t="str">
        <f>IF(OR(E4307="",E4307="!!!"),"",IF(NOT(ISNA(VLOOKUP(E4307,E$1:E4306,1,FALSE()))),"OLD",IF(AND(E4307&lt;&gt;"",E4307&lt;&gt;"!!!"),"NEW","")))</f>
        <v> </v>
      </c>
      <c r="G4307" s="24" t="str">
        <f>IF(OR(E4307="",E4307="!!!"),"",IF(OR(J4307=0,AND(J4307=1,K4307=1),AND(J4307=1,I4307="SBJ"),AND(J4307=1,I4307=0)),"?IN_FOCUS",IF(J4307&lt;=2,"?ACTIVATED",IF(J4307&lt;&gt;"","?FAMILIAR",IF(F4307="NEW",IF(ISNA(VLOOKUP(E4307,#REF!,1,FALSE())),"?TYPE_IDENTIFIABLE","?REFERENTIAL"),"_")))))</f>
        <v> </v>
      </c>
      <c r="H4307" s="25" t="str">
        <f>IF(J4307&lt;&gt;1,"",IF(I4307="SBJ","CB","?"))</f>
        <v> </v>
      </c>
      <c r="I4307" s="26" t="str">
        <f>IF(OR(E4307="",E4307="!!!",F4307="NEW"),"",INDEX(B4306:B$2,-1+SUMPRODUCT(MAX(ROW(E4306:E$2)*(E4307=E4306:E$2)))))</f>
        <v> </v>
      </c>
      <c r="J4307" s="26" t="str">
        <f>IF(OR(E4307="",E4307="!!!",F4307="NEW"),"",COUNTBLANK(OFFSET(A$1,,,SUMPRODUCT(MAX(ROW(E$2:E4307)*(E4307=E$2:E4307)))))-COUNTBLANK(OFFSET(A$1,,,SUMPRODUCT(MAX(ROW(E$1:E4306)*(E2=E$1:E4306))))))</f>
        <v> </v>
      </c>
      <c r="K4307" s="26" t="str">
        <f>IF(OR(E4307="",E4307="!!!",F4307="NEW"),"",INDEX(J$1:J4306,SUMPRODUCT(MAX(ROW(E$1:E4306)*(E4307=E$1:E4306)))))</f>
        <v> </v>
      </c>
      <c r="L4307" s="27"/>
    </row>
    <row r="4308" spans="1:12">
      <c r="A4308" s="20" t="s">
        <v>1341</v>
      </c>
      <c r="E4308" s="22">
        <f>IF(D4308="?OLD","!!!","")</f>
        <v/>
      </c>
      <c r="F4308" s="23" t="str">
        <f>IF(OR(E4308="",E4308="!!!"),"",IF(NOT(ISNA(VLOOKUP(E4308,E$1:E4307,1,FALSE()))),"OLD",IF(AND(E4308&lt;&gt;"",E4308&lt;&gt;"!!!"),"NEW","")))</f>
        <v> </v>
      </c>
      <c r="G4308" s="24" t="str">
        <f>IF(OR(E4308="",E4308="!!!"),"",IF(OR(J4308=0,AND(J4308=1,K4308=1),AND(J4308=1,I4308="SBJ"),AND(J4308=1,I4308=0)),"?IN_FOCUS",IF(J4308&lt;=2,"?ACTIVATED",IF(J4308&lt;&gt;"","?FAMILIAR",IF(F4308="NEW",IF(ISNA(VLOOKUP(E4308,#REF!,1,FALSE())),"?TYPE_IDENTIFIABLE","?REFERENTIAL"),"_")))))</f>
        <v> </v>
      </c>
      <c r="H4308" s="25" t="str">
        <f>IF(J4308&lt;&gt;1,"",IF(I4308="SBJ","CB","?"))</f>
        <v> </v>
      </c>
      <c r="I4308" s="26" t="str">
        <f>IF(OR(E4308="",E4308="!!!",F4308="NEW"),"",INDEX(B4307:B$2,-1+SUMPRODUCT(MAX(ROW(E4307:E$2)*(E4308=E4307:E$2)))))</f>
        <v> </v>
      </c>
      <c r="J4308" s="26" t="str">
        <f>IF(OR(E4308="",E4308="!!!",F4308="NEW"),"",COUNTBLANK(OFFSET(A$1,,,SUMPRODUCT(MAX(ROW(E$2:E4308)*(E4308=E$2:E4308)))))-COUNTBLANK(OFFSET(A$1,,,SUMPRODUCT(MAX(ROW(E$1:E4307)*(E2=E$1:E4307))))))</f>
        <v> </v>
      </c>
      <c r="K4308" s="26" t="str">
        <f>IF(OR(E4308="",E4308="!!!",F4308="NEW"),"",INDEX(J$1:J4307,SUMPRODUCT(MAX(ROW(E$1:E4307)*(E4308=E$1:E4307)))))</f>
        <v> </v>
      </c>
      <c r="L4308" s="27"/>
    </row>
    <row r="4309" spans="1:12">
      <c r="A4309" s="20" t="s">
        <v>1329</v>
      </c>
      <c r="B4309" s="21" t="s">
        <v>1215</v>
      </c>
      <c r="C4309" s="21" t="s">
        <v>1234</v>
      </c>
      <c r="D4309" s="21" t="s">
        <v>1217</v>
      </c>
      <c r="E4309" s="22">
        <f>IF(D4309="?OLD","!!!","")</f>
        <v/>
      </c>
      <c r="F4309" s="23" t="str">
        <f>IF(OR(E4309="",E4309="!!!"),"",IF(NOT(ISNA(VLOOKUP(E4309,E$1:E4308,1,FALSE()))),"OLD",IF(AND(E4309&lt;&gt;"",E4309&lt;&gt;"!!!"),"NEW","")))</f>
        <v> </v>
      </c>
      <c r="G4309" s="24" t="str">
        <f>IF(OR(E4309="",E4309="!!!"),"",IF(OR(J4309=0,AND(J4309=1,K4309=1),AND(J4309=1,I4309="SBJ"),AND(J4309=1,I4309=0)),"?IN_FOCUS",IF(J4309&lt;=2,"?ACTIVATED",IF(J4309&lt;&gt;"","?FAMILIAR",IF(F4309="NEW",IF(ISNA(VLOOKUP(E4309,#REF!,1,FALSE())),"?TYPE_IDENTIFIABLE","?REFERENTIAL"),"_")))))</f>
        <v> </v>
      </c>
      <c r="H4309" s="25" t="str">
        <f>IF(J4309&lt;&gt;1,"",IF(I4309="SBJ","CB","?"))</f>
        <v> </v>
      </c>
      <c r="I4309" s="26" t="str">
        <f>IF(OR(E4309="",E4309="!!!",F4309="NEW"),"",INDEX(B4308:B$2,-1+SUMPRODUCT(MAX(ROW(E4308:E$2)*(E4309=E4308:E$2)))))</f>
        <v> </v>
      </c>
      <c r="J4309" s="26" t="str">
        <f>IF(OR(E4309="",E4309="!!!",F4309="NEW"),"",COUNTBLANK(OFFSET(A$1,,,SUMPRODUCT(MAX(ROW(E$2:E4309)*(E4309=E$2:E4309)))))-COUNTBLANK(OFFSET(A$1,,,SUMPRODUCT(MAX(ROW(E$1:E4308)*(E2=E$1:E4308))))))</f>
        <v> </v>
      </c>
      <c r="K4309" s="26" t="str">
        <f>IF(OR(E4309="",E4309="!!!",F4309="NEW"),"",INDEX(J$1:J4308,SUMPRODUCT(MAX(ROW(E$1:E4308)*(E4309=E$1:E4308)))))</f>
        <v> </v>
      </c>
      <c r="L4309" s="27"/>
    </row>
    <row r="4310" spans="1:12">
      <c r="A4310" s="20" t="s">
        <v>1949</v>
      </c>
      <c r="E4310" s="22">
        <f>IF(D4310="?OLD","!!!","")</f>
        <v/>
      </c>
      <c r="F4310" s="23" t="str">
        <f>IF(OR(E4310="",E4310="!!!"),"",IF(NOT(ISNA(VLOOKUP(E4310,E$1:E4309,1,FALSE()))),"OLD",IF(AND(E4310&lt;&gt;"",E4310&lt;&gt;"!!!"),"NEW","")))</f>
        <v> </v>
      </c>
      <c r="G4310" s="24" t="str">
        <f>IF(OR(E4310="",E4310="!!!"),"",IF(OR(J4310=0,AND(J4310=1,K4310=1),AND(J4310=1,I4310="SBJ"),AND(J4310=1,I4310=0)),"?IN_FOCUS",IF(J4310&lt;=2,"?ACTIVATED",IF(J4310&lt;&gt;"","?FAMILIAR",IF(F4310="NEW",IF(ISNA(VLOOKUP(E4310,#REF!,1,FALSE())),"?TYPE_IDENTIFIABLE","?REFERENTIAL"),"_")))))</f>
        <v> </v>
      </c>
      <c r="H4310" s="25" t="str">
        <f>IF(J4310&lt;&gt;1,"",IF(I4310="SBJ","CB","?"))</f>
        <v> </v>
      </c>
      <c r="I4310" s="26" t="str">
        <f>IF(OR(E4310="",E4310="!!!",F4310="NEW"),"",INDEX(B4309:B$2,-1+SUMPRODUCT(MAX(ROW(E4309:E$2)*(E4310=E4309:E$2)))))</f>
        <v> </v>
      </c>
      <c r="J4310" s="26" t="str">
        <f>IF(OR(E4310="",E4310="!!!",F4310="NEW"),"",COUNTBLANK(OFFSET(A$1,,,SUMPRODUCT(MAX(ROW(E$2:E4310)*(E4310=E$2:E4310)))))-COUNTBLANK(OFFSET(A$1,,,SUMPRODUCT(MAX(ROW(E$1:E4309)*(E2=E$1:E4309))))))</f>
        <v> </v>
      </c>
      <c r="K4310" s="26" t="str">
        <f>IF(OR(E4310="",E4310="!!!",F4310="NEW"),"",INDEX(J$1:J4309,SUMPRODUCT(MAX(ROW(E$1:E4309)*(E4310=E$1:E4309)))))</f>
        <v> </v>
      </c>
      <c r="L4310" s="27"/>
    </row>
    <row r="4311" spans="1:12">
      <c r="A4311" s="20" t="s">
        <v>2582</v>
      </c>
      <c r="B4311" s="21" t="s">
        <v>1244</v>
      </c>
      <c r="C4311" s="21" t="s">
        <v>1242</v>
      </c>
      <c r="D4311" s="21" t="s">
        <v>1217</v>
      </c>
      <c r="E4311" s="22">
        <f>IF(D4311="?OLD","!!!","")</f>
        <v/>
      </c>
      <c r="F4311" s="23" t="str">
        <f>IF(OR(E4311="",E4311="!!!"),"",IF(NOT(ISNA(VLOOKUP(E4311,E$1:E4310,1,FALSE()))),"OLD",IF(AND(E4311&lt;&gt;"",E4311&lt;&gt;"!!!"),"NEW","")))</f>
        <v> </v>
      </c>
      <c r="G4311" s="24" t="str">
        <f>IF(OR(E4311="",E4311="!!!"),"",IF(OR(J4311=0,AND(J4311=1,K4311=1),AND(J4311=1,I4311="SBJ"),AND(J4311=1,I4311=0)),"?IN_FOCUS",IF(J4311&lt;=2,"?ACTIVATED",IF(J4311&lt;&gt;"","?FAMILIAR",IF(F4311="NEW",IF(ISNA(VLOOKUP(E4311,#REF!,1,FALSE())),"?TYPE_IDENTIFIABLE","?REFERENTIAL"),"_")))))</f>
        <v> </v>
      </c>
      <c r="H4311" s="25" t="str">
        <f>IF(J4311&lt;&gt;1,"",IF(I4311="SBJ","CB","?"))</f>
        <v> </v>
      </c>
      <c r="I4311" s="26" t="str">
        <f>IF(OR(E4311="",E4311="!!!",F4311="NEW"),"",INDEX(B4310:B$2,-1+SUMPRODUCT(MAX(ROW(E4310:E$2)*(E4311=E4310:E$2)))))</f>
        <v> </v>
      </c>
      <c r="J4311" s="26" t="str">
        <f>IF(OR(E4311="",E4311="!!!",F4311="NEW"),"",COUNTBLANK(OFFSET(A$1,,,SUMPRODUCT(MAX(ROW(E$2:E4311)*(E4311=E$2:E4311)))))-COUNTBLANK(OFFSET(A$1,,,SUMPRODUCT(MAX(ROW(E$1:E4310)*(E2=E$1:E4310))))))</f>
        <v> </v>
      </c>
      <c r="K4311" s="26" t="str">
        <f>IF(OR(E4311="",E4311="!!!",F4311="NEW"),"",INDEX(J$1:J4310,SUMPRODUCT(MAX(ROW(E$1:E4310)*(E4311=E$1:E4310)))))</f>
        <v> </v>
      </c>
      <c r="L4311" s="27"/>
    </row>
    <row r="4312" spans="1:12">
      <c r="A4312" s="20" t="s">
        <v>2656</v>
      </c>
      <c r="B4312" s="21" t="s">
        <v>1244</v>
      </c>
      <c r="C4312" s="21" t="s">
        <v>1222</v>
      </c>
      <c r="D4312" s="21" t="s">
        <v>1217</v>
      </c>
      <c r="E4312" s="22">
        <f>IF(D4312="?OLD","!!!","")</f>
        <v/>
      </c>
      <c r="F4312" s="23" t="str">
        <f>IF(OR(E4312="",E4312="!!!"),"",IF(NOT(ISNA(VLOOKUP(E4312,E$1:E4311,1,FALSE()))),"OLD",IF(AND(E4312&lt;&gt;"",E4312&lt;&gt;"!!!"),"NEW","")))</f>
        <v> </v>
      </c>
      <c r="G4312" s="24" t="str">
        <f>IF(OR(E4312="",E4312="!!!"),"",IF(OR(J4312=0,AND(J4312=1,K4312=1),AND(J4312=1,I4312="SBJ"),AND(J4312=1,I4312=0)),"?IN_FOCUS",IF(J4312&lt;=2,"?ACTIVATED",IF(J4312&lt;&gt;"","?FAMILIAR",IF(F4312="NEW",IF(ISNA(VLOOKUP(E4312,#REF!,1,FALSE())),"?TYPE_IDENTIFIABLE","?REFERENTIAL"),"_")))))</f>
        <v> </v>
      </c>
      <c r="H4312" s="25" t="str">
        <f>IF(J4312&lt;&gt;1,"",IF(I4312="SBJ","CB","?"))</f>
        <v> </v>
      </c>
      <c r="I4312" s="26" t="str">
        <f>IF(OR(E4312="",E4312="!!!",F4312="NEW"),"",INDEX(B4311:B$2,-1+SUMPRODUCT(MAX(ROW(E4311:E$2)*(E4312=E4311:E$2)))))</f>
        <v> </v>
      </c>
      <c r="J4312" s="26" t="str">
        <f>IF(OR(E4312="",E4312="!!!",F4312="NEW"),"",COUNTBLANK(OFFSET(A$1,,,SUMPRODUCT(MAX(ROW(E$2:E4312)*(E4312=E$2:E4312)))))-COUNTBLANK(OFFSET(A$1,,,SUMPRODUCT(MAX(ROW(E$1:E4311)*(E2=E$1:E4311))))))</f>
        <v> </v>
      </c>
      <c r="K4312" s="26" t="str">
        <f>IF(OR(E4312="",E4312="!!!",F4312="NEW"),"",INDEX(J$1:J4311,SUMPRODUCT(MAX(ROW(E$1:E4311)*(E4312=E$1:E4311)))))</f>
        <v> </v>
      </c>
      <c r="L4312" s="27"/>
    </row>
    <row r="4313" spans="1:12">
      <c r="A4313" s="20" t="s">
        <v>1262</v>
      </c>
      <c r="E4313" s="22">
        <f>IF(D4313="?OLD","!!!","")</f>
        <v/>
      </c>
      <c r="F4313" s="23" t="str">
        <f>IF(OR(E4313="",E4313="!!!"),"",IF(NOT(ISNA(VLOOKUP(E4313,E$1:E4312,1,FALSE()))),"OLD",IF(AND(E4313&lt;&gt;"",E4313&lt;&gt;"!!!"),"NEW","")))</f>
        <v> </v>
      </c>
      <c r="G4313" s="24" t="str">
        <f>IF(OR(E4313="",E4313="!!!"),"",IF(OR(J4313=0,AND(J4313=1,K4313=1),AND(J4313=1,I4313="SBJ"),AND(J4313=1,I4313=0)),"?IN_FOCUS",IF(J4313&lt;=2,"?ACTIVATED",IF(J4313&lt;&gt;"","?FAMILIAR",IF(F4313="NEW",IF(ISNA(VLOOKUP(E4313,#REF!,1,FALSE())),"?TYPE_IDENTIFIABLE","?REFERENTIAL"),"_")))))</f>
        <v> </v>
      </c>
      <c r="H4313" s="25" t="str">
        <f>IF(J4313&lt;&gt;1,"",IF(I4313="SBJ","CB","?"))</f>
        <v> </v>
      </c>
      <c r="I4313" s="26" t="str">
        <f>IF(OR(E4313="",E4313="!!!",F4313="NEW"),"",INDEX(B4312:B$2,-1+SUMPRODUCT(MAX(ROW(E4312:E$2)*(E4313=E4312:E$2)))))</f>
        <v> </v>
      </c>
      <c r="J4313" s="26" t="str">
        <f>IF(OR(E4313="",E4313="!!!",F4313="NEW"),"",COUNTBLANK(OFFSET(A$1,,,SUMPRODUCT(MAX(ROW(E$2:E4313)*(E4313=E$2:E4313)))))-COUNTBLANK(OFFSET(A$1,,,SUMPRODUCT(MAX(ROW(E$1:E4312)*(E2=E$1:E4312))))))</f>
        <v> </v>
      </c>
      <c r="K4313" s="26" t="str">
        <f>IF(OR(E4313="",E4313="!!!",F4313="NEW"),"",INDEX(J$1:J4312,SUMPRODUCT(MAX(ROW(E$1:E4312)*(E4313=E$1:E4312)))))</f>
        <v> </v>
      </c>
      <c r="L4313" s="27"/>
    </row>
    <row r="4314" spans="1:12">
      <c r="A4314" s="20"/>
    </row>
    <row r="4315" spans="1:12">
      <c r="A4315" s="20" t="s">
        <v>2657</v>
      </c>
    </row>
    <row r="4316" spans="1:12">
      <c r="A4316" s="20" t="s">
        <v>16</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t="s">
        <v>16</v>
      </c>
      <c r="E4317" s="22">
        <f>IF(D4317="?OLD","!!!","")</f>
        <v/>
      </c>
      <c r="F4317" s="23" t="str">
        <f>IF(OR(E4317="",E4317="!!!"),"",IF(NOT(ISNA(VLOOKUP(E4317,E$1:E4316,1,FALSE()))),"OLD",IF(AND(E4317&lt;&gt;"",E4317&lt;&gt;"!!!"),"NEW","")))</f>
        <v> </v>
      </c>
      <c r="G4317" s="24" t="str">
        <f>IF(OR(E4317="",E4317="!!!"),"",IF(OR(J4317=0,AND(J4317=1,K4317=1),AND(J4317=1,I4317="SBJ"),AND(J4317=1,I4317=0)),"?IN_FOCUS",IF(J4317&lt;=2,"?ACTIVATED",IF(J4317&lt;&gt;"","?FAMILIAR",IF(F4317="NEW",IF(ISNA(VLOOKUP(E4317,#REF!,1,FALSE())),"?TYPE_IDENTIFIABLE","?REFERENTIAL"),"_")))))</f>
        <v> </v>
      </c>
      <c r="H4317" s="25" t="str">
        <f>IF(J4317&lt;&gt;1,"",IF(I4317="SBJ","CB","?"))</f>
        <v> </v>
      </c>
      <c r="I4317" s="26" t="str">
        <f>IF(OR(E4317="",E4317="!!!",F4317="NEW"),"",INDEX(B4316:B$2,-1+SUMPRODUCT(MAX(ROW(E4316:E$2)*(E4317=E4316:E$2)))))</f>
        <v> </v>
      </c>
      <c r="J4317" s="26" t="str">
        <f>IF(OR(E4317="",E4317="!!!",F4317="NEW"),"",COUNTBLANK(OFFSET(A$1,,,SUMPRODUCT(MAX(ROW(E$2:E4317)*(E4317=E$2:E4317)))))-COUNTBLANK(OFFSET(A$1,,,SUMPRODUCT(MAX(ROW(E$1:E4316)*(E2=E$1:E4316))))))</f>
        <v> </v>
      </c>
      <c r="K4317" s="26" t="str">
        <f>IF(OR(E4317="",E4317="!!!",F4317="NEW"),"",INDEX(J$1:J4316,SUMPRODUCT(MAX(ROW(E$1:E4316)*(E4317=E$1:E4316)))))</f>
        <v> </v>
      </c>
      <c r="L4317" s="27"/>
    </row>
    <row r="4318" spans="1:12">
      <c r="A4318" s="20" t="s">
        <v>1264</v>
      </c>
      <c r="B4318" s="21" t="s">
        <v>1229</v>
      </c>
      <c r="C4318" s="21" t="s">
        <v>1255</v>
      </c>
      <c r="D4318" s="21" t="s">
        <v>1217</v>
      </c>
      <c r="E4318" s="22">
        <f>IF(D4318="?OLD","!!!","")</f>
        <v/>
      </c>
      <c r="F4318" s="23" t="str">
        <f>IF(OR(E4318="",E4318="!!!"),"",IF(NOT(ISNA(VLOOKUP(E4318,E$1:E4317,1,FALSE()))),"OLD",IF(AND(E4318&lt;&gt;"",E4318&lt;&gt;"!!!"),"NEW","")))</f>
        <v> </v>
      </c>
      <c r="G4318" s="24" t="str">
        <f>IF(OR(E4318="",E4318="!!!"),"",IF(OR(J4318=0,AND(J4318=1,K4318=1),AND(J4318=1,I4318="SBJ"),AND(J4318=1,I4318=0)),"?IN_FOCUS",IF(J4318&lt;=2,"?ACTIVATED",IF(J4318&lt;&gt;"","?FAMILIAR",IF(F4318="NEW",IF(ISNA(VLOOKUP(E4318,#REF!,1,FALSE())),"?TYPE_IDENTIFIABLE","?REFERENTIAL"),"_")))))</f>
        <v> </v>
      </c>
      <c r="H4318" s="25" t="str">
        <f>IF(J4318&lt;&gt;1,"",IF(I4318="SBJ","CB","?"))</f>
        <v> </v>
      </c>
      <c r="I4318" s="26" t="str">
        <f>IF(OR(E4318="",E4318="!!!",F4318="NEW"),"",INDEX(B4317:B$2,-1+SUMPRODUCT(MAX(ROW(E4317:E$2)*(E4318=E4317:E$2)))))</f>
        <v> </v>
      </c>
      <c r="J4318" s="26" t="str">
        <f>IF(OR(E4318="",E4318="!!!",F4318="NEW"),"",COUNTBLANK(OFFSET(A$1,,,SUMPRODUCT(MAX(ROW(E$2:E4318)*(E4318=E$2:E4318)))))-COUNTBLANK(OFFSET(A$1,,,SUMPRODUCT(MAX(ROW(E$1:E4317)*(E2=E$1:E4317))))))</f>
        <v> </v>
      </c>
      <c r="K4318" s="26" t="str">
        <f>IF(OR(E4318="",E4318="!!!",F4318="NEW"),"",INDEX(J$1:J4317,SUMPRODUCT(MAX(ROW(E$1:E4317)*(E4318=E$1:E4317)))))</f>
        <v> </v>
      </c>
      <c r="L4318" s="27"/>
    </row>
    <row r="4319" spans="1:12">
      <c r="A4319" s="20" t="s">
        <v>1225</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t="s">
        <v>1231</v>
      </c>
      <c r="E4320" s="22">
        <f>IF(D4320="?OLD","!!!","")</f>
        <v/>
      </c>
      <c r="F4320" s="23" t="str">
        <f>IF(OR(E4320="",E4320="!!!"),"",IF(NOT(ISNA(VLOOKUP(E4320,E$1:E4319,1,FALSE()))),"OLD",IF(AND(E4320&lt;&gt;"",E4320&lt;&gt;"!!!"),"NEW","")))</f>
        <v> </v>
      </c>
      <c r="G4320" s="24" t="str">
        <f>IF(OR(E4320="",E4320="!!!"),"",IF(OR(J4320=0,AND(J4320=1,K4320=1),AND(J4320=1,I4320="SBJ"),AND(J4320=1,I4320=0)),"?IN_FOCUS",IF(J4320&lt;=2,"?ACTIVATED",IF(J4320&lt;&gt;"","?FAMILIAR",IF(F4320="NEW",IF(ISNA(VLOOKUP(E4320,#REF!,1,FALSE())),"?TYPE_IDENTIFIABLE","?REFERENTIAL"),"_")))))</f>
        <v> </v>
      </c>
      <c r="H4320" s="25" t="str">
        <f>IF(J4320&lt;&gt;1,"",IF(I4320="SBJ","CB","?"))</f>
        <v> </v>
      </c>
      <c r="I4320" s="26" t="str">
        <f>IF(OR(E4320="",E4320="!!!",F4320="NEW"),"",INDEX(B4319:B$2,-1+SUMPRODUCT(MAX(ROW(E4319:E$2)*(E4320=E4319:E$2)))))</f>
        <v> </v>
      </c>
      <c r="J4320" s="26" t="str">
        <f>IF(OR(E4320="",E4320="!!!",F4320="NEW"),"",COUNTBLANK(OFFSET(A$1,,,SUMPRODUCT(MAX(ROW(E$2:E4320)*(E4320=E$2:E4320)))))-COUNTBLANK(OFFSET(A$1,,,SUMPRODUCT(MAX(ROW(E$1:E4319)*(E2=E$1:E4319))))))</f>
        <v> </v>
      </c>
      <c r="K4320" s="26" t="str">
        <f>IF(OR(E4320="",E4320="!!!",F4320="NEW"),"",INDEX(J$1:J4319,SUMPRODUCT(MAX(ROW(E$1:E4319)*(E4320=E$1:E4319)))))</f>
        <v> </v>
      </c>
      <c r="L4320" s="27"/>
    </row>
    <row r="4321" spans="1:12">
      <c r="A4321" s="20" t="s">
        <v>172</v>
      </c>
      <c r="E4321" s="22">
        <f>IF(D4321="?OLD","!!!","")</f>
        <v/>
      </c>
      <c r="F4321" s="23" t="str">
        <f>IF(OR(E4321="",E4321="!!!"),"",IF(NOT(ISNA(VLOOKUP(E4321,E$1:E4320,1,FALSE()))),"OLD",IF(AND(E4321&lt;&gt;"",E4321&lt;&gt;"!!!"),"NEW","")))</f>
        <v> </v>
      </c>
      <c r="G4321" s="24" t="str">
        <f>IF(OR(E4321="",E4321="!!!"),"",IF(OR(J4321=0,AND(J4321=1,K4321=1),AND(J4321=1,I4321="SBJ"),AND(J4321=1,I4321=0)),"?IN_FOCUS",IF(J4321&lt;=2,"?ACTIVATED",IF(J4321&lt;&gt;"","?FAMILIAR",IF(F4321="NEW",IF(ISNA(VLOOKUP(E4321,#REF!,1,FALSE())),"?TYPE_IDENTIFIABLE","?REFERENTIAL"),"_")))))</f>
        <v> </v>
      </c>
      <c r="H4321" s="25" t="str">
        <f>IF(J4321&lt;&gt;1,"",IF(I4321="SBJ","CB","?"))</f>
        <v> </v>
      </c>
      <c r="I4321" s="26" t="str">
        <f>IF(OR(E4321="",E4321="!!!",F4321="NEW"),"",INDEX(B4320:B$2,-1+SUMPRODUCT(MAX(ROW(E4320:E$2)*(E4321=E4320:E$2)))))</f>
        <v> </v>
      </c>
      <c r="J4321" s="26" t="str">
        <f>IF(OR(E4321="",E4321="!!!",F4321="NEW"),"",COUNTBLANK(OFFSET(A$1,,,SUMPRODUCT(MAX(ROW(E$2:E4321)*(E4321=E$2:E4321)))))-COUNTBLANK(OFFSET(A$1,,,SUMPRODUCT(MAX(ROW(E$1:E4320)*(E2=E$1:E4320))))))</f>
        <v> </v>
      </c>
      <c r="K4321" s="26" t="str">
        <f>IF(OR(E4321="",E4321="!!!",F4321="NEW"),"",INDEX(J$1:J4320,SUMPRODUCT(MAX(ROW(E$1:E4320)*(E4321=E$1:E4320)))))</f>
        <v> </v>
      </c>
      <c r="L4321" s="27"/>
    </row>
    <row r="4322" spans="1:12">
      <c r="A4322" s="20" t="s">
        <v>2658</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1247</v>
      </c>
      <c r="B4323" s="21" t="s">
        <v>1226</v>
      </c>
      <c r="C4323" s="21" t="s">
        <v>1242</v>
      </c>
      <c r="D4323" s="21" t="s">
        <v>1217</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t="s">
        <v>1303</v>
      </c>
      <c r="B4324" s="21" t="s">
        <v>1237</v>
      </c>
      <c r="C4324" s="21" t="s">
        <v>1222</v>
      </c>
      <c r="D4324" s="21" t="s">
        <v>1217</v>
      </c>
      <c r="E4324" s="22">
        <f>IF(D4324="?OLD","!!!","")</f>
        <v/>
      </c>
      <c r="F4324" s="23" t="str">
        <f>IF(OR(E4324="",E4324="!!!"),"",IF(NOT(ISNA(VLOOKUP(E4324,E$1:E4323,1,FALSE()))),"OLD",IF(AND(E4324&lt;&gt;"",E4324&lt;&gt;"!!!"),"NEW","")))</f>
        <v> </v>
      </c>
      <c r="G4324" s="24" t="str">
        <f>IF(OR(E4324="",E4324="!!!"),"",IF(OR(J4324=0,AND(J4324=1,K4324=1),AND(J4324=1,I4324="SBJ"),AND(J4324=1,I4324=0)),"?IN_FOCUS",IF(J4324&lt;=2,"?ACTIVATED",IF(J4324&lt;&gt;"","?FAMILIAR",IF(F4324="NEW",IF(ISNA(VLOOKUP(E4324,#REF!,1,FALSE())),"?TYPE_IDENTIFIABLE","?REFERENTIAL"),"_")))))</f>
        <v> </v>
      </c>
      <c r="H4324" s="25" t="str">
        <f>IF(J4324&lt;&gt;1,"",IF(I4324="SBJ","CB","?"))</f>
        <v> </v>
      </c>
      <c r="I4324" s="26" t="str">
        <f>IF(OR(E4324="",E4324="!!!",F4324="NEW"),"",INDEX(B4323:B$2,-1+SUMPRODUCT(MAX(ROW(E4323:E$2)*(E4324=E4323:E$2)))))</f>
        <v> </v>
      </c>
      <c r="J4324" s="26" t="str">
        <f>IF(OR(E4324="",E4324="!!!",F4324="NEW"),"",COUNTBLANK(OFFSET(A$1,,,SUMPRODUCT(MAX(ROW(E$2:E4324)*(E4324=E$2:E4324)))))-COUNTBLANK(OFFSET(A$1,,,SUMPRODUCT(MAX(ROW(E$1:E4323)*(E2=E$1:E4323))))))</f>
        <v> </v>
      </c>
      <c r="K4324" s="26" t="str">
        <f>IF(OR(E4324="",E4324="!!!",F4324="NEW"),"",INDEX(J$1:J4323,SUMPRODUCT(MAX(ROW(E$1:E4323)*(E4324=E$1:E4323)))))</f>
        <v> </v>
      </c>
      <c r="L4324" s="27"/>
    </row>
    <row r="4325" spans="1:12">
      <c r="A4325" s="20" t="s">
        <v>1321</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t="s">
        <v>1428</v>
      </c>
      <c r="E4326" s="22">
        <f>IF(D4326="?OLD","!!!","")</f>
        <v/>
      </c>
      <c r="F4326" s="23" t="str">
        <f>IF(OR(E4326="",E4326="!!!"),"",IF(NOT(ISNA(VLOOKUP(E4326,E$1:E4325,1,FALSE()))),"OLD",IF(AND(E4326&lt;&gt;"",E4326&lt;&gt;"!!!"),"NEW","")))</f>
        <v> </v>
      </c>
      <c r="G4326" s="24" t="str">
        <f>IF(OR(E4326="",E4326="!!!"),"",IF(OR(J4326=0,AND(J4326=1,K4326=1),AND(J4326=1,I4326="SBJ"),AND(J4326=1,I4326=0)),"?IN_FOCUS",IF(J4326&lt;=2,"?ACTIVATED",IF(J4326&lt;&gt;"","?FAMILIAR",IF(F4326="NEW",IF(ISNA(VLOOKUP(E4326,#REF!,1,FALSE())),"?TYPE_IDENTIFIABLE","?REFERENTIAL"),"_")))))</f>
        <v> </v>
      </c>
      <c r="H4326" s="25" t="str">
        <f>IF(J4326&lt;&gt;1,"",IF(I4326="SBJ","CB","?"))</f>
        <v> </v>
      </c>
      <c r="I4326" s="26" t="str">
        <f>IF(OR(E4326="",E4326="!!!",F4326="NEW"),"",INDEX(B4325:B$2,-1+SUMPRODUCT(MAX(ROW(E4325:E$2)*(E4326=E4325:E$2)))))</f>
        <v> </v>
      </c>
      <c r="J4326" s="26" t="str">
        <f>IF(OR(E4326="",E4326="!!!",F4326="NEW"),"",COUNTBLANK(OFFSET(A$1,,,SUMPRODUCT(MAX(ROW(E$2:E4326)*(E4326=E$2:E4326)))))-COUNTBLANK(OFFSET(A$1,,,SUMPRODUCT(MAX(ROW(E$1:E4325)*(E2=E$1:E4325))))))</f>
        <v> </v>
      </c>
      <c r="K4326" s="26" t="str">
        <f>IF(OR(E4326="",E4326="!!!",F4326="NEW"),"",INDEX(J$1:J4325,SUMPRODUCT(MAX(ROW(E$1:E4325)*(E4326=E$1:E4325)))))</f>
        <v> </v>
      </c>
      <c r="L4326" s="27"/>
    </row>
    <row r="4327" spans="1:12">
      <c r="A4327" s="20" t="s">
        <v>1235</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2659</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t="s">
        <v>1505</v>
      </c>
      <c r="B4329" s="21" t="s">
        <v>1224</v>
      </c>
      <c r="C4329" s="21" t="s">
        <v>1238</v>
      </c>
      <c r="E4329" s="22">
        <f>IF(D4329="?OLD","!!!","")</f>
        <v/>
      </c>
      <c r="F4329" s="23" t="str">
        <f>IF(OR(E4329="",E4329="!!!"),"",IF(NOT(ISNA(VLOOKUP(E4329,E$1:E4328,1,FALSE()))),"OLD",IF(AND(E4329&lt;&gt;"",E4329&lt;&gt;"!!!"),"NEW","")))</f>
        <v> </v>
      </c>
      <c r="G4329" s="24" t="str">
        <f>IF(OR(E4329="",E4329="!!!"),"",IF(OR(J4329=0,AND(J4329=1,K4329=1),AND(J4329=1,I4329="SBJ"),AND(J4329=1,I4329=0)),"?IN_FOCUS",IF(J4329&lt;=2,"?ACTIVATED",IF(J4329&lt;&gt;"","?FAMILIAR",IF(F4329="NEW",IF(ISNA(VLOOKUP(E4329,#REF!,1,FALSE())),"?TYPE_IDENTIFIABLE","?REFERENTIAL"),"_")))))</f>
        <v> </v>
      </c>
      <c r="H4329" s="25" t="str">
        <f>IF(J4329&lt;&gt;1,"",IF(I4329="SBJ","CB","?"))</f>
        <v> </v>
      </c>
      <c r="I4329" s="26" t="str">
        <f>IF(OR(E4329="",E4329="!!!",F4329="NEW"),"",INDEX(B4328:B$2,-1+SUMPRODUCT(MAX(ROW(E4328:E$2)*(E4329=E4328:E$2)))))</f>
        <v> </v>
      </c>
      <c r="J4329" s="26" t="str">
        <f>IF(OR(E4329="",E4329="!!!",F4329="NEW"),"",COUNTBLANK(OFFSET(A$1,,,SUMPRODUCT(MAX(ROW(E$2:E4329)*(E4329=E$2:E4329)))))-COUNTBLANK(OFFSET(A$1,,,SUMPRODUCT(MAX(ROW(E$1:E4328)*(E2=E$1:E4328))))))</f>
        <v> </v>
      </c>
      <c r="K4329" s="26" t="str">
        <f>IF(OR(E4329="",E4329="!!!",F4329="NEW"),"",INDEX(J$1:J4328,SUMPRODUCT(MAX(ROW(E$1:E4328)*(E4329=E$1:E4328)))))</f>
        <v> </v>
      </c>
      <c r="L4329" s="27"/>
    </row>
    <row r="4330" spans="1:12">
      <c r="A4330" s="20" t="s">
        <v>1277</v>
      </c>
      <c r="E4330" s="22">
        <f>IF(D4330="?OLD","!!!","")</f>
        <v/>
      </c>
      <c r="F4330" s="23" t="str">
        <f>IF(OR(E4330="",E4330="!!!"),"",IF(NOT(ISNA(VLOOKUP(E4330,E$1:E4329,1,FALSE()))),"OLD",IF(AND(E4330&lt;&gt;"",E4330&lt;&gt;"!!!"),"NEW","")))</f>
        <v> </v>
      </c>
      <c r="G4330" s="24" t="str">
        <f>IF(OR(E4330="",E4330="!!!"),"",IF(OR(J4330=0,AND(J4330=1,K4330=1),AND(J4330=1,I4330="SBJ"),AND(J4330=1,I4330=0)),"?IN_FOCUS",IF(J4330&lt;=2,"?ACTIVATED",IF(J4330&lt;&gt;"","?FAMILIAR",IF(F4330="NEW",IF(ISNA(VLOOKUP(E4330,#REF!,1,FALSE())),"?TYPE_IDENTIFIABLE","?REFERENTIAL"),"_")))))</f>
        <v> </v>
      </c>
      <c r="H4330" s="25" t="str">
        <f>IF(J4330&lt;&gt;1,"",IF(I4330="SBJ","CB","?"))</f>
        <v> </v>
      </c>
      <c r="I4330" s="26" t="str">
        <f>IF(OR(E4330="",E4330="!!!",F4330="NEW"),"",INDEX(B4329:B$2,-1+SUMPRODUCT(MAX(ROW(E4329:E$2)*(E4330=E4329:E$2)))))</f>
        <v> </v>
      </c>
      <c r="J4330" s="26" t="str">
        <f>IF(OR(E4330="",E4330="!!!",F4330="NEW"),"",COUNTBLANK(OFFSET(A$1,,,SUMPRODUCT(MAX(ROW(E$2:E4330)*(E4330=E$2:E4330)))))-COUNTBLANK(OFFSET(A$1,,,SUMPRODUCT(MAX(ROW(E$1:E4329)*(E2=E$1:E4329))))))</f>
        <v> </v>
      </c>
      <c r="K4330" s="26" t="str">
        <f>IF(OR(E4330="",E4330="!!!",F4330="NEW"),"",INDEX(J$1:J4329,SUMPRODUCT(MAX(ROW(E$1:E4329)*(E4330=E$1:E4329)))))</f>
        <v> </v>
      </c>
      <c r="L4330" s="27"/>
    </row>
    <row r="4331" spans="1:12">
      <c r="A4331" s="20" t="s">
        <v>2596</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t="s">
        <v>1765</v>
      </c>
      <c r="B4332" s="21" t="s">
        <v>1215</v>
      </c>
      <c r="C4332" s="21" t="s">
        <v>1255</v>
      </c>
      <c r="D4332" s="21" t="s">
        <v>1217</v>
      </c>
      <c r="E4332" s="22">
        <f>IF(D4332="?OLD","!!!","")</f>
        <v/>
      </c>
      <c r="F4332" s="23" t="str">
        <f>IF(OR(E4332="",E4332="!!!"),"",IF(NOT(ISNA(VLOOKUP(E4332,E$1:E4331,1,FALSE()))),"OLD",IF(AND(E4332&lt;&gt;"",E4332&lt;&gt;"!!!"),"NEW","")))</f>
        <v> </v>
      </c>
      <c r="G4332" s="24" t="str">
        <f>IF(OR(E4332="",E4332="!!!"),"",IF(OR(J4332=0,AND(J4332=1,K4332=1),AND(J4332=1,I4332="SBJ"),AND(J4332=1,I4332=0)),"?IN_FOCUS",IF(J4332&lt;=2,"?ACTIVATED",IF(J4332&lt;&gt;"","?FAMILIAR",IF(F4332="NEW",IF(ISNA(VLOOKUP(E4332,#REF!,1,FALSE())),"?TYPE_IDENTIFIABLE","?REFERENTIAL"),"_")))))</f>
        <v> </v>
      </c>
      <c r="H4332" s="25" t="str">
        <f>IF(J4332&lt;&gt;1,"",IF(I4332="SBJ","CB","?"))</f>
        <v> </v>
      </c>
      <c r="I4332" s="26" t="str">
        <f>IF(OR(E4332="",E4332="!!!",F4332="NEW"),"",INDEX(B4331:B$2,-1+SUMPRODUCT(MAX(ROW(E4331:E$2)*(E4332=E4331:E$2)))))</f>
        <v> </v>
      </c>
      <c r="J4332" s="26" t="str">
        <f>IF(OR(E4332="",E4332="!!!",F4332="NEW"),"",COUNTBLANK(OFFSET(A$1,,,SUMPRODUCT(MAX(ROW(E$2:E4332)*(E4332=E$2:E4332)))))-COUNTBLANK(OFFSET(A$1,,,SUMPRODUCT(MAX(ROW(E$1:E4331)*(E2=E$1:E4331))))))</f>
        <v> </v>
      </c>
      <c r="K4332" s="26" t="str">
        <f>IF(OR(E4332="",E4332="!!!",F4332="NEW"),"",INDEX(J$1:J4331,SUMPRODUCT(MAX(ROW(E$1:E4331)*(E4332=E$1:E4331)))))</f>
        <v> </v>
      </c>
      <c r="L4332" s="27"/>
    </row>
    <row r="4333" spans="1:12">
      <c r="A4333" s="20" t="s">
        <v>1262</v>
      </c>
      <c r="E4333" s="22">
        <f>IF(D4333="?OLD","!!!","")</f>
        <v/>
      </c>
      <c r="F4333" s="23" t="str">
        <f>IF(OR(E4333="",E4333="!!!"),"",IF(NOT(ISNA(VLOOKUP(E4333,E$1:E4332,1,FALSE()))),"OLD",IF(AND(E4333&lt;&gt;"",E4333&lt;&gt;"!!!"),"NEW","")))</f>
        <v> </v>
      </c>
      <c r="G4333" s="24" t="str">
        <f>IF(OR(E4333="",E4333="!!!"),"",IF(OR(J4333=0,AND(J4333=1,K4333=1),AND(J4333=1,I4333="SBJ"),AND(J4333=1,I4333=0)),"?IN_FOCUS",IF(J4333&lt;=2,"?ACTIVATED",IF(J4333&lt;&gt;"","?FAMILIAR",IF(F4333="NEW",IF(ISNA(VLOOKUP(E4333,#REF!,1,FALSE())),"?TYPE_IDENTIFIABLE","?REFERENTIAL"),"_")))))</f>
        <v> </v>
      </c>
      <c r="H4333" s="25" t="str">
        <f>IF(J4333&lt;&gt;1,"",IF(I4333="SBJ","CB","?"))</f>
        <v> </v>
      </c>
      <c r="I4333" s="26" t="str">
        <f>IF(OR(E4333="",E4333="!!!",F4333="NEW"),"",INDEX(B4332:B$2,-1+SUMPRODUCT(MAX(ROW(E4332:E$2)*(E4333=E4332:E$2)))))</f>
        <v> </v>
      </c>
      <c r="J4333" s="26" t="str">
        <f>IF(OR(E4333="",E4333="!!!",F4333="NEW"),"",COUNTBLANK(OFFSET(A$1,,,SUMPRODUCT(MAX(ROW(E$2:E4333)*(E4333=E$2:E4333)))))-COUNTBLANK(OFFSET(A$1,,,SUMPRODUCT(MAX(ROW(E$1:E4332)*(E2=E$1:E4332))))))</f>
        <v> </v>
      </c>
      <c r="K4333" s="26" t="str">
        <f>IF(OR(E4333="",E4333="!!!",F4333="NEW"),"",INDEX(J$1:J4332,SUMPRODUCT(MAX(ROW(E$1:E4332)*(E4333=E$1:E4332)))))</f>
        <v> </v>
      </c>
      <c r="L4333" s="27"/>
    </row>
    <row r="4334" spans="1:12">
      <c r="A4334" s="20"/>
    </row>
    <row r="4335" spans="1:12">
      <c r="A4335" s="20" t="s">
        <v>2660</v>
      </c>
    </row>
    <row r="4336" spans="1:12">
      <c r="A4336" s="20" t="s">
        <v>1353</v>
      </c>
      <c r="E4336" s="22">
        <f>IF(D4336="?OLD","!!!","")</f>
        <v/>
      </c>
      <c r="F4336" s="23" t="str">
        <f>IF(OR(E4336="",E4336="!!!"),"",IF(NOT(ISNA(VLOOKUP(E4336,E$1:E4335,1,FALSE()))),"OLD",IF(AND(E4336&lt;&gt;"",E4336&lt;&gt;"!!!"),"NEW","")))</f>
        <v> </v>
      </c>
      <c r="G4336" s="24" t="str">
        <f>IF(OR(E4336="",E4336="!!!"),"",IF(OR(J4336=0,AND(J4336=1,K4336=1),AND(J4336=1,I4336="SBJ"),AND(J4336=1,I4336=0)),"?IN_FOCUS",IF(J4336&lt;=2,"?ACTIVATED",IF(J4336&lt;&gt;"","?FAMILIAR",IF(F4336="NEW",IF(ISNA(VLOOKUP(E4336,#REF!,1,FALSE())),"?TYPE_IDENTIFIABLE","?REFERENTIAL"),"_")))))</f>
        <v> </v>
      </c>
      <c r="H4336" s="25" t="str">
        <f>IF(J4336&lt;&gt;1,"",IF(I4336="SBJ","CB","?"))</f>
        <v> </v>
      </c>
      <c r="I4336" s="26" t="str">
        <f>IF(OR(E4336="",E4336="!!!",F4336="NEW"),"",INDEX(B4335:B$2,-1+SUMPRODUCT(MAX(ROW(E4335:E$2)*(E4336=E4335:E$2)))))</f>
        <v> </v>
      </c>
      <c r="J4336" s="26" t="str">
        <f>IF(OR(E4336="",E4336="!!!",F4336="NEW"),"",COUNTBLANK(OFFSET(A$1,,,SUMPRODUCT(MAX(ROW(E$2:E4336)*(E4336=E$2:E4336)))))-COUNTBLANK(OFFSET(A$1,,,SUMPRODUCT(MAX(ROW(E$1:E4335)*(E2=E$1:E4335))))))</f>
        <v> </v>
      </c>
      <c r="K4336" s="26" t="str">
        <f>IF(OR(E4336="",E4336="!!!",F4336="NEW"),"",INDEX(J$1:J4335,SUMPRODUCT(MAX(ROW(E$1:E4335)*(E4336=E$1:E4335)))))</f>
        <v> </v>
      </c>
      <c r="L4336" s="27"/>
    </row>
    <row r="4337" spans="1:12">
      <c r="A4337" s="20" t="s">
        <v>1266</v>
      </c>
      <c r="E4337" s="22">
        <f>IF(D4337="?OLD","!!!","")</f>
        <v/>
      </c>
      <c r="F4337" s="23" t="str">
        <f>IF(OR(E4337="",E4337="!!!"),"",IF(NOT(ISNA(VLOOKUP(E4337,E$1:E4336,1,FALSE()))),"OLD",IF(AND(E4337&lt;&gt;"",E4337&lt;&gt;"!!!"),"NEW","")))</f>
        <v> </v>
      </c>
      <c r="G4337" s="24" t="str">
        <f>IF(OR(E4337="",E4337="!!!"),"",IF(OR(J4337=0,AND(J4337=1,K4337=1),AND(J4337=1,I4337="SBJ"),AND(J4337=1,I4337=0)),"?IN_FOCUS",IF(J4337&lt;=2,"?ACTIVATED",IF(J4337&lt;&gt;"","?FAMILIAR",IF(F4337="NEW",IF(ISNA(VLOOKUP(E4337,#REF!,1,FALSE())),"?TYPE_IDENTIFIABLE","?REFERENTIAL"),"_")))))</f>
        <v> </v>
      </c>
      <c r="H4337" s="25" t="str">
        <f>IF(J4337&lt;&gt;1,"",IF(I4337="SBJ","CB","?"))</f>
        <v> </v>
      </c>
      <c r="I4337" s="26" t="str">
        <f>IF(OR(E4337="",E4337="!!!",F4337="NEW"),"",INDEX(B4336:B$2,-1+SUMPRODUCT(MAX(ROW(E4336:E$2)*(E4337=E4336:E$2)))))</f>
        <v> </v>
      </c>
      <c r="J4337" s="26" t="str">
        <f>IF(OR(E4337="",E4337="!!!",F4337="NEW"),"",COUNTBLANK(OFFSET(A$1,,,SUMPRODUCT(MAX(ROW(E$2:E4337)*(E4337=E$2:E4337)))))-COUNTBLANK(OFFSET(A$1,,,SUMPRODUCT(MAX(ROW(E$1:E4336)*(E2=E$1:E4336))))))</f>
        <v> </v>
      </c>
      <c r="K4337" s="26" t="str">
        <f>IF(OR(E4337="",E4337="!!!",F4337="NEW"),"",INDEX(J$1:J4336,SUMPRODUCT(MAX(ROW(E$1:E4336)*(E4337=E$1:E4336)))))</f>
        <v> </v>
      </c>
      <c r="L4337" s="27"/>
    </row>
    <row r="4338" spans="1:12">
      <c r="A4338" s="20" t="s">
        <v>2661</v>
      </c>
      <c r="B4338" s="21" t="s">
        <v>1244</v>
      </c>
      <c r="C4338" s="21" t="s">
        <v>1269</v>
      </c>
      <c r="D4338" s="21" t="s">
        <v>1217</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1829</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t="s">
        <v>1218</v>
      </c>
      <c r="E4340" s="22">
        <f>IF(D4340="?OLD","!!!","")</f>
        <v/>
      </c>
      <c r="F4340" s="23" t="str">
        <f>IF(OR(E4340="",E4340="!!!"),"",IF(NOT(ISNA(VLOOKUP(E4340,E$1:E4339,1,FALSE()))),"OLD",IF(AND(E4340&lt;&gt;"",E4340&lt;&gt;"!!!"),"NEW","")))</f>
        <v> </v>
      </c>
      <c r="G4340" s="24" t="str">
        <f>IF(OR(E4340="",E4340="!!!"),"",IF(OR(J4340=0,AND(J4340=1,K4340=1),AND(J4340=1,I4340="SBJ"),AND(J4340=1,I4340=0)),"?IN_FOCUS",IF(J4340&lt;=2,"?ACTIVATED",IF(J4340&lt;&gt;"","?FAMILIAR",IF(F4340="NEW",IF(ISNA(VLOOKUP(E4340,#REF!,1,FALSE())),"?TYPE_IDENTIFIABLE","?REFERENTIAL"),"_")))))</f>
        <v> </v>
      </c>
      <c r="H4340" s="25" t="str">
        <f>IF(J4340&lt;&gt;1,"",IF(I4340="SBJ","CB","?"))</f>
        <v> </v>
      </c>
      <c r="I4340" s="26" t="str">
        <f>IF(OR(E4340="",E4340="!!!",F4340="NEW"),"",INDEX(B4339:B$2,-1+SUMPRODUCT(MAX(ROW(E4339:E$2)*(E4340=E4339:E$2)))))</f>
        <v> </v>
      </c>
      <c r="J4340" s="26" t="str">
        <f>IF(OR(E4340="",E4340="!!!",F4340="NEW"),"",COUNTBLANK(OFFSET(A$1,,,SUMPRODUCT(MAX(ROW(E$2:E4340)*(E4340=E$2:E4340)))))-COUNTBLANK(OFFSET(A$1,,,SUMPRODUCT(MAX(ROW(E$1:E4339)*(E2=E$1:E4339))))))</f>
        <v> </v>
      </c>
      <c r="K4340" s="26" t="str">
        <f>IF(OR(E4340="",E4340="!!!",F4340="NEW"),"",INDEX(J$1:J4339,SUMPRODUCT(MAX(ROW(E$1:E4339)*(E4340=E$1:E4339)))))</f>
        <v> </v>
      </c>
      <c r="L4340" s="27"/>
    </row>
    <row r="4341" spans="1:12">
      <c r="A4341" s="20" t="s">
        <v>1323</v>
      </c>
      <c r="E4341" s="22">
        <f>IF(D4341="?OLD","!!!","")</f>
        <v/>
      </c>
      <c r="F4341" s="23" t="str">
        <f>IF(OR(E4341="",E4341="!!!"),"",IF(NOT(ISNA(VLOOKUP(E4341,E$1:E4340,1,FALSE()))),"OLD",IF(AND(E4341&lt;&gt;"",E4341&lt;&gt;"!!!"),"NEW","")))</f>
        <v> </v>
      </c>
      <c r="G4341" s="24" t="str">
        <f>IF(OR(E4341="",E4341="!!!"),"",IF(OR(J4341=0,AND(J4341=1,K4341=1),AND(J4341=1,I4341="SBJ"),AND(J4341=1,I4341=0)),"?IN_FOCUS",IF(J4341&lt;=2,"?ACTIVATED",IF(J4341&lt;&gt;"","?FAMILIAR",IF(F4341="NEW",IF(ISNA(VLOOKUP(E4341,#REF!,1,FALSE())),"?TYPE_IDENTIFIABLE","?REFERENTIAL"),"_")))))</f>
        <v> </v>
      </c>
      <c r="H4341" s="25" t="str">
        <f>IF(J4341&lt;&gt;1,"",IF(I4341="SBJ","CB","?"))</f>
        <v> </v>
      </c>
      <c r="I4341" s="26" t="str">
        <f>IF(OR(E4341="",E4341="!!!",F4341="NEW"),"",INDEX(B4340:B$2,-1+SUMPRODUCT(MAX(ROW(E4340:E$2)*(E4341=E4340:E$2)))))</f>
        <v> </v>
      </c>
      <c r="J4341" s="26" t="str">
        <f>IF(OR(E4341="",E4341="!!!",F4341="NEW"),"",COUNTBLANK(OFFSET(A$1,,,SUMPRODUCT(MAX(ROW(E$2:E4341)*(E4341=E$2:E4341)))))-COUNTBLANK(OFFSET(A$1,,,SUMPRODUCT(MAX(ROW(E$1:E4340)*(E2=E$1:E4340))))))</f>
        <v> </v>
      </c>
      <c r="K4341" s="26" t="str">
        <f>IF(OR(E4341="",E4341="!!!",F4341="NEW"),"",INDEX(J$1:J4340,SUMPRODUCT(MAX(ROW(E$1:E4340)*(E4341=E$1:E4340)))))</f>
        <v> </v>
      </c>
      <c r="L4341" s="27"/>
    </row>
    <row r="4342" spans="1:12">
      <c r="A4342" s="20" t="s">
        <v>1518</v>
      </c>
      <c r="E4342" s="22">
        <f>IF(D4342="?OLD","!!!","")</f>
        <v/>
      </c>
      <c r="F4342" s="23" t="str">
        <f>IF(OR(E4342="",E4342="!!!"),"",IF(NOT(ISNA(VLOOKUP(E4342,E$1:E4341,1,FALSE()))),"OLD",IF(AND(E4342&lt;&gt;"",E4342&lt;&gt;"!!!"),"NEW","")))</f>
        <v> </v>
      </c>
      <c r="G4342" s="24" t="str">
        <f>IF(OR(E4342="",E4342="!!!"),"",IF(OR(J4342=0,AND(J4342=1,K4342=1),AND(J4342=1,I4342="SBJ"),AND(J4342=1,I4342=0)),"?IN_FOCUS",IF(J4342&lt;=2,"?ACTIVATED",IF(J4342&lt;&gt;"","?FAMILIAR",IF(F4342="NEW",IF(ISNA(VLOOKUP(E4342,#REF!,1,FALSE())),"?TYPE_IDENTIFIABLE","?REFERENTIAL"),"_")))))</f>
        <v> </v>
      </c>
      <c r="H4342" s="25" t="str">
        <f>IF(J4342&lt;&gt;1,"",IF(I4342="SBJ","CB","?"))</f>
        <v> </v>
      </c>
      <c r="I4342" s="26" t="str">
        <f>IF(OR(E4342="",E4342="!!!",F4342="NEW"),"",INDEX(B4341:B$2,-1+SUMPRODUCT(MAX(ROW(E4341:E$2)*(E4342=E4341:E$2)))))</f>
        <v> </v>
      </c>
      <c r="J4342" s="26" t="str">
        <f>IF(OR(E4342="",E4342="!!!",F4342="NEW"),"",COUNTBLANK(OFFSET(A$1,,,SUMPRODUCT(MAX(ROW(E$2:E4342)*(E4342=E$2:E4342)))))-COUNTBLANK(OFFSET(A$1,,,SUMPRODUCT(MAX(ROW(E$1:E4341)*(E2=E$1:E4341))))))</f>
        <v> </v>
      </c>
      <c r="K4342" s="26" t="str">
        <f>IF(OR(E4342="",E4342="!!!",F4342="NEW"),"",INDEX(J$1:J4341,SUMPRODUCT(MAX(ROW(E$1:E4341)*(E4342=E$1:E4341)))))</f>
        <v> </v>
      </c>
      <c r="L4342" s="27"/>
    </row>
    <row r="4343" spans="1:12">
      <c r="A4343" s="20" t="s">
        <v>1519</v>
      </c>
      <c r="B4343" s="21" t="s">
        <v>1221</v>
      </c>
      <c r="C4343" s="21" t="s">
        <v>1269</v>
      </c>
      <c r="D4343" s="21" t="s">
        <v>1217</v>
      </c>
      <c r="E4343" s="22">
        <f>IF(D4343="?OLD","!!!","")</f>
        <v/>
      </c>
      <c r="F4343" s="23" t="str">
        <f>IF(OR(E4343="",E4343="!!!"),"",IF(NOT(ISNA(VLOOKUP(E4343,E$1:E4342,1,FALSE()))),"OLD",IF(AND(E4343&lt;&gt;"",E4343&lt;&gt;"!!!"),"NEW","")))</f>
        <v> </v>
      </c>
      <c r="G4343" s="24" t="str">
        <f>IF(OR(E4343="",E4343="!!!"),"",IF(OR(J4343=0,AND(J4343=1,K4343=1),AND(J4343=1,I4343="SBJ"),AND(J4343=1,I4343=0)),"?IN_FOCUS",IF(J4343&lt;=2,"?ACTIVATED",IF(J4343&lt;&gt;"","?FAMILIAR",IF(F4343="NEW",IF(ISNA(VLOOKUP(E4343,#REF!,1,FALSE())),"?TYPE_IDENTIFIABLE","?REFERENTIAL"),"_")))))</f>
        <v> </v>
      </c>
      <c r="H4343" s="25" t="str">
        <f>IF(J4343&lt;&gt;1,"",IF(I4343="SBJ","CB","?"))</f>
        <v> </v>
      </c>
      <c r="I4343" s="26" t="str">
        <f>IF(OR(E4343="",E4343="!!!",F4343="NEW"),"",INDEX(B4342:B$2,-1+SUMPRODUCT(MAX(ROW(E4342:E$2)*(E4343=E4342:E$2)))))</f>
        <v> </v>
      </c>
      <c r="J4343" s="26" t="str">
        <f>IF(OR(E4343="",E4343="!!!",F4343="NEW"),"",COUNTBLANK(OFFSET(A$1,,,SUMPRODUCT(MAX(ROW(E$2:E4343)*(E4343=E$2:E4343)))))-COUNTBLANK(OFFSET(A$1,,,SUMPRODUCT(MAX(ROW(E$1:E4342)*(E2=E$1:E4342))))))</f>
        <v> </v>
      </c>
      <c r="K4343" s="26" t="str">
        <f>IF(OR(E4343="",E4343="!!!",F4343="NEW"),"",INDEX(J$1:J4342,SUMPRODUCT(MAX(ROW(E$1:E4342)*(E4343=E$1:E4342)))))</f>
        <v> </v>
      </c>
      <c r="L4343" s="27"/>
    </row>
    <row r="4344" spans="1:12">
      <c r="A4344" s="20" t="s">
        <v>1277</v>
      </c>
      <c r="E4344" s="22">
        <f>IF(D4344="?OLD","!!!","")</f>
        <v/>
      </c>
      <c r="F4344" s="23" t="str">
        <f>IF(OR(E4344="",E4344="!!!"),"",IF(NOT(ISNA(VLOOKUP(E4344,E$1:E4343,1,FALSE()))),"OLD",IF(AND(E4344&lt;&gt;"",E4344&lt;&gt;"!!!"),"NEW","")))</f>
        <v> </v>
      </c>
      <c r="G4344" s="24" t="str">
        <f>IF(OR(E4344="",E4344="!!!"),"",IF(OR(J4344=0,AND(J4344=1,K4344=1),AND(J4344=1,I4344="SBJ"),AND(J4344=1,I4344=0)),"?IN_FOCUS",IF(J4344&lt;=2,"?ACTIVATED",IF(J4344&lt;&gt;"","?FAMILIAR",IF(F4344="NEW",IF(ISNA(VLOOKUP(E4344,#REF!,1,FALSE())),"?TYPE_IDENTIFIABLE","?REFERENTIAL"),"_")))))</f>
        <v> </v>
      </c>
      <c r="H4344" s="25" t="str">
        <f>IF(J4344&lt;&gt;1,"",IF(I4344="SBJ","CB","?"))</f>
        <v> </v>
      </c>
      <c r="I4344" s="26" t="str">
        <f>IF(OR(E4344="",E4344="!!!",F4344="NEW"),"",INDEX(B4343:B$2,-1+SUMPRODUCT(MAX(ROW(E4343:E$2)*(E4344=E4343:E$2)))))</f>
        <v> </v>
      </c>
      <c r="J4344" s="26" t="str">
        <f>IF(OR(E4344="",E4344="!!!",F4344="NEW"),"",COUNTBLANK(OFFSET(A$1,,,SUMPRODUCT(MAX(ROW(E$2:E4344)*(E4344=E$2:E4344)))))-COUNTBLANK(OFFSET(A$1,,,SUMPRODUCT(MAX(ROW(E$1:E4343)*(E2=E$1:E4343))))))</f>
        <v> </v>
      </c>
      <c r="K4344" s="26" t="str">
        <f>IF(OR(E4344="",E4344="!!!",F4344="NEW"),"",INDEX(J$1:J4343,SUMPRODUCT(MAX(ROW(E$1:E4343)*(E4344=E$1:E4343)))))</f>
        <v> </v>
      </c>
      <c r="L4344" s="27"/>
    </row>
    <row r="4345" spans="1:12">
      <c r="A4345" s="20" t="s">
        <v>565</v>
      </c>
      <c r="E4345" s="22">
        <f>IF(D4345="?OLD","!!!","")</f>
        <v/>
      </c>
      <c r="F4345" s="23" t="str">
        <f>IF(OR(E4345="",E4345="!!!"),"",IF(NOT(ISNA(VLOOKUP(E4345,E$1:E4344,1,FALSE()))),"OLD",IF(AND(E4345&lt;&gt;"",E4345&lt;&gt;"!!!"),"NEW","")))</f>
        <v> </v>
      </c>
      <c r="G4345" s="24" t="str">
        <f>IF(OR(E4345="",E4345="!!!"),"",IF(OR(J4345=0,AND(J4345=1,K4345=1),AND(J4345=1,I4345="SBJ"),AND(J4345=1,I4345=0)),"?IN_FOCUS",IF(J4345&lt;=2,"?ACTIVATED",IF(J4345&lt;&gt;"","?FAMILIAR",IF(F4345="NEW",IF(ISNA(VLOOKUP(E4345,#REF!,1,FALSE())),"?TYPE_IDENTIFIABLE","?REFERENTIAL"),"_")))))</f>
        <v> </v>
      </c>
      <c r="H4345" s="25" t="str">
        <f>IF(J4345&lt;&gt;1,"",IF(I4345="SBJ","CB","?"))</f>
        <v> </v>
      </c>
      <c r="I4345" s="26" t="str">
        <f>IF(OR(E4345="",E4345="!!!",F4345="NEW"),"",INDEX(B4344:B$2,-1+SUMPRODUCT(MAX(ROW(E4344:E$2)*(E4345=E4344:E$2)))))</f>
        <v> </v>
      </c>
      <c r="J4345" s="26" t="str">
        <f>IF(OR(E4345="",E4345="!!!",F4345="NEW"),"",COUNTBLANK(OFFSET(A$1,,,SUMPRODUCT(MAX(ROW(E$2:E4345)*(E4345=E$2:E4345)))))-COUNTBLANK(OFFSET(A$1,,,SUMPRODUCT(MAX(ROW(E$1:E4344)*(E2=E$1:E4344))))))</f>
        <v> </v>
      </c>
      <c r="K4345" s="26" t="str">
        <f>IF(OR(E4345="",E4345="!!!",F4345="NEW"),"",INDEX(J$1:J4344,SUMPRODUCT(MAX(ROW(E$1:E4344)*(E4345=E$1:E4344)))))</f>
        <v> </v>
      </c>
      <c r="L4345" s="27"/>
    </row>
    <row r="4346" spans="1:12">
      <c r="A4346" s="20" t="s">
        <v>2662</v>
      </c>
      <c r="E4346" s="22">
        <f>IF(D4346="?OLD","!!!","")</f>
        <v/>
      </c>
      <c r="F4346" s="23" t="str">
        <f>IF(OR(E4346="",E4346="!!!"),"",IF(NOT(ISNA(VLOOKUP(E4346,E$1:E4345,1,FALSE()))),"OLD",IF(AND(E4346&lt;&gt;"",E4346&lt;&gt;"!!!"),"NEW","")))</f>
        <v> </v>
      </c>
      <c r="G4346" s="24" t="str">
        <f>IF(OR(E4346="",E4346="!!!"),"",IF(OR(J4346=0,AND(J4346=1,K4346=1),AND(J4346=1,I4346="SBJ"),AND(J4346=1,I4346=0)),"?IN_FOCUS",IF(J4346&lt;=2,"?ACTIVATED",IF(J4346&lt;&gt;"","?FAMILIAR",IF(F4346="NEW",IF(ISNA(VLOOKUP(E4346,#REF!,1,FALSE())),"?TYPE_IDENTIFIABLE","?REFERENTIAL"),"_")))))</f>
        <v> </v>
      </c>
      <c r="H4346" s="25" t="str">
        <f>IF(J4346&lt;&gt;1,"",IF(I4346="SBJ","CB","?"))</f>
        <v> </v>
      </c>
      <c r="I4346" s="26" t="str">
        <f>IF(OR(E4346="",E4346="!!!",F4346="NEW"),"",INDEX(B4345:B$2,-1+SUMPRODUCT(MAX(ROW(E4345:E$2)*(E4346=E4345:E$2)))))</f>
        <v> </v>
      </c>
      <c r="J4346" s="26" t="str">
        <f>IF(OR(E4346="",E4346="!!!",F4346="NEW"),"",COUNTBLANK(OFFSET(A$1,,,SUMPRODUCT(MAX(ROW(E$2:E4346)*(E4346=E$2:E4346)))))-COUNTBLANK(OFFSET(A$1,,,SUMPRODUCT(MAX(ROW(E$1:E4345)*(E2=E$1:E4345))))))</f>
        <v> </v>
      </c>
      <c r="K4346" s="26" t="str">
        <f>IF(OR(E4346="",E4346="!!!",F4346="NEW"),"",INDEX(J$1:J4345,SUMPRODUCT(MAX(ROW(E$1:E4345)*(E4346=E$1:E4345)))))</f>
        <v> </v>
      </c>
      <c r="L4346" s="27"/>
    </row>
    <row r="4347" spans="1:12">
      <c r="A4347" s="20" t="s">
        <v>1277</v>
      </c>
      <c r="E4347" s="22">
        <f>IF(D4347="?OLD","!!!","")</f>
        <v/>
      </c>
      <c r="F4347" s="23" t="str">
        <f>IF(OR(E4347="",E4347="!!!"),"",IF(NOT(ISNA(VLOOKUP(E4347,E$1:E4346,1,FALSE()))),"OLD",IF(AND(E4347&lt;&gt;"",E4347&lt;&gt;"!!!"),"NEW","")))</f>
        <v> </v>
      </c>
      <c r="G4347" s="24" t="str">
        <f>IF(OR(E4347="",E4347="!!!"),"",IF(OR(J4347=0,AND(J4347=1,K4347=1),AND(J4347=1,I4347="SBJ"),AND(J4347=1,I4347=0)),"?IN_FOCUS",IF(J4347&lt;=2,"?ACTIVATED",IF(J4347&lt;&gt;"","?FAMILIAR",IF(F4347="NEW",IF(ISNA(VLOOKUP(E4347,#REF!,1,FALSE())),"?TYPE_IDENTIFIABLE","?REFERENTIAL"),"_")))))</f>
        <v> </v>
      </c>
      <c r="H4347" s="25" t="str">
        <f>IF(J4347&lt;&gt;1,"",IF(I4347="SBJ","CB","?"))</f>
        <v> </v>
      </c>
      <c r="I4347" s="26" t="str">
        <f>IF(OR(E4347="",E4347="!!!",F4347="NEW"),"",INDEX(B4346:B$2,-1+SUMPRODUCT(MAX(ROW(E4346:E$2)*(E4347=E4346:E$2)))))</f>
        <v> </v>
      </c>
      <c r="J4347" s="26" t="str">
        <f>IF(OR(E4347="",E4347="!!!",F4347="NEW"),"",COUNTBLANK(OFFSET(A$1,,,SUMPRODUCT(MAX(ROW(E$2:E4347)*(E4347=E$2:E4347)))))-COUNTBLANK(OFFSET(A$1,,,SUMPRODUCT(MAX(ROW(E$1:E4346)*(E2=E$1:E4346))))))</f>
        <v> </v>
      </c>
      <c r="K4347" s="26" t="str">
        <f>IF(OR(E4347="",E4347="!!!",F4347="NEW"),"",INDEX(J$1:J4346,SUMPRODUCT(MAX(ROW(E$1:E4346)*(E4347=E$1:E4346)))))</f>
        <v> </v>
      </c>
      <c r="L4347" s="27"/>
    </row>
    <row r="4348" spans="1:12">
      <c r="A4348" s="20" t="s">
        <v>1336</v>
      </c>
      <c r="E4348" s="22">
        <f>IF(D4348="?OLD","!!!","")</f>
        <v/>
      </c>
      <c r="F4348" s="23" t="str">
        <f>IF(OR(E4348="",E4348="!!!"),"",IF(NOT(ISNA(VLOOKUP(E4348,E$1:E4347,1,FALSE()))),"OLD",IF(AND(E4348&lt;&gt;"",E4348&lt;&gt;"!!!"),"NEW","")))</f>
        <v> </v>
      </c>
      <c r="G4348" s="24" t="str">
        <f>IF(OR(E4348="",E4348="!!!"),"",IF(OR(J4348=0,AND(J4348=1,K4348=1),AND(J4348=1,I4348="SBJ"),AND(J4348=1,I4348=0)),"?IN_FOCUS",IF(J4348&lt;=2,"?ACTIVATED",IF(J4348&lt;&gt;"","?FAMILIAR",IF(F4348="NEW",IF(ISNA(VLOOKUP(E4348,#REF!,1,FALSE())),"?TYPE_IDENTIFIABLE","?REFERENTIAL"),"_")))))</f>
        <v> </v>
      </c>
      <c r="H4348" s="25" t="str">
        <f>IF(J4348&lt;&gt;1,"",IF(I4348="SBJ","CB","?"))</f>
        <v> </v>
      </c>
      <c r="I4348" s="26" t="str">
        <f>IF(OR(E4348="",E4348="!!!",F4348="NEW"),"",INDEX(B4347:B$2,-1+SUMPRODUCT(MAX(ROW(E4347:E$2)*(E4348=E4347:E$2)))))</f>
        <v> </v>
      </c>
      <c r="J4348" s="26" t="str">
        <f>IF(OR(E4348="",E4348="!!!",F4348="NEW"),"",COUNTBLANK(OFFSET(A$1,,,SUMPRODUCT(MAX(ROW(E$2:E4348)*(E4348=E$2:E4348)))))-COUNTBLANK(OFFSET(A$1,,,SUMPRODUCT(MAX(ROW(E$1:E4347)*(E2=E$1:E4347))))))</f>
        <v> </v>
      </c>
      <c r="K4348" s="26" t="str">
        <f>IF(OR(E4348="",E4348="!!!",F4348="NEW"),"",INDEX(J$1:J4347,SUMPRODUCT(MAX(ROW(E$1:E4347)*(E4348=E$1:E4347)))))</f>
        <v> </v>
      </c>
      <c r="L4348" s="27"/>
    </row>
    <row r="4349" spans="1:12">
      <c r="A4349" s="20" t="s">
        <v>1235</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t="s">
        <v>2663</v>
      </c>
      <c r="B4350" s="21" t="s">
        <v>1244</v>
      </c>
      <c r="C4350" s="21" t="s">
        <v>1238</v>
      </c>
      <c r="E4350" s="22">
        <f>IF(D4350="?OLD","!!!","")</f>
        <v/>
      </c>
      <c r="F4350" s="23" t="str">
        <f>IF(OR(E4350="",E4350="!!!"),"",IF(NOT(ISNA(VLOOKUP(E4350,E$1:E4349,1,FALSE()))),"OLD",IF(AND(E4350&lt;&gt;"",E4350&lt;&gt;"!!!"),"NEW","")))</f>
        <v> </v>
      </c>
      <c r="G4350" s="24" t="str">
        <f>IF(OR(E4350="",E4350="!!!"),"",IF(OR(J4350=0,AND(J4350=1,K4350=1),AND(J4350=1,I4350="SBJ"),AND(J4350=1,I4350=0)),"?IN_FOCUS",IF(J4350&lt;=2,"?ACTIVATED",IF(J4350&lt;&gt;"","?FAMILIAR",IF(F4350="NEW",IF(ISNA(VLOOKUP(E4350,#REF!,1,FALSE())),"?TYPE_IDENTIFIABLE","?REFERENTIAL"),"_")))))</f>
        <v> </v>
      </c>
      <c r="H4350" s="25" t="str">
        <f>IF(J4350&lt;&gt;1,"",IF(I4350="SBJ","CB","?"))</f>
        <v> </v>
      </c>
      <c r="I4350" s="26" t="str">
        <f>IF(OR(E4350="",E4350="!!!",F4350="NEW"),"",INDEX(B4349:B$2,-1+SUMPRODUCT(MAX(ROW(E4349:E$2)*(E4350=E4349:E$2)))))</f>
        <v> </v>
      </c>
      <c r="J4350" s="26" t="str">
        <f>IF(OR(E4350="",E4350="!!!",F4350="NEW"),"",COUNTBLANK(OFFSET(A$1,,,SUMPRODUCT(MAX(ROW(E$2:E4350)*(E4350=E$2:E4350)))))-COUNTBLANK(OFFSET(A$1,,,SUMPRODUCT(MAX(ROW(E$1:E4349)*(E2=E$1:E4349))))))</f>
        <v> </v>
      </c>
      <c r="K4350" s="26" t="str">
        <f>IF(OR(E4350="",E4350="!!!",F4350="NEW"),"",INDEX(J$1:J4349,SUMPRODUCT(MAX(ROW(E$1:E4349)*(E4350=E$1:E4349)))))</f>
        <v> </v>
      </c>
      <c r="L4350" s="27"/>
    </row>
    <row r="4351" spans="1:12">
      <c r="A4351" s="20" t="s">
        <v>1218</v>
      </c>
      <c r="E4351" s="22">
        <f>IF(D4351="?OLD","!!!","")</f>
        <v/>
      </c>
      <c r="F4351" s="23" t="str">
        <f>IF(OR(E4351="",E4351="!!!"),"",IF(NOT(ISNA(VLOOKUP(E4351,E$1:E4350,1,FALSE()))),"OLD",IF(AND(E4351&lt;&gt;"",E4351&lt;&gt;"!!!"),"NEW","")))</f>
        <v> </v>
      </c>
      <c r="G4351" s="24" t="str">
        <f>IF(OR(E4351="",E4351="!!!"),"",IF(OR(J4351=0,AND(J4351=1,K4351=1),AND(J4351=1,I4351="SBJ"),AND(J4351=1,I4351=0)),"?IN_FOCUS",IF(J4351&lt;=2,"?ACTIVATED",IF(J4351&lt;&gt;"","?FAMILIAR",IF(F4351="NEW",IF(ISNA(VLOOKUP(E4351,#REF!,1,FALSE())),"?TYPE_IDENTIFIABLE","?REFERENTIAL"),"_")))))</f>
        <v> </v>
      </c>
      <c r="H4351" s="25" t="str">
        <f>IF(J4351&lt;&gt;1,"",IF(I4351="SBJ","CB","?"))</f>
        <v> </v>
      </c>
      <c r="I4351" s="26" t="str">
        <f>IF(OR(E4351="",E4351="!!!",F4351="NEW"),"",INDEX(B4350:B$2,-1+SUMPRODUCT(MAX(ROW(E4350:E$2)*(E4351=E4350:E$2)))))</f>
        <v> </v>
      </c>
      <c r="J4351" s="26" t="str">
        <f>IF(OR(E4351="",E4351="!!!",F4351="NEW"),"",COUNTBLANK(OFFSET(A$1,,,SUMPRODUCT(MAX(ROW(E$2:E4351)*(E4351=E$2:E4351)))))-COUNTBLANK(OFFSET(A$1,,,SUMPRODUCT(MAX(ROW(E$1:E4350)*(E2=E$1:E4350))))))</f>
        <v> </v>
      </c>
      <c r="K4351" s="26" t="str">
        <f>IF(OR(E4351="",E4351="!!!",F4351="NEW"),"",INDEX(J$1:J4350,SUMPRODUCT(MAX(ROW(E$1:E4350)*(E4351=E$1:E4350)))))</f>
        <v> </v>
      </c>
      <c r="L4351" s="27"/>
    </row>
    <row r="4352" spans="1:12">
      <c r="A4352" s="20" t="s">
        <v>1997</v>
      </c>
      <c r="B4352" s="21" t="s">
        <v>1221</v>
      </c>
      <c r="C4352" s="21" t="s">
        <v>1279</v>
      </c>
      <c r="E4352" s="22">
        <f>IF(D4352="?OLD","!!!","")</f>
        <v/>
      </c>
      <c r="F4352" s="23" t="str">
        <f>IF(OR(E4352="",E4352="!!!"),"",IF(NOT(ISNA(VLOOKUP(E4352,E$1:E4351,1,FALSE()))),"OLD",IF(AND(E4352&lt;&gt;"",E4352&lt;&gt;"!!!"),"NEW","")))</f>
        <v> </v>
      </c>
      <c r="G4352" s="24" t="str">
        <f>IF(OR(E4352="",E4352="!!!"),"",IF(OR(J4352=0,AND(J4352=1,K4352=1),AND(J4352=1,I4352="SBJ"),AND(J4352=1,I4352=0)),"?IN_FOCUS",IF(J4352&lt;=2,"?ACTIVATED",IF(J4352&lt;&gt;"","?FAMILIAR",IF(F4352="NEW",IF(ISNA(VLOOKUP(E4352,#REF!,1,FALSE())),"?TYPE_IDENTIFIABLE","?REFERENTIAL"),"_")))))</f>
        <v> </v>
      </c>
      <c r="H4352" s="25" t="str">
        <f>IF(J4352&lt;&gt;1,"",IF(I4352="SBJ","CB","?"))</f>
        <v> </v>
      </c>
      <c r="I4352" s="26" t="str">
        <f>IF(OR(E4352="",E4352="!!!",F4352="NEW"),"",INDEX(B4351:B$2,-1+SUMPRODUCT(MAX(ROW(E4351:E$2)*(E4352=E4351:E$2)))))</f>
        <v> </v>
      </c>
      <c r="J4352" s="26" t="str">
        <f>IF(OR(E4352="",E4352="!!!",F4352="NEW"),"",COUNTBLANK(OFFSET(A$1,,,SUMPRODUCT(MAX(ROW(E$2:E4352)*(E4352=E$2:E4352)))))-COUNTBLANK(OFFSET(A$1,,,SUMPRODUCT(MAX(ROW(E$1:E4351)*(E2=E$1:E4351))))))</f>
        <v> </v>
      </c>
      <c r="K4352" s="26" t="str">
        <f>IF(OR(E4352="",E4352="!!!",F4352="NEW"),"",INDEX(J$1:J4351,SUMPRODUCT(MAX(ROW(E$1:E4351)*(E4352=E$1:E4351)))))</f>
        <v> </v>
      </c>
      <c r="L4352" s="27"/>
    </row>
    <row r="4353" spans="1:12">
      <c r="A4353" s="20" t="s">
        <v>2664</v>
      </c>
      <c r="E4353" s="22">
        <f>IF(D4353="?OLD","!!!","")</f>
        <v/>
      </c>
      <c r="F4353" s="23" t="str">
        <f>IF(OR(E4353="",E4353="!!!"),"",IF(NOT(ISNA(VLOOKUP(E4353,E$1:E4352,1,FALSE()))),"OLD",IF(AND(E4353&lt;&gt;"",E4353&lt;&gt;"!!!"),"NEW","")))</f>
        <v> </v>
      </c>
      <c r="G4353" s="24" t="str">
        <f>IF(OR(E4353="",E4353="!!!"),"",IF(OR(J4353=0,AND(J4353=1,K4353=1),AND(J4353=1,I4353="SBJ"),AND(J4353=1,I4353=0)),"?IN_FOCUS",IF(J4353&lt;=2,"?ACTIVATED",IF(J4353&lt;&gt;"","?FAMILIAR",IF(F4353="NEW",IF(ISNA(VLOOKUP(E4353,#REF!,1,FALSE())),"?TYPE_IDENTIFIABLE","?REFERENTIAL"),"_")))))</f>
        <v> </v>
      </c>
      <c r="H4353" s="25" t="str">
        <f>IF(J4353&lt;&gt;1,"",IF(I4353="SBJ","CB","?"))</f>
        <v> </v>
      </c>
      <c r="I4353" s="26" t="str">
        <f>IF(OR(E4353="",E4353="!!!",F4353="NEW"),"",INDEX(B4352:B$2,-1+SUMPRODUCT(MAX(ROW(E4352:E$2)*(E4353=E4352:E$2)))))</f>
        <v> </v>
      </c>
      <c r="J4353" s="26" t="str">
        <f>IF(OR(E4353="",E4353="!!!",F4353="NEW"),"",COUNTBLANK(OFFSET(A$1,,,SUMPRODUCT(MAX(ROW(E$2:E4353)*(E4353=E$2:E4353)))))-COUNTBLANK(OFFSET(A$1,,,SUMPRODUCT(MAX(ROW(E$1:E4352)*(E2=E$1:E4352))))))</f>
        <v> </v>
      </c>
      <c r="K4353" s="26" t="str">
        <f>IF(OR(E4353="",E4353="!!!",F4353="NEW"),"",INDEX(J$1:J4352,SUMPRODUCT(MAX(ROW(E$1:E4352)*(E4353=E$1:E4352)))))</f>
        <v> </v>
      </c>
      <c r="L4353" s="27"/>
    </row>
    <row r="4354" spans="1:12">
      <c r="A4354" s="20" t="s">
        <v>1277</v>
      </c>
      <c r="E4354" s="22">
        <f>IF(D4354="?OLD","!!!","")</f>
        <v/>
      </c>
      <c r="F4354" s="23" t="str">
        <f>IF(OR(E4354="",E4354="!!!"),"",IF(NOT(ISNA(VLOOKUP(E4354,E$1:E4353,1,FALSE()))),"OLD",IF(AND(E4354&lt;&gt;"",E4354&lt;&gt;"!!!"),"NEW","")))</f>
        <v> </v>
      </c>
      <c r="G4354" s="24" t="str">
        <f>IF(OR(E4354="",E4354="!!!"),"",IF(OR(J4354=0,AND(J4354=1,K4354=1),AND(J4354=1,I4354="SBJ"),AND(J4354=1,I4354=0)),"?IN_FOCUS",IF(J4354&lt;=2,"?ACTIVATED",IF(J4354&lt;&gt;"","?FAMILIAR",IF(F4354="NEW",IF(ISNA(VLOOKUP(E4354,#REF!,1,FALSE())),"?TYPE_IDENTIFIABLE","?REFERENTIAL"),"_")))))</f>
        <v> </v>
      </c>
      <c r="H4354" s="25" t="str">
        <f>IF(J4354&lt;&gt;1,"",IF(I4354="SBJ","CB","?"))</f>
        <v> </v>
      </c>
      <c r="I4354" s="26" t="str">
        <f>IF(OR(E4354="",E4354="!!!",F4354="NEW"),"",INDEX(B4353:B$2,-1+SUMPRODUCT(MAX(ROW(E4353:E$2)*(E4354=E4353:E$2)))))</f>
        <v> </v>
      </c>
      <c r="J4354" s="26" t="str">
        <f>IF(OR(E4354="",E4354="!!!",F4354="NEW"),"",COUNTBLANK(OFFSET(A$1,,,SUMPRODUCT(MAX(ROW(E$2:E4354)*(E4354=E$2:E4354)))))-COUNTBLANK(OFFSET(A$1,,,SUMPRODUCT(MAX(ROW(E$1:E4353)*(E2=E$1:E4353))))))</f>
        <v> </v>
      </c>
      <c r="K4354" s="26" t="str">
        <f>IF(OR(E4354="",E4354="!!!",F4354="NEW"),"",INDEX(J$1:J4353,SUMPRODUCT(MAX(ROW(E$1:E4353)*(E4354=E$1:E4353)))))</f>
        <v> </v>
      </c>
      <c r="L4354" s="27"/>
    </row>
    <row r="4355" spans="1:12">
      <c r="A4355" s="20" t="s">
        <v>1471</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t="s">
        <v>2665</v>
      </c>
      <c r="E4356" s="22">
        <f>IF(D4356="?OLD","!!!","")</f>
        <v/>
      </c>
      <c r="F4356" s="23" t="str">
        <f>IF(OR(E4356="",E4356="!!!"),"",IF(NOT(ISNA(VLOOKUP(E4356,E$1:E4355,1,FALSE()))),"OLD",IF(AND(E4356&lt;&gt;"",E4356&lt;&gt;"!!!"),"NEW","")))</f>
        <v> </v>
      </c>
      <c r="G4356" s="24" t="str">
        <f>IF(OR(E4356="",E4356="!!!"),"",IF(OR(J4356=0,AND(J4356=1,K4356=1),AND(J4356=1,I4356="SBJ"),AND(J4356=1,I4356=0)),"?IN_FOCUS",IF(J4356&lt;=2,"?ACTIVATED",IF(J4356&lt;&gt;"","?FAMILIAR",IF(F4356="NEW",IF(ISNA(VLOOKUP(E4356,#REF!,1,FALSE())),"?TYPE_IDENTIFIABLE","?REFERENTIAL"),"_")))))</f>
        <v> </v>
      </c>
      <c r="H4356" s="25" t="str">
        <f>IF(J4356&lt;&gt;1,"",IF(I4356="SBJ","CB","?"))</f>
        <v> </v>
      </c>
      <c r="I4356" s="26" t="str">
        <f>IF(OR(E4356="",E4356="!!!",F4356="NEW"),"",INDEX(B4355:B$2,-1+SUMPRODUCT(MAX(ROW(E4355:E$2)*(E4356=E4355:E$2)))))</f>
        <v> </v>
      </c>
      <c r="J4356" s="26" t="str">
        <f>IF(OR(E4356="",E4356="!!!",F4356="NEW"),"",COUNTBLANK(OFFSET(A$1,,,SUMPRODUCT(MAX(ROW(E$2:E4356)*(E4356=E$2:E4356)))))-COUNTBLANK(OFFSET(A$1,,,SUMPRODUCT(MAX(ROW(E$1:E4355)*(E2=E$1:E4355))))))</f>
        <v> </v>
      </c>
      <c r="K4356" s="26" t="str">
        <f>IF(OR(E4356="",E4356="!!!",F4356="NEW"),"",INDEX(J$1:J4355,SUMPRODUCT(MAX(ROW(E$1:E4355)*(E4356=E$1:E4355)))))</f>
        <v> </v>
      </c>
      <c r="L4356" s="27"/>
    </row>
    <row r="4357" spans="1:12">
      <c r="A4357" s="20" t="s">
        <v>2666</v>
      </c>
      <c r="B4357" s="21" t="s">
        <v>1221</v>
      </c>
      <c r="C4357" s="21" t="s">
        <v>1238</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1526</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t="s">
        <v>2667</v>
      </c>
      <c r="B4359" s="21" t="s">
        <v>1224</v>
      </c>
      <c r="C4359" s="21" t="s">
        <v>1279</v>
      </c>
      <c r="E4359" s="22">
        <f>IF(D4359="?OLD","!!!","")</f>
        <v/>
      </c>
      <c r="F4359" s="23" t="str">
        <f>IF(OR(E4359="",E4359="!!!"),"",IF(NOT(ISNA(VLOOKUP(E4359,E$1:E4358,1,FALSE()))),"OLD",IF(AND(E4359&lt;&gt;"",E4359&lt;&gt;"!!!"),"NEW","")))</f>
        <v> </v>
      </c>
      <c r="G4359" s="24" t="str">
        <f>IF(OR(E4359="",E4359="!!!"),"",IF(OR(J4359=0,AND(J4359=1,K4359=1),AND(J4359=1,I4359="SBJ"),AND(J4359=1,I4359=0)),"?IN_FOCUS",IF(J4359&lt;=2,"?ACTIVATED",IF(J4359&lt;&gt;"","?FAMILIAR",IF(F4359="NEW",IF(ISNA(VLOOKUP(E4359,#REF!,1,FALSE())),"?TYPE_IDENTIFIABLE","?REFERENTIAL"),"_")))))</f>
        <v> </v>
      </c>
      <c r="H4359" s="25" t="str">
        <f>IF(J4359&lt;&gt;1,"",IF(I4359="SBJ","CB","?"))</f>
        <v> </v>
      </c>
      <c r="I4359" s="26" t="str">
        <f>IF(OR(E4359="",E4359="!!!",F4359="NEW"),"",INDEX(B4358:B$2,-1+SUMPRODUCT(MAX(ROW(E4358:E$2)*(E4359=E4358:E$2)))))</f>
        <v> </v>
      </c>
      <c r="J4359" s="26" t="str">
        <f>IF(OR(E4359="",E4359="!!!",F4359="NEW"),"",COUNTBLANK(OFFSET(A$1,,,SUMPRODUCT(MAX(ROW(E$2:E4359)*(E4359=E$2:E4359)))))-COUNTBLANK(OFFSET(A$1,,,SUMPRODUCT(MAX(ROW(E$1:E4358)*(E2=E$1:E4358))))))</f>
        <v> </v>
      </c>
      <c r="K4359" s="26" t="str">
        <f>IF(OR(E4359="",E4359="!!!",F4359="NEW"),"",INDEX(J$1:J4358,SUMPRODUCT(MAX(ROW(E$1:E4358)*(E4359=E$1:E4358)))))</f>
        <v> </v>
      </c>
      <c r="L4359" s="27"/>
    </row>
    <row r="4360" spans="1:12">
      <c r="A4360" s="20" t="s">
        <v>1262</v>
      </c>
      <c r="E4360" s="22">
        <f>IF(D4360="?OLD","!!!","")</f>
        <v/>
      </c>
      <c r="F4360" s="23" t="str">
        <f>IF(OR(E4360="",E4360="!!!"),"",IF(NOT(ISNA(VLOOKUP(E4360,E$1:E4359,1,FALSE()))),"OLD",IF(AND(E4360&lt;&gt;"",E4360&lt;&gt;"!!!"),"NEW","")))</f>
        <v> </v>
      </c>
      <c r="G4360" s="24" t="str">
        <f>IF(OR(E4360="",E4360="!!!"),"",IF(OR(J4360=0,AND(J4360=1,K4360=1),AND(J4360=1,I4360="SBJ"),AND(J4360=1,I4360=0)),"?IN_FOCUS",IF(J4360&lt;=2,"?ACTIVATED",IF(J4360&lt;&gt;"","?FAMILIAR",IF(F4360="NEW",IF(ISNA(VLOOKUP(E4360,#REF!,1,FALSE())),"?TYPE_IDENTIFIABLE","?REFERENTIAL"),"_")))))</f>
        <v> </v>
      </c>
      <c r="H4360" s="25" t="str">
        <f>IF(J4360&lt;&gt;1,"",IF(I4360="SBJ","CB","?"))</f>
        <v> </v>
      </c>
      <c r="I4360" s="26" t="str">
        <f>IF(OR(E4360="",E4360="!!!",F4360="NEW"),"",INDEX(B4359:B$2,-1+SUMPRODUCT(MAX(ROW(E4359:E$2)*(E4360=E4359:E$2)))))</f>
        <v> </v>
      </c>
      <c r="J4360" s="26" t="str">
        <f>IF(OR(E4360="",E4360="!!!",F4360="NEW"),"",COUNTBLANK(OFFSET(A$1,,,SUMPRODUCT(MAX(ROW(E$2:E4360)*(E4360=E$2:E4360)))))-COUNTBLANK(OFFSET(A$1,,,SUMPRODUCT(MAX(ROW(E$1:E4359)*(E2=E$1:E4359))))))</f>
        <v> </v>
      </c>
      <c r="K4360" s="26" t="str">
        <f>IF(OR(E4360="",E4360="!!!",F4360="NEW"),"",INDEX(J$1:J4359,SUMPRODUCT(MAX(ROW(E$1:E4359)*(E4360=E$1:E4359)))))</f>
        <v> </v>
      </c>
      <c r="L4360" s="27"/>
    </row>
    <row r="4361" spans="1:12">
      <c r="A4361" s="20"/>
    </row>
    <row r="4362" spans="1:12">
      <c r="A4362" s="20" t="s">
        <v>2668</v>
      </c>
    </row>
    <row r="4363" spans="1:12">
      <c r="A4363" s="20" t="s">
        <v>1529</v>
      </c>
      <c r="E4363" s="22">
        <f>IF(D4363="?OLD","!!!","")</f>
        <v/>
      </c>
      <c r="F4363" s="23" t="str">
        <f>IF(OR(E4363="",E4363="!!!"),"",IF(NOT(ISNA(VLOOKUP(E4363,E$1:E4362,1,FALSE()))),"OLD",IF(AND(E4363&lt;&gt;"",E4363&lt;&gt;"!!!"),"NEW","")))</f>
        <v> </v>
      </c>
      <c r="G4363" s="24" t="str">
        <f>IF(OR(E4363="",E4363="!!!"),"",IF(OR(J4363=0,AND(J4363=1,K4363=1),AND(J4363=1,I4363="SBJ"),AND(J4363=1,I4363=0)),"?IN_FOCUS",IF(J4363&lt;=2,"?ACTIVATED",IF(J4363&lt;&gt;"","?FAMILIAR",IF(F4363="NEW",IF(ISNA(VLOOKUP(E4363,#REF!,1,FALSE())),"?TYPE_IDENTIFIABLE","?REFERENTIAL"),"_")))))</f>
        <v> </v>
      </c>
      <c r="H4363" s="25" t="str">
        <f>IF(J4363&lt;&gt;1,"",IF(I4363="SBJ","CB","?"))</f>
        <v> </v>
      </c>
      <c r="I4363" s="26" t="str">
        <f>IF(OR(E4363="",E4363="!!!",F4363="NEW"),"",INDEX(B4362:B$2,-1+SUMPRODUCT(MAX(ROW(E4362:E$2)*(E4363=E4362:E$2)))))</f>
        <v> </v>
      </c>
      <c r="J4363" s="26" t="str">
        <f>IF(OR(E4363="",E4363="!!!",F4363="NEW"),"",COUNTBLANK(OFFSET(A$1,,,SUMPRODUCT(MAX(ROW(E$2:E4363)*(E4363=E$2:E4363)))))-COUNTBLANK(OFFSET(A$1,,,SUMPRODUCT(MAX(ROW(E$1:E4362)*(E2=E$1:E4362))))))</f>
        <v> </v>
      </c>
      <c r="K4363" s="26" t="str">
        <f>IF(OR(E4363="",E4363="!!!",F4363="NEW"),"",INDEX(J$1:J4362,SUMPRODUCT(MAX(ROW(E$1:E4362)*(E4363=E$1:E4362)))))</f>
        <v> </v>
      </c>
      <c r="L4363" s="27"/>
    </row>
    <row r="4364" spans="1:12">
      <c r="A4364" s="20" t="s">
        <v>1302</v>
      </c>
      <c r="E4364" s="22">
        <f>IF(D4364="?OLD","!!!","")</f>
        <v/>
      </c>
      <c r="F4364" s="23" t="str">
        <f>IF(OR(E4364="",E4364="!!!"),"",IF(NOT(ISNA(VLOOKUP(E4364,E$1:E4363,1,FALSE()))),"OLD",IF(AND(E4364&lt;&gt;"",E4364&lt;&gt;"!!!"),"NEW","")))</f>
        <v> </v>
      </c>
      <c r="G4364" s="24" t="str">
        <f>IF(OR(E4364="",E4364="!!!"),"",IF(OR(J4364=0,AND(J4364=1,K4364=1),AND(J4364=1,I4364="SBJ"),AND(J4364=1,I4364=0)),"?IN_FOCUS",IF(J4364&lt;=2,"?ACTIVATED",IF(J4364&lt;&gt;"","?FAMILIAR",IF(F4364="NEW",IF(ISNA(VLOOKUP(E4364,#REF!,1,FALSE())),"?TYPE_IDENTIFIABLE","?REFERENTIAL"),"_")))))</f>
        <v> </v>
      </c>
      <c r="H4364" s="25" t="str">
        <f>IF(J4364&lt;&gt;1,"",IF(I4364="SBJ","CB","?"))</f>
        <v> </v>
      </c>
      <c r="I4364" s="26" t="str">
        <f>IF(OR(E4364="",E4364="!!!",F4364="NEW"),"",INDEX(B4363:B$2,-1+SUMPRODUCT(MAX(ROW(E4363:E$2)*(E4364=E4363:E$2)))))</f>
        <v> </v>
      </c>
      <c r="J4364" s="26" t="str">
        <f>IF(OR(E4364="",E4364="!!!",F4364="NEW"),"",COUNTBLANK(OFFSET(A$1,,,SUMPRODUCT(MAX(ROW(E$2:E4364)*(E4364=E$2:E4364)))))-COUNTBLANK(OFFSET(A$1,,,SUMPRODUCT(MAX(ROW(E$1:E4363)*(E2=E$1:E4363))))))</f>
        <v> </v>
      </c>
      <c r="K4364" s="26" t="str">
        <f>IF(OR(E4364="",E4364="!!!",F4364="NEW"),"",INDEX(J$1:J4363,SUMPRODUCT(MAX(ROW(E$1:E4363)*(E4364=E$1:E4363)))))</f>
        <v> </v>
      </c>
      <c r="L4364" s="27"/>
    </row>
    <row r="4365" spans="1:12">
      <c r="A4365" s="20" t="s">
        <v>1756</v>
      </c>
      <c r="E4365" s="22">
        <f>IF(D4365="?OLD","!!!","")</f>
        <v/>
      </c>
      <c r="F4365" s="23" t="str">
        <f>IF(OR(E4365="",E4365="!!!"),"",IF(NOT(ISNA(VLOOKUP(E4365,E$1:E4364,1,FALSE()))),"OLD",IF(AND(E4365&lt;&gt;"",E4365&lt;&gt;"!!!"),"NEW","")))</f>
        <v> </v>
      </c>
      <c r="G4365" s="24" t="str">
        <f>IF(OR(E4365="",E4365="!!!"),"",IF(OR(J4365=0,AND(J4365=1,K4365=1),AND(J4365=1,I4365="SBJ"),AND(J4365=1,I4365=0)),"?IN_FOCUS",IF(J4365&lt;=2,"?ACTIVATED",IF(J4365&lt;&gt;"","?FAMILIAR",IF(F4365="NEW",IF(ISNA(VLOOKUP(E4365,#REF!,1,FALSE())),"?TYPE_IDENTIFIABLE","?REFERENTIAL"),"_")))))</f>
        <v> </v>
      </c>
      <c r="H4365" s="25" t="str">
        <f>IF(J4365&lt;&gt;1,"",IF(I4365="SBJ","CB","?"))</f>
        <v> </v>
      </c>
      <c r="I4365" s="26" t="str">
        <f>IF(OR(E4365="",E4365="!!!",F4365="NEW"),"",INDEX(B4364:B$2,-1+SUMPRODUCT(MAX(ROW(E4364:E$2)*(E4365=E4364:E$2)))))</f>
        <v> </v>
      </c>
      <c r="J4365" s="26" t="str">
        <f>IF(OR(E4365="",E4365="!!!",F4365="NEW"),"",COUNTBLANK(OFFSET(A$1,,,SUMPRODUCT(MAX(ROW(E$2:E4365)*(E4365=E$2:E4365)))))-COUNTBLANK(OFFSET(A$1,,,SUMPRODUCT(MAX(ROW(E$1:E4364)*(E2=E$1:E4364))))))</f>
        <v> </v>
      </c>
      <c r="K4365" s="26" t="str">
        <f>IF(OR(E4365="",E4365="!!!",F4365="NEW"),"",INDEX(J$1:J4364,SUMPRODUCT(MAX(ROW(E$1:E4364)*(E4365=E$1:E4364)))))</f>
        <v> </v>
      </c>
      <c r="L4365" s="27"/>
    </row>
    <row r="4366" spans="1:12">
      <c r="A4366" s="20" t="s">
        <v>1358</v>
      </c>
      <c r="E4366" s="22">
        <f>IF(D4366="?OLD","!!!","")</f>
        <v/>
      </c>
      <c r="F4366" s="23" t="str">
        <f>IF(OR(E4366="",E4366="!!!"),"",IF(NOT(ISNA(VLOOKUP(E4366,E$1:E4365,1,FALSE()))),"OLD",IF(AND(E4366&lt;&gt;"",E4366&lt;&gt;"!!!"),"NEW","")))</f>
        <v> </v>
      </c>
      <c r="G4366" s="24" t="str">
        <f>IF(OR(E4366="",E4366="!!!"),"",IF(OR(J4366=0,AND(J4366=1,K4366=1),AND(J4366=1,I4366="SBJ"),AND(J4366=1,I4366=0)),"?IN_FOCUS",IF(J4366&lt;=2,"?ACTIVATED",IF(J4366&lt;&gt;"","?FAMILIAR",IF(F4366="NEW",IF(ISNA(VLOOKUP(E4366,#REF!,1,FALSE())),"?TYPE_IDENTIFIABLE","?REFERENTIAL"),"_")))))</f>
        <v> </v>
      </c>
      <c r="H4366" s="25" t="str">
        <f>IF(J4366&lt;&gt;1,"",IF(I4366="SBJ","CB","?"))</f>
        <v> </v>
      </c>
      <c r="I4366" s="26" t="str">
        <f>IF(OR(E4366="",E4366="!!!",F4366="NEW"),"",INDEX(B4365:B$2,-1+SUMPRODUCT(MAX(ROW(E4365:E$2)*(E4366=E4365:E$2)))))</f>
        <v> </v>
      </c>
      <c r="J4366" s="26" t="str">
        <f>IF(OR(E4366="",E4366="!!!",F4366="NEW"),"",COUNTBLANK(OFFSET(A$1,,,SUMPRODUCT(MAX(ROW(E$2:E4366)*(E4366=E$2:E4366)))))-COUNTBLANK(OFFSET(A$1,,,SUMPRODUCT(MAX(ROW(E$1:E4365)*(E2=E$1:E4365))))))</f>
        <v> </v>
      </c>
      <c r="K4366" s="26" t="str">
        <f>IF(OR(E4366="",E4366="!!!",F4366="NEW"),"",INDEX(J$1:J4365,SUMPRODUCT(MAX(ROW(E$1:E4365)*(E4366=E$1:E4365)))))</f>
        <v> </v>
      </c>
      <c r="L4366" s="27"/>
    </row>
    <row r="4367" spans="1:12">
      <c r="A4367" s="20" t="s">
        <v>565</v>
      </c>
      <c r="B4367" s="21" t="s">
        <v>1229</v>
      </c>
      <c r="C4367" s="21" t="s">
        <v>1255</v>
      </c>
      <c r="D4367" s="21" t="s">
        <v>1217</v>
      </c>
      <c r="E4367" s="22">
        <f>IF(D4367="?OLD","!!!","")</f>
        <v/>
      </c>
      <c r="F4367" s="23" t="str">
        <f>IF(OR(E4367="",E4367="!!!"),"",IF(NOT(ISNA(VLOOKUP(E4367,E$1:E4366,1,FALSE()))),"OLD",IF(AND(E4367&lt;&gt;"",E4367&lt;&gt;"!!!"),"NEW","")))</f>
        <v> </v>
      </c>
      <c r="G4367" s="24" t="str">
        <f>IF(OR(E4367="",E4367="!!!"),"",IF(OR(J4367=0,AND(J4367=1,K4367=1),AND(J4367=1,I4367="SBJ"),AND(J4367=1,I4367=0)),"?IN_FOCUS",IF(J4367&lt;=2,"?ACTIVATED",IF(J4367&lt;&gt;"","?FAMILIAR",IF(F4367="NEW",IF(ISNA(VLOOKUP(E4367,#REF!,1,FALSE())),"?TYPE_IDENTIFIABLE","?REFERENTIAL"),"_")))))</f>
        <v> </v>
      </c>
      <c r="H4367" s="25" t="str">
        <f>IF(J4367&lt;&gt;1,"",IF(I4367="SBJ","CB","?"))</f>
        <v> </v>
      </c>
      <c r="I4367" s="26" t="str">
        <f>IF(OR(E4367="",E4367="!!!",F4367="NEW"),"",INDEX(B4366:B$2,-1+SUMPRODUCT(MAX(ROW(E4366:E$2)*(E4367=E4366:E$2)))))</f>
        <v> </v>
      </c>
      <c r="J4367" s="26" t="str">
        <f>IF(OR(E4367="",E4367="!!!",F4367="NEW"),"",COUNTBLANK(OFFSET(A$1,,,SUMPRODUCT(MAX(ROW(E$2:E4367)*(E4367=E$2:E4367)))))-COUNTBLANK(OFFSET(A$1,,,SUMPRODUCT(MAX(ROW(E$1:E4366)*(E2=E$1:E4366))))))</f>
        <v> </v>
      </c>
      <c r="K4367" s="26" t="str">
        <f>IF(OR(E4367="",E4367="!!!",F4367="NEW"),"",INDEX(J$1:J4366,SUMPRODUCT(MAX(ROW(E$1:E4366)*(E4367=E$1:E4366)))))</f>
        <v> </v>
      </c>
      <c r="L4367" s="27"/>
    </row>
    <row r="4368" spans="1:12">
      <c r="A4368" s="20" t="s">
        <v>1940</v>
      </c>
      <c r="E4368" s="22">
        <f>IF(D4368="?OLD","!!!","")</f>
        <v/>
      </c>
      <c r="F4368" s="23" t="str">
        <f>IF(OR(E4368="",E4368="!!!"),"",IF(NOT(ISNA(VLOOKUP(E4368,E$1:E4367,1,FALSE()))),"OLD",IF(AND(E4368&lt;&gt;"",E4368&lt;&gt;"!!!"),"NEW","")))</f>
        <v> </v>
      </c>
      <c r="G4368" s="24" t="str">
        <f>IF(OR(E4368="",E4368="!!!"),"",IF(OR(J4368=0,AND(J4368=1,K4368=1),AND(J4368=1,I4368="SBJ"),AND(J4368=1,I4368=0)),"?IN_FOCUS",IF(J4368&lt;=2,"?ACTIVATED",IF(J4368&lt;&gt;"","?FAMILIAR",IF(F4368="NEW",IF(ISNA(VLOOKUP(E4368,#REF!,1,FALSE())),"?TYPE_IDENTIFIABLE","?REFERENTIAL"),"_")))))</f>
        <v> </v>
      </c>
      <c r="H4368" s="25" t="str">
        <f>IF(J4368&lt;&gt;1,"",IF(I4368="SBJ","CB","?"))</f>
        <v> </v>
      </c>
      <c r="I4368" s="26" t="str">
        <f>IF(OR(E4368="",E4368="!!!",F4368="NEW"),"",INDEX(B4367:B$2,-1+SUMPRODUCT(MAX(ROW(E4367:E$2)*(E4368=E4367:E$2)))))</f>
        <v> </v>
      </c>
      <c r="J4368" s="26" t="str">
        <f>IF(OR(E4368="",E4368="!!!",F4368="NEW"),"",COUNTBLANK(OFFSET(A$1,,,SUMPRODUCT(MAX(ROW(E$2:E4368)*(E4368=E$2:E4368)))))-COUNTBLANK(OFFSET(A$1,,,SUMPRODUCT(MAX(ROW(E$1:E4367)*(E2=E$1:E4367))))))</f>
        <v> </v>
      </c>
      <c r="K4368" s="26" t="str">
        <f>IF(OR(E4368="",E4368="!!!",F4368="NEW"),"",INDEX(J$1:J4367,SUMPRODUCT(MAX(ROW(E$1:E4367)*(E4368=E$1:E4367)))))</f>
        <v> </v>
      </c>
      <c r="L4368" s="27"/>
    </row>
    <row r="4369" spans="1:12">
      <c r="A4369" s="20" t="s">
        <v>1280</v>
      </c>
      <c r="B4369" s="21" t="s">
        <v>1224</v>
      </c>
      <c r="C4369" s="21" t="s">
        <v>1242</v>
      </c>
      <c r="D4369" s="21" t="s">
        <v>1217</v>
      </c>
      <c r="E4369" s="22">
        <f>IF(D4369="?OLD","!!!","")</f>
        <v/>
      </c>
      <c r="F4369" s="23" t="str">
        <f>IF(OR(E4369="",E4369="!!!"),"",IF(NOT(ISNA(VLOOKUP(E4369,E$1:E4368,1,FALSE()))),"OLD",IF(AND(E4369&lt;&gt;"",E4369&lt;&gt;"!!!"),"NEW","")))</f>
        <v> </v>
      </c>
      <c r="G4369" s="24" t="str">
        <f>IF(OR(E4369="",E4369="!!!"),"",IF(OR(J4369=0,AND(J4369=1,K4369=1),AND(J4369=1,I4369="SBJ"),AND(J4369=1,I4369=0)),"?IN_FOCUS",IF(J4369&lt;=2,"?ACTIVATED",IF(J4369&lt;&gt;"","?FAMILIAR",IF(F4369="NEW",IF(ISNA(VLOOKUP(E4369,#REF!,1,FALSE())),"?TYPE_IDENTIFIABLE","?REFERENTIAL"),"_")))))</f>
        <v> </v>
      </c>
      <c r="H4369" s="25" t="str">
        <f>IF(J4369&lt;&gt;1,"",IF(I4369="SBJ","CB","?"))</f>
        <v> </v>
      </c>
      <c r="I4369" s="26" t="str">
        <f>IF(OR(E4369="",E4369="!!!",F4369="NEW"),"",INDEX(B4368:B$2,-1+SUMPRODUCT(MAX(ROW(E4368:E$2)*(E4369=E4368:E$2)))))</f>
        <v> </v>
      </c>
      <c r="J4369" s="26" t="str">
        <f>IF(OR(E4369="",E4369="!!!",F4369="NEW"),"",COUNTBLANK(OFFSET(A$1,,,SUMPRODUCT(MAX(ROW(E$2:E4369)*(E4369=E$2:E4369)))))-COUNTBLANK(OFFSET(A$1,,,SUMPRODUCT(MAX(ROW(E$1:E4368)*(E2=E$1:E4368))))))</f>
        <v> </v>
      </c>
      <c r="K4369" s="26" t="str">
        <f>IF(OR(E4369="",E4369="!!!",F4369="NEW"),"",INDEX(J$1:J4368,SUMPRODUCT(MAX(ROW(E$1:E4368)*(E4369=E$1:E4368)))))</f>
        <v> </v>
      </c>
      <c r="L4369" s="27"/>
    </row>
    <row r="4370" spans="1:12">
      <c r="A4370" s="20" t="s">
        <v>885</v>
      </c>
      <c r="B4370" s="21" t="s">
        <v>1249</v>
      </c>
      <c r="C4370" s="21" t="s">
        <v>1222</v>
      </c>
      <c r="D4370" s="21" t="s">
        <v>1217</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1262</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row>
    <row r="4373" spans="1:12">
      <c r="A4373" s="20" t="s">
        <v>2669</v>
      </c>
    </row>
    <row r="4374" spans="1:12">
      <c r="A4374" s="20" t="s">
        <v>1440</v>
      </c>
      <c r="E4374" s="22">
        <f>IF(D4374="?OLD","!!!","")</f>
        <v/>
      </c>
      <c r="F4374" s="23" t="str">
        <f>IF(OR(E4374="",E4374="!!!"),"",IF(NOT(ISNA(VLOOKUP(E4374,E$1:E4373,1,FALSE()))),"OLD",IF(AND(E4374&lt;&gt;"",E4374&lt;&gt;"!!!"),"NEW","")))</f>
        <v> </v>
      </c>
      <c r="G4374" s="24" t="str">
        <f>IF(OR(E4374="",E4374="!!!"),"",IF(OR(J4374=0,AND(J4374=1,K4374=1),AND(J4374=1,I4374="SBJ"),AND(J4374=1,I4374=0)),"?IN_FOCUS",IF(J4374&lt;=2,"?ACTIVATED",IF(J4374&lt;&gt;"","?FAMILIAR",IF(F4374="NEW",IF(ISNA(VLOOKUP(E4374,#REF!,1,FALSE())),"?TYPE_IDENTIFIABLE","?REFERENTIAL"),"_")))))</f>
        <v> </v>
      </c>
      <c r="H4374" s="25" t="str">
        <f>IF(J4374&lt;&gt;1,"",IF(I4374="SBJ","CB","?"))</f>
        <v> </v>
      </c>
      <c r="I4374" s="26" t="str">
        <f>IF(OR(E4374="",E4374="!!!",F4374="NEW"),"",INDEX(B4373:B$2,-1+SUMPRODUCT(MAX(ROW(E4373:E$2)*(E4374=E4373:E$2)))))</f>
        <v> </v>
      </c>
      <c r="J4374" s="26" t="str">
        <f>IF(OR(E4374="",E4374="!!!",F4374="NEW"),"",COUNTBLANK(OFFSET(A$1,,,SUMPRODUCT(MAX(ROW(E$2:E4374)*(E4374=E$2:E4374)))))-COUNTBLANK(OFFSET(A$1,,,SUMPRODUCT(MAX(ROW(E$1:E4373)*(E2=E$1:E4373))))))</f>
        <v> </v>
      </c>
      <c r="K4374" s="26" t="str">
        <f>IF(OR(E4374="",E4374="!!!",F4374="NEW"),"",INDEX(J$1:J4373,SUMPRODUCT(MAX(ROW(E$1:E4373)*(E4374=E$1:E4373)))))</f>
        <v> </v>
      </c>
      <c r="L4374" s="27"/>
    </row>
    <row r="4375" spans="1:12">
      <c r="A4375" s="20" t="s">
        <v>1277</v>
      </c>
      <c r="E4375" s="22">
        <f>IF(D4375="?OLD","!!!","")</f>
        <v/>
      </c>
      <c r="F4375" s="23" t="str">
        <f>IF(OR(E4375="",E4375="!!!"),"",IF(NOT(ISNA(VLOOKUP(E4375,E$1:E4374,1,FALSE()))),"OLD",IF(AND(E4375&lt;&gt;"",E4375&lt;&gt;"!!!"),"NEW","")))</f>
        <v> </v>
      </c>
      <c r="G4375" s="24" t="str">
        <f>IF(OR(E4375="",E4375="!!!"),"",IF(OR(J4375=0,AND(J4375=1,K4375=1),AND(J4375=1,I4375="SBJ"),AND(J4375=1,I4375=0)),"?IN_FOCUS",IF(J4375&lt;=2,"?ACTIVATED",IF(J4375&lt;&gt;"","?FAMILIAR",IF(F4375="NEW",IF(ISNA(VLOOKUP(E4375,#REF!,1,FALSE())),"?TYPE_IDENTIFIABLE","?REFERENTIAL"),"_")))))</f>
        <v> </v>
      </c>
      <c r="H4375" s="25" t="str">
        <f>IF(J4375&lt;&gt;1,"",IF(I4375="SBJ","CB","?"))</f>
        <v> </v>
      </c>
      <c r="I4375" s="26" t="str">
        <f>IF(OR(E4375="",E4375="!!!",F4375="NEW"),"",INDEX(B4374:B$2,-1+SUMPRODUCT(MAX(ROW(E4374:E$2)*(E4375=E4374:E$2)))))</f>
        <v> </v>
      </c>
      <c r="J4375" s="26" t="str">
        <f>IF(OR(E4375="",E4375="!!!",F4375="NEW"),"",COUNTBLANK(OFFSET(A$1,,,SUMPRODUCT(MAX(ROW(E$2:E4375)*(E4375=E$2:E4375)))))-COUNTBLANK(OFFSET(A$1,,,SUMPRODUCT(MAX(ROW(E$1:E4374)*(E2=E$1:E4374))))))</f>
        <v> </v>
      </c>
      <c r="K4375" s="26" t="str">
        <f>IF(OR(E4375="",E4375="!!!",F4375="NEW"),"",INDEX(J$1:J4374,SUMPRODUCT(MAX(ROW(E$1:E4374)*(E4375=E$1:E4374)))))</f>
        <v> </v>
      </c>
      <c r="L4375" s="27"/>
    </row>
    <row r="4376" spans="1:12">
      <c r="A4376" s="20" t="s">
        <v>1482</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t="s">
        <v>1277</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565</v>
      </c>
      <c r="B4378" s="21" t="s">
        <v>1215</v>
      </c>
      <c r="C4378" s="21" t="s">
        <v>1255</v>
      </c>
      <c r="D4378" s="21" t="s">
        <v>1217</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1373</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t="s">
        <v>1302</v>
      </c>
      <c r="E4380" s="22">
        <f>IF(D4380="?OLD","!!!","")</f>
        <v/>
      </c>
      <c r="F4380" s="23" t="str">
        <f>IF(OR(E4380="",E4380="!!!"),"",IF(NOT(ISNA(VLOOKUP(E4380,E$1:E4379,1,FALSE()))),"OLD",IF(AND(E4380&lt;&gt;"",E4380&lt;&gt;"!!!"),"NEW","")))</f>
        <v> </v>
      </c>
      <c r="G4380" s="24" t="str">
        <f>IF(OR(E4380="",E4380="!!!"),"",IF(OR(J4380=0,AND(J4380=1,K4380=1),AND(J4380=1,I4380="SBJ"),AND(J4380=1,I4380=0)),"?IN_FOCUS",IF(J4380&lt;=2,"?ACTIVATED",IF(J4380&lt;&gt;"","?FAMILIAR",IF(F4380="NEW",IF(ISNA(VLOOKUP(E4380,#REF!,1,FALSE())),"?TYPE_IDENTIFIABLE","?REFERENTIAL"),"_")))))</f>
        <v> </v>
      </c>
      <c r="H4380" s="25" t="str">
        <f>IF(J4380&lt;&gt;1,"",IF(I4380="SBJ","CB","?"))</f>
        <v> </v>
      </c>
      <c r="I4380" s="26" t="str">
        <f>IF(OR(E4380="",E4380="!!!",F4380="NEW"),"",INDEX(B4379:B$2,-1+SUMPRODUCT(MAX(ROW(E4379:E$2)*(E4380=E4379:E$2)))))</f>
        <v> </v>
      </c>
      <c r="J4380" s="26" t="str">
        <f>IF(OR(E4380="",E4380="!!!",F4380="NEW"),"",COUNTBLANK(OFFSET(A$1,,,SUMPRODUCT(MAX(ROW(E$2:E4380)*(E4380=E$2:E4380)))))-COUNTBLANK(OFFSET(A$1,,,SUMPRODUCT(MAX(ROW(E$1:E4379)*(E2=E$1:E4379))))))</f>
        <v> </v>
      </c>
      <c r="K4380" s="26" t="str">
        <f>IF(OR(E4380="",E4380="!!!",F4380="NEW"),"",INDEX(J$1:J4379,SUMPRODUCT(MAX(ROW(E$1:E4379)*(E4380=E$1:E4379)))))</f>
        <v> </v>
      </c>
      <c r="L4380" s="27"/>
    </row>
    <row r="4381" spans="1:12">
      <c r="A4381" s="20" t="s">
        <v>2670</v>
      </c>
      <c r="E4381" s="22">
        <f>IF(D4381="?OLD","!!!","")</f>
        <v/>
      </c>
      <c r="F4381" s="23" t="str">
        <f>IF(OR(E4381="",E4381="!!!"),"",IF(NOT(ISNA(VLOOKUP(E4381,E$1:E4380,1,FALSE()))),"OLD",IF(AND(E4381&lt;&gt;"",E4381&lt;&gt;"!!!"),"NEW","")))</f>
        <v> </v>
      </c>
      <c r="G4381" s="24" t="str">
        <f>IF(OR(E4381="",E4381="!!!"),"",IF(OR(J4381=0,AND(J4381=1,K4381=1),AND(J4381=1,I4381="SBJ"),AND(J4381=1,I4381=0)),"?IN_FOCUS",IF(J4381&lt;=2,"?ACTIVATED",IF(J4381&lt;&gt;"","?FAMILIAR",IF(F4381="NEW",IF(ISNA(VLOOKUP(E4381,#REF!,1,FALSE())),"?TYPE_IDENTIFIABLE","?REFERENTIAL"),"_")))))</f>
        <v> </v>
      </c>
      <c r="H4381" s="25" t="str">
        <f>IF(J4381&lt;&gt;1,"",IF(I4381="SBJ","CB","?"))</f>
        <v> </v>
      </c>
      <c r="I4381" s="26" t="str">
        <f>IF(OR(E4381="",E4381="!!!",F4381="NEW"),"",INDEX(B4380:B$2,-1+SUMPRODUCT(MAX(ROW(E4380:E$2)*(E4381=E4380:E$2)))))</f>
        <v> </v>
      </c>
      <c r="J4381" s="26" t="str">
        <f>IF(OR(E4381="",E4381="!!!",F4381="NEW"),"",COUNTBLANK(OFFSET(A$1,,,SUMPRODUCT(MAX(ROW(E$2:E4381)*(E4381=E$2:E4381)))))-COUNTBLANK(OFFSET(A$1,,,SUMPRODUCT(MAX(ROW(E$1:E4380)*(E2=E$1:E4380))))))</f>
        <v> </v>
      </c>
      <c r="K4381" s="26" t="str">
        <f>IF(OR(E4381="",E4381="!!!",F4381="NEW"),"",INDEX(J$1:J4380,SUMPRODUCT(MAX(ROW(E$1:E4380)*(E4381=E$1:E4380)))))</f>
        <v> </v>
      </c>
      <c r="L4381" s="27"/>
    </row>
    <row r="4382" spans="1:12">
      <c r="A4382" s="20" t="s">
        <v>1235</v>
      </c>
      <c r="E4382" s="22">
        <f>IF(D4382="?OLD","!!!","")</f>
        <v/>
      </c>
      <c r="F4382" s="23" t="str">
        <f>IF(OR(E4382="",E4382="!!!"),"",IF(NOT(ISNA(VLOOKUP(E4382,E$1:E4381,1,FALSE()))),"OLD",IF(AND(E4382&lt;&gt;"",E4382&lt;&gt;"!!!"),"NEW","")))</f>
        <v> </v>
      </c>
      <c r="G4382" s="24" t="str">
        <f>IF(OR(E4382="",E4382="!!!"),"",IF(OR(J4382=0,AND(J4382=1,K4382=1),AND(J4382=1,I4382="SBJ"),AND(J4382=1,I4382=0)),"?IN_FOCUS",IF(J4382&lt;=2,"?ACTIVATED",IF(J4382&lt;&gt;"","?FAMILIAR",IF(F4382="NEW",IF(ISNA(VLOOKUP(E4382,#REF!,1,FALSE())),"?TYPE_IDENTIFIABLE","?REFERENTIAL"),"_")))))</f>
        <v> </v>
      </c>
      <c r="H4382" s="25" t="str">
        <f>IF(J4382&lt;&gt;1,"",IF(I4382="SBJ","CB","?"))</f>
        <v> </v>
      </c>
      <c r="I4382" s="26" t="str">
        <f>IF(OR(E4382="",E4382="!!!",F4382="NEW"),"",INDEX(B4381:B$2,-1+SUMPRODUCT(MAX(ROW(E4381:E$2)*(E4382=E4381:E$2)))))</f>
        <v> </v>
      </c>
      <c r="J4382" s="26" t="str">
        <f>IF(OR(E4382="",E4382="!!!",F4382="NEW"),"",COUNTBLANK(OFFSET(A$1,,,SUMPRODUCT(MAX(ROW(E$2:E4382)*(E4382=E$2:E4382)))))-COUNTBLANK(OFFSET(A$1,,,SUMPRODUCT(MAX(ROW(E$1:E4381)*(E2=E$1:E4381))))))</f>
        <v> </v>
      </c>
      <c r="K4382" s="26" t="str">
        <f>IF(OR(E4382="",E4382="!!!",F4382="NEW"),"",INDEX(J$1:J4381,SUMPRODUCT(MAX(ROW(E$1:E4381)*(E4382=E$1:E4381)))))</f>
        <v> </v>
      </c>
      <c r="L4382" s="27"/>
    </row>
    <row r="4383" spans="1:12">
      <c r="A4383" s="20" t="s">
        <v>2671</v>
      </c>
      <c r="B4383" s="21" t="s">
        <v>1275</v>
      </c>
      <c r="C4383" s="21" t="s">
        <v>1238</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t="s">
        <v>1307</v>
      </c>
      <c r="E4384" s="22">
        <f>IF(D4384="?OLD","!!!","")</f>
        <v/>
      </c>
      <c r="F4384" s="23" t="str">
        <f>IF(OR(E4384="",E4384="!!!"),"",IF(NOT(ISNA(VLOOKUP(E4384,E$1:E4383,1,FALSE()))),"OLD",IF(AND(E4384&lt;&gt;"",E4384&lt;&gt;"!!!"),"NEW","")))</f>
        <v> </v>
      </c>
      <c r="G4384" s="24" t="str">
        <f>IF(OR(E4384="",E4384="!!!"),"",IF(OR(J4384=0,AND(J4384=1,K4384=1),AND(J4384=1,I4384="SBJ"),AND(J4384=1,I4384=0)),"?IN_FOCUS",IF(J4384&lt;=2,"?ACTIVATED",IF(J4384&lt;&gt;"","?FAMILIAR",IF(F4384="NEW",IF(ISNA(VLOOKUP(E4384,#REF!,1,FALSE())),"?TYPE_IDENTIFIABLE","?REFERENTIAL"),"_")))))</f>
        <v> </v>
      </c>
      <c r="H4384" s="25" t="str">
        <f>IF(J4384&lt;&gt;1,"",IF(I4384="SBJ","CB","?"))</f>
        <v> </v>
      </c>
      <c r="I4384" s="26" t="str">
        <f>IF(OR(E4384="",E4384="!!!",F4384="NEW"),"",INDEX(B4383:B$2,-1+SUMPRODUCT(MAX(ROW(E4383:E$2)*(E4384=E4383:E$2)))))</f>
        <v> </v>
      </c>
      <c r="J4384" s="26" t="str">
        <f>IF(OR(E4384="",E4384="!!!",F4384="NEW"),"",COUNTBLANK(OFFSET(A$1,,,SUMPRODUCT(MAX(ROW(E$2:E4384)*(E4384=E$2:E4384)))))-COUNTBLANK(OFFSET(A$1,,,SUMPRODUCT(MAX(ROW(E$1:E4383)*(E2=E$1:E4383))))))</f>
        <v> </v>
      </c>
      <c r="K4384" s="26" t="str">
        <f>IF(OR(E4384="",E4384="!!!",F4384="NEW"),"",INDEX(J$1:J4383,SUMPRODUCT(MAX(ROW(E$1:E4383)*(E4384=E$1:E4383)))))</f>
        <v> </v>
      </c>
      <c r="L4384" s="27"/>
    </row>
    <row r="4385" spans="1:12">
      <c r="A4385" s="20" t="s">
        <v>1266</v>
      </c>
      <c r="E4385" s="22">
        <f>IF(D4385="?OLD","!!!","")</f>
        <v/>
      </c>
      <c r="F4385" s="23" t="str">
        <f>IF(OR(E4385="",E4385="!!!"),"",IF(NOT(ISNA(VLOOKUP(E4385,E$1:E4384,1,FALSE()))),"OLD",IF(AND(E4385&lt;&gt;"",E4385&lt;&gt;"!!!"),"NEW","")))</f>
        <v> </v>
      </c>
      <c r="G4385" s="24" t="str">
        <f>IF(OR(E4385="",E4385="!!!"),"",IF(OR(J4385=0,AND(J4385=1,K4385=1),AND(J4385=1,I4385="SBJ"),AND(J4385=1,I4385=0)),"?IN_FOCUS",IF(J4385&lt;=2,"?ACTIVATED",IF(J4385&lt;&gt;"","?FAMILIAR",IF(F4385="NEW",IF(ISNA(VLOOKUP(E4385,#REF!,1,FALSE())),"?TYPE_IDENTIFIABLE","?REFERENTIAL"),"_")))))</f>
        <v> </v>
      </c>
      <c r="H4385" s="25" t="str">
        <f>IF(J4385&lt;&gt;1,"",IF(I4385="SBJ","CB","?"))</f>
        <v> </v>
      </c>
      <c r="I4385" s="26" t="str">
        <f>IF(OR(E4385="",E4385="!!!",F4385="NEW"),"",INDEX(B4384:B$2,-1+SUMPRODUCT(MAX(ROW(E4384:E$2)*(E4385=E4384:E$2)))))</f>
        <v> </v>
      </c>
      <c r="J4385" s="26" t="str">
        <f>IF(OR(E4385="",E4385="!!!",F4385="NEW"),"",COUNTBLANK(OFFSET(A$1,,,SUMPRODUCT(MAX(ROW(E$2:E4385)*(E4385=E$2:E4385)))))-COUNTBLANK(OFFSET(A$1,,,SUMPRODUCT(MAX(ROW(E$1:E4384)*(E2=E$1:E4384))))))</f>
        <v> </v>
      </c>
      <c r="K4385" s="26" t="str">
        <f>IF(OR(E4385="",E4385="!!!",F4385="NEW"),"",INDEX(J$1:J4384,SUMPRODUCT(MAX(ROW(E$1:E4384)*(E4385=E$1:E4384)))))</f>
        <v> </v>
      </c>
      <c r="L4385" s="27"/>
    </row>
    <row r="4386" spans="1:12">
      <c r="A4386" s="20" t="s">
        <v>2672</v>
      </c>
      <c r="B4386" s="21" t="s">
        <v>1221</v>
      </c>
      <c r="C4386" s="21" t="s">
        <v>1269</v>
      </c>
      <c r="D4386" s="21" t="s">
        <v>1217</v>
      </c>
      <c r="E4386" s="22">
        <f>IF(D4386="?OLD","!!!","")</f>
        <v/>
      </c>
      <c r="F4386" s="23" t="str">
        <f>IF(OR(E4386="",E4386="!!!"),"",IF(NOT(ISNA(VLOOKUP(E4386,E$1:E4385,1,FALSE()))),"OLD",IF(AND(E4386&lt;&gt;"",E4386&lt;&gt;"!!!"),"NEW","")))</f>
        <v> </v>
      </c>
      <c r="G4386" s="24" t="str">
        <f>IF(OR(E4386="",E4386="!!!"),"",IF(OR(J4386=0,AND(J4386=1,K4386=1),AND(J4386=1,I4386="SBJ"),AND(J4386=1,I4386=0)),"?IN_FOCUS",IF(J4386&lt;=2,"?ACTIVATED",IF(J4386&lt;&gt;"","?FAMILIAR",IF(F4386="NEW",IF(ISNA(VLOOKUP(E4386,#REF!,1,FALSE())),"?TYPE_IDENTIFIABLE","?REFERENTIAL"),"_")))))</f>
        <v> </v>
      </c>
      <c r="H4386" s="25" t="str">
        <f>IF(J4386&lt;&gt;1,"",IF(I4386="SBJ","CB","?"))</f>
        <v> </v>
      </c>
      <c r="I4386" s="26" t="str">
        <f>IF(OR(E4386="",E4386="!!!",F4386="NEW"),"",INDEX(B4385:B$2,-1+SUMPRODUCT(MAX(ROW(E4385:E$2)*(E4386=E4385:E$2)))))</f>
        <v> </v>
      </c>
      <c r="J4386" s="26" t="str">
        <f>IF(OR(E4386="",E4386="!!!",F4386="NEW"),"",COUNTBLANK(OFFSET(A$1,,,SUMPRODUCT(MAX(ROW(E$2:E4386)*(E4386=E$2:E4386)))))-COUNTBLANK(OFFSET(A$1,,,SUMPRODUCT(MAX(ROW(E$1:E4385)*(E2=E$1:E4385))))))</f>
        <v> </v>
      </c>
      <c r="K4386" s="26" t="str">
        <f>IF(OR(E4386="",E4386="!!!",F4386="NEW"),"",INDEX(J$1:J4385,SUMPRODUCT(MAX(ROW(E$1:E4385)*(E4386=E$1:E4385)))))</f>
        <v> </v>
      </c>
      <c r="L4386" s="27"/>
    </row>
    <row r="4387" spans="1:12">
      <c r="A4387" s="20" t="s">
        <v>1636</v>
      </c>
      <c r="E4387" s="22">
        <f>IF(D4387="?OLD","!!!","")</f>
        <v/>
      </c>
      <c r="F4387" s="23" t="str">
        <f>IF(OR(E4387="",E4387="!!!"),"",IF(NOT(ISNA(VLOOKUP(E4387,E$1:E4386,1,FALSE()))),"OLD",IF(AND(E4387&lt;&gt;"",E4387&lt;&gt;"!!!"),"NEW","")))</f>
        <v> </v>
      </c>
      <c r="G4387" s="24" t="str">
        <f>IF(OR(E4387="",E4387="!!!"),"",IF(OR(J4387=0,AND(J4387=1,K4387=1),AND(J4387=1,I4387="SBJ"),AND(J4387=1,I4387=0)),"?IN_FOCUS",IF(J4387&lt;=2,"?ACTIVATED",IF(J4387&lt;&gt;"","?FAMILIAR",IF(F4387="NEW",IF(ISNA(VLOOKUP(E4387,#REF!,1,FALSE())),"?TYPE_IDENTIFIABLE","?REFERENTIAL"),"_")))))</f>
        <v> </v>
      </c>
      <c r="H4387" s="25" t="str">
        <f>IF(J4387&lt;&gt;1,"",IF(I4387="SBJ","CB","?"))</f>
        <v> </v>
      </c>
      <c r="I4387" s="26" t="str">
        <f>IF(OR(E4387="",E4387="!!!",F4387="NEW"),"",INDEX(B4386:B$2,-1+SUMPRODUCT(MAX(ROW(E4386:E$2)*(E4387=E4386:E$2)))))</f>
        <v> </v>
      </c>
      <c r="J4387" s="26" t="str">
        <f>IF(OR(E4387="",E4387="!!!",F4387="NEW"),"",COUNTBLANK(OFFSET(A$1,,,SUMPRODUCT(MAX(ROW(E$2:E4387)*(E4387=E$2:E4387)))))-COUNTBLANK(OFFSET(A$1,,,SUMPRODUCT(MAX(ROW(E$1:E4386)*(E2=E$1:E4386))))))</f>
        <v> </v>
      </c>
      <c r="K4387" s="26" t="str">
        <f>IF(OR(E4387="",E4387="!!!",F4387="NEW"),"",INDEX(J$1:J4386,SUMPRODUCT(MAX(ROW(E$1:E4386)*(E4387=E$1:E4386)))))</f>
        <v> </v>
      </c>
      <c r="L4387" s="27"/>
    </row>
    <row r="4388" spans="1:12">
      <c r="A4388" s="20" t="s">
        <v>565</v>
      </c>
      <c r="B4388" s="21" t="s">
        <v>1252</v>
      </c>
      <c r="C4388" s="21" t="s">
        <v>1255</v>
      </c>
      <c r="D4388" s="21" t="s">
        <v>1217</v>
      </c>
      <c r="E4388" s="22">
        <f>IF(D4388="?OLD","!!!","")</f>
        <v/>
      </c>
      <c r="F4388" s="23" t="str">
        <f>IF(OR(E4388="",E4388="!!!"),"",IF(NOT(ISNA(VLOOKUP(E4388,E$1:E4387,1,FALSE()))),"OLD",IF(AND(E4388&lt;&gt;"",E4388&lt;&gt;"!!!"),"NEW","")))</f>
        <v> </v>
      </c>
      <c r="G4388" s="24" t="str">
        <f>IF(OR(E4388="",E4388="!!!"),"",IF(OR(J4388=0,AND(J4388=1,K4388=1),AND(J4388=1,I4388="SBJ"),AND(J4388=1,I4388=0)),"?IN_FOCUS",IF(J4388&lt;=2,"?ACTIVATED",IF(J4388&lt;&gt;"","?FAMILIAR",IF(F4388="NEW",IF(ISNA(VLOOKUP(E4388,#REF!,1,FALSE())),"?TYPE_IDENTIFIABLE","?REFERENTIAL"),"_")))))</f>
        <v> </v>
      </c>
      <c r="H4388" s="25" t="str">
        <f>IF(J4388&lt;&gt;1,"",IF(I4388="SBJ","CB","?"))</f>
        <v> </v>
      </c>
      <c r="I4388" s="26" t="str">
        <f>IF(OR(E4388="",E4388="!!!",F4388="NEW"),"",INDEX(B4387:B$2,-1+SUMPRODUCT(MAX(ROW(E4387:E$2)*(E4388=E4387:E$2)))))</f>
        <v> </v>
      </c>
      <c r="J4388" s="26" t="str">
        <f>IF(OR(E4388="",E4388="!!!",F4388="NEW"),"",COUNTBLANK(OFFSET(A$1,,,SUMPRODUCT(MAX(ROW(E$2:E4388)*(E4388=E$2:E4388)))))-COUNTBLANK(OFFSET(A$1,,,SUMPRODUCT(MAX(ROW(E$1:E4387)*(E2=E$1:E4387))))))</f>
        <v> </v>
      </c>
      <c r="K4388" s="26" t="str">
        <f>IF(OR(E4388="",E4388="!!!",F4388="NEW"),"",INDEX(J$1:J4387,SUMPRODUCT(MAX(ROW(E$1:E4387)*(E4388=E$1:E4387)))))</f>
        <v> </v>
      </c>
      <c r="L4388" s="27"/>
    </row>
    <row r="4389" spans="1:12">
      <c r="A4389" s="20" t="s">
        <v>2673</v>
      </c>
      <c r="E4389" s="22">
        <f>IF(D4389="?OLD","!!!","")</f>
        <v/>
      </c>
      <c r="F4389" s="23" t="str">
        <f>IF(OR(E4389="",E4389="!!!"),"",IF(NOT(ISNA(VLOOKUP(E4389,E$1:E4388,1,FALSE()))),"OLD",IF(AND(E4389&lt;&gt;"",E4389&lt;&gt;"!!!"),"NEW","")))</f>
        <v> </v>
      </c>
      <c r="G4389" s="24" t="str">
        <f>IF(OR(E4389="",E4389="!!!"),"",IF(OR(J4389=0,AND(J4389=1,K4389=1),AND(J4389=1,I4389="SBJ"),AND(J4389=1,I4389=0)),"?IN_FOCUS",IF(J4389&lt;=2,"?ACTIVATED",IF(J4389&lt;&gt;"","?FAMILIAR",IF(F4389="NEW",IF(ISNA(VLOOKUP(E4389,#REF!,1,FALSE())),"?TYPE_IDENTIFIABLE","?REFERENTIAL"),"_")))))</f>
        <v> </v>
      </c>
      <c r="H4389" s="25" t="str">
        <f>IF(J4389&lt;&gt;1,"",IF(I4389="SBJ","CB","?"))</f>
        <v> </v>
      </c>
      <c r="I4389" s="26" t="str">
        <f>IF(OR(E4389="",E4389="!!!",F4389="NEW"),"",INDEX(B4388:B$2,-1+SUMPRODUCT(MAX(ROW(E4388:E$2)*(E4389=E4388:E$2)))))</f>
        <v> </v>
      </c>
      <c r="J4389" s="26" t="str">
        <f>IF(OR(E4389="",E4389="!!!",F4389="NEW"),"",COUNTBLANK(OFFSET(A$1,,,SUMPRODUCT(MAX(ROW(E$2:E4389)*(E4389=E$2:E4389)))))-COUNTBLANK(OFFSET(A$1,,,SUMPRODUCT(MAX(ROW(E$1:E4388)*(E2=E$1:E4388))))))</f>
        <v> </v>
      </c>
      <c r="K4389" s="26" t="str">
        <f>IF(OR(E4389="",E4389="!!!",F4389="NEW"),"",INDEX(J$1:J4388,SUMPRODUCT(MAX(ROW(E$1:E4388)*(E4389=E$1:E4388)))))</f>
        <v> </v>
      </c>
      <c r="L4389" s="27"/>
    </row>
    <row r="4390" spans="1:12">
      <c r="A4390" s="20" t="s">
        <v>2674</v>
      </c>
      <c r="E4390" s="22">
        <f>IF(D4390="?OLD","!!!","")</f>
        <v/>
      </c>
      <c r="F4390" s="23" t="str">
        <f>IF(OR(E4390="",E4390="!!!"),"",IF(NOT(ISNA(VLOOKUP(E4390,E$1:E4389,1,FALSE()))),"OLD",IF(AND(E4390&lt;&gt;"",E4390&lt;&gt;"!!!"),"NEW","")))</f>
        <v> </v>
      </c>
      <c r="G4390" s="24" t="str">
        <f>IF(OR(E4390="",E4390="!!!"),"",IF(OR(J4390=0,AND(J4390=1,K4390=1),AND(J4390=1,I4390="SBJ"),AND(J4390=1,I4390=0)),"?IN_FOCUS",IF(J4390&lt;=2,"?ACTIVATED",IF(J4390&lt;&gt;"","?FAMILIAR",IF(F4390="NEW",IF(ISNA(VLOOKUP(E4390,#REF!,1,FALSE())),"?TYPE_IDENTIFIABLE","?REFERENTIAL"),"_")))))</f>
        <v> </v>
      </c>
      <c r="H4390" s="25" t="str">
        <f>IF(J4390&lt;&gt;1,"",IF(I4390="SBJ","CB","?"))</f>
        <v> </v>
      </c>
      <c r="I4390" s="26" t="str">
        <f>IF(OR(E4390="",E4390="!!!",F4390="NEW"),"",INDEX(B4389:B$2,-1+SUMPRODUCT(MAX(ROW(E4389:E$2)*(E4390=E4389:E$2)))))</f>
        <v> </v>
      </c>
      <c r="J4390" s="26" t="str">
        <f>IF(OR(E4390="",E4390="!!!",F4390="NEW"),"",COUNTBLANK(OFFSET(A$1,,,SUMPRODUCT(MAX(ROW(E$2:E4390)*(E4390=E$2:E4390)))))-COUNTBLANK(OFFSET(A$1,,,SUMPRODUCT(MAX(ROW(E$1:E4389)*(E2=E$1:E4389))))))</f>
        <v> </v>
      </c>
      <c r="K4390" s="26" t="str">
        <f>IF(OR(E4390="",E4390="!!!",F4390="NEW"),"",INDEX(J$1:J4389,SUMPRODUCT(MAX(ROW(E$1:E4389)*(E4390=E$1:E4389)))))</f>
        <v> </v>
      </c>
      <c r="L4390" s="27"/>
    </row>
    <row r="4391" spans="1:12">
      <c r="A4391" s="20" t="s">
        <v>2675</v>
      </c>
      <c r="E4391" s="22">
        <f>IF(D4391="?OLD","!!!","")</f>
        <v/>
      </c>
      <c r="F4391" s="23" t="str">
        <f>IF(OR(E4391="",E4391="!!!"),"",IF(NOT(ISNA(VLOOKUP(E4391,E$1:E4390,1,FALSE()))),"OLD",IF(AND(E4391&lt;&gt;"",E4391&lt;&gt;"!!!"),"NEW","")))</f>
        <v> </v>
      </c>
      <c r="G4391" s="24" t="str">
        <f>IF(OR(E4391="",E4391="!!!"),"",IF(OR(J4391=0,AND(J4391=1,K4391=1),AND(J4391=1,I4391="SBJ"),AND(J4391=1,I4391=0)),"?IN_FOCUS",IF(J4391&lt;=2,"?ACTIVATED",IF(J4391&lt;&gt;"","?FAMILIAR",IF(F4391="NEW",IF(ISNA(VLOOKUP(E4391,#REF!,1,FALSE())),"?TYPE_IDENTIFIABLE","?REFERENTIAL"),"_")))))</f>
        <v> </v>
      </c>
      <c r="H4391" s="25" t="str">
        <f>IF(J4391&lt;&gt;1,"",IF(I4391="SBJ","CB","?"))</f>
        <v> </v>
      </c>
      <c r="I4391" s="26" t="str">
        <f>IF(OR(E4391="",E4391="!!!",F4391="NEW"),"",INDEX(B4390:B$2,-1+SUMPRODUCT(MAX(ROW(E4390:E$2)*(E4391=E4390:E$2)))))</f>
        <v> </v>
      </c>
      <c r="J4391" s="26" t="str">
        <f>IF(OR(E4391="",E4391="!!!",F4391="NEW"),"",COUNTBLANK(OFFSET(A$1,,,SUMPRODUCT(MAX(ROW(E$2:E4391)*(E4391=E$2:E4391)))))-COUNTBLANK(OFFSET(A$1,,,SUMPRODUCT(MAX(ROW(E$1:E4390)*(E2=E$1:E4390))))))</f>
        <v> </v>
      </c>
      <c r="K4391" s="26" t="str">
        <f>IF(OR(E4391="",E4391="!!!",F4391="NEW"),"",INDEX(J$1:J4390,SUMPRODUCT(MAX(ROW(E$1:E4390)*(E4391=E$1:E4390)))))</f>
        <v> </v>
      </c>
      <c r="L4391" s="27"/>
    </row>
    <row r="4392" spans="1:12">
      <c r="A4392" s="20" t="s">
        <v>2676</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1262</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row>
    <row r="4395" spans="1:12">
      <c r="A4395" s="20" t="s">
        <v>2677</v>
      </c>
    </row>
    <row r="4396" spans="1:12">
      <c r="A4396" s="20" t="s">
        <v>1264</v>
      </c>
      <c r="B4396" s="21" t="s">
        <v>1215</v>
      </c>
      <c r="C4396" s="21" t="s">
        <v>1255</v>
      </c>
      <c r="D4396" s="21" t="s">
        <v>1217</v>
      </c>
      <c r="E4396" s="22">
        <f>IF(D4396="?OLD","!!!","")</f>
        <v/>
      </c>
      <c r="F4396" s="23" t="str">
        <f>IF(OR(E4396="",E4396="!!!"),"",IF(NOT(ISNA(VLOOKUP(E4396,E$1:E4395,1,FALSE()))),"OLD",IF(AND(E4396&lt;&gt;"",E4396&lt;&gt;"!!!"),"NEW","")))</f>
        <v> </v>
      </c>
      <c r="G4396" s="24" t="str">
        <f>IF(OR(E4396="",E4396="!!!"),"",IF(OR(J4396=0,AND(J4396=1,K4396=1),AND(J4396=1,I4396="SBJ"),AND(J4396=1,I4396=0)),"?IN_FOCUS",IF(J4396&lt;=2,"?ACTIVATED",IF(J4396&lt;&gt;"","?FAMILIAR",IF(F4396="NEW",IF(ISNA(VLOOKUP(E4396,#REF!,1,FALSE())),"?TYPE_IDENTIFIABLE","?REFERENTIAL"),"_")))))</f>
        <v> </v>
      </c>
      <c r="H4396" s="25" t="str">
        <f>IF(J4396&lt;&gt;1,"",IF(I4396="SBJ","CB","?"))</f>
        <v> </v>
      </c>
      <c r="I4396" s="26" t="str">
        <f>IF(OR(E4396="",E4396="!!!",F4396="NEW"),"",INDEX(B4395:B$2,-1+SUMPRODUCT(MAX(ROW(E4395:E$2)*(E4396=E4395:E$2)))))</f>
        <v> </v>
      </c>
      <c r="J4396" s="26" t="str">
        <f>IF(OR(E4396="",E4396="!!!",F4396="NEW"),"",COUNTBLANK(OFFSET(A$1,,,SUMPRODUCT(MAX(ROW(E$2:E4396)*(E4396=E$2:E4396)))))-COUNTBLANK(OFFSET(A$1,,,SUMPRODUCT(MAX(ROW(E$1:E4395)*(E2=E$1:E4395))))))</f>
        <v> </v>
      </c>
      <c r="K4396" s="26" t="str">
        <f>IF(OR(E4396="",E4396="!!!",F4396="NEW"),"",INDEX(J$1:J4395,SUMPRODUCT(MAX(ROW(E$1:E4395)*(E4396=E$1:E4395)))))</f>
        <v> </v>
      </c>
      <c r="L4396" s="27"/>
    </row>
    <row r="4397" spans="1:12">
      <c r="A4397" s="20" t="s">
        <v>1468</v>
      </c>
      <c r="B4397" s="21" t="s">
        <v>1244</v>
      </c>
      <c r="C4397" s="21" t="s">
        <v>1216</v>
      </c>
      <c r="D4397" s="21" t="s">
        <v>1217</v>
      </c>
      <c r="E4397" s="22">
        <f>IF(D4397="?OLD","!!!","")</f>
        <v/>
      </c>
      <c r="F4397" s="23" t="str">
        <f>IF(OR(E4397="",E4397="!!!"),"",IF(NOT(ISNA(VLOOKUP(E4397,E$1:E4396,1,FALSE()))),"OLD",IF(AND(E4397&lt;&gt;"",E4397&lt;&gt;"!!!"),"NEW","")))</f>
        <v> </v>
      </c>
      <c r="G4397" s="24" t="str">
        <f>IF(OR(E4397="",E4397="!!!"),"",IF(OR(J4397=0,AND(J4397=1,K4397=1),AND(J4397=1,I4397="SBJ"),AND(J4397=1,I4397=0)),"?IN_FOCUS",IF(J4397&lt;=2,"?ACTIVATED",IF(J4397&lt;&gt;"","?FAMILIAR",IF(F4397="NEW",IF(ISNA(VLOOKUP(E4397,#REF!,1,FALSE())),"?TYPE_IDENTIFIABLE","?REFERENTIAL"),"_")))))</f>
        <v> </v>
      </c>
      <c r="H4397" s="25" t="str">
        <f>IF(J4397&lt;&gt;1,"",IF(I4397="SBJ","CB","?"))</f>
        <v> </v>
      </c>
      <c r="I4397" s="26" t="str">
        <f>IF(OR(E4397="",E4397="!!!",F4397="NEW"),"",INDEX(B4396:B$2,-1+SUMPRODUCT(MAX(ROW(E4396:E$2)*(E4397=E4396:E$2)))))</f>
        <v> </v>
      </c>
      <c r="J4397" s="26" t="str">
        <f>IF(OR(E4397="",E4397="!!!",F4397="NEW"),"",COUNTBLANK(OFFSET(A$1,,,SUMPRODUCT(MAX(ROW(E$2:E4397)*(E4397=E$2:E4397)))))-COUNTBLANK(OFFSET(A$1,,,SUMPRODUCT(MAX(ROW(E$1:E4396)*(E2=E$1:E4396))))))</f>
        <v> </v>
      </c>
      <c r="K4397" s="26" t="str">
        <f>IF(OR(E4397="",E4397="!!!",F4397="NEW"),"",INDEX(J$1:J4396,SUMPRODUCT(MAX(ROW(E$1:E4396)*(E4397=E$1:E4396)))))</f>
        <v> </v>
      </c>
      <c r="L4397" s="27"/>
    </row>
    <row r="4398" spans="1:12">
      <c r="A4398" s="20" t="s">
        <v>1583</v>
      </c>
      <c r="E4398" s="22">
        <f>IF(D4398="?OLD","!!!","")</f>
        <v/>
      </c>
      <c r="F4398" s="23" t="str">
        <f>IF(OR(E4398="",E4398="!!!"),"",IF(NOT(ISNA(VLOOKUP(E4398,E$1:E4397,1,FALSE()))),"OLD",IF(AND(E4398&lt;&gt;"",E4398&lt;&gt;"!!!"),"NEW","")))</f>
        <v> </v>
      </c>
      <c r="G4398" s="24" t="str">
        <f>IF(OR(E4398="",E4398="!!!"),"",IF(OR(J4398=0,AND(J4398=1,K4398=1),AND(J4398=1,I4398="SBJ"),AND(J4398=1,I4398=0)),"?IN_FOCUS",IF(J4398&lt;=2,"?ACTIVATED",IF(J4398&lt;&gt;"","?FAMILIAR",IF(F4398="NEW",IF(ISNA(VLOOKUP(E4398,#REF!,1,FALSE())),"?TYPE_IDENTIFIABLE","?REFERENTIAL"),"_")))))</f>
        <v> </v>
      </c>
      <c r="H4398" s="25" t="str">
        <f>IF(J4398&lt;&gt;1,"",IF(I4398="SBJ","CB","?"))</f>
        <v> </v>
      </c>
      <c r="I4398" s="26" t="str">
        <f>IF(OR(E4398="",E4398="!!!",F4398="NEW"),"",INDEX(B4397:B$2,-1+SUMPRODUCT(MAX(ROW(E4397:E$2)*(E4398=E4397:E$2)))))</f>
        <v> </v>
      </c>
      <c r="J4398" s="26" t="str">
        <f>IF(OR(E4398="",E4398="!!!",F4398="NEW"),"",COUNTBLANK(OFFSET(A$1,,,SUMPRODUCT(MAX(ROW(E$2:E4398)*(E4398=E$2:E4398)))))-COUNTBLANK(OFFSET(A$1,,,SUMPRODUCT(MAX(ROW(E$1:E4397)*(E2=E$1:E4397))))))</f>
        <v> </v>
      </c>
      <c r="K4398" s="26" t="str">
        <f>IF(OR(E4398="",E4398="!!!",F4398="NEW"),"",INDEX(J$1:J4397,SUMPRODUCT(MAX(ROW(E$1:E4397)*(E4398=E$1:E4397)))))</f>
        <v> </v>
      </c>
      <c r="L4398" s="27"/>
    </row>
    <row r="4399" spans="1:12">
      <c r="A4399" s="20" t="s">
        <v>2678</v>
      </c>
      <c r="E4399" s="22">
        <f>IF(D4399="?OLD","!!!","")</f>
        <v/>
      </c>
      <c r="F4399" s="23" t="str">
        <f>IF(OR(E4399="",E4399="!!!"),"",IF(NOT(ISNA(VLOOKUP(E4399,E$1:E4398,1,FALSE()))),"OLD",IF(AND(E4399&lt;&gt;"",E4399&lt;&gt;"!!!"),"NEW","")))</f>
        <v> </v>
      </c>
      <c r="G4399" s="24" t="str">
        <f>IF(OR(E4399="",E4399="!!!"),"",IF(OR(J4399=0,AND(J4399=1,K4399=1),AND(J4399=1,I4399="SBJ"),AND(J4399=1,I4399=0)),"?IN_FOCUS",IF(J4399&lt;=2,"?ACTIVATED",IF(J4399&lt;&gt;"","?FAMILIAR",IF(F4399="NEW",IF(ISNA(VLOOKUP(E4399,#REF!,1,FALSE())),"?TYPE_IDENTIFIABLE","?REFERENTIAL"),"_")))))</f>
        <v> </v>
      </c>
      <c r="H4399" s="25" t="str">
        <f>IF(J4399&lt;&gt;1,"",IF(I4399="SBJ","CB","?"))</f>
        <v> </v>
      </c>
      <c r="I4399" s="26" t="str">
        <f>IF(OR(E4399="",E4399="!!!",F4399="NEW"),"",INDEX(B4398:B$2,-1+SUMPRODUCT(MAX(ROW(E4398:E$2)*(E4399=E4398:E$2)))))</f>
        <v> </v>
      </c>
      <c r="J4399" s="26" t="str">
        <f>IF(OR(E4399="",E4399="!!!",F4399="NEW"),"",COUNTBLANK(OFFSET(A$1,,,SUMPRODUCT(MAX(ROW(E$2:E4399)*(E4399=E$2:E4399)))))-COUNTBLANK(OFFSET(A$1,,,SUMPRODUCT(MAX(ROW(E$1:E4398)*(E2=E$1:E4398))))))</f>
        <v> </v>
      </c>
      <c r="K4399" s="26" t="str">
        <f>IF(OR(E4399="",E4399="!!!",F4399="NEW"),"",INDEX(J$1:J4398,SUMPRODUCT(MAX(ROW(E$1:E4398)*(E4399=E$1:E4398)))))</f>
        <v> </v>
      </c>
      <c r="L4399" s="27"/>
    </row>
    <row r="4400" spans="1:12">
      <c r="A4400" s="20" t="s">
        <v>1084</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t="s">
        <v>1262</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row>
    <row r="4403" spans="1:12">
      <c r="A4403" s="20" t="s">
        <v>1542</v>
      </c>
    </row>
    <row r="4404" spans="1:12">
      <c r="A4404" s="20" t="s">
        <v>135</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row>
    <row r="4406" spans="1:12">
      <c r="A4406" s="20" t="s">
        <v>2679</v>
      </c>
    </row>
    <row r="4407" spans="1:12">
      <c r="A4407" s="20" t="s">
        <v>548</v>
      </c>
      <c r="B4407" s="21" t="s">
        <v>1215</v>
      </c>
      <c r="C4407" s="21" t="s">
        <v>1225</v>
      </c>
      <c r="D4407" s="21" t="s">
        <v>1217</v>
      </c>
      <c r="E4407" s="22">
        <f>IF(D4407="?OLD","!!!","")</f>
        <v/>
      </c>
      <c r="F4407" s="23" t="str">
        <f>IF(OR(E4407="",E4407="!!!"),"",IF(NOT(ISNA(VLOOKUP(E4407,E$1:E4406,1,FALSE()))),"OLD",IF(AND(E4407&lt;&gt;"",E4407&lt;&gt;"!!!"),"NEW","")))</f>
        <v> </v>
      </c>
      <c r="G4407" s="24" t="str">
        <f>IF(OR(E4407="",E4407="!!!"),"",IF(OR(J4407=0,AND(J4407=1,K4407=1),AND(J4407=1,I4407="SBJ"),AND(J4407=1,I4407=0)),"?IN_FOCUS",IF(J4407&lt;=2,"?ACTIVATED",IF(J4407&lt;&gt;"","?FAMILIAR",IF(F4407="NEW",IF(ISNA(VLOOKUP(E4407,#REF!,1,FALSE())),"?TYPE_IDENTIFIABLE","?REFERENTIAL"),"_")))))</f>
        <v> </v>
      </c>
      <c r="H4407" s="25" t="str">
        <f>IF(J4407&lt;&gt;1,"",IF(I4407="SBJ","CB","?"))</f>
        <v> </v>
      </c>
      <c r="I4407" s="26" t="str">
        <f>IF(OR(E4407="",E4407="!!!",F4407="NEW"),"",INDEX(B4406:B$2,-1+SUMPRODUCT(MAX(ROW(E4406:E$2)*(E4407=E4406:E$2)))))</f>
        <v> </v>
      </c>
      <c r="J4407" s="26" t="str">
        <f>IF(OR(E4407="",E4407="!!!",F4407="NEW"),"",COUNTBLANK(OFFSET(A$1,,,SUMPRODUCT(MAX(ROW(E$2:E4407)*(E4407=E$2:E4407)))))-COUNTBLANK(OFFSET(A$1,,,SUMPRODUCT(MAX(ROW(E$1:E4406)*(E2=E$1:E4406))))))</f>
        <v> </v>
      </c>
      <c r="K4407" s="26" t="str">
        <f>IF(OR(E4407="",E4407="!!!",F4407="NEW"),"",INDEX(J$1:J4406,SUMPRODUCT(MAX(ROW(E$1:E4406)*(E4407=E$1:E4406)))))</f>
        <v> </v>
      </c>
      <c r="L4407" s="27"/>
    </row>
    <row r="4408" spans="1:12">
      <c r="A4408" s="20" t="s">
        <v>2463</v>
      </c>
      <c r="E4408" s="22">
        <f>IF(D4408="?OLD","!!!","")</f>
        <v/>
      </c>
      <c r="F4408" s="23" t="str">
        <f>IF(OR(E4408="",E4408="!!!"),"",IF(NOT(ISNA(VLOOKUP(E4408,E$1:E4407,1,FALSE()))),"OLD",IF(AND(E4408&lt;&gt;"",E4408&lt;&gt;"!!!"),"NEW","")))</f>
        <v> </v>
      </c>
      <c r="G4408" s="24" t="str">
        <f>IF(OR(E4408="",E4408="!!!"),"",IF(OR(J4408=0,AND(J4408=1,K4408=1),AND(J4408=1,I4408="SBJ"),AND(J4408=1,I4408=0)),"?IN_FOCUS",IF(J4408&lt;=2,"?ACTIVATED",IF(J4408&lt;&gt;"","?FAMILIAR",IF(F4408="NEW",IF(ISNA(VLOOKUP(E4408,#REF!,1,FALSE())),"?TYPE_IDENTIFIABLE","?REFERENTIAL"),"_")))))</f>
        <v> </v>
      </c>
      <c r="H4408" s="25" t="str">
        <f>IF(J4408&lt;&gt;1,"",IF(I4408="SBJ","CB","?"))</f>
        <v> </v>
      </c>
      <c r="I4408" s="26" t="str">
        <f>IF(OR(E4408="",E4408="!!!",F4408="NEW"),"",INDEX(B4407:B$2,-1+SUMPRODUCT(MAX(ROW(E4407:E$2)*(E4408=E4407:E$2)))))</f>
        <v> </v>
      </c>
      <c r="J4408" s="26" t="str">
        <f>IF(OR(E4408="",E4408="!!!",F4408="NEW"),"",COUNTBLANK(OFFSET(A$1,,,SUMPRODUCT(MAX(ROW(E$2:E4408)*(E4408=E$2:E4408)))))-COUNTBLANK(OFFSET(A$1,,,SUMPRODUCT(MAX(ROW(E$1:E4407)*(E2=E$1:E4407))))))</f>
        <v> </v>
      </c>
      <c r="K4408" s="26" t="str">
        <f>IF(OR(E4408="",E4408="!!!",F4408="NEW"),"",INDEX(J$1:J4407,SUMPRODUCT(MAX(ROW(E$1:E4407)*(E4408=E$1:E4407)))))</f>
        <v> </v>
      </c>
      <c r="L4408" s="27"/>
    </row>
    <row r="4409" spans="1:12">
      <c r="A4409" s="20" t="s">
        <v>1323</v>
      </c>
      <c r="E4409" s="22">
        <f>IF(D4409="?OLD","!!!","")</f>
        <v/>
      </c>
      <c r="F4409" s="23" t="str">
        <f>IF(OR(E4409="",E4409="!!!"),"",IF(NOT(ISNA(VLOOKUP(E4409,E$1:E4408,1,FALSE()))),"OLD",IF(AND(E4409&lt;&gt;"",E4409&lt;&gt;"!!!"),"NEW","")))</f>
        <v> </v>
      </c>
      <c r="G4409" s="24" t="str">
        <f>IF(OR(E4409="",E4409="!!!"),"",IF(OR(J4409=0,AND(J4409=1,K4409=1),AND(J4409=1,I4409="SBJ"),AND(J4409=1,I4409=0)),"?IN_FOCUS",IF(J4409&lt;=2,"?ACTIVATED",IF(J4409&lt;&gt;"","?FAMILIAR",IF(F4409="NEW",IF(ISNA(VLOOKUP(E4409,#REF!,1,FALSE())),"?TYPE_IDENTIFIABLE","?REFERENTIAL"),"_")))))</f>
        <v> </v>
      </c>
      <c r="H4409" s="25" t="str">
        <f>IF(J4409&lt;&gt;1,"",IF(I4409="SBJ","CB","?"))</f>
        <v> </v>
      </c>
      <c r="I4409" s="26" t="str">
        <f>IF(OR(E4409="",E4409="!!!",F4409="NEW"),"",INDEX(B4408:B$2,-1+SUMPRODUCT(MAX(ROW(E4408:E$2)*(E4409=E4408:E$2)))))</f>
        <v> </v>
      </c>
      <c r="J4409" s="26" t="str">
        <f>IF(OR(E4409="",E4409="!!!",F4409="NEW"),"",COUNTBLANK(OFFSET(A$1,,,SUMPRODUCT(MAX(ROW(E$2:E4409)*(E4409=E$2:E4409)))))-COUNTBLANK(OFFSET(A$1,,,SUMPRODUCT(MAX(ROW(E$1:E4408)*(E2=E$1:E4408))))))</f>
        <v> </v>
      </c>
      <c r="K4409" s="26" t="str">
        <f>IF(OR(E4409="",E4409="!!!",F4409="NEW"),"",INDEX(J$1:J4408,SUMPRODUCT(MAX(ROW(E$1:E4408)*(E4409=E$1:E4408)))))</f>
        <v> </v>
      </c>
      <c r="L4409" s="27"/>
    </row>
    <row r="4410" spans="1:12">
      <c r="A4410" s="20" t="s">
        <v>1887</v>
      </c>
      <c r="B4410" s="21" t="s">
        <v>1275</v>
      </c>
      <c r="C4410" s="21" t="s">
        <v>1269</v>
      </c>
      <c r="D4410" s="21" t="s">
        <v>1217</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t="s">
        <v>1286</v>
      </c>
      <c r="E4411" s="22">
        <f>IF(D4411="?OLD","!!!","")</f>
        <v/>
      </c>
      <c r="F4411" s="23" t="str">
        <f>IF(OR(E4411="",E4411="!!!"),"",IF(NOT(ISNA(VLOOKUP(E4411,E$1:E4410,1,FALSE()))),"OLD",IF(AND(E4411&lt;&gt;"",E4411&lt;&gt;"!!!"),"NEW","")))</f>
        <v> </v>
      </c>
      <c r="G4411" s="24" t="str">
        <f>IF(OR(E4411="",E4411="!!!"),"",IF(OR(J4411=0,AND(J4411=1,K4411=1),AND(J4411=1,I4411="SBJ"),AND(J4411=1,I4411=0)),"?IN_FOCUS",IF(J4411&lt;=2,"?ACTIVATED",IF(J4411&lt;&gt;"","?FAMILIAR",IF(F4411="NEW",IF(ISNA(VLOOKUP(E4411,#REF!,1,FALSE())),"?TYPE_IDENTIFIABLE","?REFERENTIAL"),"_")))))</f>
        <v> </v>
      </c>
      <c r="H4411" s="25" t="str">
        <f>IF(J4411&lt;&gt;1,"",IF(I4411="SBJ","CB","?"))</f>
        <v> </v>
      </c>
      <c r="I4411" s="26" t="str">
        <f>IF(OR(E4411="",E4411="!!!",F4411="NEW"),"",INDEX(B4410:B$2,-1+SUMPRODUCT(MAX(ROW(E4410:E$2)*(E4411=E4410:E$2)))))</f>
        <v> </v>
      </c>
      <c r="J4411" s="26" t="str">
        <f>IF(OR(E4411="",E4411="!!!",F4411="NEW"),"",COUNTBLANK(OFFSET(A$1,,,SUMPRODUCT(MAX(ROW(E$2:E4411)*(E4411=E$2:E4411)))))-COUNTBLANK(OFFSET(A$1,,,SUMPRODUCT(MAX(ROW(E$1:E4410)*(E2=E$1:E4410))))))</f>
        <v> </v>
      </c>
      <c r="K4411" s="26" t="str">
        <f>IF(OR(E4411="",E4411="!!!",F4411="NEW"),"",INDEX(J$1:J4410,SUMPRODUCT(MAX(ROW(E$1:E4410)*(E4411=E$1:E4410)))))</f>
        <v> </v>
      </c>
      <c r="L4411" s="27"/>
    </row>
    <row r="4412" spans="1:12">
      <c r="A4412" s="20" t="s">
        <v>1228</v>
      </c>
      <c r="E4412" s="22">
        <f>IF(D4412="?OLD","!!!","")</f>
        <v/>
      </c>
      <c r="F4412" s="23" t="str">
        <f>IF(OR(E4412="",E4412="!!!"),"",IF(NOT(ISNA(VLOOKUP(E4412,E$1:E4411,1,FALSE()))),"OLD",IF(AND(E4412&lt;&gt;"",E4412&lt;&gt;"!!!"),"NEW","")))</f>
        <v> </v>
      </c>
      <c r="G4412" s="24" t="str">
        <f>IF(OR(E4412="",E4412="!!!"),"",IF(OR(J4412=0,AND(J4412=1,K4412=1),AND(J4412=1,I4412="SBJ"),AND(J4412=1,I4412=0)),"?IN_FOCUS",IF(J4412&lt;=2,"?ACTIVATED",IF(J4412&lt;&gt;"","?FAMILIAR",IF(F4412="NEW",IF(ISNA(VLOOKUP(E4412,#REF!,1,FALSE())),"?TYPE_IDENTIFIABLE","?REFERENTIAL"),"_")))))</f>
        <v> </v>
      </c>
      <c r="H4412" s="25" t="str">
        <f>IF(J4412&lt;&gt;1,"",IF(I4412="SBJ","CB","?"))</f>
        <v> </v>
      </c>
      <c r="I4412" s="26" t="str">
        <f>IF(OR(E4412="",E4412="!!!",F4412="NEW"),"",INDEX(B4411:B$2,-1+SUMPRODUCT(MAX(ROW(E4411:E$2)*(E4412=E4411:E$2)))))</f>
        <v> </v>
      </c>
      <c r="J4412" s="26" t="str">
        <f>IF(OR(E4412="",E4412="!!!",F4412="NEW"),"",COUNTBLANK(OFFSET(A$1,,,SUMPRODUCT(MAX(ROW(E$2:E4412)*(E4412=E$2:E4412)))))-COUNTBLANK(OFFSET(A$1,,,SUMPRODUCT(MAX(ROW(E$1:E4411)*(E2=E$1:E4411))))))</f>
        <v> </v>
      </c>
      <c r="K4412" s="26" t="str">
        <f>IF(OR(E4412="",E4412="!!!",F4412="NEW"),"",INDEX(J$1:J4411,SUMPRODUCT(MAX(ROW(E$1:E4411)*(E4412=E$1:E4411)))))</f>
        <v> </v>
      </c>
      <c r="L4412" s="27"/>
    </row>
    <row r="4413" spans="1:12">
      <c r="A4413" s="20" t="s">
        <v>2680</v>
      </c>
      <c r="B4413" s="21" t="s">
        <v>1221</v>
      </c>
      <c r="C4413" s="21" t="s">
        <v>1269</v>
      </c>
      <c r="D4413" s="21" t="s">
        <v>1217</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t="s">
        <v>1218</v>
      </c>
      <c r="E4414" s="22">
        <f>IF(D4414="?OLD","!!!","")</f>
        <v/>
      </c>
      <c r="F4414" s="23" t="str">
        <f>IF(OR(E4414="",E4414="!!!"),"",IF(NOT(ISNA(VLOOKUP(E4414,E$1:E4413,1,FALSE()))),"OLD",IF(AND(E4414&lt;&gt;"",E4414&lt;&gt;"!!!"),"NEW","")))</f>
        <v> </v>
      </c>
      <c r="G4414" s="24" t="str">
        <f>IF(OR(E4414="",E4414="!!!"),"",IF(OR(J4414=0,AND(J4414=1,K4414=1),AND(J4414=1,I4414="SBJ"),AND(J4414=1,I4414=0)),"?IN_FOCUS",IF(J4414&lt;=2,"?ACTIVATED",IF(J4414&lt;&gt;"","?FAMILIAR",IF(F4414="NEW",IF(ISNA(VLOOKUP(E4414,#REF!,1,FALSE())),"?TYPE_IDENTIFIABLE","?REFERENTIAL"),"_")))))</f>
        <v> </v>
      </c>
      <c r="H4414" s="25" t="str">
        <f>IF(J4414&lt;&gt;1,"",IF(I4414="SBJ","CB","?"))</f>
        <v> </v>
      </c>
      <c r="I4414" s="26" t="str">
        <f>IF(OR(E4414="",E4414="!!!",F4414="NEW"),"",INDEX(B4413:B$2,-1+SUMPRODUCT(MAX(ROW(E4413:E$2)*(E4414=E4413:E$2)))))</f>
        <v> </v>
      </c>
      <c r="J4414" s="26" t="str">
        <f>IF(OR(E4414="",E4414="!!!",F4414="NEW"),"",COUNTBLANK(OFFSET(A$1,,,SUMPRODUCT(MAX(ROW(E$2:E4414)*(E4414=E$2:E4414)))))-COUNTBLANK(OFFSET(A$1,,,SUMPRODUCT(MAX(ROW(E$1:E4413)*(E2=E$1:E4413))))))</f>
        <v> </v>
      </c>
      <c r="K4414" s="26" t="str">
        <f>IF(OR(E4414="",E4414="!!!",F4414="NEW"),"",INDEX(J$1:J4413,SUMPRODUCT(MAX(ROW(E$1:E4413)*(E4414=E$1:E4413)))))</f>
        <v> </v>
      </c>
      <c r="L4414" s="27"/>
    </row>
    <row r="4415" spans="1:12">
      <c r="A4415" s="20" t="s">
        <v>1323</v>
      </c>
      <c r="E4415" s="22">
        <f>IF(D4415="?OLD","!!!","")</f>
        <v/>
      </c>
      <c r="F4415" s="23" t="str">
        <f>IF(OR(E4415="",E4415="!!!"),"",IF(NOT(ISNA(VLOOKUP(E4415,E$1:E4414,1,FALSE()))),"OLD",IF(AND(E4415&lt;&gt;"",E4415&lt;&gt;"!!!"),"NEW","")))</f>
        <v> </v>
      </c>
      <c r="G4415" s="24" t="str">
        <f>IF(OR(E4415="",E4415="!!!"),"",IF(OR(J4415=0,AND(J4415=1,K4415=1),AND(J4415=1,I4415="SBJ"),AND(J4415=1,I4415=0)),"?IN_FOCUS",IF(J4415&lt;=2,"?ACTIVATED",IF(J4415&lt;&gt;"","?FAMILIAR",IF(F4415="NEW",IF(ISNA(VLOOKUP(E4415,#REF!,1,FALSE())),"?TYPE_IDENTIFIABLE","?REFERENTIAL"),"_")))))</f>
        <v> </v>
      </c>
      <c r="H4415" s="25" t="str">
        <f>IF(J4415&lt;&gt;1,"",IF(I4415="SBJ","CB","?"))</f>
        <v> </v>
      </c>
      <c r="I4415" s="26" t="str">
        <f>IF(OR(E4415="",E4415="!!!",F4415="NEW"),"",INDEX(B4414:B$2,-1+SUMPRODUCT(MAX(ROW(E4414:E$2)*(E4415=E4414:E$2)))))</f>
        <v> </v>
      </c>
      <c r="J4415" s="26" t="str">
        <f>IF(OR(E4415="",E4415="!!!",F4415="NEW"),"",COUNTBLANK(OFFSET(A$1,,,SUMPRODUCT(MAX(ROW(E$2:E4415)*(E4415=E$2:E4415)))))-COUNTBLANK(OFFSET(A$1,,,SUMPRODUCT(MAX(ROW(E$1:E4414)*(E2=E$1:E4414))))))</f>
        <v> </v>
      </c>
      <c r="K4415" s="26" t="str">
        <f>IF(OR(E4415="",E4415="!!!",F4415="NEW"),"",INDEX(J$1:J4414,SUMPRODUCT(MAX(ROW(E$1:E4414)*(E4415=E$1:E4414)))))</f>
        <v> </v>
      </c>
      <c r="L4415" s="27"/>
    </row>
    <row r="4416" spans="1:12">
      <c r="A4416" s="20" t="s">
        <v>1912</v>
      </c>
      <c r="B4416" s="21" t="s">
        <v>1221</v>
      </c>
      <c r="C4416" s="21" t="s">
        <v>1269</v>
      </c>
      <c r="D4416" s="21" t="s">
        <v>1217</v>
      </c>
      <c r="E4416" s="22">
        <f>IF(D4416="?OLD","!!!","")</f>
        <v/>
      </c>
      <c r="F4416" s="23" t="str">
        <f>IF(OR(E4416="",E4416="!!!"),"",IF(NOT(ISNA(VLOOKUP(E4416,E$1:E4415,1,FALSE()))),"OLD",IF(AND(E4416&lt;&gt;"",E4416&lt;&gt;"!!!"),"NEW","")))</f>
        <v> </v>
      </c>
      <c r="G4416" s="24" t="str">
        <f>IF(OR(E4416="",E4416="!!!"),"",IF(OR(J4416=0,AND(J4416=1,K4416=1),AND(J4416=1,I4416="SBJ"),AND(J4416=1,I4416=0)),"?IN_FOCUS",IF(J4416&lt;=2,"?ACTIVATED",IF(J4416&lt;&gt;"","?FAMILIAR",IF(F4416="NEW",IF(ISNA(VLOOKUP(E4416,#REF!,1,FALSE())),"?TYPE_IDENTIFIABLE","?REFERENTIAL"),"_")))))</f>
        <v> </v>
      </c>
      <c r="H4416" s="25" t="str">
        <f>IF(J4416&lt;&gt;1,"",IF(I4416="SBJ","CB","?"))</f>
        <v> </v>
      </c>
      <c r="I4416" s="26" t="str">
        <f>IF(OR(E4416="",E4416="!!!",F4416="NEW"),"",INDEX(B4415:B$2,-1+SUMPRODUCT(MAX(ROW(E4415:E$2)*(E4416=E4415:E$2)))))</f>
        <v> </v>
      </c>
      <c r="J4416" s="26" t="str">
        <f>IF(OR(E4416="",E4416="!!!",F4416="NEW"),"",COUNTBLANK(OFFSET(A$1,,,SUMPRODUCT(MAX(ROW(E$2:E4416)*(E4416=E$2:E4416)))))-COUNTBLANK(OFFSET(A$1,,,SUMPRODUCT(MAX(ROW(E$1:E4415)*(E2=E$1:E4415))))))</f>
        <v> </v>
      </c>
      <c r="K4416" s="26" t="str">
        <f>IF(OR(E4416="",E4416="!!!",F4416="NEW"),"",INDEX(J$1:J4415,SUMPRODUCT(MAX(ROW(E$1:E4415)*(E4416=E$1:E4415)))))</f>
        <v> </v>
      </c>
      <c r="L4416" s="27"/>
    </row>
    <row r="4417" spans="1:12">
      <c r="A4417" s="20" t="s">
        <v>1262</v>
      </c>
      <c r="E4417" s="22">
        <f>IF(D4417="?OLD","!!!","")</f>
        <v/>
      </c>
      <c r="F4417" s="23" t="str">
        <f>IF(OR(E4417="",E4417="!!!"),"",IF(NOT(ISNA(VLOOKUP(E4417,E$1:E4416,1,FALSE()))),"OLD",IF(AND(E4417&lt;&gt;"",E4417&lt;&gt;"!!!"),"NEW","")))</f>
        <v> </v>
      </c>
      <c r="G4417" s="24" t="str">
        <f>IF(OR(E4417="",E4417="!!!"),"",IF(OR(J4417=0,AND(J4417=1,K4417=1),AND(J4417=1,I4417="SBJ"),AND(J4417=1,I4417=0)),"?IN_FOCUS",IF(J4417&lt;=2,"?ACTIVATED",IF(J4417&lt;&gt;"","?FAMILIAR",IF(F4417="NEW",IF(ISNA(VLOOKUP(E4417,#REF!,1,FALSE())),"?TYPE_IDENTIFIABLE","?REFERENTIAL"),"_")))))</f>
        <v> </v>
      </c>
      <c r="H4417" s="25" t="str">
        <f>IF(J4417&lt;&gt;1,"",IF(I4417="SBJ","CB","?"))</f>
        <v> </v>
      </c>
      <c r="I4417" s="26" t="str">
        <f>IF(OR(E4417="",E4417="!!!",F4417="NEW"),"",INDEX(B4416:B$2,-1+SUMPRODUCT(MAX(ROW(E4416:E$2)*(E4417=E4416:E$2)))))</f>
        <v> </v>
      </c>
      <c r="J4417" s="26" t="str">
        <f>IF(OR(E4417="",E4417="!!!",F4417="NEW"),"",COUNTBLANK(OFFSET(A$1,,,SUMPRODUCT(MAX(ROW(E$2:E4417)*(E4417=E$2:E4417)))))-COUNTBLANK(OFFSET(A$1,,,SUMPRODUCT(MAX(ROW(E$1:E4416)*(E2=E$1:E4416))))))</f>
        <v> </v>
      </c>
      <c r="K4417" s="26" t="str">
        <f>IF(OR(E4417="",E4417="!!!",F4417="NEW"),"",INDEX(J$1:J4416,SUMPRODUCT(MAX(ROW(E$1:E4416)*(E4417=E$1:E4416)))))</f>
        <v> </v>
      </c>
      <c r="L4417" s="27"/>
    </row>
    <row r="4418" spans="1:12">
      <c r="A4418" s="20"/>
    </row>
    <row r="4419" spans="1:12">
      <c r="A4419" s="20" t="s">
        <v>2681</v>
      </c>
    </row>
    <row r="4420" spans="1:12">
      <c r="A4420" s="20" t="s">
        <v>1299</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t="s">
        <v>1515</v>
      </c>
      <c r="B4421" s="21" t="s">
        <v>1215</v>
      </c>
      <c r="C4421" s="21" t="s">
        <v>1269</v>
      </c>
      <c r="D4421" s="21" t="s">
        <v>1217</v>
      </c>
      <c r="E4421" s="22">
        <f>IF(D4421="?OLD","!!!","")</f>
        <v/>
      </c>
      <c r="F4421" s="23" t="str">
        <f>IF(OR(E4421="",E4421="!!!"),"",IF(NOT(ISNA(VLOOKUP(E4421,E$1:E4420,1,FALSE()))),"OLD",IF(AND(E4421&lt;&gt;"",E4421&lt;&gt;"!!!"),"NEW","")))</f>
        <v> </v>
      </c>
      <c r="G4421" s="24" t="str">
        <f>IF(OR(E4421="",E4421="!!!"),"",IF(OR(J4421=0,AND(J4421=1,K4421=1),AND(J4421=1,I4421="SBJ"),AND(J4421=1,I4421=0)),"?IN_FOCUS",IF(J4421&lt;=2,"?ACTIVATED",IF(J4421&lt;&gt;"","?FAMILIAR",IF(F4421="NEW",IF(ISNA(VLOOKUP(E4421,#REF!,1,FALSE())),"?TYPE_IDENTIFIABLE","?REFERENTIAL"),"_")))))</f>
        <v> </v>
      </c>
      <c r="H4421" s="25" t="str">
        <f>IF(J4421&lt;&gt;1,"",IF(I4421="SBJ","CB","?"))</f>
        <v> </v>
      </c>
      <c r="I4421" s="26" t="str">
        <f>IF(OR(E4421="",E4421="!!!",F4421="NEW"),"",INDEX(B4420:B$2,-1+SUMPRODUCT(MAX(ROW(E4420:E$2)*(E4421=E4420:E$2)))))</f>
        <v> </v>
      </c>
      <c r="J4421" s="26" t="str">
        <f>IF(OR(E4421="",E4421="!!!",F4421="NEW"),"",COUNTBLANK(OFFSET(A$1,,,SUMPRODUCT(MAX(ROW(E$2:E4421)*(E4421=E$2:E4421)))))-COUNTBLANK(OFFSET(A$1,,,SUMPRODUCT(MAX(ROW(E$1:E4420)*(E2=E$1:E4420))))))</f>
        <v> </v>
      </c>
      <c r="K4421" s="26" t="str">
        <f>IF(OR(E4421="",E4421="!!!",F4421="NEW"),"",INDEX(J$1:J4420,SUMPRODUCT(MAX(ROW(E$1:E4420)*(E4421=E$1:E4420)))))</f>
        <v> </v>
      </c>
      <c r="L4421" s="27"/>
    </row>
    <row r="4422" spans="1:12">
      <c r="A4422" s="20" t="s">
        <v>1240</v>
      </c>
      <c r="B4422" s="21" t="s">
        <v>1221</v>
      </c>
      <c r="C4422" s="21" t="s">
        <v>1216</v>
      </c>
      <c r="D4422" s="21" t="s">
        <v>1217</v>
      </c>
      <c r="E4422" s="22">
        <f>IF(D4422="?OLD","!!!","")</f>
        <v/>
      </c>
      <c r="F4422" s="23" t="str">
        <f>IF(OR(E4422="",E4422="!!!"),"",IF(NOT(ISNA(VLOOKUP(E4422,E$1:E4421,1,FALSE()))),"OLD",IF(AND(E4422&lt;&gt;"",E4422&lt;&gt;"!!!"),"NEW","")))</f>
        <v> </v>
      </c>
      <c r="G4422" s="24" t="str">
        <f>IF(OR(E4422="",E4422="!!!"),"",IF(OR(J4422=0,AND(J4422=1,K4422=1),AND(J4422=1,I4422="SBJ"),AND(J4422=1,I4422=0)),"?IN_FOCUS",IF(J4422&lt;=2,"?ACTIVATED",IF(J4422&lt;&gt;"","?FAMILIAR",IF(F4422="NEW",IF(ISNA(VLOOKUP(E4422,#REF!,1,FALSE())),"?TYPE_IDENTIFIABLE","?REFERENTIAL"),"_")))))</f>
        <v> </v>
      </c>
      <c r="H4422" s="25" t="str">
        <f>IF(J4422&lt;&gt;1,"",IF(I4422="SBJ","CB","?"))</f>
        <v> </v>
      </c>
      <c r="I4422" s="26" t="str">
        <f>IF(OR(E4422="",E4422="!!!",F4422="NEW"),"",INDEX(B4421:B$2,-1+SUMPRODUCT(MAX(ROW(E4421:E$2)*(E4422=E4421:E$2)))))</f>
        <v> </v>
      </c>
      <c r="J4422" s="26" t="str">
        <f>IF(OR(E4422="",E4422="!!!",F4422="NEW"),"",COUNTBLANK(OFFSET(A$1,,,SUMPRODUCT(MAX(ROW(E$2:E4422)*(E4422=E$2:E4422)))))-COUNTBLANK(OFFSET(A$1,,,SUMPRODUCT(MAX(ROW(E$1:E4421)*(E2=E$1:E4421))))))</f>
        <v> </v>
      </c>
      <c r="K4422" s="26" t="str">
        <f>IF(OR(E4422="",E4422="!!!",F4422="NEW"),"",INDEX(J$1:J4421,SUMPRODUCT(MAX(ROW(E$1:E4421)*(E4422=E$1:E4421)))))</f>
        <v> </v>
      </c>
      <c r="L4422" s="27"/>
    </row>
    <row r="4423" spans="1:12">
      <c r="A4423" s="20" t="s">
        <v>2682</v>
      </c>
      <c r="E4423" s="22">
        <f>IF(D4423="?OLD","!!!","")</f>
        <v/>
      </c>
      <c r="F4423" s="23" t="str">
        <f>IF(OR(E4423="",E4423="!!!"),"",IF(NOT(ISNA(VLOOKUP(E4423,E$1:E4422,1,FALSE()))),"OLD",IF(AND(E4423&lt;&gt;"",E4423&lt;&gt;"!!!"),"NEW","")))</f>
        <v> </v>
      </c>
      <c r="G4423" s="24" t="str">
        <f>IF(OR(E4423="",E4423="!!!"),"",IF(OR(J4423=0,AND(J4423=1,K4423=1),AND(J4423=1,I4423="SBJ"),AND(J4423=1,I4423=0)),"?IN_FOCUS",IF(J4423&lt;=2,"?ACTIVATED",IF(J4423&lt;&gt;"","?FAMILIAR",IF(F4423="NEW",IF(ISNA(VLOOKUP(E4423,#REF!,1,FALSE())),"?TYPE_IDENTIFIABLE","?REFERENTIAL"),"_")))))</f>
        <v> </v>
      </c>
      <c r="H4423" s="25" t="str">
        <f>IF(J4423&lt;&gt;1,"",IF(I4423="SBJ","CB","?"))</f>
        <v> </v>
      </c>
      <c r="I4423" s="26" t="str">
        <f>IF(OR(E4423="",E4423="!!!",F4423="NEW"),"",INDEX(B4422:B$2,-1+SUMPRODUCT(MAX(ROW(E4422:E$2)*(E4423=E4422:E$2)))))</f>
        <v> </v>
      </c>
      <c r="J4423" s="26" t="str">
        <f>IF(OR(E4423="",E4423="!!!",F4423="NEW"),"",COUNTBLANK(OFFSET(A$1,,,SUMPRODUCT(MAX(ROW(E$2:E4423)*(E4423=E$2:E4423)))))-COUNTBLANK(OFFSET(A$1,,,SUMPRODUCT(MAX(ROW(E$1:E4422)*(E2=E$1:E4422))))))</f>
        <v> </v>
      </c>
      <c r="K4423" s="26" t="str">
        <f>IF(OR(E4423="",E4423="!!!",F4423="NEW"),"",INDEX(J$1:J4422,SUMPRODUCT(MAX(ROW(E$1:E4422)*(E4423=E$1:E4422)))))</f>
        <v> </v>
      </c>
      <c r="L4423" s="27"/>
    </row>
    <row r="4424" spans="1:12">
      <c r="A4424" s="20" t="s">
        <v>1219</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t="s">
        <v>2683</v>
      </c>
      <c r="B4425" s="21" t="s">
        <v>1275</v>
      </c>
      <c r="C4425" s="21" t="s">
        <v>1269</v>
      </c>
      <c r="D4425" s="21" t="s">
        <v>1217</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1262</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row>
    <row r="4428" spans="1:12">
      <c r="A4428" s="20" t="s">
        <v>2684</v>
      </c>
    </row>
    <row r="4429" spans="1:12">
      <c r="A4429" s="20" t="s">
        <v>1453</v>
      </c>
      <c r="E4429" s="22">
        <f>IF(D4429="?OLD","!!!","")</f>
        <v/>
      </c>
      <c r="F4429" s="23" t="str">
        <f>IF(OR(E4429="",E4429="!!!"),"",IF(NOT(ISNA(VLOOKUP(E4429,E$1:E4428,1,FALSE()))),"OLD",IF(AND(E4429&lt;&gt;"",E4429&lt;&gt;"!!!"),"NEW","")))</f>
        <v> </v>
      </c>
      <c r="G4429" s="24" t="str">
        <f>IF(OR(E4429="",E4429="!!!"),"",IF(OR(J4429=0,AND(J4429=1,K4429=1),AND(J4429=1,I4429="SBJ"),AND(J4429=1,I4429=0)),"?IN_FOCUS",IF(J4429&lt;=2,"?ACTIVATED",IF(J4429&lt;&gt;"","?FAMILIAR",IF(F4429="NEW",IF(ISNA(VLOOKUP(E4429,#REF!,1,FALSE())),"?TYPE_IDENTIFIABLE","?REFERENTIAL"),"_")))))</f>
        <v> </v>
      </c>
      <c r="H4429" s="25" t="str">
        <f>IF(J4429&lt;&gt;1,"",IF(I4429="SBJ","CB","?"))</f>
        <v> </v>
      </c>
      <c r="I4429" s="26" t="str">
        <f>IF(OR(E4429="",E4429="!!!",F4429="NEW"),"",INDEX(B4428:B$2,-1+SUMPRODUCT(MAX(ROW(E4428:E$2)*(E4429=E4428:E$2)))))</f>
        <v> </v>
      </c>
      <c r="J4429" s="26" t="str">
        <f>IF(OR(E4429="",E4429="!!!",F4429="NEW"),"",COUNTBLANK(OFFSET(A$1,,,SUMPRODUCT(MAX(ROW(E$2:E4429)*(E4429=E$2:E4429)))))-COUNTBLANK(OFFSET(A$1,,,SUMPRODUCT(MAX(ROW(E$1:E4428)*(E2=E$1:E4428))))))</f>
        <v> </v>
      </c>
      <c r="K4429" s="26" t="str">
        <f>IF(OR(E4429="",E4429="!!!",F4429="NEW"),"",INDEX(J$1:J4428,SUMPRODUCT(MAX(ROW(E$1:E4428)*(E4429=E$1:E4428)))))</f>
        <v> </v>
      </c>
      <c r="L4429" s="27"/>
    </row>
    <row r="4430" spans="1:12">
      <c r="A4430" s="20" t="s">
        <v>2614</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t="s">
        <v>1277</v>
      </c>
      <c r="E4431" s="22">
        <f>IF(D4431="?OLD","!!!","")</f>
        <v/>
      </c>
      <c r="F4431" s="23" t="str">
        <f>IF(OR(E4431="",E4431="!!!"),"",IF(NOT(ISNA(VLOOKUP(E4431,E$1:E4430,1,FALSE()))),"OLD",IF(AND(E4431&lt;&gt;"",E4431&lt;&gt;"!!!"),"NEW","")))</f>
        <v> </v>
      </c>
      <c r="G4431" s="24" t="str">
        <f>IF(OR(E4431="",E4431="!!!"),"",IF(OR(J4431=0,AND(J4431=1,K4431=1),AND(J4431=1,I4431="SBJ"),AND(J4431=1,I4431=0)),"?IN_FOCUS",IF(J4431&lt;=2,"?ACTIVATED",IF(J4431&lt;&gt;"","?FAMILIAR",IF(F4431="NEW",IF(ISNA(VLOOKUP(E4431,#REF!,1,FALSE())),"?TYPE_IDENTIFIABLE","?REFERENTIAL"),"_")))))</f>
        <v> </v>
      </c>
      <c r="H4431" s="25" t="str">
        <f>IF(J4431&lt;&gt;1,"",IF(I4431="SBJ","CB","?"))</f>
        <v> </v>
      </c>
      <c r="I4431" s="26" t="str">
        <f>IF(OR(E4431="",E4431="!!!",F4431="NEW"),"",INDEX(B4430:B$2,-1+SUMPRODUCT(MAX(ROW(E4430:E$2)*(E4431=E4430:E$2)))))</f>
        <v> </v>
      </c>
      <c r="J4431" s="26" t="str">
        <f>IF(OR(E4431="",E4431="!!!",F4431="NEW"),"",COUNTBLANK(OFFSET(A$1,,,SUMPRODUCT(MAX(ROW(E$2:E4431)*(E4431=E$2:E4431)))))-COUNTBLANK(OFFSET(A$1,,,SUMPRODUCT(MAX(ROW(E$1:E4430)*(E2=E$1:E4430))))))</f>
        <v> </v>
      </c>
      <c r="K4431" s="26" t="str">
        <f>IF(OR(E4431="",E4431="!!!",F4431="NEW"),"",INDEX(J$1:J4430,SUMPRODUCT(MAX(ROW(E$1:E4430)*(E4431=E$1:E4430)))))</f>
        <v> </v>
      </c>
      <c r="L4431" s="27"/>
    </row>
    <row r="4432" spans="1:12">
      <c r="A4432" s="20" t="s">
        <v>2595</v>
      </c>
      <c r="B4432" s="21" t="s">
        <v>1244</v>
      </c>
      <c r="C4432" s="21" t="s">
        <v>1279</v>
      </c>
      <c r="E4432" s="22">
        <f>IF(D4432="?OLD","!!!","")</f>
        <v/>
      </c>
      <c r="F4432" s="23" t="str">
        <f>IF(OR(E4432="",E4432="!!!"),"",IF(NOT(ISNA(VLOOKUP(E4432,E$1:E4431,1,FALSE()))),"OLD",IF(AND(E4432&lt;&gt;"",E4432&lt;&gt;"!!!"),"NEW","")))</f>
        <v> </v>
      </c>
      <c r="G4432" s="24" t="str">
        <f>IF(OR(E4432="",E4432="!!!"),"",IF(OR(J4432=0,AND(J4432=1,K4432=1),AND(J4432=1,I4432="SBJ"),AND(J4432=1,I4432=0)),"?IN_FOCUS",IF(J4432&lt;=2,"?ACTIVATED",IF(J4432&lt;&gt;"","?FAMILIAR",IF(F4432="NEW",IF(ISNA(VLOOKUP(E4432,#REF!,1,FALSE())),"?TYPE_IDENTIFIABLE","?REFERENTIAL"),"_")))))</f>
        <v> </v>
      </c>
      <c r="H4432" s="25" t="str">
        <f>IF(J4432&lt;&gt;1,"",IF(I4432="SBJ","CB","?"))</f>
        <v> </v>
      </c>
      <c r="I4432" s="26" t="str">
        <f>IF(OR(E4432="",E4432="!!!",F4432="NEW"),"",INDEX(B4431:B$2,-1+SUMPRODUCT(MAX(ROW(E4431:E$2)*(E4432=E4431:E$2)))))</f>
        <v> </v>
      </c>
      <c r="J4432" s="26" t="str">
        <f>IF(OR(E4432="",E4432="!!!",F4432="NEW"),"",COUNTBLANK(OFFSET(A$1,,,SUMPRODUCT(MAX(ROW(E$2:E4432)*(E4432=E$2:E4432)))))-COUNTBLANK(OFFSET(A$1,,,SUMPRODUCT(MAX(ROW(E$1:E4431)*(E2=E$1:E4431))))))</f>
        <v> </v>
      </c>
      <c r="K4432" s="26" t="str">
        <f>IF(OR(E4432="",E4432="!!!",F4432="NEW"),"",INDEX(J$1:J4431,SUMPRODUCT(MAX(ROW(E$1:E4431)*(E4432=E$1:E4431)))))</f>
        <v> </v>
      </c>
      <c r="L4432" s="27"/>
    </row>
    <row r="4433" spans="1:12">
      <c r="A4433" s="20" t="s">
        <v>1277</v>
      </c>
      <c r="E4433" s="22">
        <f>IF(D4433="?OLD","!!!","")</f>
        <v/>
      </c>
      <c r="F4433" s="23" t="str">
        <f>IF(OR(E4433="",E4433="!!!"),"",IF(NOT(ISNA(VLOOKUP(E4433,E$1:E4432,1,FALSE()))),"OLD",IF(AND(E4433&lt;&gt;"",E4433&lt;&gt;"!!!"),"NEW","")))</f>
        <v> </v>
      </c>
      <c r="G4433" s="24" t="str">
        <f>IF(OR(E4433="",E4433="!!!"),"",IF(OR(J4433=0,AND(J4433=1,K4433=1),AND(J4433=1,I4433="SBJ"),AND(J4433=1,I4433=0)),"?IN_FOCUS",IF(J4433&lt;=2,"?ACTIVATED",IF(J4433&lt;&gt;"","?FAMILIAR",IF(F4433="NEW",IF(ISNA(VLOOKUP(E4433,#REF!,1,FALSE())),"?TYPE_IDENTIFIABLE","?REFERENTIAL"),"_")))))</f>
        <v> </v>
      </c>
      <c r="H4433" s="25" t="str">
        <f>IF(J4433&lt;&gt;1,"",IF(I4433="SBJ","CB","?"))</f>
        <v> </v>
      </c>
      <c r="I4433" s="26" t="str">
        <f>IF(OR(E4433="",E4433="!!!",F4433="NEW"),"",INDEX(B4432:B$2,-1+SUMPRODUCT(MAX(ROW(E4432:E$2)*(E4433=E4432:E$2)))))</f>
        <v> </v>
      </c>
      <c r="J4433" s="26" t="str">
        <f>IF(OR(E4433="",E4433="!!!",F4433="NEW"),"",COUNTBLANK(OFFSET(A$1,,,SUMPRODUCT(MAX(ROW(E$2:E4433)*(E4433=E$2:E4433)))))-COUNTBLANK(OFFSET(A$1,,,SUMPRODUCT(MAX(ROW(E$1:E4432)*(E2=E$1:E4432))))))</f>
        <v> </v>
      </c>
      <c r="K4433" s="26" t="str">
        <f>IF(OR(E4433="",E4433="!!!",F4433="NEW"),"",INDEX(J$1:J4432,SUMPRODUCT(MAX(ROW(E$1:E4432)*(E4433=E$1:E4432)))))</f>
        <v> </v>
      </c>
      <c r="L4433" s="27"/>
    </row>
    <row r="4434" spans="1:12">
      <c r="A4434" s="20" t="s">
        <v>1351</v>
      </c>
      <c r="E4434" s="22">
        <f>IF(D4434="?OLD","!!!","")</f>
        <v/>
      </c>
      <c r="F4434" s="23" t="str">
        <f>IF(OR(E4434="",E4434="!!!"),"",IF(NOT(ISNA(VLOOKUP(E4434,E$1:E4433,1,FALSE()))),"OLD",IF(AND(E4434&lt;&gt;"",E4434&lt;&gt;"!!!"),"NEW","")))</f>
        <v> </v>
      </c>
      <c r="G4434" s="24" t="str">
        <f>IF(OR(E4434="",E4434="!!!"),"",IF(OR(J4434=0,AND(J4434=1,K4434=1),AND(J4434=1,I4434="SBJ"),AND(J4434=1,I4434=0)),"?IN_FOCUS",IF(J4434&lt;=2,"?ACTIVATED",IF(J4434&lt;&gt;"","?FAMILIAR",IF(F4434="NEW",IF(ISNA(VLOOKUP(E4434,#REF!,1,FALSE())),"?TYPE_IDENTIFIABLE","?REFERENTIAL"),"_")))))</f>
        <v> </v>
      </c>
      <c r="H4434" s="25" t="str">
        <f>IF(J4434&lt;&gt;1,"",IF(I4434="SBJ","CB","?"))</f>
        <v> </v>
      </c>
      <c r="I4434" s="26" t="str">
        <f>IF(OR(E4434="",E4434="!!!",F4434="NEW"),"",INDEX(B4433:B$2,-1+SUMPRODUCT(MAX(ROW(E4433:E$2)*(E4434=E4433:E$2)))))</f>
        <v> </v>
      </c>
      <c r="J4434" s="26" t="str">
        <f>IF(OR(E4434="",E4434="!!!",F4434="NEW"),"",COUNTBLANK(OFFSET(A$1,,,SUMPRODUCT(MAX(ROW(E$2:E4434)*(E4434=E$2:E4434)))))-COUNTBLANK(OFFSET(A$1,,,SUMPRODUCT(MAX(ROW(E$1:E4433)*(E2=E$1:E4433))))))</f>
        <v> </v>
      </c>
      <c r="K4434" s="26" t="str">
        <f>IF(OR(E4434="",E4434="!!!",F4434="NEW"),"",INDEX(J$1:J4433,SUMPRODUCT(MAX(ROW(E$1:E4433)*(E4434=E$1:E4433)))))</f>
        <v> </v>
      </c>
      <c r="L4434" s="27"/>
    </row>
    <row r="4435" spans="1:12">
      <c r="A4435" s="20" t="s">
        <v>1467</v>
      </c>
      <c r="B4435" s="21" t="s">
        <v>1229</v>
      </c>
      <c r="C4435" s="21" t="s">
        <v>1255</v>
      </c>
      <c r="D4435" s="21" t="s">
        <v>1217</v>
      </c>
      <c r="E4435" s="22">
        <f>IF(D4435="?OLD","!!!","")</f>
        <v/>
      </c>
      <c r="F4435" s="23" t="str">
        <f>IF(OR(E4435="",E4435="!!!"),"",IF(NOT(ISNA(VLOOKUP(E4435,E$1:E4434,1,FALSE()))),"OLD",IF(AND(E4435&lt;&gt;"",E4435&lt;&gt;"!!!"),"NEW","")))</f>
        <v> </v>
      </c>
      <c r="G4435" s="24" t="str">
        <f>IF(OR(E4435="",E4435="!!!"),"",IF(OR(J4435=0,AND(J4435=1,K4435=1),AND(J4435=1,I4435="SBJ"),AND(J4435=1,I4435=0)),"?IN_FOCUS",IF(J4435&lt;=2,"?ACTIVATED",IF(J4435&lt;&gt;"","?FAMILIAR",IF(F4435="NEW",IF(ISNA(VLOOKUP(E4435,#REF!,1,FALSE())),"?TYPE_IDENTIFIABLE","?REFERENTIAL"),"_")))))</f>
        <v> </v>
      </c>
      <c r="H4435" s="25" t="str">
        <f>IF(J4435&lt;&gt;1,"",IF(I4435="SBJ","CB","?"))</f>
        <v> </v>
      </c>
      <c r="I4435" s="26" t="str">
        <f>IF(OR(E4435="",E4435="!!!",F4435="NEW"),"",INDEX(B4434:B$2,-1+SUMPRODUCT(MAX(ROW(E4434:E$2)*(E4435=E4434:E$2)))))</f>
        <v> </v>
      </c>
      <c r="J4435" s="26" t="str">
        <f>IF(OR(E4435="",E4435="!!!",F4435="NEW"),"",COUNTBLANK(OFFSET(A$1,,,SUMPRODUCT(MAX(ROW(E$2:E4435)*(E4435=E$2:E4435)))))-COUNTBLANK(OFFSET(A$1,,,SUMPRODUCT(MAX(ROW(E$1:E4434)*(E2=E$1:E4434))))))</f>
        <v> </v>
      </c>
      <c r="K4435" s="26" t="str">
        <f>IF(OR(E4435="",E4435="!!!",F4435="NEW"),"",INDEX(J$1:J4434,SUMPRODUCT(MAX(ROW(E$1:E4434)*(E4435=E$1:E4434)))))</f>
        <v> </v>
      </c>
      <c r="L4435" s="27"/>
    </row>
    <row r="4436" spans="1:12">
      <c r="A4436" s="20" t="s">
        <v>1262</v>
      </c>
      <c r="E4436" s="22">
        <f>IF(D4436="?OLD","!!!","")</f>
        <v/>
      </c>
      <c r="F4436" s="23" t="str">
        <f>IF(OR(E4436="",E4436="!!!"),"",IF(NOT(ISNA(VLOOKUP(E4436,E$1:E4435,1,FALSE()))),"OLD",IF(AND(E4436&lt;&gt;"",E4436&lt;&gt;"!!!"),"NEW","")))</f>
        <v> </v>
      </c>
      <c r="G4436" s="24" t="str">
        <f>IF(OR(E4436="",E4436="!!!"),"",IF(OR(J4436=0,AND(J4436=1,K4436=1),AND(J4436=1,I4436="SBJ"),AND(J4436=1,I4436=0)),"?IN_FOCUS",IF(J4436&lt;=2,"?ACTIVATED",IF(J4436&lt;&gt;"","?FAMILIAR",IF(F4436="NEW",IF(ISNA(VLOOKUP(E4436,#REF!,1,FALSE())),"?TYPE_IDENTIFIABLE","?REFERENTIAL"),"_")))))</f>
        <v> </v>
      </c>
      <c r="H4436" s="25" t="str">
        <f>IF(J4436&lt;&gt;1,"",IF(I4436="SBJ","CB","?"))</f>
        <v> </v>
      </c>
      <c r="I4436" s="26" t="str">
        <f>IF(OR(E4436="",E4436="!!!",F4436="NEW"),"",INDEX(B4435:B$2,-1+SUMPRODUCT(MAX(ROW(E4435:E$2)*(E4436=E4435:E$2)))))</f>
        <v> </v>
      </c>
      <c r="J4436" s="26" t="str">
        <f>IF(OR(E4436="",E4436="!!!",F4436="NEW"),"",COUNTBLANK(OFFSET(A$1,,,SUMPRODUCT(MAX(ROW(E$2:E4436)*(E4436=E$2:E4436)))))-COUNTBLANK(OFFSET(A$1,,,SUMPRODUCT(MAX(ROW(E$1:E4435)*(E2=E$1:E4435))))))</f>
        <v> </v>
      </c>
      <c r="K4436" s="26" t="str">
        <f>IF(OR(E4436="",E4436="!!!",F4436="NEW"),"",INDEX(J$1:J4435,SUMPRODUCT(MAX(ROW(E$1:E4435)*(E4436=E$1:E4435)))))</f>
        <v> </v>
      </c>
      <c r="L4436" s="27"/>
    </row>
    <row r="4437" spans="1:12">
      <c r="A4437" s="20"/>
    </row>
    <row r="4438" spans="1:12">
      <c r="A4438" s="20" t="s">
        <v>2685</v>
      </c>
    </row>
    <row r="4439" spans="1:12">
      <c r="A4439" s="20" t="s">
        <v>1361</v>
      </c>
      <c r="B4439" s="21" t="s">
        <v>1215</v>
      </c>
      <c r="C4439" s="21" t="s">
        <v>1255</v>
      </c>
      <c r="D4439" s="21" t="s">
        <v>1217</v>
      </c>
      <c r="E4439" s="22">
        <f>IF(D4439="?OLD","!!!","")</f>
        <v/>
      </c>
      <c r="F4439" s="23" t="str">
        <f>IF(OR(E4439="",E4439="!!!"),"",IF(NOT(ISNA(VLOOKUP(E4439,E$1:E4438,1,FALSE()))),"OLD",IF(AND(E4439&lt;&gt;"",E4439&lt;&gt;"!!!"),"NEW","")))</f>
        <v> </v>
      </c>
      <c r="G4439" s="24" t="str">
        <f>IF(OR(E4439="",E4439="!!!"),"",IF(OR(J4439=0,AND(J4439=1,K4439=1),AND(J4439=1,I4439="SBJ"),AND(J4439=1,I4439=0)),"?IN_FOCUS",IF(J4439&lt;=2,"?ACTIVATED",IF(J4439&lt;&gt;"","?FAMILIAR",IF(F4439="NEW",IF(ISNA(VLOOKUP(E4439,#REF!,1,FALSE())),"?TYPE_IDENTIFIABLE","?REFERENTIAL"),"_")))))</f>
        <v> </v>
      </c>
      <c r="H4439" s="25" t="str">
        <f>IF(J4439&lt;&gt;1,"",IF(I4439="SBJ","CB","?"))</f>
        <v> </v>
      </c>
      <c r="I4439" s="26" t="str">
        <f>IF(OR(E4439="",E4439="!!!",F4439="NEW"),"",INDEX(B4438:B$2,-1+SUMPRODUCT(MAX(ROW(E4438:E$2)*(E4439=E4438:E$2)))))</f>
        <v> </v>
      </c>
      <c r="J4439" s="26" t="str">
        <f>IF(OR(E4439="",E4439="!!!",F4439="NEW"),"",COUNTBLANK(OFFSET(A$1,,,SUMPRODUCT(MAX(ROW(E$2:E4439)*(E4439=E$2:E4439)))))-COUNTBLANK(OFFSET(A$1,,,SUMPRODUCT(MAX(ROW(E$1:E4438)*(E2=E$1:E4438))))))</f>
        <v> </v>
      </c>
      <c r="K4439" s="26" t="str">
        <f>IF(OR(E4439="",E4439="!!!",F4439="NEW"),"",INDEX(J$1:J4438,SUMPRODUCT(MAX(ROW(E$1:E4438)*(E4439=E$1:E4438)))))</f>
        <v> </v>
      </c>
      <c r="L4439" s="27"/>
    </row>
    <row r="4440" spans="1:12">
      <c r="A4440" s="20" t="s">
        <v>2686</v>
      </c>
      <c r="E4440" s="22">
        <f>IF(D4440="?OLD","!!!","")</f>
        <v/>
      </c>
      <c r="F4440" s="23" t="str">
        <f>IF(OR(E4440="",E4440="!!!"),"",IF(NOT(ISNA(VLOOKUP(E4440,E$1:E4439,1,FALSE()))),"OLD",IF(AND(E4440&lt;&gt;"",E4440&lt;&gt;"!!!"),"NEW","")))</f>
        <v> </v>
      </c>
      <c r="G4440" s="24" t="str">
        <f>IF(OR(E4440="",E4440="!!!"),"",IF(OR(J4440=0,AND(J4440=1,K4440=1),AND(J4440=1,I4440="SBJ"),AND(J4440=1,I4440=0)),"?IN_FOCUS",IF(J4440&lt;=2,"?ACTIVATED",IF(J4440&lt;&gt;"","?FAMILIAR",IF(F4440="NEW",IF(ISNA(VLOOKUP(E4440,#REF!,1,FALSE())),"?TYPE_IDENTIFIABLE","?REFERENTIAL"),"_")))))</f>
        <v> </v>
      </c>
      <c r="H4440" s="25" t="str">
        <f>IF(J4440&lt;&gt;1,"",IF(I4440="SBJ","CB","?"))</f>
        <v> </v>
      </c>
      <c r="I4440" s="26" t="str">
        <f>IF(OR(E4440="",E4440="!!!",F4440="NEW"),"",INDEX(B4439:B$2,-1+SUMPRODUCT(MAX(ROW(E4439:E$2)*(E4440=E4439:E$2)))))</f>
        <v> </v>
      </c>
      <c r="J4440" s="26" t="str">
        <f>IF(OR(E4440="",E4440="!!!",F4440="NEW"),"",COUNTBLANK(OFFSET(A$1,,,SUMPRODUCT(MAX(ROW(E$2:E4440)*(E4440=E$2:E4440)))))-COUNTBLANK(OFFSET(A$1,,,SUMPRODUCT(MAX(ROW(E$1:E4439)*(E2=E$1:E4439))))))</f>
        <v> </v>
      </c>
      <c r="K4440" s="26" t="str">
        <f>IF(OR(E4440="",E4440="!!!",F4440="NEW"),"",INDEX(J$1:J4439,SUMPRODUCT(MAX(ROW(E$1:E4439)*(E4440=E$1:E4439)))))</f>
        <v> </v>
      </c>
      <c r="L4440" s="27"/>
    </row>
    <row r="4441" spans="1:12">
      <c r="A4441" s="20" t="s">
        <v>1251</v>
      </c>
      <c r="B4441" s="21" t="s">
        <v>1275</v>
      </c>
      <c r="E4441" s="22">
        <f>IF(D4441="?OLD","!!!","")</f>
        <v/>
      </c>
      <c r="F4441" s="23" t="str">
        <f>IF(OR(E4441="",E4441="!!!"),"",IF(NOT(ISNA(VLOOKUP(E4441,E$1:E4440,1,FALSE()))),"OLD",IF(AND(E4441&lt;&gt;"",E4441&lt;&gt;"!!!"),"NEW","")))</f>
        <v> </v>
      </c>
      <c r="G4441" s="24" t="str">
        <f>IF(OR(E4441="",E4441="!!!"),"",IF(OR(J4441=0,AND(J4441=1,K4441=1),AND(J4441=1,I4441="SBJ"),AND(J4441=1,I4441=0)),"?IN_FOCUS",IF(J4441&lt;=2,"?ACTIVATED",IF(J4441&lt;&gt;"","?FAMILIAR",IF(F4441="NEW",IF(ISNA(VLOOKUP(E4441,#REF!,1,FALSE())),"?TYPE_IDENTIFIABLE","?REFERENTIAL"),"_")))))</f>
        <v> </v>
      </c>
      <c r="H4441" s="25" t="str">
        <f>IF(J4441&lt;&gt;1,"",IF(I4441="SBJ","CB","?"))</f>
        <v> </v>
      </c>
      <c r="I4441" s="26" t="str">
        <f>IF(OR(E4441="",E4441="!!!",F4441="NEW"),"",INDEX(B4440:B$2,-1+SUMPRODUCT(MAX(ROW(E4440:E$2)*(E4441=E4440:E$2)))))</f>
        <v> </v>
      </c>
      <c r="J4441" s="26" t="str">
        <f>IF(OR(E4441="",E4441="!!!",F4441="NEW"),"",COUNTBLANK(OFFSET(A$1,,,SUMPRODUCT(MAX(ROW(E$2:E4441)*(E4441=E$2:E4441)))))-COUNTBLANK(OFFSET(A$1,,,SUMPRODUCT(MAX(ROW(E$1:E4440)*(E2=E$1:E4440))))))</f>
        <v> </v>
      </c>
      <c r="K4441" s="26" t="str">
        <f>IF(OR(E4441="",E4441="!!!",F4441="NEW"),"",INDEX(J$1:J4440,SUMPRODUCT(MAX(ROW(E$1:E4440)*(E4441=E$1:E4440)))))</f>
        <v> </v>
      </c>
      <c r="L4441" s="27"/>
    </row>
    <row r="4442" spans="1:12">
      <c r="A4442" s="20" t="s">
        <v>1321</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1329</v>
      </c>
      <c r="B4443" s="21" t="s">
        <v>1283</v>
      </c>
      <c r="C4443" s="21" t="s">
        <v>1234</v>
      </c>
      <c r="D4443" s="21" t="s">
        <v>1217</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1986</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t="s">
        <v>1218</v>
      </c>
      <c r="E4445" s="22">
        <f>IF(D4445="?OLD","!!!","")</f>
        <v/>
      </c>
      <c r="F4445" s="23" t="str">
        <f>IF(OR(E4445="",E4445="!!!"),"",IF(NOT(ISNA(VLOOKUP(E4445,E$1:E4444,1,FALSE()))),"OLD",IF(AND(E4445&lt;&gt;"",E4445&lt;&gt;"!!!"),"NEW","")))</f>
        <v> </v>
      </c>
      <c r="G4445" s="24" t="str">
        <f>IF(OR(E4445="",E4445="!!!"),"",IF(OR(J4445=0,AND(J4445=1,K4445=1),AND(J4445=1,I4445="SBJ"),AND(J4445=1,I4445=0)),"?IN_FOCUS",IF(J4445&lt;=2,"?ACTIVATED",IF(J4445&lt;&gt;"","?FAMILIAR",IF(F4445="NEW",IF(ISNA(VLOOKUP(E4445,#REF!,1,FALSE())),"?TYPE_IDENTIFIABLE","?REFERENTIAL"),"_")))))</f>
        <v> </v>
      </c>
      <c r="H4445" s="25" t="str">
        <f>IF(J4445&lt;&gt;1,"",IF(I4445="SBJ","CB","?"))</f>
        <v> </v>
      </c>
      <c r="I4445" s="26" t="str">
        <f>IF(OR(E4445="",E4445="!!!",F4445="NEW"),"",INDEX(B4444:B$2,-1+SUMPRODUCT(MAX(ROW(E4444:E$2)*(E4445=E4444:E$2)))))</f>
        <v> </v>
      </c>
      <c r="J4445" s="26" t="str">
        <f>IF(OR(E4445="",E4445="!!!",F4445="NEW"),"",COUNTBLANK(OFFSET(A$1,,,SUMPRODUCT(MAX(ROW(E$2:E4445)*(E4445=E$2:E4445)))))-COUNTBLANK(OFFSET(A$1,,,SUMPRODUCT(MAX(ROW(E$1:E4444)*(E2=E$1:E4444))))))</f>
        <v> </v>
      </c>
      <c r="K4445" s="26" t="str">
        <f>IF(OR(E4445="",E4445="!!!",F4445="NEW"),"",INDEX(J$1:J4444,SUMPRODUCT(MAX(ROW(E$1:E4444)*(E4445=E$1:E4444)))))</f>
        <v> </v>
      </c>
      <c r="L4445" s="27"/>
    </row>
    <row r="4446" spans="1:12">
      <c r="A4446" s="20" t="s">
        <v>1131</v>
      </c>
      <c r="E4446" s="22">
        <f>IF(D4446="?OLD","!!!","")</f>
        <v/>
      </c>
      <c r="F4446" s="23" t="str">
        <f>IF(OR(E4446="",E4446="!!!"),"",IF(NOT(ISNA(VLOOKUP(E4446,E$1:E4445,1,FALSE()))),"OLD",IF(AND(E4446&lt;&gt;"",E4446&lt;&gt;"!!!"),"NEW","")))</f>
        <v> </v>
      </c>
      <c r="G4446" s="24" t="str">
        <f>IF(OR(E4446="",E4446="!!!"),"",IF(OR(J4446=0,AND(J4446=1,K4446=1),AND(J4446=1,I4446="SBJ"),AND(J4446=1,I4446=0)),"?IN_FOCUS",IF(J4446&lt;=2,"?ACTIVATED",IF(J4446&lt;&gt;"","?FAMILIAR",IF(F4446="NEW",IF(ISNA(VLOOKUP(E4446,#REF!,1,FALSE())),"?TYPE_IDENTIFIABLE","?REFERENTIAL"),"_")))))</f>
        <v> </v>
      </c>
      <c r="H4446" s="25" t="str">
        <f>IF(J4446&lt;&gt;1,"",IF(I4446="SBJ","CB","?"))</f>
        <v> </v>
      </c>
      <c r="I4446" s="26" t="str">
        <f>IF(OR(E4446="",E4446="!!!",F4446="NEW"),"",INDEX(B4445:B$2,-1+SUMPRODUCT(MAX(ROW(E4445:E$2)*(E4446=E4445:E$2)))))</f>
        <v> </v>
      </c>
      <c r="J4446" s="26" t="str">
        <f>IF(OR(E4446="",E4446="!!!",F4446="NEW"),"",COUNTBLANK(OFFSET(A$1,,,SUMPRODUCT(MAX(ROW(E$2:E4446)*(E4446=E$2:E4446)))))-COUNTBLANK(OFFSET(A$1,,,SUMPRODUCT(MAX(ROW(E$1:E4445)*(E2=E$1:E4445))))))</f>
        <v> </v>
      </c>
      <c r="K4446" s="26" t="str">
        <f>IF(OR(E4446="",E4446="!!!",F4446="NEW"),"",INDEX(J$1:J4445,SUMPRODUCT(MAX(ROW(E$1:E4445)*(E4446=E$1:E4445)))))</f>
        <v> </v>
      </c>
      <c r="L4446" s="27"/>
    </row>
    <row r="4447" spans="1:12">
      <c r="A4447" s="20" t="s">
        <v>1273</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1839</v>
      </c>
      <c r="B4448" s="21" t="s">
        <v>1226</v>
      </c>
      <c r="C4448" s="21" t="s">
        <v>1276</v>
      </c>
      <c r="D4448" s="21" t="s">
        <v>1217</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1280</v>
      </c>
      <c r="B4449" s="21" t="s">
        <v>1261</v>
      </c>
      <c r="C4449" s="21" t="s">
        <v>1242</v>
      </c>
      <c r="D4449" s="21" t="s">
        <v>1217</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t="s">
        <v>2687</v>
      </c>
      <c r="B4450" s="21" t="s">
        <v>1292</v>
      </c>
      <c r="C4450" s="21" t="s">
        <v>1222</v>
      </c>
      <c r="D4450" s="21" t="s">
        <v>1217</v>
      </c>
      <c r="E4450" s="22">
        <f>IF(D4450="?OLD","!!!","")</f>
        <v/>
      </c>
      <c r="F4450" s="23" t="str">
        <f>IF(OR(E4450="",E4450="!!!"),"",IF(NOT(ISNA(VLOOKUP(E4450,E$1:E4449,1,FALSE()))),"OLD",IF(AND(E4450&lt;&gt;"",E4450&lt;&gt;"!!!"),"NEW","")))</f>
        <v> </v>
      </c>
      <c r="G4450" s="24" t="str">
        <f>IF(OR(E4450="",E4450="!!!"),"",IF(OR(J4450=0,AND(J4450=1,K4450=1),AND(J4450=1,I4450="SBJ"),AND(J4450=1,I4450=0)),"?IN_FOCUS",IF(J4450&lt;=2,"?ACTIVATED",IF(J4450&lt;&gt;"","?FAMILIAR",IF(F4450="NEW",IF(ISNA(VLOOKUP(E4450,#REF!,1,FALSE())),"?TYPE_IDENTIFIABLE","?REFERENTIAL"),"_")))))</f>
        <v> </v>
      </c>
      <c r="H4450" s="25" t="str">
        <f>IF(J4450&lt;&gt;1,"",IF(I4450="SBJ","CB","?"))</f>
        <v> </v>
      </c>
      <c r="I4450" s="26" t="str">
        <f>IF(OR(E4450="",E4450="!!!",F4450="NEW"),"",INDEX(B4449:B$2,-1+SUMPRODUCT(MAX(ROW(E4449:E$2)*(E4450=E4449:E$2)))))</f>
        <v> </v>
      </c>
      <c r="J4450" s="26" t="str">
        <f>IF(OR(E4450="",E4450="!!!",F4450="NEW"),"",COUNTBLANK(OFFSET(A$1,,,SUMPRODUCT(MAX(ROW(E$2:E4450)*(E4450=E$2:E4450)))))-COUNTBLANK(OFFSET(A$1,,,SUMPRODUCT(MAX(ROW(E$1:E4449)*(E2=E$1:E4449))))))</f>
        <v> </v>
      </c>
      <c r="K4450" s="26" t="str">
        <f>IF(OR(E4450="",E4450="!!!",F4450="NEW"),"",INDEX(J$1:J4449,SUMPRODUCT(MAX(ROW(E$1:E4449)*(E4450=E$1:E4449)))))</f>
        <v> </v>
      </c>
      <c r="L4450" s="27"/>
    </row>
    <row r="4451" spans="1:12">
      <c r="A4451" s="20" t="s">
        <v>1245</v>
      </c>
      <c r="E4451" s="22">
        <f>IF(D4451="?OLD","!!!","")</f>
        <v/>
      </c>
      <c r="F4451" s="23" t="str">
        <f>IF(OR(E4451="",E4451="!!!"),"",IF(NOT(ISNA(VLOOKUP(E4451,E$1:E4450,1,FALSE()))),"OLD",IF(AND(E4451&lt;&gt;"",E4451&lt;&gt;"!!!"),"NEW","")))</f>
        <v> </v>
      </c>
      <c r="G4451" s="24" t="str">
        <f>IF(OR(E4451="",E4451="!!!"),"",IF(OR(J4451=0,AND(J4451=1,K4451=1),AND(J4451=1,I4451="SBJ"),AND(J4451=1,I4451=0)),"?IN_FOCUS",IF(J4451&lt;=2,"?ACTIVATED",IF(J4451&lt;&gt;"","?FAMILIAR",IF(F4451="NEW",IF(ISNA(VLOOKUP(E4451,#REF!,1,FALSE())),"?TYPE_IDENTIFIABLE","?REFERENTIAL"),"_")))))</f>
        <v> </v>
      </c>
      <c r="H4451" s="25" t="str">
        <f>IF(J4451&lt;&gt;1,"",IF(I4451="SBJ","CB","?"))</f>
        <v> </v>
      </c>
      <c r="I4451" s="26" t="str">
        <f>IF(OR(E4451="",E4451="!!!",F4451="NEW"),"",INDEX(B4450:B$2,-1+SUMPRODUCT(MAX(ROW(E4450:E$2)*(E4451=E4450:E$2)))))</f>
        <v> </v>
      </c>
      <c r="J4451" s="26" t="str">
        <f>IF(OR(E4451="",E4451="!!!",F4451="NEW"),"",COUNTBLANK(OFFSET(A$1,,,SUMPRODUCT(MAX(ROW(E$2:E4451)*(E4451=E$2:E4451)))))-COUNTBLANK(OFFSET(A$1,,,SUMPRODUCT(MAX(ROW(E$1:E4450)*(E2=E$1:E4450))))))</f>
        <v> </v>
      </c>
      <c r="K4451" s="26" t="str">
        <f>IF(OR(E4451="",E4451="!!!",F4451="NEW"),"",INDEX(J$1:J4450,SUMPRODUCT(MAX(ROW(E$1:E4450)*(E4451=E$1:E4450)))))</f>
        <v> </v>
      </c>
      <c r="L4451" s="27"/>
    </row>
    <row r="4452" spans="1:12">
      <c r="A4452" s="20" t="s">
        <v>2149</v>
      </c>
      <c r="B4452" s="21" t="s">
        <v>1377</v>
      </c>
      <c r="C4452" s="21" t="s">
        <v>1279</v>
      </c>
      <c r="E4452" s="22">
        <f>IF(D4452="?OLD","!!!","")</f>
        <v/>
      </c>
      <c r="F4452" s="23" t="str">
        <f>IF(OR(E4452="",E4452="!!!"),"",IF(NOT(ISNA(VLOOKUP(E4452,E$1:E4451,1,FALSE()))),"OLD",IF(AND(E4452&lt;&gt;"",E4452&lt;&gt;"!!!"),"NEW","")))</f>
        <v> </v>
      </c>
      <c r="G4452" s="24" t="str">
        <f>IF(OR(E4452="",E4452="!!!"),"",IF(OR(J4452=0,AND(J4452=1,K4452=1),AND(J4452=1,I4452="SBJ"),AND(J4452=1,I4452=0)),"?IN_FOCUS",IF(J4452&lt;=2,"?ACTIVATED",IF(J4452&lt;&gt;"","?FAMILIAR",IF(F4452="NEW",IF(ISNA(VLOOKUP(E4452,#REF!,1,FALSE())),"?TYPE_IDENTIFIABLE","?REFERENTIAL"),"_")))))</f>
        <v> </v>
      </c>
      <c r="H4452" s="25" t="str">
        <f>IF(J4452&lt;&gt;1,"",IF(I4452="SBJ","CB","?"))</f>
        <v> </v>
      </c>
      <c r="I4452" s="26" t="str">
        <f>IF(OR(E4452="",E4452="!!!",F4452="NEW"),"",INDEX(B4451:B$2,-1+SUMPRODUCT(MAX(ROW(E4451:E$2)*(E4452=E4451:E$2)))))</f>
        <v> </v>
      </c>
      <c r="J4452" s="26" t="str">
        <f>IF(OR(E4452="",E4452="!!!",F4452="NEW"),"",COUNTBLANK(OFFSET(A$1,,,SUMPRODUCT(MAX(ROW(E$2:E4452)*(E4452=E$2:E4452)))))-COUNTBLANK(OFFSET(A$1,,,SUMPRODUCT(MAX(ROW(E$1:E4451)*(E2=E$1:E4451))))))</f>
        <v> </v>
      </c>
      <c r="K4452" s="26" t="str">
        <f>IF(OR(E4452="",E4452="!!!",F4452="NEW"),"",INDEX(J$1:J4451,SUMPRODUCT(MAX(ROW(E$1:E4451)*(E4452=E$1:E4451)))))</f>
        <v> </v>
      </c>
      <c r="L4452" s="27"/>
    </row>
    <row r="4453" spans="1:12">
      <c r="A4453" s="20" t="s">
        <v>1323</v>
      </c>
      <c r="E4453" s="22">
        <f>IF(D4453="?OLD","!!!","")</f>
        <v/>
      </c>
      <c r="F4453" s="23" t="str">
        <f>IF(OR(E4453="",E4453="!!!"),"",IF(NOT(ISNA(VLOOKUP(E4453,E$1:E4452,1,FALSE()))),"OLD",IF(AND(E4453&lt;&gt;"",E4453&lt;&gt;"!!!"),"NEW","")))</f>
        <v> </v>
      </c>
      <c r="G4453" s="24" t="str">
        <f>IF(OR(E4453="",E4453="!!!"),"",IF(OR(J4453=0,AND(J4453=1,K4453=1),AND(J4453=1,I4453="SBJ"),AND(J4453=1,I4453=0)),"?IN_FOCUS",IF(J4453&lt;=2,"?ACTIVATED",IF(J4453&lt;&gt;"","?FAMILIAR",IF(F4453="NEW",IF(ISNA(VLOOKUP(E4453,#REF!,1,FALSE())),"?TYPE_IDENTIFIABLE","?REFERENTIAL"),"_")))))</f>
        <v> </v>
      </c>
      <c r="H4453" s="25" t="str">
        <f>IF(J4453&lt;&gt;1,"",IF(I4453="SBJ","CB","?"))</f>
        <v> </v>
      </c>
      <c r="I4453" s="26" t="str">
        <f>IF(OR(E4453="",E4453="!!!",F4453="NEW"),"",INDEX(B4452:B$2,-1+SUMPRODUCT(MAX(ROW(E4452:E$2)*(E4453=E4452:E$2)))))</f>
        <v> </v>
      </c>
      <c r="J4453" s="26" t="str">
        <f>IF(OR(E4453="",E4453="!!!",F4453="NEW"),"",COUNTBLANK(OFFSET(A$1,,,SUMPRODUCT(MAX(ROW(E$2:E4453)*(E4453=E$2:E4453)))))-COUNTBLANK(OFFSET(A$1,,,SUMPRODUCT(MAX(ROW(E$1:E4452)*(E2=E$1:E4452))))))</f>
        <v> </v>
      </c>
      <c r="K4453" s="26" t="str">
        <f>IF(OR(E4453="",E4453="!!!",F4453="NEW"),"",INDEX(J$1:J4452,SUMPRODUCT(MAX(ROW(E$1:E4452)*(E4453=E$1:E4452)))))</f>
        <v> </v>
      </c>
      <c r="L4453" s="27"/>
    </row>
    <row r="4454" spans="1:12">
      <c r="A4454" s="20" t="s">
        <v>1518</v>
      </c>
      <c r="E4454" s="22">
        <f>IF(D4454="?OLD","!!!","")</f>
        <v/>
      </c>
      <c r="F4454" s="23" t="str">
        <f>IF(OR(E4454="",E4454="!!!"),"",IF(NOT(ISNA(VLOOKUP(E4454,E$1:E4453,1,FALSE()))),"OLD",IF(AND(E4454&lt;&gt;"",E4454&lt;&gt;"!!!"),"NEW","")))</f>
        <v> </v>
      </c>
      <c r="G4454" s="24" t="str">
        <f>IF(OR(E4454="",E4454="!!!"),"",IF(OR(J4454=0,AND(J4454=1,K4454=1),AND(J4454=1,I4454="SBJ"),AND(J4454=1,I4454=0)),"?IN_FOCUS",IF(J4454&lt;=2,"?ACTIVATED",IF(J4454&lt;&gt;"","?FAMILIAR",IF(F4454="NEW",IF(ISNA(VLOOKUP(E4454,#REF!,1,FALSE())),"?TYPE_IDENTIFIABLE","?REFERENTIAL"),"_")))))</f>
        <v> </v>
      </c>
      <c r="H4454" s="25" t="str">
        <f>IF(J4454&lt;&gt;1,"",IF(I4454="SBJ","CB","?"))</f>
        <v> </v>
      </c>
      <c r="I4454" s="26" t="str">
        <f>IF(OR(E4454="",E4454="!!!",F4454="NEW"),"",INDEX(B4453:B$2,-1+SUMPRODUCT(MAX(ROW(E4453:E$2)*(E4454=E4453:E$2)))))</f>
        <v> </v>
      </c>
      <c r="J4454" s="26" t="str">
        <f>IF(OR(E4454="",E4454="!!!",F4454="NEW"),"",COUNTBLANK(OFFSET(A$1,,,SUMPRODUCT(MAX(ROW(E$2:E4454)*(E4454=E$2:E4454)))))-COUNTBLANK(OFFSET(A$1,,,SUMPRODUCT(MAX(ROW(E$1:E4453)*(E2=E$1:E4453))))))</f>
        <v> </v>
      </c>
      <c r="K4454" s="26" t="str">
        <f>IF(OR(E4454="",E4454="!!!",F4454="NEW"),"",INDEX(J$1:J4453,SUMPRODUCT(MAX(ROW(E$1:E4453)*(E4454=E$1:E4453)))))</f>
        <v> </v>
      </c>
      <c r="L4454" s="27"/>
    </row>
    <row r="4455" spans="1:12">
      <c r="A4455" s="20" t="s">
        <v>1519</v>
      </c>
      <c r="B4455" s="21" t="s">
        <v>1261</v>
      </c>
      <c r="C4455" s="21" t="s">
        <v>1222</v>
      </c>
      <c r="D4455" s="21" t="s">
        <v>1217</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t="s">
        <v>1218</v>
      </c>
      <c r="E4456" s="22">
        <f>IF(D4456="?OLD","!!!","")</f>
        <v/>
      </c>
      <c r="F4456" s="23" t="str">
        <f>IF(OR(E4456="",E4456="!!!"),"",IF(NOT(ISNA(VLOOKUP(E4456,E$1:E4455,1,FALSE()))),"OLD",IF(AND(E4456&lt;&gt;"",E4456&lt;&gt;"!!!"),"NEW","")))</f>
        <v> </v>
      </c>
      <c r="G4456" s="24" t="str">
        <f>IF(OR(E4456="",E4456="!!!"),"",IF(OR(J4456=0,AND(J4456=1,K4456=1),AND(J4456=1,I4456="SBJ"),AND(J4456=1,I4456=0)),"?IN_FOCUS",IF(J4456&lt;=2,"?ACTIVATED",IF(J4456&lt;&gt;"","?FAMILIAR",IF(F4456="NEW",IF(ISNA(VLOOKUP(E4456,#REF!,1,FALSE())),"?TYPE_IDENTIFIABLE","?REFERENTIAL"),"_")))))</f>
        <v> </v>
      </c>
      <c r="H4456" s="25" t="str">
        <f>IF(J4456&lt;&gt;1,"",IF(I4456="SBJ","CB","?"))</f>
        <v> </v>
      </c>
      <c r="I4456" s="26" t="str">
        <f>IF(OR(E4456="",E4456="!!!",F4456="NEW"),"",INDEX(B4455:B$2,-1+SUMPRODUCT(MAX(ROW(E4455:E$2)*(E4456=E4455:E$2)))))</f>
        <v> </v>
      </c>
      <c r="J4456" s="26" t="str">
        <f>IF(OR(E4456="",E4456="!!!",F4456="NEW"),"",COUNTBLANK(OFFSET(A$1,,,SUMPRODUCT(MAX(ROW(E$2:E4456)*(E4456=E$2:E4456)))))-COUNTBLANK(OFFSET(A$1,,,SUMPRODUCT(MAX(ROW(E$1:E4455)*(E2=E$1:E4455))))))</f>
        <v> </v>
      </c>
      <c r="K4456" s="26" t="str">
        <f>IF(OR(E4456="",E4456="!!!",F4456="NEW"),"",INDEX(J$1:J4455,SUMPRODUCT(MAX(ROW(E$1:E4455)*(E4456=E$1:E4455)))))</f>
        <v> </v>
      </c>
      <c r="L4456" s="27"/>
    </row>
    <row r="4457" spans="1:12">
      <c r="A4457" s="20" t="s">
        <v>1520</v>
      </c>
      <c r="B4457" s="21" t="s">
        <v>1259</v>
      </c>
      <c r="C4457" s="21" t="s">
        <v>1225</v>
      </c>
      <c r="D4457" s="21" t="s">
        <v>1217</v>
      </c>
      <c r="E4457" s="22">
        <f>IF(D4457="?OLD","!!!","")</f>
        <v/>
      </c>
      <c r="F4457" s="23" t="str">
        <f>IF(OR(E4457="",E4457="!!!"),"",IF(NOT(ISNA(VLOOKUP(E4457,E$1:E4456,1,FALSE()))),"OLD",IF(AND(E4457&lt;&gt;"",E4457&lt;&gt;"!!!"),"NEW","")))</f>
        <v> </v>
      </c>
      <c r="G4457" s="24" t="str">
        <f>IF(OR(E4457="",E4457="!!!"),"",IF(OR(J4457=0,AND(J4457=1,K4457=1),AND(J4457=1,I4457="SBJ"),AND(J4457=1,I4457=0)),"?IN_FOCUS",IF(J4457&lt;=2,"?ACTIVATED",IF(J4457&lt;&gt;"","?FAMILIAR",IF(F4457="NEW",IF(ISNA(VLOOKUP(E4457,#REF!,1,FALSE())),"?TYPE_IDENTIFIABLE","?REFERENTIAL"),"_")))))</f>
        <v> </v>
      </c>
      <c r="H4457" s="25" t="str">
        <f>IF(J4457&lt;&gt;1,"",IF(I4457="SBJ","CB","?"))</f>
        <v> </v>
      </c>
      <c r="I4457" s="26" t="str">
        <f>IF(OR(E4457="",E4457="!!!",F4457="NEW"),"",INDEX(B4456:B$2,-1+SUMPRODUCT(MAX(ROW(E4456:E$2)*(E4457=E4456:E$2)))))</f>
        <v> </v>
      </c>
      <c r="J4457" s="26" t="str">
        <f>IF(OR(E4457="",E4457="!!!",F4457="NEW"),"",COUNTBLANK(OFFSET(A$1,,,SUMPRODUCT(MAX(ROW(E$2:E4457)*(E4457=E$2:E4457)))))-COUNTBLANK(OFFSET(A$1,,,SUMPRODUCT(MAX(ROW(E$1:E4456)*(E2=E$1:E4456))))))</f>
        <v> </v>
      </c>
      <c r="K4457" s="26" t="str">
        <f>IF(OR(E4457="",E4457="!!!",F4457="NEW"),"",INDEX(J$1:J4456,SUMPRODUCT(MAX(ROW(E$1:E4456)*(E4457=E$1:E4456)))))</f>
        <v> </v>
      </c>
      <c r="L4457" s="27"/>
    </row>
    <row r="4458" spans="1:12">
      <c r="A4458" s="20" t="s">
        <v>1262</v>
      </c>
      <c r="E4458" s="22">
        <f>IF(D4458="?OLD","!!!","")</f>
        <v/>
      </c>
      <c r="F4458" s="23" t="str">
        <f>IF(OR(E4458="",E4458="!!!"),"",IF(NOT(ISNA(VLOOKUP(E4458,E$1:E4457,1,FALSE()))),"OLD",IF(AND(E4458&lt;&gt;"",E4458&lt;&gt;"!!!"),"NEW","")))</f>
        <v> </v>
      </c>
      <c r="G4458" s="24" t="str">
        <f>IF(OR(E4458="",E4458="!!!"),"",IF(OR(J4458=0,AND(J4458=1,K4458=1),AND(J4458=1,I4458="SBJ"),AND(J4458=1,I4458=0)),"?IN_FOCUS",IF(J4458&lt;=2,"?ACTIVATED",IF(J4458&lt;&gt;"","?FAMILIAR",IF(F4458="NEW",IF(ISNA(VLOOKUP(E4458,#REF!,1,FALSE())),"?TYPE_IDENTIFIABLE","?REFERENTIAL"),"_")))))</f>
        <v> </v>
      </c>
      <c r="H4458" s="25" t="str">
        <f>IF(J4458&lt;&gt;1,"",IF(I4458="SBJ","CB","?"))</f>
        <v> </v>
      </c>
      <c r="I4458" s="26" t="str">
        <f>IF(OR(E4458="",E4458="!!!",F4458="NEW"),"",INDEX(B4457:B$2,-1+SUMPRODUCT(MAX(ROW(E4457:E$2)*(E4458=E4457:E$2)))))</f>
        <v> </v>
      </c>
      <c r="J4458" s="26" t="str">
        <f>IF(OR(E4458="",E4458="!!!",F4458="NEW"),"",COUNTBLANK(OFFSET(A$1,,,SUMPRODUCT(MAX(ROW(E$2:E4458)*(E4458=E$2:E4458)))))-COUNTBLANK(OFFSET(A$1,,,SUMPRODUCT(MAX(ROW(E$1:E4457)*(E2=E$1:E4457))))))</f>
        <v> </v>
      </c>
      <c r="K4458" s="26" t="str">
        <f>IF(OR(E4458="",E4458="!!!",F4458="NEW"),"",INDEX(J$1:J4457,SUMPRODUCT(MAX(ROW(E$1:E4457)*(E4458=E$1:E4457)))))</f>
        <v> </v>
      </c>
      <c r="L4458" s="27"/>
    </row>
    <row r="4459" spans="1:12">
      <c r="A4459" s="20"/>
    </row>
    <row r="4460" spans="1:12">
      <c r="A4460" s="20" t="s">
        <v>1542</v>
      </c>
    </row>
    <row r="4461" spans="1:12">
      <c r="A4461" s="20" t="s">
        <v>135</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row>
    <row r="4463" spans="1:12">
      <c r="A4463" s="20" t="s">
        <v>2688</v>
      </c>
    </row>
    <row r="4464" spans="1:12">
      <c r="A4464" s="20" t="s">
        <v>2566</v>
      </c>
      <c r="B4464" s="21" t="s">
        <v>1215</v>
      </c>
      <c r="C4464" s="21" t="s">
        <v>1279</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1547</v>
      </c>
      <c r="B4465" s="21" t="s">
        <v>1221</v>
      </c>
      <c r="C4465" s="21" t="s">
        <v>1225</v>
      </c>
      <c r="D4465" s="21" t="s">
        <v>1217</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t="s">
        <v>2689</v>
      </c>
      <c r="E4466" s="22">
        <f>IF(D4466="?OLD","!!!","")</f>
        <v/>
      </c>
      <c r="F4466" s="23" t="str">
        <f>IF(OR(E4466="",E4466="!!!"),"",IF(NOT(ISNA(VLOOKUP(E4466,E$1:E4465,1,FALSE()))),"OLD",IF(AND(E4466&lt;&gt;"",E4466&lt;&gt;"!!!"),"NEW","")))</f>
        <v> </v>
      </c>
      <c r="G4466" s="24" t="str">
        <f>IF(OR(E4466="",E4466="!!!"),"",IF(OR(J4466=0,AND(J4466=1,K4466=1),AND(J4466=1,I4466="SBJ"),AND(J4466=1,I4466=0)),"?IN_FOCUS",IF(J4466&lt;=2,"?ACTIVATED",IF(J4466&lt;&gt;"","?FAMILIAR",IF(F4466="NEW",IF(ISNA(VLOOKUP(E4466,#REF!,1,FALSE())),"?TYPE_IDENTIFIABLE","?REFERENTIAL"),"_")))))</f>
        <v> </v>
      </c>
      <c r="H4466" s="25" t="str">
        <f>IF(J4466&lt;&gt;1,"",IF(I4466="SBJ","CB","?"))</f>
        <v> </v>
      </c>
      <c r="I4466" s="26" t="str">
        <f>IF(OR(E4466="",E4466="!!!",F4466="NEW"),"",INDEX(B4465:B$2,-1+SUMPRODUCT(MAX(ROW(E4465:E$2)*(E4466=E4465:E$2)))))</f>
        <v> </v>
      </c>
      <c r="J4466" s="26" t="str">
        <f>IF(OR(E4466="",E4466="!!!",F4466="NEW"),"",COUNTBLANK(OFFSET(A$1,,,SUMPRODUCT(MAX(ROW(E$2:E4466)*(E4466=E$2:E4466)))))-COUNTBLANK(OFFSET(A$1,,,SUMPRODUCT(MAX(ROW(E$1:E4465)*(E2=E$1:E4465))))))</f>
        <v> </v>
      </c>
      <c r="K4466" s="26" t="str">
        <f>IF(OR(E4466="",E4466="!!!",F4466="NEW"),"",INDEX(J$1:J4465,SUMPRODUCT(MAX(ROW(E$1:E4465)*(E4466=E$1:E4465)))))</f>
        <v> </v>
      </c>
      <c r="L4466" s="27"/>
    </row>
    <row r="4467" spans="1:12">
      <c r="A4467" s="20" t="s">
        <v>1218</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t="s">
        <v>1219</v>
      </c>
      <c r="E4468" s="22">
        <f>IF(D4468="?OLD","!!!","")</f>
        <v/>
      </c>
      <c r="F4468" s="23" t="str">
        <f>IF(OR(E4468="",E4468="!!!"),"",IF(NOT(ISNA(VLOOKUP(E4468,E$1:E4467,1,FALSE()))),"OLD",IF(AND(E4468&lt;&gt;"",E4468&lt;&gt;"!!!"),"NEW","")))</f>
        <v> </v>
      </c>
      <c r="G4468" s="24" t="str">
        <f>IF(OR(E4468="",E4468="!!!"),"",IF(OR(J4468=0,AND(J4468=1,K4468=1),AND(J4468=1,I4468="SBJ"),AND(J4468=1,I4468=0)),"?IN_FOCUS",IF(J4468&lt;=2,"?ACTIVATED",IF(J4468&lt;&gt;"","?FAMILIAR",IF(F4468="NEW",IF(ISNA(VLOOKUP(E4468,#REF!,1,FALSE())),"?TYPE_IDENTIFIABLE","?REFERENTIAL"),"_")))))</f>
        <v> </v>
      </c>
      <c r="H4468" s="25" t="str">
        <f>IF(J4468&lt;&gt;1,"",IF(I4468="SBJ","CB","?"))</f>
        <v> </v>
      </c>
      <c r="I4468" s="26" t="str">
        <f>IF(OR(E4468="",E4468="!!!",F4468="NEW"),"",INDEX(B4467:B$2,-1+SUMPRODUCT(MAX(ROW(E4467:E$2)*(E4468=E4467:E$2)))))</f>
        <v> </v>
      </c>
      <c r="J4468" s="26" t="str">
        <f>IF(OR(E4468="",E4468="!!!",F4468="NEW"),"",COUNTBLANK(OFFSET(A$1,,,SUMPRODUCT(MAX(ROW(E$2:E4468)*(E4468=E$2:E4468)))))-COUNTBLANK(OFFSET(A$1,,,SUMPRODUCT(MAX(ROW(E$1:E4467)*(E2=E$1:E4467))))))</f>
        <v> </v>
      </c>
      <c r="K4468" s="26" t="str">
        <f>IF(OR(E4468="",E4468="!!!",F4468="NEW"),"",INDEX(J$1:J4467,SUMPRODUCT(MAX(ROW(E$1:E4467)*(E4468=E$1:E4467)))))</f>
        <v> </v>
      </c>
      <c r="L4468" s="27"/>
    </row>
    <row r="4469" spans="1:12">
      <c r="A4469" s="20" t="s">
        <v>2181</v>
      </c>
      <c r="B4469" s="21" t="s">
        <v>1244</v>
      </c>
      <c r="C4469" s="21" t="s">
        <v>1269</v>
      </c>
      <c r="D4469" s="21" t="s">
        <v>1217</v>
      </c>
      <c r="E4469" s="22">
        <f>IF(D4469="?OLD","!!!","")</f>
        <v/>
      </c>
      <c r="F4469" s="23" t="str">
        <f>IF(OR(E4469="",E4469="!!!"),"",IF(NOT(ISNA(VLOOKUP(E4469,E$1:E4468,1,FALSE()))),"OLD",IF(AND(E4469&lt;&gt;"",E4469&lt;&gt;"!!!"),"NEW","")))</f>
        <v> </v>
      </c>
      <c r="G4469" s="24" t="str">
        <f>IF(OR(E4469="",E4469="!!!"),"",IF(OR(J4469=0,AND(J4469=1,K4469=1),AND(J4469=1,I4469="SBJ"),AND(J4469=1,I4469=0)),"?IN_FOCUS",IF(J4469&lt;=2,"?ACTIVATED",IF(J4469&lt;&gt;"","?FAMILIAR",IF(F4469="NEW",IF(ISNA(VLOOKUP(E4469,#REF!,1,FALSE())),"?TYPE_IDENTIFIABLE","?REFERENTIAL"),"_")))))</f>
        <v> </v>
      </c>
      <c r="H4469" s="25" t="str">
        <f>IF(J4469&lt;&gt;1,"",IF(I4469="SBJ","CB","?"))</f>
        <v> </v>
      </c>
      <c r="I4469" s="26" t="str">
        <f>IF(OR(E4469="",E4469="!!!",F4469="NEW"),"",INDEX(B4468:B$2,-1+SUMPRODUCT(MAX(ROW(E4468:E$2)*(E4469=E4468:E$2)))))</f>
        <v> </v>
      </c>
      <c r="J4469" s="26" t="str">
        <f>IF(OR(E4469="",E4469="!!!",F4469="NEW"),"",COUNTBLANK(OFFSET(A$1,,,SUMPRODUCT(MAX(ROW(E$2:E4469)*(E4469=E$2:E4469)))))-COUNTBLANK(OFFSET(A$1,,,SUMPRODUCT(MAX(ROW(E$1:E4468)*(E2=E$1:E4468))))))</f>
        <v> </v>
      </c>
      <c r="K4469" s="26" t="str">
        <f>IF(OR(E4469="",E4469="!!!",F4469="NEW"),"",INDEX(J$1:J4468,SUMPRODUCT(MAX(ROW(E$1:E4468)*(E4469=E$1:E4468)))))</f>
        <v> </v>
      </c>
      <c r="L4469" s="27"/>
    </row>
    <row r="4470" spans="1:12">
      <c r="A4470" s="20" t="s">
        <v>1341</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1247</v>
      </c>
      <c r="B4471" s="21" t="s">
        <v>1224</v>
      </c>
      <c r="C4471" s="21" t="s">
        <v>1242</v>
      </c>
      <c r="D4471" s="21" t="s">
        <v>1217</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2086</v>
      </c>
      <c r="B4472" s="21" t="s">
        <v>1229</v>
      </c>
      <c r="C4472" s="21" t="s">
        <v>1222</v>
      </c>
      <c r="D4472" s="21" t="s">
        <v>1217</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t="s">
        <v>1474</v>
      </c>
      <c r="B4473" s="21" t="s">
        <v>1249</v>
      </c>
      <c r="C4473" s="21" t="s">
        <v>1255</v>
      </c>
      <c r="D4473" s="21" t="s">
        <v>1217</v>
      </c>
      <c r="E4473" s="22">
        <f>IF(D4473="?OLD","!!!","")</f>
        <v/>
      </c>
      <c r="F4473" s="23" t="str">
        <f>IF(OR(E4473="",E4473="!!!"),"",IF(NOT(ISNA(VLOOKUP(E4473,E$1:E4472,1,FALSE()))),"OLD",IF(AND(E4473&lt;&gt;"",E4473&lt;&gt;"!!!"),"NEW","")))</f>
        <v> </v>
      </c>
      <c r="G4473" s="24" t="str">
        <f>IF(OR(E4473="",E4473="!!!"),"",IF(OR(J4473=0,AND(J4473=1,K4473=1),AND(J4473=1,I4473="SBJ"),AND(J4473=1,I4473=0)),"?IN_FOCUS",IF(J4473&lt;=2,"?ACTIVATED",IF(J4473&lt;&gt;"","?FAMILIAR",IF(F4473="NEW",IF(ISNA(VLOOKUP(E4473,#REF!,1,FALSE())),"?TYPE_IDENTIFIABLE","?REFERENTIAL"),"_")))))</f>
        <v> </v>
      </c>
      <c r="H4473" s="25" t="str">
        <f>IF(J4473&lt;&gt;1,"",IF(I4473="SBJ","CB","?"))</f>
        <v> </v>
      </c>
      <c r="I4473" s="26" t="str">
        <f>IF(OR(E4473="",E4473="!!!",F4473="NEW"),"",INDEX(B4472:B$2,-1+SUMPRODUCT(MAX(ROW(E4472:E$2)*(E4473=E4472:E$2)))))</f>
        <v> </v>
      </c>
      <c r="J4473" s="26" t="str">
        <f>IF(OR(E4473="",E4473="!!!",F4473="NEW"),"",COUNTBLANK(OFFSET(A$1,,,SUMPRODUCT(MAX(ROW(E$2:E4473)*(E4473=E$2:E4473)))))-COUNTBLANK(OFFSET(A$1,,,SUMPRODUCT(MAX(ROW(E$1:E4472)*(E2=E$1:E4472))))))</f>
        <v> </v>
      </c>
      <c r="K4473" s="26" t="str">
        <f>IF(OR(E4473="",E4473="!!!",F4473="NEW"),"",INDEX(J$1:J4472,SUMPRODUCT(MAX(ROW(E$1:E4472)*(E4473=E$1:E4472)))))</f>
        <v> </v>
      </c>
      <c r="L4473" s="27"/>
    </row>
    <row r="4474" spans="1:12">
      <c r="A4474" s="20" t="s">
        <v>2690</v>
      </c>
      <c r="E4474" s="22">
        <f>IF(D4474="?OLD","!!!","")</f>
        <v/>
      </c>
      <c r="F4474" s="23" t="str">
        <f>IF(OR(E4474="",E4474="!!!"),"",IF(NOT(ISNA(VLOOKUP(E4474,E$1:E4473,1,FALSE()))),"OLD",IF(AND(E4474&lt;&gt;"",E4474&lt;&gt;"!!!"),"NEW","")))</f>
        <v> </v>
      </c>
      <c r="G4474" s="24" t="str">
        <f>IF(OR(E4474="",E4474="!!!"),"",IF(OR(J4474=0,AND(J4474=1,K4474=1),AND(J4474=1,I4474="SBJ"),AND(J4474=1,I4474=0)),"?IN_FOCUS",IF(J4474&lt;=2,"?ACTIVATED",IF(J4474&lt;&gt;"","?FAMILIAR",IF(F4474="NEW",IF(ISNA(VLOOKUP(E4474,#REF!,1,FALSE())),"?TYPE_IDENTIFIABLE","?REFERENTIAL"),"_")))))</f>
        <v> </v>
      </c>
      <c r="H4474" s="25" t="str">
        <f>IF(J4474&lt;&gt;1,"",IF(I4474="SBJ","CB","?"))</f>
        <v> </v>
      </c>
      <c r="I4474" s="26" t="str">
        <f>IF(OR(E4474="",E4474="!!!",F4474="NEW"),"",INDEX(B4473:B$2,-1+SUMPRODUCT(MAX(ROW(E4473:E$2)*(E4474=E4473:E$2)))))</f>
        <v> </v>
      </c>
      <c r="J4474" s="26" t="str">
        <f>IF(OR(E4474="",E4474="!!!",F4474="NEW"),"",COUNTBLANK(OFFSET(A$1,,,SUMPRODUCT(MAX(ROW(E$2:E4474)*(E4474=E$2:E4474)))))-COUNTBLANK(OFFSET(A$1,,,SUMPRODUCT(MAX(ROW(E$1:E4473)*(E2=E$1:E4473))))))</f>
        <v> </v>
      </c>
      <c r="K4474" s="26" t="str">
        <f>IF(OR(E4474="",E4474="!!!",F4474="NEW"),"",INDEX(J$1:J4473,SUMPRODUCT(MAX(ROW(E$1:E4473)*(E4474=E$1:E4473)))))</f>
        <v> </v>
      </c>
      <c r="L4474" s="27"/>
    </row>
    <row r="4475" spans="1:12">
      <c r="A4475" s="20" t="s">
        <v>1257</v>
      </c>
      <c r="E4475" s="22">
        <f>IF(D4475="?OLD","!!!","")</f>
        <v/>
      </c>
      <c r="F4475" s="23" t="str">
        <f>IF(OR(E4475="",E4475="!!!"),"",IF(NOT(ISNA(VLOOKUP(E4475,E$1:E4474,1,FALSE()))),"OLD",IF(AND(E4475&lt;&gt;"",E4475&lt;&gt;"!!!"),"NEW","")))</f>
        <v> </v>
      </c>
      <c r="G4475" s="24" t="str">
        <f>IF(OR(E4475="",E4475="!!!"),"",IF(OR(J4475=0,AND(J4475=1,K4475=1),AND(J4475=1,I4475="SBJ"),AND(J4475=1,I4475=0)),"?IN_FOCUS",IF(J4475&lt;=2,"?ACTIVATED",IF(J4475&lt;&gt;"","?FAMILIAR",IF(F4475="NEW",IF(ISNA(VLOOKUP(E4475,#REF!,1,FALSE())),"?TYPE_IDENTIFIABLE","?REFERENTIAL"),"_")))))</f>
        <v> </v>
      </c>
      <c r="H4475" s="25" t="str">
        <f>IF(J4475&lt;&gt;1,"",IF(I4475="SBJ","CB","?"))</f>
        <v> </v>
      </c>
      <c r="I4475" s="26" t="str">
        <f>IF(OR(E4475="",E4475="!!!",F4475="NEW"),"",INDEX(B4474:B$2,-1+SUMPRODUCT(MAX(ROW(E4474:E$2)*(E4475=E4474:E$2)))))</f>
        <v> </v>
      </c>
      <c r="J4475" s="26" t="str">
        <f>IF(OR(E4475="",E4475="!!!",F4475="NEW"),"",COUNTBLANK(OFFSET(A$1,,,SUMPRODUCT(MAX(ROW(E$2:E4475)*(E4475=E$2:E4475)))))-COUNTBLANK(OFFSET(A$1,,,SUMPRODUCT(MAX(ROW(E$1:E4474)*(E2=E$1:E4474))))))</f>
        <v> </v>
      </c>
      <c r="K4475" s="26" t="str">
        <f>IF(OR(E4475="",E4475="!!!",F4475="NEW"),"",INDEX(J$1:J4474,SUMPRODUCT(MAX(ROW(E$1:E4474)*(E4475=E$1:E4474)))))</f>
        <v> </v>
      </c>
      <c r="L4475" s="27"/>
    </row>
    <row r="4476" spans="1:12">
      <c r="A4476" s="20" t="s">
        <v>1235</v>
      </c>
      <c r="E4476" s="22">
        <f>IF(D4476="?OLD","!!!","")</f>
        <v/>
      </c>
      <c r="F4476" s="23" t="str">
        <f>IF(OR(E4476="",E4476="!!!"),"",IF(NOT(ISNA(VLOOKUP(E4476,E$1:E4475,1,FALSE()))),"OLD",IF(AND(E4476&lt;&gt;"",E4476&lt;&gt;"!!!"),"NEW","")))</f>
        <v> </v>
      </c>
      <c r="G4476" s="24" t="str">
        <f>IF(OR(E4476="",E4476="!!!"),"",IF(OR(J4476=0,AND(J4476=1,K4476=1),AND(J4476=1,I4476="SBJ"),AND(J4476=1,I4476=0)),"?IN_FOCUS",IF(J4476&lt;=2,"?ACTIVATED",IF(J4476&lt;&gt;"","?FAMILIAR",IF(F4476="NEW",IF(ISNA(VLOOKUP(E4476,#REF!,1,FALSE())),"?TYPE_IDENTIFIABLE","?REFERENTIAL"),"_")))))</f>
        <v> </v>
      </c>
      <c r="H4476" s="25" t="str">
        <f>IF(J4476&lt;&gt;1,"",IF(I4476="SBJ","CB","?"))</f>
        <v> </v>
      </c>
      <c r="I4476" s="26" t="str">
        <f>IF(OR(E4476="",E4476="!!!",F4476="NEW"),"",INDEX(B4475:B$2,-1+SUMPRODUCT(MAX(ROW(E4475:E$2)*(E4476=E4475:E$2)))))</f>
        <v> </v>
      </c>
      <c r="J4476" s="26" t="str">
        <f>IF(OR(E4476="",E4476="!!!",F4476="NEW"),"",COUNTBLANK(OFFSET(A$1,,,SUMPRODUCT(MAX(ROW(E$2:E4476)*(E4476=E$2:E4476)))))-COUNTBLANK(OFFSET(A$1,,,SUMPRODUCT(MAX(ROW(E$1:E4475)*(E2=E$1:E4475))))))</f>
        <v> </v>
      </c>
      <c r="K4476" s="26" t="str">
        <f>IF(OR(E4476="",E4476="!!!",F4476="NEW"),"",INDEX(J$1:J4475,SUMPRODUCT(MAX(ROW(E$1:E4475)*(E4476=E$1:E4475)))))</f>
        <v> </v>
      </c>
      <c r="L4476" s="27"/>
    </row>
    <row r="4477" spans="1:12">
      <c r="A4477" s="20" t="s">
        <v>2691</v>
      </c>
      <c r="B4477" s="21" t="s">
        <v>1221</v>
      </c>
      <c r="C4477" s="21" t="s">
        <v>1238</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t="s">
        <v>2692</v>
      </c>
      <c r="E4478" s="22">
        <f>IF(D4478="?OLD","!!!","")</f>
        <v/>
      </c>
      <c r="F4478" s="23" t="str">
        <f>IF(OR(E4478="",E4478="!!!"),"",IF(NOT(ISNA(VLOOKUP(E4478,E$1:E4477,1,FALSE()))),"OLD",IF(AND(E4478&lt;&gt;"",E4478&lt;&gt;"!!!"),"NEW","")))</f>
        <v> </v>
      </c>
      <c r="G4478" s="24" t="str">
        <f>IF(OR(E4478="",E4478="!!!"),"",IF(OR(J4478=0,AND(J4478=1,K4478=1),AND(J4478=1,I4478="SBJ"),AND(J4478=1,I4478=0)),"?IN_FOCUS",IF(J4478&lt;=2,"?ACTIVATED",IF(J4478&lt;&gt;"","?FAMILIAR",IF(F4478="NEW",IF(ISNA(VLOOKUP(E4478,#REF!,1,FALSE())),"?TYPE_IDENTIFIABLE","?REFERENTIAL"),"_")))))</f>
        <v> </v>
      </c>
      <c r="H4478" s="25" t="str">
        <f>IF(J4478&lt;&gt;1,"",IF(I4478="SBJ","CB","?"))</f>
        <v> </v>
      </c>
      <c r="I4478" s="26" t="str">
        <f>IF(OR(E4478="",E4478="!!!",F4478="NEW"),"",INDEX(B4477:B$2,-1+SUMPRODUCT(MAX(ROW(E4477:E$2)*(E4478=E4477:E$2)))))</f>
        <v> </v>
      </c>
      <c r="J4478" s="26" t="str">
        <f>IF(OR(E4478="",E4478="!!!",F4478="NEW"),"",COUNTBLANK(OFFSET(A$1,,,SUMPRODUCT(MAX(ROW(E$2:E4478)*(E4478=E$2:E4478)))))-COUNTBLANK(OFFSET(A$1,,,SUMPRODUCT(MAX(ROW(E$1:E4477)*(E2=E$1:E4477))))))</f>
        <v> </v>
      </c>
      <c r="K4478" s="26" t="str">
        <f>IF(OR(E4478="",E4478="!!!",F4478="NEW"),"",INDEX(J$1:J4477,SUMPRODUCT(MAX(ROW(E$1:E4477)*(E4478=E$1:E4477)))))</f>
        <v> </v>
      </c>
      <c r="L4478" s="27"/>
    </row>
    <row r="4479" spans="1:12">
      <c r="A4479" s="20" t="s">
        <v>1262</v>
      </c>
      <c r="E4479" s="22">
        <f>IF(D4479="?OLD","!!!","")</f>
        <v/>
      </c>
      <c r="F4479" s="23" t="str">
        <f>IF(OR(E4479="",E4479="!!!"),"",IF(NOT(ISNA(VLOOKUP(E4479,E$1:E4478,1,FALSE()))),"OLD",IF(AND(E4479&lt;&gt;"",E4479&lt;&gt;"!!!"),"NEW","")))</f>
        <v> </v>
      </c>
      <c r="G4479" s="24" t="str">
        <f>IF(OR(E4479="",E4479="!!!"),"",IF(OR(J4479=0,AND(J4479=1,K4479=1),AND(J4479=1,I4479="SBJ"),AND(J4479=1,I4479=0)),"?IN_FOCUS",IF(J4479&lt;=2,"?ACTIVATED",IF(J4479&lt;&gt;"","?FAMILIAR",IF(F4479="NEW",IF(ISNA(VLOOKUP(E4479,#REF!,1,FALSE())),"?TYPE_IDENTIFIABLE","?REFERENTIAL"),"_")))))</f>
        <v> </v>
      </c>
      <c r="H4479" s="25" t="str">
        <f>IF(J4479&lt;&gt;1,"",IF(I4479="SBJ","CB","?"))</f>
        <v> </v>
      </c>
      <c r="I4479" s="26" t="str">
        <f>IF(OR(E4479="",E4479="!!!",F4479="NEW"),"",INDEX(B4478:B$2,-1+SUMPRODUCT(MAX(ROW(E4478:E$2)*(E4479=E4478:E$2)))))</f>
        <v> </v>
      </c>
      <c r="J4479" s="26" t="str">
        <f>IF(OR(E4479="",E4479="!!!",F4479="NEW"),"",COUNTBLANK(OFFSET(A$1,,,SUMPRODUCT(MAX(ROW(E$2:E4479)*(E4479=E$2:E4479)))))-COUNTBLANK(OFFSET(A$1,,,SUMPRODUCT(MAX(ROW(E$1:E4478)*(E2=E$1:E4478))))))</f>
        <v> </v>
      </c>
      <c r="K4479" s="26" t="str">
        <f>IF(OR(E4479="",E4479="!!!",F4479="NEW"),"",INDEX(J$1:J4478,SUMPRODUCT(MAX(ROW(E$1:E4478)*(E4479=E$1:E4478)))))</f>
        <v> </v>
      </c>
      <c r="L4479" s="27"/>
    </row>
    <row r="4480" spans="1:12">
      <c r="A4480" s="20"/>
    </row>
    <row r="4481" spans="1:12">
      <c r="A4481" s="20" t="s">
        <v>2693</v>
      </c>
    </row>
    <row r="4482" spans="1:12">
      <c r="A4482" s="20" t="s">
        <v>1453</v>
      </c>
      <c r="E4482" s="22">
        <f>IF(D4482="?OLD","!!!","")</f>
        <v/>
      </c>
      <c r="F4482" s="23" t="str">
        <f>IF(OR(E4482="",E4482="!!!"),"",IF(NOT(ISNA(VLOOKUP(E4482,E$1:E4481,1,FALSE()))),"OLD",IF(AND(E4482&lt;&gt;"",E4482&lt;&gt;"!!!"),"NEW","")))</f>
        <v> </v>
      </c>
      <c r="G4482" s="24" t="str">
        <f>IF(OR(E4482="",E4482="!!!"),"",IF(OR(J4482=0,AND(J4482=1,K4482=1),AND(J4482=1,I4482="SBJ"),AND(J4482=1,I4482=0)),"?IN_FOCUS",IF(J4482&lt;=2,"?ACTIVATED",IF(J4482&lt;&gt;"","?FAMILIAR",IF(F4482="NEW",IF(ISNA(VLOOKUP(E4482,#REF!,1,FALSE())),"?TYPE_IDENTIFIABLE","?REFERENTIAL"),"_")))))</f>
        <v> </v>
      </c>
      <c r="H4482" s="25" t="str">
        <f>IF(J4482&lt;&gt;1,"",IF(I4482="SBJ","CB","?"))</f>
        <v> </v>
      </c>
      <c r="I4482" s="26" t="str">
        <f>IF(OR(E4482="",E4482="!!!",F4482="NEW"),"",INDEX(B4481:B$2,-1+SUMPRODUCT(MAX(ROW(E4481:E$2)*(E4482=E4481:E$2)))))</f>
        <v> </v>
      </c>
      <c r="J4482" s="26" t="str">
        <f>IF(OR(E4482="",E4482="!!!",F4482="NEW"),"",COUNTBLANK(OFFSET(A$1,,,SUMPRODUCT(MAX(ROW(E$2:E4482)*(E4482=E$2:E4482)))))-COUNTBLANK(OFFSET(A$1,,,SUMPRODUCT(MAX(ROW(E$1:E4481)*(E2=E$1:E4481))))))</f>
        <v> </v>
      </c>
      <c r="K4482" s="26" t="str">
        <f>IF(OR(E4482="",E4482="!!!",F4482="NEW"),"",INDEX(J$1:J4481,SUMPRODUCT(MAX(ROW(E$1:E4481)*(E4482=E$1:E4481)))))</f>
        <v> </v>
      </c>
      <c r="L4482" s="27"/>
    </row>
    <row r="4483" spans="1:12">
      <c r="A4483" s="20" t="s">
        <v>1264</v>
      </c>
      <c r="B4483" s="21" t="s">
        <v>1215</v>
      </c>
      <c r="C4483" s="21" t="s">
        <v>1255</v>
      </c>
      <c r="D4483" s="21" t="s">
        <v>1217</v>
      </c>
      <c r="E4483" s="22">
        <f>IF(D4483="?OLD","!!!","")</f>
        <v/>
      </c>
      <c r="F4483" s="23" t="str">
        <f>IF(OR(E4483="",E4483="!!!"),"",IF(NOT(ISNA(VLOOKUP(E4483,E$1:E4482,1,FALSE()))),"OLD",IF(AND(E4483&lt;&gt;"",E4483&lt;&gt;"!!!"),"NEW","")))</f>
        <v> </v>
      </c>
      <c r="G4483" s="24" t="str">
        <f>IF(OR(E4483="",E4483="!!!"),"",IF(OR(J4483=0,AND(J4483=1,K4483=1),AND(J4483=1,I4483="SBJ"),AND(J4483=1,I4483=0)),"?IN_FOCUS",IF(J4483&lt;=2,"?ACTIVATED",IF(J4483&lt;&gt;"","?FAMILIAR",IF(F4483="NEW",IF(ISNA(VLOOKUP(E4483,#REF!,1,FALSE())),"?TYPE_IDENTIFIABLE","?REFERENTIAL"),"_")))))</f>
        <v> </v>
      </c>
      <c r="H4483" s="25" t="str">
        <f>IF(J4483&lt;&gt;1,"",IF(I4483="SBJ","CB","?"))</f>
        <v> </v>
      </c>
      <c r="I4483" s="26" t="str">
        <f>IF(OR(E4483="",E4483="!!!",F4483="NEW"),"",INDEX(B4482:B$2,-1+SUMPRODUCT(MAX(ROW(E4482:E$2)*(E4483=E4482:E$2)))))</f>
        <v> </v>
      </c>
      <c r="J4483" s="26" t="str">
        <f>IF(OR(E4483="",E4483="!!!",F4483="NEW"),"",COUNTBLANK(OFFSET(A$1,,,SUMPRODUCT(MAX(ROW(E$2:E4483)*(E4483=E$2:E4483)))))-COUNTBLANK(OFFSET(A$1,,,SUMPRODUCT(MAX(ROW(E$1:E4482)*(E2=E$1:E4482))))))</f>
        <v> </v>
      </c>
      <c r="K4483" s="26" t="str">
        <f>IF(OR(E4483="",E4483="!!!",F4483="NEW"),"",INDEX(J$1:J4482,SUMPRODUCT(MAX(ROW(E$1:E4482)*(E4483=E$1:E4482)))))</f>
        <v> </v>
      </c>
      <c r="L4483" s="27"/>
    </row>
    <row r="4484" spans="1:12">
      <c r="A4484" s="20" t="s">
        <v>1231</v>
      </c>
      <c r="E4484" s="22">
        <f>IF(D4484="?OLD","!!!","")</f>
        <v/>
      </c>
      <c r="F4484" s="23" t="str">
        <f>IF(OR(E4484="",E4484="!!!"),"",IF(NOT(ISNA(VLOOKUP(E4484,E$1:E4483,1,FALSE()))),"OLD",IF(AND(E4484&lt;&gt;"",E4484&lt;&gt;"!!!"),"NEW","")))</f>
        <v> </v>
      </c>
      <c r="G4484" s="24" t="str">
        <f>IF(OR(E4484="",E4484="!!!"),"",IF(OR(J4484=0,AND(J4484=1,K4484=1),AND(J4484=1,I4484="SBJ"),AND(J4484=1,I4484=0)),"?IN_FOCUS",IF(J4484&lt;=2,"?ACTIVATED",IF(J4484&lt;&gt;"","?FAMILIAR",IF(F4484="NEW",IF(ISNA(VLOOKUP(E4484,#REF!,1,FALSE())),"?TYPE_IDENTIFIABLE","?REFERENTIAL"),"_")))))</f>
        <v> </v>
      </c>
      <c r="H4484" s="25" t="str">
        <f>IF(J4484&lt;&gt;1,"",IF(I4484="SBJ","CB","?"))</f>
        <v> </v>
      </c>
      <c r="I4484" s="26" t="str">
        <f>IF(OR(E4484="",E4484="!!!",F4484="NEW"),"",INDEX(B4483:B$2,-1+SUMPRODUCT(MAX(ROW(E4483:E$2)*(E4484=E4483:E$2)))))</f>
        <v> </v>
      </c>
      <c r="J4484" s="26" t="str">
        <f>IF(OR(E4484="",E4484="!!!",F4484="NEW"),"",COUNTBLANK(OFFSET(A$1,,,SUMPRODUCT(MAX(ROW(E$2:E4484)*(E4484=E$2:E4484)))))-COUNTBLANK(OFFSET(A$1,,,SUMPRODUCT(MAX(ROW(E$1:E4483)*(E2=E$1:E4483))))))</f>
        <v> </v>
      </c>
      <c r="K4484" s="26" t="str">
        <f>IF(OR(E4484="",E4484="!!!",F4484="NEW"),"",INDEX(J$1:J4483,SUMPRODUCT(MAX(ROW(E$1:E4483)*(E4484=E$1:E4483)))))</f>
        <v> </v>
      </c>
      <c r="L4484" s="27"/>
    </row>
    <row r="4485" spans="1:12">
      <c r="A4485" s="20" t="s">
        <v>1468</v>
      </c>
      <c r="B4485" s="21" t="s">
        <v>1249</v>
      </c>
      <c r="C4485" s="21" t="s">
        <v>1216</v>
      </c>
      <c r="D4485" s="21" t="s">
        <v>1217</v>
      </c>
      <c r="E4485" s="22">
        <f>IF(D4485="?OLD","!!!","")</f>
        <v/>
      </c>
      <c r="F4485" s="23" t="str">
        <f>IF(OR(E4485="",E4485="!!!"),"",IF(NOT(ISNA(VLOOKUP(E4485,E$1:E4484,1,FALSE()))),"OLD",IF(AND(E4485&lt;&gt;"",E4485&lt;&gt;"!!!"),"NEW","")))</f>
        <v> </v>
      </c>
      <c r="G4485" s="24" t="str">
        <f>IF(OR(E4485="",E4485="!!!"),"",IF(OR(J4485=0,AND(J4485=1,K4485=1),AND(J4485=1,I4485="SBJ"),AND(J4485=1,I4485=0)),"?IN_FOCUS",IF(J4485&lt;=2,"?ACTIVATED",IF(J4485&lt;&gt;"","?FAMILIAR",IF(F4485="NEW",IF(ISNA(VLOOKUP(E4485,#REF!,1,FALSE())),"?TYPE_IDENTIFIABLE","?REFERENTIAL"),"_")))))</f>
        <v> </v>
      </c>
      <c r="H4485" s="25" t="str">
        <f>IF(J4485&lt;&gt;1,"",IF(I4485="SBJ","CB","?"))</f>
        <v> </v>
      </c>
      <c r="I4485" s="26" t="str">
        <f>IF(OR(E4485="",E4485="!!!",F4485="NEW"),"",INDEX(B4484:B$2,-1+SUMPRODUCT(MAX(ROW(E4484:E$2)*(E4485=E4484:E$2)))))</f>
        <v> </v>
      </c>
      <c r="J4485" s="26" t="str">
        <f>IF(OR(E4485="",E4485="!!!",F4485="NEW"),"",COUNTBLANK(OFFSET(A$1,,,SUMPRODUCT(MAX(ROW(E$2:E4485)*(E4485=E$2:E4485)))))-COUNTBLANK(OFFSET(A$1,,,SUMPRODUCT(MAX(ROW(E$1:E4484)*(E2=E$1:E4484))))))</f>
        <v> </v>
      </c>
      <c r="K4485" s="26" t="str">
        <f>IF(OR(E4485="",E4485="!!!",F4485="NEW"),"",INDEX(J$1:J4484,SUMPRODUCT(MAX(ROW(E$1:E4484)*(E4485=E$1:E4484)))))</f>
        <v> </v>
      </c>
      <c r="L4485" s="27"/>
    </row>
    <row r="4486" spans="1:12">
      <c r="A4486" s="20" t="s">
        <v>2694</v>
      </c>
      <c r="E4486" s="22">
        <f>IF(D4486="?OLD","!!!","")</f>
        <v/>
      </c>
      <c r="F4486" s="23" t="str">
        <f>IF(OR(E4486="",E4486="!!!"),"",IF(NOT(ISNA(VLOOKUP(E4486,E$1:E4485,1,FALSE()))),"OLD",IF(AND(E4486&lt;&gt;"",E4486&lt;&gt;"!!!"),"NEW","")))</f>
        <v> </v>
      </c>
      <c r="G4486" s="24" t="str">
        <f>IF(OR(E4486="",E4486="!!!"),"",IF(OR(J4486=0,AND(J4486=1,K4486=1),AND(J4486=1,I4486="SBJ"),AND(J4486=1,I4486=0)),"?IN_FOCUS",IF(J4486&lt;=2,"?ACTIVATED",IF(J4486&lt;&gt;"","?FAMILIAR",IF(F4486="NEW",IF(ISNA(VLOOKUP(E4486,#REF!,1,FALSE())),"?TYPE_IDENTIFIABLE","?REFERENTIAL"),"_")))))</f>
        <v> </v>
      </c>
      <c r="H4486" s="25" t="str">
        <f>IF(J4486&lt;&gt;1,"",IF(I4486="SBJ","CB","?"))</f>
        <v> </v>
      </c>
      <c r="I4486" s="26" t="str">
        <f>IF(OR(E4486="",E4486="!!!",F4486="NEW"),"",INDEX(B4485:B$2,-1+SUMPRODUCT(MAX(ROW(E4485:E$2)*(E4486=E4485:E$2)))))</f>
        <v> </v>
      </c>
      <c r="J4486" s="26" t="str">
        <f>IF(OR(E4486="",E4486="!!!",F4486="NEW"),"",COUNTBLANK(OFFSET(A$1,,,SUMPRODUCT(MAX(ROW(E$2:E4486)*(E4486=E$2:E4486)))))-COUNTBLANK(OFFSET(A$1,,,SUMPRODUCT(MAX(ROW(E$1:E4485)*(E2=E$1:E4485))))))</f>
        <v> </v>
      </c>
      <c r="K4486" s="26" t="str">
        <f>IF(OR(E4486="",E4486="!!!",F4486="NEW"),"",INDEX(J$1:J4485,SUMPRODUCT(MAX(ROW(E$1:E4485)*(E4486=E$1:E4485)))))</f>
        <v> </v>
      </c>
      <c r="L4486" s="27"/>
    </row>
    <row r="4487" spans="1:12">
      <c r="A4487" s="20" t="s">
        <v>1277</v>
      </c>
      <c r="E4487" s="22">
        <f>IF(D4487="?OLD","!!!","")</f>
        <v/>
      </c>
      <c r="F4487" s="23" t="str">
        <f>IF(OR(E4487="",E4487="!!!"),"",IF(NOT(ISNA(VLOOKUP(E4487,E$1:E4486,1,FALSE()))),"OLD",IF(AND(E4487&lt;&gt;"",E4487&lt;&gt;"!!!"),"NEW","")))</f>
        <v> </v>
      </c>
      <c r="G4487" s="24" t="str">
        <f>IF(OR(E4487="",E4487="!!!"),"",IF(OR(J4487=0,AND(J4487=1,K4487=1),AND(J4487=1,I4487="SBJ"),AND(J4487=1,I4487=0)),"?IN_FOCUS",IF(J4487&lt;=2,"?ACTIVATED",IF(J4487&lt;&gt;"","?FAMILIAR",IF(F4487="NEW",IF(ISNA(VLOOKUP(E4487,#REF!,1,FALSE())),"?TYPE_IDENTIFIABLE","?REFERENTIAL"),"_")))))</f>
        <v> </v>
      </c>
      <c r="H4487" s="25" t="str">
        <f>IF(J4487&lt;&gt;1,"",IF(I4487="SBJ","CB","?"))</f>
        <v> </v>
      </c>
      <c r="I4487" s="26" t="str">
        <f>IF(OR(E4487="",E4487="!!!",F4487="NEW"),"",INDEX(B4486:B$2,-1+SUMPRODUCT(MAX(ROW(E4486:E$2)*(E4487=E4486:E$2)))))</f>
        <v> </v>
      </c>
      <c r="J4487" s="26" t="str">
        <f>IF(OR(E4487="",E4487="!!!",F4487="NEW"),"",COUNTBLANK(OFFSET(A$1,,,SUMPRODUCT(MAX(ROW(E$2:E4487)*(E4487=E$2:E4487)))))-COUNTBLANK(OFFSET(A$1,,,SUMPRODUCT(MAX(ROW(E$1:E4486)*(E2=E$1:E4486))))))</f>
        <v> </v>
      </c>
      <c r="K4487" s="26" t="str">
        <f>IF(OR(E4487="",E4487="!!!",F4487="NEW"),"",INDEX(J$1:J4486,SUMPRODUCT(MAX(ROW(E$1:E4486)*(E4487=E$1:E4486)))))</f>
        <v> </v>
      </c>
      <c r="L4487" s="27"/>
    </row>
    <row r="4488" spans="1:12">
      <c r="A4488" s="20" t="s">
        <v>1318</v>
      </c>
      <c r="E4488" s="22">
        <f>IF(D4488="?OLD","!!!","")</f>
        <v/>
      </c>
      <c r="F4488" s="23" t="str">
        <f>IF(OR(E4488="",E4488="!!!"),"",IF(NOT(ISNA(VLOOKUP(E4488,E$1:E4487,1,FALSE()))),"OLD",IF(AND(E4488&lt;&gt;"",E4488&lt;&gt;"!!!"),"NEW","")))</f>
        <v> </v>
      </c>
      <c r="G4488" s="24" t="str">
        <f>IF(OR(E4488="",E4488="!!!"),"",IF(OR(J4488=0,AND(J4488=1,K4488=1),AND(J4488=1,I4488="SBJ"),AND(J4488=1,I4488=0)),"?IN_FOCUS",IF(J4488&lt;=2,"?ACTIVATED",IF(J4488&lt;&gt;"","?FAMILIAR",IF(F4488="NEW",IF(ISNA(VLOOKUP(E4488,#REF!,1,FALSE())),"?TYPE_IDENTIFIABLE","?REFERENTIAL"),"_")))))</f>
        <v> </v>
      </c>
      <c r="H4488" s="25" t="str">
        <f>IF(J4488&lt;&gt;1,"",IF(I4488="SBJ","CB","?"))</f>
        <v> </v>
      </c>
      <c r="I4488" s="26" t="str">
        <f>IF(OR(E4488="",E4488="!!!",F4488="NEW"),"",INDEX(B4487:B$2,-1+SUMPRODUCT(MAX(ROW(E4487:E$2)*(E4488=E4487:E$2)))))</f>
        <v> </v>
      </c>
      <c r="J4488" s="26" t="str">
        <f>IF(OR(E4488="",E4488="!!!",F4488="NEW"),"",COUNTBLANK(OFFSET(A$1,,,SUMPRODUCT(MAX(ROW(E$2:E4488)*(E4488=E$2:E4488)))))-COUNTBLANK(OFFSET(A$1,,,SUMPRODUCT(MAX(ROW(E$1:E4487)*(E2=E$1:E4487))))))</f>
        <v> </v>
      </c>
      <c r="K4488" s="26" t="str">
        <f>IF(OR(E4488="",E4488="!!!",F4488="NEW"),"",INDEX(J$1:J4487,SUMPRODUCT(MAX(ROW(E$1:E4487)*(E4488=E$1:E4487)))))</f>
        <v> </v>
      </c>
      <c r="L4488" s="27"/>
    </row>
    <row r="4489" spans="1:12">
      <c r="A4489" s="20" t="s">
        <v>565</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t="s">
        <v>1301</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t="s">
        <v>1240</v>
      </c>
      <c r="E4491" s="22">
        <f>IF(D4491="?OLD","!!!","")</f>
        <v/>
      </c>
      <c r="F4491" s="23" t="str">
        <f>IF(OR(E4491="",E4491="!!!"),"",IF(NOT(ISNA(VLOOKUP(E4491,E$1:E4490,1,FALSE()))),"OLD",IF(AND(E4491&lt;&gt;"",E4491&lt;&gt;"!!!"),"NEW","")))</f>
        <v> </v>
      </c>
      <c r="G4491" s="24" t="str">
        <f>IF(OR(E4491="",E4491="!!!"),"",IF(OR(J4491=0,AND(J4491=1,K4491=1),AND(J4491=1,I4491="SBJ"),AND(J4491=1,I4491=0)),"?IN_FOCUS",IF(J4491&lt;=2,"?ACTIVATED",IF(J4491&lt;&gt;"","?FAMILIAR",IF(F4491="NEW",IF(ISNA(VLOOKUP(E4491,#REF!,1,FALSE())),"?TYPE_IDENTIFIABLE","?REFERENTIAL"),"_")))))</f>
        <v> </v>
      </c>
      <c r="H4491" s="25" t="str">
        <f>IF(J4491&lt;&gt;1,"",IF(I4491="SBJ","CB","?"))</f>
        <v> </v>
      </c>
      <c r="I4491" s="26" t="str">
        <f>IF(OR(E4491="",E4491="!!!",F4491="NEW"),"",INDEX(B4490:B$2,-1+SUMPRODUCT(MAX(ROW(E4490:E$2)*(E4491=E4490:E$2)))))</f>
        <v> </v>
      </c>
      <c r="J4491" s="26" t="str">
        <f>IF(OR(E4491="",E4491="!!!",F4491="NEW"),"",COUNTBLANK(OFFSET(A$1,,,SUMPRODUCT(MAX(ROW(E$2:E4491)*(E4491=E$2:E4491)))))-COUNTBLANK(OFFSET(A$1,,,SUMPRODUCT(MAX(ROW(E$1:E4490)*(E2=E$1:E4490))))))</f>
        <v> </v>
      </c>
      <c r="K4491" s="26" t="str">
        <f>IF(OR(E4491="",E4491="!!!",F4491="NEW"),"",INDEX(J$1:J4490,SUMPRODUCT(MAX(ROW(E$1:E4490)*(E4491=E$1:E4490)))))</f>
        <v> </v>
      </c>
      <c r="L4491" s="27"/>
    </row>
    <row r="4492" spans="1:12">
      <c r="A4492" s="20" t="s">
        <v>2695</v>
      </c>
      <c r="E4492" s="22">
        <f>IF(D4492="?OLD","!!!","")</f>
        <v/>
      </c>
      <c r="F4492" s="23" t="str">
        <f>IF(OR(E4492="",E4492="!!!"),"",IF(NOT(ISNA(VLOOKUP(E4492,E$1:E4491,1,FALSE()))),"OLD",IF(AND(E4492&lt;&gt;"",E4492&lt;&gt;"!!!"),"NEW","")))</f>
        <v> </v>
      </c>
      <c r="G4492" s="24" t="str">
        <f>IF(OR(E4492="",E4492="!!!"),"",IF(OR(J4492=0,AND(J4492=1,K4492=1),AND(J4492=1,I4492="SBJ"),AND(J4492=1,I4492=0)),"?IN_FOCUS",IF(J4492&lt;=2,"?ACTIVATED",IF(J4492&lt;&gt;"","?FAMILIAR",IF(F4492="NEW",IF(ISNA(VLOOKUP(E4492,#REF!,1,FALSE())),"?TYPE_IDENTIFIABLE","?REFERENTIAL"),"_")))))</f>
        <v> </v>
      </c>
      <c r="H4492" s="25" t="str">
        <f>IF(J4492&lt;&gt;1,"",IF(I4492="SBJ","CB","?"))</f>
        <v> </v>
      </c>
      <c r="I4492" s="26" t="str">
        <f>IF(OR(E4492="",E4492="!!!",F4492="NEW"),"",INDEX(B4491:B$2,-1+SUMPRODUCT(MAX(ROW(E4491:E$2)*(E4492=E4491:E$2)))))</f>
        <v> </v>
      </c>
      <c r="J4492" s="26" t="str">
        <f>IF(OR(E4492="",E4492="!!!",F4492="NEW"),"",COUNTBLANK(OFFSET(A$1,,,SUMPRODUCT(MAX(ROW(E$2:E4492)*(E4492=E$2:E4492)))))-COUNTBLANK(OFFSET(A$1,,,SUMPRODUCT(MAX(ROW(E$1:E4491)*(E2=E$1:E4491))))))</f>
        <v> </v>
      </c>
      <c r="K4492" s="26" t="str">
        <f>IF(OR(E4492="",E4492="!!!",F4492="NEW"),"",INDEX(J$1:J4491,SUMPRODUCT(MAX(ROW(E$1:E4491)*(E4492=E$1:E4491)))))</f>
        <v> </v>
      </c>
      <c r="L4492" s="27"/>
    </row>
    <row r="4493" spans="1:12">
      <c r="A4493" s="20" t="s">
        <v>1319</v>
      </c>
      <c r="E4493" s="22">
        <f>IF(D4493="?OLD","!!!","")</f>
        <v/>
      </c>
      <c r="F4493" s="23" t="str">
        <f>IF(OR(E4493="",E4493="!!!"),"",IF(NOT(ISNA(VLOOKUP(E4493,E$1:E4492,1,FALSE()))),"OLD",IF(AND(E4493&lt;&gt;"",E4493&lt;&gt;"!!!"),"NEW","")))</f>
        <v> </v>
      </c>
      <c r="G4493" s="24" t="str">
        <f>IF(OR(E4493="",E4493="!!!"),"",IF(OR(J4493=0,AND(J4493=1,K4493=1),AND(J4493=1,I4493="SBJ"),AND(J4493=1,I4493=0)),"?IN_FOCUS",IF(J4493&lt;=2,"?ACTIVATED",IF(J4493&lt;&gt;"","?FAMILIAR",IF(F4493="NEW",IF(ISNA(VLOOKUP(E4493,#REF!,1,FALSE())),"?TYPE_IDENTIFIABLE","?REFERENTIAL"),"_")))))</f>
        <v> </v>
      </c>
      <c r="H4493" s="25" t="str">
        <f>IF(J4493&lt;&gt;1,"",IF(I4493="SBJ","CB","?"))</f>
        <v> </v>
      </c>
      <c r="I4493" s="26" t="str">
        <f>IF(OR(E4493="",E4493="!!!",F4493="NEW"),"",INDEX(B4492:B$2,-1+SUMPRODUCT(MAX(ROW(E4492:E$2)*(E4493=E4492:E$2)))))</f>
        <v> </v>
      </c>
      <c r="J4493" s="26" t="str">
        <f>IF(OR(E4493="",E4493="!!!",F4493="NEW"),"",COUNTBLANK(OFFSET(A$1,,,SUMPRODUCT(MAX(ROW(E$2:E4493)*(E4493=E$2:E4493)))))-COUNTBLANK(OFFSET(A$1,,,SUMPRODUCT(MAX(ROW(E$1:E4492)*(E2=E$1:E4492))))))</f>
        <v> </v>
      </c>
      <c r="K4493" s="26" t="str">
        <f>IF(OR(E4493="",E4493="!!!",F4493="NEW"),"",INDEX(J$1:J4492,SUMPRODUCT(MAX(ROW(E$1:E4492)*(E4493=E$1:E4492)))))</f>
        <v> </v>
      </c>
      <c r="L4493" s="27"/>
    </row>
    <row r="4494" spans="1:12">
      <c r="A4494" s="20" t="s">
        <v>1503</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t="s">
        <v>1373</v>
      </c>
      <c r="E4495" s="22">
        <f>IF(D4495="?OLD","!!!","")</f>
        <v/>
      </c>
      <c r="F4495" s="23" t="str">
        <f>IF(OR(E4495="",E4495="!!!"),"",IF(NOT(ISNA(VLOOKUP(E4495,E$1:E4494,1,FALSE()))),"OLD",IF(AND(E4495&lt;&gt;"",E4495&lt;&gt;"!!!"),"NEW","")))</f>
        <v> </v>
      </c>
      <c r="G4495" s="24" t="str">
        <f>IF(OR(E4495="",E4495="!!!"),"",IF(OR(J4495=0,AND(J4495=1,K4495=1),AND(J4495=1,I4495="SBJ"),AND(J4495=1,I4495=0)),"?IN_FOCUS",IF(J4495&lt;=2,"?ACTIVATED",IF(J4495&lt;&gt;"","?FAMILIAR",IF(F4495="NEW",IF(ISNA(VLOOKUP(E4495,#REF!,1,FALSE())),"?TYPE_IDENTIFIABLE","?REFERENTIAL"),"_")))))</f>
        <v> </v>
      </c>
      <c r="H4495" s="25" t="str">
        <f>IF(J4495&lt;&gt;1,"",IF(I4495="SBJ","CB","?"))</f>
        <v> </v>
      </c>
      <c r="I4495" s="26" t="str">
        <f>IF(OR(E4495="",E4495="!!!",F4495="NEW"),"",INDEX(B4494:B$2,-1+SUMPRODUCT(MAX(ROW(E4494:E$2)*(E4495=E4494:E$2)))))</f>
        <v> </v>
      </c>
      <c r="J4495" s="26" t="str">
        <f>IF(OR(E4495="",E4495="!!!",F4495="NEW"),"",COUNTBLANK(OFFSET(A$1,,,SUMPRODUCT(MAX(ROW(E$2:E4495)*(E4495=E$2:E4495)))))-COUNTBLANK(OFFSET(A$1,,,SUMPRODUCT(MAX(ROW(E$1:E4494)*(E2=E$1:E4494))))))</f>
        <v> </v>
      </c>
      <c r="K4495" s="26" t="str">
        <f>IF(OR(E4495="",E4495="!!!",F4495="NEW"),"",INDEX(J$1:J4494,SUMPRODUCT(MAX(ROW(E$1:E4494)*(E4495=E$1:E4494)))))</f>
        <v> </v>
      </c>
      <c r="L4495" s="27"/>
    </row>
    <row r="4496" spans="1:12">
      <c r="A4496" s="20" t="s">
        <v>2474</v>
      </c>
      <c r="E4496" s="22">
        <f>IF(D4496="?OLD","!!!","")</f>
        <v/>
      </c>
      <c r="F4496" s="23" t="str">
        <f>IF(OR(E4496="",E4496="!!!"),"",IF(NOT(ISNA(VLOOKUP(E4496,E$1:E4495,1,FALSE()))),"OLD",IF(AND(E4496&lt;&gt;"",E4496&lt;&gt;"!!!"),"NEW","")))</f>
        <v> </v>
      </c>
      <c r="G4496" s="24" t="str">
        <f>IF(OR(E4496="",E4496="!!!"),"",IF(OR(J4496=0,AND(J4496=1,K4496=1),AND(J4496=1,I4496="SBJ"),AND(J4496=1,I4496=0)),"?IN_FOCUS",IF(J4496&lt;=2,"?ACTIVATED",IF(J4496&lt;&gt;"","?FAMILIAR",IF(F4496="NEW",IF(ISNA(VLOOKUP(E4496,#REF!,1,FALSE())),"?TYPE_IDENTIFIABLE","?REFERENTIAL"),"_")))))</f>
        <v> </v>
      </c>
      <c r="H4496" s="25" t="str">
        <f>IF(J4496&lt;&gt;1,"",IF(I4496="SBJ","CB","?"))</f>
        <v> </v>
      </c>
      <c r="I4496" s="26" t="str">
        <f>IF(OR(E4496="",E4496="!!!",F4496="NEW"),"",INDEX(B4495:B$2,-1+SUMPRODUCT(MAX(ROW(E4495:E$2)*(E4496=E4495:E$2)))))</f>
        <v> </v>
      </c>
      <c r="J4496" s="26" t="str">
        <f>IF(OR(E4496="",E4496="!!!",F4496="NEW"),"",COUNTBLANK(OFFSET(A$1,,,SUMPRODUCT(MAX(ROW(E$2:E4496)*(E4496=E$2:E4496)))))-COUNTBLANK(OFFSET(A$1,,,SUMPRODUCT(MAX(ROW(E$1:E4495)*(E2=E$1:E4495))))))</f>
        <v> </v>
      </c>
      <c r="K4496" s="26" t="str">
        <f>IF(OR(E4496="",E4496="!!!",F4496="NEW"),"",INDEX(J$1:J4495,SUMPRODUCT(MAX(ROW(E$1:E4495)*(E4496=E$1:E4495)))))</f>
        <v> </v>
      </c>
      <c r="L4496" s="27"/>
    </row>
    <row r="4497" spans="1:12">
      <c r="A4497" s="20" t="s">
        <v>1584</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t="s">
        <v>1765</v>
      </c>
      <c r="B4498" s="21" t="s">
        <v>1229</v>
      </c>
      <c r="C4498" s="21" t="s">
        <v>1255</v>
      </c>
      <c r="D4498" s="21" t="s">
        <v>1217</v>
      </c>
      <c r="E4498" s="22">
        <f>IF(D4498="?OLD","!!!","")</f>
        <v/>
      </c>
      <c r="F4498" s="23" t="str">
        <f>IF(OR(E4498="",E4498="!!!"),"",IF(NOT(ISNA(VLOOKUP(E4498,E$1:E4497,1,FALSE()))),"OLD",IF(AND(E4498&lt;&gt;"",E4498&lt;&gt;"!!!"),"NEW","")))</f>
        <v> </v>
      </c>
      <c r="G4498" s="24" t="str">
        <f>IF(OR(E4498="",E4498="!!!"),"",IF(OR(J4498=0,AND(J4498=1,K4498=1),AND(J4498=1,I4498="SBJ"),AND(J4498=1,I4498=0)),"?IN_FOCUS",IF(J4498&lt;=2,"?ACTIVATED",IF(J4498&lt;&gt;"","?FAMILIAR",IF(F4498="NEW",IF(ISNA(VLOOKUP(E4498,#REF!,1,FALSE())),"?TYPE_IDENTIFIABLE","?REFERENTIAL"),"_")))))</f>
        <v> </v>
      </c>
      <c r="H4498" s="25" t="str">
        <f>IF(J4498&lt;&gt;1,"",IF(I4498="SBJ","CB","?"))</f>
        <v> </v>
      </c>
      <c r="I4498" s="26" t="str">
        <f>IF(OR(E4498="",E4498="!!!",F4498="NEW"),"",INDEX(B4497:B$2,-1+SUMPRODUCT(MAX(ROW(E4497:E$2)*(E4498=E4497:E$2)))))</f>
        <v> </v>
      </c>
      <c r="J4498" s="26" t="str">
        <f>IF(OR(E4498="",E4498="!!!",F4498="NEW"),"",COUNTBLANK(OFFSET(A$1,,,SUMPRODUCT(MAX(ROW(E$2:E4498)*(E4498=E$2:E4498)))))-COUNTBLANK(OFFSET(A$1,,,SUMPRODUCT(MAX(ROW(E$1:E4497)*(E2=E$1:E4497))))))</f>
        <v> </v>
      </c>
      <c r="K4498" s="26" t="str">
        <f>IF(OR(E4498="",E4498="!!!",F4498="NEW"),"",INDEX(J$1:J4497,SUMPRODUCT(MAX(ROW(E$1:E4497)*(E4498=E$1:E4497)))))</f>
        <v> </v>
      </c>
      <c r="L4498" s="27"/>
    </row>
    <row r="4499" spans="1:12">
      <c r="A4499" s="20" t="s">
        <v>1262</v>
      </c>
      <c r="E4499" s="22">
        <f>IF(D4499="?OLD","!!!","")</f>
        <v/>
      </c>
      <c r="F4499" s="23" t="str">
        <f>IF(OR(E4499="",E4499="!!!"),"",IF(NOT(ISNA(VLOOKUP(E4499,E$1:E4498,1,FALSE()))),"OLD",IF(AND(E4499&lt;&gt;"",E4499&lt;&gt;"!!!"),"NEW","")))</f>
        <v> </v>
      </c>
      <c r="G4499" s="24" t="str">
        <f>IF(OR(E4499="",E4499="!!!"),"",IF(OR(J4499=0,AND(J4499=1,K4499=1),AND(J4499=1,I4499="SBJ"),AND(J4499=1,I4499=0)),"?IN_FOCUS",IF(J4499&lt;=2,"?ACTIVATED",IF(J4499&lt;&gt;"","?FAMILIAR",IF(F4499="NEW",IF(ISNA(VLOOKUP(E4499,#REF!,1,FALSE())),"?TYPE_IDENTIFIABLE","?REFERENTIAL"),"_")))))</f>
        <v> </v>
      </c>
      <c r="H4499" s="25" t="str">
        <f>IF(J4499&lt;&gt;1,"",IF(I4499="SBJ","CB","?"))</f>
        <v> </v>
      </c>
      <c r="I4499" s="26" t="str">
        <f>IF(OR(E4499="",E4499="!!!",F4499="NEW"),"",INDEX(B4498:B$2,-1+SUMPRODUCT(MAX(ROW(E4498:E$2)*(E4499=E4498:E$2)))))</f>
        <v> </v>
      </c>
      <c r="J4499" s="26" t="str">
        <f>IF(OR(E4499="",E4499="!!!",F4499="NEW"),"",COUNTBLANK(OFFSET(A$1,,,SUMPRODUCT(MAX(ROW(E$2:E4499)*(E4499=E$2:E4499)))))-COUNTBLANK(OFFSET(A$1,,,SUMPRODUCT(MAX(ROW(E$1:E4498)*(E2=E$1:E4498))))))</f>
        <v> </v>
      </c>
      <c r="K4499" s="26" t="str">
        <f>IF(OR(E4499="",E4499="!!!",F4499="NEW"),"",INDEX(J$1:J4498,SUMPRODUCT(MAX(ROW(E$1:E4498)*(E4499=E$1:E4498)))))</f>
        <v> </v>
      </c>
      <c r="L4499" s="27"/>
    </row>
    <row r="4500" spans="1:12">
      <c r="A4500" s="20"/>
    </row>
    <row r="4501" spans="1:12">
      <c r="A4501" s="20" t="s">
        <v>2696</v>
      </c>
    </row>
    <row r="4502" spans="1:12">
      <c r="A4502" s="20" t="s">
        <v>2697</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t="s">
        <v>1277</v>
      </c>
      <c r="E4503" s="22">
        <f>IF(D4503="?OLD","!!!","")</f>
        <v/>
      </c>
      <c r="F4503" s="23" t="str">
        <f>IF(OR(E4503="",E4503="!!!"),"",IF(NOT(ISNA(VLOOKUP(E4503,E$1:E4502,1,FALSE()))),"OLD",IF(AND(E4503&lt;&gt;"",E4503&lt;&gt;"!!!"),"NEW","")))</f>
        <v> </v>
      </c>
      <c r="G4503" s="24" t="str">
        <f>IF(OR(E4503="",E4503="!!!"),"",IF(OR(J4503=0,AND(J4503=1,K4503=1),AND(J4503=1,I4503="SBJ"),AND(J4503=1,I4503=0)),"?IN_FOCUS",IF(J4503&lt;=2,"?ACTIVATED",IF(J4503&lt;&gt;"","?FAMILIAR",IF(F4503="NEW",IF(ISNA(VLOOKUP(E4503,#REF!,1,FALSE())),"?TYPE_IDENTIFIABLE","?REFERENTIAL"),"_")))))</f>
        <v> </v>
      </c>
      <c r="H4503" s="25" t="str">
        <f>IF(J4503&lt;&gt;1,"",IF(I4503="SBJ","CB","?"))</f>
        <v> </v>
      </c>
      <c r="I4503" s="26" t="str">
        <f>IF(OR(E4503="",E4503="!!!",F4503="NEW"),"",INDEX(B4502:B$2,-1+SUMPRODUCT(MAX(ROW(E4502:E$2)*(E4503=E4502:E$2)))))</f>
        <v> </v>
      </c>
      <c r="J4503" s="26" t="str">
        <f>IF(OR(E4503="",E4503="!!!",F4503="NEW"),"",COUNTBLANK(OFFSET(A$1,,,SUMPRODUCT(MAX(ROW(E$2:E4503)*(E4503=E$2:E4503)))))-COUNTBLANK(OFFSET(A$1,,,SUMPRODUCT(MAX(ROW(E$1:E4502)*(E2=E$1:E4502))))))</f>
        <v> </v>
      </c>
      <c r="K4503" s="26" t="str">
        <f>IF(OR(E4503="",E4503="!!!",F4503="NEW"),"",INDEX(J$1:J4502,SUMPRODUCT(MAX(ROW(E$1:E4502)*(E4503=E$1:E4502)))))</f>
        <v> </v>
      </c>
      <c r="L4503" s="27"/>
    </row>
    <row r="4504" spans="1:12">
      <c r="A4504" s="20" t="s">
        <v>1363</v>
      </c>
      <c r="E4504" s="22">
        <f>IF(D4504="?OLD","!!!","")</f>
        <v/>
      </c>
      <c r="F4504" s="23" t="str">
        <f>IF(OR(E4504="",E4504="!!!"),"",IF(NOT(ISNA(VLOOKUP(E4504,E$1:E4503,1,FALSE()))),"OLD",IF(AND(E4504&lt;&gt;"",E4504&lt;&gt;"!!!"),"NEW","")))</f>
        <v> </v>
      </c>
      <c r="G4504" s="24" t="str">
        <f>IF(OR(E4504="",E4504="!!!"),"",IF(OR(J4504=0,AND(J4504=1,K4504=1),AND(J4504=1,I4504="SBJ"),AND(J4504=1,I4504=0)),"?IN_FOCUS",IF(J4504&lt;=2,"?ACTIVATED",IF(J4504&lt;&gt;"","?FAMILIAR",IF(F4504="NEW",IF(ISNA(VLOOKUP(E4504,#REF!,1,FALSE())),"?TYPE_IDENTIFIABLE","?REFERENTIAL"),"_")))))</f>
        <v> </v>
      </c>
      <c r="H4504" s="25" t="str">
        <f>IF(J4504&lt;&gt;1,"",IF(I4504="SBJ","CB","?"))</f>
        <v> </v>
      </c>
      <c r="I4504" s="26" t="str">
        <f>IF(OR(E4504="",E4504="!!!",F4504="NEW"),"",INDEX(B4503:B$2,-1+SUMPRODUCT(MAX(ROW(E4503:E$2)*(E4504=E4503:E$2)))))</f>
        <v> </v>
      </c>
      <c r="J4504" s="26" t="str">
        <f>IF(OR(E4504="",E4504="!!!",F4504="NEW"),"",COUNTBLANK(OFFSET(A$1,,,SUMPRODUCT(MAX(ROW(E$2:E4504)*(E4504=E$2:E4504)))))-COUNTBLANK(OFFSET(A$1,,,SUMPRODUCT(MAX(ROW(E$1:E4503)*(E2=E$1:E4503))))))</f>
        <v> </v>
      </c>
      <c r="K4504" s="26" t="str">
        <f>IF(OR(E4504="",E4504="!!!",F4504="NEW"),"",INDEX(J$1:J4503,SUMPRODUCT(MAX(ROW(E$1:E4503)*(E4504=E$1:E4503)))))</f>
        <v> </v>
      </c>
      <c r="L4504" s="27"/>
    </row>
    <row r="4505" spans="1:12">
      <c r="A4505" s="20" t="s">
        <v>1273</v>
      </c>
      <c r="E4505" s="22">
        <f>IF(D4505="?OLD","!!!","")</f>
        <v/>
      </c>
      <c r="F4505" s="23" t="str">
        <f>IF(OR(E4505="",E4505="!!!"),"",IF(NOT(ISNA(VLOOKUP(E4505,E$1:E4504,1,FALSE()))),"OLD",IF(AND(E4505&lt;&gt;"",E4505&lt;&gt;"!!!"),"NEW","")))</f>
        <v> </v>
      </c>
      <c r="G4505" s="24" t="str">
        <f>IF(OR(E4505="",E4505="!!!"),"",IF(OR(J4505=0,AND(J4505=1,K4505=1),AND(J4505=1,I4505="SBJ"),AND(J4505=1,I4505=0)),"?IN_FOCUS",IF(J4505&lt;=2,"?ACTIVATED",IF(J4505&lt;&gt;"","?FAMILIAR",IF(F4505="NEW",IF(ISNA(VLOOKUP(E4505,#REF!,1,FALSE())),"?TYPE_IDENTIFIABLE","?REFERENTIAL"),"_")))))</f>
        <v> </v>
      </c>
      <c r="H4505" s="25" t="str">
        <f>IF(J4505&lt;&gt;1,"",IF(I4505="SBJ","CB","?"))</f>
        <v> </v>
      </c>
      <c r="I4505" s="26" t="str">
        <f>IF(OR(E4505="",E4505="!!!",F4505="NEW"),"",INDEX(B4504:B$2,-1+SUMPRODUCT(MAX(ROW(E4504:E$2)*(E4505=E4504:E$2)))))</f>
        <v> </v>
      </c>
      <c r="J4505" s="26" t="str">
        <f>IF(OR(E4505="",E4505="!!!",F4505="NEW"),"",COUNTBLANK(OFFSET(A$1,,,SUMPRODUCT(MAX(ROW(E$2:E4505)*(E4505=E$2:E4505)))))-COUNTBLANK(OFFSET(A$1,,,SUMPRODUCT(MAX(ROW(E$1:E4504)*(E2=E$1:E4504))))))</f>
        <v> </v>
      </c>
      <c r="K4505" s="26" t="str">
        <f>IF(OR(E4505="",E4505="!!!",F4505="NEW"),"",INDEX(J$1:J4504,SUMPRODUCT(MAX(ROW(E$1:E4504)*(E4505=E$1:E4504)))))</f>
        <v> </v>
      </c>
      <c r="L4505" s="27"/>
    </row>
    <row r="4506" spans="1:12">
      <c r="A4506" s="20" t="s">
        <v>1839</v>
      </c>
      <c r="B4506" s="21" t="s">
        <v>1244</v>
      </c>
      <c r="C4506" s="21" t="s">
        <v>1276</v>
      </c>
      <c r="D4506" s="21" t="s">
        <v>1217</v>
      </c>
      <c r="E4506" s="22">
        <f>IF(D4506="?OLD","!!!","")</f>
        <v/>
      </c>
      <c r="F4506" s="23" t="str">
        <f>IF(OR(E4506="",E4506="!!!"),"",IF(NOT(ISNA(VLOOKUP(E4506,E$1:E4505,1,FALSE()))),"OLD",IF(AND(E4506&lt;&gt;"",E4506&lt;&gt;"!!!"),"NEW","")))</f>
        <v> </v>
      </c>
      <c r="G4506" s="24" t="str">
        <f>IF(OR(E4506="",E4506="!!!"),"",IF(OR(J4506=0,AND(J4506=1,K4506=1),AND(J4506=1,I4506="SBJ"),AND(J4506=1,I4506=0)),"?IN_FOCUS",IF(J4506&lt;=2,"?ACTIVATED",IF(J4506&lt;&gt;"","?FAMILIAR",IF(F4506="NEW",IF(ISNA(VLOOKUP(E4506,#REF!,1,FALSE())),"?TYPE_IDENTIFIABLE","?REFERENTIAL"),"_")))))</f>
        <v> </v>
      </c>
      <c r="H4506" s="25" t="str">
        <f>IF(J4506&lt;&gt;1,"",IF(I4506="SBJ","CB","?"))</f>
        <v> </v>
      </c>
      <c r="I4506" s="26" t="str">
        <f>IF(OR(E4506="",E4506="!!!",F4506="NEW"),"",INDEX(B4505:B$2,-1+SUMPRODUCT(MAX(ROW(E4505:E$2)*(E4506=E4505:E$2)))))</f>
        <v> </v>
      </c>
      <c r="J4506" s="26" t="str">
        <f>IF(OR(E4506="",E4506="!!!",F4506="NEW"),"",COUNTBLANK(OFFSET(A$1,,,SUMPRODUCT(MAX(ROW(E$2:E4506)*(E4506=E$2:E4506)))))-COUNTBLANK(OFFSET(A$1,,,SUMPRODUCT(MAX(ROW(E$1:E4505)*(E2=E$1:E4505))))))</f>
        <v> </v>
      </c>
      <c r="K4506" s="26" t="str">
        <f>IF(OR(E4506="",E4506="!!!",F4506="NEW"),"",INDEX(J$1:J4505,SUMPRODUCT(MAX(ROW(E$1:E4505)*(E4506=E$1:E4505)))))</f>
        <v> </v>
      </c>
      <c r="L4506" s="27"/>
    </row>
    <row r="4507" spans="1:12">
      <c r="A4507" s="20" t="s">
        <v>2698</v>
      </c>
      <c r="E4507" s="22">
        <f>IF(D4507="?OLD","!!!","")</f>
        <v/>
      </c>
      <c r="F4507" s="23" t="str">
        <f>IF(OR(E4507="",E4507="!!!"),"",IF(NOT(ISNA(VLOOKUP(E4507,E$1:E4506,1,FALSE()))),"OLD",IF(AND(E4507&lt;&gt;"",E4507&lt;&gt;"!!!"),"NEW","")))</f>
        <v> </v>
      </c>
      <c r="G4507" s="24" t="str">
        <f>IF(OR(E4507="",E4507="!!!"),"",IF(OR(J4507=0,AND(J4507=1,K4507=1),AND(J4507=1,I4507="SBJ"),AND(J4507=1,I4507=0)),"?IN_FOCUS",IF(J4507&lt;=2,"?ACTIVATED",IF(J4507&lt;&gt;"","?FAMILIAR",IF(F4507="NEW",IF(ISNA(VLOOKUP(E4507,#REF!,1,FALSE())),"?TYPE_IDENTIFIABLE","?REFERENTIAL"),"_")))))</f>
        <v> </v>
      </c>
      <c r="H4507" s="25" t="str">
        <f>IF(J4507&lt;&gt;1,"",IF(I4507="SBJ","CB","?"))</f>
        <v> </v>
      </c>
      <c r="I4507" s="26" t="str">
        <f>IF(OR(E4507="",E4507="!!!",F4507="NEW"),"",INDEX(B4506:B$2,-1+SUMPRODUCT(MAX(ROW(E4506:E$2)*(E4507=E4506:E$2)))))</f>
        <v> </v>
      </c>
      <c r="J4507" s="26" t="str">
        <f>IF(OR(E4507="",E4507="!!!",F4507="NEW"),"",COUNTBLANK(OFFSET(A$1,,,SUMPRODUCT(MAX(ROW(E$2:E4507)*(E4507=E$2:E4507)))))-COUNTBLANK(OFFSET(A$1,,,SUMPRODUCT(MAX(ROW(E$1:E4506)*(E2=E$1:E4506))))))</f>
        <v> </v>
      </c>
      <c r="K4507" s="26" t="str">
        <f>IF(OR(E4507="",E4507="!!!",F4507="NEW"),"",INDEX(J$1:J4506,SUMPRODUCT(MAX(ROW(E$1:E4506)*(E4507=E$1:E4506)))))</f>
        <v> </v>
      </c>
      <c r="L4507" s="27"/>
    </row>
    <row r="4508" spans="1:12">
      <c r="A4508" s="20" t="s">
        <v>1277</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2699</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t="s">
        <v>1467</v>
      </c>
      <c r="B4510" s="21" t="s">
        <v>1215</v>
      </c>
      <c r="C4510" s="21" t="s">
        <v>1255</v>
      </c>
      <c r="D4510" s="21" t="s">
        <v>1217</v>
      </c>
      <c r="E4510" s="22">
        <f>IF(D4510="?OLD","!!!","")</f>
        <v/>
      </c>
      <c r="F4510" s="23" t="str">
        <f>IF(OR(E4510="",E4510="!!!"),"",IF(NOT(ISNA(VLOOKUP(E4510,E$1:E4509,1,FALSE()))),"OLD",IF(AND(E4510&lt;&gt;"",E4510&lt;&gt;"!!!"),"NEW","")))</f>
        <v> </v>
      </c>
      <c r="G4510" s="24" t="str">
        <f>IF(OR(E4510="",E4510="!!!"),"",IF(OR(J4510=0,AND(J4510=1,K4510=1),AND(J4510=1,I4510="SBJ"),AND(J4510=1,I4510=0)),"?IN_FOCUS",IF(J4510&lt;=2,"?ACTIVATED",IF(J4510&lt;&gt;"","?FAMILIAR",IF(F4510="NEW",IF(ISNA(VLOOKUP(E4510,#REF!,1,FALSE())),"?TYPE_IDENTIFIABLE","?REFERENTIAL"),"_")))))</f>
        <v> </v>
      </c>
      <c r="H4510" s="25" t="str">
        <f>IF(J4510&lt;&gt;1,"",IF(I4510="SBJ","CB","?"))</f>
        <v> </v>
      </c>
      <c r="I4510" s="26" t="str">
        <f>IF(OR(E4510="",E4510="!!!",F4510="NEW"),"",INDEX(B4509:B$2,-1+SUMPRODUCT(MAX(ROW(E4509:E$2)*(E4510=E4509:E$2)))))</f>
        <v> </v>
      </c>
      <c r="J4510" s="26" t="str">
        <f>IF(OR(E4510="",E4510="!!!",F4510="NEW"),"",COUNTBLANK(OFFSET(A$1,,,SUMPRODUCT(MAX(ROW(E$2:E4510)*(E4510=E$2:E4510)))))-COUNTBLANK(OFFSET(A$1,,,SUMPRODUCT(MAX(ROW(E$1:E4509)*(E2=E$1:E4509))))))</f>
        <v> </v>
      </c>
      <c r="K4510" s="26" t="str">
        <f>IF(OR(E4510="",E4510="!!!",F4510="NEW"),"",INDEX(J$1:J4509,SUMPRODUCT(MAX(ROW(E$1:E4509)*(E4510=E$1:E4509)))))</f>
        <v> </v>
      </c>
      <c r="L4510" s="27"/>
    </row>
    <row r="4511" spans="1:12">
      <c r="A4511" s="20" t="s">
        <v>1219</v>
      </c>
      <c r="E4511" s="22">
        <f>IF(D4511="?OLD","!!!","")</f>
        <v/>
      </c>
      <c r="F4511" s="23" t="str">
        <f>IF(OR(E4511="",E4511="!!!"),"",IF(NOT(ISNA(VLOOKUP(E4511,E$1:E4510,1,FALSE()))),"OLD",IF(AND(E4511&lt;&gt;"",E4511&lt;&gt;"!!!"),"NEW","")))</f>
        <v> </v>
      </c>
      <c r="G4511" s="24" t="str">
        <f>IF(OR(E4511="",E4511="!!!"),"",IF(OR(J4511=0,AND(J4511=1,K4511=1),AND(J4511=1,I4511="SBJ"),AND(J4511=1,I4511=0)),"?IN_FOCUS",IF(J4511&lt;=2,"?ACTIVATED",IF(J4511&lt;&gt;"","?FAMILIAR",IF(F4511="NEW",IF(ISNA(VLOOKUP(E4511,#REF!,1,FALSE())),"?TYPE_IDENTIFIABLE","?REFERENTIAL"),"_")))))</f>
        <v> </v>
      </c>
      <c r="H4511" s="25" t="str">
        <f>IF(J4511&lt;&gt;1,"",IF(I4511="SBJ","CB","?"))</f>
        <v> </v>
      </c>
      <c r="I4511" s="26" t="str">
        <f>IF(OR(E4511="",E4511="!!!",F4511="NEW"),"",INDEX(B4510:B$2,-1+SUMPRODUCT(MAX(ROW(E4510:E$2)*(E4511=E4510:E$2)))))</f>
        <v> </v>
      </c>
      <c r="J4511" s="26" t="str">
        <f>IF(OR(E4511="",E4511="!!!",F4511="NEW"),"",COUNTBLANK(OFFSET(A$1,,,SUMPRODUCT(MAX(ROW(E$2:E4511)*(E4511=E$2:E4511)))))-COUNTBLANK(OFFSET(A$1,,,SUMPRODUCT(MAX(ROW(E$1:E4510)*(E2=E$1:E4510))))))</f>
        <v> </v>
      </c>
      <c r="K4511" s="26" t="str">
        <f>IF(OR(E4511="",E4511="!!!",F4511="NEW"),"",INDEX(J$1:J4510,SUMPRODUCT(MAX(ROW(E$1:E4510)*(E4511=E$1:E4510)))))</f>
        <v> </v>
      </c>
      <c r="L4511" s="27"/>
    </row>
    <row r="4512" spans="1:12">
      <c r="A4512" s="20" t="s">
        <v>2700</v>
      </c>
      <c r="B4512" s="21" t="s">
        <v>1275</v>
      </c>
      <c r="C4512" s="21" t="s">
        <v>1269</v>
      </c>
      <c r="D4512" s="21" t="s">
        <v>1217</v>
      </c>
      <c r="E4512" s="22">
        <f>IF(D4512="?OLD","!!!","")</f>
        <v/>
      </c>
      <c r="F4512" s="23" t="str">
        <f>IF(OR(E4512="",E4512="!!!"),"",IF(NOT(ISNA(VLOOKUP(E4512,E$1:E4511,1,FALSE()))),"OLD",IF(AND(E4512&lt;&gt;"",E4512&lt;&gt;"!!!"),"NEW","")))</f>
        <v> </v>
      </c>
      <c r="G4512" s="24" t="str">
        <f>IF(OR(E4512="",E4512="!!!"),"",IF(OR(J4512=0,AND(J4512=1,K4512=1),AND(J4512=1,I4512="SBJ"),AND(J4512=1,I4512=0)),"?IN_FOCUS",IF(J4512&lt;=2,"?ACTIVATED",IF(J4512&lt;&gt;"","?FAMILIAR",IF(F4512="NEW",IF(ISNA(VLOOKUP(E4512,#REF!,1,FALSE())),"?TYPE_IDENTIFIABLE","?REFERENTIAL"),"_")))))</f>
        <v> </v>
      </c>
      <c r="H4512" s="25" t="str">
        <f>IF(J4512&lt;&gt;1,"",IF(I4512="SBJ","CB","?"))</f>
        <v> </v>
      </c>
      <c r="I4512" s="26" t="str">
        <f>IF(OR(E4512="",E4512="!!!",F4512="NEW"),"",INDEX(B4511:B$2,-1+SUMPRODUCT(MAX(ROW(E4511:E$2)*(E4512=E4511:E$2)))))</f>
        <v> </v>
      </c>
      <c r="J4512" s="26" t="str">
        <f>IF(OR(E4512="",E4512="!!!",F4512="NEW"),"",COUNTBLANK(OFFSET(A$1,,,SUMPRODUCT(MAX(ROW(E$2:E4512)*(E4512=E$2:E4512)))))-COUNTBLANK(OFFSET(A$1,,,SUMPRODUCT(MAX(ROW(E$1:E4511)*(E2=E$1:E4511))))))</f>
        <v> </v>
      </c>
      <c r="K4512" s="26" t="str">
        <f>IF(OR(E4512="",E4512="!!!",F4512="NEW"),"",INDEX(J$1:J4511,SUMPRODUCT(MAX(ROW(E$1:E4511)*(E4512=E$1:E4511)))))</f>
        <v> </v>
      </c>
      <c r="L4512" s="27"/>
    </row>
    <row r="4513" spans="1:12">
      <c r="A4513" s="20" t="s">
        <v>1251</v>
      </c>
      <c r="B4513" s="21" t="s">
        <v>1283</v>
      </c>
      <c r="E4513" s="22">
        <f>IF(D4513="?OLD","!!!","")</f>
        <v/>
      </c>
      <c r="F4513" s="23" t="str">
        <f>IF(OR(E4513="",E4513="!!!"),"",IF(NOT(ISNA(VLOOKUP(E4513,E$1:E4512,1,FALSE()))),"OLD",IF(AND(E4513&lt;&gt;"",E4513&lt;&gt;"!!!"),"NEW","")))</f>
        <v> </v>
      </c>
      <c r="G4513" s="24" t="str">
        <f>IF(OR(E4513="",E4513="!!!"),"",IF(OR(J4513=0,AND(J4513=1,K4513=1),AND(J4513=1,I4513="SBJ"),AND(J4513=1,I4513=0)),"?IN_FOCUS",IF(J4513&lt;=2,"?ACTIVATED",IF(J4513&lt;&gt;"","?FAMILIAR",IF(F4513="NEW",IF(ISNA(VLOOKUP(E4513,#REF!,1,FALSE())),"?TYPE_IDENTIFIABLE","?REFERENTIAL"),"_")))))</f>
        <v> </v>
      </c>
      <c r="H4513" s="25" t="str">
        <f>IF(J4513&lt;&gt;1,"",IF(I4513="SBJ","CB","?"))</f>
        <v> </v>
      </c>
      <c r="I4513" s="26" t="str">
        <f>IF(OR(E4513="",E4513="!!!",F4513="NEW"),"",INDEX(B4512:B$2,-1+SUMPRODUCT(MAX(ROW(E4512:E$2)*(E4513=E4512:E$2)))))</f>
        <v> </v>
      </c>
      <c r="J4513" s="26" t="str">
        <f>IF(OR(E4513="",E4513="!!!",F4513="NEW"),"",COUNTBLANK(OFFSET(A$1,,,SUMPRODUCT(MAX(ROW(E$2:E4513)*(E4513=E$2:E4513)))))-COUNTBLANK(OFFSET(A$1,,,SUMPRODUCT(MAX(ROW(E$1:E4512)*(E2=E$1:E4512))))))</f>
        <v> </v>
      </c>
      <c r="K4513" s="26" t="str">
        <f>IF(OR(E4513="",E4513="!!!",F4513="NEW"),"",INDEX(J$1:J4512,SUMPRODUCT(MAX(ROW(E$1:E4512)*(E4513=E$1:E4512)))))</f>
        <v> </v>
      </c>
      <c r="L4513" s="27"/>
    </row>
    <row r="4514" spans="1:12">
      <c r="A4514" s="20" t="s">
        <v>2701</v>
      </c>
      <c r="E4514" s="22">
        <f>IF(D4514="?OLD","!!!","")</f>
        <v/>
      </c>
      <c r="F4514" s="23" t="str">
        <f>IF(OR(E4514="",E4514="!!!"),"",IF(NOT(ISNA(VLOOKUP(E4514,E$1:E4513,1,FALSE()))),"OLD",IF(AND(E4514&lt;&gt;"",E4514&lt;&gt;"!!!"),"NEW","")))</f>
        <v> </v>
      </c>
      <c r="G4514" s="24" t="str">
        <f>IF(OR(E4514="",E4514="!!!"),"",IF(OR(J4514=0,AND(J4514=1,K4514=1),AND(J4514=1,I4514="SBJ"),AND(J4514=1,I4514=0)),"?IN_FOCUS",IF(J4514&lt;=2,"?ACTIVATED",IF(J4514&lt;&gt;"","?FAMILIAR",IF(F4514="NEW",IF(ISNA(VLOOKUP(E4514,#REF!,1,FALSE())),"?TYPE_IDENTIFIABLE","?REFERENTIAL"),"_")))))</f>
        <v> </v>
      </c>
      <c r="H4514" s="25" t="str">
        <f>IF(J4514&lt;&gt;1,"",IF(I4514="SBJ","CB","?"))</f>
        <v> </v>
      </c>
      <c r="I4514" s="26" t="str">
        <f>IF(OR(E4514="",E4514="!!!",F4514="NEW"),"",INDEX(B4513:B$2,-1+SUMPRODUCT(MAX(ROW(E4513:E$2)*(E4514=E4513:E$2)))))</f>
        <v> </v>
      </c>
      <c r="J4514" s="26" t="str">
        <f>IF(OR(E4514="",E4514="!!!",F4514="NEW"),"",COUNTBLANK(OFFSET(A$1,,,SUMPRODUCT(MAX(ROW(E$2:E4514)*(E4514=E$2:E4514)))))-COUNTBLANK(OFFSET(A$1,,,SUMPRODUCT(MAX(ROW(E$1:E4513)*(E2=E$1:E4513))))))</f>
        <v> </v>
      </c>
      <c r="K4514" s="26" t="str">
        <f>IF(OR(E4514="",E4514="!!!",F4514="NEW"),"",INDEX(J$1:J4513,SUMPRODUCT(MAX(ROW(E$1:E4513)*(E4514=E$1:E4513)))))</f>
        <v> </v>
      </c>
      <c r="L4514" s="27"/>
    </row>
    <row r="4515" spans="1:12">
      <c r="A4515" s="20" t="s">
        <v>1266</v>
      </c>
      <c r="E4515" s="22">
        <f>IF(D4515="?OLD","!!!","")</f>
        <v/>
      </c>
      <c r="F4515" s="23" t="str">
        <f>IF(OR(E4515="",E4515="!!!"),"",IF(NOT(ISNA(VLOOKUP(E4515,E$1:E4514,1,FALSE()))),"OLD",IF(AND(E4515&lt;&gt;"",E4515&lt;&gt;"!!!"),"NEW","")))</f>
        <v> </v>
      </c>
      <c r="G4515" s="24" t="str">
        <f>IF(OR(E4515="",E4515="!!!"),"",IF(OR(J4515=0,AND(J4515=1,K4515=1),AND(J4515=1,I4515="SBJ"),AND(J4515=1,I4515=0)),"?IN_FOCUS",IF(J4515&lt;=2,"?ACTIVATED",IF(J4515&lt;&gt;"","?FAMILIAR",IF(F4515="NEW",IF(ISNA(VLOOKUP(E4515,#REF!,1,FALSE())),"?TYPE_IDENTIFIABLE","?REFERENTIAL"),"_")))))</f>
        <v> </v>
      </c>
      <c r="H4515" s="25" t="str">
        <f>IF(J4515&lt;&gt;1,"",IF(I4515="SBJ","CB","?"))</f>
        <v> </v>
      </c>
      <c r="I4515" s="26" t="str">
        <f>IF(OR(E4515="",E4515="!!!",F4515="NEW"),"",INDEX(B4514:B$2,-1+SUMPRODUCT(MAX(ROW(E4514:E$2)*(E4515=E4514:E$2)))))</f>
        <v> </v>
      </c>
      <c r="J4515" s="26" t="str">
        <f>IF(OR(E4515="",E4515="!!!",F4515="NEW"),"",COUNTBLANK(OFFSET(A$1,,,SUMPRODUCT(MAX(ROW(E$2:E4515)*(E4515=E$2:E4515)))))-COUNTBLANK(OFFSET(A$1,,,SUMPRODUCT(MAX(ROW(E$1:E4514)*(E2=E$1:E4514))))))</f>
        <v> </v>
      </c>
      <c r="K4515" s="26" t="str">
        <f>IF(OR(E4515="",E4515="!!!",F4515="NEW"),"",INDEX(J$1:J4514,SUMPRODUCT(MAX(ROW(E$1:E4514)*(E4515=E$1:E4514)))))</f>
        <v> </v>
      </c>
      <c r="L4515" s="27"/>
    </row>
    <row r="4516" spans="1:12">
      <c r="A4516" s="20" t="s">
        <v>2702</v>
      </c>
      <c r="B4516" s="21" t="s">
        <v>1237</v>
      </c>
      <c r="C4516" s="21" t="s">
        <v>1269</v>
      </c>
      <c r="D4516" s="21" t="s">
        <v>1217</v>
      </c>
      <c r="E4516" s="22">
        <f>IF(D4516="?OLD","!!!","")</f>
        <v/>
      </c>
      <c r="F4516" s="23" t="str">
        <f>IF(OR(E4516="",E4516="!!!"),"",IF(NOT(ISNA(VLOOKUP(E4516,E$1:E4515,1,FALSE()))),"OLD",IF(AND(E4516&lt;&gt;"",E4516&lt;&gt;"!!!"),"NEW","")))</f>
        <v> </v>
      </c>
      <c r="G4516" s="24" t="str">
        <f>IF(OR(E4516="",E4516="!!!"),"",IF(OR(J4516=0,AND(J4516=1,K4516=1),AND(J4516=1,I4516="SBJ"),AND(J4516=1,I4516=0)),"?IN_FOCUS",IF(J4516&lt;=2,"?ACTIVATED",IF(J4516&lt;&gt;"","?FAMILIAR",IF(F4516="NEW",IF(ISNA(VLOOKUP(E4516,#REF!,1,FALSE())),"?TYPE_IDENTIFIABLE","?REFERENTIAL"),"_")))))</f>
        <v> </v>
      </c>
      <c r="H4516" s="25" t="str">
        <f>IF(J4516&lt;&gt;1,"",IF(I4516="SBJ","CB","?"))</f>
        <v> </v>
      </c>
      <c r="I4516" s="26" t="str">
        <f>IF(OR(E4516="",E4516="!!!",F4516="NEW"),"",INDEX(B4515:B$2,-1+SUMPRODUCT(MAX(ROW(E4515:E$2)*(E4516=E4515:E$2)))))</f>
        <v> </v>
      </c>
      <c r="J4516" s="26" t="str">
        <f>IF(OR(E4516="",E4516="!!!",F4516="NEW"),"",COUNTBLANK(OFFSET(A$1,,,SUMPRODUCT(MAX(ROW(E$2:E4516)*(E4516=E$2:E4516)))))-COUNTBLANK(OFFSET(A$1,,,SUMPRODUCT(MAX(ROW(E$1:E4515)*(E2=E$1:E4515))))))</f>
        <v> </v>
      </c>
      <c r="K4516" s="26" t="str">
        <f>IF(OR(E4516="",E4516="!!!",F4516="NEW"),"",INDEX(J$1:J4515,SUMPRODUCT(MAX(ROW(E$1:E4515)*(E4516=E$1:E4515)))))</f>
        <v> </v>
      </c>
      <c r="L4516" s="27"/>
    </row>
    <row r="4517" spans="1:12">
      <c r="A4517" s="20" t="s">
        <v>1457</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1611</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row>
    <row r="4520" spans="1:12">
      <c r="A4520" s="20" t="s">
        <v>2703</v>
      </c>
    </row>
    <row r="4521" spans="1:12">
      <c r="A4521" s="20" t="s">
        <v>1334</v>
      </c>
      <c r="B4521" s="21" t="s">
        <v>1215</v>
      </c>
      <c r="C4521" s="21" t="s">
        <v>1255</v>
      </c>
      <c r="D4521" s="21" t="s">
        <v>1217</v>
      </c>
      <c r="E4521" s="22">
        <f>IF(D4521="?OLD","!!!","")</f>
        <v/>
      </c>
      <c r="F4521" s="23" t="str">
        <f>IF(OR(E4521="",E4521="!!!"),"",IF(NOT(ISNA(VLOOKUP(E4521,E$1:E4520,1,FALSE()))),"OLD",IF(AND(E4521&lt;&gt;"",E4521&lt;&gt;"!!!"),"NEW","")))</f>
        <v> </v>
      </c>
      <c r="G4521" s="24" t="str">
        <f>IF(OR(E4521="",E4521="!!!"),"",IF(OR(J4521=0,AND(J4521=1,K4521=1),AND(J4521=1,I4521="SBJ"),AND(J4521=1,I4521=0)),"?IN_FOCUS",IF(J4521&lt;=2,"?ACTIVATED",IF(J4521&lt;&gt;"","?FAMILIAR",IF(F4521="NEW",IF(ISNA(VLOOKUP(E4521,#REF!,1,FALSE())),"?TYPE_IDENTIFIABLE","?REFERENTIAL"),"_")))))</f>
        <v> </v>
      </c>
      <c r="H4521" s="25" t="str">
        <f>IF(J4521&lt;&gt;1,"",IF(I4521="SBJ","CB","?"))</f>
        <v> </v>
      </c>
      <c r="I4521" s="26" t="str">
        <f>IF(OR(E4521="",E4521="!!!",F4521="NEW"),"",INDEX(B4520:B$2,-1+SUMPRODUCT(MAX(ROW(E4520:E$2)*(E4521=E4520:E$2)))))</f>
        <v> </v>
      </c>
      <c r="J4521" s="26" t="str">
        <f>IF(OR(E4521="",E4521="!!!",F4521="NEW"),"",COUNTBLANK(OFFSET(A$1,,,SUMPRODUCT(MAX(ROW(E$2:E4521)*(E4521=E$2:E4521)))))-COUNTBLANK(OFFSET(A$1,,,SUMPRODUCT(MAX(ROW(E$1:E4520)*(E2=E$1:E4520))))))</f>
        <v> </v>
      </c>
      <c r="K4521" s="26" t="str">
        <f>IF(OR(E4521="",E4521="!!!",F4521="NEW"),"",INDEX(J$1:J4520,SUMPRODUCT(MAX(ROW(E$1:E4520)*(E4521=E$1:E4520)))))</f>
        <v> </v>
      </c>
      <c r="L4521" s="27"/>
    </row>
    <row r="4522" spans="1:12">
      <c r="A4522" s="20" t="s">
        <v>1219</v>
      </c>
      <c r="B4522" s="21" t="s">
        <v>1275</v>
      </c>
      <c r="C4522" s="21" t="s">
        <v>1255</v>
      </c>
      <c r="D4522" s="21" t="s">
        <v>1217</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2295</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t="s">
        <v>2704</v>
      </c>
      <c r="E4524" s="22">
        <f>IF(D4524="?OLD","!!!","")</f>
        <v/>
      </c>
      <c r="F4524" s="23" t="str">
        <f>IF(OR(E4524="",E4524="!!!"),"",IF(NOT(ISNA(VLOOKUP(E4524,E$1:E4523,1,FALSE()))),"OLD",IF(AND(E4524&lt;&gt;"",E4524&lt;&gt;"!!!"),"NEW","")))</f>
        <v> </v>
      </c>
      <c r="G4524" s="24" t="str">
        <f>IF(OR(E4524="",E4524="!!!"),"",IF(OR(J4524=0,AND(J4524=1,K4524=1),AND(J4524=1,I4524="SBJ"),AND(J4524=1,I4524=0)),"?IN_FOCUS",IF(J4524&lt;=2,"?ACTIVATED",IF(J4524&lt;&gt;"","?FAMILIAR",IF(F4524="NEW",IF(ISNA(VLOOKUP(E4524,#REF!,1,FALSE())),"?TYPE_IDENTIFIABLE","?REFERENTIAL"),"_")))))</f>
        <v> </v>
      </c>
      <c r="H4524" s="25" t="str">
        <f>IF(J4524&lt;&gt;1,"",IF(I4524="SBJ","CB","?"))</f>
        <v> </v>
      </c>
      <c r="I4524" s="26" t="str">
        <f>IF(OR(E4524="",E4524="!!!",F4524="NEW"),"",INDEX(B4523:B$2,-1+SUMPRODUCT(MAX(ROW(E4523:E$2)*(E4524=E4523:E$2)))))</f>
        <v> </v>
      </c>
      <c r="J4524" s="26" t="str">
        <f>IF(OR(E4524="",E4524="!!!",F4524="NEW"),"",COUNTBLANK(OFFSET(A$1,,,SUMPRODUCT(MAX(ROW(E$2:E4524)*(E4524=E$2:E4524)))))-COUNTBLANK(OFFSET(A$1,,,SUMPRODUCT(MAX(ROW(E$1:E4523)*(E2=E$1:E4523))))))</f>
        <v> </v>
      </c>
      <c r="K4524" s="26" t="str">
        <f>IF(OR(E4524="",E4524="!!!",F4524="NEW"),"",INDEX(J$1:J4523,SUMPRODUCT(MAX(ROW(E$1:E4523)*(E4524=E$1:E4523)))))</f>
        <v> </v>
      </c>
      <c r="L4524" s="27"/>
    </row>
    <row r="4525" spans="1:12">
      <c r="A4525" s="20" t="s">
        <v>2705</v>
      </c>
      <c r="E4525" s="22">
        <f>IF(D4525="?OLD","!!!","")</f>
        <v/>
      </c>
      <c r="F4525" s="23" t="str">
        <f>IF(OR(E4525="",E4525="!!!"),"",IF(NOT(ISNA(VLOOKUP(E4525,E$1:E4524,1,FALSE()))),"OLD",IF(AND(E4525&lt;&gt;"",E4525&lt;&gt;"!!!"),"NEW","")))</f>
        <v> </v>
      </c>
      <c r="G4525" s="24" t="str">
        <f>IF(OR(E4525="",E4525="!!!"),"",IF(OR(J4525=0,AND(J4525=1,K4525=1),AND(J4525=1,I4525="SBJ"),AND(J4525=1,I4525=0)),"?IN_FOCUS",IF(J4525&lt;=2,"?ACTIVATED",IF(J4525&lt;&gt;"","?FAMILIAR",IF(F4525="NEW",IF(ISNA(VLOOKUP(E4525,#REF!,1,FALSE())),"?TYPE_IDENTIFIABLE","?REFERENTIAL"),"_")))))</f>
        <v> </v>
      </c>
      <c r="H4525" s="25" t="str">
        <f>IF(J4525&lt;&gt;1,"",IF(I4525="SBJ","CB","?"))</f>
        <v> </v>
      </c>
      <c r="I4525" s="26" t="str">
        <f>IF(OR(E4525="",E4525="!!!",F4525="NEW"),"",INDEX(B4524:B$2,-1+SUMPRODUCT(MAX(ROW(E4524:E$2)*(E4525=E4524:E$2)))))</f>
        <v> </v>
      </c>
      <c r="J4525" s="26" t="str">
        <f>IF(OR(E4525="",E4525="!!!",F4525="NEW"),"",COUNTBLANK(OFFSET(A$1,,,SUMPRODUCT(MAX(ROW(E$2:E4525)*(E4525=E$2:E4525)))))-COUNTBLANK(OFFSET(A$1,,,SUMPRODUCT(MAX(ROW(E$1:E4524)*(E2=E$1:E4524))))))</f>
        <v> </v>
      </c>
      <c r="K4525" s="26" t="str">
        <f>IF(OR(E4525="",E4525="!!!",F4525="NEW"),"",INDEX(J$1:J4524,SUMPRODUCT(MAX(ROW(E$1:E4524)*(E4525=E$1:E4524)))))</f>
        <v> </v>
      </c>
      <c r="L4525" s="27"/>
    </row>
    <row r="4526" spans="1:12">
      <c r="A4526" s="20" t="s">
        <v>1277</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1443</v>
      </c>
      <c r="B4527" s="21" t="s">
        <v>1244</v>
      </c>
      <c r="C4527" s="21" t="s">
        <v>1255</v>
      </c>
      <c r="D4527" s="21" t="s">
        <v>1217</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t="s">
        <v>1286</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1486</v>
      </c>
      <c r="B4529" s="21" t="s">
        <v>1221</v>
      </c>
      <c r="C4529" s="21" t="s">
        <v>1216</v>
      </c>
      <c r="D4529" s="21" t="s">
        <v>1217</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1277</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1307</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2706</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t="s">
        <v>1266</v>
      </c>
      <c r="E4533" s="22">
        <f>IF(D4533="?OLD","!!!","")</f>
        <v/>
      </c>
      <c r="F4533" s="23" t="str">
        <f>IF(OR(E4533="",E4533="!!!"),"",IF(NOT(ISNA(VLOOKUP(E4533,E$1:E4532,1,FALSE()))),"OLD",IF(AND(E4533&lt;&gt;"",E4533&lt;&gt;"!!!"),"NEW","")))</f>
        <v> </v>
      </c>
      <c r="G4533" s="24" t="str">
        <f>IF(OR(E4533="",E4533="!!!"),"",IF(OR(J4533=0,AND(J4533=1,K4533=1),AND(J4533=1,I4533="SBJ"),AND(J4533=1,I4533=0)),"?IN_FOCUS",IF(J4533&lt;=2,"?ACTIVATED",IF(J4533&lt;&gt;"","?FAMILIAR",IF(F4533="NEW",IF(ISNA(VLOOKUP(E4533,#REF!,1,FALSE())),"?TYPE_IDENTIFIABLE","?REFERENTIAL"),"_")))))</f>
        <v> </v>
      </c>
      <c r="H4533" s="25" t="str">
        <f>IF(J4533&lt;&gt;1,"",IF(I4533="SBJ","CB","?"))</f>
        <v> </v>
      </c>
      <c r="I4533" s="26" t="str">
        <f>IF(OR(E4533="",E4533="!!!",F4533="NEW"),"",INDEX(B4532:B$2,-1+SUMPRODUCT(MAX(ROW(E4532:E$2)*(E4533=E4532:E$2)))))</f>
        <v> </v>
      </c>
      <c r="J4533" s="26" t="str">
        <f>IF(OR(E4533="",E4533="!!!",F4533="NEW"),"",COUNTBLANK(OFFSET(A$1,,,SUMPRODUCT(MAX(ROW(E$2:E4533)*(E4533=E$2:E4533)))))-COUNTBLANK(OFFSET(A$1,,,SUMPRODUCT(MAX(ROW(E$1:E4532)*(E2=E$1:E4532))))))</f>
        <v> </v>
      </c>
      <c r="K4533" s="26" t="str">
        <f>IF(OR(E4533="",E4533="!!!",F4533="NEW"),"",INDEX(J$1:J4532,SUMPRODUCT(MAX(ROW(E$1:E4532)*(E4533=E$1:E4532)))))</f>
        <v> </v>
      </c>
      <c r="L4533" s="27"/>
    </row>
    <row r="4534" spans="1:12">
      <c r="A4534" s="20" t="s">
        <v>2659</v>
      </c>
      <c r="E4534" s="22">
        <f>IF(D4534="?OLD","!!!","")</f>
        <v/>
      </c>
      <c r="F4534" s="23" t="str">
        <f>IF(OR(E4534="",E4534="!!!"),"",IF(NOT(ISNA(VLOOKUP(E4534,E$1:E4533,1,FALSE()))),"OLD",IF(AND(E4534&lt;&gt;"",E4534&lt;&gt;"!!!"),"NEW","")))</f>
        <v> </v>
      </c>
      <c r="G4534" s="24" t="str">
        <f>IF(OR(E4534="",E4534="!!!"),"",IF(OR(J4534=0,AND(J4534=1,K4534=1),AND(J4534=1,I4534="SBJ"),AND(J4534=1,I4534=0)),"?IN_FOCUS",IF(J4534&lt;=2,"?ACTIVATED",IF(J4534&lt;&gt;"","?FAMILIAR",IF(F4534="NEW",IF(ISNA(VLOOKUP(E4534,#REF!,1,FALSE())),"?TYPE_IDENTIFIABLE","?REFERENTIAL"),"_")))))</f>
        <v> </v>
      </c>
      <c r="H4534" s="25" t="str">
        <f>IF(J4534&lt;&gt;1,"",IF(I4534="SBJ","CB","?"))</f>
        <v> </v>
      </c>
      <c r="I4534" s="26" t="str">
        <f>IF(OR(E4534="",E4534="!!!",F4534="NEW"),"",INDEX(B4533:B$2,-1+SUMPRODUCT(MAX(ROW(E4533:E$2)*(E4534=E4533:E$2)))))</f>
        <v> </v>
      </c>
      <c r="J4534" s="26" t="str">
        <f>IF(OR(E4534="",E4534="!!!",F4534="NEW"),"",COUNTBLANK(OFFSET(A$1,,,SUMPRODUCT(MAX(ROW(E$2:E4534)*(E4534=E$2:E4534)))))-COUNTBLANK(OFFSET(A$1,,,SUMPRODUCT(MAX(ROW(E$1:E4533)*(E2=E$1:E4533))))))</f>
        <v> </v>
      </c>
      <c r="K4534" s="26" t="str">
        <f>IF(OR(E4534="",E4534="!!!",F4534="NEW"),"",INDEX(J$1:J4533,SUMPRODUCT(MAX(ROW(E$1:E4533)*(E4534=E$1:E4533)))))</f>
        <v> </v>
      </c>
      <c r="L4534" s="27"/>
    </row>
    <row r="4535" spans="1:12">
      <c r="A4535" s="20" t="s">
        <v>2687</v>
      </c>
      <c r="B4535" s="21" t="s">
        <v>1249</v>
      </c>
      <c r="C4535" s="21" t="s">
        <v>1269</v>
      </c>
      <c r="D4535" s="21" t="s">
        <v>1217</v>
      </c>
      <c r="E4535" s="22">
        <f>IF(D4535="?OLD","!!!","")</f>
        <v/>
      </c>
      <c r="F4535" s="23" t="str">
        <f>IF(OR(E4535="",E4535="!!!"),"",IF(NOT(ISNA(VLOOKUP(E4535,E$1:E4534,1,FALSE()))),"OLD",IF(AND(E4535&lt;&gt;"",E4535&lt;&gt;"!!!"),"NEW","")))</f>
        <v> </v>
      </c>
      <c r="G4535" s="24" t="str">
        <f>IF(OR(E4535="",E4535="!!!"),"",IF(OR(J4535=0,AND(J4535=1,K4535=1),AND(J4535=1,I4535="SBJ"),AND(J4535=1,I4535=0)),"?IN_FOCUS",IF(J4535&lt;=2,"?ACTIVATED",IF(J4535&lt;&gt;"","?FAMILIAR",IF(F4535="NEW",IF(ISNA(VLOOKUP(E4535,#REF!,1,FALSE())),"?TYPE_IDENTIFIABLE","?REFERENTIAL"),"_")))))</f>
        <v> </v>
      </c>
      <c r="H4535" s="25" t="str">
        <f>IF(J4535&lt;&gt;1,"",IF(I4535="SBJ","CB","?"))</f>
        <v> </v>
      </c>
      <c r="I4535" s="26" t="str">
        <f>IF(OR(E4535="",E4535="!!!",F4535="NEW"),"",INDEX(B4534:B$2,-1+SUMPRODUCT(MAX(ROW(E4534:E$2)*(E4535=E4534:E$2)))))</f>
        <v> </v>
      </c>
      <c r="J4535" s="26" t="str">
        <f>IF(OR(E4535="",E4535="!!!",F4535="NEW"),"",COUNTBLANK(OFFSET(A$1,,,SUMPRODUCT(MAX(ROW(E$2:E4535)*(E4535=E$2:E4535)))))-COUNTBLANK(OFFSET(A$1,,,SUMPRODUCT(MAX(ROW(E$1:E4534)*(E2=E$1:E4534))))))</f>
        <v> </v>
      </c>
      <c r="K4535" s="26" t="str">
        <f>IF(OR(E4535="",E4535="!!!",F4535="NEW"),"",INDEX(J$1:J4534,SUMPRODUCT(MAX(ROW(E$1:E4534)*(E4535=E$1:E4534)))))</f>
        <v> </v>
      </c>
      <c r="L4535" s="27"/>
    </row>
    <row r="4536" spans="1:12">
      <c r="A4536" s="20" t="s">
        <v>2707</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1618</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row>
    <row r="4539" spans="1:12">
      <c r="A4539" s="20" t="s">
        <v>2708</v>
      </c>
    </row>
    <row r="4540" spans="1:12">
      <c r="A4540" s="20" t="s">
        <v>2709</v>
      </c>
      <c r="E4540" s="22">
        <f>IF(D4540="?OLD","!!!","")</f>
        <v/>
      </c>
      <c r="F4540" s="23" t="str">
        <f>IF(OR(E4540="",E4540="!!!"),"",IF(NOT(ISNA(VLOOKUP(E4540,E$1:E4539,1,FALSE()))),"OLD",IF(AND(E4540&lt;&gt;"",E4540&lt;&gt;"!!!"),"NEW","")))</f>
        <v> </v>
      </c>
      <c r="G4540" s="24" t="str">
        <f>IF(OR(E4540="",E4540="!!!"),"",IF(OR(J4540=0,AND(J4540=1,K4540=1),AND(J4540=1,I4540="SBJ"),AND(J4540=1,I4540=0)),"?IN_FOCUS",IF(J4540&lt;=2,"?ACTIVATED",IF(J4540&lt;&gt;"","?FAMILIAR",IF(F4540="NEW",IF(ISNA(VLOOKUP(E4540,#REF!,1,FALSE())),"?TYPE_IDENTIFIABLE","?REFERENTIAL"),"_")))))</f>
        <v> </v>
      </c>
      <c r="H4540" s="25" t="str">
        <f>IF(J4540&lt;&gt;1,"",IF(I4540="SBJ","CB","?"))</f>
        <v> </v>
      </c>
      <c r="I4540" s="26" t="str">
        <f>IF(OR(E4540="",E4540="!!!",F4540="NEW"),"",INDEX(B4539:B$2,-1+SUMPRODUCT(MAX(ROW(E4539:E$2)*(E4540=E4539:E$2)))))</f>
        <v> </v>
      </c>
      <c r="J4540" s="26" t="str">
        <f>IF(OR(E4540="",E4540="!!!",F4540="NEW"),"",COUNTBLANK(OFFSET(A$1,,,SUMPRODUCT(MAX(ROW(E$2:E4540)*(E4540=E$2:E4540)))))-COUNTBLANK(OFFSET(A$1,,,SUMPRODUCT(MAX(ROW(E$1:E4539)*(E2=E$1:E4539))))))</f>
        <v> </v>
      </c>
      <c r="K4540" s="26" t="str">
        <f>IF(OR(E4540="",E4540="!!!",F4540="NEW"),"",INDEX(J$1:J4539,SUMPRODUCT(MAX(ROW(E$1:E4539)*(E4540=E$1:E4539)))))</f>
        <v> </v>
      </c>
      <c r="L4540" s="27"/>
    </row>
    <row r="4541" spans="1:12">
      <c r="A4541" s="20" t="s">
        <v>1503</v>
      </c>
      <c r="E4541" s="22">
        <f>IF(D4541="?OLD","!!!","")</f>
        <v/>
      </c>
      <c r="F4541" s="23" t="str">
        <f>IF(OR(E4541="",E4541="!!!"),"",IF(NOT(ISNA(VLOOKUP(E4541,E$1:E4540,1,FALSE()))),"OLD",IF(AND(E4541&lt;&gt;"",E4541&lt;&gt;"!!!"),"NEW","")))</f>
        <v> </v>
      </c>
      <c r="G4541" s="24" t="str">
        <f>IF(OR(E4541="",E4541="!!!"),"",IF(OR(J4541=0,AND(J4541=1,K4541=1),AND(J4541=1,I4541="SBJ"),AND(J4541=1,I4541=0)),"?IN_FOCUS",IF(J4541&lt;=2,"?ACTIVATED",IF(J4541&lt;&gt;"","?FAMILIAR",IF(F4541="NEW",IF(ISNA(VLOOKUP(E4541,#REF!,1,FALSE())),"?TYPE_IDENTIFIABLE","?REFERENTIAL"),"_")))))</f>
        <v> </v>
      </c>
      <c r="H4541" s="25" t="str">
        <f>IF(J4541&lt;&gt;1,"",IF(I4541="SBJ","CB","?"))</f>
        <v> </v>
      </c>
      <c r="I4541" s="26" t="str">
        <f>IF(OR(E4541="",E4541="!!!",F4541="NEW"),"",INDEX(B4540:B$2,-1+SUMPRODUCT(MAX(ROW(E4540:E$2)*(E4541=E4540:E$2)))))</f>
        <v> </v>
      </c>
      <c r="J4541" s="26" t="str">
        <f>IF(OR(E4541="",E4541="!!!",F4541="NEW"),"",COUNTBLANK(OFFSET(A$1,,,SUMPRODUCT(MAX(ROW(E$2:E4541)*(E4541=E$2:E4541)))))-COUNTBLANK(OFFSET(A$1,,,SUMPRODUCT(MAX(ROW(E$1:E4540)*(E2=E$1:E4540))))))</f>
        <v> </v>
      </c>
      <c r="K4541" s="26" t="str">
        <f>IF(OR(E4541="",E4541="!!!",F4541="NEW"),"",INDEX(J$1:J4540,SUMPRODUCT(MAX(ROW(E$1:E4540)*(E4541=E$1:E4540)))))</f>
        <v> </v>
      </c>
      <c r="L4541" s="27"/>
    </row>
    <row r="4542" spans="1:12">
      <c r="A4542" s="20" t="s">
        <v>1373</v>
      </c>
      <c r="E4542" s="22">
        <f>IF(D4542="?OLD","!!!","")</f>
        <v/>
      </c>
      <c r="F4542" s="23" t="str">
        <f>IF(OR(E4542="",E4542="!!!"),"",IF(NOT(ISNA(VLOOKUP(E4542,E$1:E4541,1,FALSE()))),"OLD",IF(AND(E4542&lt;&gt;"",E4542&lt;&gt;"!!!"),"NEW","")))</f>
        <v> </v>
      </c>
      <c r="G4542" s="24" t="str">
        <f>IF(OR(E4542="",E4542="!!!"),"",IF(OR(J4542=0,AND(J4542=1,K4542=1),AND(J4542=1,I4542="SBJ"),AND(J4542=1,I4542=0)),"?IN_FOCUS",IF(J4542&lt;=2,"?ACTIVATED",IF(J4542&lt;&gt;"","?FAMILIAR",IF(F4542="NEW",IF(ISNA(VLOOKUP(E4542,#REF!,1,FALSE())),"?TYPE_IDENTIFIABLE","?REFERENTIAL"),"_")))))</f>
        <v> </v>
      </c>
      <c r="H4542" s="25" t="str">
        <f>IF(J4542&lt;&gt;1,"",IF(I4542="SBJ","CB","?"))</f>
        <v> </v>
      </c>
      <c r="I4542" s="26" t="str">
        <f>IF(OR(E4542="",E4542="!!!",F4542="NEW"),"",INDEX(B4541:B$2,-1+SUMPRODUCT(MAX(ROW(E4541:E$2)*(E4542=E4541:E$2)))))</f>
        <v> </v>
      </c>
      <c r="J4542" s="26" t="str">
        <f>IF(OR(E4542="",E4542="!!!",F4542="NEW"),"",COUNTBLANK(OFFSET(A$1,,,SUMPRODUCT(MAX(ROW(E$2:E4542)*(E4542=E$2:E4542)))))-COUNTBLANK(OFFSET(A$1,,,SUMPRODUCT(MAX(ROW(E$1:E4541)*(E2=E$1:E4541))))))</f>
        <v> </v>
      </c>
      <c r="K4542" s="26" t="str">
        <f>IF(OR(E4542="",E4542="!!!",F4542="NEW"),"",INDEX(J$1:J4541,SUMPRODUCT(MAX(ROW(E$1:E4541)*(E4542=E$1:E4541)))))</f>
        <v> </v>
      </c>
      <c r="L4542" s="27"/>
    </row>
    <row r="4543" spans="1:12">
      <c r="A4543" s="20" t="s">
        <v>565</v>
      </c>
      <c r="B4543" s="21" t="s">
        <v>1283</v>
      </c>
      <c r="C4543" s="21" t="s">
        <v>1255</v>
      </c>
      <c r="D4543" s="21" t="s">
        <v>1217</v>
      </c>
      <c r="E4543" s="22">
        <f>IF(D4543="?OLD","!!!","")</f>
        <v/>
      </c>
      <c r="F4543" s="23" t="str">
        <f>IF(OR(E4543="",E4543="!!!"),"",IF(NOT(ISNA(VLOOKUP(E4543,E$1:E4542,1,FALSE()))),"OLD",IF(AND(E4543&lt;&gt;"",E4543&lt;&gt;"!!!"),"NEW","")))</f>
        <v> </v>
      </c>
      <c r="G4543" s="24" t="str">
        <f>IF(OR(E4543="",E4543="!!!"),"",IF(OR(J4543=0,AND(J4543=1,K4543=1),AND(J4543=1,I4543="SBJ"),AND(J4543=1,I4543=0)),"?IN_FOCUS",IF(J4543&lt;=2,"?ACTIVATED",IF(J4543&lt;&gt;"","?FAMILIAR",IF(F4543="NEW",IF(ISNA(VLOOKUP(E4543,#REF!,1,FALSE())),"?TYPE_IDENTIFIABLE","?REFERENTIAL"),"_")))))</f>
        <v> </v>
      </c>
      <c r="H4543" s="25" t="str">
        <f>IF(J4543&lt;&gt;1,"",IF(I4543="SBJ","CB","?"))</f>
        <v> </v>
      </c>
      <c r="I4543" s="26" t="str">
        <f>IF(OR(E4543="",E4543="!!!",F4543="NEW"),"",INDEX(B4542:B$2,-1+SUMPRODUCT(MAX(ROW(E4542:E$2)*(E4543=E4542:E$2)))))</f>
        <v> </v>
      </c>
      <c r="J4543" s="26" t="str">
        <f>IF(OR(E4543="",E4543="!!!",F4543="NEW"),"",COUNTBLANK(OFFSET(A$1,,,SUMPRODUCT(MAX(ROW(E$2:E4543)*(E4543=E$2:E4543)))))-COUNTBLANK(OFFSET(A$1,,,SUMPRODUCT(MAX(ROW(E$1:E4542)*(E2=E$1:E4542))))))</f>
        <v> </v>
      </c>
      <c r="K4543" s="26" t="str">
        <f>IF(OR(E4543="",E4543="!!!",F4543="NEW"),"",INDEX(J$1:J4542,SUMPRODUCT(MAX(ROW(E$1:E4542)*(E4543=E$1:E4542)))))</f>
        <v> </v>
      </c>
      <c r="L4543" s="27"/>
    </row>
    <row r="4544" spans="1:12">
      <c r="A4544" s="20" t="s">
        <v>1381</v>
      </c>
      <c r="B4544" s="21" t="s">
        <v>1237</v>
      </c>
      <c r="C4544" s="21" t="s">
        <v>1255</v>
      </c>
      <c r="D4544" s="21" t="s">
        <v>1217</v>
      </c>
      <c r="E4544" s="22">
        <f>IF(D4544="?OLD","!!!","")</f>
        <v/>
      </c>
      <c r="F4544" s="23" t="str">
        <f>IF(OR(E4544="",E4544="!!!"),"",IF(NOT(ISNA(VLOOKUP(E4544,E$1:E4543,1,FALSE()))),"OLD",IF(AND(E4544&lt;&gt;"",E4544&lt;&gt;"!!!"),"NEW","")))</f>
        <v> </v>
      </c>
      <c r="G4544" s="24" t="str">
        <f>IF(OR(E4544="",E4544="!!!"),"",IF(OR(J4544=0,AND(J4544=1,K4544=1),AND(J4544=1,I4544="SBJ"),AND(J4544=1,I4544=0)),"?IN_FOCUS",IF(J4544&lt;=2,"?ACTIVATED",IF(J4544&lt;&gt;"","?FAMILIAR",IF(F4544="NEW",IF(ISNA(VLOOKUP(E4544,#REF!,1,FALSE())),"?TYPE_IDENTIFIABLE","?REFERENTIAL"),"_")))))</f>
        <v> </v>
      </c>
      <c r="H4544" s="25" t="str">
        <f>IF(J4544&lt;&gt;1,"",IF(I4544="SBJ","CB","?"))</f>
        <v> </v>
      </c>
      <c r="I4544" s="26" t="str">
        <f>IF(OR(E4544="",E4544="!!!",F4544="NEW"),"",INDEX(B4543:B$2,-1+SUMPRODUCT(MAX(ROW(E4543:E$2)*(E4544=E4543:E$2)))))</f>
        <v> </v>
      </c>
      <c r="J4544" s="26" t="str">
        <f>IF(OR(E4544="",E4544="!!!",F4544="NEW"),"",COUNTBLANK(OFFSET(A$1,,,SUMPRODUCT(MAX(ROW(E$2:E4544)*(E4544=E$2:E4544)))))-COUNTBLANK(OFFSET(A$1,,,SUMPRODUCT(MAX(ROW(E$1:E4543)*(E2=E$1:E4543))))))</f>
        <v> </v>
      </c>
      <c r="K4544" s="26" t="str">
        <f>IF(OR(E4544="",E4544="!!!",F4544="NEW"),"",INDEX(J$1:J4543,SUMPRODUCT(MAX(ROW(E$1:E4543)*(E4544=E$1:E4543)))))</f>
        <v> </v>
      </c>
      <c r="L4544" s="27"/>
    </row>
    <row r="4545" spans="1:12">
      <c r="A4545" s="20" t="s">
        <v>1348</v>
      </c>
      <c r="E4545" s="22">
        <f>IF(D4545="?OLD","!!!","")</f>
        <v/>
      </c>
      <c r="F4545" s="23" t="str">
        <f>IF(OR(E4545="",E4545="!!!"),"",IF(NOT(ISNA(VLOOKUP(E4545,E$1:E4544,1,FALSE()))),"OLD",IF(AND(E4545&lt;&gt;"",E4545&lt;&gt;"!!!"),"NEW","")))</f>
        <v> </v>
      </c>
      <c r="G4545" s="24" t="str">
        <f>IF(OR(E4545="",E4545="!!!"),"",IF(OR(J4545=0,AND(J4545=1,K4545=1),AND(J4545=1,I4545="SBJ"),AND(J4545=1,I4545=0)),"?IN_FOCUS",IF(J4545&lt;=2,"?ACTIVATED",IF(J4545&lt;&gt;"","?FAMILIAR",IF(F4545="NEW",IF(ISNA(VLOOKUP(E4545,#REF!,1,FALSE())),"?TYPE_IDENTIFIABLE","?REFERENTIAL"),"_")))))</f>
        <v> </v>
      </c>
      <c r="H4545" s="25" t="str">
        <f>IF(J4545&lt;&gt;1,"",IF(I4545="SBJ","CB","?"))</f>
        <v> </v>
      </c>
      <c r="I4545" s="26" t="str">
        <f>IF(OR(E4545="",E4545="!!!",F4545="NEW"),"",INDEX(B4544:B$2,-1+SUMPRODUCT(MAX(ROW(E4544:E$2)*(E4545=E4544:E$2)))))</f>
        <v> </v>
      </c>
      <c r="J4545" s="26" t="str">
        <f>IF(OR(E4545="",E4545="!!!",F4545="NEW"),"",COUNTBLANK(OFFSET(A$1,,,SUMPRODUCT(MAX(ROW(E$2:E4545)*(E4545=E$2:E4545)))))-COUNTBLANK(OFFSET(A$1,,,SUMPRODUCT(MAX(ROW(E$1:E4544)*(E2=E$1:E4544))))))</f>
        <v> </v>
      </c>
      <c r="K4545" s="26" t="str">
        <f>IF(OR(E4545="",E4545="!!!",F4545="NEW"),"",INDEX(J$1:J4544,SUMPRODUCT(MAX(ROW(E$1:E4544)*(E4545=E$1:E4544)))))</f>
        <v> </v>
      </c>
      <c r="L4545" s="27"/>
    </row>
    <row r="4546" spans="1:12">
      <c r="A4546" s="20" t="s">
        <v>1750</v>
      </c>
      <c r="E4546" s="22">
        <f>IF(D4546="?OLD","!!!","")</f>
        <v/>
      </c>
      <c r="F4546" s="23" t="str">
        <f>IF(OR(E4546="",E4546="!!!"),"",IF(NOT(ISNA(VLOOKUP(E4546,E$1:E4545,1,FALSE()))),"OLD",IF(AND(E4546&lt;&gt;"",E4546&lt;&gt;"!!!"),"NEW","")))</f>
        <v> </v>
      </c>
      <c r="G4546" s="24" t="str">
        <f>IF(OR(E4546="",E4546="!!!"),"",IF(OR(J4546=0,AND(J4546=1,K4546=1),AND(J4546=1,I4546="SBJ"),AND(J4546=1,I4546=0)),"?IN_FOCUS",IF(J4546&lt;=2,"?ACTIVATED",IF(J4546&lt;&gt;"","?FAMILIAR",IF(F4546="NEW",IF(ISNA(VLOOKUP(E4546,#REF!,1,FALSE())),"?TYPE_IDENTIFIABLE","?REFERENTIAL"),"_")))))</f>
        <v> </v>
      </c>
      <c r="H4546" s="25" t="str">
        <f>IF(J4546&lt;&gt;1,"",IF(I4546="SBJ","CB","?"))</f>
        <v> </v>
      </c>
      <c r="I4546" s="26" t="str">
        <f>IF(OR(E4546="",E4546="!!!",F4546="NEW"),"",INDEX(B4545:B$2,-1+SUMPRODUCT(MAX(ROW(E4545:E$2)*(E4546=E4545:E$2)))))</f>
        <v> </v>
      </c>
      <c r="J4546" s="26" t="str">
        <f>IF(OR(E4546="",E4546="!!!",F4546="NEW"),"",COUNTBLANK(OFFSET(A$1,,,SUMPRODUCT(MAX(ROW(E$2:E4546)*(E4546=E$2:E4546)))))-COUNTBLANK(OFFSET(A$1,,,SUMPRODUCT(MAX(ROW(E$1:E4545)*(E2=E$1:E4545))))))</f>
        <v> </v>
      </c>
      <c r="K4546" s="26" t="str">
        <f>IF(OR(E4546="",E4546="!!!",F4546="NEW"),"",INDEX(J$1:J4545,SUMPRODUCT(MAX(ROW(E$1:E4545)*(E4546=E$1:E4545)))))</f>
        <v> </v>
      </c>
      <c r="L4546" s="27"/>
    </row>
    <row r="4547" spans="1:12">
      <c r="A4547" s="20" t="s">
        <v>2710</v>
      </c>
      <c r="E4547" s="22">
        <f>IF(D4547="?OLD","!!!","")</f>
        <v/>
      </c>
      <c r="F4547" s="23" t="str">
        <f>IF(OR(E4547="",E4547="!!!"),"",IF(NOT(ISNA(VLOOKUP(E4547,E$1:E4546,1,FALSE()))),"OLD",IF(AND(E4547&lt;&gt;"",E4547&lt;&gt;"!!!"),"NEW","")))</f>
        <v> </v>
      </c>
      <c r="G4547" s="24" t="str">
        <f>IF(OR(E4547="",E4547="!!!"),"",IF(OR(J4547=0,AND(J4547=1,K4547=1),AND(J4547=1,I4547="SBJ"),AND(J4547=1,I4547=0)),"?IN_FOCUS",IF(J4547&lt;=2,"?ACTIVATED",IF(J4547&lt;&gt;"","?FAMILIAR",IF(F4547="NEW",IF(ISNA(VLOOKUP(E4547,#REF!,1,FALSE())),"?TYPE_IDENTIFIABLE","?REFERENTIAL"),"_")))))</f>
        <v> </v>
      </c>
      <c r="H4547" s="25" t="str">
        <f>IF(J4547&lt;&gt;1,"",IF(I4547="SBJ","CB","?"))</f>
        <v> </v>
      </c>
      <c r="I4547" s="26" t="str">
        <f>IF(OR(E4547="",E4547="!!!",F4547="NEW"),"",INDEX(B4546:B$2,-1+SUMPRODUCT(MAX(ROW(E4546:E$2)*(E4547=E4546:E$2)))))</f>
        <v> </v>
      </c>
      <c r="J4547" s="26" t="str">
        <f>IF(OR(E4547="",E4547="!!!",F4547="NEW"),"",COUNTBLANK(OFFSET(A$1,,,SUMPRODUCT(MAX(ROW(E$2:E4547)*(E4547=E$2:E4547)))))-COUNTBLANK(OFFSET(A$1,,,SUMPRODUCT(MAX(ROW(E$1:E4546)*(E2=E$1:E4546))))))</f>
        <v> </v>
      </c>
      <c r="K4547" s="26" t="str">
        <f>IF(OR(E4547="",E4547="!!!",F4547="NEW"),"",INDEX(J$1:J4546,SUMPRODUCT(MAX(ROW(E$1:E4546)*(E4547=E$1:E4546)))))</f>
        <v> </v>
      </c>
      <c r="L4547" s="27"/>
    </row>
    <row r="4548" spans="1:12">
      <c r="A4548" s="20" t="s">
        <v>1218</v>
      </c>
      <c r="E4548" s="22">
        <f>IF(D4548="?OLD","!!!","")</f>
        <v/>
      </c>
      <c r="F4548" s="23" t="str">
        <f>IF(OR(E4548="",E4548="!!!"),"",IF(NOT(ISNA(VLOOKUP(E4548,E$1:E4547,1,FALSE()))),"OLD",IF(AND(E4548&lt;&gt;"",E4548&lt;&gt;"!!!"),"NEW","")))</f>
        <v> </v>
      </c>
      <c r="G4548" s="24" t="str">
        <f>IF(OR(E4548="",E4548="!!!"),"",IF(OR(J4548=0,AND(J4548=1,K4548=1),AND(J4548=1,I4548="SBJ"),AND(J4548=1,I4548=0)),"?IN_FOCUS",IF(J4548&lt;=2,"?ACTIVATED",IF(J4548&lt;&gt;"","?FAMILIAR",IF(F4548="NEW",IF(ISNA(VLOOKUP(E4548,#REF!,1,FALSE())),"?TYPE_IDENTIFIABLE","?REFERENTIAL"),"_")))))</f>
        <v> </v>
      </c>
      <c r="H4548" s="25" t="str">
        <f>IF(J4548&lt;&gt;1,"",IF(I4548="SBJ","CB","?"))</f>
        <v> </v>
      </c>
      <c r="I4548" s="26" t="str">
        <f>IF(OR(E4548="",E4548="!!!",F4548="NEW"),"",INDEX(B4547:B$2,-1+SUMPRODUCT(MAX(ROW(E4547:E$2)*(E4548=E4547:E$2)))))</f>
        <v> </v>
      </c>
      <c r="J4548" s="26" t="str">
        <f>IF(OR(E4548="",E4548="!!!",F4548="NEW"),"",COUNTBLANK(OFFSET(A$1,,,SUMPRODUCT(MAX(ROW(E$2:E4548)*(E4548=E$2:E4548)))))-COUNTBLANK(OFFSET(A$1,,,SUMPRODUCT(MAX(ROW(E$1:E4547)*(E2=E$1:E4547))))))</f>
        <v> </v>
      </c>
      <c r="K4548" s="26" t="str">
        <f>IF(OR(E4548="",E4548="!!!",F4548="NEW"),"",INDEX(J$1:J4547,SUMPRODUCT(MAX(ROW(E$1:E4547)*(E4548=E$1:E4547)))))</f>
        <v> </v>
      </c>
      <c r="L4548" s="27"/>
    </row>
    <row r="4549" spans="1:12">
      <c r="A4549" s="20" t="s">
        <v>1219</v>
      </c>
      <c r="B4549" s="21" t="s">
        <v>1292</v>
      </c>
      <c r="C4549" s="21" t="s">
        <v>1255</v>
      </c>
      <c r="D4549" s="21" t="s">
        <v>1217</v>
      </c>
      <c r="E4549" s="22">
        <f>IF(D4549="?OLD","!!!","")</f>
        <v/>
      </c>
      <c r="F4549" s="23" t="str">
        <f>IF(OR(E4549="",E4549="!!!"),"",IF(NOT(ISNA(VLOOKUP(E4549,E$1:E4548,1,FALSE()))),"OLD",IF(AND(E4549&lt;&gt;"",E4549&lt;&gt;"!!!"),"NEW","")))</f>
        <v> </v>
      </c>
      <c r="G4549" s="24" t="str">
        <f>IF(OR(E4549="",E4549="!!!"),"",IF(OR(J4549=0,AND(J4549=1,K4549=1),AND(J4549=1,I4549="SBJ"),AND(J4549=1,I4549=0)),"?IN_FOCUS",IF(J4549&lt;=2,"?ACTIVATED",IF(J4549&lt;&gt;"","?FAMILIAR",IF(F4549="NEW",IF(ISNA(VLOOKUP(E4549,#REF!,1,FALSE())),"?TYPE_IDENTIFIABLE","?REFERENTIAL"),"_")))))</f>
        <v> </v>
      </c>
      <c r="H4549" s="25" t="str">
        <f>IF(J4549&lt;&gt;1,"",IF(I4549="SBJ","CB","?"))</f>
        <v> </v>
      </c>
      <c r="I4549" s="26" t="str">
        <f>IF(OR(E4549="",E4549="!!!",F4549="NEW"),"",INDEX(B4548:B$2,-1+SUMPRODUCT(MAX(ROW(E4548:E$2)*(E4549=E4548:E$2)))))</f>
        <v> </v>
      </c>
      <c r="J4549" s="26" t="str">
        <f>IF(OR(E4549="",E4549="!!!",F4549="NEW"),"",COUNTBLANK(OFFSET(A$1,,,SUMPRODUCT(MAX(ROW(E$2:E4549)*(E4549=E$2:E4549)))))-COUNTBLANK(OFFSET(A$1,,,SUMPRODUCT(MAX(ROW(E$1:E4548)*(E2=E$1:E4548))))))</f>
        <v> </v>
      </c>
      <c r="K4549" s="26" t="str">
        <f>IF(OR(E4549="",E4549="!!!",F4549="NEW"),"",INDEX(J$1:J4548,SUMPRODUCT(MAX(ROW(E$1:E4548)*(E4549=E$1:E4548)))))</f>
        <v> </v>
      </c>
      <c r="L4549" s="27"/>
    </row>
    <row r="4550" spans="1:12">
      <c r="A4550" s="20" t="s">
        <v>2711</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t="s">
        <v>2712</v>
      </c>
      <c r="E4551" s="22">
        <f>IF(D4551="?OLD","!!!","")</f>
        <v/>
      </c>
      <c r="F4551" s="23" t="str">
        <f>IF(OR(E4551="",E4551="!!!"),"",IF(NOT(ISNA(VLOOKUP(E4551,E$1:E4550,1,FALSE()))),"OLD",IF(AND(E4551&lt;&gt;"",E4551&lt;&gt;"!!!"),"NEW","")))</f>
        <v> </v>
      </c>
      <c r="G4551" s="24" t="str">
        <f>IF(OR(E4551="",E4551="!!!"),"",IF(OR(J4551=0,AND(J4551=1,K4551=1),AND(J4551=1,I4551="SBJ"),AND(J4551=1,I4551=0)),"?IN_FOCUS",IF(J4551&lt;=2,"?ACTIVATED",IF(J4551&lt;&gt;"","?FAMILIAR",IF(F4551="NEW",IF(ISNA(VLOOKUP(E4551,#REF!,1,FALSE())),"?TYPE_IDENTIFIABLE","?REFERENTIAL"),"_")))))</f>
        <v> </v>
      </c>
      <c r="H4551" s="25" t="str">
        <f>IF(J4551&lt;&gt;1,"",IF(I4551="SBJ","CB","?"))</f>
        <v> </v>
      </c>
      <c r="I4551" s="26" t="str">
        <f>IF(OR(E4551="",E4551="!!!",F4551="NEW"),"",INDEX(B4550:B$2,-1+SUMPRODUCT(MAX(ROW(E4550:E$2)*(E4551=E4550:E$2)))))</f>
        <v> </v>
      </c>
      <c r="J4551" s="26" t="str">
        <f>IF(OR(E4551="",E4551="!!!",F4551="NEW"),"",COUNTBLANK(OFFSET(A$1,,,SUMPRODUCT(MAX(ROW(E$2:E4551)*(E4551=E$2:E4551)))))-COUNTBLANK(OFFSET(A$1,,,SUMPRODUCT(MAX(ROW(E$1:E4550)*(E2=E$1:E4550))))))</f>
        <v> </v>
      </c>
      <c r="K4551" s="26" t="str">
        <f>IF(OR(E4551="",E4551="!!!",F4551="NEW"),"",INDEX(J$1:J4550,SUMPRODUCT(MAX(ROW(E$1:E4550)*(E4551=E$1:E4550)))))</f>
        <v> </v>
      </c>
      <c r="L4551" s="27"/>
    </row>
    <row r="4552" spans="1:12">
      <c r="A4552" s="20" t="s">
        <v>1277</v>
      </c>
      <c r="E4552" s="22">
        <f>IF(D4552="?OLD","!!!","")</f>
        <v/>
      </c>
      <c r="F4552" s="23" t="str">
        <f>IF(OR(E4552="",E4552="!!!"),"",IF(NOT(ISNA(VLOOKUP(E4552,E$1:E4551,1,FALSE()))),"OLD",IF(AND(E4552&lt;&gt;"",E4552&lt;&gt;"!!!"),"NEW","")))</f>
        <v> </v>
      </c>
      <c r="G4552" s="24" t="str">
        <f>IF(OR(E4552="",E4552="!!!"),"",IF(OR(J4552=0,AND(J4552=1,K4552=1),AND(J4552=1,I4552="SBJ"),AND(J4552=1,I4552=0)),"?IN_FOCUS",IF(J4552&lt;=2,"?ACTIVATED",IF(J4552&lt;&gt;"","?FAMILIAR",IF(F4552="NEW",IF(ISNA(VLOOKUP(E4552,#REF!,1,FALSE())),"?TYPE_IDENTIFIABLE","?REFERENTIAL"),"_")))))</f>
        <v> </v>
      </c>
      <c r="H4552" s="25" t="str">
        <f>IF(J4552&lt;&gt;1,"",IF(I4552="SBJ","CB","?"))</f>
        <v> </v>
      </c>
      <c r="I4552" s="26" t="str">
        <f>IF(OR(E4552="",E4552="!!!",F4552="NEW"),"",INDEX(B4551:B$2,-1+SUMPRODUCT(MAX(ROW(E4551:E$2)*(E4552=E4551:E$2)))))</f>
        <v> </v>
      </c>
      <c r="J4552" s="26" t="str">
        <f>IF(OR(E4552="",E4552="!!!",F4552="NEW"),"",COUNTBLANK(OFFSET(A$1,,,SUMPRODUCT(MAX(ROW(E$2:E4552)*(E4552=E$2:E4552)))))-COUNTBLANK(OFFSET(A$1,,,SUMPRODUCT(MAX(ROW(E$1:E4551)*(E2=E$1:E4551))))))</f>
        <v> </v>
      </c>
      <c r="K4552" s="26" t="str">
        <f>IF(OR(E4552="",E4552="!!!",F4552="NEW"),"",INDEX(J$1:J4551,SUMPRODUCT(MAX(ROW(E$1:E4551)*(E4552=E$1:E4551)))))</f>
        <v> </v>
      </c>
      <c r="L4552" s="27"/>
    </row>
    <row r="4553" spans="1:12">
      <c r="A4553" s="20" t="s">
        <v>1534</v>
      </c>
      <c r="B4553" s="21" t="s">
        <v>1215</v>
      </c>
      <c r="C4553" s="21" t="s">
        <v>1255</v>
      </c>
      <c r="D4553" s="21" t="s">
        <v>1217</v>
      </c>
      <c r="E4553" s="22">
        <f>IF(D4553="?OLD","!!!","")</f>
        <v/>
      </c>
      <c r="F4553" s="23" t="str">
        <f>IF(OR(E4553="",E4553="!!!"),"",IF(NOT(ISNA(VLOOKUP(E4553,E$1:E4552,1,FALSE()))),"OLD",IF(AND(E4553&lt;&gt;"",E4553&lt;&gt;"!!!"),"NEW","")))</f>
        <v> </v>
      </c>
      <c r="G4553" s="24" t="str">
        <f>IF(OR(E4553="",E4553="!!!"),"",IF(OR(J4553=0,AND(J4553=1,K4553=1),AND(J4553=1,I4553="SBJ"),AND(J4553=1,I4553=0)),"?IN_FOCUS",IF(J4553&lt;=2,"?ACTIVATED",IF(J4553&lt;&gt;"","?FAMILIAR",IF(F4553="NEW",IF(ISNA(VLOOKUP(E4553,#REF!,1,FALSE())),"?TYPE_IDENTIFIABLE","?REFERENTIAL"),"_")))))</f>
        <v> </v>
      </c>
      <c r="H4553" s="25" t="str">
        <f>IF(J4553&lt;&gt;1,"",IF(I4553="SBJ","CB","?"))</f>
        <v> </v>
      </c>
      <c r="I4553" s="26" t="str">
        <f>IF(OR(E4553="",E4553="!!!",F4553="NEW"),"",INDEX(B4552:B$2,-1+SUMPRODUCT(MAX(ROW(E4552:E$2)*(E4553=E4552:E$2)))))</f>
        <v> </v>
      </c>
      <c r="J4553" s="26" t="str">
        <f>IF(OR(E4553="",E4553="!!!",F4553="NEW"),"",COUNTBLANK(OFFSET(A$1,,,SUMPRODUCT(MAX(ROW(E$2:E4553)*(E4553=E$2:E4553)))))-COUNTBLANK(OFFSET(A$1,,,SUMPRODUCT(MAX(ROW(E$1:E4552)*(E2=E$1:E4552))))))</f>
        <v> </v>
      </c>
      <c r="K4553" s="26" t="str">
        <f>IF(OR(E4553="",E4553="!!!",F4553="NEW"),"",INDEX(J$1:J4552,SUMPRODUCT(MAX(ROW(E$1:E4552)*(E4553=E$1:E4552)))))</f>
        <v> </v>
      </c>
      <c r="L4553" s="27"/>
    </row>
    <row r="4554" spans="1:12">
      <c r="A4554" s="20" t="s">
        <v>1228</v>
      </c>
      <c r="B4554" s="21" t="s">
        <v>1275</v>
      </c>
      <c r="C4554" s="21" t="s">
        <v>1255</v>
      </c>
      <c r="D4554" s="21" t="s">
        <v>1217</v>
      </c>
      <c r="E4554" s="22">
        <f>IF(D4554="?OLD","!!!","")</f>
        <v/>
      </c>
      <c r="F4554" s="23" t="str">
        <f>IF(OR(E4554="",E4554="!!!"),"",IF(NOT(ISNA(VLOOKUP(E4554,E$1:E4553,1,FALSE()))),"OLD",IF(AND(E4554&lt;&gt;"",E4554&lt;&gt;"!!!"),"NEW","")))</f>
        <v> </v>
      </c>
      <c r="G4554" s="24" t="str">
        <f>IF(OR(E4554="",E4554="!!!"),"",IF(OR(J4554=0,AND(J4554=1,K4554=1),AND(J4554=1,I4554="SBJ"),AND(J4554=1,I4554=0)),"?IN_FOCUS",IF(J4554&lt;=2,"?ACTIVATED",IF(J4554&lt;&gt;"","?FAMILIAR",IF(F4554="NEW",IF(ISNA(VLOOKUP(E4554,#REF!,1,FALSE())),"?TYPE_IDENTIFIABLE","?REFERENTIAL"),"_")))))</f>
        <v> </v>
      </c>
      <c r="H4554" s="25" t="str">
        <f>IF(J4554&lt;&gt;1,"",IF(I4554="SBJ","CB","?"))</f>
        <v> </v>
      </c>
      <c r="I4554" s="26" t="str">
        <f>IF(OR(E4554="",E4554="!!!",F4554="NEW"),"",INDEX(B4553:B$2,-1+SUMPRODUCT(MAX(ROW(E4553:E$2)*(E4554=E4553:E$2)))))</f>
        <v> </v>
      </c>
      <c r="J4554" s="26" t="str">
        <f>IF(OR(E4554="",E4554="!!!",F4554="NEW"),"",COUNTBLANK(OFFSET(A$1,,,SUMPRODUCT(MAX(ROW(E$2:E4554)*(E4554=E$2:E4554)))))-COUNTBLANK(OFFSET(A$1,,,SUMPRODUCT(MAX(ROW(E$1:E4553)*(E2=E$1:E4553))))))</f>
        <v> </v>
      </c>
      <c r="K4554" s="26" t="str">
        <f>IF(OR(E4554="",E4554="!!!",F4554="NEW"),"",INDEX(J$1:J4553,SUMPRODUCT(MAX(ROW(E$1:E4553)*(E4554=E$1:E4553)))))</f>
        <v> </v>
      </c>
      <c r="L4554" s="27"/>
    </row>
    <row r="4555" spans="1:12">
      <c r="A4555" s="20" t="s">
        <v>2713</v>
      </c>
      <c r="E4555" s="22">
        <f>IF(D4555="?OLD","!!!","")</f>
        <v/>
      </c>
      <c r="F4555" s="23" t="str">
        <f>IF(OR(E4555="",E4555="!!!"),"",IF(NOT(ISNA(VLOOKUP(E4555,E$1:E4554,1,FALSE()))),"OLD",IF(AND(E4555&lt;&gt;"",E4555&lt;&gt;"!!!"),"NEW","")))</f>
        <v> </v>
      </c>
      <c r="G4555" s="24" t="str">
        <f>IF(OR(E4555="",E4555="!!!"),"",IF(OR(J4555=0,AND(J4555=1,K4555=1),AND(J4555=1,I4555="SBJ"),AND(J4555=1,I4555=0)),"?IN_FOCUS",IF(J4555&lt;=2,"?ACTIVATED",IF(J4555&lt;&gt;"","?FAMILIAR",IF(F4555="NEW",IF(ISNA(VLOOKUP(E4555,#REF!,1,FALSE())),"?TYPE_IDENTIFIABLE","?REFERENTIAL"),"_")))))</f>
        <v> </v>
      </c>
      <c r="H4555" s="25" t="str">
        <f>IF(J4555&lt;&gt;1,"",IF(I4555="SBJ","CB","?"))</f>
        <v> </v>
      </c>
      <c r="I4555" s="26" t="str">
        <f>IF(OR(E4555="",E4555="!!!",F4555="NEW"),"",INDEX(B4554:B$2,-1+SUMPRODUCT(MAX(ROW(E4554:E$2)*(E4555=E4554:E$2)))))</f>
        <v> </v>
      </c>
      <c r="J4555" s="26" t="str">
        <f>IF(OR(E4555="",E4555="!!!",F4555="NEW"),"",COUNTBLANK(OFFSET(A$1,,,SUMPRODUCT(MAX(ROW(E$2:E4555)*(E4555=E$2:E4555)))))-COUNTBLANK(OFFSET(A$1,,,SUMPRODUCT(MAX(ROW(E$1:E4554)*(E2=E$1:E4554))))))</f>
        <v> </v>
      </c>
      <c r="K4555" s="26" t="str">
        <f>IF(OR(E4555="",E4555="!!!",F4555="NEW"),"",INDEX(J$1:J4554,SUMPRODUCT(MAX(ROW(E$1:E4554)*(E4555=E$1:E4554)))))</f>
        <v> </v>
      </c>
      <c r="L4555" s="27"/>
    </row>
    <row r="4556" spans="1:12">
      <c r="A4556" s="20" t="s">
        <v>1245</v>
      </c>
      <c r="E4556" s="22">
        <f>IF(D4556="?OLD","!!!","")</f>
        <v/>
      </c>
      <c r="F4556" s="23" t="str">
        <f>IF(OR(E4556="",E4556="!!!"),"",IF(NOT(ISNA(VLOOKUP(E4556,E$1:E4555,1,FALSE()))),"OLD",IF(AND(E4556&lt;&gt;"",E4556&lt;&gt;"!!!"),"NEW","")))</f>
        <v> </v>
      </c>
      <c r="G4556" s="24" t="str">
        <f>IF(OR(E4556="",E4556="!!!"),"",IF(OR(J4556=0,AND(J4556=1,K4556=1),AND(J4556=1,I4556="SBJ"),AND(J4556=1,I4556=0)),"?IN_FOCUS",IF(J4556&lt;=2,"?ACTIVATED",IF(J4556&lt;&gt;"","?FAMILIAR",IF(F4556="NEW",IF(ISNA(VLOOKUP(E4556,#REF!,1,FALSE())),"?TYPE_IDENTIFIABLE","?REFERENTIAL"),"_")))))</f>
        <v> </v>
      </c>
      <c r="H4556" s="25" t="str">
        <f>IF(J4556&lt;&gt;1,"",IF(I4556="SBJ","CB","?"))</f>
        <v> </v>
      </c>
      <c r="I4556" s="26" t="str">
        <f>IF(OR(E4556="",E4556="!!!",F4556="NEW"),"",INDEX(B4555:B$2,-1+SUMPRODUCT(MAX(ROW(E4555:E$2)*(E4556=E4555:E$2)))))</f>
        <v> </v>
      </c>
      <c r="J4556" s="26" t="str">
        <f>IF(OR(E4556="",E4556="!!!",F4556="NEW"),"",COUNTBLANK(OFFSET(A$1,,,SUMPRODUCT(MAX(ROW(E$2:E4556)*(E4556=E$2:E4556)))))-COUNTBLANK(OFFSET(A$1,,,SUMPRODUCT(MAX(ROW(E$1:E4555)*(E2=E$1:E4555))))))</f>
        <v> </v>
      </c>
      <c r="K4556" s="26" t="str">
        <f>IF(OR(E4556="",E4556="!!!",F4556="NEW"),"",INDEX(J$1:J4555,SUMPRODUCT(MAX(ROW(E$1:E4555)*(E4556=E$1:E4555)))))</f>
        <v> </v>
      </c>
      <c r="L4556" s="27"/>
    </row>
    <row r="4557" spans="1:12">
      <c r="A4557" s="20" t="s">
        <v>2582</v>
      </c>
      <c r="B4557" s="21" t="s">
        <v>1221</v>
      </c>
      <c r="C4557" s="21" t="s">
        <v>1242</v>
      </c>
      <c r="D4557" s="21" t="s">
        <v>1217</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434</v>
      </c>
      <c r="B4558" s="21" t="s">
        <v>1244</v>
      </c>
      <c r="C4558" s="21" t="s">
        <v>1222</v>
      </c>
      <c r="D4558" s="21" t="s">
        <v>1217</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t="s">
        <v>1503</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row>
    <row r="4561" spans="1:12">
      <c r="A4561" s="20" t="s">
        <v>1542</v>
      </c>
    </row>
    <row r="4562" spans="1:12">
      <c r="A4562" s="20" t="s">
        <v>135</v>
      </c>
      <c r="E4562" s="22">
        <f>IF(D4562="?OLD","!!!","")</f>
        <v/>
      </c>
      <c r="F4562" s="23" t="str">
        <f>IF(OR(E4562="",E4562="!!!"),"",IF(NOT(ISNA(VLOOKUP(E4562,E$1:E4561,1,FALSE()))),"OLD",IF(AND(E4562&lt;&gt;"",E4562&lt;&gt;"!!!"),"NEW","")))</f>
        <v> </v>
      </c>
      <c r="G4562" s="24" t="str">
        <f>IF(OR(E4562="",E4562="!!!"),"",IF(OR(J4562=0,AND(J4562=1,K4562=1),AND(J4562=1,I4562="SBJ"),AND(J4562=1,I4562=0)),"?IN_FOCUS",IF(J4562&lt;=2,"?ACTIVATED",IF(J4562&lt;&gt;"","?FAMILIAR",IF(F4562="NEW",IF(ISNA(VLOOKUP(E4562,#REF!,1,FALSE())),"?TYPE_IDENTIFIABLE","?REFERENTIAL"),"_")))))</f>
        <v> </v>
      </c>
      <c r="H4562" s="25" t="str">
        <f>IF(J4562&lt;&gt;1,"",IF(I4562="SBJ","CB","?"))</f>
        <v> </v>
      </c>
      <c r="I4562" s="26" t="str">
        <f>IF(OR(E4562="",E4562="!!!",F4562="NEW"),"",INDEX(B4561:B$2,-1+SUMPRODUCT(MAX(ROW(E4561:E$2)*(E4562=E4561:E$2)))))</f>
        <v> </v>
      </c>
      <c r="J4562" s="26" t="str">
        <f>IF(OR(E4562="",E4562="!!!",F4562="NEW"),"",COUNTBLANK(OFFSET(A$1,,,SUMPRODUCT(MAX(ROW(E$2:E4562)*(E4562=E$2:E4562)))))-COUNTBLANK(OFFSET(A$1,,,SUMPRODUCT(MAX(ROW(E$1:E4561)*(E2=E$1:E4561))))))</f>
        <v> </v>
      </c>
      <c r="K4562" s="26" t="str">
        <f>IF(OR(E4562="",E4562="!!!",F4562="NEW"),"",INDEX(J$1:J4561,SUMPRODUCT(MAX(ROW(E$1:E4561)*(E4562=E$1:E4561)))))</f>
        <v> </v>
      </c>
      <c r="L4562" s="27"/>
    </row>
    <row r="4563" spans="1:12">
      <c r="A4563" s="20"/>
    </row>
    <row r="4564" spans="1:12">
      <c r="A4564" s="20" t="s">
        <v>2714</v>
      </c>
    </row>
    <row r="4565" spans="1:12">
      <c r="A4565" s="20" t="s">
        <v>1264</v>
      </c>
      <c r="E4565" s="22">
        <f>IF(D4565="?OLD","!!!","")</f>
        <v/>
      </c>
      <c r="F4565" s="23" t="str">
        <f>IF(OR(E4565="",E4565="!!!"),"",IF(NOT(ISNA(VLOOKUP(E4565,E$1:E4564,1,FALSE()))),"OLD",IF(AND(E4565&lt;&gt;"",E4565&lt;&gt;"!!!"),"NEW","")))</f>
        <v> </v>
      </c>
      <c r="G4565" s="24" t="str">
        <f>IF(OR(E4565="",E4565="!!!"),"",IF(OR(J4565=0,AND(J4565=1,K4565=1),AND(J4565=1,I4565="SBJ"),AND(J4565=1,I4565=0)),"?IN_FOCUS",IF(J4565&lt;=2,"?ACTIVATED",IF(J4565&lt;&gt;"","?FAMILIAR",IF(F4565="NEW",IF(ISNA(VLOOKUP(E4565,#REF!,1,FALSE())),"?TYPE_IDENTIFIABLE","?REFERENTIAL"),"_")))))</f>
        <v> </v>
      </c>
      <c r="H4565" s="25" t="str">
        <f>IF(J4565&lt;&gt;1,"",IF(I4565="SBJ","CB","?"))</f>
        <v> </v>
      </c>
      <c r="I4565" s="26" t="str">
        <f>IF(OR(E4565="",E4565="!!!",F4565="NEW"),"",INDEX(B4564:B$2,-1+SUMPRODUCT(MAX(ROW(E4564:E$2)*(E4565=E4564:E$2)))))</f>
        <v> </v>
      </c>
      <c r="J4565" s="26" t="str">
        <f>IF(OR(E4565="",E4565="!!!",F4565="NEW"),"",COUNTBLANK(OFFSET(A$1,,,SUMPRODUCT(MAX(ROW(E$2:E4565)*(E4565=E$2:E4565)))))-COUNTBLANK(OFFSET(A$1,,,SUMPRODUCT(MAX(ROW(E$1:E4564)*(E2=E$1:E4564))))))</f>
        <v> </v>
      </c>
      <c r="K4565" s="26" t="str">
        <f>IF(OR(E4565="",E4565="!!!",F4565="NEW"),"",INDEX(J$1:J4564,SUMPRODUCT(MAX(ROW(E$1:E4564)*(E4565=E$1:E4564)))))</f>
        <v> </v>
      </c>
      <c r="L4565" s="27"/>
    </row>
    <row r="4566" spans="1:12">
      <c r="A4566" s="20" t="s">
        <v>1302</v>
      </c>
      <c r="E4566" s="22">
        <f>IF(D4566="?OLD","!!!","")</f>
        <v/>
      </c>
      <c r="F4566" s="23" t="str">
        <f>IF(OR(E4566="",E4566="!!!"),"",IF(NOT(ISNA(VLOOKUP(E4566,E$1:E4565,1,FALSE()))),"OLD",IF(AND(E4566&lt;&gt;"",E4566&lt;&gt;"!!!"),"NEW","")))</f>
        <v> </v>
      </c>
      <c r="G4566" s="24" t="str">
        <f>IF(OR(E4566="",E4566="!!!"),"",IF(OR(J4566=0,AND(J4566=1,K4566=1),AND(J4566=1,I4566="SBJ"),AND(J4566=1,I4566=0)),"?IN_FOCUS",IF(J4566&lt;=2,"?ACTIVATED",IF(J4566&lt;&gt;"","?FAMILIAR",IF(F4566="NEW",IF(ISNA(VLOOKUP(E4566,#REF!,1,FALSE())),"?TYPE_IDENTIFIABLE","?REFERENTIAL"),"_")))))</f>
        <v> </v>
      </c>
      <c r="H4566" s="25" t="str">
        <f>IF(J4566&lt;&gt;1,"",IF(I4566="SBJ","CB","?"))</f>
        <v> </v>
      </c>
      <c r="I4566" s="26" t="str">
        <f>IF(OR(E4566="",E4566="!!!",F4566="NEW"),"",INDEX(B4565:B$2,-1+SUMPRODUCT(MAX(ROW(E4565:E$2)*(E4566=E4565:E$2)))))</f>
        <v> </v>
      </c>
      <c r="J4566" s="26" t="str">
        <f>IF(OR(E4566="",E4566="!!!",F4566="NEW"),"",COUNTBLANK(OFFSET(A$1,,,SUMPRODUCT(MAX(ROW(E$2:E4566)*(E4566=E$2:E4566)))))-COUNTBLANK(OFFSET(A$1,,,SUMPRODUCT(MAX(ROW(E$1:E4565)*(E2=E$1:E4565))))))</f>
        <v> </v>
      </c>
      <c r="K4566" s="26" t="str">
        <f>IF(OR(E4566="",E4566="!!!",F4566="NEW"),"",INDEX(J$1:J4565,SUMPRODUCT(MAX(ROW(E$1:E4565)*(E4566=E$1:E4565)))))</f>
        <v> </v>
      </c>
      <c r="L4566" s="27"/>
    </row>
    <row r="4567" spans="1:12">
      <c r="A4567" s="20" t="s">
        <v>2715</v>
      </c>
      <c r="E4567" s="22">
        <f>IF(D4567="?OLD","!!!","")</f>
        <v/>
      </c>
      <c r="F4567" s="23" t="str">
        <f>IF(OR(E4567="",E4567="!!!"),"",IF(NOT(ISNA(VLOOKUP(E4567,E$1:E4566,1,FALSE()))),"OLD",IF(AND(E4567&lt;&gt;"",E4567&lt;&gt;"!!!"),"NEW","")))</f>
        <v> </v>
      </c>
      <c r="G4567" s="24" t="str">
        <f>IF(OR(E4567="",E4567="!!!"),"",IF(OR(J4567=0,AND(J4567=1,K4567=1),AND(J4567=1,I4567="SBJ"),AND(J4567=1,I4567=0)),"?IN_FOCUS",IF(J4567&lt;=2,"?ACTIVATED",IF(J4567&lt;&gt;"","?FAMILIAR",IF(F4567="NEW",IF(ISNA(VLOOKUP(E4567,#REF!,1,FALSE())),"?TYPE_IDENTIFIABLE","?REFERENTIAL"),"_")))))</f>
        <v> </v>
      </c>
      <c r="H4567" s="25" t="str">
        <f>IF(J4567&lt;&gt;1,"",IF(I4567="SBJ","CB","?"))</f>
        <v> </v>
      </c>
      <c r="I4567" s="26" t="str">
        <f>IF(OR(E4567="",E4567="!!!",F4567="NEW"),"",INDEX(B4566:B$2,-1+SUMPRODUCT(MAX(ROW(E4566:E$2)*(E4567=E4566:E$2)))))</f>
        <v> </v>
      </c>
      <c r="J4567" s="26" t="str">
        <f>IF(OR(E4567="",E4567="!!!",F4567="NEW"),"",COUNTBLANK(OFFSET(A$1,,,SUMPRODUCT(MAX(ROW(E$2:E4567)*(E4567=E$2:E4567)))))-COUNTBLANK(OFFSET(A$1,,,SUMPRODUCT(MAX(ROW(E$1:E4566)*(E2=E$1:E4566))))))</f>
        <v> </v>
      </c>
      <c r="K4567" s="26" t="str">
        <f>IF(OR(E4567="",E4567="!!!",F4567="NEW"),"",INDEX(J$1:J4566,SUMPRODUCT(MAX(ROW(E$1:E4566)*(E4567=E$1:E4566)))))</f>
        <v> </v>
      </c>
      <c r="L4567" s="27"/>
    </row>
    <row r="4568" spans="1:12">
      <c r="A4568" s="20" t="s">
        <v>1321</v>
      </c>
      <c r="E4568" s="22">
        <f>IF(D4568="?OLD","!!!","")</f>
        <v/>
      </c>
      <c r="F4568" s="23" t="str">
        <f>IF(OR(E4568="",E4568="!!!"),"",IF(NOT(ISNA(VLOOKUP(E4568,E$1:E4567,1,FALSE()))),"OLD",IF(AND(E4568&lt;&gt;"",E4568&lt;&gt;"!!!"),"NEW","")))</f>
        <v> </v>
      </c>
      <c r="G4568" s="24" t="str">
        <f>IF(OR(E4568="",E4568="!!!"),"",IF(OR(J4568=0,AND(J4568=1,K4568=1),AND(J4568=1,I4568="SBJ"),AND(J4568=1,I4568=0)),"?IN_FOCUS",IF(J4568&lt;=2,"?ACTIVATED",IF(J4568&lt;&gt;"","?FAMILIAR",IF(F4568="NEW",IF(ISNA(VLOOKUP(E4568,#REF!,1,FALSE())),"?TYPE_IDENTIFIABLE","?REFERENTIAL"),"_")))))</f>
        <v> </v>
      </c>
      <c r="H4568" s="25" t="str">
        <f>IF(J4568&lt;&gt;1,"",IF(I4568="SBJ","CB","?"))</f>
        <v> </v>
      </c>
      <c r="I4568" s="26" t="str">
        <f>IF(OR(E4568="",E4568="!!!",F4568="NEW"),"",INDEX(B4567:B$2,-1+SUMPRODUCT(MAX(ROW(E4567:E$2)*(E4568=E4567:E$2)))))</f>
        <v> </v>
      </c>
      <c r="J4568" s="26" t="str">
        <f>IF(OR(E4568="",E4568="!!!",F4568="NEW"),"",COUNTBLANK(OFFSET(A$1,,,SUMPRODUCT(MAX(ROW(E$2:E4568)*(E4568=E$2:E4568)))))-COUNTBLANK(OFFSET(A$1,,,SUMPRODUCT(MAX(ROW(E$1:E4567)*(E2=E$1:E4567))))))</f>
        <v> </v>
      </c>
      <c r="K4568" s="26" t="str">
        <f>IF(OR(E4568="",E4568="!!!",F4568="NEW"),"",INDEX(J$1:J4567,SUMPRODUCT(MAX(ROW(E$1:E4567)*(E4568=E$1:E4567)))))</f>
        <v> </v>
      </c>
      <c r="L4568" s="27"/>
    </row>
    <row r="4569" spans="1:12">
      <c r="A4569" s="20" t="s">
        <v>1277</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t="s">
        <v>1307</v>
      </c>
      <c r="E4570" s="22">
        <f>IF(D4570="?OLD","!!!","")</f>
        <v/>
      </c>
      <c r="F4570" s="23" t="str">
        <f>IF(OR(E4570="",E4570="!!!"),"",IF(NOT(ISNA(VLOOKUP(E4570,E$1:E4569,1,FALSE()))),"OLD",IF(AND(E4570&lt;&gt;"",E4570&lt;&gt;"!!!"),"NEW","")))</f>
        <v> </v>
      </c>
      <c r="G4570" s="24" t="str">
        <f>IF(OR(E4570="",E4570="!!!"),"",IF(OR(J4570=0,AND(J4570=1,K4570=1),AND(J4570=1,I4570="SBJ"),AND(J4570=1,I4570=0)),"?IN_FOCUS",IF(J4570&lt;=2,"?ACTIVATED",IF(J4570&lt;&gt;"","?FAMILIAR",IF(F4570="NEW",IF(ISNA(VLOOKUP(E4570,#REF!,1,FALSE())),"?TYPE_IDENTIFIABLE","?REFERENTIAL"),"_")))))</f>
        <v> </v>
      </c>
      <c r="H4570" s="25" t="str">
        <f>IF(J4570&lt;&gt;1,"",IF(I4570="SBJ","CB","?"))</f>
        <v> </v>
      </c>
      <c r="I4570" s="26" t="str">
        <f>IF(OR(E4570="",E4570="!!!",F4570="NEW"),"",INDEX(B4569:B$2,-1+SUMPRODUCT(MAX(ROW(E4569:E$2)*(E4570=E4569:E$2)))))</f>
        <v> </v>
      </c>
      <c r="J4570" s="26" t="str">
        <f>IF(OR(E4570="",E4570="!!!",F4570="NEW"),"",COUNTBLANK(OFFSET(A$1,,,SUMPRODUCT(MAX(ROW(E$2:E4570)*(E4570=E$2:E4570)))))-COUNTBLANK(OFFSET(A$1,,,SUMPRODUCT(MAX(ROW(E$1:E4569)*(E2=E$1:E4569))))))</f>
        <v> </v>
      </c>
      <c r="K4570" s="26" t="str">
        <f>IF(OR(E4570="",E4570="!!!",F4570="NEW"),"",INDEX(J$1:J4569,SUMPRODUCT(MAX(ROW(E$1:E4569)*(E4570=E$1:E4569)))))</f>
        <v> </v>
      </c>
      <c r="L4570" s="27"/>
    </row>
    <row r="4571" spans="1:12">
      <c r="A4571" s="20" t="s">
        <v>2716</v>
      </c>
      <c r="E4571" s="22">
        <f>IF(D4571="?OLD","!!!","")</f>
        <v/>
      </c>
      <c r="F4571" s="23" t="str">
        <f>IF(OR(E4571="",E4571="!!!"),"",IF(NOT(ISNA(VLOOKUP(E4571,E$1:E4570,1,FALSE()))),"OLD",IF(AND(E4571&lt;&gt;"",E4571&lt;&gt;"!!!"),"NEW","")))</f>
        <v> </v>
      </c>
      <c r="G4571" s="24" t="str">
        <f>IF(OR(E4571="",E4571="!!!"),"",IF(OR(J4571=0,AND(J4571=1,K4571=1),AND(J4571=1,I4571="SBJ"),AND(J4571=1,I4571=0)),"?IN_FOCUS",IF(J4571&lt;=2,"?ACTIVATED",IF(J4571&lt;&gt;"","?FAMILIAR",IF(F4571="NEW",IF(ISNA(VLOOKUP(E4571,#REF!,1,FALSE())),"?TYPE_IDENTIFIABLE","?REFERENTIAL"),"_")))))</f>
        <v> </v>
      </c>
      <c r="H4571" s="25" t="str">
        <f>IF(J4571&lt;&gt;1,"",IF(I4571="SBJ","CB","?"))</f>
        <v> </v>
      </c>
      <c r="I4571" s="26" t="str">
        <f>IF(OR(E4571="",E4571="!!!",F4571="NEW"),"",INDEX(B4570:B$2,-1+SUMPRODUCT(MAX(ROW(E4570:E$2)*(E4571=E4570:E$2)))))</f>
        <v> </v>
      </c>
      <c r="J4571" s="26" t="str">
        <f>IF(OR(E4571="",E4571="!!!",F4571="NEW"),"",COUNTBLANK(OFFSET(A$1,,,SUMPRODUCT(MAX(ROW(E$2:E4571)*(E4571=E$2:E4571)))))-COUNTBLANK(OFFSET(A$1,,,SUMPRODUCT(MAX(ROW(E$1:E4570)*(E2=E$1:E4570))))))</f>
        <v> </v>
      </c>
      <c r="K4571" s="26" t="str">
        <f>IF(OR(E4571="",E4571="!!!",F4571="NEW"),"",INDEX(J$1:J4570,SUMPRODUCT(MAX(ROW(E$1:E4570)*(E4571=E$1:E4570)))))</f>
        <v> </v>
      </c>
      <c r="L4571" s="27"/>
    </row>
    <row r="4572" spans="1:12">
      <c r="A4572" s="20" t="s">
        <v>1409</v>
      </c>
      <c r="B4572" s="21" t="s">
        <v>1224</v>
      </c>
      <c r="C4572" s="21" t="s">
        <v>1242</v>
      </c>
      <c r="D4572" s="21" t="s">
        <v>1217</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2717</v>
      </c>
      <c r="B4573" s="21" t="s">
        <v>1249</v>
      </c>
      <c r="C4573" s="21" t="s">
        <v>1222</v>
      </c>
      <c r="D4573" s="21" t="s">
        <v>1217</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t="s">
        <v>1277</v>
      </c>
      <c r="E4574" s="22">
        <f>IF(D4574="?OLD","!!!","")</f>
        <v/>
      </c>
      <c r="F4574" s="23" t="str">
        <f>IF(OR(E4574="",E4574="!!!"),"",IF(NOT(ISNA(VLOOKUP(E4574,E$1:E4573,1,FALSE()))),"OLD",IF(AND(E4574&lt;&gt;"",E4574&lt;&gt;"!!!"),"NEW","")))</f>
        <v> </v>
      </c>
      <c r="G4574" s="24" t="str">
        <f>IF(OR(E4574="",E4574="!!!"),"",IF(OR(J4574=0,AND(J4574=1,K4574=1),AND(J4574=1,I4574="SBJ"),AND(J4574=1,I4574=0)),"?IN_FOCUS",IF(J4574&lt;=2,"?ACTIVATED",IF(J4574&lt;&gt;"","?FAMILIAR",IF(F4574="NEW",IF(ISNA(VLOOKUP(E4574,#REF!,1,FALSE())),"?TYPE_IDENTIFIABLE","?REFERENTIAL"),"_")))))</f>
        <v> </v>
      </c>
      <c r="H4574" s="25" t="str">
        <f>IF(J4574&lt;&gt;1,"",IF(I4574="SBJ","CB","?"))</f>
        <v> </v>
      </c>
      <c r="I4574" s="26" t="str">
        <f>IF(OR(E4574="",E4574="!!!",F4574="NEW"),"",INDEX(B4573:B$2,-1+SUMPRODUCT(MAX(ROW(E4573:E$2)*(E4574=E4573:E$2)))))</f>
        <v> </v>
      </c>
      <c r="J4574" s="26" t="str">
        <f>IF(OR(E4574="",E4574="!!!",F4574="NEW"),"",COUNTBLANK(OFFSET(A$1,,,SUMPRODUCT(MAX(ROW(E$2:E4574)*(E4574=E$2:E4574)))))-COUNTBLANK(OFFSET(A$1,,,SUMPRODUCT(MAX(ROW(E$1:E4573)*(E2=E$1:E4573))))))</f>
        <v> </v>
      </c>
      <c r="K4574" s="26" t="str">
        <f>IF(OR(E4574="",E4574="!!!",F4574="NEW"),"",INDEX(J$1:J4573,SUMPRODUCT(MAX(ROW(E$1:E4573)*(E4574=E$1:E4573)))))</f>
        <v> </v>
      </c>
      <c r="L4574" s="27"/>
    </row>
    <row r="4575" spans="1:12">
      <c r="A4575" s="20" t="s">
        <v>1327</v>
      </c>
      <c r="B4575" s="21" t="s">
        <v>1229</v>
      </c>
      <c r="C4575" s="21" t="s">
        <v>1255</v>
      </c>
      <c r="D4575" s="21" t="s">
        <v>1217</v>
      </c>
      <c r="E4575" s="22">
        <f>IF(D4575="?OLD","!!!","")</f>
        <v/>
      </c>
      <c r="F4575" s="23" t="str">
        <f>IF(OR(E4575="",E4575="!!!"),"",IF(NOT(ISNA(VLOOKUP(E4575,E$1:E4574,1,FALSE()))),"OLD",IF(AND(E4575&lt;&gt;"",E4575&lt;&gt;"!!!"),"NEW","")))</f>
        <v> </v>
      </c>
      <c r="G4575" s="24" t="str">
        <f>IF(OR(E4575="",E4575="!!!"),"",IF(OR(J4575=0,AND(J4575=1,K4575=1),AND(J4575=1,I4575="SBJ"),AND(J4575=1,I4575=0)),"?IN_FOCUS",IF(J4575&lt;=2,"?ACTIVATED",IF(J4575&lt;&gt;"","?FAMILIAR",IF(F4575="NEW",IF(ISNA(VLOOKUP(E4575,#REF!,1,FALSE())),"?TYPE_IDENTIFIABLE","?REFERENTIAL"),"_")))))</f>
        <v> </v>
      </c>
      <c r="H4575" s="25" t="str">
        <f>IF(J4575&lt;&gt;1,"",IF(I4575="SBJ","CB","?"))</f>
        <v> </v>
      </c>
      <c r="I4575" s="26" t="str">
        <f>IF(OR(E4575="",E4575="!!!",F4575="NEW"),"",INDEX(B4574:B$2,-1+SUMPRODUCT(MAX(ROW(E4574:E$2)*(E4575=E4574:E$2)))))</f>
        <v> </v>
      </c>
      <c r="J4575" s="26" t="str">
        <f>IF(OR(E4575="",E4575="!!!",F4575="NEW"),"",COUNTBLANK(OFFSET(A$1,,,SUMPRODUCT(MAX(ROW(E$2:E4575)*(E4575=E$2:E4575)))))-COUNTBLANK(OFFSET(A$1,,,SUMPRODUCT(MAX(ROW(E$1:E4574)*(E2=E$1:E4574))))))</f>
        <v> </v>
      </c>
      <c r="K4575" s="26" t="str">
        <f>IF(OR(E4575="",E4575="!!!",F4575="NEW"),"",INDEX(J$1:J4574,SUMPRODUCT(MAX(ROW(E$1:E4574)*(E4575=E$1:E4574)))))</f>
        <v> </v>
      </c>
      <c r="L4575" s="27"/>
    </row>
    <row r="4576" spans="1:12">
      <c r="A4576" s="20" t="s">
        <v>1335</v>
      </c>
      <c r="E4576" s="22">
        <f>IF(D4576="?OLD","!!!","")</f>
        <v/>
      </c>
      <c r="F4576" s="23" t="str">
        <f>IF(OR(E4576="",E4576="!!!"),"",IF(NOT(ISNA(VLOOKUP(E4576,E$1:E4575,1,FALSE()))),"OLD",IF(AND(E4576&lt;&gt;"",E4576&lt;&gt;"!!!"),"NEW","")))</f>
        <v> </v>
      </c>
      <c r="G4576" s="24" t="str">
        <f>IF(OR(E4576="",E4576="!!!"),"",IF(OR(J4576=0,AND(J4576=1,K4576=1),AND(J4576=1,I4576="SBJ"),AND(J4576=1,I4576=0)),"?IN_FOCUS",IF(J4576&lt;=2,"?ACTIVATED",IF(J4576&lt;&gt;"","?FAMILIAR",IF(F4576="NEW",IF(ISNA(VLOOKUP(E4576,#REF!,1,FALSE())),"?TYPE_IDENTIFIABLE","?REFERENTIAL"),"_")))))</f>
        <v> </v>
      </c>
      <c r="H4576" s="25" t="str">
        <f>IF(J4576&lt;&gt;1,"",IF(I4576="SBJ","CB","?"))</f>
        <v> </v>
      </c>
      <c r="I4576" s="26" t="str">
        <f>IF(OR(E4576="",E4576="!!!",F4576="NEW"),"",INDEX(B4575:B$2,-1+SUMPRODUCT(MAX(ROW(E4575:E$2)*(E4576=E4575:E$2)))))</f>
        <v> </v>
      </c>
      <c r="J4576" s="26" t="str">
        <f>IF(OR(E4576="",E4576="!!!",F4576="NEW"),"",COUNTBLANK(OFFSET(A$1,,,SUMPRODUCT(MAX(ROW(E$2:E4576)*(E4576=E$2:E4576)))))-COUNTBLANK(OFFSET(A$1,,,SUMPRODUCT(MAX(ROW(E$1:E4575)*(E2=E$1:E4575))))))</f>
        <v> </v>
      </c>
      <c r="K4576" s="26" t="str">
        <f>IF(OR(E4576="",E4576="!!!",F4576="NEW"),"",INDEX(J$1:J4575,SUMPRODUCT(MAX(ROW(E$1:E4575)*(E4576=E$1:E4575)))))</f>
        <v> </v>
      </c>
      <c r="L4576" s="27"/>
    </row>
    <row r="4577" spans="1:12">
      <c r="A4577" s="20" t="s">
        <v>2718</v>
      </c>
      <c r="E4577" s="22">
        <f>IF(D4577="?OLD","!!!","")</f>
        <v/>
      </c>
      <c r="F4577" s="23" t="str">
        <f>IF(OR(E4577="",E4577="!!!"),"",IF(NOT(ISNA(VLOOKUP(E4577,E$1:E4576,1,FALSE()))),"OLD",IF(AND(E4577&lt;&gt;"",E4577&lt;&gt;"!!!"),"NEW","")))</f>
        <v> </v>
      </c>
      <c r="G4577" s="24" t="str">
        <f>IF(OR(E4577="",E4577="!!!"),"",IF(OR(J4577=0,AND(J4577=1,K4577=1),AND(J4577=1,I4577="SBJ"),AND(J4577=1,I4577=0)),"?IN_FOCUS",IF(J4577&lt;=2,"?ACTIVATED",IF(J4577&lt;&gt;"","?FAMILIAR",IF(F4577="NEW",IF(ISNA(VLOOKUP(E4577,#REF!,1,FALSE())),"?TYPE_IDENTIFIABLE","?REFERENTIAL"),"_")))))</f>
        <v> </v>
      </c>
      <c r="H4577" s="25" t="str">
        <f>IF(J4577&lt;&gt;1,"",IF(I4577="SBJ","CB","?"))</f>
        <v> </v>
      </c>
      <c r="I4577" s="26" t="str">
        <f>IF(OR(E4577="",E4577="!!!",F4577="NEW"),"",INDEX(B4576:B$2,-1+SUMPRODUCT(MAX(ROW(E4576:E$2)*(E4577=E4576:E$2)))))</f>
        <v> </v>
      </c>
      <c r="J4577" s="26" t="str">
        <f>IF(OR(E4577="",E4577="!!!",F4577="NEW"),"",COUNTBLANK(OFFSET(A$1,,,SUMPRODUCT(MAX(ROW(E$2:E4577)*(E4577=E$2:E4577)))))-COUNTBLANK(OFFSET(A$1,,,SUMPRODUCT(MAX(ROW(E$1:E4576)*(E2=E$1:E4576))))))</f>
        <v> </v>
      </c>
      <c r="K4577" s="26" t="str">
        <f>IF(OR(E4577="",E4577="!!!",F4577="NEW"),"",INDEX(J$1:J4576,SUMPRODUCT(MAX(ROW(E$1:E4576)*(E4577=E$1:E4576)))))</f>
        <v> </v>
      </c>
      <c r="L4577" s="27"/>
    </row>
    <row r="4578" spans="1:12">
      <c r="A4578" s="20" t="s">
        <v>1245</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109</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t="s">
        <v>1321</v>
      </c>
      <c r="E4580" s="22">
        <f>IF(D4580="?OLD","!!!","")</f>
        <v/>
      </c>
      <c r="F4580" s="23" t="str">
        <f>IF(OR(E4580="",E4580="!!!"),"",IF(NOT(ISNA(VLOOKUP(E4580,E$1:E4579,1,FALSE()))),"OLD",IF(AND(E4580&lt;&gt;"",E4580&lt;&gt;"!!!"),"NEW","")))</f>
        <v> </v>
      </c>
      <c r="G4580" s="24" t="str">
        <f>IF(OR(E4580="",E4580="!!!"),"",IF(OR(J4580=0,AND(J4580=1,K4580=1),AND(J4580=1,I4580="SBJ"),AND(J4580=1,I4580=0)),"?IN_FOCUS",IF(J4580&lt;=2,"?ACTIVATED",IF(J4580&lt;&gt;"","?FAMILIAR",IF(F4580="NEW",IF(ISNA(VLOOKUP(E4580,#REF!,1,FALSE())),"?TYPE_IDENTIFIABLE","?REFERENTIAL"),"_")))))</f>
        <v> </v>
      </c>
      <c r="H4580" s="25" t="str">
        <f>IF(J4580&lt;&gt;1,"",IF(I4580="SBJ","CB","?"))</f>
        <v> </v>
      </c>
      <c r="I4580" s="26" t="str">
        <f>IF(OR(E4580="",E4580="!!!",F4580="NEW"),"",INDEX(B4579:B$2,-1+SUMPRODUCT(MAX(ROW(E4579:E$2)*(E4580=E4579:E$2)))))</f>
        <v> </v>
      </c>
      <c r="J4580" s="26" t="str">
        <f>IF(OR(E4580="",E4580="!!!",F4580="NEW"),"",COUNTBLANK(OFFSET(A$1,,,SUMPRODUCT(MAX(ROW(E$2:E4580)*(E4580=E$2:E4580)))))-COUNTBLANK(OFFSET(A$1,,,SUMPRODUCT(MAX(ROW(E$1:E4579)*(E2=E$1:E4579))))))</f>
        <v> </v>
      </c>
      <c r="K4580" s="26" t="str">
        <f>IF(OR(E4580="",E4580="!!!",F4580="NEW"),"",INDEX(J$1:J4579,SUMPRODUCT(MAX(ROW(E$1:E4579)*(E4580=E$1:E4579)))))</f>
        <v> </v>
      </c>
      <c r="L4580" s="27"/>
    </row>
    <row r="4581" spans="1:12">
      <c r="A4581" s="20" t="s">
        <v>1266</v>
      </c>
      <c r="E4581" s="22">
        <f>IF(D4581="?OLD","!!!","")</f>
        <v/>
      </c>
      <c r="F4581" s="23" t="str">
        <f>IF(OR(E4581="",E4581="!!!"),"",IF(NOT(ISNA(VLOOKUP(E4581,E$1:E4580,1,FALSE()))),"OLD",IF(AND(E4581&lt;&gt;"",E4581&lt;&gt;"!!!"),"NEW","")))</f>
        <v> </v>
      </c>
      <c r="G4581" s="24" t="str">
        <f>IF(OR(E4581="",E4581="!!!"),"",IF(OR(J4581=0,AND(J4581=1,K4581=1),AND(J4581=1,I4581="SBJ"),AND(J4581=1,I4581=0)),"?IN_FOCUS",IF(J4581&lt;=2,"?ACTIVATED",IF(J4581&lt;&gt;"","?FAMILIAR",IF(F4581="NEW",IF(ISNA(VLOOKUP(E4581,#REF!,1,FALSE())),"?TYPE_IDENTIFIABLE","?REFERENTIAL"),"_")))))</f>
        <v> </v>
      </c>
      <c r="H4581" s="25" t="str">
        <f>IF(J4581&lt;&gt;1,"",IF(I4581="SBJ","CB","?"))</f>
        <v> </v>
      </c>
      <c r="I4581" s="26" t="str">
        <f>IF(OR(E4581="",E4581="!!!",F4581="NEW"),"",INDEX(B4580:B$2,-1+SUMPRODUCT(MAX(ROW(E4580:E$2)*(E4581=E4580:E$2)))))</f>
        <v> </v>
      </c>
      <c r="J4581" s="26" t="str">
        <f>IF(OR(E4581="",E4581="!!!",F4581="NEW"),"",COUNTBLANK(OFFSET(A$1,,,SUMPRODUCT(MAX(ROW(E$2:E4581)*(E4581=E$2:E4581)))))-COUNTBLANK(OFFSET(A$1,,,SUMPRODUCT(MAX(ROW(E$1:E4580)*(E2=E$1:E4580))))))</f>
        <v> </v>
      </c>
      <c r="K4581" s="26" t="str">
        <f>IF(OR(E4581="",E4581="!!!",F4581="NEW"),"",INDEX(J$1:J4580,SUMPRODUCT(MAX(ROW(E$1:E4580)*(E4581=E$1:E4580)))))</f>
        <v> </v>
      </c>
      <c r="L4581" s="27"/>
    </row>
    <row r="4582" spans="1:12">
      <c r="A4582" s="20" t="s">
        <v>1515</v>
      </c>
      <c r="B4582" s="21" t="s">
        <v>1252</v>
      </c>
      <c r="C4582" s="21" t="s">
        <v>1269</v>
      </c>
      <c r="D4582" s="21" t="s">
        <v>1217</v>
      </c>
      <c r="E4582" s="22">
        <f>IF(D4582="?OLD","!!!","")</f>
        <v/>
      </c>
      <c r="F4582" s="23" t="str">
        <f>IF(OR(E4582="",E4582="!!!"),"",IF(NOT(ISNA(VLOOKUP(E4582,E$1:E4581,1,FALSE()))),"OLD",IF(AND(E4582&lt;&gt;"",E4582&lt;&gt;"!!!"),"NEW","")))</f>
        <v> </v>
      </c>
      <c r="G4582" s="24" t="str">
        <f>IF(OR(E4582="",E4582="!!!"),"",IF(OR(J4582=0,AND(J4582=1,K4582=1),AND(J4582=1,I4582="SBJ"),AND(J4582=1,I4582=0)),"?IN_FOCUS",IF(J4582&lt;=2,"?ACTIVATED",IF(J4582&lt;&gt;"","?FAMILIAR",IF(F4582="NEW",IF(ISNA(VLOOKUP(E4582,#REF!,1,FALSE())),"?TYPE_IDENTIFIABLE","?REFERENTIAL"),"_")))))</f>
        <v> </v>
      </c>
      <c r="H4582" s="25" t="str">
        <f>IF(J4582&lt;&gt;1,"",IF(I4582="SBJ","CB","?"))</f>
        <v> </v>
      </c>
      <c r="I4582" s="26" t="str">
        <f>IF(OR(E4582="",E4582="!!!",F4582="NEW"),"",INDEX(B4581:B$2,-1+SUMPRODUCT(MAX(ROW(E4581:E$2)*(E4582=E4581:E$2)))))</f>
        <v> </v>
      </c>
      <c r="J4582" s="26" t="str">
        <f>IF(OR(E4582="",E4582="!!!",F4582="NEW"),"",COUNTBLANK(OFFSET(A$1,,,SUMPRODUCT(MAX(ROW(E$2:E4582)*(E4582=E$2:E4582)))))-COUNTBLANK(OFFSET(A$1,,,SUMPRODUCT(MAX(ROW(E$1:E4581)*(E2=E$1:E4581))))))</f>
        <v> </v>
      </c>
      <c r="K4582" s="26" t="str">
        <f>IF(OR(E4582="",E4582="!!!",F4582="NEW"),"",INDEX(J$1:J4581,SUMPRODUCT(MAX(ROW(E$1:E4581)*(E4582=E$1:E4581)))))</f>
        <v> </v>
      </c>
      <c r="L4582" s="27"/>
    </row>
    <row r="4583" spans="1:12">
      <c r="A4583" s="20" t="s">
        <v>1474</v>
      </c>
      <c r="B4583" s="21" t="s">
        <v>1292</v>
      </c>
      <c r="C4583" s="21" t="s">
        <v>1255</v>
      </c>
      <c r="D4583" s="21" t="s">
        <v>1217</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t="s">
        <v>2719</v>
      </c>
      <c r="E4584" s="22">
        <f>IF(D4584="?OLD","!!!","")</f>
        <v/>
      </c>
      <c r="F4584" s="23" t="str">
        <f>IF(OR(E4584="",E4584="!!!"),"",IF(NOT(ISNA(VLOOKUP(E4584,E$1:E4583,1,FALSE()))),"OLD",IF(AND(E4584&lt;&gt;"",E4584&lt;&gt;"!!!"),"NEW","")))</f>
        <v> </v>
      </c>
      <c r="G4584" s="24" t="str">
        <f>IF(OR(E4584="",E4584="!!!"),"",IF(OR(J4584=0,AND(J4584=1,K4584=1),AND(J4584=1,I4584="SBJ"),AND(J4584=1,I4584=0)),"?IN_FOCUS",IF(J4584&lt;=2,"?ACTIVATED",IF(J4584&lt;&gt;"","?FAMILIAR",IF(F4584="NEW",IF(ISNA(VLOOKUP(E4584,#REF!,1,FALSE())),"?TYPE_IDENTIFIABLE","?REFERENTIAL"),"_")))))</f>
        <v> </v>
      </c>
      <c r="H4584" s="25" t="str">
        <f>IF(J4584&lt;&gt;1,"",IF(I4584="SBJ","CB","?"))</f>
        <v> </v>
      </c>
      <c r="I4584" s="26" t="str">
        <f>IF(OR(E4584="",E4584="!!!",F4584="NEW"),"",INDEX(B4583:B$2,-1+SUMPRODUCT(MAX(ROW(E4583:E$2)*(E4584=E4583:E$2)))))</f>
        <v> </v>
      </c>
      <c r="J4584" s="26" t="str">
        <f>IF(OR(E4584="",E4584="!!!",F4584="NEW"),"",COUNTBLANK(OFFSET(A$1,,,SUMPRODUCT(MAX(ROW(E$2:E4584)*(E4584=E$2:E4584)))))-COUNTBLANK(OFFSET(A$1,,,SUMPRODUCT(MAX(ROW(E$1:E4583)*(E2=E$1:E4583))))))</f>
        <v> </v>
      </c>
      <c r="K4584" s="26" t="str">
        <f>IF(OR(E4584="",E4584="!!!",F4584="NEW"),"",INDEX(J$1:J4583,SUMPRODUCT(MAX(ROW(E$1:E4583)*(E4584=E$1:E4583)))))</f>
        <v> </v>
      </c>
      <c r="L4584" s="27"/>
    </row>
    <row r="4585" spans="1:12">
      <c r="A4585" s="20" t="s">
        <v>2720</v>
      </c>
      <c r="E4585" s="22">
        <f>IF(D4585="?OLD","!!!","")</f>
        <v/>
      </c>
      <c r="F4585" s="23" t="str">
        <f>IF(OR(E4585="",E4585="!!!"),"",IF(NOT(ISNA(VLOOKUP(E4585,E$1:E4584,1,FALSE()))),"OLD",IF(AND(E4585&lt;&gt;"",E4585&lt;&gt;"!!!"),"NEW","")))</f>
        <v> </v>
      </c>
      <c r="G4585" s="24" t="str">
        <f>IF(OR(E4585="",E4585="!!!"),"",IF(OR(J4585=0,AND(J4585=1,K4585=1),AND(J4585=1,I4585="SBJ"),AND(J4585=1,I4585=0)),"?IN_FOCUS",IF(J4585&lt;=2,"?ACTIVATED",IF(J4585&lt;&gt;"","?FAMILIAR",IF(F4585="NEW",IF(ISNA(VLOOKUP(E4585,#REF!,1,FALSE())),"?TYPE_IDENTIFIABLE","?REFERENTIAL"),"_")))))</f>
        <v> </v>
      </c>
      <c r="H4585" s="25" t="str">
        <f>IF(J4585&lt;&gt;1,"",IF(I4585="SBJ","CB","?"))</f>
        <v> </v>
      </c>
      <c r="I4585" s="26" t="str">
        <f>IF(OR(E4585="",E4585="!!!",F4585="NEW"),"",INDEX(B4584:B$2,-1+SUMPRODUCT(MAX(ROW(E4584:E$2)*(E4585=E4584:E$2)))))</f>
        <v> </v>
      </c>
      <c r="J4585" s="26" t="str">
        <f>IF(OR(E4585="",E4585="!!!",F4585="NEW"),"",COUNTBLANK(OFFSET(A$1,,,SUMPRODUCT(MAX(ROW(E$2:E4585)*(E4585=E$2:E4585)))))-COUNTBLANK(OFFSET(A$1,,,SUMPRODUCT(MAX(ROW(E$1:E4584)*(E2=E$1:E4584))))))</f>
        <v> </v>
      </c>
      <c r="K4585" s="26" t="str">
        <f>IF(OR(E4585="",E4585="!!!",F4585="NEW"),"",INDEX(J$1:J4584,SUMPRODUCT(MAX(ROW(E$1:E4584)*(E4585=E$1:E4584)))))</f>
        <v> </v>
      </c>
      <c r="L4585" s="27"/>
    </row>
    <row r="4586" spans="1:12">
      <c r="A4586" s="20" t="s">
        <v>1262</v>
      </c>
      <c r="E4586" s="22">
        <f>IF(D4586="?OLD","!!!","")</f>
        <v/>
      </c>
      <c r="F4586" s="23" t="str">
        <f>IF(OR(E4586="",E4586="!!!"),"",IF(NOT(ISNA(VLOOKUP(E4586,E$1:E4585,1,FALSE()))),"OLD",IF(AND(E4586&lt;&gt;"",E4586&lt;&gt;"!!!"),"NEW","")))</f>
        <v> </v>
      </c>
      <c r="G4586" s="24" t="str">
        <f>IF(OR(E4586="",E4586="!!!"),"",IF(OR(J4586=0,AND(J4586=1,K4586=1),AND(J4586=1,I4586="SBJ"),AND(J4586=1,I4586=0)),"?IN_FOCUS",IF(J4586&lt;=2,"?ACTIVATED",IF(J4586&lt;&gt;"","?FAMILIAR",IF(F4586="NEW",IF(ISNA(VLOOKUP(E4586,#REF!,1,FALSE())),"?TYPE_IDENTIFIABLE","?REFERENTIAL"),"_")))))</f>
        <v> </v>
      </c>
      <c r="H4586" s="25" t="str">
        <f>IF(J4586&lt;&gt;1,"",IF(I4586="SBJ","CB","?"))</f>
        <v> </v>
      </c>
      <c r="I4586" s="26" t="str">
        <f>IF(OR(E4586="",E4586="!!!",F4586="NEW"),"",INDEX(B4585:B$2,-1+SUMPRODUCT(MAX(ROW(E4585:E$2)*(E4586=E4585:E$2)))))</f>
        <v> </v>
      </c>
      <c r="J4586" s="26" t="str">
        <f>IF(OR(E4586="",E4586="!!!",F4586="NEW"),"",COUNTBLANK(OFFSET(A$1,,,SUMPRODUCT(MAX(ROW(E$2:E4586)*(E4586=E$2:E4586)))))-COUNTBLANK(OFFSET(A$1,,,SUMPRODUCT(MAX(ROW(E$1:E4585)*(E2=E$1:E4585))))))</f>
        <v> </v>
      </c>
      <c r="K4586" s="26" t="str">
        <f>IF(OR(E4586="",E4586="!!!",F4586="NEW"),"",INDEX(J$1:J4585,SUMPRODUCT(MAX(ROW(E$1:E4585)*(E4586=E$1:E4585)))))</f>
        <v> </v>
      </c>
      <c r="L4586" s="27"/>
    </row>
    <row r="4587" spans="1:12">
      <c r="A4587" s="20"/>
    </row>
    <row r="4588" spans="1:12">
      <c r="A4588" s="20" t="s">
        <v>2721</v>
      </c>
    </row>
    <row r="4589" spans="1:12">
      <c r="A4589" s="20" t="s">
        <v>1334</v>
      </c>
      <c r="B4589" s="21" t="s">
        <v>1215</v>
      </c>
      <c r="C4589" s="21" t="s">
        <v>1255</v>
      </c>
      <c r="D4589" s="21" t="s">
        <v>1217</v>
      </c>
      <c r="E4589" s="22">
        <f>IF(D4589="?OLD","!!!","")</f>
        <v/>
      </c>
      <c r="F4589" s="23" t="str">
        <f>IF(OR(E4589="",E4589="!!!"),"",IF(NOT(ISNA(VLOOKUP(E4589,E$1:E4588,1,FALSE()))),"OLD",IF(AND(E4589&lt;&gt;"",E4589&lt;&gt;"!!!"),"NEW","")))</f>
        <v> </v>
      </c>
      <c r="G4589" s="24" t="str">
        <f>IF(OR(E4589="",E4589="!!!"),"",IF(OR(J4589=0,AND(J4589=1,K4589=1),AND(J4589=1,I4589="SBJ"),AND(J4589=1,I4589=0)),"?IN_FOCUS",IF(J4589&lt;=2,"?ACTIVATED",IF(J4589&lt;&gt;"","?FAMILIAR",IF(F4589="NEW",IF(ISNA(VLOOKUP(E4589,#REF!,1,FALSE())),"?TYPE_IDENTIFIABLE","?REFERENTIAL"),"_")))))</f>
        <v> </v>
      </c>
      <c r="H4589" s="25" t="str">
        <f>IF(J4589&lt;&gt;1,"",IF(I4589="SBJ","CB","?"))</f>
        <v> </v>
      </c>
      <c r="I4589" s="26" t="str">
        <f>IF(OR(E4589="",E4589="!!!",F4589="NEW"),"",INDEX(B4588:B$2,-1+SUMPRODUCT(MAX(ROW(E4588:E$2)*(E4589=E4588:E$2)))))</f>
        <v> </v>
      </c>
      <c r="J4589" s="26" t="str">
        <f>IF(OR(E4589="",E4589="!!!",F4589="NEW"),"",COUNTBLANK(OFFSET(A$1,,,SUMPRODUCT(MAX(ROW(E$2:E4589)*(E4589=E$2:E4589)))))-COUNTBLANK(OFFSET(A$1,,,SUMPRODUCT(MAX(ROW(E$1:E4588)*(E2=E$1:E4588))))))</f>
        <v> </v>
      </c>
      <c r="K4589" s="26" t="str">
        <f>IF(OR(E4589="",E4589="!!!",F4589="NEW"),"",INDEX(J$1:J4588,SUMPRODUCT(MAX(ROW(E$1:E4588)*(E4589=E$1:E4588)))))</f>
        <v> </v>
      </c>
      <c r="L4589" s="27"/>
    </row>
    <row r="4590" spans="1:12">
      <c r="A4590" s="20" t="s">
        <v>2722</v>
      </c>
      <c r="E4590" s="22">
        <f>IF(D4590="?OLD","!!!","")</f>
        <v/>
      </c>
      <c r="F4590" s="23" t="str">
        <f>IF(OR(E4590="",E4590="!!!"),"",IF(NOT(ISNA(VLOOKUP(E4590,E$1:E4589,1,FALSE()))),"OLD",IF(AND(E4590&lt;&gt;"",E4590&lt;&gt;"!!!"),"NEW","")))</f>
        <v> </v>
      </c>
      <c r="G4590" s="24" t="str">
        <f>IF(OR(E4590="",E4590="!!!"),"",IF(OR(J4590=0,AND(J4590=1,K4590=1),AND(J4590=1,I4590="SBJ"),AND(J4590=1,I4590=0)),"?IN_FOCUS",IF(J4590&lt;=2,"?ACTIVATED",IF(J4590&lt;&gt;"","?FAMILIAR",IF(F4590="NEW",IF(ISNA(VLOOKUP(E4590,#REF!,1,FALSE())),"?TYPE_IDENTIFIABLE","?REFERENTIAL"),"_")))))</f>
        <v> </v>
      </c>
      <c r="H4590" s="25" t="str">
        <f>IF(J4590&lt;&gt;1,"",IF(I4590="SBJ","CB","?"))</f>
        <v> </v>
      </c>
      <c r="I4590" s="26" t="str">
        <f>IF(OR(E4590="",E4590="!!!",F4590="NEW"),"",INDEX(B4589:B$2,-1+SUMPRODUCT(MAX(ROW(E4589:E$2)*(E4590=E4589:E$2)))))</f>
        <v> </v>
      </c>
      <c r="J4590" s="26" t="str">
        <f>IF(OR(E4590="",E4590="!!!",F4590="NEW"),"",COUNTBLANK(OFFSET(A$1,,,SUMPRODUCT(MAX(ROW(E$2:E4590)*(E4590=E$2:E4590)))))-COUNTBLANK(OFFSET(A$1,,,SUMPRODUCT(MAX(ROW(E$1:E4589)*(E2=E$1:E4589))))))</f>
        <v> </v>
      </c>
      <c r="K4590" s="26" t="str">
        <f>IF(OR(E4590="",E4590="!!!",F4590="NEW"),"",INDEX(J$1:J4589,SUMPRODUCT(MAX(ROW(E$1:E4589)*(E4590=E$1:E4589)))))</f>
        <v> </v>
      </c>
      <c r="L4590" s="27"/>
    </row>
    <row r="4591" spans="1:12">
      <c r="A4591" s="20" t="s">
        <v>1245</v>
      </c>
      <c r="E4591" s="22">
        <f>IF(D4591="?OLD","!!!","")</f>
        <v/>
      </c>
      <c r="F4591" s="23" t="str">
        <f>IF(OR(E4591="",E4591="!!!"),"",IF(NOT(ISNA(VLOOKUP(E4591,E$1:E4590,1,FALSE()))),"OLD",IF(AND(E4591&lt;&gt;"",E4591&lt;&gt;"!!!"),"NEW","")))</f>
        <v> </v>
      </c>
      <c r="G4591" s="24" t="str">
        <f>IF(OR(E4591="",E4591="!!!"),"",IF(OR(J4591=0,AND(J4591=1,K4591=1),AND(J4591=1,I4591="SBJ"),AND(J4591=1,I4591=0)),"?IN_FOCUS",IF(J4591&lt;=2,"?ACTIVATED",IF(J4591&lt;&gt;"","?FAMILIAR",IF(F4591="NEW",IF(ISNA(VLOOKUP(E4591,#REF!,1,FALSE())),"?TYPE_IDENTIFIABLE","?REFERENTIAL"),"_")))))</f>
        <v> </v>
      </c>
      <c r="H4591" s="25" t="str">
        <f>IF(J4591&lt;&gt;1,"",IF(I4591="SBJ","CB","?"))</f>
        <v> </v>
      </c>
      <c r="I4591" s="26" t="str">
        <f>IF(OR(E4591="",E4591="!!!",F4591="NEW"),"",INDEX(B4590:B$2,-1+SUMPRODUCT(MAX(ROW(E4590:E$2)*(E4591=E4590:E$2)))))</f>
        <v> </v>
      </c>
      <c r="J4591" s="26" t="str">
        <f>IF(OR(E4591="",E4591="!!!",F4591="NEW"),"",COUNTBLANK(OFFSET(A$1,,,SUMPRODUCT(MAX(ROW(E$2:E4591)*(E4591=E$2:E4591)))))-COUNTBLANK(OFFSET(A$1,,,SUMPRODUCT(MAX(ROW(E$1:E4590)*(E2=E$1:E4590))))))</f>
        <v> </v>
      </c>
      <c r="K4591" s="26" t="str">
        <f>IF(OR(E4591="",E4591="!!!",F4591="NEW"),"",INDEX(J$1:J4590,SUMPRODUCT(MAX(ROW(E$1:E4590)*(E4591=E$1:E4590)))))</f>
        <v> </v>
      </c>
      <c r="L4591" s="27"/>
    </row>
    <row r="4592" spans="1:12">
      <c r="A4592" s="20" t="s">
        <v>1456</v>
      </c>
      <c r="B4592" s="21" t="s">
        <v>1244</v>
      </c>
      <c r="C4592" s="21" t="s">
        <v>1225</v>
      </c>
      <c r="D4592" s="21" t="s">
        <v>1217</v>
      </c>
      <c r="E4592" s="22">
        <f>IF(D4592="?OLD","!!!","")</f>
        <v/>
      </c>
      <c r="F4592" s="23" t="str">
        <f>IF(OR(E4592="",E4592="!!!"),"",IF(NOT(ISNA(VLOOKUP(E4592,E$1:E4591,1,FALSE()))),"OLD",IF(AND(E4592&lt;&gt;"",E4592&lt;&gt;"!!!"),"NEW","")))</f>
        <v> </v>
      </c>
      <c r="G4592" s="24" t="str">
        <f>IF(OR(E4592="",E4592="!!!"),"",IF(OR(J4592=0,AND(J4592=1,K4592=1),AND(J4592=1,I4592="SBJ"),AND(J4592=1,I4592=0)),"?IN_FOCUS",IF(J4592&lt;=2,"?ACTIVATED",IF(J4592&lt;&gt;"","?FAMILIAR",IF(F4592="NEW",IF(ISNA(VLOOKUP(E4592,#REF!,1,FALSE())),"?TYPE_IDENTIFIABLE","?REFERENTIAL"),"_")))))</f>
        <v> </v>
      </c>
      <c r="H4592" s="25" t="str">
        <f>IF(J4592&lt;&gt;1,"",IF(I4592="SBJ","CB","?"))</f>
        <v> </v>
      </c>
      <c r="I4592" s="26" t="str">
        <f>IF(OR(E4592="",E4592="!!!",F4592="NEW"),"",INDEX(B4591:B$2,-1+SUMPRODUCT(MAX(ROW(E4591:E$2)*(E4592=E4591:E$2)))))</f>
        <v> </v>
      </c>
      <c r="J4592" s="26" t="str">
        <f>IF(OR(E4592="",E4592="!!!",F4592="NEW"),"",COUNTBLANK(OFFSET(A$1,,,SUMPRODUCT(MAX(ROW(E$2:E4592)*(E4592=E$2:E4592)))))-COUNTBLANK(OFFSET(A$1,,,SUMPRODUCT(MAX(ROW(E$1:E4591)*(E2=E$1:E4591))))))</f>
        <v> </v>
      </c>
      <c r="K4592" s="26" t="str">
        <f>IF(OR(E4592="",E4592="!!!",F4592="NEW"),"",INDEX(J$1:J4591,SUMPRODUCT(MAX(ROW(E$1:E4591)*(E4592=E$1:E4591)))))</f>
        <v> </v>
      </c>
      <c r="L4592" s="27"/>
    </row>
    <row r="4593" spans="1:12">
      <c r="A4593" s="20" t="s">
        <v>1323</v>
      </c>
      <c r="E4593" s="22">
        <f>IF(D4593="?OLD","!!!","")</f>
        <v/>
      </c>
      <c r="F4593" s="23" t="str">
        <f>IF(OR(E4593="",E4593="!!!"),"",IF(NOT(ISNA(VLOOKUP(E4593,E$1:E4592,1,FALSE()))),"OLD",IF(AND(E4593&lt;&gt;"",E4593&lt;&gt;"!!!"),"NEW","")))</f>
        <v> </v>
      </c>
      <c r="G4593" s="24" t="str">
        <f>IF(OR(E4593="",E4593="!!!"),"",IF(OR(J4593=0,AND(J4593=1,K4593=1),AND(J4593=1,I4593="SBJ"),AND(J4593=1,I4593=0)),"?IN_FOCUS",IF(J4593&lt;=2,"?ACTIVATED",IF(J4593&lt;&gt;"","?FAMILIAR",IF(F4593="NEW",IF(ISNA(VLOOKUP(E4593,#REF!,1,FALSE())),"?TYPE_IDENTIFIABLE","?REFERENTIAL"),"_")))))</f>
        <v> </v>
      </c>
      <c r="H4593" s="25" t="str">
        <f>IF(J4593&lt;&gt;1,"",IF(I4593="SBJ","CB","?"))</f>
        <v> </v>
      </c>
      <c r="I4593" s="26" t="str">
        <f>IF(OR(E4593="",E4593="!!!",F4593="NEW"),"",INDEX(B4592:B$2,-1+SUMPRODUCT(MAX(ROW(E4592:E$2)*(E4593=E4592:E$2)))))</f>
        <v> </v>
      </c>
      <c r="J4593" s="26" t="str">
        <f>IF(OR(E4593="",E4593="!!!",F4593="NEW"),"",COUNTBLANK(OFFSET(A$1,,,SUMPRODUCT(MAX(ROW(E$2:E4593)*(E4593=E$2:E4593)))))-COUNTBLANK(OFFSET(A$1,,,SUMPRODUCT(MAX(ROW(E$1:E4592)*(E2=E$1:E4592))))))</f>
        <v> </v>
      </c>
      <c r="K4593" s="26" t="str">
        <f>IF(OR(E4593="",E4593="!!!",F4593="NEW"),"",INDEX(J$1:J4592,SUMPRODUCT(MAX(ROW(E$1:E4592)*(E4593=E$1:E4592)))))</f>
        <v> </v>
      </c>
      <c r="L4593" s="27"/>
    </row>
    <row r="4594" spans="1:12">
      <c r="A4594" s="20" t="s">
        <v>2723</v>
      </c>
      <c r="B4594" s="21" t="s">
        <v>1275</v>
      </c>
      <c r="C4594" s="21" t="s">
        <v>1269</v>
      </c>
      <c r="D4594" s="21" t="s">
        <v>1217</v>
      </c>
      <c r="E4594" s="22">
        <f>IF(D4594="?OLD","!!!","")</f>
        <v/>
      </c>
      <c r="F4594" s="23" t="str">
        <f>IF(OR(E4594="",E4594="!!!"),"",IF(NOT(ISNA(VLOOKUP(E4594,E$1:E4593,1,FALSE()))),"OLD",IF(AND(E4594&lt;&gt;"",E4594&lt;&gt;"!!!"),"NEW","")))</f>
        <v> </v>
      </c>
      <c r="G4594" s="24" t="str">
        <f>IF(OR(E4594="",E4594="!!!"),"",IF(OR(J4594=0,AND(J4594=1,K4594=1),AND(J4594=1,I4594="SBJ"),AND(J4594=1,I4594=0)),"?IN_FOCUS",IF(J4594&lt;=2,"?ACTIVATED",IF(J4594&lt;&gt;"","?FAMILIAR",IF(F4594="NEW",IF(ISNA(VLOOKUP(E4594,#REF!,1,FALSE())),"?TYPE_IDENTIFIABLE","?REFERENTIAL"),"_")))))</f>
        <v> </v>
      </c>
      <c r="H4594" s="25" t="str">
        <f>IF(J4594&lt;&gt;1,"",IF(I4594="SBJ","CB","?"))</f>
        <v> </v>
      </c>
      <c r="I4594" s="26" t="str">
        <f>IF(OR(E4594="",E4594="!!!",F4594="NEW"),"",INDEX(B4593:B$2,-1+SUMPRODUCT(MAX(ROW(E4593:E$2)*(E4594=E4593:E$2)))))</f>
        <v> </v>
      </c>
      <c r="J4594" s="26" t="str">
        <f>IF(OR(E4594="",E4594="!!!",F4594="NEW"),"",COUNTBLANK(OFFSET(A$1,,,SUMPRODUCT(MAX(ROW(E$2:E4594)*(E4594=E$2:E4594)))))-COUNTBLANK(OFFSET(A$1,,,SUMPRODUCT(MAX(ROW(E$1:E4593)*(E2=E$1:E4593))))))</f>
        <v> </v>
      </c>
      <c r="K4594" s="26" t="str">
        <f>IF(OR(E4594="",E4594="!!!",F4594="NEW"),"",INDEX(J$1:J4593,SUMPRODUCT(MAX(ROW(E$1:E4593)*(E4594=E$1:E4593)))))</f>
        <v> </v>
      </c>
      <c r="L4594" s="27"/>
    </row>
    <row r="4595" spans="1:12">
      <c r="A4595" s="20" t="s">
        <v>1218</v>
      </c>
      <c r="E4595" s="22">
        <f>IF(D4595="?OLD","!!!","")</f>
        <v/>
      </c>
      <c r="F4595" s="23" t="str">
        <f>IF(OR(E4595="",E4595="!!!"),"",IF(NOT(ISNA(VLOOKUP(E4595,E$1:E4594,1,FALSE()))),"OLD",IF(AND(E4595&lt;&gt;"",E4595&lt;&gt;"!!!"),"NEW","")))</f>
        <v> </v>
      </c>
      <c r="G4595" s="24" t="str">
        <f>IF(OR(E4595="",E4595="!!!"),"",IF(OR(J4595=0,AND(J4595=1,K4595=1),AND(J4595=1,I4595="SBJ"),AND(J4595=1,I4595=0)),"?IN_FOCUS",IF(J4595&lt;=2,"?ACTIVATED",IF(J4595&lt;&gt;"","?FAMILIAR",IF(F4595="NEW",IF(ISNA(VLOOKUP(E4595,#REF!,1,FALSE())),"?TYPE_IDENTIFIABLE","?REFERENTIAL"),"_")))))</f>
        <v> </v>
      </c>
      <c r="H4595" s="25" t="str">
        <f>IF(J4595&lt;&gt;1,"",IF(I4595="SBJ","CB","?"))</f>
        <v> </v>
      </c>
      <c r="I4595" s="26" t="str">
        <f>IF(OR(E4595="",E4595="!!!",F4595="NEW"),"",INDEX(B4594:B$2,-1+SUMPRODUCT(MAX(ROW(E4594:E$2)*(E4595=E4594:E$2)))))</f>
        <v> </v>
      </c>
      <c r="J4595" s="26" t="str">
        <f>IF(OR(E4595="",E4595="!!!",F4595="NEW"),"",COUNTBLANK(OFFSET(A$1,,,SUMPRODUCT(MAX(ROW(E$2:E4595)*(E4595=E$2:E4595)))))-COUNTBLANK(OFFSET(A$1,,,SUMPRODUCT(MAX(ROW(E$1:E4594)*(E2=E$1:E4594))))))</f>
        <v> </v>
      </c>
      <c r="K4595" s="26" t="str">
        <f>IF(OR(E4595="",E4595="!!!",F4595="NEW"),"",INDEX(J$1:J4594,SUMPRODUCT(MAX(ROW(E$1:E4594)*(E4595=E$1:E4594)))))</f>
        <v> </v>
      </c>
      <c r="L4595" s="27"/>
    </row>
    <row r="4596" spans="1:12">
      <c r="A4596" s="20" t="s">
        <v>1323</v>
      </c>
      <c r="E4596" s="22">
        <f>IF(D4596="?OLD","!!!","")</f>
        <v/>
      </c>
      <c r="F4596" s="23" t="str">
        <f>IF(OR(E4596="",E4596="!!!"),"",IF(NOT(ISNA(VLOOKUP(E4596,E$1:E4595,1,FALSE()))),"OLD",IF(AND(E4596&lt;&gt;"",E4596&lt;&gt;"!!!"),"NEW","")))</f>
        <v> </v>
      </c>
      <c r="G4596" s="24" t="str">
        <f>IF(OR(E4596="",E4596="!!!"),"",IF(OR(J4596=0,AND(J4596=1,K4596=1),AND(J4596=1,I4596="SBJ"),AND(J4596=1,I4596=0)),"?IN_FOCUS",IF(J4596&lt;=2,"?ACTIVATED",IF(J4596&lt;&gt;"","?FAMILIAR",IF(F4596="NEW",IF(ISNA(VLOOKUP(E4596,#REF!,1,FALSE())),"?TYPE_IDENTIFIABLE","?REFERENTIAL"),"_")))))</f>
        <v> </v>
      </c>
      <c r="H4596" s="25" t="str">
        <f>IF(J4596&lt;&gt;1,"",IF(I4596="SBJ","CB","?"))</f>
        <v> </v>
      </c>
      <c r="I4596" s="26" t="str">
        <f>IF(OR(E4596="",E4596="!!!",F4596="NEW"),"",INDEX(B4595:B$2,-1+SUMPRODUCT(MAX(ROW(E4595:E$2)*(E4596=E4595:E$2)))))</f>
        <v> </v>
      </c>
      <c r="J4596" s="26" t="str">
        <f>IF(OR(E4596="",E4596="!!!",F4596="NEW"),"",COUNTBLANK(OFFSET(A$1,,,SUMPRODUCT(MAX(ROW(E$2:E4596)*(E4596=E$2:E4596)))))-COUNTBLANK(OFFSET(A$1,,,SUMPRODUCT(MAX(ROW(E$1:E4595)*(E2=E$1:E4595))))))</f>
        <v> </v>
      </c>
      <c r="K4596" s="26" t="str">
        <f>IF(OR(E4596="",E4596="!!!",F4596="NEW"),"",INDEX(J$1:J4595,SUMPRODUCT(MAX(ROW(E$1:E4595)*(E4596=E$1:E4595)))))</f>
        <v> </v>
      </c>
      <c r="L4596" s="27"/>
    </row>
    <row r="4597" spans="1:12">
      <c r="A4597" s="20" t="s">
        <v>1424</v>
      </c>
      <c r="B4597" s="21" t="s">
        <v>1221</v>
      </c>
      <c r="C4597" s="21" t="s">
        <v>1269</v>
      </c>
      <c r="D4597" s="21" t="s">
        <v>1217</v>
      </c>
      <c r="E4597" s="22">
        <f>IF(D4597="?OLD","!!!","")</f>
        <v/>
      </c>
      <c r="F4597" s="23" t="str">
        <f>IF(OR(E4597="",E4597="!!!"),"",IF(NOT(ISNA(VLOOKUP(E4597,E$1:E4596,1,FALSE()))),"OLD",IF(AND(E4597&lt;&gt;"",E4597&lt;&gt;"!!!"),"NEW","")))</f>
        <v> </v>
      </c>
      <c r="G4597" s="24" t="str">
        <f>IF(OR(E4597="",E4597="!!!"),"",IF(OR(J4597=0,AND(J4597=1,K4597=1),AND(J4597=1,I4597="SBJ"),AND(J4597=1,I4597=0)),"?IN_FOCUS",IF(J4597&lt;=2,"?ACTIVATED",IF(J4597&lt;&gt;"","?FAMILIAR",IF(F4597="NEW",IF(ISNA(VLOOKUP(E4597,#REF!,1,FALSE())),"?TYPE_IDENTIFIABLE","?REFERENTIAL"),"_")))))</f>
        <v> </v>
      </c>
      <c r="H4597" s="25" t="str">
        <f>IF(J4597&lt;&gt;1,"",IF(I4597="SBJ","CB","?"))</f>
        <v> </v>
      </c>
      <c r="I4597" s="26" t="str">
        <f>IF(OR(E4597="",E4597="!!!",F4597="NEW"),"",INDEX(B4596:B$2,-1+SUMPRODUCT(MAX(ROW(E4596:E$2)*(E4597=E4596:E$2)))))</f>
        <v> </v>
      </c>
      <c r="J4597" s="26" t="str">
        <f>IF(OR(E4597="",E4597="!!!",F4597="NEW"),"",COUNTBLANK(OFFSET(A$1,,,SUMPRODUCT(MAX(ROW(E$2:E4597)*(E4597=E$2:E4597)))))-COUNTBLANK(OFFSET(A$1,,,SUMPRODUCT(MAX(ROW(E$1:E4596)*(E2=E$1:E4596))))))</f>
        <v> </v>
      </c>
      <c r="K4597" s="26" t="str">
        <f>IF(OR(E4597="",E4597="!!!",F4597="NEW"),"",INDEX(J$1:J4596,SUMPRODUCT(MAX(ROW(E$1:E4596)*(E4597=E$1:E4596)))))</f>
        <v> </v>
      </c>
      <c r="L4597" s="27"/>
    </row>
    <row r="4598" spans="1:12">
      <c r="A4598" s="20" t="s">
        <v>1286</v>
      </c>
      <c r="E4598" s="22">
        <f>IF(D4598="?OLD","!!!","")</f>
        <v/>
      </c>
      <c r="F4598" s="23" t="str">
        <f>IF(OR(E4598="",E4598="!!!"),"",IF(NOT(ISNA(VLOOKUP(E4598,E$1:E4597,1,FALSE()))),"OLD",IF(AND(E4598&lt;&gt;"",E4598&lt;&gt;"!!!"),"NEW","")))</f>
        <v> </v>
      </c>
      <c r="G4598" s="24" t="str">
        <f>IF(OR(E4598="",E4598="!!!"),"",IF(OR(J4598=0,AND(J4598=1,K4598=1),AND(J4598=1,I4598="SBJ"),AND(J4598=1,I4598=0)),"?IN_FOCUS",IF(J4598&lt;=2,"?ACTIVATED",IF(J4598&lt;&gt;"","?FAMILIAR",IF(F4598="NEW",IF(ISNA(VLOOKUP(E4598,#REF!,1,FALSE())),"?TYPE_IDENTIFIABLE","?REFERENTIAL"),"_")))))</f>
        <v> </v>
      </c>
      <c r="H4598" s="25" t="str">
        <f>IF(J4598&lt;&gt;1,"",IF(I4598="SBJ","CB","?"))</f>
        <v> </v>
      </c>
      <c r="I4598" s="26" t="str">
        <f>IF(OR(E4598="",E4598="!!!",F4598="NEW"),"",INDEX(B4597:B$2,-1+SUMPRODUCT(MAX(ROW(E4597:E$2)*(E4598=E4597:E$2)))))</f>
        <v> </v>
      </c>
      <c r="J4598" s="26" t="str">
        <f>IF(OR(E4598="",E4598="!!!",F4598="NEW"),"",COUNTBLANK(OFFSET(A$1,,,SUMPRODUCT(MAX(ROW(E$2:E4598)*(E4598=E$2:E4598)))))-COUNTBLANK(OFFSET(A$1,,,SUMPRODUCT(MAX(ROW(E$1:E4597)*(E2=E$1:E4597))))))</f>
        <v> </v>
      </c>
      <c r="K4598" s="26" t="str">
        <f>IF(OR(E4598="",E4598="!!!",F4598="NEW"),"",INDEX(J$1:J4597,SUMPRODUCT(MAX(ROW(E$1:E4597)*(E4598=E$1:E4597)))))</f>
        <v> </v>
      </c>
      <c r="L4598" s="27"/>
    </row>
    <row r="4599" spans="1:12">
      <c r="A4599" s="20" t="s">
        <v>1327</v>
      </c>
      <c r="B4599" s="21" t="s">
        <v>1224</v>
      </c>
      <c r="C4599" s="21" t="s">
        <v>1255</v>
      </c>
      <c r="D4599" s="21" t="s">
        <v>1217</v>
      </c>
      <c r="E4599" s="22">
        <f>IF(D4599="?OLD","!!!","")</f>
        <v/>
      </c>
      <c r="F4599" s="23" t="str">
        <f>IF(OR(E4599="",E4599="!!!"),"",IF(NOT(ISNA(VLOOKUP(E4599,E$1:E4598,1,FALSE()))),"OLD",IF(AND(E4599&lt;&gt;"",E4599&lt;&gt;"!!!"),"NEW","")))</f>
        <v> </v>
      </c>
      <c r="G4599" s="24" t="str">
        <f>IF(OR(E4599="",E4599="!!!"),"",IF(OR(J4599=0,AND(J4599=1,K4599=1),AND(J4599=1,I4599="SBJ"),AND(J4599=1,I4599=0)),"?IN_FOCUS",IF(J4599&lt;=2,"?ACTIVATED",IF(J4599&lt;&gt;"","?FAMILIAR",IF(F4599="NEW",IF(ISNA(VLOOKUP(E4599,#REF!,1,FALSE())),"?TYPE_IDENTIFIABLE","?REFERENTIAL"),"_")))))</f>
        <v> </v>
      </c>
      <c r="H4599" s="25" t="str">
        <f>IF(J4599&lt;&gt;1,"",IF(I4599="SBJ","CB","?"))</f>
        <v> </v>
      </c>
      <c r="I4599" s="26" t="str">
        <f>IF(OR(E4599="",E4599="!!!",F4599="NEW"),"",INDEX(B4598:B$2,-1+SUMPRODUCT(MAX(ROW(E4598:E$2)*(E4599=E4598:E$2)))))</f>
        <v> </v>
      </c>
      <c r="J4599" s="26" t="str">
        <f>IF(OR(E4599="",E4599="!!!",F4599="NEW"),"",COUNTBLANK(OFFSET(A$1,,,SUMPRODUCT(MAX(ROW(E$2:E4599)*(E4599=E$2:E4599)))))-COUNTBLANK(OFFSET(A$1,,,SUMPRODUCT(MAX(ROW(E$1:E4598)*(E2=E$1:E4598))))))</f>
        <v> </v>
      </c>
      <c r="K4599" s="26" t="str">
        <f>IF(OR(E4599="",E4599="!!!",F4599="NEW"),"",INDEX(J$1:J4598,SUMPRODUCT(MAX(ROW(E$1:E4598)*(E4599=E$1:E4598)))))</f>
        <v> </v>
      </c>
      <c r="L4599" s="27"/>
    </row>
    <row r="4600" spans="1:12">
      <c r="A4600" s="20" t="s">
        <v>2724</v>
      </c>
      <c r="B4600" s="21" t="s">
        <v>1221</v>
      </c>
      <c r="C4600" s="21" t="s">
        <v>1279</v>
      </c>
      <c r="E4600" s="22">
        <f>IF(D4600="?OLD","!!!","")</f>
        <v/>
      </c>
      <c r="F4600" s="23" t="str">
        <f>IF(OR(E4600="",E4600="!!!"),"",IF(NOT(ISNA(VLOOKUP(E4600,E$1:E4599,1,FALSE()))),"OLD",IF(AND(E4600&lt;&gt;"",E4600&lt;&gt;"!!!"),"NEW","")))</f>
        <v> </v>
      </c>
      <c r="G4600" s="24" t="str">
        <f>IF(OR(E4600="",E4600="!!!"),"",IF(OR(J4600=0,AND(J4600=1,K4600=1),AND(J4600=1,I4600="SBJ"),AND(J4600=1,I4600=0)),"?IN_FOCUS",IF(J4600&lt;=2,"?ACTIVATED",IF(J4600&lt;&gt;"","?FAMILIAR",IF(F4600="NEW",IF(ISNA(VLOOKUP(E4600,#REF!,1,FALSE())),"?TYPE_IDENTIFIABLE","?REFERENTIAL"),"_")))))</f>
        <v> </v>
      </c>
      <c r="H4600" s="25" t="str">
        <f>IF(J4600&lt;&gt;1,"",IF(I4600="SBJ","CB","?"))</f>
        <v> </v>
      </c>
      <c r="I4600" s="26" t="str">
        <f>IF(OR(E4600="",E4600="!!!",F4600="NEW"),"",INDEX(B4599:B$2,-1+SUMPRODUCT(MAX(ROW(E4599:E$2)*(E4600=E4599:E$2)))))</f>
        <v> </v>
      </c>
      <c r="J4600" s="26" t="str">
        <f>IF(OR(E4600="",E4600="!!!",F4600="NEW"),"",COUNTBLANK(OFFSET(A$1,,,SUMPRODUCT(MAX(ROW(E$2:E4600)*(E4600=E$2:E4600)))))-COUNTBLANK(OFFSET(A$1,,,SUMPRODUCT(MAX(ROW(E$1:E4599)*(E2=E$1:E4599))))))</f>
        <v> </v>
      </c>
      <c r="K4600" s="26" t="str">
        <f>IF(OR(E4600="",E4600="!!!",F4600="NEW"),"",INDEX(J$1:J4599,SUMPRODUCT(MAX(ROW(E$1:E4599)*(E4600=E$1:E4599)))))</f>
        <v> </v>
      </c>
      <c r="L4600" s="27"/>
    </row>
    <row r="4601" spans="1:12">
      <c r="A4601" s="20" t="s">
        <v>1277</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t="s">
        <v>548</v>
      </c>
      <c r="B4602" s="21" t="s">
        <v>1221</v>
      </c>
      <c r="C4602" s="21" t="s">
        <v>1225</v>
      </c>
      <c r="D4602" s="21" t="s">
        <v>1217</v>
      </c>
      <c r="E4602" s="22">
        <f>IF(D4602="?OLD","!!!","")</f>
        <v/>
      </c>
      <c r="F4602" s="23" t="str">
        <f>IF(OR(E4602="",E4602="!!!"),"",IF(NOT(ISNA(VLOOKUP(E4602,E$1:E4601,1,FALSE()))),"OLD",IF(AND(E4602&lt;&gt;"",E4602&lt;&gt;"!!!"),"NEW","")))</f>
        <v> </v>
      </c>
      <c r="G4602" s="24" t="str">
        <f>IF(OR(E4602="",E4602="!!!"),"",IF(OR(J4602=0,AND(J4602=1,K4602=1),AND(J4602=1,I4602="SBJ"),AND(J4602=1,I4602=0)),"?IN_FOCUS",IF(J4602&lt;=2,"?ACTIVATED",IF(J4602&lt;&gt;"","?FAMILIAR",IF(F4602="NEW",IF(ISNA(VLOOKUP(E4602,#REF!,1,FALSE())),"?TYPE_IDENTIFIABLE","?REFERENTIAL"),"_")))))</f>
        <v> </v>
      </c>
      <c r="H4602" s="25" t="str">
        <f>IF(J4602&lt;&gt;1,"",IF(I4602="SBJ","CB","?"))</f>
        <v> </v>
      </c>
      <c r="I4602" s="26" t="str">
        <f>IF(OR(E4602="",E4602="!!!",F4602="NEW"),"",INDEX(B4601:B$2,-1+SUMPRODUCT(MAX(ROW(E4601:E$2)*(E4602=E4601:E$2)))))</f>
        <v> </v>
      </c>
      <c r="J4602" s="26" t="str">
        <f>IF(OR(E4602="",E4602="!!!",F4602="NEW"),"",COUNTBLANK(OFFSET(A$1,,,SUMPRODUCT(MAX(ROW(E$2:E4602)*(E4602=E$2:E4602)))))-COUNTBLANK(OFFSET(A$1,,,SUMPRODUCT(MAX(ROW(E$1:E4601)*(E2=E$1:E4601))))))</f>
        <v> </v>
      </c>
      <c r="K4602" s="26" t="str">
        <f>IF(OR(E4602="",E4602="!!!",F4602="NEW"),"",INDEX(J$1:J4601,SUMPRODUCT(MAX(ROW(E$1:E4601)*(E4602=E$1:E4601)))))</f>
        <v> </v>
      </c>
      <c r="L4602" s="27"/>
    </row>
    <row r="4603" spans="1:12">
      <c r="A4603" s="20" t="s">
        <v>1286</v>
      </c>
      <c r="E4603" s="22">
        <f>IF(D4603="?OLD","!!!","")</f>
        <v/>
      </c>
      <c r="F4603" s="23" t="str">
        <f>IF(OR(E4603="",E4603="!!!"),"",IF(NOT(ISNA(VLOOKUP(E4603,E$1:E4602,1,FALSE()))),"OLD",IF(AND(E4603&lt;&gt;"",E4603&lt;&gt;"!!!"),"NEW","")))</f>
        <v> </v>
      </c>
      <c r="G4603" s="24" t="str">
        <f>IF(OR(E4603="",E4603="!!!"),"",IF(OR(J4603=0,AND(J4603=1,K4603=1),AND(J4603=1,I4603="SBJ"),AND(J4603=1,I4603=0)),"?IN_FOCUS",IF(J4603&lt;=2,"?ACTIVATED",IF(J4603&lt;&gt;"","?FAMILIAR",IF(F4603="NEW",IF(ISNA(VLOOKUP(E4603,#REF!,1,FALSE())),"?TYPE_IDENTIFIABLE","?REFERENTIAL"),"_")))))</f>
        <v> </v>
      </c>
      <c r="H4603" s="25" t="str">
        <f>IF(J4603&lt;&gt;1,"",IF(I4603="SBJ","CB","?"))</f>
        <v> </v>
      </c>
      <c r="I4603" s="26" t="str">
        <f>IF(OR(E4603="",E4603="!!!",F4603="NEW"),"",INDEX(B4602:B$2,-1+SUMPRODUCT(MAX(ROW(E4602:E$2)*(E4603=E4602:E$2)))))</f>
        <v> </v>
      </c>
      <c r="J4603" s="26" t="str">
        <f>IF(OR(E4603="",E4603="!!!",F4603="NEW"),"",COUNTBLANK(OFFSET(A$1,,,SUMPRODUCT(MAX(ROW(E$2:E4603)*(E4603=E$2:E4603)))))-COUNTBLANK(OFFSET(A$1,,,SUMPRODUCT(MAX(ROW(E$1:E4602)*(E2=E$1:E4602))))))</f>
        <v> </v>
      </c>
      <c r="K4603" s="26" t="str">
        <f>IF(OR(E4603="",E4603="!!!",F4603="NEW"),"",INDEX(J$1:J4602,SUMPRODUCT(MAX(ROW(E$1:E4602)*(E4603=E$1:E4602)))))</f>
        <v> </v>
      </c>
      <c r="L4603" s="27"/>
    </row>
    <row r="4604" spans="1:12">
      <c r="A4604" s="20" t="s">
        <v>1486</v>
      </c>
      <c r="B4604" s="21" t="s">
        <v>1221</v>
      </c>
      <c r="C4604" s="21" t="s">
        <v>1216</v>
      </c>
      <c r="D4604" s="21" t="s">
        <v>1217</v>
      </c>
      <c r="E4604" s="22">
        <f>IF(D4604="?OLD","!!!","")</f>
        <v/>
      </c>
      <c r="F4604" s="23" t="str">
        <f>IF(OR(E4604="",E4604="!!!"),"",IF(NOT(ISNA(VLOOKUP(E4604,E$1:E4603,1,FALSE()))),"OLD",IF(AND(E4604&lt;&gt;"",E4604&lt;&gt;"!!!"),"NEW","")))</f>
        <v> </v>
      </c>
      <c r="G4604" s="24" t="str">
        <f>IF(OR(E4604="",E4604="!!!"),"",IF(OR(J4604=0,AND(J4604=1,K4604=1),AND(J4604=1,I4604="SBJ"),AND(J4604=1,I4604=0)),"?IN_FOCUS",IF(J4604&lt;=2,"?ACTIVATED",IF(J4604&lt;&gt;"","?FAMILIAR",IF(F4604="NEW",IF(ISNA(VLOOKUP(E4604,#REF!,1,FALSE())),"?TYPE_IDENTIFIABLE","?REFERENTIAL"),"_")))))</f>
        <v> </v>
      </c>
      <c r="H4604" s="25" t="str">
        <f>IF(J4604&lt;&gt;1,"",IF(I4604="SBJ","CB","?"))</f>
        <v> </v>
      </c>
      <c r="I4604" s="26" t="str">
        <f>IF(OR(E4604="",E4604="!!!",F4604="NEW"),"",INDEX(B4603:B$2,-1+SUMPRODUCT(MAX(ROW(E4603:E$2)*(E4604=E4603:E$2)))))</f>
        <v> </v>
      </c>
      <c r="J4604" s="26" t="str">
        <f>IF(OR(E4604="",E4604="!!!",F4604="NEW"),"",COUNTBLANK(OFFSET(A$1,,,SUMPRODUCT(MAX(ROW(E$2:E4604)*(E4604=E$2:E4604)))))-COUNTBLANK(OFFSET(A$1,,,SUMPRODUCT(MAX(ROW(E$1:E4603)*(E2=E$1:E4603))))))</f>
        <v> </v>
      </c>
      <c r="K4604" s="26" t="str">
        <f>IF(OR(E4604="",E4604="!!!",F4604="NEW"),"",INDEX(J$1:J4603,SUMPRODUCT(MAX(ROW(E$1:E4603)*(E4604=E$1:E4603)))))</f>
        <v> </v>
      </c>
      <c r="L4604" s="27"/>
    </row>
    <row r="4605" spans="1:12">
      <c r="A4605" s="20" t="s">
        <v>1277</v>
      </c>
      <c r="E4605" s="22">
        <f>IF(D4605="?OLD","!!!","")</f>
        <v/>
      </c>
      <c r="F4605" s="23" t="str">
        <f>IF(OR(E4605="",E4605="!!!"),"",IF(NOT(ISNA(VLOOKUP(E4605,E$1:E4604,1,FALSE()))),"OLD",IF(AND(E4605&lt;&gt;"",E4605&lt;&gt;"!!!"),"NEW","")))</f>
        <v> </v>
      </c>
      <c r="G4605" s="24" t="str">
        <f>IF(OR(E4605="",E4605="!!!"),"",IF(OR(J4605=0,AND(J4605=1,K4605=1),AND(J4605=1,I4605="SBJ"),AND(J4605=1,I4605=0)),"?IN_FOCUS",IF(J4605&lt;=2,"?ACTIVATED",IF(J4605&lt;&gt;"","?FAMILIAR",IF(F4605="NEW",IF(ISNA(VLOOKUP(E4605,#REF!,1,FALSE())),"?TYPE_IDENTIFIABLE","?REFERENTIAL"),"_")))))</f>
        <v> </v>
      </c>
      <c r="H4605" s="25" t="str">
        <f>IF(J4605&lt;&gt;1,"",IF(I4605="SBJ","CB","?"))</f>
        <v> </v>
      </c>
      <c r="I4605" s="26" t="str">
        <f>IF(OR(E4605="",E4605="!!!",F4605="NEW"),"",INDEX(B4604:B$2,-1+SUMPRODUCT(MAX(ROW(E4604:E$2)*(E4605=E4604:E$2)))))</f>
        <v> </v>
      </c>
      <c r="J4605" s="26" t="str">
        <f>IF(OR(E4605="",E4605="!!!",F4605="NEW"),"",COUNTBLANK(OFFSET(A$1,,,SUMPRODUCT(MAX(ROW(E$2:E4605)*(E4605=E$2:E4605)))))-COUNTBLANK(OFFSET(A$1,,,SUMPRODUCT(MAX(ROW(E$1:E4604)*(E2=E$1:E4604))))))</f>
        <v> </v>
      </c>
      <c r="K4605" s="26" t="str">
        <f>IF(OR(E4605="",E4605="!!!",F4605="NEW"),"",INDEX(J$1:J4604,SUMPRODUCT(MAX(ROW(E$1:E4604)*(E4605=E$1:E4604)))))</f>
        <v> </v>
      </c>
      <c r="L4605" s="27"/>
    </row>
    <row r="4606" spans="1:12">
      <c r="A4606" s="20" t="s">
        <v>1266</v>
      </c>
      <c r="E4606" s="22">
        <f>IF(D4606="?OLD","!!!","")</f>
        <v/>
      </c>
      <c r="F4606" s="23" t="str">
        <f>IF(OR(E4606="",E4606="!!!"),"",IF(NOT(ISNA(VLOOKUP(E4606,E$1:E4605,1,FALSE()))),"OLD",IF(AND(E4606&lt;&gt;"",E4606&lt;&gt;"!!!"),"NEW","")))</f>
        <v> </v>
      </c>
      <c r="G4606" s="24" t="str">
        <f>IF(OR(E4606="",E4606="!!!"),"",IF(OR(J4606=0,AND(J4606=1,K4606=1),AND(J4606=1,I4606="SBJ"),AND(J4606=1,I4606=0)),"?IN_FOCUS",IF(J4606&lt;=2,"?ACTIVATED",IF(J4606&lt;&gt;"","?FAMILIAR",IF(F4606="NEW",IF(ISNA(VLOOKUP(E4606,#REF!,1,FALSE())),"?TYPE_IDENTIFIABLE","?REFERENTIAL"),"_")))))</f>
        <v> </v>
      </c>
      <c r="H4606" s="25" t="str">
        <f>IF(J4606&lt;&gt;1,"",IF(I4606="SBJ","CB","?"))</f>
        <v> </v>
      </c>
      <c r="I4606" s="26" t="str">
        <f>IF(OR(E4606="",E4606="!!!",F4606="NEW"),"",INDEX(B4605:B$2,-1+SUMPRODUCT(MAX(ROW(E4605:E$2)*(E4606=E4605:E$2)))))</f>
        <v> </v>
      </c>
      <c r="J4606" s="26" t="str">
        <f>IF(OR(E4606="",E4606="!!!",F4606="NEW"),"",COUNTBLANK(OFFSET(A$1,,,SUMPRODUCT(MAX(ROW(E$2:E4606)*(E4606=E$2:E4606)))))-COUNTBLANK(OFFSET(A$1,,,SUMPRODUCT(MAX(ROW(E$1:E4605)*(E2=E$1:E4605))))))</f>
        <v> </v>
      </c>
      <c r="K4606" s="26" t="str">
        <f>IF(OR(E4606="",E4606="!!!",F4606="NEW"),"",INDEX(J$1:J4605,SUMPRODUCT(MAX(ROW(E$1:E4605)*(E4606=E$1:E4605)))))</f>
        <v> </v>
      </c>
      <c r="L4606" s="27"/>
    </row>
    <row r="4607" spans="1:12">
      <c r="A4607" s="20" t="s">
        <v>2687</v>
      </c>
      <c r="B4607" s="21" t="s">
        <v>1221</v>
      </c>
      <c r="C4607" s="21" t="s">
        <v>1269</v>
      </c>
      <c r="D4607" s="21" t="s">
        <v>1217</v>
      </c>
      <c r="E4607" s="22">
        <f>IF(D4607="?OLD","!!!","")</f>
        <v/>
      </c>
      <c r="F4607" s="23" t="str">
        <f>IF(OR(E4607="",E4607="!!!"),"",IF(NOT(ISNA(VLOOKUP(E4607,E$1:E4606,1,FALSE()))),"OLD",IF(AND(E4607&lt;&gt;"",E4607&lt;&gt;"!!!"),"NEW","")))</f>
        <v> </v>
      </c>
      <c r="G4607" s="24" t="str">
        <f>IF(OR(E4607="",E4607="!!!"),"",IF(OR(J4607=0,AND(J4607=1,K4607=1),AND(J4607=1,I4607="SBJ"),AND(J4607=1,I4607=0)),"?IN_FOCUS",IF(J4607&lt;=2,"?ACTIVATED",IF(J4607&lt;&gt;"","?FAMILIAR",IF(F4607="NEW",IF(ISNA(VLOOKUP(E4607,#REF!,1,FALSE())),"?TYPE_IDENTIFIABLE","?REFERENTIAL"),"_")))))</f>
        <v> </v>
      </c>
      <c r="H4607" s="25" t="str">
        <f>IF(J4607&lt;&gt;1,"",IF(I4607="SBJ","CB","?"))</f>
        <v> </v>
      </c>
      <c r="I4607" s="26" t="str">
        <f>IF(OR(E4607="",E4607="!!!",F4607="NEW"),"",INDEX(B4606:B$2,-1+SUMPRODUCT(MAX(ROW(E4606:E$2)*(E4607=E4606:E$2)))))</f>
        <v> </v>
      </c>
      <c r="J4607" s="26" t="str">
        <f>IF(OR(E4607="",E4607="!!!",F4607="NEW"),"",COUNTBLANK(OFFSET(A$1,,,SUMPRODUCT(MAX(ROW(E$2:E4607)*(E4607=E$2:E4607)))))-COUNTBLANK(OFFSET(A$1,,,SUMPRODUCT(MAX(ROW(E$1:E4606)*(E2=E$1:E4606))))))</f>
        <v> </v>
      </c>
      <c r="K4607" s="26" t="str">
        <f>IF(OR(E4607="",E4607="!!!",F4607="NEW"),"",INDEX(J$1:J4606,SUMPRODUCT(MAX(ROW(E$1:E4606)*(E4607=E$1:E4606)))))</f>
        <v> </v>
      </c>
      <c r="L4607" s="27"/>
    </row>
    <row r="4608" spans="1:12">
      <c r="A4608" s="20" t="s">
        <v>1218</v>
      </c>
      <c r="E4608" s="22">
        <f>IF(D4608="?OLD","!!!","")</f>
        <v/>
      </c>
      <c r="F4608" s="23" t="str">
        <f>IF(OR(E4608="",E4608="!!!"),"",IF(NOT(ISNA(VLOOKUP(E4608,E$1:E4607,1,FALSE()))),"OLD",IF(AND(E4608&lt;&gt;"",E4608&lt;&gt;"!!!"),"NEW","")))</f>
        <v> </v>
      </c>
      <c r="G4608" s="24" t="str">
        <f>IF(OR(E4608="",E4608="!!!"),"",IF(OR(J4608=0,AND(J4608=1,K4608=1),AND(J4608=1,I4608="SBJ"),AND(J4608=1,I4608=0)),"?IN_FOCUS",IF(J4608&lt;=2,"?ACTIVATED",IF(J4608&lt;&gt;"","?FAMILIAR",IF(F4608="NEW",IF(ISNA(VLOOKUP(E4608,#REF!,1,FALSE())),"?TYPE_IDENTIFIABLE","?REFERENTIAL"),"_")))))</f>
        <v> </v>
      </c>
      <c r="H4608" s="25" t="str">
        <f>IF(J4608&lt;&gt;1,"",IF(I4608="SBJ","CB","?"))</f>
        <v> </v>
      </c>
      <c r="I4608" s="26" t="str">
        <f>IF(OR(E4608="",E4608="!!!",F4608="NEW"),"",INDEX(B4607:B$2,-1+SUMPRODUCT(MAX(ROW(E4607:E$2)*(E4608=E4607:E$2)))))</f>
        <v> </v>
      </c>
      <c r="J4608" s="26" t="str">
        <f>IF(OR(E4608="",E4608="!!!",F4608="NEW"),"",COUNTBLANK(OFFSET(A$1,,,SUMPRODUCT(MAX(ROW(E$2:E4608)*(E4608=E$2:E4608)))))-COUNTBLANK(OFFSET(A$1,,,SUMPRODUCT(MAX(ROW(E$1:E4607)*(E2=E$1:E4607))))))</f>
        <v> </v>
      </c>
      <c r="K4608" s="26" t="str">
        <f>IF(OR(E4608="",E4608="!!!",F4608="NEW"),"",INDEX(J$1:J4607,SUMPRODUCT(MAX(ROW(E$1:E4607)*(E4608=E$1:E4607)))))</f>
        <v> </v>
      </c>
      <c r="L4608" s="27"/>
    </row>
    <row r="4609" spans="1:12">
      <c r="A4609" s="20" t="s">
        <v>1266</v>
      </c>
      <c r="E4609" s="22">
        <f>IF(D4609="?OLD","!!!","")</f>
        <v/>
      </c>
      <c r="F4609" s="23" t="str">
        <f>IF(OR(E4609="",E4609="!!!"),"",IF(NOT(ISNA(VLOOKUP(E4609,E$1:E4608,1,FALSE()))),"OLD",IF(AND(E4609&lt;&gt;"",E4609&lt;&gt;"!!!"),"NEW","")))</f>
        <v> </v>
      </c>
      <c r="G4609" s="24" t="str">
        <f>IF(OR(E4609="",E4609="!!!"),"",IF(OR(J4609=0,AND(J4609=1,K4609=1),AND(J4609=1,I4609="SBJ"),AND(J4609=1,I4609=0)),"?IN_FOCUS",IF(J4609&lt;=2,"?ACTIVATED",IF(J4609&lt;&gt;"","?FAMILIAR",IF(F4609="NEW",IF(ISNA(VLOOKUP(E4609,#REF!,1,FALSE())),"?TYPE_IDENTIFIABLE","?REFERENTIAL"),"_")))))</f>
        <v> </v>
      </c>
      <c r="H4609" s="25" t="str">
        <f>IF(J4609&lt;&gt;1,"",IF(I4609="SBJ","CB","?"))</f>
        <v> </v>
      </c>
      <c r="I4609" s="26" t="str">
        <f>IF(OR(E4609="",E4609="!!!",F4609="NEW"),"",INDEX(B4608:B$2,-1+SUMPRODUCT(MAX(ROW(E4608:E$2)*(E4609=E4608:E$2)))))</f>
        <v> </v>
      </c>
      <c r="J4609" s="26" t="str">
        <f>IF(OR(E4609="",E4609="!!!",F4609="NEW"),"",COUNTBLANK(OFFSET(A$1,,,SUMPRODUCT(MAX(ROW(E$2:E4609)*(E4609=E$2:E4609)))))-COUNTBLANK(OFFSET(A$1,,,SUMPRODUCT(MAX(ROW(E$1:E4608)*(E2=E$1:E4608))))))</f>
        <v> </v>
      </c>
      <c r="K4609" s="26" t="str">
        <f>IF(OR(E4609="",E4609="!!!",F4609="NEW"),"",INDEX(J$1:J4608,SUMPRODUCT(MAX(ROW(E$1:E4608)*(E4609=E$1:E4608)))))</f>
        <v> </v>
      </c>
      <c r="L4609" s="27"/>
    </row>
    <row r="4610" spans="1:12">
      <c r="A4610" s="20" t="s">
        <v>1429</v>
      </c>
      <c r="B4610" s="21" t="s">
        <v>1224</v>
      </c>
      <c r="C4610" s="21" t="s">
        <v>1222</v>
      </c>
      <c r="D4610" s="21" t="s">
        <v>1217</v>
      </c>
      <c r="E4610" s="22">
        <f>IF(D4610="?OLD","!!!","")</f>
        <v/>
      </c>
      <c r="F4610" s="23" t="str">
        <f>IF(OR(E4610="",E4610="!!!"),"",IF(NOT(ISNA(VLOOKUP(E4610,E$1:E4609,1,FALSE()))),"OLD",IF(AND(E4610&lt;&gt;"",E4610&lt;&gt;"!!!"),"NEW","")))</f>
        <v> </v>
      </c>
      <c r="G4610" s="24" t="str">
        <f>IF(OR(E4610="",E4610="!!!"),"",IF(OR(J4610=0,AND(J4610=1,K4610=1),AND(J4610=1,I4610="SBJ"),AND(J4610=1,I4610=0)),"?IN_FOCUS",IF(J4610&lt;=2,"?ACTIVATED",IF(J4610&lt;&gt;"","?FAMILIAR",IF(F4610="NEW",IF(ISNA(VLOOKUP(E4610,#REF!,1,FALSE())),"?TYPE_IDENTIFIABLE","?REFERENTIAL"),"_")))))</f>
        <v> </v>
      </c>
      <c r="H4610" s="25" t="str">
        <f>IF(J4610&lt;&gt;1,"",IF(I4610="SBJ","CB","?"))</f>
        <v> </v>
      </c>
      <c r="I4610" s="26" t="str">
        <f>IF(OR(E4610="",E4610="!!!",F4610="NEW"),"",INDEX(B4609:B$2,-1+SUMPRODUCT(MAX(ROW(E4609:E$2)*(E4610=E4609:E$2)))))</f>
        <v> </v>
      </c>
      <c r="J4610" s="26" t="str">
        <f>IF(OR(E4610="",E4610="!!!",F4610="NEW"),"",COUNTBLANK(OFFSET(A$1,,,SUMPRODUCT(MAX(ROW(E$2:E4610)*(E4610=E$2:E4610)))))-COUNTBLANK(OFFSET(A$1,,,SUMPRODUCT(MAX(ROW(E$1:E4609)*(E2=E$1:E4609))))))</f>
        <v> </v>
      </c>
      <c r="K4610" s="26" t="str">
        <f>IF(OR(E4610="",E4610="!!!",F4610="NEW"),"",INDEX(J$1:J4609,SUMPRODUCT(MAX(ROW(E$1:E4609)*(E4610=E$1:E4609)))))</f>
        <v> </v>
      </c>
      <c r="L4610" s="27"/>
    </row>
    <row r="4611" spans="1:12">
      <c r="A4611" s="20" t="s">
        <v>1218</v>
      </c>
      <c r="E4611" s="22">
        <f>IF(D4611="?OLD","!!!","")</f>
        <v/>
      </c>
      <c r="F4611" s="23" t="str">
        <f>IF(OR(E4611="",E4611="!!!"),"",IF(NOT(ISNA(VLOOKUP(E4611,E$1:E4610,1,FALSE()))),"OLD",IF(AND(E4611&lt;&gt;"",E4611&lt;&gt;"!!!"),"NEW","")))</f>
        <v> </v>
      </c>
      <c r="G4611" s="24" t="str">
        <f>IF(OR(E4611="",E4611="!!!"),"",IF(OR(J4611=0,AND(J4611=1,K4611=1),AND(J4611=1,I4611="SBJ"),AND(J4611=1,I4611=0)),"?IN_FOCUS",IF(J4611&lt;=2,"?ACTIVATED",IF(J4611&lt;&gt;"","?FAMILIAR",IF(F4611="NEW",IF(ISNA(VLOOKUP(E4611,#REF!,1,FALSE())),"?TYPE_IDENTIFIABLE","?REFERENTIAL"),"_")))))</f>
        <v> </v>
      </c>
      <c r="H4611" s="25" t="str">
        <f>IF(J4611&lt;&gt;1,"",IF(I4611="SBJ","CB","?"))</f>
        <v> </v>
      </c>
      <c r="I4611" s="26" t="str">
        <f>IF(OR(E4611="",E4611="!!!",F4611="NEW"),"",INDEX(B4610:B$2,-1+SUMPRODUCT(MAX(ROW(E4610:E$2)*(E4611=E4610:E$2)))))</f>
        <v> </v>
      </c>
      <c r="J4611" s="26" t="str">
        <f>IF(OR(E4611="",E4611="!!!",F4611="NEW"),"",COUNTBLANK(OFFSET(A$1,,,SUMPRODUCT(MAX(ROW(E$2:E4611)*(E4611=E$2:E4611)))))-COUNTBLANK(OFFSET(A$1,,,SUMPRODUCT(MAX(ROW(E$1:E4610)*(E2=E$1:E4610))))))</f>
        <v> </v>
      </c>
      <c r="K4611" s="26" t="str">
        <f>IF(OR(E4611="",E4611="!!!",F4611="NEW"),"",INDEX(J$1:J4610,SUMPRODUCT(MAX(ROW(E$1:E4610)*(E4611=E$1:E4610)))))</f>
        <v> </v>
      </c>
      <c r="L4611" s="27"/>
    </row>
    <row r="4612" spans="1:12">
      <c r="A4612" s="20" t="s">
        <v>2300</v>
      </c>
      <c r="B4612" s="21" t="s">
        <v>1226</v>
      </c>
      <c r="C4612" s="21" t="s">
        <v>1225</v>
      </c>
      <c r="D4612" s="21" t="s">
        <v>1217</v>
      </c>
      <c r="E4612" s="22">
        <f>IF(D4612="?OLD","!!!","")</f>
        <v/>
      </c>
      <c r="F4612" s="23" t="str">
        <f>IF(OR(E4612="",E4612="!!!"),"",IF(NOT(ISNA(VLOOKUP(E4612,E$1:E4611,1,FALSE()))),"OLD",IF(AND(E4612&lt;&gt;"",E4612&lt;&gt;"!!!"),"NEW","")))</f>
        <v> </v>
      </c>
      <c r="G4612" s="24" t="str">
        <f>IF(OR(E4612="",E4612="!!!"),"",IF(OR(J4612=0,AND(J4612=1,K4612=1),AND(J4612=1,I4612="SBJ"),AND(J4612=1,I4612=0)),"?IN_FOCUS",IF(J4612&lt;=2,"?ACTIVATED",IF(J4612&lt;&gt;"","?FAMILIAR",IF(F4612="NEW",IF(ISNA(VLOOKUP(E4612,#REF!,1,FALSE())),"?TYPE_IDENTIFIABLE","?REFERENTIAL"),"_")))))</f>
        <v> </v>
      </c>
      <c r="H4612" s="25" t="str">
        <f>IF(J4612&lt;&gt;1,"",IF(I4612="SBJ","CB","?"))</f>
        <v> </v>
      </c>
      <c r="I4612" s="26" t="str">
        <f>IF(OR(E4612="",E4612="!!!",F4612="NEW"),"",INDEX(B4611:B$2,-1+SUMPRODUCT(MAX(ROW(E4611:E$2)*(E4612=E4611:E$2)))))</f>
        <v> </v>
      </c>
      <c r="J4612" s="26" t="str">
        <f>IF(OR(E4612="",E4612="!!!",F4612="NEW"),"",COUNTBLANK(OFFSET(A$1,,,SUMPRODUCT(MAX(ROW(E$2:E4612)*(E4612=E$2:E4612)))))-COUNTBLANK(OFFSET(A$1,,,SUMPRODUCT(MAX(ROW(E$1:E4611)*(E2=E$1:E4611))))))</f>
        <v> </v>
      </c>
      <c r="K4612" s="26" t="str">
        <f>IF(OR(E4612="",E4612="!!!",F4612="NEW"),"",INDEX(J$1:J4611,SUMPRODUCT(MAX(ROW(E$1:E4611)*(E4612=E$1:E4611)))))</f>
        <v> </v>
      </c>
      <c r="L4612" s="27"/>
    </row>
    <row r="4613" spans="1:12">
      <c r="A4613" s="20" t="s">
        <v>1240</v>
      </c>
      <c r="E4613" s="22">
        <f>IF(D4613="?OLD","!!!","")</f>
        <v/>
      </c>
      <c r="F4613" s="23" t="str">
        <f>IF(OR(E4613="",E4613="!!!"),"",IF(NOT(ISNA(VLOOKUP(E4613,E$1:E4612,1,FALSE()))),"OLD",IF(AND(E4613&lt;&gt;"",E4613&lt;&gt;"!!!"),"NEW","")))</f>
        <v> </v>
      </c>
      <c r="G4613" s="24" t="str">
        <f>IF(OR(E4613="",E4613="!!!"),"",IF(OR(J4613=0,AND(J4613=1,K4613=1),AND(J4613=1,I4613="SBJ"),AND(J4613=1,I4613=0)),"?IN_FOCUS",IF(J4613&lt;=2,"?ACTIVATED",IF(J4613&lt;&gt;"","?FAMILIAR",IF(F4613="NEW",IF(ISNA(VLOOKUP(E4613,#REF!,1,FALSE())),"?TYPE_IDENTIFIABLE","?REFERENTIAL"),"_")))))</f>
        <v> </v>
      </c>
      <c r="H4613" s="25" t="str">
        <f>IF(J4613&lt;&gt;1,"",IF(I4613="SBJ","CB","?"))</f>
        <v> </v>
      </c>
      <c r="I4613" s="26" t="str">
        <f>IF(OR(E4613="",E4613="!!!",F4613="NEW"),"",INDEX(B4612:B$2,-1+SUMPRODUCT(MAX(ROW(E4612:E$2)*(E4613=E4612:E$2)))))</f>
        <v> </v>
      </c>
      <c r="J4613" s="26" t="str">
        <f>IF(OR(E4613="",E4613="!!!",F4613="NEW"),"",COUNTBLANK(OFFSET(A$1,,,SUMPRODUCT(MAX(ROW(E$2:E4613)*(E4613=E$2:E4613)))))-COUNTBLANK(OFFSET(A$1,,,SUMPRODUCT(MAX(ROW(E$1:E4612)*(E2=E$1:E4612))))))</f>
        <v> </v>
      </c>
      <c r="K4613" s="26" t="str">
        <f>IF(OR(E4613="",E4613="!!!",F4613="NEW"),"",INDEX(J$1:J4612,SUMPRODUCT(MAX(ROW(E$1:E4612)*(E4613=E$1:E4612)))))</f>
        <v> </v>
      </c>
      <c r="L4613" s="27"/>
    </row>
    <row r="4614" spans="1:12">
      <c r="A4614" s="20" t="s">
        <v>2725</v>
      </c>
      <c r="B4614" s="21" t="s">
        <v>1224</v>
      </c>
      <c r="C4614" s="21" t="s">
        <v>1279</v>
      </c>
      <c r="E4614" s="22">
        <f>IF(D4614="?OLD","!!!","")</f>
        <v/>
      </c>
      <c r="F4614" s="23" t="str">
        <f>IF(OR(E4614="",E4614="!!!"),"",IF(NOT(ISNA(VLOOKUP(E4614,E$1:E4613,1,FALSE()))),"OLD",IF(AND(E4614&lt;&gt;"",E4614&lt;&gt;"!!!"),"NEW","")))</f>
        <v> </v>
      </c>
      <c r="G4614" s="24" t="str">
        <f>IF(OR(E4614="",E4614="!!!"),"",IF(OR(J4614=0,AND(J4614=1,K4614=1),AND(J4614=1,I4614="SBJ"),AND(J4614=1,I4614=0)),"?IN_FOCUS",IF(J4614&lt;=2,"?ACTIVATED",IF(J4614&lt;&gt;"","?FAMILIAR",IF(F4614="NEW",IF(ISNA(VLOOKUP(E4614,#REF!,1,FALSE())),"?TYPE_IDENTIFIABLE","?REFERENTIAL"),"_")))))</f>
        <v> </v>
      </c>
      <c r="H4614" s="25" t="str">
        <f>IF(J4614&lt;&gt;1,"",IF(I4614="SBJ","CB","?"))</f>
        <v> </v>
      </c>
      <c r="I4614" s="26" t="str">
        <f>IF(OR(E4614="",E4614="!!!",F4614="NEW"),"",INDEX(B4613:B$2,-1+SUMPRODUCT(MAX(ROW(E4613:E$2)*(E4614=E4613:E$2)))))</f>
        <v> </v>
      </c>
      <c r="J4614" s="26" t="str">
        <f>IF(OR(E4614="",E4614="!!!",F4614="NEW"),"",COUNTBLANK(OFFSET(A$1,,,SUMPRODUCT(MAX(ROW(E$2:E4614)*(E4614=E$2:E4614)))))-COUNTBLANK(OFFSET(A$1,,,SUMPRODUCT(MAX(ROW(E$1:E4613)*(E2=E$1:E4613))))))</f>
        <v> </v>
      </c>
      <c r="K4614" s="26" t="str">
        <f>IF(OR(E4614="",E4614="!!!",F4614="NEW"),"",INDEX(J$1:J4613,SUMPRODUCT(MAX(ROW(E$1:E4613)*(E4614=E$1:E4613)))))</f>
        <v> </v>
      </c>
      <c r="L4614" s="27"/>
    </row>
    <row r="4615" spans="1:12">
      <c r="A4615" s="20" t="s">
        <v>1218</v>
      </c>
      <c r="E4615" s="22">
        <f>IF(D4615="?OLD","!!!","")</f>
        <v/>
      </c>
      <c r="F4615" s="23" t="str">
        <f>IF(OR(E4615="",E4615="!!!"),"",IF(NOT(ISNA(VLOOKUP(E4615,E$1:E4614,1,FALSE()))),"OLD",IF(AND(E4615&lt;&gt;"",E4615&lt;&gt;"!!!"),"NEW","")))</f>
        <v> </v>
      </c>
      <c r="G4615" s="24" t="str">
        <f>IF(OR(E4615="",E4615="!!!"),"",IF(OR(J4615=0,AND(J4615=1,K4615=1),AND(J4615=1,I4615="SBJ"),AND(J4615=1,I4615=0)),"?IN_FOCUS",IF(J4615&lt;=2,"?ACTIVATED",IF(J4615&lt;&gt;"","?FAMILIAR",IF(F4615="NEW",IF(ISNA(VLOOKUP(E4615,#REF!,1,FALSE())),"?TYPE_IDENTIFIABLE","?REFERENTIAL"),"_")))))</f>
        <v> </v>
      </c>
      <c r="H4615" s="25" t="str">
        <f>IF(J4615&lt;&gt;1,"",IF(I4615="SBJ","CB","?"))</f>
        <v> </v>
      </c>
      <c r="I4615" s="26" t="str">
        <f>IF(OR(E4615="",E4615="!!!",F4615="NEW"),"",INDEX(B4614:B$2,-1+SUMPRODUCT(MAX(ROW(E4614:E$2)*(E4615=E4614:E$2)))))</f>
        <v> </v>
      </c>
      <c r="J4615" s="26" t="str">
        <f>IF(OR(E4615="",E4615="!!!",F4615="NEW"),"",COUNTBLANK(OFFSET(A$1,,,SUMPRODUCT(MAX(ROW(E$2:E4615)*(E4615=E$2:E4615)))))-COUNTBLANK(OFFSET(A$1,,,SUMPRODUCT(MAX(ROW(E$1:E4614)*(E2=E$1:E4614))))))</f>
        <v> </v>
      </c>
      <c r="K4615" s="26" t="str">
        <f>IF(OR(E4615="",E4615="!!!",F4615="NEW"),"",INDEX(J$1:J4614,SUMPRODUCT(MAX(ROW(E$1:E4614)*(E4615=E$1:E4614)))))</f>
        <v> </v>
      </c>
      <c r="L4615" s="27"/>
    </row>
    <row r="4616" spans="1:12">
      <c r="A4616" s="20" t="s">
        <v>1266</v>
      </c>
      <c r="E4616" s="22">
        <f>IF(D4616="?OLD","!!!","")</f>
        <v/>
      </c>
      <c r="F4616" s="23" t="str">
        <f>IF(OR(E4616="",E4616="!!!"),"",IF(NOT(ISNA(VLOOKUP(E4616,E$1:E4615,1,FALSE()))),"OLD",IF(AND(E4616&lt;&gt;"",E4616&lt;&gt;"!!!"),"NEW","")))</f>
        <v> </v>
      </c>
      <c r="G4616" s="24" t="str">
        <f>IF(OR(E4616="",E4616="!!!"),"",IF(OR(J4616=0,AND(J4616=1,K4616=1),AND(J4616=1,I4616="SBJ"),AND(J4616=1,I4616=0)),"?IN_FOCUS",IF(J4616&lt;=2,"?ACTIVATED",IF(J4616&lt;&gt;"","?FAMILIAR",IF(F4616="NEW",IF(ISNA(VLOOKUP(E4616,#REF!,1,FALSE())),"?TYPE_IDENTIFIABLE","?REFERENTIAL"),"_")))))</f>
        <v> </v>
      </c>
      <c r="H4616" s="25" t="str">
        <f>IF(J4616&lt;&gt;1,"",IF(I4616="SBJ","CB","?"))</f>
        <v> </v>
      </c>
      <c r="I4616" s="26" t="str">
        <f>IF(OR(E4616="",E4616="!!!",F4616="NEW"),"",INDEX(B4615:B$2,-1+SUMPRODUCT(MAX(ROW(E4615:E$2)*(E4616=E4615:E$2)))))</f>
        <v> </v>
      </c>
      <c r="J4616" s="26" t="str">
        <f>IF(OR(E4616="",E4616="!!!",F4616="NEW"),"",COUNTBLANK(OFFSET(A$1,,,SUMPRODUCT(MAX(ROW(E$2:E4616)*(E4616=E$2:E4616)))))-COUNTBLANK(OFFSET(A$1,,,SUMPRODUCT(MAX(ROW(E$1:E4615)*(E2=E$1:E4615))))))</f>
        <v> </v>
      </c>
      <c r="K4616" s="26" t="str">
        <f>IF(OR(E4616="",E4616="!!!",F4616="NEW"),"",INDEX(J$1:J4615,SUMPRODUCT(MAX(ROW(E$1:E4615)*(E4616=E$1:E4615)))))</f>
        <v> </v>
      </c>
      <c r="L4616" s="27"/>
    </row>
    <row r="4617" spans="1:12">
      <c r="A4617" s="20" t="s">
        <v>1669</v>
      </c>
      <c r="B4617" s="21" t="s">
        <v>1226</v>
      </c>
      <c r="C4617" s="21" t="s">
        <v>1269</v>
      </c>
      <c r="D4617" s="21" t="s">
        <v>1217</v>
      </c>
      <c r="E4617" s="22">
        <f>IF(D4617="?OLD","!!!","")</f>
        <v/>
      </c>
      <c r="F4617" s="23" t="str">
        <f>IF(OR(E4617="",E4617="!!!"),"",IF(NOT(ISNA(VLOOKUP(E4617,E$1:E4616,1,FALSE()))),"OLD",IF(AND(E4617&lt;&gt;"",E4617&lt;&gt;"!!!"),"NEW","")))</f>
        <v> </v>
      </c>
      <c r="G4617" s="24" t="str">
        <f>IF(OR(E4617="",E4617="!!!"),"",IF(OR(J4617=0,AND(J4617=1,K4617=1),AND(J4617=1,I4617="SBJ"),AND(J4617=1,I4617=0)),"?IN_FOCUS",IF(J4617&lt;=2,"?ACTIVATED",IF(J4617&lt;&gt;"","?FAMILIAR",IF(F4617="NEW",IF(ISNA(VLOOKUP(E4617,#REF!,1,FALSE())),"?TYPE_IDENTIFIABLE","?REFERENTIAL"),"_")))))</f>
        <v> </v>
      </c>
      <c r="H4617" s="25" t="str">
        <f>IF(J4617&lt;&gt;1,"",IF(I4617="SBJ","CB","?"))</f>
        <v> </v>
      </c>
      <c r="I4617" s="26" t="str">
        <f>IF(OR(E4617="",E4617="!!!",F4617="NEW"),"",INDEX(B4616:B$2,-1+SUMPRODUCT(MAX(ROW(E4616:E$2)*(E4617=E4616:E$2)))))</f>
        <v> </v>
      </c>
      <c r="J4617" s="26" t="str">
        <f>IF(OR(E4617="",E4617="!!!",F4617="NEW"),"",COUNTBLANK(OFFSET(A$1,,,SUMPRODUCT(MAX(ROW(E$2:E4617)*(E4617=E$2:E4617)))))-COUNTBLANK(OFFSET(A$1,,,SUMPRODUCT(MAX(ROW(E$1:E4616)*(E2=E$1:E4616))))))</f>
        <v> </v>
      </c>
      <c r="K4617" s="26" t="str">
        <f>IF(OR(E4617="",E4617="!!!",F4617="NEW"),"",INDEX(J$1:J4616,SUMPRODUCT(MAX(ROW(E$1:E4616)*(E4617=E$1:E4616)))))</f>
        <v> </v>
      </c>
      <c r="L4617" s="27"/>
    </row>
    <row r="4618" spans="1:12">
      <c r="A4618" s="20" t="s">
        <v>1262</v>
      </c>
      <c r="E4618" s="22">
        <f>IF(D4618="?OLD","!!!","")</f>
        <v/>
      </c>
      <c r="F4618" s="23" t="str">
        <f>IF(OR(E4618="",E4618="!!!"),"",IF(NOT(ISNA(VLOOKUP(E4618,E$1:E4617,1,FALSE()))),"OLD",IF(AND(E4618&lt;&gt;"",E4618&lt;&gt;"!!!"),"NEW","")))</f>
        <v> </v>
      </c>
      <c r="G4618" s="24" t="str">
        <f>IF(OR(E4618="",E4618="!!!"),"",IF(OR(J4618=0,AND(J4618=1,K4618=1),AND(J4618=1,I4618="SBJ"),AND(J4618=1,I4618=0)),"?IN_FOCUS",IF(J4618&lt;=2,"?ACTIVATED",IF(J4618&lt;&gt;"","?FAMILIAR",IF(F4618="NEW",IF(ISNA(VLOOKUP(E4618,#REF!,1,FALSE())),"?TYPE_IDENTIFIABLE","?REFERENTIAL"),"_")))))</f>
        <v> </v>
      </c>
      <c r="H4618" s="25" t="str">
        <f>IF(J4618&lt;&gt;1,"",IF(I4618="SBJ","CB","?"))</f>
        <v> </v>
      </c>
      <c r="I4618" s="26" t="str">
        <f>IF(OR(E4618="",E4618="!!!",F4618="NEW"),"",INDEX(B4617:B$2,-1+SUMPRODUCT(MAX(ROW(E4617:E$2)*(E4618=E4617:E$2)))))</f>
        <v> </v>
      </c>
      <c r="J4618" s="26" t="str">
        <f>IF(OR(E4618="",E4618="!!!",F4618="NEW"),"",COUNTBLANK(OFFSET(A$1,,,SUMPRODUCT(MAX(ROW(E$2:E4618)*(E4618=E$2:E4618)))))-COUNTBLANK(OFFSET(A$1,,,SUMPRODUCT(MAX(ROW(E$1:E4617)*(E2=E$1:E4617))))))</f>
        <v> </v>
      </c>
      <c r="K4618" s="26" t="str">
        <f>IF(OR(E4618="",E4618="!!!",F4618="NEW"),"",INDEX(J$1:J4617,SUMPRODUCT(MAX(ROW(E$1:E4617)*(E4618=E$1:E4617)))))</f>
        <v> </v>
      </c>
      <c r="L4618" s="27"/>
    </row>
    <row r="4619" spans="1:12">
      <c r="A4619" s="20"/>
    </row>
    <row r="4620" spans="1:12">
      <c r="A4620" s="20" t="s">
        <v>2726</v>
      </c>
    </row>
    <row r="4621" spans="1:12">
      <c r="A4621" s="20" t="s">
        <v>2727</v>
      </c>
      <c r="E4621" s="22">
        <f>IF(D4621="?OLD","!!!","")</f>
        <v/>
      </c>
      <c r="F4621" s="23" t="str">
        <f>IF(OR(E4621="",E4621="!!!"),"",IF(NOT(ISNA(VLOOKUP(E4621,E$1:E4620,1,FALSE()))),"OLD",IF(AND(E4621&lt;&gt;"",E4621&lt;&gt;"!!!"),"NEW","")))</f>
        <v> </v>
      </c>
      <c r="G4621" s="24" t="str">
        <f>IF(OR(E4621="",E4621="!!!"),"",IF(OR(J4621=0,AND(J4621=1,K4621=1),AND(J4621=1,I4621="SBJ"),AND(J4621=1,I4621=0)),"?IN_FOCUS",IF(J4621&lt;=2,"?ACTIVATED",IF(J4621&lt;&gt;"","?FAMILIAR",IF(F4621="NEW",IF(ISNA(VLOOKUP(E4621,#REF!,1,FALSE())),"?TYPE_IDENTIFIABLE","?REFERENTIAL"),"_")))))</f>
        <v> </v>
      </c>
      <c r="H4621" s="25" t="str">
        <f>IF(J4621&lt;&gt;1,"",IF(I4621="SBJ","CB","?"))</f>
        <v> </v>
      </c>
      <c r="I4621" s="26" t="str">
        <f>IF(OR(E4621="",E4621="!!!",F4621="NEW"),"",INDEX(B4620:B$2,-1+SUMPRODUCT(MAX(ROW(E4620:E$2)*(E4621=E4620:E$2)))))</f>
        <v> </v>
      </c>
      <c r="J4621" s="26" t="str">
        <f>IF(OR(E4621="",E4621="!!!",F4621="NEW"),"",COUNTBLANK(OFFSET(A$1,,,SUMPRODUCT(MAX(ROW(E$2:E4621)*(E4621=E$2:E4621)))))-COUNTBLANK(OFFSET(A$1,,,SUMPRODUCT(MAX(ROW(E$1:E4620)*(E2=E$1:E4620))))))</f>
        <v> </v>
      </c>
      <c r="K4621" s="26" t="str">
        <f>IF(OR(E4621="",E4621="!!!",F4621="NEW"),"",INDEX(J$1:J4620,SUMPRODUCT(MAX(ROW(E$1:E4620)*(E4621=E$1:E4620)))))</f>
        <v> </v>
      </c>
      <c r="L4621" s="27"/>
    </row>
    <row r="4622" spans="1:12">
      <c r="A4622" s="20" t="s">
        <v>1218</v>
      </c>
      <c r="E4622" s="22">
        <f>IF(D4622="?OLD","!!!","")</f>
        <v/>
      </c>
      <c r="F4622" s="23" t="str">
        <f>IF(OR(E4622="",E4622="!!!"),"",IF(NOT(ISNA(VLOOKUP(E4622,E$1:E4621,1,FALSE()))),"OLD",IF(AND(E4622&lt;&gt;"",E4622&lt;&gt;"!!!"),"NEW","")))</f>
        <v> </v>
      </c>
      <c r="G4622" s="24" t="str">
        <f>IF(OR(E4622="",E4622="!!!"),"",IF(OR(J4622=0,AND(J4622=1,K4622=1),AND(J4622=1,I4622="SBJ"),AND(J4622=1,I4622=0)),"?IN_FOCUS",IF(J4622&lt;=2,"?ACTIVATED",IF(J4622&lt;&gt;"","?FAMILIAR",IF(F4622="NEW",IF(ISNA(VLOOKUP(E4622,#REF!,1,FALSE())),"?TYPE_IDENTIFIABLE","?REFERENTIAL"),"_")))))</f>
        <v> </v>
      </c>
      <c r="H4622" s="25" t="str">
        <f>IF(J4622&lt;&gt;1,"",IF(I4622="SBJ","CB","?"))</f>
        <v> </v>
      </c>
      <c r="I4622" s="26" t="str">
        <f>IF(OR(E4622="",E4622="!!!",F4622="NEW"),"",INDEX(B4621:B$2,-1+SUMPRODUCT(MAX(ROW(E4621:E$2)*(E4622=E4621:E$2)))))</f>
        <v> </v>
      </c>
      <c r="J4622" s="26" t="str">
        <f>IF(OR(E4622="",E4622="!!!",F4622="NEW"),"",COUNTBLANK(OFFSET(A$1,,,SUMPRODUCT(MAX(ROW(E$2:E4622)*(E4622=E$2:E4622)))))-COUNTBLANK(OFFSET(A$1,,,SUMPRODUCT(MAX(ROW(E$1:E4621)*(E2=E$1:E4621))))))</f>
        <v> </v>
      </c>
      <c r="K4622" s="26" t="str">
        <f>IF(OR(E4622="",E4622="!!!",F4622="NEW"),"",INDEX(J$1:J4621,SUMPRODUCT(MAX(ROW(E$1:E4621)*(E4622=E$1:E4621)))))</f>
        <v> </v>
      </c>
      <c r="L4622" s="27"/>
    </row>
    <row r="4623" spans="1:12">
      <c r="A4623" s="20" t="s">
        <v>2728</v>
      </c>
      <c r="B4623" s="21" t="s">
        <v>1221</v>
      </c>
      <c r="C4623" s="21" t="s">
        <v>1279</v>
      </c>
      <c r="E4623" s="22">
        <f>IF(D4623="?OLD","!!!","")</f>
        <v/>
      </c>
      <c r="F4623" s="23" t="str">
        <f>IF(OR(E4623="",E4623="!!!"),"",IF(NOT(ISNA(VLOOKUP(E4623,E$1:E4622,1,FALSE()))),"OLD",IF(AND(E4623&lt;&gt;"",E4623&lt;&gt;"!!!"),"NEW","")))</f>
        <v> </v>
      </c>
      <c r="G4623" s="24" t="str">
        <f>IF(OR(E4623="",E4623="!!!"),"",IF(OR(J4623=0,AND(J4623=1,K4623=1),AND(J4623=1,I4623="SBJ"),AND(J4623=1,I4623=0)),"?IN_FOCUS",IF(J4623&lt;=2,"?ACTIVATED",IF(J4623&lt;&gt;"","?FAMILIAR",IF(F4623="NEW",IF(ISNA(VLOOKUP(E4623,#REF!,1,FALSE())),"?TYPE_IDENTIFIABLE","?REFERENTIAL"),"_")))))</f>
        <v> </v>
      </c>
      <c r="H4623" s="25" t="str">
        <f>IF(J4623&lt;&gt;1,"",IF(I4623="SBJ","CB","?"))</f>
        <v> </v>
      </c>
      <c r="I4623" s="26" t="str">
        <f>IF(OR(E4623="",E4623="!!!",F4623="NEW"),"",INDEX(B4622:B$2,-1+SUMPRODUCT(MAX(ROW(E4622:E$2)*(E4623=E4622:E$2)))))</f>
        <v> </v>
      </c>
      <c r="J4623" s="26" t="str">
        <f>IF(OR(E4623="",E4623="!!!",F4623="NEW"),"",COUNTBLANK(OFFSET(A$1,,,SUMPRODUCT(MAX(ROW(E$2:E4623)*(E4623=E$2:E4623)))))-COUNTBLANK(OFFSET(A$1,,,SUMPRODUCT(MAX(ROW(E$1:E4622)*(E2=E$1:E4622))))))</f>
        <v> </v>
      </c>
      <c r="K4623" s="26" t="str">
        <f>IF(OR(E4623="",E4623="!!!",F4623="NEW"),"",INDEX(J$1:J4622,SUMPRODUCT(MAX(ROW(E$1:E4622)*(E4623=E$1:E4622)))))</f>
        <v> </v>
      </c>
      <c r="L4623" s="27"/>
    </row>
    <row r="4624" spans="1:12">
      <c r="A4624" s="20" t="s">
        <v>1596</v>
      </c>
      <c r="E4624" s="22">
        <f>IF(D4624="?OLD","!!!","")</f>
        <v/>
      </c>
      <c r="F4624" s="23" t="str">
        <f>IF(OR(E4624="",E4624="!!!"),"",IF(NOT(ISNA(VLOOKUP(E4624,E$1:E4623,1,FALSE()))),"OLD",IF(AND(E4624&lt;&gt;"",E4624&lt;&gt;"!!!"),"NEW","")))</f>
        <v> </v>
      </c>
      <c r="G4624" s="24" t="str">
        <f>IF(OR(E4624="",E4624="!!!"),"",IF(OR(J4624=0,AND(J4624=1,K4624=1),AND(J4624=1,I4624="SBJ"),AND(J4624=1,I4624=0)),"?IN_FOCUS",IF(J4624&lt;=2,"?ACTIVATED",IF(J4624&lt;&gt;"","?FAMILIAR",IF(F4624="NEW",IF(ISNA(VLOOKUP(E4624,#REF!,1,FALSE())),"?TYPE_IDENTIFIABLE","?REFERENTIAL"),"_")))))</f>
        <v> </v>
      </c>
      <c r="H4624" s="25" t="str">
        <f>IF(J4624&lt;&gt;1,"",IF(I4624="SBJ","CB","?"))</f>
        <v> </v>
      </c>
      <c r="I4624" s="26" t="str">
        <f>IF(OR(E4624="",E4624="!!!",F4624="NEW"),"",INDEX(B4623:B$2,-1+SUMPRODUCT(MAX(ROW(E4623:E$2)*(E4624=E4623:E$2)))))</f>
        <v> </v>
      </c>
      <c r="J4624" s="26" t="str">
        <f>IF(OR(E4624="",E4624="!!!",F4624="NEW"),"",COUNTBLANK(OFFSET(A$1,,,SUMPRODUCT(MAX(ROW(E$2:E4624)*(E4624=E$2:E4624)))))-COUNTBLANK(OFFSET(A$1,,,SUMPRODUCT(MAX(ROW(E$1:E4623)*(E2=E$1:E4623))))))</f>
        <v> </v>
      </c>
      <c r="K4624" s="26" t="str">
        <f>IF(OR(E4624="",E4624="!!!",F4624="NEW"),"",INDEX(J$1:J4623,SUMPRODUCT(MAX(ROW(E$1:E4623)*(E4624=E$1:E4623)))))</f>
        <v> </v>
      </c>
      <c r="L4624" s="27"/>
    </row>
    <row r="4625" spans="1:12">
      <c r="A4625" s="20" t="s">
        <v>1473</v>
      </c>
      <c r="E4625" s="22">
        <f>IF(D4625="?OLD","!!!","")</f>
        <v/>
      </c>
      <c r="F4625" s="23" t="str">
        <f>IF(OR(E4625="",E4625="!!!"),"",IF(NOT(ISNA(VLOOKUP(E4625,E$1:E4624,1,FALSE()))),"OLD",IF(AND(E4625&lt;&gt;"",E4625&lt;&gt;"!!!"),"NEW","")))</f>
        <v> </v>
      </c>
      <c r="G4625" s="24" t="str">
        <f>IF(OR(E4625="",E4625="!!!"),"",IF(OR(J4625=0,AND(J4625=1,K4625=1),AND(J4625=1,I4625="SBJ"),AND(J4625=1,I4625=0)),"?IN_FOCUS",IF(J4625&lt;=2,"?ACTIVATED",IF(J4625&lt;&gt;"","?FAMILIAR",IF(F4625="NEW",IF(ISNA(VLOOKUP(E4625,#REF!,1,FALSE())),"?TYPE_IDENTIFIABLE","?REFERENTIAL"),"_")))))</f>
        <v> </v>
      </c>
      <c r="H4625" s="25" t="str">
        <f>IF(J4625&lt;&gt;1,"",IF(I4625="SBJ","CB","?"))</f>
        <v> </v>
      </c>
      <c r="I4625" s="26" t="str">
        <f>IF(OR(E4625="",E4625="!!!",F4625="NEW"),"",INDEX(B4624:B$2,-1+SUMPRODUCT(MAX(ROW(E4624:E$2)*(E4625=E4624:E$2)))))</f>
        <v> </v>
      </c>
      <c r="J4625" s="26" t="str">
        <f>IF(OR(E4625="",E4625="!!!",F4625="NEW"),"",COUNTBLANK(OFFSET(A$1,,,SUMPRODUCT(MAX(ROW(E$2:E4625)*(E4625=E$2:E4625)))))-COUNTBLANK(OFFSET(A$1,,,SUMPRODUCT(MAX(ROW(E$1:E4624)*(E2=E$1:E4624))))))</f>
        <v> </v>
      </c>
      <c r="K4625" s="26" t="str">
        <f>IF(OR(E4625="",E4625="!!!",F4625="NEW"),"",INDEX(J$1:J4624,SUMPRODUCT(MAX(ROW(E$1:E4624)*(E4625=E$1:E4624)))))</f>
        <v> </v>
      </c>
      <c r="L4625" s="27"/>
    </row>
    <row r="4626" spans="1:12">
      <c r="A4626" s="20" t="s">
        <v>1245</v>
      </c>
      <c r="E4626" s="22">
        <f>IF(D4626="?OLD","!!!","")</f>
        <v/>
      </c>
      <c r="F4626" s="23" t="str">
        <f>IF(OR(E4626="",E4626="!!!"),"",IF(NOT(ISNA(VLOOKUP(E4626,E$1:E4625,1,FALSE()))),"OLD",IF(AND(E4626&lt;&gt;"",E4626&lt;&gt;"!!!"),"NEW","")))</f>
        <v> </v>
      </c>
      <c r="G4626" s="24" t="str">
        <f>IF(OR(E4626="",E4626="!!!"),"",IF(OR(J4626=0,AND(J4626=1,K4626=1),AND(J4626=1,I4626="SBJ"),AND(J4626=1,I4626=0)),"?IN_FOCUS",IF(J4626&lt;=2,"?ACTIVATED",IF(J4626&lt;&gt;"","?FAMILIAR",IF(F4626="NEW",IF(ISNA(VLOOKUP(E4626,#REF!,1,FALSE())),"?TYPE_IDENTIFIABLE","?REFERENTIAL"),"_")))))</f>
        <v> </v>
      </c>
      <c r="H4626" s="25" t="str">
        <f>IF(J4626&lt;&gt;1,"",IF(I4626="SBJ","CB","?"))</f>
        <v> </v>
      </c>
      <c r="I4626" s="26" t="str">
        <f>IF(OR(E4626="",E4626="!!!",F4626="NEW"),"",INDEX(B4625:B$2,-1+SUMPRODUCT(MAX(ROW(E4625:E$2)*(E4626=E4625:E$2)))))</f>
        <v> </v>
      </c>
      <c r="J4626" s="26" t="str">
        <f>IF(OR(E4626="",E4626="!!!",F4626="NEW"),"",COUNTBLANK(OFFSET(A$1,,,SUMPRODUCT(MAX(ROW(E$2:E4626)*(E4626=E$2:E4626)))))-COUNTBLANK(OFFSET(A$1,,,SUMPRODUCT(MAX(ROW(E$1:E4625)*(E2=E$1:E4625))))))</f>
        <v> </v>
      </c>
      <c r="K4626" s="26" t="str">
        <f>IF(OR(E4626="",E4626="!!!",F4626="NEW"),"",INDEX(J$1:J4625,SUMPRODUCT(MAX(ROW(E$1:E4625)*(E4626=E$1:E4625)))))</f>
        <v> </v>
      </c>
      <c r="L4626" s="27"/>
    </row>
    <row r="4627" spans="1:12">
      <c r="A4627" s="20" t="s">
        <v>1649</v>
      </c>
      <c r="B4627" s="21" t="s">
        <v>1224</v>
      </c>
      <c r="C4627" s="21" t="s">
        <v>1225</v>
      </c>
      <c r="D4627" s="21" t="s">
        <v>1217</v>
      </c>
      <c r="E4627" s="22">
        <f>IF(D4627="?OLD","!!!","")</f>
        <v/>
      </c>
      <c r="F4627" s="23" t="str">
        <f>IF(OR(E4627="",E4627="!!!"),"",IF(NOT(ISNA(VLOOKUP(E4627,E$1:E4626,1,FALSE()))),"OLD",IF(AND(E4627&lt;&gt;"",E4627&lt;&gt;"!!!"),"NEW","")))</f>
        <v> </v>
      </c>
      <c r="G4627" s="24" t="str">
        <f>IF(OR(E4627="",E4627="!!!"),"",IF(OR(J4627=0,AND(J4627=1,K4627=1),AND(J4627=1,I4627="SBJ"),AND(J4627=1,I4627=0)),"?IN_FOCUS",IF(J4627&lt;=2,"?ACTIVATED",IF(J4627&lt;&gt;"","?FAMILIAR",IF(F4627="NEW",IF(ISNA(VLOOKUP(E4627,#REF!,1,FALSE())),"?TYPE_IDENTIFIABLE","?REFERENTIAL"),"_")))))</f>
        <v> </v>
      </c>
      <c r="H4627" s="25" t="str">
        <f>IF(J4627&lt;&gt;1,"",IF(I4627="SBJ","CB","?"))</f>
        <v> </v>
      </c>
      <c r="I4627" s="26" t="str">
        <f>IF(OR(E4627="",E4627="!!!",F4627="NEW"),"",INDEX(B4626:B$2,-1+SUMPRODUCT(MAX(ROW(E4626:E$2)*(E4627=E4626:E$2)))))</f>
        <v> </v>
      </c>
      <c r="J4627" s="26" t="str">
        <f>IF(OR(E4627="",E4627="!!!",F4627="NEW"),"",COUNTBLANK(OFFSET(A$1,,,SUMPRODUCT(MAX(ROW(E$2:E4627)*(E4627=E$2:E4627)))))-COUNTBLANK(OFFSET(A$1,,,SUMPRODUCT(MAX(ROW(E$1:E4626)*(E2=E$1:E4626))))))</f>
        <v> </v>
      </c>
      <c r="K4627" s="26" t="str">
        <f>IF(OR(E4627="",E4627="!!!",F4627="NEW"),"",INDEX(J$1:J4626,SUMPRODUCT(MAX(ROW(E$1:E4626)*(E4627=E$1:E4626)))))</f>
        <v> </v>
      </c>
      <c r="L4627" s="27"/>
    </row>
    <row r="4628" spans="1:12">
      <c r="A4628" s="20" t="s">
        <v>1650</v>
      </c>
      <c r="B4628" s="21" t="s">
        <v>1226</v>
      </c>
      <c r="C4628" s="21" t="s">
        <v>1225</v>
      </c>
      <c r="D4628" s="21" t="s">
        <v>1217</v>
      </c>
      <c r="E4628" s="22">
        <f>IF(D4628="?OLD","!!!","")</f>
        <v/>
      </c>
      <c r="F4628" s="23" t="str">
        <f>IF(OR(E4628="",E4628="!!!"),"",IF(NOT(ISNA(VLOOKUP(E4628,E$1:E4627,1,FALSE()))),"OLD",IF(AND(E4628&lt;&gt;"",E4628&lt;&gt;"!!!"),"NEW","")))</f>
        <v> </v>
      </c>
      <c r="G4628" s="24" t="str">
        <f>IF(OR(E4628="",E4628="!!!"),"",IF(OR(J4628=0,AND(J4628=1,K4628=1),AND(J4628=1,I4628="SBJ"),AND(J4628=1,I4628=0)),"?IN_FOCUS",IF(J4628&lt;=2,"?ACTIVATED",IF(J4628&lt;&gt;"","?FAMILIAR",IF(F4628="NEW",IF(ISNA(VLOOKUP(E4628,#REF!,1,FALSE())),"?TYPE_IDENTIFIABLE","?REFERENTIAL"),"_")))))</f>
        <v> </v>
      </c>
      <c r="H4628" s="25" t="str">
        <f>IF(J4628&lt;&gt;1,"",IF(I4628="SBJ","CB","?"))</f>
        <v> </v>
      </c>
      <c r="I4628" s="26" t="str">
        <f>IF(OR(E4628="",E4628="!!!",F4628="NEW"),"",INDEX(B4627:B$2,-1+SUMPRODUCT(MAX(ROW(E4627:E$2)*(E4628=E4627:E$2)))))</f>
        <v> </v>
      </c>
      <c r="J4628" s="26" t="str">
        <f>IF(OR(E4628="",E4628="!!!",F4628="NEW"),"",COUNTBLANK(OFFSET(A$1,,,SUMPRODUCT(MAX(ROW(E$2:E4628)*(E4628=E$2:E4628)))))-COUNTBLANK(OFFSET(A$1,,,SUMPRODUCT(MAX(ROW(E$1:E4627)*(E2=E$1:E4627))))))</f>
        <v> </v>
      </c>
      <c r="K4628" s="26" t="str">
        <f>IF(OR(E4628="",E4628="!!!",F4628="NEW"),"",INDEX(J$1:J4627,SUMPRODUCT(MAX(ROW(E$1:E4627)*(E4628=E$1:E4627)))))</f>
        <v> </v>
      </c>
      <c r="L4628" s="27"/>
    </row>
    <row r="4629" spans="1:12">
      <c r="A4629" s="20" t="s">
        <v>1228</v>
      </c>
      <c r="E4629" s="22">
        <f>IF(D4629="?OLD","!!!","")</f>
        <v/>
      </c>
      <c r="F4629" s="23" t="str">
        <f>IF(OR(E4629="",E4629="!!!"),"",IF(NOT(ISNA(VLOOKUP(E4629,E$1:E4628,1,FALSE()))),"OLD",IF(AND(E4629&lt;&gt;"",E4629&lt;&gt;"!!!"),"NEW","")))</f>
        <v> </v>
      </c>
      <c r="G4629" s="24" t="str">
        <f>IF(OR(E4629="",E4629="!!!"),"",IF(OR(J4629=0,AND(J4629=1,K4629=1),AND(J4629=1,I4629="SBJ"),AND(J4629=1,I4629=0)),"?IN_FOCUS",IF(J4629&lt;=2,"?ACTIVATED",IF(J4629&lt;&gt;"","?FAMILIAR",IF(F4629="NEW",IF(ISNA(VLOOKUP(E4629,#REF!,1,FALSE())),"?TYPE_IDENTIFIABLE","?REFERENTIAL"),"_")))))</f>
        <v> </v>
      </c>
      <c r="H4629" s="25" t="str">
        <f>IF(J4629&lt;&gt;1,"",IF(I4629="SBJ","CB","?"))</f>
        <v> </v>
      </c>
      <c r="I4629" s="26" t="str">
        <f>IF(OR(E4629="",E4629="!!!",F4629="NEW"),"",INDEX(B4628:B$2,-1+SUMPRODUCT(MAX(ROW(E4628:E$2)*(E4629=E4628:E$2)))))</f>
        <v> </v>
      </c>
      <c r="J4629" s="26" t="str">
        <f>IF(OR(E4629="",E4629="!!!",F4629="NEW"),"",COUNTBLANK(OFFSET(A$1,,,SUMPRODUCT(MAX(ROW(E$2:E4629)*(E4629=E$2:E4629)))))-COUNTBLANK(OFFSET(A$1,,,SUMPRODUCT(MAX(ROW(E$1:E4628)*(E2=E$1:E4628))))))</f>
        <v> </v>
      </c>
      <c r="K4629" s="26" t="str">
        <f>IF(OR(E4629="",E4629="!!!",F4629="NEW"),"",INDEX(J$1:J4628,SUMPRODUCT(MAX(ROW(E$1:E4628)*(E4629=E$1:E4628)))))</f>
        <v> </v>
      </c>
      <c r="L4629" s="27"/>
    </row>
    <row r="4630" spans="1:12">
      <c r="A4630" s="20" t="s">
        <v>1012</v>
      </c>
      <c r="B4630" s="21" t="s">
        <v>1244</v>
      </c>
      <c r="C4630" s="21" t="s">
        <v>1222</v>
      </c>
      <c r="D4630" s="21" t="s">
        <v>1217</v>
      </c>
      <c r="E4630" s="22">
        <f>IF(D4630="?OLD","!!!","")</f>
        <v/>
      </c>
      <c r="F4630" s="23" t="str">
        <f>IF(OR(E4630="",E4630="!!!"),"",IF(NOT(ISNA(VLOOKUP(E4630,E$1:E4629,1,FALSE()))),"OLD",IF(AND(E4630&lt;&gt;"",E4630&lt;&gt;"!!!"),"NEW","")))</f>
        <v> </v>
      </c>
      <c r="G4630" s="24" t="str">
        <f>IF(OR(E4630="",E4630="!!!"),"",IF(OR(J4630=0,AND(J4630=1,K4630=1),AND(J4630=1,I4630="SBJ"),AND(J4630=1,I4630=0)),"?IN_FOCUS",IF(J4630&lt;=2,"?ACTIVATED",IF(J4630&lt;&gt;"","?FAMILIAR",IF(F4630="NEW",IF(ISNA(VLOOKUP(E4630,#REF!,1,FALSE())),"?TYPE_IDENTIFIABLE","?REFERENTIAL"),"_")))))</f>
        <v> </v>
      </c>
      <c r="H4630" s="25" t="str">
        <f>IF(J4630&lt;&gt;1,"",IF(I4630="SBJ","CB","?"))</f>
        <v> </v>
      </c>
      <c r="I4630" s="26" t="str">
        <f>IF(OR(E4630="",E4630="!!!",F4630="NEW"),"",INDEX(B4629:B$2,-1+SUMPRODUCT(MAX(ROW(E4629:E$2)*(E4630=E4629:E$2)))))</f>
        <v> </v>
      </c>
      <c r="J4630" s="26" t="str">
        <f>IF(OR(E4630="",E4630="!!!",F4630="NEW"),"",COUNTBLANK(OFFSET(A$1,,,SUMPRODUCT(MAX(ROW(E$2:E4630)*(E4630=E$2:E4630)))))-COUNTBLANK(OFFSET(A$1,,,SUMPRODUCT(MAX(ROW(E$1:E4629)*(E2=E$1:E4629))))))</f>
        <v> </v>
      </c>
      <c r="K4630" s="26" t="str">
        <f>IF(OR(E4630="",E4630="!!!",F4630="NEW"),"",INDEX(J$1:J4629,SUMPRODUCT(MAX(ROW(E$1:E4629)*(E4630=E$1:E4629)))))</f>
        <v> </v>
      </c>
      <c r="L4630" s="27"/>
    </row>
    <row r="4631" spans="1:12">
      <c r="A4631" s="20" t="s">
        <v>1218</v>
      </c>
      <c r="E4631" s="22">
        <f>IF(D4631="?OLD","!!!","")</f>
        <v/>
      </c>
      <c r="F4631" s="23" t="str">
        <f>IF(OR(E4631="",E4631="!!!"),"",IF(NOT(ISNA(VLOOKUP(E4631,E$1:E4630,1,FALSE()))),"OLD",IF(AND(E4631&lt;&gt;"",E4631&lt;&gt;"!!!"),"NEW","")))</f>
        <v> </v>
      </c>
      <c r="G4631" s="24" t="str">
        <f>IF(OR(E4631="",E4631="!!!"),"",IF(OR(J4631=0,AND(J4631=1,K4631=1),AND(J4631=1,I4631="SBJ"),AND(J4631=1,I4631=0)),"?IN_FOCUS",IF(J4631&lt;=2,"?ACTIVATED",IF(J4631&lt;&gt;"","?FAMILIAR",IF(F4631="NEW",IF(ISNA(VLOOKUP(E4631,#REF!,1,FALSE())),"?TYPE_IDENTIFIABLE","?REFERENTIAL"),"_")))))</f>
        <v> </v>
      </c>
      <c r="H4631" s="25" t="str">
        <f>IF(J4631&lt;&gt;1,"",IF(I4631="SBJ","CB","?"))</f>
        <v> </v>
      </c>
      <c r="I4631" s="26" t="str">
        <f>IF(OR(E4631="",E4631="!!!",F4631="NEW"),"",INDEX(B4630:B$2,-1+SUMPRODUCT(MAX(ROW(E4630:E$2)*(E4631=E4630:E$2)))))</f>
        <v> </v>
      </c>
      <c r="J4631" s="26" t="str">
        <f>IF(OR(E4631="",E4631="!!!",F4631="NEW"),"",COUNTBLANK(OFFSET(A$1,,,SUMPRODUCT(MAX(ROW(E$2:E4631)*(E4631=E$2:E4631)))))-COUNTBLANK(OFFSET(A$1,,,SUMPRODUCT(MAX(ROW(E$1:E4630)*(E2=E$1:E4630))))))</f>
        <v> </v>
      </c>
      <c r="K4631" s="26" t="str">
        <f>IF(OR(E4631="",E4631="!!!",F4631="NEW"),"",INDEX(J$1:J4630,SUMPRODUCT(MAX(ROW(E$1:E4630)*(E4631=E$1:E4630)))))</f>
        <v> </v>
      </c>
      <c r="L4631" s="27"/>
    </row>
    <row r="4632" spans="1:12">
      <c r="A4632" s="20" t="s">
        <v>1219</v>
      </c>
      <c r="E4632" s="22">
        <f>IF(D4632="?OLD","!!!","")</f>
        <v/>
      </c>
      <c r="F4632" s="23" t="str">
        <f>IF(OR(E4632="",E4632="!!!"),"",IF(NOT(ISNA(VLOOKUP(E4632,E$1:E4631,1,FALSE()))),"OLD",IF(AND(E4632&lt;&gt;"",E4632&lt;&gt;"!!!"),"NEW","")))</f>
        <v> </v>
      </c>
      <c r="G4632" s="24" t="str">
        <f>IF(OR(E4632="",E4632="!!!"),"",IF(OR(J4632=0,AND(J4632=1,K4632=1),AND(J4632=1,I4632="SBJ"),AND(J4632=1,I4632=0)),"?IN_FOCUS",IF(J4632&lt;=2,"?ACTIVATED",IF(J4632&lt;&gt;"","?FAMILIAR",IF(F4632="NEW",IF(ISNA(VLOOKUP(E4632,#REF!,1,FALSE())),"?TYPE_IDENTIFIABLE","?REFERENTIAL"),"_")))))</f>
        <v> </v>
      </c>
      <c r="H4632" s="25" t="str">
        <f>IF(J4632&lt;&gt;1,"",IF(I4632="SBJ","CB","?"))</f>
        <v> </v>
      </c>
      <c r="I4632" s="26" t="str">
        <f>IF(OR(E4632="",E4632="!!!",F4632="NEW"),"",INDEX(B4631:B$2,-1+SUMPRODUCT(MAX(ROW(E4631:E$2)*(E4632=E4631:E$2)))))</f>
        <v> </v>
      </c>
      <c r="J4632" s="26" t="str">
        <f>IF(OR(E4632="",E4632="!!!",F4632="NEW"),"",COUNTBLANK(OFFSET(A$1,,,SUMPRODUCT(MAX(ROW(E$2:E4632)*(E4632=E$2:E4632)))))-COUNTBLANK(OFFSET(A$1,,,SUMPRODUCT(MAX(ROW(E$1:E4631)*(E2=E$1:E4631))))))</f>
        <v> </v>
      </c>
      <c r="K4632" s="26" t="str">
        <f>IF(OR(E4632="",E4632="!!!",F4632="NEW"),"",INDEX(J$1:J4631,SUMPRODUCT(MAX(ROW(E$1:E4631)*(E4632=E$1:E4631)))))</f>
        <v> </v>
      </c>
      <c r="L4632" s="27"/>
    </row>
    <row r="4633" spans="1:12">
      <c r="A4633" s="20" t="s">
        <v>1547</v>
      </c>
      <c r="B4633" s="21" t="s">
        <v>1244</v>
      </c>
      <c r="C4633" s="21" t="s">
        <v>1225</v>
      </c>
      <c r="D4633" s="21" t="s">
        <v>1217</v>
      </c>
      <c r="E4633" s="22">
        <f>IF(D4633="?OLD","!!!","")</f>
        <v/>
      </c>
      <c r="F4633" s="23" t="str">
        <f>IF(OR(E4633="",E4633="!!!"),"",IF(NOT(ISNA(VLOOKUP(E4633,E$1:E4632,1,FALSE()))),"OLD",IF(AND(E4633&lt;&gt;"",E4633&lt;&gt;"!!!"),"NEW","")))</f>
        <v> </v>
      </c>
      <c r="G4633" s="24" t="str">
        <f>IF(OR(E4633="",E4633="!!!"),"",IF(OR(J4633=0,AND(J4633=1,K4633=1),AND(J4633=1,I4633="SBJ"),AND(J4633=1,I4633=0)),"?IN_FOCUS",IF(J4633&lt;=2,"?ACTIVATED",IF(J4633&lt;&gt;"","?FAMILIAR",IF(F4633="NEW",IF(ISNA(VLOOKUP(E4633,#REF!,1,FALSE())),"?TYPE_IDENTIFIABLE","?REFERENTIAL"),"_")))))</f>
        <v> </v>
      </c>
      <c r="H4633" s="25" t="str">
        <f>IF(J4633&lt;&gt;1,"",IF(I4633="SBJ","CB","?"))</f>
        <v> </v>
      </c>
      <c r="I4633" s="26" t="str">
        <f>IF(OR(E4633="",E4633="!!!",F4633="NEW"),"",INDEX(B4632:B$2,-1+SUMPRODUCT(MAX(ROW(E4632:E$2)*(E4633=E4632:E$2)))))</f>
        <v> </v>
      </c>
      <c r="J4633" s="26" t="str">
        <f>IF(OR(E4633="",E4633="!!!",F4633="NEW"),"",COUNTBLANK(OFFSET(A$1,,,SUMPRODUCT(MAX(ROW(E$2:E4633)*(E4633=E$2:E4633)))))-COUNTBLANK(OFFSET(A$1,,,SUMPRODUCT(MAX(ROW(E$1:E4632)*(E2=E$1:E4632))))))</f>
        <v> </v>
      </c>
      <c r="K4633" s="26" t="str">
        <f>IF(OR(E4633="",E4633="!!!",F4633="NEW"),"",INDEX(J$1:J4632,SUMPRODUCT(MAX(ROW(E$1:E4632)*(E4633=E$1:E4632)))))</f>
        <v> </v>
      </c>
      <c r="L4633" s="27"/>
    </row>
    <row r="4634" spans="1:12">
      <c r="A4634" s="20" t="s">
        <v>1618</v>
      </c>
      <c r="E4634" s="22">
        <f>IF(D4634="?OLD","!!!","")</f>
        <v/>
      </c>
      <c r="F4634" s="23" t="str">
        <f>IF(OR(E4634="",E4634="!!!"),"",IF(NOT(ISNA(VLOOKUP(E4634,E$1:E4633,1,FALSE()))),"OLD",IF(AND(E4634&lt;&gt;"",E4634&lt;&gt;"!!!"),"NEW","")))</f>
        <v> </v>
      </c>
      <c r="G4634" s="24" t="str">
        <f>IF(OR(E4634="",E4634="!!!"),"",IF(OR(J4634=0,AND(J4634=1,K4634=1),AND(J4634=1,I4634="SBJ"),AND(J4634=1,I4634=0)),"?IN_FOCUS",IF(J4634&lt;=2,"?ACTIVATED",IF(J4634&lt;&gt;"","?FAMILIAR",IF(F4634="NEW",IF(ISNA(VLOOKUP(E4634,#REF!,1,FALSE())),"?TYPE_IDENTIFIABLE","?REFERENTIAL"),"_")))))</f>
        <v> </v>
      </c>
      <c r="H4634" s="25" t="str">
        <f>IF(J4634&lt;&gt;1,"",IF(I4634="SBJ","CB","?"))</f>
        <v> </v>
      </c>
      <c r="I4634" s="26" t="str">
        <f>IF(OR(E4634="",E4634="!!!",F4634="NEW"),"",INDEX(B4633:B$2,-1+SUMPRODUCT(MAX(ROW(E4633:E$2)*(E4634=E4633:E$2)))))</f>
        <v> </v>
      </c>
      <c r="J4634" s="26" t="str">
        <f>IF(OR(E4634="",E4634="!!!",F4634="NEW"),"",COUNTBLANK(OFFSET(A$1,,,SUMPRODUCT(MAX(ROW(E$2:E4634)*(E4634=E$2:E4634)))))-COUNTBLANK(OFFSET(A$1,,,SUMPRODUCT(MAX(ROW(E$1:E4633)*(E2=E$1:E4633))))))</f>
        <v> </v>
      </c>
      <c r="K4634" s="26" t="str">
        <f>IF(OR(E4634="",E4634="!!!",F4634="NEW"),"",INDEX(J$1:J4633,SUMPRODUCT(MAX(ROW(E$1:E4633)*(E4634=E$1:E4633)))))</f>
        <v> </v>
      </c>
      <c r="L4634" s="27"/>
    </row>
    <row r="4635" spans="1:12">
      <c r="A4635" s="20"/>
    </row>
    <row r="4636" spans="1:12">
      <c r="A4636" s="20" t="s">
        <v>2729</v>
      </c>
    </row>
    <row r="4637" spans="1:12">
      <c r="A4637" s="20" t="s">
        <v>1264</v>
      </c>
      <c r="B4637" s="21" t="s">
        <v>1215</v>
      </c>
      <c r="C4637" s="21" t="s">
        <v>1255</v>
      </c>
      <c r="D4637" s="21" t="s">
        <v>1217</v>
      </c>
      <c r="E4637" s="22">
        <f>IF(D4637="?OLD","!!!","")</f>
        <v/>
      </c>
      <c r="F4637" s="23" t="str">
        <f>IF(OR(E4637="",E4637="!!!"),"",IF(NOT(ISNA(VLOOKUP(E4637,E$1:E4636,1,FALSE()))),"OLD",IF(AND(E4637&lt;&gt;"",E4637&lt;&gt;"!!!"),"NEW","")))</f>
        <v> </v>
      </c>
      <c r="G4637" s="24" t="str">
        <f>IF(OR(E4637="",E4637="!!!"),"",IF(OR(J4637=0,AND(J4637=1,K4637=1),AND(J4637=1,I4637="SBJ"),AND(J4637=1,I4637=0)),"?IN_FOCUS",IF(J4637&lt;=2,"?ACTIVATED",IF(J4637&lt;&gt;"","?FAMILIAR",IF(F4637="NEW",IF(ISNA(VLOOKUP(E4637,#REF!,1,FALSE())),"?TYPE_IDENTIFIABLE","?REFERENTIAL"),"_")))))</f>
        <v> </v>
      </c>
      <c r="H4637" s="25" t="str">
        <f>IF(J4637&lt;&gt;1,"",IF(I4637="SBJ","CB","?"))</f>
        <v> </v>
      </c>
      <c r="I4637" s="26" t="str">
        <f>IF(OR(E4637="",E4637="!!!",F4637="NEW"),"",INDEX(B4636:B$2,-1+SUMPRODUCT(MAX(ROW(E4636:E$2)*(E4637=E4636:E$2)))))</f>
        <v> </v>
      </c>
      <c r="J4637" s="26" t="str">
        <f>IF(OR(E4637="",E4637="!!!",F4637="NEW"),"",COUNTBLANK(OFFSET(A$1,,,SUMPRODUCT(MAX(ROW(E$2:E4637)*(E4637=E$2:E4637)))))-COUNTBLANK(OFFSET(A$1,,,SUMPRODUCT(MAX(ROW(E$1:E4636)*(E2=E$1:E4636))))))</f>
        <v> </v>
      </c>
      <c r="K4637" s="26" t="str">
        <f>IF(OR(E4637="",E4637="!!!",F4637="NEW"),"",INDEX(J$1:J4636,SUMPRODUCT(MAX(ROW(E$1:E4636)*(E4637=E$1:E4636)))))</f>
        <v> </v>
      </c>
      <c r="L4637" s="27"/>
    </row>
    <row r="4638" spans="1:12">
      <c r="A4638" s="20" t="s">
        <v>2730</v>
      </c>
      <c r="E4638" s="22">
        <f>IF(D4638="?OLD","!!!","")</f>
        <v/>
      </c>
      <c r="F4638" s="23" t="str">
        <f>IF(OR(E4638="",E4638="!!!"),"",IF(NOT(ISNA(VLOOKUP(E4638,E$1:E4637,1,FALSE()))),"OLD",IF(AND(E4638&lt;&gt;"",E4638&lt;&gt;"!!!"),"NEW","")))</f>
        <v> </v>
      </c>
      <c r="G4638" s="24" t="str">
        <f>IF(OR(E4638="",E4638="!!!"),"",IF(OR(J4638=0,AND(J4638=1,K4638=1),AND(J4638=1,I4638="SBJ"),AND(J4638=1,I4638=0)),"?IN_FOCUS",IF(J4638&lt;=2,"?ACTIVATED",IF(J4638&lt;&gt;"","?FAMILIAR",IF(F4638="NEW",IF(ISNA(VLOOKUP(E4638,#REF!,1,FALSE())),"?TYPE_IDENTIFIABLE","?REFERENTIAL"),"_")))))</f>
        <v> </v>
      </c>
      <c r="H4638" s="25" t="str">
        <f>IF(J4638&lt;&gt;1,"",IF(I4638="SBJ","CB","?"))</f>
        <v> </v>
      </c>
      <c r="I4638" s="26" t="str">
        <f>IF(OR(E4638="",E4638="!!!",F4638="NEW"),"",INDEX(B4637:B$2,-1+SUMPRODUCT(MAX(ROW(E4637:E$2)*(E4638=E4637:E$2)))))</f>
        <v> </v>
      </c>
      <c r="J4638" s="26" t="str">
        <f>IF(OR(E4638="",E4638="!!!",F4638="NEW"),"",COUNTBLANK(OFFSET(A$1,,,SUMPRODUCT(MAX(ROW(E$2:E4638)*(E4638=E$2:E4638)))))-COUNTBLANK(OFFSET(A$1,,,SUMPRODUCT(MAX(ROW(E$1:E4637)*(E2=E$1:E4637))))))</f>
        <v> </v>
      </c>
      <c r="K4638" s="26" t="str">
        <f>IF(OR(E4638="",E4638="!!!",F4638="NEW"),"",INDEX(J$1:J4637,SUMPRODUCT(MAX(ROW(E$1:E4637)*(E4638=E$1:E4637)))))</f>
        <v> </v>
      </c>
      <c r="L4638" s="27"/>
    </row>
    <row r="4639" spans="1:12">
      <c r="A4639" s="20" t="s">
        <v>2731</v>
      </c>
      <c r="E4639" s="22">
        <f>IF(D4639="?OLD","!!!","")</f>
        <v/>
      </c>
      <c r="F4639" s="23" t="str">
        <f>IF(OR(E4639="",E4639="!!!"),"",IF(NOT(ISNA(VLOOKUP(E4639,E$1:E4638,1,FALSE()))),"OLD",IF(AND(E4639&lt;&gt;"",E4639&lt;&gt;"!!!"),"NEW","")))</f>
        <v> </v>
      </c>
      <c r="G4639" s="24" t="str">
        <f>IF(OR(E4639="",E4639="!!!"),"",IF(OR(J4639=0,AND(J4639=1,K4639=1),AND(J4639=1,I4639="SBJ"),AND(J4639=1,I4639=0)),"?IN_FOCUS",IF(J4639&lt;=2,"?ACTIVATED",IF(J4639&lt;&gt;"","?FAMILIAR",IF(F4639="NEW",IF(ISNA(VLOOKUP(E4639,#REF!,1,FALSE())),"?TYPE_IDENTIFIABLE","?REFERENTIAL"),"_")))))</f>
        <v> </v>
      </c>
      <c r="H4639" s="25" t="str">
        <f>IF(J4639&lt;&gt;1,"",IF(I4639="SBJ","CB","?"))</f>
        <v> </v>
      </c>
      <c r="I4639" s="26" t="str">
        <f>IF(OR(E4639="",E4639="!!!",F4639="NEW"),"",INDEX(B4638:B$2,-1+SUMPRODUCT(MAX(ROW(E4638:E$2)*(E4639=E4638:E$2)))))</f>
        <v> </v>
      </c>
      <c r="J4639" s="26" t="str">
        <f>IF(OR(E4639="",E4639="!!!",F4639="NEW"),"",COUNTBLANK(OFFSET(A$1,,,SUMPRODUCT(MAX(ROW(E$2:E4639)*(E4639=E$2:E4639)))))-COUNTBLANK(OFFSET(A$1,,,SUMPRODUCT(MAX(ROW(E$1:E4638)*(E2=E$1:E4638))))))</f>
        <v> </v>
      </c>
      <c r="K4639" s="26" t="str">
        <f>IF(OR(E4639="",E4639="!!!",F4639="NEW"),"",INDEX(J$1:J4638,SUMPRODUCT(MAX(ROW(E$1:E4638)*(E4639=E$1:E4638)))))</f>
        <v> </v>
      </c>
      <c r="L4639" s="27"/>
    </row>
    <row r="4640" spans="1:12">
      <c r="A4640" s="20" t="s">
        <v>1266</v>
      </c>
      <c r="E4640" s="22">
        <f>IF(D4640="?OLD","!!!","")</f>
        <v/>
      </c>
      <c r="F4640" s="23" t="str">
        <f>IF(OR(E4640="",E4640="!!!"),"",IF(NOT(ISNA(VLOOKUP(E4640,E$1:E4639,1,FALSE()))),"OLD",IF(AND(E4640&lt;&gt;"",E4640&lt;&gt;"!!!"),"NEW","")))</f>
        <v> </v>
      </c>
      <c r="G4640" s="24" t="str">
        <f>IF(OR(E4640="",E4640="!!!"),"",IF(OR(J4640=0,AND(J4640=1,K4640=1),AND(J4640=1,I4640="SBJ"),AND(J4640=1,I4640=0)),"?IN_FOCUS",IF(J4640&lt;=2,"?ACTIVATED",IF(J4640&lt;&gt;"","?FAMILIAR",IF(F4640="NEW",IF(ISNA(VLOOKUP(E4640,#REF!,1,FALSE())),"?TYPE_IDENTIFIABLE","?REFERENTIAL"),"_")))))</f>
        <v> </v>
      </c>
      <c r="H4640" s="25" t="str">
        <f>IF(J4640&lt;&gt;1,"",IF(I4640="SBJ","CB","?"))</f>
        <v> </v>
      </c>
      <c r="I4640" s="26" t="str">
        <f>IF(OR(E4640="",E4640="!!!",F4640="NEW"),"",INDEX(B4639:B$2,-1+SUMPRODUCT(MAX(ROW(E4639:E$2)*(E4640=E4639:E$2)))))</f>
        <v> </v>
      </c>
      <c r="J4640" s="26" t="str">
        <f>IF(OR(E4640="",E4640="!!!",F4640="NEW"),"",COUNTBLANK(OFFSET(A$1,,,SUMPRODUCT(MAX(ROW(E$2:E4640)*(E4640=E$2:E4640)))))-COUNTBLANK(OFFSET(A$1,,,SUMPRODUCT(MAX(ROW(E$1:E4639)*(E2=E$1:E4639))))))</f>
        <v> </v>
      </c>
      <c r="K4640" s="26" t="str">
        <f>IF(OR(E4640="",E4640="!!!",F4640="NEW"),"",INDEX(J$1:J4639,SUMPRODUCT(MAX(ROW(E$1:E4639)*(E4640=E$1:E4639)))))</f>
        <v> </v>
      </c>
      <c r="L4640" s="27"/>
    </row>
    <row r="4641" spans="1:12">
      <c r="A4641" s="20" t="s">
        <v>1413</v>
      </c>
      <c r="B4641" s="21" t="s">
        <v>1275</v>
      </c>
      <c r="C4641" s="21" t="s">
        <v>1269</v>
      </c>
      <c r="D4641" s="21" t="s">
        <v>1217</v>
      </c>
      <c r="E4641" s="22">
        <f>IF(D4641="?OLD","!!!","")</f>
        <v/>
      </c>
      <c r="F4641" s="23" t="str">
        <f>IF(OR(E4641="",E4641="!!!"),"",IF(NOT(ISNA(VLOOKUP(E4641,E$1:E4640,1,FALSE()))),"OLD",IF(AND(E4641&lt;&gt;"",E4641&lt;&gt;"!!!"),"NEW","")))</f>
        <v> </v>
      </c>
      <c r="G4641" s="24" t="str">
        <f>IF(OR(E4641="",E4641="!!!"),"",IF(OR(J4641=0,AND(J4641=1,K4641=1),AND(J4641=1,I4641="SBJ"),AND(J4641=1,I4641=0)),"?IN_FOCUS",IF(J4641&lt;=2,"?ACTIVATED",IF(J4641&lt;&gt;"","?FAMILIAR",IF(F4641="NEW",IF(ISNA(VLOOKUP(E4641,#REF!,1,FALSE())),"?TYPE_IDENTIFIABLE","?REFERENTIAL"),"_")))))</f>
        <v> </v>
      </c>
      <c r="H4641" s="25" t="str">
        <f>IF(J4641&lt;&gt;1,"",IF(I4641="SBJ","CB","?"))</f>
        <v> </v>
      </c>
      <c r="I4641" s="26" t="str">
        <f>IF(OR(E4641="",E4641="!!!",F4641="NEW"),"",INDEX(B4640:B$2,-1+SUMPRODUCT(MAX(ROW(E4640:E$2)*(E4641=E4640:E$2)))))</f>
        <v> </v>
      </c>
      <c r="J4641" s="26" t="str">
        <f>IF(OR(E4641="",E4641="!!!",F4641="NEW"),"",COUNTBLANK(OFFSET(A$1,,,SUMPRODUCT(MAX(ROW(E$2:E4641)*(E4641=E$2:E4641)))))-COUNTBLANK(OFFSET(A$1,,,SUMPRODUCT(MAX(ROW(E$1:E4640)*(E2=E$1:E4640))))))</f>
        <v> </v>
      </c>
      <c r="K4641" s="26" t="str">
        <f>IF(OR(E4641="",E4641="!!!",F4641="NEW"),"",INDEX(J$1:J4640,SUMPRODUCT(MAX(ROW(E$1:E4640)*(E4641=E$1:E4640)))))</f>
        <v> </v>
      </c>
      <c r="L4641" s="27"/>
    </row>
    <row r="4642" spans="1:12">
      <c r="A4642" s="20" t="s">
        <v>1321</v>
      </c>
      <c r="B4642" s="21" t="s">
        <v>1237</v>
      </c>
      <c r="E4642" s="22">
        <f>IF(D4642="?OLD","!!!","")</f>
        <v/>
      </c>
      <c r="F4642" s="23" t="str">
        <f>IF(OR(E4642="",E4642="!!!"),"",IF(NOT(ISNA(VLOOKUP(E4642,E$1:E4641,1,FALSE()))),"OLD",IF(AND(E4642&lt;&gt;"",E4642&lt;&gt;"!!!"),"NEW","")))</f>
        <v> </v>
      </c>
      <c r="G4642" s="24" t="str">
        <f>IF(OR(E4642="",E4642="!!!"),"",IF(OR(J4642=0,AND(J4642=1,K4642=1),AND(J4642=1,I4642="SBJ"),AND(J4642=1,I4642=0)),"?IN_FOCUS",IF(J4642&lt;=2,"?ACTIVATED",IF(J4642&lt;&gt;"","?FAMILIAR",IF(F4642="NEW",IF(ISNA(VLOOKUP(E4642,#REF!,1,FALSE())),"?TYPE_IDENTIFIABLE","?REFERENTIAL"),"_")))))</f>
        <v> </v>
      </c>
      <c r="H4642" s="25" t="str">
        <f>IF(J4642&lt;&gt;1,"",IF(I4642="SBJ","CB","?"))</f>
        <v> </v>
      </c>
      <c r="I4642" s="26" t="str">
        <f>IF(OR(E4642="",E4642="!!!",F4642="NEW"),"",INDEX(B4641:B$2,-1+SUMPRODUCT(MAX(ROW(E4641:E$2)*(E4642=E4641:E$2)))))</f>
        <v> </v>
      </c>
      <c r="J4642" s="26" t="str">
        <f>IF(OR(E4642="",E4642="!!!",F4642="NEW"),"",COUNTBLANK(OFFSET(A$1,,,SUMPRODUCT(MAX(ROW(E$2:E4642)*(E4642=E$2:E4642)))))-COUNTBLANK(OFFSET(A$1,,,SUMPRODUCT(MAX(ROW(E$1:E4641)*(E2=E$1:E4641))))))</f>
        <v> </v>
      </c>
      <c r="K4642" s="26" t="str">
        <f>IF(OR(E4642="",E4642="!!!",F4642="NEW"),"",INDEX(J$1:J4641,SUMPRODUCT(MAX(ROW(E$1:E4641)*(E4642=E$1:E4641)))))</f>
        <v> </v>
      </c>
      <c r="L4642" s="27"/>
    </row>
    <row r="4643" spans="1:12">
      <c r="A4643" s="20" t="s">
        <v>1443</v>
      </c>
      <c r="B4643" s="21" t="s">
        <v>1237</v>
      </c>
      <c r="C4643" s="21" t="s">
        <v>1255</v>
      </c>
      <c r="D4643" s="21" t="s">
        <v>1217</v>
      </c>
      <c r="E4643" s="22">
        <f>IF(D4643="?OLD","!!!","")</f>
        <v/>
      </c>
      <c r="F4643" s="23" t="str">
        <f>IF(OR(E4643="",E4643="!!!"),"",IF(NOT(ISNA(VLOOKUP(E4643,E$1:E4642,1,FALSE()))),"OLD",IF(AND(E4643&lt;&gt;"",E4643&lt;&gt;"!!!"),"NEW","")))</f>
        <v> </v>
      </c>
      <c r="G4643" s="24" t="str">
        <f>IF(OR(E4643="",E4643="!!!"),"",IF(OR(J4643=0,AND(J4643=1,K4643=1),AND(J4643=1,I4643="SBJ"),AND(J4643=1,I4643=0)),"?IN_FOCUS",IF(J4643&lt;=2,"?ACTIVATED",IF(J4643&lt;&gt;"","?FAMILIAR",IF(F4643="NEW",IF(ISNA(VLOOKUP(E4643,#REF!,1,FALSE())),"?TYPE_IDENTIFIABLE","?REFERENTIAL"),"_")))))</f>
        <v> </v>
      </c>
      <c r="H4643" s="25" t="str">
        <f>IF(J4643&lt;&gt;1,"",IF(I4643="SBJ","CB","?"))</f>
        <v> </v>
      </c>
      <c r="I4643" s="26" t="str">
        <f>IF(OR(E4643="",E4643="!!!",F4643="NEW"),"",INDEX(B4642:B$2,-1+SUMPRODUCT(MAX(ROW(E4642:E$2)*(E4643=E4642:E$2)))))</f>
        <v> </v>
      </c>
      <c r="J4643" s="26" t="str">
        <f>IF(OR(E4643="",E4643="!!!",F4643="NEW"),"",COUNTBLANK(OFFSET(A$1,,,SUMPRODUCT(MAX(ROW(E$2:E4643)*(E4643=E$2:E4643)))))-COUNTBLANK(OFFSET(A$1,,,SUMPRODUCT(MAX(ROW(E$1:E4642)*(E2=E$1:E4642))))))</f>
        <v> </v>
      </c>
      <c r="K4643" s="26" t="str">
        <f>IF(OR(E4643="",E4643="!!!",F4643="NEW"),"",INDEX(J$1:J4642,SUMPRODUCT(MAX(ROW(E$1:E4642)*(E4643=E$1:E4642)))))</f>
        <v> </v>
      </c>
      <c r="L4643" s="27"/>
    </row>
    <row r="4644" spans="1:12">
      <c r="A4644" s="20" t="s">
        <v>2732</v>
      </c>
      <c r="E4644" s="22">
        <f>IF(D4644="?OLD","!!!","")</f>
        <v/>
      </c>
      <c r="F4644" s="23" t="str">
        <f>IF(OR(E4644="",E4644="!!!"),"",IF(NOT(ISNA(VLOOKUP(E4644,E$1:E4643,1,FALSE()))),"OLD",IF(AND(E4644&lt;&gt;"",E4644&lt;&gt;"!!!"),"NEW","")))</f>
        <v> </v>
      </c>
      <c r="G4644" s="24" t="str">
        <f>IF(OR(E4644="",E4644="!!!"),"",IF(OR(J4644=0,AND(J4644=1,K4644=1),AND(J4644=1,I4644="SBJ"),AND(J4644=1,I4644=0)),"?IN_FOCUS",IF(J4644&lt;=2,"?ACTIVATED",IF(J4644&lt;&gt;"","?FAMILIAR",IF(F4644="NEW",IF(ISNA(VLOOKUP(E4644,#REF!,1,FALSE())),"?TYPE_IDENTIFIABLE","?REFERENTIAL"),"_")))))</f>
        <v> </v>
      </c>
      <c r="H4644" s="25" t="str">
        <f>IF(J4644&lt;&gt;1,"",IF(I4644="SBJ","CB","?"))</f>
        <v> </v>
      </c>
      <c r="I4644" s="26" t="str">
        <f>IF(OR(E4644="",E4644="!!!",F4644="NEW"),"",INDEX(B4643:B$2,-1+SUMPRODUCT(MAX(ROW(E4643:E$2)*(E4644=E4643:E$2)))))</f>
        <v> </v>
      </c>
      <c r="J4644" s="26" t="str">
        <f>IF(OR(E4644="",E4644="!!!",F4644="NEW"),"",COUNTBLANK(OFFSET(A$1,,,SUMPRODUCT(MAX(ROW(E$2:E4644)*(E4644=E$2:E4644)))))-COUNTBLANK(OFFSET(A$1,,,SUMPRODUCT(MAX(ROW(E$1:E4643)*(E2=E$1:E4643))))))</f>
        <v> </v>
      </c>
      <c r="K4644" s="26" t="str">
        <f>IF(OR(E4644="",E4644="!!!",F4644="NEW"),"",INDEX(J$1:J4643,SUMPRODUCT(MAX(ROW(E$1:E4643)*(E4644=E$1:E4643)))))</f>
        <v> </v>
      </c>
      <c r="L4644" s="27"/>
    </row>
    <row r="4645" spans="1:12">
      <c r="A4645" s="20" t="s">
        <v>1245</v>
      </c>
      <c r="E4645" s="22">
        <f>IF(D4645="?OLD","!!!","")</f>
        <v/>
      </c>
      <c r="F4645" s="23" t="str">
        <f>IF(OR(E4645="",E4645="!!!"),"",IF(NOT(ISNA(VLOOKUP(E4645,E$1:E4644,1,FALSE()))),"OLD",IF(AND(E4645&lt;&gt;"",E4645&lt;&gt;"!!!"),"NEW","")))</f>
        <v> </v>
      </c>
      <c r="G4645" s="24" t="str">
        <f>IF(OR(E4645="",E4645="!!!"),"",IF(OR(J4645=0,AND(J4645=1,K4645=1),AND(J4645=1,I4645="SBJ"),AND(J4645=1,I4645=0)),"?IN_FOCUS",IF(J4645&lt;=2,"?ACTIVATED",IF(J4645&lt;&gt;"","?FAMILIAR",IF(F4645="NEW",IF(ISNA(VLOOKUP(E4645,#REF!,1,FALSE())),"?TYPE_IDENTIFIABLE","?REFERENTIAL"),"_")))))</f>
        <v> </v>
      </c>
      <c r="H4645" s="25" t="str">
        <f>IF(J4645&lt;&gt;1,"",IF(I4645="SBJ","CB","?"))</f>
        <v> </v>
      </c>
      <c r="I4645" s="26" t="str">
        <f>IF(OR(E4645="",E4645="!!!",F4645="NEW"),"",INDEX(B4644:B$2,-1+SUMPRODUCT(MAX(ROW(E4644:E$2)*(E4645=E4644:E$2)))))</f>
        <v> </v>
      </c>
      <c r="J4645" s="26" t="str">
        <f>IF(OR(E4645="",E4645="!!!",F4645="NEW"),"",COUNTBLANK(OFFSET(A$1,,,SUMPRODUCT(MAX(ROW(E$2:E4645)*(E4645=E$2:E4645)))))-COUNTBLANK(OFFSET(A$1,,,SUMPRODUCT(MAX(ROW(E$1:E4644)*(E2=E$1:E4644))))))</f>
        <v> </v>
      </c>
      <c r="K4645" s="26" t="str">
        <f>IF(OR(E4645="",E4645="!!!",F4645="NEW"),"",INDEX(J$1:J4644,SUMPRODUCT(MAX(ROW(E$1:E4644)*(E4645=E$1:E4644)))))</f>
        <v> </v>
      </c>
      <c r="L4645" s="27"/>
    </row>
    <row r="4646" spans="1:12">
      <c r="A4646" s="20" t="s">
        <v>1266</v>
      </c>
      <c r="E4646" s="22">
        <f>IF(D4646="?OLD","!!!","")</f>
        <v/>
      </c>
      <c r="F4646" s="23" t="str">
        <f>IF(OR(E4646="",E4646="!!!"),"",IF(NOT(ISNA(VLOOKUP(E4646,E$1:E4645,1,FALSE()))),"OLD",IF(AND(E4646&lt;&gt;"",E4646&lt;&gt;"!!!"),"NEW","")))</f>
        <v> </v>
      </c>
      <c r="G4646" s="24" t="str">
        <f>IF(OR(E4646="",E4646="!!!"),"",IF(OR(J4646=0,AND(J4646=1,K4646=1),AND(J4646=1,I4646="SBJ"),AND(J4646=1,I4646=0)),"?IN_FOCUS",IF(J4646&lt;=2,"?ACTIVATED",IF(J4646&lt;&gt;"","?FAMILIAR",IF(F4646="NEW",IF(ISNA(VLOOKUP(E4646,#REF!,1,FALSE())),"?TYPE_IDENTIFIABLE","?REFERENTIAL"),"_")))))</f>
        <v> </v>
      </c>
      <c r="H4646" s="25" t="str">
        <f>IF(J4646&lt;&gt;1,"",IF(I4646="SBJ","CB","?"))</f>
        <v> </v>
      </c>
      <c r="I4646" s="26" t="str">
        <f>IF(OR(E4646="",E4646="!!!",F4646="NEW"),"",INDEX(B4645:B$2,-1+SUMPRODUCT(MAX(ROW(E4645:E$2)*(E4646=E4645:E$2)))))</f>
        <v> </v>
      </c>
      <c r="J4646" s="26" t="str">
        <f>IF(OR(E4646="",E4646="!!!",F4646="NEW"),"",COUNTBLANK(OFFSET(A$1,,,SUMPRODUCT(MAX(ROW(E$2:E4646)*(E4646=E$2:E4646)))))-COUNTBLANK(OFFSET(A$1,,,SUMPRODUCT(MAX(ROW(E$1:E4645)*(E2=E$1:E4645))))))</f>
        <v> </v>
      </c>
      <c r="K4646" s="26" t="str">
        <f>IF(OR(E4646="",E4646="!!!",F4646="NEW"),"",INDEX(J$1:J4645,SUMPRODUCT(MAX(ROW(E$1:E4645)*(E4646=E$1:E4645)))))</f>
        <v> </v>
      </c>
      <c r="L4646" s="27"/>
    </row>
    <row r="4647" spans="1:12">
      <c r="A4647" s="20" t="s">
        <v>2661</v>
      </c>
      <c r="B4647" s="21" t="s">
        <v>1224</v>
      </c>
      <c r="C4647" s="21" t="s">
        <v>1269</v>
      </c>
      <c r="D4647" s="21" t="s">
        <v>1217</v>
      </c>
      <c r="E4647" s="22">
        <f>IF(D4647="?OLD","!!!","")</f>
        <v/>
      </c>
      <c r="F4647" s="23" t="str">
        <f>IF(OR(E4647="",E4647="!!!"),"",IF(NOT(ISNA(VLOOKUP(E4647,E$1:E4646,1,FALSE()))),"OLD",IF(AND(E4647&lt;&gt;"",E4647&lt;&gt;"!!!"),"NEW","")))</f>
        <v> </v>
      </c>
      <c r="G4647" s="24" t="str">
        <f>IF(OR(E4647="",E4647="!!!"),"",IF(OR(J4647=0,AND(J4647=1,K4647=1),AND(J4647=1,I4647="SBJ"),AND(J4647=1,I4647=0)),"?IN_FOCUS",IF(J4647&lt;=2,"?ACTIVATED",IF(J4647&lt;&gt;"","?FAMILIAR",IF(F4647="NEW",IF(ISNA(VLOOKUP(E4647,#REF!,1,FALSE())),"?TYPE_IDENTIFIABLE","?REFERENTIAL"),"_")))))</f>
        <v> </v>
      </c>
      <c r="H4647" s="25" t="str">
        <f>IF(J4647&lt;&gt;1,"",IF(I4647="SBJ","CB","?"))</f>
        <v> </v>
      </c>
      <c r="I4647" s="26" t="str">
        <f>IF(OR(E4647="",E4647="!!!",F4647="NEW"),"",INDEX(B4646:B$2,-1+SUMPRODUCT(MAX(ROW(E4646:E$2)*(E4647=E4646:E$2)))))</f>
        <v> </v>
      </c>
      <c r="J4647" s="26" t="str">
        <f>IF(OR(E4647="",E4647="!!!",F4647="NEW"),"",COUNTBLANK(OFFSET(A$1,,,SUMPRODUCT(MAX(ROW(E$2:E4647)*(E4647=E$2:E4647)))))-COUNTBLANK(OFFSET(A$1,,,SUMPRODUCT(MAX(ROW(E$1:E4646)*(E2=E$1:E4646))))))</f>
        <v> </v>
      </c>
      <c r="K4647" s="26" t="str">
        <f>IF(OR(E4647="",E4647="!!!",F4647="NEW"),"",INDEX(J$1:J4646,SUMPRODUCT(MAX(ROW(E$1:E4646)*(E4647=E$1:E4646)))))</f>
        <v> </v>
      </c>
      <c r="L4647" s="27"/>
    </row>
    <row r="4648" spans="1:12">
      <c r="A4648" s="20" t="s">
        <v>1323</v>
      </c>
      <c r="E4648" s="22">
        <f>IF(D4648="?OLD","!!!","")</f>
        <v/>
      </c>
      <c r="F4648" s="23" t="str">
        <f>IF(OR(E4648="",E4648="!!!"),"",IF(NOT(ISNA(VLOOKUP(E4648,E$1:E4647,1,FALSE()))),"OLD",IF(AND(E4648&lt;&gt;"",E4648&lt;&gt;"!!!"),"NEW","")))</f>
        <v> </v>
      </c>
      <c r="G4648" s="24" t="str">
        <f>IF(OR(E4648="",E4648="!!!"),"",IF(OR(J4648=0,AND(J4648=1,K4648=1),AND(J4648=1,I4648="SBJ"),AND(J4648=1,I4648=0)),"?IN_FOCUS",IF(J4648&lt;=2,"?ACTIVATED",IF(J4648&lt;&gt;"","?FAMILIAR",IF(F4648="NEW",IF(ISNA(VLOOKUP(E4648,#REF!,1,FALSE())),"?TYPE_IDENTIFIABLE","?REFERENTIAL"),"_")))))</f>
        <v> </v>
      </c>
      <c r="H4648" s="25" t="str">
        <f>IF(J4648&lt;&gt;1,"",IF(I4648="SBJ","CB","?"))</f>
        <v> </v>
      </c>
      <c r="I4648" s="26" t="str">
        <f>IF(OR(E4648="",E4648="!!!",F4648="NEW"),"",INDEX(B4647:B$2,-1+SUMPRODUCT(MAX(ROW(E4647:E$2)*(E4648=E4647:E$2)))))</f>
        <v> </v>
      </c>
      <c r="J4648" s="26" t="str">
        <f>IF(OR(E4648="",E4648="!!!",F4648="NEW"),"",COUNTBLANK(OFFSET(A$1,,,SUMPRODUCT(MAX(ROW(E$2:E4648)*(E4648=E$2:E4648)))))-COUNTBLANK(OFFSET(A$1,,,SUMPRODUCT(MAX(ROW(E$1:E4647)*(E2=E$1:E4647))))))</f>
        <v> </v>
      </c>
      <c r="K4648" s="26" t="str">
        <f>IF(OR(E4648="",E4648="!!!",F4648="NEW"),"",INDEX(J$1:J4647,SUMPRODUCT(MAX(ROW(E$1:E4647)*(E4648=E$1:E4647)))))</f>
        <v> </v>
      </c>
      <c r="L4648" s="27"/>
    </row>
    <row r="4649" spans="1:12">
      <c r="A4649" s="20" t="s">
        <v>2733</v>
      </c>
      <c r="B4649" s="21" t="s">
        <v>1283</v>
      </c>
      <c r="C4649" s="21" t="s">
        <v>1269</v>
      </c>
      <c r="D4649" s="21" t="s">
        <v>1217</v>
      </c>
      <c r="E4649" s="22">
        <f>IF(D4649="?OLD","!!!","")</f>
        <v/>
      </c>
      <c r="F4649" s="23" t="str">
        <f>IF(OR(E4649="",E4649="!!!"),"",IF(NOT(ISNA(VLOOKUP(E4649,E$1:E4648,1,FALSE()))),"OLD",IF(AND(E4649&lt;&gt;"",E4649&lt;&gt;"!!!"),"NEW","")))</f>
        <v> </v>
      </c>
      <c r="G4649" s="24" t="str">
        <f>IF(OR(E4649="",E4649="!!!"),"",IF(OR(J4649=0,AND(J4649=1,K4649=1),AND(J4649=1,I4649="SBJ"),AND(J4649=1,I4649=0)),"?IN_FOCUS",IF(J4649&lt;=2,"?ACTIVATED",IF(J4649&lt;&gt;"","?FAMILIAR",IF(F4649="NEW",IF(ISNA(VLOOKUP(E4649,#REF!,1,FALSE())),"?TYPE_IDENTIFIABLE","?REFERENTIAL"),"_")))))</f>
        <v> </v>
      </c>
      <c r="H4649" s="25" t="str">
        <f>IF(J4649&lt;&gt;1,"",IF(I4649="SBJ","CB","?"))</f>
        <v> </v>
      </c>
      <c r="I4649" s="26" t="str">
        <f>IF(OR(E4649="",E4649="!!!",F4649="NEW"),"",INDEX(B4648:B$2,-1+SUMPRODUCT(MAX(ROW(E4648:E$2)*(E4649=E4648:E$2)))))</f>
        <v> </v>
      </c>
      <c r="J4649" s="26" t="str">
        <f>IF(OR(E4649="",E4649="!!!",F4649="NEW"),"",COUNTBLANK(OFFSET(A$1,,,SUMPRODUCT(MAX(ROW(E$2:E4649)*(E4649=E$2:E4649)))))-COUNTBLANK(OFFSET(A$1,,,SUMPRODUCT(MAX(ROW(E$1:E4648)*(E2=E$1:E4648))))))</f>
        <v> </v>
      </c>
      <c r="K4649" s="26" t="str">
        <f>IF(OR(E4649="",E4649="!!!",F4649="NEW"),"",INDEX(J$1:J4648,SUMPRODUCT(MAX(ROW(E$1:E4648)*(E4649=E$1:E4648)))))</f>
        <v> </v>
      </c>
      <c r="L4649" s="27"/>
    </row>
    <row r="4650" spans="1:12">
      <c r="A4650" s="20" t="s">
        <v>1336</v>
      </c>
      <c r="E4650" s="22">
        <f>IF(D4650="?OLD","!!!","")</f>
        <v/>
      </c>
      <c r="F4650" s="23" t="str">
        <f>IF(OR(E4650="",E4650="!!!"),"",IF(NOT(ISNA(VLOOKUP(E4650,E$1:E4649,1,FALSE()))),"OLD",IF(AND(E4650&lt;&gt;"",E4650&lt;&gt;"!!!"),"NEW","")))</f>
        <v> </v>
      </c>
      <c r="G4650" s="24" t="str">
        <f>IF(OR(E4650="",E4650="!!!"),"",IF(OR(J4650=0,AND(J4650=1,K4650=1),AND(J4650=1,I4650="SBJ"),AND(J4650=1,I4650=0)),"?IN_FOCUS",IF(J4650&lt;=2,"?ACTIVATED",IF(J4650&lt;&gt;"","?FAMILIAR",IF(F4650="NEW",IF(ISNA(VLOOKUP(E4650,#REF!,1,FALSE())),"?TYPE_IDENTIFIABLE","?REFERENTIAL"),"_")))))</f>
        <v> </v>
      </c>
      <c r="H4650" s="25" t="str">
        <f>IF(J4650&lt;&gt;1,"",IF(I4650="SBJ","CB","?"))</f>
        <v> </v>
      </c>
      <c r="I4650" s="26" t="str">
        <f>IF(OR(E4650="",E4650="!!!",F4650="NEW"),"",INDEX(B4649:B$2,-1+SUMPRODUCT(MAX(ROW(E4649:E$2)*(E4650=E4649:E$2)))))</f>
        <v> </v>
      </c>
      <c r="J4650" s="26" t="str">
        <f>IF(OR(E4650="",E4650="!!!",F4650="NEW"),"",COUNTBLANK(OFFSET(A$1,,,SUMPRODUCT(MAX(ROW(E$2:E4650)*(E4650=E$2:E4650)))))-COUNTBLANK(OFFSET(A$1,,,SUMPRODUCT(MAX(ROW(E$1:E4649)*(E2=E$1:E4649))))))</f>
        <v> </v>
      </c>
      <c r="K4650" s="26" t="str">
        <f>IF(OR(E4650="",E4650="!!!",F4650="NEW"),"",INDEX(J$1:J4649,SUMPRODUCT(MAX(ROW(E$1:E4649)*(E4650=E$1:E4649)))))</f>
        <v> </v>
      </c>
      <c r="L4650" s="27"/>
    </row>
    <row r="4651" spans="1:12">
      <c r="A4651" s="20" t="s">
        <v>1323</v>
      </c>
      <c r="E4651" s="22">
        <f>IF(D4651="?OLD","!!!","")</f>
        <v/>
      </c>
      <c r="F4651" s="23" t="str">
        <f>IF(OR(E4651="",E4651="!!!"),"",IF(NOT(ISNA(VLOOKUP(E4651,E$1:E4650,1,FALSE()))),"OLD",IF(AND(E4651&lt;&gt;"",E4651&lt;&gt;"!!!"),"NEW","")))</f>
        <v> </v>
      </c>
      <c r="G4651" s="24" t="str">
        <f>IF(OR(E4651="",E4651="!!!"),"",IF(OR(J4651=0,AND(J4651=1,K4651=1),AND(J4651=1,I4651="SBJ"),AND(J4651=1,I4651=0)),"?IN_FOCUS",IF(J4651&lt;=2,"?ACTIVATED",IF(J4651&lt;&gt;"","?FAMILIAR",IF(F4651="NEW",IF(ISNA(VLOOKUP(E4651,#REF!,1,FALSE())),"?TYPE_IDENTIFIABLE","?REFERENTIAL"),"_")))))</f>
        <v> </v>
      </c>
      <c r="H4651" s="25" t="str">
        <f>IF(J4651&lt;&gt;1,"",IF(I4651="SBJ","CB","?"))</f>
        <v> </v>
      </c>
      <c r="I4651" s="26" t="str">
        <f>IF(OR(E4651="",E4651="!!!",F4651="NEW"),"",INDEX(B4650:B$2,-1+SUMPRODUCT(MAX(ROW(E4650:E$2)*(E4651=E4650:E$2)))))</f>
        <v> </v>
      </c>
      <c r="J4651" s="26" t="str">
        <f>IF(OR(E4651="",E4651="!!!",F4651="NEW"),"",COUNTBLANK(OFFSET(A$1,,,SUMPRODUCT(MAX(ROW(E$2:E4651)*(E4651=E$2:E4651)))))-COUNTBLANK(OFFSET(A$1,,,SUMPRODUCT(MAX(ROW(E$1:E4650)*(E2=E$1:E4650))))))</f>
        <v> </v>
      </c>
      <c r="K4651" s="26" t="str">
        <f>IF(OR(E4651="",E4651="!!!",F4651="NEW"),"",INDEX(J$1:J4650,SUMPRODUCT(MAX(ROW(E$1:E4650)*(E4651=E$1:E4650)))))</f>
        <v> </v>
      </c>
      <c r="L4651" s="27"/>
    </row>
    <row r="4652" spans="1:12">
      <c r="A4652" s="20" t="s">
        <v>865</v>
      </c>
      <c r="B4652" s="21" t="s">
        <v>1226</v>
      </c>
      <c r="C4652" s="21" t="s">
        <v>1269</v>
      </c>
      <c r="D4652" s="21" t="s">
        <v>1217</v>
      </c>
      <c r="E4652" s="22">
        <f>IF(D4652="?OLD","!!!","")</f>
        <v/>
      </c>
      <c r="F4652" s="23" t="str">
        <f>IF(OR(E4652="",E4652="!!!"),"",IF(NOT(ISNA(VLOOKUP(E4652,E$1:E4651,1,FALSE()))),"OLD",IF(AND(E4652&lt;&gt;"",E4652&lt;&gt;"!!!"),"NEW","")))</f>
        <v> </v>
      </c>
      <c r="G4652" s="24" t="str">
        <f>IF(OR(E4652="",E4652="!!!"),"",IF(OR(J4652=0,AND(J4652=1,K4652=1),AND(J4652=1,I4652="SBJ"),AND(J4652=1,I4652=0)),"?IN_FOCUS",IF(J4652&lt;=2,"?ACTIVATED",IF(J4652&lt;&gt;"","?FAMILIAR",IF(F4652="NEW",IF(ISNA(VLOOKUP(E4652,#REF!,1,FALSE())),"?TYPE_IDENTIFIABLE","?REFERENTIAL"),"_")))))</f>
        <v> </v>
      </c>
      <c r="H4652" s="25" t="str">
        <f>IF(J4652&lt;&gt;1,"",IF(I4652="SBJ","CB","?"))</f>
        <v> </v>
      </c>
      <c r="I4652" s="26" t="str">
        <f>IF(OR(E4652="",E4652="!!!",F4652="NEW"),"",INDEX(B4651:B$2,-1+SUMPRODUCT(MAX(ROW(E4651:E$2)*(E4652=E4651:E$2)))))</f>
        <v> </v>
      </c>
      <c r="J4652" s="26" t="str">
        <f>IF(OR(E4652="",E4652="!!!",F4652="NEW"),"",COUNTBLANK(OFFSET(A$1,,,SUMPRODUCT(MAX(ROW(E$2:E4652)*(E4652=E$2:E4652)))))-COUNTBLANK(OFFSET(A$1,,,SUMPRODUCT(MAX(ROW(E$1:E4651)*(E2=E$1:E4651))))))</f>
        <v> </v>
      </c>
      <c r="K4652" s="26" t="str">
        <f>IF(OR(E4652="",E4652="!!!",F4652="NEW"),"",INDEX(J$1:J4651,SUMPRODUCT(MAX(ROW(E$1:E4651)*(E4652=E$1:E4651)))))</f>
        <v> </v>
      </c>
      <c r="L4652" s="27"/>
    </row>
    <row r="4653" spans="1:12">
      <c r="A4653" s="20" t="s">
        <v>1358</v>
      </c>
      <c r="B4653" s="21" t="s">
        <v>1894</v>
      </c>
      <c r="E4653" s="22">
        <f>IF(D4653="?OLD","!!!","")</f>
        <v/>
      </c>
      <c r="F4653" s="23" t="str">
        <f>IF(OR(E4653="",E4653="!!!"),"",IF(NOT(ISNA(VLOOKUP(E4653,E$1:E4652,1,FALSE()))),"OLD",IF(AND(E4653&lt;&gt;"",E4653&lt;&gt;"!!!"),"NEW","")))</f>
        <v> </v>
      </c>
      <c r="G4653" s="24" t="str">
        <f>IF(OR(E4653="",E4653="!!!"),"",IF(OR(J4653=0,AND(J4653=1,K4653=1),AND(J4653=1,I4653="SBJ"),AND(J4653=1,I4653=0)),"?IN_FOCUS",IF(J4653&lt;=2,"?ACTIVATED",IF(J4653&lt;&gt;"","?FAMILIAR",IF(F4653="NEW",IF(ISNA(VLOOKUP(E4653,#REF!,1,FALSE())),"?TYPE_IDENTIFIABLE","?REFERENTIAL"),"_")))))</f>
        <v> </v>
      </c>
      <c r="H4653" s="25" t="str">
        <f>IF(J4653&lt;&gt;1,"",IF(I4653="SBJ","CB","?"))</f>
        <v> </v>
      </c>
      <c r="I4653" s="26" t="str">
        <f>IF(OR(E4653="",E4653="!!!",F4653="NEW"),"",INDEX(B4652:B$2,-1+SUMPRODUCT(MAX(ROW(E4652:E$2)*(E4653=E4652:E$2)))))</f>
        <v> </v>
      </c>
      <c r="J4653" s="26" t="str">
        <f>IF(OR(E4653="",E4653="!!!",F4653="NEW"),"",COUNTBLANK(OFFSET(A$1,,,SUMPRODUCT(MAX(ROW(E$2:E4653)*(E4653=E$2:E4653)))))-COUNTBLANK(OFFSET(A$1,,,SUMPRODUCT(MAX(ROW(E$1:E4652)*(E2=E$1:E4652))))))</f>
        <v> </v>
      </c>
      <c r="K4653" s="26" t="str">
        <f>IF(OR(E4653="",E4653="!!!",F4653="NEW"),"",INDEX(J$1:J4652,SUMPRODUCT(MAX(ROW(E$1:E4652)*(E4653=E$1:E4652)))))</f>
        <v> </v>
      </c>
      <c r="L4653" s="27"/>
    </row>
    <row r="4654" spans="1:12">
      <c r="A4654" s="20" t="s">
        <v>565</v>
      </c>
      <c r="B4654" s="21" t="s">
        <v>1748</v>
      </c>
      <c r="C4654" s="21" t="s">
        <v>1255</v>
      </c>
      <c r="D4654" s="21" t="s">
        <v>1217</v>
      </c>
      <c r="E4654" s="22">
        <f>IF(D4654="?OLD","!!!","")</f>
        <v/>
      </c>
      <c r="F4654" s="23" t="str">
        <f>IF(OR(E4654="",E4654="!!!"),"",IF(NOT(ISNA(VLOOKUP(E4654,E$1:E4653,1,FALSE()))),"OLD",IF(AND(E4654&lt;&gt;"",E4654&lt;&gt;"!!!"),"NEW","")))</f>
        <v> </v>
      </c>
      <c r="G4654" s="24" t="str">
        <f>IF(OR(E4654="",E4654="!!!"),"",IF(OR(J4654=0,AND(J4654=1,K4654=1),AND(J4654=1,I4654="SBJ"),AND(J4654=1,I4654=0)),"?IN_FOCUS",IF(J4654&lt;=2,"?ACTIVATED",IF(J4654&lt;&gt;"","?FAMILIAR",IF(F4654="NEW",IF(ISNA(VLOOKUP(E4654,#REF!,1,FALSE())),"?TYPE_IDENTIFIABLE","?REFERENTIAL"),"_")))))</f>
        <v> </v>
      </c>
      <c r="H4654" s="25" t="str">
        <f>IF(J4654&lt;&gt;1,"",IF(I4654="SBJ","CB","?"))</f>
        <v> </v>
      </c>
      <c r="I4654" s="26" t="str">
        <f>IF(OR(E4654="",E4654="!!!",F4654="NEW"),"",INDEX(B4653:B$2,-1+SUMPRODUCT(MAX(ROW(E4653:E$2)*(E4654=E4653:E$2)))))</f>
        <v> </v>
      </c>
      <c r="J4654" s="26" t="str">
        <f>IF(OR(E4654="",E4654="!!!",F4654="NEW"),"",COUNTBLANK(OFFSET(A$1,,,SUMPRODUCT(MAX(ROW(E$2:E4654)*(E4654=E$2:E4654)))))-COUNTBLANK(OFFSET(A$1,,,SUMPRODUCT(MAX(ROW(E$1:E4653)*(E2=E$1:E4653))))))</f>
        <v> </v>
      </c>
      <c r="K4654" s="26" t="str">
        <f>IF(OR(E4654="",E4654="!!!",F4654="NEW"),"",INDEX(J$1:J4653,SUMPRODUCT(MAX(ROW(E$1:E4653)*(E4654=E$1:E4653)))))</f>
        <v> </v>
      </c>
      <c r="L4654" s="27"/>
    </row>
    <row r="4655" spans="1:12">
      <c r="A4655" s="20" t="s">
        <v>1348</v>
      </c>
      <c r="E4655" s="22">
        <f>IF(D4655="?OLD","!!!","")</f>
        <v/>
      </c>
      <c r="F4655" s="23" t="str">
        <f>IF(OR(E4655="",E4655="!!!"),"",IF(NOT(ISNA(VLOOKUP(E4655,E$1:E4654,1,FALSE()))),"OLD",IF(AND(E4655&lt;&gt;"",E4655&lt;&gt;"!!!"),"NEW","")))</f>
        <v> </v>
      </c>
      <c r="G4655" s="24" t="str">
        <f>IF(OR(E4655="",E4655="!!!"),"",IF(OR(J4655=0,AND(J4655=1,K4655=1),AND(J4655=1,I4655="SBJ"),AND(J4655=1,I4655=0)),"?IN_FOCUS",IF(J4655&lt;=2,"?ACTIVATED",IF(J4655&lt;&gt;"","?FAMILIAR",IF(F4655="NEW",IF(ISNA(VLOOKUP(E4655,#REF!,1,FALSE())),"?TYPE_IDENTIFIABLE","?REFERENTIAL"),"_")))))</f>
        <v> </v>
      </c>
      <c r="H4655" s="25" t="str">
        <f>IF(J4655&lt;&gt;1,"",IF(I4655="SBJ","CB","?"))</f>
        <v> </v>
      </c>
      <c r="I4655" s="26" t="str">
        <f>IF(OR(E4655="",E4655="!!!",F4655="NEW"),"",INDEX(B4654:B$2,-1+SUMPRODUCT(MAX(ROW(E4654:E$2)*(E4655=E4654:E$2)))))</f>
        <v> </v>
      </c>
      <c r="J4655" s="26" t="str">
        <f>IF(OR(E4655="",E4655="!!!",F4655="NEW"),"",COUNTBLANK(OFFSET(A$1,,,SUMPRODUCT(MAX(ROW(E$2:E4655)*(E4655=E$2:E4655)))))-COUNTBLANK(OFFSET(A$1,,,SUMPRODUCT(MAX(ROW(E$1:E4654)*(E2=E$1:E4654))))))</f>
        <v> </v>
      </c>
      <c r="K4655" s="26" t="str">
        <f>IF(OR(E4655="",E4655="!!!",F4655="NEW"),"",INDEX(J$1:J4654,SUMPRODUCT(MAX(ROW(E$1:E4654)*(E4655=E$1:E4654)))))</f>
        <v> </v>
      </c>
      <c r="L4655" s="27"/>
    </row>
    <row r="4656" spans="1:12">
      <c r="A4656" s="20" t="s">
        <v>2734</v>
      </c>
      <c r="E4656" s="22">
        <f>IF(D4656="?OLD","!!!","")</f>
        <v/>
      </c>
      <c r="F4656" s="23" t="str">
        <f>IF(OR(E4656="",E4656="!!!"),"",IF(NOT(ISNA(VLOOKUP(E4656,E$1:E4655,1,FALSE()))),"OLD",IF(AND(E4656&lt;&gt;"",E4656&lt;&gt;"!!!"),"NEW","")))</f>
        <v> </v>
      </c>
      <c r="G4656" s="24" t="str">
        <f>IF(OR(E4656="",E4656="!!!"),"",IF(OR(J4656=0,AND(J4656=1,K4656=1),AND(J4656=1,I4656="SBJ"),AND(J4656=1,I4656=0)),"?IN_FOCUS",IF(J4656&lt;=2,"?ACTIVATED",IF(J4656&lt;&gt;"","?FAMILIAR",IF(F4656="NEW",IF(ISNA(VLOOKUP(E4656,#REF!,1,FALSE())),"?TYPE_IDENTIFIABLE","?REFERENTIAL"),"_")))))</f>
        <v> </v>
      </c>
      <c r="H4656" s="25" t="str">
        <f>IF(J4656&lt;&gt;1,"",IF(I4656="SBJ","CB","?"))</f>
        <v> </v>
      </c>
      <c r="I4656" s="26" t="str">
        <f>IF(OR(E4656="",E4656="!!!",F4656="NEW"),"",INDEX(B4655:B$2,-1+SUMPRODUCT(MAX(ROW(E4655:E$2)*(E4656=E4655:E$2)))))</f>
        <v> </v>
      </c>
      <c r="J4656" s="26" t="str">
        <f>IF(OR(E4656="",E4656="!!!",F4656="NEW"),"",COUNTBLANK(OFFSET(A$1,,,SUMPRODUCT(MAX(ROW(E$2:E4656)*(E4656=E$2:E4656)))))-COUNTBLANK(OFFSET(A$1,,,SUMPRODUCT(MAX(ROW(E$1:E4655)*(E2=E$1:E4655))))))</f>
        <v> </v>
      </c>
      <c r="K4656" s="26" t="str">
        <f>IF(OR(E4656="",E4656="!!!",F4656="NEW"),"",INDEX(J$1:J4655,SUMPRODUCT(MAX(ROW(E$1:E4655)*(E4656=E$1:E4655)))))</f>
        <v> </v>
      </c>
      <c r="L4656" s="27"/>
    </row>
    <row r="4657" spans="1:12">
      <c r="A4657" s="20" t="s">
        <v>1262</v>
      </c>
      <c r="E4657" s="22">
        <f>IF(D4657="?OLD","!!!","")</f>
        <v/>
      </c>
      <c r="F4657" s="23" t="str">
        <f>IF(OR(E4657="",E4657="!!!"),"",IF(NOT(ISNA(VLOOKUP(E4657,E$1:E4656,1,FALSE()))),"OLD",IF(AND(E4657&lt;&gt;"",E4657&lt;&gt;"!!!"),"NEW","")))</f>
        <v> </v>
      </c>
      <c r="G4657" s="24" t="str">
        <f>IF(OR(E4657="",E4657="!!!"),"",IF(OR(J4657=0,AND(J4657=1,K4657=1),AND(J4657=1,I4657="SBJ"),AND(J4657=1,I4657=0)),"?IN_FOCUS",IF(J4657&lt;=2,"?ACTIVATED",IF(J4657&lt;&gt;"","?FAMILIAR",IF(F4657="NEW",IF(ISNA(VLOOKUP(E4657,#REF!,1,FALSE())),"?TYPE_IDENTIFIABLE","?REFERENTIAL"),"_")))))</f>
        <v> </v>
      </c>
      <c r="H4657" s="25" t="str">
        <f>IF(J4657&lt;&gt;1,"",IF(I4657="SBJ","CB","?"))</f>
        <v> </v>
      </c>
      <c r="I4657" s="26" t="str">
        <f>IF(OR(E4657="",E4657="!!!",F4657="NEW"),"",INDEX(B4656:B$2,-1+SUMPRODUCT(MAX(ROW(E4656:E$2)*(E4657=E4656:E$2)))))</f>
        <v> </v>
      </c>
      <c r="J4657" s="26" t="str">
        <f>IF(OR(E4657="",E4657="!!!",F4657="NEW"),"",COUNTBLANK(OFFSET(A$1,,,SUMPRODUCT(MAX(ROW(E$2:E4657)*(E4657=E$2:E4657)))))-COUNTBLANK(OFFSET(A$1,,,SUMPRODUCT(MAX(ROW(E$1:E4656)*(E2=E$1:E4656))))))</f>
        <v> </v>
      </c>
      <c r="K4657" s="26" t="str">
        <f>IF(OR(E4657="",E4657="!!!",F4657="NEW"),"",INDEX(J$1:J4656,SUMPRODUCT(MAX(ROW(E$1:E4656)*(E4657=E$1:E4656)))))</f>
        <v> </v>
      </c>
      <c r="L4657" s="27"/>
    </row>
    <row r="4658" spans="1:12">
      <c r="A4658" s="20"/>
    </row>
    <row r="4659" spans="1:12">
      <c r="A4659" s="20" t="s">
        <v>2735</v>
      </c>
    </row>
    <row r="4660" spans="1:12">
      <c r="A4660" s="20" t="s">
        <v>1397</v>
      </c>
      <c r="E4660" s="22">
        <f>IF(D4660="?OLD","!!!","")</f>
        <v/>
      </c>
      <c r="F4660" s="23" t="str">
        <f>IF(OR(E4660="",E4660="!!!"),"",IF(NOT(ISNA(VLOOKUP(E4660,E$1:E4659,1,FALSE()))),"OLD",IF(AND(E4660&lt;&gt;"",E4660&lt;&gt;"!!!"),"NEW","")))</f>
        <v> </v>
      </c>
      <c r="G4660" s="24" t="str">
        <f>IF(OR(E4660="",E4660="!!!"),"",IF(OR(J4660=0,AND(J4660=1,K4660=1),AND(J4660=1,I4660="SBJ"),AND(J4660=1,I4660=0)),"?IN_FOCUS",IF(J4660&lt;=2,"?ACTIVATED",IF(J4660&lt;&gt;"","?FAMILIAR",IF(F4660="NEW",IF(ISNA(VLOOKUP(E4660,#REF!,1,FALSE())),"?TYPE_IDENTIFIABLE","?REFERENTIAL"),"_")))))</f>
        <v> </v>
      </c>
      <c r="H4660" s="25" t="str">
        <f>IF(J4660&lt;&gt;1,"",IF(I4660="SBJ","CB","?"))</f>
        <v> </v>
      </c>
      <c r="I4660" s="26" t="str">
        <f>IF(OR(E4660="",E4660="!!!",F4660="NEW"),"",INDEX(B4659:B$2,-1+SUMPRODUCT(MAX(ROW(E4659:E$2)*(E4660=E4659:E$2)))))</f>
        <v> </v>
      </c>
      <c r="J4660" s="26" t="str">
        <f>IF(OR(E4660="",E4660="!!!",F4660="NEW"),"",COUNTBLANK(OFFSET(A$1,,,SUMPRODUCT(MAX(ROW(E$2:E4660)*(E4660=E$2:E4660)))))-COUNTBLANK(OFFSET(A$1,,,SUMPRODUCT(MAX(ROW(E$1:E4659)*(E2=E$1:E4659))))))</f>
        <v> </v>
      </c>
      <c r="K4660" s="26" t="str">
        <f>IF(OR(E4660="",E4660="!!!",F4660="NEW"),"",INDEX(J$1:J4659,SUMPRODUCT(MAX(ROW(E$1:E4659)*(E4660=E$1:E4659)))))</f>
        <v> </v>
      </c>
      <c r="L4660" s="27"/>
    </row>
    <row r="4661" spans="1:12">
      <c r="A4661" s="20" t="s">
        <v>2736</v>
      </c>
      <c r="B4661" s="21" t="s">
        <v>1215</v>
      </c>
      <c r="C4661" s="21" t="s">
        <v>1269</v>
      </c>
      <c r="D4661" s="21" t="s">
        <v>1217</v>
      </c>
      <c r="E4661" s="22">
        <f>IF(D4661="?OLD","!!!","")</f>
        <v/>
      </c>
      <c r="F4661" s="23" t="str">
        <f>IF(OR(E4661="",E4661="!!!"),"",IF(NOT(ISNA(VLOOKUP(E4661,E$1:E4660,1,FALSE()))),"OLD",IF(AND(E4661&lt;&gt;"",E4661&lt;&gt;"!!!"),"NEW","")))</f>
        <v> </v>
      </c>
      <c r="G4661" s="24" t="str">
        <f>IF(OR(E4661="",E4661="!!!"),"",IF(OR(J4661=0,AND(J4661=1,K4661=1),AND(J4661=1,I4661="SBJ"),AND(J4661=1,I4661=0)),"?IN_FOCUS",IF(J4661&lt;=2,"?ACTIVATED",IF(J4661&lt;&gt;"","?FAMILIAR",IF(F4661="NEW",IF(ISNA(VLOOKUP(E4661,#REF!,1,FALSE())),"?TYPE_IDENTIFIABLE","?REFERENTIAL"),"_")))))</f>
        <v> </v>
      </c>
      <c r="H4661" s="25" t="str">
        <f>IF(J4661&lt;&gt;1,"",IF(I4661="SBJ","CB","?"))</f>
        <v> </v>
      </c>
      <c r="I4661" s="26" t="str">
        <f>IF(OR(E4661="",E4661="!!!",F4661="NEW"),"",INDEX(B4660:B$2,-1+SUMPRODUCT(MAX(ROW(E4660:E$2)*(E4661=E4660:E$2)))))</f>
        <v> </v>
      </c>
      <c r="J4661" s="26" t="str">
        <f>IF(OR(E4661="",E4661="!!!",F4661="NEW"),"",COUNTBLANK(OFFSET(A$1,,,SUMPRODUCT(MAX(ROW(E$2:E4661)*(E4661=E$2:E4661)))))-COUNTBLANK(OFFSET(A$1,,,SUMPRODUCT(MAX(ROW(E$1:E4660)*(E2=E$1:E4660))))))</f>
        <v> </v>
      </c>
      <c r="K4661" s="26" t="str">
        <f>IF(OR(E4661="",E4661="!!!",F4661="NEW"),"",INDEX(J$1:J4660,SUMPRODUCT(MAX(ROW(E$1:E4660)*(E4661=E$1:E4660)))))</f>
        <v> </v>
      </c>
      <c r="L4661" s="27"/>
    </row>
    <row r="4662" spans="1:12">
      <c r="A4662" s="20" t="s">
        <v>2737</v>
      </c>
      <c r="E4662" s="22">
        <f>IF(D4662="?OLD","!!!","")</f>
        <v/>
      </c>
      <c r="F4662" s="23" t="str">
        <f>IF(OR(E4662="",E4662="!!!"),"",IF(NOT(ISNA(VLOOKUP(E4662,E$1:E4661,1,FALSE()))),"OLD",IF(AND(E4662&lt;&gt;"",E4662&lt;&gt;"!!!"),"NEW","")))</f>
        <v> </v>
      </c>
      <c r="G4662" s="24" t="str">
        <f>IF(OR(E4662="",E4662="!!!"),"",IF(OR(J4662=0,AND(J4662=1,K4662=1),AND(J4662=1,I4662="SBJ"),AND(J4662=1,I4662=0)),"?IN_FOCUS",IF(J4662&lt;=2,"?ACTIVATED",IF(J4662&lt;&gt;"","?FAMILIAR",IF(F4662="NEW",IF(ISNA(VLOOKUP(E4662,#REF!,1,FALSE())),"?TYPE_IDENTIFIABLE","?REFERENTIAL"),"_")))))</f>
        <v> </v>
      </c>
      <c r="H4662" s="25" t="str">
        <f>IF(J4662&lt;&gt;1,"",IF(I4662="SBJ","CB","?"))</f>
        <v> </v>
      </c>
      <c r="I4662" s="26" t="str">
        <f>IF(OR(E4662="",E4662="!!!",F4662="NEW"),"",INDEX(B4661:B$2,-1+SUMPRODUCT(MAX(ROW(E4661:E$2)*(E4662=E4661:E$2)))))</f>
        <v> </v>
      </c>
      <c r="J4662" s="26" t="str">
        <f>IF(OR(E4662="",E4662="!!!",F4662="NEW"),"",COUNTBLANK(OFFSET(A$1,,,SUMPRODUCT(MAX(ROW(E$2:E4662)*(E4662=E$2:E4662)))))-COUNTBLANK(OFFSET(A$1,,,SUMPRODUCT(MAX(ROW(E$1:E4661)*(E2=E$1:E4661))))))</f>
        <v> </v>
      </c>
      <c r="K4662" s="26" t="str">
        <f>IF(OR(E4662="",E4662="!!!",F4662="NEW"),"",INDEX(J$1:J4661,SUMPRODUCT(MAX(ROW(E$1:E4661)*(E4662=E$1:E4661)))))</f>
        <v> </v>
      </c>
      <c r="L4662" s="27"/>
    </row>
    <row r="4663" spans="1:12">
      <c r="A4663" s="20" t="s">
        <v>1336</v>
      </c>
      <c r="E4663" s="22">
        <f>IF(D4663="?OLD","!!!","")</f>
        <v/>
      </c>
      <c r="F4663" s="23" t="str">
        <f>IF(OR(E4663="",E4663="!!!"),"",IF(NOT(ISNA(VLOOKUP(E4663,E$1:E4662,1,FALSE()))),"OLD",IF(AND(E4663&lt;&gt;"",E4663&lt;&gt;"!!!"),"NEW","")))</f>
        <v> </v>
      </c>
      <c r="G4663" s="24" t="str">
        <f>IF(OR(E4663="",E4663="!!!"),"",IF(OR(J4663=0,AND(J4663=1,K4663=1),AND(J4663=1,I4663="SBJ"),AND(J4663=1,I4663=0)),"?IN_FOCUS",IF(J4663&lt;=2,"?ACTIVATED",IF(J4663&lt;&gt;"","?FAMILIAR",IF(F4663="NEW",IF(ISNA(VLOOKUP(E4663,#REF!,1,FALSE())),"?TYPE_IDENTIFIABLE","?REFERENTIAL"),"_")))))</f>
        <v> </v>
      </c>
      <c r="H4663" s="25" t="str">
        <f>IF(J4663&lt;&gt;1,"",IF(I4663="SBJ","CB","?"))</f>
        <v> </v>
      </c>
      <c r="I4663" s="26" t="str">
        <f>IF(OR(E4663="",E4663="!!!",F4663="NEW"),"",INDEX(B4662:B$2,-1+SUMPRODUCT(MAX(ROW(E4662:E$2)*(E4663=E4662:E$2)))))</f>
        <v> </v>
      </c>
      <c r="J4663" s="26" t="str">
        <f>IF(OR(E4663="",E4663="!!!",F4663="NEW"),"",COUNTBLANK(OFFSET(A$1,,,SUMPRODUCT(MAX(ROW(E$2:E4663)*(E4663=E$2:E4663)))))-COUNTBLANK(OFFSET(A$1,,,SUMPRODUCT(MAX(ROW(E$1:E4662)*(E2=E$1:E4662))))))</f>
        <v> </v>
      </c>
      <c r="K4663" s="26" t="str">
        <f>IF(OR(E4663="",E4663="!!!",F4663="NEW"),"",INDEX(J$1:J4662,SUMPRODUCT(MAX(ROW(E$1:E4662)*(E4663=E$1:E4662)))))</f>
        <v> </v>
      </c>
      <c r="L4663" s="27"/>
    </row>
    <row r="4664" spans="1:12">
      <c r="A4664" s="20" t="s">
        <v>1247</v>
      </c>
      <c r="B4664" s="21" t="s">
        <v>1226</v>
      </c>
      <c r="C4664" s="21" t="s">
        <v>1242</v>
      </c>
      <c r="D4664" s="21" t="s">
        <v>1217</v>
      </c>
      <c r="E4664" s="22">
        <f>IF(D4664="?OLD","!!!","")</f>
        <v/>
      </c>
      <c r="F4664" s="23" t="str">
        <f>IF(OR(E4664="",E4664="!!!"),"",IF(NOT(ISNA(VLOOKUP(E4664,E$1:E4663,1,FALSE()))),"OLD",IF(AND(E4664&lt;&gt;"",E4664&lt;&gt;"!!!"),"NEW","")))</f>
        <v> </v>
      </c>
      <c r="G4664" s="24" t="str">
        <f>IF(OR(E4664="",E4664="!!!"),"",IF(OR(J4664=0,AND(J4664=1,K4664=1),AND(J4664=1,I4664="SBJ"),AND(J4664=1,I4664=0)),"?IN_FOCUS",IF(J4664&lt;=2,"?ACTIVATED",IF(J4664&lt;&gt;"","?FAMILIAR",IF(F4664="NEW",IF(ISNA(VLOOKUP(E4664,#REF!,1,FALSE())),"?TYPE_IDENTIFIABLE","?REFERENTIAL"),"_")))))</f>
        <v> </v>
      </c>
      <c r="H4664" s="25" t="str">
        <f>IF(J4664&lt;&gt;1,"",IF(I4664="SBJ","CB","?"))</f>
        <v> </v>
      </c>
      <c r="I4664" s="26" t="str">
        <f>IF(OR(E4664="",E4664="!!!",F4664="NEW"),"",INDEX(B4663:B$2,-1+SUMPRODUCT(MAX(ROW(E4663:E$2)*(E4664=E4663:E$2)))))</f>
        <v> </v>
      </c>
      <c r="J4664" s="26" t="str">
        <f>IF(OR(E4664="",E4664="!!!",F4664="NEW"),"",COUNTBLANK(OFFSET(A$1,,,SUMPRODUCT(MAX(ROW(E$2:E4664)*(E4664=E$2:E4664)))))-COUNTBLANK(OFFSET(A$1,,,SUMPRODUCT(MAX(ROW(E$1:E4663)*(E2=E$1:E4663))))))</f>
        <v> </v>
      </c>
      <c r="K4664" s="26" t="str">
        <f>IF(OR(E4664="",E4664="!!!",F4664="NEW"),"",INDEX(J$1:J4663,SUMPRODUCT(MAX(ROW(E$1:E4663)*(E4664=E$1:E4663)))))</f>
        <v> </v>
      </c>
      <c r="L4664" s="27"/>
    </row>
    <row r="4665" spans="1:12">
      <c r="A4665" s="20" t="s">
        <v>1410</v>
      </c>
      <c r="B4665" s="21" t="s">
        <v>1224</v>
      </c>
      <c r="C4665" s="21" t="s">
        <v>1222</v>
      </c>
      <c r="D4665" s="21" t="s">
        <v>1217</v>
      </c>
      <c r="E4665" s="22">
        <f>IF(D4665="?OLD","!!!","")</f>
        <v/>
      </c>
      <c r="F4665" s="23" t="str">
        <f>IF(OR(E4665="",E4665="!!!"),"",IF(NOT(ISNA(VLOOKUP(E4665,E$1:E4664,1,FALSE()))),"OLD",IF(AND(E4665&lt;&gt;"",E4665&lt;&gt;"!!!"),"NEW","")))</f>
        <v> </v>
      </c>
      <c r="G4665" s="24" t="str">
        <f>IF(OR(E4665="",E4665="!!!"),"",IF(OR(J4665=0,AND(J4665=1,K4665=1),AND(J4665=1,I4665="SBJ"),AND(J4665=1,I4665=0)),"?IN_FOCUS",IF(J4665&lt;=2,"?ACTIVATED",IF(J4665&lt;&gt;"","?FAMILIAR",IF(F4665="NEW",IF(ISNA(VLOOKUP(E4665,#REF!,1,FALSE())),"?TYPE_IDENTIFIABLE","?REFERENTIAL"),"_")))))</f>
        <v> </v>
      </c>
      <c r="H4665" s="25" t="str">
        <f>IF(J4665&lt;&gt;1,"",IF(I4665="SBJ","CB","?"))</f>
        <v> </v>
      </c>
      <c r="I4665" s="26" t="str">
        <f>IF(OR(E4665="",E4665="!!!",F4665="NEW"),"",INDEX(B4664:B$2,-1+SUMPRODUCT(MAX(ROW(E4664:E$2)*(E4665=E4664:E$2)))))</f>
        <v> </v>
      </c>
      <c r="J4665" s="26" t="str">
        <f>IF(OR(E4665="",E4665="!!!",F4665="NEW"),"",COUNTBLANK(OFFSET(A$1,,,SUMPRODUCT(MAX(ROW(E$2:E4665)*(E4665=E$2:E4665)))))-COUNTBLANK(OFFSET(A$1,,,SUMPRODUCT(MAX(ROW(E$1:E4664)*(E2=E$1:E4664))))))</f>
        <v> </v>
      </c>
      <c r="K4665" s="26" t="str">
        <f>IF(OR(E4665="",E4665="!!!",F4665="NEW"),"",INDEX(J$1:J4664,SUMPRODUCT(MAX(ROW(E$1:E4664)*(E4665=E$1:E4664)))))</f>
        <v> </v>
      </c>
      <c r="L4665" s="27"/>
    </row>
    <row r="4666" spans="1:12">
      <c r="A4666" s="20" t="s">
        <v>1363</v>
      </c>
      <c r="E4666" s="22">
        <f>IF(D4666="?OLD","!!!","")</f>
        <v/>
      </c>
      <c r="F4666" s="23" t="str">
        <f>IF(OR(E4666="",E4666="!!!"),"",IF(NOT(ISNA(VLOOKUP(E4666,E$1:E4665,1,FALSE()))),"OLD",IF(AND(E4666&lt;&gt;"",E4666&lt;&gt;"!!!"),"NEW","")))</f>
        <v> </v>
      </c>
      <c r="G4666" s="24" t="str">
        <f>IF(OR(E4666="",E4666="!!!"),"",IF(OR(J4666=0,AND(J4666=1,K4666=1),AND(J4666=1,I4666="SBJ"),AND(J4666=1,I4666=0)),"?IN_FOCUS",IF(J4666&lt;=2,"?ACTIVATED",IF(J4666&lt;&gt;"","?FAMILIAR",IF(F4666="NEW",IF(ISNA(VLOOKUP(E4666,#REF!,1,FALSE())),"?TYPE_IDENTIFIABLE","?REFERENTIAL"),"_")))))</f>
        <v> </v>
      </c>
      <c r="H4666" s="25" t="str">
        <f>IF(J4666&lt;&gt;1,"",IF(I4666="SBJ","CB","?"))</f>
        <v> </v>
      </c>
      <c r="I4666" s="26" t="str">
        <f>IF(OR(E4666="",E4666="!!!",F4666="NEW"),"",INDEX(B4665:B$2,-1+SUMPRODUCT(MAX(ROW(E4665:E$2)*(E4666=E4665:E$2)))))</f>
        <v> </v>
      </c>
      <c r="J4666" s="26" t="str">
        <f>IF(OR(E4666="",E4666="!!!",F4666="NEW"),"",COUNTBLANK(OFFSET(A$1,,,SUMPRODUCT(MAX(ROW(E$2:E4666)*(E4666=E$2:E4666)))))-COUNTBLANK(OFFSET(A$1,,,SUMPRODUCT(MAX(ROW(E$1:E4665)*(E2=E$1:E4665))))))</f>
        <v> </v>
      </c>
      <c r="K4666" s="26" t="str">
        <f>IF(OR(E4666="",E4666="!!!",F4666="NEW"),"",INDEX(J$1:J4665,SUMPRODUCT(MAX(ROW(E$1:E4665)*(E4666=E$1:E4665)))))</f>
        <v> </v>
      </c>
      <c r="L4666" s="27"/>
    </row>
    <row r="4667" spans="1:12">
      <c r="A4667" s="20" t="s">
        <v>1219</v>
      </c>
      <c r="E4667" s="22">
        <f>IF(D4667="?OLD","!!!","")</f>
        <v/>
      </c>
      <c r="F4667" s="23" t="str">
        <f>IF(OR(E4667="",E4667="!!!"),"",IF(NOT(ISNA(VLOOKUP(E4667,E$1:E4666,1,FALSE()))),"OLD",IF(AND(E4667&lt;&gt;"",E4667&lt;&gt;"!!!"),"NEW","")))</f>
        <v> </v>
      </c>
      <c r="G4667" s="24" t="str">
        <f>IF(OR(E4667="",E4667="!!!"),"",IF(OR(J4667=0,AND(J4667=1,K4667=1),AND(J4667=1,I4667="SBJ"),AND(J4667=1,I4667=0)),"?IN_FOCUS",IF(J4667&lt;=2,"?ACTIVATED",IF(J4667&lt;&gt;"","?FAMILIAR",IF(F4667="NEW",IF(ISNA(VLOOKUP(E4667,#REF!,1,FALSE())),"?TYPE_IDENTIFIABLE","?REFERENTIAL"),"_")))))</f>
        <v> </v>
      </c>
      <c r="H4667" s="25" t="str">
        <f>IF(J4667&lt;&gt;1,"",IF(I4667="SBJ","CB","?"))</f>
        <v> </v>
      </c>
      <c r="I4667" s="26" t="str">
        <f>IF(OR(E4667="",E4667="!!!",F4667="NEW"),"",INDEX(B4666:B$2,-1+SUMPRODUCT(MAX(ROW(E4666:E$2)*(E4667=E4666:E$2)))))</f>
        <v> </v>
      </c>
      <c r="J4667" s="26" t="str">
        <f>IF(OR(E4667="",E4667="!!!",F4667="NEW"),"",COUNTBLANK(OFFSET(A$1,,,SUMPRODUCT(MAX(ROW(E$2:E4667)*(E4667=E$2:E4667)))))-COUNTBLANK(OFFSET(A$1,,,SUMPRODUCT(MAX(ROW(E$1:E4666)*(E2=E$1:E4666))))))</f>
        <v> </v>
      </c>
      <c r="K4667" s="26" t="str">
        <f>IF(OR(E4667="",E4667="!!!",F4667="NEW"),"",INDEX(J$1:J4666,SUMPRODUCT(MAX(ROW(E$1:E4666)*(E4667=E$1:E4666)))))</f>
        <v> </v>
      </c>
      <c r="L4667" s="27"/>
    </row>
    <row r="4668" spans="1:12">
      <c r="A4668" s="20" t="s">
        <v>2384</v>
      </c>
      <c r="B4668" s="21" t="s">
        <v>1224</v>
      </c>
      <c r="C4668" s="21" t="s">
        <v>1222</v>
      </c>
      <c r="D4668" s="21" t="s">
        <v>1217</v>
      </c>
      <c r="E4668" s="22">
        <f>IF(D4668="?OLD","!!!","")</f>
        <v/>
      </c>
      <c r="F4668" s="23" t="str">
        <f>IF(OR(E4668="",E4668="!!!"),"",IF(NOT(ISNA(VLOOKUP(E4668,E$1:E4667,1,FALSE()))),"OLD",IF(AND(E4668&lt;&gt;"",E4668&lt;&gt;"!!!"),"NEW","")))</f>
        <v> </v>
      </c>
      <c r="G4668" s="24" t="str">
        <f>IF(OR(E4668="",E4668="!!!"),"",IF(OR(J4668=0,AND(J4668=1,K4668=1),AND(J4668=1,I4668="SBJ"),AND(J4668=1,I4668=0)),"?IN_FOCUS",IF(J4668&lt;=2,"?ACTIVATED",IF(J4668&lt;&gt;"","?FAMILIAR",IF(F4668="NEW",IF(ISNA(VLOOKUP(E4668,#REF!,1,FALSE())),"?TYPE_IDENTIFIABLE","?REFERENTIAL"),"_")))))</f>
        <v> </v>
      </c>
      <c r="H4668" s="25" t="str">
        <f>IF(J4668&lt;&gt;1,"",IF(I4668="SBJ","CB","?"))</f>
        <v> </v>
      </c>
      <c r="I4668" s="26" t="str">
        <f>IF(OR(E4668="",E4668="!!!",F4668="NEW"),"",INDEX(B4667:B$2,-1+SUMPRODUCT(MAX(ROW(E4667:E$2)*(E4668=E4667:E$2)))))</f>
        <v> </v>
      </c>
      <c r="J4668" s="26" t="str">
        <f>IF(OR(E4668="",E4668="!!!",F4668="NEW"),"",COUNTBLANK(OFFSET(A$1,,,SUMPRODUCT(MAX(ROW(E$2:E4668)*(E4668=E$2:E4668)))))-COUNTBLANK(OFFSET(A$1,,,SUMPRODUCT(MAX(ROW(E$1:E4667)*(E2=E$1:E4667))))))</f>
        <v> </v>
      </c>
      <c r="K4668" s="26" t="str">
        <f>IF(OR(E4668="",E4668="!!!",F4668="NEW"),"",INDEX(J$1:J4667,SUMPRODUCT(MAX(ROW(E$1:E4667)*(E4668=E$1:E4667)))))</f>
        <v> </v>
      </c>
      <c r="L4668" s="27"/>
    </row>
    <row r="4669" spans="1:12">
      <c r="A4669" s="20" t="s">
        <v>1218</v>
      </c>
      <c r="E4669" s="22">
        <f>IF(D4669="?OLD","!!!","")</f>
        <v/>
      </c>
      <c r="F4669" s="23" t="str">
        <f>IF(OR(E4669="",E4669="!!!"),"",IF(NOT(ISNA(VLOOKUP(E4669,E$1:E4668,1,FALSE()))),"OLD",IF(AND(E4669&lt;&gt;"",E4669&lt;&gt;"!!!"),"NEW","")))</f>
        <v> </v>
      </c>
      <c r="G4669" s="24" t="str">
        <f>IF(OR(E4669="",E4669="!!!"),"",IF(OR(J4669=0,AND(J4669=1,K4669=1),AND(J4669=1,I4669="SBJ"),AND(J4669=1,I4669=0)),"?IN_FOCUS",IF(J4669&lt;=2,"?ACTIVATED",IF(J4669&lt;&gt;"","?FAMILIAR",IF(F4669="NEW",IF(ISNA(VLOOKUP(E4669,#REF!,1,FALSE())),"?TYPE_IDENTIFIABLE","?REFERENTIAL"),"_")))))</f>
        <v> </v>
      </c>
      <c r="H4669" s="25" t="str">
        <f>IF(J4669&lt;&gt;1,"",IF(I4669="SBJ","CB","?"))</f>
        <v> </v>
      </c>
      <c r="I4669" s="26" t="str">
        <f>IF(OR(E4669="",E4669="!!!",F4669="NEW"),"",INDEX(B4668:B$2,-1+SUMPRODUCT(MAX(ROW(E4668:E$2)*(E4669=E4668:E$2)))))</f>
        <v> </v>
      </c>
      <c r="J4669" s="26" t="str">
        <f>IF(OR(E4669="",E4669="!!!",F4669="NEW"),"",COUNTBLANK(OFFSET(A$1,,,SUMPRODUCT(MAX(ROW(E$2:E4669)*(E4669=E$2:E4669)))))-COUNTBLANK(OFFSET(A$1,,,SUMPRODUCT(MAX(ROW(E$1:E4668)*(E2=E$1:E4668))))))</f>
        <v> </v>
      </c>
      <c r="K4669" s="26" t="str">
        <f>IF(OR(E4669="",E4669="!!!",F4669="NEW"),"",INDEX(J$1:J4668,SUMPRODUCT(MAX(ROW(E$1:E4668)*(E4669=E$1:E4668)))))</f>
        <v> </v>
      </c>
      <c r="L4669" s="27"/>
    </row>
    <row r="4670" spans="1:12">
      <c r="A4670" s="20" t="s">
        <v>1273</v>
      </c>
      <c r="E4670" s="22">
        <f>IF(D4670="?OLD","!!!","")</f>
        <v/>
      </c>
      <c r="F4670" s="23" t="str">
        <f>IF(OR(E4670="",E4670="!!!"),"",IF(NOT(ISNA(VLOOKUP(E4670,E$1:E4669,1,FALSE()))),"OLD",IF(AND(E4670&lt;&gt;"",E4670&lt;&gt;"!!!"),"NEW","")))</f>
        <v> </v>
      </c>
      <c r="G4670" s="24" t="str">
        <f>IF(OR(E4670="",E4670="!!!"),"",IF(OR(J4670=0,AND(J4670=1,K4670=1),AND(J4670=1,I4670="SBJ"),AND(J4670=1,I4670=0)),"?IN_FOCUS",IF(J4670&lt;=2,"?ACTIVATED",IF(J4670&lt;&gt;"","?FAMILIAR",IF(F4670="NEW",IF(ISNA(VLOOKUP(E4670,#REF!,1,FALSE())),"?TYPE_IDENTIFIABLE","?REFERENTIAL"),"_")))))</f>
        <v> </v>
      </c>
      <c r="H4670" s="25" t="str">
        <f>IF(J4670&lt;&gt;1,"",IF(I4670="SBJ","CB","?"))</f>
        <v> </v>
      </c>
      <c r="I4670" s="26" t="str">
        <f>IF(OR(E4670="",E4670="!!!",F4670="NEW"),"",INDEX(B4669:B$2,-1+SUMPRODUCT(MAX(ROW(E4669:E$2)*(E4670=E4669:E$2)))))</f>
        <v> </v>
      </c>
      <c r="J4670" s="26" t="str">
        <f>IF(OR(E4670="",E4670="!!!",F4670="NEW"),"",COUNTBLANK(OFFSET(A$1,,,SUMPRODUCT(MAX(ROW(E$2:E4670)*(E4670=E$2:E4670)))))-COUNTBLANK(OFFSET(A$1,,,SUMPRODUCT(MAX(ROW(E$1:E4669)*(E2=E$1:E4669))))))</f>
        <v> </v>
      </c>
      <c r="K4670" s="26" t="str">
        <f>IF(OR(E4670="",E4670="!!!",F4670="NEW"),"",INDEX(J$1:J4669,SUMPRODUCT(MAX(ROW(E$1:E4669)*(E4670=E$1:E4669)))))</f>
        <v> </v>
      </c>
      <c r="L4670" s="27"/>
    </row>
    <row r="4671" spans="1:12">
      <c r="A4671" s="20" t="s">
        <v>1839</v>
      </c>
      <c r="B4671" s="21" t="s">
        <v>1226</v>
      </c>
      <c r="C4671" s="21" t="s">
        <v>1276</v>
      </c>
      <c r="D4671" s="21" t="s">
        <v>1217</v>
      </c>
      <c r="E4671" s="22">
        <f>IF(D4671="?OLD","!!!","")</f>
        <v/>
      </c>
      <c r="F4671" s="23" t="str">
        <f>IF(OR(E4671="",E4671="!!!"),"",IF(NOT(ISNA(VLOOKUP(E4671,E$1:E4670,1,FALSE()))),"OLD",IF(AND(E4671&lt;&gt;"",E4671&lt;&gt;"!!!"),"NEW","")))</f>
        <v> </v>
      </c>
      <c r="G4671" s="24" t="str">
        <f>IF(OR(E4671="",E4671="!!!"),"",IF(OR(J4671=0,AND(J4671=1,K4671=1),AND(J4671=1,I4671="SBJ"),AND(J4671=1,I4671=0)),"?IN_FOCUS",IF(J4671&lt;=2,"?ACTIVATED",IF(J4671&lt;&gt;"","?FAMILIAR",IF(F4671="NEW",IF(ISNA(VLOOKUP(E4671,#REF!,1,FALSE())),"?TYPE_IDENTIFIABLE","?REFERENTIAL"),"_")))))</f>
        <v> </v>
      </c>
      <c r="H4671" s="25" t="str">
        <f>IF(J4671&lt;&gt;1,"",IF(I4671="SBJ","CB","?"))</f>
        <v> </v>
      </c>
      <c r="I4671" s="26" t="str">
        <f>IF(OR(E4671="",E4671="!!!",F4671="NEW"),"",INDEX(B4670:B$2,-1+SUMPRODUCT(MAX(ROW(E4670:E$2)*(E4671=E4670:E$2)))))</f>
        <v> </v>
      </c>
      <c r="J4671" s="26" t="str">
        <f>IF(OR(E4671="",E4671="!!!",F4671="NEW"),"",COUNTBLANK(OFFSET(A$1,,,SUMPRODUCT(MAX(ROW(E$2:E4671)*(E4671=E$2:E4671)))))-COUNTBLANK(OFFSET(A$1,,,SUMPRODUCT(MAX(ROW(E$1:E4670)*(E2=E$1:E4670))))))</f>
        <v> </v>
      </c>
      <c r="K4671" s="26" t="str">
        <f>IF(OR(E4671="",E4671="!!!",F4671="NEW"),"",INDEX(J$1:J4670,SUMPRODUCT(MAX(ROW(E$1:E4670)*(E4671=E$1:E4670)))))</f>
        <v> </v>
      </c>
      <c r="L4671" s="27"/>
    </row>
    <row r="4672" spans="1:12">
      <c r="A4672" s="20" t="s">
        <v>2738</v>
      </c>
      <c r="E4672" s="22">
        <f>IF(D4672="?OLD","!!!","")</f>
        <v/>
      </c>
      <c r="F4672" s="23" t="str">
        <f>IF(OR(E4672="",E4672="!!!"),"",IF(NOT(ISNA(VLOOKUP(E4672,E$1:E4671,1,FALSE()))),"OLD",IF(AND(E4672&lt;&gt;"",E4672&lt;&gt;"!!!"),"NEW","")))</f>
        <v> </v>
      </c>
      <c r="G4672" s="24" t="str">
        <f>IF(OR(E4672="",E4672="!!!"),"",IF(OR(J4672=0,AND(J4672=1,K4672=1),AND(J4672=1,I4672="SBJ"),AND(J4672=1,I4672=0)),"?IN_FOCUS",IF(J4672&lt;=2,"?ACTIVATED",IF(J4672&lt;&gt;"","?FAMILIAR",IF(F4672="NEW",IF(ISNA(VLOOKUP(E4672,#REF!,1,FALSE())),"?TYPE_IDENTIFIABLE","?REFERENTIAL"),"_")))))</f>
        <v> </v>
      </c>
      <c r="H4672" s="25" t="str">
        <f>IF(J4672&lt;&gt;1,"",IF(I4672="SBJ","CB","?"))</f>
        <v> </v>
      </c>
      <c r="I4672" s="26" t="str">
        <f>IF(OR(E4672="",E4672="!!!",F4672="NEW"),"",INDEX(B4671:B$2,-1+SUMPRODUCT(MAX(ROW(E4671:E$2)*(E4672=E4671:E$2)))))</f>
        <v> </v>
      </c>
      <c r="J4672" s="26" t="str">
        <f>IF(OR(E4672="",E4672="!!!",F4672="NEW"),"",COUNTBLANK(OFFSET(A$1,,,SUMPRODUCT(MAX(ROW(E$2:E4672)*(E4672=E$2:E4672)))))-COUNTBLANK(OFFSET(A$1,,,SUMPRODUCT(MAX(ROW(E$1:E4671)*(E2=E$1:E4671))))))</f>
        <v> </v>
      </c>
      <c r="K4672" s="26" t="str">
        <f>IF(OR(E4672="",E4672="!!!",F4672="NEW"),"",INDEX(J$1:J4671,SUMPRODUCT(MAX(ROW(E$1:E4671)*(E4672=E$1:E4671)))))</f>
        <v> </v>
      </c>
      <c r="L4672" s="27"/>
    </row>
    <row r="4673" spans="1:12">
      <c r="A4673" s="20" t="s">
        <v>1471</v>
      </c>
      <c r="E4673" s="22">
        <f>IF(D4673="?OLD","!!!","")</f>
        <v/>
      </c>
      <c r="F4673" s="23" t="str">
        <f>IF(OR(E4673="",E4673="!!!"),"",IF(NOT(ISNA(VLOOKUP(E4673,E$1:E4672,1,FALSE()))),"OLD",IF(AND(E4673&lt;&gt;"",E4673&lt;&gt;"!!!"),"NEW","")))</f>
        <v> </v>
      </c>
      <c r="G4673" s="24" t="str">
        <f>IF(OR(E4673="",E4673="!!!"),"",IF(OR(J4673=0,AND(J4673=1,K4673=1),AND(J4673=1,I4673="SBJ"),AND(J4673=1,I4673=0)),"?IN_FOCUS",IF(J4673&lt;=2,"?ACTIVATED",IF(J4673&lt;&gt;"","?FAMILIAR",IF(F4673="NEW",IF(ISNA(VLOOKUP(E4673,#REF!,1,FALSE())),"?TYPE_IDENTIFIABLE","?REFERENTIAL"),"_")))))</f>
        <v> </v>
      </c>
      <c r="H4673" s="25" t="str">
        <f>IF(J4673&lt;&gt;1,"",IF(I4673="SBJ","CB","?"))</f>
        <v> </v>
      </c>
      <c r="I4673" s="26" t="str">
        <f>IF(OR(E4673="",E4673="!!!",F4673="NEW"),"",INDEX(B4672:B$2,-1+SUMPRODUCT(MAX(ROW(E4672:E$2)*(E4673=E4672:E$2)))))</f>
        <v> </v>
      </c>
      <c r="J4673" s="26" t="str">
        <f>IF(OR(E4673="",E4673="!!!",F4673="NEW"),"",COUNTBLANK(OFFSET(A$1,,,SUMPRODUCT(MAX(ROW(E$2:E4673)*(E4673=E$2:E4673)))))-COUNTBLANK(OFFSET(A$1,,,SUMPRODUCT(MAX(ROW(E$1:E4672)*(E2=E$1:E4672))))))</f>
        <v> </v>
      </c>
      <c r="K4673" s="26" t="str">
        <f>IF(OR(E4673="",E4673="!!!",F4673="NEW"),"",INDEX(J$1:J4672,SUMPRODUCT(MAX(ROW(E$1:E4672)*(E4673=E$1:E4672)))))</f>
        <v> </v>
      </c>
      <c r="L4673" s="27"/>
    </row>
    <row r="4674" spans="1:12">
      <c r="A4674" s="20" t="s">
        <v>2739</v>
      </c>
      <c r="B4674" s="21" t="s">
        <v>1275</v>
      </c>
      <c r="C4674" s="21" t="s">
        <v>1238</v>
      </c>
      <c r="E4674" s="22">
        <f>IF(D4674="?OLD","!!!","")</f>
        <v/>
      </c>
      <c r="F4674" s="23" t="str">
        <f>IF(OR(E4674="",E4674="!!!"),"",IF(NOT(ISNA(VLOOKUP(E4674,E$1:E4673,1,FALSE()))),"OLD",IF(AND(E4674&lt;&gt;"",E4674&lt;&gt;"!!!"),"NEW","")))</f>
        <v> </v>
      </c>
      <c r="G4674" s="24" t="str">
        <f>IF(OR(E4674="",E4674="!!!"),"",IF(OR(J4674=0,AND(J4674=1,K4674=1),AND(J4674=1,I4674="SBJ"),AND(J4674=1,I4674=0)),"?IN_FOCUS",IF(J4674&lt;=2,"?ACTIVATED",IF(J4674&lt;&gt;"","?FAMILIAR",IF(F4674="NEW",IF(ISNA(VLOOKUP(E4674,#REF!,1,FALSE())),"?TYPE_IDENTIFIABLE","?REFERENTIAL"),"_")))))</f>
        <v> </v>
      </c>
      <c r="H4674" s="25" t="str">
        <f>IF(J4674&lt;&gt;1,"",IF(I4674="SBJ","CB","?"))</f>
        <v> </v>
      </c>
      <c r="I4674" s="26" t="str">
        <f>IF(OR(E4674="",E4674="!!!",F4674="NEW"),"",INDEX(B4673:B$2,-1+SUMPRODUCT(MAX(ROW(E4673:E$2)*(E4674=E4673:E$2)))))</f>
        <v> </v>
      </c>
      <c r="J4674" s="26" t="str">
        <f>IF(OR(E4674="",E4674="!!!",F4674="NEW"),"",COUNTBLANK(OFFSET(A$1,,,SUMPRODUCT(MAX(ROW(E$2:E4674)*(E4674=E$2:E4674)))))-COUNTBLANK(OFFSET(A$1,,,SUMPRODUCT(MAX(ROW(E$1:E4673)*(E2=E$1:E4673))))))</f>
        <v> </v>
      </c>
      <c r="K4674" s="26" t="str">
        <f>IF(OR(E4674="",E4674="!!!",F4674="NEW"),"",INDEX(J$1:J4673,SUMPRODUCT(MAX(ROW(E$1:E4673)*(E4674=E$1:E4673)))))</f>
        <v> </v>
      </c>
      <c r="L4674" s="27"/>
    </row>
    <row r="4675" spans="1:12">
      <c r="A4675" s="20" t="s">
        <v>2740</v>
      </c>
      <c r="E4675" s="22">
        <f>IF(D4675="?OLD","!!!","")</f>
        <v/>
      </c>
      <c r="F4675" s="23" t="str">
        <f>IF(OR(E4675="",E4675="!!!"),"",IF(NOT(ISNA(VLOOKUP(E4675,E$1:E4674,1,FALSE()))),"OLD",IF(AND(E4675&lt;&gt;"",E4675&lt;&gt;"!!!"),"NEW","")))</f>
        <v> </v>
      </c>
      <c r="G4675" s="24" t="str">
        <f>IF(OR(E4675="",E4675="!!!"),"",IF(OR(J4675=0,AND(J4675=1,K4675=1),AND(J4675=1,I4675="SBJ"),AND(J4675=1,I4675=0)),"?IN_FOCUS",IF(J4675&lt;=2,"?ACTIVATED",IF(J4675&lt;&gt;"","?FAMILIAR",IF(F4675="NEW",IF(ISNA(VLOOKUP(E4675,#REF!,1,FALSE())),"?TYPE_IDENTIFIABLE","?REFERENTIAL"),"_")))))</f>
        <v> </v>
      </c>
      <c r="H4675" s="25" t="str">
        <f>IF(J4675&lt;&gt;1,"",IF(I4675="SBJ","CB","?"))</f>
        <v> </v>
      </c>
      <c r="I4675" s="26" t="str">
        <f>IF(OR(E4675="",E4675="!!!",F4675="NEW"),"",INDEX(B4674:B$2,-1+SUMPRODUCT(MAX(ROW(E4674:E$2)*(E4675=E4674:E$2)))))</f>
        <v> </v>
      </c>
      <c r="J4675" s="26" t="str">
        <f>IF(OR(E4675="",E4675="!!!",F4675="NEW"),"",COUNTBLANK(OFFSET(A$1,,,SUMPRODUCT(MAX(ROW(E$2:E4675)*(E4675=E$2:E4675)))))-COUNTBLANK(OFFSET(A$1,,,SUMPRODUCT(MAX(ROW(E$1:E4674)*(E2=E$1:E4674))))))</f>
        <v> </v>
      </c>
      <c r="K4675" s="26" t="str">
        <f>IF(OR(E4675="",E4675="!!!",F4675="NEW"),"",INDEX(J$1:J4674,SUMPRODUCT(MAX(ROW(E$1:E4674)*(E4675=E$1:E4674)))))</f>
        <v> </v>
      </c>
      <c r="L4675" s="27"/>
    </row>
    <row r="4676" spans="1:12">
      <c r="A4676" s="20" t="s">
        <v>1262</v>
      </c>
      <c r="E4676" s="22">
        <f>IF(D4676="?OLD","!!!","")</f>
        <v/>
      </c>
      <c r="F4676" s="23" t="str">
        <f>IF(OR(E4676="",E4676="!!!"),"",IF(NOT(ISNA(VLOOKUP(E4676,E$1:E4675,1,FALSE()))),"OLD",IF(AND(E4676&lt;&gt;"",E4676&lt;&gt;"!!!"),"NEW","")))</f>
        <v> </v>
      </c>
      <c r="G4676" s="24" t="str">
        <f>IF(OR(E4676="",E4676="!!!"),"",IF(OR(J4676=0,AND(J4676=1,K4676=1),AND(J4676=1,I4676="SBJ"),AND(J4676=1,I4676=0)),"?IN_FOCUS",IF(J4676&lt;=2,"?ACTIVATED",IF(J4676&lt;&gt;"","?FAMILIAR",IF(F4676="NEW",IF(ISNA(VLOOKUP(E4676,#REF!,1,FALSE())),"?TYPE_IDENTIFIABLE","?REFERENTIAL"),"_")))))</f>
        <v> </v>
      </c>
      <c r="H4676" s="25" t="str">
        <f>IF(J4676&lt;&gt;1,"",IF(I4676="SBJ","CB","?"))</f>
        <v> </v>
      </c>
      <c r="I4676" s="26" t="str">
        <f>IF(OR(E4676="",E4676="!!!",F4676="NEW"),"",INDEX(B4675:B$2,-1+SUMPRODUCT(MAX(ROW(E4675:E$2)*(E4676=E4675:E$2)))))</f>
        <v> </v>
      </c>
      <c r="J4676" s="26" t="str">
        <f>IF(OR(E4676="",E4676="!!!",F4676="NEW"),"",COUNTBLANK(OFFSET(A$1,,,SUMPRODUCT(MAX(ROW(E$2:E4676)*(E4676=E$2:E4676)))))-COUNTBLANK(OFFSET(A$1,,,SUMPRODUCT(MAX(ROW(E$1:E4675)*(E2=E$1:E4675))))))</f>
        <v> </v>
      </c>
      <c r="K4676" s="26" t="str">
        <f>IF(OR(E4676="",E4676="!!!",F4676="NEW"),"",INDEX(J$1:J4675,SUMPRODUCT(MAX(ROW(E$1:E4675)*(E4676=E$1:E4675)))))</f>
        <v> </v>
      </c>
      <c r="L4676" s="27"/>
    </row>
    <row r="4677" spans="1:12">
      <c r="A4677" s="20"/>
    </row>
    <row r="4678" spans="1:12">
      <c r="A4678" s="20" t="s">
        <v>2741</v>
      </c>
    </row>
    <row r="4679" spans="1:12">
      <c r="A4679" s="20" t="s">
        <v>1299</v>
      </c>
      <c r="E4679" s="22">
        <f>IF(D4679="?OLD","!!!","")</f>
        <v/>
      </c>
      <c r="F4679" s="23" t="str">
        <f>IF(OR(E4679="",E4679="!!!"),"",IF(NOT(ISNA(VLOOKUP(E4679,E$1:E4678,1,FALSE()))),"OLD",IF(AND(E4679&lt;&gt;"",E4679&lt;&gt;"!!!"),"NEW","")))</f>
        <v> </v>
      </c>
      <c r="G4679" s="24" t="str">
        <f>IF(OR(E4679="",E4679="!!!"),"",IF(OR(J4679=0,AND(J4679=1,K4679=1),AND(J4679=1,I4679="SBJ"),AND(J4679=1,I4679=0)),"?IN_FOCUS",IF(J4679&lt;=2,"?ACTIVATED",IF(J4679&lt;&gt;"","?FAMILIAR",IF(F4679="NEW",IF(ISNA(VLOOKUP(E4679,#REF!,1,FALSE())),"?TYPE_IDENTIFIABLE","?REFERENTIAL"),"_")))))</f>
        <v> </v>
      </c>
      <c r="H4679" s="25" t="str">
        <f>IF(J4679&lt;&gt;1,"",IF(I4679="SBJ","CB","?"))</f>
        <v> </v>
      </c>
      <c r="I4679" s="26" t="str">
        <f>IF(OR(E4679="",E4679="!!!",F4679="NEW"),"",INDEX(B4678:B$2,-1+SUMPRODUCT(MAX(ROW(E4678:E$2)*(E4679=E4678:E$2)))))</f>
        <v> </v>
      </c>
      <c r="J4679" s="26" t="str">
        <f>IF(OR(E4679="",E4679="!!!",F4679="NEW"),"",COUNTBLANK(OFFSET(A$1,,,SUMPRODUCT(MAX(ROW(E$2:E4679)*(E4679=E$2:E4679)))))-COUNTBLANK(OFFSET(A$1,,,SUMPRODUCT(MAX(ROW(E$1:E4678)*(E2=E$1:E4678))))))</f>
        <v> </v>
      </c>
      <c r="K4679" s="26" t="str">
        <f>IF(OR(E4679="",E4679="!!!",F4679="NEW"),"",INDEX(J$1:J4678,SUMPRODUCT(MAX(ROW(E$1:E4678)*(E4679=E$1:E4678)))))</f>
        <v> </v>
      </c>
      <c r="L4679" s="27"/>
    </row>
    <row r="4680" spans="1:12">
      <c r="A4680" s="20" t="s">
        <v>2742</v>
      </c>
      <c r="B4680" s="21" t="s">
        <v>1215</v>
      </c>
      <c r="C4680" s="21" t="s">
        <v>1269</v>
      </c>
      <c r="D4680" s="21" t="s">
        <v>1217</v>
      </c>
      <c r="E4680" s="22">
        <f>IF(D4680="?OLD","!!!","")</f>
        <v/>
      </c>
      <c r="F4680" s="23" t="str">
        <f>IF(OR(E4680="",E4680="!!!"),"",IF(NOT(ISNA(VLOOKUP(E4680,E$1:E4679,1,FALSE()))),"OLD",IF(AND(E4680&lt;&gt;"",E4680&lt;&gt;"!!!"),"NEW","")))</f>
        <v> </v>
      </c>
      <c r="G4680" s="24" t="str">
        <f>IF(OR(E4680="",E4680="!!!"),"",IF(OR(J4680=0,AND(J4680=1,K4680=1),AND(J4680=1,I4680="SBJ"),AND(J4680=1,I4680=0)),"?IN_FOCUS",IF(J4680&lt;=2,"?ACTIVATED",IF(J4680&lt;&gt;"","?FAMILIAR",IF(F4680="NEW",IF(ISNA(VLOOKUP(E4680,#REF!,1,FALSE())),"?TYPE_IDENTIFIABLE","?REFERENTIAL"),"_")))))</f>
        <v> </v>
      </c>
      <c r="H4680" s="25" t="str">
        <f>IF(J4680&lt;&gt;1,"",IF(I4680="SBJ","CB","?"))</f>
        <v> </v>
      </c>
      <c r="I4680" s="26" t="str">
        <f>IF(OR(E4680="",E4680="!!!",F4680="NEW"),"",INDEX(B4679:B$2,-1+SUMPRODUCT(MAX(ROW(E4679:E$2)*(E4680=E4679:E$2)))))</f>
        <v> </v>
      </c>
      <c r="J4680" s="26" t="str">
        <f>IF(OR(E4680="",E4680="!!!",F4680="NEW"),"",COUNTBLANK(OFFSET(A$1,,,SUMPRODUCT(MAX(ROW(E$2:E4680)*(E4680=E$2:E4680)))))-COUNTBLANK(OFFSET(A$1,,,SUMPRODUCT(MAX(ROW(E$1:E4679)*(E2=E$1:E4679))))))</f>
        <v> </v>
      </c>
      <c r="K4680" s="26" t="str">
        <f>IF(OR(E4680="",E4680="!!!",F4680="NEW"),"",INDEX(J$1:J4679,SUMPRODUCT(MAX(ROW(E$1:E4679)*(E4680=E$1:E4679)))))</f>
        <v> </v>
      </c>
      <c r="L4680" s="27"/>
    </row>
    <row r="4681" spans="1:12">
      <c r="A4681" s="20" t="s">
        <v>2743</v>
      </c>
      <c r="B4681" s="21" t="s">
        <v>1221</v>
      </c>
      <c r="C4681" s="21" t="s">
        <v>1225</v>
      </c>
      <c r="D4681" s="21" t="s">
        <v>1217</v>
      </c>
      <c r="E4681" s="22">
        <f>IF(D4681="?OLD","!!!","")</f>
        <v/>
      </c>
      <c r="F4681" s="23" t="str">
        <f>IF(OR(E4681="",E4681="!!!"),"",IF(NOT(ISNA(VLOOKUP(E4681,E$1:E4680,1,FALSE()))),"OLD",IF(AND(E4681&lt;&gt;"",E4681&lt;&gt;"!!!"),"NEW","")))</f>
        <v> </v>
      </c>
      <c r="G4681" s="24" t="str">
        <f>IF(OR(E4681="",E4681="!!!"),"",IF(OR(J4681=0,AND(J4681=1,K4681=1),AND(J4681=1,I4681="SBJ"),AND(J4681=1,I4681=0)),"?IN_FOCUS",IF(J4681&lt;=2,"?ACTIVATED",IF(J4681&lt;&gt;"","?FAMILIAR",IF(F4681="NEW",IF(ISNA(VLOOKUP(E4681,#REF!,1,FALSE())),"?TYPE_IDENTIFIABLE","?REFERENTIAL"),"_")))))</f>
        <v> </v>
      </c>
      <c r="H4681" s="25" t="str">
        <f>IF(J4681&lt;&gt;1,"",IF(I4681="SBJ","CB","?"))</f>
        <v> </v>
      </c>
      <c r="I4681" s="26" t="str">
        <f>IF(OR(E4681="",E4681="!!!",F4681="NEW"),"",INDEX(B4680:B$2,-1+SUMPRODUCT(MAX(ROW(E4680:E$2)*(E4681=E4680:E$2)))))</f>
        <v> </v>
      </c>
      <c r="J4681" s="26" t="str">
        <f>IF(OR(E4681="",E4681="!!!",F4681="NEW"),"",COUNTBLANK(OFFSET(A$1,,,SUMPRODUCT(MAX(ROW(E$2:E4681)*(E4681=E$2:E4681)))))-COUNTBLANK(OFFSET(A$1,,,SUMPRODUCT(MAX(ROW(E$1:E4680)*(E2=E$1:E4680))))))</f>
        <v> </v>
      </c>
      <c r="K4681" s="26" t="str">
        <f>IF(OR(E4681="",E4681="!!!",F4681="NEW"),"",INDEX(J$1:J4680,SUMPRODUCT(MAX(ROW(E$1:E4680)*(E4681=E$1:E4680)))))</f>
        <v> </v>
      </c>
      <c r="L4681" s="27"/>
    </row>
    <row r="4682" spans="1:12">
      <c r="A4682" s="20" t="s">
        <v>1277</v>
      </c>
      <c r="E4682" s="22">
        <f>IF(D4682="?OLD","!!!","")</f>
        <v/>
      </c>
      <c r="F4682" s="23" t="str">
        <f>IF(OR(E4682="",E4682="!!!"),"",IF(NOT(ISNA(VLOOKUP(E4682,E$1:E4681,1,FALSE()))),"OLD",IF(AND(E4682&lt;&gt;"",E4682&lt;&gt;"!!!"),"NEW","")))</f>
        <v> </v>
      </c>
      <c r="G4682" s="24" t="str">
        <f>IF(OR(E4682="",E4682="!!!"),"",IF(OR(J4682=0,AND(J4682=1,K4682=1),AND(J4682=1,I4682="SBJ"),AND(J4682=1,I4682=0)),"?IN_FOCUS",IF(J4682&lt;=2,"?ACTIVATED",IF(J4682&lt;&gt;"","?FAMILIAR",IF(F4682="NEW",IF(ISNA(VLOOKUP(E4682,#REF!,1,FALSE())),"?TYPE_IDENTIFIABLE","?REFERENTIAL"),"_")))))</f>
        <v> </v>
      </c>
      <c r="H4682" s="25" t="str">
        <f>IF(J4682&lt;&gt;1,"",IF(I4682="SBJ","CB","?"))</f>
        <v> </v>
      </c>
      <c r="I4682" s="26" t="str">
        <f>IF(OR(E4682="",E4682="!!!",F4682="NEW"),"",INDEX(B4681:B$2,-1+SUMPRODUCT(MAX(ROW(E4681:E$2)*(E4682=E4681:E$2)))))</f>
        <v> </v>
      </c>
      <c r="J4682" s="26" t="str">
        <f>IF(OR(E4682="",E4682="!!!",F4682="NEW"),"",COUNTBLANK(OFFSET(A$1,,,SUMPRODUCT(MAX(ROW(E$2:E4682)*(E4682=E$2:E4682)))))-COUNTBLANK(OFFSET(A$1,,,SUMPRODUCT(MAX(ROW(E$1:E4681)*(E2=E$1:E4681))))))</f>
        <v> </v>
      </c>
      <c r="K4682" s="26" t="str">
        <f>IF(OR(E4682="",E4682="!!!",F4682="NEW"),"",INDEX(J$1:J4681,SUMPRODUCT(MAX(ROW(E$1:E4681)*(E4682=E$1:E4681)))))</f>
        <v> </v>
      </c>
      <c r="L4682" s="27"/>
    </row>
    <row r="4683" spans="1:12">
      <c r="A4683" s="20" t="s">
        <v>2744</v>
      </c>
      <c r="E4683" s="22">
        <f>IF(D4683="?OLD","!!!","")</f>
        <v/>
      </c>
      <c r="F4683" s="23" t="str">
        <f>IF(OR(E4683="",E4683="!!!"),"",IF(NOT(ISNA(VLOOKUP(E4683,E$1:E4682,1,FALSE()))),"OLD",IF(AND(E4683&lt;&gt;"",E4683&lt;&gt;"!!!"),"NEW","")))</f>
        <v> </v>
      </c>
      <c r="G4683" s="24" t="str">
        <f>IF(OR(E4683="",E4683="!!!"),"",IF(OR(J4683=0,AND(J4683=1,K4683=1),AND(J4683=1,I4683="SBJ"),AND(J4683=1,I4683=0)),"?IN_FOCUS",IF(J4683&lt;=2,"?ACTIVATED",IF(J4683&lt;&gt;"","?FAMILIAR",IF(F4683="NEW",IF(ISNA(VLOOKUP(E4683,#REF!,1,FALSE())),"?TYPE_IDENTIFIABLE","?REFERENTIAL"),"_")))))</f>
        <v> </v>
      </c>
      <c r="H4683" s="25" t="str">
        <f>IF(J4683&lt;&gt;1,"",IF(I4683="SBJ","CB","?"))</f>
        <v> </v>
      </c>
      <c r="I4683" s="26" t="str">
        <f>IF(OR(E4683="",E4683="!!!",F4683="NEW"),"",INDEX(B4682:B$2,-1+SUMPRODUCT(MAX(ROW(E4682:E$2)*(E4683=E4682:E$2)))))</f>
        <v> </v>
      </c>
      <c r="J4683" s="26" t="str">
        <f>IF(OR(E4683="",E4683="!!!",F4683="NEW"),"",COUNTBLANK(OFFSET(A$1,,,SUMPRODUCT(MAX(ROW(E$2:E4683)*(E4683=E$2:E4683)))))-COUNTBLANK(OFFSET(A$1,,,SUMPRODUCT(MAX(ROW(E$1:E4682)*(E2=E$1:E4682))))))</f>
        <v> </v>
      </c>
      <c r="K4683" s="26" t="str">
        <f>IF(OR(E4683="",E4683="!!!",F4683="NEW"),"",INDEX(J$1:J4682,SUMPRODUCT(MAX(ROW(E$1:E4682)*(E4683=E$1:E4682)))))</f>
        <v> </v>
      </c>
      <c r="L4683" s="27"/>
    </row>
    <row r="4684" spans="1:12">
      <c r="A4684" s="20" t="s">
        <v>1245</v>
      </c>
      <c r="E4684" s="22">
        <f>IF(D4684="?OLD","!!!","")</f>
        <v/>
      </c>
      <c r="F4684" s="23" t="str">
        <f>IF(OR(E4684="",E4684="!!!"),"",IF(NOT(ISNA(VLOOKUP(E4684,E$1:E4683,1,FALSE()))),"OLD",IF(AND(E4684&lt;&gt;"",E4684&lt;&gt;"!!!"),"NEW","")))</f>
        <v> </v>
      </c>
      <c r="G4684" s="24" t="str">
        <f>IF(OR(E4684="",E4684="!!!"),"",IF(OR(J4684=0,AND(J4684=1,K4684=1),AND(J4684=1,I4684="SBJ"),AND(J4684=1,I4684=0)),"?IN_FOCUS",IF(J4684&lt;=2,"?ACTIVATED",IF(J4684&lt;&gt;"","?FAMILIAR",IF(F4684="NEW",IF(ISNA(VLOOKUP(E4684,#REF!,1,FALSE())),"?TYPE_IDENTIFIABLE","?REFERENTIAL"),"_")))))</f>
        <v> </v>
      </c>
      <c r="H4684" s="25" t="str">
        <f>IF(J4684&lt;&gt;1,"",IF(I4684="SBJ","CB","?"))</f>
        <v> </v>
      </c>
      <c r="I4684" s="26" t="str">
        <f>IF(OR(E4684="",E4684="!!!",F4684="NEW"),"",INDEX(B4683:B$2,-1+SUMPRODUCT(MAX(ROW(E4683:E$2)*(E4684=E4683:E$2)))))</f>
        <v> </v>
      </c>
      <c r="J4684" s="26" t="str">
        <f>IF(OR(E4684="",E4684="!!!",F4684="NEW"),"",COUNTBLANK(OFFSET(A$1,,,SUMPRODUCT(MAX(ROW(E$2:E4684)*(E4684=E$2:E4684)))))-COUNTBLANK(OFFSET(A$1,,,SUMPRODUCT(MAX(ROW(E$1:E4683)*(E2=E$1:E4683))))))</f>
        <v> </v>
      </c>
      <c r="K4684" s="26" t="str">
        <f>IF(OR(E4684="",E4684="!!!",F4684="NEW"),"",INDEX(J$1:J4683,SUMPRODUCT(MAX(ROW(E$1:E4683)*(E4684=E$1:E4683)))))</f>
        <v> </v>
      </c>
      <c r="L4684" s="27"/>
    </row>
    <row r="4685" spans="1:12">
      <c r="A4685" s="20" t="s">
        <v>1280</v>
      </c>
      <c r="B4685" s="21" t="s">
        <v>1226</v>
      </c>
      <c r="C4685" s="21" t="s">
        <v>1242</v>
      </c>
      <c r="D4685" s="21" t="s">
        <v>1217</v>
      </c>
      <c r="E4685" s="22">
        <f>IF(D4685="?OLD","!!!","")</f>
        <v/>
      </c>
      <c r="F4685" s="23" t="str">
        <f>IF(OR(E4685="",E4685="!!!"),"",IF(NOT(ISNA(VLOOKUP(E4685,E$1:E4684,1,FALSE()))),"OLD",IF(AND(E4685&lt;&gt;"",E4685&lt;&gt;"!!!"),"NEW","")))</f>
        <v> </v>
      </c>
      <c r="G4685" s="24" t="str">
        <f>IF(OR(E4685="",E4685="!!!"),"",IF(OR(J4685=0,AND(J4685=1,K4685=1),AND(J4685=1,I4685="SBJ"),AND(J4685=1,I4685=0)),"?IN_FOCUS",IF(J4685&lt;=2,"?ACTIVATED",IF(J4685&lt;&gt;"","?FAMILIAR",IF(F4685="NEW",IF(ISNA(VLOOKUP(E4685,#REF!,1,FALSE())),"?TYPE_IDENTIFIABLE","?REFERENTIAL"),"_")))))</f>
        <v> </v>
      </c>
      <c r="H4685" s="25" t="str">
        <f>IF(J4685&lt;&gt;1,"",IF(I4685="SBJ","CB","?"))</f>
        <v> </v>
      </c>
      <c r="I4685" s="26" t="str">
        <f>IF(OR(E4685="",E4685="!!!",F4685="NEW"),"",INDEX(B4684:B$2,-1+SUMPRODUCT(MAX(ROW(E4684:E$2)*(E4685=E4684:E$2)))))</f>
        <v> </v>
      </c>
      <c r="J4685" s="26" t="str">
        <f>IF(OR(E4685="",E4685="!!!",F4685="NEW"),"",COUNTBLANK(OFFSET(A$1,,,SUMPRODUCT(MAX(ROW(E$2:E4685)*(E4685=E$2:E4685)))))-COUNTBLANK(OFFSET(A$1,,,SUMPRODUCT(MAX(ROW(E$1:E4684)*(E2=E$1:E4684))))))</f>
        <v> </v>
      </c>
      <c r="K4685" s="26" t="str">
        <f>IF(OR(E4685="",E4685="!!!",F4685="NEW"),"",INDEX(J$1:J4684,SUMPRODUCT(MAX(ROW(E$1:E4684)*(E4685=E$1:E4684)))))</f>
        <v> </v>
      </c>
      <c r="L4685" s="27"/>
    </row>
    <row r="4686" spans="1:12">
      <c r="A4686" s="20" t="s">
        <v>2745</v>
      </c>
      <c r="B4686" s="21" t="s">
        <v>1224</v>
      </c>
      <c r="C4686" s="21" t="s">
        <v>1222</v>
      </c>
      <c r="D4686" s="21" t="s">
        <v>1217</v>
      </c>
      <c r="E4686" s="22">
        <f>IF(D4686="?OLD","!!!","")</f>
        <v/>
      </c>
      <c r="F4686" s="23" t="str">
        <f>IF(OR(E4686="",E4686="!!!"),"",IF(NOT(ISNA(VLOOKUP(E4686,E$1:E4685,1,FALSE()))),"OLD",IF(AND(E4686&lt;&gt;"",E4686&lt;&gt;"!!!"),"NEW","")))</f>
        <v> </v>
      </c>
      <c r="G4686" s="24" t="str">
        <f>IF(OR(E4686="",E4686="!!!"),"",IF(OR(J4686=0,AND(J4686=1,K4686=1),AND(J4686=1,I4686="SBJ"),AND(J4686=1,I4686=0)),"?IN_FOCUS",IF(J4686&lt;=2,"?ACTIVATED",IF(J4686&lt;&gt;"","?FAMILIAR",IF(F4686="NEW",IF(ISNA(VLOOKUP(E4686,#REF!,1,FALSE())),"?TYPE_IDENTIFIABLE","?REFERENTIAL"),"_")))))</f>
        <v> </v>
      </c>
      <c r="H4686" s="25" t="str">
        <f>IF(J4686&lt;&gt;1,"",IF(I4686="SBJ","CB","?"))</f>
        <v> </v>
      </c>
      <c r="I4686" s="26" t="str">
        <f>IF(OR(E4686="",E4686="!!!",F4686="NEW"),"",INDEX(B4685:B$2,-1+SUMPRODUCT(MAX(ROW(E4685:E$2)*(E4686=E4685:E$2)))))</f>
        <v> </v>
      </c>
      <c r="J4686" s="26" t="str">
        <f>IF(OR(E4686="",E4686="!!!",F4686="NEW"),"",COUNTBLANK(OFFSET(A$1,,,SUMPRODUCT(MAX(ROW(E$2:E4686)*(E4686=E$2:E4686)))))-COUNTBLANK(OFFSET(A$1,,,SUMPRODUCT(MAX(ROW(E$1:E4685)*(E2=E$1:E4685))))))</f>
        <v> </v>
      </c>
      <c r="K4686" s="26" t="str">
        <f>IF(OR(E4686="",E4686="!!!",F4686="NEW"),"",INDEX(J$1:J4685,SUMPRODUCT(MAX(ROW(E$1:E4685)*(E4686=E$1:E4685)))))</f>
        <v> </v>
      </c>
      <c r="L4686" s="27"/>
    </row>
    <row r="4687" spans="1:12">
      <c r="A4687" s="20" t="s">
        <v>1277</v>
      </c>
      <c r="E4687" s="22">
        <f>IF(D4687="?OLD","!!!","")</f>
        <v/>
      </c>
      <c r="F4687" s="23" t="str">
        <f>IF(OR(E4687="",E4687="!!!"),"",IF(NOT(ISNA(VLOOKUP(E4687,E$1:E4686,1,FALSE()))),"OLD",IF(AND(E4687&lt;&gt;"",E4687&lt;&gt;"!!!"),"NEW","")))</f>
        <v> </v>
      </c>
      <c r="G4687" s="24" t="str">
        <f>IF(OR(E4687="",E4687="!!!"),"",IF(OR(J4687=0,AND(J4687=1,K4687=1),AND(J4687=1,I4687="SBJ"),AND(J4687=1,I4687=0)),"?IN_FOCUS",IF(J4687&lt;=2,"?ACTIVATED",IF(J4687&lt;&gt;"","?FAMILIAR",IF(F4687="NEW",IF(ISNA(VLOOKUP(E4687,#REF!,1,FALSE())),"?TYPE_IDENTIFIABLE","?REFERENTIAL"),"_")))))</f>
        <v> </v>
      </c>
      <c r="H4687" s="25" t="str">
        <f>IF(J4687&lt;&gt;1,"",IF(I4687="SBJ","CB","?"))</f>
        <v> </v>
      </c>
      <c r="I4687" s="26" t="str">
        <f>IF(OR(E4687="",E4687="!!!",F4687="NEW"),"",INDEX(B4686:B$2,-1+SUMPRODUCT(MAX(ROW(E4686:E$2)*(E4687=E4686:E$2)))))</f>
        <v> </v>
      </c>
      <c r="J4687" s="26" t="str">
        <f>IF(OR(E4687="",E4687="!!!",F4687="NEW"),"",COUNTBLANK(OFFSET(A$1,,,SUMPRODUCT(MAX(ROW(E$2:E4687)*(E4687=E$2:E4687)))))-COUNTBLANK(OFFSET(A$1,,,SUMPRODUCT(MAX(ROW(E$1:E4686)*(E2=E$1:E4686))))))</f>
        <v> </v>
      </c>
      <c r="K4687" s="26" t="str">
        <f>IF(OR(E4687="",E4687="!!!",F4687="NEW"),"",INDEX(J$1:J4686,SUMPRODUCT(MAX(ROW(E$1:E4686)*(E4687=E$1:E4686)))))</f>
        <v> </v>
      </c>
      <c r="L4687" s="27"/>
    </row>
    <row r="4688" spans="1:12">
      <c r="A4688" s="20" t="s">
        <v>2746</v>
      </c>
      <c r="E4688" s="22">
        <f>IF(D4688="?OLD","!!!","")</f>
        <v/>
      </c>
      <c r="F4688" s="23" t="str">
        <f>IF(OR(E4688="",E4688="!!!"),"",IF(NOT(ISNA(VLOOKUP(E4688,E$1:E4687,1,FALSE()))),"OLD",IF(AND(E4688&lt;&gt;"",E4688&lt;&gt;"!!!"),"NEW","")))</f>
        <v> </v>
      </c>
      <c r="G4688" s="24" t="str">
        <f>IF(OR(E4688="",E4688="!!!"),"",IF(OR(J4688=0,AND(J4688=1,K4688=1),AND(J4688=1,I4688="SBJ"),AND(J4688=1,I4688=0)),"?IN_FOCUS",IF(J4688&lt;=2,"?ACTIVATED",IF(J4688&lt;&gt;"","?FAMILIAR",IF(F4688="NEW",IF(ISNA(VLOOKUP(E4688,#REF!,1,FALSE())),"?TYPE_IDENTIFIABLE","?REFERENTIAL"),"_")))))</f>
        <v> </v>
      </c>
      <c r="H4688" s="25" t="str">
        <f>IF(J4688&lt;&gt;1,"",IF(I4688="SBJ","CB","?"))</f>
        <v> </v>
      </c>
      <c r="I4688" s="26" t="str">
        <f>IF(OR(E4688="",E4688="!!!",F4688="NEW"),"",INDEX(B4687:B$2,-1+SUMPRODUCT(MAX(ROW(E4687:E$2)*(E4688=E4687:E$2)))))</f>
        <v> </v>
      </c>
      <c r="J4688" s="26" t="str">
        <f>IF(OR(E4688="",E4688="!!!",F4688="NEW"),"",COUNTBLANK(OFFSET(A$1,,,SUMPRODUCT(MAX(ROW(E$2:E4688)*(E4688=E$2:E4688)))))-COUNTBLANK(OFFSET(A$1,,,SUMPRODUCT(MAX(ROW(E$1:E4687)*(E2=E$1:E4687))))))</f>
        <v> </v>
      </c>
      <c r="K4688" s="26" t="str">
        <f>IF(OR(E4688="",E4688="!!!",F4688="NEW"),"",INDEX(J$1:J4687,SUMPRODUCT(MAX(ROW(E$1:E4687)*(E4688=E$1:E4687)))))</f>
        <v> </v>
      </c>
      <c r="L4688" s="27"/>
    </row>
    <row r="4689" spans="1:12">
      <c r="A4689" s="20" t="s">
        <v>1358</v>
      </c>
      <c r="E4689" s="22">
        <f>IF(D4689="?OLD","!!!","")</f>
        <v/>
      </c>
      <c r="F4689" s="23" t="str">
        <f>IF(OR(E4689="",E4689="!!!"),"",IF(NOT(ISNA(VLOOKUP(E4689,E$1:E4688,1,FALSE()))),"OLD",IF(AND(E4689&lt;&gt;"",E4689&lt;&gt;"!!!"),"NEW","")))</f>
        <v> </v>
      </c>
      <c r="G4689" s="24" t="str">
        <f>IF(OR(E4689="",E4689="!!!"),"",IF(OR(J4689=0,AND(J4689=1,K4689=1),AND(J4689=1,I4689="SBJ"),AND(J4689=1,I4689=0)),"?IN_FOCUS",IF(J4689&lt;=2,"?ACTIVATED",IF(J4689&lt;&gt;"","?FAMILIAR",IF(F4689="NEW",IF(ISNA(VLOOKUP(E4689,#REF!,1,FALSE())),"?TYPE_IDENTIFIABLE","?REFERENTIAL"),"_")))))</f>
        <v> </v>
      </c>
      <c r="H4689" s="25" t="str">
        <f>IF(J4689&lt;&gt;1,"",IF(I4689="SBJ","CB","?"))</f>
        <v> </v>
      </c>
      <c r="I4689" s="26" t="str">
        <f>IF(OR(E4689="",E4689="!!!",F4689="NEW"),"",INDEX(B4688:B$2,-1+SUMPRODUCT(MAX(ROW(E4688:E$2)*(E4689=E4688:E$2)))))</f>
        <v> </v>
      </c>
      <c r="J4689" s="26" t="str">
        <f>IF(OR(E4689="",E4689="!!!",F4689="NEW"),"",COUNTBLANK(OFFSET(A$1,,,SUMPRODUCT(MAX(ROW(E$2:E4689)*(E4689=E$2:E4689)))))-COUNTBLANK(OFFSET(A$1,,,SUMPRODUCT(MAX(ROW(E$1:E4688)*(E2=E$1:E4688))))))</f>
        <v> </v>
      </c>
      <c r="K4689" s="26" t="str">
        <f>IF(OR(E4689="",E4689="!!!",F4689="NEW"),"",INDEX(J$1:J4688,SUMPRODUCT(MAX(ROW(E$1:E4688)*(E4689=E$1:E4688)))))</f>
        <v> </v>
      </c>
      <c r="L4689" s="27"/>
    </row>
    <row r="4690" spans="1:12">
      <c r="A4690" s="20" t="s">
        <v>565</v>
      </c>
      <c r="B4690" s="21" t="s">
        <v>1229</v>
      </c>
      <c r="C4690" s="21" t="s">
        <v>1255</v>
      </c>
      <c r="D4690" s="21" t="s">
        <v>1217</v>
      </c>
      <c r="E4690" s="22">
        <f>IF(D4690="?OLD","!!!","")</f>
        <v/>
      </c>
      <c r="F4690" s="23" t="str">
        <f>IF(OR(E4690="",E4690="!!!"),"",IF(NOT(ISNA(VLOOKUP(E4690,E$1:E4689,1,FALSE()))),"OLD",IF(AND(E4690&lt;&gt;"",E4690&lt;&gt;"!!!"),"NEW","")))</f>
        <v> </v>
      </c>
      <c r="G4690" s="24" t="str">
        <f>IF(OR(E4690="",E4690="!!!"),"",IF(OR(J4690=0,AND(J4690=1,K4690=1),AND(J4690=1,I4690="SBJ"),AND(J4690=1,I4690=0)),"?IN_FOCUS",IF(J4690&lt;=2,"?ACTIVATED",IF(J4690&lt;&gt;"","?FAMILIAR",IF(F4690="NEW",IF(ISNA(VLOOKUP(E4690,#REF!,1,FALSE())),"?TYPE_IDENTIFIABLE","?REFERENTIAL"),"_")))))</f>
        <v> </v>
      </c>
      <c r="H4690" s="25" t="str">
        <f>IF(J4690&lt;&gt;1,"",IF(I4690="SBJ","CB","?"))</f>
        <v> </v>
      </c>
      <c r="I4690" s="26" t="str">
        <f>IF(OR(E4690="",E4690="!!!",F4690="NEW"),"",INDEX(B4689:B$2,-1+SUMPRODUCT(MAX(ROW(E4689:E$2)*(E4690=E4689:E$2)))))</f>
        <v> </v>
      </c>
      <c r="J4690" s="26" t="str">
        <f>IF(OR(E4690="",E4690="!!!",F4690="NEW"),"",COUNTBLANK(OFFSET(A$1,,,SUMPRODUCT(MAX(ROW(E$2:E4690)*(E4690=E$2:E4690)))))-COUNTBLANK(OFFSET(A$1,,,SUMPRODUCT(MAX(ROW(E$1:E4689)*(E2=E$1:E4689))))))</f>
        <v> </v>
      </c>
      <c r="K4690" s="26" t="str">
        <f>IF(OR(E4690="",E4690="!!!",F4690="NEW"),"",INDEX(J$1:J4689,SUMPRODUCT(MAX(ROW(E$1:E4689)*(E4690=E$1:E4689)))))</f>
        <v> </v>
      </c>
      <c r="L4690" s="27"/>
    </row>
    <row r="4691" spans="1:12">
      <c r="A4691" s="20" t="s">
        <v>1225</v>
      </c>
      <c r="E4691" s="22">
        <f>IF(D4691="?OLD","!!!","")</f>
        <v/>
      </c>
      <c r="F4691" s="23" t="str">
        <f>IF(OR(E4691="",E4691="!!!"),"",IF(NOT(ISNA(VLOOKUP(E4691,E$1:E4690,1,FALSE()))),"OLD",IF(AND(E4691&lt;&gt;"",E4691&lt;&gt;"!!!"),"NEW","")))</f>
        <v> </v>
      </c>
      <c r="G4691" s="24" t="str">
        <f>IF(OR(E4691="",E4691="!!!"),"",IF(OR(J4691=0,AND(J4691=1,K4691=1),AND(J4691=1,I4691="SBJ"),AND(J4691=1,I4691=0)),"?IN_FOCUS",IF(J4691&lt;=2,"?ACTIVATED",IF(J4691&lt;&gt;"","?FAMILIAR",IF(F4691="NEW",IF(ISNA(VLOOKUP(E4691,#REF!,1,FALSE())),"?TYPE_IDENTIFIABLE","?REFERENTIAL"),"_")))))</f>
        <v> </v>
      </c>
      <c r="H4691" s="25" t="str">
        <f>IF(J4691&lt;&gt;1,"",IF(I4691="SBJ","CB","?"))</f>
        <v> </v>
      </c>
      <c r="I4691" s="26" t="str">
        <f>IF(OR(E4691="",E4691="!!!",F4691="NEW"),"",INDEX(B4690:B$2,-1+SUMPRODUCT(MAX(ROW(E4690:E$2)*(E4691=E4690:E$2)))))</f>
        <v> </v>
      </c>
      <c r="J4691" s="26" t="str">
        <f>IF(OR(E4691="",E4691="!!!",F4691="NEW"),"",COUNTBLANK(OFFSET(A$1,,,SUMPRODUCT(MAX(ROW(E$2:E4691)*(E4691=E$2:E4691)))))-COUNTBLANK(OFFSET(A$1,,,SUMPRODUCT(MAX(ROW(E$1:E4690)*(E2=E$1:E4690))))))</f>
        <v> </v>
      </c>
      <c r="K4691" s="26" t="str">
        <f>IF(OR(E4691="",E4691="!!!",F4691="NEW"),"",INDEX(J$1:J4690,SUMPRODUCT(MAX(ROW(E$1:E4690)*(E4691=E$1:E4690)))))</f>
        <v> </v>
      </c>
      <c r="L4691" s="27"/>
    </row>
    <row r="4692" spans="1:12">
      <c r="A4692" s="20" t="s">
        <v>2747</v>
      </c>
      <c r="E4692" s="22">
        <f>IF(D4692="?OLD","!!!","")</f>
        <v/>
      </c>
      <c r="F4692" s="23" t="str">
        <f>IF(OR(E4692="",E4692="!!!"),"",IF(NOT(ISNA(VLOOKUP(E4692,E$1:E4691,1,FALSE()))),"OLD",IF(AND(E4692&lt;&gt;"",E4692&lt;&gt;"!!!"),"NEW","")))</f>
        <v> </v>
      </c>
      <c r="G4692" s="24" t="str">
        <f>IF(OR(E4692="",E4692="!!!"),"",IF(OR(J4692=0,AND(J4692=1,K4692=1),AND(J4692=1,I4692="SBJ"),AND(J4692=1,I4692=0)),"?IN_FOCUS",IF(J4692&lt;=2,"?ACTIVATED",IF(J4692&lt;&gt;"","?FAMILIAR",IF(F4692="NEW",IF(ISNA(VLOOKUP(E4692,#REF!,1,FALSE())),"?TYPE_IDENTIFIABLE","?REFERENTIAL"),"_")))))</f>
        <v> </v>
      </c>
      <c r="H4692" s="25" t="str">
        <f>IF(J4692&lt;&gt;1,"",IF(I4692="SBJ","CB","?"))</f>
        <v> </v>
      </c>
      <c r="I4692" s="26" t="str">
        <f>IF(OR(E4692="",E4692="!!!",F4692="NEW"),"",INDEX(B4691:B$2,-1+SUMPRODUCT(MAX(ROW(E4691:E$2)*(E4692=E4691:E$2)))))</f>
        <v> </v>
      </c>
      <c r="J4692" s="26" t="str">
        <f>IF(OR(E4692="",E4692="!!!",F4692="NEW"),"",COUNTBLANK(OFFSET(A$1,,,SUMPRODUCT(MAX(ROW(E$2:E4692)*(E4692=E$2:E4692)))))-COUNTBLANK(OFFSET(A$1,,,SUMPRODUCT(MAX(ROW(E$1:E4691)*(E2=E$1:E4691))))))</f>
        <v> </v>
      </c>
      <c r="K4692" s="26" t="str">
        <f>IF(OR(E4692="",E4692="!!!",F4692="NEW"),"",INDEX(J$1:J4691,SUMPRODUCT(MAX(ROW(E$1:E4691)*(E4692=E$1:E4691)))))</f>
        <v> </v>
      </c>
      <c r="L4692" s="27"/>
    </row>
    <row r="4693" spans="1:12">
      <c r="A4693" s="20" t="s">
        <v>1350</v>
      </c>
      <c r="B4693" s="21" t="s">
        <v>1249</v>
      </c>
      <c r="C4693" s="21" t="s">
        <v>1216</v>
      </c>
      <c r="D4693" s="21" t="s">
        <v>1217</v>
      </c>
      <c r="E4693" s="22">
        <f>IF(D4693="?OLD","!!!","")</f>
        <v/>
      </c>
      <c r="F4693" s="23" t="str">
        <f>IF(OR(E4693="",E4693="!!!"),"",IF(NOT(ISNA(VLOOKUP(E4693,E$1:E4692,1,FALSE()))),"OLD",IF(AND(E4693&lt;&gt;"",E4693&lt;&gt;"!!!"),"NEW","")))</f>
        <v> </v>
      </c>
      <c r="G4693" s="24" t="str">
        <f>IF(OR(E4693="",E4693="!!!"),"",IF(OR(J4693=0,AND(J4693=1,K4693=1),AND(J4693=1,I4693="SBJ"),AND(J4693=1,I4693=0)),"?IN_FOCUS",IF(J4693&lt;=2,"?ACTIVATED",IF(J4693&lt;&gt;"","?FAMILIAR",IF(F4693="NEW",IF(ISNA(VLOOKUP(E4693,#REF!,1,FALSE())),"?TYPE_IDENTIFIABLE","?REFERENTIAL"),"_")))))</f>
        <v> </v>
      </c>
      <c r="H4693" s="25" t="str">
        <f>IF(J4693&lt;&gt;1,"",IF(I4693="SBJ","CB","?"))</f>
        <v> </v>
      </c>
      <c r="I4693" s="26" t="str">
        <f>IF(OR(E4693="",E4693="!!!",F4693="NEW"),"",INDEX(B4692:B$2,-1+SUMPRODUCT(MAX(ROW(E4692:E$2)*(E4693=E4692:E$2)))))</f>
        <v> </v>
      </c>
      <c r="J4693" s="26" t="str">
        <f>IF(OR(E4693="",E4693="!!!",F4693="NEW"),"",COUNTBLANK(OFFSET(A$1,,,SUMPRODUCT(MAX(ROW(E$2:E4693)*(E4693=E$2:E4693)))))-COUNTBLANK(OFFSET(A$1,,,SUMPRODUCT(MAX(ROW(E$1:E4692)*(E2=E$1:E4692))))))</f>
        <v> </v>
      </c>
      <c r="K4693" s="26" t="str">
        <f>IF(OR(E4693="",E4693="!!!",F4693="NEW"),"",INDEX(J$1:J4692,SUMPRODUCT(MAX(ROW(E$1:E4692)*(E4693=E$1:E4692)))))</f>
        <v> </v>
      </c>
      <c r="L4693" s="27"/>
    </row>
    <row r="4694" spans="1:12">
      <c r="A4694" s="20" t="s">
        <v>1304</v>
      </c>
      <c r="E4694" s="22">
        <f>IF(D4694="?OLD","!!!","")</f>
        <v/>
      </c>
      <c r="F4694" s="23" t="str">
        <f>IF(OR(E4694="",E4694="!!!"),"",IF(NOT(ISNA(VLOOKUP(E4694,E$1:E4693,1,FALSE()))),"OLD",IF(AND(E4694&lt;&gt;"",E4694&lt;&gt;"!!!"),"NEW","")))</f>
        <v> </v>
      </c>
      <c r="G4694" s="24" t="str">
        <f>IF(OR(E4694="",E4694="!!!"),"",IF(OR(J4694=0,AND(J4694=1,K4694=1),AND(J4694=1,I4694="SBJ"),AND(J4694=1,I4694=0)),"?IN_FOCUS",IF(J4694&lt;=2,"?ACTIVATED",IF(J4694&lt;&gt;"","?FAMILIAR",IF(F4694="NEW",IF(ISNA(VLOOKUP(E4694,#REF!,1,FALSE())),"?TYPE_IDENTIFIABLE","?REFERENTIAL"),"_")))))</f>
        <v> </v>
      </c>
      <c r="H4694" s="25" t="str">
        <f>IF(J4694&lt;&gt;1,"",IF(I4694="SBJ","CB","?"))</f>
        <v> </v>
      </c>
      <c r="I4694" s="26" t="str">
        <f>IF(OR(E4694="",E4694="!!!",F4694="NEW"),"",INDEX(B4693:B$2,-1+SUMPRODUCT(MAX(ROW(E4693:E$2)*(E4694=E4693:E$2)))))</f>
        <v> </v>
      </c>
      <c r="J4694" s="26" t="str">
        <f>IF(OR(E4694="",E4694="!!!",F4694="NEW"),"",COUNTBLANK(OFFSET(A$1,,,SUMPRODUCT(MAX(ROW(E$2:E4694)*(E4694=E$2:E4694)))))-COUNTBLANK(OFFSET(A$1,,,SUMPRODUCT(MAX(ROW(E$1:E4693)*(E2=E$1:E4693))))))</f>
        <v> </v>
      </c>
      <c r="K4694" s="26" t="str">
        <f>IF(OR(E4694="",E4694="!!!",F4694="NEW"),"",INDEX(J$1:J4693,SUMPRODUCT(MAX(ROW(E$1:E4693)*(E4694=E$1:E4693)))))</f>
        <v> </v>
      </c>
      <c r="L4694" s="27"/>
    </row>
    <row r="4695" spans="1:12">
      <c r="A4695" s="20" t="s">
        <v>1358</v>
      </c>
      <c r="E4695" s="22">
        <f>IF(D4695="?OLD","!!!","")</f>
        <v/>
      </c>
      <c r="F4695" s="23" t="str">
        <f>IF(OR(E4695="",E4695="!!!"),"",IF(NOT(ISNA(VLOOKUP(E4695,E$1:E4694,1,FALSE()))),"OLD",IF(AND(E4695&lt;&gt;"",E4695&lt;&gt;"!!!"),"NEW","")))</f>
        <v> </v>
      </c>
      <c r="G4695" s="24" t="str">
        <f>IF(OR(E4695="",E4695="!!!"),"",IF(OR(J4695=0,AND(J4695=1,K4695=1),AND(J4695=1,I4695="SBJ"),AND(J4695=1,I4695=0)),"?IN_FOCUS",IF(J4695&lt;=2,"?ACTIVATED",IF(J4695&lt;&gt;"","?FAMILIAR",IF(F4695="NEW",IF(ISNA(VLOOKUP(E4695,#REF!,1,FALSE())),"?TYPE_IDENTIFIABLE","?REFERENTIAL"),"_")))))</f>
        <v> </v>
      </c>
      <c r="H4695" s="25" t="str">
        <f>IF(J4695&lt;&gt;1,"",IF(I4695="SBJ","CB","?"))</f>
        <v> </v>
      </c>
      <c r="I4695" s="26" t="str">
        <f>IF(OR(E4695="",E4695="!!!",F4695="NEW"),"",INDEX(B4694:B$2,-1+SUMPRODUCT(MAX(ROW(E4694:E$2)*(E4695=E4694:E$2)))))</f>
        <v> </v>
      </c>
      <c r="J4695" s="26" t="str">
        <f>IF(OR(E4695="",E4695="!!!",F4695="NEW"),"",COUNTBLANK(OFFSET(A$1,,,SUMPRODUCT(MAX(ROW(E$2:E4695)*(E4695=E$2:E4695)))))-COUNTBLANK(OFFSET(A$1,,,SUMPRODUCT(MAX(ROW(E$1:E4694)*(E2=E$1:E4694))))))</f>
        <v> </v>
      </c>
      <c r="K4695" s="26" t="str">
        <f>IF(OR(E4695="",E4695="!!!",F4695="NEW"),"",INDEX(J$1:J4694,SUMPRODUCT(MAX(ROW(E$1:E4694)*(E4695=E$1:E4694)))))</f>
        <v> </v>
      </c>
      <c r="L4695" s="27"/>
    </row>
    <row r="4696" spans="1:12">
      <c r="A4696" s="20" t="s">
        <v>1235</v>
      </c>
      <c r="E4696" s="22">
        <f>IF(D4696="?OLD","!!!","")</f>
        <v/>
      </c>
      <c r="F4696" s="23" t="str">
        <f>IF(OR(E4696="",E4696="!!!"),"",IF(NOT(ISNA(VLOOKUP(E4696,E$1:E4695,1,FALSE()))),"OLD",IF(AND(E4696&lt;&gt;"",E4696&lt;&gt;"!!!"),"NEW","")))</f>
        <v> </v>
      </c>
      <c r="G4696" s="24" t="str">
        <f>IF(OR(E4696="",E4696="!!!"),"",IF(OR(J4696=0,AND(J4696=1,K4696=1),AND(J4696=1,I4696="SBJ"),AND(J4696=1,I4696=0)),"?IN_FOCUS",IF(J4696&lt;=2,"?ACTIVATED",IF(J4696&lt;&gt;"","?FAMILIAR",IF(F4696="NEW",IF(ISNA(VLOOKUP(E4696,#REF!,1,FALSE())),"?TYPE_IDENTIFIABLE","?REFERENTIAL"),"_")))))</f>
        <v> </v>
      </c>
      <c r="H4696" s="25" t="str">
        <f>IF(J4696&lt;&gt;1,"",IF(I4696="SBJ","CB","?"))</f>
        <v> </v>
      </c>
      <c r="I4696" s="26" t="str">
        <f>IF(OR(E4696="",E4696="!!!",F4696="NEW"),"",INDEX(B4695:B$2,-1+SUMPRODUCT(MAX(ROW(E4695:E$2)*(E4696=E4695:E$2)))))</f>
        <v> </v>
      </c>
      <c r="J4696" s="26" t="str">
        <f>IF(OR(E4696="",E4696="!!!",F4696="NEW"),"",COUNTBLANK(OFFSET(A$1,,,SUMPRODUCT(MAX(ROW(E$2:E4696)*(E4696=E$2:E4696)))))-COUNTBLANK(OFFSET(A$1,,,SUMPRODUCT(MAX(ROW(E$1:E4695)*(E2=E$1:E4695))))))</f>
        <v> </v>
      </c>
      <c r="K4696" s="26" t="str">
        <f>IF(OR(E4696="",E4696="!!!",F4696="NEW"),"",INDEX(J$1:J4695,SUMPRODUCT(MAX(ROW(E$1:E4695)*(E4696=E$1:E4695)))))</f>
        <v> </v>
      </c>
      <c r="L4696" s="27"/>
    </row>
    <row r="4697" spans="1:12">
      <c r="A4697" s="20" t="s">
        <v>2606</v>
      </c>
      <c r="E4697" s="22">
        <f>IF(D4697="?OLD","!!!","")</f>
        <v/>
      </c>
      <c r="F4697" s="23" t="str">
        <f>IF(OR(E4697="",E4697="!!!"),"",IF(NOT(ISNA(VLOOKUP(E4697,E$1:E4696,1,FALSE()))),"OLD",IF(AND(E4697&lt;&gt;"",E4697&lt;&gt;"!!!"),"NEW","")))</f>
        <v> </v>
      </c>
      <c r="G4697" s="24" t="str">
        <f>IF(OR(E4697="",E4697="!!!"),"",IF(OR(J4697=0,AND(J4697=1,K4697=1),AND(J4697=1,I4697="SBJ"),AND(J4697=1,I4697=0)),"?IN_FOCUS",IF(J4697&lt;=2,"?ACTIVATED",IF(J4697&lt;&gt;"","?FAMILIAR",IF(F4697="NEW",IF(ISNA(VLOOKUP(E4697,#REF!,1,FALSE())),"?TYPE_IDENTIFIABLE","?REFERENTIAL"),"_")))))</f>
        <v> </v>
      </c>
      <c r="H4697" s="25" t="str">
        <f>IF(J4697&lt;&gt;1,"",IF(I4697="SBJ","CB","?"))</f>
        <v> </v>
      </c>
      <c r="I4697" s="26" t="str">
        <f>IF(OR(E4697="",E4697="!!!",F4697="NEW"),"",INDEX(B4696:B$2,-1+SUMPRODUCT(MAX(ROW(E4696:E$2)*(E4697=E4696:E$2)))))</f>
        <v> </v>
      </c>
      <c r="J4697" s="26" t="str">
        <f>IF(OR(E4697="",E4697="!!!",F4697="NEW"),"",COUNTBLANK(OFFSET(A$1,,,SUMPRODUCT(MAX(ROW(E$2:E4697)*(E4697=E$2:E4697)))))-COUNTBLANK(OFFSET(A$1,,,SUMPRODUCT(MAX(ROW(E$1:E4696)*(E2=E$1:E4696))))))</f>
        <v> </v>
      </c>
      <c r="K4697" s="26" t="str">
        <f>IF(OR(E4697="",E4697="!!!",F4697="NEW"),"",INDEX(J$1:J4696,SUMPRODUCT(MAX(ROW(E$1:E4696)*(E4697=E$1:E4696)))))</f>
        <v> </v>
      </c>
      <c r="L4697" s="27"/>
    </row>
    <row r="4698" spans="1:12">
      <c r="A4698" s="20" t="s">
        <v>1532</v>
      </c>
      <c r="B4698" s="21" t="s">
        <v>1221</v>
      </c>
      <c r="C4698" s="21" t="s">
        <v>1238</v>
      </c>
      <c r="E4698" s="22">
        <f>IF(D4698="?OLD","!!!","")</f>
        <v/>
      </c>
      <c r="F4698" s="23" t="str">
        <f>IF(OR(E4698="",E4698="!!!"),"",IF(NOT(ISNA(VLOOKUP(E4698,E$1:E4697,1,FALSE()))),"OLD",IF(AND(E4698&lt;&gt;"",E4698&lt;&gt;"!!!"),"NEW","")))</f>
        <v> </v>
      </c>
      <c r="G4698" s="24" t="str">
        <f>IF(OR(E4698="",E4698="!!!"),"",IF(OR(J4698=0,AND(J4698=1,K4698=1),AND(J4698=1,I4698="SBJ"),AND(J4698=1,I4698=0)),"?IN_FOCUS",IF(J4698&lt;=2,"?ACTIVATED",IF(J4698&lt;&gt;"","?FAMILIAR",IF(F4698="NEW",IF(ISNA(VLOOKUP(E4698,#REF!,1,FALSE())),"?TYPE_IDENTIFIABLE","?REFERENTIAL"),"_")))))</f>
        <v> </v>
      </c>
      <c r="H4698" s="25" t="str">
        <f>IF(J4698&lt;&gt;1,"",IF(I4698="SBJ","CB","?"))</f>
        <v> </v>
      </c>
      <c r="I4698" s="26" t="str">
        <f>IF(OR(E4698="",E4698="!!!",F4698="NEW"),"",INDEX(B4697:B$2,-1+SUMPRODUCT(MAX(ROW(E4697:E$2)*(E4698=E4697:E$2)))))</f>
        <v> </v>
      </c>
      <c r="J4698" s="26" t="str">
        <f>IF(OR(E4698="",E4698="!!!",F4698="NEW"),"",COUNTBLANK(OFFSET(A$1,,,SUMPRODUCT(MAX(ROW(E$2:E4698)*(E4698=E$2:E4698)))))-COUNTBLANK(OFFSET(A$1,,,SUMPRODUCT(MAX(ROW(E$1:E4697)*(E2=E$1:E4697))))))</f>
        <v> </v>
      </c>
      <c r="K4698" s="26" t="str">
        <f>IF(OR(E4698="",E4698="!!!",F4698="NEW"),"",INDEX(J$1:J4697,SUMPRODUCT(MAX(ROW(E$1:E4697)*(E4698=E$1:E4697)))))</f>
        <v> </v>
      </c>
      <c r="L4698" s="27"/>
    </row>
    <row r="4699" spans="1:12">
      <c r="A4699" s="20" t="s">
        <v>1909</v>
      </c>
      <c r="E4699" s="22">
        <f>IF(D4699="?OLD","!!!","")</f>
        <v/>
      </c>
      <c r="F4699" s="23" t="str">
        <f>IF(OR(E4699="",E4699="!!!"),"",IF(NOT(ISNA(VLOOKUP(E4699,E$1:E4698,1,FALSE()))),"OLD",IF(AND(E4699&lt;&gt;"",E4699&lt;&gt;"!!!"),"NEW","")))</f>
        <v> </v>
      </c>
      <c r="G4699" s="24" t="str">
        <f>IF(OR(E4699="",E4699="!!!"),"",IF(OR(J4699=0,AND(J4699=1,K4699=1),AND(J4699=1,I4699="SBJ"),AND(J4699=1,I4699=0)),"?IN_FOCUS",IF(J4699&lt;=2,"?ACTIVATED",IF(J4699&lt;&gt;"","?FAMILIAR",IF(F4699="NEW",IF(ISNA(VLOOKUP(E4699,#REF!,1,FALSE())),"?TYPE_IDENTIFIABLE","?REFERENTIAL"),"_")))))</f>
        <v> </v>
      </c>
      <c r="H4699" s="25" t="str">
        <f>IF(J4699&lt;&gt;1,"",IF(I4699="SBJ","CB","?"))</f>
        <v> </v>
      </c>
      <c r="I4699" s="26" t="str">
        <f>IF(OR(E4699="",E4699="!!!",F4699="NEW"),"",INDEX(B4698:B$2,-1+SUMPRODUCT(MAX(ROW(E4698:E$2)*(E4699=E4698:E$2)))))</f>
        <v> </v>
      </c>
      <c r="J4699" s="26" t="str">
        <f>IF(OR(E4699="",E4699="!!!",F4699="NEW"),"",COUNTBLANK(OFFSET(A$1,,,SUMPRODUCT(MAX(ROW(E$2:E4699)*(E4699=E$2:E4699)))))-COUNTBLANK(OFFSET(A$1,,,SUMPRODUCT(MAX(ROW(E$1:E4698)*(E2=E$1:E4698))))))</f>
        <v> </v>
      </c>
      <c r="K4699" s="26" t="str">
        <f>IF(OR(E4699="",E4699="!!!",F4699="NEW"),"",INDEX(J$1:J4698,SUMPRODUCT(MAX(ROW(E$1:E4698)*(E4699=E$1:E4698)))))</f>
        <v> </v>
      </c>
      <c r="L4699" s="27"/>
    </row>
    <row r="4700" spans="1:12">
      <c r="A4700" s="20" t="s">
        <v>1218</v>
      </c>
      <c r="E4700" s="22">
        <f>IF(D4700="?OLD","!!!","")</f>
        <v/>
      </c>
      <c r="F4700" s="23" t="str">
        <f>IF(OR(E4700="",E4700="!!!"),"",IF(NOT(ISNA(VLOOKUP(E4700,E$1:E4699,1,FALSE()))),"OLD",IF(AND(E4700&lt;&gt;"",E4700&lt;&gt;"!!!"),"NEW","")))</f>
        <v> </v>
      </c>
      <c r="G4700" s="24" t="str">
        <f>IF(OR(E4700="",E4700="!!!"),"",IF(OR(J4700=0,AND(J4700=1,K4700=1),AND(J4700=1,I4700="SBJ"),AND(J4700=1,I4700=0)),"?IN_FOCUS",IF(J4700&lt;=2,"?ACTIVATED",IF(J4700&lt;&gt;"","?FAMILIAR",IF(F4700="NEW",IF(ISNA(VLOOKUP(E4700,#REF!,1,FALSE())),"?TYPE_IDENTIFIABLE","?REFERENTIAL"),"_")))))</f>
        <v> </v>
      </c>
      <c r="H4700" s="25" t="str">
        <f>IF(J4700&lt;&gt;1,"",IF(I4700="SBJ","CB","?"))</f>
        <v> </v>
      </c>
      <c r="I4700" s="26" t="str">
        <f>IF(OR(E4700="",E4700="!!!",F4700="NEW"),"",INDEX(B4699:B$2,-1+SUMPRODUCT(MAX(ROW(E4699:E$2)*(E4700=E4699:E$2)))))</f>
        <v> </v>
      </c>
      <c r="J4700" s="26" t="str">
        <f>IF(OR(E4700="",E4700="!!!",F4700="NEW"),"",COUNTBLANK(OFFSET(A$1,,,SUMPRODUCT(MAX(ROW(E$2:E4700)*(E4700=E$2:E4700)))))-COUNTBLANK(OFFSET(A$1,,,SUMPRODUCT(MAX(ROW(E$1:E4699)*(E2=E$1:E4699))))))</f>
        <v> </v>
      </c>
      <c r="K4700" s="26" t="str">
        <f>IF(OR(E4700="",E4700="!!!",F4700="NEW"),"",INDEX(J$1:J4699,SUMPRODUCT(MAX(ROW(E$1:E4699)*(E4700=E$1:E4699)))))</f>
        <v> </v>
      </c>
      <c r="L4700" s="27"/>
    </row>
    <row r="4701" spans="1:12">
      <c r="A4701" s="20" t="s">
        <v>1266</v>
      </c>
      <c r="E4701" s="22">
        <f>IF(D4701="?OLD","!!!","")</f>
        <v/>
      </c>
      <c r="F4701" s="23" t="str">
        <f>IF(OR(E4701="",E4701="!!!"),"",IF(NOT(ISNA(VLOOKUP(E4701,E$1:E4700,1,FALSE()))),"OLD",IF(AND(E4701&lt;&gt;"",E4701&lt;&gt;"!!!"),"NEW","")))</f>
        <v> </v>
      </c>
      <c r="G4701" s="24" t="str">
        <f>IF(OR(E4701="",E4701="!!!"),"",IF(OR(J4701=0,AND(J4701=1,K4701=1),AND(J4701=1,I4701="SBJ"),AND(J4701=1,I4701=0)),"?IN_FOCUS",IF(J4701&lt;=2,"?ACTIVATED",IF(J4701&lt;&gt;"","?FAMILIAR",IF(F4701="NEW",IF(ISNA(VLOOKUP(E4701,#REF!,1,FALSE())),"?TYPE_IDENTIFIABLE","?REFERENTIAL"),"_")))))</f>
        <v> </v>
      </c>
      <c r="H4701" s="25" t="str">
        <f>IF(J4701&lt;&gt;1,"",IF(I4701="SBJ","CB","?"))</f>
        <v> </v>
      </c>
      <c r="I4701" s="26" t="str">
        <f>IF(OR(E4701="",E4701="!!!",F4701="NEW"),"",INDEX(B4700:B$2,-1+SUMPRODUCT(MAX(ROW(E4700:E$2)*(E4701=E4700:E$2)))))</f>
        <v> </v>
      </c>
      <c r="J4701" s="26" t="str">
        <f>IF(OR(E4701="",E4701="!!!",F4701="NEW"),"",COUNTBLANK(OFFSET(A$1,,,SUMPRODUCT(MAX(ROW(E$2:E4701)*(E4701=E$2:E4701)))))-COUNTBLANK(OFFSET(A$1,,,SUMPRODUCT(MAX(ROW(E$1:E4700)*(E2=E$1:E4700))))))</f>
        <v> </v>
      </c>
      <c r="K4701" s="26" t="str">
        <f>IF(OR(E4701="",E4701="!!!",F4701="NEW"),"",INDEX(J$1:J4700,SUMPRODUCT(MAX(ROW(E$1:E4700)*(E4701=E$1:E4700)))))</f>
        <v> </v>
      </c>
      <c r="L4701" s="27"/>
    </row>
    <row r="4702" spans="1:12">
      <c r="A4702" s="20" t="s">
        <v>1815</v>
      </c>
      <c r="B4702" s="21" t="s">
        <v>1226</v>
      </c>
      <c r="C4702" s="21" t="s">
        <v>1269</v>
      </c>
      <c r="D4702" s="21" t="s">
        <v>1217</v>
      </c>
      <c r="E4702" s="22">
        <f>IF(D4702="?OLD","!!!","")</f>
        <v/>
      </c>
      <c r="F4702" s="23" t="str">
        <f>IF(OR(E4702="",E4702="!!!"),"",IF(NOT(ISNA(VLOOKUP(E4702,E$1:E4701,1,FALSE()))),"OLD",IF(AND(E4702&lt;&gt;"",E4702&lt;&gt;"!!!"),"NEW","")))</f>
        <v> </v>
      </c>
      <c r="G4702" s="24" t="str">
        <f>IF(OR(E4702="",E4702="!!!"),"",IF(OR(J4702=0,AND(J4702=1,K4702=1),AND(J4702=1,I4702="SBJ"),AND(J4702=1,I4702=0)),"?IN_FOCUS",IF(J4702&lt;=2,"?ACTIVATED",IF(J4702&lt;&gt;"","?FAMILIAR",IF(F4702="NEW",IF(ISNA(VLOOKUP(E4702,#REF!,1,FALSE())),"?TYPE_IDENTIFIABLE","?REFERENTIAL"),"_")))))</f>
        <v> </v>
      </c>
      <c r="H4702" s="25" t="str">
        <f>IF(J4702&lt;&gt;1,"",IF(I4702="SBJ","CB","?"))</f>
        <v> </v>
      </c>
      <c r="I4702" s="26" t="str">
        <f>IF(OR(E4702="",E4702="!!!",F4702="NEW"),"",INDEX(B4701:B$2,-1+SUMPRODUCT(MAX(ROW(E4701:E$2)*(E4702=E4701:E$2)))))</f>
        <v> </v>
      </c>
      <c r="J4702" s="26" t="str">
        <f>IF(OR(E4702="",E4702="!!!",F4702="NEW"),"",COUNTBLANK(OFFSET(A$1,,,SUMPRODUCT(MAX(ROW(E$2:E4702)*(E4702=E$2:E4702)))))-COUNTBLANK(OFFSET(A$1,,,SUMPRODUCT(MAX(ROW(E$1:E4701)*(E2=E$1:E4701))))))</f>
        <v> </v>
      </c>
      <c r="K4702" s="26" t="str">
        <f>IF(OR(E4702="",E4702="!!!",F4702="NEW"),"",INDEX(J$1:J4701,SUMPRODUCT(MAX(ROW(E$1:E4701)*(E4702=E$1:E4701)))))</f>
        <v> </v>
      </c>
      <c r="L4702" s="27"/>
    </row>
    <row r="4703" spans="1:12">
      <c r="A4703" s="20" t="s">
        <v>1277</v>
      </c>
      <c r="E4703" s="22">
        <f>IF(D4703="?OLD","!!!","")</f>
        <v/>
      </c>
      <c r="F4703" s="23" t="str">
        <f>IF(OR(E4703="",E4703="!!!"),"",IF(NOT(ISNA(VLOOKUP(E4703,E$1:E4702,1,FALSE()))),"OLD",IF(AND(E4703&lt;&gt;"",E4703&lt;&gt;"!!!"),"NEW","")))</f>
        <v> </v>
      </c>
      <c r="G4703" s="24" t="str">
        <f>IF(OR(E4703="",E4703="!!!"),"",IF(OR(J4703=0,AND(J4703=1,K4703=1),AND(J4703=1,I4703="SBJ"),AND(J4703=1,I4703=0)),"?IN_FOCUS",IF(J4703&lt;=2,"?ACTIVATED",IF(J4703&lt;&gt;"","?FAMILIAR",IF(F4703="NEW",IF(ISNA(VLOOKUP(E4703,#REF!,1,FALSE())),"?TYPE_IDENTIFIABLE","?REFERENTIAL"),"_")))))</f>
        <v> </v>
      </c>
      <c r="H4703" s="25" t="str">
        <f>IF(J4703&lt;&gt;1,"",IF(I4703="SBJ","CB","?"))</f>
        <v> </v>
      </c>
      <c r="I4703" s="26" t="str">
        <f>IF(OR(E4703="",E4703="!!!",F4703="NEW"),"",INDEX(B4702:B$2,-1+SUMPRODUCT(MAX(ROW(E4702:E$2)*(E4703=E4702:E$2)))))</f>
        <v> </v>
      </c>
      <c r="J4703" s="26" t="str">
        <f>IF(OR(E4703="",E4703="!!!",F4703="NEW"),"",COUNTBLANK(OFFSET(A$1,,,SUMPRODUCT(MAX(ROW(E$2:E4703)*(E4703=E$2:E4703)))))-COUNTBLANK(OFFSET(A$1,,,SUMPRODUCT(MAX(ROW(E$1:E4702)*(E2=E$1:E4702))))))</f>
        <v> </v>
      </c>
      <c r="K4703" s="26" t="str">
        <f>IF(OR(E4703="",E4703="!!!",F4703="NEW"),"",INDEX(J$1:J4702,SUMPRODUCT(MAX(ROW(E$1:E4702)*(E4703=E$1:E4702)))))</f>
        <v> </v>
      </c>
      <c r="L4703" s="27"/>
    </row>
    <row r="4704" spans="1:12">
      <c r="A4704" s="20" t="s">
        <v>1307</v>
      </c>
      <c r="E4704" s="22">
        <f>IF(D4704="?OLD","!!!","")</f>
        <v/>
      </c>
      <c r="F4704" s="23" t="str">
        <f>IF(OR(E4704="",E4704="!!!"),"",IF(NOT(ISNA(VLOOKUP(E4704,E$1:E4703,1,FALSE()))),"OLD",IF(AND(E4704&lt;&gt;"",E4704&lt;&gt;"!!!"),"NEW","")))</f>
        <v> </v>
      </c>
      <c r="G4704" s="24" t="str">
        <f>IF(OR(E4704="",E4704="!!!"),"",IF(OR(J4704=0,AND(J4704=1,K4704=1),AND(J4704=1,I4704="SBJ"),AND(J4704=1,I4704=0)),"?IN_FOCUS",IF(J4704&lt;=2,"?ACTIVATED",IF(J4704&lt;&gt;"","?FAMILIAR",IF(F4704="NEW",IF(ISNA(VLOOKUP(E4704,#REF!,1,FALSE())),"?TYPE_IDENTIFIABLE","?REFERENTIAL"),"_")))))</f>
        <v> </v>
      </c>
      <c r="H4704" s="25" t="str">
        <f>IF(J4704&lt;&gt;1,"",IF(I4704="SBJ","CB","?"))</f>
        <v> </v>
      </c>
      <c r="I4704" s="26" t="str">
        <f>IF(OR(E4704="",E4704="!!!",F4704="NEW"),"",INDEX(B4703:B$2,-1+SUMPRODUCT(MAX(ROW(E4703:E$2)*(E4704=E4703:E$2)))))</f>
        <v> </v>
      </c>
      <c r="J4704" s="26" t="str">
        <f>IF(OR(E4704="",E4704="!!!",F4704="NEW"),"",COUNTBLANK(OFFSET(A$1,,,SUMPRODUCT(MAX(ROW(E$2:E4704)*(E4704=E$2:E4704)))))-COUNTBLANK(OFFSET(A$1,,,SUMPRODUCT(MAX(ROW(E$1:E4703)*(E2=E$1:E4703))))))</f>
        <v> </v>
      </c>
      <c r="K4704" s="26" t="str">
        <f>IF(OR(E4704="",E4704="!!!",F4704="NEW"),"",INDEX(J$1:J4703,SUMPRODUCT(MAX(ROW(E$1:E4703)*(E4704=E$1:E4703)))))</f>
        <v> </v>
      </c>
      <c r="L4704" s="27"/>
    </row>
    <row r="4705" spans="1:12">
      <c r="A4705" s="20" t="s">
        <v>2748</v>
      </c>
      <c r="E4705" s="22">
        <f>IF(D4705="?OLD","!!!","")</f>
        <v/>
      </c>
      <c r="F4705" s="23" t="str">
        <f>IF(OR(E4705="",E4705="!!!"),"",IF(NOT(ISNA(VLOOKUP(E4705,E$1:E4704,1,FALSE()))),"OLD",IF(AND(E4705&lt;&gt;"",E4705&lt;&gt;"!!!"),"NEW","")))</f>
        <v> </v>
      </c>
      <c r="G4705" s="24" t="str">
        <f>IF(OR(E4705="",E4705="!!!"),"",IF(OR(J4705=0,AND(J4705=1,K4705=1),AND(J4705=1,I4705="SBJ"),AND(J4705=1,I4705=0)),"?IN_FOCUS",IF(J4705&lt;=2,"?ACTIVATED",IF(J4705&lt;&gt;"","?FAMILIAR",IF(F4705="NEW",IF(ISNA(VLOOKUP(E4705,#REF!,1,FALSE())),"?TYPE_IDENTIFIABLE","?REFERENTIAL"),"_")))))</f>
        <v> </v>
      </c>
      <c r="H4705" s="25" t="str">
        <f>IF(J4705&lt;&gt;1,"",IF(I4705="SBJ","CB","?"))</f>
        <v> </v>
      </c>
      <c r="I4705" s="26" t="str">
        <f>IF(OR(E4705="",E4705="!!!",F4705="NEW"),"",INDEX(B4704:B$2,-1+SUMPRODUCT(MAX(ROW(E4704:E$2)*(E4705=E4704:E$2)))))</f>
        <v> </v>
      </c>
      <c r="J4705" s="26" t="str">
        <f>IF(OR(E4705="",E4705="!!!",F4705="NEW"),"",COUNTBLANK(OFFSET(A$1,,,SUMPRODUCT(MAX(ROW(E$2:E4705)*(E4705=E$2:E4705)))))-COUNTBLANK(OFFSET(A$1,,,SUMPRODUCT(MAX(ROW(E$1:E4704)*(E2=E$1:E4704))))))</f>
        <v> </v>
      </c>
      <c r="K4705" s="26" t="str">
        <f>IF(OR(E4705="",E4705="!!!",F4705="NEW"),"",INDEX(J$1:J4704,SUMPRODUCT(MAX(ROW(E$1:E4704)*(E4705=E$1:E4704)))))</f>
        <v> </v>
      </c>
      <c r="L4705" s="27"/>
    </row>
    <row r="4706" spans="1:12">
      <c r="A4706" s="20" t="s">
        <v>1245</v>
      </c>
      <c r="E4706" s="22">
        <f>IF(D4706="?OLD","!!!","")</f>
        <v/>
      </c>
      <c r="F4706" s="23" t="str">
        <f>IF(OR(E4706="",E4706="!!!"),"",IF(NOT(ISNA(VLOOKUP(E4706,E$1:E4705,1,FALSE()))),"OLD",IF(AND(E4706&lt;&gt;"",E4706&lt;&gt;"!!!"),"NEW","")))</f>
        <v> </v>
      </c>
      <c r="G4706" s="24" t="str">
        <f>IF(OR(E4706="",E4706="!!!"),"",IF(OR(J4706=0,AND(J4706=1,K4706=1),AND(J4706=1,I4706="SBJ"),AND(J4706=1,I4706=0)),"?IN_FOCUS",IF(J4706&lt;=2,"?ACTIVATED",IF(J4706&lt;&gt;"","?FAMILIAR",IF(F4706="NEW",IF(ISNA(VLOOKUP(E4706,#REF!,1,FALSE())),"?TYPE_IDENTIFIABLE","?REFERENTIAL"),"_")))))</f>
        <v> </v>
      </c>
      <c r="H4706" s="25" t="str">
        <f>IF(J4706&lt;&gt;1,"",IF(I4706="SBJ","CB","?"))</f>
        <v> </v>
      </c>
      <c r="I4706" s="26" t="str">
        <f>IF(OR(E4706="",E4706="!!!",F4706="NEW"),"",INDEX(B4705:B$2,-1+SUMPRODUCT(MAX(ROW(E4705:E$2)*(E4706=E4705:E$2)))))</f>
        <v> </v>
      </c>
      <c r="J4706" s="26" t="str">
        <f>IF(OR(E4706="",E4706="!!!",F4706="NEW"),"",COUNTBLANK(OFFSET(A$1,,,SUMPRODUCT(MAX(ROW(E$2:E4706)*(E4706=E$2:E4706)))))-COUNTBLANK(OFFSET(A$1,,,SUMPRODUCT(MAX(ROW(E$1:E4705)*(E2=E$1:E4705))))))</f>
        <v> </v>
      </c>
      <c r="K4706" s="26" t="str">
        <f>IF(OR(E4706="",E4706="!!!",F4706="NEW"),"",INDEX(J$1:J4705,SUMPRODUCT(MAX(ROW(E$1:E4705)*(E4706=E$1:E4705)))))</f>
        <v> </v>
      </c>
      <c r="L4706" s="27"/>
    </row>
    <row r="4707" spans="1:12">
      <c r="A4707" s="20" t="s">
        <v>1649</v>
      </c>
      <c r="E4707" s="22">
        <f>IF(D4707="?OLD","!!!","")</f>
        <v/>
      </c>
      <c r="F4707" s="23" t="str">
        <f>IF(OR(E4707="",E4707="!!!"),"",IF(NOT(ISNA(VLOOKUP(E4707,E$1:E4706,1,FALSE()))),"OLD",IF(AND(E4707&lt;&gt;"",E4707&lt;&gt;"!!!"),"NEW","")))</f>
        <v> </v>
      </c>
      <c r="G4707" s="24" t="str">
        <f>IF(OR(E4707="",E4707="!!!"),"",IF(OR(J4707=0,AND(J4707=1,K4707=1),AND(J4707=1,I4707="SBJ"),AND(J4707=1,I4707=0)),"?IN_FOCUS",IF(J4707&lt;=2,"?ACTIVATED",IF(J4707&lt;&gt;"","?FAMILIAR",IF(F4707="NEW",IF(ISNA(VLOOKUP(E4707,#REF!,1,FALSE())),"?TYPE_IDENTIFIABLE","?REFERENTIAL"),"_")))))</f>
        <v> </v>
      </c>
      <c r="H4707" s="25" t="str">
        <f>IF(J4707&lt;&gt;1,"",IF(I4707="SBJ","CB","?"))</f>
        <v> </v>
      </c>
      <c r="I4707" s="26" t="str">
        <f>IF(OR(E4707="",E4707="!!!",F4707="NEW"),"",INDEX(B4706:B$2,-1+SUMPRODUCT(MAX(ROW(E4706:E$2)*(E4707=E4706:E$2)))))</f>
        <v> </v>
      </c>
      <c r="J4707" s="26" t="str">
        <f>IF(OR(E4707="",E4707="!!!",F4707="NEW"),"",COUNTBLANK(OFFSET(A$1,,,SUMPRODUCT(MAX(ROW(E$2:E4707)*(E4707=E$2:E4707)))))-COUNTBLANK(OFFSET(A$1,,,SUMPRODUCT(MAX(ROW(E$1:E4706)*(E2=E$1:E4706))))))</f>
        <v> </v>
      </c>
      <c r="K4707" s="26" t="str">
        <f>IF(OR(E4707="",E4707="!!!",F4707="NEW"),"",INDEX(J$1:J4706,SUMPRODUCT(MAX(ROW(E$1:E4706)*(E4707=E$1:E4706)))))</f>
        <v> </v>
      </c>
      <c r="L4707" s="27"/>
    </row>
    <row r="4708" spans="1:12">
      <c r="A4708" s="20" t="s">
        <v>1650</v>
      </c>
      <c r="B4708" s="21" t="s">
        <v>1254</v>
      </c>
      <c r="C4708" s="21" t="s">
        <v>1225</v>
      </c>
      <c r="D4708" s="21" t="s">
        <v>1217</v>
      </c>
      <c r="E4708" s="22">
        <f>IF(D4708="?OLD","!!!","")</f>
        <v/>
      </c>
      <c r="F4708" s="23" t="str">
        <f>IF(OR(E4708="",E4708="!!!"),"",IF(NOT(ISNA(VLOOKUP(E4708,E$1:E4707,1,FALSE()))),"OLD",IF(AND(E4708&lt;&gt;"",E4708&lt;&gt;"!!!"),"NEW","")))</f>
        <v> </v>
      </c>
      <c r="G4708" s="24" t="str">
        <f>IF(OR(E4708="",E4708="!!!"),"",IF(OR(J4708=0,AND(J4708=1,K4708=1),AND(J4708=1,I4708="SBJ"),AND(J4708=1,I4708=0)),"?IN_FOCUS",IF(J4708&lt;=2,"?ACTIVATED",IF(J4708&lt;&gt;"","?FAMILIAR",IF(F4708="NEW",IF(ISNA(VLOOKUP(E4708,#REF!,1,FALSE())),"?TYPE_IDENTIFIABLE","?REFERENTIAL"),"_")))))</f>
        <v> </v>
      </c>
      <c r="H4708" s="25" t="str">
        <f>IF(J4708&lt;&gt;1,"",IF(I4708="SBJ","CB","?"))</f>
        <v> </v>
      </c>
      <c r="I4708" s="26" t="str">
        <f>IF(OR(E4708="",E4708="!!!",F4708="NEW"),"",INDEX(B4707:B$2,-1+SUMPRODUCT(MAX(ROW(E4707:E$2)*(E4708=E4707:E$2)))))</f>
        <v> </v>
      </c>
      <c r="J4708" s="26" t="str">
        <f>IF(OR(E4708="",E4708="!!!",F4708="NEW"),"",COUNTBLANK(OFFSET(A$1,,,SUMPRODUCT(MAX(ROW(E$2:E4708)*(E4708=E$2:E4708)))))-COUNTBLANK(OFFSET(A$1,,,SUMPRODUCT(MAX(ROW(E$1:E4707)*(E2=E$1:E4707))))))</f>
        <v> </v>
      </c>
      <c r="K4708" s="26" t="str">
        <f>IF(OR(E4708="",E4708="!!!",F4708="NEW"),"",INDEX(J$1:J4707,SUMPRODUCT(MAX(ROW(E$1:E4707)*(E4708=E$1:E4707)))))</f>
        <v> </v>
      </c>
      <c r="L4708" s="27"/>
    </row>
    <row r="4709" spans="1:12">
      <c r="A4709" s="20" t="s">
        <v>1323</v>
      </c>
      <c r="E4709" s="22">
        <f>IF(D4709="?OLD","!!!","")</f>
        <v/>
      </c>
      <c r="F4709" s="23" t="str">
        <f>IF(OR(E4709="",E4709="!!!"),"",IF(NOT(ISNA(VLOOKUP(E4709,E$1:E4708,1,FALSE()))),"OLD",IF(AND(E4709&lt;&gt;"",E4709&lt;&gt;"!!!"),"NEW","")))</f>
        <v> </v>
      </c>
      <c r="G4709" s="24" t="str">
        <f>IF(OR(E4709="",E4709="!!!"),"",IF(OR(J4709=0,AND(J4709=1,K4709=1),AND(J4709=1,I4709="SBJ"),AND(J4709=1,I4709=0)),"?IN_FOCUS",IF(J4709&lt;=2,"?ACTIVATED",IF(J4709&lt;&gt;"","?FAMILIAR",IF(F4709="NEW",IF(ISNA(VLOOKUP(E4709,#REF!,1,FALSE())),"?TYPE_IDENTIFIABLE","?REFERENTIAL"),"_")))))</f>
        <v> </v>
      </c>
      <c r="H4709" s="25" t="str">
        <f>IF(J4709&lt;&gt;1,"",IF(I4709="SBJ","CB","?"))</f>
        <v> </v>
      </c>
      <c r="I4709" s="26" t="str">
        <f>IF(OR(E4709="",E4709="!!!",F4709="NEW"),"",INDEX(B4708:B$2,-1+SUMPRODUCT(MAX(ROW(E4708:E$2)*(E4709=E4708:E$2)))))</f>
        <v> </v>
      </c>
      <c r="J4709" s="26" t="str">
        <f>IF(OR(E4709="",E4709="!!!",F4709="NEW"),"",COUNTBLANK(OFFSET(A$1,,,SUMPRODUCT(MAX(ROW(E$2:E4709)*(E4709=E$2:E4709)))))-COUNTBLANK(OFFSET(A$1,,,SUMPRODUCT(MAX(ROW(E$1:E4708)*(E2=E$1:E4708))))))</f>
        <v> </v>
      </c>
      <c r="K4709" s="26" t="str">
        <f>IF(OR(E4709="",E4709="!!!",F4709="NEW"),"",INDEX(J$1:J4708,SUMPRODUCT(MAX(ROW(E$1:E4708)*(E4709=E$1:E4708)))))</f>
        <v> </v>
      </c>
      <c r="L4709" s="27"/>
    </row>
    <row r="4710" spans="1:12">
      <c r="A4710" s="20" t="s">
        <v>2749</v>
      </c>
      <c r="B4710" s="21" t="s">
        <v>1292</v>
      </c>
      <c r="C4710" s="21" t="s">
        <v>1269</v>
      </c>
      <c r="D4710" s="21" t="s">
        <v>1217</v>
      </c>
      <c r="E4710" s="22">
        <f>IF(D4710="?OLD","!!!","")</f>
        <v/>
      </c>
      <c r="F4710" s="23" t="str">
        <f>IF(OR(E4710="",E4710="!!!"),"",IF(NOT(ISNA(VLOOKUP(E4710,E$1:E4709,1,FALSE()))),"OLD",IF(AND(E4710&lt;&gt;"",E4710&lt;&gt;"!!!"),"NEW","")))</f>
        <v> </v>
      </c>
      <c r="G4710" s="24" t="str">
        <f>IF(OR(E4710="",E4710="!!!"),"",IF(OR(J4710=0,AND(J4710=1,K4710=1),AND(J4710=1,I4710="SBJ"),AND(J4710=1,I4710=0)),"?IN_FOCUS",IF(J4710&lt;=2,"?ACTIVATED",IF(J4710&lt;&gt;"","?FAMILIAR",IF(F4710="NEW",IF(ISNA(VLOOKUP(E4710,#REF!,1,FALSE())),"?TYPE_IDENTIFIABLE","?REFERENTIAL"),"_")))))</f>
        <v> </v>
      </c>
      <c r="H4710" s="25" t="str">
        <f>IF(J4710&lt;&gt;1,"",IF(I4710="SBJ","CB","?"))</f>
        <v> </v>
      </c>
      <c r="I4710" s="26" t="str">
        <f>IF(OR(E4710="",E4710="!!!",F4710="NEW"),"",INDEX(B4709:B$2,-1+SUMPRODUCT(MAX(ROW(E4709:E$2)*(E4710=E4709:E$2)))))</f>
        <v> </v>
      </c>
      <c r="J4710" s="26" t="str">
        <f>IF(OR(E4710="",E4710="!!!",F4710="NEW"),"",COUNTBLANK(OFFSET(A$1,,,SUMPRODUCT(MAX(ROW(E$2:E4710)*(E4710=E$2:E4710)))))-COUNTBLANK(OFFSET(A$1,,,SUMPRODUCT(MAX(ROW(E$1:E4709)*(E2=E$1:E4709))))))</f>
        <v> </v>
      </c>
      <c r="K4710" s="26" t="str">
        <f>IF(OR(E4710="",E4710="!!!",F4710="NEW"),"",INDEX(J$1:J4709,SUMPRODUCT(MAX(ROW(E$1:E4709)*(E4710=E$1:E4709)))))</f>
        <v> </v>
      </c>
      <c r="L4710" s="27"/>
    </row>
    <row r="4711" spans="1:12">
      <c r="A4711" s="20" t="s">
        <v>1286</v>
      </c>
      <c r="E4711" s="22">
        <f>IF(D4711="?OLD","!!!","")</f>
        <v/>
      </c>
      <c r="F4711" s="23" t="str">
        <f>IF(OR(E4711="",E4711="!!!"),"",IF(NOT(ISNA(VLOOKUP(E4711,E$1:E4710,1,FALSE()))),"OLD",IF(AND(E4711&lt;&gt;"",E4711&lt;&gt;"!!!"),"NEW","")))</f>
        <v> </v>
      </c>
      <c r="G4711" s="24" t="str">
        <f>IF(OR(E4711="",E4711="!!!"),"",IF(OR(J4711=0,AND(J4711=1,K4711=1),AND(J4711=1,I4711="SBJ"),AND(J4711=1,I4711=0)),"?IN_FOCUS",IF(J4711&lt;=2,"?ACTIVATED",IF(J4711&lt;&gt;"","?FAMILIAR",IF(F4711="NEW",IF(ISNA(VLOOKUP(E4711,#REF!,1,FALSE())),"?TYPE_IDENTIFIABLE","?REFERENTIAL"),"_")))))</f>
        <v> </v>
      </c>
      <c r="H4711" s="25" t="str">
        <f>IF(J4711&lt;&gt;1,"",IF(I4711="SBJ","CB","?"))</f>
        <v> </v>
      </c>
      <c r="I4711" s="26" t="str">
        <f>IF(OR(E4711="",E4711="!!!",F4711="NEW"),"",INDEX(B4710:B$2,-1+SUMPRODUCT(MAX(ROW(E4710:E$2)*(E4711=E4710:E$2)))))</f>
        <v> </v>
      </c>
      <c r="J4711" s="26" t="str">
        <f>IF(OR(E4711="",E4711="!!!",F4711="NEW"),"",COUNTBLANK(OFFSET(A$1,,,SUMPRODUCT(MAX(ROW(E$2:E4711)*(E4711=E$2:E4711)))))-COUNTBLANK(OFFSET(A$1,,,SUMPRODUCT(MAX(ROW(E$1:E4710)*(E2=E$1:E4710))))))</f>
        <v> </v>
      </c>
      <c r="K4711" s="26" t="str">
        <f>IF(OR(E4711="",E4711="!!!",F4711="NEW"),"",INDEX(J$1:J4710,SUMPRODUCT(MAX(ROW(E$1:E4710)*(E4711=E$1:E4710)))))</f>
        <v> </v>
      </c>
      <c r="L4711" s="27"/>
    </row>
    <row r="4712" spans="1:12">
      <c r="A4712" s="20" t="s">
        <v>1323</v>
      </c>
      <c r="E4712" s="22">
        <f>IF(D4712="?OLD","!!!","")</f>
        <v/>
      </c>
      <c r="F4712" s="23" t="str">
        <f>IF(OR(E4712="",E4712="!!!"),"",IF(NOT(ISNA(VLOOKUP(E4712,E$1:E4711,1,FALSE()))),"OLD",IF(AND(E4712&lt;&gt;"",E4712&lt;&gt;"!!!"),"NEW","")))</f>
        <v> </v>
      </c>
      <c r="G4712" s="24" t="str">
        <f>IF(OR(E4712="",E4712="!!!"),"",IF(OR(J4712=0,AND(J4712=1,K4712=1),AND(J4712=1,I4712="SBJ"),AND(J4712=1,I4712=0)),"?IN_FOCUS",IF(J4712&lt;=2,"?ACTIVATED",IF(J4712&lt;&gt;"","?FAMILIAR",IF(F4712="NEW",IF(ISNA(VLOOKUP(E4712,#REF!,1,FALSE())),"?TYPE_IDENTIFIABLE","?REFERENTIAL"),"_")))))</f>
        <v> </v>
      </c>
      <c r="H4712" s="25" t="str">
        <f>IF(J4712&lt;&gt;1,"",IF(I4712="SBJ","CB","?"))</f>
        <v> </v>
      </c>
      <c r="I4712" s="26" t="str">
        <f>IF(OR(E4712="",E4712="!!!",F4712="NEW"),"",INDEX(B4711:B$2,-1+SUMPRODUCT(MAX(ROW(E4711:E$2)*(E4712=E4711:E$2)))))</f>
        <v> </v>
      </c>
      <c r="J4712" s="26" t="str">
        <f>IF(OR(E4712="",E4712="!!!",F4712="NEW"),"",COUNTBLANK(OFFSET(A$1,,,SUMPRODUCT(MAX(ROW(E$2:E4712)*(E4712=E$2:E4712)))))-COUNTBLANK(OFFSET(A$1,,,SUMPRODUCT(MAX(ROW(E$1:E4711)*(E2=E$1:E4711))))))</f>
        <v> </v>
      </c>
      <c r="K4712" s="26" t="str">
        <f>IF(OR(E4712="",E4712="!!!",F4712="NEW"),"",INDEX(J$1:J4711,SUMPRODUCT(MAX(ROW(E$1:E4711)*(E4712=E$1:E4711)))))</f>
        <v> </v>
      </c>
      <c r="L4712" s="27"/>
    </row>
    <row r="4713" spans="1:12">
      <c r="A4713" s="20" t="s">
        <v>2750</v>
      </c>
      <c r="B4713" s="21" t="s">
        <v>1261</v>
      </c>
      <c r="C4713" s="21" t="s">
        <v>1269</v>
      </c>
      <c r="D4713" s="21" t="s">
        <v>1217</v>
      </c>
      <c r="E4713" s="22">
        <f>IF(D4713="?OLD","!!!","")</f>
        <v/>
      </c>
      <c r="F4713" s="23" t="str">
        <f>IF(OR(E4713="",E4713="!!!"),"",IF(NOT(ISNA(VLOOKUP(E4713,E$1:E4712,1,FALSE()))),"OLD",IF(AND(E4713&lt;&gt;"",E4713&lt;&gt;"!!!"),"NEW","")))</f>
        <v> </v>
      </c>
      <c r="G4713" s="24" t="str">
        <f>IF(OR(E4713="",E4713="!!!"),"",IF(OR(J4713=0,AND(J4713=1,K4713=1),AND(J4713=1,I4713="SBJ"),AND(J4713=1,I4713=0)),"?IN_FOCUS",IF(J4713&lt;=2,"?ACTIVATED",IF(J4713&lt;&gt;"","?FAMILIAR",IF(F4713="NEW",IF(ISNA(VLOOKUP(E4713,#REF!,1,FALSE())),"?TYPE_IDENTIFIABLE","?REFERENTIAL"),"_")))))</f>
        <v> </v>
      </c>
      <c r="H4713" s="25" t="str">
        <f>IF(J4713&lt;&gt;1,"",IF(I4713="SBJ","CB","?"))</f>
        <v> </v>
      </c>
      <c r="I4713" s="26" t="str">
        <f>IF(OR(E4713="",E4713="!!!",F4713="NEW"),"",INDEX(B4712:B$2,-1+SUMPRODUCT(MAX(ROW(E4712:E$2)*(E4713=E4712:E$2)))))</f>
        <v> </v>
      </c>
      <c r="J4713" s="26" t="str">
        <f>IF(OR(E4713="",E4713="!!!",F4713="NEW"),"",COUNTBLANK(OFFSET(A$1,,,SUMPRODUCT(MAX(ROW(E$2:E4713)*(E4713=E$2:E4713)))))-COUNTBLANK(OFFSET(A$1,,,SUMPRODUCT(MAX(ROW(E$1:E4712)*(E2=E$1:E4712))))))</f>
        <v> </v>
      </c>
      <c r="K4713" s="26" t="str">
        <f>IF(OR(E4713="",E4713="!!!",F4713="NEW"),"",INDEX(J$1:J4712,SUMPRODUCT(MAX(ROW(E$1:E4712)*(E4713=E$1:E4712)))))</f>
        <v> </v>
      </c>
      <c r="L4713" s="27"/>
    </row>
    <row r="4714" spans="1:12">
      <c r="A4714" s="20" t="s">
        <v>1358</v>
      </c>
      <c r="B4714" s="21" t="s">
        <v>1894</v>
      </c>
      <c r="E4714" s="22">
        <f>IF(D4714="?OLD","!!!","")</f>
        <v/>
      </c>
      <c r="F4714" s="23" t="str">
        <f>IF(OR(E4714="",E4714="!!!"),"",IF(NOT(ISNA(VLOOKUP(E4714,E$1:E4713,1,FALSE()))),"OLD",IF(AND(E4714&lt;&gt;"",E4714&lt;&gt;"!!!"),"NEW","")))</f>
        <v> </v>
      </c>
      <c r="G4714" s="24" t="str">
        <f>IF(OR(E4714="",E4714="!!!"),"",IF(OR(J4714=0,AND(J4714=1,K4714=1),AND(J4714=1,I4714="SBJ"),AND(J4714=1,I4714=0)),"?IN_FOCUS",IF(J4714&lt;=2,"?ACTIVATED",IF(J4714&lt;&gt;"","?FAMILIAR",IF(F4714="NEW",IF(ISNA(VLOOKUP(E4714,#REF!,1,FALSE())),"?TYPE_IDENTIFIABLE","?REFERENTIAL"),"_")))))</f>
        <v> </v>
      </c>
      <c r="H4714" s="25" t="str">
        <f>IF(J4714&lt;&gt;1,"",IF(I4714="SBJ","CB","?"))</f>
        <v> </v>
      </c>
      <c r="I4714" s="26" t="str">
        <f>IF(OR(E4714="",E4714="!!!",F4714="NEW"),"",INDEX(B4713:B$2,-1+SUMPRODUCT(MAX(ROW(E4713:E$2)*(E4714=E4713:E$2)))))</f>
        <v> </v>
      </c>
      <c r="J4714" s="26" t="str">
        <f>IF(OR(E4714="",E4714="!!!",F4714="NEW"),"",COUNTBLANK(OFFSET(A$1,,,SUMPRODUCT(MAX(ROW(E$2:E4714)*(E4714=E$2:E4714)))))-COUNTBLANK(OFFSET(A$1,,,SUMPRODUCT(MAX(ROW(E$1:E4713)*(E2=E$1:E4713))))))</f>
        <v> </v>
      </c>
      <c r="K4714" s="26" t="str">
        <f>IF(OR(E4714="",E4714="!!!",F4714="NEW"),"",INDEX(J$1:J4713,SUMPRODUCT(MAX(ROW(E$1:E4713)*(E4714=E$1:E4713)))))</f>
        <v> </v>
      </c>
      <c r="L4714" s="27"/>
    </row>
    <row r="4715" spans="1:12">
      <c r="A4715" s="20" t="s">
        <v>565</v>
      </c>
      <c r="B4715" s="21" t="s">
        <v>1748</v>
      </c>
      <c r="C4715" s="21" t="s">
        <v>1255</v>
      </c>
      <c r="D4715" s="21" t="s">
        <v>1217</v>
      </c>
      <c r="E4715" s="22">
        <f>IF(D4715="?OLD","!!!","")</f>
        <v/>
      </c>
      <c r="F4715" s="23" t="str">
        <f>IF(OR(E4715="",E4715="!!!"),"",IF(NOT(ISNA(VLOOKUP(E4715,E$1:E4714,1,FALSE()))),"OLD",IF(AND(E4715&lt;&gt;"",E4715&lt;&gt;"!!!"),"NEW","")))</f>
        <v> </v>
      </c>
      <c r="G4715" s="24" t="str">
        <f>IF(OR(E4715="",E4715="!!!"),"",IF(OR(J4715=0,AND(J4715=1,K4715=1),AND(J4715=1,I4715="SBJ"),AND(J4715=1,I4715=0)),"?IN_FOCUS",IF(J4715&lt;=2,"?ACTIVATED",IF(J4715&lt;&gt;"","?FAMILIAR",IF(F4715="NEW",IF(ISNA(VLOOKUP(E4715,#REF!,1,FALSE())),"?TYPE_IDENTIFIABLE","?REFERENTIAL"),"_")))))</f>
        <v> </v>
      </c>
      <c r="H4715" s="25" t="str">
        <f>IF(J4715&lt;&gt;1,"",IF(I4715="SBJ","CB","?"))</f>
        <v> </v>
      </c>
      <c r="I4715" s="26" t="str">
        <f>IF(OR(E4715="",E4715="!!!",F4715="NEW"),"",INDEX(B4714:B$2,-1+SUMPRODUCT(MAX(ROW(E4714:E$2)*(E4715=E4714:E$2)))))</f>
        <v> </v>
      </c>
      <c r="J4715" s="26" t="str">
        <f>IF(OR(E4715="",E4715="!!!",F4715="NEW"),"",COUNTBLANK(OFFSET(A$1,,,SUMPRODUCT(MAX(ROW(E$2:E4715)*(E4715=E$2:E4715)))))-COUNTBLANK(OFFSET(A$1,,,SUMPRODUCT(MAX(ROW(E$1:E4714)*(E2=E$1:E4714))))))</f>
        <v> </v>
      </c>
      <c r="K4715" s="26" t="str">
        <f>IF(OR(E4715="",E4715="!!!",F4715="NEW"),"",INDEX(J$1:J4714,SUMPRODUCT(MAX(ROW(E$1:E4714)*(E4715=E$1:E4714)))))</f>
        <v> </v>
      </c>
      <c r="L4715" s="27"/>
    </row>
    <row r="4716" spans="1:12">
      <c r="A4716" s="20" t="s">
        <v>2751</v>
      </c>
      <c r="E4716" s="22">
        <f>IF(D4716="?OLD","!!!","")</f>
        <v/>
      </c>
      <c r="F4716" s="23" t="str">
        <f>IF(OR(E4716="",E4716="!!!"),"",IF(NOT(ISNA(VLOOKUP(E4716,E$1:E4715,1,FALSE()))),"OLD",IF(AND(E4716&lt;&gt;"",E4716&lt;&gt;"!!!"),"NEW","")))</f>
        <v> </v>
      </c>
      <c r="G4716" s="24" t="str">
        <f>IF(OR(E4716="",E4716="!!!"),"",IF(OR(J4716=0,AND(J4716=1,K4716=1),AND(J4716=1,I4716="SBJ"),AND(J4716=1,I4716=0)),"?IN_FOCUS",IF(J4716&lt;=2,"?ACTIVATED",IF(J4716&lt;&gt;"","?FAMILIAR",IF(F4716="NEW",IF(ISNA(VLOOKUP(E4716,#REF!,1,FALSE())),"?TYPE_IDENTIFIABLE","?REFERENTIAL"),"_")))))</f>
        <v> </v>
      </c>
      <c r="H4716" s="25" t="str">
        <f>IF(J4716&lt;&gt;1,"",IF(I4716="SBJ","CB","?"))</f>
        <v> </v>
      </c>
      <c r="I4716" s="26" t="str">
        <f>IF(OR(E4716="",E4716="!!!",F4716="NEW"),"",INDEX(B4715:B$2,-1+SUMPRODUCT(MAX(ROW(E4715:E$2)*(E4716=E4715:E$2)))))</f>
        <v> </v>
      </c>
      <c r="J4716" s="26" t="str">
        <f>IF(OR(E4716="",E4716="!!!",F4716="NEW"),"",COUNTBLANK(OFFSET(A$1,,,SUMPRODUCT(MAX(ROW(E$2:E4716)*(E4716=E$2:E4716)))))-COUNTBLANK(OFFSET(A$1,,,SUMPRODUCT(MAX(ROW(E$1:E4715)*(E2=E$1:E4715))))))</f>
        <v> </v>
      </c>
      <c r="K4716" s="26" t="str">
        <f>IF(OR(E4716="",E4716="!!!",F4716="NEW"),"",INDEX(J$1:J4715,SUMPRODUCT(MAX(ROW(E$1:E4715)*(E4716=E$1:E4715)))))</f>
        <v> </v>
      </c>
      <c r="L4716" s="27"/>
    </row>
    <row r="4717" spans="1:12">
      <c r="A4717" s="20" t="s">
        <v>1833</v>
      </c>
      <c r="E4717" s="22">
        <f>IF(D4717="?OLD","!!!","")</f>
        <v/>
      </c>
      <c r="F4717" s="23" t="str">
        <f>IF(OR(E4717="",E4717="!!!"),"",IF(NOT(ISNA(VLOOKUP(E4717,E$1:E4716,1,FALSE()))),"OLD",IF(AND(E4717&lt;&gt;"",E4717&lt;&gt;"!!!"),"NEW","")))</f>
        <v> </v>
      </c>
      <c r="G4717" s="24" t="str">
        <f>IF(OR(E4717="",E4717="!!!"),"",IF(OR(J4717=0,AND(J4717=1,K4717=1),AND(J4717=1,I4717="SBJ"),AND(J4717=1,I4717=0)),"?IN_FOCUS",IF(J4717&lt;=2,"?ACTIVATED",IF(J4717&lt;&gt;"","?FAMILIAR",IF(F4717="NEW",IF(ISNA(VLOOKUP(E4717,#REF!,1,FALSE())),"?TYPE_IDENTIFIABLE","?REFERENTIAL"),"_")))))</f>
        <v> </v>
      </c>
      <c r="H4717" s="25" t="str">
        <f>IF(J4717&lt;&gt;1,"",IF(I4717="SBJ","CB","?"))</f>
        <v> </v>
      </c>
      <c r="I4717" s="26" t="str">
        <f>IF(OR(E4717="",E4717="!!!",F4717="NEW"),"",INDEX(B4716:B$2,-1+SUMPRODUCT(MAX(ROW(E4716:E$2)*(E4717=E4716:E$2)))))</f>
        <v> </v>
      </c>
      <c r="J4717" s="26" t="str">
        <f>IF(OR(E4717="",E4717="!!!",F4717="NEW"),"",COUNTBLANK(OFFSET(A$1,,,SUMPRODUCT(MAX(ROW(E$2:E4717)*(E4717=E$2:E4717)))))-COUNTBLANK(OFFSET(A$1,,,SUMPRODUCT(MAX(ROW(E$1:E4716)*(E2=E$1:E4716))))))</f>
        <v> </v>
      </c>
      <c r="K4717" s="26" t="str">
        <f>IF(OR(E4717="",E4717="!!!",F4717="NEW"),"",INDEX(J$1:J4716,SUMPRODUCT(MAX(ROW(E$1:E4716)*(E4717=E$1:E4716)))))</f>
        <v> </v>
      </c>
      <c r="L4717" s="27"/>
    </row>
    <row r="4718" spans="1:12">
      <c r="A4718" s="20" t="s">
        <v>1218</v>
      </c>
      <c r="E4718" s="22">
        <f>IF(D4718="?OLD","!!!","")</f>
        <v/>
      </c>
      <c r="F4718" s="23" t="str">
        <f>IF(OR(E4718="",E4718="!!!"),"",IF(NOT(ISNA(VLOOKUP(E4718,E$1:E4717,1,FALSE()))),"OLD",IF(AND(E4718&lt;&gt;"",E4718&lt;&gt;"!!!"),"NEW","")))</f>
        <v> </v>
      </c>
      <c r="G4718" s="24" t="str">
        <f>IF(OR(E4718="",E4718="!!!"),"",IF(OR(J4718=0,AND(J4718=1,K4718=1),AND(J4718=1,I4718="SBJ"),AND(J4718=1,I4718=0)),"?IN_FOCUS",IF(J4718&lt;=2,"?ACTIVATED",IF(J4718&lt;&gt;"","?FAMILIAR",IF(F4718="NEW",IF(ISNA(VLOOKUP(E4718,#REF!,1,FALSE())),"?TYPE_IDENTIFIABLE","?REFERENTIAL"),"_")))))</f>
        <v> </v>
      </c>
      <c r="H4718" s="25" t="str">
        <f>IF(J4718&lt;&gt;1,"",IF(I4718="SBJ","CB","?"))</f>
        <v> </v>
      </c>
      <c r="I4718" s="26" t="str">
        <f>IF(OR(E4718="",E4718="!!!",F4718="NEW"),"",INDEX(B4717:B$2,-1+SUMPRODUCT(MAX(ROW(E4717:E$2)*(E4718=E4717:E$2)))))</f>
        <v> </v>
      </c>
      <c r="J4718" s="26" t="str">
        <f>IF(OR(E4718="",E4718="!!!",F4718="NEW"),"",COUNTBLANK(OFFSET(A$1,,,SUMPRODUCT(MAX(ROW(E$2:E4718)*(E4718=E$2:E4718)))))-COUNTBLANK(OFFSET(A$1,,,SUMPRODUCT(MAX(ROW(E$1:E4717)*(E2=E$1:E4717))))))</f>
        <v> </v>
      </c>
      <c r="K4718" s="26" t="str">
        <f>IF(OR(E4718="",E4718="!!!",F4718="NEW"),"",INDEX(J$1:J4717,SUMPRODUCT(MAX(ROW(E$1:E4717)*(E4718=E$1:E4717)))))</f>
        <v> </v>
      </c>
      <c r="L4718" s="27"/>
    </row>
    <row r="4719" spans="1:12">
      <c r="A4719" s="20" t="s">
        <v>376</v>
      </c>
      <c r="E4719" s="22">
        <f>IF(D4719="?OLD","!!!","")</f>
        <v/>
      </c>
      <c r="F4719" s="23" t="str">
        <f>IF(OR(E4719="",E4719="!!!"),"",IF(NOT(ISNA(VLOOKUP(E4719,E$1:E4718,1,FALSE()))),"OLD",IF(AND(E4719&lt;&gt;"",E4719&lt;&gt;"!!!"),"NEW","")))</f>
        <v> </v>
      </c>
      <c r="G4719" s="24" t="str">
        <f>IF(OR(E4719="",E4719="!!!"),"",IF(OR(J4719=0,AND(J4719=1,K4719=1),AND(J4719=1,I4719="SBJ"),AND(J4719=1,I4719=0)),"?IN_FOCUS",IF(J4719&lt;=2,"?ACTIVATED",IF(J4719&lt;&gt;"","?FAMILIAR",IF(F4719="NEW",IF(ISNA(VLOOKUP(E4719,#REF!,1,FALSE())),"?TYPE_IDENTIFIABLE","?REFERENTIAL"),"_")))))</f>
        <v> </v>
      </c>
      <c r="H4719" s="25" t="str">
        <f>IF(J4719&lt;&gt;1,"",IF(I4719="SBJ","CB","?"))</f>
        <v> </v>
      </c>
      <c r="I4719" s="26" t="str">
        <f>IF(OR(E4719="",E4719="!!!",F4719="NEW"),"",INDEX(B4718:B$2,-1+SUMPRODUCT(MAX(ROW(E4718:E$2)*(E4719=E4718:E$2)))))</f>
        <v> </v>
      </c>
      <c r="J4719" s="26" t="str">
        <f>IF(OR(E4719="",E4719="!!!",F4719="NEW"),"",COUNTBLANK(OFFSET(A$1,,,SUMPRODUCT(MAX(ROW(E$2:E4719)*(E4719=E$2:E4719)))))-COUNTBLANK(OFFSET(A$1,,,SUMPRODUCT(MAX(ROW(E$1:E4718)*(E2=E$1:E4718))))))</f>
        <v> </v>
      </c>
      <c r="K4719" s="26" t="str">
        <f>IF(OR(E4719="",E4719="!!!",F4719="NEW"),"",INDEX(J$1:J4718,SUMPRODUCT(MAX(ROW(E$1:E4718)*(E4719=E$1:E4718)))))</f>
        <v> </v>
      </c>
      <c r="L4719" s="27"/>
    </row>
    <row r="4720" spans="1:12">
      <c r="A4720" s="20" t="s">
        <v>2752</v>
      </c>
      <c r="B4720" s="21" t="s">
        <v>1380</v>
      </c>
      <c r="C4720" s="21" t="s">
        <v>1222</v>
      </c>
      <c r="D4720" s="21" t="s">
        <v>1217</v>
      </c>
      <c r="E4720" s="22">
        <f>IF(D4720="?OLD","!!!","")</f>
        <v/>
      </c>
      <c r="F4720" s="23" t="str">
        <f>IF(OR(E4720="",E4720="!!!"),"",IF(NOT(ISNA(VLOOKUP(E4720,E$1:E4719,1,FALSE()))),"OLD",IF(AND(E4720&lt;&gt;"",E4720&lt;&gt;"!!!"),"NEW","")))</f>
        <v> </v>
      </c>
      <c r="G4720" s="24" t="str">
        <f>IF(OR(E4720="",E4720="!!!"),"",IF(OR(J4720=0,AND(J4720=1,K4720=1),AND(J4720=1,I4720="SBJ"),AND(J4720=1,I4720=0)),"?IN_FOCUS",IF(J4720&lt;=2,"?ACTIVATED",IF(J4720&lt;&gt;"","?FAMILIAR",IF(F4720="NEW",IF(ISNA(VLOOKUP(E4720,#REF!,1,FALSE())),"?TYPE_IDENTIFIABLE","?REFERENTIAL"),"_")))))</f>
        <v> </v>
      </c>
      <c r="H4720" s="25" t="str">
        <f>IF(J4720&lt;&gt;1,"",IF(I4720="SBJ","CB","?"))</f>
        <v> </v>
      </c>
      <c r="I4720" s="26" t="str">
        <f>IF(OR(E4720="",E4720="!!!",F4720="NEW"),"",INDEX(B4719:B$2,-1+SUMPRODUCT(MAX(ROW(E4719:E$2)*(E4720=E4719:E$2)))))</f>
        <v> </v>
      </c>
      <c r="J4720" s="26" t="str">
        <f>IF(OR(E4720="",E4720="!!!",F4720="NEW"),"",COUNTBLANK(OFFSET(A$1,,,SUMPRODUCT(MAX(ROW(E$2:E4720)*(E4720=E$2:E4720)))))-COUNTBLANK(OFFSET(A$1,,,SUMPRODUCT(MAX(ROW(E$1:E4719)*(E2=E$1:E4719))))))</f>
        <v> </v>
      </c>
      <c r="K4720" s="26" t="str">
        <f>IF(OR(E4720="",E4720="!!!",F4720="NEW"),"",INDEX(J$1:J4719,SUMPRODUCT(MAX(ROW(E$1:E4719)*(E4720=E$1:E4719)))))</f>
        <v> </v>
      </c>
      <c r="L4720" s="27"/>
    </row>
    <row r="4721" spans="1:12">
      <c r="A4721" s="20" t="s">
        <v>1218</v>
      </c>
      <c r="E4721" s="22">
        <f>IF(D4721="?OLD","!!!","")</f>
        <v/>
      </c>
      <c r="F4721" s="23" t="str">
        <f>IF(OR(E4721="",E4721="!!!"),"",IF(NOT(ISNA(VLOOKUP(E4721,E$1:E4720,1,FALSE()))),"OLD",IF(AND(E4721&lt;&gt;"",E4721&lt;&gt;"!!!"),"NEW","")))</f>
        <v> </v>
      </c>
      <c r="G4721" s="24" t="str">
        <f>IF(OR(E4721="",E4721="!!!"),"",IF(OR(J4721=0,AND(J4721=1,K4721=1),AND(J4721=1,I4721="SBJ"),AND(J4721=1,I4721=0)),"?IN_FOCUS",IF(J4721&lt;=2,"?ACTIVATED",IF(J4721&lt;&gt;"","?FAMILIAR",IF(F4721="NEW",IF(ISNA(VLOOKUP(E4721,#REF!,1,FALSE())),"?TYPE_IDENTIFIABLE","?REFERENTIAL"),"_")))))</f>
        <v> </v>
      </c>
      <c r="H4721" s="25" t="str">
        <f>IF(J4721&lt;&gt;1,"",IF(I4721="SBJ","CB","?"))</f>
        <v> </v>
      </c>
      <c r="I4721" s="26" t="str">
        <f>IF(OR(E4721="",E4721="!!!",F4721="NEW"),"",INDEX(B4720:B$2,-1+SUMPRODUCT(MAX(ROW(E4720:E$2)*(E4721=E4720:E$2)))))</f>
        <v> </v>
      </c>
      <c r="J4721" s="26" t="str">
        <f>IF(OR(E4721="",E4721="!!!",F4721="NEW"),"",COUNTBLANK(OFFSET(A$1,,,SUMPRODUCT(MAX(ROW(E$2:E4721)*(E4721=E$2:E4721)))))-COUNTBLANK(OFFSET(A$1,,,SUMPRODUCT(MAX(ROW(E$1:E4720)*(E2=E$1:E4720))))))</f>
        <v> </v>
      </c>
      <c r="K4721" s="26" t="str">
        <f>IF(OR(E4721="",E4721="!!!",F4721="NEW"),"",INDEX(J$1:J4720,SUMPRODUCT(MAX(ROW(E$1:E4720)*(E4721=E$1:E4720)))))</f>
        <v> </v>
      </c>
      <c r="L4721" s="27"/>
    </row>
    <row r="4722" spans="1:12">
      <c r="A4722" s="20" t="s">
        <v>1329</v>
      </c>
      <c r="E4722" s="22">
        <f>IF(D4722="?OLD","!!!","")</f>
        <v/>
      </c>
      <c r="F4722" s="23" t="str">
        <f>IF(OR(E4722="",E4722="!!!"),"",IF(NOT(ISNA(VLOOKUP(E4722,E$1:E4721,1,FALSE()))),"OLD",IF(AND(E4722&lt;&gt;"",E4722&lt;&gt;"!!!"),"NEW","")))</f>
        <v> </v>
      </c>
      <c r="G4722" s="24" t="str">
        <f>IF(OR(E4722="",E4722="!!!"),"",IF(OR(J4722=0,AND(J4722=1,K4722=1),AND(J4722=1,I4722="SBJ"),AND(J4722=1,I4722=0)),"?IN_FOCUS",IF(J4722&lt;=2,"?ACTIVATED",IF(J4722&lt;&gt;"","?FAMILIAR",IF(F4722="NEW",IF(ISNA(VLOOKUP(E4722,#REF!,1,FALSE())),"?TYPE_IDENTIFIABLE","?REFERENTIAL"),"_")))))</f>
        <v> </v>
      </c>
      <c r="H4722" s="25" t="str">
        <f>IF(J4722&lt;&gt;1,"",IF(I4722="SBJ","CB","?"))</f>
        <v> </v>
      </c>
      <c r="I4722" s="26" t="str">
        <f>IF(OR(E4722="",E4722="!!!",F4722="NEW"),"",INDEX(B4721:B$2,-1+SUMPRODUCT(MAX(ROW(E4721:E$2)*(E4722=E4721:E$2)))))</f>
        <v> </v>
      </c>
      <c r="J4722" s="26" t="str">
        <f>IF(OR(E4722="",E4722="!!!",F4722="NEW"),"",COUNTBLANK(OFFSET(A$1,,,SUMPRODUCT(MAX(ROW(E$2:E4722)*(E4722=E$2:E4722)))))-COUNTBLANK(OFFSET(A$1,,,SUMPRODUCT(MAX(ROW(E$1:E4721)*(E2=E$1:E4721))))))</f>
        <v> </v>
      </c>
      <c r="K4722" s="26" t="str">
        <f>IF(OR(E4722="",E4722="!!!",F4722="NEW"),"",INDEX(J$1:J4721,SUMPRODUCT(MAX(ROW(E$1:E4721)*(E4722=E$1:E4721)))))</f>
        <v> </v>
      </c>
      <c r="L4722" s="27"/>
    </row>
    <row r="4723" spans="1:12">
      <c r="A4723" s="20" t="s">
        <v>2753</v>
      </c>
      <c r="B4723" s="21" t="s">
        <v>2754</v>
      </c>
      <c r="C4723" s="21" t="s">
        <v>1276</v>
      </c>
      <c r="D4723" s="21" t="s">
        <v>1217</v>
      </c>
      <c r="E4723" s="22">
        <f>IF(D4723="?OLD","!!!","")</f>
        <v/>
      </c>
      <c r="F4723" s="23" t="str">
        <f>IF(OR(E4723="",E4723="!!!"),"",IF(NOT(ISNA(VLOOKUP(E4723,E$1:E4722,1,FALSE()))),"OLD",IF(AND(E4723&lt;&gt;"",E4723&lt;&gt;"!!!"),"NEW","")))</f>
        <v> </v>
      </c>
      <c r="G4723" s="24" t="str">
        <f>IF(OR(E4723="",E4723="!!!"),"",IF(OR(J4723=0,AND(J4723=1,K4723=1),AND(J4723=1,I4723="SBJ"),AND(J4723=1,I4723=0)),"?IN_FOCUS",IF(J4723&lt;=2,"?ACTIVATED",IF(J4723&lt;&gt;"","?FAMILIAR",IF(F4723="NEW",IF(ISNA(VLOOKUP(E4723,#REF!,1,FALSE())),"?TYPE_IDENTIFIABLE","?REFERENTIAL"),"_")))))</f>
        <v> </v>
      </c>
      <c r="H4723" s="25" t="str">
        <f>IF(J4723&lt;&gt;1,"",IF(I4723="SBJ","CB","?"))</f>
        <v> </v>
      </c>
      <c r="I4723" s="26" t="str">
        <f>IF(OR(E4723="",E4723="!!!",F4723="NEW"),"",INDEX(B4722:B$2,-1+SUMPRODUCT(MAX(ROW(E4722:E$2)*(E4723=E4722:E$2)))))</f>
        <v> </v>
      </c>
      <c r="J4723" s="26" t="str">
        <f>IF(OR(E4723="",E4723="!!!",F4723="NEW"),"",COUNTBLANK(OFFSET(A$1,,,SUMPRODUCT(MAX(ROW(E$2:E4723)*(E4723=E$2:E4723)))))-COUNTBLANK(OFFSET(A$1,,,SUMPRODUCT(MAX(ROW(E$1:E4722)*(E2=E$1:E4722))))))</f>
        <v> </v>
      </c>
      <c r="K4723" s="26" t="str">
        <f>IF(OR(E4723="",E4723="!!!",F4723="NEW"),"",INDEX(J$1:J4722,SUMPRODUCT(MAX(ROW(E$1:E4722)*(E4723=E$1:E4722)))))</f>
        <v> </v>
      </c>
      <c r="L4723" s="27"/>
    </row>
    <row r="4724" spans="1:12">
      <c r="A4724" s="20" t="s">
        <v>2755</v>
      </c>
      <c r="B4724" s="21" t="s">
        <v>2756</v>
      </c>
      <c r="C4724" s="21" t="s">
        <v>1279</v>
      </c>
      <c r="E4724" s="22">
        <f>IF(D4724="?OLD","!!!","")</f>
        <v/>
      </c>
      <c r="F4724" s="23" t="str">
        <f>IF(OR(E4724="",E4724="!!!"),"",IF(NOT(ISNA(VLOOKUP(E4724,E$1:E4723,1,FALSE()))),"OLD",IF(AND(E4724&lt;&gt;"",E4724&lt;&gt;"!!!"),"NEW","")))</f>
        <v> </v>
      </c>
      <c r="G4724" s="24" t="str">
        <f>IF(OR(E4724="",E4724="!!!"),"",IF(OR(J4724=0,AND(J4724=1,K4724=1),AND(J4724=1,I4724="SBJ"),AND(J4724=1,I4724=0)),"?IN_FOCUS",IF(J4724&lt;=2,"?ACTIVATED",IF(J4724&lt;&gt;"","?FAMILIAR",IF(F4724="NEW",IF(ISNA(VLOOKUP(E4724,#REF!,1,FALSE())),"?TYPE_IDENTIFIABLE","?REFERENTIAL"),"_")))))</f>
        <v> </v>
      </c>
      <c r="H4724" s="25" t="str">
        <f>IF(J4724&lt;&gt;1,"",IF(I4724="SBJ","CB","?"))</f>
        <v> </v>
      </c>
      <c r="I4724" s="26" t="str">
        <f>IF(OR(E4724="",E4724="!!!",F4724="NEW"),"",INDEX(B4723:B$2,-1+SUMPRODUCT(MAX(ROW(E4723:E$2)*(E4724=E4723:E$2)))))</f>
        <v> </v>
      </c>
      <c r="J4724" s="26" t="str">
        <f>IF(OR(E4724="",E4724="!!!",F4724="NEW"),"",COUNTBLANK(OFFSET(A$1,,,SUMPRODUCT(MAX(ROW(E$2:E4724)*(E4724=E$2:E4724)))))-COUNTBLANK(OFFSET(A$1,,,SUMPRODUCT(MAX(ROW(E$1:E4723)*(E2=E$1:E4723))))))</f>
        <v> </v>
      </c>
      <c r="K4724" s="26" t="str">
        <f>IF(OR(E4724="",E4724="!!!",F4724="NEW"),"",INDEX(J$1:J4723,SUMPRODUCT(MAX(ROW(E$1:E4723)*(E4724=E$1:E4723)))))</f>
        <v> </v>
      </c>
      <c r="L4724" s="27"/>
    </row>
    <row r="4725" spans="1:12">
      <c r="A4725" s="20" t="s">
        <v>1262</v>
      </c>
      <c r="E4725" s="22">
        <f>IF(D4725="?OLD","!!!","")</f>
        <v/>
      </c>
      <c r="F4725" s="23" t="str">
        <f>IF(OR(E4725="",E4725="!!!"),"",IF(NOT(ISNA(VLOOKUP(E4725,E$1:E4724,1,FALSE()))),"OLD",IF(AND(E4725&lt;&gt;"",E4725&lt;&gt;"!!!"),"NEW","")))</f>
        <v> </v>
      </c>
      <c r="G4725" s="24" t="str">
        <f>IF(OR(E4725="",E4725="!!!"),"",IF(OR(J4725=0,AND(J4725=1,K4725=1),AND(J4725=1,I4725="SBJ"),AND(J4725=1,I4725=0)),"?IN_FOCUS",IF(J4725&lt;=2,"?ACTIVATED",IF(J4725&lt;&gt;"","?FAMILIAR",IF(F4725="NEW",IF(ISNA(VLOOKUP(E4725,#REF!,1,FALSE())),"?TYPE_IDENTIFIABLE","?REFERENTIAL"),"_")))))</f>
        <v> </v>
      </c>
      <c r="H4725" s="25" t="str">
        <f>IF(J4725&lt;&gt;1,"",IF(I4725="SBJ","CB","?"))</f>
        <v> </v>
      </c>
      <c r="I4725" s="26" t="str">
        <f>IF(OR(E4725="",E4725="!!!",F4725="NEW"),"",INDEX(B4724:B$2,-1+SUMPRODUCT(MAX(ROW(E4724:E$2)*(E4725=E4724:E$2)))))</f>
        <v> </v>
      </c>
      <c r="J4725" s="26" t="str">
        <f>IF(OR(E4725="",E4725="!!!",F4725="NEW"),"",COUNTBLANK(OFFSET(A$1,,,SUMPRODUCT(MAX(ROW(E$2:E4725)*(E4725=E$2:E4725)))))-COUNTBLANK(OFFSET(A$1,,,SUMPRODUCT(MAX(ROW(E$1:E4724)*(E2=E$1:E4724))))))</f>
        <v> </v>
      </c>
      <c r="K4725" s="26" t="str">
        <f>IF(OR(E4725="",E4725="!!!",F4725="NEW"),"",INDEX(J$1:J4724,SUMPRODUCT(MAX(ROW(E$1:E4724)*(E4725=E$1:E4724)))))</f>
        <v> </v>
      </c>
      <c r="L4725" s="27"/>
    </row>
    <row r="4726" spans="1:12">
      <c r="A4726" s="20"/>
    </row>
    <row r="4727" spans="1:12">
      <c r="A4727" s="20" t="s">
        <v>2757</v>
      </c>
    </row>
    <row r="4728" spans="1:12">
      <c r="A4728" s="20" t="s">
        <v>1271</v>
      </c>
      <c r="B4728" s="21" t="s">
        <v>1215</v>
      </c>
      <c r="C4728" s="21" t="s">
        <v>1255</v>
      </c>
      <c r="D4728" s="21" t="s">
        <v>1217</v>
      </c>
      <c r="E4728" s="22">
        <f>IF(D4728="?OLD","!!!","")</f>
        <v/>
      </c>
      <c r="F4728" s="23" t="str">
        <f>IF(OR(E4728="",E4728="!!!"),"",IF(NOT(ISNA(VLOOKUP(E4728,E$1:E4727,1,FALSE()))),"OLD",IF(AND(E4728&lt;&gt;"",E4728&lt;&gt;"!!!"),"NEW","")))</f>
        <v> </v>
      </c>
      <c r="G4728" s="24" t="str">
        <f>IF(OR(E4728="",E4728="!!!"),"",IF(OR(J4728=0,AND(J4728=1,K4728=1),AND(J4728=1,I4728="SBJ"),AND(J4728=1,I4728=0)),"?IN_FOCUS",IF(J4728&lt;=2,"?ACTIVATED",IF(J4728&lt;&gt;"","?FAMILIAR",IF(F4728="NEW",IF(ISNA(VLOOKUP(E4728,#REF!,1,FALSE())),"?TYPE_IDENTIFIABLE","?REFERENTIAL"),"_")))))</f>
        <v> </v>
      </c>
      <c r="H4728" s="25" t="str">
        <f>IF(J4728&lt;&gt;1,"",IF(I4728="SBJ","CB","?"))</f>
        <v> </v>
      </c>
      <c r="I4728" s="26" t="str">
        <f>IF(OR(E4728="",E4728="!!!",F4728="NEW"),"",INDEX(B4727:B$2,-1+SUMPRODUCT(MAX(ROW(E4727:E$2)*(E4728=E4727:E$2)))))</f>
        <v> </v>
      </c>
      <c r="J4728" s="26" t="str">
        <f>IF(OR(E4728="",E4728="!!!",F4728="NEW"),"",COUNTBLANK(OFFSET(A$1,,,SUMPRODUCT(MAX(ROW(E$2:E4728)*(E4728=E$2:E4728)))))-COUNTBLANK(OFFSET(A$1,,,SUMPRODUCT(MAX(ROW(E$1:E4727)*(E2=E$1:E4727))))))</f>
        <v> </v>
      </c>
      <c r="K4728" s="26" t="str">
        <f>IF(OR(E4728="",E4728="!!!",F4728="NEW"),"",INDEX(J$1:J4727,SUMPRODUCT(MAX(ROW(E$1:E4727)*(E4728=E$1:E4727)))))</f>
        <v> </v>
      </c>
      <c r="L4728" s="27"/>
    </row>
    <row r="4729" spans="1:12">
      <c r="A4729" s="20" t="s">
        <v>2758</v>
      </c>
      <c r="E4729" s="22">
        <f>IF(D4729="?OLD","!!!","")</f>
        <v/>
      </c>
      <c r="F4729" s="23" t="str">
        <f>IF(OR(E4729="",E4729="!!!"),"",IF(NOT(ISNA(VLOOKUP(E4729,E$1:E4728,1,FALSE()))),"OLD",IF(AND(E4729&lt;&gt;"",E4729&lt;&gt;"!!!"),"NEW","")))</f>
        <v> </v>
      </c>
      <c r="G4729" s="24" t="str">
        <f>IF(OR(E4729="",E4729="!!!"),"",IF(OR(J4729=0,AND(J4729=1,K4729=1),AND(J4729=1,I4729="SBJ"),AND(J4729=1,I4729=0)),"?IN_FOCUS",IF(J4729&lt;=2,"?ACTIVATED",IF(J4729&lt;&gt;"","?FAMILIAR",IF(F4729="NEW",IF(ISNA(VLOOKUP(E4729,#REF!,1,FALSE())),"?TYPE_IDENTIFIABLE","?REFERENTIAL"),"_")))))</f>
        <v> </v>
      </c>
      <c r="H4729" s="25" t="str">
        <f>IF(J4729&lt;&gt;1,"",IF(I4729="SBJ","CB","?"))</f>
        <v> </v>
      </c>
      <c r="I4729" s="26" t="str">
        <f>IF(OR(E4729="",E4729="!!!",F4729="NEW"),"",INDEX(B4728:B$2,-1+SUMPRODUCT(MAX(ROW(E4728:E$2)*(E4729=E4728:E$2)))))</f>
        <v> </v>
      </c>
      <c r="J4729" s="26" t="str">
        <f>IF(OR(E4729="",E4729="!!!",F4729="NEW"),"",COUNTBLANK(OFFSET(A$1,,,SUMPRODUCT(MAX(ROW(E$2:E4729)*(E4729=E$2:E4729)))))-COUNTBLANK(OFFSET(A$1,,,SUMPRODUCT(MAX(ROW(E$1:E4728)*(E2=E$1:E4728))))))</f>
        <v> </v>
      </c>
      <c r="K4729" s="26" t="str">
        <f>IF(OR(E4729="",E4729="!!!",F4729="NEW"),"",INDEX(J$1:J4728,SUMPRODUCT(MAX(ROW(E$1:E4728)*(E4729=E$1:E4728)))))</f>
        <v> </v>
      </c>
      <c r="L4729" s="27"/>
    </row>
    <row r="4730" spans="1:12">
      <c r="A4730" s="20" t="s">
        <v>2759</v>
      </c>
      <c r="E4730" s="22">
        <f>IF(D4730="?OLD","!!!","")</f>
        <v/>
      </c>
      <c r="F4730" s="23" t="str">
        <f>IF(OR(E4730="",E4730="!!!"),"",IF(NOT(ISNA(VLOOKUP(E4730,E$1:E4729,1,FALSE()))),"OLD",IF(AND(E4730&lt;&gt;"",E4730&lt;&gt;"!!!"),"NEW","")))</f>
        <v> </v>
      </c>
      <c r="G4730" s="24" t="str">
        <f>IF(OR(E4730="",E4730="!!!"),"",IF(OR(J4730=0,AND(J4730=1,K4730=1),AND(J4730=1,I4730="SBJ"),AND(J4730=1,I4730=0)),"?IN_FOCUS",IF(J4730&lt;=2,"?ACTIVATED",IF(J4730&lt;&gt;"","?FAMILIAR",IF(F4730="NEW",IF(ISNA(VLOOKUP(E4730,#REF!,1,FALSE())),"?TYPE_IDENTIFIABLE","?REFERENTIAL"),"_")))))</f>
        <v> </v>
      </c>
      <c r="H4730" s="25" t="str">
        <f>IF(J4730&lt;&gt;1,"",IF(I4730="SBJ","CB","?"))</f>
        <v> </v>
      </c>
      <c r="I4730" s="26" t="str">
        <f>IF(OR(E4730="",E4730="!!!",F4730="NEW"),"",INDEX(B4729:B$2,-1+SUMPRODUCT(MAX(ROW(E4729:E$2)*(E4730=E4729:E$2)))))</f>
        <v> </v>
      </c>
      <c r="J4730" s="26" t="str">
        <f>IF(OR(E4730="",E4730="!!!",F4730="NEW"),"",COUNTBLANK(OFFSET(A$1,,,SUMPRODUCT(MAX(ROW(E$2:E4730)*(E4730=E$2:E4730)))))-COUNTBLANK(OFFSET(A$1,,,SUMPRODUCT(MAX(ROW(E$1:E4729)*(E2=E$1:E4729))))))</f>
        <v> </v>
      </c>
      <c r="K4730" s="26" t="str">
        <f>IF(OR(E4730="",E4730="!!!",F4730="NEW"),"",INDEX(J$1:J4729,SUMPRODUCT(MAX(ROW(E$1:E4729)*(E4730=E$1:E4729)))))</f>
        <v> </v>
      </c>
      <c r="L4730" s="27"/>
    </row>
    <row r="4731" spans="1:12">
      <c r="A4731" s="20" t="s">
        <v>1245</v>
      </c>
      <c r="E4731" s="22">
        <f>IF(D4731="?OLD","!!!","")</f>
        <v/>
      </c>
      <c r="F4731" s="23" t="str">
        <f>IF(OR(E4731="",E4731="!!!"),"",IF(NOT(ISNA(VLOOKUP(E4731,E$1:E4730,1,FALSE()))),"OLD",IF(AND(E4731&lt;&gt;"",E4731&lt;&gt;"!!!"),"NEW","")))</f>
        <v> </v>
      </c>
      <c r="G4731" s="24" t="str">
        <f>IF(OR(E4731="",E4731="!!!"),"",IF(OR(J4731=0,AND(J4731=1,K4731=1),AND(J4731=1,I4731="SBJ"),AND(J4731=1,I4731=0)),"?IN_FOCUS",IF(J4731&lt;=2,"?ACTIVATED",IF(J4731&lt;&gt;"","?FAMILIAR",IF(F4731="NEW",IF(ISNA(VLOOKUP(E4731,#REF!,1,FALSE())),"?TYPE_IDENTIFIABLE","?REFERENTIAL"),"_")))))</f>
        <v> </v>
      </c>
      <c r="H4731" s="25" t="str">
        <f>IF(J4731&lt;&gt;1,"",IF(I4731="SBJ","CB","?"))</f>
        <v> </v>
      </c>
      <c r="I4731" s="26" t="str">
        <f>IF(OR(E4731="",E4731="!!!",F4731="NEW"),"",INDEX(B4730:B$2,-1+SUMPRODUCT(MAX(ROW(E4730:E$2)*(E4731=E4730:E$2)))))</f>
        <v> </v>
      </c>
      <c r="J4731" s="26" t="str">
        <f>IF(OR(E4731="",E4731="!!!",F4731="NEW"),"",COUNTBLANK(OFFSET(A$1,,,SUMPRODUCT(MAX(ROW(E$2:E4731)*(E4731=E$2:E4731)))))-COUNTBLANK(OFFSET(A$1,,,SUMPRODUCT(MAX(ROW(E$1:E4730)*(E2=E$1:E4730))))))</f>
        <v> </v>
      </c>
      <c r="K4731" s="26" t="str">
        <f>IF(OR(E4731="",E4731="!!!",F4731="NEW"),"",INDEX(J$1:J4730,SUMPRODUCT(MAX(ROW(E$1:E4730)*(E4731=E$1:E4730)))))</f>
        <v> </v>
      </c>
      <c r="L4731" s="27"/>
    </row>
    <row r="4732" spans="1:12">
      <c r="A4732" s="20" t="s">
        <v>1323</v>
      </c>
      <c r="E4732" s="22">
        <f>IF(D4732="?OLD","!!!","")</f>
        <v/>
      </c>
      <c r="F4732" s="23" t="str">
        <f>IF(OR(E4732="",E4732="!!!"),"",IF(NOT(ISNA(VLOOKUP(E4732,E$1:E4731,1,FALSE()))),"OLD",IF(AND(E4732&lt;&gt;"",E4732&lt;&gt;"!!!"),"NEW","")))</f>
        <v> </v>
      </c>
      <c r="G4732" s="24" t="str">
        <f>IF(OR(E4732="",E4732="!!!"),"",IF(OR(J4732=0,AND(J4732=1,K4732=1),AND(J4732=1,I4732="SBJ"),AND(J4732=1,I4732=0)),"?IN_FOCUS",IF(J4732&lt;=2,"?ACTIVATED",IF(J4732&lt;&gt;"","?FAMILIAR",IF(F4732="NEW",IF(ISNA(VLOOKUP(E4732,#REF!,1,FALSE())),"?TYPE_IDENTIFIABLE","?REFERENTIAL"),"_")))))</f>
        <v> </v>
      </c>
      <c r="H4732" s="25" t="str">
        <f>IF(J4732&lt;&gt;1,"",IF(I4732="SBJ","CB","?"))</f>
        <v> </v>
      </c>
      <c r="I4732" s="26" t="str">
        <f>IF(OR(E4732="",E4732="!!!",F4732="NEW"),"",INDEX(B4731:B$2,-1+SUMPRODUCT(MAX(ROW(E4731:E$2)*(E4732=E4731:E$2)))))</f>
        <v> </v>
      </c>
      <c r="J4732" s="26" t="str">
        <f>IF(OR(E4732="",E4732="!!!",F4732="NEW"),"",COUNTBLANK(OFFSET(A$1,,,SUMPRODUCT(MAX(ROW(E$2:E4732)*(E4732=E$2:E4732)))))-COUNTBLANK(OFFSET(A$1,,,SUMPRODUCT(MAX(ROW(E$1:E4731)*(E2=E$1:E4731))))))</f>
        <v> </v>
      </c>
      <c r="K4732" s="26" t="str">
        <f>IF(OR(E4732="",E4732="!!!",F4732="NEW"),"",INDEX(J$1:J4731,SUMPRODUCT(MAX(ROW(E$1:E4731)*(E4732=E$1:E4731)))))</f>
        <v> </v>
      </c>
      <c r="L4732" s="27"/>
    </row>
    <row r="4733" spans="1:12">
      <c r="A4733" s="20" t="s">
        <v>2760</v>
      </c>
      <c r="B4733" s="21" t="s">
        <v>1244</v>
      </c>
      <c r="C4733" s="21" t="s">
        <v>1222</v>
      </c>
      <c r="D4733" s="21" t="s">
        <v>1217</v>
      </c>
      <c r="E4733" s="22">
        <f>IF(D4733="?OLD","!!!","")</f>
        <v/>
      </c>
      <c r="F4733" s="23" t="str">
        <f>IF(OR(E4733="",E4733="!!!"),"",IF(NOT(ISNA(VLOOKUP(E4733,E$1:E4732,1,FALSE()))),"OLD",IF(AND(E4733&lt;&gt;"",E4733&lt;&gt;"!!!"),"NEW","")))</f>
        <v> </v>
      </c>
      <c r="G4733" s="24" t="str">
        <f>IF(OR(E4733="",E4733="!!!"),"",IF(OR(J4733=0,AND(J4733=1,K4733=1),AND(J4733=1,I4733="SBJ"),AND(J4733=1,I4733=0)),"?IN_FOCUS",IF(J4733&lt;=2,"?ACTIVATED",IF(J4733&lt;&gt;"","?FAMILIAR",IF(F4733="NEW",IF(ISNA(VLOOKUP(E4733,#REF!,1,FALSE())),"?TYPE_IDENTIFIABLE","?REFERENTIAL"),"_")))))</f>
        <v> </v>
      </c>
      <c r="H4733" s="25" t="str">
        <f>IF(J4733&lt;&gt;1,"",IF(I4733="SBJ","CB","?"))</f>
        <v> </v>
      </c>
      <c r="I4733" s="26" t="str">
        <f>IF(OR(E4733="",E4733="!!!",F4733="NEW"),"",INDEX(B4732:B$2,-1+SUMPRODUCT(MAX(ROW(E4732:E$2)*(E4733=E4732:E$2)))))</f>
        <v> </v>
      </c>
      <c r="J4733" s="26" t="str">
        <f>IF(OR(E4733="",E4733="!!!",F4733="NEW"),"",COUNTBLANK(OFFSET(A$1,,,SUMPRODUCT(MAX(ROW(E$2:E4733)*(E4733=E$2:E4733)))))-COUNTBLANK(OFFSET(A$1,,,SUMPRODUCT(MAX(ROW(E$1:E4732)*(E2=E$1:E4732))))))</f>
        <v> </v>
      </c>
      <c r="K4733" s="26" t="str">
        <f>IF(OR(E4733="",E4733="!!!",F4733="NEW"),"",INDEX(J$1:J4732,SUMPRODUCT(MAX(ROW(E$1:E4732)*(E4733=E$1:E4732)))))</f>
        <v> </v>
      </c>
      <c r="L4733" s="27"/>
    </row>
    <row r="4734" spans="1:12">
      <c r="A4734" s="20" t="s">
        <v>1218</v>
      </c>
      <c r="E4734" s="22">
        <f>IF(D4734="?OLD","!!!","")</f>
        <v/>
      </c>
      <c r="F4734" s="23" t="str">
        <f>IF(OR(E4734="",E4734="!!!"),"",IF(NOT(ISNA(VLOOKUP(E4734,E$1:E4733,1,FALSE()))),"OLD",IF(AND(E4734&lt;&gt;"",E4734&lt;&gt;"!!!"),"NEW","")))</f>
        <v> </v>
      </c>
      <c r="G4734" s="24" t="str">
        <f>IF(OR(E4734="",E4734="!!!"),"",IF(OR(J4734=0,AND(J4734=1,K4734=1),AND(J4734=1,I4734="SBJ"),AND(J4734=1,I4734=0)),"?IN_FOCUS",IF(J4734&lt;=2,"?ACTIVATED",IF(J4734&lt;&gt;"","?FAMILIAR",IF(F4734="NEW",IF(ISNA(VLOOKUP(E4734,#REF!,1,FALSE())),"?TYPE_IDENTIFIABLE","?REFERENTIAL"),"_")))))</f>
        <v> </v>
      </c>
      <c r="H4734" s="25" t="str">
        <f>IF(J4734&lt;&gt;1,"",IF(I4734="SBJ","CB","?"))</f>
        <v> </v>
      </c>
      <c r="I4734" s="26" t="str">
        <f>IF(OR(E4734="",E4734="!!!",F4734="NEW"),"",INDEX(B4733:B$2,-1+SUMPRODUCT(MAX(ROW(E4733:E$2)*(E4734=E4733:E$2)))))</f>
        <v> </v>
      </c>
      <c r="J4734" s="26" t="str">
        <f>IF(OR(E4734="",E4734="!!!",F4734="NEW"),"",COUNTBLANK(OFFSET(A$1,,,SUMPRODUCT(MAX(ROW(E$2:E4734)*(E4734=E$2:E4734)))))-COUNTBLANK(OFFSET(A$1,,,SUMPRODUCT(MAX(ROW(E$1:E4733)*(E2=E$1:E4733))))))</f>
        <v> </v>
      </c>
      <c r="K4734" s="26" t="str">
        <f>IF(OR(E4734="",E4734="!!!",F4734="NEW"),"",INDEX(J$1:J4733,SUMPRODUCT(MAX(ROW(E$1:E4733)*(E4734=E$1:E4733)))))</f>
        <v> </v>
      </c>
      <c r="L4734" s="27"/>
    </row>
    <row r="4735" spans="1:12">
      <c r="A4735" s="20" t="s">
        <v>1273</v>
      </c>
      <c r="E4735" s="22">
        <f>IF(D4735="?OLD","!!!","")</f>
        <v/>
      </c>
      <c r="F4735" s="23" t="str">
        <f>IF(OR(E4735="",E4735="!!!"),"",IF(NOT(ISNA(VLOOKUP(E4735,E$1:E4734,1,FALSE()))),"OLD",IF(AND(E4735&lt;&gt;"",E4735&lt;&gt;"!!!"),"NEW","")))</f>
        <v> </v>
      </c>
      <c r="G4735" s="24" t="str">
        <f>IF(OR(E4735="",E4735="!!!"),"",IF(OR(J4735=0,AND(J4735=1,K4735=1),AND(J4735=1,I4735="SBJ"),AND(J4735=1,I4735=0)),"?IN_FOCUS",IF(J4735&lt;=2,"?ACTIVATED",IF(J4735&lt;&gt;"","?FAMILIAR",IF(F4735="NEW",IF(ISNA(VLOOKUP(E4735,#REF!,1,FALSE())),"?TYPE_IDENTIFIABLE","?REFERENTIAL"),"_")))))</f>
        <v> </v>
      </c>
      <c r="H4735" s="25" t="str">
        <f>IF(J4735&lt;&gt;1,"",IF(I4735="SBJ","CB","?"))</f>
        <v> </v>
      </c>
      <c r="I4735" s="26" t="str">
        <f>IF(OR(E4735="",E4735="!!!",F4735="NEW"),"",INDEX(B4734:B$2,-1+SUMPRODUCT(MAX(ROW(E4734:E$2)*(E4735=E4734:E$2)))))</f>
        <v> </v>
      </c>
      <c r="J4735" s="26" t="str">
        <f>IF(OR(E4735="",E4735="!!!",F4735="NEW"),"",COUNTBLANK(OFFSET(A$1,,,SUMPRODUCT(MAX(ROW(E$2:E4735)*(E4735=E$2:E4735)))))-COUNTBLANK(OFFSET(A$1,,,SUMPRODUCT(MAX(ROW(E$1:E4734)*(E2=E$1:E4734))))))</f>
        <v> </v>
      </c>
      <c r="K4735" s="26" t="str">
        <f>IF(OR(E4735="",E4735="!!!",F4735="NEW"),"",INDEX(J$1:J4734,SUMPRODUCT(MAX(ROW(E$1:E4734)*(E4735=E$1:E4734)))))</f>
        <v> </v>
      </c>
      <c r="L4735" s="27"/>
    </row>
    <row r="4736" spans="1:12">
      <c r="A4736" s="20" t="s">
        <v>2761</v>
      </c>
      <c r="E4736" s="22">
        <f>IF(D4736="?OLD","!!!","")</f>
        <v/>
      </c>
      <c r="F4736" s="23" t="str">
        <f>IF(OR(E4736="",E4736="!!!"),"",IF(NOT(ISNA(VLOOKUP(E4736,E$1:E4735,1,FALSE()))),"OLD",IF(AND(E4736&lt;&gt;"",E4736&lt;&gt;"!!!"),"NEW","")))</f>
        <v> </v>
      </c>
      <c r="G4736" s="24" t="str">
        <f>IF(OR(E4736="",E4736="!!!"),"",IF(OR(J4736=0,AND(J4736=1,K4736=1),AND(J4736=1,I4736="SBJ"),AND(J4736=1,I4736=0)),"?IN_FOCUS",IF(J4736&lt;=2,"?ACTIVATED",IF(J4736&lt;&gt;"","?FAMILIAR",IF(F4736="NEW",IF(ISNA(VLOOKUP(E4736,#REF!,1,FALSE())),"?TYPE_IDENTIFIABLE","?REFERENTIAL"),"_")))))</f>
        <v> </v>
      </c>
      <c r="H4736" s="25" t="str">
        <f>IF(J4736&lt;&gt;1,"",IF(I4736="SBJ","CB","?"))</f>
        <v> </v>
      </c>
      <c r="I4736" s="26" t="str">
        <f>IF(OR(E4736="",E4736="!!!",F4736="NEW"),"",INDEX(B4735:B$2,-1+SUMPRODUCT(MAX(ROW(E4735:E$2)*(E4736=E4735:E$2)))))</f>
        <v> </v>
      </c>
      <c r="J4736" s="26" t="str">
        <f>IF(OR(E4736="",E4736="!!!",F4736="NEW"),"",COUNTBLANK(OFFSET(A$1,,,SUMPRODUCT(MAX(ROW(E$2:E4736)*(E4736=E$2:E4736)))))-COUNTBLANK(OFFSET(A$1,,,SUMPRODUCT(MAX(ROW(E$1:E4735)*(E2=E$1:E4735))))))</f>
        <v> </v>
      </c>
      <c r="K4736" s="26" t="str">
        <f>IF(OR(E4736="",E4736="!!!",F4736="NEW"),"",INDEX(J$1:J4735,SUMPRODUCT(MAX(ROW(E$1:E4735)*(E4736=E$1:E4735)))))</f>
        <v> </v>
      </c>
      <c r="L4736" s="27"/>
    </row>
    <row r="4737" spans="1:12">
      <c r="A4737" s="20" t="s">
        <v>1012</v>
      </c>
      <c r="B4737" s="21" t="s">
        <v>1221</v>
      </c>
      <c r="C4737" s="21" t="s">
        <v>1276</v>
      </c>
      <c r="D4737" s="21" t="s">
        <v>1217</v>
      </c>
      <c r="E4737" s="22">
        <f>IF(D4737="?OLD","!!!","")</f>
        <v/>
      </c>
      <c r="F4737" s="23" t="str">
        <f>IF(OR(E4737="",E4737="!!!"),"",IF(NOT(ISNA(VLOOKUP(E4737,E$1:E4736,1,FALSE()))),"OLD",IF(AND(E4737&lt;&gt;"",E4737&lt;&gt;"!!!"),"NEW","")))</f>
        <v> </v>
      </c>
      <c r="G4737" s="24" t="str">
        <f>IF(OR(E4737="",E4737="!!!"),"",IF(OR(J4737=0,AND(J4737=1,K4737=1),AND(J4737=1,I4737="SBJ"),AND(J4737=1,I4737=0)),"?IN_FOCUS",IF(J4737&lt;=2,"?ACTIVATED",IF(J4737&lt;&gt;"","?FAMILIAR",IF(F4737="NEW",IF(ISNA(VLOOKUP(E4737,#REF!,1,FALSE())),"?TYPE_IDENTIFIABLE","?REFERENTIAL"),"_")))))</f>
        <v> </v>
      </c>
      <c r="H4737" s="25" t="str">
        <f>IF(J4737&lt;&gt;1,"",IF(I4737="SBJ","CB","?"))</f>
        <v> </v>
      </c>
      <c r="I4737" s="26" t="str">
        <f>IF(OR(E4737="",E4737="!!!",F4737="NEW"),"",INDEX(B4736:B$2,-1+SUMPRODUCT(MAX(ROW(E4736:E$2)*(E4737=E4736:E$2)))))</f>
        <v> </v>
      </c>
      <c r="J4737" s="26" t="str">
        <f>IF(OR(E4737="",E4737="!!!",F4737="NEW"),"",COUNTBLANK(OFFSET(A$1,,,SUMPRODUCT(MAX(ROW(E$2:E4737)*(E4737=E$2:E4737)))))-COUNTBLANK(OFFSET(A$1,,,SUMPRODUCT(MAX(ROW(E$1:E4736)*(E2=E$1:E4736))))))</f>
        <v> </v>
      </c>
      <c r="K4737" s="26" t="str">
        <f>IF(OR(E4737="",E4737="!!!",F4737="NEW"),"",INDEX(J$1:J4736,SUMPRODUCT(MAX(ROW(E$1:E4736)*(E4737=E$1:E4736)))))</f>
        <v> </v>
      </c>
      <c r="L4737" s="27"/>
    </row>
    <row r="4738" spans="1:12">
      <c r="A4738" s="20" t="s">
        <v>1277</v>
      </c>
      <c r="E4738" s="22">
        <f>IF(D4738="?OLD","!!!","")</f>
        <v/>
      </c>
      <c r="F4738" s="23" t="str">
        <f>IF(OR(E4738="",E4738="!!!"),"",IF(NOT(ISNA(VLOOKUP(E4738,E$1:E4737,1,FALSE()))),"OLD",IF(AND(E4738&lt;&gt;"",E4738&lt;&gt;"!!!"),"NEW","")))</f>
        <v> </v>
      </c>
      <c r="G4738" s="24" t="str">
        <f>IF(OR(E4738="",E4738="!!!"),"",IF(OR(J4738=0,AND(J4738=1,K4738=1),AND(J4738=1,I4738="SBJ"),AND(J4738=1,I4738=0)),"?IN_FOCUS",IF(J4738&lt;=2,"?ACTIVATED",IF(J4738&lt;&gt;"","?FAMILIAR",IF(F4738="NEW",IF(ISNA(VLOOKUP(E4738,#REF!,1,FALSE())),"?TYPE_IDENTIFIABLE","?REFERENTIAL"),"_")))))</f>
        <v> </v>
      </c>
      <c r="H4738" s="25" t="str">
        <f>IF(J4738&lt;&gt;1,"",IF(I4738="SBJ","CB","?"))</f>
        <v> </v>
      </c>
      <c r="I4738" s="26" t="str">
        <f>IF(OR(E4738="",E4738="!!!",F4738="NEW"),"",INDEX(B4737:B$2,-1+SUMPRODUCT(MAX(ROW(E4737:E$2)*(E4738=E4737:E$2)))))</f>
        <v> </v>
      </c>
      <c r="J4738" s="26" t="str">
        <f>IF(OR(E4738="",E4738="!!!",F4738="NEW"),"",COUNTBLANK(OFFSET(A$1,,,SUMPRODUCT(MAX(ROW(E$2:E4738)*(E4738=E$2:E4738)))))-COUNTBLANK(OFFSET(A$1,,,SUMPRODUCT(MAX(ROW(E$1:E4737)*(E2=E$1:E4737))))))</f>
        <v> </v>
      </c>
      <c r="K4738" s="26" t="str">
        <f>IF(OR(E4738="",E4738="!!!",F4738="NEW"),"",INDEX(J$1:J4737,SUMPRODUCT(MAX(ROW(E$1:E4737)*(E4738=E$1:E4737)))))</f>
        <v> </v>
      </c>
      <c r="L4738" s="27"/>
    </row>
    <row r="4739" spans="1:12">
      <c r="A4739" s="20" t="s">
        <v>1257</v>
      </c>
      <c r="E4739" s="22">
        <f>IF(D4739="?OLD","!!!","")</f>
        <v/>
      </c>
      <c r="F4739" s="23" t="str">
        <f>IF(OR(E4739="",E4739="!!!"),"",IF(NOT(ISNA(VLOOKUP(E4739,E$1:E4738,1,FALSE()))),"OLD",IF(AND(E4739&lt;&gt;"",E4739&lt;&gt;"!!!"),"NEW","")))</f>
        <v> </v>
      </c>
      <c r="G4739" s="24" t="str">
        <f>IF(OR(E4739="",E4739="!!!"),"",IF(OR(J4739=0,AND(J4739=1,K4739=1),AND(J4739=1,I4739="SBJ"),AND(J4739=1,I4739=0)),"?IN_FOCUS",IF(J4739&lt;=2,"?ACTIVATED",IF(J4739&lt;&gt;"","?FAMILIAR",IF(F4739="NEW",IF(ISNA(VLOOKUP(E4739,#REF!,1,FALSE())),"?TYPE_IDENTIFIABLE","?REFERENTIAL"),"_")))))</f>
        <v> </v>
      </c>
      <c r="H4739" s="25" t="str">
        <f>IF(J4739&lt;&gt;1,"",IF(I4739="SBJ","CB","?"))</f>
        <v> </v>
      </c>
      <c r="I4739" s="26" t="str">
        <f>IF(OR(E4739="",E4739="!!!",F4739="NEW"),"",INDEX(B4738:B$2,-1+SUMPRODUCT(MAX(ROW(E4738:E$2)*(E4739=E4738:E$2)))))</f>
        <v> </v>
      </c>
      <c r="J4739" s="26" t="str">
        <f>IF(OR(E4739="",E4739="!!!",F4739="NEW"),"",COUNTBLANK(OFFSET(A$1,,,SUMPRODUCT(MAX(ROW(E$2:E4739)*(E4739=E$2:E4739)))))-COUNTBLANK(OFFSET(A$1,,,SUMPRODUCT(MAX(ROW(E$1:E4738)*(E2=E$1:E4738))))))</f>
        <v> </v>
      </c>
      <c r="K4739" s="26" t="str">
        <f>IF(OR(E4739="",E4739="!!!",F4739="NEW"),"",INDEX(J$1:J4738,SUMPRODUCT(MAX(ROW(E$1:E4738)*(E4739=E$1:E4738)))))</f>
        <v> </v>
      </c>
      <c r="L4739" s="27"/>
    </row>
    <row r="4740" spans="1:12">
      <c r="A4740" s="20" t="s">
        <v>2399</v>
      </c>
      <c r="E4740" s="22">
        <f>IF(D4740="?OLD","!!!","")</f>
        <v/>
      </c>
      <c r="F4740" s="23" t="str">
        <f>IF(OR(E4740="",E4740="!!!"),"",IF(NOT(ISNA(VLOOKUP(E4740,E$1:E4739,1,FALSE()))),"OLD",IF(AND(E4740&lt;&gt;"",E4740&lt;&gt;"!!!"),"NEW","")))</f>
        <v> </v>
      </c>
      <c r="G4740" s="24" t="str">
        <f>IF(OR(E4740="",E4740="!!!"),"",IF(OR(J4740=0,AND(J4740=1,K4740=1),AND(J4740=1,I4740="SBJ"),AND(J4740=1,I4740=0)),"?IN_FOCUS",IF(J4740&lt;=2,"?ACTIVATED",IF(J4740&lt;&gt;"","?FAMILIAR",IF(F4740="NEW",IF(ISNA(VLOOKUP(E4740,#REF!,1,FALSE())),"?TYPE_IDENTIFIABLE","?REFERENTIAL"),"_")))))</f>
        <v> </v>
      </c>
      <c r="H4740" s="25" t="str">
        <f>IF(J4740&lt;&gt;1,"",IF(I4740="SBJ","CB","?"))</f>
        <v> </v>
      </c>
      <c r="I4740" s="26" t="str">
        <f>IF(OR(E4740="",E4740="!!!",F4740="NEW"),"",INDEX(B4739:B$2,-1+SUMPRODUCT(MAX(ROW(E4739:E$2)*(E4740=E4739:E$2)))))</f>
        <v> </v>
      </c>
      <c r="J4740" s="26" t="str">
        <f>IF(OR(E4740="",E4740="!!!",F4740="NEW"),"",COUNTBLANK(OFFSET(A$1,,,SUMPRODUCT(MAX(ROW(E$2:E4740)*(E4740=E$2:E4740)))))-COUNTBLANK(OFFSET(A$1,,,SUMPRODUCT(MAX(ROW(E$1:E4739)*(E2=E$1:E4739))))))</f>
        <v> </v>
      </c>
      <c r="K4740" s="26" t="str">
        <f>IF(OR(E4740="",E4740="!!!",F4740="NEW"),"",INDEX(J$1:J4739,SUMPRODUCT(MAX(ROW(E$1:E4739)*(E4740=E$1:E4739)))))</f>
        <v> </v>
      </c>
      <c r="L4740" s="27"/>
    </row>
    <row r="4741" spans="1:12">
      <c r="A4741" s="20" t="s">
        <v>1419</v>
      </c>
      <c r="B4741" s="21" t="s">
        <v>1283</v>
      </c>
      <c r="C4741" s="21" t="s">
        <v>1255</v>
      </c>
      <c r="D4741" s="21" t="s">
        <v>1217</v>
      </c>
      <c r="E4741" s="22">
        <f>IF(D4741="?OLD","!!!","")</f>
        <v/>
      </c>
      <c r="F4741" s="23" t="str">
        <f>IF(OR(E4741="",E4741="!!!"),"",IF(NOT(ISNA(VLOOKUP(E4741,E$1:E4740,1,FALSE()))),"OLD",IF(AND(E4741&lt;&gt;"",E4741&lt;&gt;"!!!"),"NEW","")))</f>
        <v> </v>
      </c>
      <c r="G4741" s="24" t="str">
        <f>IF(OR(E4741="",E4741="!!!"),"",IF(OR(J4741=0,AND(J4741=1,K4741=1),AND(J4741=1,I4741="SBJ"),AND(J4741=1,I4741=0)),"?IN_FOCUS",IF(J4741&lt;=2,"?ACTIVATED",IF(J4741&lt;&gt;"","?FAMILIAR",IF(F4741="NEW",IF(ISNA(VLOOKUP(E4741,#REF!,1,FALSE())),"?TYPE_IDENTIFIABLE","?REFERENTIAL"),"_")))))</f>
        <v> </v>
      </c>
      <c r="H4741" s="25" t="str">
        <f>IF(J4741&lt;&gt;1,"",IF(I4741="SBJ","CB","?"))</f>
        <v> </v>
      </c>
      <c r="I4741" s="26" t="str">
        <f>IF(OR(E4741="",E4741="!!!",F4741="NEW"),"",INDEX(B4740:B$2,-1+SUMPRODUCT(MAX(ROW(E4740:E$2)*(E4741=E4740:E$2)))))</f>
        <v> </v>
      </c>
      <c r="J4741" s="26" t="str">
        <f>IF(OR(E4741="",E4741="!!!",F4741="NEW"),"",COUNTBLANK(OFFSET(A$1,,,SUMPRODUCT(MAX(ROW(E$2:E4741)*(E4741=E$2:E4741)))))-COUNTBLANK(OFFSET(A$1,,,SUMPRODUCT(MAX(ROW(E$1:E4740)*(E2=E$1:E4740))))))</f>
        <v> </v>
      </c>
      <c r="K4741" s="26" t="str">
        <f>IF(OR(E4741="",E4741="!!!",F4741="NEW"),"",INDEX(J$1:J4740,SUMPRODUCT(MAX(ROW(E$1:E4740)*(E4741=E$1:E4740)))))</f>
        <v> </v>
      </c>
      <c r="L4741" s="27"/>
    </row>
    <row r="4742" spans="1:12">
      <c r="A4742" s="20" t="s">
        <v>1420</v>
      </c>
      <c r="B4742" s="21" t="s">
        <v>1237</v>
      </c>
      <c r="C4742" s="21" t="s">
        <v>1255</v>
      </c>
      <c r="D4742" s="21" t="s">
        <v>1217</v>
      </c>
      <c r="E4742" s="22">
        <f>IF(D4742="?OLD","!!!","")</f>
        <v/>
      </c>
      <c r="F4742" s="23" t="str">
        <f>IF(OR(E4742="",E4742="!!!"),"",IF(NOT(ISNA(VLOOKUP(E4742,E$1:E4741,1,FALSE()))),"OLD",IF(AND(E4742&lt;&gt;"",E4742&lt;&gt;"!!!"),"NEW","")))</f>
        <v> </v>
      </c>
      <c r="G4742" s="24" t="str">
        <f>IF(OR(E4742="",E4742="!!!"),"",IF(OR(J4742=0,AND(J4742=1,K4742=1),AND(J4742=1,I4742="SBJ"),AND(J4742=1,I4742=0)),"?IN_FOCUS",IF(J4742&lt;=2,"?ACTIVATED",IF(J4742&lt;&gt;"","?FAMILIAR",IF(F4742="NEW",IF(ISNA(VLOOKUP(E4742,#REF!,1,FALSE())),"?TYPE_IDENTIFIABLE","?REFERENTIAL"),"_")))))</f>
        <v> </v>
      </c>
      <c r="H4742" s="25" t="str">
        <f>IF(J4742&lt;&gt;1,"",IF(I4742="SBJ","CB","?"))</f>
        <v> </v>
      </c>
      <c r="I4742" s="26" t="str">
        <f>IF(OR(E4742="",E4742="!!!",F4742="NEW"),"",INDEX(B4741:B$2,-1+SUMPRODUCT(MAX(ROW(E4741:E$2)*(E4742=E4741:E$2)))))</f>
        <v> </v>
      </c>
      <c r="J4742" s="26" t="str">
        <f>IF(OR(E4742="",E4742="!!!",F4742="NEW"),"",COUNTBLANK(OFFSET(A$1,,,SUMPRODUCT(MAX(ROW(E$2:E4742)*(E4742=E$2:E4742)))))-COUNTBLANK(OFFSET(A$1,,,SUMPRODUCT(MAX(ROW(E$1:E4741)*(E2=E$1:E4741))))))</f>
        <v> </v>
      </c>
      <c r="K4742" s="26" t="str">
        <f>IF(OR(E4742="",E4742="!!!",F4742="NEW"),"",INDEX(J$1:J4741,SUMPRODUCT(MAX(ROW(E$1:E4741)*(E4742=E$1:E4741)))))</f>
        <v> </v>
      </c>
      <c r="L4742" s="27"/>
    </row>
    <row r="4743" spans="1:12">
      <c r="A4743" s="20" t="s">
        <v>2201</v>
      </c>
      <c r="E4743" s="22">
        <f>IF(D4743="?OLD","!!!","")</f>
        <v/>
      </c>
      <c r="F4743" s="23" t="str">
        <f>IF(OR(E4743="",E4743="!!!"),"",IF(NOT(ISNA(VLOOKUP(E4743,E$1:E4742,1,FALSE()))),"OLD",IF(AND(E4743&lt;&gt;"",E4743&lt;&gt;"!!!"),"NEW","")))</f>
        <v> </v>
      </c>
      <c r="G4743" s="24" t="str">
        <f>IF(OR(E4743="",E4743="!!!"),"",IF(OR(J4743=0,AND(J4743=1,K4743=1),AND(J4743=1,I4743="SBJ"),AND(J4743=1,I4743=0)),"?IN_FOCUS",IF(J4743&lt;=2,"?ACTIVATED",IF(J4743&lt;&gt;"","?FAMILIAR",IF(F4743="NEW",IF(ISNA(VLOOKUP(E4743,#REF!,1,FALSE())),"?TYPE_IDENTIFIABLE","?REFERENTIAL"),"_")))))</f>
        <v> </v>
      </c>
      <c r="H4743" s="25" t="str">
        <f>IF(J4743&lt;&gt;1,"",IF(I4743="SBJ","CB","?"))</f>
        <v> </v>
      </c>
      <c r="I4743" s="26" t="str">
        <f>IF(OR(E4743="",E4743="!!!",F4743="NEW"),"",INDEX(B4742:B$2,-1+SUMPRODUCT(MAX(ROW(E4742:E$2)*(E4743=E4742:E$2)))))</f>
        <v> </v>
      </c>
      <c r="J4743" s="26" t="str">
        <f>IF(OR(E4743="",E4743="!!!",F4743="NEW"),"",COUNTBLANK(OFFSET(A$1,,,SUMPRODUCT(MAX(ROW(E$2:E4743)*(E4743=E$2:E4743)))))-COUNTBLANK(OFFSET(A$1,,,SUMPRODUCT(MAX(ROW(E$1:E4742)*(E2=E$1:E4742))))))</f>
        <v> </v>
      </c>
      <c r="K4743" s="26" t="str">
        <f>IF(OR(E4743="",E4743="!!!",F4743="NEW"),"",INDEX(J$1:J4742,SUMPRODUCT(MAX(ROW(E$1:E4742)*(E4743=E$1:E4742)))))</f>
        <v> </v>
      </c>
      <c r="L4743" s="27"/>
    </row>
    <row r="4744" spans="1:12">
      <c r="A4744" s="20" t="s">
        <v>2762</v>
      </c>
      <c r="E4744" s="22">
        <f>IF(D4744="?OLD","!!!","")</f>
        <v/>
      </c>
      <c r="F4744" s="23" t="str">
        <f>IF(OR(E4744="",E4744="!!!"),"",IF(NOT(ISNA(VLOOKUP(E4744,E$1:E4743,1,FALSE()))),"OLD",IF(AND(E4744&lt;&gt;"",E4744&lt;&gt;"!!!"),"NEW","")))</f>
        <v> </v>
      </c>
      <c r="G4744" s="24" t="str">
        <f>IF(OR(E4744="",E4744="!!!"),"",IF(OR(J4744=0,AND(J4744=1,K4744=1),AND(J4744=1,I4744="SBJ"),AND(J4744=1,I4744=0)),"?IN_FOCUS",IF(J4744&lt;=2,"?ACTIVATED",IF(J4744&lt;&gt;"","?FAMILIAR",IF(F4744="NEW",IF(ISNA(VLOOKUP(E4744,#REF!,1,FALSE())),"?TYPE_IDENTIFIABLE","?REFERENTIAL"),"_")))))</f>
        <v> </v>
      </c>
      <c r="H4744" s="25" t="str">
        <f>IF(J4744&lt;&gt;1,"",IF(I4744="SBJ","CB","?"))</f>
        <v> </v>
      </c>
      <c r="I4744" s="26" t="str">
        <f>IF(OR(E4744="",E4744="!!!",F4744="NEW"),"",INDEX(B4743:B$2,-1+SUMPRODUCT(MAX(ROW(E4743:E$2)*(E4744=E4743:E$2)))))</f>
        <v> </v>
      </c>
      <c r="J4744" s="26" t="str">
        <f>IF(OR(E4744="",E4744="!!!",F4744="NEW"),"",COUNTBLANK(OFFSET(A$1,,,SUMPRODUCT(MAX(ROW(E$2:E4744)*(E4744=E$2:E4744)))))-COUNTBLANK(OFFSET(A$1,,,SUMPRODUCT(MAX(ROW(E$1:E4743)*(E2=E$1:E4743))))))</f>
        <v> </v>
      </c>
      <c r="K4744" s="26" t="str">
        <f>IF(OR(E4744="",E4744="!!!",F4744="NEW"),"",INDEX(J$1:J4743,SUMPRODUCT(MAX(ROW(E$1:E4743)*(E4744=E$1:E4743)))))</f>
        <v> </v>
      </c>
      <c r="L4744" s="27"/>
    </row>
    <row r="4745" spans="1:12">
      <c r="A4745" s="20" t="s">
        <v>1218</v>
      </c>
      <c r="E4745" s="22">
        <f>IF(D4745="?OLD","!!!","")</f>
        <v/>
      </c>
      <c r="F4745" s="23" t="str">
        <f>IF(OR(E4745="",E4745="!!!"),"",IF(NOT(ISNA(VLOOKUP(E4745,E$1:E4744,1,FALSE()))),"OLD",IF(AND(E4745&lt;&gt;"",E4745&lt;&gt;"!!!"),"NEW","")))</f>
        <v> </v>
      </c>
      <c r="G4745" s="24" t="str">
        <f>IF(OR(E4745="",E4745="!!!"),"",IF(OR(J4745=0,AND(J4745=1,K4745=1),AND(J4745=1,I4745="SBJ"),AND(J4745=1,I4745=0)),"?IN_FOCUS",IF(J4745&lt;=2,"?ACTIVATED",IF(J4745&lt;&gt;"","?FAMILIAR",IF(F4745="NEW",IF(ISNA(VLOOKUP(E4745,#REF!,1,FALSE())),"?TYPE_IDENTIFIABLE","?REFERENTIAL"),"_")))))</f>
        <v> </v>
      </c>
      <c r="H4745" s="25" t="str">
        <f>IF(J4745&lt;&gt;1,"",IF(I4745="SBJ","CB","?"))</f>
        <v> </v>
      </c>
      <c r="I4745" s="26" t="str">
        <f>IF(OR(E4745="",E4745="!!!",F4745="NEW"),"",INDEX(B4744:B$2,-1+SUMPRODUCT(MAX(ROW(E4744:E$2)*(E4745=E4744:E$2)))))</f>
        <v> </v>
      </c>
      <c r="J4745" s="26" t="str">
        <f>IF(OR(E4745="",E4745="!!!",F4745="NEW"),"",COUNTBLANK(OFFSET(A$1,,,SUMPRODUCT(MAX(ROW(E$2:E4745)*(E4745=E$2:E4745)))))-COUNTBLANK(OFFSET(A$1,,,SUMPRODUCT(MAX(ROW(E$1:E4744)*(E2=E$1:E4744))))))</f>
        <v> </v>
      </c>
      <c r="K4745" s="26" t="str">
        <f>IF(OR(E4745="",E4745="!!!",F4745="NEW"),"",INDEX(J$1:J4744,SUMPRODUCT(MAX(ROW(E$1:E4744)*(E4745=E$1:E4744)))))</f>
        <v> </v>
      </c>
      <c r="L4745" s="27"/>
    </row>
    <row r="4746" spans="1:12">
      <c r="A4746" s="20" t="s">
        <v>1145</v>
      </c>
      <c r="E4746" s="22">
        <f>IF(D4746="?OLD","!!!","")</f>
        <v/>
      </c>
      <c r="F4746" s="23" t="str">
        <f>IF(OR(E4746="",E4746="!!!"),"",IF(NOT(ISNA(VLOOKUP(E4746,E$1:E4745,1,FALSE()))),"OLD",IF(AND(E4746&lt;&gt;"",E4746&lt;&gt;"!!!"),"NEW","")))</f>
        <v> </v>
      </c>
      <c r="G4746" s="24" t="str">
        <f>IF(OR(E4746="",E4746="!!!"),"",IF(OR(J4746=0,AND(J4746=1,K4746=1),AND(J4746=1,I4746="SBJ"),AND(J4746=1,I4746=0)),"?IN_FOCUS",IF(J4746&lt;=2,"?ACTIVATED",IF(J4746&lt;&gt;"","?FAMILIAR",IF(F4746="NEW",IF(ISNA(VLOOKUP(E4746,#REF!,1,FALSE())),"?TYPE_IDENTIFIABLE","?REFERENTIAL"),"_")))))</f>
        <v> </v>
      </c>
      <c r="H4746" s="25" t="str">
        <f>IF(J4746&lt;&gt;1,"",IF(I4746="SBJ","CB","?"))</f>
        <v> </v>
      </c>
      <c r="I4746" s="26" t="str">
        <f>IF(OR(E4746="",E4746="!!!",F4746="NEW"),"",INDEX(B4745:B$2,-1+SUMPRODUCT(MAX(ROW(E4745:E$2)*(E4746=E4745:E$2)))))</f>
        <v> </v>
      </c>
      <c r="J4746" s="26" t="str">
        <f>IF(OR(E4746="",E4746="!!!",F4746="NEW"),"",COUNTBLANK(OFFSET(A$1,,,SUMPRODUCT(MAX(ROW(E$2:E4746)*(E4746=E$2:E4746)))))-COUNTBLANK(OFFSET(A$1,,,SUMPRODUCT(MAX(ROW(E$1:E4745)*(E2=E$1:E4745))))))</f>
        <v> </v>
      </c>
      <c r="K4746" s="26" t="str">
        <f>IF(OR(E4746="",E4746="!!!",F4746="NEW"),"",INDEX(J$1:J4745,SUMPRODUCT(MAX(ROW(E$1:E4745)*(E4746=E$1:E4745)))))</f>
        <v> </v>
      </c>
      <c r="L4746" s="27"/>
    </row>
    <row r="4747" spans="1:12">
      <c r="A4747" s="20" t="s">
        <v>2763</v>
      </c>
      <c r="E4747" s="22">
        <f>IF(D4747="?OLD","!!!","")</f>
        <v/>
      </c>
      <c r="F4747" s="23" t="str">
        <f>IF(OR(E4747="",E4747="!!!"),"",IF(NOT(ISNA(VLOOKUP(E4747,E$1:E4746,1,FALSE()))),"OLD",IF(AND(E4747&lt;&gt;"",E4747&lt;&gt;"!!!"),"NEW","")))</f>
        <v> </v>
      </c>
      <c r="G4747" s="24" t="str">
        <f>IF(OR(E4747="",E4747="!!!"),"",IF(OR(J4747=0,AND(J4747=1,K4747=1),AND(J4747=1,I4747="SBJ"),AND(J4747=1,I4747=0)),"?IN_FOCUS",IF(J4747&lt;=2,"?ACTIVATED",IF(J4747&lt;&gt;"","?FAMILIAR",IF(F4747="NEW",IF(ISNA(VLOOKUP(E4747,#REF!,1,FALSE())),"?TYPE_IDENTIFIABLE","?REFERENTIAL"),"_")))))</f>
        <v> </v>
      </c>
      <c r="H4747" s="25" t="str">
        <f>IF(J4747&lt;&gt;1,"",IF(I4747="SBJ","CB","?"))</f>
        <v> </v>
      </c>
      <c r="I4747" s="26" t="str">
        <f>IF(OR(E4747="",E4747="!!!",F4747="NEW"),"",INDEX(B4746:B$2,-1+SUMPRODUCT(MAX(ROW(E4746:E$2)*(E4747=E4746:E$2)))))</f>
        <v> </v>
      </c>
      <c r="J4747" s="26" t="str">
        <f>IF(OR(E4747="",E4747="!!!",F4747="NEW"),"",COUNTBLANK(OFFSET(A$1,,,SUMPRODUCT(MAX(ROW(E$2:E4747)*(E4747=E$2:E4747)))))-COUNTBLANK(OFFSET(A$1,,,SUMPRODUCT(MAX(ROW(E$1:E4746)*(E2=E$1:E4746))))))</f>
        <v> </v>
      </c>
      <c r="K4747" s="26" t="str">
        <f>IF(OR(E4747="",E4747="!!!",F4747="NEW"),"",INDEX(J$1:J4746,SUMPRODUCT(MAX(ROW(E$1:E4746)*(E4747=E$1:E4746)))))</f>
        <v> </v>
      </c>
      <c r="L4747" s="27"/>
    </row>
    <row r="4748" spans="1:12">
      <c r="A4748" s="20" t="s">
        <v>1245</v>
      </c>
      <c r="E4748" s="22">
        <f>IF(D4748="?OLD","!!!","")</f>
        <v/>
      </c>
      <c r="F4748" s="23" t="str">
        <f>IF(OR(E4748="",E4748="!!!"),"",IF(NOT(ISNA(VLOOKUP(E4748,E$1:E4747,1,FALSE()))),"OLD",IF(AND(E4748&lt;&gt;"",E4748&lt;&gt;"!!!"),"NEW","")))</f>
        <v> </v>
      </c>
      <c r="G4748" s="24" t="str">
        <f>IF(OR(E4748="",E4748="!!!"),"",IF(OR(J4748=0,AND(J4748=1,K4748=1),AND(J4748=1,I4748="SBJ"),AND(J4748=1,I4748=0)),"?IN_FOCUS",IF(J4748&lt;=2,"?ACTIVATED",IF(J4748&lt;&gt;"","?FAMILIAR",IF(F4748="NEW",IF(ISNA(VLOOKUP(E4748,#REF!,1,FALSE())),"?TYPE_IDENTIFIABLE","?REFERENTIAL"),"_")))))</f>
        <v> </v>
      </c>
      <c r="H4748" s="25" t="str">
        <f>IF(J4748&lt;&gt;1,"",IF(I4748="SBJ","CB","?"))</f>
        <v> </v>
      </c>
      <c r="I4748" s="26" t="str">
        <f>IF(OR(E4748="",E4748="!!!",F4748="NEW"),"",INDEX(B4747:B$2,-1+SUMPRODUCT(MAX(ROW(E4747:E$2)*(E4748=E4747:E$2)))))</f>
        <v> </v>
      </c>
      <c r="J4748" s="26" t="str">
        <f>IF(OR(E4748="",E4748="!!!",F4748="NEW"),"",COUNTBLANK(OFFSET(A$1,,,SUMPRODUCT(MAX(ROW(E$2:E4748)*(E4748=E$2:E4748)))))-COUNTBLANK(OFFSET(A$1,,,SUMPRODUCT(MAX(ROW(E$1:E4747)*(E2=E$1:E4747))))))</f>
        <v> </v>
      </c>
      <c r="K4748" s="26" t="str">
        <f>IF(OR(E4748="",E4748="!!!",F4748="NEW"),"",INDEX(J$1:J4747,SUMPRODUCT(MAX(ROW(E$1:E4747)*(E4748=E$1:E4747)))))</f>
        <v> </v>
      </c>
      <c r="L4748" s="27"/>
    </row>
    <row r="4749" spans="1:12">
      <c r="A4749" s="20" t="s">
        <v>1266</v>
      </c>
      <c r="E4749" s="22">
        <f>IF(D4749="?OLD","!!!","")</f>
        <v/>
      </c>
      <c r="F4749" s="23" t="str">
        <f>IF(OR(E4749="",E4749="!!!"),"",IF(NOT(ISNA(VLOOKUP(E4749,E$1:E4748,1,FALSE()))),"OLD",IF(AND(E4749&lt;&gt;"",E4749&lt;&gt;"!!!"),"NEW","")))</f>
        <v> </v>
      </c>
      <c r="G4749" s="24" t="str">
        <f>IF(OR(E4749="",E4749="!!!"),"",IF(OR(J4749=0,AND(J4749=1,K4749=1),AND(J4749=1,I4749="SBJ"),AND(J4749=1,I4749=0)),"?IN_FOCUS",IF(J4749&lt;=2,"?ACTIVATED",IF(J4749&lt;&gt;"","?FAMILIAR",IF(F4749="NEW",IF(ISNA(VLOOKUP(E4749,#REF!,1,FALSE())),"?TYPE_IDENTIFIABLE","?REFERENTIAL"),"_")))))</f>
        <v> </v>
      </c>
      <c r="H4749" s="25" t="str">
        <f>IF(J4749&lt;&gt;1,"",IF(I4749="SBJ","CB","?"))</f>
        <v> </v>
      </c>
      <c r="I4749" s="26" t="str">
        <f>IF(OR(E4749="",E4749="!!!",F4749="NEW"),"",INDEX(B4748:B$2,-1+SUMPRODUCT(MAX(ROW(E4748:E$2)*(E4749=E4748:E$2)))))</f>
        <v> </v>
      </c>
      <c r="J4749" s="26" t="str">
        <f>IF(OR(E4749="",E4749="!!!",F4749="NEW"),"",COUNTBLANK(OFFSET(A$1,,,SUMPRODUCT(MAX(ROW(E$2:E4749)*(E4749=E$2:E4749)))))-COUNTBLANK(OFFSET(A$1,,,SUMPRODUCT(MAX(ROW(E$1:E4748)*(E2=E$1:E4748))))))</f>
        <v> </v>
      </c>
      <c r="K4749" s="26" t="str">
        <f>IF(OR(E4749="",E4749="!!!",F4749="NEW"),"",INDEX(J$1:J4748,SUMPRODUCT(MAX(ROW(E$1:E4748)*(E4749=E$1:E4748)))))</f>
        <v> </v>
      </c>
      <c r="L4749" s="27"/>
    </row>
    <row r="4750" spans="1:12">
      <c r="A4750" s="20" t="s">
        <v>2764</v>
      </c>
      <c r="B4750" s="21" t="s">
        <v>1226</v>
      </c>
      <c r="C4750" s="21" t="s">
        <v>1269</v>
      </c>
      <c r="D4750" s="21" t="s">
        <v>1217</v>
      </c>
      <c r="E4750" s="22">
        <f>IF(D4750="?OLD","!!!","")</f>
        <v/>
      </c>
      <c r="F4750" s="23" t="str">
        <f>IF(OR(E4750="",E4750="!!!"),"",IF(NOT(ISNA(VLOOKUP(E4750,E$1:E4749,1,FALSE()))),"OLD",IF(AND(E4750&lt;&gt;"",E4750&lt;&gt;"!!!"),"NEW","")))</f>
        <v> </v>
      </c>
      <c r="G4750" s="24" t="str">
        <f>IF(OR(E4750="",E4750="!!!"),"",IF(OR(J4750=0,AND(J4750=1,K4750=1),AND(J4750=1,I4750="SBJ"),AND(J4750=1,I4750=0)),"?IN_FOCUS",IF(J4750&lt;=2,"?ACTIVATED",IF(J4750&lt;&gt;"","?FAMILIAR",IF(F4750="NEW",IF(ISNA(VLOOKUP(E4750,#REF!,1,FALSE())),"?TYPE_IDENTIFIABLE","?REFERENTIAL"),"_")))))</f>
        <v> </v>
      </c>
      <c r="H4750" s="25" t="str">
        <f>IF(J4750&lt;&gt;1,"",IF(I4750="SBJ","CB","?"))</f>
        <v> </v>
      </c>
      <c r="I4750" s="26" t="str">
        <f>IF(OR(E4750="",E4750="!!!",F4750="NEW"),"",INDEX(B4749:B$2,-1+SUMPRODUCT(MAX(ROW(E4749:E$2)*(E4750=E4749:E$2)))))</f>
        <v> </v>
      </c>
      <c r="J4750" s="26" t="str">
        <f>IF(OR(E4750="",E4750="!!!",F4750="NEW"),"",COUNTBLANK(OFFSET(A$1,,,SUMPRODUCT(MAX(ROW(E$2:E4750)*(E4750=E$2:E4750)))))-COUNTBLANK(OFFSET(A$1,,,SUMPRODUCT(MAX(ROW(E$1:E4749)*(E2=E$1:E4749))))))</f>
        <v> </v>
      </c>
      <c r="K4750" s="26" t="str">
        <f>IF(OR(E4750="",E4750="!!!",F4750="NEW"),"",INDEX(J$1:J4749,SUMPRODUCT(MAX(ROW(E$1:E4749)*(E4750=E$1:E4749)))))</f>
        <v> </v>
      </c>
      <c r="L4750" s="27"/>
    </row>
    <row r="4751" spans="1:12">
      <c r="A4751" s="20" t="s">
        <v>1219</v>
      </c>
      <c r="E4751" s="22">
        <f>IF(D4751="?OLD","!!!","")</f>
        <v/>
      </c>
      <c r="F4751" s="23" t="str">
        <f>IF(OR(E4751="",E4751="!!!"),"",IF(NOT(ISNA(VLOOKUP(E4751,E$1:E4750,1,FALSE()))),"OLD",IF(AND(E4751&lt;&gt;"",E4751&lt;&gt;"!!!"),"NEW","")))</f>
        <v> </v>
      </c>
      <c r="G4751" s="24" t="str">
        <f>IF(OR(E4751="",E4751="!!!"),"",IF(OR(J4751=0,AND(J4751=1,K4751=1),AND(J4751=1,I4751="SBJ"),AND(J4751=1,I4751=0)),"?IN_FOCUS",IF(J4751&lt;=2,"?ACTIVATED",IF(J4751&lt;&gt;"","?FAMILIAR",IF(F4751="NEW",IF(ISNA(VLOOKUP(E4751,#REF!,1,FALSE())),"?TYPE_IDENTIFIABLE","?REFERENTIAL"),"_")))))</f>
        <v> </v>
      </c>
      <c r="H4751" s="25" t="str">
        <f>IF(J4751&lt;&gt;1,"",IF(I4751="SBJ","CB","?"))</f>
        <v> </v>
      </c>
      <c r="I4751" s="26" t="str">
        <f>IF(OR(E4751="",E4751="!!!",F4751="NEW"),"",INDEX(B4750:B$2,-1+SUMPRODUCT(MAX(ROW(E4750:E$2)*(E4751=E4750:E$2)))))</f>
        <v> </v>
      </c>
      <c r="J4751" s="26" t="str">
        <f>IF(OR(E4751="",E4751="!!!",F4751="NEW"),"",COUNTBLANK(OFFSET(A$1,,,SUMPRODUCT(MAX(ROW(E$2:E4751)*(E4751=E$2:E4751)))))-COUNTBLANK(OFFSET(A$1,,,SUMPRODUCT(MAX(ROW(E$1:E4750)*(E2=E$1:E4750))))))</f>
        <v> </v>
      </c>
      <c r="K4751" s="26" t="str">
        <f>IF(OR(E4751="",E4751="!!!",F4751="NEW"),"",INDEX(J$1:J4750,SUMPRODUCT(MAX(ROW(E$1:E4750)*(E4751=E$1:E4750)))))</f>
        <v> </v>
      </c>
      <c r="L4751" s="27"/>
    </row>
    <row r="4752" spans="1:12">
      <c r="A4752" s="20" t="s">
        <v>2765</v>
      </c>
      <c r="B4752" s="21" t="s">
        <v>1261</v>
      </c>
      <c r="C4752" s="21" t="s">
        <v>1269</v>
      </c>
      <c r="D4752" s="21" t="s">
        <v>1217</v>
      </c>
      <c r="E4752" s="22">
        <f>IF(D4752="?OLD","!!!","")</f>
        <v/>
      </c>
      <c r="F4752" s="23" t="str">
        <f>IF(OR(E4752="",E4752="!!!"),"",IF(NOT(ISNA(VLOOKUP(E4752,E$1:E4751,1,FALSE()))),"OLD",IF(AND(E4752&lt;&gt;"",E4752&lt;&gt;"!!!"),"NEW","")))</f>
        <v> </v>
      </c>
      <c r="G4752" s="24" t="str">
        <f>IF(OR(E4752="",E4752="!!!"),"",IF(OR(J4752=0,AND(J4752=1,K4752=1),AND(J4752=1,I4752="SBJ"),AND(J4752=1,I4752=0)),"?IN_FOCUS",IF(J4752&lt;=2,"?ACTIVATED",IF(J4752&lt;&gt;"","?FAMILIAR",IF(F4752="NEW",IF(ISNA(VLOOKUP(E4752,#REF!,1,FALSE())),"?TYPE_IDENTIFIABLE","?REFERENTIAL"),"_")))))</f>
        <v> </v>
      </c>
      <c r="H4752" s="25" t="str">
        <f>IF(J4752&lt;&gt;1,"",IF(I4752="SBJ","CB","?"))</f>
        <v> </v>
      </c>
      <c r="I4752" s="26" t="str">
        <f>IF(OR(E4752="",E4752="!!!",F4752="NEW"),"",INDEX(B4751:B$2,-1+SUMPRODUCT(MAX(ROW(E4751:E$2)*(E4752=E4751:E$2)))))</f>
        <v> </v>
      </c>
      <c r="J4752" s="26" t="str">
        <f>IF(OR(E4752="",E4752="!!!",F4752="NEW"),"",COUNTBLANK(OFFSET(A$1,,,SUMPRODUCT(MAX(ROW(E$2:E4752)*(E4752=E$2:E4752)))))-COUNTBLANK(OFFSET(A$1,,,SUMPRODUCT(MAX(ROW(E$1:E4751)*(E2=E$1:E4751))))))</f>
        <v> </v>
      </c>
      <c r="K4752" s="26" t="str">
        <f>IF(OR(E4752="",E4752="!!!",F4752="NEW"),"",INDEX(J$1:J4751,SUMPRODUCT(MAX(ROW(E$1:E4751)*(E4752=E$1:E4751)))))</f>
        <v> </v>
      </c>
      <c r="L4752" s="27"/>
    </row>
    <row r="4753" spans="1:12">
      <c r="A4753" s="20" t="s">
        <v>1286</v>
      </c>
      <c r="E4753" s="22">
        <f>IF(D4753="?OLD","!!!","")</f>
        <v/>
      </c>
      <c r="F4753" s="23" t="str">
        <f>IF(OR(E4753="",E4753="!!!"),"",IF(NOT(ISNA(VLOOKUP(E4753,E$1:E4752,1,FALSE()))),"OLD",IF(AND(E4753&lt;&gt;"",E4753&lt;&gt;"!!!"),"NEW","")))</f>
        <v> </v>
      </c>
      <c r="G4753" s="24" t="str">
        <f>IF(OR(E4753="",E4753="!!!"),"",IF(OR(J4753=0,AND(J4753=1,K4753=1),AND(J4753=1,I4753="SBJ"),AND(J4753=1,I4753=0)),"?IN_FOCUS",IF(J4753&lt;=2,"?ACTIVATED",IF(J4753&lt;&gt;"","?FAMILIAR",IF(F4753="NEW",IF(ISNA(VLOOKUP(E4753,#REF!,1,FALSE())),"?TYPE_IDENTIFIABLE","?REFERENTIAL"),"_")))))</f>
        <v> </v>
      </c>
      <c r="H4753" s="25" t="str">
        <f>IF(J4753&lt;&gt;1,"",IF(I4753="SBJ","CB","?"))</f>
        <v> </v>
      </c>
      <c r="I4753" s="26" t="str">
        <f>IF(OR(E4753="",E4753="!!!",F4753="NEW"),"",INDEX(B4752:B$2,-1+SUMPRODUCT(MAX(ROW(E4752:E$2)*(E4753=E4752:E$2)))))</f>
        <v> </v>
      </c>
      <c r="J4753" s="26" t="str">
        <f>IF(OR(E4753="",E4753="!!!",F4753="NEW"),"",COUNTBLANK(OFFSET(A$1,,,SUMPRODUCT(MAX(ROW(E$2:E4753)*(E4753=E$2:E4753)))))-COUNTBLANK(OFFSET(A$1,,,SUMPRODUCT(MAX(ROW(E$1:E4752)*(E2=E$1:E4752))))))</f>
        <v> </v>
      </c>
      <c r="K4753" s="26" t="str">
        <f>IF(OR(E4753="",E4753="!!!",F4753="NEW"),"",INDEX(J$1:J4752,SUMPRODUCT(MAX(ROW(E$1:E4752)*(E4753=E$1:E4752)))))</f>
        <v> </v>
      </c>
      <c r="L4753" s="27"/>
    </row>
    <row r="4754" spans="1:12">
      <c r="A4754" s="20" t="s">
        <v>1219</v>
      </c>
      <c r="E4754" s="22">
        <f>IF(D4754="?OLD","!!!","")</f>
        <v/>
      </c>
      <c r="F4754" s="23" t="str">
        <f>IF(OR(E4754="",E4754="!!!"),"",IF(NOT(ISNA(VLOOKUP(E4754,E$1:E4753,1,FALSE()))),"OLD",IF(AND(E4754&lt;&gt;"",E4754&lt;&gt;"!!!"),"NEW","")))</f>
        <v> </v>
      </c>
      <c r="G4754" s="24" t="str">
        <f>IF(OR(E4754="",E4754="!!!"),"",IF(OR(J4754=0,AND(J4754=1,K4754=1),AND(J4754=1,I4754="SBJ"),AND(J4754=1,I4754=0)),"?IN_FOCUS",IF(J4754&lt;=2,"?ACTIVATED",IF(J4754&lt;&gt;"","?FAMILIAR",IF(F4754="NEW",IF(ISNA(VLOOKUP(E4754,#REF!,1,FALSE())),"?TYPE_IDENTIFIABLE","?REFERENTIAL"),"_")))))</f>
        <v> </v>
      </c>
      <c r="H4754" s="25" t="str">
        <f>IF(J4754&lt;&gt;1,"",IF(I4754="SBJ","CB","?"))</f>
        <v> </v>
      </c>
      <c r="I4754" s="26" t="str">
        <f>IF(OR(E4754="",E4754="!!!",F4754="NEW"),"",INDEX(B4753:B$2,-1+SUMPRODUCT(MAX(ROW(E4753:E$2)*(E4754=E4753:E$2)))))</f>
        <v> </v>
      </c>
      <c r="J4754" s="26" t="str">
        <f>IF(OR(E4754="",E4754="!!!",F4754="NEW"),"",COUNTBLANK(OFFSET(A$1,,,SUMPRODUCT(MAX(ROW(E$2:E4754)*(E4754=E$2:E4754)))))-COUNTBLANK(OFFSET(A$1,,,SUMPRODUCT(MAX(ROW(E$1:E4753)*(E2=E$1:E4753))))))</f>
        <v> </v>
      </c>
      <c r="K4754" s="26" t="str">
        <f>IF(OR(E4754="",E4754="!!!",F4754="NEW"),"",INDEX(J$1:J4753,SUMPRODUCT(MAX(ROW(E$1:E4753)*(E4754=E$1:E4753)))))</f>
        <v> </v>
      </c>
      <c r="L4754" s="27"/>
    </row>
    <row r="4755" spans="1:12">
      <c r="A4755" s="20" t="s">
        <v>1926</v>
      </c>
      <c r="E4755" s="22">
        <f>IF(D4755="?OLD","!!!","")</f>
        <v/>
      </c>
      <c r="F4755" s="23" t="str">
        <f>IF(OR(E4755="",E4755="!!!"),"",IF(NOT(ISNA(VLOOKUP(E4755,E$1:E4754,1,FALSE()))),"OLD",IF(AND(E4755&lt;&gt;"",E4755&lt;&gt;"!!!"),"NEW","")))</f>
        <v> </v>
      </c>
      <c r="G4755" s="24" t="str">
        <f>IF(OR(E4755="",E4755="!!!"),"",IF(OR(J4755=0,AND(J4755=1,K4755=1),AND(J4755=1,I4755="SBJ"),AND(J4755=1,I4755=0)),"?IN_FOCUS",IF(J4755&lt;=2,"?ACTIVATED",IF(J4755&lt;&gt;"","?FAMILIAR",IF(F4755="NEW",IF(ISNA(VLOOKUP(E4755,#REF!,1,FALSE())),"?TYPE_IDENTIFIABLE","?REFERENTIAL"),"_")))))</f>
        <v> </v>
      </c>
      <c r="H4755" s="25" t="str">
        <f>IF(J4755&lt;&gt;1,"",IF(I4755="SBJ","CB","?"))</f>
        <v> </v>
      </c>
      <c r="I4755" s="26" t="str">
        <f>IF(OR(E4755="",E4755="!!!",F4755="NEW"),"",INDEX(B4754:B$2,-1+SUMPRODUCT(MAX(ROW(E4754:E$2)*(E4755=E4754:E$2)))))</f>
        <v> </v>
      </c>
      <c r="J4755" s="26" t="str">
        <f>IF(OR(E4755="",E4755="!!!",F4755="NEW"),"",COUNTBLANK(OFFSET(A$1,,,SUMPRODUCT(MAX(ROW(E$2:E4755)*(E4755=E$2:E4755)))))-COUNTBLANK(OFFSET(A$1,,,SUMPRODUCT(MAX(ROW(E$1:E4754)*(E2=E$1:E4754))))))</f>
        <v> </v>
      </c>
      <c r="K4755" s="26" t="str">
        <f>IF(OR(E4755="",E4755="!!!",F4755="NEW"),"",INDEX(J$1:J4754,SUMPRODUCT(MAX(ROW(E$1:E4754)*(E4755=E$1:E4754)))))</f>
        <v> </v>
      </c>
      <c r="L4755" s="27"/>
    </row>
    <row r="4756" spans="1:12">
      <c r="A4756" s="20" t="s">
        <v>2766</v>
      </c>
      <c r="B4756" s="21" t="s">
        <v>1259</v>
      </c>
      <c r="C4756" s="21" t="s">
        <v>1269</v>
      </c>
      <c r="D4756" s="21" t="s">
        <v>1217</v>
      </c>
      <c r="E4756" s="22">
        <f>IF(D4756="?OLD","!!!","")</f>
        <v/>
      </c>
      <c r="F4756" s="23" t="str">
        <f>IF(OR(E4756="",E4756="!!!"),"",IF(NOT(ISNA(VLOOKUP(E4756,E$1:E4755,1,FALSE()))),"OLD",IF(AND(E4756&lt;&gt;"",E4756&lt;&gt;"!!!"),"NEW","")))</f>
        <v> </v>
      </c>
      <c r="G4756" s="24" t="str">
        <f>IF(OR(E4756="",E4756="!!!"),"",IF(OR(J4756=0,AND(J4756=1,K4756=1),AND(J4756=1,I4756="SBJ"),AND(J4756=1,I4756=0)),"?IN_FOCUS",IF(J4756&lt;=2,"?ACTIVATED",IF(J4756&lt;&gt;"","?FAMILIAR",IF(F4756="NEW",IF(ISNA(VLOOKUP(E4756,#REF!,1,FALSE())),"?TYPE_IDENTIFIABLE","?REFERENTIAL"),"_")))))</f>
        <v> </v>
      </c>
      <c r="H4756" s="25" t="str">
        <f>IF(J4756&lt;&gt;1,"",IF(I4756="SBJ","CB","?"))</f>
        <v> </v>
      </c>
      <c r="I4756" s="26" t="str">
        <f>IF(OR(E4756="",E4756="!!!",F4756="NEW"),"",INDEX(B4755:B$2,-1+SUMPRODUCT(MAX(ROW(E4755:E$2)*(E4756=E4755:E$2)))))</f>
        <v> </v>
      </c>
      <c r="J4756" s="26" t="str">
        <f>IF(OR(E4756="",E4756="!!!",F4756="NEW"),"",COUNTBLANK(OFFSET(A$1,,,SUMPRODUCT(MAX(ROW(E$2:E4756)*(E4756=E$2:E4756)))))-COUNTBLANK(OFFSET(A$1,,,SUMPRODUCT(MAX(ROW(E$1:E4755)*(E2=E$1:E4755))))))</f>
        <v> </v>
      </c>
      <c r="K4756" s="26" t="str">
        <f>IF(OR(E4756="",E4756="!!!",F4756="NEW"),"",INDEX(J$1:J4755,SUMPRODUCT(MAX(ROW(E$1:E4755)*(E4756=E$1:E4755)))))</f>
        <v> </v>
      </c>
      <c r="L4756" s="27"/>
    </row>
    <row r="4757" spans="1:12">
      <c r="A4757" s="20" t="s">
        <v>1251</v>
      </c>
      <c r="B4757" s="21" t="s">
        <v>2767</v>
      </c>
      <c r="E4757" s="22">
        <f>IF(D4757="?OLD","!!!","")</f>
        <v/>
      </c>
      <c r="F4757" s="23" t="str">
        <f>IF(OR(E4757="",E4757="!!!"),"",IF(NOT(ISNA(VLOOKUP(E4757,E$1:E4756,1,FALSE()))),"OLD",IF(AND(E4757&lt;&gt;"",E4757&lt;&gt;"!!!"),"NEW","")))</f>
        <v> </v>
      </c>
      <c r="G4757" s="24" t="str">
        <f>IF(OR(E4757="",E4757="!!!"),"",IF(OR(J4757=0,AND(J4757=1,K4757=1),AND(J4757=1,I4757="SBJ"),AND(J4757=1,I4757=0)),"?IN_FOCUS",IF(J4757&lt;=2,"?ACTIVATED",IF(J4757&lt;&gt;"","?FAMILIAR",IF(F4757="NEW",IF(ISNA(VLOOKUP(E4757,#REF!,1,FALSE())),"?TYPE_IDENTIFIABLE","?REFERENTIAL"),"_")))))</f>
        <v> </v>
      </c>
      <c r="H4757" s="25" t="str">
        <f>IF(J4757&lt;&gt;1,"",IF(I4757="SBJ","CB","?"))</f>
        <v> </v>
      </c>
      <c r="I4757" s="26" t="str">
        <f>IF(OR(E4757="",E4757="!!!",F4757="NEW"),"",INDEX(B4756:B$2,-1+SUMPRODUCT(MAX(ROW(E4756:E$2)*(E4757=E4756:E$2)))))</f>
        <v> </v>
      </c>
      <c r="J4757" s="26" t="str">
        <f>IF(OR(E4757="",E4757="!!!",F4757="NEW"),"",COUNTBLANK(OFFSET(A$1,,,SUMPRODUCT(MAX(ROW(E$2:E4757)*(E4757=E$2:E4757)))))-COUNTBLANK(OFFSET(A$1,,,SUMPRODUCT(MAX(ROW(E$1:E4756)*(E2=E$1:E4756))))))</f>
        <v> </v>
      </c>
      <c r="K4757" s="26" t="str">
        <f>IF(OR(E4757="",E4757="!!!",F4757="NEW"),"",INDEX(J$1:J4756,SUMPRODUCT(MAX(ROW(E$1:E4756)*(E4757=E$1:E4756)))))</f>
        <v> </v>
      </c>
      <c r="L4757" s="27"/>
    </row>
    <row r="4758" spans="1:12">
      <c r="A4758" s="20" t="s">
        <v>1277</v>
      </c>
      <c r="E4758" s="22">
        <f>IF(D4758="?OLD","!!!","")</f>
        <v/>
      </c>
      <c r="F4758" s="23" t="str">
        <f>IF(OR(E4758="",E4758="!!!"),"",IF(NOT(ISNA(VLOOKUP(E4758,E$1:E4757,1,FALSE()))),"OLD",IF(AND(E4758&lt;&gt;"",E4758&lt;&gt;"!!!"),"NEW","")))</f>
        <v> </v>
      </c>
      <c r="G4758" s="24" t="str">
        <f>IF(OR(E4758="",E4758="!!!"),"",IF(OR(J4758=0,AND(J4758=1,K4758=1),AND(J4758=1,I4758="SBJ"),AND(J4758=1,I4758=0)),"?IN_FOCUS",IF(J4758&lt;=2,"?ACTIVATED",IF(J4758&lt;&gt;"","?FAMILIAR",IF(F4758="NEW",IF(ISNA(VLOOKUP(E4758,#REF!,1,FALSE())),"?TYPE_IDENTIFIABLE","?REFERENTIAL"),"_")))))</f>
        <v> </v>
      </c>
      <c r="H4758" s="25" t="str">
        <f>IF(J4758&lt;&gt;1,"",IF(I4758="SBJ","CB","?"))</f>
        <v> </v>
      </c>
      <c r="I4758" s="26" t="str">
        <f>IF(OR(E4758="",E4758="!!!",F4758="NEW"),"",INDEX(B4757:B$2,-1+SUMPRODUCT(MAX(ROW(E4757:E$2)*(E4758=E4757:E$2)))))</f>
        <v> </v>
      </c>
      <c r="J4758" s="26" t="str">
        <f>IF(OR(E4758="",E4758="!!!",F4758="NEW"),"",COUNTBLANK(OFFSET(A$1,,,SUMPRODUCT(MAX(ROW(E$2:E4758)*(E4758=E$2:E4758)))))-COUNTBLANK(OFFSET(A$1,,,SUMPRODUCT(MAX(ROW(E$1:E4757)*(E2=E$1:E4757))))))</f>
        <v> </v>
      </c>
      <c r="K4758" s="26" t="str">
        <f>IF(OR(E4758="",E4758="!!!",F4758="NEW"),"",INDEX(J$1:J4757,SUMPRODUCT(MAX(ROW(E$1:E4757)*(E4758=E$1:E4757)))))</f>
        <v> </v>
      </c>
      <c r="L4758" s="27"/>
    </row>
    <row r="4759" spans="1:12">
      <c r="A4759" s="20" t="s">
        <v>1322</v>
      </c>
      <c r="E4759" s="22">
        <f>IF(D4759="?OLD","!!!","")</f>
        <v/>
      </c>
      <c r="F4759" s="23" t="str">
        <f>IF(OR(E4759="",E4759="!!!"),"",IF(NOT(ISNA(VLOOKUP(E4759,E$1:E4758,1,FALSE()))),"OLD",IF(AND(E4759&lt;&gt;"",E4759&lt;&gt;"!!!"),"NEW","")))</f>
        <v> </v>
      </c>
      <c r="G4759" s="24" t="str">
        <f>IF(OR(E4759="",E4759="!!!"),"",IF(OR(J4759=0,AND(J4759=1,K4759=1),AND(J4759=1,I4759="SBJ"),AND(J4759=1,I4759=0)),"?IN_FOCUS",IF(J4759&lt;=2,"?ACTIVATED",IF(J4759&lt;&gt;"","?FAMILIAR",IF(F4759="NEW",IF(ISNA(VLOOKUP(E4759,#REF!,1,FALSE())),"?TYPE_IDENTIFIABLE","?REFERENTIAL"),"_")))))</f>
        <v> </v>
      </c>
      <c r="H4759" s="25" t="str">
        <f>IF(J4759&lt;&gt;1,"",IF(I4759="SBJ","CB","?"))</f>
        <v> </v>
      </c>
      <c r="I4759" s="26" t="str">
        <f>IF(OR(E4759="",E4759="!!!",F4759="NEW"),"",INDEX(B4758:B$2,-1+SUMPRODUCT(MAX(ROW(E4758:E$2)*(E4759=E4758:E$2)))))</f>
        <v> </v>
      </c>
      <c r="J4759" s="26" t="str">
        <f>IF(OR(E4759="",E4759="!!!",F4759="NEW"),"",COUNTBLANK(OFFSET(A$1,,,SUMPRODUCT(MAX(ROW(E$2:E4759)*(E4759=E$2:E4759)))))-COUNTBLANK(OFFSET(A$1,,,SUMPRODUCT(MAX(ROW(E$1:E4758)*(E2=E$1:E4758))))))</f>
        <v> </v>
      </c>
      <c r="K4759" s="26" t="str">
        <f>IF(OR(E4759="",E4759="!!!",F4759="NEW"),"",INDEX(J$1:J4758,SUMPRODUCT(MAX(ROW(E$1:E4758)*(E4759=E$1:E4758)))))</f>
        <v> </v>
      </c>
      <c r="L4759" s="27"/>
    </row>
    <row r="4760" spans="1:12">
      <c r="A4760" s="20" t="s">
        <v>1796</v>
      </c>
      <c r="E4760" s="22">
        <f>IF(D4760="?OLD","!!!","")</f>
        <v/>
      </c>
      <c r="F4760" s="23" t="str">
        <f>IF(OR(E4760="",E4760="!!!"),"",IF(NOT(ISNA(VLOOKUP(E4760,E$1:E4759,1,FALSE()))),"OLD",IF(AND(E4760&lt;&gt;"",E4760&lt;&gt;"!!!"),"NEW","")))</f>
        <v> </v>
      </c>
      <c r="G4760" s="24" t="str">
        <f>IF(OR(E4760="",E4760="!!!"),"",IF(OR(J4760=0,AND(J4760=1,K4760=1),AND(J4760=1,I4760="SBJ"),AND(J4760=1,I4760=0)),"?IN_FOCUS",IF(J4760&lt;=2,"?ACTIVATED",IF(J4760&lt;&gt;"","?FAMILIAR",IF(F4760="NEW",IF(ISNA(VLOOKUP(E4760,#REF!,1,FALSE())),"?TYPE_IDENTIFIABLE","?REFERENTIAL"),"_")))))</f>
        <v> </v>
      </c>
      <c r="H4760" s="25" t="str">
        <f>IF(J4760&lt;&gt;1,"",IF(I4760="SBJ","CB","?"))</f>
        <v> </v>
      </c>
      <c r="I4760" s="26" t="str">
        <f>IF(OR(E4760="",E4760="!!!",F4760="NEW"),"",INDEX(B4759:B$2,-1+SUMPRODUCT(MAX(ROW(E4759:E$2)*(E4760=E4759:E$2)))))</f>
        <v> </v>
      </c>
      <c r="J4760" s="26" t="str">
        <f>IF(OR(E4760="",E4760="!!!",F4760="NEW"),"",COUNTBLANK(OFFSET(A$1,,,SUMPRODUCT(MAX(ROW(E$2:E4760)*(E4760=E$2:E4760)))))-COUNTBLANK(OFFSET(A$1,,,SUMPRODUCT(MAX(ROW(E$1:E4759)*(E2=E$1:E4759))))))</f>
        <v> </v>
      </c>
      <c r="K4760" s="26" t="str">
        <f>IF(OR(E4760="",E4760="!!!",F4760="NEW"),"",INDEX(J$1:J4759,SUMPRODUCT(MAX(ROW(E$1:E4759)*(E4760=E$1:E4759)))))</f>
        <v> </v>
      </c>
      <c r="L4760" s="27"/>
    </row>
    <row r="4761" spans="1:12">
      <c r="A4761" s="20" t="s">
        <v>2768</v>
      </c>
      <c r="B4761" s="21" t="s">
        <v>1380</v>
      </c>
      <c r="C4761" s="21" t="s">
        <v>1297</v>
      </c>
      <c r="E4761" s="22">
        <f>IF(D4761="?OLD","!!!","")</f>
        <v/>
      </c>
      <c r="F4761" s="23" t="str">
        <f>IF(OR(E4761="",E4761="!!!"),"",IF(NOT(ISNA(VLOOKUP(E4761,E$1:E4760,1,FALSE()))),"OLD",IF(AND(E4761&lt;&gt;"",E4761&lt;&gt;"!!!"),"NEW","")))</f>
        <v> </v>
      </c>
      <c r="G4761" s="24" t="str">
        <f>IF(OR(E4761="",E4761="!!!"),"",IF(OR(J4761=0,AND(J4761=1,K4761=1),AND(J4761=1,I4761="SBJ"),AND(J4761=1,I4761=0)),"?IN_FOCUS",IF(J4761&lt;=2,"?ACTIVATED",IF(J4761&lt;&gt;"","?FAMILIAR",IF(F4761="NEW",IF(ISNA(VLOOKUP(E4761,#REF!,1,FALSE())),"?TYPE_IDENTIFIABLE","?REFERENTIAL"),"_")))))</f>
        <v> </v>
      </c>
      <c r="H4761" s="25" t="str">
        <f>IF(J4761&lt;&gt;1,"",IF(I4761="SBJ","CB","?"))</f>
        <v> </v>
      </c>
      <c r="I4761" s="26" t="str">
        <f>IF(OR(E4761="",E4761="!!!",F4761="NEW"),"",INDEX(B4760:B$2,-1+SUMPRODUCT(MAX(ROW(E4760:E$2)*(E4761=E4760:E$2)))))</f>
        <v> </v>
      </c>
      <c r="J4761" s="26" t="str">
        <f>IF(OR(E4761="",E4761="!!!",F4761="NEW"),"",COUNTBLANK(OFFSET(A$1,,,SUMPRODUCT(MAX(ROW(E$2:E4761)*(E4761=E$2:E4761)))))-COUNTBLANK(OFFSET(A$1,,,SUMPRODUCT(MAX(ROW(E$1:E4760)*(E2=E$1:E4760))))))</f>
        <v> </v>
      </c>
      <c r="K4761" s="26" t="str">
        <f>IF(OR(E4761="",E4761="!!!",F4761="NEW"),"",INDEX(J$1:J4760,SUMPRODUCT(MAX(ROW(E$1:E4760)*(E4761=E$1:E4760)))))</f>
        <v> </v>
      </c>
      <c r="L4761" s="27"/>
    </row>
    <row r="4762" spans="1:12">
      <c r="A4762" s="20" t="s">
        <v>1277</v>
      </c>
      <c r="E4762" s="22">
        <f>IF(D4762="?OLD","!!!","")</f>
        <v/>
      </c>
      <c r="F4762" s="23" t="str">
        <f>IF(OR(E4762="",E4762="!!!"),"",IF(NOT(ISNA(VLOOKUP(E4762,E$1:E4761,1,FALSE()))),"OLD",IF(AND(E4762&lt;&gt;"",E4762&lt;&gt;"!!!"),"NEW","")))</f>
        <v> </v>
      </c>
      <c r="G4762" s="24" t="str">
        <f>IF(OR(E4762="",E4762="!!!"),"",IF(OR(J4762=0,AND(J4762=1,K4762=1),AND(J4762=1,I4762="SBJ"),AND(J4762=1,I4762=0)),"?IN_FOCUS",IF(J4762&lt;=2,"?ACTIVATED",IF(J4762&lt;&gt;"","?FAMILIAR",IF(F4762="NEW",IF(ISNA(VLOOKUP(E4762,#REF!,1,FALSE())),"?TYPE_IDENTIFIABLE","?REFERENTIAL"),"_")))))</f>
        <v> </v>
      </c>
      <c r="H4762" s="25" t="str">
        <f>IF(J4762&lt;&gt;1,"",IF(I4762="SBJ","CB","?"))</f>
        <v> </v>
      </c>
      <c r="I4762" s="26" t="str">
        <f>IF(OR(E4762="",E4762="!!!",F4762="NEW"),"",INDEX(B4761:B$2,-1+SUMPRODUCT(MAX(ROW(E4761:E$2)*(E4762=E4761:E$2)))))</f>
        <v> </v>
      </c>
      <c r="J4762" s="26" t="str">
        <f>IF(OR(E4762="",E4762="!!!",F4762="NEW"),"",COUNTBLANK(OFFSET(A$1,,,SUMPRODUCT(MAX(ROW(E$2:E4762)*(E4762=E$2:E4762)))))-COUNTBLANK(OFFSET(A$1,,,SUMPRODUCT(MAX(ROW(E$1:E4761)*(E2=E$1:E4761))))))</f>
        <v> </v>
      </c>
      <c r="K4762" s="26" t="str">
        <f>IF(OR(E4762="",E4762="!!!",F4762="NEW"),"",INDEX(J$1:J4761,SUMPRODUCT(MAX(ROW(E$1:E4761)*(E4762=E$1:E4761)))))</f>
        <v> </v>
      </c>
      <c r="L4762" s="27"/>
    </row>
    <row r="4763" spans="1:12">
      <c r="A4763" s="20" t="s">
        <v>2117</v>
      </c>
      <c r="E4763" s="22">
        <f>IF(D4763="?OLD","!!!","")</f>
        <v/>
      </c>
      <c r="F4763" s="23" t="str">
        <f>IF(OR(E4763="",E4763="!!!"),"",IF(NOT(ISNA(VLOOKUP(E4763,E$1:E4762,1,FALSE()))),"OLD",IF(AND(E4763&lt;&gt;"",E4763&lt;&gt;"!!!"),"NEW","")))</f>
        <v> </v>
      </c>
      <c r="G4763" s="24" t="str">
        <f>IF(OR(E4763="",E4763="!!!"),"",IF(OR(J4763=0,AND(J4763=1,K4763=1),AND(J4763=1,I4763="SBJ"),AND(J4763=1,I4763=0)),"?IN_FOCUS",IF(J4763&lt;=2,"?ACTIVATED",IF(J4763&lt;&gt;"","?FAMILIAR",IF(F4763="NEW",IF(ISNA(VLOOKUP(E4763,#REF!,1,FALSE())),"?TYPE_IDENTIFIABLE","?REFERENTIAL"),"_")))))</f>
        <v> </v>
      </c>
      <c r="H4763" s="25" t="str">
        <f>IF(J4763&lt;&gt;1,"",IF(I4763="SBJ","CB","?"))</f>
        <v> </v>
      </c>
      <c r="I4763" s="26" t="str">
        <f>IF(OR(E4763="",E4763="!!!",F4763="NEW"),"",INDEX(B4762:B$2,-1+SUMPRODUCT(MAX(ROW(E4762:E$2)*(E4763=E4762:E$2)))))</f>
        <v> </v>
      </c>
      <c r="J4763" s="26" t="str">
        <f>IF(OR(E4763="",E4763="!!!",F4763="NEW"),"",COUNTBLANK(OFFSET(A$1,,,SUMPRODUCT(MAX(ROW(E$2:E4763)*(E4763=E$2:E4763)))))-COUNTBLANK(OFFSET(A$1,,,SUMPRODUCT(MAX(ROW(E$1:E4762)*(E2=E$1:E4762))))))</f>
        <v> </v>
      </c>
      <c r="K4763" s="26" t="str">
        <f>IF(OR(E4763="",E4763="!!!",F4763="NEW"),"",INDEX(J$1:J4762,SUMPRODUCT(MAX(ROW(E$1:E4762)*(E4763=E$1:E4762)))))</f>
        <v> </v>
      </c>
      <c r="L4763" s="27"/>
    </row>
    <row r="4764" spans="1:12">
      <c r="A4764" s="20" t="s">
        <v>2769</v>
      </c>
      <c r="E4764" s="22">
        <f>IF(D4764="?OLD","!!!","")</f>
        <v/>
      </c>
      <c r="F4764" s="23" t="str">
        <f>IF(OR(E4764="",E4764="!!!"),"",IF(NOT(ISNA(VLOOKUP(E4764,E$1:E4763,1,FALSE()))),"OLD",IF(AND(E4764&lt;&gt;"",E4764&lt;&gt;"!!!"),"NEW","")))</f>
        <v> </v>
      </c>
      <c r="G4764" s="24" t="str">
        <f>IF(OR(E4764="",E4764="!!!"),"",IF(OR(J4764=0,AND(J4764=1,K4764=1),AND(J4764=1,I4764="SBJ"),AND(J4764=1,I4764=0)),"?IN_FOCUS",IF(J4764&lt;=2,"?ACTIVATED",IF(J4764&lt;&gt;"","?FAMILIAR",IF(F4764="NEW",IF(ISNA(VLOOKUP(E4764,#REF!,1,FALSE())),"?TYPE_IDENTIFIABLE","?REFERENTIAL"),"_")))))</f>
        <v> </v>
      </c>
      <c r="H4764" s="25" t="str">
        <f>IF(J4764&lt;&gt;1,"",IF(I4764="SBJ","CB","?"))</f>
        <v> </v>
      </c>
      <c r="I4764" s="26" t="str">
        <f>IF(OR(E4764="",E4764="!!!",F4764="NEW"),"",INDEX(B4763:B$2,-1+SUMPRODUCT(MAX(ROW(E4763:E$2)*(E4764=E4763:E$2)))))</f>
        <v> </v>
      </c>
      <c r="J4764" s="26" t="str">
        <f>IF(OR(E4764="",E4764="!!!",F4764="NEW"),"",COUNTBLANK(OFFSET(A$1,,,SUMPRODUCT(MAX(ROW(E$2:E4764)*(E4764=E$2:E4764)))))-COUNTBLANK(OFFSET(A$1,,,SUMPRODUCT(MAX(ROW(E$1:E4763)*(E2=E$1:E4763))))))</f>
        <v> </v>
      </c>
      <c r="K4764" s="26" t="str">
        <f>IF(OR(E4764="",E4764="!!!",F4764="NEW"),"",INDEX(J$1:J4763,SUMPRODUCT(MAX(ROW(E$1:E4763)*(E4764=E$1:E4763)))))</f>
        <v> </v>
      </c>
      <c r="L4764" s="27"/>
    </row>
    <row r="4765" spans="1:12">
      <c r="A4765" s="20" t="s">
        <v>1346</v>
      </c>
      <c r="B4765" s="21" t="s">
        <v>2754</v>
      </c>
      <c r="C4765" s="21" t="s">
        <v>1242</v>
      </c>
      <c r="D4765" s="21" t="s">
        <v>1217</v>
      </c>
      <c r="E4765" s="22">
        <f>IF(D4765="?OLD","!!!","")</f>
        <v/>
      </c>
      <c r="F4765" s="23" t="str">
        <f>IF(OR(E4765="",E4765="!!!"),"",IF(NOT(ISNA(VLOOKUP(E4765,E$1:E4764,1,FALSE()))),"OLD",IF(AND(E4765&lt;&gt;"",E4765&lt;&gt;"!!!"),"NEW","")))</f>
        <v> </v>
      </c>
      <c r="G4765" s="24" t="str">
        <f>IF(OR(E4765="",E4765="!!!"),"",IF(OR(J4765=0,AND(J4765=1,K4765=1),AND(J4765=1,I4765="SBJ"),AND(J4765=1,I4765=0)),"?IN_FOCUS",IF(J4765&lt;=2,"?ACTIVATED",IF(J4765&lt;&gt;"","?FAMILIAR",IF(F4765="NEW",IF(ISNA(VLOOKUP(E4765,#REF!,1,FALSE())),"?TYPE_IDENTIFIABLE","?REFERENTIAL"),"_")))))</f>
        <v> </v>
      </c>
      <c r="H4765" s="25" t="str">
        <f>IF(J4765&lt;&gt;1,"",IF(I4765="SBJ","CB","?"))</f>
        <v> </v>
      </c>
      <c r="I4765" s="26" t="str">
        <f>IF(OR(E4765="",E4765="!!!",F4765="NEW"),"",INDEX(B4764:B$2,-1+SUMPRODUCT(MAX(ROW(E4764:E$2)*(E4765=E4764:E$2)))))</f>
        <v> </v>
      </c>
      <c r="J4765" s="26" t="str">
        <f>IF(OR(E4765="",E4765="!!!",F4765="NEW"),"",COUNTBLANK(OFFSET(A$1,,,SUMPRODUCT(MAX(ROW(E$2:E4765)*(E4765=E$2:E4765)))))-COUNTBLANK(OFFSET(A$1,,,SUMPRODUCT(MAX(ROW(E$1:E4764)*(E2=E$1:E4764))))))</f>
        <v> </v>
      </c>
      <c r="K4765" s="26" t="str">
        <f>IF(OR(E4765="",E4765="!!!",F4765="NEW"),"",INDEX(J$1:J4764,SUMPRODUCT(MAX(ROW(E$1:E4764)*(E4765=E$1:E4764)))))</f>
        <v> </v>
      </c>
      <c r="L4765" s="27"/>
    </row>
    <row r="4766" spans="1:12">
      <c r="A4766" s="20" t="s">
        <v>2770</v>
      </c>
      <c r="B4766" s="21" t="s">
        <v>2771</v>
      </c>
      <c r="C4766" s="21" t="s">
        <v>1222</v>
      </c>
      <c r="D4766" s="21" t="s">
        <v>1217</v>
      </c>
      <c r="E4766" s="22">
        <f>IF(D4766="?OLD","!!!","")</f>
        <v/>
      </c>
      <c r="F4766" s="23" t="str">
        <f>IF(OR(E4766="",E4766="!!!"),"",IF(NOT(ISNA(VLOOKUP(E4766,E$1:E4765,1,FALSE()))),"OLD",IF(AND(E4766&lt;&gt;"",E4766&lt;&gt;"!!!"),"NEW","")))</f>
        <v> </v>
      </c>
      <c r="G4766" s="24" t="str">
        <f>IF(OR(E4766="",E4766="!!!"),"",IF(OR(J4766=0,AND(J4766=1,K4766=1),AND(J4766=1,I4766="SBJ"),AND(J4766=1,I4766=0)),"?IN_FOCUS",IF(J4766&lt;=2,"?ACTIVATED",IF(J4766&lt;&gt;"","?FAMILIAR",IF(F4766="NEW",IF(ISNA(VLOOKUP(E4766,#REF!,1,FALSE())),"?TYPE_IDENTIFIABLE","?REFERENTIAL"),"_")))))</f>
        <v> </v>
      </c>
      <c r="H4766" s="25" t="str">
        <f>IF(J4766&lt;&gt;1,"",IF(I4766="SBJ","CB","?"))</f>
        <v> </v>
      </c>
      <c r="I4766" s="26" t="str">
        <f>IF(OR(E4766="",E4766="!!!",F4766="NEW"),"",INDEX(B4765:B$2,-1+SUMPRODUCT(MAX(ROW(E4765:E$2)*(E4766=E4765:E$2)))))</f>
        <v> </v>
      </c>
      <c r="J4766" s="26" t="str">
        <f>IF(OR(E4766="",E4766="!!!",F4766="NEW"),"",COUNTBLANK(OFFSET(A$1,,,SUMPRODUCT(MAX(ROW(E$2:E4766)*(E4766=E$2:E4766)))))-COUNTBLANK(OFFSET(A$1,,,SUMPRODUCT(MAX(ROW(E$1:E4765)*(E2=E$1:E4765))))))</f>
        <v> </v>
      </c>
      <c r="K4766" s="26" t="str">
        <f>IF(OR(E4766="",E4766="!!!",F4766="NEW"),"",INDEX(J$1:J4765,SUMPRODUCT(MAX(ROW(E$1:E4765)*(E4766=E$1:E4765)))))</f>
        <v> </v>
      </c>
      <c r="L4766" s="27"/>
    </row>
    <row r="4767" spans="1:12">
      <c r="A4767" s="20" t="s">
        <v>1286</v>
      </c>
      <c r="E4767" s="22">
        <f>IF(D4767="?OLD","!!!","")</f>
        <v/>
      </c>
      <c r="F4767" s="23" t="str">
        <f>IF(OR(E4767="",E4767="!!!"),"",IF(NOT(ISNA(VLOOKUP(E4767,E$1:E4766,1,FALSE()))),"OLD",IF(AND(E4767&lt;&gt;"",E4767&lt;&gt;"!!!"),"NEW","")))</f>
        <v> </v>
      </c>
      <c r="G4767" s="24" t="str">
        <f>IF(OR(E4767="",E4767="!!!"),"",IF(OR(J4767=0,AND(J4767=1,K4767=1),AND(J4767=1,I4767="SBJ"),AND(J4767=1,I4767=0)),"?IN_FOCUS",IF(J4767&lt;=2,"?ACTIVATED",IF(J4767&lt;&gt;"","?FAMILIAR",IF(F4767="NEW",IF(ISNA(VLOOKUP(E4767,#REF!,1,FALSE())),"?TYPE_IDENTIFIABLE","?REFERENTIAL"),"_")))))</f>
        <v> </v>
      </c>
      <c r="H4767" s="25" t="str">
        <f>IF(J4767&lt;&gt;1,"",IF(I4767="SBJ","CB","?"))</f>
        <v> </v>
      </c>
      <c r="I4767" s="26" t="str">
        <f>IF(OR(E4767="",E4767="!!!",F4767="NEW"),"",INDEX(B4766:B$2,-1+SUMPRODUCT(MAX(ROW(E4766:E$2)*(E4767=E4766:E$2)))))</f>
        <v> </v>
      </c>
      <c r="J4767" s="26" t="str">
        <f>IF(OR(E4767="",E4767="!!!",F4767="NEW"),"",COUNTBLANK(OFFSET(A$1,,,SUMPRODUCT(MAX(ROW(E$2:E4767)*(E4767=E$2:E4767)))))-COUNTBLANK(OFFSET(A$1,,,SUMPRODUCT(MAX(ROW(E$1:E4766)*(E2=E$1:E4766))))))</f>
        <v> </v>
      </c>
      <c r="K4767" s="26" t="str">
        <f>IF(OR(E4767="",E4767="!!!",F4767="NEW"),"",INDEX(J$1:J4766,SUMPRODUCT(MAX(ROW(E$1:E4766)*(E4767=E$1:E4766)))))</f>
        <v> </v>
      </c>
      <c r="L4767" s="27"/>
    </row>
    <row r="4768" spans="1:12">
      <c r="A4768" s="20" t="s">
        <v>1251</v>
      </c>
      <c r="B4768" s="21" t="s">
        <v>2772</v>
      </c>
      <c r="E4768" s="22">
        <f>IF(D4768="?OLD","!!!","")</f>
        <v/>
      </c>
      <c r="F4768" s="23" t="str">
        <f>IF(OR(E4768="",E4768="!!!"),"",IF(NOT(ISNA(VLOOKUP(E4768,E$1:E4767,1,FALSE()))),"OLD",IF(AND(E4768&lt;&gt;"",E4768&lt;&gt;"!!!"),"NEW","")))</f>
        <v> </v>
      </c>
      <c r="G4768" s="24" t="str">
        <f>IF(OR(E4768="",E4768="!!!"),"",IF(OR(J4768=0,AND(J4768=1,K4768=1),AND(J4768=1,I4768="SBJ"),AND(J4768=1,I4768=0)),"?IN_FOCUS",IF(J4768&lt;=2,"?ACTIVATED",IF(J4768&lt;&gt;"","?FAMILIAR",IF(F4768="NEW",IF(ISNA(VLOOKUP(E4768,#REF!,1,FALSE())),"?TYPE_IDENTIFIABLE","?REFERENTIAL"),"_")))))</f>
        <v> </v>
      </c>
      <c r="H4768" s="25" t="str">
        <f>IF(J4768&lt;&gt;1,"",IF(I4768="SBJ","CB","?"))</f>
        <v> </v>
      </c>
      <c r="I4768" s="26" t="str">
        <f>IF(OR(E4768="",E4768="!!!",F4768="NEW"),"",INDEX(B4767:B$2,-1+SUMPRODUCT(MAX(ROW(E4767:E$2)*(E4768=E4767:E$2)))))</f>
        <v> </v>
      </c>
      <c r="J4768" s="26" t="str">
        <f>IF(OR(E4768="",E4768="!!!",F4768="NEW"),"",COUNTBLANK(OFFSET(A$1,,,SUMPRODUCT(MAX(ROW(E$2:E4768)*(E4768=E$2:E4768)))))-COUNTBLANK(OFFSET(A$1,,,SUMPRODUCT(MAX(ROW(E$1:E4767)*(E2=E$1:E4767))))))</f>
        <v> </v>
      </c>
      <c r="K4768" s="26" t="str">
        <f>IF(OR(E4768="",E4768="!!!",F4768="NEW"),"",INDEX(J$1:J4767,SUMPRODUCT(MAX(ROW(E$1:E4767)*(E4768=E$1:E4767)))))</f>
        <v> </v>
      </c>
      <c r="L4768" s="27"/>
    </row>
    <row r="4769" spans="1:12">
      <c r="A4769" s="20" t="s">
        <v>1884</v>
      </c>
      <c r="E4769" s="22">
        <f>IF(D4769="?OLD","!!!","")</f>
        <v/>
      </c>
      <c r="F4769" s="23" t="str">
        <f>IF(OR(E4769="",E4769="!!!"),"",IF(NOT(ISNA(VLOOKUP(E4769,E$1:E4768,1,FALSE()))),"OLD",IF(AND(E4769&lt;&gt;"",E4769&lt;&gt;"!!!"),"NEW","")))</f>
        <v> </v>
      </c>
      <c r="G4769" s="24" t="str">
        <f>IF(OR(E4769="",E4769="!!!"),"",IF(OR(J4769=0,AND(J4769=1,K4769=1),AND(J4769=1,I4769="SBJ"),AND(J4769=1,I4769=0)),"?IN_FOCUS",IF(J4769&lt;=2,"?ACTIVATED",IF(J4769&lt;&gt;"","?FAMILIAR",IF(F4769="NEW",IF(ISNA(VLOOKUP(E4769,#REF!,1,FALSE())),"?TYPE_IDENTIFIABLE","?REFERENTIAL"),"_")))))</f>
        <v> </v>
      </c>
      <c r="H4769" s="25" t="str">
        <f>IF(J4769&lt;&gt;1,"",IF(I4769="SBJ","CB","?"))</f>
        <v> </v>
      </c>
      <c r="I4769" s="26" t="str">
        <f>IF(OR(E4769="",E4769="!!!",F4769="NEW"),"",INDEX(B4768:B$2,-1+SUMPRODUCT(MAX(ROW(E4768:E$2)*(E4769=E4768:E$2)))))</f>
        <v> </v>
      </c>
      <c r="J4769" s="26" t="str">
        <f>IF(OR(E4769="",E4769="!!!",F4769="NEW"),"",COUNTBLANK(OFFSET(A$1,,,SUMPRODUCT(MAX(ROW(E$2:E4769)*(E4769=E$2:E4769)))))-COUNTBLANK(OFFSET(A$1,,,SUMPRODUCT(MAX(ROW(E$1:E4768)*(E2=E$1:E4768))))))</f>
        <v> </v>
      </c>
      <c r="K4769" s="26" t="str">
        <f>IF(OR(E4769="",E4769="!!!",F4769="NEW"),"",INDEX(J$1:J4768,SUMPRODUCT(MAX(ROW(E$1:E4768)*(E4769=E$1:E4768)))))</f>
        <v> </v>
      </c>
      <c r="L4769" s="27"/>
    </row>
    <row r="4770" spans="1:12">
      <c r="A4770" s="20" t="s">
        <v>1218</v>
      </c>
      <c r="E4770" s="22">
        <f>IF(D4770="?OLD","!!!","")</f>
        <v/>
      </c>
      <c r="F4770" s="23" t="str">
        <f>IF(OR(E4770="",E4770="!!!"),"",IF(NOT(ISNA(VLOOKUP(E4770,E$1:E4769,1,FALSE()))),"OLD",IF(AND(E4770&lt;&gt;"",E4770&lt;&gt;"!!!"),"NEW","")))</f>
        <v> </v>
      </c>
      <c r="G4770" s="24" t="str">
        <f>IF(OR(E4770="",E4770="!!!"),"",IF(OR(J4770=0,AND(J4770=1,K4770=1),AND(J4770=1,I4770="SBJ"),AND(J4770=1,I4770=0)),"?IN_FOCUS",IF(J4770&lt;=2,"?ACTIVATED",IF(J4770&lt;&gt;"","?FAMILIAR",IF(F4770="NEW",IF(ISNA(VLOOKUP(E4770,#REF!,1,FALSE())),"?TYPE_IDENTIFIABLE","?REFERENTIAL"),"_")))))</f>
        <v> </v>
      </c>
      <c r="H4770" s="25" t="str">
        <f>IF(J4770&lt;&gt;1,"",IF(I4770="SBJ","CB","?"))</f>
        <v> </v>
      </c>
      <c r="I4770" s="26" t="str">
        <f>IF(OR(E4770="",E4770="!!!",F4770="NEW"),"",INDEX(B4769:B$2,-1+SUMPRODUCT(MAX(ROW(E4769:E$2)*(E4770=E4769:E$2)))))</f>
        <v> </v>
      </c>
      <c r="J4770" s="26" t="str">
        <f>IF(OR(E4770="",E4770="!!!",F4770="NEW"),"",COUNTBLANK(OFFSET(A$1,,,SUMPRODUCT(MAX(ROW(E$2:E4770)*(E4770=E$2:E4770)))))-COUNTBLANK(OFFSET(A$1,,,SUMPRODUCT(MAX(ROW(E$1:E4769)*(E2=E$1:E4769))))))</f>
        <v> </v>
      </c>
      <c r="K4770" s="26" t="str">
        <f>IF(OR(E4770="",E4770="!!!",F4770="NEW"),"",INDEX(J$1:J4769,SUMPRODUCT(MAX(ROW(E$1:E4769)*(E4770=E$1:E4769)))))</f>
        <v> </v>
      </c>
      <c r="L4770" s="27"/>
    </row>
    <row r="4771" spans="1:12">
      <c r="A4771" s="20" t="s">
        <v>1474</v>
      </c>
      <c r="E4771" s="22">
        <f>IF(D4771="?OLD","!!!","")</f>
        <v/>
      </c>
      <c r="F4771" s="23" t="str">
        <f>IF(OR(E4771="",E4771="!!!"),"",IF(NOT(ISNA(VLOOKUP(E4771,E$1:E4770,1,FALSE()))),"OLD",IF(AND(E4771&lt;&gt;"",E4771&lt;&gt;"!!!"),"NEW","")))</f>
        <v> </v>
      </c>
      <c r="G4771" s="24" t="str">
        <f>IF(OR(E4771="",E4771="!!!"),"",IF(OR(J4771=0,AND(J4771=1,K4771=1),AND(J4771=1,I4771="SBJ"),AND(J4771=1,I4771=0)),"?IN_FOCUS",IF(J4771&lt;=2,"?ACTIVATED",IF(J4771&lt;&gt;"","?FAMILIAR",IF(F4771="NEW",IF(ISNA(VLOOKUP(E4771,#REF!,1,FALSE())),"?TYPE_IDENTIFIABLE","?REFERENTIAL"),"_")))))</f>
        <v> </v>
      </c>
      <c r="H4771" s="25" t="str">
        <f>IF(J4771&lt;&gt;1,"",IF(I4771="SBJ","CB","?"))</f>
        <v> </v>
      </c>
      <c r="I4771" s="26" t="str">
        <f>IF(OR(E4771="",E4771="!!!",F4771="NEW"),"",INDEX(B4770:B$2,-1+SUMPRODUCT(MAX(ROW(E4770:E$2)*(E4771=E4770:E$2)))))</f>
        <v> </v>
      </c>
      <c r="J4771" s="26" t="str">
        <f>IF(OR(E4771="",E4771="!!!",F4771="NEW"),"",COUNTBLANK(OFFSET(A$1,,,SUMPRODUCT(MAX(ROW(E$2:E4771)*(E4771=E$2:E4771)))))-COUNTBLANK(OFFSET(A$1,,,SUMPRODUCT(MAX(ROW(E$1:E4770)*(E2=E$1:E4770))))))</f>
        <v> </v>
      </c>
      <c r="K4771" s="26" t="str">
        <f>IF(OR(E4771="",E4771="!!!",F4771="NEW"),"",INDEX(J$1:J4770,SUMPRODUCT(MAX(ROW(E$1:E4770)*(E4771=E$1:E4770)))))</f>
        <v> </v>
      </c>
      <c r="L4771" s="27"/>
    </row>
    <row r="4772" spans="1:12">
      <c r="A4772" s="20" t="s">
        <v>2773</v>
      </c>
      <c r="E4772" s="22">
        <f>IF(D4772="?OLD","!!!","")</f>
        <v/>
      </c>
      <c r="F4772" s="23" t="str">
        <f>IF(OR(E4772="",E4772="!!!"),"",IF(NOT(ISNA(VLOOKUP(E4772,E$1:E4771,1,FALSE()))),"OLD",IF(AND(E4772&lt;&gt;"",E4772&lt;&gt;"!!!"),"NEW","")))</f>
        <v> </v>
      </c>
      <c r="G4772" s="24" t="str">
        <f>IF(OR(E4772="",E4772="!!!"),"",IF(OR(J4772=0,AND(J4772=1,K4772=1),AND(J4772=1,I4772="SBJ"),AND(J4772=1,I4772=0)),"?IN_FOCUS",IF(J4772&lt;=2,"?ACTIVATED",IF(J4772&lt;&gt;"","?FAMILIAR",IF(F4772="NEW",IF(ISNA(VLOOKUP(E4772,#REF!,1,FALSE())),"?TYPE_IDENTIFIABLE","?REFERENTIAL"),"_")))))</f>
        <v> </v>
      </c>
      <c r="H4772" s="25" t="str">
        <f>IF(J4772&lt;&gt;1,"",IF(I4772="SBJ","CB","?"))</f>
        <v> </v>
      </c>
      <c r="I4772" s="26" t="str">
        <f>IF(OR(E4772="",E4772="!!!",F4772="NEW"),"",INDEX(B4771:B$2,-1+SUMPRODUCT(MAX(ROW(E4771:E$2)*(E4772=E4771:E$2)))))</f>
        <v> </v>
      </c>
      <c r="J4772" s="26" t="str">
        <f>IF(OR(E4772="",E4772="!!!",F4772="NEW"),"",COUNTBLANK(OFFSET(A$1,,,SUMPRODUCT(MAX(ROW(E$2:E4772)*(E4772=E$2:E4772)))))-COUNTBLANK(OFFSET(A$1,,,SUMPRODUCT(MAX(ROW(E$1:E4771)*(E2=E$1:E4771))))))</f>
        <v> </v>
      </c>
      <c r="K4772" s="26" t="str">
        <f>IF(OR(E4772="",E4772="!!!",F4772="NEW"),"",INDEX(J$1:J4771,SUMPRODUCT(MAX(ROW(E$1:E4771)*(E4772=E$1:E4771)))))</f>
        <v> </v>
      </c>
      <c r="L4772" s="27"/>
    </row>
    <row r="4773" spans="1:12">
      <c r="A4773" s="20" t="s">
        <v>1526</v>
      </c>
      <c r="E4773" s="22">
        <f>IF(D4773="?OLD","!!!","")</f>
        <v/>
      </c>
      <c r="F4773" s="23" t="str">
        <f>IF(OR(E4773="",E4773="!!!"),"",IF(NOT(ISNA(VLOOKUP(E4773,E$1:E4772,1,FALSE()))),"OLD",IF(AND(E4773&lt;&gt;"",E4773&lt;&gt;"!!!"),"NEW","")))</f>
        <v> </v>
      </c>
      <c r="G4773" s="24" t="str">
        <f>IF(OR(E4773="",E4773="!!!"),"",IF(OR(J4773=0,AND(J4773=1,K4773=1),AND(J4773=1,I4773="SBJ"),AND(J4773=1,I4773=0)),"?IN_FOCUS",IF(J4773&lt;=2,"?ACTIVATED",IF(J4773&lt;&gt;"","?FAMILIAR",IF(F4773="NEW",IF(ISNA(VLOOKUP(E4773,#REF!,1,FALSE())),"?TYPE_IDENTIFIABLE","?REFERENTIAL"),"_")))))</f>
        <v> </v>
      </c>
      <c r="H4773" s="25" t="str">
        <f>IF(J4773&lt;&gt;1,"",IF(I4773="SBJ","CB","?"))</f>
        <v> </v>
      </c>
      <c r="I4773" s="26" t="str">
        <f>IF(OR(E4773="",E4773="!!!",F4773="NEW"),"",INDEX(B4772:B$2,-1+SUMPRODUCT(MAX(ROW(E4772:E$2)*(E4773=E4772:E$2)))))</f>
        <v> </v>
      </c>
      <c r="J4773" s="26" t="str">
        <f>IF(OR(E4773="",E4773="!!!",F4773="NEW"),"",COUNTBLANK(OFFSET(A$1,,,SUMPRODUCT(MAX(ROW(E$2:E4773)*(E4773=E$2:E4773)))))-COUNTBLANK(OFFSET(A$1,,,SUMPRODUCT(MAX(ROW(E$1:E4772)*(E2=E$1:E4772))))))</f>
        <v> </v>
      </c>
      <c r="K4773" s="26" t="str">
        <f>IF(OR(E4773="",E4773="!!!",F4773="NEW"),"",INDEX(J$1:J4772,SUMPRODUCT(MAX(ROW(E$1:E4772)*(E4773=E$1:E4772)))))</f>
        <v> </v>
      </c>
      <c r="L4773" s="27"/>
    </row>
    <row r="4774" spans="1:12">
      <c r="A4774" s="20" t="s">
        <v>1471</v>
      </c>
      <c r="E4774" s="22">
        <f>IF(D4774="?OLD","!!!","")</f>
        <v/>
      </c>
      <c r="F4774" s="23" t="str">
        <f>IF(OR(E4774="",E4774="!!!"),"",IF(NOT(ISNA(VLOOKUP(E4774,E$1:E4773,1,FALSE()))),"OLD",IF(AND(E4774&lt;&gt;"",E4774&lt;&gt;"!!!"),"NEW","")))</f>
        <v> </v>
      </c>
      <c r="G4774" s="24" t="str">
        <f>IF(OR(E4774="",E4774="!!!"),"",IF(OR(J4774=0,AND(J4774=1,K4774=1),AND(J4774=1,I4774="SBJ"),AND(J4774=1,I4774=0)),"?IN_FOCUS",IF(J4774&lt;=2,"?ACTIVATED",IF(J4774&lt;&gt;"","?FAMILIAR",IF(F4774="NEW",IF(ISNA(VLOOKUP(E4774,#REF!,1,FALSE())),"?TYPE_IDENTIFIABLE","?REFERENTIAL"),"_")))))</f>
        <v> </v>
      </c>
      <c r="H4774" s="25" t="str">
        <f>IF(J4774&lt;&gt;1,"",IF(I4774="SBJ","CB","?"))</f>
        <v> </v>
      </c>
      <c r="I4774" s="26" t="str">
        <f>IF(OR(E4774="",E4774="!!!",F4774="NEW"),"",INDEX(B4773:B$2,-1+SUMPRODUCT(MAX(ROW(E4773:E$2)*(E4774=E4773:E$2)))))</f>
        <v> </v>
      </c>
      <c r="J4774" s="26" t="str">
        <f>IF(OR(E4774="",E4774="!!!",F4774="NEW"),"",COUNTBLANK(OFFSET(A$1,,,SUMPRODUCT(MAX(ROW(E$2:E4774)*(E4774=E$2:E4774)))))-COUNTBLANK(OFFSET(A$1,,,SUMPRODUCT(MAX(ROW(E$1:E4773)*(E2=E$1:E4773))))))</f>
        <v> </v>
      </c>
      <c r="K4774" s="26" t="str">
        <f>IF(OR(E4774="",E4774="!!!",F4774="NEW"),"",INDEX(J$1:J4773,SUMPRODUCT(MAX(ROW(E$1:E4773)*(E4774=E$1:E4773)))))</f>
        <v> </v>
      </c>
      <c r="L4774" s="27"/>
    </row>
    <row r="4775" spans="1:12">
      <c r="A4775" s="20" t="s">
        <v>1227</v>
      </c>
      <c r="E4775" s="22">
        <f>IF(D4775="?OLD","!!!","")</f>
        <v/>
      </c>
      <c r="F4775" s="23" t="str">
        <f>IF(OR(E4775="",E4775="!!!"),"",IF(NOT(ISNA(VLOOKUP(E4775,E$1:E4774,1,FALSE()))),"OLD",IF(AND(E4775&lt;&gt;"",E4775&lt;&gt;"!!!"),"NEW","")))</f>
        <v> </v>
      </c>
      <c r="G4775" s="24" t="str">
        <f>IF(OR(E4775="",E4775="!!!"),"",IF(OR(J4775=0,AND(J4775=1,K4775=1),AND(J4775=1,I4775="SBJ"),AND(J4775=1,I4775=0)),"?IN_FOCUS",IF(J4775&lt;=2,"?ACTIVATED",IF(J4775&lt;&gt;"","?FAMILIAR",IF(F4775="NEW",IF(ISNA(VLOOKUP(E4775,#REF!,1,FALSE())),"?TYPE_IDENTIFIABLE","?REFERENTIAL"),"_")))))</f>
        <v> </v>
      </c>
      <c r="H4775" s="25" t="str">
        <f>IF(J4775&lt;&gt;1,"",IF(I4775="SBJ","CB","?"))</f>
        <v> </v>
      </c>
      <c r="I4775" s="26" t="str">
        <f>IF(OR(E4775="",E4775="!!!",F4775="NEW"),"",INDEX(B4774:B$2,-1+SUMPRODUCT(MAX(ROW(E4774:E$2)*(E4775=E4774:E$2)))))</f>
        <v> </v>
      </c>
      <c r="J4775" s="26" t="str">
        <f>IF(OR(E4775="",E4775="!!!",F4775="NEW"),"",COUNTBLANK(OFFSET(A$1,,,SUMPRODUCT(MAX(ROW(E$2:E4775)*(E4775=E$2:E4775)))))-COUNTBLANK(OFFSET(A$1,,,SUMPRODUCT(MAX(ROW(E$1:E4774)*(E2=E$1:E4774))))))</f>
        <v> </v>
      </c>
      <c r="K4775" s="26" t="str">
        <f>IF(OR(E4775="",E4775="!!!",F4775="NEW"),"",INDEX(J$1:J4774,SUMPRODUCT(MAX(ROW(E$1:E4774)*(E4775=E$1:E4774)))))</f>
        <v> </v>
      </c>
      <c r="L4775" s="27"/>
    </row>
    <row r="4776" spans="1:12">
      <c r="A4776" s="20" t="s">
        <v>2774</v>
      </c>
      <c r="E4776" s="22">
        <f>IF(D4776="?OLD","!!!","")</f>
        <v/>
      </c>
      <c r="F4776" s="23" t="str">
        <f>IF(OR(E4776="",E4776="!!!"),"",IF(NOT(ISNA(VLOOKUP(E4776,E$1:E4775,1,FALSE()))),"OLD",IF(AND(E4776&lt;&gt;"",E4776&lt;&gt;"!!!"),"NEW","")))</f>
        <v> </v>
      </c>
      <c r="G4776" s="24" t="str">
        <f>IF(OR(E4776="",E4776="!!!"),"",IF(OR(J4776=0,AND(J4776=1,K4776=1),AND(J4776=1,I4776="SBJ"),AND(J4776=1,I4776=0)),"?IN_FOCUS",IF(J4776&lt;=2,"?ACTIVATED",IF(J4776&lt;&gt;"","?FAMILIAR",IF(F4776="NEW",IF(ISNA(VLOOKUP(E4776,#REF!,1,FALSE())),"?TYPE_IDENTIFIABLE","?REFERENTIAL"),"_")))))</f>
        <v> </v>
      </c>
      <c r="H4776" s="25" t="str">
        <f>IF(J4776&lt;&gt;1,"",IF(I4776="SBJ","CB","?"))</f>
        <v> </v>
      </c>
      <c r="I4776" s="26" t="str">
        <f>IF(OR(E4776="",E4776="!!!",F4776="NEW"),"",INDEX(B4775:B$2,-1+SUMPRODUCT(MAX(ROW(E4775:E$2)*(E4776=E4775:E$2)))))</f>
        <v> </v>
      </c>
      <c r="J4776" s="26" t="str">
        <f>IF(OR(E4776="",E4776="!!!",F4776="NEW"),"",COUNTBLANK(OFFSET(A$1,,,SUMPRODUCT(MAX(ROW(E$2:E4776)*(E4776=E$2:E4776)))))-COUNTBLANK(OFFSET(A$1,,,SUMPRODUCT(MAX(ROW(E$1:E4775)*(E2=E$1:E4775))))))</f>
        <v> </v>
      </c>
      <c r="K4776" s="26" t="str">
        <f>IF(OR(E4776="",E4776="!!!",F4776="NEW"),"",INDEX(J$1:J4775,SUMPRODUCT(MAX(ROW(E$1:E4775)*(E4776=E$1:E4775)))))</f>
        <v> </v>
      </c>
      <c r="L4776" s="27"/>
    </row>
    <row r="4777" spans="1:12">
      <c r="A4777" s="20" t="s">
        <v>2775</v>
      </c>
      <c r="B4777" s="21" t="s">
        <v>2776</v>
      </c>
      <c r="C4777" s="21" t="s">
        <v>1238</v>
      </c>
      <c r="E4777" s="22">
        <f>IF(D4777="?OLD","!!!","")</f>
        <v/>
      </c>
      <c r="F4777" s="23" t="str">
        <f>IF(OR(E4777="",E4777="!!!"),"",IF(NOT(ISNA(VLOOKUP(E4777,E$1:E4776,1,FALSE()))),"OLD",IF(AND(E4777&lt;&gt;"",E4777&lt;&gt;"!!!"),"NEW","")))</f>
        <v> </v>
      </c>
      <c r="G4777" s="24" t="str">
        <f>IF(OR(E4777="",E4777="!!!"),"",IF(OR(J4777=0,AND(J4777=1,K4777=1),AND(J4777=1,I4777="SBJ"),AND(J4777=1,I4777=0)),"?IN_FOCUS",IF(J4777&lt;=2,"?ACTIVATED",IF(J4777&lt;&gt;"","?FAMILIAR",IF(F4777="NEW",IF(ISNA(VLOOKUP(E4777,#REF!,1,FALSE())),"?TYPE_IDENTIFIABLE","?REFERENTIAL"),"_")))))</f>
        <v> </v>
      </c>
      <c r="H4777" s="25" t="str">
        <f>IF(J4777&lt;&gt;1,"",IF(I4777="SBJ","CB","?"))</f>
        <v> </v>
      </c>
      <c r="I4777" s="26" t="str">
        <f>IF(OR(E4777="",E4777="!!!",F4777="NEW"),"",INDEX(B4776:B$2,-1+SUMPRODUCT(MAX(ROW(E4776:E$2)*(E4777=E4776:E$2)))))</f>
        <v> </v>
      </c>
      <c r="J4777" s="26" t="str">
        <f>IF(OR(E4777="",E4777="!!!",F4777="NEW"),"",COUNTBLANK(OFFSET(A$1,,,SUMPRODUCT(MAX(ROW(E$2:E4777)*(E4777=E$2:E4777)))))-COUNTBLANK(OFFSET(A$1,,,SUMPRODUCT(MAX(ROW(E$1:E4776)*(E2=E$1:E4776))))))</f>
        <v> </v>
      </c>
      <c r="K4777" s="26" t="str">
        <f>IF(OR(E4777="",E4777="!!!",F4777="NEW"),"",INDEX(J$1:J4776,SUMPRODUCT(MAX(ROW(E$1:E4776)*(E4777=E$1:E4776)))))</f>
        <v> </v>
      </c>
      <c r="L4777" s="27"/>
    </row>
    <row r="4778" spans="1:12">
      <c r="A4778" s="20" t="s">
        <v>1262</v>
      </c>
      <c r="E4778" s="22">
        <f>IF(D4778="?OLD","!!!","")</f>
        <v/>
      </c>
      <c r="F4778" s="23" t="str">
        <f>IF(OR(E4778="",E4778="!!!"),"",IF(NOT(ISNA(VLOOKUP(E4778,E$1:E4777,1,FALSE()))),"OLD",IF(AND(E4778&lt;&gt;"",E4778&lt;&gt;"!!!"),"NEW","")))</f>
        <v> </v>
      </c>
      <c r="G4778" s="24" t="str">
        <f>IF(OR(E4778="",E4778="!!!"),"",IF(OR(J4778=0,AND(J4778=1,K4778=1),AND(J4778=1,I4778="SBJ"),AND(J4778=1,I4778=0)),"?IN_FOCUS",IF(J4778&lt;=2,"?ACTIVATED",IF(J4778&lt;&gt;"","?FAMILIAR",IF(F4778="NEW",IF(ISNA(VLOOKUP(E4778,#REF!,1,FALSE())),"?TYPE_IDENTIFIABLE","?REFERENTIAL"),"_")))))</f>
        <v> </v>
      </c>
      <c r="H4778" s="25" t="str">
        <f>IF(J4778&lt;&gt;1,"",IF(I4778="SBJ","CB","?"))</f>
        <v> </v>
      </c>
      <c r="I4778" s="26" t="str">
        <f>IF(OR(E4778="",E4778="!!!",F4778="NEW"),"",INDEX(B4777:B$2,-1+SUMPRODUCT(MAX(ROW(E4777:E$2)*(E4778=E4777:E$2)))))</f>
        <v> </v>
      </c>
      <c r="J4778" s="26" t="str">
        <f>IF(OR(E4778="",E4778="!!!",F4778="NEW"),"",COUNTBLANK(OFFSET(A$1,,,SUMPRODUCT(MAX(ROW(E$2:E4778)*(E4778=E$2:E4778)))))-COUNTBLANK(OFFSET(A$1,,,SUMPRODUCT(MAX(ROW(E$1:E4777)*(E2=E$1:E4777))))))</f>
        <v> </v>
      </c>
      <c r="K4778" s="26" t="str">
        <f>IF(OR(E4778="",E4778="!!!",F4778="NEW"),"",INDEX(J$1:J4777,SUMPRODUCT(MAX(ROW(E$1:E4777)*(E4778=E$1:E4777)))))</f>
        <v> </v>
      </c>
      <c r="L4778" s="27"/>
    </row>
    <row r="4779" spans="1:12">
      <c r="A4779" s="20"/>
    </row>
    <row r="4780" spans="1:12">
      <c r="A4780" s="20" t="s">
        <v>2777</v>
      </c>
    </row>
    <row r="4781" spans="1:12">
      <c r="A4781" s="20" t="s">
        <v>1299</v>
      </c>
      <c r="E4781" s="22">
        <f>IF(D4781="?OLD","!!!","")</f>
        <v/>
      </c>
      <c r="F4781" s="23" t="str">
        <f>IF(OR(E4781="",E4781="!!!"),"",IF(NOT(ISNA(VLOOKUP(E4781,E$1:E4780,1,FALSE()))),"OLD",IF(AND(E4781&lt;&gt;"",E4781&lt;&gt;"!!!"),"NEW","")))</f>
        <v> </v>
      </c>
      <c r="G4781" s="24" t="str">
        <f>IF(OR(E4781="",E4781="!!!"),"",IF(OR(J4781=0,AND(J4781=1,K4781=1),AND(J4781=1,I4781="SBJ"),AND(J4781=1,I4781=0)),"?IN_FOCUS",IF(J4781&lt;=2,"?ACTIVATED",IF(J4781&lt;&gt;"","?FAMILIAR",IF(F4781="NEW",IF(ISNA(VLOOKUP(E4781,#REF!,1,FALSE())),"?TYPE_IDENTIFIABLE","?REFERENTIAL"),"_")))))</f>
        <v> </v>
      </c>
      <c r="H4781" s="25" t="str">
        <f>IF(J4781&lt;&gt;1,"",IF(I4781="SBJ","CB","?"))</f>
        <v> </v>
      </c>
      <c r="I4781" s="26" t="str">
        <f>IF(OR(E4781="",E4781="!!!",F4781="NEW"),"",INDEX(B4780:B$2,-1+SUMPRODUCT(MAX(ROW(E4780:E$2)*(E4781=E4780:E$2)))))</f>
        <v> </v>
      </c>
      <c r="J4781" s="26" t="str">
        <f>IF(OR(E4781="",E4781="!!!",F4781="NEW"),"",COUNTBLANK(OFFSET(A$1,,,SUMPRODUCT(MAX(ROW(E$2:E4781)*(E4781=E$2:E4781)))))-COUNTBLANK(OFFSET(A$1,,,SUMPRODUCT(MAX(ROW(E$1:E4780)*(E2=E$1:E4780))))))</f>
        <v> </v>
      </c>
      <c r="K4781" s="26" t="str">
        <f>IF(OR(E4781="",E4781="!!!",F4781="NEW"),"",INDEX(J$1:J4780,SUMPRODUCT(MAX(ROW(E$1:E4780)*(E4781=E$1:E4780)))))</f>
        <v> </v>
      </c>
      <c r="L4781" s="27"/>
    </row>
    <row r="4782" spans="1:12">
      <c r="A4782" s="20" t="s">
        <v>2778</v>
      </c>
      <c r="B4782" s="21" t="s">
        <v>1244</v>
      </c>
      <c r="C4782" s="21" t="s">
        <v>1269</v>
      </c>
      <c r="D4782" s="21" t="s">
        <v>1217</v>
      </c>
      <c r="E4782" s="22">
        <f>IF(D4782="?OLD","!!!","")</f>
        <v/>
      </c>
      <c r="F4782" s="23" t="str">
        <f>IF(OR(E4782="",E4782="!!!"),"",IF(NOT(ISNA(VLOOKUP(E4782,E$1:E4781,1,FALSE()))),"OLD",IF(AND(E4782&lt;&gt;"",E4782&lt;&gt;"!!!"),"NEW","")))</f>
        <v> </v>
      </c>
      <c r="G4782" s="24" t="str">
        <f>IF(OR(E4782="",E4782="!!!"),"",IF(OR(J4782=0,AND(J4782=1,K4782=1),AND(J4782=1,I4782="SBJ"),AND(J4782=1,I4782=0)),"?IN_FOCUS",IF(J4782&lt;=2,"?ACTIVATED",IF(J4782&lt;&gt;"","?FAMILIAR",IF(F4782="NEW",IF(ISNA(VLOOKUP(E4782,#REF!,1,FALSE())),"?TYPE_IDENTIFIABLE","?REFERENTIAL"),"_")))))</f>
        <v> </v>
      </c>
      <c r="H4782" s="25" t="str">
        <f>IF(J4782&lt;&gt;1,"",IF(I4782="SBJ","CB","?"))</f>
        <v> </v>
      </c>
      <c r="I4782" s="26" t="str">
        <f>IF(OR(E4782="",E4782="!!!",F4782="NEW"),"",INDEX(B4781:B$2,-1+SUMPRODUCT(MAX(ROW(E4781:E$2)*(E4782=E4781:E$2)))))</f>
        <v> </v>
      </c>
      <c r="J4782" s="26" t="str">
        <f>IF(OR(E4782="",E4782="!!!",F4782="NEW"),"",COUNTBLANK(OFFSET(A$1,,,SUMPRODUCT(MAX(ROW(E$2:E4782)*(E4782=E$2:E4782)))))-COUNTBLANK(OFFSET(A$1,,,SUMPRODUCT(MAX(ROW(E$1:E4781)*(E2=E$1:E4781))))))</f>
        <v> </v>
      </c>
      <c r="K4782" s="26" t="str">
        <f>IF(OR(E4782="",E4782="!!!",F4782="NEW"),"",INDEX(J$1:J4781,SUMPRODUCT(MAX(ROW(E$1:E4781)*(E4782=E$1:E4781)))))</f>
        <v> </v>
      </c>
      <c r="L4782" s="27"/>
    </row>
    <row r="4783" spans="1:12">
      <c r="A4783" s="20" t="s">
        <v>1218</v>
      </c>
      <c r="E4783" s="22">
        <f>IF(D4783="?OLD","!!!","")</f>
        <v/>
      </c>
      <c r="F4783" s="23" t="str">
        <f>IF(OR(E4783="",E4783="!!!"),"",IF(NOT(ISNA(VLOOKUP(E4783,E$1:E4782,1,FALSE()))),"OLD",IF(AND(E4783&lt;&gt;"",E4783&lt;&gt;"!!!"),"NEW","")))</f>
        <v> </v>
      </c>
      <c r="G4783" s="24" t="str">
        <f>IF(OR(E4783="",E4783="!!!"),"",IF(OR(J4783=0,AND(J4783=1,K4783=1),AND(J4783=1,I4783="SBJ"),AND(J4783=1,I4783=0)),"?IN_FOCUS",IF(J4783&lt;=2,"?ACTIVATED",IF(J4783&lt;&gt;"","?FAMILIAR",IF(F4783="NEW",IF(ISNA(VLOOKUP(E4783,#REF!,1,FALSE())),"?TYPE_IDENTIFIABLE","?REFERENTIAL"),"_")))))</f>
        <v> </v>
      </c>
      <c r="H4783" s="25" t="str">
        <f>IF(J4783&lt;&gt;1,"",IF(I4783="SBJ","CB","?"))</f>
        <v> </v>
      </c>
      <c r="I4783" s="26" t="str">
        <f>IF(OR(E4783="",E4783="!!!",F4783="NEW"),"",INDEX(B4782:B$2,-1+SUMPRODUCT(MAX(ROW(E4782:E$2)*(E4783=E4782:E$2)))))</f>
        <v> </v>
      </c>
      <c r="J4783" s="26" t="str">
        <f>IF(OR(E4783="",E4783="!!!",F4783="NEW"),"",COUNTBLANK(OFFSET(A$1,,,SUMPRODUCT(MAX(ROW(E$2:E4783)*(E4783=E$2:E4783)))))-COUNTBLANK(OFFSET(A$1,,,SUMPRODUCT(MAX(ROW(E$1:E4782)*(E2=E$1:E4782))))))</f>
        <v> </v>
      </c>
      <c r="K4783" s="26" t="str">
        <f>IF(OR(E4783="",E4783="!!!",F4783="NEW"),"",INDEX(J$1:J4782,SUMPRODUCT(MAX(ROW(E$1:E4782)*(E4783=E$1:E4782)))))</f>
        <v> </v>
      </c>
      <c r="L4783" s="27"/>
    </row>
    <row r="4784" spans="1:12">
      <c r="A4784" s="20" t="s">
        <v>1266</v>
      </c>
      <c r="E4784" s="22">
        <f>IF(D4784="?OLD","!!!","")</f>
        <v/>
      </c>
      <c r="F4784" s="23" t="str">
        <f>IF(OR(E4784="",E4784="!!!"),"",IF(NOT(ISNA(VLOOKUP(E4784,E$1:E4783,1,FALSE()))),"OLD",IF(AND(E4784&lt;&gt;"",E4784&lt;&gt;"!!!"),"NEW","")))</f>
        <v> </v>
      </c>
      <c r="G4784" s="24" t="str">
        <f>IF(OR(E4784="",E4784="!!!"),"",IF(OR(J4784=0,AND(J4784=1,K4784=1),AND(J4784=1,I4784="SBJ"),AND(J4784=1,I4784=0)),"?IN_FOCUS",IF(J4784&lt;=2,"?ACTIVATED",IF(J4784&lt;&gt;"","?FAMILIAR",IF(F4784="NEW",IF(ISNA(VLOOKUP(E4784,#REF!,1,FALSE())),"?TYPE_IDENTIFIABLE","?REFERENTIAL"),"_")))))</f>
        <v> </v>
      </c>
      <c r="H4784" s="25" t="str">
        <f>IF(J4784&lt;&gt;1,"",IF(I4784="SBJ","CB","?"))</f>
        <v> </v>
      </c>
      <c r="I4784" s="26" t="str">
        <f>IF(OR(E4784="",E4784="!!!",F4784="NEW"),"",INDEX(B4783:B$2,-1+SUMPRODUCT(MAX(ROW(E4783:E$2)*(E4784=E4783:E$2)))))</f>
        <v> </v>
      </c>
      <c r="J4784" s="26" t="str">
        <f>IF(OR(E4784="",E4784="!!!",F4784="NEW"),"",COUNTBLANK(OFFSET(A$1,,,SUMPRODUCT(MAX(ROW(E$2:E4784)*(E4784=E$2:E4784)))))-COUNTBLANK(OFFSET(A$1,,,SUMPRODUCT(MAX(ROW(E$1:E4783)*(E2=E$1:E4783))))))</f>
        <v> </v>
      </c>
      <c r="K4784" s="26" t="str">
        <f>IF(OR(E4784="",E4784="!!!",F4784="NEW"),"",INDEX(J$1:J4783,SUMPRODUCT(MAX(ROW(E$1:E4783)*(E4784=E$1:E4783)))))</f>
        <v> </v>
      </c>
      <c r="L4784" s="27"/>
    </row>
    <row r="4785" spans="1:12">
      <c r="A4785" s="20" t="s">
        <v>2779</v>
      </c>
      <c r="B4785" s="21" t="s">
        <v>1221</v>
      </c>
      <c r="C4785" s="21" t="s">
        <v>1222</v>
      </c>
      <c r="D4785" s="21" t="s">
        <v>1217</v>
      </c>
      <c r="E4785" s="22">
        <f>IF(D4785="?OLD","!!!","")</f>
        <v/>
      </c>
      <c r="F4785" s="23" t="str">
        <f>IF(OR(E4785="",E4785="!!!"),"",IF(NOT(ISNA(VLOOKUP(E4785,E$1:E4784,1,FALSE()))),"OLD",IF(AND(E4785&lt;&gt;"",E4785&lt;&gt;"!!!"),"NEW","")))</f>
        <v> </v>
      </c>
      <c r="G4785" s="24" t="str">
        <f>IF(OR(E4785="",E4785="!!!"),"",IF(OR(J4785=0,AND(J4785=1,K4785=1),AND(J4785=1,I4785="SBJ"),AND(J4785=1,I4785=0)),"?IN_FOCUS",IF(J4785&lt;=2,"?ACTIVATED",IF(J4785&lt;&gt;"","?FAMILIAR",IF(F4785="NEW",IF(ISNA(VLOOKUP(E4785,#REF!,1,FALSE())),"?TYPE_IDENTIFIABLE","?REFERENTIAL"),"_")))))</f>
        <v> </v>
      </c>
      <c r="H4785" s="25" t="str">
        <f>IF(J4785&lt;&gt;1,"",IF(I4785="SBJ","CB","?"))</f>
        <v> </v>
      </c>
      <c r="I4785" s="26" t="str">
        <f>IF(OR(E4785="",E4785="!!!",F4785="NEW"),"",INDEX(B4784:B$2,-1+SUMPRODUCT(MAX(ROW(E4784:E$2)*(E4785=E4784:E$2)))))</f>
        <v> </v>
      </c>
      <c r="J4785" s="26" t="str">
        <f>IF(OR(E4785="",E4785="!!!",F4785="NEW"),"",COUNTBLANK(OFFSET(A$1,,,SUMPRODUCT(MAX(ROW(E$2:E4785)*(E4785=E$2:E4785)))))-COUNTBLANK(OFFSET(A$1,,,SUMPRODUCT(MAX(ROW(E$1:E4784)*(E2=E$1:E4784))))))</f>
        <v> </v>
      </c>
      <c r="K4785" s="26" t="str">
        <f>IF(OR(E4785="",E4785="!!!",F4785="NEW"),"",INDEX(J$1:J4784,SUMPRODUCT(MAX(ROW(E$1:E4784)*(E4785=E$1:E4784)))))</f>
        <v> </v>
      </c>
      <c r="L4785" s="27"/>
    </row>
    <row r="4786" spans="1:12">
      <c r="A4786" s="20" t="s">
        <v>1218</v>
      </c>
      <c r="E4786" s="22">
        <f>IF(D4786="?OLD","!!!","")</f>
        <v/>
      </c>
      <c r="F4786" s="23" t="str">
        <f>IF(OR(E4786="",E4786="!!!"),"",IF(NOT(ISNA(VLOOKUP(E4786,E$1:E4785,1,FALSE()))),"OLD",IF(AND(E4786&lt;&gt;"",E4786&lt;&gt;"!!!"),"NEW","")))</f>
        <v> </v>
      </c>
      <c r="G4786" s="24" t="str">
        <f>IF(OR(E4786="",E4786="!!!"),"",IF(OR(J4786=0,AND(J4786=1,K4786=1),AND(J4786=1,I4786="SBJ"),AND(J4786=1,I4786=0)),"?IN_FOCUS",IF(J4786&lt;=2,"?ACTIVATED",IF(J4786&lt;&gt;"","?FAMILIAR",IF(F4786="NEW",IF(ISNA(VLOOKUP(E4786,#REF!,1,FALSE())),"?TYPE_IDENTIFIABLE","?REFERENTIAL"),"_")))))</f>
        <v> </v>
      </c>
      <c r="H4786" s="25" t="str">
        <f>IF(J4786&lt;&gt;1,"",IF(I4786="SBJ","CB","?"))</f>
        <v> </v>
      </c>
      <c r="I4786" s="26" t="str">
        <f>IF(OR(E4786="",E4786="!!!",F4786="NEW"),"",INDEX(B4785:B$2,-1+SUMPRODUCT(MAX(ROW(E4785:E$2)*(E4786=E4785:E$2)))))</f>
        <v> </v>
      </c>
      <c r="J4786" s="26" t="str">
        <f>IF(OR(E4786="",E4786="!!!",F4786="NEW"),"",COUNTBLANK(OFFSET(A$1,,,SUMPRODUCT(MAX(ROW(E$2:E4786)*(E4786=E$2:E4786)))))-COUNTBLANK(OFFSET(A$1,,,SUMPRODUCT(MAX(ROW(E$1:E4785)*(E2=E$1:E4785))))))</f>
        <v> </v>
      </c>
      <c r="K4786" s="26" t="str">
        <f>IF(OR(E4786="",E4786="!!!",F4786="NEW"),"",INDEX(J$1:J4785,SUMPRODUCT(MAX(ROW(E$1:E4785)*(E4786=E$1:E4785)))))</f>
        <v> </v>
      </c>
      <c r="L4786" s="27"/>
    </row>
    <row r="4787" spans="1:12">
      <c r="A4787" s="20" t="s">
        <v>1450</v>
      </c>
      <c r="B4787" s="21" t="s">
        <v>1224</v>
      </c>
      <c r="C4787" s="21" t="s">
        <v>1225</v>
      </c>
      <c r="D4787" s="21" t="s">
        <v>1217</v>
      </c>
      <c r="E4787" s="22">
        <f>IF(D4787="?OLD","!!!","")</f>
        <v/>
      </c>
      <c r="F4787" s="23" t="str">
        <f>IF(OR(E4787="",E4787="!!!"),"",IF(NOT(ISNA(VLOOKUP(E4787,E$1:E4786,1,FALSE()))),"OLD",IF(AND(E4787&lt;&gt;"",E4787&lt;&gt;"!!!"),"NEW","")))</f>
        <v> </v>
      </c>
      <c r="G4787" s="24" t="str">
        <f>IF(OR(E4787="",E4787="!!!"),"",IF(OR(J4787=0,AND(J4787=1,K4787=1),AND(J4787=1,I4787="SBJ"),AND(J4787=1,I4787=0)),"?IN_FOCUS",IF(J4787&lt;=2,"?ACTIVATED",IF(J4787&lt;&gt;"","?FAMILIAR",IF(F4787="NEW",IF(ISNA(VLOOKUP(E4787,#REF!,1,FALSE())),"?TYPE_IDENTIFIABLE","?REFERENTIAL"),"_")))))</f>
        <v> </v>
      </c>
      <c r="H4787" s="25" t="str">
        <f>IF(J4787&lt;&gt;1,"",IF(I4787="SBJ","CB","?"))</f>
        <v> </v>
      </c>
      <c r="I4787" s="26" t="str">
        <f>IF(OR(E4787="",E4787="!!!",F4787="NEW"),"",INDEX(B4786:B$2,-1+SUMPRODUCT(MAX(ROW(E4786:E$2)*(E4787=E4786:E$2)))))</f>
        <v> </v>
      </c>
      <c r="J4787" s="26" t="str">
        <f>IF(OR(E4787="",E4787="!!!",F4787="NEW"),"",COUNTBLANK(OFFSET(A$1,,,SUMPRODUCT(MAX(ROW(E$2:E4787)*(E4787=E$2:E4787)))))-COUNTBLANK(OFFSET(A$1,,,SUMPRODUCT(MAX(ROW(E$1:E4786)*(E2=E$1:E4786))))))</f>
        <v> </v>
      </c>
      <c r="K4787" s="26" t="str">
        <f>IF(OR(E4787="",E4787="!!!",F4787="NEW"),"",INDEX(J$1:J4786,SUMPRODUCT(MAX(ROW(E$1:E4786)*(E4787=E$1:E4786)))))</f>
        <v> </v>
      </c>
      <c r="L4787" s="27"/>
    </row>
    <row r="4788" spans="1:12">
      <c r="A4788" s="20" t="s">
        <v>1451</v>
      </c>
      <c r="E4788" s="22">
        <f>IF(D4788="?OLD","!!!","")</f>
        <v/>
      </c>
      <c r="F4788" s="23" t="str">
        <f>IF(OR(E4788="",E4788="!!!"),"",IF(NOT(ISNA(VLOOKUP(E4788,E$1:E4787,1,FALSE()))),"OLD",IF(AND(E4788&lt;&gt;"",E4788&lt;&gt;"!!!"),"NEW","")))</f>
        <v> </v>
      </c>
      <c r="G4788" s="24" t="str">
        <f>IF(OR(E4788="",E4788="!!!"),"",IF(OR(J4788=0,AND(J4788=1,K4788=1),AND(J4788=1,I4788="SBJ"),AND(J4788=1,I4788=0)),"?IN_FOCUS",IF(J4788&lt;=2,"?ACTIVATED",IF(J4788&lt;&gt;"","?FAMILIAR",IF(F4788="NEW",IF(ISNA(VLOOKUP(E4788,#REF!,1,FALSE())),"?TYPE_IDENTIFIABLE","?REFERENTIAL"),"_")))))</f>
        <v> </v>
      </c>
      <c r="H4788" s="25" t="str">
        <f>IF(J4788&lt;&gt;1,"",IF(I4788="SBJ","CB","?"))</f>
        <v> </v>
      </c>
      <c r="I4788" s="26" t="str">
        <f>IF(OR(E4788="",E4788="!!!",F4788="NEW"),"",INDEX(B4787:B$2,-1+SUMPRODUCT(MAX(ROW(E4787:E$2)*(E4788=E4787:E$2)))))</f>
        <v> </v>
      </c>
      <c r="J4788" s="26" t="str">
        <f>IF(OR(E4788="",E4788="!!!",F4788="NEW"),"",COUNTBLANK(OFFSET(A$1,,,SUMPRODUCT(MAX(ROW(E$2:E4788)*(E4788=E$2:E4788)))))-COUNTBLANK(OFFSET(A$1,,,SUMPRODUCT(MAX(ROW(E$1:E4787)*(E2=E$1:E4787))))))</f>
        <v> </v>
      </c>
      <c r="K4788" s="26" t="str">
        <f>IF(OR(E4788="",E4788="!!!",F4788="NEW"),"",INDEX(J$1:J4787,SUMPRODUCT(MAX(ROW(E$1:E4787)*(E4788=E$1:E4787)))))</f>
        <v> </v>
      </c>
      <c r="L4788" s="27"/>
    </row>
    <row r="4789" spans="1:12">
      <c r="A4789" s="20" t="s">
        <v>1277</v>
      </c>
      <c r="E4789" s="22">
        <f>IF(D4789="?OLD","!!!","")</f>
        <v/>
      </c>
      <c r="F4789" s="23" t="str">
        <f>IF(OR(E4789="",E4789="!!!"),"",IF(NOT(ISNA(VLOOKUP(E4789,E$1:E4788,1,FALSE()))),"OLD",IF(AND(E4789&lt;&gt;"",E4789&lt;&gt;"!!!"),"NEW","")))</f>
        <v> </v>
      </c>
      <c r="G4789" s="24" t="str">
        <f>IF(OR(E4789="",E4789="!!!"),"",IF(OR(J4789=0,AND(J4789=1,K4789=1),AND(J4789=1,I4789="SBJ"),AND(J4789=1,I4789=0)),"?IN_FOCUS",IF(J4789&lt;=2,"?ACTIVATED",IF(J4789&lt;&gt;"","?FAMILIAR",IF(F4789="NEW",IF(ISNA(VLOOKUP(E4789,#REF!,1,FALSE())),"?TYPE_IDENTIFIABLE","?REFERENTIAL"),"_")))))</f>
        <v> </v>
      </c>
      <c r="H4789" s="25" t="str">
        <f>IF(J4789&lt;&gt;1,"",IF(I4789="SBJ","CB","?"))</f>
        <v> </v>
      </c>
      <c r="I4789" s="26" t="str">
        <f>IF(OR(E4789="",E4789="!!!",F4789="NEW"),"",INDEX(B4788:B$2,-1+SUMPRODUCT(MAX(ROW(E4788:E$2)*(E4789=E4788:E$2)))))</f>
        <v> </v>
      </c>
      <c r="J4789" s="26" t="str">
        <f>IF(OR(E4789="",E4789="!!!",F4789="NEW"),"",COUNTBLANK(OFFSET(A$1,,,SUMPRODUCT(MAX(ROW(E$2:E4789)*(E4789=E$2:E4789)))))-COUNTBLANK(OFFSET(A$1,,,SUMPRODUCT(MAX(ROW(E$1:E4788)*(E2=E$1:E4788))))))</f>
        <v> </v>
      </c>
      <c r="K4789" s="26" t="str">
        <f>IF(OR(E4789="",E4789="!!!",F4789="NEW"),"",INDEX(J$1:J4788,SUMPRODUCT(MAX(ROW(E$1:E4788)*(E4789=E$1:E4788)))))</f>
        <v> </v>
      </c>
      <c r="L4789" s="27"/>
    </row>
    <row r="4790" spans="1:12">
      <c r="A4790" s="20" t="s">
        <v>1266</v>
      </c>
      <c r="E4790" s="22">
        <f>IF(D4790="?OLD","!!!","")</f>
        <v/>
      </c>
      <c r="F4790" s="23" t="str">
        <f>IF(OR(E4790="",E4790="!!!"),"",IF(NOT(ISNA(VLOOKUP(E4790,E$1:E4789,1,FALSE()))),"OLD",IF(AND(E4790&lt;&gt;"",E4790&lt;&gt;"!!!"),"NEW","")))</f>
        <v> </v>
      </c>
      <c r="G4790" s="24" t="str">
        <f>IF(OR(E4790="",E4790="!!!"),"",IF(OR(J4790=0,AND(J4790=1,K4790=1),AND(J4790=1,I4790="SBJ"),AND(J4790=1,I4790=0)),"?IN_FOCUS",IF(J4790&lt;=2,"?ACTIVATED",IF(J4790&lt;&gt;"","?FAMILIAR",IF(F4790="NEW",IF(ISNA(VLOOKUP(E4790,#REF!,1,FALSE())),"?TYPE_IDENTIFIABLE","?REFERENTIAL"),"_")))))</f>
        <v> </v>
      </c>
      <c r="H4790" s="25" t="str">
        <f>IF(J4790&lt;&gt;1,"",IF(I4790="SBJ","CB","?"))</f>
        <v> </v>
      </c>
      <c r="I4790" s="26" t="str">
        <f>IF(OR(E4790="",E4790="!!!",F4790="NEW"),"",INDEX(B4789:B$2,-1+SUMPRODUCT(MAX(ROW(E4789:E$2)*(E4790=E4789:E$2)))))</f>
        <v> </v>
      </c>
      <c r="J4790" s="26" t="str">
        <f>IF(OR(E4790="",E4790="!!!",F4790="NEW"),"",COUNTBLANK(OFFSET(A$1,,,SUMPRODUCT(MAX(ROW(E$2:E4790)*(E4790=E$2:E4790)))))-COUNTBLANK(OFFSET(A$1,,,SUMPRODUCT(MAX(ROW(E$1:E4789)*(E2=E$1:E4789))))))</f>
        <v> </v>
      </c>
      <c r="K4790" s="26" t="str">
        <f>IF(OR(E4790="",E4790="!!!",F4790="NEW"),"",INDEX(J$1:J4789,SUMPRODUCT(MAX(ROW(E$1:E4789)*(E4790=E$1:E4789)))))</f>
        <v> </v>
      </c>
      <c r="L4790" s="27"/>
    </row>
    <row r="4791" spans="1:12">
      <c r="A4791" s="20" t="s">
        <v>1515</v>
      </c>
      <c r="B4791" s="21" t="s">
        <v>1215</v>
      </c>
      <c r="C4791" s="21" t="s">
        <v>1269</v>
      </c>
      <c r="D4791" s="21" t="s">
        <v>1217</v>
      </c>
      <c r="E4791" s="22">
        <f>IF(D4791="?OLD","!!!","")</f>
        <v/>
      </c>
      <c r="F4791" s="23" t="str">
        <f>IF(OR(E4791="",E4791="!!!"),"",IF(NOT(ISNA(VLOOKUP(E4791,E$1:E4790,1,FALSE()))),"OLD",IF(AND(E4791&lt;&gt;"",E4791&lt;&gt;"!!!"),"NEW","")))</f>
        <v> </v>
      </c>
      <c r="G4791" s="24" t="str">
        <f>IF(OR(E4791="",E4791="!!!"),"",IF(OR(J4791=0,AND(J4791=1,K4791=1),AND(J4791=1,I4791="SBJ"),AND(J4791=1,I4791=0)),"?IN_FOCUS",IF(J4791&lt;=2,"?ACTIVATED",IF(J4791&lt;&gt;"","?FAMILIAR",IF(F4791="NEW",IF(ISNA(VLOOKUP(E4791,#REF!,1,FALSE())),"?TYPE_IDENTIFIABLE","?REFERENTIAL"),"_")))))</f>
        <v> </v>
      </c>
      <c r="H4791" s="25" t="str">
        <f>IF(J4791&lt;&gt;1,"",IF(I4791="SBJ","CB","?"))</f>
        <v> </v>
      </c>
      <c r="I4791" s="26" t="str">
        <f>IF(OR(E4791="",E4791="!!!",F4791="NEW"),"",INDEX(B4790:B$2,-1+SUMPRODUCT(MAX(ROW(E4790:E$2)*(E4791=E4790:E$2)))))</f>
        <v> </v>
      </c>
      <c r="J4791" s="26" t="str">
        <f>IF(OR(E4791="",E4791="!!!",F4791="NEW"),"",COUNTBLANK(OFFSET(A$1,,,SUMPRODUCT(MAX(ROW(E$2:E4791)*(E4791=E$2:E4791)))))-COUNTBLANK(OFFSET(A$1,,,SUMPRODUCT(MAX(ROW(E$1:E4790)*(E2=E$1:E4790))))))</f>
        <v> </v>
      </c>
      <c r="K4791" s="26" t="str">
        <f>IF(OR(E4791="",E4791="!!!",F4791="NEW"),"",INDEX(J$1:J4790,SUMPRODUCT(MAX(ROW(E$1:E4790)*(E4791=E$1:E4790)))))</f>
        <v> </v>
      </c>
      <c r="L4791" s="27"/>
    </row>
    <row r="4792" spans="1:12">
      <c r="A4792" s="20" t="s">
        <v>1474</v>
      </c>
      <c r="E4792" s="22">
        <f>IF(D4792="?OLD","!!!","")</f>
        <v/>
      </c>
      <c r="F4792" s="23" t="str">
        <f>IF(OR(E4792="",E4792="!!!"),"",IF(NOT(ISNA(VLOOKUP(E4792,E$1:E4791,1,FALSE()))),"OLD",IF(AND(E4792&lt;&gt;"",E4792&lt;&gt;"!!!"),"NEW","")))</f>
        <v> </v>
      </c>
      <c r="G4792" s="24" t="str">
        <f>IF(OR(E4792="",E4792="!!!"),"",IF(OR(J4792=0,AND(J4792=1,K4792=1),AND(J4792=1,I4792="SBJ"),AND(J4792=1,I4792=0)),"?IN_FOCUS",IF(J4792&lt;=2,"?ACTIVATED",IF(J4792&lt;&gt;"","?FAMILIAR",IF(F4792="NEW",IF(ISNA(VLOOKUP(E4792,#REF!,1,FALSE())),"?TYPE_IDENTIFIABLE","?REFERENTIAL"),"_")))))</f>
        <v> </v>
      </c>
      <c r="H4792" s="25" t="str">
        <f>IF(J4792&lt;&gt;1,"",IF(I4792="SBJ","CB","?"))</f>
        <v> </v>
      </c>
      <c r="I4792" s="26" t="str">
        <f>IF(OR(E4792="",E4792="!!!",F4792="NEW"),"",INDEX(B4791:B$2,-1+SUMPRODUCT(MAX(ROW(E4791:E$2)*(E4792=E4791:E$2)))))</f>
        <v> </v>
      </c>
      <c r="J4792" s="26" t="str">
        <f>IF(OR(E4792="",E4792="!!!",F4792="NEW"),"",COUNTBLANK(OFFSET(A$1,,,SUMPRODUCT(MAX(ROW(E$2:E4792)*(E4792=E$2:E4792)))))-COUNTBLANK(OFFSET(A$1,,,SUMPRODUCT(MAX(ROW(E$1:E4791)*(E2=E$1:E4791))))))</f>
        <v> </v>
      </c>
      <c r="K4792" s="26" t="str">
        <f>IF(OR(E4792="",E4792="!!!",F4792="NEW"),"",INDEX(J$1:J4791,SUMPRODUCT(MAX(ROW(E$1:E4791)*(E4792=E$1:E4791)))))</f>
        <v> </v>
      </c>
      <c r="L4792" s="27"/>
    </row>
    <row r="4793" spans="1:12">
      <c r="A4793" s="20" t="s">
        <v>2780</v>
      </c>
      <c r="E4793" s="22">
        <f>IF(D4793="?OLD","!!!","")</f>
        <v/>
      </c>
      <c r="F4793" s="23" t="str">
        <f>IF(OR(E4793="",E4793="!!!"),"",IF(NOT(ISNA(VLOOKUP(E4793,E$1:E4792,1,FALSE()))),"OLD",IF(AND(E4793&lt;&gt;"",E4793&lt;&gt;"!!!"),"NEW","")))</f>
        <v> </v>
      </c>
      <c r="G4793" s="24" t="str">
        <f>IF(OR(E4793="",E4793="!!!"),"",IF(OR(J4793=0,AND(J4793=1,K4793=1),AND(J4793=1,I4793="SBJ"),AND(J4793=1,I4793=0)),"?IN_FOCUS",IF(J4793&lt;=2,"?ACTIVATED",IF(J4793&lt;&gt;"","?FAMILIAR",IF(F4793="NEW",IF(ISNA(VLOOKUP(E4793,#REF!,1,FALSE())),"?TYPE_IDENTIFIABLE","?REFERENTIAL"),"_")))))</f>
        <v> </v>
      </c>
      <c r="H4793" s="25" t="str">
        <f>IF(J4793&lt;&gt;1,"",IF(I4793="SBJ","CB","?"))</f>
        <v> </v>
      </c>
      <c r="I4793" s="26" t="str">
        <f>IF(OR(E4793="",E4793="!!!",F4793="NEW"),"",INDEX(B4792:B$2,-1+SUMPRODUCT(MAX(ROW(E4792:E$2)*(E4793=E4792:E$2)))))</f>
        <v> </v>
      </c>
      <c r="J4793" s="26" t="str">
        <f>IF(OR(E4793="",E4793="!!!",F4793="NEW"),"",COUNTBLANK(OFFSET(A$1,,,SUMPRODUCT(MAX(ROW(E$2:E4793)*(E4793=E$2:E4793)))))-COUNTBLANK(OFFSET(A$1,,,SUMPRODUCT(MAX(ROW(E$1:E4792)*(E2=E$1:E4792))))))</f>
        <v> </v>
      </c>
      <c r="K4793" s="26" t="str">
        <f>IF(OR(E4793="",E4793="!!!",F4793="NEW"),"",INDEX(J$1:J4792,SUMPRODUCT(MAX(ROW(E$1:E4792)*(E4793=E$1:E4792)))))</f>
        <v> </v>
      </c>
      <c r="L4793" s="27"/>
    </row>
    <row r="4794" spans="1:12">
      <c r="A4794" s="20" t="s">
        <v>1277</v>
      </c>
      <c r="E4794" s="22">
        <f>IF(D4794="?OLD","!!!","")</f>
        <v/>
      </c>
      <c r="F4794" s="23" t="str">
        <f>IF(OR(E4794="",E4794="!!!"),"",IF(NOT(ISNA(VLOOKUP(E4794,E$1:E4793,1,FALSE()))),"OLD",IF(AND(E4794&lt;&gt;"",E4794&lt;&gt;"!!!"),"NEW","")))</f>
        <v> </v>
      </c>
      <c r="G4794" s="24" t="str">
        <f>IF(OR(E4794="",E4794="!!!"),"",IF(OR(J4794=0,AND(J4794=1,K4794=1),AND(J4794=1,I4794="SBJ"),AND(J4794=1,I4794=0)),"?IN_FOCUS",IF(J4794&lt;=2,"?ACTIVATED",IF(J4794&lt;&gt;"","?FAMILIAR",IF(F4794="NEW",IF(ISNA(VLOOKUP(E4794,#REF!,1,FALSE())),"?TYPE_IDENTIFIABLE","?REFERENTIAL"),"_")))))</f>
        <v> </v>
      </c>
      <c r="H4794" s="25" t="str">
        <f>IF(J4794&lt;&gt;1,"",IF(I4794="SBJ","CB","?"))</f>
        <v> </v>
      </c>
      <c r="I4794" s="26" t="str">
        <f>IF(OR(E4794="",E4794="!!!",F4794="NEW"),"",INDEX(B4793:B$2,-1+SUMPRODUCT(MAX(ROW(E4793:E$2)*(E4794=E4793:E$2)))))</f>
        <v> </v>
      </c>
      <c r="J4794" s="26" t="str">
        <f>IF(OR(E4794="",E4794="!!!",F4794="NEW"),"",COUNTBLANK(OFFSET(A$1,,,SUMPRODUCT(MAX(ROW(E$2:E4794)*(E4794=E$2:E4794)))))-COUNTBLANK(OFFSET(A$1,,,SUMPRODUCT(MAX(ROW(E$1:E4793)*(E2=E$1:E4793))))))</f>
        <v> </v>
      </c>
      <c r="K4794" s="26" t="str">
        <f>IF(OR(E4794="",E4794="!!!",F4794="NEW"),"",INDEX(J$1:J4793,SUMPRODUCT(MAX(ROW(E$1:E4793)*(E4794=E$1:E4793)))))</f>
        <v> </v>
      </c>
      <c r="L4794" s="27"/>
    </row>
    <row r="4795" spans="1:12">
      <c r="A4795" s="20" t="s">
        <v>1286</v>
      </c>
      <c r="E4795" s="22">
        <f>IF(D4795="?OLD","!!!","")</f>
        <v/>
      </c>
      <c r="F4795" s="23" t="str">
        <f>IF(OR(E4795="",E4795="!!!"),"",IF(NOT(ISNA(VLOOKUP(E4795,E$1:E4794,1,FALSE()))),"OLD",IF(AND(E4795&lt;&gt;"",E4795&lt;&gt;"!!!"),"NEW","")))</f>
        <v> </v>
      </c>
      <c r="G4795" s="24" t="str">
        <f>IF(OR(E4795="",E4795="!!!"),"",IF(OR(J4795=0,AND(J4795=1,K4795=1),AND(J4795=1,I4795="SBJ"),AND(J4795=1,I4795=0)),"?IN_FOCUS",IF(J4795&lt;=2,"?ACTIVATED",IF(J4795&lt;&gt;"","?FAMILIAR",IF(F4795="NEW",IF(ISNA(VLOOKUP(E4795,#REF!,1,FALSE())),"?TYPE_IDENTIFIABLE","?REFERENTIAL"),"_")))))</f>
        <v> </v>
      </c>
      <c r="H4795" s="25" t="str">
        <f>IF(J4795&lt;&gt;1,"",IF(I4795="SBJ","CB","?"))</f>
        <v> </v>
      </c>
      <c r="I4795" s="26" t="str">
        <f>IF(OR(E4795="",E4795="!!!",F4795="NEW"),"",INDEX(B4794:B$2,-1+SUMPRODUCT(MAX(ROW(E4794:E$2)*(E4795=E4794:E$2)))))</f>
        <v> </v>
      </c>
      <c r="J4795" s="26" t="str">
        <f>IF(OR(E4795="",E4795="!!!",F4795="NEW"),"",COUNTBLANK(OFFSET(A$1,,,SUMPRODUCT(MAX(ROW(E$2:E4795)*(E4795=E$2:E4795)))))-COUNTBLANK(OFFSET(A$1,,,SUMPRODUCT(MAX(ROW(E$1:E4794)*(E2=E$1:E4794))))))</f>
        <v> </v>
      </c>
      <c r="K4795" s="26" t="str">
        <f>IF(OR(E4795="",E4795="!!!",F4795="NEW"),"",INDEX(J$1:J4794,SUMPRODUCT(MAX(ROW(E$1:E4794)*(E4795=E$1:E4794)))))</f>
        <v> </v>
      </c>
      <c r="L4795" s="27"/>
    </row>
    <row r="4796" spans="1:12">
      <c r="A4796" s="20" t="s">
        <v>2566</v>
      </c>
      <c r="B4796" s="21" t="s">
        <v>1244</v>
      </c>
      <c r="C4796" s="21" t="s">
        <v>1279</v>
      </c>
      <c r="E4796" s="22">
        <f>IF(D4796="?OLD","!!!","")</f>
        <v/>
      </c>
      <c r="F4796" s="23" t="str">
        <f>IF(OR(E4796="",E4796="!!!"),"",IF(NOT(ISNA(VLOOKUP(E4796,E$1:E4795,1,FALSE()))),"OLD",IF(AND(E4796&lt;&gt;"",E4796&lt;&gt;"!!!"),"NEW","")))</f>
        <v> </v>
      </c>
      <c r="G4796" s="24" t="str">
        <f>IF(OR(E4796="",E4796="!!!"),"",IF(OR(J4796=0,AND(J4796=1,K4796=1),AND(J4796=1,I4796="SBJ"),AND(J4796=1,I4796=0)),"?IN_FOCUS",IF(J4796&lt;=2,"?ACTIVATED",IF(J4796&lt;&gt;"","?FAMILIAR",IF(F4796="NEW",IF(ISNA(VLOOKUP(E4796,#REF!,1,FALSE())),"?TYPE_IDENTIFIABLE","?REFERENTIAL"),"_")))))</f>
        <v> </v>
      </c>
      <c r="H4796" s="25" t="str">
        <f>IF(J4796&lt;&gt;1,"",IF(I4796="SBJ","CB","?"))</f>
        <v> </v>
      </c>
      <c r="I4796" s="26" t="str">
        <f>IF(OR(E4796="",E4796="!!!",F4796="NEW"),"",INDEX(B4795:B$2,-1+SUMPRODUCT(MAX(ROW(E4795:E$2)*(E4796=E4795:E$2)))))</f>
        <v> </v>
      </c>
      <c r="J4796" s="26" t="str">
        <f>IF(OR(E4796="",E4796="!!!",F4796="NEW"),"",COUNTBLANK(OFFSET(A$1,,,SUMPRODUCT(MAX(ROW(E$2:E4796)*(E4796=E$2:E4796)))))-COUNTBLANK(OFFSET(A$1,,,SUMPRODUCT(MAX(ROW(E$1:E4795)*(E2=E$1:E4795))))))</f>
        <v> </v>
      </c>
      <c r="K4796" s="26" t="str">
        <f>IF(OR(E4796="",E4796="!!!",F4796="NEW"),"",INDEX(J$1:J4795,SUMPRODUCT(MAX(ROW(E$1:E4795)*(E4796=E$1:E4795)))))</f>
        <v> </v>
      </c>
      <c r="L4796" s="27"/>
    </row>
    <row r="4797" spans="1:12">
      <c r="A4797" s="20" t="s">
        <v>1547</v>
      </c>
      <c r="B4797" s="21" t="s">
        <v>1221</v>
      </c>
      <c r="C4797" s="21" t="s">
        <v>1225</v>
      </c>
      <c r="D4797" s="21" t="s">
        <v>1217</v>
      </c>
      <c r="E4797" s="22">
        <f>IF(D4797="?OLD","!!!","")</f>
        <v/>
      </c>
      <c r="F4797" s="23" t="str">
        <f>IF(OR(E4797="",E4797="!!!"),"",IF(NOT(ISNA(VLOOKUP(E4797,E$1:E4796,1,FALSE()))),"OLD",IF(AND(E4797&lt;&gt;"",E4797&lt;&gt;"!!!"),"NEW","")))</f>
        <v> </v>
      </c>
      <c r="G4797" s="24" t="str">
        <f>IF(OR(E4797="",E4797="!!!"),"",IF(OR(J4797=0,AND(J4797=1,K4797=1),AND(J4797=1,I4797="SBJ"),AND(J4797=1,I4797=0)),"?IN_FOCUS",IF(J4797&lt;=2,"?ACTIVATED",IF(J4797&lt;&gt;"","?FAMILIAR",IF(F4797="NEW",IF(ISNA(VLOOKUP(E4797,#REF!,1,FALSE())),"?TYPE_IDENTIFIABLE","?REFERENTIAL"),"_")))))</f>
        <v> </v>
      </c>
      <c r="H4797" s="25" t="str">
        <f>IF(J4797&lt;&gt;1,"",IF(I4797="SBJ","CB","?"))</f>
        <v> </v>
      </c>
      <c r="I4797" s="26" t="str">
        <f>IF(OR(E4797="",E4797="!!!",F4797="NEW"),"",INDEX(B4796:B$2,-1+SUMPRODUCT(MAX(ROW(E4796:E$2)*(E4797=E4796:E$2)))))</f>
        <v> </v>
      </c>
      <c r="J4797" s="26" t="str">
        <f>IF(OR(E4797="",E4797="!!!",F4797="NEW"),"",COUNTBLANK(OFFSET(A$1,,,SUMPRODUCT(MAX(ROW(E$2:E4797)*(E4797=E$2:E4797)))))-COUNTBLANK(OFFSET(A$1,,,SUMPRODUCT(MAX(ROW(E$1:E4796)*(E2=E$1:E4796))))))</f>
        <v> </v>
      </c>
      <c r="K4797" s="26" t="str">
        <f>IF(OR(E4797="",E4797="!!!",F4797="NEW"),"",INDEX(J$1:J4796,SUMPRODUCT(MAX(ROW(E$1:E4796)*(E4797=E$1:E4796)))))</f>
        <v> </v>
      </c>
      <c r="L4797" s="27"/>
    </row>
    <row r="4798" spans="1:12">
      <c r="A4798" s="20" t="s">
        <v>1327</v>
      </c>
      <c r="B4798" s="21" t="s">
        <v>1283</v>
      </c>
      <c r="C4798" s="21" t="s">
        <v>1255</v>
      </c>
      <c r="D4798" s="21" t="s">
        <v>1217</v>
      </c>
      <c r="E4798" s="22">
        <f>IF(D4798="?OLD","!!!","")</f>
        <v/>
      </c>
      <c r="F4798" s="23" t="str">
        <f>IF(OR(E4798="",E4798="!!!"),"",IF(NOT(ISNA(VLOOKUP(E4798,E$1:E4797,1,FALSE()))),"OLD",IF(AND(E4798&lt;&gt;"",E4798&lt;&gt;"!!!"),"NEW","")))</f>
        <v> </v>
      </c>
      <c r="G4798" s="24" t="str">
        <f>IF(OR(E4798="",E4798="!!!"),"",IF(OR(J4798=0,AND(J4798=1,K4798=1),AND(J4798=1,I4798="SBJ"),AND(J4798=1,I4798=0)),"?IN_FOCUS",IF(J4798&lt;=2,"?ACTIVATED",IF(J4798&lt;&gt;"","?FAMILIAR",IF(F4798="NEW",IF(ISNA(VLOOKUP(E4798,#REF!,1,FALSE())),"?TYPE_IDENTIFIABLE","?REFERENTIAL"),"_")))))</f>
        <v> </v>
      </c>
      <c r="H4798" s="25" t="str">
        <f>IF(J4798&lt;&gt;1,"",IF(I4798="SBJ","CB","?"))</f>
        <v> </v>
      </c>
      <c r="I4798" s="26" t="str">
        <f>IF(OR(E4798="",E4798="!!!",F4798="NEW"),"",INDEX(B4797:B$2,-1+SUMPRODUCT(MAX(ROW(E4797:E$2)*(E4798=E4797:E$2)))))</f>
        <v> </v>
      </c>
      <c r="J4798" s="26" t="str">
        <f>IF(OR(E4798="",E4798="!!!",F4798="NEW"),"",COUNTBLANK(OFFSET(A$1,,,SUMPRODUCT(MAX(ROW(E$2:E4798)*(E4798=E$2:E4798)))))-COUNTBLANK(OFFSET(A$1,,,SUMPRODUCT(MAX(ROW(E$1:E4797)*(E2=E$1:E4797))))))</f>
        <v> </v>
      </c>
      <c r="K4798" s="26" t="str">
        <f>IF(OR(E4798="",E4798="!!!",F4798="NEW"),"",INDEX(J$1:J4797,SUMPRODUCT(MAX(ROW(E$1:E4797)*(E4798=E$1:E4797)))))</f>
        <v> </v>
      </c>
      <c r="L4798" s="27"/>
    </row>
    <row r="4799" spans="1:12">
      <c r="A4799" s="20" t="s">
        <v>2781</v>
      </c>
      <c r="E4799" s="22">
        <f>IF(D4799="?OLD","!!!","")</f>
        <v/>
      </c>
      <c r="F4799" s="23" t="str">
        <f>IF(OR(E4799="",E4799="!!!"),"",IF(NOT(ISNA(VLOOKUP(E4799,E$1:E4798,1,FALSE()))),"OLD",IF(AND(E4799&lt;&gt;"",E4799&lt;&gt;"!!!"),"NEW","")))</f>
        <v> </v>
      </c>
      <c r="G4799" s="24" t="str">
        <f>IF(OR(E4799="",E4799="!!!"),"",IF(OR(J4799=0,AND(J4799=1,K4799=1),AND(J4799=1,I4799="SBJ"),AND(J4799=1,I4799=0)),"?IN_FOCUS",IF(J4799&lt;=2,"?ACTIVATED",IF(J4799&lt;&gt;"","?FAMILIAR",IF(F4799="NEW",IF(ISNA(VLOOKUP(E4799,#REF!,1,FALSE())),"?TYPE_IDENTIFIABLE","?REFERENTIAL"),"_")))))</f>
        <v> </v>
      </c>
      <c r="H4799" s="25" t="str">
        <f>IF(J4799&lt;&gt;1,"",IF(I4799="SBJ","CB","?"))</f>
        <v> </v>
      </c>
      <c r="I4799" s="26" t="str">
        <f>IF(OR(E4799="",E4799="!!!",F4799="NEW"),"",INDEX(B4798:B$2,-1+SUMPRODUCT(MAX(ROW(E4798:E$2)*(E4799=E4798:E$2)))))</f>
        <v> </v>
      </c>
      <c r="J4799" s="26" t="str">
        <f>IF(OR(E4799="",E4799="!!!",F4799="NEW"),"",COUNTBLANK(OFFSET(A$1,,,SUMPRODUCT(MAX(ROW(E$2:E4799)*(E4799=E$2:E4799)))))-COUNTBLANK(OFFSET(A$1,,,SUMPRODUCT(MAX(ROW(E$1:E4798)*(E2=E$1:E4798))))))</f>
        <v> </v>
      </c>
      <c r="K4799" s="26" t="str">
        <f>IF(OR(E4799="",E4799="!!!",F4799="NEW"),"",INDEX(J$1:J4798,SUMPRODUCT(MAX(ROW(E$1:E4798)*(E4799=E$1:E4798)))))</f>
        <v> </v>
      </c>
      <c r="L4799" s="27"/>
    </row>
    <row r="4800" spans="1:12">
      <c r="A4800" s="20" t="s">
        <v>1428</v>
      </c>
      <c r="E4800" s="22">
        <f>IF(D4800="?OLD","!!!","")</f>
        <v/>
      </c>
      <c r="F4800" s="23" t="str">
        <f>IF(OR(E4800="",E4800="!!!"),"",IF(NOT(ISNA(VLOOKUP(E4800,E$1:E4799,1,FALSE()))),"OLD",IF(AND(E4800&lt;&gt;"",E4800&lt;&gt;"!!!"),"NEW","")))</f>
        <v> </v>
      </c>
      <c r="G4800" s="24" t="str">
        <f>IF(OR(E4800="",E4800="!!!"),"",IF(OR(J4800=0,AND(J4800=1,K4800=1),AND(J4800=1,I4800="SBJ"),AND(J4800=1,I4800=0)),"?IN_FOCUS",IF(J4800&lt;=2,"?ACTIVATED",IF(J4800&lt;&gt;"","?FAMILIAR",IF(F4800="NEW",IF(ISNA(VLOOKUP(E4800,#REF!,1,FALSE())),"?TYPE_IDENTIFIABLE","?REFERENTIAL"),"_")))))</f>
        <v> </v>
      </c>
      <c r="H4800" s="25" t="str">
        <f>IF(J4800&lt;&gt;1,"",IF(I4800="SBJ","CB","?"))</f>
        <v> </v>
      </c>
      <c r="I4800" s="26" t="str">
        <f>IF(OR(E4800="",E4800="!!!",F4800="NEW"),"",INDEX(B4799:B$2,-1+SUMPRODUCT(MAX(ROW(E4799:E$2)*(E4800=E4799:E$2)))))</f>
        <v> </v>
      </c>
      <c r="J4800" s="26" t="str">
        <f>IF(OR(E4800="",E4800="!!!",F4800="NEW"),"",COUNTBLANK(OFFSET(A$1,,,SUMPRODUCT(MAX(ROW(E$2:E4800)*(E4800=E$2:E4800)))))-COUNTBLANK(OFFSET(A$1,,,SUMPRODUCT(MAX(ROW(E$1:E4799)*(E2=E$1:E4799))))))</f>
        <v> </v>
      </c>
      <c r="K4800" s="26" t="str">
        <f>IF(OR(E4800="",E4800="!!!",F4800="NEW"),"",INDEX(J$1:J4799,SUMPRODUCT(MAX(ROW(E$1:E4799)*(E4800=E$1:E4799)))))</f>
        <v> </v>
      </c>
      <c r="L4800" s="27"/>
    </row>
    <row r="4801" spans="1:12">
      <c r="A4801" s="20" t="s">
        <v>1228</v>
      </c>
      <c r="E4801" s="22">
        <f>IF(D4801="?OLD","!!!","")</f>
        <v/>
      </c>
      <c r="F4801" s="23" t="str">
        <f>IF(OR(E4801="",E4801="!!!"),"",IF(NOT(ISNA(VLOOKUP(E4801,E$1:E4800,1,FALSE()))),"OLD",IF(AND(E4801&lt;&gt;"",E4801&lt;&gt;"!!!"),"NEW","")))</f>
        <v> </v>
      </c>
      <c r="G4801" s="24" t="str">
        <f>IF(OR(E4801="",E4801="!!!"),"",IF(OR(J4801=0,AND(J4801=1,K4801=1),AND(J4801=1,I4801="SBJ"),AND(J4801=1,I4801=0)),"?IN_FOCUS",IF(J4801&lt;=2,"?ACTIVATED",IF(J4801&lt;&gt;"","?FAMILIAR",IF(F4801="NEW",IF(ISNA(VLOOKUP(E4801,#REF!,1,FALSE())),"?TYPE_IDENTIFIABLE","?REFERENTIAL"),"_")))))</f>
        <v> </v>
      </c>
      <c r="H4801" s="25" t="str">
        <f>IF(J4801&lt;&gt;1,"",IF(I4801="SBJ","CB","?"))</f>
        <v> </v>
      </c>
      <c r="I4801" s="26" t="str">
        <f>IF(OR(E4801="",E4801="!!!",F4801="NEW"),"",INDEX(B4800:B$2,-1+SUMPRODUCT(MAX(ROW(E4800:E$2)*(E4801=E4800:E$2)))))</f>
        <v> </v>
      </c>
      <c r="J4801" s="26" t="str">
        <f>IF(OR(E4801="",E4801="!!!",F4801="NEW"),"",COUNTBLANK(OFFSET(A$1,,,SUMPRODUCT(MAX(ROW(E$2:E4801)*(E4801=E$2:E4801)))))-COUNTBLANK(OFFSET(A$1,,,SUMPRODUCT(MAX(ROW(E$1:E4800)*(E2=E$1:E4800))))))</f>
        <v> </v>
      </c>
      <c r="K4801" s="26" t="str">
        <f>IF(OR(E4801="",E4801="!!!",F4801="NEW"),"",INDEX(J$1:J4800,SUMPRODUCT(MAX(ROW(E$1:E4800)*(E4801=E$1:E4800)))))</f>
        <v> </v>
      </c>
      <c r="L4801" s="27"/>
    </row>
    <row r="4802" spans="1:12">
      <c r="A4802" s="20" t="s">
        <v>1505</v>
      </c>
      <c r="B4802" s="21" t="s">
        <v>1224</v>
      </c>
      <c r="C4802" s="21" t="s">
        <v>1269</v>
      </c>
      <c r="D4802" s="21" t="s">
        <v>1217</v>
      </c>
      <c r="E4802" s="22">
        <f>IF(D4802="?OLD","!!!","")</f>
        <v/>
      </c>
      <c r="F4802" s="23" t="str">
        <f>IF(OR(E4802="",E4802="!!!"),"",IF(NOT(ISNA(VLOOKUP(E4802,E$1:E4801,1,FALSE()))),"OLD",IF(AND(E4802&lt;&gt;"",E4802&lt;&gt;"!!!"),"NEW","")))</f>
        <v> </v>
      </c>
      <c r="G4802" s="24" t="str">
        <f>IF(OR(E4802="",E4802="!!!"),"",IF(OR(J4802=0,AND(J4802=1,K4802=1),AND(J4802=1,I4802="SBJ"),AND(J4802=1,I4802=0)),"?IN_FOCUS",IF(J4802&lt;=2,"?ACTIVATED",IF(J4802&lt;&gt;"","?FAMILIAR",IF(F4802="NEW",IF(ISNA(VLOOKUP(E4802,#REF!,1,FALSE())),"?TYPE_IDENTIFIABLE","?REFERENTIAL"),"_")))))</f>
        <v> </v>
      </c>
      <c r="H4802" s="25" t="str">
        <f>IF(J4802&lt;&gt;1,"",IF(I4802="SBJ","CB","?"))</f>
        <v> </v>
      </c>
      <c r="I4802" s="26" t="str">
        <f>IF(OR(E4802="",E4802="!!!",F4802="NEW"),"",INDEX(B4801:B$2,-1+SUMPRODUCT(MAX(ROW(E4801:E$2)*(E4802=E4801:E$2)))))</f>
        <v> </v>
      </c>
      <c r="J4802" s="26" t="str">
        <f>IF(OR(E4802="",E4802="!!!",F4802="NEW"),"",COUNTBLANK(OFFSET(A$1,,,SUMPRODUCT(MAX(ROW(E$2:E4802)*(E4802=E$2:E4802)))))-COUNTBLANK(OFFSET(A$1,,,SUMPRODUCT(MAX(ROW(E$1:E4801)*(E2=E$1:E4801))))))</f>
        <v> </v>
      </c>
      <c r="K4802" s="26" t="str">
        <f>IF(OR(E4802="",E4802="!!!",F4802="NEW"),"",INDEX(J$1:J4801,SUMPRODUCT(MAX(ROW(E$1:E4801)*(E4802=E$1:E4801)))))</f>
        <v> </v>
      </c>
      <c r="L4802" s="27"/>
    </row>
    <row r="4803" spans="1:12">
      <c r="A4803" s="20" t="s">
        <v>1636</v>
      </c>
      <c r="E4803" s="22">
        <f>IF(D4803="?OLD","!!!","")</f>
        <v/>
      </c>
      <c r="F4803" s="23" t="str">
        <f>IF(OR(E4803="",E4803="!!!"),"",IF(NOT(ISNA(VLOOKUP(E4803,E$1:E4802,1,FALSE()))),"OLD",IF(AND(E4803&lt;&gt;"",E4803&lt;&gt;"!!!"),"NEW","")))</f>
        <v> </v>
      </c>
      <c r="G4803" s="24" t="str">
        <f>IF(OR(E4803="",E4803="!!!"),"",IF(OR(J4803=0,AND(J4803=1,K4803=1),AND(J4803=1,I4803="SBJ"),AND(J4803=1,I4803=0)),"?IN_FOCUS",IF(J4803&lt;=2,"?ACTIVATED",IF(J4803&lt;&gt;"","?FAMILIAR",IF(F4803="NEW",IF(ISNA(VLOOKUP(E4803,#REF!,1,FALSE())),"?TYPE_IDENTIFIABLE","?REFERENTIAL"),"_")))))</f>
        <v> </v>
      </c>
      <c r="H4803" s="25" t="str">
        <f>IF(J4803&lt;&gt;1,"",IF(I4803="SBJ","CB","?"))</f>
        <v> </v>
      </c>
      <c r="I4803" s="26" t="str">
        <f>IF(OR(E4803="",E4803="!!!",F4803="NEW"),"",INDEX(B4802:B$2,-1+SUMPRODUCT(MAX(ROW(E4802:E$2)*(E4803=E4802:E$2)))))</f>
        <v> </v>
      </c>
      <c r="J4803" s="26" t="str">
        <f>IF(OR(E4803="",E4803="!!!",F4803="NEW"),"",COUNTBLANK(OFFSET(A$1,,,SUMPRODUCT(MAX(ROW(E$2:E4803)*(E4803=E$2:E4803)))))-COUNTBLANK(OFFSET(A$1,,,SUMPRODUCT(MAX(ROW(E$1:E4802)*(E2=E$1:E4802))))))</f>
        <v> </v>
      </c>
      <c r="K4803" s="26" t="str">
        <f>IF(OR(E4803="",E4803="!!!",F4803="NEW"),"",INDEX(J$1:J4802,SUMPRODUCT(MAX(ROW(E$1:E4802)*(E4803=E$1:E4802)))))</f>
        <v> </v>
      </c>
      <c r="L4803" s="27"/>
    </row>
    <row r="4804" spans="1:12">
      <c r="A4804" s="20" t="s">
        <v>1280</v>
      </c>
      <c r="B4804" s="21" t="s">
        <v>1261</v>
      </c>
      <c r="C4804" s="21" t="s">
        <v>1242</v>
      </c>
      <c r="D4804" s="21" t="s">
        <v>1217</v>
      </c>
      <c r="E4804" s="22">
        <f>IF(D4804="?OLD","!!!","")</f>
        <v/>
      </c>
      <c r="F4804" s="23" t="str">
        <f>IF(OR(E4804="",E4804="!!!"),"",IF(NOT(ISNA(VLOOKUP(E4804,E$1:E4803,1,FALSE()))),"OLD",IF(AND(E4804&lt;&gt;"",E4804&lt;&gt;"!!!"),"NEW","")))</f>
        <v> </v>
      </c>
      <c r="G4804" s="24" t="str">
        <f>IF(OR(E4804="",E4804="!!!"),"",IF(OR(J4804=0,AND(J4804=1,K4804=1),AND(J4804=1,I4804="SBJ"),AND(J4804=1,I4804=0)),"?IN_FOCUS",IF(J4804&lt;=2,"?ACTIVATED",IF(J4804&lt;&gt;"","?FAMILIAR",IF(F4804="NEW",IF(ISNA(VLOOKUP(E4804,#REF!,1,FALSE())),"?TYPE_IDENTIFIABLE","?REFERENTIAL"),"_")))))</f>
        <v> </v>
      </c>
      <c r="H4804" s="25" t="str">
        <f>IF(J4804&lt;&gt;1,"",IF(I4804="SBJ","CB","?"))</f>
        <v> </v>
      </c>
      <c r="I4804" s="26" t="str">
        <f>IF(OR(E4804="",E4804="!!!",F4804="NEW"),"",INDEX(B4803:B$2,-1+SUMPRODUCT(MAX(ROW(E4803:E$2)*(E4804=E4803:E$2)))))</f>
        <v> </v>
      </c>
      <c r="J4804" s="26" t="str">
        <f>IF(OR(E4804="",E4804="!!!",F4804="NEW"),"",COUNTBLANK(OFFSET(A$1,,,SUMPRODUCT(MAX(ROW(E$2:E4804)*(E4804=E$2:E4804)))))-COUNTBLANK(OFFSET(A$1,,,SUMPRODUCT(MAX(ROW(E$1:E4803)*(E2=E$1:E4803))))))</f>
        <v> </v>
      </c>
      <c r="K4804" s="26" t="str">
        <f>IF(OR(E4804="",E4804="!!!",F4804="NEW"),"",INDEX(J$1:J4803,SUMPRODUCT(MAX(ROW(E$1:E4803)*(E4804=E$1:E4803)))))</f>
        <v> </v>
      </c>
      <c r="L4804" s="27"/>
    </row>
    <row r="4805" spans="1:12">
      <c r="A4805" s="20" t="s">
        <v>2599</v>
      </c>
      <c r="B4805" s="21" t="s">
        <v>1226</v>
      </c>
      <c r="C4805" s="21" t="s">
        <v>1222</v>
      </c>
      <c r="D4805" s="21" t="s">
        <v>1217</v>
      </c>
      <c r="E4805" s="22">
        <f>IF(D4805="?OLD","!!!","")</f>
        <v/>
      </c>
      <c r="F4805" s="23" t="str">
        <f>IF(OR(E4805="",E4805="!!!"),"",IF(NOT(ISNA(VLOOKUP(E4805,E$1:E4804,1,FALSE()))),"OLD",IF(AND(E4805&lt;&gt;"",E4805&lt;&gt;"!!!"),"NEW","")))</f>
        <v> </v>
      </c>
      <c r="G4805" s="24" t="str">
        <f>IF(OR(E4805="",E4805="!!!"),"",IF(OR(J4805=0,AND(J4805=1,K4805=1),AND(J4805=1,I4805="SBJ"),AND(J4805=1,I4805=0)),"?IN_FOCUS",IF(J4805&lt;=2,"?ACTIVATED",IF(J4805&lt;&gt;"","?FAMILIAR",IF(F4805="NEW",IF(ISNA(VLOOKUP(E4805,#REF!,1,FALSE())),"?TYPE_IDENTIFIABLE","?REFERENTIAL"),"_")))))</f>
        <v> </v>
      </c>
      <c r="H4805" s="25" t="str">
        <f>IF(J4805&lt;&gt;1,"",IF(I4805="SBJ","CB","?"))</f>
        <v> </v>
      </c>
      <c r="I4805" s="26" t="str">
        <f>IF(OR(E4805="",E4805="!!!",F4805="NEW"),"",INDEX(B4804:B$2,-1+SUMPRODUCT(MAX(ROW(E4804:E$2)*(E4805=E4804:E$2)))))</f>
        <v> </v>
      </c>
      <c r="J4805" s="26" t="str">
        <f>IF(OR(E4805="",E4805="!!!",F4805="NEW"),"",COUNTBLANK(OFFSET(A$1,,,SUMPRODUCT(MAX(ROW(E$2:E4805)*(E4805=E$2:E4805)))))-COUNTBLANK(OFFSET(A$1,,,SUMPRODUCT(MAX(ROW(E$1:E4804)*(E2=E$1:E4804))))))</f>
        <v> </v>
      </c>
      <c r="K4805" s="26" t="str">
        <f>IF(OR(E4805="",E4805="!!!",F4805="NEW"),"",INDEX(J$1:J4804,SUMPRODUCT(MAX(ROW(E$1:E4804)*(E4805=E$1:E4804)))))</f>
        <v> </v>
      </c>
      <c r="L4805" s="27"/>
    </row>
    <row r="4806" spans="1:12">
      <c r="A4806" s="20" t="s">
        <v>1286</v>
      </c>
      <c r="E4806" s="22">
        <f>IF(D4806="?OLD","!!!","")</f>
        <v/>
      </c>
      <c r="F4806" s="23" t="str">
        <f>IF(OR(E4806="",E4806="!!!"),"",IF(NOT(ISNA(VLOOKUP(E4806,E$1:E4805,1,FALSE()))),"OLD",IF(AND(E4806&lt;&gt;"",E4806&lt;&gt;"!!!"),"NEW","")))</f>
        <v> </v>
      </c>
      <c r="G4806" s="24" t="str">
        <f>IF(OR(E4806="",E4806="!!!"),"",IF(OR(J4806=0,AND(J4806=1,K4806=1),AND(J4806=1,I4806="SBJ"),AND(J4806=1,I4806=0)),"?IN_FOCUS",IF(J4806&lt;=2,"?ACTIVATED",IF(J4806&lt;&gt;"","?FAMILIAR",IF(F4806="NEW",IF(ISNA(VLOOKUP(E4806,#REF!,1,FALSE())),"?TYPE_IDENTIFIABLE","?REFERENTIAL"),"_")))))</f>
        <v> </v>
      </c>
      <c r="H4806" s="25" t="str">
        <f>IF(J4806&lt;&gt;1,"",IF(I4806="SBJ","CB","?"))</f>
        <v> </v>
      </c>
      <c r="I4806" s="26" t="str">
        <f>IF(OR(E4806="",E4806="!!!",F4806="NEW"),"",INDEX(B4805:B$2,-1+SUMPRODUCT(MAX(ROW(E4805:E$2)*(E4806=E4805:E$2)))))</f>
        <v> </v>
      </c>
      <c r="J4806" s="26" t="str">
        <f>IF(OR(E4806="",E4806="!!!",F4806="NEW"),"",COUNTBLANK(OFFSET(A$1,,,SUMPRODUCT(MAX(ROW(E$2:E4806)*(E4806=E$2:E4806)))))-COUNTBLANK(OFFSET(A$1,,,SUMPRODUCT(MAX(ROW(E$1:E4805)*(E2=E$1:E4805))))))</f>
        <v> </v>
      </c>
      <c r="K4806" s="26" t="str">
        <f>IF(OR(E4806="",E4806="!!!",F4806="NEW"),"",INDEX(J$1:J4805,SUMPRODUCT(MAX(ROW(E$1:E4805)*(E4806=E$1:E4805)))))</f>
        <v> </v>
      </c>
      <c r="L4806" s="27"/>
    </row>
    <row r="4807" spans="1:12">
      <c r="A4807" s="20" t="s">
        <v>1551</v>
      </c>
      <c r="B4807" s="21" t="s">
        <v>1748</v>
      </c>
      <c r="C4807" s="21" t="s">
        <v>1255</v>
      </c>
      <c r="D4807" s="21" t="s">
        <v>1217</v>
      </c>
      <c r="E4807" s="22">
        <f>IF(D4807="?OLD","!!!","")</f>
        <v/>
      </c>
      <c r="F4807" s="23" t="str">
        <f>IF(OR(E4807="",E4807="!!!"),"",IF(NOT(ISNA(VLOOKUP(E4807,E$1:E4806,1,FALSE()))),"OLD",IF(AND(E4807&lt;&gt;"",E4807&lt;&gt;"!!!"),"NEW","")))</f>
        <v> </v>
      </c>
      <c r="G4807" s="24" t="str">
        <f>IF(OR(E4807="",E4807="!!!"),"",IF(OR(J4807=0,AND(J4807=1,K4807=1),AND(J4807=1,I4807="SBJ"),AND(J4807=1,I4807=0)),"?IN_FOCUS",IF(J4807&lt;=2,"?ACTIVATED",IF(J4807&lt;&gt;"","?FAMILIAR",IF(F4807="NEW",IF(ISNA(VLOOKUP(E4807,#REF!,1,FALSE())),"?TYPE_IDENTIFIABLE","?REFERENTIAL"),"_")))))</f>
        <v> </v>
      </c>
      <c r="H4807" s="25" t="str">
        <f>IF(J4807&lt;&gt;1,"",IF(I4807="SBJ","CB","?"))</f>
        <v> </v>
      </c>
      <c r="I4807" s="26" t="str">
        <f>IF(OR(E4807="",E4807="!!!",F4807="NEW"),"",INDEX(B4806:B$2,-1+SUMPRODUCT(MAX(ROW(E4806:E$2)*(E4807=E4806:E$2)))))</f>
        <v> </v>
      </c>
      <c r="J4807" s="26" t="str">
        <f>IF(OR(E4807="",E4807="!!!",F4807="NEW"),"",COUNTBLANK(OFFSET(A$1,,,SUMPRODUCT(MAX(ROW(E$2:E4807)*(E4807=E$2:E4807)))))-COUNTBLANK(OFFSET(A$1,,,SUMPRODUCT(MAX(ROW(E$1:E4806)*(E2=E$1:E4806))))))</f>
        <v> </v>
      </c>
      <c r="K4807" s="26" t="str">
        <f>IF(OR(E4807="",E4807="!!!",F4807="NEW"),"",INDEX(J$1:J4806,SUMPRODUCT(MAX(ROW(E$1:E4806)*(E4807=E$1:E4806)))))</f>
        <v> </v>
      </c>
      <c r="L4807" s="27"/>
    </row>
    <row r="4808" spans="1:12">
      <c r="A4808" s="20" t="s">
        <v>2117</v>
      </c>
      <c r="E4808" s="22">
        <f>IF(D4808="?OLD","!!!","")</f>
        <v/>
      </c>
      <c r="F4808" s="23" t="str">
        <f>IF(OR(E4808="",E4808="!!!"),"",IF(NOT(ISNA(VLOOKUP(E4808,E$1:E4807,1,FALSE()))),"OLD",IF(AND(E4808&lt;&gt;"",E4808&lt;&gt;"!!!"),"NEW","")))</f>
        <v> </v>
      </c>
      <c r="G4808" s="24" t="str">
        <f>IF(OR(E4808="",E4808="!!!"),"",IF(OR(J4808=0,AND(J4808=1,K4808=1),AND(J4808=1,I4808="SBJ"),AND(J4808=1,I4808=0)),"?IN_FOCUS",IF(J4808&lt;=2,"?ACTIVATED",IF(J4808&lt;&gt;"","?FAMILIAR",IF(F4808="NEW",IF(ISNA(VLOOKUP(E4808,#REF!,1,FALSE())),"?TYPE_IDENTIFIABLE","?REFERENTIAL"),"_")))))</f>
        <v> </v>
      </c>
      <c r="H4808" s="25" t="str">
        <f>IF(J4808&lt;&gt;1,"",IF(I4808="SBJ","CB","?"))</f>
        <v> </v>
      </c>
      <c r="I4808" s="26" t="str">
        <f>IF(OR(E4808="",E4808="!!!",F4808="NEW"),"",INDEX(B4807:B$2,-1+SUMPRODUCT(MAX(ROW(E4807:E$2)*(E4808=E4807:E$2)))))</f>
        <v> </v>
      </c>
      <c r="J4808" s="26" t="str">
        <f>IF(OR(E4808="",E4808="!!!",F4808="NEW"),"",COUNTBLANK(OFFSET(A$1,,,SUMPRODUCT(MAX(ROW(E$2:E4808)*(E4808=E$2:E4808)))))-COUNTBLANK(OFFSET(A$1,,,SUMPRODUCT(MAX(ROW(E$1:E4807)*(E2=E$1:E4807))))))</f>
        <v> </v>
      </c>
      <c r="K4808" s="26" t="str">
        <f>IF(OR(E4808="",E4808="!!!",F4808="NEW"),"",INDEX(J$1:J4807,SUMPRODUCT(MAX(ROW(E$1:E4807)*(E4808=E$1:E4807)))))</f>
        <v> </v>
      </c>
      <c r="L4808" s="27"/>
    </row>
    <row r="4809" spans="1:12">
      <c r="A4809" s="20" t="s">
        <v>2782</v>
      </c>
      <c r="E4809" s="22">
        <f>IF(D4809="?OLD","!!!","")</f>
        <v/>
      </c>
      <c r="F4809" s="23" t="str">
        <f>IF(OR(E4809="",E4809="!!!"),"",IF(NOT(ISNA(VLOOKUP(E4809,E$1:E4808,1,FALSE()))),"OLD",IF(AND(E4809&lt;&gt;"",E4809&lt;&gt;"!!!"),"NEW","")))</f>
        <v> </v>
      </c>
      <c r="G4809" s="24" t="str">
        <f>IF(OR(E4809="",E4809="!!!"),"",IF(OR(J4809=0,AND(J4809=1,K4809=1),AND(J4809=1,I4809="SBJ"),AND(J4809=1,I4809=0)),"?IN_FOCUS",IF(J4809&lt;=2,"?ACTIVATED",IF(J4809&lt;&gt;"","?FAMILIAR",IF(F4809="NEW",IF(ISNA(VLOOKUP(E4809,#REF!,1,FALSE())),"?TYPE_IDENTIFIABLE","?REFERENTIAL"),"_")))))</f>
        <v> </v>
      </c>
      <c r="H4809" s="25" t="str">
        <f>IF(J4809&lt;&gt;1,"",IF(I4809="SBJ","CB","?"))</f>
        <v> </v>
      </c>
      <c r="I4809" s="26" t="str">
        <f>IF(OR(E4809="",E4809="!!!",F4809="NEW"),"",INDEX(B4808:B$2,-1+SUMPRODUCT(MAX(ROW(E4808:E$2)*(E4809=E4808:E$2)))))</f>
        <v> </v>
      </c>
      <c r="J4809" s="26" t="str">
        <f>IF(OR(E4809="",E4809="!!!",F4809="NEW"),"",COUNTBLANK(OFFSET(A$1,,,SUMPRODUCT(MAX(ROW(E$2:E4809)*(E4809=E$2:E4809)))))-COUNTBLANK(OFFSET(A$1,,,SUMPRODUCT(MAX(ROW(E$1:E4808)*(E2=E$1:E4808))))))</f>
        <v> </v>
      </c>
      <c r="K4809" s="26" t="str">
        <f>IF(OR(E4809="",E4809="!!!",F4809="NEW"),"",INDEX(J$1:J4808,SUMPRODUCT(MAX(ROW(E$1:E4808)*(E4809=E$1:E4808)))))</f>
        <v> </v>
      </c>
      <c r="L4809" s="27"/>
    </row>
    <row r="4810" spans="1:12">
      <c r="A4810" s="20" t="s">
        <v>1235</v>
      </c>
      <c r="E4810" s="22">
        <f>IF(D4810="?OLD","!!!","")</f>
        <v/>
      </c>
      <c r="F4810" s="23" t="str">
        <f>IF(OR(E4810="",E4810="!!!"),"",IF(NOT(ISNA(VLOOKUP(E4810,E$1:E4809,1,FALSE()))),"OLD",IF(AND(E4810&lt;&gt;"",E4810&lt;&gt;"!!!"),"NEW","")))</f>
        <v> </v>
      </c>
      <c r="G4810" s="24" t="str">
        <f>IF(OR(E4810="",E4810="!!!"),"",IF(OR(J4810=0,AND(J4810=1,K4810=1),AND(J4810=1,I4810="SBJ"),AND(J4810=1,I4810=0)),"?IN_FOCUS",IF(J4810&lt;=2,"?ACTIVATED",IF(J4810&lt;&gt;"","?FAMILIAR",IF(F4810="NEW",IF(ISNA(VLOOKUP(E4810,#REF!,1,FALSE())),"?TYPE_IDENTIFIABLE","?REFERENTIAL"),"_")))))</f>
        <v> </v>
      </c>
      <c r="H4810" s="25" t="str">
        <f>IF(J4810&lt;&gt;1,"",IF(I4810="SBJ","CB","?"))</f>
        <v> </v>
      </c>
      <c r="I4810" s="26" t="str">
        <f>IF(OR(E4810="",E4810="!!!",F4810="NEW"),"",INDEX(B4809:B$2,-1+SUMPRODUCT(MAX(ROW(E4809:E$2)*(E4810=E4809:E$2)))))</f>
        <v> </v>
      </c>
      <c r="J4810" s="26" t="str">
        <f>IF(OR(E4810="",E4810="!!!",F4810="NEW"),"",COUNTBLANK(OFFSET(A$1,,,SUMPRODUCT(MAX(ROW(E$2:E4810)*(E4810=E$2:E4810)))))-COUNTBLANK(OFFSET(A$1,,,SUMPRODUCT(MAX(ROW(E$1:E4809)*(E2=E$1:E4809))))))</f>
        <v> </v>
      </c>
      <c r="K4810" s="26" t="str">
        <f>IF(OR(E4810="",E4810="!!!",F4810="NEW"),"",INDEX(J$1:J4809,SUMPRODUCT(MAX(ROW(E$1:E4809)*(E4810=E$1:E4809)))))</f>
        <v> </v>
      </c>
      <c r="L4810" s="27"/>
    </row>
    <row r="4811" spans="1:12">
      <c r="A4811" s="20" t="s">
        <v>2687</v>
      </c>
      <c r="B4811" s="21" t="s">
        <v>1894</v>
      </c>
      <c r="C4811" s="21" t="s">
        <v>1238</v>
      </c>
      <c r="E4811" s="22">
        <f>IF(D4811="?OLD","!!!","")</f>
        <v/>
      </c>
      <c r="F4811" s="23" t="str">
        <f>IF(OR(E4811="",E4811="!!!"),"",IF(NOT(ISNA(VLOOKUP(E4811,E$1:E4810,1,FALSE()))),"OLD",IF(AND(E4811&lt;&gt;"",E4811&lt;&gt;"!!!"),"NEW","")))</f>
        <v> </v>
      </c>
      <c r="G4811" s="24" t="str">
        <f>IF(OR(E4811="",E4811="!!!"),"",IF(OR(J4811=0,AND(J4811=1,K4811=1),AND(J4811=1,I4811="SBJ"),AND(J4811=1,I4811=0)),"?IN_FOCUS",IF(J4811&lt;=2,"?ACTIVATED",IF(J4811&lt;&gt;"","?FAMILIAR",IF(F4811="NEW",IF(ISNA(VLOOKUP(E4811,#REF!,1,FALSE())),"?TYPE_IDENTIFIABLE","?REFERENTIAL"),"_")))))</f>
        <v> </v>
      </c>
      <c r="H4811" s="25" t="str">
        <f>IF(J4811&lt;&gt;1,"",IF(I4811="SBJ","CB","?"))</f>
        <v> </v>
      </c>
      <c r="I4811" s="26" t="str">
        <f>IF(OR(E4811="",E4811="!!!",F4811="NEW"),"",INDEX(B4810:B$2,-1+SUMPRODUCT(MAX(ROW(E4810:E$2)*(E4811=E4810:E$2)))))</f>
        <v> </v>
      </c>
      <c r="J4811" s="26" t="str">
        <f>IF(OR(E4811="",E4811="!!!",F4811="NEW"),"",COUNTBLANK(OFFSET(A$1,,,SUMPRODUCT(MAX(ROW(E$2:E4811)*(E4811=E$2:E4811)))))-COUNTBLANK(OFFSET(A$1,,,SUMPRODUCT(MAX(ROW(E$1:E4810)*(E2=E$1:E4810))))))</f>
        <v> </v>
      </c>
      <c r="K4811" s="26" t="str">
        <f>IF(OR(E4811="",E4811="!!!",F4811="NEW"),"",INDEX(J$1:J4810,SUMPRODUCT(MAX(ROW(E$1:E4810)*(E4811=E$1:E4810)))))</f>
        <v> </v>
      </c>
      <c r="L4811" s="27"/>
    </row>
    <row r="4812" spans="1:12">
      <c r="A4812" s="20" t="s">
        <v>1245</v>
      </c>
      <c r="E4812" s="22">
        <f>IF(D4812="?OLD","!!!","")</f>
        <v/>
      </c>
      <c r="F4812" s="23" t="str">
        <f>IF(OR(E4812="",E4812="!!!"),"",IF(NOT(ISNA(VLOOKUP(E4812,E$1:E4811,1,FALSE()))),"OLD",IF(AND(E4812&lt;&gt;"",E4812&lt;&gt;"!!!"),"NEW","")))</f>
        <v> </v>
      </c>
      <c r="G4812" s="24" t="str">
        <f>IF(OR(E4812="",E4812="!!!"),"",IF(OR(J4812=0,AND(J4812=1,K4812=1),AND(J4812=1,I4812="SBJ"),AND(J4812=1,I4812=0)),"?IN_FOCUS",IF(J4812&lt;=2,"?ACTIVATED",IF(J4812&lt;&gt;"","?FAMILIAR",IF(F4812="NEW",IF(ISNA(VLOOKUP(E4812,#REF!,1,FALSE())),"?TYPE_IDENTIFIABLE","?REFERENTIAL"),"_")))))</f>
        <v> </v>
      </c>
      <c r="H4812" s="25" t="str">
        <f>IF(J4812&lt;&gt;1,"",IF(I4812="SBJ","CB","?"))</f>
        <v> </v>
      </c>
      <c r="I4812" s="26" t="str">
        <f>IF(OR(E4812="",E4812="!!!",F4812="NEW"),"",INDEX(B4811:B$2,-1+SUMPRODUCT(MAX(ROW(E4811:E$2)*(E4812=E4811:E$2)))))</f>
        <v> </v>
      </c>
      <c r="J4812" s="26" t="str">
        <f>IF(OR(E4812="",E4812="!!!",F4812="NEW"),"",COUNTBLANK(OFFSET(A$1,,,SUMPRODUCT(MAX(ROW(E$2:E4812)*(E4812=E$2:E4812)))))-COUNTBLANK(OFFSET(A$1,,,SUMPRODUCT(MAX(ROW(E$1:E4811)*(E2=E$1:E4811))))))</f>
        <v> </v>
      </c>
      <c r="K4812" s="26" t="str">
        <f>IF(OR(E4812="",E4812="!!!",F4812="NEW"),"",INDEX(J$1:J4811,SUMPRODUCT(MAX(ROW(E$1:E4811)*(E4812=E$1:E4811)))))</f>
        <v> </v>
      </c>
      <c r="L4812" s="27"/>
    </row>
    <row r="4813" spans="1:12">
      <c r="A4813" s="20" t="s">
        <v>2149</v>
      </c>
      <c r="B4813" s="21" t="s">
        <v>2754</v>
      </c>
      <c r="C4813" s="21" t="s">
        <v>1279</v>
      </c>
      <c r="E4813" s="22">
        <f>IF(D4813="?OLD","!!!","")</f>
        <v/>
      </c>
      <c r="F4813" s="23" t="str">
        <f>IF(OR(E4813="",E4813="!!!"),"",IF(NOT(ISNA(VLOOKUP(E4813,E$1:E4812,1,FALSE()))),"OLD",IF(AND(E4813&lt;&gt;"",E4813&lt;&gt;"!!!"),"NEW","")))</f>
        <v> </v>
      </c>
      <c r="G4813" s="24" t="str">
        <f>IF(OR(E4813="",E4813="!!!"),"",IF(OR(J4813=0,AND(J4813=1,K4813=1),AND(J4813=1,I4813="SBJ"),AND(J4813=1,I4813=0)),"?IN_FOCUS",IF(J4813&lt;=2,"?ACTIVATED",IF(J4813&lt;&gt;"","?FAMILIAR",IF(F4813="NEW",IF(ISNA(VLOOKUP(E4813,#REF!,1,FALSE())),"?TYPE_IDENTIFIABLE","?REFERENTIAL"),"_")))))</f>
        <v> </v>
      </c>
      <c r="H4813" s="25" t="str">
        <f>IF(J4813&lt;&gt;1,"",IF(I4813="SBJ","CB","?"))</f>
        <v> </v>
      </c>
      <c r="I4813" s="26" t="str">
        <f>IF(OR(E4813="",E4813="!!!",F4813="NEW"),"",INDEX(B4812:B$2,-1+SUMPRODUCT(MAX(ROW(E4812:E$2)*(E4813=E4812:E$2)))))</f>
        <v> </v>
      </c>
      <c r="J4813" s="26" t="str">
        <f>IF(OR(E4813="",E4813="!!!",F4813="NEW"),"",COUNTBLANK(OFFSET(A$1,,,SUMPRODUCT(MAX(ROW(E$2:E4813)*(E4813=E$2:E4813)))))-COUNTBLANK(OFFSET(A$1,,,SUMPRODUCT(MAX(ROW(E$1:E4812)*(E2=E$1:E4812))))))</f>
        <v> </v>
      </c>
      <c r="K4813" s="26" t="str">
        <f>IF(OR(E4813="",E4813="!!!",F4813="NEW"),"",INDEX(J$1:J4812,SUMPRODUCT(MAX(ROW(E$1:E4812)*(E4813=E$1:E4812)))))</f>
        <v> </v>
      </c>
      <c r="L4813" s="27"/>
    </row>
    <row r="4814" spans="1:12">
      <c r="A4814" s="20" t="s">
        <v>1323</v>
      </c>
      <c r="E4814" s="22">
        <f>IF(D4814="?OLD","!!!","")</f>
        <v/>
      </c>
      <c r="F4814" s="23" t="str">
        <f>IF(OR(E4814="",E4814="!!!"),"",IF(NOT(ISNA(VLOOKUP(E4814,E$1:E4813,1,FALSE()))),"OLD",IF(AND(E4814&lt;&gt;"",E4814&lt;&gt;"!!!"),"NEW","")))</f>
        <v> </v>
      </c>
      <c r="G4814" s="24" t="str">
        <f>IF(OR(E4814="",E4814="!!!"),"",IF(OR(J4814=0,AND(J4814=1,K4814=1),AND(J4814=1,I4814="SBJ"),AND(J4814=1,I4814=0)),"?IN_FOCUS",IF(J4814&lt;=2,"?ACTIVATED",IF(J4814&lt;&gt;"","?FAMILIAR",IF(F4814="NEW",IF(ISNA(VLOOKUP(E4814,#REF!,1,FALSE())),"?TYPE_IDENTIFIABLE","?REFERENTIAL"),"_")))))</f>
        <v> </v>
      </c>
      <c r="H4814" s="25" t="str">
        <f>IF(J4814&lt;&gt;1,"",IF(I4814="SBJ","CB","?"))</f>
        <v> </v>
      </c>
      <c r="I4814" s="26" t="str">
        <f>IF(OR(E4814="",E4814="!!!",F4814="NEW"),"",INDEX(B4813:B$2,-1+SUMPRODUCT(MAX(ROW(E4813:E$2)*(E4814=E4813:E$2)))))</f>
        <v> </v>
      </c>
      <c r="J4814" s="26" t="str">
        <f>IF(OR(E4814="",E4814="!!!",F4814="NEW"),"",COUNTBLANK(OFFSET(A$1,,,SUMPRODUCT(MAX(ROW(E$2:E4814)*(E4814=E$2:E4814)))))-COUNTBLANK(OFFSET(A$1,,,SUMPRODUCT(MAX(ROW(E$1:E4813)*(E2=E$1:E4813))))))</f>
        <v> </v>
      </c>
      <c r="K4814" s="26" t="str">
        <f>IF(OR(E4814="",E4814="!!!",F4814="NEW"),"",INDEX(J$1:J4813,SUMPRODUCT(MAX(ROW(E$1:E4813)*(E4814=E$1:E4813)))))</f>
        <v> </v>
      </c>
      <c r="L4814" s="27"/>
    </row>
    <row r="4815" spans="1:12">
      <c r="A4815" s="20" t="s">
        <v>1519</v>
      </c>
      <c r="B4815" s="21" t="s">
        <v>1377</v>
      </c>
      <c r="C4815" s="21" t="s">
        <v>1269</v>
      </c>
      <c r="D4815" s="21" t="s">
        <v>1217</v>
      </c>
      <c r="E4815" s="22">
        <f>IF(D4815="?OLD","!!!","")</f>
        <v/>
      </c>
      <c r="F4815" s="23" t="str">
        <f>IF(OR(E4815="",E4815="!!!"),"",IF(NOT(ISNA(VLOOKUP(E4815,E$1:E4814,1,FALSE()))),"OLD",IF(AND(E4815&lt;&gt;"",E4815&lt;&gt;"!!!"),"NEW","")))</f>
        <v> </v>
      </c>
      <c r="G4815" s="24" t="str">
        <f>IF(OR(E4815="",E4815="!!!"),"",IF(OR(J4815=0,AND(J4815=1,K4815=1),AND(J4815=1,I4815="SBJ"),AND(J4815=1,I4815=0)),"?IN_FOCUS",IF(J4815&lt;=2,"?ACTIVATED",IF(J4815&lt;&gt;"","?FAMILIAR",IF(F4815="NEW",IF(ISNA(VLOOKUP(E4815,#REF!,1,FALSE())),"?TYPE_IDENTIFIABLE","?REFERENTIAL"),"_")))))</f>
        <v> </v>
      </c>
      <c r="H4815" s="25" t="str">
        <f>IF(J4815&lt;&gt;1,"",IF(I4815="SBJ","CB","?"))</f>
        <v> </v>
      </c>
      <c r="I4815" s="26" t="str">
        <f>IF(OR(E4815="",E4815="!!!",F4815="NEW"),"",INDEX(B4814:B$2,-1+SUMPRODUCT(MAX(ROW(E4814:E$2)*(E4815=E4814:E$2)))))</f>
        <v> </v>
      </c>
      <c r="J4815" s="26" t="str">
        <f>IF(OR(E4815="",E4815="!!!",F4815="NEW"),"",COUNTBLANK(OFFSET(A$1,,,SUMPRODUCT(MAX(ROW(E$2:E4815)*(E4815=E$2:E4815)))))-COUNTBLANK(OFFSET(A$1,,,SUMPRODUCT(MAX(ROW(E$1:E4814)*(E2=E$1:E4814))))))</f>
        <v> </v>
      </c>
      <c r="K4815" s="26" t="str">
        <f>IF(OR(E4815="",E4815="!!!",F4815="NEW"),"",INDEX(J$1:J4814,SUMPRODUCT(MAX(ROW(E$1:E4814)*(E4815=E$1:E4814)))))</f>
        <v> </v>
      </c>
      <c r="L4815" s="27"/>
    </row>
    <row r="4816" spans="1:12">
      <c r="A4816" s="20" t="s">
        <v>1262</v>
      </c>
      <c r="E4816" s="22">
        <f>IF(D4816="?OLD","!!!","")</f>
        <v/>
      </c>
      <c r="F4816" s="23" t="str">
        <f>IF(OR(E4816="",E4816="!!!"),"",IF(NOT(ISNA(VLOOKUP(E4816,E$1:E4815,1,FALSE()))),"OLD",IF(AND(E4816&lt;&gt;"",E4816&lt;&gt;"!!!"),"NEW","")))</f>
        <v> </v>
      </c>
      <c r="G4816" s="24" t="str">
        <f>IF(OR(E4816="",E4816="!!!"),"",IF(OR(J4816=0,AND(J4816=1,K4816=1),AND(J4816=1,I4816="SBJ"),AND(J4816=1,I4816=0)),"?IN_FOCUS",IF(J4816&lt;=2,"?ACTIVATED",IF(J4816&lt;&gt;"","?FAMILIAR",IF(F4816="NEW",IF(ISNA(VLOOKUP(E4816,#REF!,1,FALSE())),"?TYPE_IDENTIFIABLE","?REFERENTIAL"),"_")))))</f>
        <v> </v>
      </c>
      <c r="H4816" s="25" t="str">
        <f>IF(J4816&lt;&gt;1,"",IF(I4816="SBJ","CB","?"))</f>
        <v> </v>
      </c>
      <c r="I4816" s="26" t="str">
        <f>IF(OR(E4816="",E4816="!!!",F4816="NEW"),"",INDEX(B4815:B$2,-1+SUMPRODUCT(MAX(ROW(E4815:E$2)*(E4816=E4815:E$2)))))</f>
        <v> </v>
      </c>
      <c r="J4816" s="26" t="str">
        <f>IF(OR(E4816="",E4816="!!!",F4816="NEW"),"",COUNTBLANK(OFFSET(A$1,,,SUMPRODUCT(MAX(ROW(E$2:E4816)*(E4816=E$2:E4816)))))-COUNTBLANK(OFFSET(A$1,,,SUMPRODUCT(MAX(ROW(E$1:E4815)*(E2=E$1:E4815))))))</f>
        <v> </v>
      </c>
      <c r="K4816" s="26" t="str">
        <f>IF(OR(E4816="",E4816="!!!",F4816="NEW"),"",INDEX(J$1:J4815,SUMPRODUCT(MAX(ROW(E$1:E4815)*(E4816=E$1:E4815)))))</f>
        <v> </v>
      </c>
      <c r="L4816" s="27"/>
    </row>
    <row r="4817" spans="1:12">
      <c r="A4817" s="20"/>
    </row>
    <row r="4818" spans="1:12">
      <c r="A4818" s="20" t="s">
        <v>2783</v>
      </c>
    </row>
    <row r="4819" spans="1:12">
      <c r="A4819" s="20" t="s">
        <v>2784</v>
      </c>
      <c r="E4819" s="22">
        <f>IF(D4819="?OLD","!!!","")</f>
        <v/>
      </c>
      <c r="F4819" s="23" t="str">
        <f>IF(OR(E4819="",E4819="!!!"),"",IF(NOT(ISNA(VLOOKUP(E4819,E$1:E4818,1,FALSE()))),"OLD",IF(AND(E4819&lt;&gt;"",E4819&lt;&gt;"!!!"),"NEW","")))</f>
        <v> </v>
      </c>
      <c r="G4819" s="24" t="str">
        <f>IF(OR(E4819="",E4819="!!!"),"",IF(OR(J4819=0,AND(J4819=1,K4819=1),AND(J4819=1,I4819="SBJ"),AND(J4819=1,I4819=0)),"?IN_FOCUS",IF(J4819&lt;=2,"?ACTIVATED",IF(J4819&lt;&gt;"","?FAMILIAR",IF(F4819="NEW",IF(ISNA(VLOOKUP(E4819,#REF!,1,FALSE())),"?TYPE_IDENTIFIABLE","?REFERENTIAL"),"_")))))</f>
        <v> </v>
      </c>
      <c r="H4819" s="25" t="str">
        <f>IF(J4819&lt;&gt;1,"",IF(I4819="SBJ","CB","?"))</f>
        <v> </v>
      </c>
      <c r="I4819" s="26" t="str">
        <f>IF(OR(E4819="",E4819="!!!",F4819="NEW"),"",INDEX(B4818:B$2,-1+SUMPRODUCT(MAX(ROW(E4818:E$2)*(E4819=E4818:E$2)))))</f>
        <v> </v>
      </c>
      <c r="J4819" s="26" t="str">
        <f>IF(OR(E4819="",E4819="!!!",F4819="NEW"),"",COUNTBLANK(OFFSET(A$1,,,SUMPRODUCT(MAX(ROW(E$2:E4819)*(E4819=E$2:E4819)))))-COUNTBLANK(OFFSET(A$1,,,SUMPRODUCT(MAX(ROW(E$1:E4818)*(E2=E$1:E4818))))))</f>
        <v> </v>
      </c>
      <c r="K4819" s="26" t="str">
        <f>IF(OR(E4819="",E4819="!!!",F4819="NEW"),"",INDEX(J$1:J4818,SUMPRODUCT(MAX(ROW(E$1:E4818)*(E4819=E$1:E4818)))))</f>
        <v> </v>
      </c>
      <c r="L4819" s="27"/>
    </row>
    <row r="4820" spans="1:12">
      <c r="A4820" s="20" t="s">
        <v>1266</v>
      </c>
      <c r="E4820" s="22">
        <f>IF(D4820="?OLD","!!!","")</f>
        <v/>
      </c>
      <c r="F4820" s="23" t="str">
        <f>IF(OR(E4820="",E4820="!!!"),"",IF(NOT(ISNA(VLOOKUP(E4820,E$1:E4819,1,FALSE()))),"OLD",IF(AND(E4820&lt;&gt;"",E4820&lt;&gt;"!!!"),"NEW","")))</f>
        <v> </v>
      </c>
      <c r="G4820" s="24" t="str">
        <f>IF(OR(E4820="",E4820="!!!"),"",IF(OR(J4820=0,AND(J4820=1,K4820=1),AND(J4820=1,I4820="SBJ"),AND(J4820=1,I4820=0)),"?IN_FOCUS",IF(J4820&lt;=2,"?ACTIVATED",IF(J4820&lt;&gt;"","?FAMILIAR",IF(F4820="NEW",IF(ISNA(VLOOKUP(E4820,#REF!,1,FALSE())),"?TYPE_IDENTIFIABLE","?REFERENTIAL"),"_")))))</f>
        <v> </v>
      </c>
      <c r="H4820" s="25" t="str">
        <f>IF(J4820&lt;&gt;1,"",IF(I4820="SBJ","CB","?"))</f>
        <v> </v>
      </c>
      <c r="I4820" s="26" t="str">
        <f>IF(OR(E4820="",E4820="!!!",F4820="NEW"),"",INDEX(B4819:B$2,-1+SUMPRODUCT(MAX(ROW(E4819:E$2)*(E4820=E4819:E$2)))))</f>
        <v> </v>
      </c>
      <c r="J4820" s="26" t="str">
        <f>IF(OR(E4820="",E4820="!!!",F4820="NEW"),"",COUNTBLANK(OFFSET(A$1,,,SUMPRODUCT(MAX(ROW(E$2:E4820)*(E4820=E$2:E4820)))))-COUNTBLANK(OFFSET(A$1,,,SUMPRODUCT(MAX(ROW(E$1:E4819)*(E2=E$1:E4819))))))</f>
        <v> </v>
      </c>
      <c r="K4820" s="26" t="str">
        <f>IF(OR(E4820="",E4820="!!!",F4820="NEW"),"",INDEX(J$1:J4819,SUMPRODUCT(MAX(ROW(E$1:E4819)*(E4820=E$1:E4819)))))</f>
        <v> </v>
      </c>
      <c r="L4820" s="27"/>
    </row>
    <row r="4821" spans="1:12">
      <c r="A4821" s="20" t="s">
        <v>2785</v>
      </c>
      <c r="B4821" s="21" t="s">
        <v>1244</v>
      </c>
      <c r="C4821" s="21" t="s">
        <v>1269</v>
      </c>
      <c r="D4821" s="21" t="s">
        <v>1217</v>
      </c>
      <c r="E4821" s="22">
        <f>IF(D4821="?OLD","!!!","")</f>
        <v/>
      </c>
      <c r="F4821" s="23" t="str">
        <f>IF(OR(E4821="",E4821="!!!"),"",IF(NOT(ISNA(VLOOKUP(E4821,E$1:E4820,1,FALSE()))),"OLD",IF(AND(E4821&lt;&gt;"",E4821&lt;&gt;"!!!"),"NEW","")))</f>
        <v> </v>
      </c>
      <c r="G4821" s="24" t="str">
        <f>IF(OR(E4821="",E4821="!!!"),"",IF(OR(J4821=0,AND(J4821=1,K4821=1),AND(J4821=1,I4821="SBJ"),AND(J4821=1,I4821=0)),"?IN_FOCUS",IF(J4821&lt;=2,"?ACTIVATED",IF(J4821&lt;&gt;"","?FAMILIAR",IF(F4821="NEW",IF(ISNA(VLOOKUP(E4821,#REF!,1,FALSE())),"?TYPE_IDENTIFIABLE","?REFERENTIAL"),"_")))))</f>
        <v> </v>
      </c>
      <c r="H4821" s="25" t="str">
        <f>IF(J4821&lt;&gt;1,"",IF(I4821="SBJ","CB","?"))</f>
        <v> </v>
      </c>
      <c r="I4821" s="26" t="str">
        <f>IF(OR(E4821="",E4821="!!!",F4821="NEW"),"",INDEX(B4820:B$2,-1+SUMPRODUCT(MAX(ROW(E4820:E$2)*(E4821=E4820:E$2)))))</f>
        <v> </v>
      </c>
      <c r="J4821" s="26" t="str">
        <f>IF(OR(E4821="",E4821="!!!",F4821="NEW"),"",COUNTBLANK(OFFSET(A$1,,,SUMPRODUCT(MAX(ROW(E$2:E4821)*(E4821=E$2:E4821)))))-COUNTBLANK(OFFSET(A$1,,,SUMPRODUCT(MAX(ROW(E$1:E4820)*(E2=E$1:E4820))))))</f>
        <v> </v>
      </c>
      <c r="K4821" s="26" t="str">
        <f>IF(OR(E4821="",E4821="!!!",F4821="NEW"),"",INDEX(J$1:J4820,SUMPRODUCT(MAX(ROW(E$1:E4820)*(E4821=E$1:E4820)))))</f>
        <v> </v>
      </c>
      <c r="L4821" s="27"/>
    </row>
    <row r="4822" spans="1:12">
      <c r="A4822" s="20" t="s">
        <v>1277</v>
      </c>
      <c r="E4822" s="22">
        <f>IF(D4822="?OLD","!!!","")</f>
        <v/>
      </c>
      <c r="F4822" s="23" t="str">
        <f>IF(OR(E4822="",E4822="!!!"),"",IF(NOT(ISNA(VLOOKUP(E4822,E$1:E4821,1,FALSE()))),"OLD",IF(AND(E4822&lt;&gt;"",E4822&lt;&gt;"!!!"),"NEW","")))</f>
        <v> </v>
      </c>
      <c r="G4822" s="24" t="str">
        <f>IF(OR(E4822="",E4822="!!!"),"",IF(OR(J4822=0,AND(J4822=1,K4822=1),AND(J4822=1,I4822="SBJ"),AND(J4822=1,I4822=0)),"?IN_FOCUS",IF(J4822&lt;=2,"?ACTIVATED",IF(J4822&lt;&gt;"","?FAMILIAR",IF(F4822="NEW",IF(ISNA(VLOOKUP(E4822,#REF!,1,FALSE())),"?TYPE_IDENTIFIABLE","?REFERENTIAL"),"_")))))</f>
        <v> </v>
      </c>
      <c r="H4822" s="25" t="str">
        <f>IF(J4822&lt;&gt;1,"",IF(I4822="SBJ","CB","?"))</f>
        <v> </v>
      </c>
      <c r="I4822" s="26" t="str">
        <f>IF(OR(E4822="",E4822="!!!",F4822="NEW"),"",INDEX(B4821:B$2,-1+SUMPRODUCT(MAX(ROW(E4821:E$2)*(E4822=E4821:E$2)))))</f>
        <v> </v>
      </c>
      <c r="J4822" s="26" t="str">
        <f>IF(OR(E4822="",E4822="!!!",F4822="NEW"),"",COUNTBLANK(OFFSET(A$1,,,SUMPRODUCT(MAX(ROW(E$2:E4822)*(E4822=E$2:E4822)))))-COUNTBLANK(OFFSET(A$1,,,SUMPRODUCT(MAX(ROW(E$1:E4821)*(E2=E$1:E4821))))))</f>
        <v> </v>
      </c>
      <c r="K4822" s="26" t="str">
        <f>IF(OR(E4822="",E4822="!!!",F4822="NEW"),"",INDEX(J$1:J4821,SUMPRODUCT(MAX(ROW(E$1:E4821)*(E4822=E$1:E4821)))))</f>
        <v> </v>
      </c>
      <c r="L4822" s="27"/>
    </row>
    <row r="4823" spans="1:12">
      <c r="A4823" s="20" t="s">
        <v>1327</v>
      </c>
      <c r="B4823" s="21" t="s">
        <v>1275</v>
      </c>
      <c r="C4823" s="21" t="s">
        <v>1255</v>
      </c>
      <c r="D4823" s="21" t="s">
        <v>1217</v>
      </c>
      <c r="E4823" s="22">
        <f>IF(D4823="?OLD","!!!","")</f>
        <v/>
      </c>
      <c r="F4823" s="23" t="str">
        <f>IF(OR(E4823="",E4823="!!!"),"",IF(NOT(ISNA(VLOOKUP(E4823,E$1:E4822,1,FALSE()))),"OLD",IF(AND(E4823&lt;&gt;"",E4823&lt;&gt;"!!!"),"NEW","")))</f>
        <v> </v>
      </c>
      <c r="G4823" s="24" t="str">
        <f>IF(OR(E4823="",E4823="!!!"),"",IF(OR(J4823=0,AND(J4823=1,K4823=1),AND(J4823=1,I4823="SBJ"),AND(J4823=1,I4823=0)),"?IN_FOCUS",IF(J4823&lt;=2,"?ACTIVATED",IF(J4823&lt;&gt;"","?FAMILIAR",IF(F4823="NEW",IF(ISNA(VLOOKUP(E4823,#REF!,1,FALSE())),"?TYPE_IDENTIFIABLE","?REFERENTIAL"),"_")))))</f>
        <v> </v>
      </c>
      <c r="H4823" s="25" t="str">
        <f>IF(J4823&lt;&gt;1,"",IF(I4823="SBJ","CB","?"))</f>
        <v> </v>
      </c>
      <c r="I4823" s="26" t="str">
        <f>IF(OR(E4823="",E4823="!!!",F4823="NEW"),"",INDEX(B4822:B$2,-1+SUMPRODUCT(MAX(ROW(E4822:E$2)*(E4823=E4822:E$2)))))</f>
        <v> </v>
      </c>
      <c r="J4823" s="26" t="str">
        <f>IF(OR(E4823="",E4823="!!!",F4823="NEW"),"",COUNTBLANK(OFFSET(A$1,,,SUMPRODUCT(MAX(ROW(E$2:E4823)*(E4823=E$2:E4823)))))-COUNTBLANK(OFFSET(A$1,,,SUMPRODUCT(MAX(ROW(E$1:E4822)*(E2=E$1:E4822))))))</f>
        <v> </v>
      </c>
      <c r="K4823" s="26" t="str">
        <f>IF(OR(E4823="",E4823="!!!",F4823="NEW"),"",INDEX(J$1:J4822,SUMPRODUCT(MAX(ROW(E$1:E4822)*(E4823=E$1:E4822)))))</f>
        <v> </v>
      </c>
      <c r="L4823" s="27"/>
    </row>
    <row r="4824" spans="1:12">
      <c r="A4824" s="20" t="s">
        <v>2786</v>
      </c>
      <c r="E4824" s="22">
        <f>IF(D4824="?OLD","!!!","")</f>
        <v/>
      </c>
      <c r="F4824" s="23" t="str">
        <f>IF(OR(E4824="",E4824="!!!"),"",IF(NOT(ISNA(VLOOKUP(E4824,E$1:E4823,1,FALSE()))),"OLD",IF(AND(E4824&lt;&gt;"",E4824&lt;&gt;"!!!"),"NEW","")))</f>
        <v> </v>
      </c>
      <c r="G4824" s="24" t="str">
        <f>IF(OR(E4824="",E4824="!!!"),"",IF(OR(J4824=0,AND(J4824=1,K4824=1),AND(J4824=1,I4824="SBJ"),AND(J4824=1,I4824=0)),"?IN_FOCUS",IF(J4824&lt;=2,"?ACTIVATED",IF(J4824&lt;&gt;"","?FAMILIAR",IF(F4824="NEW",IF(ISNA(VLOOKUP(E4824,#REF!,1,FALSE())),"?TYPE_IDENTIFIABLE","?REFERENTIAL"),"_")))))</f>
        <v> </v>
      </c>
      <c r="H4824" s="25" t="str">
        <f>IF(J4824&lt;&gt;1,"",IF(I4824="SBJ","CB","?"))</f>
        <v> </v>
      </c>
      <c r="I4824" s="26" t="str">
        <f>IF(OR(E4824="",E4824="!!!",F4824="NEW"),"",INDEX(B4823:B$2,-1+SUMPRODUCT(MAX(ROW(E4823:E$2)*(E4824=E4823:E$2)))))</f>
        <v> </v>
      </c>
      <c r="J4824" s="26" t="str">
        <f>IF(OR(E4824="",E4824="!!!",F4824="NEW"),"",COUNTBLANK(OFFSET(A$1,,,SUMPRODUCT(MAX(ROW(E$2:E4824)*(E4824=E$2:E4824)))))-COUNTBLANK(OFFSET(A$1,,,SUMPRODUCT(MAX(ROW(E$1:E4823)*(E2=E$1:E4823))))))</f>
        <v> </v>
      </c>
      <c r="K4824" s="26" t="str">
        <f>IF(OR(E4824="",E4824="!!!",F4824="NEW"),"",INDEX(J$1:J4823,SUMPRODUCT(MAX(ROW(E$1:E4823)*(E4824=E$1:E4823)))))</f>
        <v> </v>
      </c>
      <c r="L4824" s="27"/>
    </row>
    <row r="4825" spans="1:12">
      <c r="A4825" s="20" t="s">
        <v>1035</v>
      </c>
      <c r="E4825" s="22">
        <f>IF(D4825="?OLD","!!!","")</f>
        <v/>
      </c>
      <c r="F4825" s="23" t="str">
        <f>IF(OR(E4825="",E4825="!!!"),"",IF(NOT(ISNA(VLOOKUP(E4825,E$1:E4824,1,FALSE()))),"OLD",IF(AND(E4825&lt;&gt;"",E4825&lt;&gt;"!!!"),"NEW","")))</f>
        <v> </v>
      </c>
      <c r="G4825" s="24" t="str">
        <f>IF(OR(E4825="",E4825="!!!"),"",IF(OR(J4825=0,AND(J4825=1,K4825=1),AND(J4825=1,I4825="SBJ"),AND(J4825=1,I4825=0)),"?IN_FOCUS",IF(J4825&lt;=2,"?ACTIVATED",IF(J4825&lt;&gt;"","?FAMILIAR",IF(F4825="NEW",IF(ISNA(VLOOKUP(E4825,#REF!,1,FALSE())),"?TYPE_IDENTIFIABLE","?REFERENTIAL"),"_")))))</f>
        <v> </v>
      </c>
      <c r="H4825" s="25" t="str">
        <f>IF(J4825&lt;&gt;1,"",IF(I4825="SBJ","CB","?"))</f>
        <v> </v>
      </c>
      <c r="I4825" s="26" t="str">
        <f>IF(OR(E4825="",E4825="!!!",F4825="NEW"),"",INDEX(B4824:B$2,-1+SUMPRODUCT(MAX(ROW(E4824:E$2)*(E4825=E4824:E$2)))))</f>
        <v> </v>
      </c>
      <c r="J4825" s="26" t="str">
        <f>IF(OR(E4825="",E4825="!!!",F4825="NEW"),"",COUNTBLANK(OFFSET(A$1,,,SUMPRODUCT(MAX(ROW(E$2:E4825)*(E4825=E$2:E4825)))))-COUNTBLANK(OFFSET(A$1,,,SUMPRODUCT(MAX(ROW(E$1:E4824)*(E2=E$1:E4824))))))</f>
        <v> </v>
      </c>
      <c r="K4825" s="26" t="str">
        <f>IF(OR(E4825="",E4825="!!!",F4825="NEW"),"",INDEX(J$1:J4824,SUMPRODUCT(MAX(ROW(E$1:E4824)*(E4825=E$1:E4824)))))</f>
        <v> </v>
      </c>
      <c r="L4825" s="27"/>
    </row>
    <row r="4826" spans="1:12">
      <c r="A4826" s="20" t="s">
        <v>1277</v>
      </c>
      <c r="E4826" s="22">
        <f>IF(D4826="?OLD","!!!","")</f>
        <v/>
      </c>
      <c r="F4826" s="23" t="str">
        <f>IF(OR(E4826="",E4826="!!!"),"",IF(NOT(ISNA(VLOOKUP(E4826,E$1:E4825,1,FALSE()))),"OLD",IF(AND(E4826&lt;&gt;"",E4826&lt;&gt;"!!!"),"NEW","")))</f>
        <v> </v>
      </c>
      <c r="G4826" s="24" t="str">
        <f>IF(OR(E4826="",E4826="!!!"),"",IF(OR(J4826=0,AND(J4826=1,K4826=1),AND(J4826=1,I4826="SBJ"),AND(J4826=1,I4826=0)),"?IN_FOCUS",IF(J4826&lt;=2,"?ACTIVATED",IF(J4826&lt;&gt;"","?FAMILIAR",IF(F4826="NEW",IF(ISNA(VLOOKUP(E4826,#REF!,1,FALSE())),"?TYPE_IDENTIFIABLE","?REFERENTIAL"),"_")))))</f>
        <v> </v>
      </c>
      <c r="H4826" s="25" t="str">
        <f>IF(J4826&lt;&gt;1,"",IF(I4826="SBJ","CB","?"))</f>
        <v> </v>
      </c>
      <c r="I4826" s="26" t="str">
        <f>IF(OR(E4826="",E4826="!!!",F4826="NEW"),"",INDEX(B4825:B$2,-1+SUMPRODUCT(MAX(ROW(E4825:E$2)*(E4826=E4825:E$2)))))</f>
        <v> </v>
      </c>
      <c r="J4826" s="26" t="str">
        <f>IF(OR(E4826="",E4826="!!!",F4826="NEW"),"",COUNTBLANK(OFFSET(A$1,,,SUMPRODUCT(MAX(ROW(E$2:E4826)*(E4826=E$2:E4826)))))-COUNTBLANK(OFFSET(A$1,,,SUMPRODUCT(MAX(ROW(E$1:E4825)*(E2=E$1:E4825))))))</f>
        <v> </v>
      </c>
      <c r="K4826" s="26" t="str">
        <f>IF(OR(E4826="",E4826="!!!",F4826="NEW"),"",INDEX(J$1:J4825,SUMPRODUCT(MAX(ROW(E$1:E4825)*(E4826=E$1:E4825)))))</f>
        <v> </v>
      </c>
      <c r="L4826" s="27"/>
    </row>
    <row r="4827" spans="1:12">
      <c r="A4827" s="20" t="s">
        <v>1245</v>
      </c>
      <c r="E4827" s="22">
        <f>IF(D4827="?OLD","!!!","")</f>
        <v/>
      </c>
      <c r="F4827" s="23" t="str">
        <f>IF(OR(E4827="",E4827="!!!"),"",IF(NOT(ISNA(VLOOKUP(E4827,E$1:E4826,1,FALSE()))),"OLD",IF(AND(E4827&lt;&gt;"",E4827&lt;&gt;"!!!"),"NEW","")))</f>
        <v> </v>
      </c>
      <c r="G4827" s="24" t="str">
        <f>IF(OR(E4827="",E4827="!!!"),"",IF(OR(J4827=0,AND(J4827=1,K4827=1),AND(J4827=1,I4827="SBJ"),AND(J4827=1,I4827=0)),"?IN_FOCUS",IF(J4827&lt;=2,"?ACTIVATED",IF(J4827&lt;&gt;"","?FAMILIAR",IF(F4827="NEW",IF(ISNA(VLOOKUP(E4827,#REF!,1,FALSE())),"?TYPE_IDENTIFIABLE","?REFERENTIAL"),"_")))))</f>
        <v> </v>
      </c>
      <c r="H4827" s="25" t="str">
        <f>IF(J4827&lt;&gt;1,"",IF(I4827="SBJ","CB","?"))</f>
        <v> </v>
      </c>
      <c r="I4827" s="26" t="str">
        <f>IF(OR(E4827="",E4827="!!!",F4827="NEW"),"",INDEX(B4826:B$2,-1+SUMPRODUCT(MAX(ROW(E4826:E$2)*(E4827=E4826:E$2)))))</f>
        <v> </v>
      </c>
      <c r="J4827" s="26" t="str">
        <f>IF(OR(E4827="",E4827="!!!",F4827="NEW"),"",COUNTBLANK(OFFSET(A$1,,,SUMPRODUCT(MAX(ROW(E$2:E4827)*(E4827=E$2:E4827)))))-COUNTBLANK(OFFSET(A$1,,,SUMPRODUCT(MAX(ROW(E$1:E4826)*(E2=E$1:E4826))))))</f>
        <v> </v>
      </c>
      <c r="K4827" s="26" t="str">
        <f>IF(OR(E4827="",E4827="!!!",F4827="NEW"),"",INDEX(J$1:J4826,SUMPRODUCT(MAX(ROW(E$1:E4826)*(E4827=E$1:E4826)))))</f>
        <v> </v>
      </c>
      <c r="L4827" s="27"/>
    </row>
    <row r="4828" spans="1:12">
      <c r="A4828" s="20" t="s">
        <v>1228</v>
      </c>
      <c r="E4828" s="22">
        <f>IF(D4828="?OLD","!!!","")</f>
        <v/>
      </c>
      <c r="F4828" s="23" t="str">
        <f>IF(OR(E4828="",E4828="!!!"),"",IF(NOT(ISNA(VLOOKUP(E4828,E$1:E4827,1,FALSE()))),"OLD",IF(AND(E4828&lt;&gt;"",E4828&lt;&gt;"!!!"),"NEW","")))</f>
        <v> </v>
      </c>
      <c r="G4828" s="24" t="str">
        <f>IF(OR(E4828="",E4828="!!!"),"",IF(OR(J4828=0,AND(J4828=1,K4828=1),AND(J4828=1,I4828="SBJ"),AND(J4828=1,I4828=0)),"?IN_FOCUS",IF(J4828&lt;=2,"?ACTIVATED",IF(J4828&lt;&gt;"","?FAMILIAR",IF(F4828="NEW",IF(ISNA(VLOOKUP(E4828,#REF!,1,FALSE())),"?TYPE_IDENTIFIABLE","?REFERENTIAL"),"_")))))</f>
        <v> </v>
      </c>
      <c r="H4828" s="25" t="str">
        <f>IF(J4828&lt;&gt;1,"",IF(I4828="SBJ","CB","?"))</f>
        <v> </v>
      </c>
      <c r="I4828" s="26" t="str">
        <f>IF(OR(E4828="",E4828="!!!",F4828="NEW"),"",INDEX(B4827:B$2,-1+SUMPRODUCT(MAX(ROW(E4827:E$2)*(E4828=E4827:E$2)))))</f>
        <v> </v>
      </c>
      <c r="J4828" s="26" t="str">
        <f>IF(OR(E4828="",E4828="!!!",F4828="NEW"),"",COUNTBLANK(OFFSET(A$1,,,SUMPRODUCT(MAX(ROW(E$2:E4828)*(E4828=E$2:E4828)))))-COUNTBLANK(OFFSET(A$1,,,SUMPRODUCT(MAX(ROW(E$1:E4827)*(E2=E$1:E4827))))))</f>
        <v> </v>
      </c>
      <c r="K4828" s="26" t="str">
        <f>IF(OR(E4828="",E4828="!!!",F4828="NEW"),"",INDEX(J$1:J4827,SUMPRODUCT(MAX(ROW(E$1:E4827)*(E4828=E$1:E4827)))))</f>
        <v> </v>
      </c>
      <c r="L4828" s="27"/>
    </row>
    <row r="4829" spans="1:12">
      <c r="A4829" s="20" t="s">
        <v>2787</v>
      </c>
      <c r="B4829" s="21" t="s">
        <v>1244</v>
      </c>
      <c r="C4829" s="21" t="s">
        <v>1269</v>
      </c>
      <c r="D4829" s="21" t="s">
        <v>1217</v>
      </c>
      <c r="E4829" s="22">
        <f>IF(D4829="?OLD","!!!","")</f>
        <v/>
      </c>
      <c r="F4829" s="23" t="str">
        <f>IF(OR(E4829="",E4829="!!!"),"",IF(NOT(ISNA(VLOOKUP(E4829,E$1:E4828,1,FALSE()))),"OLD",IF(AND(E4829&lt;&gt;"",E4829&lt;&gt;"!!!"),"NEW","")))</f>
        <v> </v>
      </c>
      <c r="G4829" s="24" t="str">
        <f>IF(OR(E4829="",E4829="!!!"),"",IF(OR(J4829=0,AND(J4829=1,K4829=1),AND(J4829=1,I4829="SBJ"),AND(J4829=1,I4829=0)),"?IN_FOCUS",IF(J4829&lt;=2,"?ACTIVATED",IF(J4829&lt;&gt;"","?FAMILIAR",IF(F4829="NEW",IF(ISNA(VLOOKUP(E4829,#REF!,1,FALSE())),"?TYPE_IDENTIFIABLE","?REFERENTIAL"),"_")))))</f>
        <v> </v>
      </c>
      <c r="H4829" s="25" t="str">
        <f>IF(J4829&lt;&gt;1,"",IF(I4829="SBJ","CB","?"))</f>
        <v> </v>
      </c>
      <c r="I4829" s="26" t="str">
        <f>IF(OR(E4829="",E4829="!!!",F4829="NEW"),"",INDEX(B4828:B$2,-1+SUMPRODUCT(MAX(ROW(E4828:E$2)*(E4829=E4828:E$2)))))</f>
        <v> </v>
      </c>
      <c r="J4829" s="26" t="str">
        <f>IF(OR(E4829="",E4829="!!!",F4829="NEW"),"",COUNTBLANK(OFFSET(A$1,,,SUMPRODUCT(MAX(ROW(E$2:E4829)*(E4829=E$2:E4829)))))-COUNTBLANK(OFFSET(A$1,,,SUMPRODUCT(MAX(ROW(E$1:E4828)*(E2=E$1:E4828))))))</f>
        <v> </v>
      </c>
      <c r="K4829" s="26" t="str">
        <f>IF(OR(E4829="",E4829="!!!",F4829="NEW"),"",INDEX(J$1:J4828,SUMPRODUCT(MAX(ROW(E$1:E4828)*(E4829=E$1:E4828)))))</f>
        <v> </v>
      </c>
      <c r="L4829" s="27"/>
    </row>
    <row r="4830" spans="1:12">
      <c r="A4830" s="20" t="s">
        <v>1358</v>
      </c>
      <c r="B4830" s="21" t="s">
        <v>1237</v>
      </c>
      <c r="E4830" s="22">
        <f>IF(D4830="?OLD","!!!","")</f>
        <v/>
      </c>
      <c r="F4830" s="23" t="str">
        <f>IF(OR(E4830="",E4830="!!!"),"",IF(NOT(ISNA(VLOOKUP(E4830,E$1:E4829,1,FALSE()))),"OLD",IF(AND(E4830&lt;&gt;"",E4830&lt;&gt;"!!!"),"NEW","")))</f>
        <v> </v>
      </c>
      <c r="G4830" s="24" t="str">
        <f>IF(OR(E4830="",E4830="!!!"),"",IF(OR(J4830=0,AND(J4830=1,K4830=1),AND(J4830=1,I4830="SBJ"),AND(J4830=1,I4830=0)),"?IN_FOCUS",IF(J4830&lt;=2,"?ACTIVATED",IF(J4830&lt;&gt;"","?FAMILIAR",IF(F4830="NEW",IF(ISNA(VLOOKUP(E4830,#REF!,1,FALSE())),"?TYPE_IDENTIFIABLE","?REFERENTIAL"),"_")))))</f>
        <v> </v>
      </c>
      <c r="H4830" s="25" t="str">
        <f>IF(J4830&lt;&gt;1,"",IF(I4830="SBJ","CB","?"))</f>
        <v> </v>
      </c>
      <c r="I4830" s="26" t="str">
        <f>IF(OR(E4830="",E4830="!!!",F4830="NEW"),"",INDEX(B4829:B$2,-1+SUMPRODUCT(MAX(ROW(E4829:E$2)*(E4830=E4829:E$2)))))</f>
        <v> </v>
      </c>
      <c r="J4830" s="26" t="str">
        <f>IF(OR(E4830="",E4830="!!!",F4830="NEW"),"",COUNTBLANK(OFFSET(A$1,,,SUMPRODUCT(MAX(ROW(E$2:E4830)*(E4830=E$2:E4830)))))-COUNTBLANK(OFFSET(A$1,,,SUMPRODUCT(MAX(ROW(E$1:E4829)*(E2=E$1:E4829))))))</f>
        <v> </v>
      </c>
      <c r="K4830" s="26" t="str">
        <f>IF(OR(E4830="",E4830="!!!",F4830="NEW"),"",INDEX(J$1:J4829,SUMPRODUCT(MAX(ROW(E$1:E4829)*(E4830=E$1:E4829)))))</f>
        <v> </v>
      </c>
      <c r="L4830" s="27"/>
    </row>
    <row r="4831" spans="1:12">
      <c r="A4831" s="20" t="s">
        <v>1551</v>
      </c>
      <c r="B4831" s="21" t="s">
        <v>1283</v>
      </c>
      <c r="C4831" s="21" t="s">
        <v>1255</v>
      </c>
      <c r="D4831" s="21" t="s">
        <v>1217</v>
      </c>
      <c r="E4831" s="22">
        <f>IF(D4831="?OLD","!!!","")</f>
        <v/>
      </c>
      <c r="F4831" s="23" t="str">
        <f>IF(OR(E4831="",E4831="!!!"),"",IF(NOT(ISNA(VLOOKUP(E4831,E$1:E4830,1,FALSE()))),"OLD",IF(AND(E4831&lt;&gt;"",E4831&lt;&gt;"!!!"),"NEW","")))</f>
        <v> </v>
      </c>
      <c r="G4831" s="24" t="str">
        <f>IF(OR(E4831="",E4831="!!!"),"",IF(OR(J4831=0,AND(J4831=1,K4831=1),AND(J4831=1,I4831="SBJ"),AND(J4831=1,I4831=0)),"?IN_FOCUS",IF(J4831&lt;=2,"?ACTIVATED",IF(J4831&lt;&gt;"","?FAMILIAR",IF(F4831="NEW",IF(ISNA(VLOOKUP(E4831,#REF!,1,FALSE())),"?TYPE_IDENTIFIABLE","?REFERENTIAL"),"_")))))</f>
        <v> </v>
      </c>
      <c r="H4831" s="25" t="str">
        <f>IF(J4831&lt;&gt;1,"",IF(I4831="SBJ","CB","?"))</f>
        <v> </v>
      </c>
      <c r="I4831" s="26" t="str">
        <f>IF(OR(E4831="",E4831="!!!",F4831="NEW"),"",INDEX(B4830:B$2,-1+SUMPRODUCT(MAX(ROW(E4830:E$2)*(E4831=E4830:E$2)))))</f>
        <v> </v>
      </c>
      <c r="J4831" s="26" t="str">
        <f>IF(OR(E4831="",E4831="!!!",F4831="NEW"),"",COUNTBLANK(OFFSET(A$1,,,SUMPRODUCT(MAX(ROW(E$2:E4831)*(E4831=E$2:E4831)))))-COUNTBLANK(OFFSET(A$1,,,SUMPRODUCT(MAX(ROW(E$1:E4830)*(E2=E$1:E4830))))))</f>
        <v> </v>
      </c>
      <c r="K4831" s="26" t="str">
        <f>IF(OR(E4831="",E4831="!!!",F4831="NEW"),"",INDEX(J$1:J4830,SUMPRODUCT(MAX(ROW(E$1:E4830)*(E4831=E$1:E4830)))))</f>
        <v> </v>
      </c>
      <c r="L4831" s="27"/>
    </row>
    <row r="4832" spans="1:12">
      <c r="A4832" s="20" t="s">
        <v>2788</v>
      </c>
      <c r="E4832" s="22">
        <f>IF(D4832="?OLD","!!!","")</f>
        <v/>
      </c>
      <c r="F4832" s="23" t="str">
        <f>IF(OR(E4832="",E4832="!!!"),"",IF(NOT(ISNA(VLOOKUP(E4832,E$1:E4831,1,FALSE()))),"OLD",IF(AND(E4832&lt;&gt;"",E4832&lt;&gt;"!!!"),"NEW","")))</f>
        <v> </v>
      </c>
      <c r="G4832" s="24" t="str">
        <f>IF(OR(E4832="",E4832="!!!"),"",IF(OR(J4832=0,AND(J4832=1,K4832=1),AND(J4832=1,I4832="SBJ"),AND(J4832=1,I4832=0)),"?IN_FOCUS",IF(J4832&lt;=2,"?ACTIVATED",IF(J4832&lt;&gt;"","?FAMILIAR",IF(F4832="NEW",IF(ISNA(VLOOKUP(E4832,#REF!,1,FALSE())),"?TYPE_IDENTIFIABLE","?REFERENTIAL"),"_")))))</f>
        <v> </v>
      </c>
      <c r="H4832" s="25" t="str">
        <f>IF(J4832&lt;&gt;1,"",IF(I4832="SBJ","CB","?"))</f>
        <v> </v>
      </c>
      <c r="I4832" s="26" t="str">
        <f>IF(OR(E4832="",E4832="!!!",F4832="NEW"),"",INDEX(B4831:B$2,-1+SUMPRODUCT(MAX(ROW(E4831:E$2)*(E4832=E4831:E$2)))))</f>
        <v> </v>
      </c>
      <c r="J4832" s="26" t="str">
        <f>IF(OR(E4832="",E4832="!!!",F4832="NEW"),"",COUNTBLANK(OFFSET(A$1,,,SUMPRODUCT(MAX(ROW(E$2:E4832)*(E4832=E$2:E4832)))))-COUNTBLANK(OFFSET(A$1,,,SUMPRODUCT(MAX(ROW(E$1:E4831)*(E2=E$1:E4831))))))</f>
        <v> </v>
      </c>
      <c r="K4832" s="26" t="str">
        <f>IF(OR(E4832="",E4832="!!!",F4832="NEW"),"",INDEX(J$1:J4831,SUMPRODUCT(MAX(ROW(E$1:E4831)*(E4832=E$1:E4831)))))</f>
        <v> </v>
      </c>
      <c r="L4832" s="27"/>
    </row>
    <row r="4833" spans="1:12">
      <c r="A4833" s="20" t="s">
        <v>1245</v>
      </c>
      <c r="E4833" s="22">
        <f>IF(D4833="?OLD","!!!","")</f>
        <v/>
      </c>
      <c r="F4833" s="23" t="str">
        <f>IF(OR(E4833="",E4833="!!!"),"",IF(NOT(ISNA(VLOOKUP(E4833,E$1:E4832,1,FALSE()))),"OLD",IF(AND(E4833&lt;&gt;"",E4833&lt;&gt;"!!!"),"NEW","")))</f>
        <v> </v>
      </c>
      <c r="G4833" s="24" t="str">
        <f>IF(OR(E4833="",E4833="!!!"),"",IF(OR(J4833=0,AND(J4833=1,K4833=1),AND(J4833=1,I4833="SBJ"),AND(J4833=1,I4833=0)),"?IN_FOCUS",IF(J4833&lt;=2,"?ACTIVATED",IF(J4833&lt;&gt;"","?FAMILIAR",IF(F4833="NEW",IF(ISNA(VLOOKUP(E4833,#REF!,1,FALSE())),"?TYPE_IDENTIFIABLE","?REFERENTIAL"),"_")))))</f>
        <v> </v>
      </c>
      <c r="H4833" s="25" t="str">
        <f>IF(J4833&lt;&gt;1,"",IF(I4833="SBJ","CB","?"))</f>
        <v> </v>
      </c>
      <c r="I4833" s="26" t="str">
        <f>IF(OR(E4833="",E4833="!!!",F4833="NEW"),"",INDEX(B4832:B$2,-1+SUMPRODUCT(MAX(ROW(E4832:E$2)*(E4833=E4832:E$2)))))</f>
        <v> </v>
      </c>
      <c r="J4833" s="26" t="str">
        <f>IF(OR(E4833="",E4833="!!!",F4833="NEW"),"",COUNTBLANK(OFFSET(A$1,,,SUMPRODUCT(MAX(ROW(E$2:E4833)*(E4833=E$2:E4833)))))-COUNTBLANK(OFFSET(A$1,,,SUMPRODUCT(MAX(ROW(E$1:E4832)*(E2=E$1:E4832))))))</f>
        <v> </v>
      </c>
      <c r="K4833" s="26" t="str">
        <f>IF(OR(E4833="",E4833="!!!",F4833="NEW"),"",INDEX(J$1:J4832,SUMPRODUCT(MAX(ROW(E$1:E4832)*(E4833=E$1:E4832)))))</f>
        <v> </v>
      </c>
      <c r="L4833" s="27"/>
    </row>
    <row r="4834" spans="1:12">
      <c r="A4834" s="20" t="s">
        <v>1327</v>
      </c>
      <c r="B4834" s="21" t="s">
        <v>1292</v>
      </c>
      <c r="C4834" s="21" t="s">
        <v>1255</v>
      </c>
      <c r="D4834" s="21" t="s">
        <v>1217</v>
      </c>
      <c r="E4834" s="22">
        <f>IF(D4834="?OLD","!!!","")</f>
        <v/>
      </c>
      <c r="F4834" s="23" t="str">
        <f>IF(OR(E4834="",E4834="!!!"),"",IF(NOT(ISNA(VLOOKUP(E4834,E$1:E4833,1,FALSE()))),"OLD",IF(AND(E4834&lt;&gt;"",E4834&lt;&gt;"!!!"),"NEW","")))</f>
        <v> </v>
      </c>
      <c r="G4834" s="24" t="str">
        <f>IF(OR(E4834="",E4834="!!!"),"",IF(OR(J4834=0,AND(J4834=1,K4834=1),AND(J4834=1,I4834="SBJ"),AND(J4834=1,I4834=0)),"?IN_FOCUS",IF(J4834&lt;=2,"?ACTIVATED",IF(J4834&lt;&gt;"","?FAMILIAR",IF(F4834="NEW",IF(ISNA(VLOOKUP(E4834,#REF!,1,FALSE())),"?TYPE_IDENTIFIABLE","?REFERENTIAL"),"_")))))</f>
        <v> </v>
      </c>
      <c r="H4834" s="25" t="str">
        <f>IF(J4834&lt;&gt;1,"",IF(I4834="SBJ","CB","?"))</f>
        <v> </v>
      </c>
      <c r="I4834" s="26" t="str">
        <f>IF(OR(E4834="",E4834="!!!",F4834="NEW"),"",INDEX(B4833:B$2,-1+SUMPRODUCT(MAX(ROW(E4833:E$2)*(E4834=E4833:E$2)))))</f>
        <v> </v>
      </c>
      <c r="J4834" s="26" t="str">
        <f>IF(OR(E4834="",E4834="!!!",F4834="NEW"),"",COUNTBLANK(OFFSET(A$1,,,SUMPRODUCT(MAX(ROW(E$2:E4834)*(E4834=E$2:E4834)))))-COUNTBLANK(OFFSET(A$1,,,SUMPRODUCT(MAX(ROW(E$1:E4833)*(E2=E$1:E4833))))))</f>
        <v> </v>
      </c>
      <c r="K4834" s="26" t="str">
        <f>IF(OR(E4834="",E4834="!!!",F4834="NEW"),"",INDEX(J$1:J4833,SUMPRODUCT(MAX(ROW(E$1:E4833)*(E4834=E$1:E4833)))))</f>
        <v> </v>
      </c>
      <c r="L4834" s="27"/>
    </row>
    <row r="4835" spans="1:12">
      <c r="A4835" s="20" t="s">
        <v>2789</v>
      </c>
      <c r="E4835" s="22">
        <f>IF(D4835="?OLD","!!!","")</f>
        <v/>
      </c>
      <c r="F4835" s="23" t="str">
        <f>IF(OR(E4835="",E4835="!!!"),"",IF(NOT(ISNA(VLOOKUP(E4835,E$1:E4834,1,FALSE()))),"OLD",IF(AND(E4835&lt;&gt;"",E4835&lt;&gt;"!!!"),"NEW","")))</f>
        <v> </v>
      </c>
      <c r="G4835" s="24" t="str">
        <f>IF(OR(E4835="",E4835="!!!"),"",IF(OR(J4835=0,AND(J4835=1,K4835=1),AND(J4835=1,I4835="SBJ"),AND(J4835=1,I4835=0)),"?IN_FOCUS",IF(J4835&lt;=2,"?ACTIVATED",IF(J4835&lt;&gt;"","?FAMILIAR",IF(F4835="NEW",IF(ISNA(VLOOKUP(E4835,#REF!,1,FALSE())),"?TYPE_IDENTIFIABLE","?REFERENTIAL"),"_")))))</f>
        <v> </v>
      </c>
      <c r="H4835" s="25" t="str">
        <f>IF(J4835&lt;&gt;1,"",IF(I4835="SBJ","CB","?"))</f>
        <v> </v>
      </c>
      <c r="I4835" s="26" t="str">
        <f>IF(OR(E4835="",E4835="!!!",F4835="NEW"),"",INDEX(B4834:B$2,-1+SUMPRODUCT(MAX(ROW(E4834:E$2)*(E4835=E4834:E$2)))))</f>
        <v> </v>
      </c>
      <c r="J4835" s="26" t="str">
        <f>IF(OR(E4835="",E4835="!!!",F4835="NEW"),"",COUNTBLANK(OFFSET(A$1,,,SUMPRODUCT(MAX(ROW(E$2:E4835)*(E4835=E$2:E4835)))))-COUNTBLANK(OFFSET(A$1,,,SUMPRODUCT(MAX(ROW(E$1:E4834)*(E2=E$1:E4834))))))</f>
        <v> </v>
      </c>
      <c r="K4835" s="26" t="str">
        <f>IF(OR(E4835="",E4835="!!!",F4835="NEW"),"",INDEX(J$1:J4834,SUMPRODUCT(MAX(ROW(E$1:E4834)*(E4835=E$1:E4834)))))</f>
        <v> </v>
      </c>
      <c r="L4835" s="27"/>
    </row>
    <row r="4836" spans="1:12">
      <c r="A4836" s="20" t="s">
        <v>1336</v>
      </c>
      <c r="E4836" s="22">
        <f>IF(D4836="?OLD","!!!","")</f>
        <v/>
      </c>
      <c r="F4836" s="23" t="str">
        <f>IF(OR(E4836="",E4836="!!!"),"",IF(NOT(ISNA(VLOOKUP(E4836,E$1:E4835,1,FALSE()))),"OLD",IF(AND(E4836&lt;&gt;"",E4836&lt;&gt;"!!!"),"NEW","")))</f>
        <v> </v>
      </c>
      <c r="G4836" s="24" t="str">
        <f>IF(OR(E4836="",E4836="!!!"),"",IF(OR(J4836=0,AND(J4836=1,K4836=1),AND(J4836=1,I4836="SBJ"),AND(J4836=1,I4836=0)),"?IN_FOCUS",IF(J4836&lt;=2,"?ACTIVATED",IF(J4836&lt;&gt;"","?FAMILIAR",IF(F4836="NEW",IF(ISNA(VLOOKUP(E4836,#REF!,1,FALSE())),"?TYPE_IDENTIFIABLE","?REFERENTIAL"),"_")))))</f>
        <v> </v>
      </c>
      <c r="H4836" s="25" t="str">
        <f>IF(J4836&lt;&gt;1,"",IF(I4836="SBJ","CB","?"))</f>
        <v> </v>
      </c>
      <c r="I4836" s="26" t="str">
        <f>IF(OR(E4836="",E4836="!!!",F4836="NEW"),"",INDEX(B4835:B$2,-1+SUMPRODUCT(MAX(ROW(E4835:E$2)*(E4836=E4835:E$2)))))</f>
        <v> </v>
      </c>
      <c r="J4836" s="26" t="str">
        <f>IF(OR(E4836="",E4836="!!!",F4836="NEW"),"",COUNTBLANK(OFFSET(A$1,,,SUMPRODUCT(MAX(ROW(E$2:E4836)*(E4836=E$2:E4836)))))-COUNTBLANK(OFFSET(A$1,,,SUMPRODUCT(MAX(ROW(E$1:E4835)*(E2=E$1:E4835))))))</f>
        <v> </v>
      </c>
      <c r="K4836" s="26" t="str">
        <f>IF(OR(E4836="",E4836="!!!",F4836="NEW"),"",INDEX(J$1:J4835,SUMPRODUCT(MAX(ROW(E$1:E4835)*(E4836=E$1:E4835)))))</f>
        <v> </v>
      </c>
      <c r="L4836" s="27"/>
    </row>
    <row r="4837" spans="1:12">
      <c r="A4837" s="20" t="s">
        <v>1219</v>
      </c>
      <c r="E4837" s="22">
        <f>IF(D4837="?OLD","!!!","")</f>
        <v/>
      </c>
      <c r="F4837" s="23" t="str">
        <f>IF(OR(E4837="",E4837="!!!"),"",IF(NOT(ISNA(VLOOKUP(E4837,E$1:E4836,1,FALSE()))),"OLD",IF(AND(E4837&lt;&gt;"",E4837&lt;&gt;"!!!"),"NEW","")))</f>
        <v> </v>
      </c>
      <c r="G4837" s="24" t="str">
        <f>IF(OR(E4837="",E4837="!!!"),"",IF(OR(J4837=0,AND(J4837=1,K4837=1),AND(J4837=1,I4837="SBJ"),AND(J4837=1,I4837=0)),"?IN_FOCUS",IF(J4837&lt;=2,"?ACTIVATED",IF(J4837&lt;&gt;"","?FAMILIAR",IF(F4837="NEW",IF(ISNA(VLOOKUP(E4837,#REF!,1,FALSE())),"?TYPE_IDENTIFIABLE","?REFERENTIAL"),"_")))))</f>
        <v> </v>
      </c>
      <c r="H4837" s="25" t="str">
        <f>IF(J4837&lt;&gt;1,"",IF(I4837="SBJ","CB","?"))</f>
        <v> </v>
      </c>
      <c r="I4837" s="26" t="str">
        <f>IF(OR(E4837="",E4837="!!!",F4837="NEW"),"",INDEX(B4836:B$2,-1+SUMPRODUCT(MAX(ROW(E4836:E$2)*(E4837=E4836:E$2)))))</f>
        <v> </v>
      </c>
      <c r="J4837" s="26" t="str">
        <f>IF(OR(E4837="",E4837="!!!",F4837="NEW"),"",COUNTBLANK(OFFSET(A$1,,,SUMPRODUCT(MAX(ROW(E$2:E4837)*(E4837=E$2:E4837)))))-COUNTBLANK(OFFSET(A$1,,,SUMPRODUCT(MAX(ROW(E$1:E4836)*(E2=E$1:E4836))))))</f>
        <v> </v>
      </c>
      <c r="K4837" s="26" t="str">
        <f>IF(OR(E4837="",E4837="!!!",F4837="NEW"),"",INDEX(J$1:J4836,SUMPRODUCT(MAX(ROW(E$1:E4836)*(E4837=E$1:E4836)))))</f>
        <v> </v>
      </c>
      <c r="L4837" s="27"/>
    </row>
    <row r="4838" spans="1:12">
      <c r="A4838" s="20" t="s">
        <v>2212</v>
      </c>
      <c r="B4838" s="21" t="s">
        <v>1226</v>
      </c>
      <c r="C4838" s="21" t="s">
        <v>1269</v>
      </c>
      <c r="D4838" s="21" t="s">
        <v>1217</v>
      </c>
      <c r="E4838" s="22">
        <f>IF(D4838="?OLD","!!!","")</f>
        <v/>
      </c>
      <c r="F4838" s="23" t="str">
        <f>IF(OR(E4838="",E4838="!!!"),"",IF(NOT(ISNA(VLOOKUP(E4838,E$1:E4837,1,FALSE()))),"OLD",IF(AND(E4838&lt;&gt;"",E4838&lt;&gt;"!!!"),"NEW","")))</f>
        <v> </v>
      </c>
      <c r="G4838" s="24" t="str">
        <f>IF(OR(E4838="",E4838="!!!"),"",IF(OR(J4838=0,AND(J4838=1,K4838=1),AND(J4838=1,I4838="SBJ"),AND(J4838=1,I4838=0)),"?IN_FOCUS",IF(J4838&lt;=2,"?ACTIVATED",IF(J4838&lt;&gt;"","?FAMILIAR",IF(F4838="NEW",IF(ISNA(VLOOKUP(E4838,#REF!,1,FALSE())),"?TYPE_IDENTIFIABLE","?REFERENTIAL"),"_")))))</f>
        <v> </v>
      </c>
      <c r="H4838" s="25" t="str">
        <f>IF(J4838&lt;&gt;1,"",IF(I4838="SBJ","CB","?"))</f>
        <v> </v>
      </c>
      <c r="I4838" s="26" t="str">
        <f>IF(OR(E4838="",E4838="!!!",F4838="NEW"),"",INDEX(B4837:B$2,-1+SUMPRODUCT(MAX(ROW(E4837:E$2)*(E4838=E4837:E$2)))))</f>
        <v> </v>
      </c>
      <c r="J4838" s="26" t="str">
        <f>IF(OR(E4838="",E4838="!!!",F4838="NEW"),"",COUNTBLANK(OFFSET(A$1,,,SUMPRODUCT(MAX(ROW(E$2:E4838)*(E4838=E$2:E4838)))))-COUNTBLANK(OFFSET(A$1,,,SUMPRODUCT(MAX(ROW(E$1:E4837)*(E2=E$1:E4837))))))</f>
        <v> </v>
      </c>
      <c r="K4838" s="26" t="str">
        <f>IF(OR(E4838="",E4838="!!!",F4838="NEW"),"",INDEX(J$1:J4837,SUMPRODUCT(MAX(ROW(E$1:E4837)*(E4838=E$1:E4837)))))</f>
        <v> </v>
      </c>
      <c r="L4838" s="27"/>
    </row>
    <row r="4839" spans="1:12">
      <c r="A4839" s="20" t="s">
        <v>1218</v>
      </c>
      <c r="E4839" s="22">
        <f>IF(D4839="?OLD","!!!","")</f>
        <v/>
      </c>
      <c r="F4839" s="23" t="str">
        <f>IF(OR(E4839="",E4839="!!!"),"",IF(NOT(ISNA(VLOOKUP(E4839,E$1:E4838,1,FALSE()))),"OLD",IF(AND(E4839&lt;&gt;"",E4839&lt;&gt;"!!!"),"NEW","")))</f>
        <v> </v>
      </c>
      <c r="G4839" s="24" t="str">
        <f>IF(OR(E4839="",E4839="!!!"),"",IF(OR(J4839=0,AND(J4839=1,K4839=1),AND(J4839=1,I4839="SBJ"),AND(J4839=1,I4839=0)),"?IN_FOCUS",IF(J4839&lt;=2,"?ACTIVATED",IF(J4839&lt;&gt;"","?FAMILIAR",IF(F4839="NEW",IF(ISNA(VLOOKUP(E4839,#REF!,1,FALSE())),"?TYPE_IDENTIFIABLE","?REFERENTIAL"),"_")))))</f>
        <v> </v>
      </c>
      <c r="H4839" s="25" t="str">
        <f>IF(J4839&lt;&gt;1,"",IF(I4839="SBJ","CB","?"))</f>
        <v> </v>
      </c>
      <c r="I4839" s="26" t="str">
        <f>IF(OR(E4839="",E4839="!!!",F4839="NEW"),"",INDEX(B4838:B$2,-1+SUMPRODUCT(MAX(ROW(E4838:E$2)*(E4839=E4838:E$2)))))</f>
        <v> </v>
      </c>
      <c r="J4839" s="26" t="str">
        <f>IF(OR(E4839="",E4839="!!!",F4839="NEW"),"",COUNTBLANK(OFFSET(A$1,,,SUMPRODUCT(MAX(ROW(E$2:E4839)*(E4839=E$2:E4839)))))-COUNTBLANK(OFFSET(A$1,,,SUMPRODUCT(MAX(ROW(E$1:E4838)*(E2=E$1:E4838))))))</f>
        <v> </v>
      </c>
      <c r="K4839" s="26" t="str">
        <f>IF(OR(E4839="",E4839="!!!",F4839="NEW"),"",INDEX(J$1:J4838,SUMPRODUCT(MAX(ROW(E$1:E4838)*(E4839=E$1:E4838)))))</f>
        <v> </v>
      </c>
      <c r="L4839" s="27"/>
    </row>
    <row r="4840" spans="1:12">
      <c r="A4840" s="20" t="s">
        <v>1266</v>
      </c>
      <c r="E4840" s="22">
        <f>IF(D4840="?OLD","!!!","")</f>
        <v/>
      </c>
      <c r="F4840" s="23" t="str">
        <f>IF(OR(E4840="",E4840="!!!"),"",IF(NOT(ISNA(VLOOKUP(E4840,E$1:E4839,1,FALSE()))),"OLD",IF(AND(E4840&lt;&gt;"",E4840&lt;&gt;"!!!"),"NEW","")))</f>
        <v> </v>
      </c>
      <c r="G4840" s="24" t="str">
        <f>IF(OR(E4840="",E4840="!!!"),"",IF(OR(J4840=0,AND(J4840=1,K4840=1),AND(J4840=1,I4840="SBJ"),AND(J4840=1,I4840=0)),"?IN_FOCUS",IF(J4840&lt;=2,"?ACTIVATED",IF(J4840&lt;&gt;"","?FAMILIAR",IF(F4840="NEW",IF(ISNA(VLOOKUP(E4840,#REF!,1,FALSE())),"?TYPE_IDENTIFIABLE","?REFERENTIAL"),"_")))))</f>
        <v> </v>
      </c>
      <c r="H4840" s="25" t="str">
        <f>IF(J4840&lt;&gt;1,"",IF(I4840="SBJ","CB","?"))</f>
        <v> </v>
      </c>
      <c r="I4840" s="26" t="str">
        <f>IF(OR(E4840="",E4840="!!!",F4840="NEW"),"",INDEX(B4839:B$2,-1+SUMPRODUCT(MAX(ROW(E4839:E$2)*(E4840=E4839:E$2)))))</f>
        <v> </v>
      </c>
      <c r="J4840" s="26" t="str">
        <f>IF(OR(E4840="",E4840="!!!",F4840="NEW"),"",COUNTBLANK(OFFSET(A$1,,,SUMPRODUCT(MAX(ROW(E$2:E4840)*(E4840=E$2:E4840)))))-COUNTBLANK(OFFSET(A$1,,,SUMPRODUCT(MAX(ROW(E$1:E4839)*(E2=E$1:E4839))))))</f>
        <v> </v>
      </c>
      <c r="K4840" s="26" t="str">
        <f>IF(OR(E4840="",E4840="!!!",F4840="NEW"),"",INDEX(J$1:J4839,SUMPRODUCT(MAX(ROW(E$1:E4839)*(E4840=E$1:E4839)))))</f>
        <v> </v>
      </c>
      <c r="L4840" s="27"/>
    </row>
    <row r="4841" spans="1:12">
      <c r="A4841" s="20" t="s">
        <v>1711</v>
      </c>
      <c r="B4841" s="21" t="s">
        <v>1261</v>
      </c>
      <c r="C4841" s="21" t="s">
        <v>1269</v>
      </c>
      <c r="D4841" s="21" t="s">
        <v>1217</v>
      </c>
      <c r="E4841" s="22">
        <f>IF(D4841="?OLD","!!!","")</f>
        <v/>
      </c>
      <c r="F4841" s="23" t="str">
        <f>IF(OR(E4841="",E4841="!!!"),"",IF(NOT(ISNA(VLOOKUP(E4841,E$1:E4840,1,FALSE()))),"OLD",IF(AND(E4841&lt;&gt;"",E4841&lt;&gt;"!!!"),"NEW","")))</f>
        <v> </v>
      </c>
      <c r="G4841" s="24" t="str">
        <f>IF(OR(E4841="",E4841="!!!"),"",IF(OR(J4841=0,AND(J4841=1,K4841=1),AND(J4841=1,I4841="SBJ"),AND(J4841=1,I4841=0)),"?IN_FOCUS",IF(J4841&lt;=2,"?ACTIVATED",IF(J4841&lt;&gt;"","?FAMILIAR",IF(F4841="NEW",IF(ISNA(VLOOKUP(E4841,#REF!,1,FALSE())),"?TYPE_IDENTIFIABLE","?REFERENTIAL"),"_")))))</f>
        <v> </v>
      </c>
      <c r="H4841" s="25" t="str">
        <f>IF(J4841&lt;&gt;1,"",IF(I4841="SBJ","CB","?"))</f>
        <v> </v>
      </c>
      <c r="I4841" s="26" t="str">
        <f>IF(OR(E4841="",E4841="!!!",F4841="NEW"),"",INDEX(B4840:B$2,-1+SUMPRODUCT(MAX(ROW(E4840:E$2)*(E4841=E4840:E$2)))))</f>
        <v> </v>
      </c>
      <c r="J4841" s="26" t="str">
        <f>IF(OR(E4841="",E4841="!!!",F4841="NEW"),"",COUNTBLANK(OFFSET(A$1,,,SUMPRODUCT(MAX(ROW(E$2:E4841)*(E4841=E$2:E4841)))))-COUNTBLANK(OFFSET(A$1,,,SUMPRODUCT(MAX(ROW(E$1:E4840)*(E2=E$1:E4840))))))</f>
        <v> </v>
      </c>
      <c r="K4841" s="26" t="str">
        <f>IF(OR(E4841="",E4841="!!!",F4841="NEW"),"",INDEX(J$1:J4840,SUMPRODUCT(MAX(ROW(E$1:E4840)*(E4841=E$1:E4840)))))</f>
        <v> </v>
      </c>
      <c r="L4841" s="27"/>
    </row>
    <row r="4842" spans="1:12">
      <c r="A4842" s="20" t="s">
        <v>1277</v>
      </c>
      <c r="E4842" s="22">
        <f>IF(D4842="?OLD","!!!","")</f>
        <v/>
      </c>
      <c r="F4842" s="23" t="str">
        <f>IF(OR(E4842="",E4842="!!!"),"",IF(NOT(ISNA(VLOOKUP(E4842,E$1:E4841,1,FALSE()))),"OLD",IF(AND(E4842&lt;&gt;"",E4842&lt;&gt;"!!!"),"NEW","")))</f>
        <v> </v>
      </c>
      <c r="G4842" s="24" t="str">
        <f>IF(OR(E4842="",E4842="!!!"),"",IF(OR(J4842=0,AND(J4842=1,K4842=1),AND(J4842=1,I4842="SBJ"),AND(J4842=1,I4842=0)),"?IN_FOCUS",IF(J4842&lt;=2,"?ACTIVATED",IF(J4842&lt;&gt;"","?FAMILIAR",IF(F4842="NEW",IF(ISNA(VLOOKUP(E4842,#REF!,1,FALSE())),"?TYPE_IDENTIFIABLE","?REFERENTIAL"),"_")))))</f>
        <v> </v>
      </c>
      <c r="H4842" s="25" t="str">
        <f>IF(J4842&lt;&gt;1,"",IF(I4842="SBJ","CB","?"))</f>
        <v> </v>
      </c>
      <c r="I4842" s="26" t="str">
        <f>IF(OR(E4842="",E4842="!!!",F4842="NEW"),"",INDEX(B4841:B$2,-1+SUMPRODUCT(MAX(ROW(E4841:E$2)*(E4842=E4841:E$2)))))</f>
        <v> </v>
      </c>
      <c r="J4842" s="26" t="str">
        <f>IF(OR(E4842="",E4842="!!!",F4842="NEW"),"",COUNTBLANK(OFFSET(A$1,,,SUMPRODUCT(MAX(ROW(E$2:E4842)*(E4842=E$2:E4842)))))-COUNTBLANK(OFFSET(A$1,,,SUMPRODUCT(MAX(ROW(E$1:E4841)*(E2=E$1:E4841))))))</f>
        <v> </v>
      </c>
      <c r="K4842" s="26" t="str">
        <f>IF(OR(E4842="",E4842="!!!",F4842="NEW"),"",INDEX(J$1:J4841,SUMPRODUCT(MAX(ROW(E$1:E4841)*(E4842=E$1:E4841)))))</f>
        <v> </v>
      </c>
      <c r="L4842" s="27"/>
    </row>
    <row r="4843" spans="1:12">
      <c r="A4843" s="20" t="s">
        <v>2790</v>
      </c>
      <c r="E4843" s="22">
        <f>IF(D4843="?OLD","!!!","")</f>
        <v/>
      </c>
      <c r="F4843" s="23" t="str">
        <f>IF(OR(E4843="",E4843="!!!"),"",IF(NOT(ISNA(VLOOKUP(E4843,E$1:E4842,1,FALSE()))),"OLD",IF(AND(E4843&lt;&gt;"",E4843&lt;&gt;"!!!"),"NEW","")))</f>
        <v> </v>
      </c>
      <c r="G4843" s="24" t="str">
        <f>IF(OR(E4843="",E4843="!!!"),"",IF(OR(J4843=0,AND(J4843=1,K4843=1),AND(J4843=1,I4843="SBJ"),AND(J4843=1,I4843=0)),"?IN_FOCUS",IF(J4843&lt;=2,"?ACTIVATED",IF(J4843&lt;&gt;"","?FAMILIAR",IF(F4843="NEW",IF(ISNA(VLOOKUP(E4843,#REF!,1,FALSE())),"?TYPE_IDENTIFIABLE","?REFERENTIAL"),"_")))))</f>
        <v> </v>
      </c>
      <c r="H4843" s="25" t="str">
        <f>IF(J4843&lt;&gt;1,"",IF(I4843="SBJ","CB","?"))</f>
        <v> </v>
      </c>
      <c r="I4843" s="26" t="str">
        <f>IF(OR(E4843="",E4843="!!!",F4843="NEW"),"",INDEX(B4842:B$2,-1+SUMPRODUCT(MAX(ROW(E4842:E$2)*(E4843=E4842:E$2)))))</f>
        <v> </v>
      </c>
      <c r="J4843" s="26" t="str">
        <f>IF(OR(E4843="",E4843="!!!",F4843="NEW"),"",COUNTBLANK(OFFSET(A$1,,,SUMPRODUCT(MAX(ROW(E$2:E4843)*(E4843=E$2:E4843)))))-COUNTBLANK(OFFSET(A$1,,,SUMPRODUCT(MAX(ROW(E$1:E4842)*(E2=E$1:E4842))))))</f>
        <v> </v>
      </c>
      <c r="K4843" s="26" t="str">
        <f>IF(OR(E4843="",E4843="!!!",F4843="NEW"),"",INDEX(J$1:J4842,SUMPRODUCT(MAX(ROW(E$1:E4842)*(E4843=E$1:E4842)))))</f>
        <v> </v>
      </c>
      <c r="L4843" s="27"/>
    </row>
    <row r="4844" spans="1:12">
      <c r="A4844" s="20" t="s">
        <v>1273</v>
      </c>
      <c r="E4844" s="22">
        <f>IF(D4844="?OLD","!!!","")</f>
        <v/>
      </c>
      <c r="F4844" s="23" t="str">
        <f>IF(OR(E4844="",E4844="!!!"),"",IF(NOT(ISNA(VLOOKUP(E4844,E$1:E4843,1,FALSE()))),"OLD",IF(AND(E4844&lt;&gt;"",E4844&lt;&gt;"!!!"),"NEW","")))</f>
        <v> </v>
      </c>
      <c r="G4844" s="24" t="str">
        <f>IF(OR(E4844="",E4844="!!!"),"",IF(OR(J4844=0,AND(J4844=1,K4844=1),AND(J4844=1,I4844="SBJ"),AND(J4844=1,I4844=0)),"?IN_FOCUS",IF(J4844&lt;=2,"?ACTIVATED",IF(J4844&lt;&gt;"","?FAMILIAR",IF(F4844="NEW",IF(ISNA(VLOOKUP(E4844,#REF!,1,FALSE())),"?TYPE_IDENTIFIABLE","?REFERENTIAL"),"_")))))</f>
        <v> </v>
      </c>
      <c r="H4844" s="25" t="str">
        <f>IF(J4844&lt;&gt;1,"",IF(I4844="SBJ","CB","?"))</f>
        <v> </v>
      </c>
      <c r="I4844" s="26" t="str">
        <f>IF(OR(E4844="",E4844="!!!",F4844="NEW"),"",INDEX(B4843:B$2,-1+SUMPRODUCT(MAX(ROW(E4843:E$2)*(E4844=E4843:E$2)))))</f>
        <v> </v>
      </c>
      <c r="J4844" s="26" t="str">
        <f>IF(OR(E4844="",E4844="!!!",F4844="NEW"),"",COUNTBLANK(OFFSET(A$1,,,SUMPRODUCT(MAX(ROW(E$2:E4844)*(E4844=E$2:E4844)))))-COUNTBLANK(OFFSET(A$1,,,SUMPRODUCT(MAX(ROW(E$1:E4843)*(E2=E$1:E4843))))))</f>
        <v> </v>
      </c>
      <c r="K4844" s="26" t="str">
        <f>IF(OR(E4844="",E4844="!!!",F4844="NEW"),"",INDEX(J$1:J4843,SUMPRODUCT(MAX(ROW(E$1:E4843)*(E4844=E$1:E4843)))))</f>
        <v> </v>
      </c>
      <c r="L4844" s="27"/>
    </row>
    <row r="4845" spans="1:12">
      <c r="A4845" s="20" t="s">
        <v>865</v>
      </c>
      <c r="B4845" s="21" t="s">
        <v>1229</v>
      </c>
      <c r="C4845" s="21" t="s">
        <v>1276</v>
      </c>
      <c r="D4845" s="21" t="s">
        <v>1217</v>
      </c>
      <c r="E4845" s="22">
        <f>IF(D4845="?OLD","!!!","")</f>
        <v/>
      </c>
      <c r="F4845" s="23" t="str">
        <f>IF(OR(E4845="",E4845="!!!"),"",IF(NOT(ISNA(VLOOKUP(E4845,E$1:E4844,1,FALSE()))),"OLD",IF(AND(E4845&lt;&gt;"",E4845&lt;&gt;"!!!"),"NEW","")))</f>
        <v> </v>
      </c>
      <c r="G4845" s="24" t="str">
        <f>IF(OR(E4845="",E4845="!!!"),"",IF(OR(J4845=0,AND(J4845=1,K4845=1),AND(J4845=1,I4845="SBJ"),AND(J4845=1,I4845=0)),"?IN_FOCUS",IF(J4845&lt;=2,"?ACTIVATED",IF(J4845&lt;&gt;"","?FAMILIAR",IF(F4845="NEW",IF(ISNA(VLOOKUP(E4845,#REF!,1,FALSE())),"?TYPE_IDENTIFIABLE","?REFERENTIAL"),"_")))))</f>
        <v> </v>
      </c>
      <c r="H4845" s="25" t="str">
        <f>IF(J4845&lt;&gt;1,"",IF(I4845="SBJ","CB","?"))</f>
        <v> </v>
      </c>
      <c r="I4845" s="26" t="str">
        <f>IF(OR(E4845="",E4845="!!!",F4845="NEW"),"",INDEX(B4844:B$2,-1+SUMPRODUCT(MAX(ROW(E4844:E$2)*(E4845=E4844:E$2)))))</f>
        <v> </v>
      </c>
      <c r="J4845" s="26" t="str">
        <f>IF(OR(E4845="",E4845="!!!",F4845="NEW"),"",COUNTBLANK(OFFSET(A$1,,,SUMPRODUCT(MAX(ROW(E$2:E4845)*(E4845=E$2:E4845)))))-COUNTBLANK(OFFSET(A$1,,,SUMPRODUCT(MAX(ROW(E$1:E4844)*(E2=E$1:E4844))))))</f>
        <v> </v>
      </c>
      <c r="K4845" s="26" t="str">
        <f>IF(OR(E4845="",E4845="!!!",F4845="NEW"),"",INDEX(J$1:J4844,SUMPRODUCT(MAX(ROW(E$1:E4844)*(E4845=E$1:E4844)))))</f>
        <v> </v>
      </c>
      <c r="L4845" s="27"/>
    </row>
    <row r="4846" spans="1:12">
      <c r="A4846" s="20" t="s">
        <v>1348</v>
      </c>
      <c r="E4846" s="22">
        <f>IF(D4846="?OLD","!!!","")</f>
        <v/>
      </c>
      <c r="F4846" s="23" t="str">
        <f>IF(OR(E4846="",E4846="!!!"),"",IF(NOT(ISNA(VLOOKUP(E4846,E$1:E4845,1,FALSE()))),"OLD",IF(AND(E4846&lt;&gt;"",E4846&lt;&gt;"!!!"),"NEW","")))</f>
        <v> </v>
      </c>
      <c r="G4846" s="24" t="str">
        <f>IF(OR(E4846="",E4846="!!!"),"",IF(OR(J4846=0,AND(J4846=1,K4846=1),AND(J4846=1,I4846="SBJ"),AND(J4846=1,I4846=0)),"?IN_FOCUS",IF(J4846&lt;=2,"?ACTIVATED",IF(J4846&lt;&gt;"","?FAMILIAR",IF(F4846="NEW",IF(ISNA(VLOOKUP(E4846,#REF!,1,FALSE())),"?TYPE_IDENTIFIABLE","?REFERENTIAL"),"_")))))</f>
        <v> </v>
      </c>
      <c r="H4846" s="25" t="str">
        <f>IF(J4846&lt;&gt;1,"",IF(I4846="SBJ","CB","?"))</f>
        <v> </v>
      </c>
      <c r="I4846" s="26" t="str">
        <f>IF(OR(E4846="",E4846="!!!",F4846="NEW"),"",INDEX(B4845:B$2,-1+SUMPRODUCT(MAX(ROW(E4845:E$2)*(E4846=E4845:E$2)))))</f>
        <v> </v>
      </c>
      <c r="J4846" s="26" t="str">
        <f>IF(OR(E4846="",E4846="!!!",F4846="NEW"),"",COUNTBLANK(OFFSET(A$1,,,SUMPRODUCT(MAX(ROW(E$2:E4846)*(E4846=E$2:E4846)))))-COUNTBLANK(OFFSET(A$1,,,SUMPRODUCT(MAX(ROW(E$1:E4845)*(E2=E$1:E4845))))))</f>
        <v> </v>
      </c>
      <c r="K4846" s="26" t="str">
        <f>IF(OR(E4846="",E4846="!!!",F4846="NEW"),"",INDEX(J$1:J4845,SUMPRODUCT(MAX(ROW(E$1:E4845)*(E4846=E$1:E4845)))))</f>
        <v> </v>
      </c>
      <c r="L4846" s="27"/>
    </row>
    <row r="4847" spans="1:12">
      <c r="A4847" s="20" t="s">
        <v>1317</v>
      </c>
      <c r="E4847" s="22">
        <f>IF(D4847="?OLD","!!!","")</f>
        <v/>
      </c>
      <c r="F4847" s="23" t="str">
        <f>IF(OR(E4847="",E4847="!!!"),"",IF(NOT(ISNA(VLOOKUP(E4847,E$1:E4846,1,FALSE()))),"OLD",IF(AND(E4847&lt;&gt;"",E4847&lt;&gt;"!!!"),"NEW","")))</f>
        <v> </v>
      </c>
      <c r="G4847" s="24" t="str">
        <f>IF(OR(E4847="",E4847="!!!"),"",IF(OR(J4847=0,AND(J4847=1,K4847=1),AND(J4847=1,I4847="SBJ"),AND(J4847=1,I4847=0)),"?IN_FOCUS",IF(J4847&lt;=2,"?ACTIVATED",IF(J4847&lt;&gt;"","?FAMILIAR",IF(F4847="NEW",IF(ISNA(VLOOKUP(E4847,#REF!,1,FALSE())),"?TYPE_IDENTIFIABLE","?REFERENTIAL"),"_")))))</f>
        <v> </v>
      </c>
      <c r="H4847" s="25" t="str">
        <f>IF(J4847&lt;&gt;1,"",IF(I4847="SBJ","CB","?"))</f>
        <v> </v>
      </c>
      <c r="I4847" s="26" t="str">
        <f>IF(OR(E4847="",E4847="!!!",F4847="NEW"),"",INDEX(B4846:B$2,-1+SUMPRODUCT(MAX(ROW(E4846:E$2)*(E4847=E4846:E$2)))))</f>
        <v> </v>
      </c>
      <c r="J4847" s="26" t="str">
        <f>IF(OR(E4847="",E4847="!!!",F4847="NEW"),"",COUNTBLANK(OFFSET(A$1,,,SUMPRODUCT(MAX(ROW(E$2:E4847)*(E4847=E$2:E4847)))))-COUNTBLANK(OFFSET(A$1,,,SUMPRODUCT(MAX(ROW(E$1:E4846)*(E2=E$1:E4846))))))</f>
        <v> </v>
      </c>
      <c r="K4847" s="26" t="str">
        <f>IF(OR(E4847="",E4847="!!!",F4847="NEW"),"",INDEX(J$1:J4846,SUMPRODUCT(MAX(ROW(E$1:E4846)*(E4847=E$1:E4846)))))</f>
        <v> </v>
      </c>
      <c r="L4847" s="27"/>
    </row>
    <row r="4848" spans="1:12">
      <c r="A4848" s="20" t="s">
        <v>1262</v>
      </c>
      <c r="E4848" s="22">
        <f>IF(D4848="?OLD","!!!","")</f>
        <v/>
      </c>
      <c r="F4848" s="23" t="str">
        <f>IF(OR(E4848="",E4848="!!!"),"",IF(NOT(ISNA(VLOOKUP(E4848,E$1:E4847,1,FALSE()))),"OLD",IF(AND(E4848&lt;&gt;"",E4848&lt;&gt;"!!!"),"NEW","")))</f>
        <v> </v>
      </c>
      <c r="G4848" s="24" t="str">
        <f>IF(OR(E4848="",E4848="!!!"),"",IF(OR(J4848=0,AND(J4848=1,K4848=1),AND(J4848=1,I4848="SBJ"),AND(J4848=1,I4848=0)),"?IN_FOCUS",IF(J4848&lt;=2,"?ACTIVATED",IF(J4848&lt;&gt;"","?FAMILIAR",IF(F4848="NEW",IF(ISNA(VLOOKUP(E4848,#REF!,1,FALSE())),"?TYPE_IDENTIFIABLE","?REFERENTIAL"),"_")))))</f>
        <v> </v>
      </c>
      <c r="H4848" s="25" t="str">
        <f>IF(J4848&lt;&gt;1,"",IF(I4848="SBJ","CB","?"))</f>
        <v> </v>
      </c>
      <c r="I4848" s="26" t="str">
        <f>IF(OR(E4848="",E4848="!!!",F4848="NEW"),"",INDEX(B4847:B$2,-1+SUMPRODUCT(MAX(ROW(E4847:E$2)*(E4848=E4847:E$2)))))</f>
        <v> </v>
      </c>
      <c r="J4848" s="26" t="str">
        <f>IF(OR(E4848="",E4848="!!!",F4848="NEW"),"",COUNTBLANK(OFFSET(A$1,,,SUMPRODUCT(MAX(ROW(E$2:E4848)*(E4848=E$2:E4848)))))-COUNTBLANK(OFFSET(A$1,,,SUMPRODUCT(MAX(ROW(E$1:E4847)*(E2=E$1:E4847))))))</f>
        <v> </v>
      </c>
      <c r="K4848" s="26" t="str">
        <f>IF(OR(E4848="",E4848="!!!",F4848="NEW"),"",INDEX(J$1:J4847,SUMPRODUCT(MAX(ROW(E$1:E4847)*(E4848=E$1:E4847)))))</f>
        <v> </v>
      </c>
      <c r="L4848" s="27"/>
    </row>
    <row r="4849" spans="1:12">
      <c r="A4849" s="20"/>
    </row>
    <row r="4850" spans="1:12">
      <c r="A4850" s="20" t="s">
        <v>2791</v>
      </c>
    </row>
    <row r="4851" spans="1:12">
      <c r="A4851" s="20" t="s">
        <v>2346</v>
      </c>
      <c r="B4851" s="21" t="s">
        <v>1215</v>
      </c>
      <c r="C4851" s="21" t="s">
        <v>1255</v>
      </c>
      <c r="D4851" s="21" t="s">
        <v>1217</v>
      </c>
      <c r="E4851" s="22">
        <f>IF(D4851="?OLD","!!!","")</f>
        <v/>
      </c>
      <c r="F4851" s="23" t="str">
        <f>IF(OR(E4851="",E4851="!!!"),"",IF(NOT(ISNA(VLOOKUP(E4851,E$1:E4850,1,FALSE()))),"OLD",IF(AND(E4851&lt;&gt;"",E4851&lt;&gt;"!!!"),"NEW","")))</f>
        <v> </v>
      </c>
      <c r="G4851" s="24" t="str">
        <f>IF(OR(E4851="",E4851="!!!"),"",IF(OR(J4851=0,AND(J4851=1,K4851=1),AND(J4851=1,I4851="SBJ"),AND(J4851=1,I4851=0)),"?IN_FOCUS",IF(J4851&lt;=2,"?ACTIVATED",IF(J4851&lt;&gt;"","?FAMILIAR",IF(F4851="NEW",IF(ISNA(VLOOKUP(E4851,#REF!,1,FALSE())),"?TYPE_IDENTIFIABLE","?REFERENTIAL"),"_")))))</f>
        <v> </v>
      </c>
      <c r="H4851" s="25" t="str">
        <f>IF(J4851&lt;&gt;1,"",IF(I4851="SBJ","CB","?"))</f>
        <v> </v>
      </c>
      <c r="I4851" s="26" t="str">
        <f>IF(OR(E4851="",E4851="!!!",F4851="NEW"),"",INDEX(B4850:B$2,-1+SUMPRODUCT(MAX(ROW(E4850:E$2)*(E4851=E4850:E$2)))))</f>
        <v> </v>
      </c>
      <c r="J4851" s="26" t="str">
        <f>IF(OR(E4851="",E4851="!!!",F4851="NEW"),"",COUNTBLANK(OFFSET(A$1,,,SUMPRODUCT(MAX(ROW(E$2:E4851)*(E4851=E$2:E4851)))))-COUNTBLANK(OFFSET(A$1,,,SUMPRODUCT(MAX(ROW(E$1:E4850)*(E2=E$1:E4850))))))</f>
        <v> </v>
      </c>
      <c r="K4851" s="26" t="str">
        <f>IF(OR(E4851="",E4851="!!!",F4851="NEW"),"",INDEX(J$1:J4850,SUMPRODUCT(MAX(ROW(E$1:E4850)*(E4851=E$1:E4850)))))</f>
        <v> </v>
      </c>
      <c r="L4851" s="27"/>
    </row>
    <row r="4852" spans="1:12">
      <c r="A4852" s="20" t="s">
        <v>1730</v>
      </c>
      <c r="E4852" s="22">
        <f>IF(D4852="?OLD","!!!","")</f>
        <v/>
      </c>
      <c r="F4852" s="23" t="str">
        <f>IF(OR(E4852="",E4852="!!!"),"",IF(NOT(ISNA(VLOOKUP(E4852,E$1:E4851,1,FALSE()))),"OLD",IF(AND(E4852&lt;&gt;"",E4852&lt;&gt;"!!!"),"NEW","")))</f>
        <v> </v>
      </c>
      <c r="G4852" s="24" t="str">
        <f>IF(OR(E4852="",E4852="!!!"),"",IF(OR(J4852=0,AND(J4852=1,K4852=1),AND(J4852=1,I4852="SBJ"),AND(J4852=1,I4852=0)),"?IN_FOCUS",IF(J4852&lt;=2,"?ACTIVATED",IF(J4852&lt;&gt;"","?FAMILIAR",IF(F4852="NEW",IF(ISNA(VLOOKUP(E4852,#REF!,1,FALSE())),"?TYPE_IDENTIFIABLE","?REFERENTIAL"),"_")))))</f>
        <v> </v>
      </c>
      <c r="H4852" s="25" t="str">
        <f>IF(J4852&lt;&gt;1,"",IF(I4852="SBJ","CB","?"))</f>
        <v> </v>
      </c>
      <c r="I4852" s="26" t="str">
        <f>IF(OR(E4852="",E4852="!!!",F4852="NEW"),"",INDEX(B4851:B$2,-1+SUMPRODUCT(MAX(ROW(E4851:E$2)*(E4852=E4851:E$2)))))</f>
        <v> </v>
      </c>
      <c r="J4852" s="26" t="str">
        <f>IF(OR(E4852="",E4852="!!!",F4852="NEW"),"",COUNTBLANK(OFFSET(A$1,,,SUMPRODUCT(MAX(ROW(E$2:E4852)*(E4852=E$2:E4852)))))-COUNTBLANK(OFFSET(A$1,,,SUMPRODUCT(MAX(ROW(E$1:E4851)*(E2=E$1:E4851))))))</f>
        <v> </v>
      </c>
      <c r="K4852" s="26" t="str">
        <f>IF(OR(E4852="",E4852="!!!",F4852="NEW"),"",INDEX(J$1:J4851,SUMPRODUCT(MAX(ROW(E$1:E4851)*(E4852=E$1:E4851)))))</f>
        <v> </v>
      </c>
      <c r="L4852" s="27"/>
    </row>
    <row r="4853" spans="1:12">
      <c r="A4853" s="20" t="s">
        <v>1336</v>
      </c>
      <c r="E4853" s="22">
        <f>IF(D4853="?OLD","!!!","")</f>
        <v/>
      </c>
      <c r="F4853" s="23" t="str">
        <f>IF(OR(E4853="",E4853="!!!"),"",IF(NOT(ISNA(VLOOKUP(E4853,E$1:E4852,1,FALSE()))),"OLD",IF(AND(E4853&lt;&gt;"",E4853&lt;&gt;"!!!"),"NEW","")))</f>
        <v> </v>
      </c>
      <c r="G4853" s="24" t="str">
        <f>IF(OR(E4853="",E4853="!!!"),"",IF(OR(J4853=0,AND(J4853=1,K4853=1),AND(J4853=1,I4853="SBJ"),AND(J4853=1,I4853=0)),"?IN_FOCUS",IF(J4853&lt;=2,"?ACTIVATED",IF(J4853&lt;&gt;"","?FAMILIAR",IF(F4853="NEW",IF(ISNA(VLOOKUP(E4853,#REF!,1,FALSE())),"?TYPE_IDENTIFIABLE","?REFERENTIAL"),"_")))))</f>
        <v> </v>
      </c>
      <c r="H4853" s="25" t="str">
        <f>IF(J4853&lt;&gt;1,"",IF(I4853="SBJ","CB","?"))</f>
        <v> </v>
      </c>
      <c r="I4853" s="26" t="str">
        <f>IF(OR(E4853="",E4853="!!!",F4853="NEW"),"",INDEX(B4852:B$2,-1+SUMPRODUCT(MAX(ROW(E4852:E$2)*(E4853=E4852:E$2)))))</f>
        <v> </v>
      </c>
      <c r="J4853" s="26" t="str">
        <f>IF(OR(E4853="",E4853="!!!",F4853="NEW"),"",COUNTBLANK(OFFSET(A$1,,,SUMPRODUCT(MAX(ROW(E$2:E4853)*(E4853=E$2:E4853)))))-COUNTBLANK(OFFSET(A$1,,,SUMPRODUCT(MAX(ROW(E$1:E4852)*(E2=E$1:E4852))))))</f>
        <v> </v>
      </c>
      <c r="K4853" s="26" t="str">
        <f>IF(OR(E4853="",E4853="!!!",F4853="NEW"),"",INDEX(J$1:J4852,SUMPRODUCT(MAX(ROW(E$1:E4852)*(E4853=E$1:E4852)))))</f>
        <v> </v>
      </c>
      <c r="L4853" s="27"/>
    </row>
    <row r="4854" spans="1:12">
      <c r="A4854" s="20" t="s">
        <v>1471</v>
      </c>
      <c r="E4854" s="22">
        <f>IF(D4854="?OLD","!!!","")</f>
        <v/>
      </c>
      <c r="F4854" s="23" t="str">
        <f>IF(OR(E4854="",E4854="!!!"),"",IF(NOT(ISNA(VLOOKUP(E4854,E$1:E4853,1,FALSE()))),"OLD",IF(AND(E4854&lt;&gt;"",E4854&lt;&gt;"!!!"),"NEW","")))</f>
        <v> </v>
      </c>
      <c r="G4854" s="24" t="str">
        <f>IF(OR(E4854="",E4854="!!!"),"",IF(OR(J4854=0,AND(J4854=1,K4854=1),AND(J4854=1,I4854="SBJ"),AND(J4854=1,I4854=0)),"?IN_FOCUS",IF(J4854&lt;=2,"?ACTIVATED",IF(J4854&lt;&gt;"","?FAMILIAR",IF(F4854="NEW",IF(ISNA(VLOOKUP(E4854,#REF!,1,FALSE())),"?TYPE_IDENTIFIABLE","?REFERENTIAL"),"_")))))</f>
        <v> </v>
      </c>
      <c r="H4854" s="25" t="str">
        <f>IF(J4854&lt;&gt;1,"",IF(I4854="SBJ","CB","?"))</f>
        <v> </v>
      </c>
      <c r="I4854" s="26" t="str">
        <f>IF(OR(E4854="",E4854="!!!",F4854="NEW"),"",INDEX(B4853:B$2,-1+SUMPRODUCT(MAX(ROW(E4853:E$2)*(E4854=E4853:E$2)))))</f>
        <v> </v>
      </c>
      <c r="J4854" s="26" t="str">
        <f>IF(OR(E4854="",E4854="!!!",F4854="NEW"),"",COUNTBLANK(OFFSET(A$1,,,SUMPRODUCT(MAX(ROW(E$2:E4854)*(E4854=E$2:E4854)))))-COUNTBLANK(OFFSET(A$1,,,SUMPRODUCT(MAX(ROW(E$1:E4853)*(E2=E$1:E4853))))))</f>
        <v> </v>
      </c>
      <c r="K4854" s="26" t="str">
        <f>IF(OR(E4854="",E4854="!!!",F4854="NEW"),"",INDEX(J$1:J4853,SUMPRODUCT(MAX(ROW(E$1:E4853)*(E4854=E$1:E4853)))))</f>
        <v> </v>
      </c>
      <c r="L4854" s="27"/>
    </row>
    <row r="4855" spans="1:12">
      <c r="A4855" s="20" t="s">
        <v>2358</v>
      </c>
      <c r="B4855" s="21" t="s">
        <v>1244</v>
      </c>
      <c r="C4855" s="21" t="s">
        <v>1238</v>
      </c>
      <c r="E4855" s="22">
        <f>IF(D4855="?OLD","!!!","")</f>
        <v/>
      </c>
      <c r="F4855" s="23" t="str">
        <f>IF(OR(E4855="",E4855="!!!"),"",IF(NOT(ISNA(VLOOKUP(E4855,E$1:E4854,1,FALSE()))),"OLD",IF(AND(E4855&lt;&gt;"",E4855&lt;&gt;"!!!"),"NEW","")))</f>
        <v> </v>
      </c>
      <c r="G4855" s="24" t="str">
        <f>IF(OR(E4855="",E4855="!!!"),"",IF(OR(J4855=0,AND(J4855=1,K4855=1),AND(J4855=1,I4855="SBJ"),AND(J4855=1,I4855=0)),"?IN_FOCUS",IF(J4855&lt;=2,"?ACTIVATED",IF(J4855&lt;&gt;"","?FAMILIAR",IF(F4855="NEW",IF(ISNA(VLOOKUP(E4855,#REF!,1,FALSE())),"?TYPE_IDENTIFIABLE","?REFERENTIAL"),"_")))))</f>
        <v> </v>
      </c>
      <c r="H4855" s="25" t="str">
        <f>IF(J4855&lt;&gt;1,"",IF(I4855="SBJ","CB","?"))</f>
        <v> </v>
      </c>
      <c r="I4855" s="26" t="str">
        <f>IF(OR(E4855="",E4855="!!!",F4855="NEW"),"",INDEX(B4854:B$2,-1+SUMPRODUCT(MAX(ROW(E4854:E$2)*(E4855=E4854:E$2)))))</f>
        <v> </v>
      </c>
      <c r="J4855" s="26" t="str">
        <f>IF(OR(E4855="",E4855="!!!",F4855="NEW"),"",COUNTBLANK(OFFSET(A$1,,,SUMPRODUCT(MAX(ROW(E$2:E4855)*(E4855=E$2:E4855)))))-COUNTBLANK(OFFSET(A$1,,,SUMPRODUCT(MAX(ROW(E$1:E4854)*(E2=E$1:E4854))))))</f>
        <v> </v>
      </c>
      <c r="K4855" s="26" t="str">
        <f>IF(OR(E4855="",E4855="!!!",F4855="NEW"),"",INDEX(J$1:J4854,SUMPRODUCT(MAX(ROW(E$1:E4854)*(E4855=E$1:E4854)))))</f>
        <v> </v>
      </c>
      <c r="L4855" s="27"/>
    </row>
    <row r="4856" spans="1:12">
      <c r="A4856" s="20" t="s">
        <v>1218</v>
      </c>
      <c r="E4856" s="22">
        <f>IF(D4856="?OLD","!!!","")</f>
        <v/>
      </c>
      <c r="F4856" s="23" t="str">
        <f>IF(OR(E4856="",E4856="!!!"),"",IF(NOT(ISNA(VLOOKUP(E4856,E$1:E4855,1,FALSE()))),"OLD",IF(AND(E4856&lt;&gt;"",E4856&lt;&gt;"!!!"),"NEW","")))</f>
        <v> </v>
      </c>
      <c r="G4856" s="24" t="str">
        <f>IF(OR(E4856="",E4856="!!!"),"",IF(OR(J4856=0,AND(J4856=1,K4856=1),AND(J4856=1,I4856="SBJ"),AND(J4856=1,I4856=0)),"?IN_FOCUS",IF(J4856&lt;=2,"?ACTIVATED",IF(J4856&lt;&gt;"","?FAMILIAR",IF(F4856="NEW",IF(ISNA(VLOOKUP(E4856,#REF!,1,FALSE())),"?TYPE_IDENTIFIABLE","?REFERENTIAL"),"_")))))</f>
        <v> </v>
      </c>
      <c r="H4856" s="25" t="str">
        <f>IF(J4856&lt;&gt;1,"",IF(I4856="SBJ","CB","?"))</f>
        <v> </v>
      </c>
      <c r="I4856" s="26" t="str">
        <f>IF(OR(E4856="",E4856="!!!",F4856="NEW"),"",INDEX(B4855:B$2,-1+SUMPRODUCT(MAX(ROW(E4855:E$2)*(E4856=E4855:E$2)))))</f>
        <v> </v>
      </c>
      <c r="J4856" s="26" t="str">
        <f>IF(OR(E4856="",E4856="!!!",F4856="NEW"),"",COUNTBLANK(OFFSET(A$1,,,SUMPRODUCT(MAX(ROW(E$2:E4856)*(E4856=E$2:E4856)))))-COUNTBLANK(OFFSET(A$1,,,SUMPRODUCT(MAX(ROW(E$1:E4855)*(E2=E$1:E4855))))))</f>
        <v> </v>
      </c>
      <c r="K4856" s="26" t="str">
        <f>IF(OR(E4856="",E4856="!!!",F4856="NEW"),"",INDEX(J$1:J4855,SUMPRODUCT(MAX(ROW(E$1:E4855)*(E4856=E$1:E4855)))))</f>
        <v> </v>
      </c>
      <c r="L4856" s="27"/>
    </row>
    <row r="4857" spans="1:12">
      <c r="A4857" s="20" t="s">
        <v>2792</v>
      </c>
      <c r="B4857" s="21" t="s">
        <v>1221</v>
      </c>
      <c r="C4857" s="21" t="s">
        <v>1279</v>
      </c>
      <c r="E4857" s="22">
        <f>IF(D4857="?OLD","!!!","")</f>
        <v/>
      </c>
      <c r="F4857" s="23" t="str">
        <f>IF(OR(E4857="",E4857="!!!"),"",IF(NOT(ISNA(VLOOKUP(E4857,E$1:E4856,1,FALSE()))),"OLD",IF(AND(E4857&lt;&gt;"",E4857&lt;&gt;"!!!"),"NEW","")))</f>
        <v> </v>
      </c>
      <c r="G4857" s="24" t="str">
        <f>IF(OR(E4857="",E4857="!!!"),"",IF(OR(J4857=0,AND(J4857=1,K4857=1),AND(J4857=1,I4857="SBJ"),AND(J4857=1,I4857=0)),"?IN_FOCUS",IF(J4857&lt;=2,"?ACTIVATED",IF(J4857&lt;&gt;"","?FAMILIAR",IF(F4857="NEW",IF(ISNA(VLOOKUP(E4857,#REF!,1,FALSE())),"?TYPE_IDENTIFIABLE","?REFERENTIAL"),"_")))))</f>
        <v> </v>
      </c>
      <c r="H4857" s="25" t="str">
        <f>IF(J4857&lt;&gt;1,"",IF(I4857="SBJ","CB","?"))</f>
        <v> </v>
      </c>
      <c r="I4857" s="26" t="str">
        <f>IF(OR(E4857="",E4857="!!!",F4857="NEW"),"",INDEX(B4856:B$2,-1+SUMPRODUCT(MAX(ROW(E4856:E$2)*(E4857=E4856:E$2)))))</f>
        <v> </v>
      </c>
      <c r="J4857" s="26" t="str">
        <f>IF(OR(E4857="",E4857="!!!",F4857="NEW"),"",COUNTBLANK(OFFSET(A$1,,,SUMPRODUCT(MAX(ROW(E$2:E4857)*(E4857=E$2:E4857)))))-COUNTBLANK(OFFSET(A$1,,,SUMPRODUCT(MAX(ROW(E$1:E4856)*(E2=E$1:E4856))))))</f>
        <v> </v>
      </c>
      <c r="K4857" s="26" t="str">
        <f>IF(OR(E4857="",E4857="!!!",F4857="NEW"),"",INDEX(J$1:J4856,SUMPRODUCT(MAX(ROW(E$1:E4856)*(E4857=E$1:E4856)))))</f>
        <v> </v>
      </c>
      <c r="L4857" s="27"/>
    </row>
    <row r="4858" spans="1:12">
      <c r="A4858" s="20" t="s">
        <v>1321</v>
      </c>
      <c r="E4858" s="22">
        <f>IF(D4858="?OLD","!!!","")</f>
        <v/>
      </c>
      <c r="F4858" s="23" t="str">
        <f>IF(OR(E4858="",E4858="!!!"),"",IF(NOT(ISNA(VLOOKUP(E4858,E$1:E4857,1,FALSE()))),"OLD",IF(AND(E4858&lt;&gt;"",E4858&lt;&gt;"!!!"),"NEW","")))</f>
        <v> </v>
      </c>
      <c r="G4858" s="24" t="str">
        <f>IF(OR(E4858="",E4858="!!!"),"",IF(OR(J4858=0,AND(J4858=1,K4858=1),AND(J4858=1,I4858="SBJ"),AND(J4858=1,I4858=0)),"?IN_FOCUS",IF(J4858&lt;=2,"?ACTIVATED",IF(J4858&lt;&gt;"","?FAMILIAR",IF(F4858="NEW",IF(ISNA(VLOOKUP(E4858,#REF!,1,FALSE())),"?TYPE_IDENTIFIABLE","?REFERENTIAL"),"_")))))</f>
        <v> </v>
      </c>
      <c r="H4858" s="25" t="str">
        <f>IF(J4858&lt;&gt;1,"",IF(I4858="SBJ","CB","?"))</f>
        <v> </v>
      </c>
      <c r="I4858" s="26" t="str">
        <f>IF(OR(E4858="",E4858="!!!",F4858="NEW"),"",INDEX(B4857:B$2,-1+SUMPRODUCT(MAX(ROW(E4857:E$2)*(E4858=E4857:E$2)))))</f>
        <v> </v>
      </c>
      <c r="J4858" s="26" t="str">
        <f>IF(OR(E4858="",E4858="!!!",F4858="NEW"),"",COUNTBLANK(OFFSET(A$1,,,SUMPRODUCT(MAX(ROW(E$2:E4858)*(E4858=E$2:E4858)))))-COUNTBLANK(OFFSET(A$1,,,SUMPRODUCT(MAX(ROW(E$1:E4857)*(E2=E$1:E4857))))))</f>
        <v> </v>
      </c>
      <c r="K4858" s="26" t="str">
        <f>IF(OR(E4858="",E4858="!!!",F4858="NEW"),"",INDEX(J$1:J4857,SUMPRODUCT(MAX(ROW(E$1:E4857)*(E4858=E$1:E4857)))))</f>
        <v> </v>
      </c>
      <c r="L4858" s="27"/>
    </row>
    <row r="4859" spans="1:12">
      <c r="A4859" s="20" t="s">
        <v>1323</v>
      </c>
      <c r="E4859" s="22">
        <f>IF(D4859="?OLD","!!!","")</f>
        <v/>
      </c>
      <c r="F4859" s="23" t="str">
        <f>IF(OR(E4859="",E4859="!!!"),"",IF(NOT(ISNA(VLOOKUP(E4859,E$1:E4858,1,FALSE()))),"OLD",IF(AND(E4859&lt;&gt;"",E4859&lt;&gt;"!!!"),"NEW","")))</f>
        <v> </v>
      </c>
      <c r="G4859" s="24" t="str">
        <f>IF(OR(E4859="",E4859="!!!"),"",IF(OR(J4859=0,AND(J4859=1,K4859=1),AND(J4859=1,I4859="SBJ"),AND(J4859=1,I4859=0)),"?IN_FOCUS",IF(J4859&lt;=2,"?ACTIVATED",IF(J4859&lt;&gt;"","?FAMILIAR",IF(F4859="NEW",IF(ISNA(VLOOKUP(E4859,#REF!,1,FALSE())),"?TYPE_IDENTIFIABLE","?REFERENTIAL"),"_")))))</f>
        <v> </v>
      </c>
      <c r="H4859" s="25" t="str">
        <f>IF(J4859&lt;&gt;1,"",IF(I4859="SBJ","CB","?"))</f>
        <v> </v>
      </c>
      <c r="I4859" s="26" t="str">
        <f>IF(OR(E4859="",E4859="!!!",F4859="NEW"),"",INDEX(B4858:B$2,-1+SUMPRODUCT(MAX(ROW(E4858:E$2)*(E4859=E4858:E$2)))))</f>
        <v> </v>
      </c>
      <c r="J4859" s="26" t="str">
        <f>IF(OR(E4859="",E4859="!!!",F4859="NEW"),"",COUNTBLANK(OFFSET(A$1,,,SUMPRODUCT(MAX(ROW(E$2:E4859)*(E4859=E$2:E4859)))))-COUNTBLANK(OFFSET(A$1,,,SUMPRODUCT(MAX(ROW(E$1:E4858)*(E2=E$1:E4858))))))</f>
        <v> </v>
      </c>
      <c r="K4859" s="26" t="str">
        <f>IF(OR(E4859="",E4859="!!!",F4859="NEW"),"",INDEX(J$1:J4858,SUMPRODUCT(MAX(ROW(E$1:E4858)*(E4859=E$1:E4858)))))</f>
        <v> </v>
      </c>
      <c r="L4859" s="27"/>
    </row>
    <row r="4860" spans="1:12">
      <c r="A4860" s="20" t="s">
        <v>1997</v>
      </c>
      <c r="B4860" s="21" t="s">
        <v>1252</v>
      </c>
      <c r="C4860" s="21" t="s">
        <v>1269</v>
      </c>
      <c r="D4860" s="21" t="s">
        <v>1217</v>
      </c>
      <c r="E4860" s="22">
        <f>IF(D4860="?OLD","!!!","")</f>
        <v/>
      </c>
      <c r="F4860" s="23" t="str">
        <f>IF(OR(E4860="",E4860="!!!"),"",IF(NOT(ISNA(VLOOKUP(E4860,E$1:E4859,1,FALSE()))),"OLD",IF(AND(E4860&lt;&gt;"",E4860&lt;&gt;"!!!"),"NEW","")))</f>
        <v> </v>
      </c>
      <c r="G4860" s="24" t="str">
        <f>IF(OR(E4860="",E4860="!!!"),"",IF(OR(J4860=0,AND(J4860=1,K4860=1),AND(J4860=1,I4860="SBJ"),AND(J4860=1,I4860=0)),"?IN_FOCUS",IF(J4860&lt;=2,"?ACTIVATED",IF(J4860&lt;&gt;"","?FAMILIAR",IF(F4860="NEW",IF(ISNA(VLOOKUP(E4860,#REF!,1,FALSE())),"?TYPE_IDENTIFIABLE","?REFERENTIAL"),"_")))))</f>
        <v> </v>
      </c>
      <c r="H4860" s="25" t="str">
        <f>IF(J4860&lt;&gt;1,"",IF(I4860="SBJ","CB","?"))</f>
        <v> </v>
      </c>
      <c r="I4860" s="26" t="str">
        <f>IF(OR(E4860="",E4860="!!!",F4860="NEW"),"",INDEX(B4859:B$2,-1+SUMPRODUCT(MAX(ROW(E4859:E$2)*(E4860=E4859:E$2)))))</f>
        <v> </v>
      </c>
      <c r="J4860" s="26" t="str">
        <f>IF(OR(E4860="",E4860="!!!",F4860="NEW"),"",COUNTBLANK(OFFSET(A$1,,,SUMPRODUCT(MAX(ROW(E$2:E4860)*(E4860=E$2:E4860)))))-COUNTBLANK(OFFSET(A$1,,,SUMPRODUCT(MAX(ROW(E$1:E4859)*(E2=E$1:E4859))))))</f>
        <v> </v>
      </c>
      <c r="K4860" s="26" t="str">
        <f>IF(OR(E4860="",E4860="!!!",F4860="NEW"),"",INDEX(J$1:J4859,SUMPRODUCT(MAX(ROW(E$1:E4859)*(E4860=E$1:E4859)))))</f>
        <v> </v>
      </c>
      <c r="L4860" s="27"/>
    </row>
    <row r="4861" spans="1:12">
      <c r="A4861" s="20" t="s">
        <v>2664</v>
      </c>
      <c r="E4861" s="22">
        <f>IF(D4861="?OLD","!!!","")</f>
        <v/>
      </c>
      <c r="F4861" s="23" t="str">
        <f>IF(OR(E4861="",E4861="!!!"),"",IF(NOT(ISNA(VLOOKUP(E4861,E$1:E4860,1,FALSE()))),"OLD",IF(AND(E4861&lt;&gt;"",E4861&lt;&gt;"!!!"),"NEW","")))</f>
        <v> </v>
      </c>
      <c r="G4861" s="24" t="str">
        <f>IF(OR(E4861="",E4861="!!!"),"",IF(OR(J4861=0,AND(J4861=1,K4861=1),AND(J4861=1,I4861="SBJ"),AND(J4861=1,I4861=0)),"?IN_FOCUS",IF(J4861&lt;=2,"?ACTIVATED",IF(J4861&lt;&gt;"","?FAMILIAR",IF(F4861="NEW",IF(ISNA(VLOOKUP(E4861,#REF!,1,FALSE())),"?TYPE_IDENTIFIABLE","?REFERENTIAL"),"_")))))</f>
        <v> </v>
      </c>
      <c r="H4861" s="25" t="str">
        <f>IF(J4861&lt;&gt;1,"",IF(I4861="SBJ","CB","?"))</f>
        <v> </v>
      </c>
      <c r="I4861" s="26" t="str">
        <f>IF(OR(E4861="",E4861="!!!",F4861="NEW"),"",INDEX(B4860:B$2,-1+SUMPRODUCT(MAX(ROW(E4860:E$2)*(E4861=E4860:E$2)))))</f>
        <v> </v>
      </c>
      <c r="J4861" s="26" t="str">
        <f>IF(OR(E4861="",E4861="!!!",F4861="NEW"),"",COUNTBLANK(OFFSET(A$1,,,SUMPRODUCT(MAX(ROW(E$2:E4861)*(E4861=E$2:E4861)))))-COUNTBLANK(OFFSET(A$1,,,SUMPRODUCT(MAX(ROW(E$1:E4860)*(E2=E$1:E4860))))))</f>
        <v> </v>
      </c>
      <c r="K4861" s="26" t="str">
        <f>IF(OR(E4861="",E4861="!!!",F4861="NEW"),"",INDEX(J$1:J4860,SUMPRODUCT(MAX(ROW(E$1:E4860)*(E4861=E$1:E4860)))))</f>
        <v> </v>
      </c>
      <c r="L4861" s="27"/>
    </row>
    <row r="4862" spans="1:12">
      <c r="A4862" s="20" t="s">
        <v>2793</v>
      </c>
      <c r="E4862" s="22">
        <f>IF(D4862="?OLD","!!!","")</f>
        <v/>
      </c>
      <c r="F4862" s="23" t="str">
        <f>IF(OR(E4862="",E4862="!!!"),"",IF(NOT(ISNA(VLOOKUP(E4862,E$1:E4861,1,FALSE()))),"OLD",IF(AND(E4862&lt;&gt;"",E4862&lt;&gt;"!!!"),"NEW","")))</f>
        <v> </v>
      </c>
      <c r="G4862" s="24" t="str">
        <f>IF(OR(E4862="",E4862="!!!"),"",IF(OR(J4862=0,AND(J4862=1,K4862=1),AND(J4862=1,I4862="SBJ"),AND(J4862=1,I4862=0)),"?IN_FOCUS",IF(J4862&lt;=2,"?ACTIVATED",IF(J4862&lt;&gt;"","?FAMILIAR",IF(F4862="NEW",IF(ISNA(VLOOKUP(E4862,#REF!,1,FALSE())),"?TYPE_IDENTIFIABLE","?REFERENTIAL"),"_")))))</f>
        <v> </v>
      </c>
      <c r="H4862" s="25" t="str">
        <f>IF(J4862&lt;&gt;1,"",IF(I4862="SBJ","CB","?"))</f>
        <v> </v>
      </c>
      <c r="I4862" s="26" t="str">
        <f>IF(OR(E4862="",E4862="!!!",F4862="NEW"),"",INDEX(B4861:B$2,-1+SUMPRODUCT(MAX(ROW(E4861:E$2)*(E4862=E4861:E$2)))))</f>
        <v> </v>
      </c>
      <c r="J4862" s="26" t="str">
        <f>IF(OR(E4862="",E4862="!!!",F4862="NEW"),"",COUNTBLANK(OFFSET(A$1,,,SUMPRODUCT(MAX(ROW(E$2:E4862)*(E4862=E$2:E4862)))))-COUNTBLANK(OFFSET(A$1,,,SUMPRODUCT(MAX(ROW(E$1:E4861)*(E2=E$1:E4861))))))</f>
        <v> </v>
      </c>
      <c r="K4862" s="26" t="str">
        <f>IF(OR(E4862="",E4862="!!!",F4862="NEW"),"",INDEX(J$1:J4861,SUMPRODUCT(MAX(ROW(E$1:E4861)*(E4862=E$1:E4861)))))</f>
        <v> </v>
      </c>
      <c r="L4862" s="27"/>
    </row>
    <row r="4863" spans="1:12">
      <c r="A4863" s="20" t="s">
        <v>1257</v>
      </c>
      <c r="E4863" s="22">
        <f>IF(D4863="?OLD","!!!","")</f>
        <v/>
      </c>
      <c r="F4863" s="23" t="str">
        <f>IF(OR(E4863="",E4863="!!!"),"",IF(NOT(ISNA(VLOOKUP(E4863,E$1:E4862,1,FALSE()))),"OLD",IF(AND(E4863&lt;&gt;"",E4863&lt;&gt;"!!!"),"NEW","")))</f>
        <v> </v>
      </c>
      <c r="G4863" s="24" t="str">
        <f>IF(OR(E4863="",E4863="!!!"),"",IF(OR(J4863=0,AND(J4863=1,K4863=1),AND(J4863=1,I4863="SBJ"),AND(J4863=1,I4863=0)),"?IN_FOCUS",IF(J4863&lt;=2,"?ACTIVATED",IF(J4863&lt;&gt;"","?FAMILIAR",IF(F4863="NEW",IF(ISNA(VLOOKUP(E4863,#REF!,1,FALSE())),"?TYPE_IDENTIFIABLE","?REFERENTIAL"),"_")))))</f>
        <v> </v>
      </c>
      <c r="H4863" s="25" t="str">
        <f>IF(J4863&lt;&gt;1,"",IF(I4863="SBJ","CB","?"))</f>
        <v> </v>
      </c>
      <c r="I4863" s="26" t="str">
        <f>IF(OR(E4863="",E4863="!!!",F4863="NEW"),"",INDEX(B4862:B$2,-1+SUMPRODUCT(MAX(ROW(E4862:E$2)*(E4863=E4862:E$2)))))</f>
        <v> </v>
      </c>
      <c r="J4863" s="26" t="str">
        <f>IF(OR(E4863="",E4863="!!!",F4863="NEW"),"",COUNTBLANK(OFFSET(A$1,,,SUMPRODUCT(MAX(ROW(E$2:E4863)*(E4863=E$2:E4863)))))-COUNTBLANK(OFFSET(A$1,,,SUMPRODUCT(MAX(ROW(E$1:E4862)*(E2=E$1:E4862))))))</f>
        <v> </v>
      </c>
      <c r="K4863" s="26" t="str">
        <f>IF(OR(E4863="",E4863="!!!",F4863="NEW"),"",INDEX(J$1:J4862,SUMPRODUCT(MAX(ROW(E$1:E4862)*(E4863=E$1:E4862)))))</f>
        <v> </v>
      </c>
      <c r="L4863" s="27"/>
    </row>
    <row r="4864" spans="1:12">
      <c r="A4864" s="20" t="s">
        <v>1228</v>
      </c>
      <c r="E4864" s="22">
        <f>IF(D4864="?OLD","!!!","")</f>
        <v/>
      </c>
      <c r="F4864" s="23" t="str">
        <f>IF(OR(E4864="",E4864="!!!"),"",IF(NOT(ISNA(VLOOKUP(E4864,E$1:E4863,1,FALSE()))),"OLD",IF(AND(E4864&lt;&gt;"",E4864&lt;&gt;"!!!"),"NEW","")))</f>
        <v> </v>
      </c>
      <c r="G4864" s="24" t="str">
        <f>IF(OR(E4864="",E4864="!!!"),"",IF(OR(J4864=0,AND(J4864=1,K4864=1),AND(J4864=1,I4864="SBJ"),AND(J4864=1,I4864=0)),"?IN_FOCUS",IF(J4864&lt;=2,"?ACTIVATED",IF(J4864&lt;&gt;"","?FAMILIAR",IF(F4864="NEW",IF(ISNA(VLOOKUP(E4864,#REF!,1,FALSE())),"?TYPE_IDENTIFIABLE","?REFERENTIAL"),"_")))))</f>
        <v> </v>
      </c>
      <c r="H4864" s="25" t="str">
        <f>IF(J4864&lt;&gt;1,"",IF(I4864="SBJ","CB","?"))</f>
        <v> </v>
      </c>
      <c r="I4864" s="26" t="str">
        <f>IF(OR(E4864="",E4864="!!!",F4864="NEW"),"",INDEX(B4863:B$2,-1+SUMPRODUCT(MAX(ROW(E4863:E$2)*(E4864=E4863:E$2)))))</f>
        <v> </v>
      </c>
      <c r="J4864" s="26" t="str">
        <f>IF(OR(E4864="",E4864="!!!",F4864="NEW"),"",COUNTBLANK(OFFSET(A$1,,,SUMPRODUCT(MAX(ROW(E$2:E4864)*(E4864=E$2:E4864)))))-COUNTBLANK(OFFSET(A$1,,,SUMPRODUCT(MAX(ROW(E$1:E4863)*(E2=E$1:E4863))))))</f>
        <v> </v>
      </c>
      <c r="K4864" s="26" t="str">
        <f>IF(OR(E4864="",E4864="!!!",F4864="NEW"),"",INDEX(J$1:J4863,SUMPRODUCT(MAX(ROW(E$1:E4863)*(E4864=E$1:E4863)))))</f>
        <v> </v>
      </c>
      <c r="L4864" s="27"/>
    </row>
    <row r="4865" spans="1:12">
      <c r="A4865" s="20" t="s">
        <v>1638</v>
      </c>
      <c r="B4865" s="21" t="s">
        <v>1226</v>
      </c>
      <c r="C4865" s="21" t="s">
        <v>1269</v>
      </c>
      <c r="D4865" s="21" t="s">
        <v>1217</v>
      </c>
      <c r="E4865" s="22">
        <f>IF(D4865="?OLD","!!!","")</f>
        <v/>
      </c>
      <c r="F4865" s="23" t="str">
        <f>IF(OR(E4865="",E4865="!!!"),"",IF(NOT(ISNA(VLOOKUP(E4865,E$1:E4864,1,FALSE()))),"OLD",IF(AND(E4865&lt;&gt;"",E4865&lt;&gt;"!!!"),"NEW","")))</f>
        <v> </v>
      </c>
      <c r="G4865" s="24" t="str">
        <f>IF(OR(E4865="",E4865="!!!"),"",IF(OR(J4865=0,AND(J4865=1,K4865=1),AND(J4865=1,I4865="SBJ"),AND(J4865=1,I4865=0)),"?IN_FOCUS",IF(J4865&lt;=2,"?ACTIVATED",IF(J4865&lt;&gt;"","?FAMILIAR",IF(F4865="NEW",IF(ISNA(VLOOKUP(E4865,#REF!,1,FALSE())),"?TYPE_IDENTIFIABLE","?REFERENTIAL"),"_")))))</f>
        <v> </v>
      </c>
      <c r="H4865" s="25" t="str">
        <f>IF(J4865&lt;&gt;1,"",IF(I4865="SBJ","CB","?"))</f>
        <v> </v>
      </c>
      <c r="I4865" s="26" t="str">
        <f>IF(OR(E4865="",E4865="!!!",F4865="NEW"),"",INDEX(B4864:B$2,-1+SUMPRODUCT(MAX(ROW(E4864:E$2)*(E4865=E4864:E$2)))))</f>
        <v> </v>
      </c>
      <c r="J4865" s="26" t="str">
        <f>IF(OR(E4865="",E4865="!!!",F4865="NEW"),"",COUNTBLANK(OFFSET(A$1,,,SUMPRODUCT(MAX(ROW(E$2:E4865)*(E4865=E$2:E4865)))))-COUNTBLANK(OFFSET(A$1,,,SUMPRODUCT(MAX(ROW(E$1:E4864)*(E2=E$1:E4864))))))</f>
        <v> </v>
      </c>
      <c r="K4865" s="26" t="str">
        <f>IF(OR(E4865="",E4865="!!!",F4865="NEW"),"",INDEX(J$1:J4864,SUMPRODUCT(MAX(ROW(E$1:E4864)*(E4865=E$1:E4864)))))</f>
        <v> </v>
      </c>
      <c r="L4865" s="27"/>
    </row>
    <row r="4866" spans="1:12">
      <c r="A4866" s="20" t="s">
        <v>1218</v>
      </c>
      <c r="E4866" s="22">
        <f>IF(D4866="?OLD","!!!","")</f>
        <v/>
      </c>
      <c r="F4866" s="23" t="str">
        <f>IF(OR(E4866="",E4866="!!!"),"",IF(NOT(ISNA(VLOOKUP(E4866,E$1:E4865,1,FALSE()))),"OLD",IF(AND(E4866&lt;&gt;"",E4866&lt;&gt;"!!!"),"NEW","")))</f>
        <v> </v>
      </c>
      <c r="G4866" s="24" t="str">
        <f>IF(OR(E4866="",E4866="!!!"),"",IF(OR(J4866=0,AND(J4866=1,K4866=1),AND(J4866=1,I4866="SBJ"),AND(J4866=1,I4866=0)),"?IN_FOCUS",IF(J4866&lt;=2,"?ACTIVATED",IF(J4866&lt;&gt;"","?FAMILIAR",IF(F4866="NEW",IF(ISNA(VLOOKUP(E4866,#REF!,1,FALSE())),"?TYPE_IDENTIFIABLE","?REFERENTIAL"),"_")))))</f>
        <v> </v>
      </c>
      <c r="H4866" s="25" t="str">
        <f>IF(J4866&lt;&gt;1,"",IF(I4866="SBJ","CB","?"))</f>
        <v> </v>
      </c>
      <c r="I4866" s="26" t="str">
        <f>IF(OR(E4866="",E4866="!!!",F4866="NEW"),"",INDEX(B4865:B$2,-1+SUMPRODUCT(MAX(ROW(E4865:E$2)*(E4866=E4865:E$2)))))</f>
        <v> </v>
      </c>
      <c r="J4866" s="26" t="str">
        <f>IF(OR(E4866="",E4866="!!!",F4866="NEW"),"",COUNTBLANK(OFFSET(A$1,,,SUMPRODUCT(MAX(ROW(E$2:E4866)*(E4866=E$2:E4866)))))-COUNTBLANK(OFFSET(A$1,,,SUMPRODUCT(MAX(ROW(E$1:E4865)*(E2=E$1:E4865))))))</f>
        <v> </v>
      </c>
      <c r="K4866" s="26" t="str">
        <f>IF(OR(E4866="",E4866="!!!",F4866="NEW"),"",INDEX(J$1:J4865,SUMPRODUCT(MAX(ROW(E$1:E4865)*(E4866=E$1:E4865)))))</f>
        <v> </v>
      </c>
      <c r="L4866" s="27"/>
    </row>
    <row r="4867" spans="1:12">
      <c r="A4867" s="20" t="s">
        <v>1266</v>
      </c>
      <c r="E4867" s="22">
        <f>IF(D4867="?OLD","!!!","")</f>
        <v/>
      </c>
      <c r="F4867" s="23" t="str">
        <f>IF(OR(E4867="",E4867="!!!"),"",IF(NOT(ISNA(VLOOKUP(E4867,E$1:E4866,1,FALSE()))),"OLD",IF(AND(E4867&lt;&gt;"",E4867&lt;&gt;"!!!"),"NEW","")))</f>
        <v> </v>
      </c>
      <c r="G4867" s="24" t="str">
        <f>IF(OR(E4867="",E4867="!!!"),"",IF(OR(J4867=0,AND(J4867=1,K4867=1),AND(J4867=1,I4867="SBJ"),AND(J4867=1,I4867=0)),"?IN_FOCUS",IF(J4867&lt;=2,"?ACTIVATED",IF(J4867&lt;&gt;"","?FAMILIAR",IF(F4867="NEW",IF(ISNA(VLOOKUP(E4867,#REF!,1,FALSE())),"?TYPE_IDENTIFIABLE","?REFERENTIAL"),"_")))))</f>
        <v> </v>
      </c>
      <c r="H4867" s="25" t="str">
        <f>IF(J4867&lt;&gt;1,"",IF(I4867="SBJ","CB","?"))</f>
        <v> </v>
      </c>
      <c r="I4867" s="26" t="str">
        <f>IF(OR(E4867="",E4867="!!!",F4867="NEW"),"",INDEX(B4866:B$2,-1+SUMPRODUCT(MAX(ROW(E4866:E$2)*(E4867=E4866:E$2)))))</f>
        <v> </v>
      </c>
      <c r="J4867" s="26" t="str">
        <f>IF(OR(E4867="",E4867="!!!",F4867="NEW"),"",COUNTBLANK(OFFSET(A$1,,,SUMPRODUCT(MAX(ROW(E$2:E4867)*(E4867=E$2:E4867)))))-COUNTBLANK(OFFSET(A$1,,,SUMPRODUCT(MAX(ROW(E$1:E4866)*(E2=E$1:E4866))))))</f>
        <v> </v>
      </c>
      <c r="K4867" s="26" t="str">
        <f>IF(OR(E4867="",E4867="!!!",F4867="NEW"),"",INDEX(J$1:J4866,SUMPRODUCT(MAX(ROW(E$1:E4866)*(E4867=E$1:E4866)))))</f>
        <v> </v>
      </c>
      <c r="L4867" s="27"/>
    </row>
    <row r="4868" spans="1:12">
      <c r="A4868" s="20" t="s">
        <v>2794</v>
      </c>
      <c r="B4868" s="21" t="s">
        <v>1261</v>
      </c>
      <c r="C4868" s="21" t="s">
        <v>1269</v>
      </c>
      <c r="D4868" s="21" t="s">
        <v>1217</v>
      </c>
      <c r="E4868" s="22">
        <f>IF(D4868="?OLD","!!!","")</f>
        <v/>
      </c>
      <c r="F4868" s="23" t="str">
        <f>IF(OR(E4868="",E4868="!!!"),"",IF(NOT(ISNA(VLOOKUP(E4868,E$1:E4867,1,FALSE()))),"OLD",IF(AND(E4868&lt;&gt;"",E4868&lt;&gt;"!!!"),"NEW","")))</f>
        <v> </v>
      </c>
      <c r="G4868" s="24" t="str">
        <f>IF(OR(E4868="",E4868="!!!"),"",IF(OR(J4868=0,AND(J4868=1,K4868=1),AND(J4868=1,I4868="SBJ"),AND(J4868=1,I4868=0)),"?IN_FOCUS",IF(J4868&lt;=2,"?ACTIVATED",IF(J4868&lt;&gt;"","?FAMILIAR",IF(F4868="NEW",IF(ISNA(VLOOKUP(E4868,#REF!,1,FALSE())),"?TYPE_IDENTIFIABLE","?REFERENTIAL"),"_")))))</f>
        <v> </v>
      </c>
      <c r="H4868" s="25" t="str">
        <f>IF(J4868&lt;&gt;1,"",IF(I4868="SBJ","CB","?"))</f>
        <v> </v>
      </c>
      <c r="I4868" s="26" t="str">
        <f>IF(OR(E4868="",E4868="!!!",F4868="NEW"),"",INDEX(B4867:B$2,-1+SUMPRODUCT(MAX(ROW(E4867:E$2)*(E4868=E4867:E$2)))))</f>
        <v> </v>
      </c>
      <c r="J4868" s="26" t="str">
        <f>IF(OR(E4868="",E4868="!!!",F4868="NEW"),"",COUNTBLANK(OFFSET(A$1,,,SUMPRODUCT(MAX(ROW(E$2:E4868)*(E4868=E$2:E4868)))))-COUNTBLANK(OFFSET(A$1,,,SUMPRODUCT(MAX(ROW(E$1:E4867)*(E2=E$1:E4867))))))</f>
        <v> </v>
      </c>
      <c r="K4868" s="26" t="str">
        <f>IF(OR(E4868="",E4868="!!!",F4868="NEW"),"",INDEX(J$1:J4867,SUMPRODUCT(MAX(ROW(E$1:E4867)*(E4868=E$1:E4867)))))</f>
        <v> </v>
      </c>
      <c r="L4868" s="27"/>
    </row>
    <row r="4869" spans="1:12">
      <c r="A4869" s="20" t="s">
        <v>1262</v>
      </c>
      <c r="E4869" s="22">
        <f>IF(D4869="?OLD","!!!","")</f>
        <v/>
      </c>
      <c r="F4869" s="23" t="str">
        <f>IF(OR(E4869="",E4869="!!!"),"",IF(NOT(ISNA(VLOOKUP(E4869,E$1:E4868,1,FALSE()))),"OLD",IF(AND(E4869&lt;&gt;"",E4869&lt;&gt;"!!!"),"NEW","")))</f>
        <v> </v>
      </c>
      <c r="G4869" s="24" t="str">
        <f>IF(OR(E4869="",E4869="!!!"),"",IF(OR(J4869=0,AND(J4869=1,K4869=1),AND(J4869=1,I4869="SBJ"),AND(J4869=1,I4869=0)),"?IN_FOCUS",IF(J4869&lt;=2,"?ACTIVATED",IF(J4869&lt;&gt;"","?FAMILIAR",IF(F4869="NEW",IF(ISNA(VLOOKUP(E4869,#REF!,1,FALSE())),"?TYPE_IDENTIFIABLE","?REFERENTIAL"),"_")))))</f>
        <v> </v>
      </c>
      <c r="H4869" s="25" t="str">
        <f>IF(J4869&lt;&gt;1,"",IF(I4869="SBJ","CB","?"))</f>
        <v> </v>
      </c>
      <c r="I4869" s="26" t="str">
        <f>IF(OR(E4869="",E4869="!!!",F4869="NEW"),"",INDEX(B4868:B$2,-1+SUMPRODUCT(MAX(ROW(E4868:E$2)*(E4869=E4868:E$2)))))</f>
        <v> </v>
      </c>
      <c r="J4869" s="26" t="str">
        <f>IF(OR(E4869="",E4869="!!!",F4869="NEW"),"",COUNTBLANK(OFFSET(A$1,,,SUMPRODUCT(MAX(ROW(E$2:E4869)*(E4869=E$2:E4869)))))-COUNTBLANK(OFFSET(A$1,,,SUMPRODUCT(MAX(ROW(E$1:E4868)*(E2=E$1:E4868))))))</f>
        <v> </v>
      </c>
      <c r="K4869" s="26" t="str">
        <f>IF(OR(E4869="",E4869="!!!",F4869="NEW"),"",INDEX(J$1:J4868,SUMPRODUCT(MAX(ROW(E$1:E4868)*(E4869=E$1:E4868)))))</f>
        <v> </v>
      </c>
      <c r="L4869" s="27"/>
    </row>
    <row r="4870" spans="1:12">
      <c r="A4870" s="20"/>
    </row>
    <row r="4871" spans="1:12">
      <c r="A4871" s="20" t="s">
        <v>2795</v>
      </c>
    </row>
    <row r="4872" spans="1:12">
      <c r="A4872" s="20" t="s">
        <v>1353</v>
      </c>
      <c r="E4872" s="22">
        <f>IF(D4872="?OLD","!!!","")</f>
        <v/>
      </c>
      <c r="F4872" s="23" t="str">
        <f>IF(OR(E4872="",E4872="!!!"),"",IF(NOT(ISNA(VLOOKUP(E4872,E$1:E4871,1,FALSE()))),"OLD",IF(AND(E4872&lt;&gt;"",E4872&lt;&gt;"!!!"),"NEW","")))</f>
        <v> </v>
      </c>
      <c r="G4872" s="24" t="str">
        <f>IF(OR(E4872="",E4872="!!!"),"",IF(OR(J4872=0,AND(J4872=1,K4872=1),AND(J4872=1,I4872="SBJ"),AND(J4872=1,I4872=0)),"?IN_FOCUS",IF(J4872&lt;=2,"?ACTIVATED",IF(J4872&lt;&gt;"","?FAMILIAR",IF(F4872="NEW",IF(ISNA(VLOOKUP(E4872,#REF!,1,FALSE())),"?TYPE_IDENTIFIABLE","?REFERENTIAL"),"_")))))</f>
        <v> </v>
      </c>
      <c r="H4872" s="25" t="str">
        <f>IF(J4872&lt;&gt;1,"",IF(I4872="SBJ","CB","?"))</f>
        <v> </v>
      </c>
      <c r="I4872" s="26" t="str">
        <f>IF(OR(E4872="",E4872="!!!",F4872="NEW"),"",INDEX(B4871:B$2,-1+SUMPRODUCT(MAX(ROW(E4871:E$2)*(E4872=E4871:E$2)))))</f>
        <v> </v>
      </c>
      <c r="J4872" s="26" t="str">
        <f>IF(OR(E4872="",E4872="!!!",F4872="NEW"),"",COUNTBLANK(OFFSET(A$1,,,SUMPRODUCT(MAX(ROW(E$2:E4872)*(E4872=E$2:E4872)))))-COUNTBLANK(OFFSET(A$1,,,SUMPRODUCT(MAX(ROW(E$1:E4871)*(E2=E$1:E4871))))))</f>
        <v> </v>
      </c>
      <c r="K4872" s="26" t="str">
        <f>IF(OR(E4872="",E4872="!!!",F4872="NEW"),"",INDEX(J$1:J4871,SUMPRODUCT(MAX(ROW(E$1:E4871)*(E4872=E$1:E4871)))))</f>
        <v> </v>
      </c>
      <c r="L4872" s="27"/>
    </row>
    <row r="4873" spans="1:12">
      <c r="A4873" s="20" t="s">
        <v>1821</v>
      </c>
      <c r="E4873" s="22">
        <f>IF(D4873="?OLD","!!!","")</f>
        <v/>
      </c>
      <c r="F4873" s="23" t="str">
        <f>IF(OR(E4873="",E4873="!!!"),"",IF(NOT(ISNA(VLOOKUP(E4873,E$1:E4872,1,FALSE()))),"OLD",IF(AND(E4873&lt;&gt;"",E4873&lt;&gt;"!!!"),"NEW","")))</f>
        <v> </v>
      </c>
      <c r="G4873" s="24" t="str">
        <f>IF(OR(E4873="",E4873="!!!"),"",IF(OR(J4873=0,AND(J4873=1,K4873=1),AND(J4873=1,I4873="SBJ"),AND(J4873=1,I4873=0)),"?IN_FOCUS",IF(J4873&lt;=2,"?ACTIVATED",IF(J4873&lt;&gt;"","?FAMILIAR",IF(F4873="NEW",IF(ISNA(VLOOKUP(E4873,#REF!,1,FALSE())),"?TYPE_IDENTIFIABLE","?REFERENTIAL"),"_")))))</f>
        <v> </v>
      </c>
      <c r="H4873" s="25" t="str">
        <f>IF(J4873&lt;&gt;1,"",IF(I4873="SBJ","CB","?"))</f>
        <v> </v>
      </c>
      <c r="I4873" s="26" t="str">
        <f>IF(OR(E4873="",E4873="!!!",F4873="NEW"),"",INDEX(B4872:B$2,-1+SUMPRODUCT(MAX(ROW(E4872:E$2)*(E4873=E4872:E$2)))))</f>
        <v> </v>
      </c>
      <c r="J4873" s="26" t="str">
        <f>IF(OR(E4873="",E4873="!!!",F4873="NEW"),"",COUNTBLANK(OFFSET(A$1,,,SUMPRODUCT(MAX(ROW(E$2:E4873)*(E4873=E$2:E4873)))))-COUNTBLANK(OFFSET(A$1,,,SUMPRODUCT(MAX(ROW(E$1:E4872)*(E2=E$1:E4872))))))</f>
        <v> </v>
      </c>
      <c r="K4873" s="26" t="str">
        <f>IF(OR(E4873="",E4873="!!!",F4873="NEW"),"",INDEX(J$1:J4872,SUMPRODUCT(MAX(ROW(E$1:E4872)*(E4873=E$1:E4872)))))</f>
        <v> </v>
      </c>
      <c r="L4873" s="27"/>
    </row>
    <row r="4874" spans="1:12">
      <c r="A4874" s="20" t="s">
        <v>1218</v>
      </c>
      <c r="E4874" s="22">
        <f>IF(D4874="?OLD","!!!","")</f>
        <v/>
      </c>
      <c r="F4874" s="23" t="str">
        <f>IF(OR(E4874="",E4874="!!!"),"",IF(NOT(ISNA(VLOOKUP(E4874,E$1:E4873,1,FALSE()))),"OLD",IF(AND(E4874&lt;&gt;"",E4874&lt;&gt;"!!!"),"NEW","")))</f>
        <v> </v>
      </c>
      <c r="G4874" s="24" t="str">
        <f>IF(OR(E4874="",E4874="!!!"),"",IF(OR(J4874=0,AND(J4874=1,K4874=1),AND(J4874=1,I4874="SBJ"),AND(J4874=1,I4874=0)),"?IN_FOCUS",IF(J4874&lt;=2,"?ACTIVATED",IF(J4874&lt;&gt;"","?FAMILIAR",IF(F4874="NEW",IF(ISNA(VLOOKUP(E4874,#REF!,1,FALSE())),"?TYPE_IDENTIFIABLE","?REFERENTIAL"),"_")))))</f>
        <v> </v>
      </c>
      <c r="H4874" s="25" t="str">
        <f>IF(J4874&lt;&gt;1,"",IF(I4874="SBJ","CB","?"))</f>
        <v> </v>
      </c>
      <c r="I4874" s="26" t="str">
        <f>IF(OR(E4874="",E4874="!!!",F4874="NEW"),"",INDEX(B4873:B$2,-1+SUMPRODUCT(MAX(ROW(E4873:E$2)*(E4874=E4873:E$2)))))</f>
        <v> </v>
      </c>
      <c r="J4874" s="26" t="str">
        <f>IF(OR(E4874="",E4874="!!!",F4874="NEW"),"",COUNTBLANK(OFFSET(A$1,,,SUMPRODUCT(MAX(ROW(E$2:E4874)*(E4874=E$2:E4874)))))-COUNTBLANK(OFFSET(A$1,,,SUMPRODUCT(MAX(ROW(E$1:E4873)*(E2=E$1:E4873))))))</f>
        <v> </v>
      </c>
      <c r="K4874" s="26" t="str">
        <f>IF(OR(E4874="",E4874="!!!",F4874="NEW"),"",INDEX(J$1:J4873,SUMPRODUCT(MAX(ROW(E$1:E4873)*(E4874=E$1:E4873)))))</f>
        <v> </v>
      </c>
      <c r="L4874" s="27"/>
    </row>
    <row r="4875" spans="1:12">
      <c r="A4875" s="20" t="s">
        <v>1329</v>
      </c>
      <c r="E4875" s="22">
        <f>IF(D4875="?OLD","!!!","")</f>
        <v/>
      </c>
      <c r="F4875" s="23" t="str">
        <f>IF(OR(E4875="",E4875="!!!"),"",IF(NOT(ISNA(VLOOKUP(E4875,E$1:E4874,1,FALSE()))),"OLD",IF(AND(E4875&lt;&gt;"",E4875&lt;&gt;"!!!"),"NEW","")))</f>
        <v> </v>
      </c>
      <c r="G4875" s="24" t="str">
        <f>IF(OR(E4875="",E4875="!!!"),"",IF(OR(J4875=0,AND(J4875=1,K4875=1),AND(J4875=1,I4875="SBJ"),AND(J4875=1,I4875=0)),"?IN_FOCUS",IF(J4875&lt;=2,"?ACTIVATED",IF(J4875&lt;&gt;"","?FAMILIAR",IF(F4875="NEW",IF(ISNA(VLOOKUP(E4875,#REF!,1,FALSE())),"?TYPE_IDENTIFIABLE","?REFERENTIAL"),"_")))))</f>
        <v> </v>
      </c>
      <c r="H4875" s="25" t="str">
        <f>IF(J4875&lt;&gt;1,"",IF(I4875="SBJ","CB","?"))</f>
        <v> </v>
      </c>
      <c r="I4875" s="26" t="str">
        <f>IF(OR(E4875="",E4875="!!!",F4875="NEW"),"",INDEX(B4874:B$2,-1+SUMPRODUCT(MAX(ROW(E4874:E$2)*(E4875=E4874:E$2)))))</f>
        <v> </v>
      </c>
      <c r="J4875" s="26" t="str">
        <f>IF(OR(E4875="",E4875="!!!",F4875="NEW"),"",COUNTBLANK(OFFSET(A$1,,,SUMPRODUCT(MAX(ROW(E$2:E4875)*(E4875=E$2:E4875)))))-COUNTBLANK(OFFSET(A$1,,,SUMPRODUCT(MAX(ROW(E$1:E4874)*(E2=E$1:E4874))))))</f>
        <v> </v>
      </c>
      <c r="K4875" s="26" t="str">
        <f>IF(OR(E4875="",E4875="!!!",F4875="NEW"),"",INDEX(J$1:J4874,SUMPRODUCT(MAX(ROW(E$1:E4874)*(E4875=E$1:E4874)))))</f>
        <v> </v>
      </c>
      <c r="L4875" s="27"/>
    </row>
    <row r="4876" spans="1:12">
      <c r="A4876" s="20" t="s">
        <v>1337</v>
      </c>
      <c r="B4876" s="21" t="s">
        <v>1221</v>
      </c>
      <c r="C4876" s="21" t="s">
        <v>1276</v>
      </c>
      <c r="D4876" s="21" t="s">
        <v>1217</v>
      </c>
      <c r="E4876" s="22">
        <f>IF(D4876="?OLD","!!!","")</f>
        <v/>
      </c>
      <c r="F4876" s="23" t="str">
        <f>IF(OR(E4876="",E4876="!!!"),"",IF(NOT(ISNA(VLOOKUP(E4876,E$1:E4875,1,FALSE()))),"OLD",IF(AND(E4876&lt;&gt;"",E4876&lt;&gt;"!!!"),"NEW","")))</f>
        <v> </v>
      </c>
      <c r="G4876" s="24" t="str">
        <f>IF(OR(E4876="",E4876="!!!"),"",IF(OR(J4876=0,AND(J4876=1,K4876=1),AND(J4876=1,I4876="SBJ"),AND(J4876=1,I4876=0)),"?IN_FOCUS",IF(J4876&lt;=2,"?ACTIVATED",IF(J4876&lt;&gt;"","?FAMILIAR",IF(F4876="NEW",IF(ISNA(VLOOKUP(E4876,#REF!,1,FALSE())),"?TYPE_IDENTIFIABLE","?REFERENTIAL"),"_")))))</f>
        <v> </v>
      </c>
      <c r="H4876" s="25" t="str">
        <f>IF(J4876&lt;&gt;1,"",IF(I4876="SBJ","CB","?"))</f>
        <v> </v>
      </c>
      <c r="I4876" s="26" t="str">
        <f>IF(OR(E4876="",E4876="!!!",F4876="NEW"),"",INDEX(B4875:B$2,-1+SUMPRODUCT(MAX(ROW(E4875:E$2)*(E4876=E4875:E$2)))))</f>
        <v> </v>
      </c>
      <c r="J4876" s="26" t="str">
        <f>IF(OR(E4876="",E4876="!!!",F4876="NEW"),"",COUNTBLANK(OFFSET(A$1,,,SUMPRODUCT(MAX(ROW(E$2:E4876)*(E4876=E$2:E4876)))))-COUNTBLANK(OFFSET(A$1,,,SUMPRODUCT(MAX(ROW(E$1:E4875)*(E2=E$1:E4875))))))</f>
        <v> </v>
      </c>
      <c r="K4876" s="26" t="str">
        <f>IF(OR(E4876="",E4876="!!!",F4876="NEW"),"",INDEX(J$1:J4875,SUMPRODUCT(MAX(ROW(E$1:E4875)*(E4876=E$1:E4875)))))</f>
        <v> </v>
      </c>
      <c r="L4876" s="27"/>
    </row>
    <row r="4877" spans="1:12">
      <c r="A4877" s="20" t="s">
        <v>1277</v>
      </c>
      <c r="E4877" s="22">
        <f>IF(D4877="?OLD","!!!","")</f>
        <v/>
      </c>
      <c r="F4877" s="23" t="str">
        <f>IF(OR(E4877="",E4877="!!!"),"",IF(NOT(ISNA(VLOOKUP(E4877,E$1:E4876,1,FALSE()))),"OLD",IF(AND(E4877&lt;&gt;"",E4877&lt;&gt;"!!!"),"NEW","")))</f>
        <v> </v>
      </c>
      <c r="G4877" s="24" t="str">
        <f>IF(OR(E4877="",E4877="!!!"),"",IF(OR(J4877=0,AND(J4877=1,K4877=1),AND(J4877=1,I4877="SBJ"),AND(J4877=1,I4877=0)),"?IN_FOCUS",IF(J4877&lt;=2,"?ACTIVATED",IF(J4877&lt;&gt;"","?FAMILIAR",IF(F4877="NEW",IF(ISNA(VLOOKUP(E4877,#REF!,1,FALSE())),"?TYPE_IDENTIFIABLE","?REFERENTIAL"),"_")))))</f>
        <v> </v>
      </c>
      <c r="H4877" s="25" t="str">
        <f>IF(J4877&lt;&gt;1,"",IF(I4877="SBJ","CB","?"))</f>
        <v> </v>
      </c>
      <c r="I4877" s="26" t="str">
        <f>IF(OR(E4877="",E4877="!!!",F4877="NEW"),"",INDEX(B4876:B$2,-1+SUMPRODUCT(MAX(ROW(E4876:E$2)*(E4877=E4876:E$2)))))</f>
        <v> </v>
      </c>
      <c r="J4877" s="26" t="str">
        <f>IF(OR(E4877="",E4877="!!!",F4877="NEW"),"",COUNTBLANK(OFFSET(A$1,,,SUMPRODUCT(MAX(ROW(E$2:E4877)*(E4877=E$2:E4877)))))-COUNTBLANK(OFFSET(A$1,,,SUMPRODUCT(MAX(ROW(E$1:E4876)*(E2=E$1:E4876))))))</f>
        <v> </v>
      </c>
      <c r="K4877" s="26" t="str">
        <f>IF(OR(E4877="",E4877="!!!",F4877="NEW"),"",INDEX(J$1:J4876,SUMPRODUCT(MAX(ROW(E$1:E4876)*(E4877=E$1:E4876)))))</f>
        <v> </v>
      </c>
      <c r="L4877" s="27"/>
    </row>
    <row r="4878" spans="1:12">
      <c r="A4878" s="20" t="s">
        <v>1218</v>
      </c>
      <c r="E4878" s="22">
        <f>IF(D4878="?OLD","!!!","")</f>
        <v/>
      </c>
      <c r="F4878" s="23" t="str">
        <f>IF(OR(E4878="",E4878="!!!"),"",IF(NOT(ISNA(VLOOKUP(E4878,E$1:E4877,1,FALSE()))),"OLD",IF(AND(E4878&lt;&gt;"",E4878&lt;&gt;"!!!"),"NEW","")))</f>
        <v> </v>
      </c>
      <c r="G4878" s="24" t="str">
        <f>IF(OR(E4878="",E4878="!!!"),"",IF(OR(J4878=0,AND(J4878=1,K4878=1),AND(J4878=1,I4878="SBJ"),AND(J4878=1,I4878=0)),"?IN_FOCUS",IF(J4878&lt;=2,"?ACTIVATED",IF(J4878&lt;&gt;"","?FAMILIAR",IF(F4878="NEW",IF(ISNA(VLOOKUP(E4878,#REF!,1,FALSE())),"?TYPE_IDENTIFIABLE","?REFERENTIAL"),"_")))))</f>
        <v> </v>
      </c>
      <c r="H4878" s="25" t="str">
        <f>IF(J4878&lt;&gt;1,"",IF(I4878="SBJ","CB","?"))</f>
        <v> </v>
      </c>
      <c r="I4878" s="26" t="str">
        <f>IF(OR(E4878="",E4878="!!!",F4878="NEW"),"",INDEX(B4877:B$2,-1+SUMPRODUCT(MAX(ROW(E4877:E$2)*(E4878=E4877:E$2)))))</f>
        <v> </v>
      </c>
      <c r="J4878" s="26" t="str">
        <f>IF(OR(E4878="",E4878="!!!",F4878="NEW"),"",COUNTBLANK(OFFSET(A$1,,,SUMPRODUCT(MAX(ROW(E$2:E4878)*(E4878=E$2:E4878)))))-COUNTBLANK(OFFSET(A$1,,,SUMPRODUCT(MAX(ROW(E$1:E4877)*(E2=E$1:E4877))))))</f>
        <v> </v>
      </c>
      <c r="K4878" s="26" t="str">
        <f>IF(OR(E4878="",E4878="!!!",F4878="NEW"),"",INDEX(J$1:J4877,SUMPRODUCT(MAX(ROW(E$1:E4877)*(E4878=E$1:E4877)))))</f>
        <v> </v>
      </c>
      <c r="L4878" s="27"/>
    </row>
    <row r="4879" spans="1:12">
      <c r="A4879" s="20" t="s">
        <v>2796</v>
      </c>
      <c r="E4879" s="22">
        <f>IF(D4879="?OLD","!!!","")</f>
        <v/>
      </c>
      <c r="F4879" s="23" t="str">
        <f>IF(OR(E4879="",E4879="!!!"),"",IF(NOT(ISNA(VLOOKUP(E4879,E$1:E4878,1,FALSE()))),"OLD",IF(AND(E4879&lt;&gt;"",E4879&lt;&gt;"!!!"),"NEW","")))</f>
        <v> </v>
      </c>
      <c r="G4879" s="24" t="str">
        <f>IF(OR(E4879="",E4879="!!!"),"",IF(OR(J4879=0,AND(J4879=1,K4879=1),AND(J4879=1,I4879="SBJ"),AND(J4879=1,I4879=0)),"?IN_FOCUS",IF(J4879&lt;=2,"?ACTIVATED",IF(J4879&lt;&gt;"","?FAMILIAR",IF(F4879="NEW",IF(ISNA(VLOOKUP(E4879,#REF!,1,FALSE())),"?TYPE_IDENTIFIABLE","?REFERENTIAL"),"_")))))</f>
        <v> </v>
      </c>
      <c r="H4879" s="25" t="str">
        <f>IF(J4879&lt;&gt;1,"",IF(I4879="SBJ","CB","?"))</f>
        <v> </v>
      </c>
      <c r="I4879" s="26" t="str">
        <f>IF(OR(E4879="",E4879="!!!",F4879="NEW"),"",INDEX(B4878:B$2,-1+SUMPRODUCT(MAX(ROW(E4878:E$2)*(E4879=E4878:E$2)))))</f>
        <v> </v>
      </c>
      <c r="J4879" s="26" t="str">
        <f>IF(OR(E4879="",E4879="!!!",F4879="NEW"),"",COUNTBLANK(OFFSET(A$1,,,SUMPRODUCT(MAX(ROW(E$2:E4879)*(E4879=E$2:E4879)))))-COUNTBLANK(OFFSET(A$1,,,SUMPRODUCT(MAX(ROW(E$1:E4878)*(E2=E$1:E4878))))))</f>
        <v> </v>
      </c>
      <c r="K4879" s="26" t="str">
        <f>IF(OR(E4879="",E4879="!!!",F4879="NEW"),"",INDEX(J$1:J4878,SUMPRODUCT(MAX(ROW(E$1:E4878)*(E4879=E$1:E4878)))))</f>
        <v> </v>
      </c>
      <c r="L4879" s="27"/>
    </row>
    <row r="4880" spans="1:12">
      <c r="A4880" s="20" t="s">
        <v>2700</v>
      </c>
      <c r="B4880" s="21" t="s">
        <v>1215</v>
      </c>
      <c r="C4880" s="21" t="s">
        <v>1238</v>
      </c>
      <c r="E4880" s="22">
        <f>IF(D4880="?OLD","!!!","")</f>
        <v/>
      </c>
      <c r="F4880" s="23" t="str">
        <f>IF(OR(E4880="",E4880="!!!"),"",IF(NOT(ISNA(VLOOKUP(E4880,E$1:E4879,1,FALSE()))),"OLD",IF(AND(E4880&lt;&gt;"",E4880&lt;&gt;"!!!"),"NEW","")))</f>
        <v> </v>
      </c>
      <c r="G4880" s="24" t="str">
        <f>IF(OR(E4880="",E4880="!!!"),"",IF(OR(J4880=0,AND(J4880=1,K4880=1),AND(J4880=1,I4880="SBJ"),AND(J4880=1,I4880=0)),"?IN_FOCUS",IF(J4880&lt;=2,"?ACTIVATED",IF(J4880&lt;&gt;"","?FAMILIAR",IF(F4880="NEW",IF(ISNA(VLOOKUP(E4880,#REF!,1,FALSE())),"?TYPE_IDENTIFIABLE","?REFERENTIAL"),"_")))))</f>
        <v> </v>
      </c>
      <c r="H4880" s="25" t="str">
        <f>IF(J4880&lt;&gt;1,"",IF(I4880="SBJ","CB","?"))</f>
        <v> </v>
      </c>
      <c r="I4880" s="26" t="str">
        <f>IF(OR(E4880="",E4880="!!!",F4880="NEW"),"",INDEX(B4879:B$2,-1+SUMPRODUCT(MAX(ROW(E4879:E$2)*(E4880=E4879:E$2)))))</f>
        <v> </v>
      </c>
      <c r="J4880" s="26" t="str">
        <f>IF(OR(E4880="",E4880="!!!",F4880="NEW"),"",COUNTBLANK(OFFSET(A$1,,,SUMPRODUCT(MAX(ROW(E$2:E4880)*(E4880=E$2:E4880)))))-COUNTBLANK(OFFSET(A$1,,,SUMPRODUCT(MAX(ROW(E$1:E4879)*(E2=E$1:E4879))))))</f>
        <v> </v>
      </c>
      <c r="K4880" s="26" t="str">
        <f>IF(OR(E4880="",E4880="!!!",F4880="NEW"),"",INDEX(J$1:J4879,SUMPRODUCT(MAX(ROW(E$1:E4879)*(E4880=E$1:E4879)))))</f>
        <v> </v>
      </c>
      <c r="L4880" s="27"/>
    </row>
    <row r="4881" spans="1:12">
      <c r="A4881" s="20" t="s">
        <v>1277</v>
      </c>
      <c r="E4881" s="22">
        <f>IF(D4881="?OLD","!!!","")</f>
        <v/>
      </c>
      <c r="F4881" s="23" t="str">
        <f>IF(OR(E4881="",E4881="!!!"),"",IF(NOT(ISNA(VLOOKUP(E4881,E$1:E4880,1,FALSE()))),"OLD",IF(AND(E4881&lt;&gt;"",E4881&lt;&gt;"!!!"),"NEW","")))</f>
        <v> </v>
      </c>
      <c r="G4881" s="24" t="str">
        <f>IF(OR(E4881="",E4881="!!!"),"",IF(OR(J4881=0,AND(J4881=1,K4881=1),AND(J4881=1,I4881="SBJ"),AND(J4881=1,I4881=0)),"?IN_FOCUS",IF(J4881&lt;=2,"?ACTIVATED",IF(J4881&lt;&gt;"","?FAMILIAR",IF(F4881="NEW",IF(ISNA(VLOOKUP(E4881,#REF!,1,FALSE())),"?TYPE_IDENTIFIABLE","?REFERENTIAL"),"_")))))</f>
        <v> </v>
      </c>
      <c r="H4881" s="25" t="str">
        <f>IF(J4881&lt;&gt;1,"",IF(I4881="SBJ","CB","?"))</f>
        <v> </v>
      </c>
      <c r="I4881" s="26" t="str">
        <f>IF(OR(E4881="",E4881="!!!",F4881="NEW"),"",INDEX(B4880:B$2,-1+SUMPRODUCT(MAX(ROW(E4880:E$2)*(E4881=E4880:E$2)))))</f>
        <v> </v>
      </c>
      <c r="J4881" s="26" t="str">
        <f>IF(OR(E4881="",E4881="!!!",F4881="NEW"),"",COUNTBLANK(OFFSET(A$1,,,SUMPRODUCT(MAX(ROW(E$2:E4881)*(E4881=E$2:E4881)))))-COUNTBLANK(OFFSET(A$1,,,SUMPRODUCT(MAX(ROW(E$1:E4880)*(E2=E$1:E4880))))))</f>
        <v> </v>
      </c>
      <c r="K4881" s="26" t="str">
        <f>IF(OR(E4881="",E4881="!!!",F4881="NEW"),"",INDEX(J$1:J4880,SUMPRODUCT(MAX(ROW(E$1:E4880)*(E4881=E$1:E4880)))))</f>
        <v> </v>
      </c>
      <c r="L4881" s="27"/>
    </row>
    <row r="4882" spans="1:12">
      <c r="A4882" s="20" t="s">
        <v>2704</v>
      </c>
      <c r="E4882" s="22">
        <f>IF(D4882="?OLD","!!!","")</f>
        <v/>
      </c>
      <c r="F4882" s="23" t="str">
        <f>IF(OR(E4882="",E4882="!!!"),"",IF(NOT(ISNA(VLOOKUP(E4882,E$1:E4881,1,FALSE()))),"OLD",IF(AND(E4882&lt;&gt;"",E4882&lt;&gt;"!!!"),"NEW","")))</f>
        <v> </v>
      </c>
      <c r="G4882" s="24" t="str">
        <f>IF(OR(E4882="",E4882="!!!"),"",IF(OR(J4882=0,AND(J4882=1,K4882=1),AND(J4882=1,I4882="SBJ"),AND(J4882=1,I4882=0)),"?IN_FOCUS",IF(J4882&lt;=2,"?ACTIVATED",IF(J4882&lt;&gt;"","?FAMILIAR",IF(F4882="NEW",IF(ISNA(VLOOKUP(E4882,#REF!,1,FALSE())),"?TYPE_IDENTIFIABLE","?REFERENTIAL"),"_")))))</f>
        <v> </v>
      </c>
      <c r="H4882" s="25" t="str">
        <f>IF(J4882&lt;&gt;1,"",IF(I4882="SBJ","CB","?"))</f>
        <v> </v>
      </c>
      <c r="I4882" s="26" t="str">
        <f>IF(OR(E4882="",E4882="!!!",F4882="NEW"),"",INDEX(B4881:B$2,-1+SUMPRODUCT(MAX(ROW(E4881:E$2)*(E4882=E4881:E$2)))))</f>
        <v> </v>
      </c>
      <c r="J4882" s="26" t="str">
        <f>IF(OR(E4882="",E4882="!!!",F4882="NEW"),"",COUNTBLANK(OFFSET(A$1,,,SUMPRODUCT(MAX(ROW(E$2:E4882)*(E4882=E$2:E4882)))))-COUNTBLANK(OFFSET(A$1,,,SUMPRODUCT(MAX(ROW(E$1:E4881)*(E2=E$1:E4881))))))</f>
        <v> </v>
      </c>
      <c r="K4882" s="26" t="str">
        <f>IF(OR(E4882="",E4882="!!!",F4882="NEW"),"",INDEX(J$1:J4881,SUMPRODUCT(MAX(ROW(E$1:E4881)*(E4882=E$1:E4881)))))</f>
        <v> </v>
      </c>
      <c r="L4882" s="27"/>
    </row>
    <row r="4883" spans="1:12">
      <c r="A4883" s="20" t="s">
        <v>2797</v>
      </c>
      <c r="B4883" s="21" t="s">
        <v>1237</v>
      </c>
      <c r="C4883" s="21" t="s">
        <v>1234</v>
      </c>
      <c r="D4883" s="21" t="s">
        <v>1217</v>
      </c>
      <c r="E4883" s="22">
        <f>IF(D4883="?OLD","!!!","")</f>
        <v/>
      </c>
      <c r="F4883" s="23" t="str">
        <f>IF(OR(E4883="",E4883="!!!"),"",IF(NOT(ISNA(VLOOKUP(E4883,E$1:E4882,1,FALSE()))),"OLD",IF(AND(E4883&lt;&gt;"",E4883&lt;&gt;"!!!"),"NEW","")))</f>
        <v> </v>
      </c>
      <c r="G4883" s="24" t="str">
        <f>IF(OR(E4883="",E4883="!!!"),"",IF(OR(J4883=0,AND(J4883=1,K4883=1),AND(J4883=1,I4883="SBJ"),AND(J4883=1,I4883=0)),"?IN_FOCUS",IF(J4883&lt;=2,"?ACTIVATED",IF(J4883&lt;&gt;"","?FAMILIAR",IF(F4883="NEW",IF(ISNA(VLOOKUP(E4883,#REF!,1,FALSE())),"?TYPE_IDENTIFIABLE","?REFERENTIAL"),"_")))))</f>
        <v> </v>
      </c>
      <c r="H4883" s="25" t="str">
        <f>IF(J4883&lt;&gt;1,"",IF(I4883="SBJ","CB","?"))</f>
        <v> </v>
      </c>
      <c r="I4883" s="26" t="str">
        <f>IF(OR(E4883="",E4883="!!!",F4883="NEW"),"",INDEX(B4882:B$2,-1+SUMPRODUCT(MAX(ROW(E4882:E$2)*(E4883=E4882:E$2)))))</f>
        <v> </v>
      </c>
      <c r="J4883" s="26" t="str">
        <f>IF(OR(E4883="",E4883="!!!",F4883="NEW"),"",COUNTBLANK(OFFSET(A$1,,,SUMPRODUCT(MAX(ROW(E$2:E4883)*(E4883=E$2:E4883)))))-COUNTBLANK(OFFSET(A$1,,,SUMPRODUCT(MAX(ROW(E$1:E4882)*(E2=E$1:E4882))))))</f>
        <v> </v>
      </c>
      <c r="K4883" s="26" t="str">
        <f>IF(OR(E4883="",E4883="!!!",F4883="NEW"),"",INDEX(J$1:J4882,SUMPRODUCT(MAX(ROW(E$1:E4882)*(E4883=E$1:E4882)))))</f>
        <v> </v>
      </c>
      <c r="L4883" s="27"/>
    </row>
    <row r="4884" spans="1:12">
      <c r="A4884" s="20" t="s">
        <v>1286</v>
      </c>
      <c r="E4884" s="22">
        <f>IF(D4884="?OLD","!!!","")</f>
        <v/>
      </c>
      <c r="F4884" s="23" t="str">
        <f>IF(OR(E4884="",E4884="!!!"),"",IF(NOT(ISNA(VLOOKUP(E4884,E$1:E4883,1,FALSE()))),"OLD",IF(AND(E4884&lt;&gt;"",E4884&lt;&gt;"!!!"),"NEW","")))</f>
        <v> </v>
      </c>
      <c r="G4884" s="24" t="str">
        <f>IF(OR(E4884="",E4884="!!!"),"",IF(OR(J4884=0,AND(J4884=1,K4884=1),AND(J4884=1,I4884="SBJ"),AND(J4884=1,I4884=0)),"?IN_FOCUS",IF(J4884&lt;=2,"?ACTIVATED",IF(J4884&lt;&gt;"","?FAMILIAR",IF(F4884="NEW",IF(ISNA(VLOOKUP(E4884,#REF!,1,FALSE())),"?TYPE_IDENTIFIABLE","?REFERENTIAL"),"_")))))</f>
        <v> </v>
      </c>
      <c r="H4884" s="25" t="str">
        <f>IF(J4884&lt;&gt;1,"",IF(I4884="SBJ","CB","?"))</f>
        <v> </v>
      </c>
      <c r="I4884" s="26" t="str">
        <f>IF(OR(E4884="",E4884="!!!",F4884="NEW"),"",INDEX(B4883:B$2,-1+SUMPRODUCT(MAX(ROW(E4883:E$2)*(E4884=E4883:E$2)))))</f>
        <v> </v>
      </c>
      <c r="J4884" s="26" t="str">
        <f>IF(OR(E4884="",E4884="!!!",F4884="NEW"),"",COUNTBLANK(OFFSET(A$1,,,SUMPRODUCT(MAX(ROW(E$2:E4884)*(E4884=E$2:E4884)))))-COUNTBLANK(OFFSET(A$1,,,SUMPRODUCT(MAX(ROW(E$1:E4883)*(E2=E$1:E4883))))))</f>
        <v> </v>
      </c>
      <c r="K4884" s="26" t="str">
        <f>IF(OR(E4884="",E4884="!!!",F4884="NEW"),"",INDEX(J$1:J4883,SUMPRODUCT(MAX(ROW(E$1:E4883)*(E4884=E$1:E4883)))))</f>
        <v> </v>
      </c>
      <c r="L4884" s="27"/>
    </row>
    <row r="4885" spans="1:12">
      <c r="A4885" s="20" t="s">
        <v>1756</v>
      </c>
      <c r="E4885" s="22">
        <f>IF(D4885="?OLD","!!!","")</f>
        <v/>
      </c>
      <c r="F4885" s="23" t="str">
        <f>IF(OR(E4885="",E4885="!!!"),"",IF(NOT(ISNA(VLOOKUP(E4885,E$1:E4884,1,FALSE()))),"OLD",IF(AND(E4885&lt;&gt;"",E4885&lt;&gt;"!!!"),"NEW","")))</f>
        <v> </v>
      </c>
      <c r="G4885" s="24" t="str">
        <f>IF(OR(E4885="",E4885="!!!"),"",IF(OR(J4885=0,AND(J4885=1,K4885=1),AND(J4885=1,I4885="SBJ"),AND(J4885=1,I4885=0)),"?IN_FOCUS",IF(J4885&lt;=2,"?ACTIVATED",IF(J4885&lt;&gt;"","?FAMILIAR",IF(F4885="NEW",IF(ISNA(VLOOKUP(E4885,#REF!,1,FALSE())),"?TYPE_IDENTIFIABLE","?REFERENTIAL"),"_")))))</f>
        <v> </v>
      </c>
      <c r="H4885" s="25" t="str">
        <f>IF(J4885&lt;&gt;1,"",IF(I4885="SBJ","CB","?"))</f>
        <v> </v>
      </c>
      <c r="I4885" s="26" t="str">
        <f>IF(OR(E4885="",E4885="!!!",F4885="NEW"),"",INDEX(B4884:B$2,-1+SUMPRODUCT(MAX(ROW(E4884:E$2)*(E4885=E4884:E$2)))))</f>
        <v> </v>
      </c>
      <c r="J4885" s="26" t="str">
        <f>IF(OR(E4885="",E4885="!!!",F4885="NEW"),"",COUNTBLANK(OFFSET(A$1,,,SUMPRODUCT(MAX(ROW(E$2:E4885)*(E4885=E$2:E4885)))))-COUNTBLANK(OFFSET(A$1,,,SUMPRODUCT(MAX(ROW(E$1:E4884)*(E2=E$1:E4884))))))</f>
        <v> </v>
      </c>
      <c r="K4885" s="26" t="str">
        <f>IF(OR(E4885="",E4885="!!!",F4885="NEW"),"",INDEX(J$1:J4884,SUMPRODUCT(MAX(ROW(E$1:E4884)*(E4885=E$1:E4884)))))</f>
        <v> </v>
      </c>
      <c r="L4885" s="27"/>
    </row>
    <row r="4886" spans="1:12">
      <c r="A4886" s="20" t="s">
        <v>1277</v>
      </c>
      <c r="E4886" s="22">
        <f>IF(D4886="?OLD","!!!","")</f>
        <v/>
      </c>
      <c r="F4886" s="23" t="str">
        <f>IF(OR(E4886="",E4886="!!!"),"",IF(NOT(ISNA(VLOOKUP(E4886,E$1:E4885,1,FALSE()))),"OLD",IF(AND(E4886&lt;&gt;"",E4886&lt;&gt;"!!!"),"NEW","")))</f>
        <v> </v>
      </c>
      <c r="G4886" s="24" t="str">
        <f>IF(OR(E4886="",E4886="!!!"),"",IF(OR(J4886=0,AND(J4886=1,K4886=1),AND(J4886=1,I4886="SBJ"),AND(J4886=1,I4886=0)),"?IN_FOCUS",IF(J4886&lt;=2,"?ACTIVATED",IF(J4886&lt;&gt;"","?FAMILIAR",IF(F4886="NEW",IF(ISNA(VLOOKUP(E4886,#REF!,1,FALSE())),"?TYPE_IDENTIFIABLE","?REFERENTIAL"),"_")))))</f>
        <v> </v>
      </c>
      <c r="H4886" s="25" t="str">
        <f>IF(J4886&lt;&gt;1,"",IF(I4886="SBJ","CB","?"))</f>
        <v> </v>
      </c>
      <c r="I4886" s="26" t="str">
        <f>IF(OR(E4886="",E4886="!!!",F4886="NEW"),"",INDEX(B4885:B$2,-1+SUMPRODUCT(MAX(ROW(E4885:E$2)*(E4886=E4885:E$2)))))</f>
        <v> </v>
      </c>
      <c r="J4886" s="26" t="str">
        <f>IF(OR(E4886="",E4886="!!!",F4886="NEW"),"",COUNTBLANK(OFFSET(A$1,,,SUMPRODUCT(MAX(ROW(E$2:E4886)*(E4886=E$2:E4886)))))-COUNTBLANK(OFFSET(A$1,,,SUMPRODUCT(MAX(ROW(E$1:E4885)*(E2=E$1:E4885))))))</f>
        <v> </v>
      </c>
      <c r="K4886" s="26" t="str">
        <f>IF(OR(E4886="",E4886="!!!",F4886="NEW"),"",INDEX(J$1:J4885,SUMPRODUCT(MAX(ROW(E$1:E4885)*(E4886=E$1:E4885)))))</f>
        <v> </v>
      </c>
      <c r="L4886" s="27"/>
    </row>
    <row r="4887" spans="1:12">
      <c r="A4887" s="20" t="s">
        <v>2798</v>
      </c>
      <c r="E4887" s="22">
        <f>IF(D4887="?OLD","!!!","")</f>
        <v/>
      </c>
      <c r="F4887" s="23" t="str">
        <f>IF(OR(E4887="",E4887="!!!"),"",IF(NOT(ISNA(VLOOKUP(E4887,E$1:E4886,1,FALSE()))),"OLD",IF(AND(E4887&lt;&gt;"",E4887&lt;&gt;"!!!"),"NEW","")))</f>
        <v> </v>
      </c>
      <c r="G4887" s="24" t="str">
        <f>IF(OR(E4887="",E4887="!!!"),"",IF(OR(J4887=0,AND(J4887=1,K4887=1),AND(J4887=1,I4887="SBJ"),AND(J4887=1,I4887=0)),"?IN_FOCUS",IF(J4887&lt;=2,"?ACTIVATED",IF(J4887&lt;&gt;"","?FAMILIAR",IF(F4887="NEW",IF(ISNA(VLOOKUP(E4887,#REF!,1,FALSE())),"?TYPE_IDENTIFIABLE","?REFERENTIAL"),"_")))))</f>
        <v> </v>
      </c>
      <c r="H4887" s="25" t="str">
        <f>IF(J4887&lt;&gt;1,"",IF(I4887="SBJ","CB","?"))</f>
        <v> </v>
      </c>
      <c r="I4887" s="26" t="str">
        <f>IF(OR(E4887="",E4887="!!!",F4887="NEW"),"",INDEX(B4886:B$2,-1+SUMPRODUCT(MAX(ROW(E4886:E$2)*(E4887=E4886:E$2)))))</f>
        <v> </v>
      </c>
      <c r="J4887" s="26" t="str">
        <f>IF(OR(E4887="",E4887="!!!",F4887="NEW"),"",COUNTBLANK(OFFSET(A$1,,,SUMPRODUCT(MAX(ROW(E$2:E4887)*(E4887=E$2:E4887)))))-COUNTBLANK(OFFSET(A$1,,,SUMPRODUCT(MAX(ROW(E$1:E4886)*(E2=E$1:E4886))))))</f>
        <v> </v>
      </c>
      <c r="K4887" s="26" t="str">
        <f>IF(OR(E4887="",E4887="!!!",F4887="NEW"),"",INDEX(J$1:J4886,SUMPRODUCT(MAX(ROW(E$1:E4886)*(E4887=E$1:E4886)))))</f>
        <v> </v>
      </c>
      <c r="L4887" s="27"/>
    </row>
    <row r="4888" spans="1:12">
      <c r="A4888" s="20" t="s">
        <v>1266</v>
      </c>
      <c r="E4888" s="22">
        <f>IF(D4888="?OLD","!!!","")</f>
        <v/>
      </c>
      <c r="F4888" s="23" t="str">
        <f>IF(OR(E4888="",E4888="!!!"),"",IF(NOT(ISNA(VLOOKUP(E4888,E$1:E4887,1,FALSE()))),"OLD",IF(AND(E4888&lt;&gt;"",E4888&lt;&gt;"!!!"),"NEW","")))</f>
        <v> </v>
      </c>
      <c r="G4888" s="24" t="str">
        <f>IF(OR(E4888="",E4888="!!!"),"",IF(OR(J4888=0,AND(J4888=1,K4888=1),AND(J4888=1,I4888="SBJ"),AND(J4888=1,I4888=0)),"?IN_FOCUS",IF(J4888&lt;=2,"?ACTIVATED",IF(J4888&lt;&gt;"","?FAMILIAR",IF(F4888="NEW",IF(ISNA(VLOOKUP(E4888,#REF!,1,FALSE())),"?TYPE_IDENTIFIABLE","?REFERENTIAL"),"_")))))</f>
        <v> </v>
      </c>
      <c r="H4888" s="25" t="str">
        <f>IF(J4888&lt;&gt;1,"",IF(I4888="SBJ","CB","?"))</f>
        <v> </v>
      </c>
      <c r="I4888" s="26" t="str">
        <f>IF(OR(E4888="",E4888="!!!",F4888="NEW"),"",INDEX(B4887:B$2,-1+SUMPRODUCT(MAX(ROW(E4887:E$2)*(E4888=E4887:E$2)))))</f>
        <v> </v>
      </c>
      <c r="J4888" s="26" t="str">
        <f>IF(OR(E4888="",E4888="!!!",F4888="NEW"),"",COUNTBLANK(OFFSET(A$1,,,SUMPRODUCT(MAX(ROW(E$2:E4888)*(E4888=E$2:E4888)))))-COUNTBLANK(OFFSET(A$1,,,SUMPRODUCT(MAX(ROW(E$1:E4887)*(E2=E$1:E4887))))))</f>
        <v> </v>
      </c>
      <c r="K4888" s="26" t="str">
        <f>IF(OR(E4888="",E4888="!!!",F4888="NEW"),"",INDEX(J$1:J4887,SUMPRODUCT(MAX(ROW(E$1:E4887)*(E4888=E$1:E4887)))))</f>
        <v> </v>
      </c>
      <c r="L4888" s="27"/>
    </row>
    <row r="4889" spans="1:12">
      <c r="A4889" s="20" t="s">
        <v>139</v>
      </c>
      <c r="B4889" s="21" t="s">
        <v>1275</v>
      </c>
      <c r="C4889" s="21" t="s">
        <v>1269</v>
      </c>
      <c r="D4889" s="21" t="s">
        <v>1217</v>
      </c>
      <c r="E4889" s="22">
        <f>IF(D4889="?OLD","!!!","")</f>
        <v/>
      </c>
      <c r="F4889" s="23" t="str">
        <f>IF(OR(E4889="",E4889="!!!"),"",IF(NOT(ISNA(VLOOKUP(E4889,E$1:E4888,1,FALSE()))),"OLD",IF(AND(E4889&lt;&gt;"",E4889&lt;&gt;"!!!"),"NEW","")))</f>
        <v> </v>
      </c>
      <c r="G4889" s="24" t="str">
        <f>IF(OR(E4889="",E4889="!!!"),"",IF(OR(J4889=0,AND(J4889=1,K4889=1),AND(J4889=1,I4889="SBJ"),AND(J4889=1,I4889=0)),"?IN_FOCUS",IF(J4889&lt;=2,"?ACTIVATED",IF(J4889&lt;&gt;"","?FAMILIAR",IF(F4889="NEW",IF(ISNA(VLOOKUP(E4889,#REF!,1,FALSE())),"?TYPE_IDENTIFIABLE","?REFERENTIAL"),"_")))))</f>
        <v> </v>
      </c>
      <c r="H4889" s="25" t="str">
        <f>IF(J4889&lt;&gt;1,"",IF(I4889="SBJ","CB","?"))</f>
        <v> </v>
      </c>
      <c r="I4889" s="26" t="str">
        <f>IF(OR(E4889="",E4889="!!!",F4889="NEW"),"",INDEX(B4888:B$2,-1+SUMPRODUCT(MAX(ROW(E4888:E$2)*(E4889=E4888:E$2)))))</f>
        <v> </v>
      </c>
      <c r="J4889" s="26" t="str">
        <f>IF(OR(E4889="",E4889="!!!",F4889="NEW"),"",COUNTBLANK(OFFSET(A$1,,,SUMPRODUCT(MAX(ROW(E$2:E4889)*(E4889=E$2:E4889)))))-COUNTBLANK(OFFSET(A$1,,,SUMPRODUCT(MAX(ROW(E$1:E4888)*(E2=E$1:E4888))))))</f>
        <v> </v>
      </c>
      <c r="K4889" s="26" t="str">
        <f>IF(OR(E4889="",E4889="!!!",F4889="NEW"),"",INDEX(J$1:J4888,SUMPRODUCT(MAX(ROW(E$1:E4888)*(E4889=E$1:E4888)))))</f>
        <v> </v>
      </c>
      <c r="L4889" s="27"/>
    </row>
    <row r="4890" spans="1:12">
      <c r="A4890" s="20" t="s">
        <v>1251</v>
      </c>
      <c r="B4890" s="21" t="s">
        <v>1283</v>
      </c>
      <c r="E4890" s="22">
        <f>IF(D4890="?OLD","!!!","")</f>
        <v/>
      </c>
      <c r="F4890" s="23" t="str">
        <f>IF(OR(E4890="",E4890="!!!"),"",IF(NOT(ISNA(VLOOKUP(E4890,E$1:E4889,1,FALSE()))),"OLD",IF(AND(E4890&lt;&gt;"",E4890&lt;&gt;"!!!"),"NEW","")))</f>
        <v> </v>
      </c>
      <c r="G4890" s="24" t="str">
        <f>IF(OR(E4890="",E4890="!!!"),"",IF(OR(J4890=0,AND(J4890=1,K4890=1),AND(J4890=1,I4890="SBJ"),AND(J4890=1,I4890=0)),"?IN_FOCUS",IF(J4890&lt;=2,"?ACTIVATED",IF(J4890&lt;&gt;"","?FAMILIAR",IF(F4890="NEW",IF(ISNA(VLOOKUP(E4890,#REF!,1,FALSE())),"?TYPE_IDENTIFIABLE","?REFERENTIAL"),"_")))))</f>
        <v> </v>
      </c>
      <c r="H4890" s="25" t="str">
        <f>IF(J4890&lt;&gt;1,"",IF(I4890="SBJ","CB","?"))</f>
        <v> </v>
      </c>
      <c r="I4890" s="26" t="str">
        <f>IF(OR(E4890="",E4890="!!!",F4890="NEW"),"",INDEX(B4889:B$2,-1+SUMPRODUCT(MAX(ROW(E4889:E$2)*(E4890=E4889:E$2)))))</f>
        <v> </v>
      </c>
      <c r="J4890" s="26" t="str">
        <f>IF(OR(E4890="",E4890="!!!",F4890="NEW"),"",COUNTBLANK(OFFSET(A$1,,,SUMPRODUCT(MAX(ROW(E$2:E4890)*(E4890=E$2:E4890)))))-COUNTBLANK(OFFSET(A$1,,,SUMPRODUCT(MAX(ROW(E$1:E4889)*(E2=E$1:E4889))))))</f>
        <v> </v>
      </c>
      <c r="K4890" s="26" t="str">
        <f>IF(OR(E4890="",E4890="!!!",F4890="NEW"),"",INDEX(J$1:J4889,SUMPRODUCT(MAX(ROW(E$1:E4889)*(E4890=E$1:E4889)))))</f>
        <v> </v>
      </c>
      <c r="L4890" s="27"/>
    </row>
    <row r="4891" spans="1:12">
      <c r="A4891" s="20" t="s">
        <v>2799</v>
      </c>
      <c r="E4891" s="22">
        <f>IF(D4891="?OLD","!!!","")</f>
        <v/>
      </c>
      <c r="F4891" s="23" t="str">
        <f>IF(OR(E4891="",E4891="!!!"),"",IF(NOT(ISNA(VLOOKUP(E4891,E$1:E4890,1,FALSE()))),"OLD",IF(AND(E4891&lt;&gt;"",E4891&lt;&gt;"!!!"),"NEW","")))</f>
        <v> </v>
      </c>
      <c r="G4891" s="24" t="str">
        <f>IF(OR(E4891="",E4891="!!!"),"",IF(OR(J4891=0,AND(J4891=1,K4891=1),AND(J4891=1,I4891="SBJ"),AND(J4891=1,I4891=0)),"?IN_FOCUS",IF(J4891&lt;=2,"?ACTIVATED",IF(J4891&lt;&gt;"","?FAMILIAR",IF(F4891="NEW",IF(ISNA(VLOOKUP(E4891,#REF!,1,FALSE())),"?TYPE_IDENTIFIABLE","?REFERENTIAL"),"_")))))</f>
        <v> </v>
      </c>
      <c r="H4891" s="25" t="str">
        <f>IF(J4891&lt;&gt;1,"",IF(I4891="SBJ","CB","?"))</f>
        <v> </v>
      </c>
      <c r="I4891" s="26" t="str">
        <f>IF(OR(E4891="",E4891="!!!",F4891="NEW"),"",INDEX(B4890:B$2,-1+SUMPRODUCT(MAX(ROW(E4890:E$2)*(E4891=E4890:E$2)))))</f>
        <v> </v>
      </c>
      <c r="J4891" s="26" t="str">
        <f>IF(OR(E4891="",E4891="!!!",F4891="NEW"),"",COUNTBLANK(OFFSET(A$1,,,SUMPRODUCT(MAX(ROW(E$2:E4891)*(E4891=E$2:E4891)))))-COUNTBLANK(OFFSET(A$1,,,SUMPRODUCT(MAX(ROW(E$1:E4890)*(E2=E$1:E4890))))))</f>
        <v> </v>
      </c>
      <c r="K4891" s="26" t="str">
        <f>IF(OR(E4891="",E4891="!!!",F4891="NEW"),"",INDEX(J$1:J4890,SUMPRODUCT(MAX(ROW(E$1:E4890)*(E4891=E$1:E4890)))))</f>
        <v> </v>
      </c>
      <c r="L4891" s="27"/>
    </row>
    <row r="4892" spans="1:12">
      <c r="A4892" s="20" t="s">
        <v>1526</v>
      </c>
      <c r="E4892" s="22">
        <f>IF(D4892="?OLD","!!!","")</f>
        <v/>
      </c>
      <c r="F4892" s="23" t="str">
        <f>IF(OR(E4892="",E4892="!!!"),"",IF(NOT(ISNA(VLOOKUP(E4892,E$1:E4891,1,FALSE()))),"OLD",IF(AND(E4892&lt;&gt;"",E4892&lt;&gt;"!!!"),"NEW","")))</f>
        <v> </v>
      </c>
      <c r="G4892" s="24" t="str">
        <f>IF(OR(E4892="",E4892="!!!"),"",IF(OR(J4892=0,AND(J4892=1,K4892=1),AND(J4892=1,I4892="SBJ"),AND(J4892=1,I4892=0)),"?IN_FOCUS",IF(J4892&lt;=2,"?ACTIVATED",IF(J4892&lt;&gt;"","?FAMILIAR",IF(F4892="NEW",IF(ISNA(VLOOKUP(E4892,#REF!,1,FALSE())),"?TYPE_IDENTIFIABLE","?REFERENTIAL"),"_")))))</f>
        <v> </v>
      </c>
      <c r="H4892" s="25" t="str">
        <f>IF(J4892&lt;&gt;1,"",IF(I4892="SBJ","CB","?"))</f>
        <v> </v>
      </c>
      <c r="I4892" s="26" t="str">
        <f>IF(OR(E4892="",E4892="!!!",F4892="NEW"),"",INDEX(B4891:B$2,-1+SUMPRODUCT(MAX(ROW(E4891:E$2)*(E4892=E4891:E$2)))))</f>
        <v> </v>
      </c>
      <c r="J4892" s="26" t="str">
        <f>IF(OR(E4892="",E4892="!!!",F4892="NEW"),"",COUNTBLANK(OFFSET(A$1,,,SUMPRODUCT(MAX(ROW(E$2:E4892)*(E4892=E$2:E4892)))))-COUNTBLANK(OFFSET(A$1,,,SUMPRODUCT(MAX(ROW(E$1:E4891)*(E2=E$1:E4891))))))</f>
        <v> </v>
      </c>
      <c r="K4892" s="26" t="str">
        <f>IF(OR(E4892="",E4892="!!!",F4892="NEW"),"",INDEX(J$1:J4891,SUMPRODUCT(MAX(ROW(E$1:E4891)*(E4892=E$1:E4891)))))</f>
        <v> </v>
      </c>
      <c r="L4892" s="27"/>
    </row>
    <row r="4893" spans="1:12">
      <c r="A4893" s="20" t="s">
        <v>1471</v>
      </c>
      <c r="E4893" s="22">
        <f>IF(D4893="?OLD","!!!","")</f>
        <v/>
      </c>
      <c r="F4893" s="23" t="str">
        <f>IF(OR(E4893="",E4893="!!!"),"",IF(NOT(ISNA(VLOOKUP(E4893,E$1:E4892,1,FALSE()))),"OLD",IF(AND(E4893&lt;&gt;"",E4893&lt;&gt;"!!!"),"NEW","")))</f>
        <v> </v>
      </c>
      <c r="G4893" s="24" t="str">
        <f>IF(OR(E4893="",E4893="!!!"),"",IF(OR(J4893=0,AND(J4893=1,K4893=1),AND(J4893=1,I4893="SBJ"),AND(J4893=1,I4893=0)),"?IN_FOCUS",IF(J4893&lt;=2,"?ACTIVATED",IF(J4893&lt;&gt;"","?FAMILIAR",IF(F4893="NEW",IF(ISNA(VLOOKUP(E4893,#REF!,1,FALSE())),"?TYPE_IDENTIFIABLE","?REFERENTIAL"),"_")))))</f>
        <v> </v>
      </c>
      <c r="H4893" s="25" t="str">
        <f>IF(J4893&lt;&gt;1,"",IF(I4893="SBJ","CB","?"))</f>
        <v> </v>
      </c>
      <c r="I4893" s="26" t="str">
        <f>IF(OR(E4893="",E4893="!!!",F4893="NEW"),"",INDEX(B4892:B$2,-1+SUMPRODUCT(MAX(ROW(E4892:E$2)*(E4893=E4892:E$2)))))</f>
        <v> </v>
      </c>
      <c r="J4893" s="26" t="str">
        <f>IF(OR(E4893="",E4893="!!!",F4893="NEW"),"",COUNTBLANK(OFFSET(A$1,,,SUMPRODUCT(MAX(ROW(E$2:E4893)*(E4893=E$2:E4893)))))-COUNTBLANK(OFFSET(A$1,,,SUMPRODUCT(MAX(ROW(E$1:E4892)*(E2=E$1:E4892))))))</f>
        <v> </v>
      </c>
      <c r="K4893" s="26" t="str">
        <f>IF(OR(E4893="",E4893="!!!",F4893="NEW"),"",INDEX(J$1:J4892,SUMPRODUCT(MAX(ROW(E$1:E4892)*(E4893=E$1:E4892)))))</f>
        <v> </v>
      </c>
      <c r="L4893" s="27"/>
    </row>
    <row r="4894" spans="1:12">
      <c r="A4894" s="20" t="s">
        <v>2800</v>
      </c>
      <c r="B4894" s="21" t="s">
        <v>1224</v>
      </c>
      <c r="C4894" s="21" t="s">
        <v>1238</v>
      </c>
      <c r="E4894" s="22">
        <f>IF(D4894="?OLD","!!!","")</f>
        <v/>
      </c>
      <c r="F4894" s="23" t="str">
        <f>IF(OR(E4894="",E4894="!!!"),"",IF(NOT(ISNA(VLOOKUP(E4894,E$1:E4893,1,FALSE()))),"OLD",IF(AND(E4894&lt;&gt;"",E4894&lt;&gt;"!!!"),"NEW","")))</f>
        <v> </v>
      </c>
      <c r="G4894" s="24" t="str">
        <f>IF(OR(E4894="",E4894="!!!"),"",IF(OR(J4894=0,AND(J4894=1,K4894=1),AND(J4894=1,I4894="SBJ"),AND(J4894=1,I4894=0)),"?IN_FOCUS",IF(J4894&lt;=2,"?ACTIVATED",IF(J4894&lt;&gt;"","?FAMILIAR",IF(F4894="NEW",IF(ISNA(VLOOKUP(E4894,#REF!,1,FALSE())),"?TYPE_IDENTIFIABLE","?REFERENTIAL"),"_")))))</f>
        <v> </v>
      </c>
      <c r="H4894" s="25" t="str">
        <f>IF(J4894&lt;&gt;1,"",IF(I4894="SBJ","CB","?"))</f>
        <v> </v>
      </c>
      <c r="I4894" s="26" t="str">
        <f>IF(OR(E4894="",E4894="!!!",F4894="NEW"),"",INDEX(B4893:B$2,-1+SUMPRODUCT(MAX(ROW(E4893:E$2)*(E4894=E4893:E$2)))))</f>
        <v> </v>
      </c>
      <c r="J4894" s="26" t="str">
        <f>IF(OR(E4894="",E4894="!!!",F4894="NEW"),"",COUNTBLANK(OFFSET(A$1,,,SUMPRODUCT(MAX(ROW(E$2:E4894)*(E4894=E$2:E4894)))))-COUNTBLANK(OFFSET(A$1,,,SUMPRODUCT(MAX(ROW(E$1:E4893)*(E2=E$1:E4893))))))</f>
        <v> </v>
      </c>
      <c r="K4894" s="26" t="str">
        <f>IF(OR(E4894="",E4894="!!!",F4894="NEW"),"",INDEX(J$1:J4893,SUMPRODUCT(MAX(ROW(E$1:E4893)*(E4894=E$1:E4893)))))</f>
        <v> </v>
      </c>
      <c r="L4894" s="27"/>
    </row>
    <row r="4895" spans="1:12">
      <c r="A4895" s="20" t="s">
        <v>1526</v>
      </c>
      <c r="E4895" s="22">
        <f>IF(D4895="?OLD","!!!","")</f>
        <v/>
      </c>
      <c r="F4895" s="23" t="str">
        <f>IF(OR(E4895="",E4895="!!!"),"",IF(NOT(ISNA(VLOOKUP(E4895,E$1:E4894,1,FALSE()))),"OLD",IF(AND(E4895&lt;&gt;"",E4895&lt;&gt;"!!!"),"NEW","")))</f>
        <v> </v>
      </c>
      <c r="G4895" s="24" t="str">
        <f>IF(OR(E4895="",E4895="!!!"),"",IF(OR(J4895=0,AND(J4895=1,K4895=1),AND(J4895=1,I4895="SBJ"),AND(J4895=1,I4895=0)),"?IN_FOCUS",IF(J4895&lt;=2,"?ACTIVATED",IF(J4895&lt;&gt;"","?FAMILIAR",IF(F4895="NEW",IF(ISNA(VLOOKUP(E4895,#REF!,1,FALSE())),"?TYPE_IDENTIFIABLE","?REFERENTIAL"),"_")))))</f>
        <v> </v>
      </c>
      <c r="H4895" s="25" t="str">
        <f>IF(J4895&lt;&gt;1,"",IF(I4895="SBJ","CB","?"))</f>
        <v> </v>
      </c>
      <c r="I4895" s="26" t="str">
        <f>IF(OR(E4895="",E4895="!!!",F4895="NEW"),"",INDEX(B4894:B$2,-1+SUMPRODUCT(MAX(ROW(E4894:E$2)*(E4895=E4894:E$2)))))</f>
        <v> </v>
      </c>
      <c r="J4895" s="26" t="str">
        <f>IF(OR(E4895="",E4895="!!!",F4895="NEW"),"",COUNTBLANK(OFFSET(A$1,,,SUMPRODUCT(MAX(ROW(E$2:E4895)*(E4895=E$2:E4895)))))-COUNTBLANK(OFFSET(A$1,,,SUMPRODUCT(MAX(ROW(E$1:E4894)*(E2=E$1:E4894))))))</f>
        <v> </v>
      </c>
      <c r="K4895" s="26" t="str">
        <f>IF(OR(E4895="",E4895="!!!",F4895="NEW"),"",INDEX(J$1:J4894,SUMPRODUCT(MAX(ROW(E$1:E4894)*(E4895=E$1:E4894)))))</f>
        <v> </v>
      </c>
      <c r="L4895" s="27"/>
    </row>
    <row r="4896" spans="1:12">
      <c r="A4896" s="20" t="s">
        <v>2801</v>
      </c>
      <c r="B4896" s="21" t="s">
        <v>1226</v>
      </c>
      <c r="C4896" s="21" t="s">
        <v>1279</v>
      </c>
      <c r="E4896" s="22">
        <f>IF(D4896="?OLD","!!!","")</f>
        <v/>
      </c>
      <c r="F4896" s="23" t="str">
        <f>IF(OR(E4896="",E4896="!!!"),"",IF(NOT(ISNA(VLOOKUP(E4896,E$1:E4895,1,FALSE()))),"OLD",IF(AND(E4896&lt;&gt;"",E4896&lt;&gt;"!!!"),"NEW","")))</f>
        <v> </v>
      </c>
      <c r="G4896" s="24" t="str">
        <f>IF(OR(E4896="",E4896="!!!"),"",IF(OR(J4896=0,AND(J4896=1,K4896=1),AND(J4896=1,I4896="SBJ"),AND(J4896=1,I4896=0)),"?IN_FOCUS",IF(J4896&lt;=2,"?ACTIVATED",IF(J4896&lt;&gt;"","?FAMILIAR",IF(F4896="NEW",IF(ISNA(VLOOKUP(E4896,#REF!,1,FALSE())),"?TYPE_IDENTIFIABLE","?REFERENTIAL"),"_")))))</f>
        <v> </v>
      </c>
      <c r="H4896" s="25" t="str">
        <f>IF(J4896&lt;&gt;1,"",IF(I4896="SBJ","CB","?"))</f>
        <v> </v>
      </c>
      <c r="I4896" s="26" t="str">
        <f>IF(OR(E4896="",E4896="!!!",F4896="NEW"),"",INDEX(B4895:B$2,-1+SUMPRODUCT(MAX(ROW(E4895:E$2)*(E4896=E4895:E$2)))))</f>
        <v> </v>
      </c>
      <c r="J4896" s="26" t="str">
        <f>IF(OR(E4896="",E4896="!!!",F4896="NEW"),"",COUNTBLANK(OFFSET(A$1,,,SUMPRODUCT(MAX(ROW(E$2:E4896)*(E4896=E$2:E4896)))))-COUNTBLANK(OFFSET(A$1,,,SUMPRODUCT(MAX(ROW(E$1:E4895)*(E2=E$1:E4895))))))</f>
        <v> </v>
      </c>
      <c r="K4896" s="26" t="str">
        <f>IF(OR(E4896="",E4896="!!!",F4896="NEW"),"",INDEX(J$1:J4895,SUMPRODUCT(MAX(ROW(E$1:E4895)*(E4896=E$1:E4895)))))</f>
        <v> </v>
      </c>
      <c r="L4896" s="27"/>
    </row>
    <row r="4897" spans="1:12">
      <c r="A4897" s="20" t="s">
        <v>1245</v>
      </c>
      <c r="E4897" s="22">
        <f>IF(D4897="?OLD","!!!","")</f>
        <v/>
      </c>
      <c r="F4897" s="23" t="str">
        <f>IF(OR(E4897="",E4897="!!!"),"",IF(NOT(ISNA(VLOOKUP(E4897,E$1:E4896,1,FALSE()))),"OLD",IF(AND(E4897&lt;&gt;"",E4897&lt;&gt;"!!!"),"NEW","")))</f>
        <v> </v>
      </c>
      <c r="G4897" s="24" t="str">
        <f>IF(OR(E4897="",E4897="!!!"),"",IF(OR(J4897=0,AND(J4897=1,K4897=1),AND(J4897=1,I4897="SBJ"),AND(J4897=1,I4897=0)),"?IN_FOCUS",IF(J4897&lt;=2,"?ACTIVATED",IF(J4897&lt;&gt;"","?FAMILIAR",IF(F4897="NEW",IF(ISNA(VLOOKUP(E4897,#REF!,1,FALSE())),"?TYPE_IDENTIFIABLE","?REFERENTIAL"),"_")))))</f>
        <v> </v>
      </c>
      <c r="H4897" s="25" t="str">
        <f>IF(J4897&lt;&gt;1,"",IF(I4897="SBJ","CB","?"))</f>
        <v> </v>
      </c>
      <c r="I4897" s="26" t="str">
        <f>IF(OR(E4897="",E4897="!!!",F4897="NEW"),"",INDEX(B4896:B$2,-1+SUMPRODUCT(MAX(ROW(E4896:E$2)*(E4897=E4896:E$2)))))</f>
        <v> </v>
      </c>
      <c r="J4897" s="26" t="str">
        <f>IF(OR(E4897="",E4897="!!!",F4897="NEW"),"",COUNTBLANK(OFFSET(A$1,,,SUMPRODUCT(MAX(ROW(E$2:E4897)*(E4897=E$2:E4897)))))-COUNTBLANK(OFFSET(A$1,,,SUMPRODUCT(MAX(ROW(E$1:E4896)*(E2=E$1:E4896))))))</f>
        <v> </v>
      </c>
      <c r="K4897" s="26" t="str">
        <f>IF(OR(E4897="",E4897="!!!",F4897="NEW"),"",INDEX(J$1:J4896,SUMPRODUCT(MAX(ROW(E$1:E4896)*(E4897=E$1:E4896)))))</f>
        <v> </v>
      </c>
      <c r="L4897" s="27"/>
    </row>
    <row r="4898" spans="1:12">
      <c r="A4898" s="20" t="s">
        <v>1228</v>
      </c>
      <c r="E4898" s="22">
        <f>IF(D4898="?OLD","!!!","")</f>
        <v/>
      </c>
      <c r="F4898" s="23" t="str">
        <f>IF(OR(E4898="",E4898="!!!"),"",IF(NOT(ISNA(VLOOKUP(E4898,E$1:E4897,1,FALSE()))),"OLD",IF(AND(E4898&lt;&gt;"",E4898&lt;&gt;"!!!"),"NEW","")))</f>
        <v> </v>
      </c>
      <c r="G4898" s="24" t="str">
        <f>IF(OR(E4898="",E4898="!!!"),"",IF(OR(J4898=0,AND(J4898=1,K4898=1),AND(J4898=1,I4898="SBJ"),AND(J4898=1,I4898=0)),"?IN_FOCUS",IF(J4898&lt;=2,"?ACTIVATED",IF(J4898&lt;&gt;"","?FAMILIAR",IF(F4898="NEW",IF(ISNA(VLOOKUP(E4898,#REF!,1,FALSE())),"?TYPE_IDENTIFIABLE","?REFERENTIAL"),"_")))))</f>
        <v> </v>
      </c>
      <c r="H4898" s="25" t="str">
        <f>IF(J4898&lt;&gt;1,"",IF(I4898="SBJ","CB","?"))</f>
        <v> </v>
      </c>
      <c r="I4898" s="26" t="str">
        <f>IF(OR(E4898="",E4898="!!!",F4898="NEW"),"",INDEX(B4897:B$2,-1+SUMPRODUCT(MAX(ROW(E4897:E$2)*(E4898=E4897:E$2)))))</f>
        <v> </v>
      </c>
      <c r="J4898" s="26" t="str">
        <f>IF(OR(E4898="",E4898="!!!",F4898="NEW"),"",COUNTBLANK(OFFSET(A$1,,,SUMPRODUCT(MAX(ROW(E$2:E4898)*(E4898=E$2:E4898)))))-COUNTBLANK(OFFSET(A$1,,,SUMPRODUCT(MAX(ROW(E$1:E4897)*(E2=E$1:E4897))))))</f>
        <v> </v>
      </c>
      <c r="K4898" s="26" t="str">
        <f>IF(OR(E4898="",E4898="!!!",F4898="NEW"),"",INDEX(J$1:J4897,SUMPRODUCT(MAX(ROW(E$1:E4897)*(E4898=E$1:E4897)))))</f>
        <v> </v>
      </c>
      <c r="L4898" s="27"/>
    </row>
    <row r="4899" spans="1:12">
      <c r="A4899" s="20" t="s">
        <v>1647</v>
      </c>
      <c r="B4899" s="21" t="s">
        <v>1226</v>
      </c>
      <c r="C4899" s="21" t="s">
        <v>1269</v>
      </c>
      <c r="D4899" s="21" t="s">
        <v>1217</v>
      </c>
      <c r="E4899" s="22">
        <f>IF(D4899="?OLD","!!!","")</f>
        <v/>
      </c>
      <c r="F4899" s="23" t="str">
        <f>IF(OR(E4899="",E4899="!!!"),"",IF(NOT(ISNA(VLOOKUP(E4899,E$1:E4898,1,FALSE()))),"OLD",IF(AND(E4899&lt;&gt;"",E4899&lt;&gt;"!!!"),"NEW","")))</f>
        <v> </v>
      </c>
      <c r="G4899" s="24" t="str">
        <f>IF(OR(E4899="",E4899="!!!"),"",IF(OR(J4899=0,AND(J4899=1,K4899=1),AND(J4899=1,I4899="SBJ"),AND(J4899=1,I4899=0)),"?IN_FOCUS",IF(J4899&lt;=2,"?ACTIVATED",IF(J4899&lt;&gt;"","?FAMILIAR",IF(F4899="NEW",IF(ISNA(VLOOKUP(E4899,#REF!,1,FALSE())),"?TYPE_IDENTIFIABLE","?REFERENTIAL"),"_")))))</f>
        <v> </v>
      </c>
      <c r="H4899" s="25" t="str">
        <f>IF(J4899&lt;&gt;1,"",IF(I4899="SBJ","CB","?"))</f>
        <v> </v>
      </c>
      <c r="I4899" s="26" t="str">
        <f>IF(OR(E4899="",E4899="!!!",F4899="NEW"),"",INDEX(B4898:B$2,-1+SUMPRODUCT(MAX(ROW(E4898:E$2)*(E4899=E4898:E$2)))))</f>
        <v> </v>
      </c>
      <c r="J4899" s="26" t="str">
        <f>IF(OR(E4899="",E4899="!!!",F4899="NEW"),"",COUNTBLANK(OFFSET(A$1,,,SUMPRODUCT(MAX(ROW(E$2:E4899)*(E4899=E$2:E4899)))))-COUNTBLANK(OFFSET(A$1,,,SUMPRODUCT(MAX(ROW(E$1:E4898)*(E2=E$1:E4898))))))</f>
        <v> </v>
      </c>
      <c r="K4899" s="26" t="str">
        <f>IF(OR(E4899="",E4899="!!!",F4899="NEW"),"",INDEX(J$1:J4898,SUMPRODUCT(MAX(ROW(E$1:E4898)*(E4899=E$1:E4898)))))</f>
        <v> </v>
      </c>
      <c r="L4899" s="27"/>
    </row>
    <row r="4900" spans="1:12">
      <c r="A4900" s="20" t="s">
        <v>1277</v>
      </c>
      <c r="E4900" s="22">
        <f>IF(D4900="?OLD","!!!","")</f>
        <v/>
      </c>
      <c r="F4900" s="23" t="str">
        <f>IF(OR(E4900="",E4900="!!!"),"",IF(NOT(ISNA(VLOOKUP(E4900,E$1:E4899,1,FALSE()))),"OLD",IF(AND(E4900&lt;&gt;"",E4900&lt;&gt;"!!!"),"NEW","")))</f>
        <v> </v>
      </c>
      <c r="G4900" s="24" t="str">
        <f>IF(OR(E4900="",E4900="!!!"),"",IF(OR(J4900=0,AND(J4900=1,K4900=1),AND(J4900=1,I4900="SBJ"),AND(J4900=1,I4900=0)),"?IN_FOCUS",IF(J4900&lt;=2,"?ACTIVATED",IF(J4900&lt;&gt;"","?FAMILIAR",IF(F4900="NEW",IF(ISNA(VLOOKUP(E4900,#REF!,1,FALSE())),"?TYPE_IDENTIFIABLE","?REFERENTIAL"),"_")))))</f>
        <v> </v>
      </c>
      <c r="H4900" s="25" t="str">
        <f>IF(J4900&lt;&gt;1,"",IF(I4900="SBJ","CB","?"))</f>
        <v> </v>
      </c>
      <c r="I4900" s="26" t="str">
        <f>IF(OR(E4900="",E4900="!!!",F4900="NEW"),"",INDEX(B4899:B$2,-1+SUMPRODUCT(MAX(ROW(E4899:E$2)*(E4900=E4899:E$2)))))</f>
        <v> </v>
      </c>
      <c r="J4900" s="26" t="str">
        <f>IF(OR(E4900="",E4900="!!!",F4900="NEW"),"",COUNTBLANK(OFFSET(A$1,,,SUMPRODUCT(MAX(ROW(E$2:E4900)*(E4900=E$2:E4900)))))-COUNTBLANK(OFFSET(A$1,,,SUMPRODUCT(MAX(ROW(E$1:E4899)*(E2=E$1:E4899))))))</f>
        <v> </v>
      </c>
      <c r="K4900" s="26" t="str">
        <f>IF(OR(E4900="",E4900="!!!",F4900="NEW"),"",INDEX(J$1:J4899,SUMPRODUCT(MAX(ROW(E$1:E4899)*(E4900=E$1:E4899)))))</f>
        <v> </v>
      </c>
      <c r="L4900" s="27"/>
    </row>
    <row r="4901" spans="1:12">
      <c r="A4901" s="20" t="s">
        <v>1245</v>
      </c>
      <c r="E4901" s="22">
        <f>IF(D4901="?OLD","!!!","")</f>
        <v/>
      </c>
      <c r="F4901" s="23" t="str">
        <f>IF(OR(E4901="",E4901="!!!"),"",IF(NOT(ISNA(VLOOKUP(E4901,E$1:E4900,1,FALSE()))),"OLD",IF(AND(E4901&lt;&gt;"",E4901&lt;&gt;"!!!"),"NEW","")))</f>
        <v> </v>
      </c>
      <c r="G4901" s="24" t="str">
        <f>IF(OR(E4901="",E4901="!!!"),"",IF(OR(J4901=0,AND(J4901=1,K4901=1),AND(J4901=1,I4901="SBJ"),AND(J4901=1,I4901=0)),"?IN_FOCUS",IF(J4901&lt;=2,"?ACTIVATED",IF(J4901&lt;&gt;"","?FAMILIAR",IF(F4901="NEW",IF(ISNA(VLOOKUP(E4901,#REF!,1,FALSE())),"?TYPE_IDENTIFIABLE","?REFERENTIAL"),"_")))))</f>
        <v> </v>
      </c>
      <c r="H4901" s="25" t="str">
        <f>IF(J4901&lt;&gt;1,"",IF(I4901="SBJ","CB","?"))</f>
        <v> </v>
      </c>
      <c r="I4901" s="26" t="str">
        <f>IF(OR(E4901="",E4901="!!!",F4901="NEW"),"",INDEX(B4900:B$2,-1+SUMPRODUCT(MAX(ROW(E4900:E$2)*(E4901=E4900:E$2)))))</f>
        <v> </v>
      </c>
      <c r="J4901" s="26" t="str">
        <f>IF(OR(E4901="",E4901="!!!",F4901="NEW"),"",COUNTBLANK(OFFSET(A$1,,,SUMPRODUCT(MAX(ROW(E$2:E4901)*(E4901=E$2:E4901)))))-COUNTBLANK(OFFSET(A$1,,,SUMPRODUCT(MAX(ROW(E$1:E4900)*(E2=E$1:E4900))))))</f>
        <v> </v>
      </c>
      <c r="K4901" s="26" t="str">
        <f>IF(OR(E4901="",E4901="!!!",F4901="NEW"),"",INDEX(J$1:J4900,SUMPRODUCT(MAX(ROW(E$1:E4900)*(E4901=E$1:E4900)))))</f>
        <v> </v>
      </c>
      <c r="L4901" s="27"/>
    </row>
    <row r="4902" spans="1:12">
      <c r="A4902" s="20" t="s">
        <v>1266</v>
      </c>
      <c r="E4902" s="22">
        <f>IF(D4902="?OLD","!!!","")</f>
        <v/>
      </c>
      <c r="F4902" s="23" t="str">
        <f>IF(OR(E4902="",E4902="!!!"),"",IF(NOT(ISNA(VLOOKUP(E4902,E$1:E4901,1,FALSE()))),"OLD",IF(AND(E4902&lt;&gt;"",E4902&lt;&gt;"!!!"),"NEW","")))</f>
        <v> </v>
      </c>
      <c r="G4902" s="24" t="str">
        <f>IF(OR(E4902="",E4902="!!!"),"",IF(OR(J4902=0,AND(J4902=1,K4902=1),AND(J4902=1,I4902="SBJ"),AND(J4902=1,I4902=0)),"?IN_FOCUS",IF(J4902&lt;=2,"?ACTIVATED",IF(J4902&lt;&gt;"","?FAMILIAR",IF(F4902="NEW",IF(ISNA(VLOOKUP(E4902,#REF!,1,FALSE())),"?TYPE_IDENTIFIABLE","?REFERENTIAL"),"_")))))</f>
        <v> </v>
      </c>
      <c r="H4902" s="25" t="str">
        <f>IF(J4902&lt;&gt;1,"",IF(I4902="SBJ","CB","?"))</f>
        <v> </v>
      </c>
      <c r="I4902" s="26" t="str">
        <f>IF(OR(E4902="",E4902="!!!",F4902="NEW"),"",INDEX(B4901:B$2,-1+SUMPRODUCT(MAX(ROW(E4901:E$2)*(E4902=E4901:E$2)))))</f>
        <v> </v>
      </c>
      <c r="J4902" s="26" t="str">
        <f>IF(OR(E4902="",E4902="!!!",F4902="NEW"),"",COUNTBLANK(OFFSET(A$1,,,SUMPRODUCT(MAX(ROW(E$2:E4902)*(E4902=E$2:E4902)))))-COUNTBLANK(OFFSET(A$1,,,SUMPRODUCT(MAX(ROW(E$1:E4901)*(E2=E$1:E4901))))))</f>
        <v> </v>
      </c>
      <c r="K4902" s="26" t="str">
        <f>IF(OR(E4902="",E4902="!!!",F4902="NEW"),"",INDEX(J$1:J4901,SUMPRODUCT(MAX(ROW(E$1:E4901)*(E4902=E$1:E4901)))))</f>
        <v> </v>
      </c>
      <c r="L4902" s="27"/>
    </row>
    <row r="4903" spans="1:12">
      <c r="A4903" s="20" t="s">
        <v>2008</v>
      </c>
      <c r="B4903" s="21" t="s">
        <v>1226</v>
      </c>
      <c r="C4903" s="21" t="s">
        <v>1269</v>
      </c>
      <c r="D4903" s="21" t="s">
        <v>1217</v>
      </c>
      <c r="E4903" s="22">
        <f>IF(D4903="?OLD","!!!","")</f>
        <v/>
      </c>
      <c r="F4903" s="23" t="str">
        <f>IF(OR(E4903="",E4903="!!!"),"",IF(NOT(ISNA(VLOOKUP(E4903,E$1:E4902,1,FALSE()))),"OLD",IF(AND(E4903&lt;&gt;"",E4903&lt;&gt;"!!!"),"NEW","")))</f>
        <v> </v>
      </c>
      <c r="G4903" s="24" t="str">
        <f>IF(OR(E4903="",E4903="!!!"),"",IF(OR(J4903=0,AND(J4903=1,K4903=1),AND(J4903=1,I4903="SBJ"),AND(J4903=1,I4903=0)),"?IN_FOCUS",IF(J4903&lt;=2,"?ACTIVATED",IF(J4903&lt;&gt;"","?FAMILIAR",IF(F4903="NEW",IF(ISNA(VLOOKUP(E4903,#REF!,1,FALSE())),"?TYPE_IDENTIFIABLE","?REFERENTIAL"),"_")))))</f>
        <v> </v>
      </c>
      <c r="H4903" s="25" t="str">
        <f>IF(J4903&lt;&gt;1,"",IF(I4903="SBJ","CB","?"))</f>
        <v> </v>
      </c>
      <c r="I4903" s="26" t="str">
        <f>IF(OR(E4903="",E4903="!!!",F4903="NEW"),"",INDEX(B4902:B$2,-1+SUMPRODUCT(MAX(ROW(E4902:E$2)*(E4903=E4902:E$2)))))</f>
        <v> </v>
      </c>
      <c r="J4903" s="26" t="str">
        <f>IF(OR(E4903="",E4903="!!!",F4903="NEW"),"",COUNTBLANK(OFFSET(A$1,,,SUMPRODUCT(MAX(ROW(E$2:E4903)*(E4903=E$2:E4903)))))-COUNTBLANK(OFFSET(A$1,,,SUMPRODUCT(MAX(ROW(E$1:E4902)*(E2=E$1:E4902))))))</f>
        <v> </v>
      </c>
      <c r="K4903" s="26" t="str">
        <f>IF(OR(E4903="",E4903="!!!",F4903="NEW"),"",INDEX(J$1:J4902,SUMPRODUCT(MAX(ROW(E$1:E4902)*(E4903=E$1:E4902)))))</f>
        <v> </v>
      </c>
      <c r="L4903" s="27"/>
    </row>
    <row r="4904" spans="1:12">
      <c r="A4904" s="20" t="s">
        <v>1218</v>
      </c>
      <c r="E4904" s="22">
        <f>IF(D4904="?OLD","!!!","")</f>
        <v/>
      </c>
      <c r="F4904" s="23" t="str">
        <f>IF(OR(E4904="",E4904="!!!"),"",IF(NOT(ISNA(VLOOKUP(E4904,E$1:E4903,1,FALSE()))),"OLD",IF(AND(E4904&lt;&gt;"",E4904&lt;&gt;"!!!"),"NEW","")))</f>
        <v> </v>
      </c>
      <c r="G4904" s="24" t="str">
        <f>IF(OR(E4904="",E4904="!!!"),"",IF(OR(J4904=0,AND(J4904=1,K4904=1),AND(J4904=1,I4904="SBJ"),AND(J4904=1,I4904=0)),"?IN_FOCUS",IF(J4904&lt;=2,"?ACTIVATED",IF(J4904&lt;&gt;"","?FAMILIAR",IF(F4904="NEW",IF(ISNA(VLOOKUP(E4904,#REF!,1,FALSE())),"?TYPE_IDENTIFIABLE","?REFERENTIAL"),"_")))))</f>
        <v> </v>
      </c>
      <c r="H4904" s="25" t="str">
        <f>IF(J4904&lt;&gt;1,"",IF(I4904="SBJ","CB","?"))</f>
        <v> </v>
      </c>
      <c r="I4904" s="26" t="str">
        <f>IF(OR(E4904="",E4904="!!!",F4904="NEW"),"",INDEX(B4903:B$2,-1+SUMPRODUCT(MAX(ROW(E4903:E$2)*(E4904=E4903:E$2)))))</f>
        <v> </v>
      </c>
      <c r="J4904" s="26" t="str">
        <f>IF(OR(E4904="",E4904="!!!",F4904="NEW"),"",COUNTBLANK(OFFSET(A$1,,,SUMPRODUCT(MAX(ROW(E$2:E4904)*(E4904=E$2:E4904)))))-COUNTBLANK(OFFSET(A$1,,,SUMPRODUCT(MAX(ROW(E$1:E4903)*(E2=E$1:E4903))))))</f>
        <v> </v>
      </c>
      <c r="K4904" s="26" t="str">
        <f>IF(OR(E4904="",E4904="!!!",F4904="NEW"),"",INDEX(J$1:J4903,SUMPRODUCT(MAX(ROW(E$1:E4903)*(E4904=E$1:E4903)))))</f>
        <v> </v>
      </c>
      <c r="L4904" s="27"/>
    </row>
    <row r="4905" spans="1:12">
      <c r="A4905" s="20" t="s">
        <v>2802</v>
      </c>
      <c r="B4905" s="21" t="s">
        <v>1261</v>
      </c>
      <c r="C4905" s="21" t="s">
        <v>1279</v>
      </c>
      <c r="E4905" s="22">
        <f>IF(D4905="?OLD","!!!","")</f>
        <v/>
      </c>
      <c r="F4905" s="23" t="str">
        <f>IF(OR(E4905="",E4905="!!!"),"",IF(NOT(ISNA(VLOOKUP(E4905,E$1:E4904,1,FALSE()))),"OLD",IF(AND(E4905&lt;&gt;"",E4905&lt;&gt;"!!!"),"NEW","")))</f>
        <v> </v>
      </c>
      <c r="G4905" s="24" t="str">
        <f>IF(OR(E4905="",E4905="!!!"),"",IF(OR(J4905=0,AND(J4905=1,K4905=1),AND(J4905=1,I4905="SBJ"),AND(J4905=1,I4905=0)),"?IN_FOCUS",IF(J4905&lt;=2,"?ACTIVATED",IF(J4905&lt;&gt;"","?FAMILIAR",IF(F4905="NEW",IF(ISNA(VLOOKUP(E4905,#REF!,1,FALSE())),"?TYPE_IDENTIFIABLE","?REFERENTIAL"),"_")))))</f>
        <v> </v>
      </c>
      <c r="H4905" s="25" t="str">
        <f>IF(J4905&lt;&gt;1,"",IF(I4905="SBJ","CB","?"))</f>
        <v> </v>
      </c>
      <c r="I4905" s="26" t="str">
        <f>IF(OR(E4905="",E4905="!!!",F4905="NEW"),"",INDEX(B4904:B$2,-1+SUMPRODUCT(MAX(ROW(E4904:E$2)*(E4905=E4904:E$2)))))</f>
        <v> </v>
      </c>
      <c r="J4905" s="26" t="str">
        <f>IF(OR(E4905="",E4905="!!!",F4905="NEW"),"",COUNTBLANK(OFFSET(A$1,,,SUMPRODUCT(MAX(ROW(E$2:E4905)*(E4905=E$2:E4905)))))-COUNTBLANK(OFFSET(A$1,,,SUMPRODUCT(MAX(ROW(E$1:E4904)*(E2=E$1:E4904))))))</f>
        <v> </v>
      </c>
      <c r="K4905" s="26" t="str">
        <f>IF(OR(E4905="",E4905="!!!",F4905="NEW"),"",INDEX(J$1:J4904,SUMPRODUCT(MAX(ROW(E$1:E4904)*(E4905=E$1:E4904)))))</f>
        <v> </v>
      </c>
      <c r="L4905" s="27"/>
    </row>
    <row r="4906" spans="1:12">
      <c r="A4906" s="20" t="s">
        <v>2803</v>
      </c>
      <c r="E4906" s="22">
        <f>IF(D4906="?OLD","!!!","")</f>
        <v/>
      </c>
      <c r="F4906" s="23" t="str">
        <f>IF(OR(E4906="",E4906="!!!"),"",IF(NOT(ISNA(VLOOKUP(E4906,E$1:E4905,1,FALSE()))),"OLD",IF(AND(E4906&lt;&gt;"",E4906&lt;&gt;"!!!"),"NEW","")))</f>
        <v> </v>
      </c>
      <c r="G4906" s="24" t="str">
        <f>IF(OR(E4906="",E4906="!!!"),"",IF(OR(J4906=0,AND(J4906=1,K4906=1),AND(J4906=1,I4906="SBJ"),AND(J4906=1,I4906=0)),"?IN_FOCUS",IF(J4906&lt;=2,"?ACTIVATED",IF(J4906&lt;&gt;"","?FAMILIAR",IF(F4906="NEW",IF(ISNA(VLOOKUP(E4906,#REF!,1,FALSE())),"?TYPE_IDENTIFIABLE","?REFERENTIAL"),"_")))))</f>
        <v> </v>
      </c>
      <c r="H4906" s="25" t="str">
        <f>IF(J4906&lt;&gt;1,"",IF(I4906="SBJ","CB","?"))</f>
        <v> </v>
      </c>
      <c r="I4906" s="26" t="str">
        <f>IF(OR(E4906="",E4906="!!!",F4906="NEW"),"",INDEX(B4905:B$2,-1+SUMPRODUCT(MAX(ROW(E4905:E$2)*(E4906=E4905:E$2)))))</f>
        <v> </v>
      </c>
      <c r="J4906" s="26" t="str">
        <f>IF(OR(E4906="",E4906="!!!",F4906="NEW"),"",COUNTBLANK(OFFSET(A$1,,,SUMPRODUCT(MAX(ROW(E$2:E4906)*(E4906=E$2:E4906)))))-COUNTBLANK(OFFSET(A$1,,,SUMPRODUCT(MAX(ROW(E$1:E4905)*(E2=E$1:E4905))))))</f>
        <v> </v>
      </c>
      <c r="K4906" s="26" t="str">
        <f>IF(OR(E4906="",E4906="!!!",F4906="NEW"),"",INDEX(J$1:J4905,SUMPRODUCT(MAX(ROW(E$1:E4905)*(E4906=E$1:E4905)))))</f>
        <v> </v>
      </c>
      <c r="L4906" s="27"/>
    </row>
    <row r="4907" spans="1:12">
      <c r="A4907" s="20" t="s">
        <v>1526</v>
      </c>
      <c r="E4907" s="22">
        <f>IF(D4907="?OLD","!!!","")</f>
        <v/>
      </c>
      <c r="F4907" s="23" t="str">
        <f>IF(OR(E4907="",E4907="!!!"),"",IF(NOT(ISNA(VLOOKUP(E4907,E$1:E4906,1,FALSE()))),"OLD",IF(AND(E4907&lt;&gt;"",E4907&lt;&gt;"!!!"),"NEW","")))</f>
        <v> </v>
      </c>
      <c r="G4907" s="24" t="str">
        <f>IF(OR(E4907="",E4907="!!!"),"",IF(OR(J4907=0,AND(J4907=1,K4907=1),AND(J4907=1,I4907="SBJ"),AND(J4907=1,I4907=0)),"?IN_FOCUS",IF(J4907&lt;=2,"?ACTIVATED",IF(J4907&lt;&gt;"","?FAMILIAR",IF(F4907="NEW",IF(ISNA(VLOOKUP(E4907,#REF!,1,FALSE())),"?TYPE_IDENTIFIABLE","?REFERENTIAL"),"_")))))</f>
        <v> </v>
      </c>
      <c r="H4907" s="25" t="str">
        <f>IF(J4907&lt;&gt;1,"",IF(I4907="SBJ","CB","?"))</f>
        <v> </v>
      </c>
      <c r="I4907" s="26" t="str">
        <f>IF(OR(E4907="",E4907="!!!",F4907="NEW"),"",INDEX(B4906:B$2,-1+SUMPRODUCT(MAX(ROW(E4906:E$2)*(E4907=E4906:E$2)))))</f>
        <v> </v>
      </c>
      <c r="J4907" s="26" t="str">
        <f>IF(OR(E4907="",E4907="!!!",F4907="NEW"),"",COUNTBLANK(OFFSET(A$1,,,SUMPRODUCT(MAX(ROW(E$2:E4907)*(E4907=E$2:E4907)))))-COUNTBLANK(OFFSET(A$1,,,SUMPRODUCT(MAX(ROW(E$1:E4906)*(E2=E$1:E4906))))))</f>
        <v> </v>
      </c>
      <c r="K4907" s="26" t="str">
        <f>IF(OR(E4907="",E4907="!!!",F4907="NEW"),"",INDEX(J$1:J4906,SUMPRODUCT(MAX(ROW(E$1:E4906)*(E4907=E$1:E4906)))))</f>
        <v> </v>
      </c>
      <c r="L4907" s="27"/>
    </row>
    <row r="4908" spans="1:12">
      <c r="A4908" s="20" t="s">
        <v>2804</v>
      </c>
      <c r="B4908" s="21" t="s">
        <v>1377</v>
      </c>
      <c r="C4908" s="21" t="s">
        <v>1279</v>
      </c>
      <c r="E4908" s="22">
        <f>IF(D4908="?OLD","!!!","")</f>
        <v/>
      </c>
      <c r="F4908" s="23" t="str">
        <f>IF(OR(E4908="",E4908="!!!"),"",IF(NOT(ISNA(VLOOKUP(E4908,E$1:E4907,1,FALSE()))),"OLD",IF(AND(E4908&lt;&gt;"",E4908&lt;&gt;"!!!"),"NEW","")))</f>
        <v> </v>
      </c>
      <c r="G4908" s="24" t="str">
        <f>IF(OR(E4908="",E4908="!!!"),"",IF(OR(J4908=0,AND(J4908=1,K4908=1),AND(J4908=1,I4908="SBJ"),AND(J4908=1,I4908=0)),"?IN_FOCUS",IF(J4908&lt;=2,"?ACTIVATED",IF(J4908&lt;&gt;"","?FAMILIAR",IF(F4908="NEW",IF(ISNA(VLOOKUP(E4908,#REF!,1,FALSE())),"?TYPE_IDENTIFIABLE","?REFERENTIAL"),"_")))))</f>
        <v> </v>
      </c>
      <c r="H4908" s="25" t="str">
        <f>IF(J4908&lt;&gt;1,"",IF(I4908="SBJ","CB","?"))</f>
        <v> </v>
      </c>
      <c r="I4908" s="26" t="str">
        <f>IF(OR(E4908="",E4908="!!!",F4908="NEW"),"",INDEX(B4907:B$2,-1+SUMPRODUCT(MAX(ROW(E4907:E$2)*(E4908=E4907:E$2)))))</f>
        <v> </v>
      </c>
      <c r="J4908" s="26" t="str">
        <f>IF(OR(E4908="",E4908="!!!",F4908="NEW"),"",COUNTBLANK(OFFSET(A$1,,,SUMPRODUCT(MAX(ROW(E$2:E4908)*(E4908=E$2:E4908)))))-COUNTBLANK(OFFSET(A$1,,,SUMPRODUCT(MAX(ROW(E$1:E4907)*(E2=E$1:E4907))))))</f>
        <v> </v>
      </c>
      <c r="K4908" s="26" t="str">
        <f>IF(OR(E4908="",E4908="!!!",F4908="NEW"),"",INDEX(J$1:J4907,SUMPRODUCT(MAX(ROW(E$1:E4907)*(E4908=E$1:E4907)))))</f>
        <v> </v>
      </c>
      <c r="L4908" s="27"/>
    </row>
    <row r="4909" spans="1:12">
      <c r="A4909" s="20" t="s">
        <v>2805</v>
      </c>
      <c r="E4909" s="22">
        <f>IF(D4909="?OLD","!!!","")</f>
        <v/>
      </c>
      <c r="F4909" s="23" t="str">
        <f>IF(OR(E4909="",E4909="!!!"),"",IF(NOT(ISNA(VLOOKUP(E4909,E$1:E4908,1,FALSE()))),"OLD",IF(AND(E4909&lt;&gt;"",E4909&lt;&gt;"!!!"),"NEW","")))</f>
        <v> </v>
      </c>
      <c r="G4909" s="24" t="str">
        <f>IF(OR(E4909="",E4909="!!!"),"",IF(OR(J4909=0,AND(J4909=1,K4909=1),AND(J4909=1,I4909="SBJ"),AND(J4909=1,I4909=0)),"?IN_FOCUS",IF(J4909&lt;=2,"?ACTIVATED",IF(J4909&lt;&gt;"","?FAMILIAR",IF(F4909="NEW",IF(ISNA(VLOOKUP(E4909,#REF!,1,FALSE())),"?TYPE_IDENTIFIABLE","?REFERENTIAL"),"_")))))</f>
        <v> </v>
      </c>
      <c r="H4909" s="25" t="str">
        <f>IF(J4909&lt;&gt;1,"",IF(I4909="SBJ","CB","?"))</f>
        <v> </v>
      </c>
      <c r="I4909" s="26" t="str">
        <f>IF(OR(E4909="",E4909="!!!",F4909="NEW"),"",INDEX(B4908:B$2,-1+SUMPRODUCT(MAX(ROW(E4908:E$2)*(E4909=E4908:E$2)))))</f>
        <v> </v>
      </c>
      <c r="J4909" s="26" t="str">
        <f>IF(OR(E4909="",E4909="!!!",F4909="NEW"),"",COUNTBLANK(OFFSET(A$1,,,SUMPRODUCT(MAX(ROW(E$2:E4909)*(E4909=E$2:E4909)))))-COUNTBLANK(OFFSET(A$1,,,SUMPRODUCT(MAX(ROW(E$1:E4908)*(E2=E$1:E4908))))))</f>
        <v> </v>
      </c>
      <c r="K4909" s="26" t="str">
        <f>IF(OR(E4909="",E4909="!!!",F4909="NEW"),"",INDEX(J$1:J4908,SUMPRODUCT(MAX(ROW(E$1:E4908)*(E4909=E$1:E4908)))))</f>
        <v> </v>
      </c>
      <c r="L4909" s="27"/>
    </row>
    <row r="4910" spans="1:12">
      <c r="A4910" s="20" t="s">
        <v>1286</v>
      </c>
      <c r="E4910" s="22">
        <f>IF(D4910="?OLD","!!!","")</f>
        <v/>
      </c>
      <c r="F4910" s="23" t="str">
        <f>IF(OR(E4910="",E4910="!!!"),"",IF(NOT(ISNA(VLOOKUP(E4910,E$1:E4909,1,FALSE()))),"OLD",IF(AND(E4910&lt;&gt;"",E4910&lt;&gt;"!!!"),"NEW","")))</f>
        <v> </v>
      </c>
      <c r="G4910" s="24" t="str">
        <f>IF(OR(E4910="",E4910="!!!"),"",IF(OR(J4910=0,AND(J4910=1,K4910=1),AND(J4910=1,I4910="SBJ"),AND(J4910=1,I4910=0)),"?IN_FOCUS",IF(J4910&lt;=2,"?ACTIVATED",IF(J4910&lt;&gt;"","?FAMILIAR",IF(F4910="NEW",IF(ISNA(VLOOKUP(E4910,#REF!,1,FALSE())),"?TYPE_IDENTIFIABLE","?REFERENTIAL"),"_")))))</f>
        <v> </v>
      </c>
      <c r="H4910" s="25" t="str">
        <f>IF(J4910&lt;&gt;1,"",IF(I4910="SBJ","CB","?"))</f>
        <v> </v>
      </c>
      <c r="I4910" s="26" t="str">
        <f>IF(OR(E4910="",E4910="!!!",F4910="NEW"),"",INDEX(B4909:B$2,-1+SUMPRODUCT(MAX(ROW(E4909:E$2)*(E4910=E4909:E$2)))))</f>
        <v> </v>
      </c>
      <c r="J4910" s="26" t="str">
        <f>IF(OR(E4910="",E4910="!!!",F4910="NEW"),"",COUNTBLANK(OFFSET(A$1,,,SUMPRODUCT(MAX(ROW(E$2:E4910)*(E4910=E$2:E4910)))))-COUNTBLANK(OFFSET(A$1,,,SUMPRODUCT(MAX(ROW(E$1:E4909)*(E2=E$1:E4909))))))</f>
        <v> </v>
      </c>
      <c r="K4910" s="26" t="str">
        <f>IF(OR(E4910="",E4910="!!!",F4910="NEW"),"",INDEX(J$1:J4909,SUMPRODUCT(MAX(ROW(E$1:E4909)*(E4910=E$1:E4909)))))</f>
        <v> </v>
      </c>
      <c r="L4910" s="27"/>
    </row>
    <row r="4911" spans="1:12">
      <c r="A4911" s="20" t="s">
        <v>1218</v>
      </c>
      <c r="E4911" s="22">
        <f>IF(D4911="?OLD","!!!","")</f>
        <v/>
      </c>
      <c r="F4911" s="23" t="str">
        <f>IF(OR(E4911="",E4911="!!!"),"",IF(NOT(ISNA(VLOOKUP(E4911,E$1:E4910,1,FALSE()))),"OLD",IF(AND(E4911&lt;&gt;"",E4911&lt;&gt;"!!!"),"NEW","")))</f>
        <v> </v>
      </c>
      <c r="G4911" s="24" t="str">
        <f>IF(OR(E4911="",E4911="!!!"),"",IF(OR(J4911=0,AND(J4911=1,K4911=1),AND(J4911=1,I4911="SBJ"),AND(J4911=1,I4911=0)),"?IN_FOCUS",IF(J4911&lt;=2,"?ACTIVATED",IF(J4911&lt;&gt;"","?FAMILIAR",IF(F4911="NEW",IF(ISNA(VLOOKUP(E4911,#REF!,1,FALSE())),"?TYPE_IDENTIFIABLE","?REFERENTIAL"),"_")))))</f>
        <v> </v>
      </c>
      <c r="H4911" s="25" t="str">
        <f>IF(J4911&lt;&gt;1,"",IF(I4911="SBJ","CB","?"))</f>
        <v> </v>
      </c>
      <c r="I4911" s="26" t="str">
        <f>IF(OR(E4911="",E4911="!!!",F4911="NEW"),"",INDEX(B4910:B$2,-1+SUMPRODUCT(MAX(ROW(E4910:E$2)*(E4911=E4910:E$2)))))</f>
        <v> </v>
      </c>
      <c r="J4911" s="26" t="str">
        <f>IF(OR(E4911="",E4911="!!!",F4911="NEW"),"",COUNTBLANK(OFFSET(A$1,,,SUMPRODUCT(MAX(ROW(E$2:E4911)*(E4911=E$2:E4911)))))-COUNTBLANK(OFFSET(A$1,,,SUMPRODUCT(MAX(ROW(E$1:E4910)*(E2=E$1:E4910))))))</f>
        <v> </v>
      </c>
      <c r="K4911" s="26" t="str">
        <f>IF(OR(E4911="",E4911="!!!",F4911="NEW"),"",INDEX(J$1:J4910,SUMPRODUCT(MAX(ROW(E$1:E4910)*(E4911=E$1:E4910)))))</f>
        <v> </v>
      </c>
      <c r="L4911" s="27"/>
    </row>
    <row r="4912" spans="1:12">
      <c r="A4912" s="20" t="s">
        <v>2806</v>
      </c>
      <c r="B4912" s="21" t="s">
        <v>1380</v>
      </c>
      <c r="C4912" s="21" t="s">
        <v>1279</v>
      </c>
      <c r="E4912" s="22">
        <f>IF(D4912="?OLD","!!!","")</f>
        <v/>
      </c>
      <c r="F4912" s="23" t="str">
        <f>IF(OR(E4912="",E4912="!!!"),"",IF(NOT(ISNA(VLOOKUP(E4912,E$1:E4911,1,FALSE()))),"OLD",IF(AND(E4912&lt;&gt;"",E4912&lt;&gt;"!!!"),"NEW","")))</f>
        <v> </v>
      </c>
      <c r="G4912" s="24" t="str">
        <f>IF(OR(E4912="",E4912="!!!"),"",IF(OR(J4912=0,AND(J4912=1,K4912=1),AND(J4912=1,I4912="SBJ"),AND(J4912=1,I4912=0)),"?IN_FOCUS",IF(J4912&lt;=2,"?ACTIVATED",IF(J4912&lt;&gt;"","?FAMILIAR",IF(F4912="NEW",IF(ISNA(VLOOKUP(E4912,#REF!,1,FALSE())),"?TYPE_IDENTIFIABLE","?REFERENTIAL"),"_")))))</f>
        <v> </v>
      </c>
      <c r="H4912" s="25" t="str">
        <f>IF(J4912&lt;&gt;1,"",IF(I4912="SBJ","CB","?"))</f>
        <v> </v>
      </c>
      <c r="I4912" s="26" t="str">
        <f>IF(OR(E4912="",E4912="!!!",F4912="NEW"),"",INDEX(B4911:B$2,-1+SUMPRODUCT(MAX(ROW(E4911:E$2)*(E4912=E4911:E$2)))))</f>
        <v> </v>
      </c>
      <c r="J4912" s="26" t="str">
        <f>IF(OR(E4912="",E4912="!!!",F4912="NEW"),"",COUNTBLANK(OFFSET(A$1,,,SUMPRODUCT(MAX(ROW(E$2:E4912)*(E4912=E$2:E4912)))))-COUNTBLANK(OFFSET(A$1,,,SUMPRODUCT(MAX(ROW(E$1:E4911)*(E2=E$1:E4911))))))</f>
        <v> </v>
      </c>
      <c r="K4912" s="26" t="str">
        <f>IF(OR(E4912="",E4912="!!!",F4912="NEW"),"",INDEX(J$1:J4911,SUMPRODUCT(MAX(ROW(E$1:E4911)*(E4912=E$1:E4911)))))</f>
        <v> </v>
      </c>
      <c r="L4912" s="27"/>
    </row>
    <row r="4913" spans="1:12">
      <c r="A4913" s="20" t="s">
        <v>2807</v>
      </c>
      <c r="E4913" s="22">
        <f>IF(D4913="?OLD","!!!","")</f>
        <v/>
      </c>
      <c r="F4913" s="23" t="str">
        <f>IF(OR(E4913="",E4913="!!!"),"",IF(NOT(ISNA(VLOOKUP(E4913,E$1:E4912,1,FALSE()))),"OLD",IF(AND(E4913&lt;&gt;"",E4913&lt;&gt;"!!!"),"NEW","")))</f>
        <v> </v>
      </c>
      <c r="G4913" s="24" t="str">
        <f>IF(OR(E4913="",E4913="!!!"),"",IF(OR(J4913=0,AND(J4913=1,K4913=1),AND(J4913=1,I4913="SBJ"),AND(J4913=1,I4913=0)),"?IN_FOCUS",IF(J4913&lt;=2,"?ACTIVATED",IF(J4913&lt;&gt;"","?FAMILIAR",IF(F4913="NEW",IF(ISNA(VLOOKUP(E4913,#REF!,1,FALSE())),"?TYPE_IDENTIFIABLE","?REFERENTIAL"),"_")))))</f>
        <v> </v>
      </c>
      <c r="H4913" s="25" t="str">
        <f>IF(J4913&lt;&gt;1,"",IF(I4913="SBJ","CB","?"))</f>
        <v> </v>
      </c>
      <c r="I4913" s="26" t="str">
        <f>IF(OR(E4913="",E4913="!!!",F4913="NEW"),"",INDEX(B4912:B$2,-1+SUMPRODUCT(MAX(ROW(E4912:E$2)*(E4913=E4912:E$2)))))</f>
        <v> </v>
      </c>
      <c r="J4913" s="26" t="str">
        <f>IF(OR(E4913="",E4913="!!!",F4913="NEW"),"",COUNTBLANK(OFFSET(A$1,,,SUMPRODUCT(MAX(ROW(E$2:E4913)*(E4913=E$2:E4913)))))-COUNTBLANK(OFFSET(A$1,,,SUMPRODUCT(MAX(ROW(E$1:E4912)*(E2=E$1:E4912))))))</f>
        <v> </v>
      </c>
      <c r="K4913" s="26" t="str">
        <f>IF(OR(E4913="",E4913="!!!",F4913="NEW"),"",INDEX(J$1:J4912,SUMPRODUCT(MAX(ROW(E$1:E4912)*(E4913=E$1:E4912)))))</f>
        <v> </v>
      </c>
      <c r="L4913" s="27"/>
    </row>
    <row r="4914" spans="1:12">
      <c r="A4914" s="20" t="s">
        <v>1251</v>
      </c>
      <c r="B4914" s="21" t="s">
        <v>2772</v>
      </c>
      <c r="E4914" s="22">
        <f>IF(D4914="?OLD","!!!","")</f>
        <v/>
      </c>
      <c r="F4914" s="23" t="str">
        <f>IF(OR(E4914="",E4914="!!!"),"",IF(NOT(ISNA(VLOOKUP(E4914,E$1:E4913,1,FALSE()))),"OLD",IF(AND(E4914&lt;&gt;"",E4914&lt;&gt;"!!!"),"NEW","")))</f>
        <v> </v>
      </c>
      <c r="G4914" s="24" t="str">
        <f>IF(OR(E4914="",E4914="!!!"),"",IF(OR(J4914=0,AND(J4914=1,K4914=1),AND(J4914=1,I4914="SBJ"),AND(J4914=1,I4914=0)),"?IN_FOCUS",IF(J4914&lt;=2,"?ACTIVATED",IF(J4914&lt;&gt;"","?FAMILIAR",IF(F4914="NEW",IF(ISNA(VLOOKUP(E4914,#REF!,1,FALSE())),"?TYPE_IDENTIFIABLE","?REFERENTIAL"),"_")))))</f>
        <v> </v>
      </c>
      <c r="H4914" s="25" t="str">
        <f>IF(J4914&lt;&gt;1,"",IF(I4914="SBJ","CB","?"))</f>
        <v> </v>
      </c>
      <c r="I4914" s="26" t="str">
        <f>IF(OR(E4914="",E4914="!!!",F4914="NEW"),"",INDEX(B4913:B$2,-1+SUMPRODUCT(MAX(ROW(E4913:E$2)*(E4914=E4913:E$2)))))</f>
        <v> </v>
      </c>
      <c r="J4914" s="26" t="str">
        <f>IF(OR(E4914="",E4914="!!!",F4914="NEW"),"",COUNTBLANK(OFFSET(A$1,,,SUMPRODUCT(MAX(ROW(E$2:E4914)*(E4914=E$2:E4914)))))-COUNTBLANK(OFFSET(A$1,,,SUMPRODUCT(MAX(ROW(E$1:E4913)*(E2=E$1:E4913))))))</f>
        <v> </v>
      </c>
      <c r="K4914" s="26" t="str">
        <f>IF(OR(E4914="",E4914="!!!",F4914="NEW"),"",INDEX(J$1:J4913,SUMPRODUCT(MAX(ROW(E$1:E4913)*(E4914=E$1:E4913)))))</f>
        <v> </v>
      </c>
      <c r="L4914" s="27"/>
    </row>
    <row r="4915" spans="1:12">
      <c r="A4915" s="20" t="s">
        <v>2808</v>
      </c>
      <c r="E4915" s="22">
        <f>IF(D4915="?OLD","!!!","")</f>
        <v/>
      </c>
      <c r="F4915" s="23" t="str">
        <f>IF(OR(E4915="",E4915="!!!"),"",IF(NOT(ISNA(VLOOKUP(E4915,E$1:E4914,1,FALSE()))),"OLD",IF(AND(E4915&lt;&gt;"",E4915&lt;&gt;"!!!"),"NEW","")))</f>
        <v> </v>
      </c>
      <c r="G4915" s="24" t="str">
        <f>IF(OR(E4915="",E4915="!!!"),"",IF(OR(J4915=0,AND(J4915=1,K4915=1),AND(J4915=1,I4915="SBJ"),AND(J4915=1,I4915=0)),"?IN_FOCUS",IF(J4915&lt;=2,"?ACTIVATED",IF(J4915&lt;&gt;"","?FAMILIAR",IF(F4915="NEW",IF(ISNA(VLOOKUP(E4915,#REF!,1,FALSE())),"?TYPE_IDENTIFIABLE","?REFERENTIAL"),"_")))))</f>
        <v> </v>
      </c>
      <c r="H4915" s="25" t="str">
        <f>IF(J4915&lt;&gt;1,"",IF(I4915="SBJ","CB","?"))</f>
        <v> </v>
      </c>
      <c r="I4915" s="26" t="str">
        <f>IF(OR(E4915="",E4915="!!!",F4915="NEW"),"",INDEX(B4914:B$2,-1+SUMPRODUCT(MAX(ROW(E4914:E$2)*(E4915=E4914:E$2)))))</f>
        <v> </v>
      </c>
      <c r="J4915" s="26" t="str">
        <f>IF(OR(E4915="",E4915="!!!",F4915="NEW"),"",COUNTBLANK(OFFSET(A$1,,,SUMPRODUCT(MAX(ROW(E$2:E4915)*(E4915=E$2:E4915)))))-COUNTBLANK(OFFSET(A$1,,,SUMPRODUCT(MAX(ROW(E$1:E4914)*(E2=E$1:E4914))))))</f>
        <v> </v>
      </c>
      <c r="K4915" s="26" t="str">
        <f>IF(OR(E4915="",E4915="!!!",F4915="NEW"),"",INDEX(J$1:J4914,SUMPRODUCT(MAX(ROW(E$1:E4914)*(E4915=E$1:E4914)))))</f>
        <v> </v>
      </c>
      <c r="L4915" s="27"/>
    </row>
    <row r="4916" spans="1:12">
      <c r="A4916" s="20" t="s">
        <v>1323</v>
      </c>
      <c r="E4916" s="22">
        <f>IF(D4916="?OLD","!!!","")</f>
        <v/>
      </c>
      <c r="F4916" s="23" t="str">
        <f>IF(OR(E4916="",E4916="!!!"),"",IF(NOT(ISNA(VLOOKUP(E4916,E$1:E4915,1,FALSE()))),"OLD",IF(AND(E4916&lt;&gt;"",E4916&lt;&gt;"!!!"),"NEW","")))</f>
        <v> </v>
      </c>
      <c r="G4916" s="24" t="str">
        <f>IF(OR(E4916="",E4916="!!!"),"",IF(OR(J4916=0,AND(J4916=1,K4916=1),AND(J4916=1,I4916="SBJ"),AND(J4916=1,I4916=0)),"?IN_FOCUS",IF(J4916&lt;=2,"?ACTIVATED",IF(J4916&lt;&gt;"","?FAMILIAR",IF(F4916="NEW",IF(ISNA(VLOOKUP(E4916,#REF!,1,FALSE())),"?TYPE_IDENTIFIABLE","?REFERENTIAL"),"_")))))</f>
        <v> </v>
      </c>
      <c r="H4916" s="25" t="str">
        <f>IF(J4916&lt;&gt;1,"",IF(I4916="SBJ","CB","?"))</f>
        <v> </v>
      </c>
      <c r="I4916" s="26" t="str">
        <f>IF(OR(E4916="",E4916="!!!",F4916="NEW"),"",INDEX(B4915:B$2,-1+SUMPRODUCT(MAX(ROW(E4915:E$2)*(E4916=E4915:E$2)))))</f>
        <v> </v>
      </c>
      <c r="J4916" s="26" t="str">
        <f>IF(OR(E4916="",E4916="!!!",F4916="NEW"),"",COUNTBLANK(OFFSET(A$1,,,SUMPRODUCT(MAX(ROW(E$2:E4916)*(E4916=E$2:E4916)))))-COUNTBLANK(OFFSET(A$1,,,SUMPRODUCT(MAX(ROW(E$1:E4915)*(E2=E$1:E4915))))))</f>
        <v> </v>
      </c>
      <c r="K4916" s="26" t="str">
        <f>IF(OR(E4916="",E4916="!!!",F4916="NEW"),"",INDEX(J$1:J4915,SUMPRODUCT(MAX(ROW(E$1:E4915)*(E4916=E$1:E4915)))))</f>
        <v> </v>
      </c>
      <c r="L4916" s="27"/>
    </row>
    <row r="4917" spans="1:12">
      <c r="A4917" s="20" t="s">
        <v>1379</v>
      </c>
      <c r="B4917" s="21" t="s">
        <v>2809</v>
      </c>
      <c r="C4917" s="21" t="s">
        <v>1269</v>
      </c>
      <c r="D4917" s="21" t="s">
        <v>1217</v>
      </c>
      <c r="E4917" s="22">
        <f>IF(D4917="?OLD","!!!","")</f>
        <v/>
      </c>
      <c r="F4917" s="23" t="str">
        <f>IF(OR(E4917="",E4917="!!!"),"",IF(NOT(ISNA(VLOOKUP(E4917,E$1:E4916,1,FALSE()))),"OLD",IF(AND(E4917&lt;&gt;"",E4917&lt;&gt;"!!!"),"NEW","")))</f>
        <v> </v>
      </c>
      <c r="G4917" s="24" t="str">
        <f>IF(OR(E4917="",E4917="!!!"),"",IF(OR(J4917=0,AND(J4917=1,K4917=1),AND(J4917=1,I4917="SBJ"),AND(J4917=1,I4917=0)),"?IN_FOCUS",IF(J4917&lt;=2,"?ACTIVATED",IF(J4917&lt;&gt;"","?FAMILIAR",IF(F4917="NEW",IF(ISNA(VLOOKUP(E4917,#REF!,1,FALSE())),"?TYPE_IDENTIFIABLE","?REFERENTIAL"),"_")))))</f>
        <v> </v>
      </c>
      <c r="H4917" s="25" t="str">
        <f>IF(J4917&lt;&gt;1,"",IF(I4917="SBJ","CB","?"))</f>
        <v> </v>
      </c>
      <c r="I4917" s="26" t="str">
        <f>IF(OR(E4917="",E4917="!!!",F4917="NEW"),"",INDEX(B4916:B$2,-1+SUMPRODUCT(MAX(ROW(E4916:E$2)*(E4917=E4916:E$2)))))</f>
        <v> </v>
      </c>
      <c r="J4917" s="26" t="str">
        <f>IF(OR(E4917="",E4917="!!!",F4917="NEW"),"",COUNTBLANK(OFFSET(A$1,,,SUMPRODUCT(MAX(ROW(E$2:E4917)*(E4917=E$2:E4917)))))-COUNTBLANK(OFFSET(A$1,,,SUMPRODUCT(MAX(ROW(E$1:E4916)*(E2=E$1:E4916))))))</f>
        <v> </v>
      </c>
      <c r="K4917" s="26" t="str">
        <f>IF(OR(E4917="",E4917="!!!",F4917="NEW"),"",INDEX(J$1:J4916,SUMPRODUCT(MAX(ROW(E$1:E4916)*(E4917=E$1:E4916)))))</f>
        <v> </v>
      </c>
      <c r="L4917" s="27"/>
    </row>
    <row r="4918" spans="1:12">
      <c r="A4918" s="20" t="s">
        <v>1245</v>
      </c>
      <c r="E4918" s="22">
        <f>IF(D4918="?OLD","!!!","")</f>
        <v/>
      </c>
      <c r="F4918" s="23" t="str">
        <f>IF(OR(E4918="",E4918="!!!"),"",IF(NOT(ISNA(VLOOKUP(E4918,E$1:E4917,1,FALSE()))),"OLD",IF(AND(E4918&lt;&gt;"",E4918&lt;&gt;"!!!"),"NEW","")))</f>
        <v> </v>
      </c>
      <c r="G4918" s="24" t="str">
        <f>IF(OR(E4918="",E4918="!!!"),"",IF(OR(J4918=0,AND(J4918=1,K4918=1),AND(J4918=1,I4918="SBJ"),AND(J4918=1,I4918=0)),"?IN_FOCUS",IF(J4918&lt;=2,"?ACTIVATED",IF(J4918&lt;&gt;"","?FAMILIAR",IF(F4918="NEW",IF(ISNA(VLOOKUP(E4918,#REF!,1,FALSE())),"?TYPE_IDENTIFIABLE","?REFERENTIAL"),"_")))))</f>
        <v> </v>
      </c>
      <c r="H4918" s="25" t="str">
        <f>IF(J4918&lt;&gt;1,"",IF(I4918="SBJ","CB","?"))</f>
        <v> </v>
      </c>
      <c r="I4918" s="26" t="str">
        <f>IF(OR(E4918="",E4918="!!!",F4918="NEW"),"",INDEX(B4917:B$2,-1+SUMPRODUCT(MAX(ROW(E4917:E$2)*(E4918=E4917:E$2)))))</f>
        <v> </v>
      </c>
      <c r="J4918" s="26" t="str">
        <f>IF(OR(E4918="",E4918="!!!",F4918="NEW"),"",COUNTBLANK(OFFSET(A$1,,,SUMPRODUCT(MAX(ROW(E$2:E4918)*(E4918=E$2:E4918)))))-COUNTBLANK(OFFSET(A$1,,,SUMPRODUCT(MAX(ROW(E$1:E4917)*(E2=E$1:E4917))))))</f>
        <v> </v>
      </c>
      <c r="K4918" s="26" t="str">
        <f>IF(OR(E4918="",E4918="!!!",F4918="NEW"),"",INDEX(J$1:J4917,SUMPRODUCT(MAX(ROW(E$1:E4917)*(E4918=E$1:E4917)))))</f>
        <v> </v>
      </c>
      <c r="L4918" s="27"/>
    </row>
    <row r="4919" spans="1:12">
      <c r="A4919" s="20" t="s">
        <v>1219</v>
      </c>
      <c r="E4919" s="22">
        <f>IF(D4919="?OLD","!!!","")</f>
        <v/>
      </c>
      <c r="F4919" s="23" t="str">
        <f>IF(OR(E4919="",E4919="!!!"),"",IF(NOT(ISNA(VLOOKUP(E4919,E$1:E4918,1,FALSE()))),"OLD",IF(AND(E4919&lt;&gt;"",E4919&lt;&gt;"!!!"),"NEW","")))</f>
        <v> </v>
      </c>
      <c r="G4919" s="24" t="str">
        <f>IF(OR(E4919="",E4919="!!!"),"",IF(OR(J4919=0,AND(J4919=1,K4919=1),AND(J4919=1,I4919="SBJ"),AND(J4919=1,I4919=0)),"?IN_FOCUS",IF(J4919&lt;=2,"?ACTIVATED",IF(J4919&lt;&gt;"","?FAMILIAR",IF(F4919="NEW",IF(ISNA(VLOOKUP(E4919,#REF!,1,FALSE())),"?TYPE_IDENTIFIABLE","?REFERENTIAL"),"_")))))</f>
        <v> </v>
      </c>
      <c r="H4919" s="25" t="str">
        <f>IF(J4919&lt;&gt;1,"",IF(I4919="SBJ","CB","?"))</f>
        <v> </v>
      </c>
      <c r="I4919" s="26" t="str">
        <f>IF(OR(E4919="",E4919="!!!",F4919="NEW"),"",INDEX(B4918:B$2,-1+SUMPRODUCT(MAX(ROW(E4918:E$2)*(E4919=E4918:E$2)))))</f>
        <v> </v>
      </c>
      <c r="J4919" s="26" t="str">
        <f>IF(OR(E4919="",E4919="!!!",F4919="NEW"),"",COUNTBLANK(OFFSET(A$1,,,SUMPRODUCT(MAX(ROW(E$2:E4919)*(E4919=E$2:E4919)))))-COUNTBLANK(OFFSET(A$1,,,SUMPRODUCT(MAX(ROW(E$1:E4918)*(E2=E$1:E4918))))))</f>
        <v> </v>
      </c>
      <c r="K4919" s="26" t="str">
        <f>IF(OR(E4919="",E4919="!!!",F4919="NEW"),"",INDEX(J$1:J4918,SUMPRODUCT(MAX(ROW(E$1:E4918)*(E4919=E$1:E4918)))))</f>
        <v> </v>
      </c>
      <c r="L4919" s="27"/>
    </row>
    <row r="4920" spans="1:12">
      <c r="A4920" s="20" t="s">
        <v>2810</v>
      </c>
      <c r="B4920" s="21" t="s">
        <v>2756</v>
      </c>
      <c r="C4920" s="21" t="s">
        <v>1269</v>
      </c>
      <c r="D4920" s="21" t="s">
        <v>1217</v>
      </c>
      <c r="E4920" s="22">
        <f>IF(D4920="?OLD","!!!","")</f>
        <v/>
      </c>
      <c r="F4920" s="23" t="str">
        <f>IF(OR(E4920="",E4920="!!!"),"",IF(NOT(ISNA(VLOOKUP(E4920,E$1:E4919,1,FALSE()))),"OLD",IF(AND(E4920&lt;&gt;"",E4920&lt;&gt;"!!!"),"NEW","")))</f>
        <v> </v>
      </c>
      <c r="G4920" s="24" t="str">
        <f>IF(OR(E4920="",E4920="!!!"),"",IF(OR(J4920=0,AND(J4920=1,K4920=1),AND(J4920=1,I4920="SBJ"),AND(J4920=1,I4920=0)),"?IN_FOCUS",IF(J4920&lt;=2,"?ACTIVATED",IF(J4920&lt;&gt;"","?FAMILIAR",IF(F4920="NEW",IF(ISNA(VLOOKUP(E4920,#REF!,1,FALSE())),"?TYPE_IDENTIFIABLE","?REFERENTIAL"),"_")))))</f>
        <v> </v>
      </c>
      <c r="H4920" s="25" t="str">
        <f>IF(J4920&lt;&gt;1,"",IF(I4920="SBJ","CB","?"))</f>
        <v> </v>
      </c>
      <c r="I4920" s="26" t="str">
        <f>IF(OR(E4920="",E4920="!!!",F4920="NEW"),"",INDEX(B4919:B$2,-1+SUMPRODUCT(MAX(ROW(E4919:E$2)*(E4920=E4919:E$2)))))</f>
        <v> </v>
      </c>
      <c r="J4920" s="26" t="str">
        <f>IF(OR(E4920="",E4920="!!!",F4920="NEW"),"",COUNTBLANK(OFFSET(A$1,,,SUMPRODUCT(MAX(ROW(E$2:E4920)*(E4920=E$2:E4920)))))-COUNTBLANK(OFFSET(A$1,,,SUMPRODUCT(MAX(ROW(E$1:E4919)*(E2=E$1:E4919))))))</f>
        <v> </v>
      </c>
      <c r="K4920" s="26" t="str">
        <f>IF(OR(E4920="",E4920="!!!",F4920="NEW"),"",INDEX(J$1:J4919,SUMPRODUCT(MAX(ROW(E$1:E4919)*(E4920=E$1:E4919)))))</f>
        <v> </v>
      </c>
      <c r="L4920" s="27"/>
    </row>
    <row r="4921" spans="1:12">
      <c r="A4921" s="20" t="s">
        <v>1262</v>
      </c>
      <c r="E4921" s="22">
        <f>IF(D4921="?OLD","!!!","")</f>
        <v/>
      </c>
      <c r="F4921" s="23" t="str">
        <f>IF(OR(E4921="",E4921="!!!"),"",IF(NOT(ISNA(VLOOKUP(E4921,E$1:E4920,1,FALSE()))),"OLD",IF(AND(E4921&lt;&gt;"",E4921&lt;&gt;"!!!"),"NEW","")))</f>
        <v> </v>
      </c>
      <c r="G4921" s="24" t="str">
        <f>IF(OR(E4921="",E4921="!!!"),"",IF(OR(J4921=0,AND(J4921=1,K4921=1),AND(J4921=1,I4921="SBJ"),AND(J4921=1,I4921=0)),"?IN_FOCUS",IF(J4921&lt;=2,"?ACTIVATED",IF(J4921&lt;&gt;"","?FAMILIAR",IF(F4921="NEW",IF(ISNA(VLOOKUP(E4921,#REF!,1,FALSE())),"?TYPE_IDENTIFIABLE","?REFERENTIAL"),"_")))))</f>
        <v> </v>
      </c>
      <c r="H4921" s="25" t="str">
        <f>IF(J4921&lt;&gt;1,"",IF(I4921="SBJ","CB","?"))</f>
        <v> </v>
      </c>
      <c r="I4921" s="26" t="str">
        <f>IF(OR(E4921="",E4921="!!!",F4921="NEW"),"",INDEX(B4920:B$2,-1+SUMPRODUCT(MAX(ROW(E4920:E$2)*(E4921=E4920:E$2)))))</f>
        <v> </v>
      </c>
      <c r="J4921" s="26" t="str">
        <f>IF(OR(E4921="",E4921="!!!",F4921="NEW"),"",COUNTBLANK(OFFSET(A$1,,,SUMPRODUCT(MAX(ROW(E$2:E4921)*(E4921=E$2:E4921)))))-COUNTBLANK(OFFSET(A$1,,,SUMPRODUCT(MAX(ROW(E$1:E4920)*(E2=E$1:E4920))))))</f>
        <v> </v>
      </c>
      <c r="K4921" s="26" t="str">
        <f>IF(OR(E4921="",E4921="!!!",F4921="NEW"),"",INDEX(J$1:J4920,SUMPRODUCT(MAX(ROW(E$1:E4920)*(E4921=E$1:E4920)))))</f>
        <v> </v>
      </c>
      <c r="L4921" s="27"/>
    </row>
    <row r="4922" spans="1:12">
      <c r="A4922" s="20"/>
    </row>
    <row r="4923" spans="1:12">
      <c r="A4923" s="20" t="s">
        <v>2811</v>
      </c>
    </row>
    <row r="4924" spans="1:12">
      <c r="A4924" s="20" t="s">
        <v>1658</v>
      </c>
      <c r="E4924" s="22">
        <f>IF(D4924="?OLD","!!!","")</f>
        <v/>
      </c>
      <c r="F4924" s="23" t="str">
        <f>IF(OR(E4924="",E4924="!!!"),"",IF(NOT(ISNA(VLOOKUP(E4924,E$1:E4923,1,FALSE()))),"OLD",IF(AND(E4924&lt;&gt;"",E4924&lt;&gt;"!!!"),"NEW","")))</f>
        <v> </v>
      </c>
      <c r="G4924" s="24" t="str">
        <f>IF(OR(E4924="",E4924="!!!"),"",IF(OR(J4924=0,AND(J4924=1,K4924=1),AND(J4924=1,I4924="SBJ"),AND(J4924=1,I4924=0)),"?IN_FOCUS",IF(J4924&lt;=2,"?ACTIVATED",IF(J4924&lt;&gt;"","?FAMILIAR",IF(F4924="NEW",IF(ISNA(VLOOKUP(E4924,#REF!,1,FALSE())),"?TYPE_IDENTIFIABLE","?REFERENTIAL"),"_")))))</f>
        <v> </v>
      </c>
      <c r="H4924" s="25" t="str">
        <f>IF(J4924&lt;&gt;1,"",IF(I4924="SBJ","CB","?"))</f>
        <v> </v>
      </c>
      <c r="I4924" s="26" t="str">
        <f>IF(OR(E4924="",E4924="!!!",F4924="NEW"),"",INDEX(B4923:B$2,-1+SUMPRODUCT(MAX(ROW(E4923:E$2)*(E4924=E4923:E$2)))))</f>
        <v> </v>
      </c>
      <c r="J4924" s="26" t="str">
        <f>IF(OR(E4924="",E4924="!!!",F4924="NEW"),"",COUNTBLANK(OFFSET(A$1,,,SUMPRODUCT(MAX(ROW(E$2:E4924)*(E4924=E$2:E4924)))))-COUNTBLANK(OFFSET(A$1,,,SUMPRODUCT(MAX(ROW(E$1:E4923)*(E2=E$1:E4923))))))</f>
        <v> </v>
      </c>
      <c r="K4924" s="26" t="str">
        <f>IF(OR(E4924="",E4924="!!!",F4924="NEW"),"",INDEX(J$1:J4923,SUMPRODUCT(MAX(ROW(E$1:E4923)*(E4924=E$1:E4923)))))</f>
        <v> </v>
      </c>
      <c r="L4924" s="27"/>
    </row>
    <row r="4925" spans="1:12">
      <c r="A4925" s="20" t="s">
        <v>1219</v>
      </c>
      <c r="E4925" s="22">
        <f>IF(D4925="?OLD","!!!","")</f>
        <v/>
      </c>
      <c r="F4925" s="23" t="str">
        <f>IF(OR(E4925="",E4925="!!!"),"",IF(NOT(ISNA(VLOOKUP(E4925,E$1:E4924,1,FALSE()))),"OLD",IF(AND(E4925&lt;&gt;"",E4925&lt;&gt;"!!!"),"NEW","")))</f>
        <v> </v>
      </c>
      <c r="G4925" s="24" t="str">
        <f>IF(OR(E4925="",E4925="!!!"),"",IF(OR(J4925=0,AND(J4925=1,K4925=1),AND(J4925=1,I4925="SBJ"),AND(J4925=1,I4925=0)),"?IN_FOCUS",IF(J4925&lt;=2,"?ACTIVATED",IF(J4925&lt;&gt;"","?FAMILIAR",IF(F4925="NEW",IF(ISNA(VLOOKUP(E4925,#REF!,1,FALSE())),"?TYPE_IDENTIFIABLE","?REFERENTIAL"),"_")))))</f>
        <v> </v>
      </c>
      <c r="H4925" s="25" t="str">
        <f>IF(J4925&lt;&gt;1,"",IF(I4925="SBJ","CB","?"))</f>
        <v> </v>
      </c>
      <c r="I4925" s="26" t="str">
        <f>IF(OR(E4925="",E4925="!!!",F4925="NEW"),"",INDEX(B4924:B$2,-1+SUMPRODUCT(MAX(ROW(E4924:E$2)*(E4925=E4924:E$2)))))</f>
        <v> </v>
      </c>
      <c r="J4925" s="26" t="str">
        <f>IF(OR(E4925="",E4925="!!!",F4925="NEW"),"",COUNTBLANK(OFFSET(A$1,,,SUMPRODUCT(MAX(ROW(E$2:E4925)*(E4925=E$2:E4925)))))-COUNTBLANK(OFFSET(A$1,,,SUMPRODUCT(MAX(ROW(E$1:E4924)*(E2=E$1:E4924))))))</f>
        <v> </v>
      </c>
      <c r="K4925" s="26" t="str">
        <f>IF(OR(E4925="",E4925="!!!",F4925="NEW"),"",INDEX(J$1:J4924,SUMPRODUCT(MAX(ROW(E$1:E4924)*(E4925=E$1:E4924)))))</f>
        <v> </v>
      </c>
      <c r="L4925" s="27"/>
    </row>
    <row r="4926" spans="1:12">
      <c r="A4926" s="20" t="s">
        <v>2812</v>
      </c>
      <c r="B4926" s="21" t="s">
        <v>1244</v>
      </c>
      <c r="C4926" s="21" t="s">
        <v>1269</v>
      </c>
      <c r="D4926" s="21" t="s">
        <v>1217</v>
      </c>
      <c r="E4926" s="22">
        <f>IF(D4926="?OLD","!!!","")</f>
        <v/>
      </c>
      <c r="F4926" s="23" t="str">
        <f>IF(OR(E4926="",E4926="!!!"),"",IF(NOT(ISNA(VLOOKUP(E4926,E$1:E4925,1,FALSE()))),"OLD",IF(AND(E4926&lt;&gt;"",E4926&lt;&gt;"!!!"),"NEW","")))</f>
        <v> </v>
      </c>
      <c r="G4926" s="24" t="str">
        <f>IF(OR(E4926="",E4926="!!!"),"",IF(OR(J4926=0,AND(J4926=1,K4926=1),AND(J4926=1,I4926="SBJ"),AND(J4926=1,I4926=0)),"?IN_FOCUS",IF(J4926&lt;=2,"?ACTIVATED",IF(J4926&lt;&gt;"","?FAMILIAR",IF(F4926="NEW",IF(ISNA(VLOOKUP(E4926,#REF!,1,FALSE())),"?TYPE_IDENTIFIABLE","?REFERENTIAL"),"_")))))</f>
        <v> </v>
      </c>
      <c r="H4926" s="25" t="str">
        <f>IF(J4926&lt;&gt;1,"",IF(I4926="SBJ","CB","?"))</f>
        <v> </v>
      </c>
      <c r="I4926" s="26" t="str">
        <f>IF(OR(E4926="",E4926="!!!",F4926="NEW"),"",INDEX(B4925:B$2,-1+SUMPRODUCT(MAX(ROW(E4925:E$2)*(E4926=E4925:E$2)))))</f>
        <v> </v>
      </c>
      <c r="J4926" s="26" t="str">
        <f>IF(OR(E4926="",E4926="!!!",F4926="NEW"),"",COUNTBLANK(OFFSET(A$1,,,SUMPRODUCT(MAX(ROW(E$2:E4926)*(E4926=E$2:E4926)))))-COUNTBLANK(OFFSET(A$1,,,SUMPRODUCT(MAX(ROW(E$1:E4925)*(E2=E$1:E4925))))))</f>
        <v> </v>
      </c>
      <c r="K4926" s="26" t="str">
        <f>IF(OR(E4926="",E4926="!!!",F4926="NEW"),"",INDEX(J$1:J4925,SUMPRODUCT(MAX(ROW(E$1:E4925)*(E4926=E$1:E4925)))))</f>
        <v> </v>
      </c>
      <c r="L4926" s="27"/>
    </row>
    <row r="4927" spans="1:12">
      <c r="A4927" s="20" t="s">
        <v>2813</v>
      </c>
      <c r="E4927" s="22">
        <f>IF(D4927="?OLD","!!!","")</f>
        <v/>
      </c>
      <c r="F4927" s="23" t="str">
        <f>IF(OR(E4927="",E4927="!!!"),"",IF(NOT(ISNA(VLOOKUP(E4927,E$1:E4926,1,FALSE()))),"OLD",IF(AND(E4927&lt;&gt;"",E4927&lt;&gt;"!!!"),"NEW","")))</f>
        <v> </v>
      </c>
      <c r="G4927" s="24" t="str">
        <f>IF(OR(E4927="",E4927="!!!"),"",IF(OR(J4927=0,AND(J4927=1,K4927=1),AND(J4927=1,I4927="SBJ"),AND(J4927=1,I4927=0)),"?IN_FOCUS",IF(J4927&lt;=2,"?ACTIVATED",IF(J4927&lt;&gt;"","?FAMILIAR",IF(F4927="NEW",IF(ISNA(VLOOKUP(E4927,#REF!,1,FALSE())),"?TYPE_IDENTIFIABLE","?REFERENTIAL"),"_")))))</f>
        <v> </v>
      </c>
      <c r="H4927" s="25" t="str">
        <f>IF(J4927&lt;&gt;1,"",IF(I4927="SBJ","CB","?"))</f>
        <v> </v>
      </c>
      <c r="I4927" s="26" t="str">
        <f>IF(OR(E4927="",E4927="!!!",F4927="NEW"),"",INDEX(B4926:B$2,-1+SUMPRODUCT(MAX(ROW(E4926:E$2)*(E4927=E4926:E$2)))))</f>
        <v> </v>
      </c>
      <c r="J4927" s="26" t="str">
        <f>IF(OR(E4927="",E4927="!!!",F4927="NEW"),"",COUNTBLANK(OFFSET(A$1,,,SUMPRODUCT(MAX(ROW(E$2:E4927)*(E4927=E$2:E4927)))))-COUNTBLANK(OFFSET(A$1,,,SUMPRODUCT(MAX(ROW(E$1:E4926)*(E2=E$1:E4926))))))</f>
        <v> </v>
      </c>
      <c r="K4927" s="26" t="str">
        <f>IF(OR(E4927="",E4927="!!!",F4927="NEW"),"",INDEX(J$1:J4926,SUMPRODUCT(MAX(ROW(E$1:E4926)*(E4927=E$1:E4926)))))</f>
        <v> </v>
      </c>
      <c r="L4927" s="27"/>
    </row>
    <row r="4928" spans="1:12">
      <c r="A4928" s="20" t="s">
        <v>1286</v>
      </c>
      <c r="E4928" s="22">
        <f>IF(D4928="?OLD","!!!","")</f>
        <v/>
      </c>
      <c r="F4928" s="23" t="str">
        <f>IF(OR(E4928="",E4928="!!!"),"",IF(NOT(ISNA(VLOOKUP(E4928,E$1:E4927,1,FALSE()))),"OLD",IF(AND(E4928&lt;&gt;"",E4928&lt;&gt;"!!!"),"NEW","")))</f>
        <v> </v>
      </c>
      <c r="G4928" s="24" t="str">
        <f>IF(OR(E4928="",E4928="!!!"),"",IF(OR(J4928=0,AND(J4928=1,K4928=1),AND(J4928=1,I4928="SBJ"),AND(J4928=1,I4928=0)),"?IN_FOCUS",IF(J4928&lt;=2,"?ACTIVATED",IF(J4928&lt;&gt;"","?FAMILIAR",IF(F4928="NEW",IF(ISNA(VLOOKUP(E4928,#REF!,1,FALSE())),"?TYPE_IDENTIFIABLE","?REFERENTIAL"),"_")))))</f>
        <v> </v>
      </c>
      <c r="H4928" s="25" t="str">
        <f>IF(J4928&lt;&gt;1,"",IF(I4928="SBJ","CB","?"))</f>
        <v> </v>
      </c>
      <c r="I4928" s="26" t="str">
        <f>IF(OR(E4928="",E4928="!!!",F4928="NEW"),"",INDEX(B4927:B$2,-1+SUMPRODUCT(MAX(ROW(E4927:E$2)*(E4928=E4927:E$2)))))</f>
        <v> </v>
      </c>
      <c r="J4928" s="26" t="str">
        <f>IF(OR(E4928="",E4928="!!!",F4928="NEW"),"",COUNTBLANK(OFFSET(A$1,,,SUMPRODUCT(MAX(ROW(E$2:E4928)*(E4928=E$2:E4928)))))-COUNTBLANK(OFFSET(A$1,,,SUMPRODUCT(MAX(ROW(E$1:E4927)*(E2=E$1:E4927))))))</f>
        <v> </v>
      </c>
      <c r="K4928" s="26" t="str">
        <f>IF(OR(E4928="",E4928="!!!",F4928="NEW"),"",INDEX(J$1:J4927,SUMPRODUCT(MAX(ROW(E$1:E4927)*(E4928=E$1:E4927)))))</f>
        <v> </v>
      </c>
      <c r="L4928" s="27"/>
    </row>
    <row r="4929" spans="1:12">
      <c r="A4929" s="20" t="s">
        <v>1218</v>
      </c>
      <c r="E4929" s="22">
        <f>IF(D4929="?OLD","!!!","")</f>
        <v/>
      </c>
      <c r="F4929" s="23" t="str">
        <f>IF(OR(E4929="",E4929="!!!"),"",IF(NOT(ISNA(VLOOKUP(E4929,E$1:E4928,1,FALSE()))),"OLD",IF(AND(E4929&lt;&gt;"",E4929&lt;&gt;"!!!"),"NEW","")))</f>
        <v> </v>
      </c>
      <c r="G4929" s="24" t="str">
        <f>IF(OR(E4929="",E4929="!!!"),"",IF(OR(J4929=0,AND(J4929=1,K4929=1),AND(J4929=1,I4929="SBJ"),AND(J4929=1,I4929=0)),"?IN_FOCUS",IF(J4929&lt;=2,"?ACTIVATED",IF(J4929&lt;&gt;"","?FAMILIAR",IF(F4929="NEW",IF(ISNA(VLOOKUP(E4929,#REF!,1,FALSE())),"?TYPE_IDENTIFIABLE","?REFERENTIAL"),"_")))))</f>
        <v> </v>
      </c>
      <c r="H4929" s="25" t="str">
        <f>IF(J4929&lt;&gt;1,"",IF(I4929="SBJ","CB","?"))</f>
        <v> </v>
      </c>
      <c r="I4929" s="26" t="str">
        <f>IF(OR(E4929="",E4929="!!!",F4929="NEW"),"",INDEX(B4928:B$2,-1+SUMPRODUCT(MAX(ROW(E4928:E$2)*(E4929=E4928:E$2)))))</f>
        <v> </v>
      </c>
      <c r="J4929" s="26" t="str">
        <f>IF(OR(E4929="",E4929="!!!",F4929="NEW"),"",COUNTBLANK(OFFSET(A$1,,,SUMPRODUCT(MAX(ROW(E$2:E4929)*(E4929=E$2:E4929)))))-COUNTBLANK(OFFSET(A$1,,,SUMPRODUCT(MAX(ROW(E$1:E4928)*(E2=E$1:E4928))))))</f>
        <v> </v>
      </c>
      <c r="K4929" s="26" t="str">
        <f>IF(OR(E4929="",E4929="!!!",F4929="NEW"),"",INDEX(J$1:J4928,SUMPRODUCT(MAX(ROW(E$1:E4928)*(E4929=E$1:E4928)))))</f>
        <v> </v>
      </c>
      <c r="L4929" s="27"/>
    </row>
    <row r="4930" spans="1:12">
      <c r="A4930" s="20" t="s">
        <v>1219</v>
      </c>
      <c r="E4930" s="22">
        <f>IF(D4930="?OLD","!!!","")</f>
        <v/>
      </c>
      <c r="F4930" s="23" t="str">
        <f>IF(OR(E4930="",E4930="!!!"),"",IF(NOT(ISNA(VLOOKUP(E4930,E$1:E4929,1,FALSE()))),"OLD",IF(AND(E4930&lt;&gt;"",E4930&lt;&gt;"!!!"),"NEW","")))</f>
        <v> </v>
      </c>
      <c r="G4930" s="24" t="str">
        <f>IF(OR(E4930="",E4930="!!!"),"",IF(OR(J4930=0,AND(J4930=1,K4930=1),AND(J4930=1,I4930="SBJ"),AND(J4930=1,I4930=0)),"?IN_FOCUS",IF(J4930&lt;=2,"?ACTIVATED",IF(J4930&lt;&gt;"","?FAMILIAR",IF(F4930="NEW",IF(ISNA(VLOOKUP(E4930,#REF!,1,FALSE())),"?TYPE_IDENTIFIABLE","?REFERENTIAL"),"_")))))</f>
        <v> </v>
      </c>
      <c r="H4930" s="25" t="str">
        <f>IF(J4930&lt;&gt;1,"",IF(I4930="SBJ","CB","?"))</f>
        <v> </v>
      </c>
      <c r="I4930" s="26" t="str">
        <f>IF(OR(E4930="",E4930="!!!",F4930="NEW"),"",INDEX(B4929:B$2,-1+SUMPRODUCT(MAX(ROW(E4929:E$2)*(E4930=E4929:E$2)))))</f>
        <v> </v>
      </c>
      <c r="J4930" s="26" t="str">
        <f>IF(OR(E4930="",E4930="!!!",F4930="NEW"),"",COUNTBLANK(OFFSET(A$1,,,SUMPRODUCT(MAX(ROW(E$2:E4930)*(E4930=E$2:E4930)))))-COUNTBLANK(OFFSET(A$1,,,SUMPRODUCT(MAX(ROW(E$1:E4929)*(E2=E$1:E4929))))))</f>
        <v> </v>
      </c>
      <c r="K4930" s="26" t="str">
        <f>IF(OR(E4930="",E4930="!!!",F4930="NEW"),"",INDEX(J$1:J4929,SUMPRODUCT(MAX(ROW(E$1:E4929)*(E4930=E$1:E4929)))))</f>
        <v> </v>
      </c>
      <c r="L4930" s="27"/>
    </row>
    <row r="4931" spans="1:12">
      <c r="A4931" s="20" t="s">
        <v>2814</v>
      </c>
      <c r="B4931" s="21" t="s">
        <v>1221</v>
      </c>
      <c r="C4931" s="21" t="s">
        <v>1269</v>
      </c>
      <c r="D4931" s="21" t="s">
        <v>1217</v>
      </c>
      <c r="E4931" s="22">
        <f>IF(D4931="?OLD","!!!","")</f>
        <v/>
      </c>
      <c r="F4931" s="23" t="str">
        <f>IF(OR(E4931="",E4931="!!!"),"",IF(NOT(ISNA(VLOOKUP(E4931,E$1:E4930,1,FALSE()))),"OLD",IF(AND(E4931&lt;&gt;"",E4931&lt;&gt;"!!!"),"NEW","")))</f>
        <v> </v>
      </c>
      <c r="G4931" s="24" t="str">
        <f>IF(OR(E4931="",E4931="!!!"),"",IF(OR(J4931=0,AND(J4931=1,K4931=1),AND(J4931=1,I4931="SBJ"),AND(J4931=1,I4931=0)),"?IN_FOCUS",IF(J4931&lt;=2,"?ACTIVATED",IF(J4931&lt;&gt;"","?FAMILIAR",IF(F4931="NEW",IF(ISNA(VLOOKUP(E4931,#REF!,1,FALSE())),"?TYPE_IDENTIFIABLE","?REFERENTIAL"),"_")))))</f>
        <v> </v>
      </c>
      <c r="H4931" s="25" t="str">
        <f>IF(J4931&lt;&gt;1,"",IF(I4931="SBJ","CB","?"))</f>
        <v> </v>
      </c>
      <c r="I4931" s="26" t="str">
        <f>IF(OR(E4931="",E4931="!!!",F4931="NEW"),"",INDEX(B4930:B$2,-1+SUMPRODUCT(MAX(ROW(E4930:E$2)*(E4931=E4930:E$2)))))</f>
        <v> </v>
      </c>
      <c r="J4931" s="26" t="str">
        <f>IF(OR(E4931="",E4931="!!!",F4931="NEW"),"",COUNTBLANK(OFFSET(A$1,,,SUMPRODUCT(MAX(ROW(E$2:E4931)*(E4931=E$2:E4931)))))-COUNTBLANK(OFFSET(A$1,,,SUMPRODUCT(MAX(ROW(E$1:E4930)*(E2=E$1:E4930))))))</f>
        <v> </v>
      </c>
      <c r="K4931" s="26" t="str">
        <f>IF(OR(E4931="",E4931="!!!",F4931="NEW"),"",INDEX(J$1:J4930,SUMPRODUCT(MAX(ROW(E$1:E4930)*(E4931=E$1:E4930)))))</f>
        <v> </v>
      </c>
      <c r="L4931" s="27"/>
    </row>
    <row r="4932" spans="1:12">
      <c r="A4932" s="20" t="s">
        <v>2815</v>
      </c>
      <c r="E4932" s="22">
        <f>IF(D4932="?OLD","!!!","")</f>
        <v/>
      </c>
      <c r="F4932" s="23" t="str">
        <f>IF(OR(E4932="",E4932="!!!"),"",IF(NOT(ISNA(VLOOKUP(E4932,E$1:E4931,1,FALSE()))),"OLD",IF(AND(E4932&lt;&gt;"",E4932&lt;&gt;"!!!"),"NEW","")))</f>
        <v> </v>
      </c>
      <c r="G4932" s="24" t="str">
        <f>IF(OR(E4932="",E4932="!!!"),"",IF(OR(J4932=0,AND(J4932=1,K4932=1),AND(J4932=1,I4932="SBJ"),AND(J4932=1,I4932=0)),"?IN_FOCUS",IF(J4932&lt;=2,"?ACTIVATED",IF(J4932&lt;&gt;"","?FAMILIAR",IF(F4932="NEW",IF(ISNA(VLOOKUP(E4932,#REF!,1,FALSE())),"?TYPE_IDENTIFIABLE","?REFERENTIAL"),"_")))))</f>
        <v> </v>
      </c>
      <c r="H4932" s="25" t="str">
        <f>IF(J4932&lt;&gt;1,"",IF(I4932="SBJ","CB","?"))</f>
        <v> </v>
      </c>
      <c r="I4932" s="26" t="str">
        <f>IF(OR(E4932="",E4932="!!!",F4932="NEW"),"",INDEX(B4931:B$2,-1+SUMPRODUCT(MAX(ROW(E4931:E$2)*(E4932=E4931:E$2)))))</f>
        <v> </v>
      </c>
      <c r="J4932" s="26" t="str">
        <f>IF(OR(E4932="",E4932="!!!",F4932="NEW"),"",COUNTBLANK(OFFSET(A$1,,,SUMPRODUCT(MAX(ROW(E$2:E4932)*(E4932=E$2:E4932)))))-COUNTBLANK(OFFSET(A$1,,,SUMPRODUCT(MAX(ROW(E$1:E4931)*(E2=E$1:E4931))))))</f>
        <v> </v>
      </c>
      <c r="K4932" s="26" t="str">
        <f>IF(OR(E4932="",E4932="!!!",F4932="NEW"),"",INDEX(J$1:J4931,SUMPRODUCT(MAX(ROW(E$1:E4931)*(E4932=E$1:E4931)))))</f>
        <v> </v>
      </c>
      <c r="L4932" s="27"/>
    </row>
    <row r="4933" spans="1:12">
      <c r="A4933" s="20" t="s">
        <v>2816</v>
      </c>
      <c r="E4933" s="22">
        <f>IF(D4933="?OLD","!!!","")</f>
        <v/>
      </c>
      <c r="F4933" s="23" t="str">
        <f>IF(OR(E4933="",E4933="!!!"),"",IF(NOT(ISNA(VLOOKUP(E4933,E$1:E4932,1,FALSE()))),"OLD",IF(AND(E4933&lt;&gt;"",E4933&lt;&gt;"!!!"),"NEW","")))</f>
        <v> </v>
      </c>
      <c r="G4933" s="24" t="str">
        <f>IF(OR(E4933="",E4933="!!!"),"",IF(OR(J4933=0,AND(J4933=1,K4933=1),AND(J4933=1,I4933="SBJ"),AND(J4933=1,I4933=0)),"?IN_FOCUS",IF(J4933&lt;=2,"?ACTIVATED",IF(J4933&lt;&gt;"","?FAMILIAR",IF(F4933="NEW",IF(ISNA(VLOOKUP(E4933,#REF!,1,FALSE())),"?TYPE_IDENTIFIABLE","?REFERENTIAL"),"_")))))</f>
        <v> </v>
      </c>
      <c r="H4933" s="25" t="str">
        <f>IF(J4933&lt;&gt;1,"",IF(I4933="SBJ","CB","?"))</f>
        <v> </v>
      </c>
      <c r="I4933" s="26" t="str">
        <f>IF(OR(E4933="",E4933="!!!",F4933="NEW"),"",INDEX(B4932:B$2,-1+SUMPRODUCT(MAX(ROW(E4932:E$2)*(E4933=E4932:E$2)))))</f>
        <v> </v>
      </c>
      <c r="J4933" s="26" t="str">
        <f>IF(OR(E4933="",E4933="!!!",F4933="NEW"),"",COUNTBLANK(OFFSET(A$1,,,SUMPRODUCT(MAX(ROW(E$2:E4933)*(E4933=E$2:E4933)))))-COUNTBLANK(OFFSET(A$1,,,SUMPRODUCT(MAX(ROW(E$1:E4932)*(E2=E$1:E4932))))))</f>
        <v> </v>
      </c>
      <c r="K4933" s="26" t="str">
        <f>IF(OR(E4933="",E4933="!!!",F4933="NEW"),"",INDEX(J$1:J4932,SUMPRODUCT(MAX(ROW(E$1:E4932)*(E4933=E$1:E4932)))))</f>
        <v> </v>
      </c>
      <c r="L4933" s="27"/>
    </row>
    <row r="4934" spans="1:12">
      <c r="A4934" s="20" t="s">
        <v>2817</v>
      </c>
      <c r="E4934" s="22">
        <f>IF(D4934="?OLD","!!!","")</f>
        <v/>
      </c>
      <c r="F4934" s="23" t="str">
        <f>IF(OR(E4934="",E4934="!!!"),"",IF(NOT(ISNA(VLOOKUP(E4934,E$1:E4933,1,FALSE()))),"OLD",IF(AND(E4934&lt;&gt;"",E4934&lt;&gt;"!!!"),"NEW","")))</f>
        <v> </v>
      </c>
      <c r="G4934" s="24" t="str">
        <f>IF(OR(E4934="",E4934="!!!"),"",IF(OR(J4934=0,AND(J4934=1,K4934=1),AND(J4934=1,I4934="SBJ"),AND(J4934=1,I4934=0)),"?IN_FOCUS",IF(J4934&lt;=2,"?ACTIVATED",IF(J4934&lt;&gt;"","?FAMILIAR",IF(F4934="NEW",IF(ISNA(VLOOKUP(E4934,#REF!,1,FALSE())),"?TYPE_IDENTIFIABLE","?REFERENTIAL"),"_")))))</f>
        <v> </v>
      </c>
      <c r="H4934" s="25" t="str">
        <f>IF(J4934&lt;&gt;1,"",IF(I4934="SBJ","CB","?"))</f>
        <v> </v>
      </c>
      <c r="I4934" s="26" t="str">
        <f>IF(OR(E4934="",E4934="!!!",F4934="NEW"),"",INDEX(B4933:B$2,-1+SUMPRODUCT(MAX(ROW(E4933:E$2)*(E4934=E4933:E$2)))))</f>
        <v> </v>
      </c>
      <c r="J4934" s="26" t="str">
        <f>IF(OR(E4934="",E4934="!!!",F4934="NEW"),"",COUNTBLANK(OFFSET(A$1,,,SUMPRODUCT(MAX(ROW(E$2:E4934)*(E4934=E$2:E4934)))))-COUNTBLANK(OFFSET(A$1,,,SUMPRODUCT(MAX(ROW(E$1:E4933)*(E2=E$1:E4933))))))</f>
        <v> </v>
      </c>
      <c r="K4934" s="26" t="str">
        <f>IF(OR(E4934="",E4934="!!!",F4934="NEW"),"",INDEX(J$1:J4933,SUMPRODUCT(MAX(ROW(E$1:E4933)*(E4934=E$1:E4933)))))</f>
        <v> </v>
      </c>
      <c r="L4934" s="27"/>
    </row>
    <row r="4935" spans="1:12">
      <c r="A4935" s="20" t="s">
        <v>1218</v>
      </c>
      <c r="E4935" s="22">
        <f>IF(D4935="?OLD","!!!","")</f>
        <v/>
      </c>
      <c r="F4935" s="23" t="str">
        <f>IF(OR(E4935="",E4935="!!!"),"",IF(NOT(ISNA(VLOOKUP(E4935,E$1:E4934,1,FALSE()))),"OLD",IF(AND(E4935&lt;&gt;"",E4935&lt;&gt;"!!!"),"NEW","")))</f>
        <v> </v>
      </c>
      <c r="G4935" s="24" t="str">
        <f>IF(OR(E4935="",E4935="!!!"),"",IF(OR(J4935=0,AND(J4935=1,K4935=1),AND(J4935=1,I4935="SBJ"),AND(J4935=1,I4935=0)),"?IN_FOCUS",IF(J4935&lt;=2,"?ACTIVATED",IF(J4935&lt;&gt;"","?FAMILIAR",IF(F4935="NEW",IF(ISNA(VLOOKUP(E4935,#REF!,1,FALSE())),"?TYPE_IDENTIFIABLE","?REFERENTIAL"),"_")))))</f>
        <v> </v>
      </c>
      <c r="H4935" s="25" t="str">
        <f>IF(J4935&lt;&gt;1,"",IF(I4935="SBJ","CB","?"))</f>
        <v> </v>
      </c>
      <c r="I4935" s="26" t="str">
        <f>IF(OR(E4935="",E4935="!!!",F4935="NEW"),"",INDEX(B4934:B$2,-1+SUMPRODUCT(MAX(ROW(E4934:E$2)*(E4935=E4934:E$2)))))</f>
        <v> </v>
      </c>
      <c r="J4935" s="26" t="str">
        <f>IF(OR(E4935="",E4935="!!!",F4935="NEW"),"",COUNTBLANK(OFFSET(A$1,,,SUMPRODUCT(MAX(ROW(E$2:E4935)*(E4935=E$2:E4935)))))-COUNTBLANK(OFFSET(A$1,,,SUMPRODUCT(MAX(ROW(E$1:E4934)*(E2=E$1:E4934))))))</f>
        <v> </v>
      </c>
      <c r="K4935" s="26" t="str">
        <f>IF(OR(E4935="",E4935="!!!",F4935="NEW"),"",INDEX(J$1:J4934,SUMPRODUCT(MAX(ROW(E$1:E4934)*(E4935=E$1:E4934)))))</f>
        <v> </v>
      </c>
      <c r="L4935" s="27"/>
    </row>
    <row r="4936" spans="1:12">
      <c r="A4936" s="20" t="s">
        <v>1219</v>
      </c>
      <c r="E4936" s="22">
        <f>IF(D4936="?OLD","!!!","")</f>
        <v/>
      </c>
      <c r="F4936" s="23" t="str">
        <f>IF(OR(E4936="",E4936="!!!"),"",IF(NOT(ISNA(VLOOKUP(E4936,E$1:E4935,1,FALSE()))),"OLD",IF(AND(E4936&lt;&gt;"",E4936&lt;&gt;"!!!"),"NEW","")))</f>
        <v> </v>
      </c>
      <c r="G4936" s="24" t="str">
        <f>IF(OR(E4936="",E4936="!!!"),"",IF(OR(J4936=0,AND(J4936=1,K4936=1),AND(J4936=1,I4936="SBJ"),AND(J4936=1,I4936=0)),"?IN_FOCUS",IF(J4936&lt;=2,"?ACTIVATED",IF(J4936&lt;&gt;"","?FAMILIAR",IF(F4936="NEW",IF(ISNA(VLOOKUP(E4936,#REF!,1,FALSE())),"?TYPE_IDENTIFIABLE","?REFERENTIAL"),"_")))))</f>
        <v> </v>
      </c>
      <c r="H4936" s="25" t="str">
        <f>IF(J4936&lt;&gt;1,"",IF(I4936="SBJ","CB","?"))</f>
        <v> </v>
      </c>
      <c r="I4936" s="26" t="str">
        <f>IF(OR(E4936="",E4936="!!!",F4936="NEW"),"",INDEX(B4935:B$2,-1+SUMPRODUCT(MAX(ROW(E4935:E$2)*(E4936=E4935:E$2)))))</f>
        <v> </v>
      </c>
      <c r="J4936" s="26" t="str">
        <f>IF(OR(E4936="",E4936="!!!",F4936="NEW"),"",COUNTBLANK(OFFSET(A$1,,,SUMPRODUCT(MAX(ROW(E$2:E4936)*(E4936=E$2:E4936)))))-COUNTBLANK(OFFSET(A$1,,,SUMPRODUCT(MAX(ROW(E$1:E4935)*(E2=E$1:E4935))))))</f>
        <v> </v>
      </c>
      <c r="K4936" s="26" t="str">
        <f>IF(OR(E4936="",E4936="!!!",F4936="NEW"),"",INDEX(J$1:J4935,SUMPRODUCT(MAX(ROW(E$1:E4935)*(E4936=E$1:E4935)))))</f>
        <v> </v>
      </c>
      <c r="L4936" s="27"/>
    </row>
    <row r="4937" spans="1:12">
      <c r="A4937" s="20" t="s">
        <v>2818</v>
      </c>
      <c r="B4937" s="21" t="s">
        <v>1244</v>
      </c>
      <c r="C4937" s="21" t="s">
        <v>1269</v>
      </c>
      <c r="D4937" s="21" t="s">
        <v>1217</v>
      </c>
      <c r="E4937" s="22">
        <f>IF(D4937="?OLD","!!!","")</f>
        <v/>
      </c>
      <c r="F4937" s="23" t="str">
        <f>IF(OR(E4937="",E4937="!!!"),"",IF(NOT(ISNA(VLOOKUP(E4937,E$1:E4936,1,FALSE()))),"OLD",IF(AND(E4937&lt;&gt;"",E4937&lt;&gt;"!!!"),"NEW","")))</f>
        <v> </v>
      </c>
      <c r="G4937" s="24" t="str">
        <f>IF(OR(E4937="",E4937="!!!"),"",IF(OR(J4937=0,AND(J4937=1,K4937=1),AND(J4937=1,I4937="SBJ"),AND(J4937=1,I4937=0)),"?IN_FOCUS",IF(J4937&lt;=2,"?ACTIVATED",IF(J4937&lt;&gt;"","?FAMILIAR",IF(F4937="NEW",IF(ISNA(VLOOKUP(E4937,#REF!,1,FALSE())),"?TYPE_IDENTIFIABLE","?REFERENTIAL"),"_")))))</f>
        <v> </v>
      </c>
      <c r="H4937" s="25" t="str">
        <f>IF(J4937&lt;&gt;1,"",IF(I4937="SBJ","CB","?"))</f>
        <v> </v>
      </c>
      <c r="I4937" s="26" t="str">
        <f>IF(OR(E4937="",E4937="!!!",F4937="NEW"),"",INDEX(B4936:B$2,-1+SUMPRODUCT(MAX(ROW(E4936:E$2)*(E4937=E4936:E$2)))))</f>
        <v> </v>
      </c>
      <c r="J4937" s="26" t="str">
        <f>IF(OR(E4937="",E4937="!!!",F4937="NEW"),"",COUNTBLANK(OFFSET(A$1,,,SUMPRODUCT(MAX(ROW(E$2:E4937)*(E4937=E$2:E4937)))))-COUNTBLANK(OFFSET(A$1,,,SUMPRODUCT(MAX(ROW(E$1:E4936)*(E2=E$1:E4936))))))</f>
        <v> </v>
      </c>
      <c r="K4937" s="26" t="str">
        <f>IF(OR(E4937="",E4937="!!!",F4937="NEW"),"",INDEX(J$1:J4936,SUMPRODUCT(MAX(ROW(E$1:E4936)*(E4937=E$1:E4936)))))</f>
        <v> </v>
      </c>
      <c r="L4937" s="27"/>
    </row>
    <row r="4938" spans="1:12">
      <c r="A4938" s="20" t="s">
        <v>2819</v>
      </c>
      <c r="E4938" s="22">
        <f>IF(D4938="?OLD","!!!","")</f>
        <v/>
      </c>
      <c r="F4938" s="23" t="str">
        <f>IF(OR(E4938="",E4938="!!!"),"",IF(NOT(ISNA(VLOOKUP(E4938,E$1:E4937,1,FALSE()))),"OLD",IF(AND(E4938&lt;&gt;"",E4938&lt;&gt;"!!!"),"NEW","")))</f>
        <v> </v>
      </c>
      <c r="G4938" s="24" t="str">
        <f>IF(OR(E4938="",E4938="!!!"),"",IF(OR(J4938=0,AND(J4938=1,K4938=1),AND(J4938=1,I4938="SBJ"),AND(J4938=1,I4938=0)),"?IN_FOCUS",IF(J4938&lt;=2,"?ACTIVATED",IF(J4938&lt;&gt;"","?FAMILIAR",IF(F4938="NEW",IF(ISNA(VLOOKUP(E4938,#REF!,1,FALSE())),"?TYPE_IDENTIFIABLE","?REFERENTIAL"),"_")))))</f>
        <v> </v>
      </c>
      <c r="H4938" s="25" t="str">
        <f>IF(J4938&lt;&gt;1,"",IF(I4938="SBJ","CB","?"))</f>
        <v> </v>
      </c>
      <c r="I4938" s="26" t="str">
        <f>IF(OR(E4938="",E4938="!!!",F4938="NEW"),"",INDEX(B4937:B$2,-1+SUMPRODUCT(MAX(ROW(E4937:E$2)*(E4938=E4937:E$2)))))</f>
        <v> </v>
      </c>
      <c r="J4938" s="26" t="str">
        <f>IF(OR(E4938="",E4938="!!!",F4938="NEW"),"",COUNTBLANK(OFFSET(A$1,,,SUMPRODUCT(MAX(ROW(E$2:E4938)*(E4938=E$2:E4938)))))-COUNTBLANK(OFFSET(A$1,,,SUMPRODUCT(MAX(ROW(E$1:E4937)*(E2=E$1:E4937))))))</f>
        <v> </v>
      </c>
      <c r="K4938" s="26" t="str">
        <f>IF(OR(E4938="",E4938="!!!",F4938="NEW"),"",INDEX(J$1:J4937,SUMPRODUCT(MAX(ROW(E$1:E4937)*(E4938=E$1:E4937)))))</f>
        <v> </v>
      </c>
      <c r="L4938" s="27"/>
    </row>
    <row r="4939" spans="1:12">
      <c r="A4939" s="20" t="s">
        <v>1218</v>
      </c>
      <c r="E4939" s="22">
        <f>IF(D4939="?OLD","!!!","")</f>
        <v/>
      </c>
      <c r="F4939" s="23" t="str">
        <f>IF(OR(E4939="",E4939="!!!"),"",IF(NOT(ISNA(VLOOKUP(E4939,E$1:E4938,1,FALSE()))),"OLD",IF(AND(E4939&lt;&gt;"",E4939&lt;&gt;"!!!"),"NEW","")))</f>
        <v> </v>
      </c>
      <c r="G4939" s="24" t="str">
        <f>IF(OR(E4939="",E4939="!!!"),"",IF(OR(J4939=0,AND(J4939=1,K4939=1),AND(J4939=1,I4939="SBJ"),AND(J4939=1,I4939=0)),"?IN_FOCUS",IF(J4939&lt;=2,"?ACTIVATED",IF(J4939&lt;&gt;"","?FAMILIAR",IF(F4939="NEW",IF(ISNA(VLOOKUP(E4939,#REF!,1,FALSE())),"?TYPE_IDENTIFIABLE","?REFERENTIAL"),"_")))))</f>
        <v> </v>
      </c>
      <c r="H4939" s="25" t="str">
        <f>IF(J4939&lt;&gt;1,"",IF(I4939="SBJ","CB","?"))</f>
        <v> </v>
      </c>
      <c r="I4939" s="26" t="str">
        <f>IF(OR(E4939="",E4939="!!!",F4939="NEW"),"",INDEX(B4938:B$2,-1+SUMPRODUCT(MAX(ROW(E4938:E$2)*(E4939=E4938:E$2)))))</f>
        <v> </v>
      </c>
      <c r="J4939" s="26" t="str">
        <f>IF(OR(E4939="",E4939="!!!",F4939="NEW"),"",COUNTBLANK(OFFSET(A$1,,,SUMPRODUCT(MAX(ROW(E$2:E4939)*(E4939=E$2:E4939)))))-COUNTBLANK(OFFSET(A$1,,,SUMPRODUCT(MAX(ROW(E$1:E4938)*(E2=E$1:E4938))))))</f>
        <v> </v>
      </c>
      <c r="K4939" s="26" t="str">
        <f>IF(OR(E4939="",E4939="!!!",F4939="NEW"),"",INDEX(J$1:J4938,SUMPRODUCT(MAX(ROW(E$1:E4938)*(E4939=E$1:E4938)))))</f>
        <v> </v>
      </c>
      <c r="L4939" s="27"/>
    </row>
    <row r="4940" spans="1:12">
      <c r="A4940" s="20" t="s">
        <v>1406</v>
      </c>
      <c r="B4940" s="21" t="s">
        <v>1221</v>
      </c>
      <c r="C4940" s="21" t="s">
        <v>1279</v>
      </c>
      <c r="E4940" s="22">
        <f>IF(D4940="?OLD","!!!","")</f>
        <v/>
      </c>
      <c r="F4940" s="23" t="str">
        <f>IF(OR(E4940="",E4940="!!!"),"",IF(NOT(ISNA(VLOOKUP(E4940,E$1:E4939,1,FALSE()))),"OLD",IF(AND(E4940&lt;&gt;"",E4940&lt;&gt;"!!!"),"NEW","")))</f>
        <v> </v>
      </c>
      <c r="G4940" s="24" t="str">
        <f>IF(OR(E4940="",E4940="!!!"),"",IF(OR(J4940=0,AND(J4940=1,K4940=1),AND(J4940=1,I4940="SBJ"),AND(J4940=1,I4940=0)),"?IN_FOCUS",IF(J4940&lt;=2,"?ACTIVATED",IF(J4940&lt;&gt;"","?FAMILIAR",IF(F4940="NEW",IF(ISNA(VLOOKUP(E4940,#REF!,1,FALSE())),"?TYPE_IDENTIFIABLE","?REFERENTIAL"),"_")))))</f>
        <v> </v>
      </c>
      <c r="H4940" s="25" t="str">
        <f>IF(J4940&lt;&gt;1,"",IF(I4940="SBJ","CB","?"))</f>
        <v> </v>
      </c>
      <c r="I4940" s="26" t="str">
        <f>IF(OR(E4940="",E4940="!!!",F4940="NEW"),"",INDEX(B4939:B$2,-1+SUMPRODUCT(MAX(ROW(E4939:E$2)*(E4940=E4939:E$2)))))</f>
        <v> </v>
      </c>
      <c r="J4940" s="26" t="str">
        <f>IF(OR(E4940="",E4940="!!!",F4940="NEW"),"",COUNTBLANK(OFFSET(A$1,,,SUMPRODUCT(MAX(ROW(E$2:E4940)*(E4940=E$2:E4940)))))-COUNTBLANK(OFFSET(A$1,,,SUMPRODUCT(MAX(ROW(E$1:E4939)*(E2=E$1:E4939))))))</f>
        <v> </v>
      </c>
      <c r="K4940" s="26" t="str">
        <f>IF(OR(E4940="",E4940="!!!",F4940="NEW"),"",INDEX(J$1:J4939,SUMPRODUCT(MAX(ROW(E$1:E4939)*(E4940=E$1:E4939)))))</f>
        <v> </v>
      </c>
      <c r="L4940" s="27"/>
    </row>
    <row r="4941" spans="1:12">
      <c r="A4941" s="20" t="s">
        <v>1240</v>
      </c>
      <c r="E4941" s="22">
        <f>IF(D4941="?OLD","!!!","")</f>
        <v/>
      </c>
      <c r="F4941" s="23" t="str">
        <f>IF(OR(E4941="",E4941="!!!"),"",IF(NOT(ISNA(VLOOKUP(E4941,E$1:E4940,1,FALSE()))),"OLD",IF(AND(E4941&lt;&gt;"",E4941&lt;&gt;"!!!"),"NEW","")))</f>
        <v> </v>
      </c>
      <c r="G4941" s="24" t="str">
        <f>IF(OR(E4941="",E4941="!!!"),"",IF(OR(J4941=0,AND(J4941=1,K4941=1),AND(J4941=1,I4941="SBJ"),AND(J4941=1,I4941=0)),"?IN_FOCUS",IF(J4941&lt;=2,"?ACTIVATED",IF(J4941&lt;&gt;"","?FAMILIAR",IF(F4941="NEW",IF(ISNA(VLOOKUP(E4941,#REF!,1,FALSE())),"?TYPE_IDENTIFIABLE","?REFERENTIAL"),"_")))))</f>
        <v> </v>
      </c>
      <c r="H4941" s="25" t="str">
        <f>IF(J4941&lt;&gt;1,"",IF(I4941="SBJ","CB","?"))</f>
        <v> </v>
      </c>
      <c r="I4941" s="26" t="str">
        <f>IF(OR(E4941="",E4941="!!!",F4941="NEW"),"",INDEX(B4940:B$2,-1+SUMPRODUCT(MAX(ROW(E4940:E$2)*(E4941=E4940:E$2)))))</f>
        <v> </v>
      </c>
      <c r="J4941" s="26" t="str">
        <f>IF(OR(E4941="",E4941="!!!",F4941="NEW"),"",COUNTBLANK(OFFSET(A$1,,,SUMPRODUCT(MAX(ROW(E$2:E4941)*(E4941=E$2:E4941)))))-COUNTBLANK(OFFSET(A$1,,,SUMPRODUCT(MAX(ROW(E$1:E4940)*(E2=E$1:E4940))))))</f>
        <v> </v>
      </c>
      <c r="K4941" s="26" t="str">
        <f>IF(OR(E4941="",E4941="!!!",F4941="NEW"),"",INDEX(J$1:J4940,SUMPRODUCT(MAX(ROW(E$1:E4940)*(E4941=E$1:E4940)))))</f>
        <v> </v>
      </c>
      <c r="L4941" s="27"/>
    </row>
    <row r="4942" spans="1:12">
      <c r="A4942" s="20" t="s">
        <v>2820</v>
      </c>
      <c r="B4942" s="21" t="s">
        <v>1221</v>
      </c>
      <c r="C4942" s="21" t="s">
        <v>1279</v>
      </c>
      <c r="E4942" s="22">
        <f>IF(D4942="?OLD","!!!","")</f>
        <v/>
      </c>
      <c r="F4942" s="23" t="str">
        <f>IF(OR(E4942="",E4942="!!!"),"",IF(NOT(ISNA(VLOOKUP(E4942,E$1:E4941,1,FALSE()))),"OLD",IF(AND(E4942&lt;&gt;"",E4942&lt;&gt;"!!!"),"NEW","")))</f>
        <v> </v>
      </c>
      <c r="G4942" s="24" t="str">
        <f>IF(OR(E4942="",E4942="!!!"),"",IF(OR(J4942=0,AND(J4942=1,K4942=1),AND(J4942=1,I4942="SBJ"),AND(J4942=1,I4942=0)),"?IN_FOCUS",IF(J4942&lt;=2,"?ACTIVATED",IF(J4942&lt;&gt;"","?FAMILIAR",IF(F4942="NEW",IF(ISNA(VLOOKUP(E4942,#REF!,1,FALSE())),"?TYPE_IDENTIFIABLE","?REFERENTIAL"),"_")))))</f>
        <v> </v>
      </c>
      <c r="H4942" s="25" t="str">
        <f>IF(J4942&lt;&gt;1,"",IF(I4942="SBJ","CB","?"))</f>
        <v> </v>
      </c>
      <c r="I4942" s="26" t="str">
        <f>IF(OR(E4942="",E4942="!!!",F4942="NEW"),"",INDEX(B4941:B$2,-1+SUMPRODUCT(MAX(ROW(E4941:E$2)*(E4942=E4941:E$2)))))</f>
        <v> </v>
      </c>
      <c r="J4942" s="26" t="str">
        <f>IF(OR(E4942="",E4942="!!!",F4942="NEW"),"",COUNTBLANK(OFFSET(A$1,,,SUMPRODUCT(MAX(ROW(E$2:E4942)*(E4942=E$2:E4942)))))-COUNTBLANK(OFFSET(A$1,,,SUMPRODUCT(MAX(ROW(E$1:E4941)*(E2=E$1:E4941))))))</f>
        <v> </v>
      </c>
      <c r="K4942" s="26" t="str">
        <f>IF(OR(E4942="",E4942="!!!",F4942="NEW"),"",INDEX(J$1:J4941,SUMPRODUCT(MAX(ROW(E$1:E4941)*(E4942=E$1:E4941)))))</f>
        <v> </v>
      </c>
      <c r="L4942" s="27"/>
    </row>
    <row r="4943" spans="1:12">
      <c r="A4943" s="20" t="s">
        <v>1341</v>
      </c>
      <c r="E4943" s="22">
        <f>IF(D4943="?OLD","!!!","")</f>
        <v/>
      </c>
      <c r="F4943" s="23" t="str">
        <f>IF(OR(E4943="",E4943="!!!"),"",IF(NOT(ISNA(VLOOKUP(E4943,E$1:E4942,1,FALSE()))),"OLD",IF(AND(E4943&lt;&gt;"",E4943&lt;&gt;"!!!"),"NEW","")))</f>
        <v> </v>
      </c>
      <c r="G4943" s="24" t="str">
        <f>IF(OR(E4943="",E4943="!!!"),"",IF(OR(J4943=0,AND(J4943=1,K4943=1),AND(J4943=1,I4943="SBJ"),AND(J4943=1,I4943=0)),"?IN_FOCUS",IF(J4943&lt;=2,"?ACTIVATED",IF(J4943&lt;&gt;"","?FAMILIAR",IF(F4943="NEW",IF(ISNA(VLOOKUP(E4943,#REF!,1,FALSE())),"?TYPE_IDENTIFIABLE","?REFERENTIAL"),"_")))))</f>
        <v> </v>
      </c>
      <c r="H4943" s="25" t="str">
        <f>IF(J4943&lt;&gt;1,"",IF(I4943="SBJ","CB","?"))</f>
        <v> </v>
      </c>
      <c r="I4943" s="26" t="str">
        <f>IF(OR(E4943="",E4943="!!!",F4943="NEW"),"",INDEX(B4942:B$2,-1+SUMPRODUCT(MAX(ROW(E4942:E$2)*(E4943=E4942:E$2)))))</f>
        <v> </v>
      </c>
      <c r="J4943" s="26" t="str">
        <f>IF(OR(E4943="",E4943="!!!",F4943="NEW"),"",COUNTBLANK(OFFSET(A$1,,,SUMPRODUCT(MAX(ROW(E$2:E4943)*(E4943=E$2:E4943)))))-COUNTBLANK(OFFSET(A$1,,,SUMPRODUCT(MAX(ROW(E$1:E4942)*(E2=E$1:E4942))))))</f>
        <v> </v>
      </c>
      <c r="K4943" s="26" t="str">
        <f>IF(OR(E4943="",E4943="!!!",F4943="NEW"),"",INDEX(J$1:J4942,SUMPRODUCT(MAX(ROW(E$1:E4942)*(E4943=E$1:E4942)))))</f>
        <v> </v>
      </c>
      <c r="L4943" s="27"/>
    </row>
    <row r="4944" spans="1:12">
      <c r="A4944" s="20"/>
    </row>
    <row r="4945" spans="1:12">
      <c r="A4945" s="20" t="s">
        <v>2821</v>
      </c>
    </row>
    <row r="4946" spans="1:12">
      <c r="A4946" s="20" t="s">
        <v>1471</v>
      </c>
      <c r="E4946" s="22">
        <f>IF(D4946="?OLD","!!!","")</f>
        <v/>
      </c>
      <c r="F4946" s="23" t="str">
        <f>IF(OR(E4946="",E4946="!!!"),"",IF(NOT(ISNA(VLOOKUP(E4946,E$1:E4945,1,FALSE()))),"OLD",IF(AND(E4946&lt;&gt;"",E4946&lt;&gt;"!!!"),"NEW","")))</f>
        <v> </v>
      </c>
      <c r="G4946" s="24" t="str">
        <f>IF(OR(E4946="",E4946="!!!"),"",IF(OR(J4946=0,AND(J4946=1,K4946=1),AND(J4946=1,I4946="SBJ"),AND(J4946=1,I4946=0)),"?IN_FOCUS",IF(J4946&lt;=2,"?ACTIVATED",IF(J4946&lt;&gt;"","?FAMILIAR",IF(F4946="NEW",IF(ISNA(VLOOKUP(E4946,#REF!,1,FALSE())),"?TYPE_IDENTIFIABLE","?REFERENTIAL"),"_")))))</f>
        <v> </v>
      </c>
      <c r="H4946" s="25" t="str">
        <f>IF(J4946&lt;&gt;1,"",IF(I4946="SBJ","CB","?"))</f>
        <v> </v>
      </c>
      <c r="I4946" s="26" t="str">
        <f>IF(OR(E4946="",E4946="!!!",F4946="NEW"),"",INDEX(B4945:B$2,-1+SUMPRODUCT(MAX(ROW(E4945:E$2)*(E4946=E4945:E$2)))))</f>
        <v> </v>
      </c>
      <c r="J4946" s="26" t="str">
        <f>IF(OR(E4946="",E4946="!!!",F4946="NEW"),"",COUNTBLANK(OFFSET(A$1,,,SUMPRODUCT(MAX(ROW(E$2:E4946)*(E4946=E$2:E4946)))))-COUNTBLANK(OFFSET(A$1,,,SUMPRODUCT(MAX(ROW(E$1:E4945)*(E2=E$1:E4945))))))</f>
        <v> </v>
      </c>
      <c r="K4946" s="26" t="str">
        <f>IF(OR(E4946="",E4946="!!!",F4946="NEW"),"",INDEX(J$1:J4945,SUMPRODUCT(MAX(ROW(E$1:E4945)*(E4946=E$1:E4945)))))</f>
        <v> </v>
      </c>
      <c r="L4946" s="27"/>
    </row>
    <row r="4947" spans="1:12">
      <c r="A4947" s="20" t="s">
        <v>2822</v>
      </c>
      <c r="B4947" s="21" t="s">
        <v>1215</v>
      </c>
      <c r="C4947" s="21" t="s">
        <v>1238</v>
      </c>
      <c r="E4947" s="22">
        <f>IF(D4947="?OLD","!!!","")</f>
        <v/>
      </c>
      <c r="F4947" s="23" t="str">
        <f>IF(OR(E4947="",E4947="!!!"),"",IF(NOT(ISNA(VLOOKUP(E4947,E$1:E4946,1,FALSE()))),"OLD",IF(AND(E4947&lt;&gt;"",E4947&lt;&gt;"!!!"),"NEW","")))</f>
        <v> </v>
      </c>
      <c r="G4947" s="24" t="str">
        <f>IF(OR(E4947="",E4947="!!!"),"",IF(OR(J4947=0,AND(J4947=1,K4947=1),AND(J4947=1,I4947="SBJ"),AND(J4947=1,I4947=0)),"?IN_FOCUS",IF(J4947&lt;=2,"?ACTIVATED",IF(J4947&lt;&gt;"","?FAMILIAR",IF(F4947="NEW",IF(ISNA(VLOOKUP(E4947,#REF!,1,FALSE())),"?TYPE_IDENTIFIABLE","?REFERENTIAL"),"_")))))</f>
        <v> </v>
      </c>
      <c r="H4947" s="25" t="str">
        <f>IF(J4947&lt;&gt;1,"",IF(I4947="SBJ","CB","?"))</f>
        <v> </v>
      </c>
      <c r="I4947" s="26" t="str">
        <f>IF(OR(E4947="",E4947="!!!",F4947="NEW"),"",INDEX(B4946:B$2,-1+SUMPRODUCT(MAX(ROW(E4946:E$2)*(E4947=E4946:E$2)))))</f>
        <v> </v>
      </c>
      <c r="J4947" s="26" t="str">
        <f>IF(OR(E4947="",E4947="!!!",F4947="NEW"),"",COUNTBLANK(OFFSET(A$1,,,SUMPRODUCT(MAX(ROW(E$2:E4947)*(E4947=E$2:E4947)))))-COUNTBLANK(OFFSET(A$1,,,SUMPRODUCT(MAX(ROW(E$1:E4946)*(E2=E$1:E4946))))))</f>
        <v> </v>
      </c>
      <c r="K4947" s="26" t="str">
        <f>IF(OR(E4947="",E4947="!!!",F4947="NEW"),"",INDEX(J$1:J4946,SUMPRODUCT(MAX(ROW(E$1:E4946)*(E4947=E$1:E4946)))))</f>
        <v> </v>
      </c>
      <c r="L4947" s="27"/>
    </row>
    <row r="4948" spans="1:12">
      <c r="A4948" s="20" t="s">
        <v>2823</v>
      </c>
      <c r="E4948" s="22">
        <f>IF(D4948="?OLD","!!!","")</f>
        <v/>
      </c>
      <c r="F4948" s="23" t="str">
        <f>IF(OR(E4948="",E4948="!!!"),"",IF(NOT(ISNA(VLOOKUP(E4948,E$1:E4947,1,FALSE()))),"OLD",IF(AND(E4948&lt;&gt;"",E4948&lt;&gt;"!!!"),"NEW","")))</f>
        <v> </v>
      </c>
      <c r="G4948" s="24" t="str">
        <f>IF(OR(E4948="",E4948="!!!"),"",IF(OR(J4948=0,AND(J4948=1,K4948=1),AND(J4948=1,I4948="SBJ"),AND(J4948=1,I4948=0)),"?IN_FOCUS",IF(J4948&lt;=2,"?ACTIVATED",IF(J4948&lt;&gt;"","?FAMILIAR",IF(F4948="NEW",IF(ISNA(VLOOKUP(E4948,#REF!,1,FALSE())),"?TYPE_IDENTIFIABLE","?REFERENTIAL"),"_")))))</f>
        <v> </v>
      </c>
      <c r="H4948" s="25" t="str">
        <f>IF(J4948&lt;&gt;1,"",IF(I4948="SBJ","CB","?"))</f>
        <v> </v>
      </c>
      <c r="I4948" s="26" t="str">
        <f>IF(OR(E4948="",E4948="!!!",F4948="NEW"),"",INDEX(B4947:B$2,-1+SUMPRODUCT(MAX(ROW(E4947:E$2)*(E4948=E4947:E$2)))))</f>
        <v> </v>
      </c>
      <c r="J4948" s="26" t="str">
        <f>IF(OR(E4948="",E4948="!!!",F4948="NEW"),"",COUNTBLANK(OFFSET(A$1,,,SUMPRODUCT(MAX(ROW(E$2:E4948)*(E4948=E$2:E4948)))))-COUNTBLANK(OFFSET(A$1,,,SUMPRODUCT(MAX(ROW(E$1:E4947)*(E2=E$1:E4947))))))</f>
        <v> </v>
      </c>
      <c r="K4948" s="26" t="str">
        <f>IF(OR(E4948="",E4948="!!!",F4948="NEW"),"",INDEX(J$1:J4947,SUMPRODUCT(MAX(ROW(E$1:E4947)*(E4948=E$1:E4947)))))</f>
        <v> </v>
      </c>
      <c r="L4948" s="27"/>
    </row>
    <row r="4949" spans="1:12">
      <c r="A4949" s="20" t="s">
        <v>1277</v>
      </c>
      <c r="E4949" s="22">
        <f>IF(D4949="?OLD","!!!","")</f>
        <v/>
      </c>
      <c r="F4949" s="23" t="str">
        <f>IF(OR(E4949="",E4949="!!!"),"",IF(NOT(ISNA(VLOOKUP(E4949,E$1:E4948,1,FALSE()))),"OLD",IF(AND(E4949&lt;&gt;"",E4949&lt;&gt;"!!!"),"NEW","")))</f>
        <v> </v>
      </c>
      <c r="G4949" s="24" t="str">
        <f>IF(OR(E4949="",E4949="!!!"),"",IF(OR(J4949=0,AND(J4949=1,K4949=1),AND(J4949=1,I4949="SBJ"),AND(J4949=1,I4949=0)),"?IN_FOCUS",IF(J4949&lt;=2,"?ACTIVATED",IF(J4949&lt;&gt;"","?FAMILIAR",IF(F4949="NEW",IF(ISNA(VLOOKUP(E4949,#REF!,1,FALSE())),"?TYPE_IDENTIFIABLE","?REFERENTIAL"),"_")))))</f>
        <v> </v>
      </c>
      <c r="H4949" s="25" t="str">
        <f>IF(J4949&lt;&gt;1,"",IF(I4949="SBJ","CB","?"))</f>
        <v> </v>
      </c>
      <c r="I4949" s="26" t="str">
        <f>IF(OR(E4949="",E4949="!!!",F4949="NEW"),"",INDEX(B4948:B$2,-1+SUMPRODUCT(MAX(ROW(E4948:E$2)*(E4949=E4948:E$2)))))</f>
        <v> </v>
      </c>
      <c r="J4949" s="26" t="str">
        <f>IF(OR(E4949="",E4949="!!!",F4949="NEW"),"",COUNTBLANK(OFFSET(A$1,,,SUMPRODUCT(MAX(ROW(E$2:E4949)*(E4949=E$2:E4949)))))-COUNTBLANK(OFFSET(A$1,,,SUMPRODUCT(MAX(ROW(E$1:E4948)*(E2=E$1:E4948))))))</f>
        <v> </v>
      </c>
      <c r="K4949" s="26" t="str">
        <f>IF(OR(E4949="",E4949="!!!",F4949="NEW"),"",INDEX(J$1:J4948,SUMPRODUCT(MAX(ROW(E$1:E4948)*(E4949=E$1:E4948)))))</f>
        <v> </v>
      </c>
      <c r="L4949" s="27"/>
    </row>
    <row r="4950" spans="1:12">
      <c r="A4950" s="20" t="s">
        <v>2824</v>
      </c>
      <c r="E4950" s="22">
        <f>IF(D4950="?OLD","!!!","")</f>
        <v/>
      </c>
      <c r="F4950" s="23" t="str">
        <f>IF(OR(E4950="",E4950="!!!"),"",IF(NOT(ISNA(VLOOKUP(E4950,E$1:E4949,1,FALSE()))),"OLD",IF(AND(E4950&lt;&gt;"",E4950&lt;&gt;"!!!"),"NEW","")))</f>
        <v> </v>
      </c>
      <c r="G4950" s="24" t="str">
        <f>IF(OR(E4950="",E4950="!!!"),"",IF(OR(J4950=0,AND(J4950=1,K4950=1),AND(J4950=1,I4950="SBJ"),AND(J4950=1,I4950=0)),"?IN_FOCUS",IF(J4950&lt;=2,"?ACTIVATED",IF(J4950&lt;&gt;"","?FAMILIAR",IF(F4950="NEW",IF(ISNA(VLOOKUP(E4950,#REF!,1,FALSE())),"?TYPE_IDENTIFIABLE","?REFERENTIAL"),"_")))))</f>
        <v> </v>
      </c>
      <c r="H4950" s="25" t="str">
        <f>IF(J4950&lt;&gt;1,"",IF(I4950="SBJ","CB","?"))</f>
        <v> </v>
      </c>
      <c r="I4950" s="26" t="str">
        <f>IF(OR(E4950="",E4950="!!!",F4950="NEW"),"",INDEX(B4949:B$2,-1+SUMPRODUCT(MAX(ROW(E4949:E$2)*(E4950=E4949:E$2)))))</f>
        <v> </v>
      </c>
      <c r="J4950" s="26" t="str">
        <f>IF(OR(E4950="",E4950="!!!",F4950="NEW"),"",COUNTBLANK(OFFSET(A$1,,,SUMPRODUCT(MAX(ROW(E$2:E4950)*(E4950=E$2:E4950)))))-COUNTBLANK(OFFSET(A$1,,,SUMPRODUCT(MAX(ROW(E$1:E4949)*(E2=E$1:E4949))))))</f>
        <v> </v>
      </c>
      <c r="K4950" s="26" t="str">
        <f>IF(OR(E4950="",E4950="!!!",F4950="NEW"),"",INDEX(J$1:J4949,SUMPRODUCT(MAX(ROW(E$1:E4949)*(E4950=E$1:E4949)))))</f>
        <v> </v>
      </c>
      <c r="L4950" s="27"/>
    </row>
    <row r="4951" spans="1:12">
      <c r="A4951" s="20" t="s">
        <v>1218</v>
      </c>
      <c r="E4951" s="22">
        <f>IF(D4951="?OLD","!!!","")</f>
        <v/>
      </c>
      <c r="F4951" s="23" t="str">
        <f>IF(OR(E4951="",E4951="!!!"),"",IF(NOT(ISNA(VLOOKUP(E4951,E$1:E4950,1,FALSE()))),"OLD",IF(AND(E4951&lt;&gt;"",E4951&lt;&gt;"!!!"),"NEW","")))</f>
        <v> </v>
      </c>
      <c r="G4951" s="24" t="str">
        <f>IF(OR(E4951="",E4951="!!!"),"",IF(OR(J4951=0,AND(J4951=1,K4951=1),AND(J4951=1,I4951="SBJ"),AND(J4951=1,I4951=0)),"?IN_FOCUS",IF(J4951&lt;=2,"?ACTIVATED",IF(J4951&lt;&gt;"","?FAMILIAR",IF(F4951="NEW",IF(ISNA(VLOOKUP(E4951,#REF!,1,FALSE())),"?TYPE_IDENTIFIABLE","?REFERENTIAL"),"_")))))</f>
        <v> </v>
      </c>
      <c r="H4951" s="25" t="str">
        <f>IF(J4951&lt;&gt;1,"",IF(I4951="SBJ","CB","?"))</f>
        <v> </v>
      </c>
      <c r="I4951" s="26" t="str">
        <f>IF(OR(E4951="",E4951="!!!",F4951="NEW"),"",INDEX(B4950:B$2,-1+SUMPRODUCT(MAX(ROW(E4950:E$2)*(E4951=E4950:E$2)))))</f>
        <v> </v>
      </c>
      <c r="J4951" s="26" t="str">
        <f>IF(OR(E4951="",E4951="!!!",F4951="NEW"),"",COUNTBLANK(OFFSET(A$1,,,SUMPRODUCT(MAX(ROW(E$2:E4951)*(E4951=E$2:E4951)))))-COUNTBLANK(OFFSET(A$1,,,SUMPRODUCT(MAX(ROW(E$1:E4950)*(E2=E$1:E4950))))))</f>
        <v> </v>
      </c>
      <c r="K4951" s="26" t="str">
        <f>IF(OR(E4951="",E4951="!!!",F4951="NEW"),"",INDEX(J$1:J4950,SUMPRODUCT(MAX(ROW(E$1:E4950)*(E4951=E$1:E4950)))))</f>
        <v> </v>
      </c>
      <c r="L4951" s="27"/>
    </row>
    <row r="4952" spans="1:12">
      <c r="A4952" s="20" t="s">
        <v>2825</v>
      </c>
      <c r="B4952" s="21" t="s">
        <v>1224</v>
      </c>
      <c r="C4952" s="21" t="s">
        <v>1279</v>
      </c>
      <c r="E4952" s="22">
        <f>IF(D4952="?OLD","!!!","")</f>
        <v/>
      </c>
      <c r="F4952" s="23" t="str">
        <f>IF(OR(E4952="",E4952="!!!"),"",IF(NOT(ISNA(VLOOKUP(E4952,E$1:E4951,1,FALSE()))),"OLD",IF(AND(E4952&lt;&gt;"",E4952&lt;&gt;"!!!"),"NEW","")))</f>
        <v> </v>
      </c>
      <c r="G4952" s="24" t="str">
        <f>IF(OR(E4952="",E4952="!!!"),"",IF(OR(J4952=0,AND(J4952=1,K4952=1),AND(J4952=1,I4952="SBJ"),AND(J4952=1,I4952=0)),"?IN_FOCUS",IF(J4952&lt;=2,"?ACTIVATED",IF(J4952&lt;&gt;"","?FAMILIAR",IF(F4952="NEW",IF(ISNA(VLOOKUP(E4952,#REF!,1,FALSE())),"?TYPE_IDENTIFIABLE","?REFERENTIAL"),"_")))))</f>
        <v> </v>
      </c>
      <c r="H4952" s="25" t="str">
        <f>IF(J4952&lt;&gt;1,"",IF(I4952="SBJ","CB","?"))</f>
        <v> </v>
      </c>
      <c r="I4952" s="26" t="str">
        <f>IF(OR(E4952="",E4952="!!!",F4952="NEW"),"",INDEX(B4951:B$2,-1+SUMPRODUCT(MAX(ROW(E4951:E$2)*(E4952=E4951:E$2)))))</f>
        <v> </v>
      </c>
      <c r="J4952" s="26" t="str">
        <f>IF(OR(E4952="",E4952="!!!",F4952="NEW"),"",COUNTBLANK(OFFSET(A$1,,,SUMPRODUCT(MAX(ROW(E$2:E4952)*(E4952=E$2:E4952)))))-COUNTBLANK(OFFSET(A$1,,,SUMPRODUCT(MAX(ROW(E$1:E4951)*(E2=E$1:E4951))))))</f>
        <v> </v>
      </c>
      <c r="K4952" s="26" t="str">
        <f>IF(OR(E4952="",E4952="!!!",F4952="NEW"),"",INDEX(J$1:J4951,SUMPRODUCT(MAX(ROW(E$1:E4951)*(E4952=E$1:E4951)))))</f>
        <v> </v>
      </c>
      <c r="L4952" s="27"/>
    </row>
    <row r="4953" spans="1:12">
      <c r="A4953" s="20" t="s">
        <v>1277</v>
      </c>
      <c r="E4953" s="22">
        <f>IF(D4953="?OLD","!!!","")</f>
        <v/>
      </c>
      <c r="F4953" s="23" t="str">
        <f>IF(OR(E4953="",E4953="!!!"),"",IF(NOT(ISNA(VLOOKUP(E4953,E$1:E4952,1,FALSE()))),"OLD",IF(AND(E4953&lt;&gt;"",E4953&lt;&gt;"!!!"),"NEW","")))</f>
        <v> </v>
      </c>
      <c r="G4953" s="24" t="str">
        <f>IF(OR(E4953="",E4953="!!!"),"",IF(OR(J4953=0,AND(J4953=1,K4953=1),AND(J4953=1,I4953="SBJ"),AND(J4953=1,I4953=0)),"?IN_FOCUS",IF(J4953&lt;=2,"?ACTIVATED",IF(J4953&lt;&gt;"","?FAMILIAR",IF(F4953="NEW",IF(ISNA(VLOOKUP(E4953,#REF!,1,FALSE())),"?TYPE_IDENTIFIABLE","?REFERENTIAL"),"_")))))</f>
        <v> </v>
      </c>
      <c r="H4953" s="25" t="str">
        <f>IF(J4953&lt;&gt;1,"",IF(I4953="SBJ","CB","?"))</f>
        <v> </v>
      </c>
      <c r="I4953" s="26" t="str">
        <f>IF(OR(E4953="",E4953="!!!",F4953="NEW"),"",INDEX(B4952:B$2,-1+SUMPRODUCT(MAX(ROW(E4952:E$2)*(E4953=E4952:E$2)))))</f>
        <v> </v>
      </c>
      <c r="J4953" s="26" t="str">
        <f>IF(OR(E4953="",E4953="!!!",F4953="NEW"),"",COUNTBLANK(OFFSET(A$1,,,SUMPRODUCT(MAX(ROW(E$2:E4953)*(E4953=E$2:E4953)))))-COUNTBLANK(OFFSET(A$1,,,SUMPRODUCT(MAX(ROW(E$1:E4952)*(E2=E$1:E4952))))))</f>
        <v> </v>
      </c>
      <c r="K4953" s="26" t="str">
        <f>IF(OR(E4953="",E4953="!!!",F4953="NEW"),"",INDEX(J$1:J4952,SUMPRODUCT(MAX(ROW(E$1:E4952)*(E4953=E$1:E4952)))))</f>
        <v> </v>
      </c>
      <c r="L4953" s="27"/>
    </row>
    <row r="4954" spans="1:12">
      <c r="A4954" s="20" t="s">
        <v>1327</v>
      </c>
      <c r="B4954" s="21" t="s">
        <v>1275</v>
      </c>
      <c r="C4954" s="21" t="s">
        <v>1255</v>
      </c>
      <c r="D4954" s="21" t="s">
        <v>1217</v>
      </c>
      <c r="E4954" s="22">
        <f>IF(D4954="?OLD","!!!","")</f>
        <v/>
      </c>
      <c r="F4954" s="23" t="str">
        <f>IF(OR(E4954="",E4954="!!!"),"",IF(NOT(ISNA(VLOOKUP(E4954,E$1:E4953,1,FALSE()))),"OLD",IF(AND(E4954&lt;&gt;"",E4954&lt;&gt;"!!!"),"NEW","")))</f>
        <v> </v>
      </c>
      <c r="G4954" s="24" t="str">
        <f>IF(OR(E4954="",E4954="!!!"),"",IF(OR(J4954=0,AND(J4954=1,K4954=1),AND(J4954=1,I4954="SBJ"),AND(J4954=1,I4954=0)),"?IN_FOCUS",IF(J4954&lt;=2,"?ACTIVATED",IF(J4954&lt;&gt;"","?FAMILIAR",IF(F4954="NEW",IF(ISNA(VLOOKUP(E4954,#REF!,1,FALSE())),"?TYPE_IDENTIFIABLE","?REFERENTIAL"),"_")))))</f>
        <v> </v>
      </c>
      <c r="H4954" s="25" t="str">
        <f>IF(J4954&lt;&gt;1,"",IF(I4954="SBJ","CB","?"))</f>
        <v> </v>
      </c>
      <c r="I4954" s="26" t="str">
        <f>IF(OR(E4954="",E4954="!!!",F4954="NEW"),"",INDEX(B4953:B$2,-1+SUMPRODUCT(MAX(ROW(E4953:E$2)*(E4954=E4953:E$2)))))</f>
        <v> </v>
      </c>
      <c r="J4954" s="26" t="str">
        <f>IF(OR(E4954="",E4954="!!!",F4954="NEW"),"",COUNTBLANK(OFFSET(A$1,,,SUMPRODUCT(MAX(ROW(E$2:E4954)*(E4954=E$2:E4954)))))-COUNTBLANK(OFFSET(A$1,,,SUMPRODUCT(MAX(ROW(E$1:E4953)*(E2=E$1:E4953))))))</f>
        <v> </v>
      </c>
      <c r="K4954" s="26" t="str">
        <f>IF(OR(E4954="",E4954="!!!",F4954="NEW"),"",INDEX(J$1:J4953,SUMPRODUCT(MAX(ROW(E$1:E4953)*(E4954=E$1:E4953)))))</f>
        <v> </v>
      </c>
      <c r="L4954" s="27"/>
    </row>
    <row r="4955" spans="1:12">
      <c r="A4955" s="20" t="s">
        <v>2826</v>
      </c>
      <c r="E4955" s="22">
        <f>IF(D4955="?OLD","!!!","")</f>
        <v/>
      </c>
      <c r="F4955" s="23" t="str">
        <f>IF(OR(E4955="",E4955="!!!"),"",IF(NOT(ISNA(VLOOKUP(E4955,E$1:E4954,1,FALSE()))),"OLD",IF(AND(E4955&lt;&gt;"",E4955&lt;&gt;"!!!"),"NEW","")))</f>
        <v> </v>
      </c>
      <c r="G4955" s="24" t="str">
        <f>IF(OR(E4955="",E4955="!!!"),"",IF(OR(J4955=0,AND(J4955=1,K4955=1),AND(J4955=1,I4955="SBJ"),AND(J4955=1,I4955=0)),"?IN_FOCUS",IF(J4955&lt;=2,"?ACTIVATED",IF(J4955&lt;&gt;"","?FAMILIAR",IF(F4955="NEW",IF(ISNA(VLOOKUP(E4955,#REF!,1,FALSE())),"?TYPE_IDENTIFIABLE","?REFERENTIAL"),"_")))))</f>
        <v> </v>
      </c>
      <c r="H4955" s="25" t="str">
        <f>IF(J4955&lt;&gt;1,"",IF(I4955="SBJ","CB","?"))</f>
        <v> </v>
      </c>
      <c r="I4955" s="26" t="str">
        <f>IF(OR(E4955="",E4955="!!!",F4955="NEW"),"",INDEX(B4954:B$2,-1+SUMPRODUCT(MAX(ROW(E4954:E$2)*(E4955=E4954:E$2)))))</f>
        <v> </v>
      </c>
      <c r="J4955" s="26" t="str">
        <f>IF(OR(E4955="",E4955="!!!",F4955="NEW"),"",COUNTBLANK(OFFSET(A$1,,,SUMPRODUCT(MAX(ROW(E$2:E4955)*(E4955=E$2:E4955)))))-COUNTBLANK(OFFSET(A$1,,,SUMPRODUCT(MAX(ROW(E$1:E4954)*(E2=E$1:E4954))))))</f>
        <v> </v>
      </c>
      <c r="K4955" s="26" t="str">
        <f>IF(OR(E4955="",E4955="!!!",F4955="NEW"),"",INDEX(J$1:J4954,SUMPRODUCT(MAX(ROW(E$1:E4954)*(E4955=E$1:E4954)))))</f>
        <v> </v>
      </c>
      <c r="L4955" s="27"/>
    </row>
    <row r="4956" spans="1:12">
      <c r="A4956" s="20" t="s">
        <v>1245</v>
      </c>
      <c r="E4956" s="22">
        <f>IF(D4956="?OLD","!!!","")</f>
        <v/>
      </c>
      <c r="F4956" s="23" t="str">
        <f>IF(OR(E4956="",E4956="!!!"),"",IF(NOT(ISNA(VLOOKUP(E4956,E$1:E4955,1,FALSE()))),"OLD",IF(AND(E4956&lt;&gt;"",E4956&lt;&gt;"!!!"),"NEW","")))</f>
        <v> </v>
      </c>
      <c r="G4956" s="24" t="str">
        <f>IF(OR(E4956="",E4956="!!!"),"",IF(OR(J4956=0,AND(J4956=1,K4956=1),AND(J4956=1,I4956="SBJ"),AND(J4956=1,I4956=0)),"?IN_FOCUS",IF(J4956&lt;=2,"?ACTIVATED",IF(J4956&lt;&gt;"","?FAMILIAR",IF(F4956="NEW",IF(ISNA(VLOOKUP(E4956,#REF!,1,FALSE())),"?TYPE_IDENTIFIABLE","?REFERENTIAL"),"_")))))</f>
        <v> </v>
      </c>
      <c r="H4956" s="25" t="str">
        <f>IF(J4956&lt;&gt;1,"",IF(I4956="SBJ","CB","?"))</f>
        <v> </v>
      </c>
      <c r="I4956" s="26" t="str">
        <f>IF(OR(E4956="",E4956="!!!",F4956="NEW"),"",INDEX(B4955:B$2,-1+SUMPRODUCT(MAX(ROW(E4955:E$2)*(E4956=E4955:E$2)))))</f>
        <v> </v>
      </c>
      <c r="J4956" s="26" t="str">
        <f>IF(OR(E4956="",E4956="!!!",F4956="NEW"),"",COUNTBLANK(OFFSET(A$1,,,SUMPRODUCT(MAX(ROW(E$2:E4956)*(E4956=E$2:E4956)))))-COUNTBLANK(OFFSET(A$1,,,SUMPRODUCT(MAX(ROW(E$1:E4955)*(E2=E$1:E4955))))))</f>
        <v> </v>
      </c>
      <c r="K4956" s="26" t="str">
        <f>IF(OR(E4956="",E4956="!!!",F4956="NEW"),"",INDEX(J$1:J4955,SUMPRODUCT(MAX(ROW(E$1:E4955)*(E4956=E$1:E4955)))))</f>
        <v> </v>
      </c>
      <c r="L4956" s="27"/>
    </row>
    <row r="4957" spans="1:12">
      <c r="A4957" s="20" t="s">
        <v>1266</v>
      </c>
      <c r="E4957" s="22">
        <f>IF(D4957="?OLD","!!!","")</f>
        <v/>
      </c>
      <c r="F4957" s="23" t="str">
        <f>IF(OR(E4957="",E4957="!!!"),"",IF(NOT(ISNA(VLOOKUP(E4957,E$1:E4956,1,FALSE()))),"OLD",IF(AND(E4957&lt;&gt;"",E4957&lt;&gt;"!!!"),"NEW","")))</f>
        <v> </v>
      </c>
      <c r="G4957" s="24" t="str">
        <f>IF(OR(E4957="",E4957="!!!"),"",IF(OR(J4957=0,AND(J4957=1,K4957=1),AND(J4957=1,I4957="SBJ"),AND(J4957=1,I4957=0)),"?IN_FOCUS",IF(J4957&lt;=2,"?ACTIVATED",IF(J4957&lt;&gt;"","?FAMILIAR",IF(F4957="NEW",IF(ISNA(VLOOKUP(E4957,#REF!,1,FALSE())),"?TYPE_IDENTIFIABLE","?REFERENTIAL"),"_")))))</f>
        <v> </v>
      </c>
      <c r="H4957" s="25" t="str">
        <f>IF(J4957&lt;&gt;1,"",IF(I4957="SBJ","CB","?"))</f>
        <v> </v>
      </c>
      <c r="I4957" s="26" t="str">
        <f>IF(OR(E4957="",E4957="!!!",F4957="NEW"),"",INDEX(B4956:B$2,-1+SUMPRODUCT(MAX(ROW(E4956:E$2)*(E4957=E4956:E$2)))))</f>
        <v> </v>
      </c>
      <c r="J4957" s="26" t="str">
        <f>IF(OR(E4957="",E4957="!!!",F4957="NEW"),"",COUNTBLANK(OFFSET(A$1,,,SUMPRODUCT(MAX(ROW(E$2:E4957)*(E4957=E$2:E4957)))))-COUNTBLANK(OFFSET(A$1,,,SUMPRODUCT(MAX(ROW(E$1:E4956)*(E2=E$1:E4956))))))</f>
        <v> </v>
      </c>
      <c r="K4957" s="26" t="str">
        <f>IF(OR(E4957="",E4957="!!!",F4957="NEW"),"",INDEX(J$1:J4956,SUMPRODUCT(MAX(ROW(E$1:E4956)*(E4957=E$1:E4956)))))</f>
        <v> </v>
      </c>
      <c r="L4957" s="27"/>
    </row>
    <row r="4958" spans="1:12">
      <c r="A4958" s="20" t="s">
        <v>1369</v>
      </c>
      <c r="B4958" s="21" t="s">
        <v>1244</v>
      </c>
      <c r="C4958" s="21" t="s">
        <v>1269</v>
      </c>
      <c r="D4958" s="21" t="s">
        <v>1217</v>
      </c>
      <c r="E4958" s="22">
        <f>IF(D4958="?OLD","!!!","")</f>
        <v/>
      </c>
      <c r="F4958" s="23" t="str">
        <f>IF(OR(E4958="",E4958="!!!"),"",IF(NOT(ISNA(VLOOKUP(E4958,E$1:E4957,1,FALSE()))),"OLD",IF(AND(E4958&lt;&gt;"",E4958&lt;&gt;"!!!"),"NEW","")))</f>
        <v> </v>
      </c>
      <c r="G4958" s="24" t="str">
        <f>IF(OR(E4958="",E4958="!!!"),"",IF(OR(J4958=0,AND(J4958=1,K4958=1),AND(J4958=1,I4958="SBJ"),AND(J4958=1,I4958=0)),"?IN_FOCUS",IF(J4958&lt;=2,"?ACTIVATED",IF(J4958&lt;&gt;"","?FAMILIAR",IF(F4958="NEW",IF(ISNA(VLOOKUP(E4958,#REF!,1,FALSE())),"?TYPE_IDENTIFIABLE","?REFERENTIAL"),"_")))))</f>
        <v> </v>
      </c>
      <c r="H4958" s="25" t="str">
        <f>IF(J4958&lt;&gt;1,"",IF(I4958="SBJ","CB","?"))</f>
        <v> </v>
      </c>
      <c r="I4958" s="26" t="str">
        <f>IF(OR(E4958="",E4958="!!!",F4958="NEW"),"",INDEX(B4957:B$2,-1+SUMPRODUCT(MAX(ROW(E4957:E$2)*(E4958=E4957:E$2)))))</f>
        <v> </v>
      </c>
      <c r="J4958" s="26" t="str">
        <f>IF(OR(E4958="",E4958="!!!",F4958="NEW"),"",COUNTBLANK(OFFSET(A$1,,,SUMPRODUCT(MAX(ROW(E$2:E4958)*(E4958=E$2:E4958)))))-COUNTBLANK(OFFSET(A$1,,,SUMPRODUCT(MAX(ROW(E$1:E4957)*(E2=E$1:E4957))))))</f>
        <v> </v>
      </c>
      <c r="K4958" s="26" t="str">
        <f>IF(OR(E4958="",E4958="!!!",F4958="NEW"),"",INDEX(J$1:J4957,SUMPRODUCT(MAX(ROW(E$1:E4957)*(E4958=E$1:E4957)))))</f>
        <v> </v>
      </c>
      <c r="L4958" s="27"/>
    </row>
    <row r="4959" spans="1:12">
      <c r="A4959" s="20" t="s">
        <v>1262</v>
      </c>
      <c r="E4959" s="22">
        <f>IF(D4959="?OLD","!!!","")</f>
        <v/>
      </c>
      <c r="F4959" s="23" t="str">
        <f>IF(OR(E4959="",E4959="!!!"),"",IF(NOT(ISNA(VLOOKUP(E4959,E$1:E4958,1,FALSE()))),"OLD",IF(AND(E4959&lt;&gt;"",E4959&lt;&gt;"!!!"),"NEW","")))</f>
        <v> </v>
      </c>
      <c r="G4959" s="24" t="str">
        <f>IF(OR(E4959="",E4959="!!!"),"",IF(OR(J4959=0,AND(J4959=1,K4959=1),AND(J4959=1,I4959="SBJ"),AND(J4959=1,I4959=0)),"?IN_FOCUS",IF(J4959&lt;=2,"?ACTIVATED",IF(J4959&lt;&gt;"","?FAMILIAR",IF(F4959="NEW",IF(ISNA(VLOOKUP(E4959,#REF!,1,FALSE())),"?TYPE_IDENTIFIABLE","?REFERENTIAL"),"_")))))</f>
        <v> </v>
      </c>
      <c r="H4959" s="25" t="str">
        <f>IF(J4959&lt;&gt;1,"",IF(I4959="SBJ","CB","?"))</f>
        <v> </v>
      </c>
      <c r="I4959" s="26" t="str">
        <f>IF(OR(E4959="",E4959="!!!",F4959="NEW"),"",INDEX(B4958:B$2,-1+SUMPRODUCT(MAX(ROW(E4958:E$2)*(E4959=E4958:E$2)))))</f>
        <v> </v>
      </c>
      <c r="J4959" s="26" t="str">
        <f>IF(OR(E4959="",E4959="!!!",F4959="NEW"),"",COUNTBLANK(OFFSET(A$1,,,SUMPRODUCT(MAX(ROW(E$2:E4959)*(E4959=E$2:E4959)))))-COUNTBLANK(OFFSET(A$1,,,SUMPRODUCT(MAX(ROW(E$1:E4958)*(E2=E$1:E4958))))))</f>
        <v> </v>
      </c>
      <c r="K4959" s="26" t="str">
        <f>IF(OR(E4959="",E4959="!!!",F4959="NEW"),"",INDEX(J$1:J4958,SUMPRODUCT(MAX(ROW(E$1:E4958)*(E4959=E$1:E4958)))))</f>
        <v> </v>
      </c>
      <c r="L4959" s="27"/>
    </row>
    <row r="4960" spans="1:12">
      <c r="A4960" s="20"/>
    </row>
    <row r="4961" spans="1:12">
      <c r="A4961" s="20" t="s">
        <v>2827</v>
      </c>
    </row>
    <row r="4962" spans="1:12">
      <c r="A4962" s="20" t="s">
        <v>1353</v>
      </c>
      <c r="E4962" s="22">
        <f>IF(D4962="?OLD","!!!","")</f>
        <v/>
      </c>
      <c r="F4962" s="23" t="str">
        <f>IF(OR(E4962="",E4962="!!!"),"",IF(NOT(ISNA(VLOOKUP(E4962,E$1:E4961,1,FALSE()))),"OLD",IF(AND(E4962&lt;&gt;"",E4962&lt;&gt;"!!!"),"NEW","")))</f>
        <v> </v>
      </c>
      <c r="G4962" s="24" t="str">
        <f>IF(OR(E4962="",E4962="!!!"),"",IF(OR(J4962=0,AND(J4962=1,K4962=1),AND(J4962=1,I4962="SBJ"),AND(J4962=1,I4962=0)),"?IN_FOCUS",IF(J4962&lt;=2,"?ACTIVATED",IF(J4962&lt;&gt;"","?FAMILIAR",IF(F4962="NEW",IF(ISNA(VLOOKUP(E4962,#REF!,1,FALSE())),"?TYPE_IDENTIFIABLE","?REFERENTIAL"),"_")))))</f>
        <v> </v>
      </c>
      <c r="H4962" s="25" t="str">
        <f>IF(J4962&lt;&gt;1,"",IF(I4962="SBJ","CB","?"))</f>
        <v> </v>
      </c>
      <c r="I4962" s="26" t="str">
        <f>IF(OR(E4962="",E4962="!!!",F4962="NEW"),"",INDEX(B4961:B$2,-1+SUMPRODUCT(MAX(ROW(E4961:E$2)*(E4962=E4961:E$2)))))</f>
        <v> </v>
      </c>
      <c r="J4962" s="26" t="str">
        <f>IF(OR(E4962="",E4962="!!!",F4962="NEW"),"",COUNTBLANK(OFFSET(A$1,,,SUMPRODUCT(MAX(ROW(E$2:E4962)*(E4962=E$2:E4962)))))-COUNTBLANK(OFFSET(A$1,,,SUMPRODUCT(MAX(ROW(E$1:E4961)*(E2=E$1:E4961))))))</f>
        <v> </v>
      </c>
      <c r="K4962" s="26" t="str">
        <f>IF(OR(E4962="",E4962="!!!",F4962="NEW"),"",INDEX(J$1:J4961,SUMPRODUCT(MAX(ROW(E$1:E4961)*(E4962=E$1:E4961)))))</f>
        <v> </v>
      </c>
      <c r="L4962" s="27"/>
    </row>
    <row r="4963" spans="1:12">
      <c r="A4963" s="20" t="s">
        <v>1266</v>
      </c>
      <c r="E4963" s="22">
        <f>IF(D4963="?OLD","!!!","")</f>
        <v/>
      </c>
      <c r="F4963" s="23" t="str">
        <f>IF(OR(E4963="",E4963="!!!"),"",IF(NOT(ISNA(VLOOKUP(E4963,E$1:E4962,1,FALSE()))),"OLD",IF(AND(E4963&lt;&gt;"",E4963&lt;&gt;"!!!"),"NEW","")))</f>
        <v> </v>
      </c>
      <c r="G4963" s="24" t="str">
        <f>IF(OR(E4963="",E4963="!!!"),"",IF(OR(J4963=0,AND(J4963=1,K4963=1),AND(J4963=1,I4963="SBJ"),AND(J4963=1,I4963=0)),"?IN_FOCUS",IF(J4963&lt;=2,"?ACTIVATED",IF(J4963&lt;&gt;"","?FAMILIAR",IF(F4963="NEW",IF(ISNA(VLOOKUP(E4963,#REF!,1,FALSE())),"?TYPE_IDENTIFIABLE","?REFERENTIAL"),"_")))))</f>
        <v> </v>
      </c>
      <c r="H4963" s="25" t="str">
        <f>IF(J4963&lt;&gt;1,"",IF(I4963="SBJ","CB","?"))</f>
        <v> </v>
      </c>
      <c r="I4963" s="26" t="str">
        <f>IF(OR(E4963="",E4963="!!!",F4963="NEW"),"",INDEX(B4962:B$2,-1+SUMPRODUCT(MAX(ROW(E4962:E$2)*(E4963=E4962:E$2)))))</f>
        <v> </v>
      </c>
      <c r="J4963" s="26" t="str">
        <f>IF(OR(E4963="",E4963="!!!",F4963="NEW"),"",COUNTBLANK(OFFSET(A$1,,,SUMPRODUCT(MAX(ROW(E$2:E4963)*(E4963=E$2:E4963)))))-COUNTBLANK(OFFSET(A$1,,,SUMPRODUCT(MAX(ROW(E$1:E4962)*(E2=E$1:E4962))))))</f>
        <v> </v>
      </c>
      <c r="K4963" s="26" t="str">
        <f>IF(OR(E4963="",E4963="!!!",F4963="NEW"),"",INDEX(J$1:J4962,SUMPRODUCT(MAX(ROW(E$1:E4962)*(E4963=E$1:E4962)))))</f>
        <v> </v>
      </c>
      <c r="L4963" s="27"/>
    </row>
    <row r="4964" spans="1:12">
      <c r="A4964" s="20" t="s">
        <v>2828</v>
      </c>
      <c r="E4964" s="22">
        <f>IF(D4964="?OLD","!!!","")</f>
        <v/>
      </c>
      <c r="F4964" s="23" t="str">
        <f>IF(OR(E4964="",E4964="!!!"),"",IF(NOT(ISNA(VLOOKUP(E4964,E$1:E4963,1,FALSE()))),"OLD",IF(AND(E4964&lt;&gt;"",E4964&lt;&gt;"!!!"),"NEW","")))</f>
        <v> </v>
      </c>
      <c r="G4964" s="24" t="str">
        <f>IF(OR(E4964="",E4964="!!!"),"",IF(OR(J4964=0,AND(J4964=1,K4964=1),AND(J4964=1,I4964="SBJ"),AND(J4964=1,I4964=0)),"?IN_FOCUS",IF(J4964&lt;=2,"?ACTIVATED",IF(J4964&lt;&gt;"","?FAMILIAR",IF(F4964="NEW",IF(ISNA(VLOOKUP(E4964,#REF!,1,FALSE())),"?TYPE_IDENTIFIABLE","?REFERENTIAL"),"_")))))</f>
        <v> </v>
      </c>
      <c r="H4964" s="25" t="str">
        <f>IF(J4964&lt;&gt;1,"",IF(I4964="SBJ","CB","?"))</f>
        <v> </v>
      </c>
      <c r="I4964" s="26" t="str">
        <f>IF(OR(E4964="",E4964="!!!",F4964="NEW"),"",INDEX(B4963:B$2,-1+SUMPRODUCT(MAX(ROW(E4963:E$2)*(E4964=E4963:E$2)))))</f>
        <v> </v>
      </c>
      <c r="J4964" s="26" t="str">
        <f>IF(OR(E4964="",E4964="!!!",F4964="NEW"),"",COUNTBLANK(OFFSET(A$1,,,SUMPRODUCT(MAX(ROW(E$2:E4964)*(E4964=E$2:E4964)))))-COUNTBLANK(OFFSET(A$1,,,SUMPRODUCT(MAX(ROW(E$1:E4963)*(E2=E$1:E4963))))))</f>
        <v> </v>
      </c>
      <c r="K4964" s="26" t="str">
        <f>IF(OR(E4964="",E4964="!!!",F4964="NEW"),"",INDEX(J$1:J4963,SUMPRODUCT(MAX(ROW(E$1:E4963)*(E4964=E$1:E4963)))))</f>
        <v> </v>
      </c>
      <c r="L4964" s="27"/>
    </row>
    <row r="4965" spans="1:12">
      <c r="A4965" s="20" t="s">
        <v>2829</v>
      </c>
      <c r="B4965" s="21" t="s">
        <v>1244</v>
      </c>
      <c r="C4965" s="21" t="s">
        <v>1269</v>
      </c>
      <c r="D4965" s="21" t="s">
        <v>1217</v>
      </c>
      <c r="E4965" s="22">
        <f>IF(D4965="?OLD","!!!","")</f>
        <v/>
      </c>
      <c r="F4965" s="23" t="str">
        <f>IF(OR(E4965="",E4965="!!!"),"",IF(NOT(ISNA(VLOOKUP(E4965,E$1:E4964,1,FALSE()))),"OLD",IF(AND(E4965&lt;&gt;"",E4965&lt;&gt;"!!!"),"NEW","")))</f>
        <v> </v>
      </c>
      <c r="G4965" s="24" t="str">
        <f>IF(OR(E4965="",E4965="!!!"),"",IF(OR(J4965=0,AND(J4965=1,K4965=1),AND(J4965=1,I4965="SBJ"),AND(J4965=1,I4965=0)),"?IN_FOCUS",IF(J4965&lt;=2,"?ACTIVATED",IF(J4965&lt;&gt;"","?FAMILIAR",IF(F4965="NEW",IF(ISNA(VLOOKUP(E4965,#REF!,1,FALSE())),"?TYPE_IDENTIFIABLE","?REFERENTIAL"),"_")))))</f>
        <v> </v>
      </c>
      <c r="H4965" s="25" t="str">
        <f>IF(J4965&lt;&gt;1,"",IF(I4965="SBJ","CB","?"))</f>
        <v> </v>
      </c>
      <c r="I4965" s="26" t="str">
        <f>IF(OR(E4965="",E4965="!!!",F4965="NEW"),"",INDEX(B4964:B$2,-1+SUMPRODUCT(MAX(ROW(E4964:E$2)*(E4965=E4964:E$2)))))</f>
        <v> </v>
      </c>
      <c r="J4965" s="26" t="str">
        <f>IF(OR(E4965="",E4965="!!!",F4965="NEW"),"",COUNTBLANK(OFFSET(A$1,,,SUMPRODUCT(MAX(ROW(E$2:E4965)*(E4965=E$2:E4965)))))-COUNTBLANK(OFFSET(A$1,,,SUMPRODUCT(MAX(ROW(E$1:E4964)*(E2=E$1:E4964))))))</f>
        <v> </v>
      </c>
      <c r="K4965" s="26" t="str">
        <f>IF(OR(E4965="",E4965="!!!",F4965="NEW"),"",INDEX(J$1:J4964,SUMPRODUCT(MAX(ROW(E$1:E4964)*(E4965=E$1:E4964)))))</f>
        <v> </v>
      </c>
      <c r="L4965" s="27"/>
    </row>
    <row r="4966" spans="1:12">
      <c r="A4966" s="20" t="s">
        <v>1303</v>
      </c>
      <c r="E4966" s="22">
        <f>IF(D4966="?OLD","!!!","")</f>
        <v/>
      </c>
      <c r="F4966" s="23" t="str">
        <f>IF(OR(E4966="",E4966="!!!"),"",IF(NOT(ISNA(VLOOKUP(E4966,E$1:E4965,1,FALSE()))),"OLD",IF(AND(E4966&lt;&gt;"",E4966&lt;&gt;"!!!"),"NEW","")))</f>
        <v> </v>
      </c>
      <c r="G4966" s="24" t="str">
        <f>IF(OR(E4966="",E4966="!!!"),"",IF(OR(J4966=0,AND(J4966=1,K4966=1),AND(J4966=1,I4966="SBJ"),AND(J4966=1,I4966=0)),"?IN_FOCUS",IF(J4966&lt;=2,"?ACTIVATED",IF(J4966&lt;&gt;"","?FAMILIAR",IF(F4966="NEW",IF(ISNA(VLOOKUP(E4966,#REF!,1,FALSE())),"?TYPE_IDENTIFIABLE","?REFERENTIAL"),"_")))))</f>
        <v> </v>
      </c>
      <c r="H4966" s="25" t="str">
        <f>IF(J4966&lt;&gt;1,"",IF(I4966="SBJ","CB","?"))</f>
        <v> </v>
      </c>
      <c r="I4966" s="26" t="str">
        <f>IF(OR(E4966="",E4966="!!!",F4966="NEW"),"",INDEX(B4965:B$2,-1+SUMPRODUCT(MAX(ROW(E4965:E$2)*(E4966=E4965:E$2)))))</f>
        <v> </v>
      </c>
      <c r="J4966" s="26" t="str">
        <f>IF(OR(E4966="",E4966="!!!",F4966="NEW"),"",COUNTBLANK(OFFSET(A$1,,,SUMPRODUCT(MAX(ROW(E$2:E4966)*(E4966=E$2:E4966)))))-COUNTBLANK(OFFSET(A$1,,,SUMPRODUCT(MAX(ROW(E$1:E4965)*(E2=E$1:E4965))))))</f>
        <v> </v>
      </c>
      <c r="K4966" s="26" t="str">
        <f>IF(OR(E4966="",E4966="!!!",F4966="NEW"),"",INDEX(J$1:J4965,SUMPRODUCT(MAX(ROW(E$1:E4965)*(E4966=E$1:E4965)))))</f>
        <v> </v>
      </c>
      <c r="L4966" s="27"/>
    </row>
    <row r="4967" spans="1:12">
      <c r="A4967" s="20" t="s">
        <v>1277</v>
      </c>
      <c r="E4967" s="22">
        <f>IF(D4967="?OLD","!!!","")</f>
        <v/>
      </c>
      <c r="F4967" s="23" t="str">
        <f>IF(OR(E4967="",E4967="!!!"),"",IF(NOT(ISNA(VLOOKUP(E4967,E$1:E4966,1,FALSE()))),"OLD",IF(AND(E4967&lt;&gt;"",E4967&lt;&gt;"!!!"),"NEW","")))</f>
        <v> </v>
      </c>
      <c r="G4967" s="24" t="str">
        <f>IF(OR(E4967="",E4967="!!!"),"",IF(OR(J4967=0,AND(J4967=1,K4967=1),AND(J4967=1,I4967="SBJ"),AND(J4967=1,I4967=0)),"?IN_FOCUS",IF(J4967&lt;=2,"?ACTIVATED",IF(J4967&lt;&gt;"","?FAMILIAR",IF(F4967="NEW",IF(ISNA(VLOOKUP(E4967,#REF!,1,FALSE())),"?TYPE_IDENTIFIABLE","?REFERENTIAL"),"_")))))</f>
        <v> </v>
      </c>
      <c r="H4967" s="25" t="str">
        <f>IF(J4967&lt;&gt;1,"",IF(I4967="SBJ","CB","?"))</f>
        <v> </v>
      </c>
      <c r="I4967" s="26" t="str">
        <f>IF(OR(E4967="",E4967="!!!",F4967="NEW"),"",INDEX(B4966:B$2,-1+SUMPRODUCT(MAX(ROW(E4966:E$2)*(E4967=E4966:E$2)))))</f>
        <v> </v>
      </c>
      <c r="J4967" s="26" t="str">
        <f>IF(OR(E4967="",E4967="!!!",F4967="NEW"),"",COUNTBLANK(OFFSET(A$1,,,SUMPRODUCT(MAX(ROW(E$2:E4967)*(E4967=E$2:E4967)))))-COUNTBLANK(OFFSET(A$1,,,SUMPRODUCT(MAX(ROW(E$1:E4966)*(E2=E$1:E4966))))))</f>
        <v> </v>
      </c>
      <c r="K4967" s="26" t="str">
        <f>IF(OR(E4967="",E4967="!!!",F4967="NEW"),"",INDEX(J$1:J4966,SUMPRODUCT(MAX(ROW(E$1:E4966)*(E4967=E$1:E4966)))))</f>
        <v> </v>
      </c>
      <c r="L4967" s="27"/>
    </row>
    <row r="4968" spans="1:12">
      <c r="A4968" s="20" t="s">
        <v>1327</v>
      </c>
      <c r="B4968" s="21" t="s">
        <v>1275</v>
      </c>
      <c r="C4968" s="21" t="s">
        <v>1255</v>
      </c>
      <c r="D4968" s="21" t="s">
        <v>1217</v>
      </c>
      <c r="E4968" s="22">
        <f>IF(D4968="?OLD","!!!","")</f>
        <v/>
      </c>
      <c r="F4968" s="23" t="str">
        <f>IF(OR(E4968="",E4968="!!!"),"",IF(NOT(ISNA(VLOOKUP(E4968,E$1:E4967,1,FALSE()))),"OLD",IF(AND(E4968&lt;&gt;"",E4968&lt;&gt;"!!!"),"NEW","")))</f>
        <v> </v>
      </c>
      <c r="G4968" s="24" t="str">
        <f>IF(OR(E4968="",E4968="!!!"),"",IF(OR(J4968=0,AND(J4968=1,K4968=1),AND(J4968=1,I4968="SBJ"),AND(J4968=1,I4968=0)),"?IN_FOCUS",IF(J4968&lt;=2,"?ACTIVATED",IF(J4968&lt;&gt;"","?FAMILIAR",IF(F4968="NEW",IF(ISNA(VLOOKUP(E4968,#REF!,1,FALSE())),"?TYPE_IDENTIFIABLE","?REFERENTIAL"),"_")))))</f>
        <v> </v>
      </c>
      <c r="H4968" s="25" t="str">
        <f>IF(J4968&lt;&gt;1,"",IF(I4968="SBJ","CB","?"))</f>
        <v> </v>
      </c>
      <c r="I4968" s="26" t="str">
        <f>IF(OR(E4968="",E4968="!!!",F4968="NEW"),"",INDEX(B4967:B$2,-1+SUMPRODUCT(MAX(ROW(E4967:E$2)*(E4968=E4967:E$2)))))</f>
        <v> </v>
      </c>
      <c r="J4968" s="26" t="str">
        <f>IF(OR(E4968="",E4968="!!!",F4968="NEW"),"",COUNTBLANK(OFFSET(A$1,,,SUMPRODUCT(MAX(ROW(E$2:E4968)*(E4968=E$2:E4968)))))-COUNTBLANK(OFFSET(A$1,,,SUMPRODUCT(MAX(ROW(E$1:E4967)*(E2=E$1:E4967))))))</f>
        <v> </v>
      </c>
      <c r="K4968" s="26" t="str">
        <f>IF(OR(E4968="",E4968="!!!",F4968="NEW"),"",INDEX(J$1:J4967,SUMPRODUCT(MAX(ROW(E$1:E4967)*(E4968=E$1:E4967)))))</f>
        <v> </v>
      </c>
      <c r="L4968" s="27"/>
    </row>
    <row r="4969" spans="1:12">
      <c r="A4969" s="20" t="s">
        <v>2830</v>
      </c>
      <c r="E4969" s="22">
        <f>IF(D4969="?OLD","!!!","")</f>
        <v/>
      </c>
      <c r="F4969" s="23" t="str">
        <f>IF(OR(E4969="",E4969="!!!"),"",IF(NOT(ISNA(VLOOKUP(E4969,E$1:E4968,1,FALSE()))),"OLD",IF(AND(E4969&lt;&gt;"",E4969&lt;&gt;"!!!"),"NEW","")))</f>
        <v> </v>
      </c>
      <c r="G4969" s="24" t="str">
        <f>IF(OR(E4969="",E4969="!!!"),"",IF(OR(J4969=0,AND(J4969=1,K4969=1),AND(J4969=1,I4969="SBJ"),AND(J4969=1,I4969=0)),"?IN_FOCUS",IF(J4969&lt;=2,"?ACTIVATED",IF(J4969&lt;&gt;"","?FAMILIAR",IF(F4969="NEW",IF(ISNA(VLOOKUP(E4969,#REF!,1,FALSE())),"?TYPE_IDENTIFIABLE","?REFERENTIAL"),"_")))))</f>
        <v> </v>
      </c>
      <c r="H4969" s="25" t="str">
        <f>IF(J4969&lt;&gt;1,"",IF(I4969="SBJ","CB","?"))</f>
        <v> </v>
      </c>
      <c r="I4969" s="26" t="str">
        <f>IF(OR(E4969="",E4969="!!!",F4969="NEW"),"",INDEX(B4968:B$2,-1+SUMPRODUCT(MAX(ROW(E4968:E$2)*(E4969=E4968:E$2)))))</f>
        <v> </v>
      </c>
      <c r="J4969" s="26" t="str">
        <f>IF(OR(E4969="",E4969="!!!",F4969="NEW"),"",COUNTBLANK(OFFSET(A$1,,,SUMPRODUCT(MAX(ROW(E$2:E4969)*(E4969=E$2:E4969)))))-COUNTBLANK(OFFSET(A$1,,,SUMPRODUCT(MAX(ROW(E$1:E4968)*(E2=E$1:E4968))))))</f>
        <v> </v>
      </c>
      <c r="K4969" s="26" t="str">
        <f>IF(OR(E4969="",E4969="!!!",F4969="NEW"),"",INDEX(J$1:J4968,SUMPRODUCT(MAX(ROW(E$1:E4968)*(E4969=E$1:E4968)))))</f>
        <v> </v>
      </c>
      <c r="L4969" s="27"/>
    </row>
    <row r="4970" spans="1:12">
      <c r="A4970" s="20" t="s">
        <v>1436</v>
      </c>
      <c r="E4970" s="22">
        <f>IF(D4970="?OLD","!!!","")</f>
        <v/>
      </c>
      <c r="F4970" s="23" t="str">
        <f>IF(OR(E4970="",E4970="!!!"),"",IF(NOT(ISNA(VLOOKUP(E4970,E$1:E4969,1,FALSE()))),"OLD",IF(AND(E4970&lt;&gt;"",E4970&lt;&gt;"!!!"),"NEW","")))</f>
        <v> </v>
      </c>
      <c r="G4970" s="24" t="str">
        <f>IF(OR(E4970="",E4970="!!!"),"",IF(OR(J4970=0,AND(J4970=1,K4970=1),AND(J4970=1,I4970="SBJ"),AND(J4970=1,I4970=0)),"?IN_FOCUS",IF(J4970&lt;=2,"?ACTIVATED",IF(J4970&lt;&gt;"","?FAMILIAR",IF(F4970="NEW",IF(ISNA(VLOOKUP(E4970,#REF!,1,FALSE())),"?TYPE_IDENTIFIABLE","?REFERENTIAL"),"_")))))</f>
        <v> </v>
      </c>
      <c r="H4970" s="25" t="str">
        <f>IF(J4970&lt;&gt;1,"",IF(I4970="SBJ","CB","?"))</f>
        <v> </v>
      </c>
      <c r="I4970" s="26" t="str">
        <f>IF(OR(E4970="",E4970="!!!",F4970="NEW"),"",INDEX(B4969:B$2,-1+SUMPRODUCT(MAX(ROW(E4969:E$2)*(E4970=E4969:E$2)))))</f>
        <v> </v>
      </c>
      <c r="J4970" s="26" t="str">
        <f>IF(OR(E4970="",E4970="!!!",F4970="NEW"),"",COUNTBLANK(OFFSET(A$1,,,SUMPRODUCT(MAX(ROW(E$2:E4970)*(E4970=E$2:E4970)))))-COUNTBLANK(OFFSET(A$1,,,SUMPRODUCT(MAX(ROW(E$1:E4969)*(E2=E$1:E4969))))))</f>
        <v> </v>
      </c>
      <c r="K4970" s="26" t="str">
        <f>IF(OR(E4970="",E4970="!!!",F4970="NEW"),"",INDEX(J$1:J4969,SUMPRODUCT(MAX(ROW(E$1:E4969)*(E4970=E$1:E4969)))))</f>
        <v> </v>
      </c>
      <c r="L4970" s="27"/>
    </row>
    <row r="4971" spans="1:12">
      <c r="A4971" s="20" t="s">
        <v>1774</v>
      </c>
      <c r="E4971" s="22">
        <f>IF(D4971="?OLD","!!!","")</f>
        <v/>
      </c>
      <c r="F4971" s="23" t="str">
        <f>IF(OR(E4971="",E4971="!!!"),"",IF(NOT(ISNA(VLOOKUP(E4971,E$1:E4970,1,FALSE()))),"OLD",IF(AND(E4971&lt;&gt;"",E4971&lt;&gt;"!!!"),"NEW","")))</f>
        <v> </v>
      </c>
      <c r="G4971" s="24" t="str">
        <f>IF(OR(E4971="",E4971="!!!"),"",IF(OR(J4971=0,AND(J4971=1,K4971=1),AND(J4971=1,I4971="SBJ"),AND(J4971=1,I4971=0)),"?IN_FOCUS",IF(J4971&lt;=2,"?ACTIVATED",IF(J4971&lt;&gt;"","?FAMILIAR",IF(F4971="NEW",IF(ISNA(VLOOKUP(E4971,#REF!,1,FALSE())),"?TYPE_IDENTIFIABLE","?REFERENTIAL"),"_")))))</f>
        <v> </v>
      </c>
      <c r="H4971" s="25" t="str">
        <f>IF(J4971&lt;&gt;1,"",IF(I4971="SBJ","CB","?"))</f>
        <v> </v>
      </c>
      <c r="I4971" s="26" t="str">
        <f>IF(OR(E4971="",E4971="!!!",F4971="NEW"),"",INDEX(B4970:B$2,-1+SUMPRODUCT(MAX(ROW(E4970:E$2)*(E4971=E4970:E$2)))))</f>
        <v> </v>
      </c>
      <c r="J4971" s="26" t="str">
        <f>IF(OR(E4971="",E4971="!!!",F4971="NEW"),"",COUNTBLANK(OFFSET(A$1,,,SUMPRODUCT(MAX(ROW(E$2:E4971)*(E4971=E$2:E4971)))))-COUNTBLANK(OFFSET(A$1,,,SUMPRODUCT(MAX(ROW(E$1:E4970)*(E2=E$1:E4970))))))</f>
        <v> </v>
      </c>
      <c r="K4971" s="26" t="str">
        <f>IF(OR(E4971="",E4971="!!!",F4971="NEW"),"",INDEX(J$1:J4970,SUMPRODUCT(MAX(ROW(E$1:E4970)*(E4971=E$1:E4970)))))</f>
        <v> </v>
      </c>
      <c r="L4971" s="27"/>
    </row>
    <row r="4972" spans="1:12">
      <c r="A4972" s="20" t="s">
        <v>1218</v>
      </c>
      <c r="E4972" s="22">
        <f>IF(D4972="?OLD","!!!","")</f>
        <v/>
      </c>
      <c r="F4972" s="23" t="str">
        <f>IF(OR(E4972="",E4972="!!!"),"",IF(NOT(ISNA(VLOOKUP(E4972,E$1:E4971,1,FALSE()))),"OLD",IF(AND(E4972&lt;&gt;"",E4972&lt;&gt;"!!!"),"NEW","")))</f>
        <v> </v>
      </c>
      <c r="G4972" s="24" t="str">
        <f>IF(OR(E4972="",E4972="!!!"),"",IF(OR(J4972=0,AND(J4972=1,K4972=1),AND(J4972=1,I4972="SBJ"),AND(J4972=1,I4972=0)),"?IN_FOCUS",IF(J4972&lt;=2,"?ACTIVATED",IF(J4972&lt;&gt;"","?FAMILIAR",IF(F4972="NEW",IF(ISNA(VLOOKUP(E4972,#REF!,1,FALSE())),"?TYPE_IDENTIFIABLE","?REFERENTIAL"),"_")))))</f>
        <v> </v>
      </c>
      <c r="H4972" s="25" t="str">
        <f>IF(J4972&lt;&gt;1,"",IF(I4972="SBJ","CB","?"))</f>
        <v> </v>
      </c>
      <c r="I4972" s="26" t="str">
        <f>IF(OR(E4972="",E4972="!!!",F4972="NEW"),"",INDEX(B4971:B$2,-1+SUMPRODUCT(MAX(ROW(E4971:E$2)*(E4972=E4971:E$2)))))</f>
        <v> </v>
      </c>
      <c r="J4972" s="26" t="str">
        <f>IF(OR(E4972="",E4972="!!!",F4972="NEW"),"",COUNTBLANK(OFFSET(A$1,,,SUMPRODUCT(MAX(ROW(E$2:E4972)*(E4972=E$2:E4972)))))-COUNTBLANK(OFFSET(A$1,,,SUMPRODUCT(MAX(ROW(E$1:E4971)*(E2=E$1:E4971))))))</f>
        <v> </v>
      </c>
      <c r="K4972" s="26" t="str">
        <f>IF(OR(E4972="",E4972="!!!",F4972="NEW"),"",INDEX(J$1:J4971,SUMPRODUCT(MAX(ROW(E$1:E4971)*(E4972=E$1:E4971)))))</f>
        <v> </v>
      </c>
      <c r="L4972" s="27"/>
    </row>
    <row r="4973" spans="1:12">
      <c r="A4973" s="20" t="s">
        <v>1266</v>
      </c>
      <c r="E4973" s="22">
        <f>IF(D4973="?OLD","!!!","")</f>
        <v/>
      </c>
      <c r="F4973" s="23" t="str">
        <f>IF(OR(E4973="",E4973="!!!"),"",IF(NOT(ISNA(VLOOKUP(E4973,E$1:E4972,1,FALSE()))),"OLD",IF(AND(E4973&lt;&gt;"",E4973&lt;&gt;"!!!"),"NEW","")))</f>
        <v> </v>
      </c>
      <c r="G4973" s="24" t="str">
        <f>IF(OR(E4973="",E4973="!!!"),"",IF(OR(J4973=0,AND(J4973=1,K4973=1),AND(J4973=1,I4973="SBJ"),AND(J4973=1,I4973=0)),"?IN_FOCUS",IF(J4973&lt;=2,"?ACTIVATED",IF(J4973&lt;&gt;"","?FAMILIAR",IF(F4973="NEW",IF(ISNA(VLOOKUP(E4973,#REF!,1,FALSE())),"?TYPE_IDENTIFIABLE","?REFERENTIAL"),"_")))))</f>
        <v> </v>
      </c>
      <c r="H4973" s="25" t="str">
        <f>IF(J4973&lt;&gt;1,"",IF(I4973="SBJ","CB","?"))</f>
        <v> </v>
      </c>
      <c r="I4973" s="26" t="str">
        <f>IF(OR(E4973="",E4973="!!!",F4973="NEW"),"",INDEX(B4972:B$2,-1+SUMPRODUCT(MAX(ROW(E4972:E$2)*(E4973=E4972:E$2)))))</f>
        <v> </v>
      </c>
      <c r="J4973" s="26" t="str">
        <f>IF(OR(E4973="",E4973="!!!",F4973="NEW"),"",COUNTBLANK(OFFSET(A$1,,,SUMPRODUCT(MAX(ROW(E$2:E4973)*(E4973=E$2:E4973)))))-COUNTBLANK(OFFSET(A$1,,,SUMPRODUCT(MAX(ROW(E$1:E4972)*(E2=E$1:E4972))))))</f>
        <v> </v>
      </c>
      <c r="K4973" s="26" t="str">
        <f>IF(OR(E4973="",E4973="!!!",F4973="NEW"),"",INDEX(J$1:J4972,SUMPRODUCT(MAX(ROW(E$1:E4972)*(E4973=E$1:E4972)))))</f>
        <v> </v>
      </c>
      <c r="L4973" s="27"/>
    </row>
    <row r="4974" spans="1:12">
      <c r="A4974" s="20" t="s">
        <v>2831</v>
      </c>
      <c r="B4974" s="21" t="s">
        <v>1221</v>
      </c>
      <c r="C4974" s="21" t="s">
        <v>1269</v>
      </c>
      <c r="D4974" s="21" t="s">
        <v>1217</v>
      </c>
      <c r="E4974" s="22">
        <f>IF(D4974="?OLD","!!!","")</f>
        <v/>
      </c>
      <c r="F4974" s="23" t="str">
        <f>IF(OR(E4974="",E4974="!!!"),"",IF(NOT(ISNA(VLOOKUP(E4974,E$1:E4973,1,FALSE()))),"OLD",IF(AND(E4974&lt;&gt;"",E4974&lt;&gt;"!!!"),"NEW","")))</f>
        <v> </v>
      </c>
      <c r="G4974" s="24" t="str">
        <f>IF(OR(E4974="",E4974="!!!"),"",IF(OR(J4974=0,AND(J4974=1,K4974=1),AND(J4974=1,I4974="SBJ"),AND(J4974=1,I4974=0)),"?IN_FOCUS",IF(J4974&lt;=2,"?ACTIVATED",IF(J4974&lt;&gt;"","?FAMILIAR",IF(F4974="NEW",IF(ISNA(VLOOKUP(E4974,#REF!,1,FALSE())),"?TYPE_IDENTIFIABLE","?REFERENTIAL"),"_")))))</f>
        <v> </v>
      </c>
      <c r="H4974" s="25" t="str">
        <f>IF(J4974&lt;&gt;1,"",IF(I4974="SBJ","CB","?"))</f>
        <v> </v>
      </c>
      <c r="I4974" s="26" t="str">
        <f>IF(OR(E4974="",E4974="!!!",F4974="NEW"),"",INDEX(B4973:B$2,-1+SUMPRODUCT(MAX(ROW(E4973:E$2)*(E4974=E4973:E$2)))))</f>
        <v> </v>
      </c>
      <c r="J4974" s="26" t="str">
        <f>IF(OR(E4974="",E4974="!!!",F4974="NEW"),"",COUNTBLANK(OFFSET(A$1,,,SUMPRODUCT(MAX(ROW(E$2:E4974)*(E4974=E$2:E4974)))))-COUNTBLANK(OFFSET(A$1,,,SUMPRODUCT(MAX(ROW(E$1:E4973)*(E2=E$1:E4973))))))</f>
        <v> </v>
      </c>
      <c r="K4974" s="26" t="str">
        <f>IF(OR(E4974="",E4974="!!!",F4974="NEW"),"",INDEX(J$1:J4973,SUMPRODUCT(MAX(ROW(E$1:E4973)*(E4974=E$1:E4973)))))</f>
        <v> </v>
      </c>
      <c r="L4974" s="27"/>
    </row>
    <row r="4975" spans="1:12">
      <c r="A4975" s="20" t="s">
        <v>1257</v>
      </c>
      <c r="E4975" s="22">
        <f>IF(D4975="?OLD","!!!","")</f>
        <v/>
      </c>
      <c r="F4975" s="23" t="str">
        <f>IF(OR(E4975="",E4975="!!!"),"",IF(NOT(ISNA(VLOOKUP(E4975,E$1:E4974,1,FALSE()))),"OLD",IF(AND(E4975&lt;&gt;"",E4975&lt;&gt;"!!!"),"NEW","")))</f>
        <v> </v>
      </c>
      <c r="G4975" s="24" t="str">
        <f>IF(OR(E4975="",E4975="!!!"),"",IF(OR(J4975=0,AND(J4975=1,K4975=1),AND(J4975=1,I4975="SBJ"),AND(J4975=1,I4975=0)),"?IN_FOCUS",IF(J4975&lt;=2,"?ACTIVATED",IF(J4975&lt;&gt;"","?FAMILIAR",IF(F4975="NEW",IF(ISNA(VLOOKUP(E4975,#REF!,1,FALSE())),"?TYPE_IDENTIFIABLE","?REFERENTIAL"),"_")))))</f>
        <v> </v>
      </c>
      <c r="H4975" s="25" t="str">
        <f>IF(J4975&lt;&gt;1,"",IF(I4975="SBJ","CB","?"))</f>
        <v> </v>
      </c>
      <c r="I4975" s="26" t="str">
        <f>IF(OR(E4975="",E4975="!!!",F4975="NEW"),"",INDEX(B4974:B$2,-1+SUMPRODUCT(MAX(ROW(E4974:E$2)*(E4975=E4974:E$2)))))</f>
        <v> </v>
      </c>
      <c r="J4975" s="26" t="str">
        <f>IF(OR(E4975="",E4975="!!!",F4975="NEW"),"",COUNTBLANK(OFFSET(A$1,,,SUMPRODUCT(MAX(ROW(E$2:E4975)*(E4975=E$2:E4975)))))-COUNTBLANK(OFFSET(A$1,,,SUMPRODUCT(MAX(ROW(E$1:E4974)*(E2=E$1:E4974))))))</f>
        <v> </v>
      </c>
      <c r="K4975" s="26" t="str">
        <f>IF(OR(E4975="",E4975="!!!",F4975="NEW"),"",INDEX(J$1:J4974,SUMPRODUCT(MAX(ROW(E$1:E4974)*(E4975=E$1:E4974)))))</f>
        <v> </v>
      </c>
      <c r="L4975" s="27"/>
    </row>
    <row r="4976" spans="1:12">
      <c r="A4976" s="20" t="s">
        <v>1273</v>
      </c>
      <c r="E4976" s="22">
        <f>IF(D4976="?OLD","!!!","")</f>
        <v/>
      </c>
      <c r="F4976" s="23" t="str">
        <f>IF(OR(E4976="",E4976="!!!"),"",IF(NOT(ISNA(VLOOKUP(E4976,E$1:E4975,1,FALSE()))),"OLD",IF(AND(E4976&lt;&gt;"",E4976&lt;&gt;"!!!"),"NEW","")))</f>
        <v> </v>
      </c>
      <c r="G4976" s="24" t="str">
        <f>IF(OR(E4976="",E4976="!!!"),"",IF(OR(J4976=0,AND(J4976=1,K4976=1),AND(J4976=1,I4976="SBJ"),AND(J4976=1,I4976=0)),"?IN_FOCUS",IF(J4976&lt;=2,"?ACTIVATED",IF(J4976&lt;&gt;"","?FAMILIAR",IF(F4976="NEW",IF(ISNA(VLOOKUP(E4976,#REF!,1,FALSE())),"?TYPE_IDENTIFIABLE","?REFERENTIAL"),"_")))))</f>
        <v> </v>
      </c>
      <c r="H4976" s="25" t="str">
        <f>IF(J4976&lt;&gt;1,"",IF(I4976="SBJ","CB","?"))</f>
        <v> </v>
      </c>
      <c r="I4976" s="26" t="str">
        <f>IF(OR(E4976="",E4976="!!!",F4976="NEW"),"",INDEX(B4975:B$2,-1+SUMPRODUCT(MAX(ROW(E4975:E$2)*(E4976=E4975:E$2)))))</f>
        <v> </v>
      </c>
      <c r="J4976" s="26" t="str">
        <f>IF(OR(E4976="",E4976="!!!",F4976="NEW"),"",COUNTBLANK(OFFSET(A$1,,,SUMPRODUCT(MAX(ROW(E$2:E4976)*(E4976=E$2:E4976)))))-COUNTBLANK(OFFSET(A$1,,,SUMPRODUCT(MAX(ROW(E$1:E4975)*(E2=E$1:E4975))))))</f>
        <v> </v>
      </c>
      <c r="K4976" s="26" t="str">
        <f>IF(OR(E4976="",E4976="!!!",F4976="NEW"),"",INDEX(J$1:J4975,SUMPRODUCT(MAX(ROW(E$1:E4975)*(E4976=E$1:E4975)))))</f>
        <v> </v>
      </c>
      <c r="L4976" s="27"/>
    </row>
    <row r="4977" spans="1:12">
      <c r="A4977" s="20" t="s">
        <v>2832</v>
      </c>
      <c r="B4977" s="21" t="s">
        <v>1221</v>
      </c>
      <c r="C4977" s="21" t="s">
        <v>1276</v>
      </c>
      <c r="D4977" s="21" t="s">
        <v>1217</v>
      </c>
      <c r="E4977" s="22">
        <f>IF(D4977="?OLD","!!!","")</f>
        <v/>
      </c>
      <c r="F4977" s="23" t="str">
        <f>IF(OR(E4977="",E4977="!!!"),"",IF(NOT(ISNA(VLOOKUP(E4977,E$1:E4976,1,FALSE()))),"OLD",IF(AND(E4977&lt;&gt;"",E4977&lt;&gt;"!!!"),"NEW","")))</f>
        <v> </v>
      </c>
      <c r="G4977" s="24" t="str">
        <f>IF(OR(E4977="",E4977="!!!"),"",IF(OR(J4977=0,AND(J4977=1,K4977=1),AND(J4977=1,I4977="SBJ"),AND(J4977=1,I4977=0)),"?IN_FOCUS",IF(J4977&lt;=2,"?ACTIVATED",IF(J4977&lt;&gt;"","?FAMILIAR",IF(F4977="NEW",IF(ISNA(VLOOKUP(E4977,#REF!,1,FALSE())),"?TYPE_IDENTIFIABLE","?REFERENTIAL"),"_")))))</f>
        <v> </v>
      </c>
      <c r="H4977" s="25" t="str">
        <f>IF(J4977&lt;&gt;1,"",IF(I4977="SBJ","CB","?"))</f>
        <v> </v>
      </c>
      <c r="I4977" s="26" t="str">
        <f>IF(OR(E4977="",E4977="!!!",F4977="NEW"),"",INDEX(B4976:B$2,-1+SUMPRODUCT(MAX(ROW(E4976:E$2)*(E4977=E4976:E$2)))))</f>
        <v> </v>
      </c>
      <c r="J4977" s="26" t="str">
        <f>IF(OR(E4977="",E4977="!!!",F4977="NEW"),"",COUNTBLANK(OFFSET(A$1,,,SUMPRODUCT(MAX(ROW(E$2:E4977)*(E4977=E$2:E4977)))))-COUNTBLANK(OFFSET(A$1,,,SUMPRODUCT(MAX(ROW(E$1:E4976)*(E2=E$1:E4976))))))</f>
        <v> </v>
      </c>
      <c r="K4977" s="26" t="str">
        <f>IF(OR(E4977="",E4977="!!!",F4977="NEW"),"",INDEX(J$1:J4976,SUMPRODUCT(MAX(ROW(E$1:E4976)*(E4977=E$1:E4976)))))</f>
        <v> </v>
      </c>
      <c r="L4977" s="27"/>
    </row>
    <row r="4978" spans="1:12">
      <c r="A4978" s="20" t="s">
        <v>2833</v>
      </c>
      <c r="E4978" s="22">
        <f>IF(D4978="?OLD","!!!","")</f>
        <v/>
      </c>
      <c r="F4978" s="23" t="str">
        <f>IF(OR(E4978="",E4978="!!!"),"",IF(NOT(ISNA(VLOOKUP(E4978,E$1:E4977,1,FALSE()))),"OLD",IF(AND(E4978&lt;&gt;"",E4978&lt;&gt;"!!!"),"NEW","")))</f>
        <v> </v>
      </c>
      <c r="G4978" s="24" t="str">
        <f>IF(OR(E4978="",E4978="!!!"),"",IF(OR(J4978=0,AND(J4978=1,K4978=1),AND(J4978=1,I4978="SBJ"),AND(J4978=1,I4978=0)),"?IN_FOCUS",IF(J4978&lt;=2,"?ACTIVATED",IF(J4978&lt;&gt;"","?FAMILIAR",IF(F4978="NEW",IF(ISNA(VLOOKUP(E4978,#REF!,1,FALSE())),"?TYPE_IDENTIFIABLE","?REFERENTIAL"),"_")))))</f>
        <v> </v>
      </c>
      <c r="H4978" s="25" t="str">
        <f>IF(J4978&lt;&gt;1,"",IF(I4978="SBJ","CB","?"))</f>
        <v> </v>
      </c>
      <c r="I4978" s="26" t="str">
        <f>IF(OR(E4978="",E4978="!!!",F4978="NEW"),"",INDEX(B4977:B$2,-1+SUMPRODUCT(MAX(ROW(E4977:E$2)*(E4978=E4977:E$2)))))</f>
        <v> </v>
      </c>
      <c r="J4978" s="26" t="str">
        <f>IF(OR(E4978="",E4978="!!!",F4978="NEW"),"",COUNTBLANK(OFFSET(A$1,,,SUMPRODUCT(MAX(ROW(E$2:E4978)*(E4978=E$2:E4978)))))-COUNTBLANK(OFFSET(A$1,,,SUMPRODUCT(MAX(ROW(E$1:E4977)*(E2=E$1:E4977))))))</f>
        <v> </v>
      </c>
      <c r="K4978" s="26" t="str">
        <f>IF(OR(E4978="",E4978="!!!",F4978="NEW"),"",INDEX(J$1:J4977,SUMPRODUCT(MAX(ROW(E$1:E4977)*(E4978=E$1:E4977)))))</f>
        <v> </v>
      </c>
      <c r="L4978" s="27"/>
    </row>
    <row r="4979" spans="1:12">
      <c r="A4979" s="20" t="s">
        <v>1277</v>
      </c>
      <c r="E4979" s="22">
        <f>IF(D4979="?OLD","!!!","")</f>
        <v/>
      </c>
      <c r="F4979" s="23" t="str">
        <f>IF(OR(E4979="",E4979="!!!"),"",IF(NOT(ISNA(VLOOKUP(E4979,E$1:E4978,1,FALSE()))),"OLD",IF(AND(E4979&lt;&gt;"",E4979&lt;&gt;"!!!"),"NEW","")))</f>
        <v> </v>
      </c>
      <c r="G4979" s="24" t="str">
        <f>IF(OR(E4979="",E4979="!!!"),"",IF(OR(J4979=0,AND(J4979=1,K4979=1),AND(J4979=1,I4979="SBJ"),AND(J4979=1,I4979=0)),"?IN_FOCUS",IF(J4979&lt;=2,"?ACTIVATED",IF(J4979&lt;&gt;"","?FAMILIAR",IF(F4979="NEW",IF(ISNA(VLOOKUP(E4979,#REF!,1,FALSE())),"?TYPE_IDENTIFIABLE","?REFERENTIAL"),"_")))))</f>
        <v> </v>
      </c>
      <c r="H4979" s="25" t="str">
        <f>IF(J4979&lt;&gt;1,"",IF(I4979="SBJ","CB","?"))</f>
        <v> </v>
      </c>
      <c r="I4979" s="26" t="str">
        <f>IF(OR(E4979="",E4979="!!!",F4979="NEW"),"",INDEX(B4978:B$2,-1+SUMPRODUCT(MAX(ROW(E4978:E$2)*(E4979=E4978:E$2)))))</f>
        <v> </v>
      </c>
      <c r="J4979" s="26" t="str">
        <f>IF(OR(E4979="",E4979="!!!",F4979="NEW"),"",COUNTBLANK(OFFSET(A$1,,,SUMPRODUCT(MAX(ROW(E$2:E4979)*(E4979=E$2:E4979)))))-COUNTBLANK(OFFSET(A$1,,,SUMPRODUCT(MAX(ROW(E$1:E4978)*(E2=E$1:E4978))))))</f>
        <v> </v>
      </c>
      <c r="K4979" s="26" t="str">
        <f>IF(OR(E4979="",E4979="!!!",F4979="NEW"),"",INDEX(J$1:J4978,SUMPRODUCT(MAX(ROW(E$1:E4978)*(E4979=E$1:E4978)))))</f>
        <v> </v>
      </c>
      <c r="L4979" s="27"/>
    </row>
    <row r="4980" spans="1:12">
      <c r="A4980" s="20" t="s">
        <v>2834</v>
      </c>
      <c r="E4980" s="22">
        <f>IF(D4980="?OLD","!!!","")</f>
        <v/>
      </c>
      <c r="F4980" s="23" t="str">
        <f>IF(OR(E4980="",E4980="!!!"),"",IF(NOT(ISNA(VLOOKUP(E4980,E$1:E4979,1,FALSE()))),"OLD",IF(AND(E4980&lt;&gt;"",E4980&lt;&gt;"!!!"),"NEW","")))</f>
        <v> </v>
      </c>
      <c r="G4980" s="24" t="str">
        <f>IF(OR(E4980="",E4980="!!!"),"",IF(OR(J4980=0,AND(J4980=1,K4980=1),AND(J4980=1,I4980="SBJ"),AND(J4980=1,I4980=0)),"?IN_FOCUS",IF(J4980&lt;=2,"?ACTIVATED",IF(J4980&lt;&gt;"","?FAMILIAR",IF(F4980="NEW",IF(ISNA(VLOOKUP(E4980,#REF!,1,FALSE())),"?TYPE_IDENTIFIABLE","?REFERENTIAL"),"_")))))</f>
        <v> </v>
      </c>
      <c r="H4980" s="25" t="str">
        <f>IF(J4980&lt;&gt;1,"",IF(I4980="SBJ","CB","?"))</f>
        <v> </v>
      </c>
      <c r="I4980" s="26" t="str">
        <f>IF(OR(E4980="",E4980="!!!",F4980="NEW"),"",INDEX(B4979:B$2,-1+SUMPRODUCT(MAX(ROW(E4979:E$2)*(E4980=E4979:E$2)))))</f>
        <v> </v>
      </c>
      <c r="J4980" s="26" t="str">
        <f>IF(OR(E4980="",E4980="!!!",F4980="NEW"),"",COUNTBLANK(OFFSET(A$1,,,SUMPRODUCT(MAX(ROW(E$2:E4980)*(E4980=E$2:E4980)))))-COUNTBLANK(OFFSET(A$1,,,SUMPRODUCT(MAX(ROW(E$1:E4979)*(E2=E$1:E4979))))))</f>
        <v> </v>
      </c>
      <c r="K4980" s="26" t="str">
        <f>IF(OR(E4980="",E4980="!!!",F4980="NEW"),"",INDEX(J$1:J4979,SUMPRODUCT(MAX(ROW(E$1:E4979)*(E4980=E$1:E4979)))))</f>
        <v> </v>
      </c>
      <c r="L4980" s="27"/>
    </row>
    <row r="4981" spans="1:12">
      <c r="A4981" s="20" t="s">
        <v>1277</v>
      </c>
      <c r="E4981" s="22">
        <f>IF(D4981="?OLD","!!!","")</f>
        <v/>
      </c>
      <c r="F4981" s="23" t="str">
        <f>IF(OR(E4981="",E4981="!!!"),"",IF(NOT(ISNA(VLOOKUP(E4981,E$1:E4980,1,FALSE()))),"OLD",IF(AND(E4981&lt;&gt;"",E4981&lt;&gt;"!!!"),"NEW","")))</f>
        <v> </v>
      </c>
      <c r="G4981" s="24" t="str">
        <f>IF(OR(E4981="",E4981="!!!"),"",IF(OR(J4981=0,AND(J4981=1,K4981=1),AND(J4981=1,I4981="SBJ"),AND(J4981=1,I4981=0)),"?IN_FOCUS",IF(J4981&lt;=2,"?ACTIVATED",IF(J4981&lt;&gt;"","?FAMILIAR",IF(F4981="NEW",IF(ISNA(VLOOKUP(E4981,#REF!,1,FALSE())),"?TYPE_IDENTIFIABLE","?REFERENTIAL"),"_")))))</f>
        <v> </v>
      </c>
      <c r="H4981" s="25" t="str">
        <f>IF(J4981&lt;&gt;1,"",IF(I4981="SBJ","CB","?"))</f>
        <v> </v>
      </c>
      <c r="I4981" s="26" t="str">
        <f>IF(OR(E4981="",E4981="!!!",F4981="NEW"),"",INDEX(B4980:B$2,-1+SUMPRODUCT(MAX(ROW(E4980:E$2)*(E4981=E4980:E$2)))))</f>
        <v> </v>
      </c>
      <c r="J4981" s="26" t="str">
        <f>IF(OR(E4981="",E4981="!!!",F4981="NEW"),"",COUNTBLANK(OFFSET(A$1,,,SUMPRODUCT(MAX(ROW(E$2:E4981)*(E4981=E$2:E4981)))))-COUNTBLANK(OFFSET(A$1,,,SUMPRODUCT(MAX(ROW(E$1:E4980)*(E2=E$1:E4980))))))</f>
        <v> </v>
      </c>
      <c r="K4981" s="26" t="str">
        <f>IF(OR(E4981="",E4981="!!!",F4981="NEW"),"",INDEX(J$1:J4980,SUMPRODUCT(MAX(ROW(E$1:E4980)*(E4981=E$1:E4980)))))</f>
        <v> </v>
      </c>
      <c r="L4981" s="27"/>
    </row>
    <row r="4982" spans="1:12">
      <c r="A4982" s="20" t="s">
        <v>1251</v>
      </c>
      <c r="B4982" s="21" t="s">
        <v>1252</v>
      </c>
      <c r="E4982" s="22">
        <f>IF(D4982="?OLD","!!!","")</f>
        <v/>
      </c>
      <c r="F4982" s="23" t="str">
        <f>IF(OR(E4982="",E4982="!!!"),"",IF(NOT(ISNA(VLOOKUP(E4982,E$1:E4981,1,FALSE()))),"OLD",IF(AND(E4982&lt;&gt;"",E4982&lt;&gt;"!!!"),"NEW","")))</f>
        <v> </v>
      </c>
      <c r="G4982" s="24" t="str">
        <f>IF(OR(E4982="",E4982="!!!"),"",IF(OR(J4982=0,AND(J4982=1,K4982=1),AND(J4982=1,I4982="SBJ"),AND(J4982=1,I4982=0)),"?IN_FOCUS",IF(J4982&lt;=2,"?ACTIVATED",IF(J4982&lt;&gt;"","?FAMILIAR",IF(F4982="NEW",IF(ISNA(VLOOKUP(E4982,#REF!,1,FALSE())),"?TYPE_IDENTIFIABLE","?REFERENTIAL"),"_")))))</f>
        <v> </v>
      </c>
      <c r="H4982" s="25" t="str">
        <f>IF(J4982&lt;&gt;1,"",IF(I4982="SBJ","CB","?"))</f>
        <v> </v>
      </c>
      <c r="I4982" s="26" t="str">
        <f>IF(OR(E4982="",E4982="!!!",F4982="NEW"),"",INDEX(B4981:B$2,-1+SUMPRODUCT(MAX(ROW(E4981:E$2)*(E4982=E4981:E$2)))))</f>
        <v> </v>
      </c>
      <c r="J4982" s="26" t="str">
        <f>IF(OR(E4982="",E4982="!!!",F4982="NEW"),"",COUNTBLANK(OFFSET(A$1,,,SUMPRODUCT(MAX(ROW(E$2:E4982)*(E4982=E$2:E4982)))))-COUNTBLANK(OFFSET(A$1,,,SUMPRODUCT(MAX(ROW(E$1:E4981)*(E2=E$1:E4981))))))</f>
        <v> </v>
      </c>
      <c r="K4982" s="26" t="str">
        <f>IF(OR(E4982="",E4982="!!!",F4982="NEW"),"",INDEX(J$1:J4981,SUMPRODUCT(MAX(ROW(E$1:E4981)*(E4982=E$1:E4981)))))</f>
        <v> </v>
      </c>
      <c r="L4982" s="27"/>
    </row>
    <row r="4983" spans="1:12">
      <c r="A4983" s="20" t="s">
        <v>2835</v>
      </c>
      <c r="E4983" s="22">
        <f>IF(D4983="?OLD","!!!","")</f>
        <v/>
      </c>
      <c r="F4983" s="23" t="str">
        <f>IF(OR(E4983="",E4983="!!!"),"",IF(NOT(ISNA(VLOOKUP(E4983,E$1:E4982,1,FALSE()))),"OLD",IF(AND(E4983&lt;&gt;"",E4983&lt;&gt;"!!!"),"NEW","")))</f>
        <v> </v>
      </c>
      <c r="G4983" s="24" t="str">
        <f>IF(OR(E4983="",E4983="!!!"),"",IF(OR(J4983=0,AND(J4983=1,K4983=1),AND(J4983=1,I4983="SBJ"),AND(J4983=1,I4983=0)),"?IN_FOCUS",IF(J4983&lt;=2,"?ACTIVATED",IF(J4983&lt;&gt;"","?FAMILIAR",IF(F4983="NEW",IF(ISNA(VLOOKUP(E4983,#REF!,1,FALSE())),"?TYPE_IDENTIFIABLE","?REFERENTIAL"),"_")))))</f>
        <v> </v>
      </c>
      <c r="H4983" s="25" t="str">
        <f>IF(J4983&lt;&gt;1,"",IF(I4983="SBJ","CB","?"))</f>
        <v> </v>
      </c>
      <c r="I4983" s="26" t="str">
        <f>IF(OR(E4983="",E4983="!!!",F4983="NEW"),"",INDEX(B4982:B$2,-1+SUMPRODUCT(MAX(ROW(E4982:E$2)*(E4983=E4982:E$2)))))</f>
        <v> </v>
      </c>
      <c r="J4983" s="26" t="str">
        <f>IF(OR(E4983="",E4983="!!!",F4983="NEW"),"",COUNTBLANK(OFFSET(A$1,,,SUMPRODUCT(MAX(ROW(E$2:E4983)*(E4983=E$2:E4983)))))-COUNTBLANK(OFFSET(A$1,,,SUMPRODUCT(MAX(ROW(E$1:E4982)*(E2=E$1:E4982))))))</f>
        <v> </v>
      </c>
      <c r="K4983" s="26" t="str">
        <f>IF(OR(E4983="",E4983="!!!",F4983="NEW"),"",INDEX(J$1:J4982,SUMPRODUCT(MAX(ROW(E$1:E4982)*(E4983=E$1:E4982)))))</f>
        <v> </v>
      </c>
      <c r="L4983" s="27"/>
    </row>
    <row r="4984" spans="1:12">
      <c r="A4984" s="20" t="s">
        <v>1412</v>
      </c>
      <c r="E4984" s="22">
        <f>IF(D4984="?OLD","!!!","")</f>
        <v/>
      </c>
      <c r="F4984" s="23" t="str">
        <f>IF(OR(E4984="",E4984="!!!"),"",IF(NOT(ISNA(VLOOKUP(E4984,E$1:E4983,1,FALSE()))),"OLD",IF(AND(E4984&lt;&gt;"",E4984&lt;&gt;"!!!"),"NEW","")))</f>
        <v> </v>
      </c>
      <c r="G4984" s="24" t="str">
        <f>IF(OR(E4984="",E4984="!!!"),"",IF(OR(J4984=0,AND(J4984=1,K4984=1),AND(J4984=1,I4984="SBJ"),AND(J4984=1,I4984=0)),"?IN_FOCUS",IF(J4984&lt;=2,"?ACTIVATED",IF(J4984&lt;&gt;"","?FAMILIAR",IF(F4984="NEW",IF(ISNA(VLOOKUP(E4984,#REF!,1,FALSE())),"?TYPE_IDENTIFIABLE","?REFERENTIAL"),"_")))))</f>
        <v> </v>
      </c>
      <c r="H4984" s="25" t="str">
        <f>IF(J4984&lt;&gt;1,"",IF(I4984="SBJ","CB","?"))</f>
        <v> </v>
      </c>
      <c r="I4984" s="26" t="str">
        <f>IF(OR(E4984="",E4984="!!!",F4984="NEW"),"",INDEX(B4983:B$2,-1+SUMPRODUCT(MAX(ROW(E4983:E$2)*(E4984=E4983:E$2)))))</f>
        <v> </v>
      </c>
      <c r="J4984" s="26" t="str">
        <f>IF(OR(E4984="",E4984="!!!",F4984="NEW"),"",COUNTBLANK(OFFSET(A$1,,,SUMPRODUCT(MAX(ROW(E$2:E4984)*(E4984=E$2:E4984)))))-COUNTBLANK(OFFSET(A$1,,,SUMPRODUCT(MAX(ROW(E$1:E4983)*(E2=E$1:E4983))))))</f>
        <v> </v>
      </c>
      <c r="K4984" s="26" t="str">
        <f>IF(OR(E4984="",E4984="!!!",F4984="NEW"),"",INDEX(J$1:J4983,SUMPRODUCT(MAX(ROW(E$1:E4983)*(E4984=E$1:E4983)))))</f>
        <v> </v>
      </c>
      <c r="L4984" s="27"/>
    </row>
    <row r="4985" spans="1:12">
      <c r="A4985" s="20" t="s">
        <v>1323</v>
      </c>
      <c r="E4985" s="22">
        <f>IF(D4985="?OLD","!!!","")</f>
        <v/>
      </c>
      <c r="F4985" s="23" t="str">
        <f>IF(OR(E4985="",E4985="!!!"),"",IF(NOT(ISNA(VLOOKUP(E4985,E$1:E4984,1,FALSE()))),"OLD",IF(AND(E4985&lt;&gt;"",E4985&lt;&gt;"!!!"),"NEW","")))</f>
        <v> </v>
      </c>
      <c r="G4985" s="24" t="str">
        <f>IF(OR(E4985="",E4985="!!!"),"",IF(OR(J4985=0,AND(J4985=1,K4985=1),AND(J4985=1,I4985="SBJ"),AND(J4985=1,I4985=0)),"?IN_FOCUS",IF(J4985&lt;=2,"?ACTIVATED",IF(J4985&lt;&gt;"","?FAMILIAR",IF(F4985="NEW",IF(ISNA(VLOOKUP(E4985,#REF!,1,FALSE())),"?TYPE_IDENTIFIABLE","?REFERENTIAL"),"_")))))</f>
        <v> </v>
      </c>
      <c r="H4985" s="25" t="str">
        <f>IF(J4985&lt;&gt;1,"",IF(I4985="SBJ","CB","?"))</f>
        <v> </v>
      </c>
      <c r="I4985" s="26" t="str">
        <f>IF(OR(E4985="",E4985="!!!",F4985="NEW"),"",INDEX(B4984:B$2,-1+SUMPRODUCT(MAX(ROW(E4984:E$2)*(E4985=E4984:E$2)))))</f>
        <v> </v>
      </c>
      <c r="J4985" s="26" t="str">
        <f>IF(OR(E4985="",E4985="!!!",F4985="NEW"),"",COUNTBLANK(OFFSET(A$1,,,SUMPRODUCT(MAX(ROW(E$2:E4985)*(E4985=E$2:E4985)))))-COUNTBLANK(OFFSET(A$1,,,SUMPRODUCT(MAX(ROW(E$1:E4984)*(E2=E$1:E4984))))))</f>
        <v> </v>
      </c>
      <c r="K4985" s="26" t="str">
        <f>IF(OR(E4985="",E4985="!!!",F4985="NEW"),"",INDEX(J$1:J4984,SUMPRODUCT(MAX(ROW(E$1:E4984)*(E4985=E$1:E4984)))))</f>
        <v> </v>
      </c>
      <c r="L4985" s="27"/>
    </row>
    <row r="4986" spans="1:12">
      <c r="A4986" s="20" t="s">
        <v>2836</v>
      </c>
      <c r="B4986" s="21" t="s">
        <v>1226</v>
      </c>
      <c r="C4986" s="21" t="s">
        <v>1222</v>
      </c>
      <c r="D4986" s="21" t="s">
        <v>1217</v>
      </c>
      <c r="E4986" s="22">
        <f>IF(D4986="?OLD","!!!","")</f>
        <v/>
      </c>
      <c r="F4986" s="23" t="str">
        <f>IF(OR(E4986="",E4986="!!!"),"",IF(NOT(ISNA(VLOOKUP(E4986,E$1:E4985,1,FALSE()))),"OLD",IF(AND(E4986&lt;&gt;"",E4986&lt;&gt;"!!!"),"NEW","")))</f>
        <v> </v>
      </c>
      <c r="G4986" s="24" t="str">
        <f>IF(OR(E4986="",E4986="!!!"),"",IF(OR(J4986=0,AND(J4986=1,K4986=1),AND(J4986=1,I4986="SBJ"),AND(J4986=1,I4986=0)),"?IN_FOCUS",IF(J4986&lt;=2,"?ACTIVATED",IF(J4986&lt;&gt;"","?FAMILIAR",IF(F4986="NEW",IF(ISNA(VLOOKUP(E4986,#REF!,1,FALSE())),"?TYPE_IDENTIFIABLE","?REFERENTIAL"),"_")))))</f>
        <v> </v>
      </c>
      <c r="H4986" s="25" t="str">
        <f>IF(J4986&lt;&gt;1,"",IF(I4986="SBJ","CB","?"))</f>
        <v> </v>
      </c>
      <c r="I4986" s="26" t="str">
        <f>IF(OR(E4986="",E4986="!!!",F4986="NEW"),"",INDEX(B4985:B$2,-1+SUMPRODUCT(MAX(ROW(E4985:E$2)*(E4986=E4985:E$2)))))</f>
        <v> </v>
      </c>
      <c r="J4986" s="26" t="str">
        <f>IF(OR(E4986="",E4986="!!!",F4986="NEW"),"",COUNTBLANK(OFFSET(A$1,,,SUMPRODUCT(MAX(ROW(E$2:E4986)*(E4986=E$2:E4986)))))-COUNTBLANK(OFFSET(A$1,,,SUMPRODUCT(MAX(ROW(E$1:E4985)*(E2=E$1:E4985))))))</f>
        <v> </v>
      </c>
      <c r="K4986" s="26" t="str">
        <f>IF(OR(E4986="",E4986="!!!",F4986="NEW"),"",INDEX(J$1:J4985,SUMPRODUCT(MAX(ROW(E$1:E4985)*(E4986=E$1:E4985)))))</f>
        <v> </v>
      </c>
      <c r="L4986" s="27"/>
    </row>
    <row r="4987" spans="1:12">
      <c r="A4987" s="20" t="s">
        <v>1218</v>
      </c>
      <c r="E4987" s="22">
        <f>IF(D4987="?OLD","!!!","")</f>
        <v/>
      </c>
      <c r="F4987" s="23" t="str">
        <f>IF(OR(E4987="",E4987="!!!"),"",IF(NOT(ISNA(VLOOKUP(E4987,E$1:E4986,1,FALSE()))),"OLD",IF(AND(E4987&lt;&gt;"",E4987&lt;&gt;"!!!"),"NEW","")))</f>
        <v> </v>
      </c>
      <c r="G4987" s="24" t="str">
        <f>IF(OR(E4987="",E4987="!!!"),"",IF(OR(J4987=0,AND(J4987=1,K4987=1),AND(J4987=1,I4987="SBJ"),AND(J4987=1,I4987=0)),"?IN_FOCUS",IF(J4987&lt;=2,"?ACTIVATED",IF(J4987&lt;&gt;"","?FAMILIAR",IF(F4987="NEW",IF(ISNA(VLOOKUP(E4987,#REF!,1,FALSE())),"?TYPE_IDENTIFIABLE","?REFERENTIAL"),"_")))))</f>
        <v> </v>
      </c>
      <c r="H4987" s="25" t="str">
        <f>IF(J4987&lt;&gt;1,"",IF(I4987="SBJ","CB","?"))</f>
        <v> </v>
      </c>
      <c r="I4987" s="26" t="str">
        <f>IF(OR(E4987="",E4987="!!!",F4987="NEW"),"",INDEX(B4986:B$2,-1+SUMPRODUCT(MAX(ROW(E4986:E$2)*(E4987=E4986:E$2)))))</f>
        <v> </v>
      </c>
      <c r="J4987" s="26" t="str">
        <f>IF(OR(E4987="",E4987="!!!",F4987="NEW"),"",COUNTBLANK(OFFSET(A$1,,,SUMPRODUCT(MAX(ROW(E$2:E4987)*(E4987=E$2:E4987)))))-COUNTBLANK(OFFSET(A$1,,,SUMPRODUCT(MAX(ROW(E$1:E4986)*(E2=E$1:E4986))))))</f>
        <v> </v>
      </c>
      <c r="K4987" s="26" t="str">
        <f>IF(OR(E4987="",E4987="!!!",F4987="NEW"),"",INDEX(J$1:J4986,SUMPRODUCT(MAX(ROW(E$1:E4986)*(E4987=E$1:E4986)))))</f>
        <v> </v>
      </c>
      <c r="L4987" s="27"/>
    </row>
    <row r="4988" spans="1:12">
      <c r="A4988" s="20" t="s">
        <v>1409</v>
      </c>
      <c r="B4988" s="21" t="s">
        <v>1259</v>
      </c>
      <c r="C4988" s="21" t="s">
        <v>1242</v>
      </c>
      <c r="D4988" s="21" t="s">
        <v>1217</v>
      </c>
      <c r="E4988" s="22">
        <f>IF(D4988="?OLD","!!!","")</f>
        <v/>
      </c>
      <c r="F4988" s="23" t="str">
        <f>IF(OR(E4988="",E4988="!!!"),"",IF(NOT(ISNA(VLOOKUP(E4988,E$1:E4987,1,FALSE()))),"OLD",IF(AND(E4988&lt;&gt;"",E4988&lt;&gt;"!!!"),"NEW","")))</f>
        <v> </v>
      </c>
      <c r="G4988" s="24" t="str">
        <f>IF(OR(E4988="",E4988="!!!"),"",IF(OR(J4988=0,AND(J4988=1,K4988=1),AND(J4988=1,I4988="SBJ"),AND(J4988=1,I4988=0)),"?IN_FOCUS",IF(J4988&lt;=2,"?ACTIVATED",IF(J4988&lt;&gt;"","?FAMILIAR",IF(F4988="NEW",IF(ISNA(VLOOKUP(E4988,#REF!,1,FALSE())),"?TYPE_IDENTIFIABLE","?REFERENTIAL"),"_")))))</f>
        <v> </v>
      </c>
      <c r="H4988" s="25" t="str">
        <f>IF(J4988&lt;&gt;1,"",IF(I4988="SBJ","CB","?"))</f>
        <v> </v>
      </c>
      <c r="I4988" s="26" t="str">
        <f>IF(OR(E4988="",E4988="!!!",F4988="NEW"),"",INDEX(B4987:B$2,-1+SUMPRODUCT(MAX(ROW(E4987:E$2)*(E4988=E4987:E$2)))))</f>
        <v> </v>
      </c>
      <c r="J4988" s="26" t="str">
        <f>IF(OR(E4988="",E4988="!!!",F4988="NEW"),"",COUNTBLANK(OFFSET(A$1,,,SUMPRODUCT(MAX(ROW(E$2:E4988)*(E4988=E$2:E4988)))))-COUNTBLANK(OFFSET(A$1,,,SUMPRODUCT(MAX(ROW(E$1:E4987)*(E2=E$1:E4987))))))</f>
        <v> </v>
      </c>
      <c r="K4988" s="26" t="str">
        <f>IF(OR(E4988="",E4988="!!!",F4988="NEW"),"",INDEX(J$1:J4987,SUMPRODUCT(MAX(ROW(E$1:E4987)*(E4988=E$1:E4987)))))</f>
        <v> </v>
      </c>
      <c r="L4988" s="27"/>
    </row>
    <row r="4989" spans="1:12">
      <c r="A4989" s="20" t="s">
        <v>1538</v>
      </c>
      <c r="B4989" s="21" t="s">
        <v>1261</v>
      </c>
      <c r="C4989" s="21" t="s">
        <v>1222</v>
      </c>
      <c r="D4989" s="21" t="s">
        <v>1217</v>
      </c>
      <c r="E4989" s="22">
        <f>IF(D4989="?OLD","!!!","")</f>
        <v/>
      </c>
      <c r="F4989" s="23" t="str">
        <f>IF(OR(E4989="",E4989="!!!"),"",IF(NOT(ISNA(VLOOKUP(E4989,E$1:E4988,1,FALSE()))),"OLD",IF(AND(E4989&lt;&gt;"",E4989&lt;&gt;"!!!"),"NEW","")))</f>
        <v> </v>
      </c>
      <c r="G4989" s="24" t="str">
        <f>IF(OR(E4989="",E4989="!!!"),"",IF(OR(J4989=0,AND(J4989=1,K4989=1),AND(J4989=1,I4989="SBJ"),AND(J4989=1,I4989=0)),"?IN_FOCUS",IF(J4989&lt;=2,"?ACTIVATED",IF(J4989&lt;&gt;"","?FAMILIAR",IF(F4989="NEW",IF(ISNA(VLOOKUP(E4989,#REF!,1,FALSE())),"?TYPE_IDENTIFIABLE","?REFERENTIAL"),"_")))))</f>
        <v> </v>
      </c>
      <c r="H4989" s="25" t="str">
        <f>IF(J4989&lt;&gt;1,"",IF(I4989="SBJ","CB","?"))</f>
        <v> </v>
      </c>
      <c r="I4989" s="26" t="str">
        <f>IF(OR(E4989="",E4989="!!!",F4989="NEW"),"",INDEX(B4988:B$2,-1+SUMPRODUCT(MAX(ROW(E4988:E$2)*(E4989=E4988:E$2)))))</f>
        <v> </v>
      </c>
      <c r="J4989" s="26" t="str">
        <f>IF(OR(E4989="",E4989="!!!",F4989="NEW"),"",COUNTBLANK(OFFSET(A$1,,,SUMPRODUCT(MAX(ROW(E$2:E4989)*(E4989=E$2:E4989)))))-COUNTBLANK(OFFSET(A$1,,,SUMPRODUCT(MAX(ROW(E$1:E4988)*(E2=E$1:E4988))))))</f>
        <v> </v>
      </c>
      <c r="K4989" s="26" t="str">
        <f>IF(OR(E4989="",E4989="!!!",F4989="NEW"),"",INDEX(J$1:J4988,SUMPRODUCT(MAX(ROW(E$1:E4988)*(E4989=E$1:E4988)))))</f>
        <v> </v>
      </c>
      <c r="L4989" s="27"/>
    </row>
    <row r="4990" spans="1:12">
      <c r="A4990" s="20" t="s">
        <v>1436</v>
      </c>
      <c r="E4990" s="22">
        <f>IF(D4990="?OLD","!!!","")</f>
        <v/>
      </c>
      <c r="F4990" s="23" t="str">
        <f>IF(OR(E4990="",E4990="!!!"),"",IF(NOT(ISNA(VLOOKUP(E4990,E$1:E4989,1,FALSE()))),"OLD",IF(AND(E4990&lt;&gt;"",E4990&lt;&gt;"!!!"),"NEW","")))</f>
        <v> </v>
      </c>
      <c r="G4990" s="24" t="str">
        <f>IF(OR(E4990="",E4990="!!!"),"",IF(OR(J4990=0,AND(J4990=1,K4990=1),AND(J4990=1,I4990="SBJ"),AND(J4990=1,I4990=0)),"?IN_FOCUS",IF(J4990&lt;=2,"?ACTIVATED",IF(J4990&lt;&gt;"","?FAMILIAR",IF(F4990="NEW",IF(ISNA(VLOOKUP(E4990,#REF!,1,FALSE())),"?TYPE_IDENTIFIABLE","?REFERENTIAL"),"_")))))</f>
        <v> </v>
      </c>
      <c r="H4990" s="25" t="str">
        <f>IF(J4990&lt;&gt;1,"",IF(I4990="SBJ","CB","?"))</f>
        <v> </v>
      </c>
      <c r="I4990" s="26" t="str">
        <f>IF(OR(E4990="",E4990="!!!",F4990="NEW"),"",INDEX(B4989:B$2,-1+SUMPRODUCT(MAX(ROW(E4989:E$2)*(E4990=E4989:E$2)))))</f>
        <v> </v>
      </c>
      <c r="J4990" s="26" t="str">
        <f>IF(OR(E4990="",E4990="!!!",F4990="NEW"),"",COUNTBLANK(OFFSET(A$1,,,SUMPRODUCT(MAX(ROW(E$2:E4990)*(E4990=E$2:E4990)))))-COUNTBLANK(OFFSET(A$1,,,SUMPRODUCT(MAX(ROW(E$1:E4989)*(E2=E$1:E4989))))))</f>
        <v> </v>
      </c>
      <c r="K4990" s="26" t="str">
        <f>IF(OR(E4990="",E4990="!!!",F4990="NEW"),"",INDEX(J$1:J4989,SUMPRODUCT(MAX(ROW(E$1:E4989)*(E4990=E$1:E4989)))))</f>
        <v> </v>
      </c>
      <c r="L4990" s="27"/>
    </row>
    <row r="4991" spans="1:12">
      <c r="A4991" s="20" t="s">
        <v>1245</v>
      </c>
      <c r="E4991" s="22">
        <f>IF(D4991="?OLD","!!!","")</f>
        <v/>
      </c>
      <c r="F4991" s="23" t="str">
        <f>IF(OR(E4991="",E4991="!!!"),"",IF(NOT(ISNA(VLOOKUP(E4991,E$1:E4990,1,FALSE()))),"OLD",IF(AND(E4991&lt;&gt;"",E4991&lt;&gt;"!!!"),"NEW","")))</f>
        <v> </v>
      </c>
      <c r="G4991" s="24" t="str">
        <f>IF(OR(E4991="",E4991="!!!"),"",IF(OR(J4991=0,AND(J4991=1,K4991=1),AND(J4991=1,I4991="SBJ"),AND(J4991=1,I4991=0)),"?IN_FOCUS",IF(J4991&lt;=2,"?ACTIVATED",IF(J4991&lt;&gt;"","?FAMILIAR",IF(F4991="NEW",IF(ISNA(VLOOKUP(E4991,#REF!,1,FALSE())),"?TYPE_IDENTIFIABLE","?REFERENTIAL"),"_")))))</f>
        <v> </v>
      </c>
      <c r="H4991" s="25" t="str">
        <f>IF(J4991&lt;&gt;1,"",IF(I4991="SBJ","CB","?"))</f>
        <v> </v>
      </c>
      <c r="I4991" s="26" t="str">
        <f>IF(OR(E4991="",E4991="!!!",F4991="NEW"),"",INDEX(B4990:B$2,-1+SUMPRODUCT(MAX(ROW(E4990:E$2)*(E4991=E4990:E$2)))))</f>
        <v> </v>
      </c>
      <c r="J4991" s="26" t="str">
        <f>IF(OR(E4991="",E4991="!!!",F4991="NEW"),"",COUNTBLANK(OFFSET(A$1,,,SUMPRODUCT(MAX(ROW(E$2:E4991)*(E4991=E$2:E4991)))))-COUNTBLANK(OFFSET(A$1,,,SUMPRODUCT(MAX(ROW(E$1:E4990)*(E2=E$1:E4990))))))</f>
        <v> </v>
      </c>
      <c r="K4991" s="26" t="str">
        <f>IF(OR(E4991="",E4991="!!!",F4991="NEW"),"",INDEX(J$1:J4990,SUMPRODUCT(MAX(ROW(E$1:E4990)*(E4991=E$1:E4990)))))</f>
        <v> </v>
      </c>
      <c r="L4991" s="27"/>
    </row>
    <row r="4992" spans="1:12">
      <c r="A4992" s="20" t="s">
        <v>2214</v>
      </c>
      <c r="E4992" s="22">
        <f>IF(D4992="?OLD","!!!","")</f>
        <v/>
      </c>
      <c r="F4992" s="23" t="str">
        <f>IF(OR(E4992="",E4992="!!!"),"",IF(NOT(ISNA(VLOOKUP(E4992,E$1:E4991,1,FALSE()))),"OLD",IF(AND(E4992&lt;&gt;"",E4992&lt;&gt;"!!!"),"NEW","")))</f>
        <v> </v>
      </c>
      <c r="G4992" s="24" t="str">
        <f>IF(OR(E4992="",E4992="!!!"),"",IF(OR(J4992=0,AND(J4992=1,K4992=1),AND(J4992=1,I4992="SBJ"),AND(J4992=1,I4992=0)),"?IN_FOCUS",IF(J4992&lt;=2,"?ACTIVATED",IF(J4992&lt;&gt;"","?FAMILIAR",IF(F4992="NEW",IF(ISNA(VLOOKUP(E4992,#REF!,1,FALSE())),"?TYPE_IDENTIFIABLE","?REFERENTIAL"),"_")))))</f>
        <v> </v>
      </c>
      <c r="H4992" s="25" t="str">
        <f>IF(J4992&lt;&gt;1,"",IF(I4992="SBJ","CB","?"))</f>
        <v> </v>
      </c>
      <c r="I4992" s="26" t="str">
        <f>IF(OR(E4992="",E4992="!!!",F4992="NEW"),"",INDEX(B4991:B$2,-1+SUMPRODUCT(MAX(ROW(E4991:E$2)*(E4992=E4991:E$2)))))</f>
        <v> </v>
      </c>
      <c r="J4992" s="26" t="str">
        <f>IF(OR(E4992="",E4992="!!!",F4992="NEW"),"",COUNTBLANK(OFFSET(A$1,,,SUMPRODUCT(MAX(ROW(E$2:E4992)*(E4992=E$2:E4992)))))-COUNTBLANK(OFFSET(A$1,,,SUMPRODUCT(MAX(ROW(E$1:E4991)*(E2=E$1:E4991))))))</f>
        <v> </v>
      </c>
      <c r="K4992" s="26" t="str">
        <f>IF(OR(E4992="",E4992="!!!",F4992="NEW"),"",INDEX(J$1:J4991,SUMPRODUCT(MAX(ROW(E$1:E4991)*(E4992=E$1:E4991)))))</f>
        <v> </v>
      </c>
      <c r="L4992" s="27"/>
    </row>
    <row r="4993" spans="1:12">
      <c r="A4993" s="20" t="s">
        <v>1550</v>
      </c>
      <c r="B4993" s="21" t="s">
        <v>1226</v>
      </c>
      <c r="C4993" s="21" t="s">
        <v>1297</v>
      </c>
      <c r="E4993" s="22">
        <f>IF(D4993="?OLD","!!!","")</f>
        <v/>
      </c>
      <c r="F4993" s="23" t="str">
        <f>IF(OR(E4993="",E4993="!!!"),"",IF(NOT(ISNA(VLOOKUP(E4993,E$1:E4992,1,FALSE()))),"OLD",IF(AND(E4993&lt;&gt;"",E4993&lt;&gt;"!!!"),"NEW","")))</f>
        <v> </v>
      </c>
      <c r="G4993" s="24" t="str">
        <f>IF(OR(E4993="",E4993="!!!"),"",IF(OR(J4993=0,AND(J4993=1,K4993=1),AND(J4993=1,I4993="SBJ"),AND(J4993=1,I4993=0)),"?IN_FOCUS",IF(J4993&lt;=2,"?ACTIVATED",IF(J4993&lt;&gt;"","?FAMILIAR",IF(F4993="NEW",IF(ISNA(VLOOKUP(E4993,#REF!,1,FALSE())),"?TYPE_IDENTIFIABLE","?REFERENTIAL"),"_")))))</f>
        <v> </v>
      </c>
      <c r="H4993" s="25" t="str">
        <f>IF(J4993&lt;&gt;1,"",IF(I4993="SBJ","CB","?"))</f>
        <v> </v>
      </c>
      <c r="I4993" s="26" t="str">
        <f>IF(OR(E4993="",E4993="!!!",F4993="NEW"),"",INDEX(B4992:B$2,-1+SUMPRODUCT(MAX(ROW(E4992:E$2)*(E4993=E4992:E$2)))))</f>
        <v> </v>
      </c>
      <c r="J4993" s="26" t="str">
        <f>IF(OR(E4993="",E4993="!!!",F4993="NEW"),"",COUNTBLANK(OFFSET(A$1,,,SUMPRODUCT(MAX(ROW(E$2:E4993)*(E4993=E$2:E4993)))))-COUNTBLANK(OFFSET(A$1,,,SUMPRODUCT(MAX(ROW(E$1:E4992)*(E2=E$1:E4992))))))</f>
        <v> </v>
      </c>
      <c r="K4993" s="26" t="str">
        <f>IF(OR(E4993="",E4993="!!!",F4993="NEW"),"",INDEX(J$1:J4992,SUMPRODUCT(MAX(ROW(E$1:E4992)*(E4993=E$1:E4992)))))</f>
        <v> </v>
      </c>
      <c r="L4993" s="27"/>
    </row>
    <row r="4994" spans="1:12">
      <c r="A4994" s="20" t="s">
        <v>1218</v>
      </c>
      <c r="E4994" s="22">
        <f>IF(D4994="?OLD","!!!","")</f>
        <v/>
      </c>
      <c r="F4994" s="23" t="str">
        <f>IF(OR(E4994="",E4994="!!!"),"",IF(NOT(ISNA(VLOOKUP(E4994,E$1:E4993,1,FALSE()))),"OLD",IF(AND(E4994&lt;&gt;"",E4994&lt;&gt;"!!!"),"NEW","")))</f>
        <v> </v>
      </c>
      <c r="G4994" s="24" t="str">
        <f>IF(OR(E4994="",E4994="!!!"),"",IF(OR(J4994=0,AND(J4994=1,K4994=1),AND(J4994=1,I4994="SBJ"),AND(J4994=1,I4994=0)),"?IN_FOCUS",IF(J4994&lt;=2,"?ACTIVATED",IF(J4994&lt;&gt;"","?FAMILIAR",IF(F4994="NEW",IF(ISNA(VLOOKUP(E4994,#REF!,1,FALSE())),"?TYPE_IDENTIFIABLE","?REFERENTIAL"),"_")))))</f>
        <v> </v>
      </c>
      <c r="H4994" s="25" t="str">
        <f>IF(J4994&lt;&gt;1,"",IF(I4994="SBJ","CB","?"))</f>
        <v> </v>
      </c>
      <c r="I4994" s="26" t="str">
        <f>IF(OR(E4994="",E4994="!!!",F4994="NEW"),"",INDEX(B4993:B$2,-1+SUMPRODUCT(MAX(ROW(E4993:E$2)*(E4994=E4993:E$2)))))</f>
        <v> </v>
      </c>
      <c r="J4994" s="26" t="str">
        <f>IF(OR(E4994="",E4994="!!!",F4994="NEW"),"",COUNTBLANK(OFFSET(A$1,,,SUMPRODUCT(MAX(ROW(E$2:E4994)*(E4994=E$2:E4994)))))-COUNTBLANK(OFFSET(A$1,,,SUMPRODUCT(MAX(ROW(E$1:E4993)*(E2=E$1:E4993))))))</f>
        <v> </v>
      </c>
      <c r="K4994" s="26" t="str">
        <f>IF(OR(E4994="",E4994="!!!",F4994="NEW"),"",INDEX(J$1:J4993,SUMPRODUCT(MAX(ROW(E$1:E4993)*(E4994=E$1:E4993)))))</f>
        <v> </v>
      </c>
      <c r="L4994" s="27"/>
    </row>
    <row r="4995" spans="1:12">
      <c r="A4995" s="20" t="s">
        <v>2837</v>
      </c>
      <c r="B4995" s="21" t="s">
        <v>1261</v>
      </c>
      <c r="C4995" s="21" t="s">
        <v>1279</v>
      </c>
      <c r="E4995" s="22">
        <f>IF(D4995="?OLD","!!!","")</f>
        <v/>
      </c>
      <c r="F4995" s="23" t="str">
        <f>IF(OR(E4995="",E4995="!!!"),"",IF(NOT(ISNA(VLOOKUP(E4995,E$1:E4994,1,FALSE()))),"OLD",IF(AND(E4995&lt;&gt;"",E4995&lt;&gt;"!!!"),"NEW","")))</f>
        <v> </v>
      </c>
      <c r="G4995" s="24" t="str">
        <f>IF(OR(E4995="",E4995="!!!"),"",IF(OR(J4995=0,AND(J4995=1,K4995=1),AND(J4995=1,I4995="SBJ"),AND(J4995=1,I4995=0)),"?IN_FOCUS",IF(J4995&lt;=2,"?ACTIVATED",IF(J4995&lt;&gt;"","?FAMILIAR",IF(F4995="NEW",IF(ISNA(VLOOKUP(E4995,#REF!,1,FALSE())),"?TYPE_IDENTIFIABLE","?REFERENTIAL"),"_")))))</f>
        <v> </v>
      </c>
      <c r="H4995" s="25" t="str">
        <f>IF(J4995&lt;&gt;1,"",IF(I4995="SBJ","CB","?"))</f>
        <v> </v>
      </c>
      <c r="I4995" s="26" t="str">
        <f>IF(OR(E4995="",E4995="!!!",F4995="NEW"),"",INDEX(B4994:B$2,-1+SUMPRODUCT(MAX(ROW(E4994:E$2)*(E4995=E4994:E$2)))))</f>
        <v> </v>
      </c>
      <c r="J4995" s="26" t="str">
        <f>IF(OR(E4995="",E4995="!!!",F4995="NEW"),"",COUNTBLANK(OFFSET(A$1,,,SUMPRODUCT(MAX(ROW(E$2:E4995)*(E4995=E$2:E4995)))))-COUNTBLANK(OFFSET(A$1,,,SUMPRODUCT(MAX(ROW(E$1:E4994)*(E2=E$1:E4994))))))</f>
        <v> </v>
      </c>
      <c r="K4995" s="26" t="str">
        <f>IF(OR(E4995="",E4995="!!!",F4995="NEW"),"",INDEX(J$1:J4994,SUMPRODUCT(MAX(ROW(E$1:E4994)*(E4995=E$1:E4994)))))</f>
        <v> </v>
      </c>
      <c r="L4995" s="27"/>
    </row>
    <row r="4996" spans="1:12">
      <c r="A4996" s="20" t="s">
        <v>1262</v>
      </c>
      <c r="E4996" s="22">
        <f>IF(D4996="?OLD","!!!","")</f>
        <v/>
      </c>
      <c r="F4996" s="23" t="str">
        <f>IF(OR(E4996="",E4996="!!!"),"",IF(NOT(ISNA(VLOOKUP(E4996,E$1:E4995,1,FALSE()))),"OLD",IF(AND(E4996&lt;&gt;"",E4996&lt;&gt;"!!!"),"NEW","")))</f>
        <v> </v>
      </c>
      <c r="G4996" s="24" t="str">
        <f>IF(OR(E4996="",E4996="!!!"),"",IF(OR(J4996=0,AND(J4996=1,K4996=1),AND(J4996=1,I4996="SBJ"),AND(J4996=1,I4996=0)),"?IN_FOCUS",IF(J4996&lt;=2,"?ACTIVATED",IF(J4996&lt;&gt;"","?FAMILIAR",IF(F4996="NEW",IF(ISNA(VLOOKUP(E4996,#REF!,1,FALSE())),"?TYPE_IDENTIFIABLE","?REFERENTIAL"),"_")))))</f>
        <v> </v>
      </c>
      <c r="H4996" s="25" t="str">
        <f>IF(J4996&lt;&gt;1,"",IF(I4996="SBJ","CB","?"))</f>
        <v> </v>
      </c>
      <c r="I4996" s="26" t="str">
        <f>IF(OR(E4996="",E4996="!!!",F4996="NEW"),"",INDEX(B4995:B$2,-1+SUMPRODUCT(MAX(ROW(E4995:E$2)*(E4996=E4995:E$2)))))</f>
        <v> </v>
      </c>
      <c r="J4996" s="26" t="str">
        <f>IF(OR(E4996="",E4996="!!!",F4996="NEW"),"",COUNTBLANK(OFFSET(A$1,,,SUMPRODUCT(MAX(ROW(E$2:E4996)*(E4996=E$2:E4996)))))-COUNTBLANK(OFFSET(A$1,,,SUMPRODUCT(MAX(ROW(E$1:E4995)*(E2=E$1:E4995))))))</f>
        <v> </v>
      </c>
      <c r="K4996" s="26" t="str">
        <f>IF(OR(E4996="",E4996="!!!",F4996="NEW"),"",INDEX(J$1:J4995,SUMPRODUCT(MAX(ROW(E$1:E4995)*(E4996=E$1:E4995)))))</f>
        <v> </v>
      </c>
      <c r="L4996" s="27"/>
    </row>
    <row r="4997" spans="1:12">
      <c r="A4997" s="20"/>
    </row>
    <row r="4998" spans="1:12">
      <c r="A4998" s="20" t="s">
        <v>2838</v>
      </c>
    </row>
    <row r="4999" spans="1:12">
      <c r="A4999" s="20" t="s">
        <v>2346</v>
      </c>
      <c r="B4999" s="21" t="s">
        <v>1215</v>
      </c>
      <c r="C4999" s="21" t="s">
        <v>1255</v>
      </c>
      <c r="D4999" s="21" t="s">
        <v>1217</v>
      </c>
      <c r="E4999" s="22">
        <f>IF(D4999="?OLD","!!!","")</f>
        <v/>
      </c>
      <c r="F4999" s="23" t="str">
        <f>IF(OR(E4999="",E4999="!!!"),"",IF(NOT(ISNA(VLOOKUP(E4999,E$1:E4998,1,FALSE()))),"OLD",IF(AND(E4999&lt;&gt;"",E4999&lt;&gt;"!!!"),"NEW","")))</f>
        <v> </v>
      </c>
      <c r="G4999" s="24" t="str">
        <f>IF(OR(E4999="",E4999="!!!"),"",IF(OR(J4999=0,AND(J4999=1,K4999=1),AND(J4999=1,I4999="SBJ"),AND(J4999=1,I4999=0)),"?IN_FOCUS",IF(J4999&lt;=2,"?ACTIVATED",IF(J4999&lt;&gt;"","?FAMILIAR",IF(F4999="NEW",IF(ISNA(VLOOKUP(E4999,#REF!,1,FALSE())),"?TYPE_IDENTIFIABLE","?REFERENTIAL"),"_")))))</f>
        <v> </v>
      </c>
      <c r="H4999" s="25" t="str">
        <f>IF(J4999&lt;&gt;1,"",IF(I4999="SBJ","CB","?"))</f>
        <v> </v>
      </c>
      <c r="I4999" s="26" t="str">
        <f>IF(OR(E4999="",E4999="!!!",F4999="NEW"),"",INDEX(B4998:B$2,-1+SUMPRODUCT(MAX(ROW(E4998:E$2)*(E4999=E4998:E$2)))))</f>
        <v> </v>
      </c>
      <c r="J4999" s="26" t="str">
        <f>IF(OR(E4999="",E4999="!!!",F4999="NEW"),"",COUNTBLANK(OFFSET(A$1,,,SUMPRODUCT(MAX(ROW(E$2:E4999)*(E4999=E$2:E4999)))))-COUNTBLANK(OFFSET(A$1,,,SUMPRODUCT(MAX(ROW(E$1:E4998)*(E2=E$1:E4998))))))</f>
        <v> </v>
      </c>
      <c r="K4999" s="26" t="str">
        <f>IF(OR(E4999="",E4999="!!!",F4999="NEW"),"",INDEX(J$1:J4998,SUMPRODUCT(MAX(ROW(E$1:E4998)*(E4999=E$1:E4998)))))</f>
        <v> </v>
      </c>
      <c r="L4999" s="27"/>
    </row>
    <row r="5000" spans="1:12">
      <c r="A5000" s="20" t="s">
        <v>1474</v>
      </c>
      <c r="E5000" s="22">
        <f>IF(D5000="?OLD","!!!","")</f>
        <v/>
      </c>
      <c r="F5000" s="23" t="str">
        <f>IF(OR(E5000="",E5000="!!!"),"",IF(NOT(ISNA(VLOOKUP(E5000,E$1:E4999,1,FALSE()))),"OLD",IF(AND(E5000&lt;&gt;"",E5000&lt;&gt;"!!!"),"NEW","")))</f>
        <v> </v>
      </c>
      <c r="G5000" s="24" t="str">
        <f>IF(OR(E5000="",E5000="!!!"),"",IF(OR(J5000=0,AND(J5000=1,K5000=1),AND(J5000=1,I5000="SBJ"),AND(J5000=1,I5000=0)),"?IN_FOCUS",IF(J5000&lt;=2,"?ACTIVATED",IF(J5000&lt;&gt;"","?FAMILIAR",IF(F5000="NEW",IF(ISNA(VLOOKUP(E5000,#REF!,1,FALSE())),"?TYPE_IDENTIFIABLE","?REFERENTIAL"),"_")))))</f>
        <v> </v>
      </c>
      <c r="H5000" s="25" t="str">
        <f>IF(J5000&lt;&gt;1,"",IF(I5000="SBJ","CB","?"))</f>
        <v> </v>
      </c>
      <c r="I5000" s="26" t="str">
        <f>IF(OR(E5000="",E5000="!!!",F5000="NEW"),"",INDEX(B4999:B$2,-1+SUMPRODUCT(MAX(ROW(E4999:E$2)*(E5000=E4999:E$2)))))</f>
        <v> </v>
      </c>
      <c r="J5000" s="26" t="str">
        <f>IF(OR(E5000="",E5000="!!!",F5000="NEW"),"",COUNTBLANK(OFFSET(A$1,,,SUMPRODUCT(MAX(ROW(E$2:E5000)*(E5000=E$2:E5000)))))-COUNTBLANK(OFFSET(A$1,,,SUMPRODUCT(MAX(ROW(E$1:E4999)*(E2=E$1:E4999))))))</f>
        <v> </v>
      </c>
      <c r="K5000" s="26" t="str">
        <f>IF(OR(E5000="",E5000="!!!",F5000="NEW"),"",INDEX(J$1:J4999,SUMPRODUCT(MAX(ROW(E$1:E4999)*(E5000=E$1:E4999)))))</f>
        <v> </v>
      </c>
      <c r="L5000" s="27"/>
    </row>
    <row r="5001" spans="1:12">
      <c r="A5001" s="20" t="s">
        <v>2839</v>
      </c>
      <c r="E5001" s="22">
        <f>IF(D5001="?OLD","!!!","")</f>
        <v/>
      </c>
      <c r="F5001" s="23" t="str">
        <f>IF(OR(E5001="",E5001="!!!"),"",IF(NOT(ISNA(VLOOKUP(E5001,E$1:E5000,1,FALSE()))),"OLD",IF(AND(E5001&lt;&gt;"",E5001&lt;&gt;"!!!"),"NEW","")))</f>
        <v> </v>
      </c>
      <c r="G5001" s="24" t="str">
        <f>IF(OR(E5001="",E5001="!!!"),"",IF(OR(J5001=0,AND(J5001=1,K5001=1),AND(J5001=1,I5001="SBJ"),AND(J5001=1,I5001=0)),"?IN_FOCUS",IF(J5001&lt;=2,"?ACTIVATED",IF(J5001&lt;&gt;"","?FAMILIAR",IF(F5001="NEW",IF(ISNA(VLOOKUP(E5001,#REF!,1,FALSE())),"?TYPE_IDENTIFIABLE","?REFERENTIAL"),"_")))))</f>
        <v> </v>
      </c>
      <c r="H5001" s="25" t="str">
        <f>IF(J5001&lt;&gt;1,"",IF(I5001="SBJ","CB","?"))</f>
        <v> </v>
      </c>
      <c r="I5001" s="26" t="str">
        <f>IF(OR(E5001="",E5001="!!!",F5001="NEW"),"",INDEX(B5000:B$2,-1+SUMPRODUCT(MAX(ROW(E5000:E$2)*(E5001=E5000:E$2)))))</f>
        <v> </v>
      </c>
      <c r="J5001" s="26" t="str">
        <f>IF(OR(E5001="",E5001="!!!",F5001="NEW"),"",COUNTBLANK(OFFSET(A$1,,,SUMPRODUCT(MAX(ROW(E$2:E5001)*(E5001=E$2:E5001)))))-COUNTBLANK(OFFSET(A$1,,,SUMPRODUCT(MAX(ROW(E$1:E5000)*(E2=E$1:E5000))))))</f>
        <v> </v>
      </c>
      <c r="K5001" s="26" t="str">
        <f>IF(OR(E5001="",E5001="!!!",F5001="NEW"),"",INDEX(J$1:J5000,SUMPRODUCT(MAX(ROW(E$1:E5000)*(E5001=E$1:E5000)))))</f>
        <v> </v>
      </c>
      <c r="L5001" s="27"/>
    </row>
    <row r="5002" spans="1:12">
      <c r="A5002" s="20" t="s">
        <v>1245</v>
      </c>
      <c r="E5002" s="22">
        <f>IF(D5002="?OLD","!!!","")</f>
        <v/>
      </c>
      <c r="F5002" s="23" t="str">
        <f>IF(OR(E5002="",E5002="!!!"),"",IF(NOT(ISNA(VLOOKUP(E5002,E$1:E5001,1,FALSE()))),"OLD",IF(AND(E5002&lt;&gt;"",E5002&lt;&gt;"!!!"),"NEW","")))</f>
        <v> </v>
      </c>
      <c r="G5002" s="24" t="str">
        <f>IF(OR(E5002="",E5002="!!!"),"",IF(OR(J5002=0,AND(J5002=1,K5002=1),AND(J5002=1,I5002="SBJ"),AND(J5002=1,I5002=0)),"?IN_FOCUS",IF(J5002&lt;=2,"?ACTIVATED",IF(J5002&lt;&gt;"","?FAMILIAR",IF(F5002="NEW",IF(ISNA(VLOOKUP(E5002,#REF!,1,FALSE())),"?TYPE_IDENTIFIABLE","?REFERENTIAL"),"_")))))</f>
        <v> </v>
      </c>
      <c r="H5002" s="25" t="str">
        <f>IF(J5002&lt;&gt;1,"",IF(I5002="SBJ","CB","?"))</f>
        <v> </v>
      </c>
      <c r="I5002" s="26" t="str">
        <f>IF(OR(E5002="",E5002="!!!",F5002="NEW"),"",INDEX(B5001:B$2,-1+SUMPRODUCT(MAX(ROW(E5001:E$2)*(E5002=E5001:E$2)))))</f>
        <v> </v>
      </c>
      <c r="J5002" s="26" t="str">
        <f>IF(OR(E5002="",E5002="!!!",F5002="NEW"),"",COUNTBLANK(OFFSET(A$1,,,SUMPRODUCT(MAX(ROW(E$2:E5002)*(E5002=E$2:E5002)))))-COUNTBLANK(OFFSET(A$1,,,SUMPRODUCT(MAX(ROW(E$1:E5001)*(E2=E$1:E5001))))))</f>
        <v> </v>
      </c>
      <c r="K5002" s="26" t="str">
        <f>IF(OR(E5002="",E5002="!!!",F5002="NEW"),"",INDEX(J$1:J5001,SUMPRODUCT(MAX(ROW(E$1:E5001)*(E5002=E$1:E5001)))))</f>
        <v> </v>
      </c>
      <c r="L5002" s="27"/>
    </row>
    <row r="5003" spans="1:12">
      <c r="A5003" s="20" t="s">
        <v>1409</v>
      </c>
      <c r="B5003" s="21" t="s">
        <v>1221</v>
      </c>
      <c r="C5003" s="21" t="s">
        <v>1242</v>
      </c>
      <c r="D5003" s="21" t="s">
        <v>1217</v>
      </c>
      <c r="E5003" s="22">
        <f>IF(D5003="?OLD","!!!","")</f>
        <v/>
      </c>
      <c r="F5003" s="23" t="str">
        <f>IF(OR(E5003="",E5003="!!!"),"",IF(NOT(ISNA(VLOOKUP(E5003,E$1:E5002,1,FALSE()))),"OLD",IF(AND(E5003&lt;&gt;"",E5003&lt;&gt;"!!!"),"NEW","")))</f>
        <v> </v>
      </c>
      <c r="G5003" s="24" t="str">
        <f>IF(OR(E5003="",E5003="!!!"),"",IF(OR(J5003=0,AND(J5003=1,K5003=1),AND(J5003=1,I5003="SBJ"),AND(J5003=1,I5003=0)),"?IN_FOCUS",IF(J5003&lt;=2,"?ACTIVATED",IF(J5003&lt;&gt;"","?FAMILIAR",IF(F5003="NEW",IF(ISNA(VLOOKUP(E5003,#REF!,1,FALSE())),"?TYPE_IDENTIFIABLE","?REFERENTIAL"),"_")))))</f>
        <v> </v>
      </c>
      <c r="H5003" s="25" t="str">
        <f>IF(J5003&lt;&gt;1,"",IF(I5003="SBJ","CB","?"))</f>
        <v> </v>
      </c>
      <c r="I5003" s="26" t="str">
        <f>IF(OR(E5003="",E5003="!!!",F5003="NEW"),"",INDEX(B5002:B$2,-1+SUMPRODUCT(MAX(ROW(E5002:E$2)*(E5003=E5002:E$2)))))</f>
        <v> </v>
      </c>
      <c r="J5003" s="26" t="str">
        <f>IF(OR(E5003="",E5003="!!!",F5003="NEW"),"",COUNTBLANK(OFFSET(A$1,,,SUMPRODUCT(MAX(ROW(E$2:E5003)*(E5003=E$2:E5003)))))-COUNTBLANK(OFFSET(A$1,,,SUMPRODUCT(MAX(ROW(E$1:E5002)*(E2=E$1:E5002))))))</f>
        <v> </v>
      </c>
      <c r="K5003" s="26" t="str">
        <f>IF(OR(E5003="",E5003="!!!",F5003="NEW"),"",INDEX(J$1:J5002,SUMPRODUCT(MAX(ROW(E$1:E5002)*(E5003=E$1:E5002)))))</f>
        <v> </v>
      </c>
      <c r="L5003" s="27"/>
    </row>
    <row r="5004" spans="1:12">
      <c r="A5004" s="20" t="s">
        <v>2840</v>
      </c>
      <c r="B5004" s="21" t="s">
        <v>1244</v>
      </c>
      <c r="C5004" s="21" t="s">
        <v>1222</v>
      </c>
      <c r="D5004" s="21" t="s">
        <v>1217</v>
      </c>
      <c r="E5004" s="22">
        <f>IF(D5004="?OLD","!!!","")</f>
        <v/>
      </c>
      <c r="F5004" s="23" t="str">
        <f>IF(OR(E5004="",E5004="!!!"),"",IF(NOT(ISNA(VLOOKUP(E5004,E$1:E5003,1,FALSE()))),"OLD",IF(AND(E5004&lt;&gt;"",E5004&lt;&gt;"!!!"),"NEW","")))</f>
        <v> </v>
      </c>
      <c r="G5004" s="24" t="str">
        <f>IF(OR(E5004="",E5004="!!!"),"",IF(OR(J5004=0,AND(J5004=1,K5004=1),AND(J5004=1,I5004="SBJ"),AND(J5004=1,I5004=0)),"?IN_FOCUS",IF(J5004&lt;=2,"?ACTIVATED",IF(J5004&lt;&gt;"","?FAMILIAR",IF(F5004="NEW",IF(ISNA(VLOOKUP(E5004,#REF!,1,FALSE())),"?TYPE_IDENTIFIABLE","?REFERENTIAL"),"_")))))</f>
        <v> </v>
      </c>
      <c r="H5004" s="25" t="str">
        <f>IF(J5004&lt;&gt;1,"",IF(I5004="SBJ","CB","?"))</f>
        <v> </v>
      </c>
      <c r="I5004" s="26" t="str">
        <f>IF(OR(E5004="",E5004="!!!",F5004="NEW"),"",INDEX(B5003:B$2,-1+SUMPRODUCT(MAX(ROW(E5003:E$2)*(E5004=E5003:E$2)))))</f>
        <v> </v>
      </c>
      <c r="J5004" s="26" t="str">
        <f>IF(OR(E5004="",E5004="!!!",F5004="NEW"),"",COUNTBLANK(OFFSET(A$1,,,SUMPRODUCT(MAX(ROW(E$2:E5004)*(E5004=E$2:E5004)))))-COUNTBLANK(OFFSET(A$1,,,SUMPRODUCT(MAX(ROW(E$1:E5003)*(E2=E$1:E5003))))))</f>
        <v> </v>
      </c>
      <c r="K5004" s="26" t="str">
        <f>IF(OR(E5004="",E5004="!!!",F5004="NEW"),"",INDEX(J$1:J5003,SUMPRODUCT(MAX(ROW(E$1:E5003)*(E5004=E$1:E5003)))))</f>
        <v> </v>
      </c>
      <c r="L5004" s="27"/>
    </row>
    <row r="5005" spans="1:12">
      <c r="A5005" s="20" t="s">
        <v>1286</v>
      </c>
      <c r="E5005" s="22">
        <f>IF(D5005="?OLD","!!!","")</f>
        <v/>
      </c>
      <c r="F5005" s="23" t="str">
        <f>IF(OR(E5005="",E5005="!!!"),"",IF(NOT(ISNA(VLOOKUP(E5005,E$1:E5004,1,FALSE()))),"OLD",IF(AND(E5005&lt;&gt;"",E5005&lt;&gt;"!!!"),"NEW","")))</f>
        <v> </v>
      </c>
      <c r="G5005" s="24" t="str">
        <f>IF(OR(E5005="",E5005="!!!"),"",IF(OR(J5005=0,AND(J5005=1,K5005=1),AND(J5005=1,I5005="SBJ"),AND(J5005=1,I5005=0)),"?IN_FOCUS",IF(J5005&lt;=2,"?ACTIVATED",IF(J5005&lt;&gt;"","?FAMILIAR",IF(F5005="NEW",IF(ISNA(VLOOKUP(E5005,#REF!,1,FALSE())),"?TYPE_IDENTIFIABLE","?REFERENTIAL"),"_")))))</f>
        <v> </v>
      </c>
      <c r="H5005" s="25" t="str">
        <f>IF(J5005&lt;&gt;1,"",IF(I5005="SBJ","CB","?"))</f>
        <v> </v>
      </c>
      <c r="I5005" s="26" t="str">
        <f>IF(OR(E5005="",E5005="!!!",F5005="NEW"),"",INDEX(B5004:B$2,-1+SUMPRODUCT(MAX(ROW(E5004:E$2)*(E5005=E5004:E$2)))))</f>
        <v> </v>
      </c>
      <c r="J5005" s="26" t="str">
        <f>IF(OR(E5005="",E5005="!!!",F5005="NEW"),"",COUNTBLANK(OFFSET(A$1,,,SUMPRODUCT(MAX(ROW(E$2:E5005)*(E5005=E$2:E5005)))))-COUNTBLANK(OFFSET(A$1,,,SUMPRODUCT(MAX(ROW(E$1:E5004)*(E2=E$1:E5004))))))</f>
        <v> </v>
      </c>
      <c r="K5005" s="26" t="str">
        <f>IF(OR(E5005="",E5005="!!!",F5005="NEW"),"",INDEX(J$1:J5004,SUMPRODUCT(MAX(ROW(E$1:E5004)*(E5005=E$1:E5004)))))</f>
        <v> </v>
      </c>
      <c r="L5005" s="27"/>
    </row>
    <row r="5006" spans="1:12">
      <c r="A5006" s="20" t="s">
        <v>1277</v>
      </c>
      <c r="E5006" s="22">
        <f>IF(D5006="?OLD","!!!","")</f>
        <v/>
      </c>
      <c r="F5006" s="23" t="str">
        <f>IF(OR(E5006="",E5006="!!!"),"",IF(NOT(ISNA(VLOOKUP(E5006,E$1:E5005,1,FALSE()))),"OLD",IF(AND(E5006&lt;&gt;"",E5006&lt;&gt;"!!!"),"NEW","")))</f>
        <v> </v>
      </c>
      <c r="G5006" s="24" t="str">
        <f>IF(OR(E5006="",E5006="!!!"),"",IF(OR(J5006=0,AND(J5006=1,K5006=1),AND(J5006=1,I5006="SBJ"),AND(J5006=1,I5006=0)),"?IN_FOCUS",IF(J5006&lt;=2,"?ACTIVATED",IF(J5006&lt;&gt;"","?FAMILIAR",IF(F5006="NEW",IF(ISNA(VLOOKUP(E5006,#REF!,1,FALSE())),"?TYPE_IDENTIFIABLE","?REFERENTIAL"),"_")))))</f>
        <v> </v>
      </c>
      <c r="H5006" s="25" t="str">
        <f>IF(J5006&lt;&gt;1,"",IF(I5006="SBJ","CB","?"))</f>
        <v> </v>
      </c>
      <c r="I5006" s="26" t="str">
        <f>IF(OR(E5006="",E5006="!!!",F5006="NEW"),"",INDEX(B5005:B$2,-1+SUMPRODUCT(MAX(ROW(E5005:E$2)*(E5006=E5005:E$2)))))</f>
        <v> </v>
      </c>
      <c r="J5006" s="26" t="str">
        <f>IF(OR(E5006="",E5006="!!!",F5006="NEW"),"",COUNTBLANK(OFFSET(A$1,,,SUMPRODUCT(MAX(ROW(E$2:E5006)*(E5006=E$2:E5006)))))-COUNTBLANK(OFFSET(A$1,,,SUMPRODUCT(MAX(ROW(E$1:E5005)*(E2=E$1:E5005))))))</f>
        <v> </v>
      </c>
      <c r="K5006" s="26" t="str">
        <f>IF(OR(E5006="",E5006="!!!",F5006="NEW"),"",INDEX(J$1:J5005,SUMPRODUCT(MAX(ROW(E$1:E5005)*(E5006=E$1:E5005)))))</f>
        <v> </v>
      </c>
      <c r="L5006" s="27"/>
    </row>
    <row r="5007" spans="1:12">
      <c r="A5007" s="20" t="s">
        <v>1365</v>
      </c>
      <c r="E5007" s="22">
        <f>IF(D5007="?OLD","!!!","")</f>
        <v/>
      </c>
      <c r="F5007" s="23" t="str">
        <f>IF(OR(E5007="",E5007="!!!"),"",IF(NOT(ISNA(VLOOKUP(E5007,E$1:E5006,1,FALSE()))),"OLD",IF(AND(E5007&lt;&gt;"",E5007&lt;&gt;"!!!"),"NEW","")))</f>
        <v> </v>
      </c>
      <c r="G5007" s="24" t="str">
        <f>IF(OR(E5007="",E5007="!!!"),"",IF(OR(J5007=0,AND(J5007=1,K5007=1),AND(J5007=1,I5007="SBJ"),AND(J5007=1,I5007=0)),"?IN_FOCUS",IF(J5007&lt;=2,"?ACTIVATED",IF(J5007&lt;&gt;"","?FAMILIAR",IF(F5007="NEW",IF(ISNA(VLOOKUP(E5007,#REF!,1,FALSE())),"?TYPE_IDENTIFIABLE","?REFERENTIAL"),"_")))))</f>
        <v> </v>
      </c>
      <c r="H5007" s="25" t="str">
        <f>IF(J5007&lt;&gt;1,"",IF(I5007="SBJ","CB","?"))</f>
        <v> </v>
      </c>
      <c r="I5007" s="26" t="str">
        <f>IF(OR(E5007="",E5007="!!!",F5007="NEW"),"",INDEX(B5006:B$2,-1+SUMPRODUCT(MAX(ROW(E5006:E$2)*(E5007=E5006:E$2)))))</f>
        <v> </v>
      </c>
      <c r="J5007" s="26" t="str">
        <f>IF(OR(E5007="",E5007="!!!",F5007="NEW"),"",COUNTBLANK(OFFSET(A$1,,,SUMPRODUCT(MAX(ROW(E$2:E5007)*(E5007=E$2:E5007)))))-COUNTBLANK(OFFSET(A$1,,,SUMPRODUCT(MAX(ROW(E$1:E5006)*(E2=E$1:E5006))))))</f>
        <v> </v>
      </c>
      <c r="K5007" s="26" t="str">
        <f>IF(OR(E5007="",E5007="!!!",F5007="NEW"),"",INDEX(J$1:J5006,SUMPRODUCT(MAX(ROW(E$1:E5006)*(E5007=E$1:E5006)))))</f>
        <v> </v>
      </c>
      <c r="L5007" s="27"/>
    </row>
    <row r="5008" spans="1:12">
      <c r="A5008" s="20" t="s">
        <v>1327</v>
      </c>
      <c r="B5008" s="21" t="s">
        <v>1249</v>
      </c>
      <c r="C5008" s="21" t="s">
        <v>1255</v>
      </c>
      <c r="D5008" s="21" t="s">
        <v>1217</v>
      </c>
      <c r="E5008" s="22">
        <f>IF(D5008="?OLD","!!!","")</f>
        <v/>
      </c>
      <c r="F5008" s="23" t="str">
        <f>IF(OR(E5008="",E5008="!!!"),"",IF(NOT(ISNA(VLOOKUP(E5008,E$1:E5007,1,FALSE()))),"OLD",IF(AND(E5008&lt;&gt;"",E5008&lt;&gt;"!!!"),"NEW","")))</f>
        <v> </v>
      </c>
      <c r="G5008" s="24" t="str">
        <f>IF(OR(E5008="",E5008="!!!"),"",IF(OR(J5008=0,AND(J5008=1,K5008=1),AND(J5008=1,I5008="SBJ"),AND(J5008=1,I5008=0)),"?IN_FOCUS",IF(J5008&lt;=2,"?ACTIVATED",IF(J5008&lt;&gt;"","?FAMILIAR",IF(F5008="NEW",IF(ISNA(VLOOKUP(E5008,#REF!,1,FALSE())),"?TYPE_IDENTIFIABLE","?REFERENTIAL"),"_")))))</f>
        <v> </v>
      </c>
      <c r="H5008" s="25" t="str">
        <f>IF(J5008&lt;&gt;1,"",IF(I5008="SBJ","CB","?"))</f>
        <v> </v>
      </c>
      <c r="I5008" s="26" t="str">
        <f>IF(OR(E5008="",E5008="!!!",F5008="NEW"),"",INDEX(B5007:B$2,-1+SUMPRODUCT(MAX(ROW(E5007:E$2)*(E5008=E5007:E$2)))))</f>
        <v> </v>
      </c>
      <c r="J5008" s="26" t="str">
        <f>IF(OR(E5008="",E5008="!!!",F5008="NEW"),"",COUNTBLANK(OFFSET(A$1,,,SUMPRODUCT(MAX(ROW(E$2:E5008)*(E5008=E$2:E5008)))))-COUNTBLANK(OFFSET(A$1,,,SUMPRODUCT(MAX(ROW(E$1:E5007)*(E2=E$1:E5007))))))</f>
        <v> </v>
      </c>
      <c r="K5008" s="26" t="str">
        <f>IF(OR(E5008="",E5008="!!!",F5008="NEW"),"",INDEX(J$1:J5007,SUMPRODUCT(MAX(ROW(E$1:E5007)*(E5008=E$1:E5007)))))</f>
        <v> </v>
      </c>
      <c r="L5008" s="27"/>
    </row>
    <row r="5009" spans="1:12">
      <c r="A5009" s="20" t="s">
        <v>1468</v>
      </c>
      <c r="B5009" s="21" t="s">
        <v>1249</v>
      </c>
      <c r="C5009" s="21" t="s">
        <v>1216</v>
      </c>
      <c r="D5009" s="21" t="s">
        <v>1217</v>
      </c>
      <c r="E5009" s="22">
        <f>IF(D5009="?OLD","!!!","")</f>
        <v/>
      </c>
      <c r="F5009" s="23" t="str">
        <f>IF(OR(E5009="",E5009="!!!"),"",IF(NOT(ISNA(VLOOKUP(E5009,E$1:E5008,1,FALSE()))),"OLD",IF(AND(E5009&lt;&gt;"",E5009&lt;&gt;"!!!"),"NEW","")))</f>
        <v> </v>
      </c>
      <c r="G5009" s="24" t="str">
        <f>IF(OR(E5009="",E5009="!!!"),"",IF(OR(J5009=0,AND(J5009=1,K5009=1),AND(J5009=1,I5009="SBJ"),AND(J5009=1,I5009=0)),"?IN_FOCUS",IF(J5009&lt;=2,"?ACTIVATED",IF(J5009&lt;&gt;"","?FAMILIAR",IF(F5009="NEW",IF(ISNA(VLOOKUP(E5009,#REF!,1,FALSE())),"?TYPE_IDENTIFIABLE","?REFERENTIAL"),"_")))))</f>
        <v> </v>
      </c>
      <c r="H5009" s="25" t="str">
        <f>IF(J5009&lt;&gt;1,"",IF(I5009="SBJ","CB","?"))</f>
        <v> </v>
      </c>
      <c r="I5009" s="26" t="str">
        <f>IF(OR(E5009="",E5009="!!!",F5009="NEW"),"",INDEX(B5008:B$2,-1+SUMPRODUCT(MAX(ROW(E5008:E$2)*(E5009=E5008:E$2)))))</f>
        <v> </v>
      </c>
      <c r="J5009" s="26" t="str">
        <f>IF(OR(E5009="",E5009="!!!",F5009="NEW"),"",COUNTBLANK(OFFSET(A$1,,,SUMPRODUCT(MAX(ROW(E$2:E5009)*(E5009=E$2:E5009)))))-COUNTBLANK(OFFSET(A$1,,,SUMPRODUCT(MAX(ROW(E$1:E5008)*(E2=E$1:E5008))))))</f>
        <v> </v>
      </c>
      <c r="K5009" s="26" t="str">
        <f>IF(OR(E5009="",E5009="!!!",F5009="NEW"),"",INDEX(J$1:J5008,SUMPRODUCT(MAX(ROW(E$1:E5008)*(E5009=E$1:E5008)))))</f>
        <v> </v>
      </c>
      <c r="L5009" s="27"/>
    </row>
    <row r="5010" spans="1:12">
      <c r="A5010" s="20" t="s">
        <v>2841</v>
      </c>
      <c r="E5010" s="22">
        <f>IF(D5010="?OLD","!!!","")</f>
        <v/>
      </c>
      <c r="F5010" s="23" t="str">
        <f>IF(OR(E5010="",E5010="!!!"),"",IF(NOT(ISNA(VLOOKUP(E5010,E$1:E5009,1,FALSE()))),"OLD",IF(AND(E5010&lt;&gt;"",E5010&lt;&gt;"!!!"),"NEW","")))</f>
        <v> </v>
      </c>
      <c r="G5010" s="24" t="str">
        <f>IF(OR(E5010="",E5010="!!!"),"",IF(OR(J5010=0,AND(J5010=1,K5010=1),AND(J5010=1,I5010="SBJ"),AND(J5010=1,I5010=0)),"?IN_FOCUS",IF(J5010&lt;=2,"?ACTIVATED",IF(J5010&lt;&gt;"","?FAMILIAR",IF(F5010="NEW",IF(ISNA(VLOOKUP(E5010,#REF!,1,FALSE())),"?TYPE_IDENTIFIABLE","?REFERENTIAL"),"_")))))</f>
        <v> </v>
      </c>
      <c r="H5010" s="25" t="str">
        <f>IF(J5010&lt;&gt;1,"",IF(I5010="SBJ","CB","?"))</f>
        <v> </v>
      </c>
      <c r="I5010" s="26" t="str">
        <f>IF(OR(E5010="",E5010="!!!",F5010="NEW"),"",INDEX(B5009:B$2,-1+SUMPRODUCT(MAX(ROW(E5009:E$2)*(E5010=E5009:E$2)))))</f>
        <v> </v>
      </c>
      <c r="J5010" s="26" t="str">
        <f>IF(OR(E5010="",E5010="!!!",F5010="NEW"),"",COUNTBLANK(OFFSET(A$1,,,SUMPRODUCT(MAX(ROW(E$2:E5010)*(E5010=E$2:E5010)))))-COUNTBLANK(OFFSET(A$1,,,SUMPRODUCT(MAX(ROW(E$1:E5009)*(E2=E$1:E5009))))))</f>
        <v> </v>
      </c>
      <c r="K5010" s="26" t="str">
        <f>IF(OR(E5010="",E5010="!!!",F5010="NEW"),"",INDEX(J$1:J5009,SUMPRODUCT(MAX(ROW(E$1:E5009)*(E5010=E$1:E5009)))))</f>
        <v> </v>
      </c>
      <c r="L5010" s="27"/>
    </row>
    <row r="5011" spans="1:12">
      <c r="A5011" s="20" t="s">
        <v>1277</v>
      </c>
      <c r="E5011" s="22">
        <f>IF(D5011="?OLD","!!!","")</f>
        <v/>
      </c>
      <c r="F5011" s="23" t="str">
        <f>IF(OR(E5011="",E5011="!!!"),"",IF(NOT(ISNA(VLOOKUP(E5011,E$1:E5010,1,FALSE()))),"OLD",IF(AND(E5011&lt;&gt;"",E5011&lt;&gt;"!!!"),"NEW","")))</f>
        <v> </v>
      </c>
      <c r="G5011" s="24" t="str">
        <f>IF(OR(E5011="",E5011="!!!"),"",IF(OR(J5011=0,AND(J5011=1,K5011=1),AND(J5011=1,I5011="SBJ"),AND(J5011=1,I5011=0)),"?IN_FOCUS",IF(J5011&lt;=2,"?ACTIVATED",IF(J5011&lt;&gt;"","?FAMILIAR",IF(F5011="NEW",IF(ISNA(VLOOKUP(E5011,#REF!,1,FALSE())),"?TYPE_IDENTIFIABLE","?REFERENTIAL"),"_")))))</f>
        <v> </v>
      </c>
      <c r="H5011" s="25" t="str">
        <f>IF(J5011&lt;&gt;1,"",IF(I5011="SBJ","CB","?"))</f>
        <v> </v>
      </c>
      <c r="I5011" s="26" t="str">
        <f>IF(OR(E5011="",E5011="!!!",F5011="NEW"),"",INDEX(B5010:B$2,-1+SUMPRODUCT(MAX(ROW(E5010:E$2)*(E5011=E5010:E$2)))))</f>
        <v> </v>
      </c>
      <c r="J5011" s="26" t="str">
        <f>IF(OR(E5011="",E5011="!!!",F5011="NEW"),"",COUNTBLANK(OFFSET(A$1,,,SUMPRODUCT(MAX(ROW(E$2:E5011)*(E5011=E$2:E5011)))))-COUNTBLANK(OFFSET(A$1,,,SUMPRODUCT(MAX(ROW(E$1:E5010)*(E2=E$1:E5010))))))</f>
        <v> </v>
      </c>
      <c r="K5011" s="26" t="str">
        <f>IF(OR(E5011="",E5011="!!!",F5011="NEW"),"",INDEX(J$1:J5010,SUMPRODUCT(MAX(ROW(E$1:E5010)*(E5011=E$1:E5010)))))</f>
        <v> </v>
      </c>
      <c r="L5011" s="27"/>
    </row>
    <row r="5012" spans="1:12">
      <c r="A5012" s="20" t="s">
        <v>1230</v>
      </c>
      <c r="B5012" s="21" t="s">
        <v>1283</v>
      </c>
      <c r="C5012" s="21" t="s">
        <v>1216</v>
      </c>
      <c r="D5012" s="21" t="s">
        <v>1217</v>
      </c>
      <c r="E5012" s="22">
        <f>IF(D5012="?OLD","!!!","")</f>
        <v/>
      </c>
      <c r="F5012" s="23" t="str">
        <f>IF(OR(E5012="",E5012="!!!"),"",IF(NOT(ISNA(VLOOKUP(E5012,E$1:E5011,1,FALSE()))),"OLD",IF(AND(E5012&lt;&gt;"",E5012&lt;&gt;"!!!"),"NEW","")))</f>
        <v> </v>
      </c>
      <c r="G5012" s="24" t="str">
        <f>IF(OR(E5012="",E5012="!!!"),"",IF(OR(J5012=0,AND(J5012=1,K5012=1),AND(J5012=1,I5012="SBJ"),AND(J5012=1,I5012=0)),"?IN_FOCUS",IF(J5012&lt;=2,"?ACTIVATED",IF(J5012&lt;&gt;"","?FAMILIAR",IF(F5012="NEW",IF(ISNA(VLOOKUP(E5012,#REF!,1,FALSE())),"?TYPE_IDENTIFIABLE","?REFERENTIAL"),"_")))))</f>
        <v> </v>
      </c>
      <c r="H5012" s="25" t="str">
        <f>IF(J5012&lt;&gt;1,"",IF(I5012="SBJ","CB","?"))</f>
        <v> </v>
      </c>
      <c r="I5012" s="26" t="str">
        <f>IF(OR(E5012="",E5012="!!!",F5012="NEW"),"",INDEX(B5011:B$2,-1+SUMPRODUCT(MAX(ROW(E5011:E$2)*(E5012=E5011:E$2)))))</f>
        <v> </v>
      </c>
      <c r="J5012" s="26" t="str">
        <f>IF(OR(E5012="",E5012="!!!",F5012="NEW"),"",COUNTBLANK(OFFSET(A$1,,,SUMPRODUCT(MAX(ROW(E$2:E5012)*(E5012=E$2:E5012)))))-COUNTBLANK(OFFSET(A$1,,,SUMPRODUCT(MAX(ROW(E$1:E5011)*(E2=E$1:E5011))))))</f>
        <v> </v>
      </c>
      <c r="K5012" s="26" t="str">
        <f>IF(OR(E5012="",E5012="!!!",F5012="NEW"),"",INDEX(J$1:J5011,SUMPRODUCT(MAX(ROW(E$1:E5011)*(E5012=E$1:E5011)))))</f>
        <v> </v>
      </c>
      <c r="L5012" s="27"/>
    </row>
    <row r="5013" spans="1:12">
      <c r="A5013" s="20" t="s">
        <v>2673</v>
      </c>
      <c r="E5013" s="22">
        <f>IF(D5013="?OLD","!!!","")</f>
        <v/>
      </c>
      <c r="F5013" s="23" t="str">
        <f>IF(OR(E5013="",E5013="!!!"),"",IF(NOT(ISNA(VLOOKUP(E5013,E$1:E5012,1,FALSE()))),"OLD",IF(AND(E5013&lt;&gt;"",E5013&lt;&gt;"!!!"),"NEW","")))</f>
        <v> </v>
      </c>
      <c r="G5013" s="24" t="str">
        <f>IF(OR(E5013="",E5013="!!!"),"",IF(OR(J5013=0,AND(J5013=1,K5013=1),AND(J5013=1,I5013="SBJ"),AND(J5013=1,I5013=0)),"?IN_FOCUS",IF(J5013&lt;=2,"?ACTIVATED",IF(J5013&lt;&gt;"","?FAMILIAR",IF(F5013="NEW",IF(ISNA(VLOOKUP(E5013,#REF!,1,FALSE())),"?TYPE_IDENTIFIABLE","?REFERENTIAL"),"_")))))</f>
        <v> </v>
      </c>
      <c r="H5013" s="25" t="str">
        <f>IF(J5013&lt;&gt;1,"",IF(I5013="SBJ","CB","?"))</f>
        <v> </v>
      </c>
      <c r="I5013" s="26" t="str">
        <f>IF(OR(E5013="",E5013="!!!",F5013="NEW"),"",INDEX(B5012:B$2,-1+SUMPRODUCT(MAX(ROW(E5012:E$2)*(E5013=E5012:E$2)))))</f>
        <v> </v>
      </c>
      <c r="J5013" s="26" t="str">
        <f>IF(OR(E5013="",E5013="!!!",F5013="NEW"),"",COUNTBLANK(OFFSET(A$1,,,SUMPRODUCT(MAX(ROW(E$2:E5013)*(E5013=E$2:E5013)))))-COUNTBLANK(OFFSET(A$1,,,SUMPRODUCT(MAX(ROW(E$1:E5012)*(E2=E$1:E5012))))))</f>
        <v> </v>
      </c>
      <c r="K5013" s="26" t="str">
        <f>IF(OR(E5013="",E5013="!!!",F5013="NEW"),"",INDEX(J$1:J5012,SUMPRODUCT(MAX(ROW(E$1:E5012)*(E5013=E$1:E5012)))))</f>
        <v> </v>
      </c>
      <c r="L5013" s="27"/>
    </row>
    <row r="5014" spans="1:12">
      <c r="A5014" s="20" t="s">
        <v>1351</v>
      </c>
      <c r="E5014" s="22">
        <f>IF(D5014="?OLD","!!!","")</f>
        <v/>
      </c>
      <c r="F5014" s="23" t="str">
        <f>IF(OR(E5014="",E5014="!!!"),"",IF(NOT(ISNA(VLOOKUP(E5014,E$1:E5013,1,FALSE()))),"OLD",IF(AND(E5014&lt;&gt;"",E5014&lt;&gt;"!!!"),"NEW","")))</f>
        <v> </v>
      </c>
      <c r="G5014" s="24" t="str">
        <f>IF(OR(E5014="",E5014="!!!"),"",IF(OR(J5014=0,AND(J5014=1,K5014=1),AND(J5014=1,I5014="SBJ"),AND(J5014=1,I5014=0)),"?IN_FOCUS",IF(J5014&lt;=2,"?ACTIVATED",IF(J5014&lt;&gt;"","?FAMILIAR",IF(F5014="NEW",IF(ISNA(VLOOKUP(E5014,#REF!,1,FALSE())),"?TYPE_IDENTIFIABLE","?REFERENTIAL"),"_")))))</f>
        <v> </v>
      </c>
      <c r="H5014" s="25" t="str">
        <f>IF(J5014&lt;&gt;1,"",IF(I5014="SBJ","CB","?"))</f>
        <v> </v>
      </c>
      <c r="I5014" s="26" t="str">
        <f>IF(OR(E5014="",E5014="!!!",F5014="NEW"),"",INDEX(B5013:B$2,-1+SUMPRODUCT(MAX(ROW(E5013:E$2)*(E5014=E5013:E$2)))))</f>
        <v> </v>
      </c>
      <c r="J5014" s="26" t="str">
        <f>IF(OR(E5014="",E5014="!!!",F5014="NEW"),"",COUNTBLANK(OFFSET(A$1,,,SUMPRODUCT(MAX(ROW(E$2:E5014)*(E5014=E$2:E5014)))))-COUNTBLANK(OFFSET(A$1,,,SUMPRODUCT(MAX(ROW(E$1:E5013)*(E2=E$1:E5013))))))</f>
        <v> </v>
      </c>
      <c r="K5014" s="26" t="str">
        <f>IF(OR(E5014="",E5014="!!!",F5014="NEW"),"",INDEX(J$1:J5013,SUMPRODUCT(MAX(ROW(E$1:E5013)*(E5014=E$1:E5013)))))</f>
        <v> </v>
      </c>
      <c r="L5014" s="27"/>
    </row>
    <row r="5015" spans="1:12">
      <c r="A5015" s="20" t="s">
        <v>1358</v>
      </c>
      <c r="E5015" s="22">
        <f>IF(D5015="?OLD","!!!","")</f>
        <v/>
      </c>
      <c r="F5015" s="23" t="str">
        <f>IF(OR(E5015="",E5015="!!!"),"",IF(NOT(ISNA(VLOOKUP(E5015,E$1:E5014,1,FALSE()))),"OLD",IF(AND(E5015&lt;&gt;"",E5015&lt;&gt;"!!!"),"NEW","")))</f>
        <v> </v>
      </c>
      <c r="G5015" s="24" t="str">
        <f>IF(OR(E5015="",E5015="!!!"),"",IF(OR(J5015=0,AND(J5015=1,K5015=1),AND(J5015=1,I5015="SBJ"),AND(J5015=1,I5015=0)),"?IN_FOCUS",IF(J5015&lt;=2,"?ACTIVATED",IF(J5015&lt;&gt;"","?FAMILIAR",IF(F5015="NEW",IF(ISNA(VLOOKUP(E5015,#REF!,1,FALSE())),"?TYPE_IDENTIFIABLE","?REFERENTIAL"),"_")))))</f>
        <v> </v>
      </c>
      <c r="H5015" s="25" t="str">
        <f>IF(J5015&lt;&gt;1,"",IF(I5015="SBJ","CB","?"))</f>
        <v> </v>
      </c>
      <c r="I5015" s="26" t="str">
        <f>IF(OR(E5015="",E5015="!!!",F5015="NEW"),"",INDEX(B5014:B$2,-1+SUMPRODUCT(MAX(ROW(E5014:E$2)*(E5015=E5014:E$2)))))</f>
        <v> </v>
      </c>
      <c r="J5015" s="26" t="str">
        <f>IF(OR(E5015="",E5015="!!!",F5015="NEW"),"",COUNTBLANK(OFFSET(A$1,,,SUMPRODUCT(MAX(ROW(E$2:E5015)*(E5015=E$2:E5015)))))-COUNTBLANK(OFFSET(A$1,,,SUMPRODUCT(MAX(ROW(E$1:E5014)*(E2=E$1:E5014))))))</f>
        <v> </v>
      </c>
      <c r="K5015" s="26" t="str">
        <f>IF(OR(E5015="",E5015="!!!",F5015="NEW"),"",INDEX(J$1:J5014,SUMPRODUCT(MAX(ROW(E$1:E5014)*(E5015=E$1:E5014)))))</f>
        <v> </v>
      </c>
      <c r="L5015" s="27"/>
    </row>
    <row r="5016" spans="1:12">
      <c r="A5016" s="20" t="s">
        <v>1471</v>
      </c>
      <c r="E5016" s="22">
        <f>IF(D5016="?OLD","!!!","")</f>
        <v/>
      </c>
      <c r="F5016" s="23" t="str">
        <f>IF(OR(E5016="",E5016="!!!"),"",IF(NOT(ISNA(VLOOKUP(E5016,E$1:E5015,1,FALSE()))),"OLD",IF(AND(E5016&lt;&gt;"",E5016&lt;&gt;"!!!"),"NEW","")))</f>
        <v> </v>
      </c>
      <c r="G5016" s="24" t="str">
        <f>IF(OR(E5016="",E5016="!!!"),"",IF(OR(J5016=0,AND(J5016=1,K5016=1),AND(J5016=1,I5016="SBJ"),AND(J5016=1,I5016=0)),"?IN_FOCUS",IF(J5016&lt;=2,"?ACTIVATED",IF(J5016&lt;&gt;"","?FAMILIAR",IF(F5016="NEW",IF(ISNA(VLOOKUP(E5016,#REF!,1,FALSE())),"?TYPE_IDENTIFIABLE","?REFERENTIAL"),"_")))))</f>
        <v> </v>
      </c>
      <c r="H5016" s="25" t="str">
        <f>IF(J5016&lt;&gt;1,"",IF(I5016="SBJ","CB","?"))</f>
        <v> </v>
      </c>
      <c r="I5016" s="26" t="str">
        <f>IF(OR(E5016="",E5016="!!!",F5016="NEW"),"",INDEX(B5015:B$2,-1+SUMPRODUCT(MAX(ROW(E5015:E$2)*(E5016=E5015:E$2)))))</f>
        <v> </v>
      </c>
      <c r="J5016" s="26" t="str">
        <f>IF(OR(E5016="",E5016="!!!",F5016="NEW"),"",COUNTBLANK(OFFSET(A$1,,,SUMPRODUCT(MAX(ROW(E$2:E5016)*(E5016=E$2:E5016)))))-COUNTBLANK(OFFSET(A$1,,,SUMPRODUCT(MAX(ROW(E$1:E5015)*(E2=E$1:E5015))))))</f>
        <v> </v>
      </c>
      <c r="K5016" s="26" t="str">
        <f>IF(OR(E5016="",E5016="!!!",F5016="NEW"),"",INDEX(J$1:J5015,SUMPRODUCT(MAX(ROW(E$1:E5015)*(E5016=E$1:E5015)))))</f>
        <v> </v>
      </c>
      <c r="L5016" s="27"/>
    </row>
    <row r="5017" spans="1:12">
      <c r="A5017" s="20" t="s">
        <v>1938</v>
      </c>
      <c r="B5017" s="21" t="s">
        <v>1252</v>
      </c>
      <c r="C5017" s="21" t="s">
        <v>1238</v>
      </c>
      <c r="E5017" s="22">
        <f>IF(D5017="?OLD","!!!","")</f>
        <v/>
      </c>
      <c r="F5017" s="23" t="str">
        <f>IF(OR(E5017="",E5017="!!!"),"",IF(NOT(ISNA(VLOOKUP(E5017,E$1:E5016,1,FALSE()))),"OLD",IF(AND(E5017&lt;&gt;"",E5017&lt;&gt;"!!!"),"NEW","")))</f>
        <v> </v>
      </c>
      <c r="G5017" s="24" t="str">
        <f>IF(OR(E5017="",E5017="!!!"),"",IF(OR(J5017=0,AND(J5017=1,K5017=1),AND(J5017=1,I5017="SBJ"),AND(J5017=1,I5017=0)),"?IN_FOCUS",IF(J5017&lt;=2,"?ACTIVATED",IF(J5017&lt;&gt;"","?FAMILIAR",IF(F5017="NEW",IF(ISNA(VLOOKUP(E5017,#REF!,1,FALSE())),"?TYPE_IDENTIFIABLE","?REFERENTIAL"),"_")))))</f>
        <v> </v>
      </c>
      <c r="H5017" s="25" t="str">
        <f>IF(J5017&lt;&gt;1,"",IF(I5017="SBJ","CB","?"))</f>
        <v> </v>
      </c>
      <c r="I5017" s="26" t="str">
        <f>IF(OR(E5017="",E5017="!!!",F5017="NEW"),"",INDEX(B5016:B$2,-1+SUMPRODUCT(MAX(ROW(E5016:E$2)*(E5017=E5016:E$2)))))</f>
        <v> </v>
      </c>
      <c r="J5017" s="26" t="str">
        <f>IF(OR(E5017="",E5017="!!!",F5017="NEW"),"",COUNTBLANK(OFFSET(A$1,,,SUMPRODUCT(MAX(ROW(E$2:E5017)*(E5017=E$2:E5017)))))-COUNTBLANK(OFFSET(A$1,,,SUMPRODUCT(MAX(ROW(E$1:E5016)*(E2=E$1:E5016))))))</f>
        <v> </v>
      </c>
      <c r="K5017" s="26" t="str">
        <f>IF(OR(E5017="",E5017="!!!",F5017="NEW"),"",INDEX(J$1:J5016,SUMPRODUCT(MAX(ROW(E$1:E5016)*(E5017=E$1:E5016)))))</f>
        <v> </v>
      </c>
      <c r="L5017" s="27"/>
    </row>
    <row r="5018" spans="1:12">
      <c r="A5018" s="20" t="s">
        <v>2842</v>
      </c>
      <c r="E5018" s="22">
        <f>IF(D5018="?OLD","!!!","")</f>
        <v/>
      </c>
      <c r="F5018" s="23" t="str">
        <f>IF(OR(E5018="",E5018="!!!"),"",IF(NOT(ISNA(VLOOKUP(E5018,E$1:E5017,1,FALSE()))),"OLD",IF(AND(E5018&lt;&gt;"",E5018&lt;&gt;"!!!"),"NEW","")))</f>
        <v> </v>
      </c>
      <c r="G5018" s="24" t="str">
        <f>IF(OR(E5018="",E5018="!!!"),"",IF(OR(J5018=0,AND(J5018=1,K5018=1),AND(J5018=1,I5018="SBJ"),AND(J5018=1,I5018=0)),"?IN_FOCUS",IF(J5018&lt;=2,"?ACTIVATED",IF(J5018&lt;&gt;"","?FAMILIAR",IF(F5018="NEW",IF(ISNA(VLOOKUP(E5018,#REF!,1,FALSE())),"?TYPE_IDENTIFIABLE","?REFERENTIAL"),"_")))))</f>
        <v> </v>
      </c>
      <c r="H5018" s="25" t="str">
        <f>IF(J5018&lt;&gt;1,"",IF(I5018="SBJ","CB","?"))</f>
        <v> </v>
      </c>
      <c r="I5018" s="26" t="str">
        <f>IF(OR(E5018="",E5018="!!!",F5018="NEW"),"",INDEX(B5017:B$2,-1+SUMPRODUCT(MAX(ROW(E5017:E$2)*(E5018=E5017:E$2)))))</f>
        <v> </v>
      </c>
      <c r="J5018" s="26" t="str">
        <f>IF(OR(E5018="",E5018="!!!",F5018="NEW"),"",COUNTBLANK(OFFSET(A$1,,,SUMPRODUCT(MAX(ROW(E$2:E5018)*(E5018=E$2:E5018)))))-COUNTBLANK(OFFSET(A$1,,,SUMPRODUCT(MAX(ROW(E$1:E5017)*(E2=E$1:E5017))))))</f>
        <v> </v>
      </c>
      <c r="K5018" s="26" t="str">
        <f>IF(OR(E5018="",E5018="!!!",F5018="NEW"),"",INDEX(J$1:J5017,SUMPRODUCT(MAX(ROW(E$1:E5017)*(E5018=E$1:E5017)))))</f>
        <v> </v>
      </c>
      <c r="L5018" s="27"/>
    </row>
    <row r="5019" spans="1:12">
      <c r="A5019" s="20" t="s">
        <v>1327</v>
      </c>
      <c r="B5019" s="21" t="s">
        <v>1252</v>
      </c>
      <c r="C5019" s="21" t="s">
        <v>1255</v>
      </c>
      <c r="D5019" s="21" t="s">
        <v>1217</v>
      </c>
      <c r="E5019" s="22">
        <f>IF(D5019="?OLD","!!!","")</f>
        <v/>
      </c>
      <c r="F5019" s="23" t="str">
        <f>IF(OR(E5019="",E5019="!!!"),"",IF(NOT(ISNA(VLOOKUP(E5019,E$1:E5018,1,FALSE()))),"OLD",IF(AND(E5019&lt;&gt;"",E5019&lt;&gt;"!!!"),"NEW","")))</f>
        <v> </v>
      </c>
      <c r="G5019" s="24" t="str">
        <f>IF(OR(E5019="",E5019="!!!"),"",IF(OR(J5019=0,AND(J5019=1,K5019=1),AND(J5019=1,I5019="SBJ"),AND(J5019=1,I5019=0)),"?IN_FOCUS",IF(J5019&lt;=2,"?ACTIVATED",IF(J5019&lt;&gt;"","?FAMILIAR",IF(F5019="NEW",IF(ISNA(VLOOKUP(E5019,#REF!,1,FALSE())),"?TYPE_IDENTIFIABLE","?REFERENTIAL"),"_")))))</f>
        <v> </v>
      </c>
      <c r="H5019" s="25" t="str">
        <f>IF(J5019&lt;&gt;1,"",IF(I5019="SBJ","CB","?"))</f>
        <v> </v>
      </c>
      <c r="I5019" s="26" t="str">
        <f>IF(OR(E5019="",E5019="!!!",F5019="NEW"),"",INDEX(B5018:B$2,-1+SUMPRODUCT(MAX(ROW(E5018:E$2)*(E5019=E5018:E$2)))))</f>
        <v> </v>
      </c>
      <c r="J5019" s="26" t="str">
        <f>IF(OR(E5019="",E5019="!!!",F5019="NEW"),"",COUNTBLANK(OFFSET(A$1,,,SUMPRODUCT(MAX(ROW(E$2:E5019)*(E5019=E$2:E5019)))))-COUNTBLANK(OFFSET(A$1,,,SUMPRODUCT(MAX(ROW(E$1:E5018)*(E2=E$1:E5018))))))</f>
        <v> </v>
      </c>
      <c r="K5019" s="26" t="str">
        <f>IF(OR(E5019="",E5019="!!!",F5019="NEW"),"",INDEX(J$1:J5018,SUMPRODUCT(MAX(ROW(E$1:E5018)*(E5019=E$1:E5018)))))</f>
        <v> </v>
      </c>
      <c r="L5019" s="27"/>
    </row>
    <row r="5020" spans="1:12">
      <c r="A5020" s="20" t="s">
        <v>2843</v>
      </c>
      <c r="E5020" s="22">
        <f>IF(D5020="?OLD","!!!","")</f>
        <v/>
      </c>
      <c r="F5020" s="23" t="str">
        <f>IF(OR(E5020="",E5020="!!!"),"",IF(NOT(ISNA(VLOOKUP(E5020,E$1:E5019,1,FALSE()))),"OLD",IF(AND(E5020&lt;&gt;"",E5020&lt;&gt;"!!!"),"NEW","")))</f>
        <v> </v>
      </c>
      <c r="G5020" s="24" t="str">
        <f>IF(OR(E5020="",E5020="!!!"),"",IF(OR(J5020=0,AND(J5020=1,K5020=1),AND(J5020=1,I5020="SBJ"),AND(J5020=1,I5020=0)),"?IN_FOCUS",IF(J5020&lt;=2,"?ACTIVATED",IF(J5020&lt;&gt;"","?FAMILIAR",IF(F5020="NEW",IF(ISNA(VLOOKUP(E5020,#REF!,1,FALSE())),"?TYPE_IDENTIFIABLE","?REFERENTIAL"),"_")))))</f>
        <v> </v>
      </c>
      <c r="H5020" s="25" t="str">
        <f>IF(J5020&lt;&gt;1,"",IF(I5020="SBJ","CB","?"))</f>
        <v> </v>
      </c>
      <c r="I5020" s="26" t="str">
        <f>IF(OR(E5020="",E5020="!!!",F5020="NEW"),"",INDEX(B5019:B$2,-1+SUMPRODUCT(MAX(ROW(E5019:E$2)*(E5020=E5019:E$2)))))</f>
        <v> </v>
      </c>
      <c r="J5020" s="26" t="str">
        <f>IF(OR(E5020="",E5020="!!!",F5020="NEW"),"",COUNTBLANK(OFFSET(A$1,,,SUMPRODUCT(MAX(ROW(E$2:E5020)*(E5020=E$2:E5020)))))-COUNTBLANK(OFFSET(A$1,,,SUMPRODUCT(MAX(ROW(E$1:E5019)*(E2=E$1:E5019))))))</f>
        <v> </v>
      </c>
      <c r="K5020" s="26" t="str">
        <f>IF(OR(E5020="",E5020="!!!",F5020="NEW"),"",INDEX(J$1:J5019,SUMPRODUCT(MAX(ROW(E$1:E5019)*(E5020=E$1:E5019)))))</f>
        <v> </v>
      </c>
      <c r="L5020" s="27"/>
    </row>
    <row r="5021" spans="1:12">
      <c r="A5021" s="20" t="s">
        <v>1240</v>
      </c>
      <c r="E5021" s="22">
        <f>IF(D5021="?OLD","!!!","")</f>
        <v/>
      </c>
      <c r="F5021" s="23" t="str">
        <f>IF(OR(E5021="",E5021="!!!"),"",IF(NOT(ISNA(VLOOKUP(E5021,E$1:E5020,1,FALSE()))),"OLD",IF(AND(E5021&lt;&gt;"",E5021&lt;&gt;"!!!"),"NEW","")))</f>
        <v> </v>
      </c>
      <c r="G5021" s="24" t="str">
        <f>IF(OR(E5021="",E5021="!!!"),"",IF(OR(J5021=0,AND(J5021=1,K5021=1),AND(J5021=1,I5021="SBJ"),AND(J5021=1,I5021=0)),"?IN_FOCUS",IF(J5021&lt;=2,"?ACTIVATED",IF(J5021&lt;&gt;"","?FAMILIAR",IF(F5021="NEW",IF(ISNA(VLOOKUP(E5021,#REF!,1,FALSE())),"?TYPE_IDENTIFIABLE","?REFERENTIAL"),"_")))))</f>
        <v> </v>
      </c>
      <c r="H5021" s="25" t="str">
        <f>IF(J5021&lt;&gt;1,"",IF(I5021="SBJ","CB","?"))</f>
        <v> </v>
      </c>
      <c r="I5021" s="26" t="str">
        <f>IF(OR(E5021="",E5021="!!!",F5021="NEW"),"",INDEX(B5020:B$2,-1+SUMPRODUCT(MAX(ROW(E5020:E$2)*(E5021=E5020:E$2)))))</f>
        <v> </v>
      </c>
      <c r="J5021" s="26" t="str">
        <f>IF(OR(E5021="",E5021="!!!",F5021="NEW"),"",COUNTBLANK(OFFSET(A$1,,,SUMPRODUCT(MAX(ROW(E$2:E5021)*(E5021=E$2:E5021)))))-COUNTBLANK(OFFSET(A$1,,,SUMPRODUCT(MAX(ROW(E$1:E5020)*(E2=E$1:E5020))))))</f>
        <v> </v>
      </c>
      <c r="K5021" s="26" t="str">
        <f>IF(OR(E5021="",E5021="!!!",F5021="NEW"),"",INDEX(J$1:J5020,SUMPRODUCT(MAX(ROW(E$1:E5020)*(E5021=E$1:E5020)))))</f>
        <v> </v>
      </c>
      <c r="L5021" s="27"/>
    </row>
    <row r="5022" spans="1:12">
      <c r="A5022" s="20" t="s">
        <v>1781</v>
      </c>
      <c r="B5022" s="21" t="s">
        <v>1226</v>
      </c>
      <c r="C5022" s="21" t="s">
        <v>1279</v>
      </c>
      <c r="E5022" s="22">
        <f>IF(D5022="?OLD","!!!","")</f>
        <v/>
      </c>
      <c r="F5022" s="23" t="str">
        <f>IF(OR(E5022="",E5022="!!!"),"",IF(NOT(ISNA(VLOOKUP(E5022,E$1:E5021,1,FALSE()))),"OLD",IF(AND(E5022&lt;&gt;"",E5022&lt;&gt;"!!!"),"NEW","")))</f>
        <v> </v>
      </c>
      <c r="G5022" s="24" t="str">
        <f>IF(OR(E5022="",E5022="!!!"),"",IF(OR(J5022=0,AND(J5022=1,K5022=1),AND(J5022=1,I5022="SBJ"),AND(J5022=1,I5022=0)),"?IN_FOCUS",IF(J5022&lt;=2,"?ACTIVATED",IF(J5022&lt;&gt;"","?FAMILIAR",IF(F5022="NEW",IF(ISNA(VLOOKUP(E5022,#REF!,1,FALSE())),"?TYPE_IDENTIFIABLE","?REFERENTIAL"),"_")))))</f>
        <v> </v>
      </c>
      <c r="H5022" s="25" t="str">
        <f>IF(J5022&lt;&gt;1,"",IF(I5022="SBJ","CB","?"))</f>
        <v> </v>
      </c>
      <c r="I5022" s="26" t="str">
        <f>IF(OR(E5022="",E5022="!!!",F5022="NEW"),"",INDEX(B5021:B$2,-1+SUMPRODUCT(MAX(ROW(E5021:E$2)*(E5022=E5021:E$2)))))</f>
        <v> </v>
      </c>
      <c r="J5022" s="26" t="str">
        <f>IF(OR(E5022="",E5022="!!!",F5022="NEW"),"",COUNTBLANK(OFFSET(A$1,,,SUMPRODUCT(MAX(ROW(E$2:E5022)*(E5022=E$2:E5022)))))-COUNTBLANK(OFFSET(A$1,,,SUMPRODUCT(MAX(ROW(E$1:E5021)*(E2=E$1:E5021))))))</f>
        <v> </v>
      </c>
      <c r="K5022" s="26" t="str">
        <f>IF(OR(E5022="",E5022="!!!",F5022="NEW"),"",INDEX(J$1:J5021,SUMPRODUCT(MAX(ROW(E$1:E5021)*(E5022=E$1:E5021)))))</f>
        <v> </v>
      </c>
      <c r="L5022" s="27"/>
    </row>
    <row r="5023" spans="1:12">
      <c r="A5023" s="20" t="s">
        <v>1277</v>
      </c>
      <c r="E5023" s="22">
        <f>IF(D5023="?OLD","!!!","")</f>
        <v/>
      </c>
      <c r="F5023" s="23" t="str">
        <f>IF(OR(E5023="",E5023="!!!"),"",IF(NOT(ISNA(VLOOKUP(E5023,E$1:E5022,1,FALSE()))),"OLD",IF(AND(E5023&lt;&gt;"",E5023&lt;&gt;"!!!"),"NEW","")))</f>
        <v> </v>
      </c>
      <c r="G5023" s="24" t="str">
        <f>IF(OR(E5023="",E5023="!!!"),"",IF(OR(J5023=0,AND(J5023=1,K5023=1),AND(J5023=1,I5023="SBJ"),AND(J5023=1,I5023=0)),"?IN_FOCUS",IF(J5023&lt;=2,"?ACTIVATED",IF(J5023&lt;&gt;"","?FAMILIAR",IF(F5023="NEW",IF(ISNA(VLOOKUP(E5023,#REF!,1,FALSE())),"?TYPE_IDENTIFIABLE","?REFERENTIAL"),"_")))))</f>
        <v> </v>
      </c>
      <c r="H5023" s="25" t="str">
        <f>IF(J5023&lt;&gt;1,"",IF(I5023="SBJ","CB","?"))</f>
        <v> </v>
      </c>
      <c r="I5023" s="26" t="str">
        <f>IF(OR(E5023="",E5023="!!!",F5023="NEW"),"",INDEX(B5022:B$2,-1+SUMPRODUCT(MAX(ROW(E5022:E$2)*(E5023=E5022:E$2)))))</f>
        <v> </v>
      </c>
      <c r="J5023" s="26" t="str">
        <f>IF(OR(E5023="",E5023="!!!",F5023="NEW"),"",COUNTBLANK(OFFSET(A$1,,,SUMPRODUCT(MAX(ROW(E$2:E5023)*(E5023=E$2:E5023)))))-COUNTBLANK(OFFSET(A$1,,,SUMPRODUCT(MAX(ROW(E$1:E5022)*(E2=E$1:E5022))))))</f>
        <v> </v>
      </c>
      <c r="K5023" s="26" t="str">
        <f>IF(OR(E5023="",E5023="!!!",F5023="NEW"),"",INDEX(J$1:J5022,SUMPRODUCT(MAX(ROW(E$1:E5022)*(E5023=E$1:E5022)))))</f>
        <v> </v>
      </c>
      <c r="L5023" s="27"/>
    </row>
    <row r="5024" spans="1:12">
      <c r="A5024" s="20" t="s">
        <v>2844</v>
      </c>
      <c r="E5024" s="22">
        <f>IF(D5024="?OLD","!!!","")</f>
        <v/>
      </c>
      <c r="F5024" s="23" t="str">
        <f>IF(OR(E5024="",E5024="!!!"),"",IF(NOT(ISNA(VLOOKUP(E5024,E$1:E5023,1,FALSE()))),"OLD",IF(AND(E5024&lt;&gt;"",E5024&lt;&gt;"!!!"),"NEW","")))</f>
        <v> </v>
      </c>
      <c r="G5024" s="24" t="str">
        <f>IF(OR(E5024="",E5024="!!!"),"",IF(OR(J5024=0,AND(J5024=1,K5024=1),AND(J5024=1,I5024="SBJ"),AND(J5024=1,I5024=0)),"?IN_FOCUS",IF(J5024&lt;=2,"?ACTIVATED",IF(J5024&lt;&gt;"","?FAMILIAR",IF(F5024="NEW",IF(ISNA(VLOOKUP(E5024,#REF!,1,FALSE())),"?TYPE_IDENTIFIABLE","?REFERENTIAL"),"_")))))</f>
        <v> </v>
      </c>
      <c r="H5024" s="25" t="str">
        <f>IF(J5024&lt;&gt;1,"",IF(I5024="SBJ","CB","?"))</f>
        <v> </v>
      </c>
      <c r="I5024" s="26" t="str">
        <f>IF(OR(E5024="",E5024="!!!",F5024="NEW"),"",INDEX(B5023:B$2,-1+SUMPRODUCT(MAX(ROW(E5023:E$2)*(E5024=E5023:E$2)))))</f>
        <v> </v>
      </c>
      <c r="J5024" s="26" t="str">
        <f>IF(OR(E5024="",E5024="!!!",F5024="NEW"),"",COUNTBLANK(OFFSET(A$1,,,SUMPRODUCT(MAX(ROW(E$2:E5024)*(E5024=E$2:E5024)))))-COUNTBLANK(OFFSET(A$1,,,SUMPRODUCT(MAX(ROW(E$1:E5023)*(E2=E$1:E5023))))))</f>
        <v> </v>
      </c>
      <c r="K5024" s="26" t="str">
        <f>IF(OR(E5024="",E5024="!!!",F5024="NEW"),"",INDEX(J$1:J5023,SUMPRODUCT(MAX(ROW(E$1:E5023)*(E5024=E$1:E5023)))))</f>
        <v> </v>
      </c>
      <c r="L5024" s="27"/>
    </row>
    <row r="5025" spans="1:12">
      <c r="A5025" s="20" t="s">
        <v>1302</v>
      </c>
      <c r="E5025" s="22">
        <f>IF(D5025="?OLD","!!!","")</f>
        <v/>
      </c>
      <c r="F5025" s="23" t="str">
        <f>IF(OR(E5025="",E5025="!!!"),"",IF(NOT(ISNA(VLOOKUP(E5025,E$1:E5024,1,FALSE()))),"OLD",IF(AND(E5025&lt;&gt;"",E5025&lt;&gt;"!!!"),"NEW","")))</f>
        <v> </v>
      </c>
      <c r="G5025" s="24" t="str">
        <f>IF(OR(E5025="",E5025="!!!"),"",IF(OR(J5025=0,AND(J5025=1,K5025=1),AND(J5025=1,I5025="SBJ"),AND(J5025=1,I5025=0)),"?IN_FOCUS",IF(J5025&lt;=2,"?ACTIVATED",IF(J5025&lt;&gt;"","?FAMILIAR",IF(F5025="NEW",IF(ISNA(VLOOKUP(E5025,#REF!,1,FALSE())),"?TYPE_IDENTIFIABLE","?REFERENTIAL"),"_")))))</f>
        <v> </v>
      </c>
      <c r="H5025" s="25" t="str">
        <f>IF(J5025&lt;&gt;1,"",IF(I5025="SBJ","CB","?"))</f>
        <v> </v>
      </c>
      <c r="I5025" s="26" t="str">
        <f>IF(OR(E5025="",E5025="!!!",F5025="NEW"),"",INDEX(B5024:B$2,-1+SUMPRODUCT(MAX(ROW(E5024:E$2)*(E5025=E5024:E$2)))))</f>
        <v> </v>
      </c>
      <c r="J5025" s="26" t="str">
        <f>IF(OR(E5025="",E5025="!!!",F5025="NEW"),"",COUNTBLANK(OFFSET(A$1,,,SUMPRODUCT(MAX(ROW(E$2:E5025)*(E5025=E$2:E5025)))))-COUNTBLANK(OFFSET(A$1,,,SUMPRODUCT(MAX(ROW(E$1:E5024)*(E2=E$1:E5024))))))</f>
        <v> </v>
      </c>
      <c r="K5025" s="26" t="str">
        <f>IF(OR(E5025="",E5025="!!!",F5025="NEW"),"",INDEX(J$1:J5024,SUMPRODUCT(MAX(ROW(E$1:E5024)*(E5025=E$1:E5024)))))</f>
        <v> </v>
      </c>
      <c r="L5025" s="27"/>
    </row>
    <row r="5026" spans="1:12">
      <c r="A5026" s="20" t="s">
        <v>2845</v>
      </c>
      <c r="E5026" s="22">
        <f>IF(D5026="?OLD","!!!","")</f>
        <v/>
      </c>
      <c r="F5026" s="23" t="str">
        <f>IF(OR(E5026="",E5026="!!!"),"",IF(NOT(ISNA(VLOOKUP(E5026,E$1:E5025,1,FALSE()))),"OLD",IF(AND(E5026&lt;&gt;"",E5026&lt;&gt;"!!!"),"NEW","")))</f>
        <v> </v>
      </c>
      <c r="G5026" s="24" t="str">
        <f>IF(OR(E5026="",E5026="!!!"),"",IF(OR(J5026=0,AND(J5026=1,K5026=1),AND(J5026=1,I5026="SBJ"),AND(J5026=1,I5026=0)),"?IN_FOCUS",IF(J5026&lt;=2,"?ACTIVATED",IF(J5026&lt;&gt;"","?FAMILIAR",IF(F5026="NEW",IF(ISNA(VLOOKUP(E5026,#REF!,1,FALSE())),"?TYPE_IDENTIFIABLE","?REFERENTIAL"),"_")))))</f>
        <v> </v>
      </c>
      <c r="H5026" s="25" t="str">
        <f>IF(J5026&lt;&gt;1,"",IF(I5026="SBJ","CB","?"))</f>
        <v> </v>
      </c>
      <c r="I5026" s="26" t="str">
        <f>IF(OR(E5026="",E5026="!!!",F5026="NEW"),"",INDEX(B5025:B$2,-1+SUMPRODUCT(MAX(ROW(E5025:E$2)*(E5026=E5025:E$2)))))</f>
        <v> </v>
      </c>
      <c r="J5026" s="26" t="str">
        <f>IF(OR(E5026="",E5026="!!!",F5026="NEW"),"",COUNTBLANK(OFFSET(A$1,,,SUMPRODUCT(MAX(ROW(E$2:E5026)*(E5026=E$2:E5026)))))-COUNTBLANK(OFFSET(A$1,,,SUMPRODUCT(MAX(ROW(E$1:E5025)*(E2=E$1:E5025))))))</f>
        <v> </v>
      </c>
      <c r="K5026" s="26" t="str">
        <f>IF(OR(E5026="",E5026="!!!",F5026="NEW"),"",INDEX(J$1:J5025,SUMPRODUCT(MAX(ROW(E$1:E5025)*(E5026=E$1:E5025)))))</f>
        <v> </v>
      </c>
      <c r="L5026" s="27"/>
    </row>
    <row r="5027" spans="1:12">
      <c r="A5027" s="20" t="s">
        <v>1228</v>
      </c>
      <c r="E5027" s="22">
        <f>IF(D5027="?OLD","!!!","")</f>
        <v/>
      </c>
      <c r="F5027" s="23" t="str">
        <f>IF(OR(E5027="",E5027="!!!"),"",IF(NOT(ISNA(VLOOKUP(E5027,E$1:E5026,1,FALSE()))),"OLD",IF(AND(E5027&lt;&gt;"",E5027&lt;&gt;"!!!"),"NEW","")))</f>
        <v> </v>
      </c>
      <c r="G5027" s="24" t="str">
        <f>IF(OR(E5027="",E5027="!!!"),"",IF(OR(J5027=0,AND(J5027=1,K5027=1),AND(J5027=1,I5027="SBJ"),AND(J5027=1,I5027=0)),"?IN_FOCUS",IF(J5027&lt;=2,"?ACTIVATED",IF(J5027&lt;&gt;"","?FAMILIAR",IF(F5027="NEW",IF(ISNA(VLOOKUP(E5027,#REF!,1,FALSE())),"?TYPE_IDENTIFIABLE","?REFERENTIAL"),"_")))))</f>
        <v> </v>
      </c>
      <c r="H5027" s="25" t="str">
        <f>IF(J5027&lt;&gt;1,"",IF(I5027="SBJ","CB","?"))</f>
        <v> </v>
      </c>
      <c r="I5027" s="26" t="str">
        <f>IF(OR(E5027="",E5027="!!!",F5027="NEW"),"",INDEX(B5026:B$2,-1+SUMPRODUCT(MAX(ROW(E5026:E$2)*(E5027=E5026:E$2)))))</f>
        <v> </v>
      </c>
      <c r="J5027" s="26" t="str">
        <f>IF(OR(E5027="",E5027="!!!",F5027="NEW"),"",COUNTBLANK(OFFSET(A$1,,,SUMPRODUCT(MAX(ROW(E$2:E5027)*(E5027=E$2:E5027)))))-COUNTBLANK(OFFSET(A$1,,,SUMPRODUCT(MAX(ROW(E$1:E5026)*(E2=E$1:E5026))))))</f>
        <v> </v>
      </c>
      <c r="K5027" s="26" t="str">
        <f>IF(OR(E5027="",E5027="!!!",F5027="NEW"),"",INDEX(J$1:J5026,SUMPRODUCT(MAX(ROW(E$1:E5026)*(E5027=E$1:E5026)))))</f>
        <v> </v>
      </c>
      <c r="L5027" s="27"/>
    </row>
    <row r="5028" spans="1:12">
      <c r="A5028" s="20" t="s">
        <v>2846</v>
      </c>
      <c r="B5028" s="21" t="s">
        <v>1249</v>
      </c>
      <c r="C5028" s="21" t="s">
        <v>1269</v>
      </c>
      <c r="D5028" s="21" t="s">
        <v>1217</v>
      </c>
      <c r="E5028" s="22">
        <f>IF(D5028="?OLD","!!!","")</f>
        <v/>
      </c>
      <c r="F5028" s="23" t="str">
        <f>IF(OR(E5028="",E5028="!!!"),"",IF(NOT(ISNA(VLOOKUP(E5028,E$1:E5027,1,FALSE()))),"OLD",IF(AND(E5028&lt;&gt;"",E5028&lt;&gt;"!!!"),"NEW","")))</f>
        <v> </v>
      </c>
      <c r="G5028" s="24" t="str">
        <f>IF(OR(E5028="",E5028="!!!"),"",IF(OR(J5028=0,AND(J5028=1,K5028=1),AND(J5028=1,I5028="SBJ"),AND(J5028=1,I5028=0)),"?IN_FOCUS",IF(J5028&lt;=2,"?ACTIVATED",IF(J5028&lt;&gt;"","?FAMILIAR",IF(F5028="NEW",IF(ISNA(VLOOKUP(E5028,#REF!,1,FALSE())),"?TYPE_IDENTIFIABLE","?REFERENTIAL"),"_")))))</f>
        <v> </v>
      </c>
      <c r="H5028" s="25" t="str">
        <f>IF(J5028&lt;&gt;1,"",IF(I5028="SBJ","CB","?"))</f>
        <v> </v>
      </c>
      <c r="I5028" s="26" t="str">
        <f>IF(OR(E5028="",E5028="!!!",F5028="NEW"),"",INDEX(B5027:B$2,-1+SUMPRODUCT(MAX(ROW(E5027:E$2)*(E5028=E5027:E$2)))))</f>
        <v> </v>
      </c>
      <c r="J5028" s="26" t="str">
        <f>IF(OR(E5028="",E5028="!!!",F5028="NEW"),"",COUNTBLANK(OFFSET(A$1,,,SUMPRODUCT(MAX(ROW(E$2:E5028)*(E5028=E$2:E5028)))))-COUNTBLANK(OFFSET(A$1,,,SUMPRODUCT(MAX(ROW(E$1:E5027)*(E2=E$1:E5027))))))</f>
        <v> </v>
      </c>
      <c r="K5028" s="26" t="str">
        <f>IF(OR(E5028="",E5028="!!!",F5028="NEW"),"",INDEX(J$1:J5027,SUMPRODUCT(MAX(ROW(E$1:E5027)*(E5028=E$1:E5027)))))</f>
        <v> </v>
      </c>
      <c r="L5028" s="27"/>
    </row>
    <row r="5029" spans="1:12">
      <c r="A5029" s="20" t="s">
        <v>1251</v>
      </c>
      <c r="B5029" s="21" t="s">
        <v>1252</v>
      </c>
      <c r="E5029" s="22">
        <f>IF(D5029="?OLD","!!!","")</f>
        <v/>
      </c>
      <c r="F5029" s="23" t="str">
        <f>IF(OR(E5029="",E5029="!!!"),"",IF(NOT(ISNA(VLOOKUP(E5029,E$1:E5028,1,FALSE()))),"OLD",IF(AND(E5029&lt;&gt;"",E5029&lt;&gt;"!!!"),"NEW","")))</f>
        <v> </v>
      </c>
      <c r="G5029" s="24" t="str">
        <f>IF(OR(E5029="",E5029="!!!"),"",IF(OR(J5029=0,AND(J5029=1,K5029=1),AND(J5029=1,I5029="SBJ"),AND(J5029=1,I5029=0)),"?IN_FOCUS",IF(J5029&lt;=2,"?ACTIVATED",IF(J5029&lt;&gt;"","?FAMILIAR",IF(F5029="NEW",IF(ISNA(VLOOKUP(E5029,#REF!,1,FALSE())),"?TYPE_IDENTIFIABLE","?REFERENTIAL"),"_")))))</f>
        <v> </v>
      </c>
      <c r="H5029" s="25" t="str">
        <f>IF(J5029&lt;&gt;1,"",IF(I5029="SBJ","CB","?"))</f>
        <v> </v>
      </c>
      <c r="I5029" s="26" t="str">
        <f>IF(OR(E5029="",E5029="!!!",F5029="NEW"),"",INDEX(B5028:B$2,-1+SUMPRODUCT(MAX(ROW(E5028:E$2)*(E5029=E5028:E$2)))))</f>
        <v> </v>
      </c>
      <c r="J5029" s="26" t="str">
        <f>IF(OR(E5029="",E5029="!!!",F5029="NEW"),"",COUNTBLANK(OFFSET(A$1,,,SUMPRODUCT(MAX(ROW(E$2:E5029)*(E5029=E$2:E5029)))))-COUNTBLANK(OFFSET(A$1,,,SUMPRODUCT(MAX(ROW(E$1:E5028)*(E2=E$1:E5028))))))</f>
        <v> </v>
      </c>
      <c r="K5029" s="26" t="str">
        <f>IF(OR(E5029="",E5029="!!!",F5029="NEW"),"",INDEX(J$1:J5028,SUMPRODUCT(MAX(ROW(E$1:E5028)*(E5029=E$1:E5028)))))</f>
        <v> </v>
      </c>
      <c r="L5029" s="27"/>
    </row>
    <row r="5030" spans="1:12">
      <c r="A5030" s="20" t="s">
        <v>1327</v>
      </c>
      <c r="B5030" s="21" t="s">
        <v>1292</v>
      </c>
      <c r="C5030" s="21" t="s">
        <v>1255</v>
      </c>
      <c r="D5030" s="21" t="s">
        <v>1217</v>
      </c>
      <c r="E5030" s="22">
        <f>IF(D5030="?OLD","!!!","")</f>
        <v/>
      </c>
      <c r="F5030" s="23" t="str">
        <f>IF(OR(E5030="",E5030="!!!"),"",IF(NOT(ISNA(VLOOKUP(E5030,E$1:E5029,1,FALSE()))),"OLD",IF(AND(E5030&lt;&gt;"",E5030&lt;&gt;"!!!"),"NEW","")))</f>
        <v> </v>
      </c>
      <c r="G5030" s="24" t="str">
        <f>IF(OR(E5030="",E5030="!!!"),"",IF(OR(J5030=0,AND(J5030=1,K5030=1),AND(J5030=1,I5030="SBJ"),AND(J5030=1,I5030=0)),"?IN_FOCUS",IF(J5030&lt;=2,"?ACTIVATED",IF(J5030&lt;&gt;"","?FAMILIAR",IF(F5030="NEW",IF(ISNA(VLOOKUP(E5030,#REF!,1,FALSE())),"?TYPE_IDENTIFIABLE","?REFERENTIAL"),"_")))))</f>
        <v> </v>
      </c>
      <c r="H5030" s="25" t="str">
        <f>IF(J5030&lt;&gt;1,"",IF(I5030="SBJ","CB","?"))</f>
        <v> </v>
      </c>
      <c r="I5030" s="26" t="str">
        <f>IF(OR(E5030="",E5030="!!!",F5030="NEW"),"",INDEX(B5029:B$2,-1+SUMPRODUCT(MAX(ROW(E5029:E$2)*(E5030=E5029:E$2)))))</f>
        <v> </v>
      </c>
      <c r="J5030" s="26" t="str">
        <f>IF(OR(E5030="",E5030="!!!",F5030="NEW"),"",COUNTBLANK(OFFSET(A$1,,,SUMPRODUCT(MAX(ROW(E$2:E5030)*(E5030=E$2:E5030)))))-COUNTBLANK(OFFSET(A$1,,,SUMPRODUCT(MAX(ROW(E$1:E5029)*(E2=E$1:E5029))))))</f>
        <v> </v>
      </c>
      <c r="K5030" s="26" t="str">
        <f>IF(OR(E5030="",E5030="!!!",F5030="NEW"),"",INDEX(J$1:J5029,SUMPRODUCT(MAX(ROW(E$1:E5029)*(E5030=E$1:E5029)))))</f>
        <v> </v>
      </c>
      <c r="L5030" s="27"/>
    </row>
    <row r="5031" spans="1:12">
      <c r="A5031" s="20" t="s">
        <v>2847</v>
      </c>
      <c r="E5031" s="22">
        <f>IF(D5031="?OLD","!!!","")</f>
        <v/>
      </c>
      <c r="F5031" s="23" t="str">
        <f>IF(OR(E5031="",E5031="!!!"),"",IF(NOT(ISNA(VLOOKUP(E5031,E$1:E5030,1,FALSE()))),"OLD",IF(AND(E5031&lt;&gt;"",E5031&lt;&gt;"!!!"),"NEW","")))</f>
        <v> </v>
      </c>
      <c r="G5031" s="24" t="str">
        <f>IF(OR(E5031="",E5031="!!!"),"",IF(OR(J5031=0,AND(J5031=1,K5031=1),AND(J5031=1,I5031="SBJ"),AND(J5031=1,I5031=0)),"?IN_FOCUS",IF(J5031&lt;=2,"?ACTIVATED",IF(J5031&lt;&gt;"","?FAMILIAR",IF(F5031="NEW",IF(ISNA(VLOOKUP(E5031,#REF!,1,FALSE())),"?TYPE_IDENTIFIABLE","?REFERENTIAL"),"_")))))</f>
        <v> </v>
      </c>
      <c r="H5031" s="25" t="str">
        <f>IF(J5031&lt;&gt;1,"",IF(I5031="SBJ","CB","?"))</f>
        <v> </v>
      </c>
      <c r="I5031" s="26" t="str">
        <f>IF(OR(E5031="",E5031="!!!",F5031="NEW"),"",INDEX(B5030:B$2,-1+SUMPRODUCT(MAX(ROW(E5030:E$2)*(E5031=E5030:E$2)))))</f>
        <v> </v>
      </c>
      <c r="J5031" s="26" t="str">
        <f>IF(OR(E5031="",E5031="!!!",F5031="NEW"),"",COUNTBLANK(OFFSET(A$1,,,SUMPRODUCT(MAX(ROW(E$2:E5031)*(E5031=E$2:E5031)))))-COUNTBLANK(OFFSET(A$1,,,SUMPRODUCT(MAX(ROW(E$1:E5030)*(E2=E$1:E5030))))))</f>
        <v> </v>
      </c>
      <c r="K5031" s="26" t="str">
        <f>IF(OR(E5031="",E5031="!!!",F5031="NEW"),"",INDEX(J$1:J5030,SUMPRODUCT(MAX(ROW(E$1:E5030)*(E5031=E$1:E5030)))))</f>
        <v> </v>
      </c>
      <c r="L5031" s="27"/>
    </row>
    <row r="5032" spans="1:12">
      <c r="A5032" s="20" t="s">
        <v>1262</v>
      </c>
      <c r="E5032" s="22">
        <f>IF(D5032="?OLD","!!!","")</f>
        <v/>
      </c>
      <c r="F5032" s="23" t="str">
        <f>IF(OR(E5032="",E5032="!!!"),"",IF(NOT(ISNA(VLOOKUP(E5032,E$1:E5031,1,FALSE()))),"OLD",IF(AND(E5032&lt;&gt;"",E5032&lt;&gt;"!!!"),"NEW","")))</f>
        <v> </v>
      </c>
      <c r="G5032" s="24" t="str">
        <f>IF(OR(E5032="",E5032="!!!"),"",IF(OR(J5032=0,AND(J5032=1,K5032=1),AND(J5032=1,I5032="SBJ"),AND(J5032=1,I5032=0)),"?IN_FOCUS",IF(J5032&lt;=2,"?ACTIVATED",IF(J5032&lt;&gt;"","?FAMILIAR",IF(F5032="NEW",IF(ISNA(VLOOKUP(E5032,#REF!,1,FALSE())),"?TYPE_IDENTIFIABLE","?REFERENTIAL"),"_")))))</f>
        <v> </v>
      </c>
      <c r="H5032" s="25" t="str">
        <f>IF(J5032&lt;&gt;1,"",IF(I5032="SBJ","CB","?"))</f>
        <v> </v>
      </c>
      <c r="I5032" s="26" t="str">
        <f>IF(OR(E5032="",E5032="!!!",F5032="NEW"),"",INDEX(B5031:B$2,-1+SUMPRODUCT(MAX(ROW(E5031:E$2)*(E5032=E5031:E$2)))))</f>
        <v> </v>
      </c>
      <c r="J5032" s="26" t="str">
        <f>IF(OR(E5032="",E5032="!!!",F5032="NEW"),"",COUNTBLANK(OFFSET(A$1,,,SUMPRODUCT(MAX(ROW(E$2:E5032)*(E5032=E$2:E5032)))))-COUNTBLANK(OFFSET(A$1,,,SUMPRODUCT(MAX(ROW(E$1:E5031)*(E2=E$1:E5031))))))</f>
        <v> </v>
      </c>
      <c r="K5032" s="26" t="str">
        <f>IF(OR(E5032="",E5032="!!!",F5032="NEW"),"",INDEX(J$1:J5031,SUMPRODUCT(MAX(ROW(E$1:E5031)*(E5032=E$1:E5031)))))</f>
        <v> </v>
      </c>
      <c r="L5032" s="27"/>
    </row>
    <row r="5033" spans="1:12">
      <c r="A5033" s="20"/>
    </row>
    <row r="5034" spans="1:12">
      <c r="A5034" s="20" t="s">
        <v>2848</v>
      </c>
    </row>
    <row r="5035" spans="1:12">
      <c r="A5035" s="20" t="s">
        <v>1716</v>
      </c>
      <c r="E5035" s="22">
        <f>IF(D5035="?OLD","!!!","")</f>
        <v/>
      </c>
      <c r="F5035" s="23" t="str">
        <f>IF(OR(E5035="",E5035="!!!"),"",IF(NOT(ISNA(VLOOKUP(E5035,E$1:E5034,1,FALSE()))),"OLD",IF(AND(E5035&lt;&gt;"",E5035&lt;&gt;"!!!"),"NEW","")))</f>
        <v> </v>
      </c>
      <c r="G5035" s="24" t="str">
        <f>IF(OR(E5035="",E5035="!!!"),"",IF(OR(J5035=0,AND(J5035=1,K5035=1),AND(J5035=1,I5035="SBJ"),AND(J5035=1,I5035=0)),"?IN_FOCUS",IF(J5035&lt;=2,"?ACTIVATED",IF(J5035&lt;&gt;"","?FAMILIAR",IF(F5035="NEW",IF(ISNA(VLOOKUP(E5035,#REF!,1,FALSE())),"?TYPE_IDENTIFIABLE","?REFERENTIAL"),"_")))))</f>
        <v> </v>
      </c>
      <c r="H5035" s="25" t="str">
        <f>IF(J5035&lt;&gt;1,"",IF(I5035="SBJ","CB","?"))</f>
        <v> </v>
      </c>
      <c r="I5035" s="26" t="str">
        <f>IF(OR(E5035="",E5035="!!!",F5035="NEW"),"",INDEX(B5034:B$2,-1+SUMPRODUCT(MAX(ROW(E5034:E$2)*(E5035=E5034:E$2)))))</f>
        <v> </v>
      </c>
      <c r="J5035" s="26" t="str">
        <f>IF(OR(E5035="",E5035="!!!",F5035="NEW"),"",COUNTBLANK(OFFSET(A$1,,,SUMPRODUCT(MAX(ROW(E$2:E5035)*(E5035=E$2:E5035)))))-COUNTBLANK(OFFSET(A$1,,,SUMPRODUCT(MAX(ROW(E$1:E5034)*(E2=E$1:E5034))))))</f>
        <v> </v>
      </c>
      <c r="K5035" s="26" t="str">
        <f>IF(OR(E5035="",E5035="!!!",F5035="NEW"),"",INDEX(J$1:J5034,SUMPRODUCT(MAX(ROW(E$1:E5034)*(E5035=E$1:E5034)))))</f>
        <v> </v>
      </c>
      <c r="L5035" s="27"/>
    </row>
    <row r="5036" spans="1:12">
      <c r="A5036" s="20" t="s">
        <v>1814</v>
      </c>
      <c r="E5036" s="22">
        <f>IF(D5036="?OLD","!!!","")</f>
        <v/>
      </c>
      <c r="F5036" s="23" t="str">
        <f>IF(OR(E5036="",E5036="!!!"),"",IF(NOT(ISNA(VLOOKUP(E5036,E$1:E5035,1,FALSE()))),"OLD",IF(AND(E5036&lt;&gt;"",E5036&lt;&gt;"!!!"),"NEW","")))</f>
        <v> </v>
      </c>
      <c r="G5036" s="24" t="str">
        <f>IF(OR(E5036="",E5036="!!!"),"",IF(OR(J5036=0,AND(J5036=1,K5036=1),AND(J5036=1,I5036="SBJ"),AND(J5036=1,I5036=0)),"?IN_FOCUS",IF(J5036&lt;=2,"?ACTIVATED",IF(J5036&lt;&gt;"","?FAMILIAR",IF(F5036="NEW",IF(ISNA(VLOOKUP(E5036,#REF!,1,FALSE())),"?TYPE_IDENTIFIABLE","?REFERENTIAL"),"_")))))</f>
        <v> </v>
      </c>
      <c r="H5036" s="25" t="str">
        <f>IF(J5036&lt;&gt;1,"",IF(I5036="SBJ","CB","?"))</f>
        <v> </v>
      </c>
      <c r="I5036" s="26" t="str">
        <f>IF(OR(E5036="",E5036="!!!",F5036="NEW"),"",INDEX(B5035:B$2,-1+SUMPRODUCT(MAX(ROW(E5035:E$2)*(E5036=E5035:E$2)))))</f>
        <v> </v>
      </c>
      <c r="J5036" s="26" t="str">
        <f>IF(OR(E5036="",E5036="!!!",F5036="NEW"),"",COUNTBLANK(OFFSET(A$1,,,SUMPRODUCT(MAX(ROW(E$2:E5036)*(E5036=E$2:E5036)))))-COUNTBLANK(OFFSET(A$1,,,SUMPRODUCT(MAX(ROW(E$1:E5035)*(E2=E$1:E5035))))))</f>
        <v> </v>
      </c>
      <c r="K5036" s="26" t="str">
        <f>IF(OR(E5036="",E5036="!!!",F5036="NEW"),"",INDEX(J$1:J5035,SUMPRODUCT(MAX(ROW(E$1:E5035)*(E5036=E$1:E5035)))))</f>
        <v> </v>
      </c>
      <c r="L5036" s="27"/>
    </row>
    <row r="5037" spans="1:12">
      <c r="A5037" s="20" t="s">
        <v>2228</v>
      </c>
      <c r="B5037" s="21" t="s">
        <v>1244</v>
      </c>
      <c r="C5037" s="21" t="s">
        <v>1238</v>
      </c>
      <c r="E5037" s="22">
        <f>IF(D5037="?OLD","!!!","")</f>
        <v/>
      </c>
      <c r="F5037" s="23" t="str">
        <f>IF(OR(E5037="",E5037="!!!"),"",IF(NOT(ISNA(VLOOKUP(E5037,E$1:E5036,1,FALSE()))),"OLD",IF(AND(E5037&lt;&gt;"",E5037&lt;&gt;"!!!"),"NEW","")))</f>
        <v> </v>
      </c>
      <c r="G5037" s="24" t="str">
        <f>IF(OR(E5037="",E5037="!!!"),"",IF(OR(J5037=0,AND(J5037=1,K5037=1),AND(J5037=1,I5037="SBJ"),AND(J5037=1,I5037=0)),"?IN_FOCUS",IF(J5037&lt;=2,"?ACTIVATED",IF(J5037&lt;&gt;"","?FAMILIAR",IF(F5037="NEW",IF(ISNA(VLOOKUP(E5037,#REF!,1,FALSE())),"?TYPE_IDENTIFIABLE","?REFERENTIAL"),"_")))))</f>
        <v> </v>
      </c>
      <c r="H5037" s="25" t="str">
        <f>IF(J5037&lt;&gt;1,"",IF(I5037="SBJ","CB","?"))</f>
        <v> </v>
      </c>
      <c r="I5037" s="26" t="str">
        <f>IF(OR(E5037="",E5037="!!!",F5037="NEW"),"",INDEX(B5036:B$2,-1+SUMPRODUCT(MAX(ROW(E5036:E$2)*(E5037=E5036:E$2)))))</f>
        <v> </v>
      </c>
      <c r="J5037" s="26" t="str">
        <f>IF(OR(E5037="",E5037="!!!",F5037="NEW"),"",COUNTBLANK(OFFSET(A$1,,,SUMPRODUCT(MAX(ROW(E$2:E5037)*(E5037=E$2:E5037)))))-COUNTBLANK(OFFSET(A$1,,,SUMPRODUCT(MAX(ROW(E$1:E5036)*(E2=E$1:E5036))))))</f>
        <v> </v>
      </c>
      <c r="K5037" s="26" t="str">
        <f>IF(OR(E5037="",E5037="!!!",F5037="NEW"),"",INDEX(J$1:J5036,SUMPRODUCT(MAX(ROW(E$1:E5036)*(E5037=E$1:E5036)))))</f>
        <v> </v>
      </c>
      <c r="L5037" s="27"/>
    </row>
    <row r="5038" spans="1:12">
      <c r="A5038" s="20" t="s">
        <v>1277</v>
      </c>
      <c r="E5038" s="22">
        <f>IF(D5038="?OLD","!!!","")</f>
        <v/>
      </c>
      <c r="F5038" s="23" t="str">
        <f>IF(OR(E5038="",E5038="!!!"),"",IF(NOT(ISNA(VLOOKUP(E5038,E$1:E5037,1,FALSE()))),"OLD",IF(AND(E5038&lt;&gt;"",E5038&lt;&gt;"!!!"),"NEW","")))</f>
        <v> </v>
      </c>
      <c r="G5038" s="24" t="str">
        <f>IF(OR(E5038="",E5038="!!!"),"",IF(OR(J5038=0,AND(J5038=1,K5038=1),AND(J5038=1,I5038="SBJ"),AND(J5038=1,I5038=0)),"?IN_FOCUS",IF(J5038&lt;=2,"?ACTIVATED",IF(J5038&lt;&gt;"","?FAMILIAR",IF(F5038="NEW",IF(ISNA(VLOOKUP(E5038,#REF!,1,FALSE())),"?TYPE_IDENTIFIABLE","?REFERENTIAL"),"_")))))</f>
        <v> </v>
      </c>
      <c r="H5038" s="25" t="str">
        <f>IF(J5038&lt;&gt;1,"",IF(I5038="SBJ","CB","?"))</f>
        <v> </v>
      </c>
      <c r="I5038" s="26" t="str">
        <f>IF(OR(E5038="",E5038="!!!",F5038="NEW"),"",INDEX(B5037:B$2,-1+SUMPRODUCT(MAX(ROW(E5037:E$2)*(E5038=E5037:E$2)))))</f>
        <v> </v>
      </c>
      <c r="J5038" s="26" t="str">
        <f>IF(OR(E5038="",E5038="!!!",F5038="NEW"),"",COUNTBLANK(OFFSET(A$1,,,SUMPRODUCT(MAX(ROW(E$2:E5038)*(E5038=E$2:E5038)))))-COUNTBLANK(OFFSET(A$1,,,SUMPRODUCT(MAX(ROW(E$1:E5037)*(E2=E$1:E5037))))))</f>
        <v> </v>
      </c>
      <c r="K5038" s="26" t="str">
        <f>IF(OR(E5038="",E5038="!!!",F5038="NEW"),"",INDEX(J$1:J5037,SUMPRODUCT(MAX(ROW(E$1:E5037)*(E5038=E$1:E5037)))))</f>
        <v> </v>
      </c>
      <c r="L5038" s="27"/>
    </row>
    <row r="5039" spans="1:12">
      <c r="A5039" s="20" t="s">
        <v>1327</v>
      </c>
      <c r="B5039" s="21" t="s">
        <v>1244</v>
      </c>
      <c r="C5039" s="21" t="s">
        <v>1255</v>
      </c>
      <c r="D5039" s="21" t="s">
        <v>1217</v>
      </c>
      <c r="E5039" s="22">
        <f>IF(D5039="?OLD","!!!","")</f>
        <v/>
      </c>
      <c r="F5039" s="23" t="str">
        <f>IF(OR(E5039="",E5039="!!!"),"",IF(NOT(ISNA(VLOOKUP(E5039,E$1:E5038,1,FALSE()))),"OLD",IF(AND(E5039&lt;&gt;"",E5039&lt;&gt;"!!!"),"NEW","")))</f>
        <v> </v>
      </c>
      <c r="G5039" s="24" t="str">
        <f>IF(OR(E5039="",E5039="!!!"),"",IF(OR(J5039=0,AND(J5039=1,K5039=1),AND(J5039=1,I5039="SBJ"),AND(J5039=1,I5039=0)),"?IN_FOCUS",IF(J5039&lt;=2,"?ACTIVATED",IF(J5039&lt;&gt;"","?FAMILIAR",IF(F5039="NEW",IF(ISNA(VLOOKUP(E5039,#REF!,1,FALSE())),"?TYPE_IDENTIFIABLE","?REFERENTIAL"),"_")))))</f>
        <v> </v>
      </c>
      <c r="H5039" s="25" t="str">
        <f>IF(J5039&lt;&gt;1,"",IF(I5039="SBJ","CB","?"))</f>
        <v> </v>
      </c>
      <c r="I5039" s="26" t="str">
        <f>IF(OR(E5039="",E5039="!!!",F5039="NEW"),"",INDEX(B5038:B$2,-1+SUMPRODUCT(MAX(ROW(E5038:E$2)*(E5039=E5038:E$2)))))</f>
        <v> </v>
      </c>
      <c r="J5039" s="26" t="str">
        <f>IF(OR(E5039="",E5039="!!!",F5039="NEW"),"",COUNTBLANK(OFFSET(A$1,,,SUMPRODUCT(MAX(ROW(E$2:E5039)*(E5039=E$2:E5039)))))-COUNTBLANK(OFFSET(A$1,,,SUMPRODUCT(MAX(ROW(E$1:E5038)*(E2=E$1:E5038))))))</f>
        <v> </v>
      </c>
      <c r="K5039" s="26" t="str">
        <f>IF(OR(E5039="",E5039="!!!",F5039="NEW"),"",INDEX(J$1:J5038,SUMPRODUCT(MAX(ROW(E$1:E5038)*(E5039=E$1:E5038)))))</f>
        <v> </v>
      </c>
      <c r="L5039" s="27"/>
    </row>
    <row r="5040" spans="1:12">
      <c r="A5040" s="20" t="s">
        <v>2849</v>
      </c>
      <c r="E5040" s="22">
        <f>IF(D5040="?OLD","!!!","")</f>
        <v/>
      </c>
      <c r="F5040" s="23" t="str">
        <f>IF(OR(E5040="",E5040="!!!"),"",IF(NOT(ISNA(VLOOKUP(E5040,E$1:E5039,1,FALSE()))),"OLD",IF(AND(E5040&lt;&gt;"",E5040&lt;&gt;"!!!"),"NEW","")))</f>
        <v> </v>
      </c>
      <c r="G5040" s="24" t="str">
        <f>IF(OR(E5040="",E5040="!!!"),"",IF(OR(J5040=0,AND(J5040=1,K5040=1),AND(J5040=1,I5040="SBJ"),AND(J5040=1,I5040=0)),"?IN_FOCUS",IF(J5040&lt;=2,"?ACTIVATED",IF(J5040&lt;&gt;"","?FAMILIAR",IF(F5040="NEW",IF(ISNA(VLOOKUP(E5040,#REF!,1,FALSE())),"?TYPE_IDENTIFIABLE","?REFERENTIAL"),"_")))))</f>
        <v> </v>
      </c>
      <c r="H5040" s="25" t="str">
        <f>IF(J5040&lt;&gt;1,"",IF(I5040="SBJ","CB","?"))</f>
        <v> </v>
      </c>
      <c r="I5040" s="26" t="str">
        <f>IF(OR(E5040="",E5040="!!!",F5040="NEW"),"",INDEX(B5039:B$2,-1+SUMPRODUCT(MAX(ROW(E5039:E$2)*(E5040=E5039:E$2)))))</f>
        <v> </v>
      </c>
      <c r="J5040" s="26" t="str">
        <f>IF(OR(E5040="",E5040="!!!",F5040="NEW"),"",COUNTBLANK(OFFSET(A$1,,,SUMPRODUCT(MAX(ROW(E$2:E5040)*(E5040=E$2:E5040)))))-COUNTBLANK(OFFSET(A$1,,,SUMPRODUCT(MAX(ROW(E$1:E5039)*(E2=E$1:E5039))))))</f>
        <v> </v>
      </c>
      <c r="K5040" s="26" t="str">
        <f>IF(OR(E5040="",E5040="!!!",F5040="NEW"),"",INDEX(J$1:J5039,SUMPRODUCT(MAX(ROW(E$1:E5039)*(E5040=E$1:E5039)))))</f>
        <v> </v>
      </c>
      <c r="L5040" s="27"/>
    </row>
    <row r="5041" spans="1:12">
      <c r="A5041" s="20" t="s">
        <v>1323</v>
      </c>
      <c r="E5041" s="22">
        <f>IF(D5041="?OLD","!!!","")</f>
        <v/>
      </c>
      <c r="F5041" s="23" t="str">
        <f>IF(OR(E5041="",E5041="!!!"),"",IF(NOT(ISNA(VLOOKUP(E5041,E$1:E5040,1,FALSE()))),"OLD",IF(AND(E5041&lt;&gt;"",E5041&lt;&gt;"!!!"),"NEW","")))</f>
        <v> </v>
      </c>
      <c r="G5041" s="24" t="str">
        <f>IF(OR(E5041="",E5041="!!!"),"",IF(OR(J5041=0,AND(J5041=1,K5041=1),AND(J5041=1,I5041="SBJ"),AND(J5041=1,I5041=0)),"?IN_FOCUS",IF(J5041&lt;=2,"?ACTIVATED",IF(J5041&lt;&gt;"","?FAMILIAR",IF(F5041="NEW",IF(ISNA(VLOOKUP(E5041,#REF!,1,FALSE())),"?TYPE_IDENTIFIABLE","?REFERENTIAL"),"_")))))</f>
        <v> </v>
      </c>
      <c r="H5041" s="25" t="str">
        <f>IF(J5041&lt;&gt;1,"",IF(I5041="SBJ","CB","?"))</f>
        <v> </v>
      </c>
      <c r="I5041" s="26" t="str">
        <f>IF(OR(E5041="",E5041="!!!",F5041="NEW"),"",INDEX(B5040:B$2,-1+SUMPRODUCT(MAX(ROW(E5040:E$2)*(E5041=E5040:E$2)))))</f>
        <v> </v>
      </c>
      <c r="J5041" s="26" t="str">
        <f>IF(OR(E5041="",E5041="!!!",F5041="NEW"),"",COUNTBLANK(OFFSET(A$1,,,SUMPRODUCT(MAX(ROW(E$2:E5041)*(E5041=E$2:E5041)))))-COUNTBLANK(OFFSET(A$1,,,SUMPRODUCT(MAX(ROW(E$1:E5040)*(E2=E$1:E5040))))))</f>
        <v> </v>
      </c>
      <c r="K5041" s="26" t="str">
        <f>IF(OR(E5041="",E5041="!!!",F5041="NEW"),"",INDEX(J$1:J5040,SUMPRODUCT(MAX(ROW(E$1:E5040)*(E5041=E$1:E5040)))))</f>
        <v> </v>
      </c>
      <c r="L5041" s="27"/>
    </row>
    <row r="5042" spans="1:12">
      <c r="A5042" s="20" t="s">
        <v>2850</v>
      </c>
      <c r="B5042" s="21" t="s">
        <v>1215</v>
      </c>
      <c r="C5042" s="21" t="s">
        <v>1269</v>
      </c>
      <c r="D5042" s="21" t="s">
        <v>1217</v>
      </c>
      <c r="E5042" s="22">
        <f>IF(D5042="?OLD","!!!","")</f>
        <v/>
      </c>
      <c r="F5042" s="23" t="str">
        <f>IF(OR(E5042="",E5042="!!!"),"",IF(NOT(ISNA(VLOOKUP(E5042,E$1:E5041,1,FALSE()))),"OLD",IF(AND(E5042&lt;&gt;"",E5042&lt;&gt;"!!!"),"NEW","")))</f>
        <v> </v>
      </c>
      <c r="G5042" s="24" t="str">
        <f>IF(OR(E5042="",E5042="!!!"),"",IF(OR(J5042=0,AND(J5042=1,K5042=1),AND(J5042=1,I5042="SBJ"),AND(J5042=1,I5042=0)),"?IN_FOCUS",IF(J5042&lt;=2,"?ACTIVATED",IF(J5042&lt;&gt;"","?FAMILIAR",IF(F5042="NEW",IF(ISNA(VLOOKUP(E5042,#REF!,1,FALSE())),"?TYPE_IDENTIFIABLE","?REFERENTIAL"),"_")))))</f>
        <v> </v>
      </c>
      <c r="H5042" s="25" t="str">
        <f>IF(J5042&lt;&gt;1,"",IF(I5042="SBJ","CB","?"))</f>
        <v> </v>
      </c>
      <c r="I5042" s="26" t="str">
        <f>IF(OR(E5042="",E5042="!!!",F5042="NEW"),"",INDEX(B5041:B$2,-1+SUMPRODUCT(MAX(ROW(E5041:E$2)*(E5042=E5041:E$2)))))</f>
        <v> </v>
      </c>
      <c r="J5042" s="26" t="str">
        <f>IF(OR(E5042="",E5042="!!!",F5042="NEW"),"",COUNTBLANK(OFFSET(A$1,,,SUMPRODUCT(MAX(ROW(E$2:E5042)*(E5042=E$2:E5042)))))-COUNTBLANK(OFFSET(A$1,,,SUMPRODUCT(MAX(ROW(E$1:E5041)*(E2=E$1:E5041))))))</f>
        <v> </v>
      </c>
      <c r="K5042" s="26" t="str">
        <f>IF(OR(E5042="",E5042="!!!",F5042="NEW"),"",INDEX(J$1:J5041,SUMPRODUCT(MAX(ROW(E$1:E5041)*(E5042=E$1:E5041)))))</f>
        <v> </v>
      </c>
      <c r="L5042" s="27"/>
    </row>
    <row r="5043" spans="1:12">
      <c r="A5043" s="20" t="s">
        <v>1321</v>
      </c>
      <c r="E5043" s="22">
        <f>IF(D5043="?OLD","!!!","")</f>
        <v/>
      </c>
      <c r="F5043" s="23" t="str">
        <f>IF(OR(E5043="",E5043="!!!"),"",IF(NOT(ISNA(VLOOKUP(E5043,E$1:E5042,1,FALSE()))),"OLD",IF(AND(E5043&lt;&gt;"",E5043&lt;&gt;"!!!"),"NEW","")))</f>
        <v> </v>
      </c>
      <c r="G5043" s="24" t="str">
        <f>IF(OR(E5043="",E5043="!!!"),"",IF(OR(J5043=0,AND(J5043=1,K5043=1),AND(J5043=1,I5043="SBJ"),AND(J5043=1,I5043=0)),"?IN_FOCUS",IF(J5043&lt;=2,"?ACTIVATED",IF(J5043&lt;&gt;"","?FAMILIAR",IF(F5043="NEW",IF(ISNA(VLOOKUP(E5043,#REF!,1,FALSE())),"?TYPE_IDENTIFIABLE","?REFERENTIAL"),"_")))))</f>
        <v> </v>
      </c>
      <c r="H5043" s="25" t="str">
        <f>IF(J5043&lt;&gt;1,"",IF(I5043="SBJ","CB","?"))</f>
        <v> </v>
      </c>
      <c r="I5043" s="26" t="str">
        <f>IF(OR(E5043="",E5043="!!!",F5043="NEW"),"",INDEX(B5042:B$2,-1+SUMPRODUCT(MAX(ROW(E5042:E$2)*(E5043=E5042:E$2)))))</f>
        <v> </v>
      </c>
      <c r="J5043" s="26" t="str">
        <f>IF(OR(E5043="",E5043="!!!",F5043="NEW"),"",COUNTBLANK(OFFSET(A$1,,,SUMPRODUCT(MAX(ROW(E$2:E5043)*(E5043=E$2:E5043)))))-COUNTBLANK(OFFSET(A$1,,,SUMPRODUCT(MAX(ROW(E$1:E5042)*(E2=E$1:E5042))))))</f>
        <v> </v>
      </c>
      <c r="K5043" s="26" t="str">
        <f>IF(OR(E5043="",E5043="!!!",F5043="NEW"),"",INDEX(J$1:J5042,SUMPRODUCT(MAX(ROW(E$1:E5042)*(E5043=E$1:E5042)))))</f>
        <v> </v>
      </c>
      <c r="L5043" s="27"/>
    </row>
    <row r="5044" spans="1:12">
      <c r="A5044" s="20" t="s">
        <v>1547</v>
      </c>
      <c r="B5044" s="21" t="s">
        <v>1283</v>
      </c>
      <c r="C5044" s="21" t="s">
        <v>1225</v>
      </c>
      <c r="D5044" s="21" t="s">
        <v>1217</v>
      </c>
      <c r="E5044" s="22">
        <f>IF(D5044="?OLD","!!!","")</f>
        <v/>
      </c>
      <c r="F5044" s="23" t="str">
        <f>IF(OR(E5044="",E5044="!!!"),"",IF(NOT(ISNA(VLOOKUP(E5044,E$1:E5043,1,FALSE()))),"OLD",IF(AND(E5044&lt;&gt;"",E5044&lt;&gt;"!!!"),"NEW","")))</f>
        <v> </v>
      </c>
      <c r="G5044" s="24" t="str">
        <f>IF(OR(E5044="",E5044="!!!"),"",IF(OR(J5044=0,AND(J5044=1,K5044=1),AND(J5044=1,I5044="SBJ"),AND(J5044=1,I5044=0)),"?IN_FOCUS",IF(J5044&lt;=2,"?ACTIVATED",IF(J5044&lt;&gt;"","?FAMILIAR",IF(F5044="NEW",IF(ISNA(VLOOKUP(E5044,#REF!,1,FALSE())),"?TYPE_IDENTIFIABLE","?REFERENTIAL"),"_")))))</f>
        <v> </v>
      </c>
      <c r="H5044" s="25" t="str">
        <f>IF(J5044&lt;&gt;1,"",IF(I5044="SBJ","CB","?"))</f>
        <v> </v>
      </c>
      <c r="I5044" s="26" t="str">
        <f>IF(OR(E5044="",E5044="!!!",F5044="NEW"),"",INDEX(B5043:B$2,-1+SUMPRODUCT(MAX(ROW(E5043:E$2)*(E5044=E5043:E$2)))))</f>
        <v> </v>
      </c>
      <c r="J5044" s="26" t="str">
        <f>IF(OR(E5044="",E5044="!!!",F5044="NEW"),"",COUNTBLANK(OFFSET(A$1,,,SUMPRODUCT(MAX(ROW(E$2:E5044)*(E5044=E$2:E5044)))))-COUNTBLANK(OFFSET(A$1,,,SUMPRODUCT(MAX(ROW(E$1:E5043)*(E2=E$1:E5043))))))</f>
        <v> </v>
      </c>
      <c r="K5044" s="26" t="str">
        <f>IF(OR(E5044="",E5044="!!!",F5044="NEW"),"",INDEX(J$1:J5043,SUMPRODUCT(MAX(ROW(E$1:E5043)*(E5044=E$1:E5043)))))</f>
        <v> </v>
      </c>
      <c r="L5044" s="27"/>
    </row>
    <row r="5045" spans="1:12">
      <c r="A5045" s="20" t="s">
        <v>1327</v>
      </c>
      <c r="B5045" s="21" t="s">
        <v>1237</v>
      </c>
      <c r="C5045" s="21" t="s">
        <v>1255</v>
      </c>
      <c r="D5045" s="21" t="s">
        <v>1217</v>
      </c>
      <c r="E5045" s="22">
        <f>IF(D5045="?OLD","!!!","")</f>
        <v/>
      </c>
      <c r="F5045" s="23" t="str">
        <f>IF(OR(E5045="",E5045="!!!"),"",IF(NOT(ISNA(VLOOKUP(E5045,E$1:E5044,1,FALSE()))),"OLD",IF(AND(E5045&lt;&gt;"",E5045&lt;&gt;"!!!"),"NEW","")))</f>
        <v> </v>
      </c>
      <c r="G5045" s="24" t="str">
        <f>IF(OR(E5045="",E5045="!!!"),"",IF(OR(J5045=0,AND(J5045=1,K5045=1),AND(J5045=1,I5045="SBJ"),AND(J5045=1,I5045=0)),"?IN_FOCUS",IF(J5045&lt;=2,"?ACTIVATED",IF(J5045&lt;&gt;"","?FAMILIAR",IF(F5045="NEW",IF(ISNA(VLOOKUP(E5045,#REF!,1,FALSE())),"?TYPE_IDENTIFIABLE","?REFERENTIAL"),"_")))))</f>
        <v> </v>
      </c>
      <c r="H5045" s="25" t="str">
        <f>IF(J5045&lt;&gt;1,"",IF(I5045="SBJ","CB","?"))</f>
        <v> </v>
      </c>
      <c r="I5045" s="26" t="str">
        <f>IF(OR(E5045="",E5045="!!!",F5045="NEW"),"",INDEX(B5044:B$2,-1+SUMPRODUCT(MAX(ROW(E5044:E$2)*(E5045=E5044:E$2)))))</f>
        <v> </v>
      </c>
      <c r="J5045" s="26" t="str">
        <f>IF(OR(E5045="",E5045="!!!",F5045="NEW"),"",COUNTBLANK(OFFSET(A$1,,,SUMPRODUCT(MAX(ROW(E$2:E5045)*(E5045=E$2:E5045)))))-COUNTBLANK(OFFSET(A$1,,,SUMPRODUCT(MAX(ROW(E$1:E5044)*(E2=E$1:E5044))))))</f>
        <v> </v>
      </c>
      <c r="K5045" s="26" t="str">
        <f>IF(OR(E5045="",E5045="!!!",F5045="NEW"),"",INDEX(J$1:J5044,SUMPRODUCT(MAX(ROW(E$1:E5044)*(E5045=E$1:E5044)))))</f>
        <v> </v>
      </c>
      <c r="L5045" s="27"/>
    </row>
    <row r="5046" spans="1:12">
      <c r="A5046" s="20" t="s">
        <v>1348</v>
      </c>
      <c r="E5046" s="22">
        <f>IF(D5046="?OLD","!!!","")</f>
        <v/>
      </c>
      <c r="F5046" s="23" t="str">
        <f>IF(OR(E5046="",E5046="!!!"),"",IF(NOT(ISNA(VLOOKUP(E5046,E$1:E5045,1,FALSE()))),"OLD",IF(AND(E5046&lt;&gt;"",E5046&lt;&gt;"!!!"),"NEW","")))</f>
        <v> </v>
      </c>
      <c r="G5046" s="24" t="str">
        <f>IF(OR(E5046="",E5046="!!!"),"",IF(OR(J5046=0,AND(J5046=1,K5046=1),AND(J5046=1,I5046="SBJ"),AND(J5046=1,I5046=0)),"?IN_FOCUS",IF(J5046&lt;=2,"?ACTIVATED",IF(J5046&lt;&gt;"","?FAMILIAR",IF(F5046="NEW",IF(ISNA(VLOOKUP(E5046,#REF!,1,FALSE())),"?TYPE_IDENTIFIABLE","?REFERENTIAL"),"_")))))</f>
        <v> </v>
      </c>
      <c r="H5046" s="25" t="str">
        <f>IF(J5046&lt;&gt;1,"",IF(I5046="SBJ","CB","?"))</f>
        <v> </v>
      </c>
      <c r="I5046" s="26" t="str">
        <f>IF(OR(E5046="",E5046="!!!",F5046="NEW"),"",INDEX(B5045:B$2,-1+SUMPRODUCT(MAX(ROW(E5045:E$2)*(E5046=E5045:E$2)))))</f>
        <v> </v>
      </c>
      <c r="J5046" s="26" t="str">
        <f>IF(OR(E5046="",E5046="!!!",F5046="NEW"),"",COUNTBLANK(OFFSET(A$1,,,SUMPRODUCT(MAX(ROW(E$2:E5046)*(E5046=E$2:E5046)))))-COUNTBLANK(OFFSET(A$1,,,SUMPRODUCT(MAX(ROW(E$1:E5045)*(E2=E$1:E5045))))))</f>
        <v> </v>
      </c>
      <c r="K5046" s="26" t="str">
        <f>IF(OR(E5046="",E5046="!!!",F5046="NEW"),"",INDEX(J$1:J5045,SUMPRODUCT(MAX(ROW(E$1:E5045)*(E5046=E$1:E5045)))))</f>
        <v> </v>
      </c>
      <c r="L5046" s="27"/>
    </row>
    <row r="5047" spans="1:12">
      <c r="A5047" s="20" t="s">
        <v>2851</v>
      </c>
      <c r="E5047" s="22">
        <f>IF(D5047="?OLD","!!!","")</f>
        <v/>
      </c>
      <c r="F5047" s="23" t="str">
        <f>IF(OR(E5047="",E5047="!!!"),"",IF(NOT(ISNA(VLOOKUP(E5047,E$1:E5046,1,FALSE()))),"OLD",IF(AND(E5047&lt;&gt;"",E5047&lt;&gt;"!!!"),"NEW","")))</f>
        <v> </v>
      </c>
      <c r="G5047" s="24" t="str">
        <f>IF(OR(E5047="",E5047="!!!"),"",IF(OR(J5047=0,AND(J5047=1,K5047=1),AND(J5047=1,I5047="SBJ"),AND(J5047=1,I5047=0)),"?IN_FOCUS",IF(J5047&lt;=2,"?ACTIVATED",IF(J5047&lt;&gt;"","?FAMILIAR",IF(F5047="NEW",IF(ISNA(VLOOKUP(E5047,#REF!,1,FALSE())),"?TYPE_IDENTIFIABLE","?REFERENTIAL"),"_")))))</f>
        <v> </v>
      </c>
      <c r="H5047" s="25" t="str">
        <f>IF(J5047&lt;&gt;1,"",IF(I5047="SBJ","CB","?"))</f>
        <v> </v>
      </c>
      <c r="I5047" s="26" t="str">
        <f>IF(OR(E5047="",E5047="!!!",F5047="NEW"),"",INDEX(B5046:B$2,-1+SUMPRODUCT(MAX(ROW(E5046:E$2)*(E5047=E5046:E$2)))))</f>
        <v> </v>
      </c>
      <c r="J5047" s="26" t="str">
        <f>IF(OR(E5047="",E5047="!!!",F5047="NEW"),"",COUNTBLANK(OFFSET(A$1,,,SUMPRODUCT(MAX(ROW(E$2:E5047)*(E5047=E$2:E5047)))))-COUNTBLANK(OFFSET(A$1,,,SUMPRODUCT(MAX(ROW(E$1:E5046)*(E2=E$1:E5046))))))</f>
        <v> </v>
      </c>
      <c r="K5047" s="26" t="str">
        <f>IF(OR(E5047="",E5047="!!!",F5047="NEW"),"",INDEX(J$1:J5046,SUMPRODUCT(MAX(ROW(E$1:E5046)*(E5047=E$1:E5046)))))</f>
        <v> </v>
      </c>
      <c r="L5047" s="27"/>
    </row>
    <row r="5048" spans="1:12">
      <c r="A5048" s="20" t="s">
        <v>1257</v>
      </c>
      <c r="E5048" s="22">
        <f>IF(D5048="?OLD","!!!","")</f>
        <v/>
      </c>
      <c r="F5048" s="23" t="str">
        <f>IF(OR(E5048="",E5048="!!!"),"",IF(NOT(ISNA(VLOOKUP(E5048,E$1:E5047,1,FALSE()))),"OLD",IF(AND(E5048&lt;&gt;"",E5048&lt;&gt;"!!!"),"NEW","")))</f>
        <v> </v>
      </c>
      <c r="G5048" s="24" t="str">
        <f>IF(OR(E5048="",E5048="!!!"),"",IF(OR(J5048=0,AND(J5048=1,K5048=1),AND(J5048=1,I5048="SBJ"),AND(J5048=1,I5048=0)),"?IN_FOCUS",IF(J5048&lt;=2,"?ACTIVATED",IF(J5048&lt;&gt;"","?FAMILIAR",IF(F5048="NEW",IF(ISNA(VLOOKUP(E5048,#REF!,1,FALSE())),"?TYPE_IDENTIFIABLE","?REFERENTIAL"),"_")))))</f>
        <v> </v>
      </c>
      <c r="H5048" s="25" t="str">
        <f>IF(J5048&lt;&gt;1,"",IF(I5048="SBJ","CB","?"))</f>
        <v> </v>
      </c>
      <c r="I5048" s="26" t="str">
        <f>IF(OR(E5048="",E5048="!!!",F5048="NEW"),"",INDEX(B5047:B$2,-1+SUMPRODUCT(MAX(ROW(E5047:E$2)*(E5048=E5047:E$2)))))</f>
        <v> </v>
      </c>
      <c r="J5048" s="26" t="str">
        <f>IF(OR(E5048="",E5048="!!!",F5048="NEW"),"",COUNTBLANK(OFFSET(A$1,,,SUMPRODUCT(MAX(ROW(E$2:E5048)*(E5048=E$2:E5048)))))-COUNTBLANK(OFFSET(A$1,,,SUMPRODUCT(MAX(ROW(E$1:E5047)*(E2=E$1:E5047))))))</f>
        <v> </v>
      </c>
      <c r="K5048" s="26" t="str">
        <f>IF(OR(E5048="",E5048="!!!",F5048="NEW"),"",INDEX(J$1:J5047,SUMPRODUCT(MAX(ROW(E$1:E5047)*(E5048=E$1:E5047)))))</f>
        <v> </v>
      </c>
      <c r="L5048" s="27"/>
    </row>
    <row r="5049" spans="1:12">
      <c r="A5049" s="20" t="s">
        <v>1266</v>
      </c>
      <c r="E5049" s="22">
        <f>IF(D5049="?OLD","!!!","")</f>
        <v/>
      </c>
      <c r="F5049" s="23" t="str">
        <f>IF(OR(E5049="",E5049="!!!"),"",IF(NOT(ISNA(VLOOKUP(E5049,E$1:E5048,1,FALSE()))),"OLD",IF(AND(E5049&lt;&gt;"",E5049&lt;&gt;"!!!"),"NEW","")))</f>
        <v> </v>
      </c>
      <c r="G5049" s="24" t="str">
        <f>IF(OR(E5049="",E5049="!!!"),"",IF(OR(J5049=0,AND(J5049=1,K5049=1),AND(J5049=1,I5049="SBJ"),AND(J5049=1,I5049=0)),"?IN_FOCUS",IF(J5049&lt;=2,"?ACTIVATED",IF(J5049&lt;&gt;"","?FAMILIAR",IF(F5049="NEW",IF(ISNA(VLOOKUP(E5049,#REF!,1,FALSE())),"?TYPE_IDENTIFIABLE","?REFERENTIAL"),"_")))))</f>
        <v> </v>
      </c>
      <c r="H5049" s="25" t="str">
        <f>IF(J5049&lt;&gt;1,"",IF(I5049="SBJ","CB","?"))</f>
        <v> </v>
      </c>
      <c r="I5049" s="26" t="str">
        <f>IF(OR(E5049="",E5049="!!!",F5049="NEW"),"",INDEX(B5048:B$2,-1+SUMPRODUCT(MAX(ROW(E5048:E$2)*(E5049=E5048:E$2)))))</f>
        <v> </v>
      </c>
      <c r="J5049" s="26" t="str">
        <f>IF(OR(E5049="",E5049="!!!",F5049="NEW"),"",COUNTBLANK(OFFSET(A$1,,,SUMPRODUCT(MAX(ROW(E$2:E5049)*(E5049=E$2:E5049)))))-COUNTBLANK(OFFSET(A$1,,,SUMPRODUCT(MAX(ROW(E$1:E5048)*(E2=E$1:E5048))))))</f>
        <v> </v>
      </c>
      <c r="K5049" s="26" t="str">
        <f>IF(OR(E5049="",E5049="!!!",F5049="NEW"),"",INDEX(J$1:J5048,SUMPRODUCT(MAX(ROW(E$1:E5048)*(E5049=E$1:E5048)))))</f>
        <v> </v>
      </c>
      <c r="L5049" s="27"/>
    </row>
    <row r="5050" spans="1:12">
      <c r="A5050" s="20" t="s">
        <v>139</v>
      </c>
      <c r="B5050" s="21" t="s">
        <v>1224</v>
      </c>
      <c r="C5050" s="21" t="s">
        <v>1269</v>
      </c>
      <c r="D5050" s="21" t="s">
        <v>1217</v>
      </c>
      <c r="E5050" s="22">
        <f>IF(D5050="?OLD","!!!","")</f>
        <v/>
      </c>
      <c r="F5050" s="23" t="str">
        <f>IF(OR(E5050="",E5050="!!!"),"",IF(NOT(ISNA(VLOOKUP(E5050,E$1:E5049,1,FALSE()))),"OLD",IF(AND(E5050&lt;&gt;"",E5050&lt;&gt;"!!!"),"NEW","")))</f>
        <v> </v>
      </c>
      <c r="G5050" s="24" t="str">
        <f>IF(OR(E5050="",E5050="!!!"),"",IF(OR(J5050=0,AND(J5050=1,K5050=1),AND(J5050=1,I5050="SBJ"),AND(J5050=1,I5050=0)),"?IN_FOCUS",IF(J5050&lt;=2,"?ACTIVATED",IF(J5050&lt;&gt;"","?FAMILIAR",IF(F5050="NEW",IF(ISNA(VLOOKUP(E5050,#REF!,1,FALSE())),"?TYPE_IDENTIFIABLE","?REFERENTIAL"),"_")))))</f>
        <v> </v>
      </c>
      <c r="H5050" s="25" t="str">
        <f>IF(J5050&lt;&gt;1,"",IF(I5050="SBJ","CB","?"))</f>
        <v> </v>
      </c>
      <c r="I5050" s="26" t="str">
        <f>IF(OR(E5050="",E5050="!!!",F5050="NEW"),"",INDEX(B5049:B$2,-1+SUMPRODUCT(MAX(ROW(E5049:E$2)*(E5050=E5049:E$2)))))</f>
        <v> </v>
      </c>
      <c r="J5050" s="26" t="str">
        <f>IF(OR(E5050="",E5050="!!!",F5050="NEW"),"",COUNTBLANK(OFFSET(A$1,,,SUMPRODUCT(MAX(ROW(E$2:E5050)*(E5050=E$2:E5050)))))-COUNTBLANK(OFFSET(A$1,,,SUMPRODUCT(MAX(ROW(E$1:E5049)*(E2=E$1:E5049))))))</f>
        <v> </v>
      </c>
      <c r="K5050" s="26" t="str">
        <f>IF(OR(E5050="",E5050="!!!",F5050="NEW"),"",INDEX(J$1:J5049,SUMPRODUCT(MAX(ROW(E$1:E5049)*(E5050=E$1:E5049)))))</f>
        <v> </v>
      </c>
      <c r="L5050" s="27"/>
    </row>
    <row r="5051" spans="1:12">
      <c r="A5051" s="20" t="s">
        <v>1262</v>
      </c>
      <c r="E5051" s="22">
        <f>IF(D5051="?OLD","!!!","")</f>
        <v/>
      </c>
      <c r="F5051" s="23" t="str">
        <f>IF(OR(E5051="",E5051="!!!"),"",IF(NOT(ISNA(VLOOKUP(E5051,E$1:E5050,1,FALSE()))),"OLD",IF(AND(E5051&lt;&gt;"",E5051&lt;&gt;"!!!"),"NEW","")))</f>
        <v> </v>
      </c>
      <c r="G5051" s="24" t="str">
        <f>IF(OR(E5051="",E5051="!!!"),"",IF(OR(J5051=0,AND(J5051=1,K5051=1),AND(J5051=1,I5051="SBJ"),AND(J5051=1,I5051=0)),"?IN_FOCUS",IF(J5051&lt;=2,"?ACTIVATED",IF(J5051&lt;&gt;"","?FAMILIAR",IF(F5051="NEW",IF(ISNA(VLOOKUP(E5051,#REF!,1,FALSE())),"?TYPE_IDENTIFIABLE","?REFERENTIAL"),"_")))))</f>
        <v> </v>
      </c>
      <c r="H5051" s="25" t="str">
        <f>IF(J5051&lt;&gt;1,"",IF(I5051="SBJ","CB","?"))</f>
        <v> </v>
      </c>
      <c r="I5051" s="26" t="str">
        <f>IF(OR(E5051="",E5051="!!!",F5051="NEW"),"",INDEX(B5050:B$2,-1+SUMPRODUCT(MAX(ROW(E5050:E$2)*(E5051=E5050:E$2)))))</f>
        <v> </v>
      </c>
      <c r="J5051" s="26" t="str">
        <f>IF(OR(E5051="",E5051="!!!",F5051="NEW"),"",COUNTBLANK(OFFSET(A$1,,,SUMPRODUCT(MAX(ROW(E$2:E5051)*(E5051=E$2:E5051)))))-COUNTBLANK(OFFSET(A$1,,,SUMPRODUCT(MAX(ROW(E$1:E5050)*(E2=E$1:E5050))))))</f>
        <v> </v>
      </c>
      <c r="K5051" s="26" t="str">
        <f>IF(OR(E5051="",E5051="!!!",F5051="NEW"),"",INDEX(J$1:J5050,SUMPRODUCT(MAX(ROW(E$1:E5050)*(E5051=E$1:E5050)))))</f>
        <v> </v>
      </c>
      <c r="L5051" s="27"/>
    </row>
    <row r="5052" spans="1:12">
      <c r="A5052" s="20"/>
    </row>
    <row r="5053" spans="1:12">
      <c r="A5053" s="20" t="s">
        <v>2852</v>
      </c>
    </row>
    <row r="5054" spans="1:12">
      <c r="A5054" s="20" t="s">
        <v>1952</v>
      </c>
      <c r="E5054" s="22">
        <f>IF(D5054="?OLD","!!!","")</f>
        <v/>
      </c>
      <c r="F5054" s="23" t="str">
        <f>IF(OR(E5054="",E5054="!!!"),"",IF(NOT(ISNA(VLOOKUP(E5054,E$1:E5053,1,FALSE()))),"OLD",IF(AND(E5054&lt;&gt;"",E5054&lt;&gt;"!!!"),"NEW","")))</f>
        <v> </v>
      </c>
      <c r="G5054" s="24" t="str">
        <f>IF(OR(E5054="",E5054="!!!"),"",IF(OR(J5054=0,AND(J5054=1,K5054=1),AND(J5054=1,I5054="SBJ"),AND(J5054=1,I5054=0)),"?IN_FOCUS",IF(J5054&lt;=2,"?ACTIVATED",IF(J5054&lt;&gt;"","?FAMILIAR",IF(F5054="NEW",IF(ISNA(VLOOKUP(E5054,#REF!,1,FALSE())),"?TYPE_IDENTIFIABLE","?REFERENTIAL"),"_")))))</f>
        <v> </v>
      </c>
      <c r="H5054" s="25" t="str">
        <f>IF(J5054&lt;&gt;1,"",IF(I5054="SBJ","CB","?"))</f>
        <v> </v>
      </c>
      <c r="I5054" s="26" t="str">
        <f>IF(OR(E5054="",E5054="!!!",F5054="NEW"),"",INDEX(B5053:B$2,-1+SUMPRODUCT(MAX(ROW(E5053:E$2)*(E5054=E5053:E$2)))))</f>
        <v> </v>
      </c>
      <c r="J5054" s="26" t="str">
        <f>IF(OR(E5054="",E5054="!!!",F5054="NEW"),"",COUNTBLANK(OFFSET(A$1,,,SUMPRODUCT(MAX(ROW(E$2:E5054)*(E5054=E$2:E5054)))))-COUNTBLANK(OFFSET(A$1,,,SUMPRODUCT(MAX(ROW(E$1:E5053)*(E2=E$1:E5053))))))</f>
        <v> </v>
      </c>
      <c r="K5054" s="26" t="str">
        <f>IF(OR(E5054="",E5054="!!!",F5054="NEW"),"",INDEX(J$1:J5053,SUMPRODUCT(MAX(ROW(E$1:E5053)*(E5054=E$1:E5053)))))</f>
        <v> </v>
      </c>
      <c r="L5054" s="27"/>
    </row>
    <row r="5055" spans="1:12">
      <c r="A5055" s="20" t="s">
        <v>1471</v>
      </c>
      <c r="E5055" s="22">
        <f>IF(D5055="?OLD","!!!","")</f>
        <v/>
      </c>
      <c r="F5055" s="23" t="str">
        <f>IF(OR(E5055="",E5055="!!!"),"",IF(NOT(ISNA(VLOOKUP(E5055,E$1:E5054,1,FALSE()))),"OLD",IF(AND(E5055&lt;&gt;"",E5055&lt;&gt;"!!!"),"NEW","")))</f>
        <v> </v>
      </c>
      <c r="G5055" s="24" t="str">
        <f>IF(OR(E5055="",E5055="!!!"),"",IF(OR(J5055=0,AND(J5055=1,K5055=1),AND(J5055=1,I5055="SBJ"),AND(J5055=1,I5055=0)),"?IN_FOCUS",IF(J5055&lt;=2,"?ACTIVATED",IF(J5055&lt;&gt;"","?FAMILIAR",IF(F5055="NEW",IF(ISNA(VLOOKUP(E5055,#REF!,1,FALSE())),"?TYPE_IDENTIFIABLE","?REFERENTIAL"),"_")))))</f>
        <v> </v>
      </c>
      <c r="H5055" s="25" t="str">
        <f>IF(J5055&lt;&gt;1,"",IF(I5055="SBJ","CB","?"))</f>
        <v> </v>
      </c>
      <c r="I5055" s="26" t="str">
        <f>IF(OR(E5055="",E5055="!!!",F5055="NEW"),"",INDEX(B5054:B$2,-1+SUMPRODUCT(MAX(ROW(E5054:E$2)*(E5055=E5054:E$2)))))</f>
        <v> </v>
      </c>
      <c r="J5055" s="26" t="str">
        <f>IF(OR(E5055="",E5055="!!!",F5055="NEW"),"",COUNTBLANK(OFFSET(A$1,,,SUMPRODUCT(MAX(ROW(E$2:E5055)*(E5055=E$2:E5055)))))-COUNTBLANK(OFFSET(A$1,,,SUMPRODUCT(MAX(ROW(E$1:E5054)*(E2=E$1:E5054))))))</f>
        <v> </v>
      </c>
      <c r="K5055" s="26" t="str">
        <f>IF(OR(E5055="",E5055="!!!",F5055="NEW"),"",INDEX(J$1:J5054,SUMPRODUCT(MAX(ROW(E$1:E5054)*(E5055=E$1:E5054)))))</f>
        <v> </v>
      </c>
      <c r="L5055" s="27"/>
    </row>
    <row r="5056" spans="1:12">
      <c r="A5056" s="20" t="s">
        <v>2800</v>
      </c>
      <c r="B5056" s="21" t="s">
        <v>1244</v>
      </c>
      <c r="C5056" s="21" t="s">
        <v>1238</v>
      </c>
      <c r="E5056" s="22">
        <f>IF(D5056="?OLD","!!!","")</f>
        <v/>
      </c>
      <c r="F5056" s="23" t="str">
        <f>IF(OR(E5056="",E5056="!!!"),"",IF(NOT(ISNA(VLOOKUP(E5056,E$1:E5055,1,FALSE()))),"OLD",IF(AND(E5056&lt;&gt;"",E5056&lt;&gt;"!!!"),"NEW","")))</f>
        <v> </v>
      </c>
      <c r="G5056" s="24" t="str">
        <f>IF(OR(E5056="",E5056="!!!"),"",IF(OR(J5056=0,AND(J5056=1,K5056=1),AND(J5056=1,I5056="SBJ"),AND(J5056=1,I5056=0)),"?IN_FOCUS",IF(J5056&lt;=2,"?ACTIVATED",IF(J5056&lt;&gt;"","?FAMILIAR",IF(F5056="NEW",IF(ISNA(VLOOKUP(E5056,#REF!,1,FALSE())),"?TYPE_IDENTIFIABLE","?REFERENTIAL"),"_")))))</f>
        <v> </v>
      </c>
      <c r="H5056" s="25" t="str">
        <f>IF(J5056&lt;&gt;1,"",IF(I5056="SBJ","CB","?"))</f>
        <v> </v>
      </c>
      <c r="I5056" s="26" t="str">
        <f>IF(OR(E5056="",E5056="!!!",F5056="NEW"),"",INDEX(B5055:B$2,-1+SUMPRODUCT(MAX(ROW(E5055:E$2)*(E5056=E5055:E$2)))))</f>
        <v> </v>
      </c>
      <c r="J5056" s="26" t="str">
        <f>IF(OR(E5056="",E5056="!!!",F5056="NEW"),"",COUNTBLANK(OFFSET(A$1,,,SUMPRODUCT(MAX(ROW(E$2:E5056)*(E5056=E$2:E5056)))))-COUNTBLANK(OFFSET(A$1,,,SUMPRODUCT(MAX(ROW(E$1:E5055)*(E2=E$1:E5055))))))</f>
        <v> </v>
      </c>
      <c r="K5056" s="26" t="str">
        <f>IF(OR(E5056="",E5056="!!!",F5056="NEW"),"",INDEX(J$1:J5055,SUMPRODUCT(MAX(ROW(E$1:E5055)*(E5056=E$1:E5055)))))</f>
        <v> </v>
      </c>
      <c r="L5056" s="27"/>
    </row>
    <row r="5057" spans="1:12">
      <c r="A5057" s="20" t="s">
        <v>1218</v>
      </c>
      <c r="E5057" s="22">
        <f>IF(D5057="?OLD","!!!","")</f>
        <v/>
      </c>
      <c r="F5057" s="23" t="str">
        <f>IF(OR(E5057="",E5057="!!!"),"",IF(NOT(ISNA(VLOOKUP(E5057,E$1:E5056,1,FALSE()))),"OLD",IF(AND(E5057&lt;&gt;"",E5057&lt;&gt;"!!!"),"NEW","")))</f>
        <v> </v>
      </c>
      <c r="G5057" s="24" t="str">
        <f>IF(OR(E5057="",E5057="!!!"),"",IF(OR(J5057=0,AND(J5057=1,K5057=1),AND(J5057=1,I5057="SBJ"),AND(J5057=1,I5057=0)),"?IN_FOCUS",IF(J5057&lt;=2,"?ACTIVATED",IF(J5057&lt;&gt;"","?FAMILIAR",IF(F5057="NEW",IF(ISNA(VLOOKUP(E5057,#REF!,1,FALSE())),"?TYPE_IDENTIFIABLE","?REFERENTIAL"),"_")))))</f>
        <v> </v>
      </c>
      <c r="H5057" s="25" t="str">
        <f>IF(J5057&lt;&gt;1,"",IF(I5057="SBJ","CB","?"))</f>
        <v> </v>
      </c>
      <c r="I5057" s="26" t="str">
        <f>IF(OR(E5057="",E5057="!!!",F5057="NEW"),"",INDEX(B5056:B$2,-1+SUMPRODUCT(MAX(ROW(E5056:E$2)*(E5057=E5056:E$2)))))</f>
        <v> </v>
      </c>
      <c r="J5057" s="26" t="str">
        <f>IF(OR(E5057="",E5057="!!!",F5057="NEW"),"",COUNTBLANK(OFFSET(A$1,,,SUMPRODUCT(MAX(ROW(E$2:E5057)*(E5057=E$2:E5057)))))-COUNTBLANK(OFFSET(A$1,,,SUMPRODUCT(MAX(ROW(E$1:E5056)*(E2=E$1:E5056))))))</f>
        <v> </v>
      </c>
      <c r="K5057" s="26" t="str">
        <f>IF(OR(E5057="",E5057="!!!",F5057="NEW"),"",INDEX(J$1:J5056,SUMPRODUCT(MAX(ROW(E$1:E5056)*(E5057=E$1:E5056)))))</f>
        <v> </v>
      </c>
      <c r="L5057" s="27"/>
    </row>
    <row r="5058" spans="1:12">
      <c r="A5058" s="20" t="s">
        <v>2853</v>
      </c>
      <c r="B5058" s="21" t="s">
        <v>1221</v>
      </c>
      <c r="C5058" s="21" t="s">
        <v>1279</v>
      </c>
      <c r="E5058" s="22">
        <f>IF(D5058="?OLD","!!!","")</f>
        <v/>
      </c>
      <c r="F5058" s="23" t="str">
        <f>IF(OR(E5058="",E5058="!!!"),"",IF(NOT(ISNA(VLOOKUP(E5058,E$1:E5057,1,FALSE()))),"OLD",IF(AND(E5058&lt;&gt;"",E5058&lt;&gt;"!!!"),"NEW","")))</f>
        <v> </v>
      </c>
      <c r="G5058" s="24" t="str">
        <f>IF(OR(E5058="",E5058="!!!"),"",IF(OR(J5058=0,AND(J5058=1,K5058=1),AND(J5058=1,I5058="SBJ"),AND(J5058=1,I5058=0)),"?IN_FOCUS",IF(J5058&lt;=2,"?ACTIVATED",IF(J5058&lt;&gt;"","?FAMILIAR",IF(F5058="NEW",IF(ISNA(VLOOKUP(E5058,#REF!,1,FALSE())),"?TYPE_IDENTIFIABLE","?REFERENTIAL"),"_")))))</f>
        <v> </v>
      </c>
      <c r="H5058" s="25" t="str">
        <f>IF(J5058&lt;&gt;1,"",IF(I5058="SBJ","CB","?"))</f>
        <v> </v>
      </c>
      <c r="I5058" s="26" t="str">
        <f>IF(OR(E5058="",E5058="!!!",F5058="NEW"),"",INDEX(B5057:B$2,-1+SUMPRODUCT(MAX(ROW(E5057:E$2)*(E5058=E5057:E$2)))))</f>
        <v> </v>
      </c>
      <c r="J5058" s="26" t="str">
        <f>IF(OR(E5058="",E5058="!!!",F5058="NEW"),"",COUNTBLANK(OFFSET(A$1,,,SUMPRODUCT(MAX(ROW(E$2:E5058)*(E5058=E$2:E5058)))))-COUNTBLANK(OFFSET(A$1,,,SUMPRODUCT(MAX(ROW(E$1:E5057)*(E2=E$1:E5057))))))</f>
        <v> </v>
      </c>
      <c r="K5058" s="26" t="str">
        <f>IF(OR(E5058="",E5058="!!!",F5058="NEW"),"",INDEX(J$1:J5057,SUMPRODUCT(MAX(ROW(E$1:E5057)*(E5058=E$1:E5057)))))</f>
        <v> </v>
      </c>
      <c r="L5058" s="27"/>
    </row>
    <row r="5059" spans="1:12">
      <c r="A5059" s="20" t="s">
        <v>2854</v>
      </c>
      <c r="E5059" s="22">
        <f>IF(D5059="?OLD","!!!","")</f>
        <v/>
      </c>
      <c r="F5059" s="23" t="str">
        <f>IF(OR(E5059="",E5059="!!!"),"",IF(NOT(ISNA(VLOOKUP(E5059,E$1:E5058,1,FALSE()))),"OLD",IF(AND(E5059&lt;&gt;"",E5059&lt;&gt;"!!!"),"NEW","")))</f>
        <v> </v>
      </c>
      <c r="G5059" s="24" t="str">
        <f>IF(OR(E5059="",E5059="!!!"),"",IF(OR(J5059=0,AND(J5059=1,K5059=1),AND(J5059=1,I5059="SBJ"),AND(J5059=1,I5059=0)),"?IN_FOCUS",IF(J5059&lt;=2,"?ACTIVATED",IF(J5059&lt;&gt;"","?FAMILIAR",IF(F5059="NEW",IF(ISNA(VLOOKUP(E5059,#REF!,1,FALSE())),"?TYPE_IDENTIFIABLE","?REFERENTIAL"),"_")))))</f>
        <v> </v>
      </c>
      <c r="H5059" s="25" t="str">
        <f>IF(J5059&lt;&gt;1,"",IF(I5059="SBJ","CB","?"))</f>
        <v> </v>
      </c>
      <c r="I5059" s="26" t="str">
        <f>IF(OR(E5059="",E5059="!!!",F5059="NEW"),"",INDEX(B5058:B$2,-1+SUMPRODUCT(MAX(ROW(E5058:E$2)*(E5059=E5058:E$2)))))</f>
        <v> </v>
      </c>
      <c r="J5059" s="26" t="str">
        <f>IF(OR(E5059="",E5059="!!!",F5059="NEW"),"",COUNTBLANK(OFFSET(A$1,,,SUMPRODUCT(MAX(ROW(E$2:E5059)*(E5059=E$2:E5059)))))-COUNTBLANK(OFFSET(A$1,,,SUMPRODUCT(MAX(ROW(E$1:E5058)*(E2=E$1:E5058))))))</f>
        <v> </v>
      </c>
      <c r="K5059" s="26" t="str">
        <f>IF(OR(E5059="",E5059="!!!",F5059="NEW"),"",INDEX(J$1:J5058,SUMPRODUCT(MAX(ROW(E$1:E5058)*(E5059=E$1:E5058)))))</f>
        <v> </v>
      </c>
      <c r="L5059" s="27"/>
    </row>
    <row r="5060" spans="1:12">
      <c r="A5060" s="20" t="s">
        <v>1218</v>
      </c>
      <c r="E5060" s="22">
        <f>IF(D5060="?OLD","!!!","")</f>
        <v/>
      </c>
      <c r="F5060" s="23" t="str">
        <f>IF(OR(E5060="",E5060="!!!"),"",IF(NOT(ISNA(VLOOKUP(E5060,E$1:E5059,1,FALSE()))),"OLD",IF(AND(E5060&lt;&gt;"",E5060&lt;&gt;"!!!"),"NEW","")))</f>
        <v> </v>
      </c>
      <c r="G5060" s="24" t="str">
        <f>IF(OR(E5060="",E5060="!!!"),"",IF(OR(J5060=0,AND(J5060=1,K5060=1),AND(J5060=1,I5060="SBJ"),AND(J5060=1,I5060=0)),"?IN_FOCUS",IF(J5060&lt;=2,"?ACTIVATED",IF(J5060&lt;&gt;"","?FAMILIAR",IF(F5060="NEW",IF(ISNA(VLOOKUP(E5060,#REF!,1,FALSE())),"?TYPE_IDENTIFIABLE","?REFERENTIAL"),"_")))))</f>
        <v> </v>
      </c>
      <c r="H5060" s="25" t="str">
        <f>IF(J5060&lt;&gt;1,"",IF(I5060="SBJ","CB","?"))</f>
        <v> </v>
      </c>
      <c r="I5060" s="26" t="str">
        <f>IF(OR(E5060="",E5060="!!!",F5060="NEW"),"",INDEX(B5059:B$2,-1+SUMPRODUCT(MAX(ROW(E5059:E$2)*(E5060=E5059:E$2)))))</f>
        <v> </v>
      </c>
      <c r="J5060" s="26" t="str">
        <f>IF(OR(E5060="",E5060="!!!",F5060="NEW"),"",COUNTBLANK(OFFSET(A$1,,,SUMPRODUCT(MAX(ROW(E$2:E5060)*(E5060=E$2:E5060)))))-COUNTBLANK(OFFSET(A$1,,,SUMPRODUCT(MAX(ROW(E$1:E5059)*(E2=E$1:E5059))))))</f>
        <v> </v>
      </c>
      <c r="K5060" s="26" t="str">
        <f>IF(OR(E5060="",E5060="!!!",F5060="NEW"),"",INDEX(J$1:J5059,SUMPRODUCT(MAX(ROW(E$1:E5059)*(E5060=E$1:E5059)))))</f>
        <v> </v>
      </c>
      <c r="L5060" s="27"/>
    </row>
    <row r="5061" spans="1:12">
      <c r="A5061" s="20" t="s">
        <v>1323</v>
      </c>
      <c r="E5061" s="22">
        <f>IF(D5061="?OLD","!!!","")</f>
        <v/>
      </c>
      <c r="F5061" s="23" t="str">
        <f>IF(OR(E5061="",E5061="!!!"),"",IF(NOT(ISNA(VLOOKUP(E5061,E$1:E5060,1,FALSE()))),"OLD",IF(AND(E5061&lt;&gt;"",E5061&lt;&gt;"!!!"),"NEW","")))</f>
        <v> </v>
      </c>
      <c r="G5061" s="24" t="str">
        <f>IF(OR(E5061="",E5061="!!!"),"",IF(OR(J5061=0,AND(J5061=1,K5061=1),AND(J5061=1,I5061="SBJ"),AND(J5061=1,I5061=0)),"?IN_FOCUS",IF(J5061&lt;=2,"?ACTIVATED",IF(J5061&lt;&gt;"","?FAMILIAR",IF(F5061="NEW",IF(ISNA(VLOOKUP(E5061,#REF!,1,FALSE())),"?TYPE_IDENTIFIABLE","?REFERENTIAL"),"_")))))</f>
        <v> </v>
      </c>
      <c r="H5061" s="25" t="str">
        <f>IF(J5061&lt;&gt;1,"",IF(I5061="SBJ","CB","?"))</f>
        <v> </v>
      </c>
      <c r="I5061" s="26" t="str">
        <f>IF(OR(E5061="",E5061="!!!",F5061="NEW"),"",INDEX(B5060:B$2,-1+SUMPRODUCT(MAX(ROW(E5060:E$2)*(E5061=E5060:E$2)))))</f>
        <v> </v>
      </c>
      <c r="J5061" s="26" t="str">
        <f>IF(OR(E5061="",E5061="!!!",F5061="NEW"),"",COUNTBLANK(OFFSET(A$1,,,SUMPRODUCT(MAX(ROW(E$2:E5061)*(E5061=E$2:E5061)))))-COUNTBLANK(OFFSET(A$1,,,SUMPRODUCT(MAX(ROW(E$1:E5060)*(E2=E$1:E5060))))))</f>
        <v> </v>
      </c>
      <c r="K5061" s="26" t="str">
        <f>IF(OR(E5061="",E5061="!!!",F5061="NEW"),"",INDEX(J$1:J5060,SUMPRODUCT(MAX(ROW(E$1:E5060)*(E5061=E$1:E5060)))))</f>
        <v> </v>
      </c>
      <c r="L5061" s="27"/>
    </row>
    <row r="5062" spans="1:12">
      <c r="A5062" s="20" t="s">
        <v>2855</v>
      </c>
      <c r="B5062" s="21" t="s">
        <v>1226</v>
      </c>
      <c r="C5062" s="21" t="s">
        <v>1269</v>
      </c>
      <c r="D5062" s="21" t="s">
        <v>1217</v>
      </c>
      <c r="E5062" s="22">
        <f>IF(D5062="?OLD","!!!","")</f>
        <v/>
      </c>
      <c r="F5062" s="23" t="str">
        <f>IF(OR(E5062="",E5062="!!!"),"",IF(NOT(ISNA(VLOOKUP(E5062,E$1:E5061,1,FALSE()))),"OLD",IF(AND(E5062&lt;&gt;"",E5062&lt;&gt;"!!!"),"NEW","")))</f>
        <v> </v>
      </c>
      <c r="G5062" s="24" t="str">
        <f>IF(OR(E5062="",E5062="!!!"),"",IF(OR(J5062=0,AND(J5062=1,K5062=1),AND(J5062=1,I5062="SBJ"),AND(J5062=1,I5062=0)),"?IN_FOCUS",IF(J5062&lt;=2,"?ACTIVATED",IF(J5062&lt;&gt;"","?FAMILIAR",IF(F5062="NEW",IF(ISNA(VLOOKUP(E5062,#REF!,1,FALSE())),"?TYPE_IDENTIFIABLE","?REFERENTIAL"),"_")))))</f>
        <v> </v>
      </c>
      <c r="H5062" s="25" t="str">
        <f>IF(J5062&lt;&gt;1,"",IF(I5062="SBJ","CB","?"))</f>
        <v> </v>
      </c>
      <c r="I5062" s="26" t="str">
        <f>IF(OR(E5062="",E5062="!!!",F5062="NEW"),"",INDEX(B5061:B$2,-1+SUMPRODUCT(MAX(ROW(E5061:E$2)*(E5062=E5061:E$2)))))</f>
        <v> </v>
      </c>
      <c r="J5062" s="26" t="str">
        <f>IF(OR(E5062="",E5062="!!!",F5062="NEW"),"",COUNTBLANK(OFFSET(A$1,,,SUMPRODUCT(MAX(ROW(E$2:E5062)*(E5062=E$2:E5062)))))-COUNTBLANK(OFFSET(A$1,,,SUMPRODUCT(MAX(ROW(E$1:E5061)*(E2=E$1:E5061))))))</f>
        <v> </v>
      </c>
      <c r="K5062" s="26" t="str">
        <f>IF(OR(E5062="",E5062="!!!",F5062="NEW"),"",INDEX(J$1:J5061,SUMPRODUCT(MAX(ROW(E$1:E5061)*(E5062=E$1:E5061)))))</f>
        <v> </v>
      </c>
      <c r="L5062" s="27"/>
    </row>
    <row r="5063" spans="1:12">
      <c r="A5063" s="20" t="s">
        <v>1277</v>
      </c>
      <c r="E5063" s="22">
        <f>IF(D5063="?OLD","!!!","")</f>
        <v/>
      </c>
      <c r="F5063" s="23" t="str">
        <f>IF(OR(E5063="",E5063="!!!"),"",IF(NOT(ISNA(VLOOKUP(E5063,E$1:E5062,1,FALSE()))),"OLD",IF(AND(E5063&lt;&gt;"",E5063&lt;&gt;"!!!"),"NEW","")))</f>
        <v> </v>
      </c>
      <c r="G5063" s="24" t="str">
        <f>IF(OR(E5063="",E5063="!!!"),"",IF(OR(J5063=0,AND(J5063=1,K5063=1),AND(J5063=1,I5063="SBJ"),AND(J5063=1,I5063=0)),"?IN_FOCUS",IF(J5063&lt;=2,"?ACTIVATED",IF(J5063&lt;&gt;"","?FAMILIAR",IF(F5063="NEW",IF(ISNA(VLOOKUP(E5063,#REF!,1,FALSE())),"?TYPE_IDENTIFIABLE","?REFERENTIAL"),"_")))))</f>
        <v> </v>
      </c>
      <c r="H5063" s="25" t="str">
        <f>IF(J5063&lt;&gt;1,"",IF(I5063="SBJ","CB","?"))</f>
        <v> </v>
      </c>
      <c r="I5063" s="26" t="str">
        <f>IF(OR(E5063="",E5063="!!!",F5063="NEW"),"",INDEX(B5062:B$2,-1+SUMPRODUCT(MAX(ROW(E5062:E$2)*(E5063=E5062:E$2)))))</f>
        <v> </v>
      </c>
      <c r="J5063" s="26" t="str">
        <f>IF(OR(E5063="",E5063="!!!",F5063="NEW"),"",COUNTBLANK(OFFSET(A$1,,,SUMPRODUCT(MAX(ROW(E$2:E5063)*(E5063=E$2:E5063)))))-COUNTBLANK(OFFSET(A$1,,,SUMPRODUCT(MAX(ROW(E$1:E5062)*(E2=E$1:E5062))))))</f>
        <v> </v>
      </c>
      <c r="K5063" s="26" t="str">
        <f>IF(OR(E5063="",E5063="!!!",F5063="NEW"),"",INDEX(J$1:J5062,SUMPRODUCT(MAX(ROW(E$1:E5062)*(E5063=E$1:E5062)))))</f>
        <v> </v>
      </c>
      <c r="L5063" s="27"/>
    </row>
    <row r="5064" spans="1:12">
      <c r="A5064" s="20" t="s">
        <v>565</v>
      </c>
      <c r="B5064" s="21" t="s">
        <v>1215</v>
      </c>
      <c r="C5064" s="21" t="s">
        <v>1255</v>
      </c>
      <c r="D5064" s="21" t="s">
        <v>1217</v>
      </c>
      <c r="E5064" s="22">
        <f>IF(D5064="?OLD","!!!","")</f>
        <v/>
      </c>
      <c r="F5064" s="23" t="str">
        <f>IF(OR(E5064="",E5064="!!!"),"",IF(NOT(ISNA(VLOOKUP(E5064,E$1:E5063,1,FALSE()))),"OLD",IF(AND(E5064&lt;&gt;"",E5064&lt;&gt;"!!!"),"NEW","")))</f>
        <v> </v>
      </c>
      <c r="G5064" s="24" t="str">
        <f>IF(OR(E5064="",E5064="!!!"),"",IF(OR(J5064=0,AND(J5064=1,K5064=1),AND(J5064=1,I5064="SBJ"),AND(J5064=1,I5064=0)),"?IN_FOCUS",IF(J5064&lt;=2,"?ACTIVATED",IF(J5064&lt;&gt;"","?FAMILIAR",IF(F5064="NEW",IF(ISNA(VLOOKUP(E5064,#REF!,1,FALSE())),"?TYPE_IDENTIFIABLE","?REFERENTIAL"),"_")))))</f>
        <v> </v>
      </c>
      <c r="H5064" s="25" t="str">
        <f>IF(J5064&lt;&gt;1,"",IF(I5064="SBJ","CB","?"))</f>
        <v> </v>
      </c>
      <c r="I5064" s="26" t="str">
        <f>IF(OR(E5064="",E5064="!!!",F5064="NEW"),"",INDEX(B5063:B$2,-1+SUMPRODUCT(MAX(ROW(E5063:E$2)*(E5064=E5063:E$2)))))</f>
        <v> </v>
      </c>
      <c r="J5064" s="26" t="str">
        <f>IF(OR(E5064="",E5064="!!!",F5064="NEW"),"",COUNTBLANK(OFFSET(A$1,,,SUMPRODUCT(MAX(ROW(E$2:E5064)*(E5064=E$2:E5064)))))-COUNTBLANK(OFFSET(A$1,,,SUMPRODUCT(MAX(ROW(E$1:E5063)*(E2=E$1:E5063))))))</f>
        <v> </v>
      </c>
      <c r="K5064" s="26" t="str">
        <f>IF(OR(E5064="",E5064="!!!",F5064="NEW"),"",INDEX(J$1:J5063,SUMPRODUCT(MAX(ROW(E$1:E5063)*(E5064=E$1:E5063)))))</f>
        <v> </v>
      </c>
      <c r="L5064" s="27"/>
    </row>
    <row r="5065" spans="1:12">
      <c r="A5065" s="20" t="s">
        <v>1327</v>
      </c>
      <c r="B5065" s="21" t="s">
        <v>1275</v>
      </c>
      <c r="C5065" s="21" t="s">
        <v>1255</v>
      </c>
      <c r="D5065" s="21" t="s">
        <v>1217</v>
      </c>
      <c r="E5065" s="22">
        <f>IF(D5065="?OLD","!!!","")</f>
        <v/>
      </c>
      <c r="F5065" s="23" t="str">
        <f>IF(OR(E5065="",E5065="!!!"),"",IF(NOT(ISNA(VLOOKUP(E5065,E$1:E5064,1,FALSE()))),"OLD",IF(AND(E5065&lt;&gt;"",E5065&lt;&gt;"!!!"),"NEW","")))</f>
        <v> </v>
      </c>
      <c r="G5065" s="24" t="str">
        <f>IF(OR(E5065="",E5065="!!!"),"",IF(OR(J5065=0,AND(J5065=1,K5065=1),AND(J5065=1,I5065="SBJ"),AND(J5065=1,I5065=0)),"?IN_FOCUS",IF(J5065&lt;=2,"?ACTIVATED",IF(J5065&lt;&gt;"","?FAMILIAR",IF(F5065="NEW",IF(ISNA(VLOOKUP(E5065,#REF!,1,FALSE())),"?TYPE_IDENTIFIABLE","?REFERENTIAL"),"_")))))</f>
        <v> </v>
      </c>
      <c r="H5065" s="25" t="str">
        <f>IF(J5065&lt;&gt;1,"",IF(I5065="SBJ","CB","?"))</f>
        <v> </v>
      </c>
      <c r="I5065" s="26" t="str">
        <f>IF(OR(E5065="",E5065="!!!",F5065="NEW"),"",INDEX(B5064:B$2,-1+SUMPRODUCT(MAX(ROW(E5064:E$2)*(E5065=E5064:E$2)))))</f>
        <v> </v>
      </c>
      <c r="J5065" s="26" t="str">
        <f>IF(OR(E5065="",E5065="!!!",F5065="NEW"),"",COUNTBLANK(OFFSET(A$1,,,SUMPRODUCT(MAX(ROW(E$2:E5065)*(E5065=E$2:E5065)))))-COUNTBLANK(OFFSET(A$1,,,SUMPRODUCT(MAX(ROW(E$1:E5064)*(E2=E$1:E5064))))))</f>
        <v> </v>
      </c>
      <c r="K5065" s="26" t="str">
        <f>IF(OR(E5065="",E5065="!!!",F5065="NEW"),"",INDEX(J$1:J5064,SUMPRODUCT(MAX(ROW(E$1:E5064)*(E5065=E$1:E5064)))))</f>
        <v> </v>
      </c>
      <c r="L5065" s="27"/>
    </row>
    <row r="5066" spans="1:12">
      <c r="A5066" s="20" t="s">
        <v>2856</v>
      </c>
      <c r="B5066" s="21" t="s">
        <v>1275</v>
      </c>
      <c r="C5066" s="21" t="s">
        <v>1255</v>
      </c>
      <c r="D5066" s="21" t="s">
        <v>1217</v>
      </c>
      <c r="E5066" s="22">
        <f>IF(D5066="?OLD","!!!","")</f>
        <v/>
      </c>
      <c r="F5066" s="23" t="str">
        <f>IF(OR(E5066="",E5066="!!!"),"",IF(NOT(ISNA(VLOOKUP(E5066,E$1:E5065,1,FALSE()))),"OLD",IF(AND(E5066&lt;&gt;"",E5066&lt;&gt;"!!!"),"NEW","")))</f>
        <v> </v>
      </c>
      <c r="G5066" s="24" t="str">
        <f>IF(OR(E5066="",E5066="!!!"),"",IF(OR(J5066=0,AND(J5066=1,K5066=1),AND(J5066=1,I5066="SBJ"),AND(J5066=1,I5066=0)),"?IN_FOCUS",IF(J5066&lt;=2,"?ACTIVATED",IF(J5066&lt;&gt;"","?FAMILIAR",IF(F5066="NEW",IF(ISNA(VLOOKUP(E5066,#REF!,1,FALSE())),"?TYPE_IDENTIFIABLE","?REFERENTIAL"),"_")))))</f>
        <v> </v>
      </c>
      <c r="H5066" s="25" t="str">
        <f>IF(J5066&lt;&gt;1,"",IF(I5066="SBJ","CB","?"))</f>
        <v> </v>
      </c>
      <c r="I5066" s="26" t="str">
        <f>IF(OR(E5066="",E5066="!!!",F5066="NEW"),"",INDEX(B5065:B$2,-1+SUMPRODUCT(MAX(ROW(E5065:E$2)*(E5066=E5065:E$2)))))</f>
        <v> </v>
      </c>
      <c r="J5066" s="26" t="str">
        <f>IF(OR(E5066="",E5066="!!!",F5066="NEW"),"",COUNTBLANK(OFFSET(A$1,,,SUMPRODUCT(MAX(ROW(E$2:E5066)*(E5066=E$2:E5066)))))-COUNTBLANK(OFFSET(A$1,,,SUMPRODUCT(MAX(ROW(E$1:E5065)*(E2=E$1:E5065))))))</f>
        <v> </v>
      </c>
      <c r="K5066" s="26" t="str">
        <f>IF(OR(E5066="",E5066="!!!",F5066="NEW"),"",INDEX(J$1:J5065,SUMPRODUCT(MAX(ROW(E$1:E5065)*(E5066=E$1:E5065)))))</f>
        <v> </v>
      </c>
      <c r="L5066" s="27"/>
    </row>
    <row r="5067" spans="1:12">
      <c r="A5067" s="20" t="s">
        <v>1058</v>
      </c>
      <c r="E5067" s="22">
        <f>IF(D5067="?OLD","!!!","")</f>
        <v/>
      </c>
      <c r="F5067" s="23" t="str">
        <f>IF(OR(E5067="",E5067="!!!"),"",IF(NOT(ISNA(VLOOKUP(E5067,E$1:E5066,1,FALSE()))),"OLD",IF(AND(E5067&lt;&gt;"",E5067&lt;&gt;"!!!"),"NEW","")))</f>
        <v> </v>
      </c>
      <c r="G5067" s="24" t="str">
        <f>IF(OR(E5067="",E5067="!!!"),"",IF(OR(J5067=0,AND(J5067=1,K5067=1),AND(J5067=1,I5067="SBJ"),AND(J5067=1,I5067=0)),"?IN_FOCUS",IF(J5067&lt;=2,"?ACTIVATED",IF(J5067&lt;&gt;"","?FAMILIAR",IF(F5067="NEW",IF(ISNA(VLOOKUP(E5067,#REF!,1,FALSE())),"?TYPE_IDENTIFIABLE","?REFERENTIAL"),"_")))))</f>
        <v> </v>
      </c>
      <c r="H5067" s="25" t="str">
        <f>IF(J5067&lt;&gt;1,"",IF(I5067="SBJ","CB","?"))</f>
        <v> </v>
      </c>
      <c r="I5067" s="26" t="str">
        <f>IF(OR(E5067="",E5067="!!!",F5067="NEW"),"",INDEX(B5066:B$2,-1+SUMPRODUCT(MAX(ROW(E5066:E$2)*(E5067=E5066:E$2)))))</f>
        <v> </v>
      </c>
      <c r="J5067" s="26" t="str">
        <f>IF(OR(E5067="",E5067="!!!",F5067="NEW"),"",COUNTBLANK(OFFSET(A$1,,,SUMPRODUCT(MAX(ROW(E$2:E5067)*(E5067=E$2:E5067)))))-COUNTBLANK(OFFSET(A$1,,,SUMPRODUCT(MAX(ROW(E$1:E5066)*(E2=E$1:E5066))))))</f>
        <v> </v>
      </c>
      <c r="K5067" s="26" t="str">
        <f>IF(OR(E5067="",E5067="!!!",F5067="NEW"),"",INDEX(J$1:J5066,SUMPRODUCT(MAX(ROW(E$1:E5066)*(E5067=E$1:E5066)))))</f>
        <v> </v>
      </c>
      <c r="L5067" s="27"/>
    </row>
    <row r="5068" spans="1:12">
      <c r="A5068" s="20" t="s">
        <v>1476</v>
      </c>
      <c r="E5068" s="22">
        <f>IF(D5068="?OLD","!!!","")</f>
        <v/>
      </c>
      <c r="F5068" s="23" t="str">
        <f>IF(OR(E5068="",E5068="!!!"),"",IF(NOT(ISNA(VLOOKUP(E5068,E$1:E5067,1,FALSE()))),"OLD",IF(AND(E5068&lt;&gt;"",E5068&lt;&gt;"!!!"),"NEW","")))</f>
        <v> </v>
      </c>
      <c r="G5068" s="24" t="str">
        <f>IF(OR(E5068="",E5068="!!!"),"",IF(OR(J5068=0,AND(J5068=1,K5068=1),AND(J5068=1,I5068="SBJ"),AND(J5068=1,I5068=0)),"?IN_FOCUS",IF(J5068&lt;=2,"?ACTIVATED",IF(J5068&lt;&gt;"","?FAMILIAR",IF(F5068="NEW",IF(ISNA(VLOOKUP(E5068,#REF!,1,FALSE())),"?TYPE_IDENTIFIABLE","?REFERENTIAL"),"_")))))</f>
        <v> </v>
      </c>
      <c r="H5068" s="25" t="str">
        <f>IF(J5068&lt;&gt;1,"",IF(I5068="SBJ","CB","?"))</f>
        <v> </v>
      </c>
      <c r="I5068" s="26" t="str">
        <f>IF(OR(E5068="",E5068="!!!",F5068="NEW"),"",INDEX(B5067:B$2,-1+SUMPRODUCT(MAX(ROW(E5067:E$2)*(E5068=E5067:E$2)))))</f>
        <v> </v>
      </c>
      <c r="J5068" s="26" t="str">
        <f>IF(OR(E5068="",E5068="!!!",F5068="NEW"),"",COUNTBLANK(OFFSET(A$1,,,SUMPRODUCT(MAX(ROW(E$2:E5068)*(E5068=E$2:E5068)))))-COUNTBLANK(OFFSET(A$1,,,SUMPRODUCT(MAX(ROW(E$1:E5067)*(E2=E$1:E5067))))))</f>
        <v> </v>
      </c>
      <c r="K5068" s="26" t="str">
        <f>IF(OR(E5068="",E5068="!!!",F5068="NEW"),"",INDEX(J$1:J5067,SUMPRODUCT(MAX(ROW(E$1:E5067)*(E5068=E$1:E5067)))))</f>
        <v> </v>
      </c>
      <c r="L5068" s="27"/>
    </row>
    <row r="5069" spans="1:12">
      <c r="A5069" s="20" t="s">
        <v>323</v>
      </c>
      <c r="B5069" s="21" t="s">
        <v>1275</v>
      </c>
      <c r="C5069" s="21" t="s">
        <v>1297</v>
      </c>
      <c r="E5069" s="22">
        <f>IF(D5069="?OLD","!!!","")</f>
        <v/>
      </c>
      <c r="F5069" s="23" t="str">
        <f>IF(OR(E5069="",E5069="!!!"),"",IF(NOT(ISNA(VLOOKUP(E5069,E$1:E5068,1,FALSE()))),"OLD",IF(AND(E5069&lt;&gt;"",E5069&lt;&gt;"!!!"),"NEW","")))</f>
        <v> </v>
      </c>
      <c r="G5069" s="24" t="str">
        <f>IF(OR(E5069="",E5069="!!!"),"",IF(OR(J5069=0,AND(J5069=1,K5069=1),AND(J5069=1,I5069="SBJ"),AND(J5069=1,I5069=0)),"?IN_FOCUS",IF(J5069&lt;=2,"?ACTIVATED",IF(J5069&lt;&gt;"","?FAMILIAR",IF(F5069="NEW",IF(ISNA(VLOOKUP(E5069,#REF!,1,FALSE())),"?TYPE_IDENTIFIABLE","?REFERENTIAL"),"_")))))</f>
        <v> </v>
      </c>
      <c r="H5069" s="25" t="str">
        <f>IF(J5069&lt;&gt;1,"",IF(I5069="SBJ","CB","?"))</f>
        <v> </v>
      </c>
      <c r="I5069" s="26" t="str">
        <f>IF(OR(E5069="",E5069="!!!",F5069="NEW"),"",INDEX(B5068:B$2,-1+SUMPRODUCT(MAX(ROW(E5068:E$2)*(E5069=E5068:E$2)))))</f>
        <v> </v>
      </c>
      <c r="J5069" s="26" t="str">
        <f>IF(OR(E5069="",E5069="!!!",F5069="NEW"),"",COUNTBLANK(OFFSET(A$1,,,SUMPRODUCT(MAX(ROW(E$2:E5069)*(E5069=E$2:E5069)))))-COUNTBLANK(OFFSET(A$1,,,SUMPRODUCT(MAX(ROW(E$1:E5068)*(E2=E$1:E5068))))))</f>
        <v> </v>
      </c>
      <c r="K5069" s="26" t="str">
        <f>IF(OR(E5069="",E5069="!!!",F5069="NEW"),"",INDEX(J$1:J5068,SUMPRODUCT(MAX(ROW(E$1:E5068)*(E5069=E$1:E5068)))))</f>
        <v> </v>
      </c>
      <c r="L5069" s="27"/>
    </row>
    <row r="5070" spans="1:12">
      <c r="A5070" s="20" t="s">
        <v>1218</v>
      </c>
      <c r="E5070" s="22">
        <f>IF(D5070="?OLD","!!!","")</f>
        <v/>
      </c>
      <c r="F5070" s="23" t="str">
        <f>IF(OR(E5070="",E5070="!!!"),"",IF(NOT(ISNA(VLOOKUP(E5070,E$1:E5069,1,FALSE()))),"OLD",IF(AND(E5070&lt;&gt;"",E5070&lt;&gt;"!!!"),"NEW","")))</f>
        <v> </v>
      </c>
      <c r="G5070" s="24" t="str">
        <f>IF(OR(E5070="",E5070="!!!"),"",IF(OR(J5070=0,AND(J5070=1,K5070=1),AND(J5070=1,I5070="SBJ"),AND(J5070=1,I5070=0)),"?IN_FOCUS",IF(J5070&lt;=2,"?ACTIVATED",IF(J5070&lt;&gt;"","?FAMILIAR",IF(F5070="NEW",IF(ISNA(VLOOKUP(E5070,#REF!,1,FALSE())),"?TYPE_IDENTIFIABLE","?REFERENTIAL"),"_")))))</f>
        <v> </v>
      </c>
      <c r="H5070" s="25" t="str">
        <f>IF(J5070&lt;&gt;1,"",IF(I5070="SBJ","CB","?"))</f>
        <v> </v>
      </c>
      <c r="I5070" s="26" t="str">
        <f>IF(OR(E5070="",E5070="!!!",F5070="NEW"),"",INDEX(B5069:B$2,-1+SUMPRODUCT(MAX(ROW(E5069:E$2)*(E5070=E5069:E$2)))))</f>
        <v> </v>
      </c>
      <c r="J5070" s="26" t="str">
        <f>IF(OR(E5070="",E5070="!!!",F5070="NEW"),"",COUNTBLANK(OFFSET(A$1,,,SUMPRODUCT(MAX(ROW(E$2:E5070)*(E5070=E$2:E5070)))))-COUNTBLANK(OFFSET(A$1,,,SUMPRODUCT(MAX(ROW(E$1:E5069)*(E2=E$1:E5069))))))</f>
        <v> </v>
      </c>
      <c r="K5070" s="26" t="str">
        <f>IF(OR(E5070="",E5070="!!!",F5070="NEW"),"",INDEX(J$1:J5069,SUMPRODUCT(MAX(ROW(E$1:E5069)*(E5070=E$1:E5069)))))</f>
        <v> </v>
      </c>
      <c r="L5070" s="27"/>
    </row>
    <row r="5071" spans="1:12">
      <c r="A5071" s="20" t="s">
        <v>2114</v>
      </c>
      <c r="B5071" s="21" t="s">
        <v>1221</v>
      </c>
      <c r="C5071" s="21" t="s">
        <v>1279</v>
      </c>
      <c r="E5071" s="22">
        <f>IF(D5071="?OLD","!!!","")</f>
        <v/>
      </c>
      <c r="F5071" s="23" t="str">
        <f>IF(OR(E5071="",E5071="!!!"),"",IF(NOT(ISNA(VLOOKUP(E5071,E$1:E5070,1,FALSE()))),"OLD",IF(AND(E5071&lt;&gt;"",E5071&lt;&gt;"!!!"),"NEW","")))</f>
        <v> </v>
      </c>
      <c r="G5071" s="24" t="str">
        <f>IF(OR(E5071="",E5071="!!!"),"",IF(OR(J5071=0,AND(J5071=1,K5071=1),AND(J5071=1,I5071="SBJ"),AND(J5071=1,I5071=0)),"?IN_FOCUS",IF(J5071&lt;=2,"?ACTIVATED",IF(J5071&lt;&gt;"","?FAMILIAR",IF(F5071="NEW",IF(ISNA(VLOOKUP(E5071,#REF!,1,FALSE())),"?TYPE_IDENTIFIABLE","?REFERENTIAL"),"_")))))</f>
        <v> </v>
      </c>
      <c r="H5071" s="25" t="str">
        <f>IF(J5071&lt;&gt;1,"",IF(I5071="SBJ","CB","?"))</f>
        <v> </v>
      </c>
      <c r="I5071" s="26" t="str">
        <f>IF(OR(E5071="",E5071="!!!",F5071="NEW"),"",INDEX(B5070:B$2,-1+SUMPRODUCT(MAX(ROW(E5070:E$2)*(E5071=E5070:E$2)))))</f>
        <v> </v>
      </c>
      <c r="J5071" s="26" t="str">
        <f>IF(OR(E5071="",E5071="!!!",F5071="NEW"),"",COUNTBLANK(OFFSET(A$1,,,SUMPRODUCT(MAX(ROW(E$2:E5071)*(E5071=E$2:E5071)))))-COUNTBLANK(OFFSET(A$1,,,SUMPRODUCT(MAX(ROW(E$1:E5070)*(E2=E$1:E5070))))))</f>
        <v> </v>
      </c>
      <c r="K5071" s="26" t="str">
        <f>IF(OR(E5071="",E5071="!!!",F5071="NEW"),"",INDEX(J$1:J5070,SUMPRODUCT(MAX(ROW(E$1:E5070)*(E5071=E$1:E5070)))))</f>
        <v> </v>
      </c>
      <c r="L5071" s="27"/>
    </row>
    <row r="5072" spans="1:12">
      <c r="A5072" s="20" t="s">
        <v>1262</v>
      </c>
      <c r="E5072" s="22">
        <f>IF(D5072="?OLD","!!!","")</f>
        <v/>
      </c>
      <c r="F5072" s="23" t="str">
        <f>IF(OR(E5072="",E5072="!!!"),"",IF(NOT(ISNA(VLOOKUP(E5072,E$1:E5071,1,FALSE()))),"OLD",IF(AND(E5072&lt;&gt;"",E5072&lt;&gt;"!!!"),"NEW","")))</f>
        <v> </v>
      </c>
      <c r="G5072" s="24" t="str">
        <f>IF(OR(E5072="",E5072="!!!"),"",IF(OR(J5072=0,AND(J5072=1,K5072=1),AND(J5072=1,I5072="SBJ"),AND(J5072=1,I5072=0)),"?IN_FOCUS",IF(J5072&lt;=2,"?ACTIVATED",IF(J5072&lt;&gt;"","?FAMILIAR",IF(F5072="NEW",IF(ISNA(VLOOKUP(E5072,#REF!,1,FALSE())),"?TYPE_IDENTIFIABLE","?REFERENTIAL"),"_")))))</f>
        <v> </v>
      </c>
      <c r="H5072" s="25" t="str">
        <f>IF(J5072&lt;&gt;1,"",IF(I5072="SBJ","CB","?"))</f>
        <v> </v>
      </c>
      <c r="I5072" s="26" t="str">
        <f>IF(OR(E5072="",E5072="!!!",F5072="NEW"),"",INDEX(B5071:B$2,-1+SUMPRODUCT(MAX(ROW(E5071:E$2)*(E5072=E5071:E$2)))))</f>
        <v> </v>
      </c>
      <c r="J5072" s="26" t="str">
        <f>IF(OR(E5072="",E5072="!!!",F5072="NEW"),"",COUNTBLANK(OFFSET(A$1,,,SUMPRODUCT(MAX(ROW(E$2:E5072)*(E5072=E$2:E5072)))))-COUNTBLANK(OFFSET(A$1,,,SUMPRODUCT(MAX(ROW(E$1:E5071)*(E2=E$1:E5071))))))</f>
        <v> </v>
      </c>
      <c r="K5072" s="26" t="str">
        <f>IF(OR(E5072="",E5072="!!!",F5072="NEW"),"",INDEX(J$1:J5071,SUMPRODUCT(MAX(ROW(E$1:E5071)*(E5072=E$1:E5071)))))</f>
        <v> </v>
      </c>
      <c r="L5072" s="27"/>
    </row>
    <row r="5073" spans="1:12">
      <c r="A5073" s="20"/>
    </row>
    <row r="5074" spans="1:12">
      <c r="A5074" s="20" t="s">
        <v>2857</v>
      </c>
    </row>
    <row r="5075" spans="1:12">
      <c r="A5075" s="20" t="s">
        <v>1658</v>
      </c>
      <c r="E5075" s="22">
        <f>IF(D5075="?OLD","!!!","")</f>
        <v/>
      </c>
      <c r="F5075" s="23" t="str">
        <f>IF(OR(E5075="",E5075="!!!"),"",IF(NOT(ISNA(VLOOKUP(E5075,E$1:E5074,1,FALSE()))),"OLD",IF(AND(E5075&lt;&gt;"",E5075&lt;&gt;"!!!"),"NEW","")))</f>
        <v> </v>
      </c>
      <c r="G5075" s="24" t="str">
        <f>IF(OR(E5075="",E5075="!!!"),"",IF(OR(J5075=0,AND(J5075=1,K5075=1),AND(J5075=1,I5075="SBJ"),AND(J5075=1,I5075=0)),"?IN_FOCUS",IF(J5075&lt;=2,"?ACTIVATED",IF(J5075&lt;&gt;"","?FAMILIAR",IF(F5075="NEW",IF(ISNA(VLOOKUP(E5075,#REF!,1,FALSE())),"?TYPE_IDENTIFIABLE","?REFERENTIAL"),"_")))))</f>
        <v> </v>
      </c>
      <c r="H5075" s="25" t="str">
        <f>IF(J5075&lt;&gt;1,"",IF(I5075="SBJ","CB","?"))</f>
        <v> </v>
      </c>
      <c r="I5075" s="26" t="str">
        <f>IF(OR(E5075="",E5075="!!!",F5075="NEW"),"",INDEX(B5074:B$2,-1+SUMPRODUCT(MAX(ROW(E5074:E$2)*(E5075=E5074:E$2)))))</f>
        <v> </v>
      </c>
      <c r="J5075" s="26" t="str">
        <f>IF(OR(E5075="",E5075="!!!",F5075="NEW"),"",COUNTBLANK(OFFSET(A$1,,,SUMPRODUCT(MAX(ROW(E$2:E5075)*(E5075=E$2:E5075)))))-COUNTBLANK(OFFSET(A$1,,,SUMPRODUCT(MAX(ROW(E$1:E5074)*(E2=E$1:E5074))))))</f>
        <v> </v>
      </c>
      <c r="K5075" s="26" t="str">
        <f>IF(OR(E5075="",E5075="!!!",F5075="NEW"),"",INDEX(J$1:J5074,SUMPRODUCT(MAX(ROW(E$1:E5074)*(E5075=E$1:E5074)))))</f>
        <v> </v>
      </c>
      <c r="L5075" s="27"/>
    </row>
    <row r="5076" spans="1:12">
      <c r="A5076" s="20" t="s">
        <v>1266</v>
      </c>
      <c r="E5076" s="22">
        <f>IF(D5076="?OLD","!!!","")</f>
        <v/>
      </c>
      <c r="F5076" s="23" t="str">
        <f>IF(OR(E5076="",E5076="!!!"),"",IF(NOT(ISNA(VLOOKUP(E5076,E$1:E5075,1,FALSE()))),"OLD",IF(AND(E5076&lt;&gt;"",E5076&lt;&gt;"!!!"),"NEW","")))</f>
        <v> </v>
      </c>
      <c r="G5076" s="24" t="str">
        <f>IF(OR(E5076="",E5076="!!!"),"",IF(OR(J5076=0,AND(J5076=1,K5076=1),AND(J5076=1,I5076="SBJ"),AND(J5076=1,I5076=0)),"?IN_FOCUS",IF(J5076&lt;=2,"?ACTIVATED",IF(J5076&lt;&gt;"","?FAMILIAR",IF(F5076="NEW",IF(ISNA(VLOOKUP(E5076,#REF!,1,FALSE())),"?TYPE_IDENTIFIABLE","?REFERENTIAL"),"_")))))</f>
        <v> </v>
      </c>
      <c r="H5076" s="25" t="str">
        <f>IF(J5076&lt;&gt;1,"",IF(I5076="SBJ","CB","?"))</f>
        <v> </v>
      </c>
      <c r="I5076" s="26" t="str">
        <f>IF(OR(E5076="",E5076="!!!",F5076="NEW"),"",INDEX(B5075:B$2,-1+SUMPRODUCT(MAX(ROW(E5075:E$2)*(E5076=E5075:E$2)))))</f>
        <v> </v>
      </c>
      <c r="J5076" s="26" t="str">
        <f>IF(OR(E5076="",E5076="!!!",F5076="NEW"),"",COUNTBLANK(OFFSET(A$1,,,SUMPRODUCT(MAX(ROW(E$2:E5076)*(E5076=E$2:E5076)))))-COUNTBLANK(OFFSET(A$1,,,SUMPRODUCT(MAX(ROW(E$1:E5075)*(E2=E$1:E5075))))))</f>
        <v> </v>
      </c>
      <c r="K5076" s="26" t="str">
        <f>IF(OR(E5076="",E5076="!!!",F5076="NEW"),"",INDEX(J$1:J5075,SUMPRODUCT(MAX(ROW(E$1:E5075)*(E5076=E$1:E5075)))))</f>
        <v> </v>
      </c>
      <c r="L5076" s="27"/>
    </row>
    <row r="5077" spans="1:12">
      <c r="A5077" s="20" t="s">
        <v>139</v>
      </c>
      <c r="B5077" s="21" t="s">
        <v>1244</v>
      </c>
      <c r="C5077" s="21" t="s">
        <v>1269</v>
      </c>
      <c r="D5077" s="21" t="s">
        <v>1217</v>
      </c>
      <c r="E5077" s="22">
        <f>IF(D5077="?OLD","!!!","")</f>
        <v/>
      </c>
      <c r="F5077" s="23" t="str">
        <f>IF(OR(E5077="",E5077="!!!"),"",IF(NOT(ISNA(VLOOKUP(E5077,E$1:E5076,1,FALSE()))),"OLD",IF(AND(E5077&lt;&gt;"",E5077&lt;&gt;"!!!"),"NEW","")))</f>
        <v> </v>
      </c>
      <c r="G5077" s="24" t="str">
        <f>IF(OR(E5077="",E5077="!!!"),"",IF(OR(J5077=0,AND(J5077=1,K5077=1),AND(J5077=1,I5077="SBJ"),AND(J5077=1,I5077=0)),"?IN_FOCUS",IF(J5077&lt;=2,"?ACTIVATED",IF(J5077&lt;&gt;"","?FAMILIAR",IF(F5077="NEW",IF(ISNA(VLOOKUP(E5077,#REF!,1,FALSE())),"?TYPE_IDENTIFIABLE","?REFERENTIAL"),"_")))))</f>
        <v> </v>
      </c>
      <c r="H5077" s="25" t="str">
        <f>IF(J5077&lt;&gt;1,"",IF(I5077="SBJ","CB","?"))</f>
        <v> </v>
      </c>
      <c r="I5077" s="26" t="str">
        <f>IF(OR(E5077="",E5077="!!!",F5077="NEW"),"",INDEX(B5076:B$2,-1+SUMPRODUCT(MAX(ROW(E5076:E$2)*(E5077=E5076:E$2)))))</f>
        <v> </v>
      </c>
      <c r="J5077" s="26" t="str">
        <f>IF(OR(E5077="",E5077="!!!",F5077="NEW"),"",COUNTBLANK(OFFSET(A$1,,,SUMPRODUCT(MAX(ROW(E$2:E5077)*(E5077=E$2:E5077)))))-COUNTBLANK(OFFSET(A$1,,,SUMPRODUCT(MAX(ROW(E$1:E5076)*(E2=E$1:E5076))))))</f>
        <v> </v>
      </c>
      <c r="K5077" s="26" t="str">
        <f>IF(OR(E5077="",E5077="!!!",F5077="NEW"),"",INDEX(J$1:J5076,SUMPRODUCT(MAX(ROW(E$1:E5076)*(E5077=E$1:E5076)))))</f>
        <v> </v>
      </c>
      <c r="L5077" s="27"/>
    </row>
    <row r="5078" spans="1:12">
      <c r="A5078" s="20" t="s">
        <v>1277</v>
      </c>
      <c r="E5078" s="22">
        <f>IF(D5078="?OLD","!!!","")</f>
        <v/>
      </c>
      <c r="F5078" s="23" t="str">
        <f>IF(OR(E5078="",E5078="!!!"),"",IF(NOT(ISNA(VLOOKUP(E5078,E$1:E5077,1,FALSE()))),"OLD",IF(AND(E5078&lt;&gt;"",E5078&lt;&gt;"!!!"),"NEW","")))</f>
        <v> </v>
      </c>
      <c r="G5078" s="24" t="str">
        <f>IF(OR(E5078="",E5078="!!!"),"",IF(OR(J5078=0,AND(J5078=1,K5078=1),AND(J5078=1,I5078="SBJ"),AND(J5078=1,I5078=0)),"?IN_FOCUS",IF(J5078&lt;=2,"?ACTIVATED",IF(J5078&lt;&gt;"","?FAMILIAR",IF(F5078="NEW",IF(ISNA(VLOOKUP(E5078,#REF!,1,FALSE())),"?TYPE_IDENTIFIABLE","?REFERENTIAL"),"_")))))</f>
        <v> </v>
      </c>
      <c r="H5078" s="25" t="str">
        <f>IF(J5078&lt;&gt;1,"",IF(I5078="SBJ","CB","?"))</f>
        <v> </v>
      </c>
      <c r="I5078" s="26" t="str">
        <f>IF(OR(E5078="",E5078="!!!",F5078="NEW"),"",INDEX(B5077:B$2,-1+SUMPRODUCT(MAX(ROW(E5077:E$2)*(E5078=E5077:E$2)))))</f>
        <v> </v>
      </c>
      <c r="J5078" s="26" t="str">
        <f>IF(OR(E5078="",E5078="!!!",F5078="NEW"),"",COUNTBLANK(OFFSET(A$1,,,SUMPRODUCT(MAX(ROW(E$2:E5078)*(E5078=E$2:E5078)))))-COUNTBLANK(OFFSET(A$1,,,SUMPRODUCT(MAX(ROW(E$1:E5077)*(E2=E$1:E5077))))))</f>
        <v> </v>
      </c>
      <c r="K5078" s="26" t="str">
        <f>IF(OR(E5078="",E5078="!!!",F5078="NEW"),"",INDEX(J$1:J5077,SUMPRODUCT(MAX(ROW(E$1:E5077)*(E5078=E$1:E5077)))))</f>
        <v> </v>
      </c>
      <c r="L5078" s="27"/>
    </row>
    <row r="5079" spans="1:12">
      <c r="A5079" s="20" t="s">
        <v>548</v>
      </c>
      <c r="B5079" s="21" t="s">
        <v>1215</v>
      </c>
      <c r="C5079" s="21" t="s">
        <v>1225</v>
      </c>
      <c r="D5079" s="21" t="s">
        <v>1217</v>
      </c>
      <c r="E5079" s="22">
        <f>IF(D5079="?OLD","!!!","")</f>
        <v/>
      </c>
      <c r="F5079" s="23" t="str">
        <f>IF(OR(E5079="",E5079="!!!"),"",IF(NOT(ISNA(VLOOKUP(E5079,E$1:E5078,1,FALSE()))),"OLD",IF(AND(E5079&lt;&gt;"",E5079&lt;&gt;"!!!"),"NEW","")))</f>
        <v> </v>
      </c>
      <c r="G5079" s="24" t="str">
        <f>IF(OR(E5079="",E5079="!!!"),"",IF(OR(J5079=0,AND(J5079=1,K5079=1),AND(J5079=1,I5079="SBJ"),AND(J5079=1,I5079=0)),"?IN_FOCUS",IF(J5079&lt;=2,"?ACTIVATED",IF(J5079&lt;&gt;"","?FAMILIAR",IF(F5079="NEW",IF(ISNA(VLOOKUP(E5079,#REF!,1,FALSE())),"?TYPE_IDENTIFIABLE","?REFERENTIAL"),"_")))))</f>
        <v> </v>
      </c>
      <c r="H5079" s="25" t="str">
        <f>IF(J5079&lt;&gt;1,"",IF(I5079="SBJ","CB","?"))</f>
        <v> </v>
      </c>
      <c r="I5079" s="26" t="str">
        <f>IF(OR(E5079="",E5079="!!!",F5079="NEW"),"",INDEX(B5078:B$2,-1+SUMPRODUCT(MAX(ROW(E5078:E$2)*(E5079=E5078:E$2)))))</f>
        <v> </v>
      </c>
      <c r="J5079" s="26" t="str">
        <f>IF(OR(E5079="",E5079="!!!",F5079="NEW"),"",COUNTBLANK(OFFSET(A$1,,,SUMPRODUCT(MAX(ROW(E$2:E5079)*(E5079=E$2:E5079)))))-COUNTBLANK(OFFSET(A$1,,,SUMPRODUCT(MAX(ROW(E$1:E5078)*(E2=E$1:E5078))))))</f>
        <v> </v>
      </c>
      <c r="K5079" s="26" t="str">
        <f>IF(OR(E5079="",E5079="!!!",F5079="NEW"),"",INDEX(J$1:J5078,SUMPRODUCT(MAX(ROW(E$1:E5078)*(E5079=E$1:E5078)))))</f>
        <v> </v>
      </c>
      <c r="L5079" s="27"/>
    </row>
    <row r="5080" spans="1:12">
      <c r="A5080" s="20" t="s">
        <v>2858</v>
      </c>
      <c r="E5080" s="22">
        <f>IF(D5080="?OLD","!!!","")</f>
        <v/>
      </c>
      <c r="F5080" s="23" t="str">
        <f>IF(OR(E5080="",E5080="!!!"),"",IF(NOT(ISNA(VLOOKUP(E5080,E$1:E5079,1,FALSE()))),"OLD",IF(AND(E5080&lt;&gt;"",E5080&lt;&gt;"!!!"),"NEW","")))</f>
        <v> </v>
      </c>
      <c r="G5080" s="24" t="str">
        <f>IF(OR(E5080="",E5080="!!!"),"",IF(OR(J5080=0,AND(J5080=1,K5080=1),AND(J5080=1,I5080="SBJ"),AND(J5080=1,I5080=0)),"?IN_FOCUS",IF(J5080&lt;=2,"?ACTIVATED",IF(J5080&lt;&gt;"","?FAMILIAR",IF(F5080="NEW",IF(ISNA(VLOOKUP(E5080,#REF!,1,FALSE())),"?TYPE_IDENTIFIABLE","?REFERENTIAL"),"_")))))</f>
        <v> </v>
      </c>
      <c r="H5080" s="25" t="str">
        <f>IF(J5080&lt;&gt;1,"",IF(I5080="SBJ","CB","?"))</f>
        <v> </v>
      </c>
      <c r="I5080" s="26" t="str">
        <f>IF(OR(E5080="",E5080="!!!",F5080="NEW"),"",INDEX(B5079:B$2,-1+SUMPRODUCT(MAX(ROW(E5079:E$2)*(E5080=E5079:E$2)))))</f>
        <v> </v>
      </c>
      <c r="J5080" s="26" t="str">
        <f>IF(OR(E5080="",E5080="!!!",F5080="NEW"),"",COUNTBLANK(OFFSET(A$1,,,SUMPRODUCT(MAX(ROW(E$2:E5080)*(E5080=E$2:E5080)))))-COUNTBLANK(OFFSET(A$1,,,SUMPRODUCT(MAX(ROW(E$1:E5079)*(E2=E$1:E5079))))))</f>
        <v> </v>
      </c>
      <c r="K5080" s="26" t="str">
        <f>IF(OR(E5080="",E5080="!!!",F5080="NEW"),"",INDEX(J$1:J5079,SUMPRODUCT(MAX(ROW(E$1:E5079)*(E5080=E$1:E5079)))))</f>
        <v> </v>
      </c>
      <c r="L5080" s="27"/>
    </row>
    <row r="5081" spans="1:12">
      <c r="A5081" s="20" t="s">
        <v>1336</v>
      </c>
      <c r="E5081" s="22">
        <f>IF(D5081="?OLD","!!!","")</f>
        <v/>
      </c>
      <c r="F5081" s="23" t="str">
        <f>IF(OR(E5081="",E5081="!!!"),"",IF(NOT(ISNA(VLOOKUP(E5081,E$1:E5080,1,FALSE()))),"OLD",IF(AND(E5081&lt;&gt;"",E5081&lt;&gt;"!!!"),"NEW","")))</f>
        <v> </v>
      </c>
      <c r="G5081" s="24" t="str">
        <f>IF(OR(E5081="",E5081="!!!"),"",IF(OR(J5081=0,AND(J5081=1,K5081=1),AND(J5081=1,I5081="SBJ"),AND(J5081=1,I5081=0)),"?IN_FOCUS",IF(J5081&lt;=2,"?ACTIVATED",IF(J5081&lt;&gt;"","?FAMILIAR",IF(F5081="NEW",IF(ISNA(VLOOKUP(E5081,#REF!,1,FALSE())),"?TYPE_IDENTIFIABLE","?REFERENTIAL"),"_")))))</f>
        <v> </v>
      </c>
      <c r="H5081" s="25" t="str">
        <f>IF(J5081&lt;&gt;1,"",IF(I5081="SBJ","CB","?"))</f>
        <v> </v>
      </c>
      <c r="I5081" s="26" t="str">
        <f>IF(OR(E5081="",E5081="!!!",F5081="NEW"),"",INDEX(B5080:B$2,-1+SUMPRODUCT(MAX(ROW(E5080:E$2)*(E5081=E5080:E$2)))))</f>
        <v> </v>
      </c>
      <c r="J5081" s="26" t="str">
        <f>IF(OR(E5081="",E5081="!!!",F5081="NEW"),"",COUNTBLANK(OFFSET(A$1,,,SUMPRODUCT(MAX(ROW(E$2:E5081)*(E5081=E$2:E5081)))))-COUNTBLANK(OFFSET(A$1,,,SUMPRODUCT(MAX(ROW(E$1:E5080)*(E2=E$1:E5080))))))</f>
        <v> </v>
      </c>
      <c r="K5081" s="26" t="str">
        <f>IF(OR(E5081="",E5081="!!!",F5081="NEW"),"",INDEX(J$1:J5080,SUMPRODUCT(MAX(ROW(E$1:E5080)*(E5081=E$1:E5080)))))</f>
        <v> </v>
      </c>
      <c r="L5081" s="27"/>
    </row>
    <row r="5082" spans="1:12">
      <c r="A5082" s="20" t="s">
        <v>1323</v>
      </c>
      <c r="E5082" s="22">
        <f>IF(D5082="?OLD","!!!","")</f>
        <v/>
      </c>
      <c r="F5082" s="23" t="str">
        <f>IF(OR(E5082="",E5082="!!!"),"",IF(NOT(ISNA(VLOOKUP(E5082,E$1:E5081,1,FALSE()))),"OLD",IF(AND(E5082&lt;&gt;"",E5082&lt;&gt;"!!!"),"NEW","")))</f>
        <v> </v>
      </c>
      <c r="G5082" s="24" t="str">
        <f>IF(OR(E5082="",E5082="!!!"),"",IF(OR(J5082=0,AND(J5082=1,K5082=1),AND(J5082=1,I5082="SBJ"),AND(J5082=1,I5082=0)),"?IN_FOCUS",IF(J5082&lt;=2,"?ACTIVATED",IF(J5082&lt;&gt;"","?FAMILIAR",IF(F5082="NEW",IF(ISNA(VLOOKUP(E5082,#REF!,1,FALSE())),"?TYPE_IDENTIFIABLE","?REFERENTIAL"),"_")))))</f>
        <v> </v>
      </c>
      <c r="H5082" s="25" t="str">
        <f>IF(J5082&lt;&gt;1,"",IF(I5082="SBJ","CB","?"))</f>
        <v> </v>
      </c>
      <c r="I5082" s="26" t="str">
        <f>IF(OR(E5082="",E5082="!!!",F5082="NEW"),"",INDEX(B5081:B$2,-1+SUMPRODUCT(MAX(ROW(E5081:E$2)*(E5082=E5081:E$2)))))</f>
        <v> </v>
      </c>
      <c r="J5082" s="26" t="str">
        <f>IF(OR(E5082="",E5082="!!!",F5082="NEW"),"",COUNTBLANK(OFFSET(A$1,,,SUMPRODUCT(MAX(ROW(E$2:E5082)*(E5082=E$2:E5082)))))-COUNTBLANK(OFFSET(A$1,,,SUMPRODUCT(MAX(ROW(E$1:E5081)*(E2=E$1:E5081))))))</f>
        <v> </v>
      </c>
      <c r="K5082" s="26" t="str">
        <f>IF(OR(E5082="",E5082="!!!",F5082="NEW"),"",INDEX(J$1:J5081,SUMPRODUCT(MAX(ROW(E$1:E5081)*(E5082=E$1:E5081)))))</f>
        <v> </v>
      </c>
      <c r="L5082" s="27"/>
    </row>
    <row r="5083" spans="1:12">
      <c r="A5083" s="20" t="s">
        <v>2800</v>
      </c>
      <c r="B5083" s="21" t="s">
        <v>1244</v>
      </c>
      <c r="C5083" s="21" t="s">
        <v>1269</v>
      </c>
      <c r="D5083" s="21" t="s">
        <v>1217</v>
      </c>
      <c r="E5083" s="22">
        <f>IF(D5083="?OLD","!!!","")</f>
        <v/>
      </c>
      <c r="F5083" s="23" t="str">
        <f>IF(OR(E5083="",E5083="!!!"),"",IF(NOT(ISNA(VLOOKUP(E5083,E$1:E5082,1,FALSE()))),"OLD",IF(AND(E5083&lt;&gt;"",E5083&lt;&gt;"!!!"),"NEW","")))</f>
        <v> </v>
      </c>
      <c r="G5083" s="24" t="str">
        <f>IF(OR(E5083="",E5083="!!!"),"",IF(OR(J5083=0,AND(J5083=1,K5083=1),AND(J5083=1,I5083="SBJ"),AND(J5083=1,I5083=0)),"?IN_FOCUS",IF(J5083&lt;=2,"?ACTIVATED",IF(J5083&lt;&gt;"","?FAMILIAR",IF(F5083="NEW",IF(ISNA(VLOOKUP(E5083,#REF!,1,FALSE())),"?TYPE_IDENTIFIABLE","?REFERENTIAL"),"_")))))</f>
        <v> </v>
      </c>
      <c r="H5083" s="25" t="str">
        <f>IF(J5083&lt;&gt;1,"",IF(I5083="SBJ","CB","?"))</f>
        <v> </v>
      </c>
      <c r="I5083" s="26" t="str">
        <f>IF(OR(E5083="",E5083="!!!",F5083="NEW"),"",INDEX(B5082:B$2,-1+SUMPRODUCT(MAX(ROW(E5082:E$2)*(E5083=E5082:E$2)))))</f>
        <v> </v>
      </c>
      <c r="J5083" s="26" t="str">
        <f>IF(OR(E5083="",E5083="!!!",F5083="NEW"),"",COUNTBLANK(OFFSET(A$1,,,SUMPRODUCT(MAX(ROW(E$2:E5083)*(E5083=E$2:E5083)))))-COUNTBLANK(OFFSET(A$1,,,SUMPRODUCT(MAX(ROW(E$1:E5082)*(E2=E$1:E5082))))))</f>
        <v> </v>
      </c>
      <c r="K5083" s="26" t="str">
        <f>IF(OR(E5083="",E5083="!!!",F5083="NEW"),"",INDEX(J$1:J5082,SUMPRODUCT(MAX(ROW(E$1:E5082)*(E5083=E$1:E5082)))))</f>
        <v> </v>
      </c>
      <c r="L5083" s="27"/>
    </row>
    <row r="5084" spans="1:12">
      <c r="A5084" s="20" t="s">
        <v>1286</v>
      </c>
      <c r="E5084" s="22">
        <f>IF(D5084="?OLD","!!!","")</f>
        <v/>
      </c>
      <c r="F5084" s="23" t="str">
        <f>IF(OR(E5084="",E5084="!!!"),"",IF(NOT(ISNA(VLOOKUP(E5084,E$1:E5083,1,FALSE()))),"OLD",IF(AND(E5084&lt;&gt;"",E5084&lt;&gt;"!!!"),"NEW","")))</f>
        <v> </v>
      </c>
      <c r="G5084" s="24" t="str">
        <f>IF(OR(E5084="",E5084="!!!"),"",IF(OR(J5084=0,AND(J5084=1,K5084=1),AND(J5084=1,I5084="SBJ"),AND(J5084=1,I5084=0)),"?IN_FOCUS",IF(J5084&lt;=2,"?ACTIVATED",IF(J5084&lt;&gt;"","?FAMILIAR",IF(F5084="NEW",IF(ISNA(VLOOKUP(E5084,#REF!,1,FALSE())),"?TYPE_IDENTIFIABLE","?REFERENTIAL"),"_")))))</f>
        <v> </v>
      </c>
      <c r="H5084" s="25" t="str">
        <f>IF(J5084&lt;&gt;1,"",IF(I5084="SBJ","CB","?"))</f>
        <v> </v>
      </c>
      <c r="I5084" s="26" t="str">
        <f>IF(OR(E5084="",E5084="!!!",F5084="NEW"),"",INDEX(B5083:B$2,-1+SUMPRODUCT(MAX(ROW(E5083:E$2)*(E5084=E5083:E$2)))))</f>
        <v> </v>
      </c>
      <c r="J5084" s="26" t="str">
        <f>IF(OR(E5084="",E5084="!!!",F5084="NEW"),"",COUNTBLANK(OFFSET(A$1,,,SUMPRODUCT(MAX(ROW(E$2:E5084)*(E5084=E$2:E5084)))))-COUNTBLANK(OFFSET(A$1,,,SUMPRODUCT(MAX(ROW(E$1:E5083)*(E2=E$1:E5083))))))</f>
        <v> </v>
      </c>
      <c r="K5084" s="26" t="str">
        <f>IF(OR(E5084="",E5084="!!!",F5084="NEW"),"",INDEX(J$1:J5083,SUMPRODUCT(MAX(ROW(E$1:E5083)*(E5084=E$1:E5083)))))</f>
        <v> </v>
      </c>
      <c r="L5084" s="27"/>
    </row>
    <row r="5085" spans="1:12">
      <c r="A5085" s="20" t="s">
        <v>1373</v>
      </c>
      <c r="B5085" s="21" t="s">
        <v>1249</v>
      </c>
      <c r="C5085" s="21" t="s">
        <v>1255</v>
      </c>
      <c r="D5085" s="21" t="s">
        <v>1217</v>
      </c>
      <c r="E5085" s="22">
        <f>IF(D5085="?OLD","!!!","")</f>
        <v/>
      </c>
      <c r="F5085" s="23" t="str">
        <f>IF(OR(E5085="",E5085="!!!"),"",IF(NOT(ISNA(VLOOKUP(E5085,E$1:E5084,1,FALSE()))),"OLD",IF(AND(E5085&lt;&gt;"",E5085&lt;&gt;"!!!"),"NEW","")))</f>
        <v> </v>
      </c>
      <c r="G5085" s="24" t="str">
        <f>IF(OR(E5085="",E5085="!!!"),"",IF(OR(J5085=0,AND(J5085=1,K5085=1),AND(J5085=1,I5085="SBJ"),AND(J5085=1,I5085=0)),"?IN_FOCUS",IF(J5085&lt;=2,"?ACTIVATED",IF(J5085&lt;&gt;"","?FAMILIAR",IF(F5085="NEW",IF(ISNA(VLOOKUP(E5085,#REF!,1,FALSE())),"?TYPE_IDENTIFIABLE","?REFERENTIAL"),"_")))))</f>
        <v> </v>
      </c>
      <c r="H5085" s="25" t="str">
        <f>IF(J5085&lt;&gt;1,"",IF(I5085="SBJ","CB","?"))</f>
        <v> </v>
      </c>
      <c r="I5085" s="26" t="str">
        <f>IF(OR(E5085="",E5085="!!!",F5085="NEW"),"",INDEX(B5084:B$2,-1+SUMPRODUCT(MAX(ROW(E5084:E$2)*(E5085=E5084:E$2)))))</f>
        <v> </v>
      </c>
      <c r="J5085" s="26" t="str">
        <f>IF(OR(E5085="",E5085="!!!",F5085="NEW"),"",COUNTBLANK(OFFSET(A$1,,,SUMPRODUCT(MAX(ROW(E$2:E5085)*(E5085=E$2:E5085)))))-COUNTBLANK(OFFSET(A$1,,,SUMPRODUCT(MAX(ROW(E$1:E5084)*(E2=E$1:E5084))))))</f>
        <v> </v>
      </c>
      <c r="K5085" s="26" t="str">
        <f>IF(OR(E5085="",E5085="!!!",F5085="NEW"),"",INDEX(J$1:J5084,SUMPRODUCT(MAX(ROW(E$1:E5084)*(E5085=E$1:E5084)))))</f>
        <v> </v>
      </c>
      <c r="L5085" s="27"/>
    </row>
    <row r="5086" spans="1:12">
      <c r="A5086" s="20" t="s">
        <v>1689</v>
      </c>
      <c r="E5086" s="22">
        <f>IF(D5086="?OLD","!!!","")</f>
        <v/>
      </c>
      <c r="F5086" s="23" t="str">
        <f>IF(OR(E5086="",E5086="!!!"),"",IF(NOT(ISNA(VLOOKUP(E5086,E$1:E5085,1,FALSE()))),"OLD",IF(AND(E5086&lt;&gt;"",E5086&lt;&gt;"!!!"),"NEW","")))</f>
        <v> </v>
      </c>
      <c r="G5086" s="24" t="str">
        <f>IF(OR(E5086="",E5086="!!!"),"",IF(OR(J5086=0,AND(J5086=1,K5086=1),AND(J5086=1,I5086="SBJ"),AND(J5086=1,I5086=0)),"?IN_FOCUS",IF(J5086&lt;=2,"?ACTIVATED",IF(J5086&lt;&gt;"","?FAMILIAR",IF(F5086="NEW",IF(ISNA(VLOOKUP(E5086,#REF!,1,FALSE())),"?TYPE_IDENTIFIABLE","?REFERENTIAL"),"_")))))</f>
        <v> </v>
      </c>
      <c r="H5086" s="25" t="str">
        <f>IF(J5086&lt;&gt;1,"",IF(I5086="SBJ","CB","?"))</f>
        <v> </v>
      </c>
      <c r="I5086" s="26" t="str">
        <f>IF(OR(E5086="",E5086="!!!",F5086="NEW"),"",INDEX(B5085:B$2,-1+SUMPRODUCT(MAX(ROW(E5085:E$2)*(E5086=E5085:E$2)))))</f>
        <v> </v>
      </c>
      <c r="J5086" s="26" t="str">
        <f>IF(OR(E5086="",E5086="!!!",F5086="NEW"),"",COUNTBLANK(OFFSET(A$1,,,SUMPRODUCT(MAX(ROW(E$2:E5086)*(E5086=E$2:E5086)))))-COUNTBLANK(OFFSET(A$1,,,SUMPRODUCT(MAX(ROW(E$1:E5085)*(E2=E$1:E5085))))))</f>
        <v> </v>
      </c>
      <c r="K5086" s="26" t="str">
        <f>IF(OR(E5086="",E5086="!!!",F5086="NEW"),"",INDEX(J$1:J5085,SUMPRODUCT(MAX(ROW(E$1:E5085)*(E5086=E$1:E5085)))))</f>
        <v> </v>
      </c>
      <c r="L5086" s="27"/>
    </row>
    <row r="5087" spans="1:12">
      <c r="A5087" s="20" t="s">
        <v>1436</v>
      </c>
      <c r="E5087" s="22">
        <f>IF(D5087="?OLD","!!!","")</f>
        <v/>
      </c>
      <c r="F5087" s="23" t="str">
        <f>IF(OR(E5087="",E5087="!!!"),"",IF(NOT(ISNA(VLOOKUP(E5087,E$1:E5086,1,FALSE()))),"OLD",IF(AND(E5087&lt;&gt;"",E5087&lt;&gt;"!!!"),"NEW","")))</f>
        <v> </v>
      </c>
      <c r="G5087" s="24" t="str">
        <f>IF(OR(E5087="",E5087="!!!"),"",IF(OR(J5087=0,AND(J5087=1,K5087=1),AND(J5087=1,I5087="SBJ"),AND(J5087=1,I5087=0)),"?IN_FOCUS",IF(J5087&lt;=2,"?ACTIVATED",IF(J5087&lt;&gt;"","?FAMILIAR",IF(F5087="NEW",IF(ISNA(VLOOKUP(E5087,#REF!,1,FALSE())),"?TYPE_IDENTIFIABLE","?REFERENTIAL"),"_")))))</f>
        <v> </v>
      </c>
      <c r="H5087" s="25" t="str">
        <f>IF(J5087&lt;&gt;1,"",IF(I5087="SBJ","CB","?"))</f>
        <v> </v>
      </c>
      <c r="I5087" s="26" t="str">
        <f>IF(OR(E5087="",E5087="!!!",F5087="NEW"),"",INDEX(B5086:B$2,-1+SUMPRODUCT(MAX(ROW(E5086:E$2)*(E5087=E5086:E$2)))))</f>
        <v> </v>
      </c>
      <c r="J5087" s="26" t="str">
        <f>IF(OR(E5087="",E5087="!!!",F5087="NEW"),"",COUNTBLANK(OFFSET(A$1,,,SUMPRODUCT(MAX(ROW(E$2:E5087)*(E5087=E$2:E5087)))))-COUNTBLANK(OFFSET(A$1,,,SUMPRODUCT(MAX(ROW(E$1:E5086)*(E2=E$1:E5086))))))</f>
        <v> </v>
      </c>
      <c r="K5087" s="26" t="str">
        <f>IF(OR(E5087="",E5087="!!!",F5087="NEW"),"",INDEX(J$1:J5086,SUMPRODUCT(MAX(ROW(E$1:E5086)*(E5087=E$1:E5086)))))</f>
        <v> </v>
      </c>
      <c r="L5087" s="27"/>
    </row>
    <row r="5088" spans="1:12">
      <c r="A5088" s="20" t="s">
        <v>1245</v>
      </c>
      <c r="E5088" s="22">
        <f>IF(D5088="?OLD","!!!","")</f>
        <v/>
      </c>
      <c r="F5088" s="23" t="str">
        <f>IF(OR(E5088="",E5088="!!!"),"",IF(NOT(ISNA(VLOOKUP(E5088,E$1:E5087,1,FALSE()))),"OLD",IF(AND(E5088&lt;&gt;"",E5088&lt;&gt;"!!!"),"NEW","")))</f>
        <v> </v>
      </c>
      <c r="G5088" s="24" t="str">
        <f>IF(OR(E5088="",E5088="!!!"),"",IF(OR(J5088=0,AND(J5088=1,K5088=1),AND(J5088=1,I5088="SBJ"),AND(J5088=1,I5088=0)),"?IN_FOCUS",IF(J5088&lt;=2,"?ACTIVATED",IF(J5088&lt;&gt;"","?FAMILIAR",IF(F5088="NEW",IF(ISNA(VLOOKUP(E5088,#REF!,1,FALSE())),"?TYPE_IDENTIFIABLE","?REFERENTIAL"),"_")))))</f>
        <v> </v>
      </c>
      <c r="H5088" s="25" t="str">
        <f>IF(J5088&lt;&gt;1,"",IF(I5088="SBJ","CB","?"))</f>
        <v> </v>
      </c>
      <c r="I5088" s="26" t="str">
        <f>IF(OR(E5088="",E5088="!!!",F5088="NEW"),"",INDEX(B5087:B$2,-1+SUMPRODUCT(MAX(ROW(E5087:E$2)*(E5088=E5087:E$2)))))</f>
        <v> </v>
      </c>
      <c r="J5088" s="26" t="str">
        <f>IF(OR(E5088="",E5088="!!!",F5088="NEW"),"",COUNTBLANK(OFFSET(A$1,,,SUMPRODUCT(MAX(ROW(E$2:E5088)*(E5088=E$2:E5088)))))-COUNTBLANK(OFFSET(A$1,,,SUMPRODUCT(MAX(ROW(E$1:E5087)*(E2=E$1:E5087))))))</f>
        <v> </v>
      </c>
      <c r="K5088" s="26" t="str">
        <f>IF(OR(E5088="",E5088="!!!",F5088="NEW"),"",INDEX(J$1:J5087,SUMPRODUCT(MAX(ROW(E$1:E5087)*(E5088=E$1:E5087)))))</f>
        <v> </v>
      </c>
      <c r="L5088" s="27"/>
    </row>
    <row r="5089" spans="1:12">
      <c r="A5089" s="20" t="s">
        <v>1323</v>
      </c>
      <c r="E5089" s="22">
        <f>IF(D5089="?OLD","!!!","")</f>
        <v/>
      </c>
      <c r="F5089" s="23" t="str">
        <f>IF(OR(E5089="",E5089="!!!"),"",IF(NOT(ISNA(VLOOKUP(E5089,E$1:E5088,1,FALSE()))),"OLD",IF(AND(E5089&lt;&gt;"",E5089&lt;&gt;"!!!"),"NEW","")))</f>
        <v> </v>
      </c>
      <c r="G5089" s="24" t="str">
        <f>IF(OR(E5089="",E5089="!!!"),"",IF(OR(J5089=0,AND(J5089=1,K5089=1),AND(J5089=1,I5089="SBJ"),AND(J5089=1,I5089=0)),"?IN_FOCUS",IF(J5089&lt;=2,"?ACTIVATED",IF(J5089&lt;&gt;"","?FAMILIAR",IF(F5089="NEW",IF(ISNA(VLOOKUP(E5089,#REF!,1,FALSE())),"?TYPE_IDENTIFIABLE","?REFERENTIAL"),"_")))))</f>
        <v> </v>
      </c>
      <c r="H5089" s="25" t="str">
        <f>IF(J5089&lt;&gt;1,"",IF(I5089="SBJ","CB","?"))</f>
        <v> </v>
      </c>
      <c r="I5089" s="26" t="str">
        <f>IF(OR(E5089="",E5089="!!!",F5089="NEW"),"",INDEX(B5088:B$2,-1+SUMPRODUCT(MAX(ROW(E5088:E$2)*(E5089=E5088:E$2)))))</f>
        <v> </v>
      </c>
      <c r="J5089" s="26" t="str">
        <f>IF(OR(E5089="",E5089="!!!",F5089="NEW"),"",COUNTBLANK(OFFSET(A$1,,,SUMPRODUCT(MAX(ROW(E$2:E5089)*(E5089=E$2:E5089)))))-COUNTBLANK(OFFSET(A$1,,,SUMPRODUCT(MAX(ROW(E$1:E5088)*(E2=E$1:E5088))))))</f>
        <v> </v>
      </c>
      <c r="K5089" s="26" t="str">
        <f>IF(OR(E5089="",E5089="!!!",F5089="NEW"),"",INDEX(J$1:J5088,SUMPRODUCT(MAX(ROW(E$1:E5088)*(E5089=E$1:E5088)))))</f>
        <v> </v>
      </c>
      <c r="L5089" s="27"/>
    </row>
    <row r="5090" spans="1:12">
      <c r="A5090" s="20" t="s">
        <v>2859</v>
      </c>
      <c r="B5090" s="21" t="s">
        <v>1221</v>
      </c>
      <c r="C5090" s="21" t="s">
        <v>1269</v>
      </c>
      <c r="D5090" s="21" t="s">
        <v>1217</v>
      </c>
      <c r="E5090" s="22">
        <f>IF(D5090="?OLD","!!!","")</f>
        <v/>
      </c>
      <c r="F5090" s="23" t="str">
        <f>IF(OR(E5090="",E5090="!!!"),"",IF(NOT(ISNA(VLOOKUP(E5090,E$1:E5089,1,FALSE()))),"OLD",IF(AND(E5090&lt;&gt;"",E5090&lt;&gt;"!!!"),"NEW","")))</f>
        <v> </v>
      </c>
      <c r="G5090" s="24" t="str">
        <f>IF(OR(E5090="",E5090="!!!"),"",IF(OR(J5090=0,AND(J5090=1,K5090=1),AND(J5090=1,I5090="SBJ"),AND(J5090=1,I5090=0)),"?IN_FOCUS",IF(J5090&lt;=2,"?ACTIVATED",IF(J5090&lt;&gt;"","?FAMILIAR",IF(F5090="NEW",IF(ISNA(VLOOKUP(E5090,#REF!,1,FALSE())),"?TYPE_IDENTIFIABLE","?REFERENTIAL"),"_")))))</f>
        <v> </v>
      </c>
      <c r="H5090" s="25" t="str">
        <f>IF(J5090&lt;&gt;1,"",IF(I5090="SBJ","CB","?"))</f>
        <v> </v>
      </c>
      <c r="I5090" s="26" t="str">
        <f>IF(OR(E5090="",E5090="!!!",F5090="NEW"),"",INDEX(B5089:B$2,-1+SUMPRODUCT(MAX(ROW(E5089:E$2)*(E5090=E5089:E$2)))))</f>
        <v> </v>
      </c>
      <c r="J5090" s="26" t="str">
        <f>IF(OR(E5090="",E5090="!!!",F5090="NEW"),"",COUNTBLANK(OFFSET(A$1,,,SUMPRODUCT(MAX(ROW(E$2:E5090)*(E5090=E$2:E5090)))))-COUNTBLANK(OFFSET(A$1,,,SUMPRODUCT(MAX(ROW(E$1:E5089)*(E2=E$1:E5089))))))</f>
        <v> </v>
      </c>
      <c r="K5090" s="26" t="str">
        <f>IF(OR(E5090="",E5090="!!!",F5090="NEW"),"",INDEX(J$1:J5089,SUMPRODUCT(MAX(ROW(E$1:E5089)*(E5090=E$1:E5089)))))</f>
        <v> </v>
      </c>
      <c r="L5090" s="27"/>
    </row>
    <row r="5091" spans="1:12">
      <c r="A5091" s="20" t="s">
        <v>1262</v>
      </c>
      <c r="E5091" s="22">
        <f>IF(D5091="?OLD","!!!","")</f>
        <v/>
      </c>
      <c r="F5091" s="23" t="str">
        <f>IF(OR(E5091="",E5091="!!!"),"",IF(NOT(ISNA(VLOOKUP(E5091,E$1:E5090,1,FALSE()))),"OLD",IF(AND(E5091&lt;&gt;"",E5091&lt;&gt;"!!!"),"NEW","")))</f>
        <v> </v>
      </c>
      <c r="G5091" s="24" t="str">
        <f>IF(OR(E5091="",E5091="!!!"),"",IF(OR(J5091=0,AND(J5091=1,K5091=1),AND(J5091=1,I5091="SBJ"),AND(J5091=1,I5091=0)),"?IN_FOCUS",IF(J5091&lt;=2,"?ACTIVATED",IF(J5091&lt;&gt;"","?FAMILIAR",IF(F5091="NEW",IF(ISNA(VLOOKUP(E5091,#REF!,1,FALSE())),"?TYPE_IDENTIFIABLE","?REFERENTIAL"),"_")))))</f>
        <v> </v>
      </c>
      <c r="H5091" s="25" t="str">
        <f>IF(J5091&lt;&gt;1,"",IF(I5091="SBJ","CB","?"))</f>
        <v> </v>
      </c>
      <c r="I5091" s="26" t="str">
        <f>IF(OR(E5091="",E5091="!!!",F5091="NEW"),"",INDEX(B5090:B$2,-1+SUMPRODUCT(MAX(ROW(E5090:E$2)*(E5091=E5090:E$2)))))</f>
        <v> </v>
      </c>
      <c r="J5091" s="26" t="str">
        <f>IF(OR(E5091="",E5091="!!!",F5091="NEW"),"",COUNTBLANK(OFFSET(A$1,,,SUMPRODUCT(MAX(ROW(E$2:E5091)*(E5091=E$2:E5091)))))-COUNTBLANK(OFFSET(A$1,,,SUMPRODUCT(MAX(ROW(E$1:E5090)*(E2=E$1:E5090))))))</f>
        <v> </v>
      </c>
      <c r="K5091" s="26" t="str">
        <f>IF(OR(E5091="",E5091="!!!",F5091="NEW"),"",INDEX(J$1:J5090,SUMPRODUCT(MAX(ROW(E$1:E5090)*(E5091=E$1:E5090)))))</f>
        <v> </v>
      </c>
      <c r="L5091" s="27"/>
    </row>
    <row r="5092" spans="1:12">
      <c r="A5092" s="20"/>
    </row>
    <row r="5093" spans="1:12">
      <c r="A5093" s="20" t="s">
        <v>2860</v>
      </c>
    </row>
    <row r="5094" spans="1:12">
      <c r="A5094" s="20" t="s">
        <v>1945</v>
      </c>
      <c r="E5094" s="22">
        <f>IF(D5094="?OLD","!!!","")</f>
        <v/>
      </c>
      <c r="F5094" s="23" t="str">
        <f>IF(OR(E5094="",E5094="!!!"),"",IF(NOT(ISNA(VLOOKUP(E5094,E$1:E5093,1,FALSE()))),"OLD",IF(AND(E5094&lt;&gt;"",E5094&lt;&gt;"!!!"),"NEW","")))</f>
        <v> </v>
      </c>
      <c r="G5094" s="24" t="str">
        <f>IF(OR(E5094="",E5094="!!!"),"",IF(OR(J5094=0,AND(J5094=1,K5094=1),AND(J5094=1,I5094="SBJ"),AND(J5094=1,I5094=0)),"?IN_FOCUS",IF(J5094&lt;=2,"?ACTIVATED",IF(J5094&lt;&gt;"","?FAMILIAR",IF(F5094="NEW",IF(ISNA(VLOOKUP(E5094,#REF!,1,FALSE())),"?TYPE_IDENTIFIABLE","?REFERENTIAL"),"_")))))</f>
        <v> </v>
      </c>
      <c r="H5094" s="25" t="str">
        <f>IF(J5094&lt;&gt;1,"",IF(I5094="SBJ","CB","?"))</f>
        <v> </v>
      </c>
      <c r="I5094" s="26" t="str">
        <f>IF(OR(E5094="",E5094="!!!",F5094="NEW"),"",INDEX(B5093:B$2,-1+SUMPRODUCT(MAX(ROW(E5093:E$2)*(E5094=E5093:E$2)))))</f>
        <v> </v>
      </c>
      <c r="J5094" s="26" t="str">
        <f>IF(OR(E5094="",E5094="!!!",F5094="NEW"),"",COUNTBLANK(OFFSET(A$1,,,SUMPRODUCT(MAX(ROW(E$2:E5094)*(E5094=E$2:E5094)))))-COUNTBLANK(OFFSET(A$1,,,SUMPRODUCT(MAX(ROW(E$1:E5093)*(E2=E$1:E5093))))))</f>
        <v> </v>
      </c>
      <c r="K5094" s="26" t="str">
        <f>IF(OR(E5094="",E5094="!!!",F5094="NEW"),"",INDEX(J$1:J5093,SUMPRODUCT(MAX(ROW(E$1:E5093)*(E5094=E$1:E5093)))))</f>
        <v> </v>
      </c>
      <c r="L5094" s="27"/>
    </row>
    <row r="5095" spans="1:12">
      <c r="A5095" s="20" t="s">
        <v>1327</v>
      </c>
      <c r="B5095" s="21" t="s">
        <v>1215</v>
      </c>
      <c r="C5095" s="21" t="s">
        <v>1255</v>
      </c>
      <c r="D5095" s="21" t="s">
        <v>1217</v>
      </c>
      <c r="E5095" s="22">
        <f>IF(D5095="?OLD","!!!","")</f>
        <v/>
      </c>
      <c r="F5095" s="23" t="str">
        <f>IF(OR(E5095="",E5095="!!!"),"",IF(NOT(ISNA(VLOOKUP(E5095,E$1:E5094,1,FALSE()))),"OLD",IF(AND(E5095&lt;&gt;"",E5095&lt;&gt;"!!!"),"NEW","")))</f>
        <v> </v>
      </c>
      <c r="G5095" s="24" t="str">
        <f>IF(OR(E5095="",E5095="!!!"),"",IF(OR(J5095=0,AND(J5095=1,K5095=1),AND(J5095=1,I5095="SBJ"),AND(J5095=1,I5095=0)),"?IN_FOCUS",IF(J5095&lt;=2,"?ACTIVATED",IF(J5095&lt;&gt;"","?FAMILIAR",IF(F5095="NEW",IF(ISNA(VLOOKUP(E5095,#REF!,1,FALSE())),"?TYPE_IDENTIFIABLE","?REFERENTIAL"),"_")))))</f>
        <v> </v>
      </c>
      <c r="H5095" s="25" t="str">
        <f>IF(J5095&lt;&gt;1,"",IF(I5095="SBJ","CB","?"))</f>
        <v> </v>
      </c>
      <c r="I5095" s="26" t="str">
        <f>IF(OR(E5095="",E5095="!!!",F5095="NEW"),"",INDEX(B5094:B$2,-1+SUMPRODUCT(MAX(ROW(E5094:E$2)*(E5095=E5094:E$2)))))</f>
        <v> </v>
      </c>
      <c r="J5095" s="26" t="str">
        <f>IF(OR(E5095="",E5095="!!!",F5095="NEW"),"",COUNTBLANK(OFFSET(A$1,,,SUMPRODUCT(MAX(ROW(E$2:E5095)*(E5095=E$2:E5095)))))-COUNTBLANK(OFFSET(A$1,,,SUMPRODUCT(MAX(ROW(E$1:E5094)*(E2=E$1:E5094))))))</f>
        <v> </v>
      </c>
      <c r="K5095" s="26" t="str">
        <f>IF(OR(E5095="",E5095="!!!",F5095="NEW"),"",INDEX(J$1:J5094,SUMPRODUCT(MAX(ROW(E$1:E5094)*(E5095=E$1:E5094)))))</f>
        <v> </v>
      </c>
      <c r="L5095" s="27"/>
    </row>
    <row r="5096" spans="1:12">
      <c r="A5096" s="20" t="s">
        <v>1301</v>
      </c>
      <c r="E5096" s="22">
        <f>IF(D5096="?OLD","!!!","")</f>
        <v/>
      </c>
      <c r="F5096" s="23" t="str">
        <f>IF(OR(E5096="",E5096="!!!"),"",IF(NOT(ISNA(VLOOKUP(E5096,E$1:E5095,1,FALSE()))),"OLD",IF(AND(E5096&lt;&gt;"",E5096&lt;&gt;"!!!"),"NEW","")))</f>
        <v> </v>
      </c>
      <c r="G5096" s="24" t="str">
        <f>IF(OR(E5096="",E5096="!!!"),"",IF(OR(J5096=0,AND(J5096=1,K5096=1),AND(J5096=1,I5096="SBJ"),AND(J5096=1,I5096=0)),"?IN_FOCUS",IF(J5096&lt;=2,"?ACTIVATED",IF(J5096&lt;&gt;"","?FAMILIAR",IF(F5096="NEW",IF(ISNA(VLOOKUP(E5096,#REF!,1,FALSE())),"?TYPE_IDENTIFIABLE","?REFERENTIAL"),"_")))))</f>
        <v> </v>
      </c>
      <c r="H5096" s="25" t="str">
        <f>IF(J5096&lt;&gt;1,"",IF(I5096="SBJ","CB","?"))</f>
        <v> </v>
      </c>
      <c r="I5096" s="26" t="str">
        <f>IF(OR(E5096="",E5096="!!!",F5096="NEW"),"",INDEX(B5095:B$2,-1+SUMPRODUCT(MAX(ROW(E5095:E$2)*(E5096=E5095:E$2)))))</f>
        <v> </v>
      </c>
      <c r="J5096" s="26" t="str">
        <f>IF(OR(E5096="",E5096="!!!",F5096="NEW"),"",COUNTBLANK(OFFSET(A$1,,,SUMPRODUCT(MAX(ROW(E$2:E5096)*(E5096=E$2:E5096)))))-COUNTBLANK(OFFSET(A$1,,,SUMPRODUCT(MAX(ROW(E$1:E5095)*(E2=E$1:E5095))))))</f>
        <v> </v>
      </c>
      <c r="K5096" s="26" t="str">
        <f>IF(OR(E5096="",E5096="!!!",F5096="NEW"),"",INDEX(J$1:J5095,SUMPRODUCT(MAX(ROW(E$1:E5095)*(E5096=E$1:E5095)))))</f>
        <v> </v>
      </c>
      <c r="L5096" s="27"/>
    </row>
    <row r="5097" spans="1:12">
      <c r="A5097" s="20" t="s">
        <v>2193</v>
      </c>
      <c r="E5097" s="22">
        <f>IF(D5097="?OLD","!!!","")</f>
        <v/>
      </c>
      <c r="F5097" s="23" t="str">
        <f>IF(OR(E5097="",E5097="!!!"),"",IF(NOT(ISNA(VLOOKUP(E5097,E$1:E5096,1,FALSE()))),"OLD",IF(AND(E5097&lt;&gt;"",E5097&lt;&gt;"!!!"),"NEW","")))</f>
        <v> </v>
      </c>
      <c r="G5097" s="24" t="str">
        <f>IF(OR(E5097="",E5097="!!!"),"",IF(OR(J5097=0,AND(J5097=1,K5097=1),AND(J5097=1,I5097="SBJ"),AND(J5097=1,I5097=0)),"?IN_FOCUS",IF(J5097&lt;=2,"?ACTIVATED",IF(J5097&lt;&gt;"","?FAMILIAR",IF(F5097="NEW",IF(ISNA(VLOOKUP(E5097,#REF!,1,FALSE())),"?TYPE_IDENTIFIABLE","?REFERENTIAL"),"_")))))</f>
        <v> </v>
      </c>
      <c r="H5097" s="25" t="str">
        <f>IF(J5097&lt;&gt;1,"",IF(I5097="SBJ","CB","?"))</f>
        <v> </v>
      </c>
      <c r="I5097" s="26" t="str">
        <f>IF(OR(E5097="",E5097="!!!",F5097="NEW"),"",INDEX(B5096:B$2,-1+SUMPRODUCT(MAX(ROW(E5096:E$2)*(E5097=E5096:E$2)))))</f>
        <v> </v>
      </c>
      <c r="J5097" s="26" t="str">
        <f>IF(OR(E5097="",E5097="!!!",F5097="NEW"),"",COUNTBLANK(OFFSET(A$1,,,SUMPRODUCT(MAX(ROW(E$2:E5097)*(E5097=E$2:E5097)))))-COUNTBLANK(OFFSET(A$1,,,SUMPRODUCT(MAX(ROW(E$1:E5096)*(E2=E$1:E5096))))))</f>
        <v> </v>
      </c>
      <c r="K5097" s="26" t="str">
        <f>IF(OR(E5097="",E5097="!!!",F5097="NEW"),"",INDEX(J$1:J5096,SUMPRODUCT(MAX(ROW(E$1:E5096)*(E5097=E$1:E5096)))))</f>
        <v> </v>
      </c>
      <c r="L5097" s="27"/>
    </row>
    <row r="5098" spans="1:12">
      <c r="A5098" s="20" t="s">
        <v>1303</v>
      </c>
      <c r="E5098" s="22">
        <f>IF(D5098="?OLD","!!!","")</f>
        <v/>
      </c>
      <c r="F5098" s="23" t="str">
        <f>IF(OR(E5098="",E5098="!!!"),"",IF(NOT(ISNA(VLOOKUP(E5098,E$1:E5097,1,FALSE()))),"OLD",IF(AND(E5098&lt;&gt;"",E5098&lt;&gt;"!!!"),"NEW","")))</f>
        <v> </v>
      </c>
      <c r="G5098" s="24" t="str">
        <f>IF(OR(E5098="",E5098="!!!"),"",IF(OR(J5098=0,AND(J5098=1,K5098=1),AND(J5098=1,I5098="SBJ"),AND(J5098=1,I5098=0)),"?IN_FOCUS",IF(J5098&lt;=2,"?ACTIVATED",IF(J5098&lt;&gt;"","?FAMILIAR",IF(F5098="NEW",IF(ISNA(VLOOKUP(E5098,#REF!,1,FALSE())),"?TYPE_IDENTIFIABLE","?REFERENTIAL"),"_")))))</f>
        <v> </v>
      </c>
      <c r="H5098" s="25" t="str">
        <f>IF(J5098&lt;&gt;1,"",IF(I5098="SBJ","CB","?"))</f>
        <v> </v>
      </c>
      <c r="I5098" s="26" t="str">
        <f>IF(OR(E5098="",E5098="!!!",F5098="NEW"),"",INDEX(B5097:B$2,-1+SUMPRODUCT(MAX(ROW(E5097:E$2)*(E5098=E5097:E$2)))))</f>
        <v> </v>
      </c>
      <c r="J5098" s="26" t="str">
        <f>IF(OR(E5098="",E5098="!!!",F5098="NEW"),"",COUNTBLANK(OFFSET(A$1,,,SUMPRODUCT(MAX(ROW(E$2:E5098)*(E5098=E$2:E5098)))))-COUNTBLANK(OFFSET(A$1,,,SUMPRODUCT(MAX(ROW(E$1:E5097)*(E2=E$1:E5097))))))</f>
        <v> </v>
      </c>
      <c r="K5098" s="26" t="str">
        <f>IF(OR(E5098="",E5098="!!!",F5098="NEW"),"",INDEX(J$1:J5097,SUMPRODUCT(MAX(ROW(E$1:E5097)*(E5098=E$1:E5097)))))</f>
        <v> </v>
      </c>
      <c r="L5098" s="27"/>
    </row>
    <row r="5099" spans="1:12">
      <c r="A5099" s="20" t="s">
        <v>1750</v>
      </c>
      <c r="E5099" s="22">
        <f>IF(D5099="?OLD","!!!","")</f>
        <v/>
      </c>
      <c r="F5099" s="23" t="str">
        <f>IF(OR(E5099="",E5099="!!!"),"",IF(NOT(ISNA(VLOOKUP(E5099,E$1:E5098,1,FALSE()))),"OLD",IF(AND(E5099&lt;&gt;"",E5099&lt;&gt;"!!!"),"NEW","")))</f>
        <v> </v>
      </c>
      <c r="G5099" s="24" t="str">
        <f>IF(OR(E5099="",E5099="!!!"),"",IF(OR(J5099=0,AND(J5099=1,K5099=1),AND(J5099=1,I5099="SBJ"),AND(J5099=1,I5099=0)),"?IN_FOCUS",IF(J5099&lt;=2,"?ACTIVATED",IF(J5099&lt;&gt;"","?FAMILIAR",IF(F5099="NEW",IF(ISNA(VLOOKUP(E5099,#REF!,1,FALSE())),"?TYPE_IDENTIFIABLE","?REFERENTIAL"),"_")))))</f>
        <v> </v>
      </c>
      <c r="H5099" s="25" t="str">
        <f>IF(J5099&lt;&gt;1,"",IF(I5099="SBJ","CB","?"))</f>
        <v> </v>
      </c>
      <c r="I5099" s="26" t="str">
        <f>IF(OR(E5099="",E5099="!!!",F5099="NEW"),"",INDEX(B5098:B$2,-1+SUMPRODUCT(MAX(ROW(E5098:E$2)*(E5099=E5098:E$2)))))</f>
        <v> </v>
      </c>
      <c r="J5099" s="26" t="str">
        <f>IF(OR(E5099="",E5099="!!!",F5099="NEW"),"",COUNTBLANK(OFFSET(A$1,,,SUMPRODUCT(MAX(ROW(E$2:E5099)*(E5099=E$2:E5099)))))-COUNTBLANK(OFFSET(A$1,,,SUMPRODUCT(MAX(ROW(E$1:E5098)*(E2=E$1:E5098))))))</f>
        <v> </v>
      </c>
      <c r="K5099" s="26" t="str">
        <f>IF(OR(E5099="",E5099="!!!",F5099="NEW"),"",INDEX(J$1:J5098,SUMPRODUCT(MAX(ROW(E$1:E5098)*(E5099=E$1:E5098)))))</f>
        <v> </v>
      </c>
      <c r="L5099" s="27"/>
    </row>
    <row r="5100" spans="1:12">
      <c r="A5100" s="20" t="s">
        <v>1756</v>
      </c>
      <c r="E5100" s="22">
        <f>IF(D5100="?OLD","!!!","")</f>
        <v/>
      </c>
      <c r="F5100" s="23" t="str">
        <f>IF(OR(E5100="",E5100="!!!"),"",IF(NOT(ISNA(VLOOKUP(E5100,E$1:E5099,1,FALSE()))),"OLD",IF(AND(E5100&lt;&gt;"",E5100&lt;&gt;"!!!"),"NEW","")))</f>
        <v> </v>
      </c>
      <c r="G5100" s="24" t="str">
        <f>IF(OR(E5100="",E5100="!!!"),"",IF(OR(J5100=0,AND(J5100=1,K5100=1),AND(J5100=1,I5100="SBJ"),AND(J5100=1,I5100=0)),"?IN_FOCUS",IF(J5100&lt;=2,"?ACTIVATED",IF(J5100&lt;&gt;"","?FAMILIAR",IF(F5100="NEW",IF(ISNA(VLOOKUP(E5100,#REF!,1,FALSE())),"?TYPE_IDENTIFIABLE","?REFERENTIAL"),"_")))))</f>
        <v> </v>
      </c>
      <c r="H5100" s="25" t="str">
        <f>IF(J5100&lt;&gt;1,"",IF(I5100="SBJ","CB","?"))</f>
        <v> </v>
      </c>
      <c r="I5100" s="26" t="str">
        <f>IF(OR(E5100="",E5100="!!!",F5100="NEW"),"",INDEX(B5099:B$2,-1+SUMPRODUCT(MAX(ROW(E5099:E$2)*(E5100=E5099:E$2)))))</f>
        <v> </v>
      </c>
      <c r="J5100" s="26" t="str">
        <f>IF(OR(E5100="",E5100="!!!",F5100="NEW"),"",COUNTBLANK(OFFSET(A$1,,,SUMPRODUCT(MAX(ROW(E$2:E5100)*(E5100=E$2:E5100)))))-COUNTBLANK(OFFSET(A$1,,,SUMPRODUCT(MAX(ROW(E$1:E5099)*(E2=E$1:E5099))))))</f>
        <v> </v>
      </c>
      <c r="K5100" s="26" t="str">
        <f>IF(OR(E5100="",E5100="!!!",F5100="NEW"),"",INDEX(J$1:J5099,SUMPRODUCT(MAX(ROW(E$1:E5099)*(E5100=E$1:E5099)))))</f>
        <v> </v>
      </c>
      <c r="L5100" s="27"/>
    </row>
    <row r="5101" spans="1:12">
      <c r="A5101" s="20" t="s">
        <v>1307</v>
      </c>
      <c r="E5101" s="22">
        <f>IF(D5101="?OLD","!!!","")</f>
        <v/>
      </c>
      <c r="F5101" s="23" t="str">
        <f>IF(OR(E5101="",E5101="!!!"),"",IF(NOT(ISNA(VLOOKUP(E5101,E$1:E5100,1,FALSE()))),"OLD",IF(AND(E5101&lt;&gt;"",E5101&lt;&gt;"!!!"),"NEW","")))</f>
        <v> </v>
      </c>
      <c r="G5101" s="24" t="str">
        <f>IF(OR(E5101="",E5101="!!!"),"",IF(OR(J5101=0,AND(J5101=1,K5101=1),AND(J5101=1,I5101="SBJ"),AND(J5101=1,I5101=0)),"?IN_FOCUS",IF(J5101&lt;=2,"?ACTIVATED",IF(J5101&lt;&gt;"","?FAMILIAR",IF(F5101="NEW",IF(ISNA(VLOOKUP(E5101,#REF!,1,FALSE())),"?TYPE_IDENTIFIABLE","?REFERENTIAL"),"_")))))</f>
        <v> </v>
      </c>
      <c r="H5101" s="25" t="str">
        <f>IF(J5101&lt;&gt;1,"",IF(I5101="SBJ","CB","?"))</f>
        <v> </v>
      </c>
      <c r="I5101" s="26" t="str">
        <f>IF(OR(E5101="",E5101="!!!",F5101="NEW"),"",INDEX(B5100:B$2,-1+SUMPRODUCT(MAX(ROW(E5100:E$2)*(E5101=E5100:E$2)))))</f>
        <v> </v>
      </c>
      <c r="J5101" s="26" t="str">
        <f>IF(OR(E5101="",E5101="!!!",F5101="NEW"),"",COUNTBLANK(OFFSET(A$1,,,SUMPRODUCT(MAX(ROW(E$2:E5101)*(E5101=E$2:E5101)))))-COUNTBLANK(OFFSET(A$1,,,SUMPRODUCT(MAX(ROW(E$1:E5100)*(E2=E$1:E5100))))))</f>
        <v> </v>
      </c>
      <c r="K5101" s="26" t="str">
        <f>IF(OR(E5101="",E5101="!!!",F5101="NEW"),"",INDEX(J$1:J5100,SUMPRODUCT(MAX(ROW(E$1:E5100)*(E5101=E$1:E5100)))))</f>
        <v> </v>
      </c>
      <c r="L5101" s="27"/>
    </row>
    <row r="5102" spans="1:12">
      <c r="A5102" s="20" t="s">
        <v>1266</v>
      </c>
      <c r="B5102" s="21" t="s">
        <v>1249</v>
      </c>
      <c r="C5102" s="21" t="s">
        <v>1255</v>
      </c>
      <c r="D5102" s="21" t="s">
        <v>1217</v>
      </c>
      <c r="E5102" s="22">
        <f>IF(D5102="?OLD","!!!","")</f>
        <v/>
      </c>
      <c r="F5102" s="23" t="str">
        <f>IF(OR(E5102="",E5102="!!!"),"",IF(NOT(ISNA(VLOOKUP(E5102,E$1:E5101,1,FALSE()))),"OLD",IF(AND(E5102&lt;&gt;"",E5102&lt;&gt;"!!!"),"NEW","")))</f>
        <v> </v>
      </c>
      <c r="G5102" s="24" t="str">
        <f>IF(OR(E5102="",E5102="!!!"),"",IF(OR(J5102=0,AND(J5102=1,K5102=1),AND(J5102=1,I5102="SBJ"),AND(J5102=1,I5102=0)),"?IN_FOCUS",IF(J5102&lt;=2,"?ACTIVATED",IF(J5102&lt;&gt;"","?FAMILIAR",IF(F5102="NEW",IF(ISNA(VLOOKUP(E5102,#REF!,1,FALSE())),"?TYPE_IDENTIFIABLE","?REFERENTIAL"),"_")))))</f>
        <v> </v>
      </c>
      <c r="H5102" s="25" t="str">
        <f>IF(J5102&lt;&gt;1,"",IF(I5102="SBJ","CB","?"))</f>
        <v> </v>
      </c>
      <c r="I5102" s="26" t="str">
        <f>IF(OR(E5102="",E5102="!!!",F5102="NEW"),"",INDEX(B5101:B$2,-1+SUMPRODUCT(MAX(ROW(E5101:E$2)*(E5102=E5101:E$2)))))</f>
        <v> </v>
      </c>
      <c r="J5102" s="26" t="str">
        <f>IF(OR(E5102="",E5102="!!!",F5102="NEW"),"",COUNTBLANK(OFFSET(A$1,,,SUMPRODUCT(MAX(ROW(E$2:E5102)*(E5102=E$2:E5102)))))-COUNTBLANK(OFFSET(A$1,,,SUMPRODUCT(MAX(ROW(E$1:E5101)*(E2=E$1:E5101))))))</f>
        <v> </v>
      </c>
      <c r="K5102" s="26" t="str">
        <f>IF(OR(E5102="",E5102="!!!",F5102="NEW"),"",INDEX(J$1:J5101,SUMPRODUCT(MAX(ROW(E$1:E5101)*(E5102=E$1:E5101)))))</f>
        <v> </v>
      </c>
      <c r="L5102" s="27"/>
    </row>
    <row r="5103" spans="1:12">
      <c r="A5103" s="20" t="s">
        <v>397</v>
      </c>
      <c r="E5103" s="22">
        <f>IF(D5103="?OLD","!!!","")</f>
        <v/>
      </c>
      <c r="F5103" s="23" t="str">
        <f>IF(OR(E5103="",E5103="!!!"),"",IF(NOT(ISNA(VLOOKUP(E5103,E$1:E5102,1,FALSE()))),"OLD",IF(AND(E5103&lt;&gt;"",E5103&lt;&gt;"!!!"),"NEW","")))</f>
        <v> </v>
      </c>
      <c r="G5103" s="24" t="str">
        <f>IF(OR(E5103="",E5103="!!!"),"",IF(OR(J5103=0,AND(J5103=1,K5103=1),AND(J5103=1,I5103="SBJ"),AND(J5103=1,I5103=0)),"?IN_FOCUS",IF(J5103&lt;=2,"?ACTIVATED",IF(J5103&lt;&gt;"","?FAMILIAR",IF(F5103="NEW",IF(ISNA(VLOOKUP(E5103,#REF!,1,FALSE())),"?TYPE_IDENTIFIABLE","?REFERENTIAL"),"_")))))</f>
        <v> </v>
      </c>
      <c r="H5103" s="25" t="str">
        <f>IF(J5103&lt;&gt;1,"",IF(I5103="SBJ","CB","?"))</f>
        <v> </v>
      </c>
      <c r="I5103" s="26" t="str">
        <f>IF(OR(E5103="",E5103="!!!",F5103="NEW"),"",INDEX(B5102:B$2,-1+SUMPRODUCT(MAX(ROW(E5102:E$2)*(E5103=E5102:E$2)))))</f>
        <v> </v>
      </c>
      <c r="J5103" s="26" t="str">
        <f>IF(OR(E5103="",E5103="!!!",F5103="NEW"),"",COUNTBLANK(OFFSET(A$1,,,SUMPRODUCT(MAX(ROW(E$2:E5103)*(E5103=E$2:E5103)))))-COUNTBLANK(OFFSET(A$1,,,SUMPRODUCT(MAX(ROW(E$1:E5102)*(E2=E$1:E5102))))))</f>
        <v> </v>
      </c>
      <c r="K5103" s="26" t="str">
        <f>IF(OR(E5103="",E5103="!!!",F5103="NEW"),"",INDEX(J$1:J5102,SUMPRODUCT(MAX(ROW(E$1:E5102)*(E5103=E$1:E5102)))))</f>
        <v> </v>
      </c>
      <c r="L5103" s="27"/>
    </row>
    <row r="5104" spans="1:12">
      <c r="A5104" s="20" t="s">
        <v>1277</v>
      </c>
      <c r="E5104" s="22">
        <f>IF(D5104="?OLD","!!!","")</f>
        <v/>
      </c>
      <c r="F5104" s="23" t="str">
        <f>IF(OR(E5104="",E5104="!!!"),"",IF(NOT(ISNA(VLOOKUP(E5104,E$1:E5103,1,FALSE()))),"OLD",IF(AND(E5104&lt;&gt;"",E5104&lt;&gt;"!!!"),"NEW","")))</f>
        <v> </v>
      </c>
      <c r="G5104" s="24" t="str">
        <f>IF(OR(E5104="",E5104="!!!"),"",IF(OR(J5104=0,AND(J5104=1,K5104=1),AND(J5104=1,I5104="SBJ"),AND(J5104=1,I5104=0)),"?IN_FOCUS",IF(J5104&lt;=2,"?ACTIVATED",IF(J5104&lt;&gt;"","?FAMILIAR",IF(F5104="NEW",IF(ISNA(VLOOKUP(E5104,#REF!,1,FALSE())),"?TYPE_IDENTIFIABLE","?REFERENTIAL"),"_")))))</f>
        <v> </v>
      </c>
      <c r="H5104" s="25" t="str">
        <f>IF(J5104&lt;&gt;1,"",IF(I5104="SBJ","CB","?"))</f>
        <v> </v>
      </c>
      <c r="I5104" s="26" t="str">
        <f>IF(OR(E5104="",E5104="!!!",F5104="NEW"),"",INDEX(B5103:B$2,-1+SUMPRODUCT(MAX(ROW(E5103:E$2)*(E5104=E5103:E$2)))))</f>
        <v> </v>
      </c>
      <c r="J5104" s="26" t="str">
        <f>IF(OR(E5104="",E5104="!!!",F5104="NEW"),"",COUNTBLANK(OFFSET(A$1,,,SUMPRODUCT(MAX(ROW(E$2:E5104)*(E5104=E$2:E5104)))))-COUNTBLANK(OFFSET(A$1,,,SUMPRODUCT(MAX(ROW(E$1:E5103)*(E2=E$1:E5103))))))</f>
        <v> </v>
      </c>
      <c r="K5104" s="26" t="str">
        <f>IF(OR(E5104="",E5104="!!!",F5104="NEW"),"",INDEX(J$1:J5103,SUMPRODUCT(MAX(ROW(E$1:E5103)*(E5104=E$1:E5103)))))</f>
        <v> </v>
      </c>
      <c r="L5104" s="27"/>
    </row>
    <row r="5105" spans="1:12">
      <c r="A5105" s="20" t="s">
        <v>565</v>
      </c>
      <c r="B5105" s="21" t="s">
        <v>1215</v>
      </c>
      <c r="C5105" s="21" t="s">
        <v>1255</v>
      </c>
      <c r="D5105" s="21" t="s">
        <v>1217</v>
      </c>
      <c r="E5105" s="22">
        <f>IF(D5105="?OLD","!!!","")</f>
        <v/>
      </c>
      <c r="F5105" s="23" t="str">
        <f>IF(OR(E5105="",E5105="!!!"),"",IF(NOT(ISNA(VLOOKUP(E5105,E$1:E5104,1,FALSE()))),"OLD",IF(AND(E5105&lt;&gt;"",E5105&lt;&gt;"!!!"),"NEW","")))</f>
        <v> </v>
      </c>
      <c r="G5105" s="24" t="str">
        <f>IF(OR(E5105="",E5105="!!!"),"",IF(OR(J5105=0,AND(J5105=1,K5105=1),AND(J5105=1,I5105="SBJ"),AND(J5105=1,I5105=0)),"?IN_FOCUS",IF(J5105&lt;=2,"?ACTIVATED",IF(J5105&lt;&gt;"","?FAMILIAR",IF(F5105="NEW",IF(ISNA(VLOOKUP(E5105,#REF!,1,FALSE())),"?TYPE_IDENTIFIABLE","?REFERENTIAL"),"_")))))</f>
        <v> </v>
      </c>
      <c r="H5105" s="25" t="str">
        <f>IF(J5105&lt;&gt;1,"",IF(I5105="SBJ","CB","?"))</f>
        <v> </v>
      </c>
      <c r="I5105" s="26" t="str">
        <f>IF(OR(E5105="",E5105="!!!",F5105="NEW"),"",INDEX(B5104:B$2,-1+SUMPRODUCT(MAX(ROW(E5104:E$2)*(E5105=E5104:E$2)))))</f>
        <v> </v>
      </c>
      <c r="J5105" s="26" t="str">
        <f>IF(OR(E5105="",E5105="!!!",F5105="NEW"),"",COUNTBLANK(OFFSET(A$1,,,SUMPRODUCT(MAX(ROW(E$2:E5105)*(E5105=E$2:E5105)))))-COUNTBLANK(OFFSET(A$1,,,SUMPRODUCT(MAX(ROW(E$1:E5104)*(E2=E$1:E5104))))))</f>
        <v> </v>
      </c>
      <c r="K5105" s="26" t="str">
        <f>IF(OR(E5105="",E5105="!!!",F5105="NEW"),"",INDEX(J$1:J5104,SUMPRODUCT(MAX(ROW(E$1:E5104)*(E5105=E$1:E5104)))))</f>
        <v> </v>
      </c>
      <c r="L5105" s="27"/>
    </row>
    <row r="5106" spans="1:12">
      <c r="A5106" s="20" t="s">
        <v>1301</v>
      </c>
      <c r="E5106" s="22">
        <f>IF(D5106="?OLD","!!!","")</f>
        <v/>
      </c>
      <c r="F5106" s="23" t="str">
        <f>IF(OR(E5106="",E5106="!!!"),"",IF(NOT(ISNA(VLOOKUP(E5106,E$1:E5105,1,FALSE()))),"OLD",IF(AND(E5106&lt;&gt;"",E5106&lt;&gt;"!!!"),"NEW","")))</f>
        <v> </v>
      </c>
      <c r="G5106" s="24" t="str">
        <f>IF(OR(E5106="",E5106="!!!"),"",IF(OR(J5106=0,AND(J5106=1,K5106=1),AND(J5106=1,I5106="SBJ"),AND(J5106=1,I5106=0)),"?IN_FOCUS",IF(J5106&lt;=2,"?ACTIVATED",IF(J5106&lt;&gt;"","?FAMILIAR",IF(F5106="NEW",IF(ISNA(VLOOKUP(E5106,#REF!,1,FALSE())),"?TYPE_IDENTIFIABLE","?REFERENTIAL"),"_")))))</f>
        <v> </v>
      </c>
      <c r="H5106" s="25" t="str">
        <f>IF(J5106&lt;&gt;1,"",IF(I5106="SBJ","CB","?"))</f>
        <v> </v>
      </c>
      <c r="I5106" s="26" t="str">
        <f>IF(OR(E5106="",E5106="!!!",F5106="NEW"),"",INDEX(B5105:B$2,-1+SUMPRODUCT(MAX(ROW(E5105:E$2)*(E5106=E5105:E$2)))))</f>
        <v> </v>
      </c>
      <c r="J5106" s="26" t="str">
        <f>IF(OR(E5106="",E5106="!!!",F5106="NEW"),"",COUNTBLANK(OFFSET(A$1,,,SUMPRODUCT(MAX(ROW(E$2:E5106)*(E5106=E$2:E5106)))))-COUNTBLANK(OFFSET(A$1,,,SUMPRODUCT(MAX(ROW(E$1:E5105)*(E2=E$1:E5105))))))</f>
        <v> </v>
      </c>
      <c r="K5106" s="26" t="str">
        <f>IF(OR(E5106="",E5106="!!!",F5106="NEW"),"",INDEX(J$1:J5105,SUMPRODUCT(MAX(ROW(E$1:E5105)*(E5106=E$1:E5105)))))</f>
        <v> </v>
      </c>
      <c r="L5106" s="27"/>
    </row>
    <row r="5107" spans="1:12">
      <c r="A5107" s="20" t="s">
        <v>2673</v>
      </c>
      <c r="E5107" s="22">
        <f>IF(D5107="?OLD","!!!","")</f>
        <v/>
      </c>
      <c r="F5107" s="23" t="str">
        <f>IF(OR(E5107="",E5107="!!!"),"",IF(NOT(ISNA(VLOOKUP(E5107,E$1:E5106,1,FALSE()))),"OLD",IF(AND(E5107&lt;&gt;"",E5107&lt;&gt;"!!!"),"NEW","")))</f>
        <v> </v>
      </c>
      <c r="G5107" s="24" t="str">
        <f>IF(OR(E5107="",E5107="!!!"),"",IF(OR(J5107=0,AND(J5107=1,K5107=1),AND(J5107=1,I5107="SBJ"),AND(J5107=1,I5107=0)),"?IN_FOCUS",IF(J5107&lt;=2,"?ACTIVATED",IF(J5107&lt;&gt;"","?FAMILIAR",IF(F5107="NEW",IF(ISNA(VLOOKUP(E5107,#REF!,1,FALSE())),"?TYPE_IDENTIFIABLE","?REFERENTIAL"),"_")))))</f>
        <v> </v>
      </c>
      <c r="H5107" s="25" t="str">
        <f>IF(J5107&lt;&gt;1,"",IF(I5107="SBJ","CB","?"))</f>
        <v> </v>
      </c>
      <c r="I5107" s="26" t="str">
        <f>IF(OR(E5107="",E5107="!!!",F5107="NEW"),"",INDEX(B5106:B$2,-1+SUMPRODUCT(MAX(ROW(E5106:E$2)*(E5107=E5106:E$2)))))</f>
        <v> </v>
      </c>
      <c r="J5107" s="26" t="str">
        <f>IF(OR(E5107="",E5107="!!!",F5107="NEW"),"",COUNTBLANK(OFFSET(A$1,,,SUMPRODUCT(MAX(ROW(E$2:E5107)*(E5107=E$2:E5107)))))-COUNTBLANK(OFFSET(A$1,,,SUMPRODUCT(MAX(ROW(E$1:E5106)*(E2=E$1:E5106))))))</f>
        <v> </v>
      </c>
      <c r="K5107" s="26" t="str">
        <f>IF(OR(E5107="",E5107="!!!",F5107="NEW"),"",INDEX(J$1:J5106,SUMPRODUCT(MAX(ROW(E$1:E5106)*(E5107=E$1:E5106)))))</f>
        <v> </v>
      </c>
      <c r="L5107" s="27"/>
    </row>
    <row r="5108" spans="1:12">
      <c r="A5108" s="20" t="s">
        <v>1319</v>
      </c>
      <c r="E5108" s="22">
        <f>IF(D5108="?OLD","!!!","")</f>
        <v/>
      </c>
      <c r="F5108" s="23" t="str">
        <f>IF(OR(E5108="",E5108="!!!"),"",IF(NOT(ISNA(VLOOKUP(E5108,E$1:E5107,1,FALSE()))),"OLD",IF(AND(E5108&lt;&gt;"",E5108&lt;&gt;"!!!"),"NEW","")))</f>
        <v> </v>
      </c>
      <c r="G5108" s="24" t="str">
        <f>IF(OR(E5108="",E5108="!!!"),"",IF(OR(J5108=0,AND(J5108=1,K5108=1),AND(J5108=1,I5108="SBJ"),AND(J5108=1,I5108=0)),"?IN_FOCUS",IF(J5108&lt;=2,"?ACTIVATED",IF(J5108&lt;&gt;"","?FAMILIAR",IF(F5108="NEW",IF(ISNA(VLOOKUP(E5108,#REF!,1,FALSE())),"?TYPE_IDENTIFIABLE","?REFERENTIAL"),"_")))))</f>
        <v> </v>
      </c>
      <c r="H5108" s="25" t="str">
        <f>IF(J5108&lt;&gt;1,"",IF(I5108="SBJ","CB","?"))</f>
        <v> </v>
      </c>
      <c r="I5108" s="26" t="str">
        <f>IF(OR(E5108="",E5108="!!!",F5108="NEW"),"",INDEX(B5107:B$2,-1+SUMPRODUCT(MAX(ROW(E5107:E$2)*(E5108=E5107:E$2)))))</f>
        <v> </v>
      </c>
      <c r="J5108" s="26" t="str">
        <f>IF(OR(E5108="",E5108="!!!",F5108="NEW"),"",COUNTBLANK(OFFSET(A$1,,,SUMPRODUCT(MAX(ROW(E$2:E5108)*(E5108=E$2:E5108)))))-COUNTBLANK(OFFSET(A$1,,,SUMPRODUCT(MAX(ROW(E$1:E5107)*(E2=E$1:E5107))))))</f>
        <v> </v>
      </c>
      <c r="K5108" s="26" t="str">
        <f>IF(OR(E5108="",E5108="!!!",F5108="NEW"),"",INDEX(J$1:J5107,SUMPRODUCT(MAX(ROW(E$1:E5107)*(E5108=E$1:E5107)))))</f>
        <v> </v>
      </c>
      <c r="L5108" s="27"/>
    </row>
    <row r="5109" spans="1:12">
      <c r="A5109" s="20" t="s">
        <v>1596</v>
      </c>
      <c r="E5109" s="22">
        <f>IF(D5109="?OLD","!!!","")</f>
        <v/>
      </c>
      <c r="F5109" s="23" t="str">
        <f>IF(OR(E5109="",E5109="!!!"),"",IF(NOT(ISNA(VLOOKUP(E5109,E$1:E5108,1,FALSE()))),"OLD",IF(AND(E5109&lt;&gt;"",E5109&lt;&gt;"!!!"),"NEW","")))</f>
        <v> </v>
      </c>
      <c r="G5109" s="24" t="str">
        <f>IF(OR(E5109="",E5109="!!!"),"",IF(OR(J5109=0,AND(J5109=1,K5109=1),AND(J5109=1,I5109="SBJ"),AND(J5109=1,I5109=0)),"?IN_FOCUS",IF(J5109&lt;=2,"?ACTIVATED",IF(J5109&lt;&gt;"","?FAMILIAR",IF(F5109="NEW",IF(ISNA(VLOOKUP(E5109,#REF!,1,FALSE())),"?TYPE_IDENTIFIABLE","?REFERENTIAL"),"_")))))</f>
        <v> </v>
      </c>
      <c r="H5109" s="25" t="str">
        <f>IF(J5109&lt;&gt;1,"",IF(I5109="SBJ","CB","?"))</f>
        <v> </v>
      </c>
      <c r="I5109" s="26" t="str">
        <f>IF(OR(E5109="",E5109="!!!",F5109="NEW"),"",INDEX(B5108:B$2,-1+SUMPRODUCT(MAX(ROW(E5108:E$2)*(E5109=E5108:E$2)))))</f>
        <v> </v>
      </c>
      <c r="J5109" s="26" t="str">
        <f>IF(OR(E5109="",E5109="!!!",F5109="NEW"),"",COUNTBLANK(OFFSET(A$1,,,SUMPRODUCT(MAX(ROW(E$2:E5109)*(E5109=E$2:E5109)))))-COUNTBLANK(OFFSET(A$1,,,SUMPRODUCT(MAX(ROW(E$1:E5108)*(E2=E$1:E5108))))))</f>
        <v> </v>
      </c>
      <c r="K5109" s="26" t="str">
        <f>IF(OR(E5109="",E5109="!!!",F5109="NEW"),"",INDEX(J$1:J5108,SUMPRODUCT(MAX(ROW(E$1:E5108)*(E5109=E$1:E5108)))))</f>
        <v> </v>
      </c>
      <c r="L5109" s="27"/>
    </row>
    <row r="5110" spans="1:12">
      <c r="A5110" s="20" t="s">
        <v>2861</v>
      </c>
      <c r="E5110" s="22">
        <f>IF(D5110="?OLD","!!!","")</f>
        <v/>
      </c>
      <c r="F5110" s="23" t="str">
        <f>IF(OR(E5110="",E5110="!!!"),"",IF(NOT(ISNA(VLOOKUP(E5110,E$1:E5109,1,FALSE()))),"OLD",IF(AND(E5110&lt;&gt;"",E5110&lt;&gt;"!!!"),"NEW","")))</f>
        <v> </v>
      </c>
      <c r="G5110" s="24" t="str">
        <f>IF(OR(E5110="",E5110="!!!"),"",IF(OR(J5110=0,AND(J5110=1,K5110=1),AND(J5110=1,I5110="SBJ"),AND(J5110=1,I5110=0)),"?IN_FOCUS",IF(J5110&lt;=2,"?ACTIVATED",IF(J5110&lt;&gt;"","?FAMILIAR",IF(F5110="NEW",IF(ISNA(VLOOKUP(E5110,#REF!,1,FALSE())),"?TYPE_IDENTIFIABLE","?REFERENTIAL"),"_")))))</f>
        <v> </v>
      </c>
      <c r="H5110" s="25" t="str">
        <f>IF(J5110&lt;&gt;1,"",IF(I5110="SBJ","CB","?"))</f>
        <v> </v>
      </c>
      <c r="I5110" s="26" t="str">
        <f>IF(OR(E5110="",E5110="!!!",F5110="NEW"),"",INDEX(B5109:B$2,-1+SUMPRODUCT(MAX(ROW(E5109:E$2)*(E5110=E5109:E$2)))))</f>
        <v> </v>
      </c>
      <c r="J5110" s="26" t="str">
        <f>IF(OR(E5110="",E5110="!!!",F5110="NEW"),"",COUNTBLANK(OFFSET(A$1,,,SUMPRODUCT(MAX(ROW(E$2:E5110)*(E5110=E$2:E5110)))))-COUNTBLANK(OFFSET(A$1,,,SUMPRODUCT(MAX(ROW(E$1:E5109)*(E2=E$1:E5109))))))</f>
        <v> </v>
      </c>
      <c r="K5110" s="26" t="str">
        <f>IF(OR(E5110="",E5110="!!!",F5110="NEW"),"",INDEX(J$1:J5109,SUMPRODUCT(MAX(ROW(E$1:E5109)*(E5110=E$1:E5109)))))</f>
        <v> </v>
      </c>
      <c r="L5110" s="27"/>
    </row>
    <row r="5111" spans="1:12">
      <c r="A5111" s="20" t="s">
        <v>1323</v>
      </c>
      <c r="E5111" s="22">
        <f>IF(D5111="?OLD","!!!","")</f>
        <v/>
      </c>
      <c r="F5111" s="23" t="str">
        <f>IF(OR(E5111="",E5111="!!!"),"",IF(NOT(ISNA(VLOOKUP(E5111,E$1:E5110,1,FALSE()))),"OLD",IF(AND(E5111&lt;&gt;"",E5111&lt;&gt;"!!!"),"NEW","")))</f>
        <v> </v>
      </c>
      <c r="G5111" s="24" t="str">
        <f>IF(OR(E5111="",E5111="!!!"),"",IF(OR(J5111=0,AND(J5111=1,K5111=1),AND(J5111=1,I5111="SBJ"),AND(J5111=1,I5111=0)),"?IN_FOCUS",IF(J5111&lt;=2,"?ACTIVATED",IF(J5111&lt;&gt;"","?FAMILIAR",IF(F5111="NEW",IF(ISNA(VLOOKUP(E5111,#REF!,1,FALSE())),"?TYPE_IDENTIFIABLE","?REFERENTIAL"),"_")))))</f>
        <v> </v>
      </c>
      <c r="H5111" s="25" t="str">
        <f>IF(J5111&lt;&gt;1,"",IF(I5111="SBJ","CB","?"))</f>
        <v> </v>
      </c>
      <c r="I5111" s="26" t="str">
        <f>IF(OR(E5111="",E5111="!!!",F5111="NEW"),"",INDEX(B5110:B$2,-1+SUMPRODUCT(MAX(ROW(E5110:E$2)*(E5111=E5110:E$2)))))</f>
        <v> </v>
      </c>
      <c r="J5111" s="26" t="str">
        <f>IF(OR(E5111="",E5111="!!!",F5111="NEW"),"",COUNTBLANK(OFFSET(A$1,,,SUMPRODUCT(MAX(ROW(E$2:E5111)*(E5111=E$2:E5111)))))-COUNTBLANK(OFFSET(A$1,,,SUMPRODUCT(MAX(ROW(E$1:E5110)*(E2=E$1:E5110))))))</f>
        <v> </v>
      </c>
      <c r="K5111" s="26" t="str">
        <f>IF(OR(E5111="",E5111="!!!",F5111="NEW"),"",INDEX(J$1:J5110,SUMPRODUCT(MAX(ROW(E$1:E5110)*(E5111=E$1:E5110)))))</f>
        <v> </v>
      </c>
      <c r="L5111" s="27"/>
    </row>
    <row r="5112" spans="1:12">
      <c r="A5112" s="20" t="s">
        <v>1997</v>
      </c>
      <c r="B5112" s="21" t="s">
        <v>1249</v>
      </c>
      <c r="C5112" s="21" t="s">
        <v>1269</v>
      </c>
      <c r="D5112" s="21" t="s">
        <v>1217</v>
      </c>
      <c r="E5112" s="22">
        <f>IF(D5112="?OLD","!!!","")</f>
        <v/>
      </c>
      <c r="F5112" s="23" t="str">
        <f>IF(OR(E5112="",E5112="!!!"),"",IF(NOT(ISNA(VLOOKUP(E5112,E$1:E5111,1,FALSE()))),"OLD",IF(AND(E5112&lt;&gt;"",E5112&lt;&gt;"!!!"),"NEW","")))</f>
        <v> </v>
      </c>
      <c r="G5112" s="24" t="str">
        <f>IF(OR(E5112="",E5112="!!!"),"",IF(OR(J5112=0,AND(J5112=1,K5112=1),AND(J5112=1,I5112="SBJ"),AND(J5112=1,I5112=0)),"?IN_FOCUS",IF(J5112&lt;=2,"?ACTIVATED",IF(J5112&lt;&gt;"","?FAMILIAR",IF(F5112="NEW",IF(ISNA(VLOOKUP(E5112,#REF!,1,FALSE())),"?TYPE_IDENTIFIABLE","?REFERENTIAL"),"_")))))</f>
        <v> </v>
      </c>
      <c r="H5112" s="25" t="str">
        <f>IF(J5112&lt;&gt;1,"",IF(I5112="SBJ","CB","?"))</f>
        <v> </v>
      </c>
      <c r="I5112" s="26" t="str">
        <f>IF(OR(E5112="",E5112="!!!",F5112="NEW"),"",INDEX(B5111:B$2,-1+SUMPRODUCT(MAX(ROW(E5111:E$2)*(E5112=E5111:E$2)))))</f>
        <v> </v>
      </c>
      <c r="J5112" s="26" t="str">
        <f>IF(OR(E5112="",E5112="!!!",F5112="NEW"),"",COUNTBLANK(OFFSET(A$1,,,SUMPRODUCT(MAX(ROW(E$2:E5112)*(E5112=E$2:E5112)))))-COUNTBLANK(OFFSET(A$1,,,SUMPRODUCT(MAX(ROW(E$1:E5111)*(E2=E$1:E5111))))))</f>
        <v> </v>
      </c>
      <c r="K5112" s="26" t="str">
        <f>IF(OR(E5112="",E5112="!!!",F5112="NEW"),"",INDEX(J$1:J5111,SUMPRODUCT(MAX(ROW(E$1:E5111)*(E5112=E$1:E5111)))))</f>
        <v> </v>
      </c>
      <c r="L5112" s="27"/>
    </row>
    <row r="5113" spans="1:12">
      <c r="A5113" s="20" t="s">
        <v>2664</v>
      </c>
      <c r="E5113" s="22">
        <f>IF(D5113="?OLD","!!!","")</f>
        <v/>
      </c>
      <c r="F5113" s="23" t="str">
        <f>IF(OR(E5113="",E5113="!!!"),"",IF(NOT(ISNA(VLOOKUP(E5113,E$1:E5112,1,FALSE()))),"OLD",IF(AND(E5113&lt;&gt;"",E5113&lt;&gt;"!!!"),"NEW","")))</f>
        <v> </v>
      </c>
      <c r="G5113" s="24" t="str">
        <f>IF(OR(E5113="",E5113="!!!"),"",IF(OR(J5113=0,AND(J5113=1,K5113=1),AND(J5113=1,I5113="SBJ"),AND(J5113=1,I5113=0)),"?IN_FOCUS",IF(J5113&lt;=2,"?ACTIVATED",IF(J5113&lt;&gt;"","?FAMILIAR",IF(F5113="NEW",IF(ISNA(VLOOKUP(E5113,#REF!,1,FALSE())),"?TYPE_IDENTIFIABLE","?REFERENTIAL"),"_")))))</f>
        <v> </v>
      </c>
      <c r="H5113" s="25" t="str">
        <f>IF(J5113&lt;&gt;1,"",IF(I5113="SBJ","CB","?"))</f>
        <v> </v>
      </c>
      <c r="I5113" s="26" t="str">
        <f>IF(OR(E5113="",E5113="!!!",F5113="NEW"),"",INDEX(B5112:B$2,-1+SUMPRODUCT(MAX(ROW(E5112:E$2)*(E5113=E5112:E$2)))))</f>
        <v> </v>
      </c>
      <c r="J5113" s="26" t="str">
        <f>IF(OR(E5113="",E5113="!!!",F5113="NEW"),"",COUNTBLANK(OFFSET(A$1,,,SUMPRODUCT(MAX(ROW(E$2:E5113)*(E5113=E$2:E5113)))))-COUNTBLANK(OFFSET(A$1,,,SUMPRODUCT(MAX(ROW(E$1:E5112)*(E2=E$1:E5112))))))</f>
        <v> </v>
      </c>
      <c r="K5113" s="26" t="str">
        <f>IF(OR(E5113="",E5113="!!!",F5113="NEW"),"",INDEX(J$1:J5112,SUMPRODUCT(MAX(ROW(E$1:E5112)*(E5113=E$1:E5112)))))</f>
        <v> </v>
      </c>
      <c r="L5113" s="27"/>
    </row>
    <row r="5114" spans="1:12">
      <c r="A5114" s="20" t="s">
        <v>1262</v>
      </c>
      <c r="E5114" s="22">
        <f>IF(D5114="?OLD","!!!","")</f>
        <v/>
      </c>
      <c r="F5114" s="23" t="str">
        <f>IF(OR(E5114="",E5114="!!!"),"",IF(NOT(ISNA(VLOOKUP(E5114,E$1:E5113,1,FALSE()))),"OLD",IF(AND(E5114&lt;&gt;"",E5114&lt;&gt;"!!!"),"NEW","")))</f>
        <v> </v>
      </c>
      <c r="G5114" s="24" t="str">
        <f>IF(OR(E5114="",E5114="!!!"),"",IF(OR(J5114=0,AND(J5114=1,K5114=1),AND(J5114=1,I5114="SBJ"),AND(J5114=1,I5114=0)),"?IN_FOCUS",IF(J5114&lt;=2,"?ACTIVATED",IF(J5114&lt;&gt;"","?FAMILIAR",IF(F5114="NEW",IF(ISNA(VLOOKUP(E5114,#REF!,1,FALSE())),"?TYPE_IDENTIFIABLE","?REFERENTIAL"),"_")))))</f>
        <v> </v>
      </c>
      <c r="H5114" s="25" t="str">
        <f>IF(J5114&lt;&gt;1,"",IF(I5114="SBJ","CB","?"))</f>
        <v> </v>
      </c>
      <c r="I5114" s="26" t="str">
        <f>IF(OR(E5114="",E5114="!!!",F5114="NEW"),"",INDEX(B5113:B$2,-1+SUMPRODUCT(MAX(ROW(E5113:E$2)*(E5114=E5113:E$2)))))</f>
        <v> </v>
      </c>
      <c r="J5114" s="26" t="str">
        <f>IF(OR(E5114="",E5114="!!!",F5114="NEW"),"",COUNTBLANK(OFFSET(A$1,,,SUMPRODUCT(MAX(ROW(E$2:E5114)*(E5114=E$2:E5114)))))-COUNTBLANK(OFFSET(A$1,,,SUMPRODUCT(MAX(ROW(E$1:E5113)*(E2=E$1:E5113))))))</f>
        <v> </v>
      </c>
      <c r="K5114" s="26" t="str">
        <f>IF(OR(E5114="",E5114="!!!",F5114="NEW"),"",INDEX(J$1:J5113,SUMPRODUCT(MAX(ROW(E$1:E5113)*(E5114=E$1:E5113)))))</f>
        <v> </v>
      </c>
      <c r="L5114" s="27"/>
    </row>
    <row r="5115" spans="1:12">
      <c r="A5115" s="20"/>
    </row>
    <row r="5116" spans="1:12">
      <c r="A5116" s="20" t="s">
        <v>2862</v>
      </c>
    </row>
    <row r="5117" spans="1:12">
      <c r="A5117" s="20" t="s">
        <v>1264</v>
      </c>
      <c r="B5117" s="21" t="s">
        <v>1215</v>
      </c>
      <c r="C5117" s="21" t="s">
        <v>1255</v>
      </c>
      <c r="D5117" s="21" t="s">
        <v>1217</v>
      </c>
      <c r="E5117" s="22">
        <f>IF(D5117="?OLD","!!!","")</f>
        <v/>
      </c>
      <c r="F5117" s="23" t="str">
        <f>IF(OR(E5117="",E5117="!!!"),"",IF(NOT(ISNA(VLOOKUP(E5117,E$1:E5116,1,FALSE()))),"OLD",IF(AND(E5117&lt;&gt;"",E5117&lt;&gt;"!!!"),"NEW","")))</f>
        <v> </v>
      </c>
      <c r="G5117" s="24" t="str">
        <f>IF(OR(E5117="",E5117="!!!"),"",IF(OR(J5117=0,AND(J5117=1,K5117=1),AND(J5117=1,I5117="SBJ"),AND(J5117=1,I5117=0)),"?IN_FOCUS",IF(J5117&lt;=2,"?ACTIVATED",IF(J5117&lt;&gt;"","?FAMILIAR",IF(F5117="NEW",IF(ISNA(VLOOKUP(E5117,#REF!,1,FALSE())),"?TYPE_IDENTIFIABLE","?REFERENTIAL"),"_")))))</f>
        <v> </v>
      </c>
      <c r="H5117" s="25" t="str">
        <f>IF(J5117&lt;&gt;1,"",IF(I5117="SBJ","CB","?"))</f>
        <v> </v>
      </c>
      <c r="I5117" s="26" t="str">
        <f>IF(OR(E5117="",E5117="!!!",F5117="NEW"),"",INDEX(B5116:B$2,-1+SUMPRODUCT(MAX(ROW(E5116:E$2)*(E5117=E5116:E$2)))))</f>
        <v> </v>
      </c>
      <c r="J5117" s="26" t="str">
        <f>IF(OR(E5117="",E5117="!!!",F5117="NEW"),"",COUNTBLANK(OFFSET(A$1,,,SUMPRODUCT(MAX(ROW(E$2:E5117)*(E5117=E$2:E5117)))))-COUNTBLANK(OFFSET(A$1,,,SUMPRODUCT(MAX(ROW(E$1:E5116)*(E2=E$1:E5116))))))</f>
        <v> </v>
      </c>
      <c r="K5117" s="26" t="str">
        <f>IF(OR(E5117="",E5117="!!!",F5117="NEW"),"",INDEX(J$1:J5116,SUMPRODUCT(MAX(ROW(E$1:E5116)*(E5117=E$1:E5116)))))</f>
        <v> </v>
      </c>
      <c r="L5117" s="27"/>
    </row>
    <row r="5118" spans="1:12">
      <c r="A5118" s="20" t="s">
        <v>2863</v>
      </c>
      <c r="E5118" s="22">
        <f>IF(D5118="?OLD","!!!","")</f>
        <v/>
      </c>
      <c r="F5118" s="23" t="str">
        <f>IF(OR(E5118="",E5118="!!!"),"",IF(NOT(ISNA(VLOOKUP(E5118,E$1:E5117,1,FALSE()))),"OLD",IF(AND(E5118&lt;&gt;"",E5118&lt;&gt;"!!!"),"NEW","")))</f>
        <v> </v>
      </c>
      <c r="G5118" s="24" t="str">
        <f>IF(OR(E5118="",E5118="!!!"),"",IF(OR(J5118=0,AND(J5118=1,K5118=1),AND(J5118=1,I5118="SBJ"),AND(J5118=1,I5118=0)),"?IN_FOCUS",IF(J5118&lt;=2,"?ACTIVATED",IF(J5118&lt;&gt;"","?FAMILIAR",IF(F5118="NEW",IF(ISNA(VLOOKUP(E5118,#REF!,1,FALSE())),"?TYPE_IDENTIFIABLE","?REFERENTIAL"),"_")))))</f>
        <v> </v>
      </c>
      <c r="H5118" s="25" t="str">
        <f>IF(J5118&lt;&gt;1,"",IF(I5118="SBJ","CB","?"))</f>
        <v> </v>
      </c>
      <c r="I5118" s="26" t="str">
        <f>IF(OR(E5118="",E5118="!!!",F5118="NEW"),"",INDEX(B5117:B$2,-1+SUMPRODUCT(MAX(ROW(E5117:E$2)*(E5118=E5117:E$2)))))</f>
        <v> </v>
      </c>
      <c r="J5118" s="26" t="str">
        <f>IF(OR(E5118="",E5118="!!!",F5118="NEW"),"",COUNTBLANK(OFFSET(A$1,,,SUMPRODUCT(MAX(ROW(E$2:E5118)*(E5118=E$2:E5118)))))-COUNTBLANK(OFFSET(A$1,,,SUMPRODUCT(MAX(ROW(E$1:E5117)*(E2=E$1:E5117))))))</f>
        <v> </v>
      </c>
      <c r="K5118" s="26" t="str">
        <f>IF(OR(E5118="",E5118="!!!",F5118="NEW"),"",INDEX(J$1:J5117,SUMPRODUCT(MAX(ROW(E$1:E5117)*(E5118=E$1:E5117)))))</f>
        <v> </v>
      </c>
      <c r="L5118" s="27"/>
    </row>
    <row r="5119" spans="1:12">
      <c r="A5119" s="20" t="s">
        <v>1245</v>
      </c>
      <c r="E5119" s="22">
        <f>IF(D5119="?OLD","!!!","")</f>
        <v/>
      </c>
      <c r="F5119" s="23" t="str">
        <f>IF(OR(E5119="",E5119="!!!"),"",IF(NOT(ISNA(VLOOKUP(E5119,E$1:E5118,1,FALSE()))),"OLD",IF(AND(E5119&lt;&gt;"",E5119&lt;&gt;"!!!"),"NEW","")))</f>
        <v> </v>
      </c>
      <c r="G5119" s="24" t="str">
        <f>IF(OR(E5119="",E5119="!!!"),"",IF(OR(J5119=0,AND(J5119=1,K5119=1),AND(J5119=1,I5119="SBJ"),AND(J5119=1,I5119=0)),"?IN_FOCUS",IF(J5119&lt;=2,"?ACTIVATED",IF(J5119&lt;&gt;"","?FAMILIAR",IF(F5119="NEW",IF(ISNA(VLOOKUP(E5119,#REF!,1,FALSE())),"?TYPE_IDENTIFIABLE","?REFERENTIAL"),"_")))))</f>
        <v> </v>
      </c>
      <c r="H5119" s="25" t="str">
        <f>IF(J5119&lt;&gt;1,"",IF(I5119="SBJ","CB","?"))</f>
        <v> </v>
      </c>
      <c r="I5119" s="26" t="str">
        <f>IF(OR(E5119="",E5119="!!!",F5119="NEW"),"",INDEX(B5118:B$2,-1+SUMPRODUCT(MAX(ROW(E5118:E$2)*(E5119=E5118:E$2)))))</f>
        <v> </v>
      </c>
      <c r="J5119" s="26" t="str">
        <f>IF(OR(E5119="",E5119="!!!",F5119="NEW"),"",COUNTBLANK(OFFSET(A$1,,,SUMPRODUCT(MAX(ROW(E$2:E5119)*(E5119=E$2:E5119)))))-COUNTBLANK(OFFSET(A$1,,,SUMPRODUCT(MAX(ROW(E$1:E5118)*(E2=E$1:E5118))))))</f>
        <v> </v>
      </c>
      <c r="K5119" s="26" t="str">
        <f>IF(OR(E5119="",E5119="!!!",F5119="NEW"),"",INDEX(J$1:J5118,SUMPRODUCT(MAX(ROW(E$1:E5118)*(E5119=E$1:E5118)))))</f>
        <v> </v>
      </c>
      <c r="L5119" s="27"/>
    </row>
    <row r="5120" spans="1:12">
      <c r="A5120" s="20" t="s">
        <v>1323</v>
      </c>
      <c r="E5120" s="22">
        <f>IF(D5120="?OLD","!!!","")</f>
        <v/>
      </c>
      <c r="F5120" s="23" t="str">
        <f>IF(OR(E5120="",E5120="!!!"),"",IF(NOT(ISNA(VLOOKUP(E5120,E$1:E5119,1,FALSE()))),"OLD",IF(AND(E5120&lt;&gt;"",E5120&lt;&gt;"!!!"),"NEW","")))</f>
        <v> </v>
      </c>
      <c r="G5120" s="24" t="str">
        <f>IF(OR(E5120="",E5120="!!!"),"",IF(OR(J5120=0,AND(J5120=1,K5120=1),AND(J5120=1,I5120="SBJ"),AND(J5120=1,I5120=0)),"?IN_FOCUS",IF(J5120&lt;=2,"?ACTIVATED",IF(J5120&lt;&gt;"","?FAMILIAR",IF(F5120="NEW",IF(ISNA(VLOOKUP(E5120,#REF!,1,FALSE())),"?TYPE_IDENTIFIABLE","?REFERENTIAL"),"_")))))</f>
        <v> </v>
      </c>
      <c r="H5120" s="25" t="str">
        <f>IF(J5120&lt;&gt;1,"",IF(I5120="SBJ","CB","?"))</f>
        <v> </v>
      </c>
      <c r="I5120" s="26" t="str">
        <f>IF(OR(E5120="",E5120="!!!",F5120="NEW"),"",INDEX(B5119:B$2,-1+SUMPRODUCT(MAX(ROW(E5119:E$2)*(E5120=E5119:E$2)))))</f>
        <v> </v>
      </c>
      <c r="J5120" s="26" t="str">
        <f>IF(OR(E5120="",E5120="!!!",F5120="NEW"),"",COUNTBLANK(OFFSET(A$1,,,SUMPRODUCT(MAX(ROW(E$2:E5120)*(E5120=E$2:E5120)))))-COUNTBLANK(OFFSET(A$1,,,SUMPRODUCT(MAX(ROW(E$1:E5119)*(E2=E$1:E5119))))))</f>
        <v> </v>
      </c>
      <c r="K5120" s="26" t="str">
        <f>IF(OR(E5120="",E5120="!!!",F5120="NEW"),"",INDEX(J$1:J5119,SUMPRODUCT(MAX(ROW(E$1:E5119)*(E5120=E$1:E5119)))))</f>
        <v> </v>
      </c>
      <c r="L5120" s="27"/>
    </row>
    <row r="5121" spans="1:12">
      <c r="A5121" s="20" t="s">
        <v>1938</v>
      </c>
      <c r="B5121" s="21" t="s">
        <v>1244</v>
      </c>
      <c r="C5121" s="21" t="s">
        <v>1269</v>
      </c>
      <c r="D5121" s="21" t="s">
        <v>1217</v>
      </c>
      <c r="E5121" s="22">
        <f>IF(D5121="?OLD","!!!","")</f>
        <v/>
      </c>
      <c r="F5121" s="23" t="str">
        <f>IF(OR(E5121="",E5121="!!!"),"",IF(NOT(ISNA(VLOOKUP(E5121,E$1:E5120,1,FALSE()))),"OLD",IF(AND(E5121&lt;&gt;"",E5121&lt;&gt;"!!!"),"NEW","")))</f>
        <v> </v>
      </c>
      <c r="G5121" s="24" t="str">
        <f>IF(OR(E5121="",E5121="!!!"),"",IF(OR(J5121=0,AND(J5121=1,K5121=1),AND(J5121=1,I5121="SBJ"),AND(J5121=1,I5121=0)),"?IN_FOCUS",IF(J5121&lt;=2,"?ACTIVATED",IF(J5121&lt;&gt;"","?FAMILIAR",IF(F5121="NEW",IF(ISNA(VLOOKUP(E5121,#REF!,1,FALSE())),"?TYPE_IDENTIFIABLE","?REFERENTIAL"),"_")))))</f>
        <v> </v>
      </c>
      <c r="H5121" s="25" t="str">
        <f>IF(J5121&lt;&gt;1,"",IF(I5121="SBJ","CB","?"))</f>
        <v> </v>
      </c>
      <c r="I5121" s="26" t="str">
        <f>IF(OR(E5121="",E5121="!!!",F5121="NEW"),"",INDEX(B5120:B$2,-1+SUMPRODUCT(MAX(ROW(E5120:E$2)*(E5121=E5120:E$2)))))</f>
        <v> </v>
      </c>
      <c r="J5121" s="26" t="str">
        <f>IF(OR(E5121="",E5121="!!!",F5121="NEW"),"",COUNTBLANK(OFFSET(A$1,,,SUMPRODUCT(MAX(ROW(E$2:E5121)*(E5121=E$2:E5121)))))-COUNTBLANK(OFFSET(A$1,,,SUMPRODUCT(MAX(ROW(E$1:E5120)*(E2=E$1:E5120))))))</f>
        <v> </v>
      </c>
      <c r="K5121" s="26" t="str">
        <f>IF(OR(E5121="",E5121="!!!",F5121="NEW"),"",INDEX(J$1:J5120,SUMPRODUCT(MAX(ROW(E$1:E5120)*(E5121=E$1:E5120)))))</f>
        <v> </v>
      </c>
      <c r="L5121" s="27"/>
    </row>
    <row r="5122" spans="1:12">
      <c r="A5122" s="20" t="s">
        <v>1471</v>
      </c>
      <c r="E5122" s="22">
        <f>IF(D5122="?OLD","!!!","")</f>
        <v/>
      </c>
      <c r="F5122" s="23" t="str">
        <f>IF(OR(E5122="",E5122="!!!"),"",IF(NOT(ISNA(VLOOKUP(E5122,E$1:E5121,1,FALSE()))),"OLD",IF(AND(E5122&lt;&gt;"",E5122&lt;&gt;"!!!"),"NEW","")))</f>
        <v> </v>
      </c>
      <c r="G5122" s="24" t="str">
        <f>IF(OR(E5122="",E5122="!!!"),"",IF(OR(J5122=0,AND(J5122=1,K5122=1),AND(J5122=1,I5122="SBJ"),AND(J5122=1,I5122=0)),"?IN_FOCUS",IF(J5122&lt;=2,"?ACTIVATED",IF(J5122&lt;&gt;"","?FAMILIAR",IF(F5122="NEW",IF(ISNA(VLOOKUP(E5122,#REF!,1,FALSE())),"?TYPE_IDENTIFIABLE","?REFERENTIAL"),"_")))))</f>
        <v> </v>
      </c>
      <c r="H5122" s="25" t="str">
        <f>IF(J5122&lt;&gt;1,"",IF(I5122="SBJ","CB","?"))</f>
        <v> </v>
      </c>
      <c r="I5122" s="26" t="str">
        <f>IF(OR(E5122="",E5122="!!!",F5122="NEW"),"",INDEX(B5121:B$2,-1+SUMPRODUCT(MAX(ROW(E5121:E$2)*(E5122=E5121:E$2)))))</f>
        <v> </v>
      </c>
      <c r="J5122" s="26" t="str">
        <f>IF(OR(E5122="",E5122="!!!",F5122="NEW"),"",COUNTBLANK(OFFSET(A$1,,,SUMPRODUCT(MAX(ROW(E$2:E5122)*(E5122=E$2:E5122)))))-COUNTBLANK(OFFSET(A$1,,,SUMPRODUCT(MAX(ROW(E$1:E5121)*(E2=E$1:E5121))))))</f>
        <v> </v>
      </c>
      <c r="K5122" s="26" t="str">
        <f>IF(OR(E5122="",E5122="!!!",F5122="NEW"),"",INDEX(J$1:J5121,SUMPRODUCT(MAX(ROW(E$1:E5121)*(E5122=E$1:E5121)))))</f>
        <v> </v>
      </c>
      <c r="L5122" s="27"/>
    </row>
    <row r="5123" spans="1:12">
      <c r="A5123" s="20" t="s">
        <v>2864</v>
      </c>
      <c r="E5123" s="22">
        <f>IF(D5123="?OLD","!!!","")</f>
        <v/>
      </c>
      <c r="F5123" s="23" t="str">
        <f>IF(OR(E5123="",E5123="!!!"),"",IF(NOT(ISNA(VLOOKUP(E5123,E$1:E5122,1,FALSE()))),"OLD",IF(AND(E5123&lt;&gt;"",E5123&lt;&gt;"!!!"),"NEW","")))</f>
        <v> </v>
      </c>
      <c r="G5123" s="24" t="str">
        <f>IF(OR(E5123="",E5123="!!!"),"",IF(OR(J5123=0,AND(J5123=1,K5123=1),AND(J5123=1,I5123="SBJ"),AND(J5123=1,I5123=0)),"?IN_FOCUS",IF(J5123&lt;=2,"?ACTIVATED",IF(J5123&lt;&gt;"","?FAMILIAR",IF(F5123="NEW",IF(ISNA(VLOOKUP(E5123,#REF!,1,FALSE())),"?TYPE_IDENTIFIABLE","?REFERENTIAL"),"_")))))</f>
        <v> </v>
      </c>
      <c r="H5123" s="25" t="str">
        <f>IF(J5123&lt;&gt;1,"",IF(I5123="SBJ","CB","?"))</f>
        <v> </v>
      </c>
      <c r="I5123" s="26" t="str">
        <f>IF(OR(E5123="",E5123="!!!",F5123="NEW"),"",INDEX(B5122:B$2,-1+SUMPRODUCT(MAX(ROW(E5122:E$2)*(E5123=E5122:E$2)))))</f>
        <v> </v>
      </c>
      <c r="J5123" s="26" t="str">
        <f>IF(OR(E5123="",E5123="!!!",F5123="NEW"),"",COUNTBLANK(OFFSET(A$1,,,SUMPRODUCT(MAX(ROW(E$2:E5123)*(E5123=E$2:E5123)))))-COUNTBLANK(OFFSET(A$1,,,SUMPRODUCT(MAX(ROW(E$1:E5122)*(E2=E$1:E5122))))))</f>
        <v> </v>
      </c>
      <c r="K5123" s="26" t="str">
        <f>IF(OR(E5123="",E5123="!!!",F5123="NEW"),"",INDEX(J$1:J5122,SUMPRODUCT(MAX(ROW(E$1:E5122)*(E5123=E$1:E5122)))))</f>
        <v> </v>
      </c>
      <c r="L5123" s="27"/>
    </row>
    <row r="5124" spans="1:12">
      <c r="A5124" s="20" t="s">
        <v>2865</v>
      </c>
      <c r="B5124" s="21" t="s">
        <v>1275</v>
      </c>
      <c r="C5124" s="21" t="s">
        <v>1238</v>
      </c>
      <c r="E5124" s="22">
        <f>IF(D5124="?OLD","!!!","")</f>
        <v/>
      </c>
      <c r="F5124" s="23" t="str">
        <f>IF(OR(E5124="",E5124="!!!"),"",IF(NOT(ISNA(VLOOKUP(E5124,E$1:E5123,1,FALSE()))),"OLD",IF(AND(E5124&lt;&gt;"",E5124&lt;&gt;"!!!"),"NEW","")))</f>
        <v> </v>
      </c>
      <c r="G5124" s="24" t="str">
        <f>IF(OR(E5124="",E5124="!!!"),"",IF(OR(J5124=0,AND(J5124=1,K5124=1),AND(J5124=1,I5124="SBJ"),AND(J5124=1,I5124=0)),"?IN_FOCUS",IF(J5124&lt;=2,"?ACTIVATED",IF(J5124&lt;&gt;"","?FAMILIAR",IF(F5124="NEW",IF(ISNA(VLOOKUP(E5124,#REF!,1,FALSE())),"?TYPE_IDENTIFIABLE","?REFERENTIAL"),"_")))))</f>
        <v> </v>
      </c>
      <c r="H5124" s="25" t="str">
        <f>IF(J5124&lt;&gt;1,"",IF(I5124="SBJ","CB","?"))</f>
        <v> </v>
      </c>
      <c r="I5124" s="26" t="str">
        <f>IF(OR(E5124="",E5124="!!!",F5124="NEW"),"",INDEX(B5123:B$2,-1+SUMPRODUCT(MAX(ROW(E5123:E$2)*(E5124=E5123:E$2)))))</f>
        <v> </v>
      </c>
      <c r="J5124" s="26" t="str">
        <f>IF(OR(E5124="",E5124="!!!",F5124="NEW"),"",COUNTBLANK(OFFSET(A$1,,,SUMPRODUCT(MAX(ROW(E$2:E5124)*(E5124=E$2:E5124)))))-COUNTBLANK(OFFSET(A$1,,,SUMPRODUCT(MAX(ROW(E$1:E5123)*(E2=E$1:E5123))))))</f>
        <v> </v>
      </c>
      <c r="K5124" s="26" t="str">
        <f>IF(OR(E5124="",E5124="!!!",F5124="NEW"),"",INDEX(J$1:J5123,SUMPRODUCT(MAX(ROW(E$1:E5123)*(E5124=E$1:E5123)))))</f>
        <v> </v>
      </c>
      <c r="L5124" s="27"/>
    </row>
    <row r="5125" spans="1:12">
      <c r="A5125" s="20" t="s">
        <v>1262</v>
      </c>
      <c r="E5125" s="22">
        <f>IF(D5125="?OLD","!!!","")</f>
        <v/>
      </c>
      <c r="F5125" s="23" t="str">
        <f>IF(OR(E5125="",E5125="!!!"),"",IF(NOT(ISNA(VLOOKUP(E5125,E$1:E5124,1,FALSE()))),"OLD",IF(AND(E5125&lt;&gt;"",E5125&lt;&gt;"!!!"),"NEW","")))</f>
        <v> </v>
      </c>
      <c r="G5125" s="24" t="str">
        <f>IF(OR(E5125="",E5125="!!!"),"",IF(OR(J5125=0,AND(J5125=1,K5125=1),AND(J5125=1,I5125="SBJ"),AND(J5125=1,I5125=0)),"?IN_FOCUS",IF(J5125&lt;=2,"?ACTIVATED",IF(J5125&lt;&gt;"","?FAMILIAR",IF(F5125="NEW",IF(ISNA(VLOOKUP(E5125,#REF!,1,FALSE())),"?TYPE_IDENTIFIABLE","?REFERENTIAL"),"_")))))</f>
        <v> </v>
      </c>
      <c r="H5125" s="25" t="str">
        <f>IF(J5125&lt;&gt;1,"",IF(I5125="SBJ","CB","?"))</f>
        <v> </v>
      </c>
      <c r="I5125" s="26" t="str">
        <f>IF(OR(E5125="",E5125="!!!",F5125="NEW"),"",INDEX(B5124:B$2,-1+SUMPRODUCT(MAX(ROW(E5124:E$2)*(E5125=E5124:E$2)))))</f>
        <v> </v>
      </c>
      <c r="J5125" s="26" t="str">
        <f>IF(OR(E5125="",E5125="!!!",F5125="NEW"),"",COUNTBLANK(OFFSET(A$1,,,SUMPRODUCT(MAX(ROW(E$2:E5125)*(E5125=E$2:E5125)))))-COUNTBLANK(OFFSET(A$1,,,SUMPRODUCT(MAX(ROW(E$1:E5124)*(E2=E$1:E5124))))))</f>
        <v> </v>
      </c>
      <c r="K5125" s="26" t="str">
        <f>IF(OR(E5125="",E5125="!!!",F5125="NEW"),"",INDEX(J$1:J5124,SUMPRODUCT(MAX(ROW(E$1:E5124)*(E5125=E$1:E5124)))))</f>
        <v> </v>
      </c>
      <c r="L5125" s="27"/>
    </row>
    <row r="5126" spans="1:12">
      <c r="A5126" s="20"/>
    </row>
    <row r="5127" spans="1:12">
      <c r="A5127" s="20" t="s">
        <v>2866</v>
      </c>
    </row>
    <row r="5128" spans="1:12">
      <c r="A5128" s="20" t="s">
        <v>1353</v>
      </c>
      <c r="E5128" s="22">
        <f>IF(D5128="?OLD","!!!","")</f>
        <v/>
      </c>
      <c r="F5128" s="23" t="str">
        <f>IF(OR(E5128="",E5128="!!!"),"",IF(NOT(ISNA(VLOOKUP(E5128,E$1:E5127,1,FALSE()))),"OLD",IF(AND(E5128&lt;&gt;"",E5128&lt;&gt;"!!!"),"NEW","")))</f>
        <v> </v>
      </c>
      <c r="G5128" s="24" t="str">
        <f>IF(OR(E5128="",E5128="!!!"),"",IF(OR(J5128=0,AND(J5128=1,K5128=1),AND(J5128=1,I5128="SBJ"),AND(J5128=1,I5128=0)),"?IN_FOCUS",IF(J5128&lt;=2,"?ACTIVATED",IF(J5128&lt;&gt;"","?FAMILIAR",IF(F5128="NEW",IF(ISNA(VLOOKUP(E5128,#REF!,1,FALSE())),"?TYPE_IDENTIFIABLE","?REFERENTIAL"),"_")))))</f>
        <v> </v>
      </c>
      <c r="H5128" s="25" t="str">
        <f>IF(J5128&lt;&gt;1,"",IF(I5128="SBJ","CB","?"))</f>
        <v> </v>
      </c>
      <c r="I5128" s="26" t="str">
        <f>IF(OR(E5128="",E5128="!!!",F5128="NEW"),"",INDEX(B5127:B$2,-1+SUMPRODUCT(MAX(ROW(E5127:E$2)*(E5128=E5127:E$2)))))</f>
        <v> </v>
      </c>
      <c r="J5128" s="26" t="str">
        <f>IF(OR(E5128="",E5128="!!!",F5128="NEW"),"",COUNTBLANK(OFFSET(A$1,,,SUMPRODUCT(MAX(ROW(E$2:E5128)*(E5128=E$2:E5128)))))-COUNTBLANK(OFFSET(A$1,,,SUMPRODUCT(MAX(ROW(E$1:E5127)*(E2=E$1:E5127))))))</f>
        <v> </v>
      </c>
      <c r="K5128" s="26" t="str">
        <f>IF(OR(E5128="",E5128="!!!",F5128="NEW"),"",INDEX(J$1:J5127,SUMPRODUCT(MAX(ROW(E$1:E5127)*(E5128=E$1:E5127)))))</f>
        <v> </v>
      </c>
      <c r="L5128" s="27"/>
    </row>
    <row r="5129" spans="1:12">
      <c r="A5129" s="20" t="s">
        <v>1228</v>
      </c>
      <c r="E5129" s="22">
        <f>IF(D5129="?OLD","!!!","")</f>
        <v/>
      </c>
      <c r="F5129" s="23" t="str">
        <f>IF(OR(E5129="",E5129="!!!"),"",IF(NOT(ISNA(VLOOKUP(E5129,E$1:E5128,1,FALSE()))),"OLD",IF(AND(E5129&lt;&gt;"",E5129&lt;&gt;"!!!"),"NEW","")))</f>
        <v> </v>
      </c>
      <c r="G5129" s="24" t="str">
        <f>IF(OR(E5129="",E5129="!!!"),"",IF(OR(J5129=0,AND(J5129=1,K5129=1),AND(J5129=1,I5129="SBJ"),AND(J5129=1,I5129=0)),"?IN_FOCUS",IF(J5129&lt;=2,"?ACTIVATED",IF(J5129&lt;&gt;"","?FAMILIAR",IF(F5129="NEW",IF(ISNA(VLOOKUP(E5129,#REF!,1,FALSE())),"?TYPE_IDENTIFIABLE","?REFERENTIAL"),"_")))))</f>
        <v> </v>
      </c>
      <c r="H5129" s="25" t="str">
        <f>IF(J5129&lt;&gt;1,"",IF(I5129="SBJ","CB","?"))</f>
        <v> </v>
      </c>
      <c r="I5129" s="26" t="str">
        <f>IF(OR(E5129="",E5129="!!!",F5129="NEW"),"",INDEX(B5128:B$2,-1+SUMPRODUCT(MAX(ROW(E5128:E$2)*(E5129=E5128:E$2)))))</f>
        <v> </v>
      </c>
      <c r="J5129" s="26" t="str">
        <f>IF(OR(E5129="",E5129="!!!",F5129="NEW"),"",COUNTBLANK(OFFSET(A$1,,,SUMPRODUCT(MAX(ROW(E$2:E5129)*(E5129=E$2:E5129)))))-COUNTBLANK(OFFSET(A$1,,,SUMPRODUCT(MAX(ROW(E$1:E5128)*(E2=E$1:E5128))))))</f>
        <v> </v>
      </c>
      <c r="K5129" s="26" t="str">
        <f>IF(OR(E5129="",E5129="!!!",F5129="NEW"),"",INDEX(J$1:J5128,SUMPRODUCT(MAX(ROW(E$1:E5128)*(E5129=E$1:E5128)))))</f>
        <v> </v>
      </c>
      <c r="L5129" s="27"/>
    </row>
    <row r="5130" spans="1:12">
      <c r="A5130" s="20" t="s">
        <v>1638</v>
      </c>
      <c r="B5130" s="21" t="s">
        <v>1244</v>
      </c>
      <c r="C5130" s="21" t="s">
        <v>1269</v>
      </c>
      <c r="D5130" s="21" t="s">
        <v>1217</v>
      </c>
      <c r="E5130" s="22">
        <f>IF(D5130="?OLD","!!!","")</f>
        <v/>
      </c>
      <c r="F5130" s="23" t="str">
        <f>IF(OR(E5130="",E5130="!!!"),"",IF(NOT(ISNA(VLOOKUP(E5130,E$1:E5129,1,FALSE()))),"OLD",IF(AND(E5130&lt;&gt;"",E5130&lt;&gt;"!!!"),"NEW","")))</f>
        <v> </v>
      </c>
      <c r="G5130" s="24" t="str">
        <f>IF(OR(E5130="",E5130="!!!"),"",IF(OR(J5130=0,AND(J5130=1,K5130=1),AND(J5130=1,I5130="SBJ"),AND(J5130=1,I5130=0)),"?IN_FOCUS",IF(J5130&lt;=2,"?ACTIVATED",IF(J5130&lt;&gt;"","?FAMILIAR",IF(F5130="NEW",IF(ISNA(VLOOKUP(E5130,#REF!,1,FALSE())),"?TYPE_IDENTIFIABLE","?REFERENTIAL"),"_")))))</f>
        <v> </v>
      </c>
      <c r="H5130" s="25" t="str">
        <f>IF(J5130&lt;&gt;1,"",IF(I5130="SBJ","CB","?"))</f>
        <v> </v>
      </c>
      <c r="I5130" s="26" t="str">
        <f>IF(OR(E5130="",E5130="!!!",F5130="NEW"),"",INDEX(B5129:B$2,-1+SUMPRODUCT(MAX(ROW(E5129:E$2)*(E5130=E5129:E$2)))))</f>
        <v> </v>
      </c>
      <c r="J5130" s="26" t="str">
        <f>IF(OR(E5130="",E5130="!!!",F5130="NEW"),"",COUNTBLANK(OFFSET(A$1,,,SUMPRODUCT(MAX(ROW(E$2:E5130)*(E5130=E$2:E5130)))))-COUNTBLANK(OFFSET(A$1,,,SUMPRODUCT(MAX(ROW(E$1:E5129)*(E2=E$1:E5129))))))</f>
        <v> </v>
      </c>
      <c r="K5130" s="26" t="str">
        <f>IF(OR(E5130="",E5130="!!!",F5130="NEW"),"",INDEX(J$1:J5129,SUMPRODUCT(MAX(ROW(E$1:E5129)*(E5130=E$1:E5129)))))</f>
        <v> </v>
      </c>
      <c r="L5130" s="27"/>
    </row>
    <row r="5131" spans="1:12">
      <c r="A5131" s="20" t="s">
        <v>1277</v>
      </c>
      <c r="E5131" s="22">
        <f>IF(D5131="?OLD","!!!","")</f>
        <v/>
      </c>
      <c r="F5131" s="23" t="str">
        <f>IF(OR(E5131="",E5131="!!!"),"",IF(NOT(ISNA(VLOOKUP(E5131,E$1:E5130,1,FALSE()))),"OLD",IF(AND(E5131&lt;&gt;"",E5131&lt;&gt;"!!!"),"NEW","")))</f>
        <v> </v>
      </c>
      <c r="G5131" s="24" t="str">
        <f>IF(OR(E5131="",E5131="!!!"),"",IF(OR(J5131=0,AND(J5131=1,K5131=1),AND(J5131=1,I5131="SBJ"),AND(J5131=1,I5131=0)),"?IN_FOCUS",IF(J5131&lt;=2,"?ACTIVATED",IF(J5131&lt;&gt;"","?FAMILIAR",IF(F5131="NEW",IF(ISNA(VLOOKUP(E5131,#REF!,1,FALSE())),"?TYPE_IDENTIFIABLE","?REFERENTIAL"),"_")))))</f>
        <v> </v>
      </c>
      <c r="H5131" s="25" t="str">
        <f>IF(J5131&lt;&gt;1,"",IF(I5131="SBJ","CB","?"))</f>
        <v> </v>
      </c>
      <c r="I5131" s="26" t="str">
        <f>IF(OR(E5131="",E5131="!!!",F5131="NEW"),"",INDEX(B5130:B$2,-1+SUMPRODUCT(MAX(ROW(E5130:E$2)*(E5131=E5130:E$2)))))</f>
        <v> </v>
      </c>
      <c r="J5131" s="26" t="str">
        <f>IF(OR(E5131="",E5131="!!!",F5131="NEW"),"",COUNTBLANK(OFFSET(A$1,,,SUMPRODUCT(MAX(ROW(E$2:E5131)*(E5131=E$2:E5131)))))-COUNTBLANK(OFFSET(A$1,,,SUMPRODUCT(MAX(ROW(E$1:E5130)*(E2=E$1:E5130))))))</f>
        <v> </v>
      </c>
      <c r="K5131" s="26" t="str">
        <f>IF(OR(E5131="",E5131="!!!",F5131="NEW"),"",INDEX(J$1:J5130,SUMPRODUCT(MAX(ROW(E$1:E5130)*(E5131=E$1:E5130)))))</f>
        <v> </v>
      </c>
      <c r="L5131" s="27"/>
    </row>
    <row r="5132" spans="1:12">
      <c r="A5132" s="20" t="s">
        <v>1230</v>
      </c>
      <c r="B5132" s="21" t="s">
        <v>1215</v>
      </c>
      <c r="C5132" s="21" t="s">
        <v>1216</v>
      </c>
      <c r="D5132" s="21" t="s">
        <v>1217</v>
      </c>
      <c r="E5132" s="22">
        <f>IF(D5132="?OLD","!!!","")</f>
        <v/>
      </c>
      <c r="F5132" s="23" t="str">
        <f>IF(OR(E5132="",E5132="!!!"),"",IF(NOT(ISNA(VLOOKUP(E5132,E$1:E5131,1,FALSE()))),"OLD",IF(AND(E5132&lt;&gt;"",E5132&lt;&gt;"!!!"),"NEW","")))</f>
        <v> </v>
      </c>
      <c r="G5132" s="24" t="str">
        <f>IF(OR(E5132="",E5132="!!!"),"",IF(OR(J5132=0,AND(J5132=1,K5132=1),AND(J5132=1,I5132="SBJ"),AND(J5132=1,I5132=0)),"?IN_FOCUS",IF(J5132&lt;=2,"?ACTIVATED",IF(J5132&lt;&gt;"","?FAMILIAR",IF(F5132="NEW",IF(ISNA(VLOOKUP(E5132,#REF!,1,FALSE())),"?TYPE_IDENTIFIABLE","?REFERENTIAL"),"_")))))</f>
        <v> </v>
      </c>
      <c r="H5132" s="25" t="str">
        <f>IF(J5132&lt;&gt;1,"",IF(I5132="SBJ","CB","?"))</f>
        <v> </v>
      </c>
      <c r="I5132" s="26" t="str">
        <f>IF(OR(E5132="",E5132="!!!",F5132="NEW"),"",INDEX(B5131:B$2,-1+SUMPRODUCT(MAX(ROW(E5131:E$2)*(E5132=E5131:E$2)))))</f>
        <v> </v>
      </c>
      <c r="J5132" s="26" t="str">
        <f>IF(OR(E5132="",E5132="!!!",F5132="NEW"),"",COUNTBLANK(OFFSET(A$1,,,SUMPRODUCT(MAX(ROW(E$2:E5132)*(E5132=E$2:E5132)))))-COUNTBLANK(OFFSET(A$1,,,SUMPRODUCT(MAX(ROW(E$1:E5131)*(E2=E$1:E5131))))))</f>
        <v> </v>
      </c>
      <c r="K5132" s="26" t="str">
        <f>IF(OR(E5132="",E5132="!!!",F5132="NEW"),"",INDEX(J$1:J5131,SUMPRODUCT(MAX(ROW(E$1:E5131)*(E5132=E$1:E5131)))))</f>
        <v> </v>
      </c>
      <c r="L5132" s="27"/>
    </row>
    <row r="5133" spans="1:12">
      <c r="A5133" s="20" t="s">
        <v>2867</v>
      </c>
      <c r="E5133" s="22">
        <f>IF(D5133="?OLD","!!!","")</f>
        <v/>
      </c>
      <c r="F5133" s="23" t="str">
        <f>IF(OR(E5133="",E5133="!!!"),"",IF(NOT(ISNA(VLOOKUP(E5133,E$1:E5132,1,FALSE()))),"OLD",IF(AND(E5133&lt;&gt;"",E5133&lt;&gt;"!!!"),"NEW","")))</f>
        <v> </v>
      </c>
      <c r="G5133" s="24" t="str">
        <f>IF(OR(E5133="",E5133="!!!"),"",IF(OR(J5133=0,AND(J5133=1,K5133=1),AND(J5133=1,I5133="SBJ"),AND(J5133=1,I5133=0)),"?IN_FOCUS",IF(J5133&lt;=2,"?ACTIVATED",IF(J5133&lt;&gt;"","?FAMILIAR",IF(F5133="NEW",IF(ISNA(VLOOKUP(E5133,#REF!,1,FALSE())),"?TYPE_IDENTIFIABLE","?REFERENTIAL"),"_")))))</f>
        <v> </v>
      </c>
      <c r="H5133" s="25" t="str">
        <f>IF(J5133&lt;&gt;1,"",IF(I5133="SBJ","CB","?"))</f>
        <v> </v>
      </c>
      <c r="I5133" s="26" t="str">
        <f>IF(OR(E5133="",E5133="!!!",F5133="NEW"),"",INDEX(B5132:B$2,-1+SUMPRODUCT(MAX(ROW(E5132:E$2)*(E5133=E5132:E$2)))))</f>
        <v> </v>
      </c>
      <c r="J5133" s="26" t="str">
        <f>IF(OR(E5133="",E5133="!!!",F5133="NEW"),"",COUNTBLANK(OFFSET(A$1,,,SUMPRODUCT(MAX(ROW(E$2:E5133)*(E5133=E$2:E5133)))))-COUNTBLANK(OFFSET(A$1,,,SUMPRODUCT(MAX(ROW(E$1:E5132)*(E2=E$1:E5132))))))</f>
        <v> </v>
      </c>
      <c r="K5133" s="26" t="str">
        <f>IF(OR(E5133="",E5133="!!!",F5133="NEW"),"",INDEX(J$1:J5132,SUMPRODUCT(MAX(ROW(E$1:E5132)*(E5133=E$1:E5132)))))</f>
        <v> </v>
      </c>
      <c r="L5133" s="27"/>
    </row>
    <row r="5134" spans="1:12">
      <c r="A5134" s="20" t="s">
        <v>1273</v>
      </c>
      <c r="E5134" s="22">
        <f>IF(D5134="?OLD","!!!","")</f>
        <v/>
      </c>
      <c r="F5134" s="23" t="str">
        <f>IF(OR(E5134="",E5134="!!!"),"",IF(NOT(ISNA(VLOOKUP(E5134,E$1:E5133,1,FALSE()))),"OLD",IF(AND(E5134&lt;&gt;"",E5134&lt;&gt;"!!!"),"NEW","")))</f>
        <v> </v>
      </c>
      <c r="G5134" s="24" t="str">
        <f>IF(OR(E5134="",E5134="!!!"),"",IF(OR(J5134=0,AND(J5134=1,K5134=1),AND(J5134=1,I5134="SBJ"),AND(J5134=1,I5134=0)),"?IN_FOCUS",IF(J5134&lt;=2,"?ACTIVATED",IF(J5134&lt;&gt;"","?FAMILIAR",IF(F5134="NEW",IF(ISNA(VLOOKUP(E5134,#REF!,1,FALSE())),"?TYPE_IDENTIFIABLE","?REFERENTIAL"),"_")))))</f>
        <v> </v>
      </c>
      <c r="H5134" s="25" t="str">
        <f>IF(J5134&lt;&gt;1,"",IF(I5134="SBJ","CB","?"))</f>
        <v> </v>
      </c>
      <c r="I5134" s="26" t="str">
        <f>IF(OR(E5134="",E5134="!!!",F5134="NEW"),"",INDEX(B5133:B$2,-1+SUMPRODUCT(MAX(ROW(E5133:E$2)*(E5134=E5133:E$2)))))</f>
        <v> </v>
      </c>
      <c r="J5134" s="26" t="str">
        <f>IF(OR(E5134="",E5134="!!!",F5134="NEW"),"",COUNTBLANK(OFFSET(A$1,,,SUMPRODUCT(MAX(ROW(E$2:E5134)*(E5134=E$2:E5134)))))-COUNTBLANK(OFFSET(A$1,,,SUMPRODUCT(MAX(ROW(E$1:E5133)*(E2=E$1:E5133))))))</f>
        <v> </v>
      </c>
      <c r="K5134" s="26" t="str">
        <f>IF(OR(E5134="",E5134="!!!",F5134="NEW"),"",INDEX(J$1:J5133,SUMPRODUCT(MAX(ROW(E$1:E5133)*(E5134=E$1:E5133)))))</f>
        <v> </v>
      </c>
      <c r="L5134" s="27"/>
    </row>
    <row r="5135" spans="1:12">
      <c r="A5135" s="20" t="s">
        <v>2868</v>
      </c>
      <c r="B5135" s="21" t="s">
        <v>1275</v>
      </c>
      <c r="C5135" s="21" t="s">
        <v>1276</v>
      </c>
      <c r="D5135" s="21" t="s">
        <v>1217</v>
      </c>
      <c r="E5135" s="22">
        <f>IF(D5135="?OLD","!!!","")</f>
        <v/>
      </c>
      <c r="F5135" s="23" t="str">
        <f>IF(OR(E5135="",E5135="!!!"),"",IF(NOT(ISNA(VLOOKUP(E5135,E$1:E5134,1,FALSE()))),"OLD",IF(AND(E5135&lt;&gt;"",E5135&lt;&gt;"!!!"),"NEW","")))</f>
        <v> </v>
      </c>
      <c r="G5135" s="24" t="str">
        <f>IF(OR(E5135="",E5135="!!!"),"",IF(OR(J5135=0,AND(J5135=1,K5135=1),AND(J5135=1,I5135="SBJ"),AND(J5135=1,I5135=0)),"?IN_FOCUS",IF(J5135&lt;=2,"?ACTIVATED",IF(J5135&lt;&gt;"","?FAMILIAR",IF(F5135="NEW",IF(ISNA(VLOOKUP(E5135,#REF!,1,FALSE())),"?TYPE_IDENTIFIABLE","?REFERENTIAL"),"_")))))</f>
        <v> </v>
      </c>
      <c r="H5135" s="25" t="str">
        <f>IF(J5135&lt;&gt;1,"",IF(I5135="SBJ","CB","?"))</f>
        <v> </v>
      </c>
      <c r="I5135" s="26" t="str">
        <f>IF(OR(E5135="",E5135="!!!",F5135="NEW"),"",INDEX(B5134:B$2,-1+SUMPRODUCT(MAX(ROW(E5134:E$2)*(E5135=E5134:E$2)))))</f>
        <v> </v>
      </c>
      <c r="J5135" s="26" t="str">
        <f>IF(OR(E5135="",E5135="!!!",F5135="NEW"),"",COUNTBLANK(OFFSET(A$1,,,SUMPRODUCT(MAX(ROW(E$2:E5135)*(E5135=E$2:E5135)))))-COUNTBLANK(OFFSET(A$1,,,SUMPRODUCT(MAX(ROW(E$1:E5134)*(E2=E$1:E5134))))))</f>
        <v> </v>
      </c>
      <c r="K5135" s="26" t="str">
        <f>IF(OR(E5135="",E5135="!!!",F5135="NEW"),"",INDEX(J$1:J5134,SUMPRODUCT(MAX(ROW(E$1:E5134)*(E5135=E$1:E5134)))))</f>
        <v> </v>
      </c>
      <c r="L5135" s="27"/>
    </row>
    <row r="5136" spans="1:12">
      <c r="A5136" s="20" t="s">
        <v>2869</v>
      </c>
      <c r="E5136" s="22">
        <f>IF(D5136="?OLD","!!!","")</f>
        <v/>
      </c>
      <c r="F5136" s="23" t="str">
        <f>IF(OR(E5136="",E5136="!!!"),"",IF(NOT(ISNA(VLOOKUP(E5136,E$1:E5135,1,FALSE()))),"OLD",IF(AND(E5136&lt;&gt;"",E5136&lt;&gt;"!!!"),"NEW","")))</f>
        <v> </v>
      </c>
      <c r="G5136" s="24" t="str">
        <f>IF(OR(E5136="",E5136="!!!"),"",IF(OR(J5136=0,AND(J5136=1,K5136=1),AND(J5136=1,I5136="SBJ"),AND(J5136=1,I5136=0)),"?IN_FOCUS",IF(J5136&lt;=2,"?ACTIVATED",IF(J5136&lt;&gt;"","?FAMILIAR",IF(F5136="NEW",IF(ISNA(VLOOKUP(E5136,#REF!,1,FALSE())),"?TYPE_IDENTIFIABLE","?REFERENTIAL"),"_")))))</f>
        <v> </v>
      </c>
      <c r="H5136" s="25" t="str">
        <f>IF(J5136&lt;&gt;1,"",IF(I5136="SBJ","CB","?"))</f>
        <v> </v>
      </c>
      <c r="I5136" s="26" t="str">
        <f>IF(OR(E5136="",E5136="!!!",F5136="NEW"),"",INDEX(B5135:B$2,-1+SUMPRODUCT(MAX(ROW(E5135:E$2)*(E5136=E5135:E$2)))))</f>
        <v> </v>
      </c>
      <c r="J5136" s="26" t="str">
        <f>IF(OR(E5136="",E5136="!!!",F5136="NEW"),"",COUNTBLANK(OFFSET(A$1,,,SUMPRODUCT(MAX(ROW(E$2:E5136)*(E5136=E$2:E5136)))))-COUNTBLANK(OFFSET(A$1,,,SUMPRODUCT(MAX(ROW(E$1:E5135)*(E2=E$1:E5135))))))</f>
        <v> </v>
      </c>
      <c r="K5136" s="26" t="str">
        <f>IF(OR(E5136="",E5136="!!!",F5136="NEW"),"",INDEX(J$1:J5135,SUMPRODUCT(MAX(ROW(E$1:E5135)*(E5136=E$1:E5135)))))</f>
        <v> </v>
      </c>
      <c r="L5136" s="27"/>
    </row>
    <row r="5137" spans="1:12">
      <c r="A5137" s="20" t="s">
        <v>1648</v>
      </c>
      <c r="E5137" s="22">
        <f>IF(D5137="?OLD","!!!","")</f>
        <v/>
      </c>
      <c r="F5137" s="23" t="str">
        <f>IF(OR(E5137="",E5137="!!!"),"",IF(NOT(ISNA(VLOOKUP(E5137,E$1:E5136,1,FALSE()))),"OLD",IF(AND(E5137&lt;&gt;"",E5137&lt;&gt;"!!!"),"NEW","")))</f>
        <v> </v>
      </c>
      <c r="G5137" s="24" t="str">
        <f>IF(OR(E5137="",E5137="!!!"),"",IF(OR(J5137=0,AND(J5137=1,K5137=1),AND(J5137=1,I5137="SBJ"),AND(J5137=1,I5137=0)),"?IN_FOCUS",IF(J5137&lt;=2,"?ACTIVATED",IF(J5137&lt;&gt;"","?FAMILIAR",IF(F5137="NEW",IF(ISNA(VLOOKUP(E5137,#REF!,1,FALSE())),"?TYPE_IDENTIFIABLE","?REFERENTIAL"),"_")))))</f>
        <v> </v>
      </c>
      <c r="H5137" s="25" t="str">
        <f>IF(J5137&lt;&gt;1,"",IF(I5137="SBJ","CB","?"))</f>
        <v> </v>
      </c>
      <c r="I5137" s="26" t="str">
        <f>IF(OR(E5137="",E5137="!!!",F5137="NEW"),"",INDEX(B5136:B$2,-1+SUMPRODUCT(MAX(ROW(E5136:E$2)*(E5137=E5136:E$2)))))</f>
        <v> </v>
      </c>
      <c r="J5137" s="26" t="str">
        <f>IF(OR(E5137="",E5137="!!!",F5137="NEW"),"",COUNTBLANK(OFFSET(A$1,,,SUMPRODUCT(MAX(ROW(E$2:E5137)*(E5137=E$2:E5137)))))-COUNTBLANK(OFFSET(A$1,,,SUMPRODUCT(MAX(ROW(E$1:E5136)*(E2=E$1:E5136))))))</f>
        <v> </v>
      </c>
      <c r="K5137" s="26" t="str">
        <f>IF(OR(E5137="",E5137="!!!",F5137="NEW"),"",INDEX(J$1:J5136,SUMPRODUCT(MAX(ROW(E$1:E5136)*(E5137=E$1:E5136)))))</f>
        <v> </v>
      </c>
      <c r="L5137" s="27"/>
    </row>
    <row r="5138" spans="1:12">
      <c r="A5138" s="20" t="s">
        <v>1453</v>
      </c>
      <c r="E5138" s="22">
        <f>IF(D5138="?OLD","!!!","")</f>
        <v/>
      </c>
      <c r="F5138" s="23" t="str">
        <f>IF(OR(E5138="",E5138="!!!"),"",IF(NOT(ISNA(VLOOKUP(E5138,E$1:E5137,1,FALSE()))),"OLD",IF(AND(E5138&lt;&gt;"",E5138&lt;&gt;"!!!"),"NEW","")))</f>
        <v> </v>
      </c>
      <c r="G5138" s="24" t="str">
        <f>IF(OR(E5138="",E5138="!!!"),"",IF(OR(J5138=0,AND(J5138=1,K5138=1),AND(J5138=1,I5138="SBJ"),AND(J5138=1,I5138=0)),"?IN_FOCUS",IF(J5138&lt;=2,"?ACTIVATED",IF(J5138&lt;&gt;"","?FAMILIAR",IF(F5138="NEW",IF(ISNA(VLOOKUP(E5138,#REF!,1,FALSE())),"?TYPE_IDENTIFIABLE","?REFERENTIAL"),"_")))))</f>
        <v> </v>
      </c>
      <c r="H5138" s="25" t="str">
        <f>IF(J5138&lt;&gt;1,"",IF(I5138="SBJ","CB","?"))</f>
        <v> </v>
      </c>
      <c r="I5138" s="26" t="str">
        <f>IF(OR(E5138="",E5138="!!!",F5138="NEW"),"",INDEX(B5137:B$2,-1+SUMPRODUCT(MAX(ROW(E5137:E$2)*(E5138=E5137:E$2)))))</f>
        <v> </v>
      </c>
      <c r="J5138" s="26" t="str">
        <f>IF(OR(E5138="",E5138="!!!",F5138="NEW"),"",COUNTBLANK(OFFSET(A$1,,,SUMPRODUCT(MAX(ROW(E$2:E5138)*(E5138=E$2:E5138)))))-COUNTBLANK(OFFSET(A$1,,,SUMPRODUCT(MAX(ROW(E$1:E5137)*(E2=E$1:E5137))))))</f>
        <v> </v>
      </c>
      <c r="K5138" s="26" t="str">
        <f>IF(OR(E5138="",E5138="!!!",F5138="NEW"),"",INDEX(J$1:J5137,SUMPRODUCT(MAX(ROW(E$1:E5137)*(E5138=E$1:E5137)))))</f>
        <v> </v>
      </c>
      <c r="L5138" s="27"/>
    </row>
    <row r="5139" spans="1:12">
      <c r="A5139" s="20" t="s">
        <v>2870</v>
      </c>
      <c r="B5139" s="21" t="s">
        <v>1244</v>
      </c>
      <c r="C5139" s="21" t="s">
        <v>1225</v>
      </c>
      <c r="D5139" s="21" t="s">
        <v>1217</v>
      </c>
      <c r="E5139" s="22">
        <f>IF(D5139="?OLD","!!!","")</f>
        <v/>
      </c>
      <c r="F5139" s="23" t="str">
        <f>IF(OR(E5139="",E5139="!!!"),"",IF(NOT(ISNA(VLOOKUP(E5139,E$1:E5138,1,FALSE()))),"OLD",IF(AND(E5139&lt;&gt;"",E5139&lt;&gt;"!!!"),"NEW","")))</f>
        <v> </v>
      </c>
      <c r="G5139" s="24" t="str">
        <f>IF(OR(E5139="",E5139="!!!"),"",IF(OR(J5139=0,AND(J5139=1,K5139=1),AND(J5139=1,I5139="SBJ"),AND(J5139=1,I5139=0)),"?IN_FOCUS",IF(J5139&lt;=2,"?ACTIVATED",IF(J5139&lt;&gt;"","?FAMILIAR",IF(F5139="NEW",IF(ISNA(VLOOKUP(E5139,#REF!,1,FALSE())),"?TYPE_IDENTIFIABLE","?REFERENTIAL"),"_")))))</f>
        <v> </v>
      </c>
      <c r="H5139" s="25" t="str">
        <f>IF(J5139&lt;&gt;1,"",IF(I5139="SBJ","CB","?"))</f>
        <v> </v>
      </c>
      <c r="I5139" s="26" t="str">
        <f>IF(OR(E5139="",E5139="!!!",F5139="NEW"),"",INDEX(B5138:B$2,-1+SUMPRODUCT(MAX(ROW(E5138:E$2)*(E5139=E5138:E$2)))))</f>
        <v> </v>
      </c>
      <c r="J5139" s="26" t="str">
        <f>IF(OR(E5139="",E5139="!!!",F5139="NEW"),"",COUNTBLANK(OFFSET(A$1,,,SUMPRODUCT(MAX(ROW(E$2:E5139)*(E5139=E$2:E5139)))))-COUNTBLANK(OFFSET(A$1,,,SUMPRODUCT(MAX(ROW(E$1:E5138)*(E2=E$1:E5138))))))</f>
        <v> </v>
      </c>
      <c r="K5139" s="26" t="str">
        <f>IF(OR(E5139="",E5139="!!!",F5139="NEW"),"",INDEX(J$1:J5138,SUMPRODUCT(MAX(ROW(E$1:E5138)*(E5139=E$1:E5138)))))</f>
        <v> </v>
      </c>
      <c r="L5139" s="27"/>
    </row>
    <row r="5140" spans="1:12">
      <c r="A5140" s="20" t="s">
        <v>1277</v>
      </c>
      <c r="E5140" s="22">
        <f>IF(D5140="?OLD","!!!","")</f>
        <v/>
      </c>
      <c r="F5140" s="23" t="str">
        <f>IF(OR(E5140="",E5140="!!!"),"",IF(NOT(ISNA(VLOOKUP(E5140,E$1:E5139,1,FALSE()))),"OLD",IF(AND(E5140&lt;&gt;"",E5140&lt;&gt;"!!!"),"NEW","")))</f>
        <v> </v>
      </c>
      <c r="G5140" s="24" t="str">
        <f>IF(OR(E5140="",E5140="!!!"),"",IF(OR(J5140=0,AND(J5140=1,K5140=1),AND(J5140=1,I5140="SBJ"),AND(J5140=1,I5140=0)),"?IN_FOCUS",IF(J5140&lt;=2,"?ACTIVATED",IF(J5140&lt;&gt;"","?FAMILIAR",IF(F5140="NEW",IF(ISNA(VLOOKUP(E5140,#REF!,1,FALSE())),"?TYPE_IDENTIFIABLE","?REFERENTIAL"),"_")))))</f>
        <v> </v>
      </c>
      <c r="H5140" s="25" t="str">
        <f>IF(J5140&lt;&gt;1,"",IF(I5140="SBJ","CB","?"))</f>
        <v> </v>
      </c>
      <c r="I5140" s="26" t="str">
        <f>IF(OR(E5140="",E5140="!!!",F5140="NEW"),"",INDEX(B5139:B$2,-1+SUMPRODUCT(MAX(ROW(E5139:E$2)*(E5140=E5139:E$2)))))</f>
        <v> </v>
      </c>
      <c r="J5140" s="26" t="str">
        <f>IF(OR(E5140="",E5140="!!!",F5140="NEW"),"",COUNTBLANK(OFFSET(A$1,,,SUMPRODUCT(MAX(ROW(E$2:E5140)*(E5140=E$2:E5140)))))-COUNTBLANK(OFFSET(A$1,,,SUMPRODUCT(MAX(ROW(E$1:E5139)*(E2=E$1:E5139))))))</f>
        <v> </v>
      </c>
      <c r="K5140" s="26" t="str">
        <f>IF(OR(E5140="",E5140="!!!",F5140="NEW"),"",INDEX(J$1:J5139,SUMPRODUCT(MAX(ROW(E$1:E5139)*(E5140=E$1:E5139)))))</f>
        <v> </v>
      </c>
      <c r="L5140" s="27"/>
    </row>
    <row r="5141" spans="1:12">
      <c r="A5141" s="20" t="s">
        <v>2871</v>
      </c>
      <c r="B5141" s="21" t="s">
        <v>1221</v>
      </c>
      <c r="C5141" s="21" t="s">
        <v>1225</v>
      </c>
      <c r="D5141" s="21" t="s">
        <v>1217</v>
      </c>
      <c r="E5141" s="22">
        <f>IF(D5141="?OLD","!!!","")</f>
        <v/>
      </c>
      <c r="F5141" s="23" t="str">
        <f>IF(OR(E5141="",E5141="!!!"),"",IF(NOT(ISNA(VLOOKUP(E5141,E$1:E5140,1,FALSE()))),"OLD",IF(AND(E5141&lt;&gt;"",E5141&lt;&gt;"!!!"),"NEW","")))</f>
        <v> </v>
      </c>
      <c r="G5141" s="24" t="str">
        <f>IF(OR(E5141="",E5141="!!!"),"",IF(OR(J5141=0,AND(J5141=1,K5141=1),AND(J5141=1,I5141="SBJ"),AND(J5141=1,I5141=0)),"?IN_FOCUS",IF(J5141&lt;=2,"?ACTIVATED",IF(J5141&lt;&gt;"","?FAMILIAR",IF(F5141="NEW",IF(ISNA(VLOOKUP(E5141,#REF!,1,FALSE())),"?TYPE_IDENTIFIABLE","?REFERENTIAL"),"_")))))</f>
        <v> </v>
      </c>
      <c r="H5141" s="25" t="str">
        <f>IF(J5141&lt;&gt;1,"",IF(I5141="SBJ","CB","?"))</f>
        <v> </v>
      </c>
      <c r="I5141" s="26" t="str">
        <f>IF(OR(E5141="",E5141="!!!",F5141="NEW"),"",INDEX(B5140:B$2,-1+SUMPRODUCT(MAX(ROW(E5140:E$2)*(E5141=E5140:E$2)))))</f>
        <v> </v>
      </c>
      <c r="J5141" s="26" t="str">
        <f>IF(OR(E5141="",E5141="!!!",F5141="NEW"),"",COUNTBLANK(OFFSET(A$1,,,SUMPRODUCT(MAX(ROW(E$2:E5141)*(E5141=E$2:E5141)))))-COUNTBLANK(OFFSET(A$1,,,SUMPRODUCT(MAX(ROW(E$1:E5140)*(E2=E$1:E5140))))))</f>
        <v> </v>
      </c>
      <c r="K5141" s="26" t="str">
        <f>IF(OR(E5141="",E5141="!!!",F5141="NEW"),"",INDEX(J$1:J5140,SUMPRODUCT(MAX(ROW(E$1:E5140)*(E5141=E$1:E5140)))))</f>
        <v> </v>
      </c>
      <c r="L5141" s="27"/>
    </row>
    <row r="5142" spans="1:12">
      <c r="A5142" s="20" t="s">
        <v>135</v>
      </c>
      <c r="E5142" s="22">
        <f>IF(D5142="?OLD","!!!","")</f>
        <v/>
      </c>
      <c r="F5142" s="23" t="str">
        <f>IF(OR(E5142="",E5142="!!!"),"",IF(NOT(ISNA(VLOOKUP(E5142,E$1:E5141,1,FALSE()))),"OLD",IF(AND(E5142&lt;&gt;"",E5142&lt;&gt;"!!!"),"NEW","")))</f>
        <v> </v>
      </c>
      <c r="G5142" s="24" t="str">
        <f>IF(OR(E5142="",E5142="!!!"),"",IF(OR(J5142=0,AND(J5142=1,K5142=1),AND(J5142=1,I5142="SBJ"),AND(J5142=1,I5142=0)),"?IN_FOCUS",IF(J5142&lt;=2,"?ACTIVATED",IF(J5142&lt;&gt;"","?FAMILIAR",IF(F5142="NEW",IF(ISNA(VLOOKUP(E5142,#REF!,1,FALSE())),"?TYPE_IDENTIFIABLE","?REFERENTIAL"),"_")))))</f>
        <v> </v>
      </c>
      <c r="H5142" s="25" t="str">
        <f>IF(J5142&lt;&gt;1,"",IF(I5142="SBJ","CB","?"))</f>
        <v> </v>
      </c>
      <c r="I5142" s="26" t="str">
        <f>IF(OR(E5142="",E5142="!!!",F5142="NEW"),"",INDEX(B5141:B$2,-1+SUMPRODUCT(MAX(ROW(E5141:E$2)*(E5142=E5141:E$2)))))</f>
        <v> </v>
      </c>
      <c r="J5142" s="26" t="str">
        <f>IF(OR(E5142="",E5142="!!!",F5142="NEW"),"",COUNTBLANK(OFFSET(A$1,,,SUMPRODUCT(MAX(ROW(E$2:E5142)*(E5142=E$2:E5142)))))-COUNTBLANK(OFFSET(A$1,,,SUMPRODUCT(MAX(ROW(E$1:E5141)*(E2=E$1:E5141))))))</f>
        <v> </v>
      </c>
      <c r="K5142" s="26" t="str">
        <f>IF(OR(E5142="",E5142="!!!",F5142="NEW"),"",INDEX(J$1:J5141,SUMPRODUCT(MAX(ROW(E$1:E5141)*(E5142=E$1:E5141)))))</f>
        <v> </v>
      </c>
      <c r="L5142" s="27"/>
    </row>
    <row r="5143" spans="1:12">
      <c r="A5143" s="20" t="s">
        <v>1262</v>
      </c>
      <c r="E5143" s="22">
        <f>IF(D5143="?OLD","!!!","")</f>
        <v/>
      </c>
      <c r="F5143" s="23" t="str">
        <f>IF(OR(E5143="",E5143="!!!"),"",IF(NOT(ISNA(VLOOKUP(E5143,E$1:E5142,1,FALSE()))),"OLD",IF(AND(E5143&lt;&gt;"",E5143&lt;&gt;"!!!"),"NEW","")))</f>
        <v> </v>
      </c>
      <c r="G5143" s="24" t="str">
        <f>IF(OR(E5143="",E5143="!!!"),"",IF(OR(J5143=0,AND(J5143=1,K5143=1),AND(J5143=1,I5143="SBJ"),AND(J5143=1,I5143=0)),"?IN_FOCUS",IF(J5143&lt;=2,"?ACTIVATED",IF(J5143&lt;&gt;"","?FAMILIAR",IF(F5143="NEW",IF(ISNA(VLOOKUP(E5143,#REF!,1,FALSE())),"?TYPE_IDENTIFIABLE","?REFERENTIAL"),"_")))))</f>
        <v> </v>
      </c>
      <c r="H5143" s="25" t="str">
        <f>IF(J5143&lt;&gt;1,"",IF(I5143="SBJ","CB","?"))</f>
        <v> </v>
      </c>
      <c r="I5143" s="26" t="str">
        <f>IF(OR(E5143="",E5143="!!!",F5143="NEW"),"",INDEX(B5142:B$2,-1+SUMPRODUCT(MAX(ROW(E5142:E$2)*(E5143=E5142:E$2)))))</f>
        <v> </v>
      </c>
      <c r="J5143" s="26" t="str">
        <f>IF(OR(E5143="",E5143="!!!",F5143="NEW"),"",COUNTBLANK(OFFSET(A$1,,,SUMPRODUCT(MAX(ROW(E$2:E5143)*(E5143=E$2:E5143)))))-COUNTBLANK(OFFSET(A$1,,,SUMPRODUCT(MAX(ROW(E$1:E5142)*(E2=E$1:E5142))))))</f>
        <v> </v>
      </c>
      <c r="K5143" s="26" t="str">
        <f>IF(OR(E5143="",E5143="!!!",F5143="NEW"),"",INDEX(J$1:J5142,SUMPRODUCT(MAX(ROW(E$1:E5142)*(E5143=E$1:E5142)))))</f>
        <v> </v>
      </c>
      <c r="L5143" s="27"/>
    </row>
    <row r="5144" spans="1:12">
      <c r="A5144" s="20"/>
    </row>
    <row r="5145" spans="1:12">
      <c r="A5145" s="20" t="s">
        <v>2872</v>
      </c>
    </row>
    <row r="5146" spans="1:12">
      <c r="A5146" s="20" t="s">
        <v>1453</v>
      </c>
      <c r="E5146" s="22">
        <f>IF(D5146="?OLD","!!!","")</f>
        <v/>
      </c>
      <c r="F5146" s="23" t="str">
        <f>IF(OR(E5146="",E5146="!!!"),"",IF(NOT(ISNA(VLOOKUP(E5146,E$1:E5145,1,FALSE()))),"OLD",IF(AND(E5146&lt;&gt;"",E5146&lt;&gt;"!!!"),"NEW","")))</f>
        <v> </v>
      </c>
      <c r="G5146" s="24" t="str">
        <f>IF(OR(E5146="",E5146="!!!"),"",IF(OR(J5146=0,AND(J5146=1,K5146=1),AND(J5146=1,I5146="SBJ"),AND(J5146=1,I5146=0)),"?IN_FOCUS",IF(J5146&lt;=2,"?ACTIVATED",IF(J5146&lt;&gt;"","?FAMILIAR",IF(F5146="NEW",IF(ISNA(VLOOKUP(E5146,#REF!,1,FALSE())),"?TYPE_IDENTIFIABLE","?REFERENTIAL"),"_")))))</f>
        <v> </v>
      </c>
      <c r="H5146" s="25" t="str">
        <f>IF(J5146&lt;&gt;1,"",IF(I5146="SBJ","CB","?"))</f>
        <v> </v>
      </c>
      <c r="I5146" s="26" t="str">
        <f>IF(OR(E5146="",E5146="!!!",F5146="NEW"),"",INDEX(B5145:B$2,-1+SUMPRODUCT(MAX(ROW(E5145:E$2)*(E5146=E5145:E$2)))))</f>
        <v> </v>
      </c>
      <c r="J5146" s="26" t="str">
        <f>IF(OR(E5146="",E5146="!!!",F5146="NEW"),"",COUNTBLANK(OFFSET(A$1,,,SUMPRODUCT(MAX(ROW(E$2:E5146)*(E5146=E$2:E5146)))))-COUNTBLANK(OFFSET(A$1,,,SUMPRODUCT(MAX(ROW(E$1:E5145)*(E2=E$1:E5145))))))</f>
        <v> </v>
      </c>
      <c r="K5146" s="26" t="str">
        <f>IF(OR(E5146="",E5146="!!!",F5146="NEW"),"",INDEX(J$1:J5145,SUMPRODUCT(MAX(ROW(E$1:E5145)*(E5146=E$1:E5145)))))</f>
        <v> </v>
      </c>
      <c r="L5146" s="27"/>
    </row>
    <row r="5147" spans="1:12">
      <c r="A5147" s="20" t="s">
        <v>1554</v>
      </c>
      <c r="B5147" s="21" t="s">
        <v>1215</v>
      </c>
      <c r="C5147" s="21" t="s">
        <v>1234</v>
      </c>
      <c r="D5147" s="21" t="s">
        <v>1217</v>
      </c>
      <c r="E5147" s="22">
        <f>IF(D5147="?OLD","!!!","")</f>
        <v/>
      </c>
      <c r="F5147" s="23" t="str">
        <f>IF(OR(E5147="",E5147="!!!"),"",IF(NOT(ISNA(VLOOKUP(E5147,E$1:E5146,1,FALSE()))),"OLD",IF(AND(E5147&lt;&gt;"",E5147&lt;&gt;"!!!"),"NEW","")))</f>
        <v> </v>
      </c>
      <c r="G5147" s="24" t="str">
        <f>IF(OR(E5147="",E5147="!!!"),"",IF(OR(J5147=0,AND(J5147=1,K5147=1),AND(J5147=1,I5147="SBJ"),AND(J5147=1,I5147=0)),"?IN_FOCUS",IF(J5147&lt;=2,"?ACTIVATED",IF(J5147&lt;&gt;"","?FAMILIAR",IF(F5147="NEW",IF(ISNA(VLOOKUP(E5147,#REF!,1,FALSE())),"?TYPE_IDENTIFIABLE","?REFERENTIAL"),"_")))))</f>
        <v> </v>
      </c>
      <c r="H5147" s="25" t="str">
        <f>IF(J5147&lt;&gt;1,"",IF(I5147="SBJ","CB","?"))</f>
        <v> </v>
      </c>
      <c r="I5147" s="26" t="str">
        <f>IF(OR(E5147="",E5147="!!!",F5147="NEW"),"",INDEX(B5146:B$2,-1+SUMPRODUCT(MAX(ROW(E5146:E$2)*(E5147=E5146:E$2)))))</f>
        <v> </v>
      </c>
      <c r="J5147" s="26" t="str">
        <f>IF(OR(E5147="",E5147="!!!",F5147="NEW"),"",COUNTBLANK(OFFSET(A$1,,,SUMPRODUCT(MAX(ROW(E$2:E5147)*(E5147=E$2:E5147)))))-COUNTBLANK(OFFSET(A$1,,,SUMPRODUCT(MAX(ROW(E$1:E5146)*(E2=E$1:E5146))))))</f>
        <v> </v>
      </c>
      <c r="K5147" s="26" t="str">
        <f>IF(OR(E5147="",E5147="!!!",F5147="NEW"),"",INDEX(J$1:J5146,SUMPRODUCT(MAX(ROW(E$1:E5146)*(E5147=E$1:E5146)))))</f>
        <v> </v>
      </c>
      <c r="L5147" s="27"/>
    </row>
    <row r="5148" spans="1:12">
      <c r="A5148" s="20" t="s">
        <v>2873</v>
      </c>
      <c r="E5148" s="22">
        <f>IF(D5148="?OLD","!!!","")</f>
        <v/>
      </c>
      <c r="F5148" s="23" t="str">
        <f>IF(OR(E5148="",E5148="!!!"),"",IF(NOT(ISNA(VLOOKUP(E5148,E$1:E5147,1,FALSE()))),"OLD",IF(AND(E5148&lt;&gt;"",E5148&lt;&gt;"!!!"),"NEW","")))</f>
        <v> </v>
      </c>
      <c r="G5148" s="24" t="str">
        <f>IF(OR(E5148="",E5148="!!!"),"",IF(OR(J5148=0,AND(J5148=1,K5148=1),AND(J5148=1,I5148="SBJ"),AND(J5148=1,I5148=0)),"?IN_FOCUS",IF(J5148&lt;=2,"?ACTIVATED",IF(J5148&lt;&gt;"","?FAMILIAR",IF(F5148="NEW",IF(ISNA(VLOOKUP(E5148,#REF!,1,FALSE())),"?TYPE_IDENTIFIABLE","?REFERENTIAL"),"_")))))</f>
        <v> </v>
      </c>
      <c r="H5148" s="25" t="str">
        <f>IF(J5148&lt;&gt;1,"",IF(I5148="SBJ","CB","?"))</f>
        <v> </v>
      </c>
      <c r="I5148" s="26" t="str">
        <f>IF(OR(E5148="",E5148="!!!",F5148="NEW"),"",INDEX(B5147:B$2,-1+SUMPRODUCT(MAX(ROW(E5147:E$2)*(E5148=E5147:E$2)))))</f>
        <v> </v>
      </c>
      <c r="J5148" s="26" t="str">
        <f>IF(OR(E5148="",E5148="!!!",F5148="NEW"),"",COUNTBLANK(OFFSET(A$1,,,SUMPRODUCT(MAX(ROW(E$2:E5148)*(E5148=E$2:E5148)))))-COUNTBLANK(OFFSET(A$1,,,SUMPRODUCT(MAX(ROW(E$1:E5147)*(E2=E$1:E5147))))))</f>
        <v> </v>
      </c>
      <c r="K5148" s="26" t="str">
        <f>IF(OR(E5148="",E5148="!!!",F5148="NEW"),"",INDEX(J$1:J5147,SUMPRODUCT(MAX(ROW(E$1:E5147)*(E5148=E$1:E5147)))))</f>
        <v> </v>
      </c>
      <c r="L5148" s="27"/>
    </row>
    <row r="5149" spans="1:12">
      <c r="A5149" s="20" t="s">
        <v>94</v>
      </c>
      <c r="E5149" s="22">
        <f>IF(D5149="?OLD","!!!","")</f>
        <v/>
      </c>
      <c r="F5149" s="23" t="str">
        <f>IF(OR(E5149="",E5149="!!!"),"",IF(NOT(ISNA(VLOOKUP(E5149,E$1:E5148,1,FALSE()))),"OLD",IF(AND(E5149&lt;&gt;"",E5149&lt;&gt;"!!!"),"NEW","")))</f>
        <v> </v>
      </c>
      <c r="G5149" s="24" t="str">
        <f>IF(OR(E5149="",E5149="!!!"),"",IF(OR(J5149=0,AND(J5149=1,K5149=1),AND(J5149=1,I5149="SBJ"),AND(J5149=1,I5149=0)),"?IN_FOCUS",IF(J5149&lt;=2,"?ACTIVATED",IF(J5149&lt;&gt;"","?FAMILIAR",IF(F5149="NEW",IF(ISNA(VLOOKUP(E5149,#REF!,1,FALSE())),"?TYPE_IDENTIFIABLE","?REFERENTIAL"),"_")))))</f>
        <v> </v>
      </c>
      <c r="H5149" s="25" t="str">
        <f>IF(J5149&lt;&gt;1,"",IF(I5149="SBJ","CB","?"))</f>
        <v> </v>
      </c>
      <c r="I5149" s="26" t="str">
        <f>IF(OR(E5149="",E5149="!!!",F5149="NEW"),"",INDEX(B5148:B$2,-1+SUMPRODUCT(MAX(ROW(E5148:E$2)*(E5149=E5148:E$2)))))</f>
        <v> </v>
      </c>
      <c r="J5149" s="26" t="str">
        <f>IF(OR(E5149="",E5149="!!!",F5149="NEW"),"",COUNTBLANK(OFFSET(A$1,,,SUMPRODUCT(MAX(ROW(E$2:E5149)*(E5149=E$2:E5149)))))-COUNTBLANK(OFFSET(A$1,,,SUMPRODUCT(MAX(ROW(E$1:E5148)*(E2=E$1:E5148))))))</f>
        <v> </v>
      </c>
      <c r="K5149" s="26" t="str">
        <f>IF(OR(E5149="",E5149="!!!",F5149="NEW"),"",INDEX(J$1:J5148,SUMPRODUCT(MAX(ROW(E$1:E5148)*(E5149=E$1:E5148)))))</f>
        <v> </v>
      </c>
      <c r="L5149" s="27"/>
    </row>
    <row r="5150" spans="1:12">
      <c r="A5150" s="20" t="s">
        <v>1235</v>
      </c>
      <c r="E5150" s="22">
        <f>IF(D5150="?OLD","!!!","")</f>
        <v/>
      </c>
      <c r="F5150" s="23" t="str">
        <f>IF(OR(E5150="",E5150="!!!"),"",IF(NOT(ISNA(VLOOKUP(E5150,E$1:E5149,1,FALSE()))),"OLD",IF(AND(E5150&lt;&gt;"",E5150&lt;&gt;"!!!"),"NEW","")))</f>
        <v> </v>
      </c>
      <c r="G5150" s="24" t="str">
        <f>IF(OR(E5150="",E5150="!!!"),"",IF(OR(J5150=0,AND(J5150=1,K5150=1),AND(J5150=1,I5150="SBJ"),AND(J5150=1,I5150=0)),"?IN_FOCUS",IF(J5150&lt;=2,"?ACTIVATED",IF(J5150&lt;&gt;"","?FAMILIAR",IF(F5150="NEW",IF(ISNA(VLOOKUP(E5150,#REF!,1,FALSE())),"?TYPE_IDENTIFIABLE","?REFERENTIAL"),"_")))))</f>
        <v> </v>
      </c>
      <c r="H5150" s="25" t="str">
        <f>IF(J5150&lt;&gt;1,"",IF(I5150="SBJ","CB","?"))</f>
        <v> </v>
      </c>
      <c r="I5150" s="26" t="str">
        <f>IF(OR(E5150="",E5150="!!!",F5150="NEW"),"",INDEX(B5149:B$2,-1+SUMPRODUCT(MAX(ROW(E5149:E$2)*(E5150=E5149:E$2)))))</f>
        <v> </v>
      </c>
      <c r="J5150" s="26" t="str">
        <f>IF(OR(E5150="",E5150="!!!",F5150="NEW"),"",COUNTBLANK(OFFSET(A$1,,,SUMPRODUCT(MAX(ROW(E$2:E5150)*(E5150=E$2:E5150)))))-COUNTBLANK(OFFSET(A$1,,,SUMPRODUCT(MAX(ROW(E$1:E5149)*(E2=E$1:E5149))))))</f>
        <v> </v>
      </c>
      <c r="K5150" s="26" t="str">
        <f>IF(OR(E5150="",E5150="!!!",F5150="NEW"),"",INDEX(J$1:J5149,SUMPRODUCT(MAX(ROW(E$1:E5149)*(E5150=E$1:E5149)))))</f>
        <v> </v>
      </c>
      <c r="L5150" s="27"/>
    </row>
    <row r="5151" spans="1:12">
      <c r="A5151" s="20" t="s">
        <v>2874</v>
      </c>
      <c r="B5151" s="21" t="s">
        <v>1275</v>
      </c>
      <c r="C5151" s="21" t="s">
        <v>1238</v>
      </c>
      <c r="E5151" s="22">
        <f>IF(D5151="?OLD","!!!","")</f>
        <v/>
      </c>
      <c r="F5151" s="23" t="str">
        <f>IF(OR(E5151="",E5151="!!!"),"",IF(NOT(ISNA(VLOOKUP(E5151,E$1:E5150,1,FALSE()))),"OLD",IF(AND(E5151&lt;&gt;"",E5151&lt;&gt;"!!!"),"NEW","")))</f>
        <v> </v>
      </c>
      <c r="G5151" s="24" t="str">
        <f>IF(OR(E5151="",E5151="!!!"),"",IF(OR(J5151=0,AND(J5151=1,K5151=1),AND(J5151=1,I5151="SBJ"),AND(J5151=1,I5151=0)),"?IN_FOCUS",IF(J5151&lt;=2,"?ACTIVATED",IF(J5151&lt;&gt;"","?FAMILIAR",IF(F5151="NEW",IF(ISNA(VLOOKUP(E5151,#REF!,1,FALSE())),"?TYPE_IDENTIFIABLE","?REFERENTIAL"),"_")))))</f>
        <v> </v>
      </c>
      <c r="H5151" s="25" t="str">
        <f>IF(J5151&lt;&gt;1,"",IF(I5151="SBJ","CB","?"))</f>
        <v> </v>
      </c>
      <c r="I5151" s="26" t="str">
        <f>IF(OR(E5151="",E5151="!!!",F5151="NEW"),"",INDEX(B5150:B$2,-1+SUMPRODUCT(MAX(ROW(E5150:E$2)*(E5151=E5150:E$2)))))</f>
        <v> </v>
      </c>
      <c r="J5151" s="26" t="str">
        <f>IF(OR(E5151="",E5151="!!!",F5151="NEW"),"",COUNTBLANK(OFFSET(A$1,,,SUMPRODUCT(MAX(ROW(E$2:E5151)*(E5151=E$2:E5151)))))-COUNTBLANK(OFFSET(A$1,,,SUMPRODUCT(MAX(ROW(E$1:E5150)*(E2=E$1:E5150))))))</f>
        <v> </v>
      </c>
      <c r="K5151" s="26" t="str">
        <f>IF(OR(E5151="",E5151="!!!",F5151="NEW"),"",INDEX(J$1:J5150,SUMPRODUCT(MAX(ROW(E$1:E5150)*(E5151=E$1:E5150)))))</f>
        <v> </v>
      </c>
      <c r="L5151" s="27"/>
    </row>
    <row r="5152" spans="1:12">
      <c r="A5152" s="20" t="s">
        <v>1218</v>
      </c>
      <c r="E5152" s="22">
        <f>IF(D5152="?OLD","!!!","")</f>
        <v/>
      </c>
      <c r="F5152" s="23" t="str">
        <f>IF(OR(E5152="",E5152="!!!"),"",IF(NOT(ISNA(VLOOKUP(E5152,E$1:E5151,1,FALSE()))),"OLD",IF(AND(E5152&lt;&gt;"",E5152&lt;&gt;"!!!"),"NEW","")))</f>
        <v> </v>
      </c>
      <c r="G5152" s="24" t="str">
        <f>IF(OR(E5152="",E5152="!!!"),"",IF(OR(J5152=0,AND(J5152=1,K5152=1),AND(J5152=1,I5152="SBJ"),AND(J5152=1,I5152=0)),"?IN_FOCUS",IF(J5152&lt;=2,"?ACTIVATED",IF(J5152&lt;&gt;"","?FAMILIAR",IF(F5152="NEW",IF(ISNA(VLOOKUP(E5152,#REF!,1,FALSE())),"?TYPE_IDENTIFIABLE","?REFERENTIAL"),"_")))))</f>
        <v> </v>
      </c>
      <c r="H5152" s="25" t="str">
        <f>IF(J5152&lt;&gt;1,"",IF(I5152="SBJ","CB","?"))</f>
        <v> </v>
      </c>
      <c r="I5152" s="26" t="str">
        <f>IF(OR(E5152="",E5152="!!!",F5152="NEW"),"",INDEX(B5151:B$2,-1+SUMPRODUCT(MAX(ROW(E5151:E$2)*(E5152=E5151:E$2)))))</f>
        <v> </v>
      </c>
      <c r="J5152" s="26" t="str">
        <f>IF(OR(E5152="",E5152="!!!",F5152="NEW"),"",COUNTBLANK(OFFSET(A$1,,,SUMPRODUCT(MAX(ROW(E$2:E5152)*(E5152=E$2:E5152)))))-COUNTBLANK(OFFSET(A$1,,,SUMPRODUCT(MAX(ROW(E$1:E5151)*(E2=E$1:E5151))))))</f>
        <v> </v>
      </c>
      <c r="K5152" s="26" t="str">
        <f>IF(OR(E5152="",E5152="!!!",F5152="NEW"),"",INDEX(J$1:J5151,SUMPRODUCT(MAX(ROW(E$1:E5151)*(E5152=E$1:E5151)))))</f>
        <v> </v>
      </c>
      <c r="L5152" s="27"/>
    </row>
    <row r="5153" spans="1:12">
      <c r="A5153" s="20" t="s">
        <v>2832</v>
      </c>
      <c r="B5153" s="21" t="s">
        <v>1221</v>
      </c>
      <c r="C5153" s="21" t="s">
        <v>1279</v>
      </c>
      <c r="E5153" s="22">
        <f>IF(D5153="?OLD","!!!","")</f>
        <v/>
      </c>
      <c r="F5153" s="23" t="str">
        <f>IF(OR(E5153="",E5153="!!!"),"",IF(NOT(ISNA(VLOOKUP(E5153,E$1:E5152,1,FALSE()))),"OLD",IF(AND(E5153&lt;&gt;"",E5153&lt;&gt;"!!!"),"NEW","")))</f>
        <v> </v>
      </c>
      <c r="G5153" s="24" t="str">
        <f>IF(OR(E5153="",E5153="!!!"),"",IF(OR(J5153=0,AND(J5153=1,K5153=1),AND(J5153=1,I5153="SBJ"),AND(J5153=1,I5153=0)),"?IN_FOCUS",IF(J5153&lt;=2,"?ACTIVATED",IF(J5153&lt;&gt;"","?FAMILIAR",IF(F5153="NEW",IF(ISNA(VLOOKUP(E5153,#REF!,1,FALSE())),"?TYPE_IDENTIFIABLE","?REFERENTIAL"),"_")))))</f>
        <v> </v>
      </c>
      <c r="H5153" s="25" t="str">
        <f>IF(J5153&lt;&gt;1,"",IF(I5153="SBJ","CB","?"))</f>
        <v> </v>
      </c>
      <c r="I5153" s="26" t="str">
        <f>IF(OR(E5153="",E5153="!!!",F5153="NEW"),"",INDEX(B5152:B$2,-1+SUMPRODUCT(MAX(ROW(E5152:E$2)*(E5153=E5152:E$2)))))</f>
        <v> </v>
      </c>
      <c r="J5153" s="26" t="str">
        <f>IF(OR(E5153="",E5153="!!!",F5153="NEW"),"",COUNTBLANK(OFFSET(A$1,,,SUMPRODUCT(MAX(ROW(E$2:E5153)*(E5153=E$2:E5153)))))-COUNTBLANK(OFFSET(A$1,,,SUMPRODUCT(MAX(ROW(E$1:E5152)*(E2=E$1:E5152))))))</f>
        <v> </v>
      </c>
      <c r="K5153" s="26" t="str">
        <f>IF(OR(E5153="",E5153="!!!",F5153="NEW"),"",INDEX(J$1:J5152,SUMPRODUCT(MAX(ROW(E$1:E5152)*(E5153=E$1:E5152)))))</f>
        <v> </v>
      </c>
      <c r="L5153" s="27"/>
    </row>
    <row r="5154" spans="1:12">
      <c r="A5154" s="20" t="s">
        <v>1277</v>
      </c>
      <c r="E5154" s="22">
        <f>IF(D5154="?OLD","!!!","")</f>
        <v/>
      </c>
      <c r="F5154" s="23" t="str">
        <f>IF(OR(E5154="",E5154="!!!"),"",IF(NOT(ISNA(VLOOKUP(E5154,E$1:E5153,1,FALSE()))),"OLD",IF(AND(E5154&lt;&gt;"",E5154&lt;&gt;"!!!"),"NEW","")))</f>
        <v> </v>
      </c>
      <c r="G5154" s="24" t="str">
        <f>IF(OR(E5154="",E5154="!!!"),"",IF(OR(J5154=0,AND(J5154=1,K5154=1),AND(J5154=1,I5154="SBJ"),AND(J5154=1,I5154=0)),"?IN_FOCUS",IF(J5154&lt;=2,"?ACTIVATED",IF(J5154&lt;&gt;"","?FAMILIAR",IF(F5154="NEW",IF(ISNA(VLOOKUP(E5154,#REF!,1,FALSE())),"?TYPE_IDENTIFIABLE","?REFERENTIAL"),"_")))))</f>
        <v> </v>
      </c>
      <c r="H5154" s="25" t="str">
        <f>IF(J5154&lt;&gt;1,"",IF(I5154="SBJ","CB","?"))</f>
        <v> </v>
      </c>
      <c r="I5154" s="26" t="str">
        <f>IF(OR(E5154="",E5154="!!!",F5154="NEW"),"",INDEX(B5153:B$2,-1+SUMPRODUCT(MAX(ROW(E5153:E$2)*(E5154=E5153:E$2)))))</f>
        <v> </v>
      </c>
      <c r="J5154" s="26" t="str">
        <f>IF(OR(E5154="",E5154="!!!",F5154="NEW"),"",COUNTBLANK(OFFSET(A$1,,,SUMPRODUCT(MAX(ROW(E$2:E5154)*(E5154=E$2:E5154)))))-COUNTBLANK(OFFSET(A$1,,,SUMPRODUCT(MAX(ROW(E$1:E5153)*(E2=E$1:E5153))))))</f>
        <v> </v>
      </c>
      <c r="K5154" s="26" t="str">
        <f>IF(OR(E5154="",E5154="!!!",F5154="NEW"),"",INDEX(J$1:J5153,SUMPRODUCT(MAX(ROW(E$1:E5153)*(E5154=E$1:E5153)))))</f>
        <v> </v>
      </c>
      <c r="L5154" s="27"/>
    </row>
    <row r="5155" spans="1:12">
      <c r="A5155" s="20" t="s">
        <v>1351</v>
      </c>
      <c r="E5155" s="22">
        <f>IF(D5155="?OLD","!!!","")</f>
        <v/>
      </c>
      <c r="F5155" s="23" t="str">
        <f>IF(OR(E5155="",E5155="!!!"),"",IF(NOT(ISNA(VLOOKUP(E5155,E$1:E5154,1,FALSE()))),"OLD",IF(AND(E5155&lt;&gt;"",E5155&lt;&gt;"!!!"),"NEW","")))</f>
        <v> </v>
      </c>
      <c r="G5155" s="24" t="str">
        <f>IF(OR(E5155="",E5155="!!!"),"",IF(OR(J5155=0,AND(J5155=1,K5155=1),AND(J5155=1,I5155="SBJ"),AND(J5155=1,I5155=0)),"?IN_FOCUS",IF(J5155&lt;=2,"?ACTIVATED",IF(J5155&lt;&gt;"","?FAMILIAR",IF(F5155="NEW",IF(ISNA(VLOOKUP(E5155,#REF!,1,FALSE())),"?TYPE_IDENTIFIABLE","?REFERENTIAL"),"_")))))</f>
        <v> </v>
      </c>
      <c r="H5155" s="25" t="str">
        <f>IF(J5155&lt;&gt;1,"",IF(I5155="SBJ","CB","?"))</f>
        <v> </v>
      </c>
      <c r="I5155" s="26" t="str">
        <f>IF(OR(E5155="",E5155="!!!",F5155="NEW"),"",INDEX(B5154:B$2,-1+SUMPRODUCT(MAX(ROW(E5154:E$2)*(E5155=E5154:E$2)))))</f>
        <v> </v>
      </c>
      <c r="J5155" s="26" t="str">
        <f>IF(OR(E5155="",E5155="!!!",F5155="NEW"),"",COUNTBLANK(OFFSET(A$1,,,SUMPRODUCT(MAX(ROW(E$2:E5155)*(E5155=E$2:E5155)))))-COUNTBLANK(OFFSET(A$1,,,SUMPRODUCT(MAX(ROW(E$1:E5154)*(E2=E$1:E5154))))))</f>
        <v> </v>
      </c>
      <c r="K5155" s="26" t="str">
        <f>IF(OR(E5155="",E5155="!!!",F5155="NEW"),"",INDEX(J$1:J5154,SUMPRODUCT(MAX(ROW(E$1:E5154)*(E5155=E$1:E5154)))))</f>
        <v> </v>
      </c>
      <c r="L5155" s="27"/>
    </row>
    <row r="5156" spans="1:12">
      <c r="A5156" s="20" t="s">
        <v>1223</v>
      </c>
      <c r="B5156" s="21" t="s">
        <v>1229</v>
      </c>
      <c r="C5156" s="21" t="s">
        <v>1225</v>
      </c>
      <c r="D5156" s="21" t="s">
        <v>1217</v>
      </c>
      <c r="E5156" s="22">
        <f>IF(D5156="?OLD","!!!","")</f>
        <v/>
      </c>
      <c r="F5156" s="23" t="str">
        <f>IF(OR(E5156="",E5156="!!!"),"",IF(NOT(ISNA(VLOOKUP(E5156,E$1:E5155,1,FALSE()))),"OLD",IF(AND(E5156&lt;&gt;"",E5156&lt;&gt;"!!!"),"NEW","")))</f>
        <v> </v>
      </c>
      <c r="G5156" s="24" t="str">
        <f>IF(OR(E5156="",E5156="!!!"),"",IF(OR(J5156=0,AND(J5156=1,K5156=1),AND(J5156=1,I5156="SBJ"),AND(J5156=1,I5156=0)),"?IN_FOCUS",IF(J5156&lt;=2,"?ACTIVATED",IF(J5156&lt;&gt;"","?FAMILIAR",IF(F5156="NEW",IF(ISNA(VLOOKUP(E5156,#REF!,1,FALSE())),"?TYPE_IDENTIFIABLE","?REFERENTIAL"),"_")))))</f>
        <v> </v>
      </c>
      <c r="H5156" s="25" t="str">
        <f>IF(J5156&lt;&gt;1,"",IF(I5156="SBJ","CB","?"))</f>
        <v> </v>
      </c>
      <c r="I5156" s="26" t="str">
        <f>IF(OR(E5156="",E5156="!!!",F5156="NEW"),"",INDEX(B5155:B$2,-1+SUMPRODUCT(MAX(ROW(E5155:E$2)*(E5156=E5155:E$2)))))</f>
        <v> </v>
      </c>
      <c r="J5156" s="26" t="str">
        <f>IF(OR(E5156="",E5156="!!!",F5156="NEW"),"",COUNTBLANK(OFFSET(A$1,,,SUMPRODUCT(MAX(ROW(E$2:E5156)*(E5156=E$2:E5156)))))-COUNTBLANK(OFFSET(A$1,,,SUMPRODUCT(MAX(ROW(E$1:E5155)*(E2=E$1:E5155))))))</f>
        <v> </v>
      </c>
      <c r="K5156" s="26" t="str">
        <f>IF(OR(E5156="",E5156="!!!",F5156="NEW"),"",INDEX(J$1:J5155,SUMPRODUCT(MAX(ROW(E$1:E5155)*(E5156=E$1:E5155)))))</f>
        <v> </v>
      </c>
      <c r="L5156" s="27"/>
    </row>
    <row r="5157" spans="1:12">
      <c r="A5157" s="20" t="s">
        <v>1262</v>
      </c>
      <c r="E5157" s="22">
        <f>IF(D5157="?OLD","!!!","")</f>
        <v/>
      </c>
      <c r="F5157" s="23" t="str">
        <f>IF(OR(E5157="",E5157="!!!"),"",IF(NOT(ISNA(VLOOKUP(E5157,E$1:E5156,1,FALSE()))),"OLD",IF(AND(E5157&lt;&gt;"",E5157&lt;&gt;"!!!"),"NEW","")))</f>
        <v> </v>
      </c>
      <c r="G5157" s="24" t="str">
        <f>IF(OR(E5157="",E5157="!!!"),"",IF(OR(J5157=0,AND(J5157=1,K5157=1),AND(J5157=1,I5157="SBJ"),AND(J5157=1,I5157=0)),"?IN_FOCUS",IF(J5157&lt;=2,"?ACTIVATED",IF(J5157&lt;&gt;"","?FAMILIAR",IF(F5157="NEW",IF(ISNA(VLOOKUP(E5157,#REF!,1,FALSE())),"?TYPE_IDENTIFIABLE","?REFERENTIAL"),"_")))))</f>
        <v> </v>
      </c>
      <c r="H5157" s="25" t="str">
        <f>IF(J5157&lt;&gt;1,"",IF(I5157="SBJ","CB","?"))</f>
        <v> </v>
      </c>
      <c r="I5157" s="26" t="str">
        <f>IF(OR(E5157="",E5157="!!!",F5157="NEW"),"",INDEX(B5156:B$2,-1+SUMPRODUCT(MAX(ROW(E5156:E$2)*(E5157=E5156:E$2)))))</f>
        <v> </v>
      </c>
      <c r="J5157" s="26" t="str">
        <f>IF(OR(E5157="",E5157="!!!",F5157="NEW"),"",COUNTBLANK(OFFSET(A$1,,,SUMPRODUCT(MAX(ROW(E$2:E5157)*(E5157=E$2:E5157)))))-COUNTBLANK(OFFSET(A$1,,,SUMPRODUCT(MAX(ROW(E$1:E5156)*(E2=E$1:E5156))))))</f>
        <v> </v>
      </c>
      <c r="K5157" s="26" t="str">
        <f>IF(OR(E5157="",E5157="!!!",F5157="NEW"),"",INDEX(J$1:J5156,SUMPRODUCT(MAX(ROW(E$1:E5156)*(E5157=E$1:E5156)))))</f>
        <v> </v>
      </c>
      <c r="L5157" s="27"/>
    </row>
    <row r="5158" spans="1:12">
      <c r="A5158" s="20"/>
    </row>
    <row r="5159" spans="1:12">
      <c r="A5159" s="20" t="s">
        <v>2875</v>
      </c>
    </row>
    <row r="5160" spans="1:12">
      <c r="A5160" s="20" t="s">
        <v>1529</v>
      </c>
      <c r="B5160" s="21" t="s">
        <v>1215</v>
      </c>
      <c r="C5160" s="21" t="s">
        <v>1234</v>
      </c>
      <c r="D5160" s="21" t="s">
        <v>1217</v>
      </c>
      <c r="E5160" s="22">
        <f>IF(D5160="?OLD","!!!","")</f>
        <v/>
      </c>
      <c r="F5160" s="23" t="str">
        <f>IF(OR(E5160="",E5160="!!!"),"",IF(NOT(ISNA(VLOOKUP(E5160,E$1:E5159,1,FALSE()))),"OLD",IF(AND(E5160&lt;&gt;"",E5160&lt;&gt;"!!!"),"NEW","")))</f>
        <v> </v>
      </c>
      <c r="G5160" s="24" t="str">
        <f>IF(OR(E5160="",E5160="!!!"),"",IF(OR(J5160=0,AND(J5160=1,K5160=1),AND(J5160=1,I5160="SBJ"),AND(J5160=1,I5160=0)),"?IN_FOCUS",IF(J5160&lt;=2,"?ACTIVATED",IF(J5160&lt;&gt;"","?FAMILIAR",IF(F5160="NEW",IF(ISNA(VLOOKUP(E5160,#REF!,1,FALSE())),"?TYPE_IDENTIFIABLE","?REFERENTIAL"),"_")))))</f>
        <v> </v>
      </c>
      <c r="H5160" s="25" t="str">
        <f>IF(J5160&lt;&gt;1,"",IF(I5160="SBJ","CB","?"))</f>
        <v> </v>
      </c>
      <c r="I5160" s="26" t="str">
        <f>IF(OR(E5160="",E5160="!!!",F5160="NEW"),"",INDEX(B5159:B$2,-1+SUMPRODUCT(MAX(ROW(E5159:E$2)*(E5160=E5159:E$2)))))</f>
        <v> </v>
      </c>
      <c r="J5160" s="26" t="str">
        <f>IF(OR(E5160="",E5160="!!!",F5160="NEW"),"",COUNTBLANK(OFFSET(A$1,,,SUMPRODUCT(MAX(ROW(E$2:E5160)*(E5160=E$2:E5160)))))-COUNTBLANK(OFFSET(A$1,,,SUMPRODUCT(MAX(ROW(E$1:E5159)*(E2=E$1:E5159))))))</f>
        <v> </v>
      </c>
      <c r="K5160" s="26" t="str">
        <f>IF(OR(E5160="",E5160="!!!",F5160="NEW"),"",INDEX(J$1:J5159,SUMPRODUCT(MAX(ROW(E$1:E5159)*(E5160=E$1:E5159)))))</f>
        <v> </v>
      </c>
      <c r="L5160" s="27"/>
    </row>
    <row r="5161" spans="1:12">
      <c r="A5161" s="20" t="s">
        <v>1530</v>
      </c>
      <c r="E5161" s="22">
        <f>IF(D5161="?OLD","!!!","")</f>
        <v/>
      </c>
      <c r="F5161" s="23" t="str">
        <f>IF(OR(E5161="",E5161="!!!"),"",IF(NOT(ISNA(VLOOKUP(E5161,E$1:E5160,1,FALSE()))),"OLD",IF(AND(E5161&lt;&gt;"",E5161&lt;&gt;"!!!"),"NEW","")))</f>
        <v> </v>
      </c>
      <c r="G5161" s="24" t="str">
        <f>IF(OR(E5161="",E5161="!!!"),"",IF(OR(J5161=0,AND(J5161=1,K5161=1),AND(J5161=1,I5161="SBJ"),AND(J5161=1,I5161=0)),"?IN_FOCUS",IF(J5161&lt;=2,"?ACTIVATED",IF(J5161&lt;&gt;"","?FAMILIAR",IF(F5161="NEW",IF(ISNA(VLOOKUP(E5161,#REF!,1,FALSE())),"?TYPE_IDENTIFIABLE","?REFERENTIAL"),"_")))))</f>
        <v> </v>
      </c>
      <c r="H5161" s="25" t="str">
        <f>IF(J5161&lt;&gt;1,"",IF(I5161="SBJ","CB","?"))</f>
        <v> </v>
      </c>
      <c r="I5161" s="26" t="str">
        <f>IF(OR(E5161="",E5161="!!!",F5161="NEW"),"",INDEX(B5160:B$2,-1+SUMPRODUCT(MAX(ROW(E5160:E$2)*(E5161=E5160:E$2)))))</f>
        <v> </v>
      </c>
      <c r="J5161" s="26" t="str">
        <f>IF(OR(E5161="",E5161="!!!",F5161="NEW"),"",COUNTBLANK(OFFSET(A$1,,,SUMPRODUCT(MAX(ROW(E$2:E5161)*(E5161=E$2:E5161)))))-COUNTBLANK(OFFSET(A$1,,,SUMPRODUCT(MAX(ROW(E$1:E5160)*(E2=E$1:E5160))))))</f>
        <v> </v>
      </c>
      <c r="K5161" s="26" t="str">
        <f>IF(OR(E5161="",E5161="!!!",F5161="NEW"),"",INDEX(J$1:J5160,SUMPRODUCT(MAX(ROW(E$1:E5160)*(E5161=E$1:E5160)))))</f>
        <v> </v>
      </c>
      <c r="L5161" s="27"/>
    </row>
    <row r="5162" spans="1:12">
      <c r="A5162" s="20" t="s">
        <v>1323</v>
      </c>
      <c r="E5162" s="22">
        <f>IF(D5162="?OLD","!!!","")</f>
        <v/>
      </c>
      <c r="F5162" s="23" t="str">
        <f>IF(OR(E5162="",E5162="!!!"),"",IF(NOT(ISNA(VLOOKUP(E5162,E$1:E5161,1,FALSE()))),"OLD",IF(AND(E5162&lt;&gt;"",E5162&lt;&gt;"!!!"),"NEW","")))</f>
        <v> </v>
      </c>
      <c r="G5162" s="24" t="str">
        <f>IF(OR(E5162="",E5162="!!!"),"",IF(OR(J5162=0,AND(J5162=1,K5162=1),AND(J5162=1,I5162="SBJ"),AND(J5162=1,I5162=0)),"?IN_FOCUS",IF(J5162&lt;=2,"?ACTIVATED",IF(J5162&lt;&gt;"","?FAMILIAR",IF(F5162="NEW",IF(ISNA(VLOOKUP(E5162,#REF!,1,FALSE())),"?TYPE_IDENTIFIABLE","?REFERENTIAL"),"_")))))</f>
        <v> </v>
      </c>
      <c r="H5162" s="25" t="str">
        <f>IF(J5162&lt;&gt;1,"",IF(I5162="SBJ","CB","?"))</f>
        <v> </v>
      </c>
      <c r="I5162" s="26" t="str">
        <f>IF(OR(E5162="",E5162="!!!",F5162="NEW"),"",INDEX(B5161:B$2,-1+SUMPRODUCT(MAX(ROW(E5161:E$2)*(E5162=E5161:E$2)))))</f>
        <v> </v>
      </c>
      <c r="J5162" s="26" t="str">
        <f>IF(OR(E5162="",E5162="!!!",F5162="NEW"),"",COUNTBLANK(OFFSET(A$1,,,SUMPRODUCT(MAX(ROW(E$2:E5162)*(E5162=E$2:E5162)))))-COUNTBLANK(OFFSET(A$1,,,SUMPRODUCT(MAX(ROW(E$1:E5161)*(E2=E$1:E5161))))))</f>
        <v> </v>
      </c>
      <c r="K5162" s="26" t="str">
        <f>IF(OR(E5162="",E5162="!!!",F5162="NEW"),"",INDEX(J$1:J5161,SUMPRODUCT(MAX(ROW(E$1:E5161)*(E5162=E$1:E5161)))))</f>
        <v> </v>
      </c>
      <c r="L5162" s="27"/>
    </row>
    <row r="5163" spans="1:12">
      <c r="A5163" s="20" t="s">
        <v>2865</v>
      </c>
      <c r="B5163" s="21" t="s">
        <v>1244</v>
      </c>
      <c r="C5163" s="21" t="s">
        <v>1269</v>
      </c>
      <c r="D5163" s="21" t="s">
        <v>1217</v>
      </c>
      <c r="E5163" s="22">
        <f>IF(D5163="?OLD","!!!","")</f>
        <v/>
      </c>
      <c r="F5163" s="23" t="str">
        <f>IF(OR(E5163="",E5163="!!!"),"",IF(NOT(ISNA(VLOOKUP(E5163,E$1:E5162,1,FALSE()))),"OLD",IF(AND(E5163&lt;&gt;"",E5163&lt;&gt;"!!!"),"NEW","")))</f>
        <v> </v>
      </c>
      <c r="G5163" s="24" t="str">
        <f>IF(OR(E5163="",E5163="!!!"),"",IF(OR(J5163=0,AND(J5163=1,K5163=1),AND(J5163=1,I5163="SBJ"),AND(J5163=1,I5163=0)),"?IN_FOCUS",IF(J5163&lt;=2,"?ACTIVATED",IF(J5163&lt;&gt;"","?FAMILIAR",IF(F5163="NEW",IF(ISNA(VLOOKUP(E5163,#REF!,1,FALSE())),"?TYPE_IDENTIFIABLE","?REFERENTIAL"),"_")))))</f>
        <v> </v>
      </c>
      <c r="H5163" s="25" t="str">
        <f>IF(J5163&lt;&gt;1,"",IF(I5163="SBJ","CB","?"))</f>
        <v> </v>
      </c>
      <c r="I5163" s="26" t="str">
        <f>IF(OR(E5163="",E5163="!!!",F5163="NEW"),"",INDEX(B5162:B$2,-1+SUMPRODUCT(MAX(ROW(E5162:E$2)*(E5163=E5162:E$2)))))</f>
        <v> </v>
      </c>
      <c r="J5163" s="26" t="str">
        <f>IF(OR(E5163="",E5163="!!!",F5163="NEW"),"",COUNTBLANK(OFFSET(A$1,,,SUMPRODUCT(MAX(ROW(E$2:E5163)*(E5163=E$2:E5163)))))-COUNTBLANK(OFFSET(A$1,,,SUMPRODUCT(MAX(ROW(E$1:E5162)*(E2=E$1:E5162))))))</f>
        <v> </v>
      </c>
      <c r="K5163" s="26" t="str">
        <f>IF(OR(E5163="",E5163="!!!",F5163="NEW"),"",INDEX(J$1:J5162,SUMPRODUCT(MAX(ROW(E$1:E5162)*(E5163=E$1:E5162)))))</f>
        <v> </v>
      </c>
      <c r="L5163" s="27"/>
    </row>
    <row r="5164" spans="1:12">
      <c r="A5164" s="20" t="s">
        <v>2876</v>
      </c>
      <c r="E5164" s="22">
        <f>IF(D5164="?OLD","!!!","")</f>
        <v/>
      </c>
      <c r="F5164" s="23" t="str">
        <f>IF(OR(E5164="",E5164="!!!"),"",IF(NOT(ISNA(VLOOKUP(E5164,E$1:E5163,1,FALSE()))),"OLD",IF(AND(E5164&lt;&gt;"",E5164&lt;&gt;"!!!"),"NEW","")))</f>
        <v> </v>
      </c>
      <c r="G5164" s="24" t="str">
        <f>IF(OR(E5164="",E5164="!!!"),"",IF(OR(J5164=0,AND(J5164=1,K5164=1),AND(J5164=1,I5164="SBJ"),AND(J5164=1,I5164=0)),"?IN_FOCUS",IF(J5164&lt;=2,"?ACTIVATED",IF(J5164&lt;&gt;"","?FAMILIAR",IF(F5164="NEW",IF(ISNA(VLOOKUP(E5164,#REF!,1,FALSE())),"?TYPE_IDENTIFIABLE","?REFERENTIAL"),"_")))))</f>
        <v> </v>
      </c>
      <c r="H5164" s="25" t="str">
        <f>IF(J5164&lt;&gt;1,"",IF(I5164="SBJ","CB","?"))</f>
        <v> </v>
      </c>
      <c r="I5164" s="26" t="str">
        <f>IF(OR(E5164="",E5164="!!!",F5164="NEW"),"",INDEX(B5163:B$2,-1+SUMPRODUCT(MAX(ROW(E5163:E$2)*(E5164=E5163:E$2)))))</f>
        <v> </v>
      </c>
      <c r="J5164" s="26" t="str">
        <f>IF(OR(E5164="",E5164="!!!",F5164="NEW"),"",COUNTBLANK(OFFSET(A$1,,,SUMPRODUCT(MAX(ROW(E$2:E5164)*(E5164=E$2:E5164)))))-COUNTBLANK(OFFSET(A$1,,,SUMPRODUCT(MAX(ROW(E$1:E5163)*(E2=E$1:E5163))))))</f>
        <v> </v>
      </c>
      <c r="K5164" s="26" t="str">
        <f>IF(OR(E5164="",E5164="!!!",F5164="NEW"),"",INDEX(J$1:J5163,SUMPRODUCT(MAX(ROW(E$1:E5163)*(E5164=E$1:E5163)))))</f>
        <v> </v>
      </c>
      <c r="L5164" s="27"/>
    </row>
    <row r="5165" spans="1:12">
      <c r="A5165" s="20" t="s">
        <v>1245</v>
      </c>
      <c r="E5165" s="22">
        <f>IF(D5165="?OLD","!!!","")</f>
        <v/>
      </c>
      <c r="F5165" s="23" t="str">
        <f>IF(OR(E5165="",E5165="!!!"),"",IF(NOT(ISNA(VLOOKUP(E5165,E$1:E5164,1,FALSE()))),"OLD",IF(AND(E5165&lt;&gt;"",E5165&lt;&gt;"!!!"),"NEW","")))</f>
        <v> </v>
      </c>
      <c r="G5165" s="24" t="str">
        <f>IF(OR(E5165="",E5165="!!!"),"",IF(OR(J5165=0,AND(J5165=1,K5165=1),AND(J5165=1,I5165="SBJ"),AND(J5165=1,I5165=0)),"?IN_FOCUS",IF(J5165&lt;=2,"?ACTIVATED",IF(J5165&lt;&gt;"","?FAMILIAR",IF(F5165="NEW",IF(ISNA(VLOOKUP(E5165,#REF!,1,FALSE())),"?TYPE_IDENTIFIABLE","?REFERENTIAL"),"_")))))</f>
        <v> </v>
      </c>
      <c r="H5165" s="25" t="str">
        <f>IF(J5165&lt;&gt;1,"",IF(I5165="SBJ","CB","?"))</f>
        <v> </v>
      </c>
      <c r="I5165" s="26" t="str">
        <f>IF(OR(E5165="",E5165="!!!",F5165="NEW"),"",INDEX(B5164:B$2,-1+SUMPRODUCT(MAX(ROW(E5164:E$2)*(E5165=E5164:E$2)))))</f>
        <v> </v>
      </c>
      <c r="J5165" s="26" t="str">
        <f>IF(OR(E5165="",E5165="!!!",F5165="NEW"),"",COUNTBLANK(OFFSET(A$1,,,SUMPRODUCT(MAX(ROW(E$2:E5165)*(E5165=E$2:E5165)))))-COUNTBLANK(OFFSET(A$1,,,SUMPRODUCT(MAX(ROW(E$1:E5164)*(E2=E$1:E5164))))))</f>
        <v> </v>
      </c>
      <c r="K5165" s="26" t="str">
        <f>IF(OR(E5165="",E5165="!!!",F5165="NEW"),"",INDEX(J$1:J5164,SUMPRODUCT(MAX(ROW(E$1:E5164)*(E5165=E$1:E5164)))))</f>
        <v> </v>
      </c>
      <c r="L5165" s="27"/>
    </row>
    <row r="5166" spans="1:12">
      <c r="A5166" s="20" t="s">
        <v>1346</v>
      </c>
      <c r="B5166" s="21" t="s">
        <v>1224</v>
      </c>
      <c r="C5166" s="21" t="s">
        <v>1242</v>
      </c>
      <c r="D5166" s="21" t="s">
        <v>1217</v>
      </c>
      <c r="E5166" s="22">
        <f>IF(D5166="?OLD","!!!","")</f>
        <v/>
      </c>
      <c r="F5166" s="23" t="str">
        <f>IF(OR(E5166="",E5166="!!!"),"",IF(NOT(ISNA(VLOOKUP(E5166,E$1:E5165,1,FALSE()))),"OLD",IF(AND(E5166&lt;&gt;"",E5166&lt;&gt;"!!!"),"NEW","")))</f>
        <v> </v>
      </c>
      <c r="G5166" s="24" t="str">
        <f>IF(OR(E5166="",E5166="!!!"),"",IF(OR(J5166=0,AND(J5166=1,K5166=1),AND(J5166=1,I5166="SBJ"),AND(J5166=1,I5166=0)),"?IN_FOCUS",IF(J5166&lt;=2,"?ACTIVATED",IF(J5166&lt;&gt;"","?FAMILIAR",IF(F5166="NEW",IF(ISNA(VLOOKUP(E5166,#REF!,1,FALSE())),"?TYPE_IDENTIFIABLE","?REFERENTIAL"),"_")))))</f>
        <v> </v>
      </c>
      <c r="H5166" s="25" t="str">
        <f>IF(J5166&lt;&gt;1,"",IF(I5166="SBJ","CB","?"))</f>
        <v> </v>
      </c>
      <c r="I5166" s="26" t="str">
        <f>IF(OR(E5166="",E5166="!!!",F5166="NEW"),"",INDEX(B5165:B$2,-1+SUMPRODUCT(MAX(ROW(E5165:E$2)*(E5166=E5165:E$2)))))</f>
        <v> </v>
      </c>
      <c r="J5166" s="26" t="str">
        <f>IF(OR(E5166="",E5166="!!!",F5166="NEW"),"",COUNTBLANK(OFFSET(A$1,,,SUMPRODUCT(MAX(ROW(E$2:E5166)*(E5166=E$2:E5166)))))-COUNTBLANK(OFFSET(A$1,,,SUMPRODUCT(MAX(ROW(E$1:E5165)*(E2=E$1:E5165))))))</f>
        <v> </v>
      </c>
      <c r="K5166" s="26" t="str">
        <f>IF(OR(E5166="",E5166="!!!",F5166="NEW"),"",INDEX(J$1:J5165,SUMPRODUCT(MAX(ROW(E$1:E5165)*(E5166=E$1:E5165)))))</f>
        <v> </v>
      </c>
      <c r="L5166" s="27"/>
    </row>
    <row r="5167" spans="1:12">
      <c r="A5167" s="20" t="s">
        <v>1459</v>
      </c>
      <c r="B5167" s="21" t="s">
        <v>1221</v>
      </c>
      <c r="C5167" s="21" t="s">
        <v>1222</v>
      </c>
      <c r="D5167" s="21" t="s">
        <v>1217</v>
      </c>
      <c r="E5167" s="22">
        <f>IF(D5167="?OLD","!!!","")</f>
        <v/>
      </c>
      <c r="F5167" s="23" t="str">
        <f>IF(OR(E5167="",E5167="!!!"),"",IF(NOT(ISNA(VLOOKUP(E5167,E$1:E5166,1,FALSE()))),"OLD",IF(AND(E5167&lt;&gt;"",E5167&lt;&gt;"!!!"),"NEW","")))</f>
        <v> </v>
      </c>
      <c r="G5167" s="24" t="str">
        <f>IF(OR(E5167="",E5167="!!!"),"",IF(OR(J5167=0,AND(J5167=1,K5167=1),AND(J5167=1,I5167="SBJ"),AND(J5167=1,I5167=0)),"?IN_FOCUS",IF(J5167&lt;=2,"?ACTIVATED",IF(J5167&lt;&gt;"","?FAMILIAR",IF(F5167="NEW",IF(ISNA(VLOOKUP(E5167,#REF!,1,FALSE())),"?TYPE_IDENTIFIABLE","?REFERENTIAL"),"_")))))</f>
        <v> </v>
      </c>
      <c r="H5167" s="25" t="str">
        <f>IF(J5167&lt;&gt;1,"",IF(I5167="SBJ","CB","?"))</f>
        <v> </v>
      </c>
      <c r="I5167" s="26" t="str">
        <f>IF(OR(E5167="",E5167="!!!",F5167="NEW"),"",INDEX(B5166:B$2,-1+SUMPRODUCT(MAX(ROW(E5166:E$2)*(E5167=E5166:E$2)))))</f>
        <v> </v>
      </c>
      <c r="J5167" s="26" t="str">
        <f>IF(OR(E5167="",E5167="!!!",F5167="NEW"),"",COUNTBLANK(OFFSET(A$1,,,SUMPRODUCT(MAX(ROW(E$2:E5167)*(E5167=E$2:E5167)))))-COUNTBLANK(OFFSET(A$1,,,SUMPRODUCT(MAX(ROW(E$1:E5166)*(E2=E$1:E5166))))))</f>
        <v> </v>
      </c>
      <c r="K5167" s="26" t="str">
        <f>IF(OR(E5167="",E5167="!!!",F5167="NEW"),"",INDEX(J$1:J5166,SUMPRODUCT(MAX(ROW(E$1:E5166)*(E5167=E$1:E5166)))))</f>
        <v> </v>
      </c>
      <c r="L5167" s="27"/>
    </row>
    <row r="5168" spans="1:12">
      <c r="A5168" s="20" t="s">
        <v>1649</v>
      </c>
      <c r="E5168" s="22">
        <f>IF(D5168="?OLD","!!!","")</f>
        <v/>
      </c>
      <c r="F5168" s="23" t="str">
        <f>IF(OR(E5168="",E5168="!!!"),"",IF(NOT(ISNA(VLOOKUP(E5168,E$1:E5167,1,FALSE()))),"OLD",IF(AND(E5168&lt;&gt;"",E5168&lt;&gt;"!!!"),"NEW","")))</f>
        <v> </v>
      </c>
      <c r="G5168" s="24" t="str">
        <f>IF(OR(E5168="",E5168="!!!"),"",IF(OR(J5168=0,AND(J5168=1,K5168=1),AND(J5168=1,I5168="SBJ"),AND(J5168=1,I5168=0)),"?IN_FOCUS",IF(J5168&lt;=2,"?ACTIVATED",IF(J5168&lt;&gt;"","?FAMILIAR",IF(F5168="NEW",IF(ISNA(VLOOKUP(E5168,#REF!,1,FALSE())),"?TYPE_IDENTIFIABLE","?REFERENTIAL"),"_")))))</f>
        <v> </v>
      </c>
      <c r="H5168" s="25" t="str">
        <f>IF(J5168&lt;&gt;1,"",IF(I5168="SBJ","CB","?"))</f>
        <v> </v>
      </c>
      <c r="I5168" s="26" t="str">
        <f>IF(OR(E5168="",E5168="!!!",F5168="NEW"),"",INDEX(B5167:B$2,-1+SUMPRODUCT(MAX(ROW(E5167:E$2)*(E5168=E5167:E$2)))))</f>
        <v> </v>
      </c>
      <c r="J5168" s="26" t="str">
        <f>IF(OR(E5168="",E5168="!!!",F5168="NEW"),"",COUNTBLANK(OFFSET(A$1,,,SUMPRODUCT(MAX(ROW(E$2:E5168)*(E5168=E$2:E5168)))))-COUNTBLANK(OFFSET(A$1,,,SUMPRODUCT(MAX(ROW(E$1:E5167)*(E2=E$1:E5167))))))</f>
        <v> </v>
      </c>
      <c r="K5168" s="26" t="str">
        <f>IF(OR(E5168="",E5168="!!!",F5168="NEW"),"",INDEX(J$1:J5167,SUMPRODUCT(MAX(ROW(E$1:E5167)*(E5168=E$1:E5167)))))</f>
        <v> </v>
      </c>
      <c r="L5168" s="27"/>
    </row>
    <row r="5169" spans="1:12">
      <c r="A5169" s="20" t="s">
        <v>1650</v>
      </c>
      <c r="B5169" s="21" t="s">
        <v>1224</v>
      </c>
      <c r="C5169" s="21" t="s">
        <v>1225</v>
      </c>
      <c r="D5169" s="21" t="s">
        <v>1217</v>
      </c>
      <c r="E5169" s="22">
        <f>IF(D5169="?OLD","!!!","")</f>
        <v/>
      </c>
      <c r="F5169" s="23" t="str">
        <f>IF(OR(E5169="",E5169="!!!"),"",IF(NOT(ISNA(VLOOKUP(E5169,E$1:E5168,1,FALSE()))),"OLD",IF(AND(E5169&lt;&gt;"",E5169&lt;&gt;"!!!"),"NEW","")))</f>
        <v> </v>
      </c>
      <c r="G5169" s="24" t="str">
        <f>IF(OR(E5169="",E5169="!!!"),"",IF(OR(J5169=0,AND(J5169=1,K5169=1),AND(J5169=1,I5169="SBJ"),AND(J5169=1,I5169=0)),"?IN_FOCUS",IF(J5169&lt;=2,"?ACTIVATED",IF(J5169&lt;&gt;"","?FAMILIAR",IF(F5169="NEW",IF(ISNA(VLOOKUP(E5169,#REF!,1,FALSE())),"?TYPE_IDENTIFIABLE","?REFERENTIAL"),"_")))))</f>
        <v> </v>
      </c>
      <c r="H5169" s="25" t="str">
        <f>IF(J5169&lt;&gt;1,"",IF(I5169="SBJ","CB","?"))</f>
        <v> </v>
      </c>
      <c r="I5169" s="26" t="str">
        <f>IF(OR(E5169="",E5169="!!!",F5169="NEW"),"",INDEX(B5168:B$2,-1+SUMPRODUCT(MAX(ROW(E5168:E$2)*(E5169=E5168:E$2)))))</f>
        <v> </v>
      </c>
      <c r="J5169" s="26" t="str">
        <f>IF(OR(E5169="",E5169="!!!",F5169="NEW"),"",COUNTBLANK(OFFSET(A$1,,,SUMPRODUCT(MAX(ROW(E$2:E5169)*(E5169=E$2:E5169)))))-COUNTBLANK(OFFSET(A$1,,,SUMPRODUCT(MAX(ROW(E$1:E5168)*(E2=E$1:E5168))))))</f>
        <v> </v>
      </c>
      <c r="K5169" s="26" t="str">
        <f>IF(OR(E5169="",E5169="!!!",F5169="NEW"),"",INDEX(J$1:J5168,SUMPRODUCT(MAX(ROW(E$1:E5168)*(E5169=E$1:E5168)))))</f>
        <v> </v>
      </c>
      <c r="L5169" s="27"/>
    </row>
    <row r="5170" spans="1:12">
      <c r="A5170" s="20" t="s">
        <v>1262</v>
      </c>
      <c r="E5170" s="22">
        <f>IF(D5170="?OLD","!!!","")</f>
        <v/>
      </c>
      <c r="F5170" s="23" t="str">
        <f>IF(OR(E5170="",E5170="!!!"),"",IF(NOT(ISNA(VLOOKUP(E5170,E$1:E5169,1,FALSE()))),"OLD",IF(AND(E5170&lt;&gt;"",E5170&lt;&gt;"!!!"),"NEW","")))</f>
        <v> </v>
      </c>
      <c r="G5170" s="24" t="str">
        <f>IF(OR(E5170="",E5170="!!!"),"",IF(OR(J5170=0,AND(J5170=1,K5170=1),AND(J5170=1,I5170="SBJ"),AND(J5170=1,I5170=0)),"?IN_FOCUS",IF(J5170&lt;=2,"?ACTIVATED",IF(J5170&lt;&gt;"","?FAMILIAR",IF(F5170="NEW",IF(ISNA(VLOOKUP(E5170,#REF!,1,FALSE())),"?TYPE_IDENTIFIABLE","?REFERENTIAL"),"_")))))</f>
        <v> </v>
      </c>
      <c r="H5170" s="25" t="str">
        <f>IF(J5170&lt;&gt;1,"",IF(I5170="SBJ","CB","?"))</f>
        <v> </v>
      </c>
      <c r="I5170" s="26" t="str">
        <f>IF(OR(E5170="",E5170="!!!",F5170="NEW"),"",INDEX(B5169:B$2,-1+SUMPRODUCT(MAX(ROW(E5169:E$2)*(E5170=E5169:E$2)))))</f>
        <v> </v>
      </c>
      <c r="J5170" s="26" t="str">
        <f>IF(OR(E5170="",E5170="!!!",F5170="NEW"),"",COUNTBLANK(OFFSET(A$1,,,SUMPRODUCT(MAX(ROW(E$2:E5170)*(E5170=E$2:E5170)))))-COUNTBLANK(OFFSET(A$1,,,SUMPRODUCT(MAX(ROW(E$1:E5169)*(E2=E$1:E5169))))))</f>
        <v> </v>
      </c>
      <c r="K5170" s="26" t="str">
        <f>IF(OR(E5170="",E5170="!!!",F5170="NEW"),"",INDEX(J$1:J5169,SUMPRODUCT(MAX(ROW(E$1:E5169)*(E5170=E$1:E5169)))))</f>
        <v> </v>
      </c>
      <c r="L5170" s="27"/>
    </row>
    <row r="5171" spans="1:12">
      <c r="A5171" s="20"/>
    </row>
    <row r="5172" spans="1:12">
      <c r="A5172" s="20" t="s">
        <v>2877</v>
      </c>
    </row>
    <row r="5173" spans="1:12">
      <c r="A5173" s="20" t="s">
        <v>16</v>
      </c>
      <c r="E5173" s="22">
        <f>IF(D5173="?OLD","!!!","")</f>
        <v/>
      </c>
      <c r="F5173" s="23" t="str">
        <f>IF(OR(E5173="",E5173="!!!"),"",IF(NOT(ISNA(VLOOKUP(E5173,E$1:E5172,1,FALSE()))),"OLD",IF(AND(E5173&lt;&gt;"",E5173&lt;&gt;"!!!"),"NEW","")))</f>
        <v> </v>
      </c>
      <c r="G5173" s="24" t="str">
        <f>IF(OR(E5173="",E5173="!!!"),"",IF(OR(J5173=0,AND(J5173=1,K5173=1),AND(J5173=1,I5173="SBJ"),AND(J5173=1,I5173=0)),"?IN_FOCUS",IF(J5173&lt;=2,"?ACTIVATED",IF(J5173&lt;&gt;"","?FAMILIAR",IF(F5173="NEW",IF(ISNA(VLOOKUP(E5173,#REF!,1,FALSE())),"?TYPE_IDENTIFIABLE","?REFERENTIAL"),"_")))))</f>
        <v> </v>
      </c>
      <c r="H5173" s="25" t="str">
        <f>IF(J5173&lt;&gt;1,"",IF(I5173="SBJ","CB","?"))</f>
        <v> </v>
      </c>
      <c r="I5173" s="26" t="str">
        <f>IF(OR(E5173="",E5173="!!!",F5173="NEW"),"",INDEX(B5172:B$2,-1+SUMPRODUCT(MAX(ROW(E5172:E$2)*(E5173=E5172:E$2)))))</f>
        <v> </v>
      </c>
      <c r="J5173" s="26" t="str">
        <f>IF(OR(E5173="",E5173="!!!",F5173="NEW"),"",COUNTBLANK(OFFSET(A$1,,,SUMPRODUCT(MAX(ROW(E$2:E5173)*(E5173=E$2:E5173)))))-COUNTBLANK(OFFSET(A$1,,,SUMPRODUCT(MAX(ROW(E$1:E5172)*(E2=E$1:E5172))))))</f>
        <v> </v>
      </c>
      <c r="K5173" s="26" t="str">
        <f>IF(OR(E5173="",E5173="!!!",F5173="NEW"),"",INDEX(J$1:J5172,SUMPRODUCT(MAX(ROW(E$1:E5172)*(E5173=E$1:E5172)))))</f>
        <v> </v>
      </c>
      <c r="L5173" s="27"/>
    </row>
    <row r="5174" spans="1:12">
      <c r="A5174" s="20" t="s">
        <v>16</v>
      </c>
      <c r="E5174" s="22">
        <f>IF(D5174="?OLD","!!!","")</f>
        <v/>
      </c>
      <c r="F5174" s="23" t="str">
        <f>IF(OR(E5174="",E5174="!!!"),"",IF(NOT(ISNA(VLOOKUP(E5174,E$1:E5173,1,FALSE()))),"OLD",IF(AND(E5174&lt;&gt;"",E5174&lt;&gt;"!!!"),"NEW","")))</f>
        <v> </v>
      </c>
      <c r="G5174" s="24" t="str">
        <f>IF(OR(E5174="",E5174="!!!"),"",IF(OR(J5174=0,AND(J5174=1,K5174=1),AND(J5174=1,I5174="SBJ"),AND(J5174=1,I5174=0)),"?IN_FOCUS",IF(J5174&lt;=2,"?ACTIVATED",IF(J5174&lt;&gt;"","?FAMILIAR",IF(F5174="NEW",IF(ISNA(VLOOKUP(E5174,#REF!,1,FALSE())),"?TYPE_IDENTIFIABLE","?REFERENTIAL"),"_")))))</f>
        <v> </v>
      </c>
      <c r="H5174" s="25" t="str">
        <f>IF(J5174&lt;&gt;1,"",IF(I5174="SBJ","CB","?"))</f>
        <v> </v>
      </c>
      <c r="I5174" s="26" t="str">
        <f>IF(OR(E5174="",E5174="!!!",F5174="NEW"),"",INDEX(B5173:B$2,-1+SUMPRODUCT(MAX(ROW(E5173:E$2)*(E5174=E5173:E$2)))))</f>
        <v> </v>
      </c>
      <c r="J5174" s="26" t="str">
        <f>IF(OR(E5174="",E5174="!!!",F5174="NEW"),"",COUNTBLANK(OFFSET(A$1,,,SUMPRODUCT(MAX(ROW(E$2:E5174)*(E5174=E$2:E5174)))))-COUNTBLANK(OFFSET(A$1,,,SUMPRODUCT(MAX(ROW(E$1:E5173)*(E2=E$1:E5173))))))</f>
        <v> </v>
      </c>
      <c r="K5174" s="26" t="str">
        <f>IF(OR(E5174="",E5174="!!!",F5174="NEW"),"",INDEX(J$1:J5173,SUMPRODUCT(MAX(ROW(E$1:E5173)*(E5174=E$1:E5173)))))</f>
        <v> </v>
      </c>
      <c r="L5174" s="27"/>
    </row>
    <row r="5175" spans="1:12">
      <c r="A5175" s="20" t="s">
        <v>1547</v>
      </c>
      <c r="B5175" s="21" t="s">
        <v>1215</v>
      </c>
      <c r="C5175" s="21" t="s">
        <v>1225</v>
      </c>
      <c r="D5175" s="21" t="s">
        <v>1217</v>
      </c>
      <c r="E5175" s="22">
        <f>IF(D5175="?OLD","!!!","")</f>
        <v/>
      </c>
      <c r="F5175" s="23" t="str">
        <f>IF(OR(E5175="",E5175="!!!"),"",IF(NOT(ISNA(VLOOKUP(E5175,E$1:E5174,1,FALSE()))),"OLD",IF(AND(E5175&lt;&gt;"",E5175&lt;&gt;"!!!"),"NEW","")))</f>
        <v> </v>
      </c>
      <c r="G5175" s="24" t="str">
        <f>IF(OR(E5175="",E5175="!!!"),"",IF(OR(J5175=0,AND(J5175=1,K5175=1),AND(J5175=1,I5175="SBJ"),AND(J5175=1,I5175=0)),"?IN_FOCUS",IF(J5175&lt;=2,"?ACTIVATED",IF(J5175&lt;&gt;"","?FAMILIAR",IF(F5175="NEW",IF(ISNA(VLOOKUP(E5175,#REF!,1,FALSE())),"?TYPE_IDENTIFIABLE","?REFERENTIAL"),"_")))))</f>
        <v> </v>
      </c>
      <c r="H5175" s="25" t="str">
        <f>IF(J5175&lt;&gt;1,"",IF(I5175="SBJ","CB","?"))</f>
        <v> </v>
      </c>
      <c r="I5175" s="26" t="str">
        <f>IF(OR(E5175="",E5175="!!!",F5175="NEW"),"",INDEX(B5174:B$2,-1+SUMPRODUCT(MAX(ROW(E5174:E$2)*(E5175=E5174:E$2)))))</f>
        <v> </v>
      </c>
      <c r="J5175" s="26" t="str">
        <f>IF(OR(E5175="",E5175="!!!",F5175="NEW"),"",COUNTBLANK(OFFSET(A$1,,,SUMPRODUCT(MAX(ROW(E$2:E5175)*(E5175=E$2:E5175)))))-COUNTBLANK(OFFSET(A$1,,,SUMPRODUCT(MAX(ROW(E$1:E5174)*(E2=E$1:E5174))))))</f>
        <v> </v>
      </c>
      <c r="K5175" s="26" t="str">
        <f>IF(OR(E5175="",E5175="!!!",F5175="NEW"),"",INDEX(J$1:J5174,SUMPRODUCT(MAX(ROW(E$1:E5174)*(E5175=E$1:E5174)))))</f>
        <v> </v>
      </c>
      <c r="L5175" s="27"/>
    </row>
    <row r="5176" spans="1:12">
      <c r="A5176" s="20" t="s">
        <v>1228</v>
      </c>
      <c r="B5176" s="21" t="s">
        <v>1275</v>
      </c>
      <c r="C5176" s="21" t="s">
        <v>1255</v>
      </c>
      <c r="D5176" s="21" t="s">
        <v>1217</v>
      </c>
      <c r="E5176" s="22">
        <f>IF(D5176="?OLD","!!!","")</f>
        <v/>
      </c>
      <c r="F5176" s="23" t="str">
        <f>IF(OR(E5176="",E5176="!!!"),"",IF(NOT(ISNA(VLOOKUP(E5176,E$1:E5175,1,FALSE()))),"OLD",IF(AND(E5176&lt;&gt;"",E5176&lt;&gt;"!!!"),"NEW","")))</f>
        <v> </v>
      </c>
      <c r="G5176" s="24" t="str">
        <f>IF(OR(E5176="",E5176="!!!"),"",IF(OR(J5176=0,AND(J5176=1,K5176=1),AND(J5176=1,I5176="SBJ"),AND(J5176=1,I5176=0)),"?IN_FOCUS",IF(J5176&lt;=2,"?ACTIVATED",IF(J5176&lt;&gt;"","?FAMILIAR",IF(F5176="NEW",IF(ISNA(VLOOKUP(E5176,#REF!,1,FALSE())),"?TYPE_IDENTIFIABLE","?REFERENTIAL"),"_")))))</f>
        <v> </v>
      </c>
      <c r="H5176" s="25" t="str">
        <f>IF(J5176&lt;&gt;1,"",IF(I5176="SBJ","CB","?"))</f>
        <v> </v>
      </c>
      <c r="I5176" s="26" t="str">
        <f>IF(OR(E5176="",E5176="!!!",F5176="NEW"),"",INDEX(B5175:B$2,-1+SUMPRODUCT(MAX(ROW(E5175:E$2)*(E5176=E5175:E$2)))))</f>
        <v> </v>
      </c>
      <c r="J5176" s="26" t="str">
        <f>IF(OR(E5176="",E5176="!!!",F5176="NEW"),"",COUNTBLANK(OFFSET(A$1,,,SUMPRODUCT(MAX(ROW(E$2:E5176)*(E5176=E$2:E5176)))))-COUNTBLANK(OFFSET(A$1,,,SUMPRODUCT(MAX(ROW(E$1:E5175)*(E2=E$1:E5175))))))</f>
        <v> </v>
      </c>
      <c r="K5176" s="26" t="str">
        <f>IF(OR(E5176="",E5176="!!!",F5176="NEW"),"",INDEX(J$1:J5175,SUMPRODUCT(MAX(ROW(E$1:E5175)*(E5176=E$1:E5175)))))</f>
        <v> </v>
      </c>
      <c r="L5176" s="27"/>
    </row>
    <row r="5177" spans="1:12">
      <c r="A5177" s="20" t="s">
        <v>2433</v>
      </c>
      <c r="E5177" s="22">
        <f>IF(D5177="?OLD","!!!","")</f>
        <v/>
      </c>
      <c r="F5177" s="23" t="str">
        <f>IF(OR(E5177="",E5177="!!!"),"",IF(NOT(ISNA(VLOOKUP(E5177,E$1:E5176,1,FALSE()))),"OLD",IF(AND(E5177&lt;&gt;"",E5177&lt;&gt;"!!!"),"NEW","")))</f>
        <v> </v>
      </c>
      <c r="G5177" s="24" t="str">
        <f>IF(OR(E5177="",E5177="!!!"),"",IF(OR(J5177=0,AND(J5177=1,K5177=1),AND(J5177=1,I5177="SBJ"),AND(J5177=1,I5177=0)),"?IN_FOCUS",IF(J5177&lt;=2,"?ACTIVATED",IF(J5177&lt;&gt;"","?FAMILIAR",IF(F5177="NEW",IF(ISNA(VLOOKUP(E5177,#REF!,1,FALSE())),"?TYPE_IDENTIFIABLE","?REFERENTIAL"),"_")))))</f>
        <v> </v>
      </c>
      <c r="H5177" s="25" t="str">
        <f>IF(J5177&lt;&gt;1,"",IF(I5177="SBJ","CB","?"))</f>
        <v> </v>
      </c>
      <c r="I5177" s="26" t="str">
        <f>IF(OR(E5177="",E5177="!!!",F5177="NEW"),"",INDEX(B5176:B$2,-1+SUMPRODUCT(MAX(ROW(E5176:E$2)*(E5177=E5176:E$2)))))</f>
        <v> </v>
      </c>
      <c r="J5177" s="26" t="str">
        <f>IF(OR(E5177="",E5177="!!!",F5177="NEW"),"",COUNTBLANK(OFFSET(A$1,,,SUMPRODUCT(MAX(ROW(E$2:E5177)*(E5177=E$2:E5177)))))-COUNTBLANK(OFFSET(A$1,,,SUMPRODUCT(MAX(ROW(E$1:E5176)*(E2=E$1:E5176))))))</f>
        <v> </v>
      </c>
      <c r="K5177" s="26" t="str">
        <f>IF(OR(E5177="",E5177="!!!",F5177="NEW"),"",INDEX(J$1:J5176,SUMPRODUCT(MAX(ROW(E$1:E5176)*(E5177=E$1:E5176)))))</f>
        <v> </v>
      </c>
      <c r="L5177" s="27"/>
    </row>
    <row r="5178" spans="1:12">
      <c r="A5178" s="20" t="s">
        <v>2878</v>
      </c>
      <c r="E5178" s="22">
        <f>IF(D5178="?OLD","!!!","")</f>
        <v/>
      </c>
      <c r="F5178" s="23" t="str">
        <f>IF(OR(E5178="",E5178="!!!"),"",IF(NOT(ISNA(VLOOKUP(E5178,E$1:E5177,1,FALSE()))),"OLD",IF(AND(E5178&lt;&gt;"",E5178&lt;&gt;"!!!"),"NEW","")))</f>
        <v> </v>
      </c>
      <c r="G5178" s="24" t="str">
        <f>IF(OR(E5178="",E5178="!!!"),"",IF(OR(J5178=0,AND(J5178=1,K5178=1),AND(J5178=1,I5178="SBJ"),AND(J5178=1,I5178=0)),"?IN_FOCUS",IF(J5178&lt;=2,"?ACTIVATED",IF(J5178&lt;&gt;"","?FAMILIAR",IF(F5178="NEW",IF(ISNA(VLOOKUP(E5178,#REF!,1,FALSE())),"?TYPE_IDENTIFIABLE","?REFERENTIAL"),"_")))))</f>
        <v> </v>
      </c>
      <c r="H5178" s="25" t="str">
        <f>IF(J5178&lt;&gt;1,"",IF(I5178="SBJ","CB","?"))</f>
        <v> </v>
      </c>
      <c r="I5178" s="26" t="str">
        <f>IF(OR(E5178="",E5178="!!!",F5178="NEW"),"",INDEX(B5177:B$2,-1+SUMPRODUCT(MAX(ROW(E5177:E$2)*(E5178=E5177:E$2)))))</f>
        <v> </v>
      </c>
      <c r="J5178" s="26" t="str">
        <f>IF(OR(E5178="",E5178="!!!",F5178="NEW"),"",COUNTBLANK(OFFSET(A$1,,,SUMPRODUCT(MAX(ROW(E$2:E5178)*(E5178=E$2:E5178)))))-COUNTBLANK(OFFSET(A$1,,,SUMPRODUCT(MAX(ROW(E$1:E5177)*(E2=E$1:E5177))))))</f>
        <v> </v>
      </c>
      <c r="K5178" s="26" t="str">
        <f>IF(OR(E5178="",E5178="!!!",F5178="NEW"),"",INDEX(J$1:J5177,SUMPRODUCT(MAX(ROW(E$1:E5177)*(E5178=E$1:E5177)))))</f>
        <v> </v>
      </c>
      <c r="L5178" s="27"/>
    </row>
    <row r="5179" spans="1:12">
      <c r="A5179" s="20" t="s">
        <v>1756</v>
      </c>
      <c r="E5179" s="22">
        <f>IF(D5179="?OLD","!!!","")</f>
        <v/>
      </c>
      <c r="F5179" s="23" t="str">
        <f>IF(OR(E5179="",E5179="!!!"),"",IF(NOT(ISNA(VLOOKUP(E5179,E$1:E5178,1,FALSE()))),"OLD",IF(AND(E5179&lt;&gt;"",E5179&lt;&gt;"!!!"),"NEW","")))</f>
        <v> </v>
      </c>
      <c r="G5179" s="24" t="str">
        <f>IF(OR(E5179="",E5179="!!!"),"",IF(OR(J5179=0,AND(J5179=1,K5179=1),AND(J5179=1,I5179="SBJ"),AND(J5179=1,I5179=0)),"?IN_FOCUS",IF(J5179&lt;=2,"?ACTIVATED",IF(J5179&lt;&gt;"","?FAMILIAR",IF(F5179="NEW",IF(ISNA(VLOOKUP(E5179,#REF!,1,FALSE())),"?TYPE_IDENTIFIABLE","?REFERENTIAL"),"_")))))</f>
        <v> </v>
      </c>
      <c r="H5179" s="25" t="str">
        <f>IF(J5179&lt;&gt;1,"",IF(I5179="SBJ","CB","?"))</f>
        <v> </v>
      </c>
      <c r="I5179" s="26" t="str">
        <f>IF(OR(E5179="",E5179="!!!",F5179="NEW"),"",INDEX(B5178:B$2,-1+SUMPRODUCT(MAX(ROW(E5178:E$2)*(E5179=E5178:E$2)))))</f>
        <v> </v>
      </c>
      <c r="J5179" s="26" t="str">
        <f>IF(OR(E5179="",E5179="!!!",F5179="NEW"),"",COUNTBLANK(OFFSET(A$1,,,SUMPRODUCT(MAX(ROW(E$2:E5179)*(E5179=E$2:E5179)))))-COUNTBLANK(OFFSET(A$1,,,SUMPRODUCT(MAX(ROW(E$1:E5178)*(E2=E$1:E5178))))))</f>
        <v> </v>
      </c>
      <c r="K5179" s="26" t="str">
        <f>IF(OR(E5179="",E5179="!!!",F5179="NEW"),"",INDEX(J$1:J5178,SUMPRODUCT(MAX(ROW(E$1:E5178)*(E5179=E$1:E5178)))))</f>
        <v> </v>
      </c>
      <c r="L5179" s="27"/>
    </row>
    <row r="5180" spans="1:12">
      <c r="A5180" s="20" t="s">
        <v>1257</v>
      </c>
      <c r="E5180" s="22">
        <f>IF(D5180="?OLD","!!!","")</f>
        <v/>
      </c>
      <c r="F5180" s="23" t="str">
        <f>IF(OR(E5180="",E5180="!!!"),"",IF(NOT(ISNA(VLOOKUP(E5180,E$1:E5179,1,FALSE()))),"OLD",IF(AND(E5180&lt;&gt;"",E5180&lt;&gt;"!!!"),"NEW","")))</f>
        <v> </v>
      </c>
      <c r="G5180" s="24" t="str">
        <f>IF(OR(E5180="",E5180="!!!"),"",IF(OR(J5180=0,AND(J5180=1,K5180=1),AND(J5180=1,I5180="SBJ"),AND(J5180=1,I5180=0)),"?IN_FOCUS",IF(J5180&lt;=2,"?ACTIVATED",IF(J5180&lt;&gt;"","?FAMILIAR",IF(F5180="NEW",IF(ISNA(VLOOKUP(E5180,#REF!,1,FALSE())),"?TYPE_IDENTIFIABLE","?REFERENTIAL"),"_")))))</f>
        <v> </v>
      </c>
      <c r="H5180" s="25" t="str">
        <f>IF(J5180&lt;&gt;1,"",IF(I5180="SBJ","CB","?"))</f>
        <v> </v>
      </c>
      <c r="I5180" s="26" t="str">
        <f>IF(OR(E5180="",E5180="!!!",F5180="NEW"),"",INDEX(B5179:B$2,-1+SUMPRODUCT(MAX(ROW(E5179:E$2)*(E5180=E5179:E$2)))))</f>
        <v> </v>
      </c>
      <c r="J5180" s="26" t="str">
        <f>IF(OR(E5180="",E5180="!!!",F5180="NEW"),"",COUNTBLANK(OFFSET(A$1,,,SUMPRODUCT(MAX(ROW(E$2:E5180)*(E5180=E$2:E5180)))))-COUNTBLANK(OFFSET(A$1,,,SUMPRODUCT(MAX(ROW(E$1:E5179)*(E2=E$1:E5179))))))</f>
        <v> </v>
      </c>
      <c r="K5180" s="26" t="str">
        <f>IF(OR(E5180="",E5180="!!!",F5180="NEW"),"",INDEX(J$1:J5179,SUMPRODUCT(MAX(ROW(E$1:E5179)*(E5180=E$1:E5179)))))</f>
        <v> </v>
      </c>
      <c r="L5180" s="27"/>
    </row>
    <row r="5181" spans="1:12">
      <c r="A5181" s="20" t="s">
        <v>1241</v>
      </c>
      <c r="B5181" s="21" t="s">
        <v>1221</v>
      </c>
      <c r="C5181" s="21" t="s">
        <v>1242</v>
      </c>
      <c r="D5181" s="21" t="s">
        <v>1217</v>
      </c>
      <c r="E5181" s="22">
        <f>IF(D5181="?OLD","!!!","")</f>
        <v/>
      </c>
      <c r="F5181" s="23" t="str">
        <f>IF(OR(E5181="",E5181="!!!"),"",IF(NOT(ISNA(VLOOKUP(E5181,E$1:E5180,1,FALSE()))),"OLD",IF(AND(E5181&lt;&gt;"",E5181&lt;&gt;"!!!"),"NEW","")))</f>
        <v> </v>
      </c>
      <c r="G5181" s="24" t="str">
        <f>IF(OR(E5181="",E5181="!!!"),"",IF(OR(J5181=0,AND(J5181=1,K5181=1),AND(J5181=1,I5181="SBJ"),AND(J5181=1,I5181=0)),"?IN_FOCUS",IF(J5181&lt;=2,"?ACTIVATED",IF(J5181&lt;&gt;"","?FAMILIAR",IF(F5181="NEW",IF(ISNA(VLOOKUP(E5181,#REF!,1,FALSE())),"?TYPE_IDENTIFIABLE","?REFERENTIAL"),"_")))))</f>
        <v> </v>
      </c>
      <c r="H5181" s="25" t="str">
        <f>IF(J5181&lt;&gt;1,"",IF(I5181="SBJ","CB","?"))</f>
        <v> </v>
      </c>
      <c r="I5181" s="26" t="str">
        <f>IF(OR(E5181="",E5181="!!!",F5181="NEW"),"",INDEX(B5180:B$2,-1+SUMPRODUCT(MAX(ROW(E5180:E$2)*(E5181=E5180:E$2)))))</f>
        <v> </v>
      </c>
      <c r="J5181" s="26" t="str">
        <f>IF(OR(E5181="",E5181="!!!",F5181="NEW"),"",COUNTBLANK(OFFSET(A$1,,,SUMPRODUCT(MAX(ROW(E$2:E5181)*(E5181=E$2:E5181)))))-COUNTBLANK(OFFSET(A$1,,,SUMPRODUCT(MAX(ROW(E$1:E5180)*(E2=E$1:E5180))))))</f>
        <v> </v>
      </c>
      <c r="K5181" s="26" t="str">
        <f>IF(OR(E5181="",E5181="!!!",F5181="NEW"),"",INDEX(J$1:J5180,SUMPRODUCT(MAX(ROW(E$1:E5180)*(E5181=E$1:E5180)))))</f>
        <v> </v>
      </c>
      <c r="L5181" s="27"/>
    </row>
    <row r="5182" spans="1:12">
      <c r="A5182" s="20" t="s">
        <v>2879</v>
      </c>
      <c r="B5182" s="21" t="s">
        <v>1244</v>
      </c>
      <c r="C5182" s="21" t="s">
        <v>1222</v>
      </c>
      <c r="D5182" s="21" t="s">
        <v>1217</v>
      </c>
      <c r="E5182" s="22">
        <f>IF(D5182="?OLD","!!!","")</f>
        <v/>
      </c>
      <c r="F5182" s="23" t="str">
        <f>IF(OR(E5182="",E5182="!!!"),"",IF(NOT(ISNA(VLOOKUP(E5182,E$1:E5181,1,FALSE()))),"OLD",IF(AND(E5182&lt;&gt;"",E5182&lt;&gt;"!!!"),"NEW","")))</f>
        <v> </v>
      </c>
      <c r="G5182" s="24" t="str">
        <f>IF(OR(E5182="",E5182="!!!"),"",IF(OR(J5182=0,AND(J5182=1,K5182=1),AND(J5182=1,I5182="SBJ"),AND(J5182=1,I5182=0)),"?IN_FOCUS",IF(J5182&lt;=2,"?ACTIVATED",IF(J5182&lt;&gt;"","?FAMILIAR",IF(F5182="NEW",IF(ISNA(VLOOKUP(E5182,#REF!,1,FALSE())),"?TYPE_IDENTIFIABLE","?REFERENTIAL"),"_")))))</f>
        <v> </v>
      </c>
      <c r="H5182" s="25" t="str">
        <f>IF(J5182&lt;&gt;1,"",IF(I5182="SBJ","CB","?"))</f>
        <v> </v>
      </c>
      <c r="I5182" s="26" t="str">
        <f>IF(OR(E5182="",E5182="!!!",F5182="NEW"),"",INDEX(B5181:B$2,-1+SUMPRODUCT(MAX(ROW(E5181:E$2)*(E5182=E5181:E$2)))))</f>
        <v> </v>
      </c>
      <c r="J5182" s="26" t="str">
        <f>IF(OR(E5182="",E5182="!!!",F5182="NEW"),"",COUNTBLANK(OFFSET(A$1,,,SUMPRODUCT(MAX(ROW(E$2:E5182)*(E5182=E$2:E5182)))))-COUNTBLANK(OFFSET(A$1,,,SUMPRODUCT(MAX(ROW(E$1:E5181)*(E2=E$1:E5181))))))</f>
        <v> </v>
      </c>
      <c r="K5182" s="26" t="str">
        <f>IF(OR(E5182="",E5182="!!!",F5182="NEW"),"",INDEX(J$1:J5181,SUMPRODUCT(MAX(ROW(E$1:E5181)*(E5182=E$1:E5181)))))</f>
        <v> </v>
      </c>
      <c r="L5182" s="27"/>
    </row>
    <row r="5183" spans="1:12">
      <c r="A5183" s="20" t="s">
        <v>1277</v>
      </c>
      <c r="E5183" s="22">
        <f>IF(D5183="?OLD","!!!","")</f>
        <v/>
      </c>
      <c r="F5183" s="23" t="str">
        <f>IF(OR(E5183="",E5183="!!!"),"",IF(NOT(ISNA(VLOOKUP(E5183,E$1:E5182,1,FALSE()))),"OLD",IF(AND(E5183&lt;&gt;"",E5183&lt;&gt;"!!!"),"NEW","")))</f>
        <v> </v>
      </c>
      <c r="G5183" s="24" t="str">
        <f>IF(OR(E5183="",E5183="!!!"),"",IF(OR(J5183=0,AND(J5183=1,K5183=1),AND(J5183=1,I5183="SBJ"),AND(J5183=1,I5183=0)),"?IN_FOCUS",IF(J5183&lt;=2,"?ACTIVATED",IF(J5183&lt;&gt;"","?FAMILIAR",IF(F5183="NEW",IF(ISNA(VLOOKUP(E5183,#REF!,1,FALSE())),"?TYPE_IDENTIFIABLE","?REFERENTIAL"),"_")))))</f>
        <v> </v>
      </c>
      <c r="H5183" s="25" t="str">
        <f>IF(J5183&lt;&gt;1,"",IF(I5183="SBJ","CB","?"))</f>
        <v> </v>
      </c>
      <c r="I5183" s="26" t="str">
        <f>IF(OR(E5183="",E5183="!!!",F5183="NEW"),"",INDEX(B5182:B$2,-1+SUMPRODUCT(MAX(ROW(E5182:E$2)*(E5183=E5182:E$2)))))</f>
        <v> </v>
      </c>
      <c r="J5183" s="26" t="str">
        <f>IF(OR(E5183="",E5183="!!!",F5183="NEW"),"",COUNTBLANK(OFFSET(A$1,,,SUMPRODUCT(MAX(ROW(E$2:E5183)*(E5183=E$2:E5183)))))-COUNTBLANK(OFFSET(A$1,,,SUMPRODUCT(MAX(ROW(E$1:E5182)*(E2=E$1:E5182))))))</f>
        <v> </v>
      </c>
      <c r="K5183" s="26" t="str">
        <f>IF(OR(E5183="",E5183="!!!",F5183="NEW"),"",INDEX(J$1:J5182,SUMPRODUCT(MAX(ROW(E$1:E5182)*(E5183=E$1:E5182)))))</f>
        <v> </v>
      </c>
      <c r="L5183" s="27"/>
    </row>
    <row r="5184" spans="1:12">
      <c r="A5184" s="20" t="s">
        <v>2880</v>
      </c>
      <c r="B5184" s="21" t="s">
        <v>1221</v>
      </c>
      <c r="C5184" s="21" t="s">
        <v>1279</v>
      </c>
      <c r="E5184" s="22">
        <f>IF(D5184="?OLD","!!!","")</f>
        <v/>
      </c>
      <c r="F5184" s="23" t="str">
        <f>IF(OR(E5184="",E5184="!!!"),"",IF(NOT(ISNA(VLOOKUP(E5184,E$1:E5183,1,FALSE()))),"OLD",IF(AND(E5184&lt;&gt;"",E5184&lt;&gt;"!!!"),"NEW","")))</f>
        <v> </v>
      </c>
      <c r="G5184" s="24" t="str">
        <f>IF(OR(E5184="",E5184="!!!"),"",IF(OR(J5184=0,AND(J5184=1,K5184=1),AND(J5184=1,I5184="SBJ"),AND(J5184=1,I5184=0)),"?IN_FOCUS",IF(J5184&lt;=2,"?ACTIVATED",IF(J5184&lt;&gt;"","?FAMILIAR",IF(F5184="NEW",IF(ISNA(VLOOKUP(E5184,#REF!,1,FALSE())),"?TYPE_IDENTIFIABLE","?REFERENTIAL"),"_")))))</f>
        <v> </v>
      </c>
      <c r="H5184" s="25" t="str">
        <f>IF(J5184&lt;&gt;1,"",IF(I5184="SBJ","CB","?"))</f>
        <v> </v>
      </c>
      <c r="I5184" s="26" t="str">
        <f>IF(OR(E5184="",E5184="!!!",F5184="NEW"),"",INDEX(B5183:B$2,-1+SUMPRODUCT(MAX(ROW(E5183:E$2)*(E5184=E5183:E$2)))))</f>
        <v> </v>
      </c>
      <c r="J5184" s="26" t="str">
        <f>IF(OR(E5184="",E5184="!!!",F5184="NEW"),"",COUNTBLANK(OFFSET(A$1,,,SUMPRODUCT(MAX(ROW(E$2:E5184)*(E5184=E$2:E5184)))))-COUNTBLANK(OFFSET(A$1,,,SUMPRODUCT(MAX(ROW(E$1:E5183)*(E2=E$1:E5183))))))</f>
        <v> </v>
      </c>
      <c r="K5184" s="26" t="str">
        <f>IF(OR(E5184="",E5184="!!!",F5184="NEW"),"",INDEX(J$1:J5183,SUMPRODUCT(MAX(ROW(E$1:E5183)*(E5184=E$1:E5183)))))</f>
        <v> </v>
      </c>
      <c r="L5184" s="27"/>
    </row>
    <row r="5185" spans="1:12">
      <c r="A5185" s="20" t="s">
        <v>1262</v>
      </c>
      <c r="E5185" s="22">
        <f>IF(D5185="?OLD","!!!","")</f>
        <v/>
      </c>
      <c r="F5185" s="23" t="str">
        <f>IF(OR(E5185="",E5185="!!!"),"",IF(NOT(ISNA(VLOOKUP(E5185,E$1:E5184,1,FALSE()))),"OLD",IF(AND(E5185&lt;&gt;"",E5185&lt;&gt;"!!!"),"NEW","")))</f>
        <v> </v>
      </c>
      <c r="G5185" s="24" t="str">
        <f>IF(OR(E5185="",E5185="!!!"),"",IF(OR(J5185=0,AND(J5185=1,K5185=1),AND(J5185=1,I5185="SBJ"),AND(J5185=1,I5185=0)),"?IN_FOCUS",IF(J5185&lt;=2,"?ACTIVATED",IF(J5185&lt;&gt;"","?FAMILIAR",IF(F5185="NEW",IF(ISNA(VLOOKUP(E5185,#REF!,1,FALSE())),"?TYPE_IDENTIFIABLE","?REFERENTIAL"),"_")))))</f>
        <v> </v>
      </c>
      <c r="H5185" s="25" t="str">
        <f>IF(J5185&lt;&gt;1,"",IF(I5185="SBJ","CB","?"))</f>
        <v> </v>
      </c>
      <c r="I5185" s="26" t="str">
        <f>IF(OR(E5185="",E5185="!!!",F5185="NEW"),"",INDEX(B5184:B$2,-1+SUMPRODUCT(MAX(ROW(E5184:E$2)*(E5185=E5184:E$2)))))</f>
        <v> </v>
      </c>
      <c r="J5185" s="26" t="str">
        <f>IF(OR(E5185="",E5185="!!!",F5185="NEW"),"",COUNTBLANK(OFFSET(A$1,,,SUMPRODUCT(MAX(ROW(E$2:E5185)*(E5185=E$2:E5185)))))-COUNTBLANK(OFFSET(A$1,,,SUMPRODUCT(MAX(ROW(E$1:E5184)*(E2=E$1:E5184))))))</f>
        <v> </v>
      </c>
      <c r="K5185" s="26" t="str">
        <f>IF(OR(E5185="",E5185="!!!",F5185="NEW"),"",INDEX(J$1:J5184,SUMPRODUCT(MAX(ROW(E$1:E5184)*(E5185=E$1:E5184)))))</f>
        <v> </v>
      </c>
      <c r="L5185" s="27"/>
    </row>
    <row r="5186" spans="1:12">
      <c r="A5186" s="20"/>
    </row>
    <row r="5187" spans="1:12">
      <c r="A5187" s="20" t="s">
        <v>2881</v>
      </c>
    </row>
    <row r="5188" spans="1:12">
      <c r="A5188" s="20" t="s">
        <v>16</v>
      </c>
      <c r="E5188" s="22">
        <f>IF(D5188="?OLD","!!!","")</f>
        <v/>
      </c>
      <c r="F5188" s="23" t="str">
        <f>IF(OR(E5188="",E5188="!!!"),"",IF(NOT(ISNA(VLOOKUP(E5188,E$1:E5187,1,FALSE()))),"OLD",IF(AND(E5188&lt;&gt;"",E5188&lt;&gt;"!!!"),"NEW","")))</f>
        <v> </v>
      </c>
      <c r="G5188" s="24" t="str">
        <f>IF(OR(E5188="",E5188="!!!"),"",IF(OR(J5188=0,AND(J5188=1,K5188=1),AND(J5188=1,I5188="SBJ"),AND(J5188=1,I5188=0)),"?IN_FOCUS",IF(J5188&lt;=2,"?ACTIVATED",IF(J5188&lt;&gt;"","?FAMILIAR",IF(F5188="NEW",IF(ISNA(VLOOKUP(E5188,#REF!,1,FALSE())),"?TYPE_IDENTIFIABLE","?REFERENTIAL"),"_")))))</f>
        <v> </v>
      </c>
      <c r="H5188" s="25" t="str">
        <f>IF(J5188&lt;&gt;1,"",IF(I5188="SBJ","CB","?"))</f>
        <v> </v>
      </c>
      <c r="I5188" s="26" t="str">
        <f>IF(OR(E5188="",E5188="!!!",F5188="NEW"),"",INDEX(B5187:B$2,-1+SUMPRODUCT(MAX(ROW(E5187:E$2)*(E5188=E5187:E$2)))))</f>
        <v> </v>
      </c>
      <c r="J5188" s="26" t="str">
        <f>IF(OR(E5188="",E5188="!!!",F5188="NEW"),"",COUNTBLANK(OFFSET(A$1,,,SUMPRODUCT(MAX(ROW(E$2:E5188)*(E5188=E$2:E5188)))))-COUNTBLANK(OFFSET(A$1,,,SUMPRODUCT(MAX(ROW(E$1:E5187)*(E2=E$1:E5187))))))</f>
        <v> </v>
      </c>
      <c r="K5188" s="26" t="str">
        <f>IF(OR(E5188="",E5188="!!!",F5188="NEW"),"",INDEX(J$1:J5187,SUMPRODUCT(MAX(ROW(E$1:E5187)*(E5188=E$1:E5187)))))</f>
        <v> </v>
      </c>
      <c r="L5188" s="27"/>
    </row>
    <row r="5189" spans="1:12">
      <c r="A5189" s="20" t="s">
        <v>16</v>
      </c>
      <c r="E5189" s="22">
        <f>IF(D5189="?OLD","!!!","")</f>
        <v/>
      </c>
      <c r="F5189" s="23" t="str">
        <f>IF(OR(E5189="",E5189="!!!"),"",IF(NOT(ISNA(VLOOKUP(E5189,E$1:E5188,1,FALSE()))),"OLD",IF(AND(E5189&lt;&gt;"",E5189&lt;&gt;"!!!"),"NEW","")))</f>
        <v> </v>
      </c>
      <c r="G5189" s="24" t="str">
        <f>IF(OR(E5189="",E5189="!!!"),"",IF(OR(J5189=0,AND(J5189=1,K5189=1),AND(J5189=1,I5189="SBJ"),AND(J5189=1,I5189=0)),"?IN_FOCUS",IF(J5189&lt;=2,"?ACTIVATED",IF(J5189&lt;&gt;"","?FAMILIAR",IF(F5189="NEW",IF(ISNA(VLOOKUP(E5189,#REF!,1,FALSE())),"?TYPE_IDENTIFIABLE","?REFERENTIAL"),"_")))))</f>
        <v> </v>
      </c>
      <c r="H5189" s="25" t="str">
        <f>IF(J5189&lt;&gt;1,"",IF(I5189="SBJ","CB","?"))</f>
        <v> </v>
      </c>
      <c r="I5189" s="26" t="str">
        <f>IF(OR(E5189="",E5189="!!!",F5189="NEW"),"",INDEX(B5188:B$2,-1+SUMPRODUCT(MAX(ROW(E5188:E$2)*(E5189=E5188:E$2)))))</f>
        <v> </v>
      </c>
      <c r="J5189" s="26" t="str">
        <f>IF(OR(E5189="",E5189="!!!",F5189="NEW"),"",COUNTBLANK(OFFSET(A$1,,,SUMPRODUCT(MAX(ROW(E$2:E5189)*(E5189=E$2:E5189)))))-COUNTBLANK(OFFSET(A$1,,,SUMPRODUCT(MAX(ROW(E$1:E5188)*(E2=E$1:E5188))))))</f>
        <v> </v>
      </c>
      <c r="K5189" s="26" t="str">
        <f>IF(OR(E5189="",E5189="!!!",F5189="NEW"),"",INDEX(J$1:J5188,SUMPRODUCT(MAX(ROW(E$1:E5188)*(E5189=E$1:E5188)))))</f>
        <v> </v>
      </c>
      <c r="L5189" s="27"/>
    </row>
    <row r="5190" spans="1:12">
      <c r="A5190" s="20" t="s">
        <v>2882</v>
      </c>
      <c r="E5190" s="22">
        <f>IF(D5190="?OLD","!!!","")</f>
        <v/>
      </c>
      <c r="F5190" s="23" t="str">
        <f>IF(OR(E5190="",E5190="!!!"),"",IF(NOT(ISNA(VLOOKUP(E5190,E$1:E5189,1,FALSE()))),"OLD",IF(AND(E5190&lt;&gt;"",E5190&lt;&gt;"!!!"),"NEW","")))</f>
        <v> </v>
      </c>
      <c r="G5190" s="24" t="str">
        <f>IF(OR(E5190="",E5190="!!!"),"",IF(OR(J5190=0,AND(J5190=1,K5190=1),AND(J5190=1,I5190="SBJ"),AND(J5190=1,I5190=0)),"?IN_FOCUS",IF(J5190&lt;=2,"?ACTIVATED",IF(J5190&lt;&gt;"","?FAMILIAR",IF(F5190="NEW",IF(ISNA(VLOOKUP(E5190,#REF!,1,FALSE())),"?TYPE_IDENTIFIABLE","?REFERENTIAL"),"_")))))</f>
        <v> </v>
      </c>
      <c r="H5190" s="25" t="str">
        <f>IF(J5190&lt;&gt;1,"",IF(I5190="SBJ","CB","?"))</f>
        <v> </v>
      </c>
      <c r="I5190" s="26" t="str">
        <f>IF(OR(E5190="",E5190="!!!",F5190="NEW"),"",INDEX(B5189:B$2,-1+SUMPRODUCT(MAX(ROW(E5189:E$2)*(E5190=E5189:E$2)))))</f>
        <v> </v>
      </c>
      <c r="J5190" s="26" t="str">
        <f>IF(OR(E5190="",E5190="!!!",F5190="NEW"),"",COUNTBLANK(OFFSET(A$1,,,SUMPRODUCT(MAX(ROW(E$2:E5190)*(E5190=E$2:E5190)))))-COUNTBLANK(OFFSET(A$1,,,SUMPRODUCT(MAX(ROW(E$1:E5189)*(E2=E$1:E5189))))))</f>
        <v> </v>
      </c>
      <c r="K5190" s="26" t="str">
        <f>IF(OR(E5190="",E5190="!!!",F5190="NEW"),"",INDEX(J$1:J5189,SUMPRODUCT(MAX(ROW(E$1:E5189)*(E5190=E$1:E5189)))))</f>
        <v> </v>
      </c>
      <c r="L5190" s="27"/>
    </row>
    <row r="5191" spans="1:12">
      <c r="A5191" s="20" t="s">
        <v>1262</v>
      </c>
      <c r="E5191" s="22">
        <f>IF(D5191="?OLD","!!!","")</f>
        <v/>
      </c>
      <c r="F5191" s="23" t="str">
        <f>IF(OR(E5191="",E5191="!!!"),"",IF(NOT(ISNA(VLOOKUP(E5191,E$1:E5190,1,FALSE()))),"OLD",IF(AND(E5191&lt;&gt;"",E5191&lt;&gt;"!!!"),"NEW","")))</f>
        <v> </v>
      </c>
      <c r="G5191" s="24" t="str">
        <f>IF(OR(E5191="",E5191="!!!"),"",IF(OR(J5191=0,AND(J5191=1,K5191=1),AND(J5191=1,I5191="SBJ"),AND(J5191=1,I5191=0)),"?IN_FOCUS",IF(J5191&lt;=2,"?ACTIVATED",IF(J5191&lt;&gt;"","?FAMILIAR",IF(F5191="NEW",IF(ISNA(VLOOKUP(E5191,#REF!,1,FALSE())),"?TYPE_IDENTIFIABLE","?REFERENTIAL"),"_")))))</f>
        <v> </v>
      </c>
      <c r="H5191" s="25" t="str">
        <f>IF(J5191&lt;&gt;1,"",IF(I5191="SBJ","CB","?"))</f>
        <v> </v>
      </c>
      <c r="I5191" s="26" t="str">
        <f>IF(OR(E5191="",E5191="!!!",F5191="NEW"),"",INDEX(B5190:B$2,-1+SUMPRODUCT(MAX(ROW(E5190:E$2)*(E5191=E5190:E$2)))))</f>
        <v> </v>
      </c>
      <c r="J5191" s="26" t="str">
        <f>IF(OR(E5191="",E5191="!!!",F5191="NEW"),"",COUNTBLANK(OFFSET(A$1,,,SUMPRODUCT(MAX(ROW(E$2:E5191)*(E5191=E$2:E5191)))))-COUNTBLANK(OFFSET(A$1,,,SUMPRODUCT(MAX(ROW(E$1:E5190)*(E2=E$1:E5190))))))</f>
        <v> </v>
      </c>
      <c r="K5191" s="26" t="str">
        <f>IF(OR(E5191="",E5191="!!!",F5191="NEW"),"",INDEX(J$1:J5190,SUMPRODUCT(MAX(ROW(E$1:E5190)*(E5191=E$1:E5190)))))</f>
        <v> </v>
      </c>
      <c r="L5191" s="27"/>
    </row>
    <row r="5192" spans="1:12">
      <c r="A5192" s="20"/>
    </row>
    <row r="5193" spans="1:12">
      <c r="A5193" s="20" t="s">
        <v>2883</v>
      </c>
    </row>
    <row r="5194" spans="1:12">
      <c r="A5194" s="20" t="s">
        <v>1264</v>
      </c>
      <c r="B5194" s="21" t="s">
        <v>1215</v>
      </c>
      <c r="C5194" s="21" t="s">
        <v>1255</v>
      </c>
      <c r="D5194" s="21" t="s">
        <v>1217</v>
      </c>
      <c r="E5194" s="22">
        <f>IF(D5194="?OLD","!!!","")</f>
        <v/>
      </c>
      <c r="F5194" s="23" t="str">
        <f>IF(OR(E5194="",E5194="!!!"),"",IF(NOT(ISNA(VLOOKUP(E5194,E$1:E5193,1,FALSE()))),"OLD",IF(AND(E5194&lt;&gt;"",E5194&lt;&gt;"!!!"),"NEW","")))</f>
        <v> </v>
      </c>
      <c r="G5194" s="24" t="str">
        <f>IF(OR(E5194="",E5194="!!!"),"",IF(OR(J5194=0,AND(J5194=1,K5194=1),AND(J5194=1,I5194="SBJ"),AND(J5194=1,I5194=0)),"?IN_FOCUS",IF(J5194&lt;=2,"?ACTIVATED",IF(J5194&lt;&gt;"","?FAMILIAR",IF(F5194="NEW",IF(ISNA(VLOOKUP(E5194,#REF!,1,FALSE())),"?TYPE_IDENTIFIABLE","?REFERENTIAL"),"_")))))</f>
        <v> </v>
      </c>
      <c r="H5194" s="25" t="str">
        <f>IF(J5194&lt;&gt;1,"",IF(I5194="SBJ","CB","?"))</f>
        <v> </v>
      </c>
      <c r="I5194" s="26" t="str">
        <f>IF(OR(E5194="",E5194="!!!",F5194="NEW"),"",INDEX(B5193:B$2,-1+SUMPRODUCT(MAX(ROW(E5193:E$2)*(E5194=E5193:E$2)))))</f>
        <v> </v>
      </c>
      <c r="J5194" s="26" t="str">
        <f>IF(OR(E5194="",E5194="!!!",F5194="NEW"),"",COUNTBLANK(OFFSET(A$1,,,SUMPRODUCT(MAX(ROW(E$2:E5194)*(E5194=E$2:E5194)))))-COUNTBLANK(OFFSET(A$1,,,SUMPRODUCT(MAX(ROW(E$1:E5193)*(E2=E$1:E5193))))))</f>
        <v> </v>
      </c>
      <c r="K5194" s="26" t="str">
        <f>IF(OR(E5194="",E5194="!!!",F5194="NEW"),"",INDEX(J$1:J5193,SUMPRODUCT(MAX(ROW(E$1:E5193)*(E5194=E$1:E5193)))))</f>
        <v> </v>
      </c>
      <c r="L5194" s="27"/>
    </row>
    <row r="5195" spans="1:12">
      <c r="A5195" s="20" t="s">
        <v>1228</v>
      </c>
      <c r="B5195" s="21" t="s">
        <v>1275</v>
      </c>
      <c r="C5195" s="21" t="s">
        <v>1255</v>
      </c>
      <c r="D5195" s="21" t="s">
        <v>1217</v>
      </c>
      <c r="E5195" s="22">
        <f>IF(D5195="?OLD","!!!","")</f>
        <v/>
      </c>
      <c r="F5195" s="23" t="str">
        <f>IF(OR(E5195="",E5195="!!!"),"",IF(NOT(ISNA(VLOOKUP(E5195,E$1:E5194,1,FALSE()))),"OLD",IF(AND(E5195&lt;&gt;"",E5195&lt;&gt;"!!!"),"NEW","")))</f>
        <v> </v>
      </c>
      <c r="G5195" s="24" t="str">
        <f>IF(OR(E5195="",E5195="!!!"),"",IF(OR(J5195=0,AND(J5195=1,K5195=1),AND(J5195=1,I5195="SBJ"),AND(J5195=1,I5195=0)),"?IN_FOCUS",IF(J5195&lt;=2,"?ACTIVATED",IF(J5195&lt;&gt;"","?FAMILIAR",IF(F5195="NEW",IF(ISNA(VLOOKUP(E5195,#REF!,1,FALSE())),"?TYPE_IDENTIFIABLE","?REFERENTIAL"),"_")))))</f>
        <v> </v>
      </c>
      <c r="H5195" s="25" t="str">
        <f>IF(J5195&lt;&gt;1,"",IF(I5195="SBJ","CB","?"))</f>
        <v> </v>
      </c>
      <c r="I5195" s="26" t="str">
        <f>IF(OR(E5195="",E5195="!!!",F5195="NEW"),"",INDEX(B5194:B$2,-1+SUMPRODUCT(MAX(ROW(E5194:E$2)*(E5195=E5194:E$2)))))</f>
        <v> </v>
      </c>
      <c r="J5195" s="26" t="str">
        <f>IF(OR(E5195="",E5195="!!!",F5195="NEW"),"",COUNTBLANK(OFFSET(A$1,,,SUMPRODUCT(MAX(ROW(E$2:E5195)*(E5195=E$2:E5195)))))-COUNTBLANK(OFFSET(A$1,,,SUMPRODUCT(MAX(ROW(E$1:E5194)*(E2=E$1:E5194))))))</f>
        <v> </v>
      </c>
      <c r="K5195" s="26" t="str">
        <f>IF(OR(E5195="",E5195="!!!",F5195="NEW"),"",INDEX(J$1:J5194,SUMPRODUCT(MAX(ROW(E$1:E5194)*(E5195=E$1:E5194)))))</f>
        <v> </v>
      </c>
      <c r="L5195" s="27"/>
    </row>
    <row r="5196" spans="1:12">
      <c r="A5196" s="20" t="s">
        <v>1348</v>
      </c>
      <c r="E5196" s="22">
        <f>IF(D5196="?OLD","!!!","")</f>
        <v/>
      </c>
      <c r="F5196" s="23" t="str">
        <f>IF(OR(E5196="",E5196="!!!"),"",IF(NOT(ISNA(VLOOKUP(E5196,E$1:E5195,1,FALSE()))),"OLD",IF(AND(E5196&lt;&gt;"",E5196&lt;&gt;"!!!"),"NEW","")))</f>
        <v> </v>
      </c>
      <c r="G5196" s="24" t="str">
        <f>IF(OR(E5196="",E5196="!!!"),"",IF(OR(J5196=0,AND(J5196=1,K5196=1),AND(J5196=1,I5196="SBJ"),AND(J5196=1,I5196=0)),"?IN_FOCUS",IF(J5196&lt;=2,"?ACTIVATED",IF(J5196&lt;&gt;"","?FAMILIAR",IF(F5196="NEW",IF(ISNA(VLOOKUP(E5196,#REF!,1,FALSE())),"?TYPE_IDENTIFIABLE","?REFERENTIAL"),"_")))))</f>
        <v> </v>
      </c>
      <c r="H5196" s="25" t="str">
        <f>IF(J5196&lt;&gt;1,"",IF(I5196="SBJ","CB","?"))</f>
        <v> </v>
      </c>
      <c r="I5196" s="26" t="str">
        <f>IF(OR(E5196="",E5196="!!!",F5196="NEW"),"",INDEX(B5195:B$2,-1+SUMPRODUCT(MAX(ROW(E5195:E$2)*(E5196=E5195:E$2)))))</f>
        <v> </v>
      </c>
      <c r="J5196" s="26" t="str">
        <f>IF(OR(E5196="",E5196="!!!",F5196="NEW"),"",COUNTBLANK(OFFSET(A$1,,,SUMPRODUCT(MAX(ROW(E$2:E5196)*(E5196=E$2:E5196)))))-COUNTBLANK(OFFSET(A$1,,,SUMPRODUCT(MAX(ROW(E$1:E5195)*(E2=E$1:E5195))))))</f>
        <v> </v>
      </c>
      <c r="K5196" s="26" t="str">
        <f>IF(OR(E5196="",E5196="!!!",F5196="NEW"),"",INDEX(J$1:J5195,SUMPRODUCT(MAX(ROW(E$1:E5195)*(E5196=E$1:E5195)))))</f>
        <v> </v>
      </c>
      <c r="L5196" s="27"/>
    </row>
    <row r="5197" spans="1:12">
      <c r="A5197" s="20" t="s">
        <v>2884</v>
      </c>
      <c r="E5197" s="22">
        <f>IF(D5197="?OLD","!!!","")</f>
        <v/>
      </c>
      <c r="F5197" s="23" t="str">
        <f>IF(OR(E5197="",E5197="!!!"),"",IF(NOT(ISNA(VLOOKUP(E5197,E$1:E5196,1,FALSE()))),"OLD",IF(AND(E5197&lt;&gt;"",E5197&lt;&gt;"!!!"),"NEW","")))</f>
        <v> </v>
      </c>
      <c r="G5197" s="24" t="str">
        <f>IF(OR(E5197="",E5197="!!!"),"",IF(OR(J5197=0,AND(J5197=1,K5197=1),AND(J5197=1,I5197="SBJ"),AND(J5197=1,I5197=0)),"?IN_FOCUS",IF(J5197&lt;=2,"?ACTIVATED",IF(J5197&lt;&gt;"","?FAMILIAR",IF(F5197="NEW",IF(ISNA(VLOOKUP(E5197,#REF!,1,FALSE())),"?TYPE_IDENTIFIABLE","?REFERENTIAL"),"_")))))</f>
        <v> </v>
      </c>
      <c r="H5197" s="25" t="str">
        <f>IF(J5197&lt;&gt;1,"",IF(I5197="SBJ","CB","?"))</f>
        <v> </v>
      </c>
      <c r="I5197" s="26" t="str">
        <f>IF(OR(E5197="",E5197="!!!",F5197="NEW"),"",INDEX(B5196:B$2,-1+SUMPRODUCT(MAX(ROW(E5196:E$2)*(E5197=E5196:E$2)))))</f>
        <v> </v>
      </c>
      <c r="J5197" s="26" t="str">
        <f>IF(OR(E5197="",E5197="!!!",F5197="NEW"),"",COUNTBLANK(OFFSET(A$1,,,SUMPRODUCT(MAX(ROW(E$2:E5197)*(E5197=E$2:E5197)))))-COUNTBLANK(OFFSET(A$1,,,SUMPRODUCT(MAX(ROW(E$1:E5196)*(E2=E$1:E5196))))))</f>
        <v> </v>
      </c>
      <c r="K5197" s="26" t="str">
        <f>IF(OR(E5197="",E5197="!!!",F5197="NEW"),"",INDEX(J$1:J5196,SUMPRODUCT(MAX(ROW(E$1:E5196)*(E5197=E$1:E5196)))))</f>
        <v> </v>
      </c>
      <c r="L5197" s="27"/>
    </row>
    <row r="5198" spans="1:12">
      <c r="A5198" s="20" t="s">
        <v>1245</v>
      </c>
      <c r="E5198" s="22">
        <f>IF(D5198="?OLD","!!!","")</f>
        <v/>
      </c>
      <c r="F5198" s="23" t="str">
        <f>IF(OR(E5198="",E5198="!!!"),"",IF(NOT(ISNA(VLOOKUP(E5198,E$1:E5197,1,FALSE()))),"OLD",IF(AND(E5198&lt;&gt;"",E5198&lt;&gt;"!!!"),"NEW","")))</f>
        <v> </v>
      </c>
      <c r="G5198" s="24" t="str">
        <f>IF(OR(E5198="",E5198="!!!"),"",IF(OR(J5198=0,AND(J5198=1,K5198=1),AND(J5198=1,I5198="SBJ"),AND(J5198=1,I5198=0)),"?IN_FOCUS",IF(J5198&lt;=2,"?ACTIVATED",IF(J5198&lt;&gt;"","?FAMILIAR",IF(F5198="NEW",IF(ISNA(VLOOKUP(E5198,#REF!,1,FALSE())),"?TYPE_IDENTIFIABLE","?REFERENTIAL"),"_")))))</f>
        <v> </v>
      </c>
      <c r="H5198" s="25" t="str">
        <f>IF(J5198&lt;&gt;1,"",IF(I5198="SBJ","CB","?"))</f>
        <v> </v>
      </c>
      <c r="I5198" s="26" t="str">
        <f>IF(OR(E5198="",E5198="!!!",F5198="NEW"),"",INDEX(B5197:B$2,-1+SUMPRODUCT(MAX(ROW(E5197:E$2)*(E5198=E5197:E$2)))))</f>
        <v> </v>
      </c>
      <c r="J5198" s="26" t="str">
        <f>IF(OR(E5198="",E5198="!!!",F5198="NEW"),"",COUNTBLANK(OFFSET(A$1,,,SUMPRODUCT(MAX(ROW(E$2:E5198)*(E5198=E$2:E5198)))))-COUNTBLANK(OFFSET(A$1,,,SUMPRODUCT(MAX(ROW(E$1:E5197)*(E2=E$1:E5197))))))</f>
        <v> </v>
      </c>
      <c r="K5198" s="26" t="str">
        <f>IF(OR(E5198="",E5198="!!!",F5198="NEW"),"",INDEX(J$1:J5197,SUMPRODUCT(MAX(ROW(E$1:E5197)*(E5198=E$1:E5197)))))</f>
        <v> </v>
      </c>
      <c r="L5198" s="27"/>
    </row>
    <row r="5199" spans="1:12">
      <c r="A5199" s="20" t="s">
        <v>1323</v>
      </c>
      <c r="E5199" s="22">
        <f>IF(D5199="?OLD","!!!","")</f>
        <v/>
      </c>
      <c r="F5199" s="23" t="str">
        <f>IF(OR(E5199="",E5199="!!!"),"",IF(NOT(ISNA(VLOOKUP(E5199,E$1:E5198,1,FALSE()))),"OLD",IF(AND(E5199&lt;&gt;"",E5199&lt;&gt;"!!!"),"NEW","")))</f>
        <v> </v>
      </c>
      <c r="G5199" s="24" t="str">
        <f>IF(OR(E5199="",E5199="!!!"),"",IF(OR(J5199=0,AND(J5199=1,K5199=1),AND(J5199=1,I5199="SBJ"),AND(J5199=1,I5199=0)),"?IN_FOCUS",IF(J5199&lt;=2,"?ACTIVATED",IF(J5199&lt;&gt;"","?FAMILIAR",IF(F5199="NEW",IF(ISNA(VLOOKUP(E5199,#REF!,1,FALSE())),"?TYPE_IDENTIFIABLE","?REFERENTIAL"),"_")))))</f>
        <v> </v>
      </c>
      <c r="H5199" s="25" t="str">
        <f>IF(J5199&lt;&gt;1,"",IF(I5199="SBJ","CB","?"))</f>
        <v> </v>
      </c>
      <c r="I5199" s="26" t="str">
        <f>IF(OR(E5199="",E5199="!!!",F5199="NEW"),"",INDEX(B5198:B$2,-1+SUMPRODUCT(MAX(ROW(E5198:E$2)*(E5199=E5198:E$2)))))</f>
        <v> </v>
      </c>
      <c r="J5199" s="26" t="str">
        <f>IF(OR(E5199="",E5199="!!!",F5199="NEW"),"",COUNTBLANK(OFFSET(A$1,,,SUMPRODUCT(MAX(ROW(E$2:E5199)*(E5199=E$2:E5199)))))-COUNTBLANK(OFFSET(A$1,,,SUMPRODUCT(MAX(ROW(E$1:E5198)*(E2=E$1:E5198))))))</f>
        <v> </v>
      </c>
      <c r="K5199" s="26" t="str">
        <f>IF(OR(E5199="",E5199="!!!",F5199="NEW"),"",INDEX(J$1:J5198,SUMPRODUCT(MAX(ROW(E$1:E5198)*(E5199=E$1:E5198)))))</f>
        <v> </v>
      </c>
      <c r="L5199" s="27"/>
    </row>
    <row r="5200" spans="1:12">
      <c r="A5200" s="20" t="s">
        <v>1938</v>
      </c>
      <c r="B5200" s="21" t="s">
        <v>1244</v>
      </c>
      <c r="C5200" s="21" t="s">
        <v>1269</v>
      </c>
      <c r="D5200" s="21" t="s">
        <v>1217</v>
      </c>
      <c r="E5200" s="22">
        <f>IF(D5200="?OLD","!!!","")</f>
        <v/>
      </c>
      <c r="F5200" s="23" t="str">
        <f>IF(OR(E5200="",E5200="!!!"),"",IF(NOT(ISNA(VLOOKUP(E5200,E$1:E5199,1,FALSE()))),"OLD",IF(AND(E5200&lt;&gt;"",E5200&lt;&gt;"!!!"),"NEW","")))</f>
        <v> </v>
      </c>
      <c r="G5200" s="24" t="str">
        <f>IF(OR(E5200="",E5200="!!!"),"",IF(OR(J5200=0,AND(J5200=1,K5200=1),AND(J5200=1,I5200="SBJ"),AND(J5200=1,I5200=0)),"?IN_FOCUS",IF(J5200&lt;=2,"?ACTIVATED",IF(J5200&lt;&gt;"","?FAMILIAR",IF(F5200="NEW",IF(ISNA(VLOOKUP(E5200,#REF!,1,FALSE())),"?TYPE_IDENTIFIABLE","?REFERENTIAL"),"_")))))</f>
        <v> </v>
      </c>
      <c r="H5200" s="25" t="str">
        <f>IF(J5200&lt;&gt;1,"",IF(I5200="SBJ","CB","?"))</f>
        <v> </v>
      </c>
      <c r="I5200" s="26" t="str">
        <f>IF(OR(E5200="",E5200="!!!",F5200="NEW"),"",INDEX(B5199:B$2,-1+SUMPRODUCT(MAX(ROW(E5199:E$2)*(E5200=E5199:E$2)))))</f>
        <v> </v>
      </c>
      <c r="J5200" s="26" t="str">
        <f>IF(OR(E5200="",E5200="!!!",F5200="NEW"),"",COUNTBLANK(OFFSET(A$1,,,SUMPRODUCT(MAX(ROW(E$2:E5200)*(E5200=E$2:E5200)))))-COUNTBLANK(OFFSET(A$1,,,SUMPRODUCT(MAX(ROW(E$1:E5199)*(E2=E$1:E5199))))))</f>
        <v> </v>
      </c>
      <c r="K5200" s="26" t="str">
        <f>IF(OR(E5200="",E5200="!!!",F5200="NEW"),"",INDEX(J$1:J5199,SUMPRODUCT(MAX(ROW(E$1:E5199)*(E5200=E$1:E5199)))))</f>
        <v> </v>
      </c>
      <c r="L5200" s="27"/>
    </row>
    <row r="5201" spans="1:12">
      <c r="A5201" s="20" t="s">
        <v>1277</v>
      </c>
      <c r="E5201" s="22">
        <f>IF(D5201="?OLD","!!!","")</f>
        <v/>
      </c>
      <c r="F5201" s="23" t="str">
        <f>IF(OR(E5201="",E5201="!!!"),"",IF(NOT(ISNA(VLOOKUP(E5201,E$1:E5200,1,FALSE()))),"OLD",IF(AND(E5201&lt;&gt;"",E5201&lt;&gt;"!!!"),"NEW","")))</f>
        <v> </v>
      </c>
      <c r="G5201" s="24" t="str">
        <f>IF(OR(E5201="",E5201="!!!"),"",IF(OR(J5201=0,AND(J5201=1,K5201=1),AND(J5201=1,I5201="SBJ"),AND(J5201=1,I5201=0)),"?IN_FOCUS",IF(J5201&lt;=2,"?ACTIVATED",IF(J5201&lt;&gt;"","?FAMILIAR",IF(F5201="NEW",IF(ISNA(VLOOKUP(E5201,#REF!,1,FALSE())),"?TYPE_IDENTIFIABLE","?REFERENTIAL"),"_")))))</f>
        <v> </v>
      </c>
      <c r="H5201" s="25" t="str">
        <f>IF(J5201&lt;&gt;1,"",IF(I5201="SBJ","CB","?"))</f>
        <v> </v>
      </c>
      <c r="I5201" s="26" t="str">
        <f>IF(OR(E5201="",E5201="!!!",F5201="NEW"),"",INDEX(B5200:B$2,-1+SUMPRODUCT(MAX(ROW(E5200:E$2)*(E5201=E5200:E$2)))))</f>
        <v> </v>
      </c>
      <c r="J5201" s="26" t="str">
        <f>IF(OR(E5201="",E5201="!!!",F5201="NEW"),"",COUNTBLANK(OFFSET(A$1,,,SUMPRODUCT(MAX(ROW(E$2:E5201)*(E5201=E$2:E5201)))))-COUNTBLANK(OFFSET(A$1,,,SUMPRODUCT(MAX(ROW(E$1:E5200)*(E2=E$1:E5200))))))</f>
        <v> </v>
      </c>
      <c r="K5201" s="26" t="str">
        <f>IF(OR(E5201="",E5201="!!!",F5201="NEW"),"",INDEX(J$1:J5200,SUMPRODUCT(MAX(ROW(E$1:E5200)*(E5201=E$1:E5200)))))</f>
        <v> </v>
      </c>
      <c r="L5201" s="27"/>
    </row>
    <row r="5202" spans="1:12">
      <c r="A5202" s="20" t="s">
        <v>2233</v>
      </c>
      <c r="E5202" s="22">
        <f>IF(D5202="?OLD","!!!","")</f>
        <v/>
      </c>
      <c r="F5202" s="23" t="str">
        <f>IF(OR(E5202="",E5202="!!!"),"",IF(NOT(ISNA(VLOOKUP(E5202,E$1:E5201,1,FALSE()))),"OLD",IF(AND(E5202&lt;&gt;"",E5202&lt;&gt;"!!!"),"NEW","")))</f>
        <v> </v>
      </c>
      <c r="G5202" s="24" t="str">
        <f>IF(OR(E5202="",E5202="!!!"),"",IF(OR(J5202=0,AND(J5202=1,K5202=1),AND(J5202=1,I5202="SBJ"),AND(J5202=1,I5202=0)),"?IN_FOCUS",IF(J5202&lt;=2,"?ACTIVATED",IF(J5202&lt;&gt;"","?FAMILIAR",IF(F5202="NEW",IF(ISNA(VLOOKUP(E5202,#REF!,1,FALSE())),"?TYPE_IDENTIFIABLE","?REFERENTIAL"),"_")))))</f>
        <v> </v>
      </c>
      <c r="H5202" s="25" t="str">
        <f>IF(J5202&lt;&gt;1,"",IF(I5202="SBJ","CB","?"))</f>
        <v> </v>
      </c>
      <c r="I5202" s="26" t="str">
        <f>IF(OR(E5202="",E5202="!!!",F5202="NEW"),"",INDEX(B5201:B$2,-1+SUMPRODUCT(MAX(ROW(E5201:E$2)*(E5202=E5201:E$2)))))</f>
        <v> </v>
      </c>
      <c r="J5202" s="26" t="str">
        <f>IF(OR(E5202="",E5202="!!!",F5202="NEW"),"",COUNTBLANK(OFFSET(A$1,,,SUMPRODUCT(MAX(ROW(E$2:E5202)*(E5202=E$2:E5202)))))-COUNTBLANK(OFFSET(A$1,,,SUMPRODUCT(MAX(ROW(E$1:E5201)*(E2=E$1:E5201))))))</f>
        <v> </v>
      </c>
      <c r="K5202" s="26" t="str">
        <f>IF(OR(E5202="",E5202="!!!",F5202="NEW"),"",INDEX(J$1:J5201,SUMPRODUCT(MAX(ROW(E$1:E5201)*(E5202=E$1:E5201)))))</f>
        <v> </v>
      </c>
      <c r="L5202" s="27"/>
    </row>
    <row r="5203" spans="1:12">
      <c r="A5203" s="20" t="s">
        <v>1373</v>
      </c>
      <c r="E5203" s="22">
        <f>IF(D5203="?OLD","!!!","")</f>
        <v/>
      </c>
      <c r="F5203" s="23" t="str">
        <f>IF(OR(E5203="",E5203="!!!"),"",IF(NOT(ISNA(VLOOKUP(E5203,E$1:E5202,1,FALSE()))),"OLD",IF(AND(E5203&lt;&gt;"",E5203&lt;&gt;"!!!"),"NEW","")))</f>
        <v> </v>
      </c>
      <c r="G5203" s="24" t="str">
        <f>IF(OR(E5203="",E5203="!!!"),"",IF(OR(J5203=0,AND(J5203=1,K5203=1),AND(J5203=1,I5203="SBJ"),AND(J5203=1,I5203=0)),"?IN_FOCUS",IF(J5203&lt;=2,"?ACTIVATED",IF(J5203&lt;&gt;"","?FAMILIAR",IF(F5203="NEW",IF(ISNA(VLOOKUP(E5203,#REF!,1,FALSE())),"?TYPE_IDENTIFIABLE","?REFERENTIAL"),"_")))))</f>
        <v> </v>
      </c>
      <c r="H5203" s="25" t="str">
        <f>IF(J5203&lt;&gt;1,"",IF(I5203="SBJ","CB","?"))</f>
        <v> </v>
      </c>
      <c r="I5203" s="26" t="str">
        <f>IF(OR(E5203="",E5203="!!!",F5203="NEW"),"",INDEX(B5202:B$2,-1+SUMPRODUCT(MAX(ROW(E5202:E$2)*(E5203=E5202:E$2)))))</f>
        <v> </v>
      </c>
      <c r="J5203" s="26" t="str">
        <f>IF(OR(E5203="",E5203="!!!",F5203="NEW"),"",COUNTBLANK(OFFSET(A$1,,,SUMPRODUCT(MAX(ROW(E$2:E5203)*(E5203=E$2:E5203)))))-COUNTBLANK(OFFSET(A$1,,,SUMPRODUCT(MAX(ROW(E$1:E5202)*(E2=E$1:E5202))))))</f>
        <v> </v>
      </c>
      <c r="K5203" s="26" t="str">
        <f>IF(OR(E5203="",E5203="!!!",F5203="NEW"),"",INDEX(J$1:J5202,SUMPRODUCT(MAX(ROW(E$1:E5202)*(E5203=E$1:E5202)))))</f>
        <v> </v>
      </c>
      <c r="L5203" s="27"/>
    </row>
    <row r="5204" spans="1:12">
      <c r="A5204" s="20" t="s">
        <v>1240</v>
      </c>
      <c r="B5204" s="21" t="s">
        <v>1249</v>
      </c>
      <c r="C5204" s="21" t="s">
        <v>1216</v>
      </c>
      <c r="D5204" s="21" t="s">
        <v>1217</v>
      </c>
      <c r="E5204" s="22">
        <f>IF(D5204="?OLD","!!!","")</f>
        <v/>
      </c>
      <c r="F5204" s="23" t="str">
        <f>IF(OR(E5204="",E5204="!!!"),"",IF(NOT(ISNA(VLOOKUP(E5204,E$1:E5203,1,FALSE()))),"OLD",IF(AND(E5204&lt;&gt;"",E5204&lt;&gt;"!!!"),"NEW","")))</f>
        <v> </v>
      </c>
      <c r="G5204" s="24" t="str">
        <f>IF(OR(E5204="",E5204="!!!"),"",IF(OR(J5204=0,AND(J5204=1,K5204=1),AND(J5204=1,I5204="SBJ"),AND(J5204=1,I5204=0)),"?IN_FOCUS",IF(J5204&lt;=2,"?ACTIVATED",IF(J5204&lt;&gt;"","?FAMILIAR",IF(F5204="NEW",IF(ISNA(VLOOKUP(E5204,#REF!,1,FALSE())),"?TYPE_IDENTIFIABLE","?REFERENTIAL"),"_")))))</f>
        <v> </v>
      </c>
      <c r="H5204" s="25" t="str">
        <f>IF(J5204&lt;&gt;1,"",IF(I5204="SBJ","CB","?"))</f>
        <v> </v>
      </c>
      <c r="I5204" s="26" t="str">
        <f>IF(OR(E5204="",E5204="!!!",F5204="NEW"),"",INDEX(B5203:B$2,-1+SUMPRODUCT(MAX(ROW(E5203:E$2)*(E5204=E5203:E$2)))))</f>
        <v> </v>
      </c>
      <c r="J5204" s="26" t="str">
        <f>IF(OR(E5204="",E5204="!!!",F5204="NEW"),"",COUNTBLANK(OFFSET(A$1,,,SUMPRODUCT(MAX(ROW(E$2:E5204)*(E5204=E$2:E5204)))))-COUNTBLANK(OFFSET(A$1,,,SUMPRODUCT(MAX(ROW(E$1:E5203)*(E2=E$1:E5203))))))</f>
        <v> </v>
      </c>
      <c r="K5204" s="26" t="str">
        <f>IF(OR(E5204="",E5204="!!!",F5204="NEW"),"",INDEX(J$1:J5203,SUMPRODUCT(MAX(ROW(E$1:E5203)*(E5204=E$1:E5203)))))</f>
        <v> </v>
      </c>
      <c r="L5204" s="27"/>
    </row>
    <row r="5205" spans="1:12">
      <c r="A5205" s="20" t="s">
        <v>315</v>
      </c>
      <c r="E5205" s="22">
        <f>IF(D5205="?OLD","!!!","")</f>
        <v/>
      </c>
      <c r="F5205" s="23" t="str">
        <f>IF(OR(E5205="",E5205="!!!"),"",IF(NOT(ISNA(VLOOKUP(E5205,E$1:E5204,1,FALSE()))),"OLD",IF(AND(E5205&lt;&gt;"",E5205&lt;&gt;"!!!"),"NEW","")))</f>
        <v> </v>
      </c>
      <c r="G5205" s="24" t="str">
        <f>IF(OR(E5205="",E5205="!!!"),"",IF(OR(J5205=0,AND(J5205=1,K5205=1),AND(J5205=1,I5205="SBJ"),AND(J5205=1,I5205=0)),"?IN_FOCUS",IF(J5205&lt;=2,"?ACTIVATED",IF(J5205&lt;&gt;"","?FAMILIAR",IF(F5205="NEW",IF(ISNA(VLOOKUP(E5205,#REF!,1,FALSE())),"?TYPE_IDENTIFIABLE","?REFERENTIAL"),"_")))))</f>
        <v> </v>
      </c>
      <c r="H5205" s="25" t="str">
        <f>IF(J5205&lt;&gt;1,"",IF(I5205="SBJ","CB","?"))</f>
        <v> </v>
      </c>
      <c r="I5205" s="26" t="str">
        <f>IF(OR(E5205="",E5205="!!!",F5205="NEW"),"",INDEX(B5204:B$2,-1+SUMPRODUCT(MAX(ROW(E5204:E$2)*(E5205=E5204:E$2)))))</f>
        <v> </v>
      </c>
      <c r="J5205" s="26" t="str">
        <f>IF(OR(E5205="",E5205="!!!",F5205="NEW"),"",COUNTBLANK(OFFSET(A$1,,,SUMPRODUCT(MAX(ROW(E$2:E5205)*(E5205=E$2:E5205)))))-COUNTBLANK(OFFSET(A$1,,,SUMPRODUCT(MAX(ROW(E$1:E5204)*(E2=E$1:E5204))))))</f>
        <v> </v>
      </c>
      <c r="K5205" s="26" t="str">
        <f>IF(OR(E5205="",E5205="!!!",F5205="NEW"),"",INDEX(J$1:J5204,SUMPRODUCT(MAX(ROW(E$1:E5204)*(E5205=E$1:E5204)))))</f>
        <v> </v>
      </c>
      <c r="L5205" s="27"/>
    </row>
    <row r="5206" spans="1:12">
      <c r="A5206" s="20" t="s">
        <v>2885</v>
      </c>
      <c r="E5206" s="22">
        <f>IF(D5206="?OLD","!!!","")</f>
        <v/>
      </c>
      <c r="F5206" s="23" t="str">
        <f>IF(OR(E5206="",E5206="!!!"),"",IF(NOT(ISNA(VLOOKUP(E5206,E$1:E5205,1,FALSE()))),"OLD",IF(AND(E5206&lt;&gt;"",E5206&lt;&gt;"!!!"),"NEW","")))</f>
        <v> </v>
      </c>
      <c r="G5206" s="24" t="str">
        <f>IF(OR(E5206="",E5206="!!!"),"",IF(OR(J5206=0,AND(J5206=1,K5206=1),AND(J5206=1,I5206="SBJ"),AND(J5206=1,I5206=0)),"?IN_FOCUS",IF(J5206&lt;=2,"?ACTIVATED",IF(J5206&lt;&gt;"","?FAMILIAR",IF(F5206="NEW",IF(ISNA(VLOOKUP(E5206,#REF!,1,FALSE())),"?TYPE_IDENTIFIABLE","?REFERENTIAL"),"_")))))</f>
        <v> </v>
      </c>
      <c r="H5206" s="25" t="str">
        <f>IF(J5206&lt;&gt;1,"",IF(I5206="SBJ","CB","?"))</f>
        <v> </v>
      </c>
      <c r="I5206" s="26" t="str">
        <f>IF(OR(E5206="",E5206="!!!",F5206="NEW"),"",INDEX(B5205:B$2,-1+SUMPRODUCT(MAX(ROW(E5205:E$2)*(E5206=E5205:E$2)))))</f>
        <v> </v>
      </c>
      <c r="J5206" s="26" t="str">
        <f>IF(OR(E5206="",E5206="!!!",F5206="NEW"),"",COUNTBLANK(OFFSET(A$1,,,SUMPRODUCT(MAX(ROW(E$2:E5206)*(E5206=E$2:E5206)))))-COUNTBLANK(OFFSET(A$1,,,SUMPRODUCT(MAX(ROW(E$1:E5205)*(E2=E$1:E5205))))))</f>
        <v> </v>
      </c>
      <c r="K5206" s="26" t="str">
        <f>IF(OR(E5206="",E5206="!!!",F5206="NEW"),"",INDEX(J$1:J5205,SUMPRODUCT(MAX(ROW(E$1:E5205)*(E5206=E$1:E5205)))))</f>
        <v> </v>
      </c>
      <c r="L5206" s="27"/>
    </row>
    <row r="5207" spans="1:12">
      <c r="A5207" s="20" t="s">
        <v>1307</v>
      </c>
      <c r="E5207" s="22">
        <f>IF(D5207="?OLD","!!!","")</f>
        <v/>
      </c>
      <c r="F5207" s="23" t="str">
        <f>IF(OR(E5207="",E5207="!!!"),"",IF(NOT(ISNA(VLOOKUP(E5207,E$1:E5206,1,FALSE()))),"OLD",IF(AND(E5207&lt;&gt;"",E5207&lt;&gt;"!!!"),"NEW","")))</f>
        <v> </v>
      </c>
      <c r="G5207" s="24" t="str">
        <f>IF(OR(E5207="",E5207="!!!"),"",IF(OR(J5207=0,AND(J5207=1,K5207=1),AND(J5207=1,I5207="SBJ"),AND(J5207=1,I5207=0)),"?IN_FOCUS",IF(J5207&lt;=2,"?ACTIVATED",IF(J5207&lt;&gt;"","?FAMILIAR",IF(F5207="NEW",IF(ISNA(VLOOKUP(E5207,#REF!,1,FALSE())),"?TYPE_IDENTIFIABLE","?REFERENTIAL"),"_")))))</f>
        <v> </v>
      </c>
      <c r="H5207" s="25" t="str">
        <f>IF(J5207&lt;&gt;1,"",IF(I5207="SBJ","CB","?"))</f>
        <v> </v>
      </c>
      <c r="I5207" s="26" t="str">
        <f>IF(OR(E5207="",E5207="!!!",F5207="NEW"),"",INDEX(B5206:B$2,-1+SUMPRODUCT(MAX(ROW(E5206:E$2)*(E5207=E5206:E$2)))))</f>
        <v> </v>
      </c>
      <c r="J5207" s="26" t="str">
        <f>IF(OR(E5207="",E5207="!!!",F5207="NEW"),"",COUNTBLANK(OFFSET(A$1,,,SUMPRODUCT(MAX(ROW(E$2:E5207)*(E5207=E$2:E5207)))))-COUNTBLANK(OFFSET(A$1,,,SUMPRODUCT(MAX(ROW(E$1:E5206)*(E2=E$1:E5206))))))</f>
        <v> </v>
      </c>
      <c r="K5207" s="26" t="str">
        <f>IF(OR(E5207="",E5207="!!!",F5207="NEW"),"",INDEX(J$1:J5206,SUMPRODUCT(MAX(ROW(E$1:E5206)*(E5207=E$1:E5206)))))</f>
        <v> </v>
      </c>
      <c r="L5207" s="27"/>
    </row>
    <row r="5208" spans="1:12">
      <c r="A5208" s="20" t="s">
        <v>1568</v>
      </c>
      <c r="E5208" s="22">
        <f>IF(D5208="?OLD","!!!","")</f>
        <v/>
      </c>
      <c r="F5208" s="23" t="str">
        <f>IF(OR(E5208="",E5208="!!!"),"",IF(NOT(ISNA(VLOOKUP(E5208,E$1:E5207,1,FALSE()))),"OLD",IF(AND(E5208&lt;&gt;"",E5208&lt;&gt;"!!!"),"NEW","")))</f>
        <v> </v>
      </c>
      <c r="G5208" s="24" t="str">
        <f>IF(OR(E5208="",E5208="!!!"),"",IF(OR(J5208=0,AND(J5208=1,K5208=1),AND(J5208=1,I5208="SBJ"),AND(J5208=1,I5208=0)),"?IN_FOCUS",IF(J5208&lt;=2,"?ACTIVATED",IF(J5208&lt;&gt;"","?FAMILIAR",IF(F5208="NEW",IF(ISNA(VLOOKUP(E5208,#REF!,1,FALSE())),"?TYPE_IDENTIFIABLE","?REFERENTIAL"),"_")))))</f>
        <v> </v>
      </c>
      <c r="H5208" s="25" t="str">
        <f>IF(J5208&lt;&gt;1,"",IF(I5208="SBJ","CB","?"))</f>
        <v> </v>
      </c>
      <c r="I5208" s="26" t="str">
        <f>IF(OR(E5208="",E5208="!!!",F5208="NEW"),"",INDEX(B5207:B$2,-1+SUMPRODUCT(MAX(ROW(E5207:E$2)*(E5208=E5207:E$2)))))</f>
        <v> </v>
      </c>
      <c r="J5208" s="26" t="str">
        <f>IF(OR(E5208="",E5208="!!!",F5208="NEW"),"",COUNTBLANK(OFFSET(A$1,,,SUMPRODUCT(MAX(ROW(E$2:E5208)*(E5208=E$2:E5208)))))-COUNTBLANK(OFFSET(A$1,,,SUMPRODUCT(MAX(ROW(E$1:E5207)*(E2=E$1:E5207))))))</f>
        <v> </v>
      </c>
      <c r="K5208" s="26" t="str">
        <f>IF(OR(E5208="",E5208="!!!",F5208="NEW"),"",INDEX(J$1:J5207,SUMPRODUCT(MAX(ROW(E$1:E5207)*(E5208=E$1:E5207)))))</f>
        <v> </v>
      </c>
      <c r="L5208" s="27"/>
    </row>
    <row r="5209" spans="1:12">
      <c r="A5209" s="20" t="s">
        <v>1266</v>
      </c>
      <c r="E5209" s="22">
        <f>IF(D5209="?OLD","!!!","")</f>
        <v/>
      </c>
      <c r="F5209" s="23" t="str">
        <f>IF(OR(E5209="",E5209="!!!"),"",IF(NOT(ISNA(VLOOKUP(E5209,E$1:E5208,1,FALSE()))),"OLD",IF(AND(E5209&lt;&gt;"",E5209&lt;&gt;"!!!"),"NEW","")))</f>
        <v> </v>
      </c>
      <c r="G5209" s="24" t="str">
        <f>IF(OR(E5209="",E5209="!!!"),"",IF(OR(J5209=0,AND(J5209=1,K5209=1),AND(J5209=1,I5209="SBJ"),AND(J5209=1,I5209=0)),"?IN_FOCUS",IF(J5209&lt;=2,"?ACTIVATED",IF(J5209&lt;&gt;"","?FAMILIAR",IF(F5209="NEW",IF(ISNA(VLOOKUP(E5209,#REF!,1,FALSE())),"?TYPE_IDENTIFIABLE","?REFERENTIAL"),"_")))))</f>
        <v> </v>
      </c>
      <c r="H5209" s="25" t="str">
        <f>IF(J5209&lt;&gt;1,"",IF(I5209="SBJ","CB","?"))</f>
        <v> </v>
      </c>
      <c r="I5209" s="26" t="str">
        <f>IF(OR(E5209="",E5209="!!!",F5209="NEW"),"",INDEX(B5208:B$2,-1+SUMPRODUCT(MAX(ROW(E5208:E$2)*(E5209=E5208:E$2)))))</f>
        <v> </v>
      </c>
      <c r="J5209" s="26" t="str">
        <f>IF(OR(E5209="",E5209="!!!",F5209="NEW"),"",COUNTBLANK(OFFSET(A$1,,,SUMPRODUCT(MAX(ROW(E$2:E5209)*(E5209=E$2:E5209)))))-COUNTBLANK(OFFSET(A$1,,,SUMPRODUCT(MAX(ROW(E$1:E5208)*(E2=E$1:E5208))))))</f>
        <v> </v>
      </c>
      <c r="K5209" s="26" t="str">
        <f>IF(OR(E5209="",E5209="!!!",F5209="NEW"),"",INDEX(J$1:J5208,SUMPRODUCT(MAX(ROW(E$1:E5208)*(E5209=E$1:E5208)))))</f>
        <v> </v>
      </c>
      <c r="L5209" s="27"/>
    </row>
    <row r="5210" spans="1:12">
      <c r="A5210" s="20" t="s">
        <v>885</v>
      </c>
      <c r="B5210" s="21" t="s">
        <v>1237</v>
      </c>
      <c r="C5210" s="21" t="s">
        <v>1269</v>
      </c>
      <c r="D5210" s="21" t="s">
        <v>1217</v>
      </c>
      <c r="E5210" s="22">
        <f>IF(D5210="?OLD","!!!","")</f>
        <v/>
      </c>
      <c r="F5210" s="23" t="str">
        <f>IF(OR(E5210="",E5210="!!!"),"",IF(NOT(ISNA(VLOOKUP(E5210,E$1:E5209,1,FALSE()))),"OLD",IF(AND(E5210&lt;&gt;"",E5210&lt;&gt;"!!!"),"NEW","")))</f>
        <v> </v>
      </c>
      <c r="G5210" s="24" t="str">
        <f>IF(OR(E5210="",E5210="!!!"),"",IF(OR(J5210=0,AND(J5210=1,K5210=1),AND(J5210=1,I5210="SBJ"),AND(J5210=1,I5210=0)),"?IN_FOCUS",IF(J5210&lt;=2,"?ACTIVATED",IF(J5210&lt;&gt;"","?FAMILIAR",IF(F5210="NEW",IF(ISNA(VLOOKUP(E5210,#REF!,1,FALSE())),"?TYPE_IDENTIFIABLE","?REFERENTIAL"),"_")))))</f>
        <v> </v>
      </c>
      <c r="H5210" s="25" t="str">
        <f>IF(J5210&lt;&gt;1,"",IF(I5210="SBJ","CB","?"))</f>
        <v> </v>
      </c>
      <c r="I5210" s="26" t="str">
        <f>IF(OR(E5210="",E5210="!!!",F5210="NEW"),"",INDEX(B5209:B$2,-1+SUMPRODUCT(MAX(ROW(E5209:E$2)*(E5210=E5209:E$2)))))</f>
        <v> </v>
      </c>
      <c r="J5210" s="26" t="str">
        <f>IF(OR(E5210="",E5210="!!!",F5210="NEW"),"",COUNTBLANK(OFFSET(A$1,,,SUMPRODUCT(MAX(ROW(E$2:E5210)*(E5210=E$2:E5210)))))-COUNTBLANK(OFFSET(A$1,,,SUMPRODUCT(MAX(ROW(E$1:E5209)*(E2=E$1:E5209))))))</f>
        <v> </v>
      </c>
      <c r="K5210" s="26" t="str">
        <f>IF(OR(E5210="",E5210="!!!",F5210="NEW"),"",INDEX(J$1:J5209,SUMPRODUCT(MAX(ROW(E$1:E5209)*(E5210=E$1:E5209)))))</f>
        <v> </v>
      </c>
      <c r="L5210" s="27"/>
    </row>
    <row r="5211" spans="1:12">
      <c r="A5211" s="20" t="s">
        <v>1336</v>
      </c>
      <c r="E5211" s="22">
        <f>IF(D5211="?OLD","!!!","")</f>
        <v/>
      </c>
      <c r="F5211" s="23" t="str">
        <f>IF(OR(E5211="",E5211="!!!"),"",IF(NOT(ISNA(VLOOKUP(E5211,E$1:E5210,1,FALSE()))),"OLD",IF(AND(E5211&lt;&gt;"",E5211&lt;&gt;"!!!"),"NEW","")))</f>
        <v> </v>
      </c>
      <c r="G5211" s="24" t="str">
        <f>IF(OR(E5211="",E5211="!!!"),"",IF(OR(J5211=0,AND(J5211=1,K5211=1),AND(J5211=1,I5211="SBJ"),AND(J5211=1,I5211=0)),"?IN_FOCUS",IF(J5211&lt;=2,"?ACTIVATED",IF(J5211&lt;&gt;"","?FAMILIAR",IF(F5211="NEW",IF(ISNA(VLOOKUP(E5211,#REF!,1,FALSE())),"?TYPE_IDENTIFIABLE","?REFERENTIAL"),"_")))))</f>
        <v> </v>
      </c>
      <c r="H5211" s="25" t="str">
        <f>IF(J5211&lt;&gt;1,"",IF(I5211="SBJ","CB","?"))</f>
        <v> </v>
      </c>
      <c r="I5211" s="26" t="str">
        <f>IF(OR(E5211="",E5211="!!!",F5211="NEW"),"",INDEX(B5210:B$2,-1+SUMPRODUCT(MAX(ROW(E5210:E$2)*(E5211=E5210:E$2)))))</f>
        <v> </v>
      </c>
      <c r="J5211" s="26" t="str">
        <f>IF(OR(E5211="",E5211="!!!",F5211="NEW"),"",COUNTBLANK(OFFSET(A$1,,,SUMPRODUCT(MAX(ROW(E$2:E5211)*(E5211=E$2:E5211)))))-COUNTBLANK(OFFSET(A$1,,,SUMPRODUCT(MAX(ROW(E$1:E5210)*(E2=E$1:E5210))))))</f>
        <v> </v>
      </c>
      <c r="K5211" s="26" t="str">
        <f>IF(OR(E5211="",E5211="!!!",F5211="NEW"),"",INDEX(J$1:J5210,SUMPRODUCT(MAX(ROW(E$1:E5210)*(E5211=E$1:E5210)))))</f>
        <v> </v>
      </c>
      <c r="L5211" s="27"/>
    </row>
    <row r="5212" spans="1:12">
      <c r="A5212" s="20" t="s">
        <v>1323</v>
      </c>
      <c r="E5212" s="22">
        <f>IF(D5212="?OLD","!!!","")</f>
        <v/>
      </c>
      <c r="F5212" s="23" t="str">
        <f>IF(OR(E5212="",E5212="!!!"),"",IF(NOT(ISNA(VLOOKUP(E5212,E$1:E5211,1,FALSE()))),"OLD",IF(AND(E5212&lt;&gt;"",E5212&lt;&gt;"!!!"),"NEW","")))</f>
        <v> </v>
      </c>
      <c r="G5212" s="24" t="str">
        <f>IF(OR(E5212="",E5212="!!!"),"",IF(OR(J5212=0,AND(J5212=1,K5212=1),AND(J5212=1,I5212="SBJ"),AND(J5212=1,I5212=0)),"?IN_FOCUS",IF(J5212&lt;=2,"?ACTIVATED",IF(J5212&lt;&gt;"","?FAMILIAR",IF(F5212="NEW",IF(ISNA(VLOOKUP(E5212,#REF!,1,FALSE())),"?TYPE_IDENTIFIABLE","?REFERENTIAL"),"_")))))</f>
        <v> </v>
      </c>
      <c r="H5212" s="25" t="str">
        <f>IF(J5212&lt;&gt;1,"",IF(I5212="SBJ","CB","?"))</f>
        <v> </v>
      </c>
      <c r="I5212" s="26" t="str">
        <f>IF(OR(E5212="",E5212="!!!",F5212="NEW"),"",INDEX(B5211:B$2,-1+SUMPRODUCT(MAX(ROW(E5211:E$2)*(E5212=E5211:E$2)))))</f>
        <v> </v>
      </c>
      <c r="J5212" s="26" t="str">
        <f>IF(OR(E5212="",E5212="!!!",F5212="NEW"),"",COUNTBLANK(OFFSET(A$1,,,SUMPRODUCT(MAX(ROW(E$2:E5212)*(E5212=E$2:E5212)))))-COUNTBLANK(OFFSET(A$1,,,SUMPRODUCT(MAX(ROW(E$1:E5211)*(E2=E$1:E5211))))))</f>
        <v> </v>
      </c>
      <c r="K5212" s="26" t="str">
        <f>IF(OR(E5212="",E5212="!!!",F5212="NEW"),"",INDEX(J$1:J5211,SUMPRODUCT(MAX(ROW(E$1:E5211)*(E5212=E$1:E5211)))))</f>
        <v> </v>
      </c>
      <c r="L5212" s="27"/>
    </row>
    <row r="5213" spans="1:12">
      <c r="A5213" s="20" t="s">
        <v>2157</v>
      </c>
      <c r="B5213" s="21" t="s">
        <v>1224</v>
      </c>
      <c r="C5213" s="21" t="s">
        <v>1269</v>
      </c>
      <c r="D5213" s="21" t="s">
        <v>1217</v>
      </c>
      <c r="E5213" s="22">
        <f>IF(D5213="?OLD","!!!","")</f>
        <v/>
      </c>
      <c r="F5213" s="23" t="str">
        <f>IF(OR(E5213="",E5213="!!!"),"",IF(NOT(ISNA(VLOOKUP(E5213,E$1:E5212,1,FALSE()))),"OLD",IF(AND(E5213&lt;&gt;"",E5213&lt;&gt;"!!!"),"NEW","")))</f>
        <v> </v>
      </c>
      <c r="G5213" s="24" t="str">
        <f>IF(OR(E5213="",E5213="!!!"),"",IF(OR(J5213=0,AND(J5213=1,K5213=1),AND(J5213=1,I5213="SBJ"),AND(J5213=1,I5213=0)),"?IN_FOCUS",IF(J5213&lt;=2,"?ACTIVATED",IF(J5213&lt;&gt;"","?FAMILIAR",IF(F5213="NEW",IF(ISNA(VLOOKUP(E5213,#REF!,1,FALSE())),"?TYPE_IDENTIFIABLE","?REFERENTIAL"),"_")))))</f>
        <v> </v>
      </c>
      <c r="H5213" s="25" t="str">
        <f>IF(J5213&lt;&gt;1,"",IF(I5213="SBJ","CB","?"))</f>
        <v> </v>
      </c>
      <c r="I5213" s="26" t="str">
        <f>IF(OR(E5213="",E5213="!!!",F5213="NEW"),"",INDEX(B5212:B$2,-1+SUMPRODUCT(MAX(ROW(E5212:E$2)*(E5213=E5212:E$2)))))</f>
        <v> </v>
      </c>
      <c r="J5213" s="26" t="str">
        <f>IF(OR(E5213="",E5213="!!!",F5213="NEW"),"",COUNTBLANK(OFFSET(A$1,,,SUMPRODUCT(MAX(ROW(E$2:E5213)*(E5213=E$2:E5213)))))-COUNTBLANK(OFFSET(A$1,,,SUMPRODUCT(MAX(ROW(E$1:E5212)*(E2=E$1:E5212))))))</f>
        <v> </v>
      </c>
      <c r="K5213" s="26" t="str">
        <f>IF(OR(E5213="",E5213="!!!",F5213="NEW"),"",INDEX(J$1:J5212,SUMPRODUCT(MAX(ROW(E$1:E5212)*(E5213=E$1:E5212)))))</f>
        <v> </v>
      </c>
      <c r="L5213" s="27"/>
    </row>
    <row r="5214" spans="1:12">
      <c r="A5214" s="20" t="s">
        <v>1262</v>
      </c>
      <c r="E5214" s="22">
        <f>IF(D5214="?OLD","!!!","")</f>
        <v/>
      </c>
      <c r="F5214" s="23" t="str">
        <f>IF(OR(E5214="",E5214="!!!"),"",IF(NOT(ISNA(VLOOKUP(E5214,E$1:E5213,1,FALSE()))),"OLD",IF(AND(E5214&lt;&gt;"",E5214&lt;&gt;"!!!"),"NEW","")))</f>
        <v> </v>
      </c>
      <c r="G5214" s="24" t="str">
        <f>IF(OR(E5214="",E5214="!!!"),"",IF(OR(J5214=0,AND(J5214=1,K5214=1),AND(J5214=1,I5214="SBJ"),AND(J5214=1,I5214=0)),"?IN_FOCUS",IF(J5214&lt;=2,"?ACTIVATED",IF(J5214&lt;&gt;"","?FAMILIAR",IF(F5214="NEW",IF(ISNA(VLOOKUP(E5214,#REF!,1,FALSE())),"?TYPE_IDENTIFIABLE","?REFERENTIAL"),"_")))))</f>
        <v> </v>
      </c>
      <c r="H5214" s="25" t="str">
        <f>IF(J5214&lt;&gt;1,"",IF(I5214="SBJ","CB","?"))</f>
        <v> </v>
      </c>
      <c r="I5214" s="26" t="str">
        <f>IF(OR(E5214="",E5214="!!!",F5214="NEW"),"",INDEX(B5213:B$2,-1+SUMPRODUCT(MAX(ROW(E5213:E$2)*(E5214=E5213:E$2)))))</f>
        <v> </v>
      </c>
      <c r="J5214" s="26" t="str">
        <f>IF(OR(E5214="",E5214="!!!",F5214="NEW"),"",COUNTBLANK(OFFSET(A$1,,,SUMPRODUCT(MAX(ROW(E$2:E5214)*(E5214=E$2:E5214)))))-COUNTBLANK(OFFSET(A$1,,,SUMPRODUCT(MAX(ROW(E$1:E5213)*(E2=E$1:E5213))))))</f>
        <v> </v>
      </c>
      <c r="K5214" s="26" t="str">
        <f>IF(OR(E5214="",E5214="!!!",F5214="NEW"),"",INDEX(J$1:J5213,SUMPRODUCT(MAX(ROW(E$1:E5213)*(E5214=E$1:E5213)))))</f>
        <v> </v>
      </c>
      <c r="L5214" s="27"/>
    </row>
    <row r="5215" spans="1:12">
      <c r="A5215" s="20"/>
    </row>
    <row r="5216" spans="1:12">
      <c r="A5216" s="20" t="s">
        <v>2886</v>
      </c>
    </row>
    <row r="5217" spans="1:12">
      <c r="A5217" s="20" t="s">
        <v>1737</v>
      </c>
      <c r="E5217" s="22">
        <f>IF(D5217="?OLD","!!!","")</f>
        <v/>
      </c>
      <c r="F5217" s="23" t="str">
        <f>IF(OR(E5217="",E5217="!!!"),"",IF(NOT(ISNA(VLOOKUP(E5217,E$1:E5216,1,FALSE()))),"OLD",IF(AND(E5217&lt;&gt;"",E5217&lt;&gt;"!!!"),"NEW","")))</f>
        <v> </v>
      </c>
      <c r="G5217" s="24" t="str">
        <f>IF(OR(E5217="",E5217="!!!"),"",IF(OR(J5217=0,AND(J5217=1,K5217=1),AND(J5217=1,I5217="SBJ"),AND(J5217=1,I5217=0)),"?IN_FOCUS",IF(J5217&lt;=2,"?ACTIVATED",IF(J5217&lt;&gt;"","?FAMILIAR",IF(F5217="NEW",IF(ISNA(VLOOKUP(E5217,#REF!,1,FALSE())),"?TYPE_IDENTIFIABLE","?REFERENTIAL"),"_")))))</f>
        <v> </v>
      </c>
      <c r="H5217" s="25" t="str">
        <f>IF(J5217&lt;&gt;1,"",IF(I5217="SBJ","CB","?"))</f>
        <v> </v>
      </c>
      <c r="I5217" s="26" t="str">
        <f>IF(OR(E5217="",E5217="!!!",F5217="NEW"),"",INDEX(B5216:B$2,-1+SUMPRODUCT(MAX(ROW(E5216:E$2)*(E5217=E5216:E$2)))))</f>
        <v> </v>
      </c>
      <c r="J5217" s="26" t="str">
        <f>IF(OR(E5217="",E5217="!!!",F5217="NEW"),"",COUNTBLANK(OFFSET(A$1,,,SUMPRODUCT(MAX(ROW(E$2:E5217)*(E5217=E$2:E5217)))))-COUNTBLANK(OFFSET(A$1,,,SUMPRODUCT(MAX(ROW(E$1:E5216)*(E2=E$1:E5216))))))</f>
        <v> </v>
      </c>
      <c r="K5217" s="26" t="str">
        <f>IF(OR(E5217="",E5217="!!!",F5217="NEW"),"",INDEX(J$1:J5216,SUMPRODUCT(MAX(ROW(E$1:E5216)*(E5217=E$1:E5216)))))</f>
        <v> </v>
      </c>
      <c r="L5217" s="27"/>
    </row>
    <row r="5218" spans="1:12">
      <c r="A5218" s="20" t="s">
        <v>565</v>
      </c>
      <c r="B5218" s="21" t="s">
        <v>1229</v>
      </c>
      <c r="C5218" s="21" t="s">
        <v>1255</v>
      </c>
      <c r="D5218" s="21" t="s">
        <v>1217</v>
      </c>
      <c r="E5218" s="22">
        <f>IF(D5218="?OLD","!!!","")</f>
        <v/>
      </c>
      <c r="F5218" s="23" t="str">
        <f>IF(OR(E5218="",E5218="!!!"),"",IF(NOT(ISNA(VLOOKUP(E5218,E$1:E5217,1,FALSE()))),"OLD",IF(AND(E5218&lt;&gt;"",E5218&lt;&gt;"!!!"),"NEW","")))</f>
        <v> </v>
      </c>
      <c r="G5218" s="24" t="str">
        <f>IF(OR(E5218="",E5218="!!!"),"",IF(OR(J5218=0,AND(J5218=1,K5218=1),AND(J5218=1,I5218="SBJ"),AND(J5218=1,I5218=0)),"?IN_FOCUS",IF(J5218&lt;=2,"?ACTIVATED",IF(J5218&lt;&gt;"","?FAMILIAR",IF(F5218="NEW",IF(ISNA(VLOOKUP(E5218,#REF!,1,FALSE())),"?TYPE_IDENTIFIABLE","?REFERENTIAL"),"_")))))</f>
        <v> </v>
      </c>
      <c r="H5218" s="25" t="str">
        <f>IF(J5218&lt;&gt;1,"",IF(I5218="SBJ","CB","?"))</f>
        <v> </v>
      </c>
      <c r="I5218" s="26" t="str">
        <f>IF(OR(E5218="",E5218="!!!",F5218="NEW"),"",INDEX(B5217:B$2,-1+SUMPRODUCT(MAX(ROW(E5217:E$2)*(E5218=E5217:E$2)))))</f>
        <v> </v>
      </c>
      <c r="J5218" s="26" t="str">
        <f>IF(OR(E5218="",E5218="!!!",F5218="NEW"),"",COUNTBLANK(OFFSET(A$1,,,SUMPRODUCT(MAX(ROW(E$2:E5218)*(E5218=E$2:E5218)))))-COUNTBLANK(OFFSET(A$1,,,SUMPRODUCT(MAX(ROW(E$1:E5217)*(E2=E$1:E5217))))))</f>
        <v> </v>
      </c>
      <c r="K5218" s="26" t="str">
        <f>IF(OR(E5218="",E5218="!!!",F5218="NEW"),"",INDEX(J$1:J5217,SUMPRODUCT(MAX(ROW(E$1:E5217)*(E5218=E$1:E5217)))))</f>
        <v> </v>
      </c>
      <c r="L5218" s="27"/>
    </row>
    <row r="5219" spans="1:12">
      <c r="A5219" s="20" t="s">
        <v>1583</v>
      </c>
      <c r="E5219" s="22">
        <f>IF(D5219="?OLD","!!!","")</f>
        <v/>
      </c>
      <c r="F5219" s="23" t="str">
        <f>IF(OR(E5219="",E5219="!!!"),"",IF(NOT(ISNA(VLOOKUP(E5219,E$1:E5218,1,FALSE()))),"OLD",IF(AND(E5219&lt;&gt;"",E5219&lt;&gt;"!!!"),"NEW","")))</f>
        <v> </v>
      </c>
      <c r="G5219" s="24" t="str">
        <f>IF(OR(E5219="",E5219="!!!"),"",IF(OR(J5219=0,AND(J5219=1,K5219=1),AND(J5219=1,I5219="SBJ"),AND(J5219=1,I5219=0)),"?IN_FOCUS",IF(J5219&lt;=2,"?ACTIVATED",IF(J5219&lt;&gt;"","?FAMILIAR",IF(F5219="NEW",IF(ISNA(VLOOKUP(E5219,#REF!,1,FALSE())),"?TYPE_IDENTIFIABLE","?REFERENTIAL"),"_")))))</f>
        <v> </v>
      </c>
      <c r="H5219" s="25" t="str">
        <f>IF(J5219&lt;&gt;1,"",IF(I5219="SBJ","CB","?"))</f>
        <v> </v>
      </c>
      <c r="I5219" s="26" t="str">
        <f>IF(OR(E5219="",E5219="!!!",F5219="NEW"),"",INDEX(B5218:B$2,-1+SUMPRODUCT(MAX(ROW(E5218:E$2)*(E5219=E5218:E$2)))))</f>
        <v> </v>
      </c>
      <c r="J5219" s="26" t="str">
        <f>IF(OR(E5219="",E5219="!!!",F5219="NEW"),"",COUNTBLANK(OFFSET(A$1,,,SUMPRODUCT(MAX(ROW(E$2:E5219)*(E5219=E$2:E5219)))))-COUNTBLANK(OFFSET(A$1,,,SUMPRODUCT(MAX(ROW(E$1:E5218)*(E2=E$1:E5218))))))</f>
        <v> </v>
      </c>
      <c r="K5219" s="26" t="str">
        <f>IF(OR(E5219="",E5219="!!!",F5219="NEW"),"",INDEX(J$1:J5218,SUMPRODUCT(MAX(ROW(E$1:E5218)*(E5219=E$1:E5218)))))</f>
        <v> </v>
      </c>
      <c r="L5219" s="27"/>
    </row>
    <row r="5220" spans="1:12">
      <c r="A5220" s="20" t="s">
        <v>2197</v>
      </c>
      <c r="E5220" s="22">
        <f>IF(D5220="?OLD","!!!","")</f>
        <v/>
      </c>
      <c r="F5220" s="23" t="str">
        <f>IF(OR(E5220="",E5220="!!!"),"",IF(NOT(ISNA(VLOOKUP(E5220,E$1:E5219,1,FALSE()))),"OLD",IF(AND(E5220&lt;&gt;"",E5220&lt;&gt;"!!!"),"NEW","")))</f>
        <v> </v>
      </c>
      <c r="G5220" s="24" t="str">
        <f>IF(OR(E5220="",E5220="!!!"),"",IF(OR(J5220=0,AND(J5220=1,K5220=1),AND(J5220=1,I5220="SBJ"),AND(J5220=1,I5220=0)),"?IN_FOCUS",IF(J5220&lt;=2,"?ACTIVATED",IF(J5220&lt;&gt;"","?FAMILIAR",IF(F5220="NEW",IF(ISNA(VLOOKUP(E5220,#REF!,1,FALSE())),"?TYPE_IDENTIFIABLE","?REFERENTIAL"),"_")))))</f>
        <v> </v>
      </c>
      <c r="H5220" s="25" t="str">
        <f>IF(J5220&lt;&gt;1,"",IF(I5220="SBJ","CB","?"))</f>
        <v> </v>
      </c>
      <c r="I5220" s="26" t="str">
        <f>IF(OR(E5220="",E5220="!!!",F5220="NEW"),"",INDEX(B5219:B$2,-1+SUMPRODUCT(MAX(ROW(E5219:E$2)*(E5220=E5219:E$2)))))</f>
        <v> </v>
      </c>
      <c r="J5220" s="26" t="str">
        <f>IF(OR(E5220="",E5220="!!!",F5220="NEW"),"",COUNTBLANK(OFFSET(A$1,,,SUMPRODUCT(MAX(ROW(E$2:E5220)*(E5220=E$2:E5220)))))-COUNTBLANK(OFFSET(A$1,,,SUMPRODUCT(MAX(ROW(E$1:E5219)*(E2=E$1:E5219))))))</f>
        <v> </v>
      </c>
      <c r="K5220" s="26" t="str">
        <f>IF(OR(E5220="",E5220="!!!",F5220="NEW"),"",INDEX(J$1:J5219,SUMPRODUCT(MAX(ROW(E$1:E5219)*(E5220=E$1:E5219)))))</f>
        <v> </v>
      </c>
      <c r="L5220" s="27"/>
    </row>
    <row r="5221" spans="1:12">
      <c r="A5221" s="20" t="s">
        <v>1321</v>
      </c>
      <c r="E5221" s="22">
        <f>IF(D5221="?OLD","!!!","")</f>
        <v/>
      </c>
      <c r="F5221" s="23" t="str">
        <f>IF(OR(E5221="",E5221="!!!"),"",IF(NOT(ISNA(VLOOKUP(E5221,E$1:E5220,1,FALSE()))),"OLD",IF(AND(E5221&lt;&gt;"",E5221&lt;&gt;"!!!"),"NEW","")))</f>
        <v> </v>
      </c>
      <c r="G5221" s="24" t="str">
        <f>IF(OR(E5221="",E5221="!!!"),"",IF(OR(J5221=0,AND(J5221=1,K5221=1),AND(J5221=1,I5221="SBJ"),AND(J5221=1,I5221=0)),"?IN_FOCUS",IF(J5221&lt;=2,"?ACTIVATED",IF(J5221&lt;&gt;"","?FAMILIAR",IF(F5221="NEW",IF(ISNA(VLOOKUP(E5221,#REF!,1,FALSE())),"?TYPE_IDENTIFIABLE","?REFERENTIAL"),"_")))))</f>
        <v> </v>
      </c>
      <c r="H5221" s="25" t="str">
        <f>IF(J5221&lt;&gt;1,"",IF(I5221="SBJ","CB","?"))</f>
        <v> </v>
      </c>
      <c r="I5221" s="26" t="str">
        <f>IF(OR(E5221="",E5221="!!!",F5221="NEW"),"",INDEX(B5220:B$2,-1+SUMPRODUCT(MAX(ROW(E5220:E$2)*(E5221=E5220:E$2)))))</f>
        <v> </v>
      </c>
      <c r="J5221" s="26" t="str">
        <f>IF(OR(E5221="",E5221="!!!",F5221="NEW"),"",COUNTBLANK(OFFSET(A$1,,,SUMPRODUCT(MAX(ROW(E$2:E5221)*(E5221=E$2:E5221)))))-COUNTBLANK(OFFSET(A$1,,,SUMPRODUCT(MAX(ROW(E$1:E5220)*(E2=E$1:E5220))))))</f>
        <v> </v>
      </c>
      <c r="K5221" s="26" t="str">
        <f>IF(OR(E5221="",E5221="!!!",F5221="NEW"),"",INDEX(J$1:J5220,SUMPRODUCT(MAX(ROW(E$1:E5220)*(E5221=E$1:E5220)))))</f>
        <v> </v>
      </c>
      <c r="L5221" s="27"/>
    </row>
    <row r="5222" spans="1:12">
      <c r="A5222" s="20" t="s">
        <v>1852</v>
      </c>
      <c r="B5222" s="21" t="s">
        <v>1283</v>
      </c>
      <c r="C5222" s="21" t="s">
        <v>1216</v>
      </c>
      <c r="D5222" s="21" t="s">
        <v>1217</v>
      </c>
      <c r="E5222" s="22">
        <f>IF(D5222="?OLD","!!!","")</f>
        <v/>
      </c>
      <c r="F5222" s="23" t="str">
        <f>IF(OR(E5222="",E5222="!!!"),"",IF(NOT(ISNA(VLOOKUP(E5222,E$1:E5221,1,FALSE()))),"OLD",IF(AND(E5222&lt;&gt;"",E5222&lt;&gt;"!!!"),"NEW","")))</f>
        <v> </v>
      </c>
      <c r="G5222" s="24" t="str">
        <f>IF(OR(E5222="",E5222="!!!"),"",IF(OR(J5222=0,AND(J5222=1,K5222=1),AND(J5222=1,I5222="SBJ"),AND(J5222=1,I5222=0)),"?IN_FOCUS",IF(J5222&lt;=2,"?ACTIVATED",IF(J5222&lt;&gt;"","?FAMILIAR",IF(F5222="NEW",IF(ISNA(VLOOKUP(E5222,#REF!,1,FALSE())),"?TYPE_IDENTIFIABLE","?REFERENTIAL"),"_")))))</f>
        <v> </v>
      </c>
      <c r="H5222" s="25" t="str">
        <f>IF(J5222&lt;&gt;1,"",IF(I5222="SBJ","CB","?"))</f>
        <v> </v>
      </c>
      <c r="I5222" s="26" t="str">
        <f>IF(OR(E5222="",E5222="!!!",F5222="NEW"),"",INDEX(B5221:B$2,-1+SUMPRODUCT(MAX(ROW(E5221:E$2)*(E5222=E5221:E$2)))))</f>
        <v> </v>
      </c>
      <c r="J5222" s="26" t="str">
        <f>IF(OR(E5222="",E5222="!!!",F5222="NEW"),"",COUNTBLANK(OFFSET(A$1,,,SUMPRODUCT(MAX(ROW(E$2:E5222)*(E5222=E$2:E5222)))))-COUNTBLANK(OFFSET(A$1,,,SUMPRODUCT(MAX(ROW(E$1:E5221)*(E2=E$1:E5221))))))</f>
        <v> </v>
      </c>
      <c r="K5222" s="26" t="str">
        <f>IF(OR(E5222="",E5222="!!!",F5222="NEW"),"",INDEX(J$1:J5221,SUMPRODUCT(MAX(ROW(E$1:E5221)*(E5222=E$1:E5221)))))</f>
        <v> </v>
      </c>
      <c r="L5222" s="27"/>
    </row>
    <row r="5223" spans="1:12">
      <c r="A5223" s="20" t="s">
        <v>1302</v>
      </c>
      <c r="E5223" s="22">
        <f>IF(D5223="?OLD","!!!","")</f>
        <v/>
      </c>
      <c r="F5223" s="23" t="str">
        <f>IF(OR(E5223="",E5223="!!!"),"",IF(NOT(ISNA(VLOOKUP(E5223,E$1:E5222,1,FALSE()))),"OLD",IF(AND(E5223&lt;&gt;"",E5223&lt;&gt;"!!!"),"NEW","")))</f>
        <v> </v>
      </c>
      <c r="G5223" s="24" t="str">
        <f>IF(OR(E5223="",E5223="!!!"),"",IF(OR(J5223=0,AND(J5223=1,K5223=1),AND(J5223=1,I5223="SBJ"),AND(J5223=1,I5223=0)),"?IN_FOCUS",IF(J5223&lt;=2,"?ACTIVATED",IF(J5223&lt;&gt;"","?FAMILIAR",IF(F5223="NEW",IF(ISNA(VLOOKUP(E5223,#REF!,1,FALSE())),"?TYPE_IDENTIFIABLE","?REFERENTIAL"),"_")))))</f>
        <v> </v>
      </c>
      <c r="H5223" s="25" t="str">
        <f>IF(J5223&lt;&gt;1,"",IF(I5223="SBJ","CB","?"))</f>
        <v> </v>
      </c>
      <c r="I5223" s="26" t="str">
        <f>IF(OR(E5223="",E5223="!!!",F5223="NEW"),"",INDEX(B5222:B$2,-1+SUMPRODUCT(MAX(ROW(E5222:E$2)*(E5223=E5222:E$2)))))</f>
        <v> </v>
      </c>
      <c r="J5223" s="26" t="str">
        <f>IF(OR(E5223="",E5223="!!!",F5223="NEW"),"",COUNTBLANK(OFFSET(A$1,,,SUMPRODUCT(MAX(ROW(E$2:E5223)*(E5223=E$2:E5223)))))-COUNTBLANK(OFFSET(A$1,,,SUMPRODUCT(MAX(ROW(E$1:E5222)*(E2=E$1:E5222))))))</f>
        <v> </v>
      </c>
      <c r="K5223" s="26" t="str">
        <f>IF(OR(E5223="",E5223="!!!",F5223="NEW"),"",INDEX(J$1:J5222,SUMPRODUCT(MAX(ROW(E$1:E5222)*(E5223=E$1:E5222)))))</f>
        <v> </v>
      </c>
      <c r="L5223" s="27"/>
    </row>
    <row r="5224" spans="1:12">
      <c r="A5224" s="20" t="s">
        <v>2429</v>
      </c>
      <c r="E5224" s="22">
        <f>IF(D5224="?OLD","!!!","")</f>
        <v/>
      </c>
      <c r="F5224" s="23" t="str">
        <f>IF(OR(E5224="",E5224="!!!"),"",IF(NOT(ISNA(VLOOKUP(E5224,E$1:E5223,1,FALSE()))),"OLD",IF(AND(E5224&lt;&gt;"",E5224&lt;&gt;"!!!"),"NEW","")))</f>
        <v> </v>
      </c>
      <c r="G5224" s="24" t="str">
        <f>IF(OR(E5224="",E5224="!!!"),"",IF(OR(J5224=0,AND(J5224=1,K5224=1),AND(J5224=1,I5224="SBJ"),AND(J5224=1,I5224=0)),"?IN_FOCUS",IF(J5224&lt;=2,"?ACTIVATED",IF(J5224&lt;&gt;"","?FAMILIAR",IF(F5224="NEW",IF(ISNA(VLOOKUP(E5224,#REF!,1,FALSE())),"?TYPE_IDENTIFIABLE","?REFERENTIAL"),"_")))))</f>
        <v> </v>
      </c>
      <c r="H5224" s="25" t="str">
        <f>IF(J5224&lt;&gt;1,"",IF(I5224="SBJ","CB","?"))</f>
        <v> </v>
      </c>
      <c r="I5224" s="26" t="str">
        <f>IF(OR(E5224="",E5224="!!!",F5224="NEW"),"",INDEX(B5223:B$2,-1+SUMPRODUCT(MAX(ROW(E5223:E$2)*(E5224=E5223:E$2)))))</f>
        <v> </v>
      </c>
      <c r="J5224" s="26" t="str">
        <f>IF(OR(E5224="",E5224="!!!",F5224="NEW"),"",COUNTBLANK(OFFSET(A$1,,,SUMPRODUCT(MAX(ROW(E$2:E5224)*(E5224=E$2:E5224)))))-COUNTBLANK(OFFSET(A$1,,,SUMPRODUCT(MAX(ROW(E$1:E5223)*(E2=E$1:E5223))))))</f>
        <v> </v>
      </c>
      <c r="K5224" s="26" t="str">
        <f>IF(OR(E5224="",E5224="!!!",F5224="NEW"),"",INDEX(J$1:J5223,SUMPRODUCT(MAX(ROW(E$1:E5223)*(E5224=E$1:E5223)))))</f>
        <v> </v>
      </c>
      <c r="L5224" s="27"/>
    </row>
    <row r="5225" spans="1:12">
      <c r="A5225" s="20" t="s">
        <v>1277</v>
      </c>
      <c r="E5225" s="22">
        <f>IF(D5225="?OLD","!!!","")</f>
        <v/>
      </c>
      <c r="F5225" s="23" t="str">
        <f>IF(OR(E5225="",E5225="!!!"),"",IF(NOT(ISNA(VLOOKUP(E5225,E$1:E5224,1,FALSE()))),"OLD",IF(AND(E5225&lt;&gt;"",E5225&lt;&gt;"!!!"),"NEW","")))</f>
        <v> </v>
      </c>
      <c r="G5225" s="24" t="str">
        <f>IF(OR(E5225="",E5225="!!!"),"",IF(OR(J5225=0,AND(J5225=1,K5225=1),AND(J5225=1,I5225="SBJ"),AND(J5225=1,I5225=0)),"?IN_FOCUS",IF(J5225&lt;=2,"?ACTIVATED",IF(J5225&lt;&gt;"","?FAMILIAR",IF(F5225="NEW",IF(ISNA(VLOOKUP(E5225,#REF!,1,FALSE())),"?TYPE_IDENTIFIABLE","?REFERENTIAL"),"_")))))</f>
        <v> </v>
      </c>
      <c r="H5225" s="25" t="str">
        <f>IF(J5225&lt;&gt;1,"",IF(I5225="SBJ","CB","?"))</f>
        <v> </v>
      </c>
      <c r="I5225" s="26" t="str">
        <f>IF(OR(E5225="",E5225="!!!",F5225="NEW"),"",INDEX(B5224:B$2,-1+SUMPRODUCT(MAX(ROW(E5224:E$2)*(E5225=E5224:E$2)))))</f>
        <v> </v>
      </c>
      <c r="J5225" s="26" t="str">
        <f>IF(OR(E5225="",E5225="!!!",F5225="NEW"),"",COUNTBLANK(OFFSET(A$1,,,SUMPRODUCT(MAX(ROW(E$2:E5225)*(E5225=E$2:E5225)))))-COUNTBLANK(OFFSET(A$1,,,SUMPRODUCT(MAX(ROW(E$1:E5224)*(E2=E$1:E5224))))))</f>
        <v> </v>
      </c>
      <c r="K5225" s="26" t="str">
        <f>IF(OR(E5225="",E5225="!!!",F5225="NEW"),"",INDEX(J$1:J5224,SUMPRODUCT(MAX(ROW(E$1:E5224)*(E5225=E$1:E5224)))))</f>
        <v> </v>
      </c>
      <c r="L5225" s="27"/>
    </row>
    <row r="5226" spans="1:12">
      <c r="A5226" s="20" t="s">
        <v>565</v>
      </c>
      <c r="B5226" s="21" t="s">
        <v>1215</v>
      </c>
      <c r="C5226" s="21" t="s">
        <v>1255</v>
      </c>
      <c r="D5226" s="21" t="s">
        <v>1217</v>
      </c>
      <c r="E5226" s="22">
        <f>IF(D5226="?OLD","!!!","")</f>
        <v/>
      </c>
      <c r="F5226" s="23" t="str">
        <f>IF(OR(E5226="",E5226="!!!"),"",IF(NOT(ISNA(VLOOKUP(E5226,E$1:E5225,1,FALSE()))),"OLD",IF(AND(E5226&lt;&gt;"",E5226&lt;&gt;"!!!"),"NEW","")))</f>
        <v> </v>
      </c>
      <c r="G5226" s="24" t="str">
        <f>IF(OR(E5226="",E5226="!!!"),"",IF(OR(J5226=0,AND(J5226=1,K5226=1),AND(J5226=1,I5226="SBJ"),AND(J5226=1,I5226=0)),"?IN_FOCUS",IF(J5226&lt;=2,"?ACTIVATED",IF(J5226&lt;&gt;"","?FAMILIAR",IF(F5226="NEW",IF(ISNA(VLOOKUP(E5226,#REF!,1,FALSE())),"?TYPE_IDENTIFIABLE","?REFERENTIAL"),"_")))))</f>
        <v> </v>
      </c>
      <c r="H5226" s="25" t="str">
        <f>IF(J5226&lt;&gt;1,"",IF(I5226="SBJ","CB","?"))</f>
        <v> </v>
      </c>
      <c r="I5226" s="26" t="str">
        <f>IF(OR(E5226="",E5226="!!!",F5226="NEW"),"",INDEX(B5225:B$2,-1+SUMPRODUCT(MAX(ROW(E5225:E$2)*(E5226=E5225:E$2)))))</f>
        <v> </v>
      </c>
      <c r="J5226" s="26" t="str">
        <f>IF(OR(E5226="",E5226="!!!",F5226="NEW"),"",COUNTBLANK(OFFSET(A$1,,,SUMPRODUCT(MAX(ROW(E$2:E5226)*(E5226=E$2:E5226)))))-COUNTBLANK(OFFSET(A$1,,,SUMPRODUCT(MAX(ROW(E$1:E5225)*(E2=E$1:E5225))))))</f>
        <v> </v>
      </c>
      <c r="K5226" s="26" t="str">
        <f>IF(OR(E5226="",E5226="!!!",F5226="NEW"),"",INDEX(J$1:J5225,SUMPRODUCT(MAX(ROW(E$1:E5225)*(E5226=E$1:E5225)))))</f>
        <v> </v>
      </c>
      <c r="L5226" s="27"/>
    </row>
    <row r="5227" spans="1:12">
      <c r="A5227" s="20" t="s">
        <v>1373</v>
      </c>
      <c r="E5227" s="22">
        <f>IF(D5227="?OLD","!!!","")</f>
        <v/>
      </c>
      <c r="F5227" s="23" t="str">
        <f>IF(OR(E5227="",E5227="!!!"),"",IF(NOT(ISNA(VLOOKUP(E5227,E$1:E5226,1,FALSE()))),"OLD",IF(AND(E5227&lt;&gt;"",E5227&lt;&gt;"!!!"),"NEW","")))</f>
        <v> </v>
      </c>
      <c r="G5227" s="24" t="str">
        <f>IF(OR(E5227="",E5227="!!!"),"",IF(OR(J5227=0,AND(J5227=1,K5227=1),AND(J5227=1,I5227="SBJ"),AND(J5227=1,I5227=0)),"?IN_FOCUS",IF(J5227&lt;=2,"?ACTIVATED",IF(J5227&lt;&gt;"","?FAMILIAR",IF(F5227="NEW",IF(ISNA(VLOOKUP(E5227,#REF!,1,FALSE())),"?TYPE_IDENTIFIABLE","?REFERENTIAL"),"_")))))</f>
        <v> </v>
      </c>
      <c r="H5227" s="25" t="str">
        <f>IF(J5227&lt;&gt;1,"",IF(I5227="SBJ","CB","?"))</f>
        <v> </v>
      </c>
      <c r="I5227" s="26" t="str">
        <f>IF(OR(E5227="",E5227="!!!",F5227="NEW"),"",INDEX(B5226:B$2,-1+SUMPRODUCT(MAX(ROW(E5226:E$2)*(E5227=E5226:E$2)))))</f>
        <v> </v>
      </c>
      <c r="J5227" s="26" t="str">
        <f>IF(OR(E5227="",E5227="!!!",F5227="NEW"),"",COUNTBLANK(OFFSET(A$1,,,SUMPRODUCT(MAX(ROW(E$2:E5227)*(E5227=E$2:E5227)))))-COUNTBLANK(OFFSET(A$1,,,SUMPRODUCT(MAX(ROW(E$1:E5226)*(E2=E$1:E5226))))))</f>
        <v> </v>
      </c>
      <c r="K5227" s="26" t="str">
        <f>IF(OR(E5227="",E5227="!!!",F5227="NEW"),"",INDEX(J$1:J5226,SUMPRODUCT(MAX(ROW(E$1:E5226)*(E5227=E$1:E5226)))))</f>
        <v> </v>
      </c>
      <c r="L5227" s="27"/>
    </row>
    <row r="5228" spans="1:12">
      <c r="A5228" s="20" t="s">
        <v>1530</v>
      </c>
      <c r="E5228" s="22">
        <f>IF(D5228="?OLD","!!!","")</f>
        <v/>
      </c>
      <c r="F5228" s="23" t="str">
        <f>IF(OR(E5228="",E5228="!!!"),"",IF(NOT(ISNA(VLOOKUP(E5228,E$1:E5227,1,FALSE()))),"OLD",IF(AND(E5228&lt;&gt;"",E5228&lt;&gt;"!!!"),"NEW","")))</f>
        <v> </v>
      </c>
      <c r="G5228" s="24" t="str">
        <f>IF(OR(E5228="",E5228="!!!"),"",IF(OR(J5228=0,AND(J5228=1,K5228=1),AND(J5228=1,I5228="SBJ"),AND(J5228=1,I5228=0)),"?IN_FOCUS",IF(J5228&lt;=2,"?ACTIVATED",IF(J5228&lt;&gt;"","?FAMILIAR",IF(F5228="NEW",IF(ISNA(VLOOKUP(E5228,#REF!,1,FALSE())),"?TYPE_IDENTIFIABLE","?REFERENTIAL"),"_")))))</f>
        <v> </v>
      </c>
      <c r="H5228" s="25" t="str">
        <f>IF(J5228&lt;&gt;1,"",IF(I5228="SBJ","CB","?"))</f>
        <v> </v>
      </c>
      <c r="I5228" s="26" t="str">
        <f>IF(OR(E5228="",E5228="!!!",F5228="NEW"),"",INDEX(B5227:B$2,-1+SUMPRODUCT(MAX(ROW(E5227:E$2)*(E5228=E5227:E$2)))))</f>
        <v> </v>
      </c>
      <c r="J5228" s="26" t="str">
        <f>IF(OR(E5228="",E5228="!!!",F5228="NEW"),"",COUNTBLANK(OFFSET(A$1,,,SUMPRODUCT(MAX(ROW(E$2:E5228)*(E5228=E$2:E5228)))))-COUNTBLANK(OFFSET(A$1,,,SUMPRODUCT(MAX(ROW(E$1:E5227)*(E2=E$1:E5227))))))</f>
        <v> </v>
      </c>
      <c r="K5228" s="26" t="str">
        <f>IF(OR(E5228="",E5228="!!!",F5228="NEW"),"",INDEX(J$1:J5227,SUMPRODUCT(MAX(ROW(E$1:E5227)*(E5228=E$1:E5227)))))</f>
        <v> </v>
      </c>
      <c r="L5228" s="27"/>
    </row>
    <row r="5229" spans="1:12">
      <c r="A5229" s="20" t="s">
        <v>2887</v>
      </c>
      <c r="E5229" s="22">
        <f>IF(D5229="?OLD","!!!","")</f>
        <v/>
      </c>
      <c r="F5229" s="23" t="str">
        <f>IF(OR(E5229="",E5229="!!!"),"",IF(NOT(ISNA(VLOOKUP(E5229,E$1:E5228,1,FALSE()))),"OLD",IF(AND(E5229&lt;&gt;"",E5229&lt;&gt;"!!!"),"NEW","")))</f>
        <v> </v>
      </c>
      <c r="G5229" s="24" t="str">
        <f>IF(OR(E5229="",E5229="!!!"),"",IF(OR(J5229=0,AND(J5229=1,K5229=1),AND(J5229=1,I5229="SBJ"),AND(J5229=1,I5229=0)),"?IN_FOCUS",IF(J5229&lt;=2,"?ACTIVATED",IF(J5229&lt;&gt;"","?FAMILIAR",IF(F5229="NEW",IF(ISNA(VLOOKUP(E5229,#REF!,1,FALSE())),"?TYPE_IDENTIFIABLE","?REFERENTIAL"),"_")))))</f>
        <v> </v>
      </c>
      <c r="H5229" s="25" t="str">
        <f>IF(J5229&lt;&gt;1,"",IF(I5229="SBJ","CB","?"))</f>
        <v> </v>
      </c>
      <c r="I5229" s="26" t="str">
        <f>IF(OR(E5229="",E5229="!!!",F5229="NEW"),"",INDEX(B5228:B$2,-1+SUMPRODUCT(MAX(ROW(E5228:E$2)*(E5229=E5228:E$2)))))</f>
        <v> </v>
      </c>
      <c r="J5229" s="26" t="str">
        <f>IF(OR(E5229="",E5229="!!!",F5229="NEW"),"",COUNTBLANK(OFFSET(A$1,,,SUMPRODUCT(MAX(ROW(E$2:E5229)*(E5229=E$2:E5229)))))-COUNTBLANK(OFFSET(A$1,,,SUMPRODUCT(MAX(ROW(E$1:E5228)*(E2=E$1:E5228))))))</f>
        <v> </v>
      </c>
      <c r="K5229" s="26" t="str">
        <f>IF(OR(E5229="",E5229="!!!",F5229="NEW"),"",INDEX(J$1:J5228,SUMPRODUCT(MAX(ROW(E$1:E5228)*(E5229=E$1:E5228)))))</f>
        <v> </v>
      </c>
      <c r="L5229" s="27"/>
    </row>
    <row r="5230" spans="1:12">
      <c r="A5230" s="20" t="s">
        <v>1218</v>
      </c>
      <c r="E5230" s="22">
        <f>IF(D5230="?OLD","!!!","")</f>
        <v/>
      </c>
      <c r="F5230" s="23" t="str">
        <f>IF(OR(E5230="",E5230="!!!"),"",IF(NOT(ISNA(VLOOKUP(E5230,E$1:E5229,1,FALSE()))),"OLD",IF(AND(E5230&lt;&gt;"",E5230&lt;&gt;"!!!"),"NEW","")))</f>
        <v> </v>
      </c>
      <c r="G5230" s="24" t="str">
        <f>IF(OR(E5230="",E5230="!!!"),"",IF(OR(J5230=0,AND(J5230=1,K5230=1),AND(J5230=1,I5230="SBJ"),AND(J5230=1,I5230=0)),"?IN_FOCUS",IF(J5230&lt;=2,"?ACTIVATED",IF(J5230&lt;&gt;"","?FAMILIAR",IF(F5230="NEW",IF(ISNA(VLOOKUP(E5230,#REF!,1,FALSE())),"?TYPE_IDENTIFIABLE","?REFERENTIAL"),"_")))))</f>
        <v> </v>
      </c>
      <c r="H5230" s="25" t="str">
        <f>IF(J5230&lt;&gt;1,"",IF(I5230="SBJ","CB","?"))</f>
        <v> </v>
      </c>
      <c r="I5230" s="26" t="str">
        <f>IF(OR(E5230="",E5230="!!!",F5230="NEW"),"",INDEX(B5229:B$2,-1+SUMPRODUCT(MAX(ROW(E5229:E$2)*(E5230=E5229:E$2)))))</f>
        <v> </v>
      </c>
      <c r="J5230" s="26" t="str">
        <f>IF(OR(E5230="",E5230="!!!",F5230="NEW"),"",COUNTBLANK(OFFSET(A$1,,,SUMPRODUCT(MAX(ROW(E$2:E5230)*(E5230=E$2:E5230)))))-COUNTBLANK(OFFSET(A$1,,,SUMPRODUCT(MAX(ROW(E$1:E5229)*(E2=E$1:E5229))))))</f>
        <v> </v>
      </c>
      <c r="K5230" s="26" t="str">
        <f>IF(OR(E5230="",E5230="!!!",F5230="NEW"),"",INDEX(J$1:J5229,SUMPRODUCT(MAX(ROW(E$1:E5229)*(E5230=E$1:E5229)))))</f>
        <v> </v>
      </c>
      <c r="L5230" s="27"/>
    </row>
    <row r="5231" spans="1:12">
      <c r="A5231" s="20" t="s">
        <v>1450</v>
      </c>
      <c r="B5231" s="21" t="s">
        <v>1244</v>
      </c>
      <c r="C5231" s="21" t="s">
        <v>1225</v>
      </c>
      <c r="D5231" s="21" t="s">
        <v>1217</v>
      </c>
      <c r="E5231" s="22">
        <f>IF(D5231="?OLD","!!!","")</f>
        <v/>
      </c>
      <c r="F5231" s="23" t="str">
        <f>IF(OR(E5231="",E5231="!!!"),"",IF(NOT(ISNA(VLOOKUP(E5231,E$1:E5230,1,FALSE()))),"OLD",IF(AND(E5231&lt;&gt;"",E5231&lt;&gt;"!!!"),"NEW","")))</f>
        <v> </v>
      </c>
      <c r="G5231" s="24" t="str">
        <f>IF(OR(E5231="",E5231="!!!"),"",IF(OR(J5231=0,AND(J5231=1,K5231=1),AND(J5231=1,I5231="SBJ"),AND(J5231=1,I5231=0)),"?IN_FOCUS",IF(J5231&lt;=2,"?ACTIVATED",IF(J5231&lt;&gt;"","?FAMILIAR",IF(F5231="NEW",IF(ISNA(VLOOKUP(E5231,#REF!,1,FALSE())),"?TYPE_IDENTIFIABLE","?REFERENTIAL"),"_")))))</f>
        <v> </v>
      </c>
      <c r="H5231" s="25" t="str">
        <f>IF(J5231&lt;&gt;1,"",IF(I5231="SBJ","CB","?"))</f>
        <v> </v>
      </c>
      <c r="I5231" s="26" t="str">
        <f>IF(OR(E5231="",E5231="!!!",F5231="NEW"),"",INDEX(B5230:B$2,-1+SUMPRODUCT(MAX(ROW(E5230:E$2)*(E5231=E5230:E$2)))))</f>
        <v> </v>
      </c>
      <c r="J5231" s="26" t="str">
        <f>IF(OR(E5231="",E5231="!!!",F5231="NEW"),"",COUNTBLANK(OFFSET(A$1,,,SUMPRODUCT(MAX(ROW(E$2:E5231)*(E5231=E$2:E5231)))))-COUNTBLANK(OFFSET(A$1,,,SUMPRODUCT(MAX(ROW(E$1:E5230)*(E2=E$1:E5230))))))</f>
        <v> </v>
      </c>
      <c r="K5231" s="26" t="str">
        <f>IF(OR(E5231="",E5231="!!!",F5231="NEW"),"",INDEX(J$1:J5230,SUMPRODUCT(MAX(ROW(E$1:E5230)*(E5231=E$1:E5230)))))</f>
        <v> </v>
      </c>
      <c r="L5231" s="27"/>
    </row>
    <row r="5232" spans="1:12">
      <c r="A5232" s="20" t="s">
        <v>1451</v>
      </c>
      <c r="E5232" s="22">
        <f>IF(D5232="?OLD","!!!","")</f>
        <v/>
      </c>
      <c r="F5232" s="23" t="str">
        <f>IF(OR(E5232="",E5232="!!!"),"",IF(NOT(ISNA(VLOOKUP(E5232,E$1:E5231,1,FALSE()))),"OLD",IF(AND(E5232&lt;&gt;"",E5232&lt;&gt;"!!!"),"NEW","")))</f>
        <v> </v>
      </c>
      <c r="G5232" s="24" t="str">
        <f>IF(OR(E5232="",E5232="!!!"),"",IF(OR(J5232=0,AND(J5232=1,K5232=1),AND(J5232=1,I5232="SBJ"),AND(J5232=1,I5232=0)),"?IN_FOCUS",IF(J5232&lt;=2,"?ACTIVATED",IF(J5232&lt;&gt;"","?FAMILIAR",IF(F5232="NEW",IF(ISNA(VLOOKUP(E5232,#REF!,1,FALSE())),"?TYPE_IDENTIFIABLE","?REFERENTIAL"),"_")))))</f>
        <v> </v>
      </c>
      <c r="H5232" s="25" t="str">
        <f>IF(J5232&lt;&gt;1,"",IF(I5232="SBJ","CB","?"))</f>
        <v> </v>
      </c>
      <c r="I5232" s="26" t="str">
        <f>IF(OR(E5232="",E5232="!!!",F5232="NEW"),"",INDEX(B5231:B$2,-1+SUMPRODUCT(MAX(ROW(E5231:E$2)*(E5232=E5231:E$2)))))</f>
        <v> </v>
      </c>
      <c r="J5232" s="26" t="str">
        <f>IF(OR(E5232="",E5232="!!!",F5232="NEW"),"",COUNTBLANK(OFFSET(A$1,,,SUMPRODUCT(MAX(ROW(E$2:E5232)*(E5232=E$2:E5232)))))-COUNTBLANK(OFFSET(A$1,,,SUMPRODUCT(MAX(ROW(E$1:E5231)*(E2=E$1:E5231))))))</f>
        <v> </v>
      </c>
      <c r="K5232" s="26" t="str">
        <f>IF(OR(E5232="",E5232="!!!",F5232="NEW"),"",INDEX(J$1:J5231,SUMPRODUCT(MAX(ROW(E$1:E5231)*(E5232=E$1:E5231)))))</f>
        <v> </v>
      </c>
      <c r="L5232" s="27"/>
    </row>
    <row r="5233" spans="1:12">
      <c r="A5233" s="20" t="s">
        <v>1277</v>
      </c>
      <c r="E5233" s="22">
        <f>IF(D5233="?OLD","!!!","")</f>
        <v/>
      </c>
      <c r="F5233" s="23" t="str">
        <f>IF(OR(E5233="",E5233="!!!"),"",IF(NOT(ISNA(VLOOKUP(E5233,E$1:E5232,1,FALSE()))),"OLD",IF(AND(E5233&lt;&gt;"",E5233&lt;&gt;"!!!"),"NEW","")))</f>
        <v> </v>
      </c>
      <c r="G5233" s="24" t="str">
        <f>IF(OR(E5233="",E5233="!!!"),"",IF(OR(J5233=0,AND(J5233=1,K5233=1),AND(J5233=1,I5233="SBJ"),AND(J5233=1,I5233=0)),"?IN_FOCUS",IF(J5233&lt;=2,"?ACTIVATED",IF(J5233&lt;&gt;"","?FAMILIAR",IF(F5233="NEW",IF(ISNA(VLOOKUP(E5233,#REF!,1,FALSE())),"?TYPE_IDENTIFIABLE","?REFERENTIAL"),"_")))))</f>
        <v> </v>
      </c>
      <c r="H5233" s="25" t="str">
        <f>IF(J5233&lt;&gt;1,"",IF(I5233="SBJ","CB","?"))</f>
        <v> </v>
      </c>
      <c r="I5233" s="26" t="str">
        <f>IF(OR(E5233="",E5233="!!!",F5233="NEW"),"",INDEX(B5232:B$2,-1+SUMPRODUCT(MAX(ROW(E5232:E$2)*(E5233=E5232:E$2)))))</f>
        <v> </v>
      </c>
      <c r="J5233" s="26" t="str">
        <f>IF(OR(E5233="",E5233="!!!",F5233="NEW"),"",COUNTBLANK(OFFSET(A$1,,,SUMPRODUCT(MAX(ROW(E$2:E5233)*(E5233=E$2:E5233)))))-COUNTBLANK(OFFSET(A$1,,,SUMPRODUCT(MAX(ROW(E$1:E5232)*(E2=E$1:E5232))))))</f>
        <v> </v>
      </c>
      <c r="K5233" s="26" t="str">
        <f>IF(OR(E5233="",E5233="!!!",F5233="NEW"),"",INDEX(J$1:J5232,SUMPRODUCT(MAX(ROW(E$1:E5232)*(E5233=E$1:E5232)))))</f>
        <v> </v>
      </c>
      <c r="L5233" s="27"/>
    </row>
    <row r="5234" spans="1:12">
      <c r="A5234" s="20" t="s">
        <v>2888</v>
      </c>
      <c r="E5234" s="22">
        <f>IF(D5234="?OLD","!!!","")</f>
        <v/>
      </c>
      <c r="F5234" s="23" t="str">
        <f>IF(OR(E5234="",E5234="!!!"),"",IF(NOT(ISNA(VLOOKUP(E5234,E$1:E5233,1,FALSE()))),"OLD",IF(AND(E5234&lt;&gt;"",E5234&lt;&gt;"!!!"),"NEW","")))</f>
        <v> </v>
      </c>
      <c r="G5234" s="24" t="str">
        <f>IF(OR(E5234="",E5234="!!!"),"",IF(OR(J5234=0,AND(J5234=1,K5234=1),AND(J5234=1,I5234="SBJ"),AND(J5234=1,I5234=0)),"?IN_FOCUS",IF(J5234&lt;=2,"?ACTIVATED",IF(J5234&lt;&gt;"","?FAMILIAR",IF(F5234="NEW",IF(ISNA(VLOOKUP(E5234,#REF!,1,FALSE())),"?TYPE_IDENTIFIABLE","?REFERENTIAL"),"_")))))</f>
        <v> </v>
      </c>
      <c r="H5234" s="25" t="str">
        <f>IF(J5234&lt;&gt;1,"",IF(I5234="SBJ","CB","?"))</f>
        <v> </v>
      </c>
      <c r="I5234" s="26" t="str">
        <f>IF(OR(E5234="",E5234="!!!",F5234="NEW"),"",INDEX(B5233:B$2,-1+SUMPRODUCT(MAX(ROW(E5233:E$2)*(E5234=E5233:E$2)))))</f>
        <v> </v>
      </c>
      <c r="J5234" s="26" t="str">
        <f>IF(OR(E5234="",E5234="!!!",F5234="NEW"),"",COUNTBLANK(OFFSET(A$1,,,SUMPRODUCT(MAX(ROW(E$2:E5234)*(E5234=E$2:E5234)))))-COUNTBLANK(OFFSET(A$1,,,SUMPRODUCT(MAX(ROW(E$1:E5233)*(E2=E$1:E5233))))))</f>
        <v> </v>
      </c>
      <c r="K5234" s="26" t="str">
        <f>IF(OR(E5234="",E5234="!!!",F5234="NEW"),"",INDEX(J$1:J5233,SUMPRODUCT(MAX(ROW(E$1:E5233)*(E5234=E$1:E5233)))))</f>
        <v> </v>
      </c>
      <c r="L5234" s="27"/>
    </row>
    <row r="5235" spans="1:12">
      <c r="A5235" s="20" t="s">
        <v>1980</v>
      </c>
      <c r="E5235" s="22">
        <f>IF(D5235="?OLD","!!!","")</f>
        <v/>
      </c>
      <c r="F5235" s="23" t="str">
        <f>IF(OR(E5235="",E5235="!!!"),"",IF(NOT(ISNA(VLOOKUP(E5235,E$1:E5234,1,FALSE()))),"OLD",IF(AND(E5235&lt;&gt;"",E5235&lt;&gt;"!!!"),"NEW","")))</f>
        <v> </v>
      </c>
      <c r="G5235" s="24" t="str">
        <f>IF(OR(E5235="",E5235="!!!"),"",IF(OR(J5235=0,AND(J5235=1,K5235=1),AND(J5235=1,I5235="SBJ"),AND(J5235=1,I5235=0)),"?IN_FOCUS",IF(J5235&lt;=2,"?ACTIVATED",IF(J5235&lt;&gt;"","?FAMILIAR",IF(F5235="NEW",IF(ISNA(VLOOKUP(E5235,#REF!,1,FALSE())),"?TYPE_IDENTIFIABLE","?REFERENTIAL"),"_")))))</f>
        <v> </v>
      </c>
      <c r="H5235" s="25" t="str">
        <f>IF(J5235&lt;&gt;1,"",IF(I5235="SBJ","CB","?"))</f>
        <v> </v>
      </c>
      <c r="I5235" s="26" t="str">
        <f>IF(OR(E5235="",E5235="!!!",F5235="NEW"),"",INDEX(B5234:B$2,-1+SUMPRODUCT(MAX(ROW(E5234:E$2)*(E5235=E5234:E$2)))))</f>
        <v> </v>
      </c>
      <c r="J5235" s="26" t="str">
        <f>IF(OR(E5235="",E5235="!!!",F5235="NEW"),"",COUNTBLANK(OFFSET(A$1,,,SUMPRODUCT(MAX(ROW(E$2:E5235)*(E5235=E$2:E5235)))))-COUNTBLANK(OFFSET(A$1,,,SUMPRODUCT(MAX(ROW(E$1:E5234)*(E2=E$1:E5234))))))</f>
        <v> </v>
      </c>
      <c r="K5235" s="26" t="str">
        <f>IF(OR(E5235="",E5235="!!!",F5235="NEW"),"",INDEX(J$1:J5234,SUMPRODUCT(MAX(ROW(E$1:E5234)*(E5235=E$1:E5234)))))</f>
        <v> </v>
      </c>
      <c r="L5235" s="27"/>
    </row>
    <row r="5236" spans="1:12">
      <c r="A5236" s="20" t="s">
        <v>1273</v>
      </c>
      <c r="E5236" s="22">
        <f>IF(D5236="?OLD","!!!","")</f>
        <v/>
      </c>
      <c r="F5236" s="23" t="str">
        <f>IF(OR(E5236="",E5236="!!!"),"",IF(NOT(ISNA(VLOOKUP(E5236,E$1:E5235,1,FALSE()))),"OLD",IF(AND(E5236&lt;&gt;"",E5236&lt;&gt;"!!!"),"NEW","")))</f>
        <v> </v>
      </c>
      <c r="G5236" s="24" t="str">
        <f>IF(OR(E5236="",E5236="!!!"),"",IF(OR(J5236=0,AND(J5236=1,K5236=1),AND(J5236=1,I5236="SBJ"),AND(J5236=1,I5236=0)),"?IN_FOCUS",IF(J5236&lt;=2,"?ACTIVATED",IF(J5236&lt;&gt;"","?FAMILIAR",IF(F5236="NEW",IF(ISNA(VLOOKUP(E5236,#REF!,1,FALSE())),"?TYPE_IDENTIFIABLE","?REFERENTIAL"),"_")))))</f>
        <v> </v>
      </c>
      <c r="H5236" s="25" t="str">
        <f>IF(J5236&lt;&gt;1,"",IF(I5236="SBJ","CB","?"))</f>
        <v> </v>
      </c>
      <c r="I5236" s="26" t="str">
        <f>IF(OR(E5236="",E5236="!!!",F5236="NEW"),"",INDEX(B5235:B$2,-1+SUMPRODUCT(MAX(ROW(E5235:E$2)*(E5236=E5235:E$2)))))</f>
        <v> </v>
      </c>
      <c r="J5236" s="26" t="str">
        <f>IF(OR(E5236="",E5236="!!!",F5236="NEW"),"",COUNTBLANK(OFFSET(A$1,,,SUMPRODUCT(MAX(ROW(E$2:E5236)*(E5236=E$2:E5236)))))-COUNTBLANK(OFFSET(A$1,,,SUMPRODUCT(MAX(ROW(E$1:E5235)*(E2=E$1:E5235))))))</f>
        <v> </v>
      </c>
      <c r="K5236" s="26" t="str">
        <f>IF(OR(E5236="",E5236="!!!",F5236="NEW"),"",INDEX(J$1:J5235,SUMPRODUCT(MAX(ROW(E$1:E5235)*(E5236=E$1:E5235)))))</f>
        <v> </v>
      </c>
      <c r="L5236" s="27"/>
    </row>
    <row r="5237" spans="1:12">
      <c r="A5237" s="20" t="s">
        <v>2865</v>
      </c>
      <c r="B5237" s="21" t="s">
        <v>1249</v>
      </c>
      <c r="C5237" s="21" t="s">
        <v>1276</v>
      </c>
      <c r="D5237" s="21" t="s">
        <v>1217</v>
      </c>
      <c r="E5237" s="22">
        <f>IF(D5237="?OLD","!!!","")</f>
        <v/>
      </c>
      <c r="F5237" s="23" t="str">
        <f>IF(OR(E5237="",E5237="!!!"),"",IF(NOT(ISNA(VLOOKUP(E5237,E$1:E5236,1,FALSE()))),"OLD",IF(AND(E5237&lt;&gt;"",E5237&lt;&gt;"!!!"),"NEW","")))</f>
        <v> </v>
      </c>
      <c r="G5237" s="24" t="str">
        <f>IF(OR(E5237="",E5237="!!!"),"",IF(OR(J5237=0,AND(J5237=1,K5237=1),AND(J5237=1,I5237="SBJ"),AND(J5237=1,I5237=0)),"?IN_FOCUS",IF(J5237&lt;=2,"?ACTIVATED",IF(J5237&lt;&gt;"","?FAMILIAR",IF(F5237="NEW",IF(ISNA(VLOOKUP(E5237,#REF!,1,FALSE())),"?TYPE_IDENTIFIABLE","?REFERENTIAL"),"_")))))</f>
        <v> </v>
      </c>
      <c r="H5237" s="25" t="str">
        <f>IF(J5237&lt;&gt;1,"",IF(I5237="SBJ","CB","?"))</f>
        <v> </v>
      </c>
      <c r="I5237" s="26" t="str">
        <f>IF(OR(E5237="",E5237="!!!",F5237="NEW"),"",INDEX(B5236:B$2,-1+SUMPRODUCT(MAX(ROW(E5236:E$2)*(E5237=E5236:E$2)))))</f>
        <v> </v>
      </c>
      <c r="J5237" s="26" t="str">
        <f>IF(OR(E5237="",E5237="!!!",F5237="NEW"),"",COUNTBLANK(OFFSET(A$1,,,SUMPRODUCT(MAX(ROW(E$2:E5237)*(E5237=E$2:E5237)))))-COUNTBLANK(OFFSET(A$1,,,SUMPRODUCT(MAX(ROW(E$1:E5236)*(E2=E$1:E5236))))))</f>
        <v> </v>
      </c>
      <c r="K5237" s="26" t="str">
        <f>IF(OR(E5237="",E5237="!!!",F5237="NEW"),"",INDEX(J$1:J5236,SUMPRODUCT(MAX(ROW(E$1:E5236)*(E5237=E$1:E5236)))))</f>
        <v> </v>
      </c>
      <c r="L5237" s="27"/>
    </row>
    <row r="5238" spans="1:12">
      <c r="A5238" s="20" t="s">
        <v>1277</v>
      </c>
      <c r="E5238" s="22">
        <f>IF(D5238="?OLD","!!!","")</f>
        <v/>
      </c>
      <c r="F5238" s="23" t="str">
        <f>IF(OR(E5238="",E5238="!!!"),"",IF(NOT(ISNA(VLOOKUP(E5238,E$1:E5237,1,FALSE()))),"OLD",IF(AND(E5238&lt;&gt;"",E5238&lt;&gt;"!!!"),"NEW","")))</f>
        <v> </v>
      </c>
      <c r="G5238" s="24" t="str">
        <f>IF(OR(E5238="",E5238="!!!"),"",IF(OR(J5238=0,AND(J5238=1,K5238=1),AND(J5238=1,I5238="SBJ"),AND(J5238=1,I5238=0)),"?IN_FOCUS",IF(J5238&lt;=2,"?ACTIVATED",IF(J5238&lt;&gt;"","?FAMILIAR",IF(F5238="NEW",IF(ISNA(VLOOKUP(E5238,#REF!,1,FALSE())),"?TYPE_IDENTIFIABLE","?REFERENTIAL"),"_")))))</f>
        <v> </v>
      </c>
      <c r="H5238" s="25" t="str">
        <f>IF(J5238&lt;&gt;1,"",IF(I5238="SBJ","CB","?"))</f>
        <v> </v>
      </c>
      <c r="I5238" s="26" t="str">
        <f>IF(OR(E5238="",E5238="!!!",F5238="NEW"),"",INDEX(B5237:B$2,-1+SUMPRODUCT(MAX(ROW(E5237:E$2)*(E5238=E5237:E$2)))))</f>
        <v> </v>
      </c>
      <c r="J5238" s="26" t="str">
        <f>IF(OR(E5238="",E5238="!!!",F5238="NEW"),"",COUNTBLANK(OFFSET(A$1,,,SUMPRODUCT(MAX(ROW(E$2:E5238)*(E5238=E$2:E5238)))))-COUNTBLANK(OFFSET(A$1,,,SUMPRODUCT(MAX(ROW(E$1:E5237)*(E2=E$1:E5237))))))</f>
        <v> </v>
      </c>
      <c r="K5238" s="26" t="str">
        <f>IF(OR(E5238="",E5238="!!!",F5238="NEW"),"",INDEX(J$1:J5237,SUMPRODUCT(MAX(ROW(E$1:E5237)*(E5238=E$1:E5237)))))</f>
        <v> </v>
      </c>
      <c r="L5238" s="27"/>
    </row>
    <row r="5239" spans="1:12">
      <c r="A5239" s="20" t="s">
        <v>1286</v>
      </c>
      <c r="E5239" s="22">
        <f>IF(D5239="?OLD","!!!","")</f>
        <v/>
      </c>
      <c r="F5239" s="23" t="str">
        <f>IF(OR(E5239="",E5239="!!!"),"",IF(NOT(ISNA(VLOOKUP(E5239,E$1:E5238,1,FALSE()))),"OLD",IF(AND(E5239&lt;&gt;"",E5239&lt;&gt;"!!!"),"NEW","")))</f>
        <v> </v>
      </c>
      <c r="G5239" s="24" t="str">
        <f>IF(OR(E5239="",E5239="!!!"),"",IF(OR(J5239=0,AND(J5239=1,K5239=1),AND(J5239=1,I5239="SBJ"),AND(J5239=1,I5239=0)),"?IN_FOCUS",IF(J5239&lt;=2,"?ACTIVATED",IF(J5239&lt;&gt;"","?FAMILIAR",IF(F5239="NEW",IF(ISNA(VLOOKUP(E5239,#REF!,1,FALSE())),"?TYPE_IDENTIFIABLE","?REFERENTIAL"),"_")))))</f>
        <v> </v>
      </c>
      <c r="H5239" s="25" t="str">
        <f>IF(J5239&lt;&gt;1,"",IF(I5239="SBJ","CB","?"))</f>
        <v> </v>
      </c>
      <c r="I5239" s="26" t="str">
        <f>IF(OR(E5239="",E5239="!!!",F5239="NEW"),"",INDEX(B5238:B$2,-1+SUMPRODUCT(MAX(ROW(E5238:E$2)*(E5239=E5238:E$2)))))</f>
        <v> </v>
      </c>
      <c r="J5239" s="26" t="str">
        <f>IF(OR(E5239="",E5239="!!!",F5239="NEW"),"",COUNTBLANK(OFFSET(A$1,,,SUMPRODUCT(MAX(ROW(E$2:E5239)*(E5239=E$2:E5239)))))-COUNTBLANK(OFFSET(A$1,,,SUMPRODUCT(MAX(ROW(E$1:E5238)*(E2=E$1:E5238))))))</f>
        <v> </v>
      </c>
      <c r="K5239" s="26" t="str">
        <f>IF(OR(E5239="",E5239="!!!",F5239="NEW"),"",INDEX(J$1:J5238,SUMPRODUCT(MAX(ROW(E$1:E5238)*(E5239=E$1:E5238)))))</f>
        <v> </v>
      </c>
      <c r="L5239" s="27"/>
    </row>
    <row r="5240" spans="1:12">
      <c r="A5240" s="20" t="s">
        <v>565</v>
      </c>
      <c r="B5240" s="21" t="s">
        <v>1229</v>
      </c>
      <c r="C5240" s="21" t="s">
        <v>1255</v>
      </c>
      <c r="D5240" s="21" t="s">
        <v>1217</v>
      </c>
      <c r="E5240" s="22">
        <f>IF(D5240="?OLD","!!!","")</f>
        <v/>
      </c>
      <c r="F5240" s="23" t="str">
        <f>IF(OR(E5240="",E5240="!!!"),"",IF(NOT(ISNA(VLOOKUP(E5240,E$1:E5239,1,FALSE()))),"OLD",IF(AND(E5240&lt;&gt;"",E5240&lt;&gt;"!!!"),"NEW","")))</f>
        <v> </v>
      </c>
      <c r="G5240" s="24" t="str">
        <f>IF(OR(E5240="",E5240="!!!"),"",IF(OR(J5240=0,AND(J5240=1,K5240=1),AND(J5240=1,I5240="SBJ"),AND(J5240=1,I5240=0)),"?IN_FOCUS",IF(J5240&lt;=2,"?ACTIVATED",IF(J5240&lt;&gt;"","?FAMILIAR",IF(F5240="NEW",IF(ISNA(VLOOKUP(E5240,#REF!,1,FALSE())),"?TYPE_IDENTIFIABLE","?REFERENTIAL"),"_")))))</f>
        <v> </v>
      </c>
      <c r="H5240" s="25" t="str">
        <f>IF(J5240&lt;&gt;1,"",IF(I5240="SBJ","CB","?"))</f>
        <v> </v>
      </c>
      <c r="I5240" s="26" t="str">
        <f>IF(OR(E5240="",E5240="!!!",F5240="NEW"),"",INDEX(B5239:B$2,-1+SUMPRODUCT(MAX(ROW(E5239:E$2)*(E5240=E5239:E$2)))))</f>
        <v> </v>
      </c>
      <c r="J5240" s="26" t="str">
        <f>IF(OR(E5240="",E5240="!!!",F5240="NEW"),"",COUNTBLANK(OFFSET(A$1,,,SUMPRODUCT(MAX(ROW(E$2:E5240)*(E5240=E$2:E5240)))))-COUNTBLANK(OFFSET(A$1,,,SUMPRODUCT(MAX(ROW(E$1:E5239)*(E2=E$1:E5239))))))</f>
        <v> </v>
      </c>
      <c r="K5240" s="26" t="str">
        <f>IF(OR(E5240="",E5240="!!!",F5240="NEW"),"",INDEX(J$1:J5239,SUMPRODUCT(MAX(ROW(E$1:E5239)*(E5240=E$1:E5239)))))</f>
        <v> </v>
      </c>
      <c r="L5240" s="27"/>
    </row>
    <row r="5241" spans="1:12">
      <c r="A5241" s="20" t="s">
        <v>1373</v>
      </c>
      <c r="E5241" s="22">
        <f>IF(D5241="?OLD","!!!","")</f>
        <v/>
      </c>
      <c r="F5241" s="23" t="str">
        <f>IF(OR(E5241="",E5241="!!!"),"",IF(NOT(ISNA(VLOOKUP(E5241,E$1:E5240,1,FALSE()))),"OLD",IF(AND(E5241&lt;&gt;"",E5241&lt;&gt;"!!!"),"NEW","")))</f>
        <v> </v>
      </c>
      <c r="G5241" s="24" t="str">
        <f>IF(OR(E5241="",E5241="!!!"),"",IF(OR(J5241=0,AND(J5241=1,K5241=1),AND(J5241=1,I5241="SBJ"),AND(J5241=1,I5241=0)),"?IN_FOCUS",IF(J5241&lt;=2,"?ACTIVATED",IF(J5241&lt;&gt;"","?FAMILIAR",IF(F5241="NEW",IF(ISNA(VLOOKUP(E5241,#REF!,1,FALSE())),"?TYPE_IDENTIFIABLE","?REFERENTIAL"),"_")))))</f>
        <v> </v>
      </c>
      <c r="H5241" s="25" t="str">
        <f>IF(J5241&lt;&gt;1,"",IF(I5241="SBJ","CB","?"))</f>
        <v> </v>
      </c>
      <c r="I5241" s="26" t="str">
        <f>IF(OR(E5241="",E5241="!!!",F5241="NEW"),"",INDEX(B5240:B$2,-1+SUMPRODUCT(MAX(ROW(E5240:E$2)*(E5241=E5240:E$2)))))</f>
        <v> </v>
      </c>
      <c r="J5241" s="26" t="str">
        <f>IF(OR(E5241="",E5241="!!!",F5241="NEW"),"",COUNTBLANK(OFFSET(A$1,,,SUMPRODUCT(MAX(ROW(E$2:E5241)*(E5241=E$2:E5241)))))-COUNTBLANK(OFFSET(A$1,,,SUMPRODUCT(MAX(ROW(E$1:E5240)*(E2=E$1:E5240))))))</f>
        <v> </v>
      </c>
      <c r="K5241" s="26" t="str">
        <f>IF(OR(E5241="",E5241="!!!",F5241="NEW"),"",INDEX(J$1:J5240,SUMPRODUCT(MAX(ROW(E$1:E5240)*(E5241=E$1:E5240)))))</f>
        <v> </v>
      </c>
      <c r="L5241" s="27"/>
    </row>
    <row r="5242" spans="1:12">
      <c r="A5242" s="20" t="s">
        <v>1240</v>
      </c>
      <c r="B5242" s="21" t="s">
        <v>1249</v>
      </c>
      <c r="C5242" s="21" t="s">
        <v>1216</v>
      </c>
      <c r="D5242" s="21" t="s">
        <v>1217</v>
      </c>
      <c r="E5242" s="22">
        <f>IF(D5242="?OLD","!!!","")</f>
        <v/>
      </c>
      <c r="F5242" s="23" t="str">
        <f>IF(OR(E5242="",E5242="!!!"),"",IF(NOT(ISNA(VLOOKUP(E5242,E$1:E5241,1,FALSE()))),"OLD",IF(AND(E5242&lt;&gt;"",E5242&lt;&gt;"!!!"),"NEW","")))</f>
        <v> </v>
      </c>
      <c r="G5242" s="24" t="str">
        <f>IF(OR(E5242="",E5242="!!!"),"",IF(OR(J5242=0,AND(J5242=1,K5242=1),AND(J5242=1,I5242="SBJ"),AND(J5242=1,I5242=0)),"?IN_FOCUS",IF(J5242&lt;=2,"?ACTIVATED",IF(J5242&lt;&gt;"","?FAMILIAR",IF(F5242="NEW",IF(ISNA(VLOOKUP(E5242,#REF!,1,FALSE())),"?TYPE_IDENTIFIABLE","?REFERENTIAL"),"_")))))</f>
        <v> </v>
      </c>
      <c r="H5242" s="25" t="str">
        <f>IF(J5242&lt;&gt;1,"",IF(I5242="SBJ","CB","?"))</f>
        <v> </v>
      </c>
      <c r="I5242" s="26" t="str">
        <f>IF(OR(E5242="",E5242="!!!",F5242="NEW"),"",INDEX(B5241:B$2,-1+SUMPRODUCT(MAX(ROW(E5241:E$2)*(E5242=E5241:E$2)))))</f>
        <v> </v>
      </c>
      <c r="J5242" s="26" t="str">
        <f>IF(OR(E5242="",E5242="!!!",F5242="NEW"),"",COUNTBLANK(OFFSET(A$1,,,SUMPRODUCT(MAX(ROW(E$2:E5242)*(E5242=E$2:E5242)))))-COUNTBLANK(OFFSET(A$1,,,SUMPRODUCT(MAX(ROW(E$1:E5241)*(E2=E$1:E5241))))))</f>
        <v> </v>
      </c>
      <c r="K5242" s="26" t="str">
        <f>IF(OR(E5242="",E5242="!!!",F5242="NEW"),"",INDEX(J$1:J5241,SUMPRODUCT(MAX(ROW(E$1:E5241)*(E5242=E$1:E5241)))))</f>
        <v> </v>
      </c>
      <c r="L5242" s="27"/>
    </row>
    <row r="5243" spans="1:12">
      <c r="A5243" s="20" t="s">
        <v>1530</v>
      </c>
      <c r="E5243" s="22">
        <f>IF(D5243="?OLD","!!!","")</f>
        <v/>
      </c>
      <c r="F5243" s="23" t="str">
        <f>IF(OR(E5243="",E5243="!!!"),"",IF(NOT(ISNA(VLOOKUP(E5243,E$1:E5242,1,FALSE()))),"OLD",IF(AND(E5243&lt;&gt;"",E5243&lt;&gt;"!!!"),"NEW","")))</f>
        <v> </v>
      </c>
      <c r="G5243" s="24" t="str">
        <f>IF(OR(E5243="",E5243="!!!"),"",IF(OR(J5243=0,AND(J5243=1,K5243=1),AND(J5243=1,I5243="SBJ"),AND(J5243=1,I5243=0)),"?IN_FOCUS",IF(J5243&lt;=2,"?ACTIVATED",IF(J5243&lt;&gt;"","?FAMILIAR",IF(F5243="NEW",IF(ISNA(VLOOKUP(E5243,#REF!,1,FALSE())),"?TYPE_IDENTIFIABLE","?REFERENTIAL"),"_")))))</f>
        <v> </v>
      </c>
      <c r="H5243" s="25" t="str">
        <f>IF(J5243&lt;&gt;1,"",IF(I5243="SBJ","CB","?"))</f>
        <v> </v>
      </c>
      <c r="I5243" s="26" t="str">
        <f>IF(OR(E5243="",E5243="!!!",F5243="NEW"),"",INDEX(B5242:B$2,-1+SUMPRODUCT(MAX(ROW(E5242:E$2)*(E5243=E5242:E$2)))))</f>
        <v> </v>
      </c>
      <c r="J5243" s="26" t="str">
        <f>IF(OR(E5243="",E5243="!!!",F5243="NEW"),"",COUNTBLANK(OFFSET(A$1,,,SUMPRODUCT(MAX(ROW(E$2:E5243)*(E5243=E$2:E5243)))))-COUNTBLANK(OFFSET(A$1,,,SUMPRODUCT(MAX(ROW(E$1:E5242)*(E2=E$1:E5242))))))</f>
        <v> </v>
      </c>
      <c r="K5243" s="26" t="str">
        <f>IF(OR(E5243="",E5243="!!!",F5243="NEW"),"",INDEX(J$1:J5242,SUMPRODUCT(MAX(ROW(E$1:E5242)*(E5243=E$1:E5242)))))</f>
        <v> </v>
      </c>
      <c r="L5243" s="27"/>
    </row>
    <row r="5244" spans="1:12">
      <c r="A5244" s="20" t="s">
        <v>2889</v>
      </c>
      <c r="E5244" s="22">
        <f>IF(D5244="?OLD","!!!","")</f>
        <v/>
      </c>
      <c r="F5244" s="23" t="str">
        <f>IF(OR(E5244="",E5244="!!!"),"",IF(NOT(ISNA(VLOOKUP(E5244,E$1:E5243,1,FALSE()))),"OLD",IF(AND(E5244&lt;&gt;"",E5244&lt;&gt;"!!!"),"NEW","")))</f>
        <v> </v>
      </c>
      <c r="G5244" s="24" t="str">
        <f>IF(OR(E5244="",E5244="!!!"),"",IF(OR(J5244=0,AND(J5244=1,K5244=1),AND(J5244=1,I5244="SBJ"),AND(J5244=1,I5244=0)),"?IN_FOCUS",IF(J5244&lt;=2,"?ACTIVATED",IF(J5244&lt;&gt;"","?FAMILIAR",IF(F5244="NEW",IF(ISNA(VLOOKUP(E5244,#REF!,1,FALSE())),"?TYPE_IDENTIFIABLE","?REFERENTIAL"),"_")))))</f>
        <v> </v>
      </c>
      <c r="H5244" s="25" t="str">
        <f>IF(J5244&lt;&gt;1,"",IF(I5244="SBJ","CB","?"))</f>
        <v> </v>
      </c>
      <c r="I5244" s="26" t="str">
        <f>IF(OR(E5244="",E5244="!!!",F5244="NEW"),"",INDEX(B5243:B$2,-1+SUMPRODUCT(MAX(ROW(E5243:E$2)*(E5244=E5243:E$2)))))</f>
        <v> </v>
      </c>
      <c r="J5244" s="26" t="str">
        <f>IF(OR(E5244="",E5244="!!!",F5244="NEW"),"",COUNTBLANK(OFFSET(A$1,,,SUMPRODUCT(MAX(ROW(E$2:E5244)*(E5244=E$2:E5244)))))-COUNTBLANK(OFFSET(A$1,,,SUMPRODUCT(MAX(ROW(E$1:E5243)*(E2=E$1:E5243))))))</f>
        <v> </v>
      </c>
      <c r="K5244" s="26" t="str">
        <f>IF(OR(E5244="",E5244="!!!",F5244="NEW"),"",INDEX(J$1:J5243,SUMPRODUCT(MAX(ROW(E$1:E5243)*(E5244=E$1:E5243)))))</f>
        <v> </v>
      </c>
      <c r="L5244" s="27"/>
    </row>
    <row r="5245" spans="1:12">
      <c r="A5245" s="20" t="s">
        <v>1563</v>
      </c>
      <c r="E5245" s="22">
        <f>IF(D5245="?OLD","!!!","")</f>
        <v/>
      </c>
      <c r="F5245" s="23" t="str">
        <f>IF(OR(E5245="",E5245="!!!"),"",IF(NOT(ISNA(VLOOKUP(E5245,E$1:E5244,1,FALSE()))),"OLD",IF(AND(E5245&lt;&gt;"",E5245&lt;&gt;"!!!"),"NEW","")))</f>
        <v> </v>
      </c>
      <c r="G5245" s="24" t="str">
        <f>IF(OR(E5245="",E5245="!!!"),"",IF(OR(J5245=0,AND(J5245=1,K5245=1),AND(J5245=1,I5245="SBJ"),AND(J5245=1,I5245=0)),"?IN_FOCUS",IF(J5245&lt;=2,"?ACTIVATED",IF(J5245&lt;&gt;"","?FAMILIAR",IF(F5245="NEW",IF(ISNA(VLOOKUP(E5245,#REF!,1,FALSE())),"?TYPE_IDENTIFIABLE","?REFERENTIAL"),"_")))))</f>
        <v> </v>
      </c>
      <c r="H5245" s="25" t="str">
        <f>IF(J5245&lt;&gt;1,"",IF(I5245="SBJ","CB","?"))</f>
        <v> </v>
      </c>
      <c r="I5245" s="26" t="str">
        <f>IF(OR(E5245="",E5245="!!!",F5245="NEW"),"",INDEX(B5244:B$2,-1+SUMPRODUCT(MAX(ROW(E5244:E$2)*(E5245=E5244:E$2)))))</f>
        <v> </v>
      </c>
      <c r="J5245" s="26" t="str">
        <f>IF(OR(E5245="",E5245="!!!",F5245="NEW"),"",COUNTBLANK(OFFSET(A$1,,,SUMPRODUCT(MAX(ROW(E$2:E5245)*(E5245=E$2:E5245)))))-COUNTBLANK(OFFSET(A$1,,,SUMPRODUCT(MAX(ROW(E$1:E5244)*(E2=E$1:E5244))))))</f>
        <v> </v>
      </c>
      <c r="K5245" s="26" t="str">
        <f>IF(OR(E5245="",E5245="!!!",F5245="NEW"),"",INDEX(J$1:J5244,SUMPRODUCT(MAX(ROW(E$1:E5244)*(E5245=E$1:E5244)))))</f>
        <v> </v>
      </c>
      <c r="L5245" s="27"/>
    </row>
    <row r="5246" spans="1:12">
      <c r="A5246" s="20" t="s">
        <v>1262</v>
      </c>
      <c r="E5246" s="22">
        <f>IF(D5246="?OLD","!!!","")</f>
        <v/>
      </c>
      <c r="F5246" s="23" t="str">
        <f>IF(OR(E5246="",E5246="!!!"),"",IF(NOT(ISNA(VLOOKUP(E5246,E$1:E5245,1,FALSE()))),"OLD",IF(AND(E5246&lt;&gt;"",E5246&lt;&gt;"!!!"),"NEW","")))</f>
        <v> </v>
      </c>
      <c r="G5246" s="24" t="str">
        <f>IF(OR(E5246="",E5246="!!!"),"",IF(OR(J5246=0,AND(J5246=1,K5246=1),AND(J5246=1,I5246="SBJ"),AND(J5246=1,I5246=0)),"?IN_FOCUS",IF(J5246&lt;=2,"?ACTIVATED",IF(J5246&lt;&gt;"","?FAMILIAR",IF(F5246="NEW",IF(ISNA(VLOOKUP(E5246,#REF!,1,FALSE())),"?TYPE_IDENTIFIABLE","?REFERENTIAL"),"_")))))</f>
        <v> </v>
      </c>
      <c r="H5246" s="25" t="str">
        <f>IF(J5246&lt;&gt;1,"",IF(I5246="SBJ","CB","?"))</f>
        <v> </v>
      </c>
      <c r="I5246" s="26" t="str">
        <f>IF(OR(E5246="",E5246="!!!",F5246="NEW"),"",INDEX(B5245:B$2,-1+SUMPRODUCT(MAX(ROW(E5245:E$2)*(E5246=E5245:E$2)))))</f>
        <v> </v>
      </c>
      <c r="J5246" s="26" t="str">
        <f>IF(OR(E5246="",E5246="!!!",F5246="NEW"),"",COUNTBLANK(OFFSET(A$1,,,SUMPRODUCT(MAX(ROW(E$2:E5246)*(E5246=E$2:E5246)))))-COUNTBLANK(OFFSET(A$1,,,SUMPRODUCT(MAX(ROW(E$1:E5245)*(E2=E$1:E5245))))))</f>
        <v> </v>
      </c>
      <c r="K5246" s="26" t="str">
        <f>IF(OR(E5246="",E5246="!!!",F5246="NEW"),"",INDEX(J$1:J5245,SUMPRODUCT(MAX(ROW(E$1:E5245)*(E5246=E$1:E5245)))))</f>
        <v> </v>
      </c>
      <c r="L5246" s="27"/>
    </row>
    <row r="5247" spans="1:12">
      <c r="A5247" s="20"/>
    </row>
    <row r="5248" spans="1:12">
      <c r="A5248" s="20" t="s">
        <v>2890</v>
      </c>
    </row>
    <row r="5249" spans="1:12">
      <c r="A5249" s="20" t="s">
        <v>1554</v>
      </c>
      <c r="B5249" s="21" t="s">
        <v>1215</v>
      </c>
      <c r="C5249" s="21" t="s">
        <v>1234</v>
      </c>
      <c r="D5249" s="21" t="s">
        <v>1217</v>
      </c>
      <c r="E5249" s="22">
        <f>IF(D5249="?OLD","!!!","")</f>
        <v/>
      </c>
      <c r="F5249" s="23" t="str">
        <f>IF(OR(E5249="",E5249="!!!"),"",IF(NOT(ISNA(VLOOKUP(E5249,E$1:E5248,1,FALSE()))),"OLD",IF(AND(E5249&lt;&gt;"",E5249&lt;&gt;"!!!"),"NEW","")))</f>
        <v> </v>
      </c>
      <c r="G5249" s="24" t="str">
        <f>IF(OR(E5249="",E5249="!!!"),"",IF(OR(J5249=0,AND(J5249=1,K5249=1),AND(J5249=1,I5249="SBJ"),AND(J5249=1,I5249=0)),"?IN_FOCUS",IF(J5249&lt;=2,"?ACTIVATED",IF(J5249&lt;&gt;"","?FAMILIAR",IF(F5249="NEW",IF(ISNA(VLOOKUP(E5249,#REF!,1,FALSE())),"?TYPE_IDENTIFIABLE","?REFERENTIAL"),"_")))))</f>
        <v> </v>
      </c>
      <c r="H5249" s="25" t="str">
        <f>IF(J5249&lt;&gt;1,"",IF(I5249="SBJ","CB","?"))</f>
        <v> </v>
      </c>
      <c r="I5249" s="26" t="str">
        <f>IF(OR(E5249="",E5249="!!!",F5249="NEW"),"",INDEX(B5248:B$2,-1+SUMPRODUCT(MAX(ROW(E5248:E$2)*(E5249=E5248:E$2)))))</f>
        <v> </v>
      </c>
      <c r="J5249" s="26" t="str">
        <f>IF(OR(E5249="",E5249="!!!",F5249="NEW"),"",COUNTBLANK(OFFSET(A$1,,,SUMPRODUCT(MAX(ROW(E$2:E5249)*(E5249=E$2:E5249)))))-COUNTBLANK(OFFSET(A$1,,,SUMPRODUCT(MAX(ROW(E$1:E5248)*(E2=E$1:E5248))))))</f>
        <v> </v>
      </c>
      <c r="K5249" s="26" t="str">
        <f>IF(OR(E5249="",E5249="!!!",F5249="NEW"),"",INDEX(J$1:J5248,SUMPRODUCT(MAX(ROW(E$1:E5248)*(E5249=E$1:E5248)))))</f>
        <v> </v>
      </c>
      <c r="L5249" s="27"/>
    </row>
    <row r="5250" spans="1:12">
      <c r="A5250" s="20" t="s">
        <v>1327</v>
      </c>
      <c r="B5250" s="21" t="s">
        <v>1275</v>
      </c>
      <c r="C5250" s="21" t="s">
        <v>1255</v>
      </c>
      <c r="D5250" s="21" t="s">
        <v>1217</v>
      </c>
      <c r="E5250" s="22">
        <f>IF(D5250="?OLD","!!!","")</f>
        <v/>
      </c>
      <c r="F5250" s="23" t="str">
        <f>IF(OR(E5250="",E5250="!!!"),"",IF(NOT(ISNA(VLOOKUP(E5250,E$1:E5249,1,FALSE()))),"OLD",IF(AND(E5250&lt;&gt;"",E5250&lt;&gt;"!!!"),"NEW","")))</f>
        <v> </v>
      </c>
      <c r="G5250" s="24" t="str">
        <f>IF(OR(E5250="",E5250="!!!"),"",IF(OR(J5250=0,AND(J5250=1,K5250=1),AND(J5250=1,I5250="SBJ"),AND(J5250=1,I5250=0)),"?IN_FOCUS",IF(J5250&lt;=2,"?ACTIVATED",IF(J5250&lt;&gt;"","?FAMILIAR",IF(F5250="NEW",IF(ISNA(VLOOKUP(E5250,#REF!,1,FALSE())),"?TYPE_IDENTIFIABLE","?REFERENTIAL"),"_")))))</f>
        <v> </v>
      </c>
      <c r="H5250" s="25" t="str">
        <f>IF(J5250&lt;&gt;1,"",IF(I5250="SBJ","CB","?"))</f>
        <v> </v>
      </c>
      <c r="I5250" s="26" t="str">
        <f>IF(OR(E5250="",E5250="!!!",F5250="NEW"),"",INDEX(B5249:B$2,-1+SUMPRODUCT(MAX(ROW(E5249:E$2)*(E5250=E5249:E$2)))))</f>
        <v> </v>
      </c>
      <c r="J5250" s="26" t="str">
        <f>IF(OR(E5250="",E5250="!!!",F5250="NEW"),"",COUNTBLANK(OFFSET(A$1,,,SUMPRODUCT(MAX(ROW(E$2:E5250)*(E5250=E$2:E5250)))))-COUNTBLANK(OFFSET(A$1,,,SUMPRODUCT(MAX(ROW(E$1:E5249)*(E2=E$1:E5249))))))</f>
        <v> </v>
      </c>
      <c r="K5250" s="26" t="str">
        <f>IF(OR(E5250="",E5250="!!!",F5250="NEW"),"",INDEX(J$1:J5249,SUMPRODUCT(MAX(ROW(E$1:E5249)*(E5250=E$1:E5249)))))</f>
        <v> </v>
      </c>
      <c r="L5250" s="27"/>
    </row>
    <row r="5251" spans="1:12">
      <c r="A5251" s="20" t="s">
        <v>2891</v>
      </c>
      <c r="E5251" s="22">
        <f>IF(D5251="?OLD","!!!","")</f>
        <v/>
      </c>
      <c r="F5251" s="23" t="str">
        <f>IF(OR(E5251="",E5251="!!!"),"",IF(NOT(ISNA(VLOOKUP(E5251,E$1:E5250,1,FALSE()))),"OLD",IF(AND(E5251&lt;&gt;"",E5251&lt;&gt;"!!!"),"NEW","")))</f>
        <v> </v>
      </c>
      <c r="G5251" s="24" t="str">
        <f>IF(OR(E5251="",E5251="!!!"),"",IF(OR(J5251=0,AND(J5251=1,K5251=1),AND(J5251=1,I5251="SBJ"),AND(J5251=1,I5251=0)),"?IN_FOCUS",IF(J5251&lt;=2,"?ACTIVATED",IF(J5251&lt;&gt;"","?FAMILIAR",IF(F5251="NEW",IF(ISNA(VLOOKUP(E5251,#REF!,1,FALSE())),"?TYPE_IDENTIFIABLE","?REFERENTIAL"),"_")))))</f>
        <v> </v>
      </c>
      <c r="H5251" s="25" t="str">
        <f>IF(J5251&lt;&gt;1,"",IF(I5251="SBJ","CB","?"))</f>
        <v> </v>
      </c>
      <c r="I5251" s="26" t="str">
        <f>IF(OR(E5251="",E5251="!!!",F5251="NEW"),"",INDEX(B5250:B$2,-1+SUMPRODUCT(MAX(ROW(E5250:E$2)*(E5251=E5250:E$2)))))</f>
        <v> </v>
      </c>
      <c r="J5251" s="26" t="str">
        <f>IF(OR(E5251="",E5251="!!!",F5251="NEW"),"",COUNTBLANK(OFFSET(A$1,,,SUMPRODUCT(MAX(ROW(E$2:E5251)*(E5251=E$2:E5251)))))-COUNTBLANK(OFFSET(A$1,,,SUMPRODUCT(MAX(ROW(E$1:E5250)*(E2=E$1:E5250))))))</f>
        <v> </v>
      </c>
      <c r="K5251" s="26" t="str">
        <f>IF(OR(E5251="",E5251="!!!",F5251="NEW"),"",INDEX(J$1:J5250,SUMPRODUCT(MAX(ROW(E$1:E5250)*(E5251=E$1:E5250)))))</f>
        <v> </v>
      </c>
      <c r="L5251" s="27"/>
    </row>
    <row r="5252" spans="1:12">
      <c r="A5252" s="20" t="s">
        <v>1358</v>
      </c>
      <c r="E5252" s="22">
        <f>IF(D5252="?OLD","!!!","")</f>
        <v/>
      </c>
      <c r="F5252" s="23" t="str">
        <f>IF(OR(E5252="",E5252="!!!"),"",IF(NOT(ISNA(VLOOKUP(E5252,E$1:E5251,1,FALSE()))),"OLD",IF(AND(E5252&lt;&gt;"",E5252&lt;&gt;"!!!"),"NEW","")))</f>
        <v> </v>
      </c>
      <c r="G5252" s="24" t="str">
        <f>IF(OR(E5252="",E5252="!!!"),"",IF(OR(J5252=0,AND(J5252=1,K5252=1),AND(J5252=1,I5252="SBJ"),AND(J5252=1,I5252=0)),"?IN_FOCUS",IF(J5252&lt;=2,"?ACTIVATED",IF(J5252&lt;&gt;"","?FAMILIAR",IF(F5252="NEW",IF(ISNA(VLOOKUP(E5252,#REF!,1,FALSE())),"?TYPE_IDENTIFIABLE","?REFERENTIAL"),"_")))))</f>
        <v> </v>
      </c>
      <c r="H5252" s="25" t="str">
        <f>IF(J5252&lt;&gt;1,"",IF(I5252="SBJ","CB","?"))</f>
        <v> </v>
      </c>
      <c r="I5252" s="26" t="str">
        <f>IF(OR(E5252="",E5252="!!!",F5252="NEW"),"",INDEX(B5251:B$2,-1+SUMPRODUCT(MAX(ROW(E5251:E$2)*(E5252=E5251:E$2)))))</f>
        <v> </v>
      </c>
      <c r="J5252" s="26" t="str">
        <f>IF(OR(E5252="",E5252="!!!",F5252="NEW"),"",COUNTBLANK(OFFSET(A$1,,,SUMPRODUCT(MAX(ROW(E$2:E5252)*(E5252=E$2:E5252)))))-COUNTBLANK(OFFSET(A$1,,,SUMPRODUCT(MAX(ROW(E$1:E5251)*(E2=E$1:E5251))))))</f>
        <v> </v>
      </c>
      <c r="K5252" s="26" t="str">
        <f>IF(OR(E5252="",E5252="!!!",F5252="NEW"),"",INDEX(J$1:J5251,SUMPRODUCT(MAX(ROW(E$1:E5251)*(E5252=E$1:E5251)))))</f>
        <v> </v>
      </c>
      <c r="L5252" s="27"/>
    </row>
    <row r="5253" spans="1:12">
      <c r="A5253" s="20" t="s">
        <v>565</v>
      </c>
      <c r="B5253" s="21" t="s">
        <v>1229</v>
      </c>
      <c r="C5253" s="21" t="s">
        <v>1255</v>
      </c>
      <c r="D5253" s="21" t="s">
        <v>1217</v>
      </c>
      <c r="E5253" s="22">
        <f>IF(D5253="?OLD","!!!","")</f>
        <v/>
      </c>
      <c r="F5253" s="23" t="str">
        <f>IF(OR(E5253="",E5253="!!!"),"",IF(NOT(ISNA(VLOOKUP(E5253,E$1:E5252,1,FALSE()))),"OLD",IF(AND(E5253&lt;&gt;"",E5253&lt;&gt;"!!!"),"NEW","")))</f>
        <v> </v>
      </c>
      <c r="G5253" s="24" t="str">
        <f>IF(OR(E5253="",E5253="!!!"),"",IF(OR(J5253=0,AND(J5253=1,K5253=1),AND(J5253=1,I5253="SBJ"),AND(J5253=1,I5253=0)),"?IN_FOCUS",IF(J5253&lt;=2,"?ACTIVATED",IF(J5253&lt;&gt;"","?FAMILIAR",IF(F5253="NEW",IF(ISNA(VLOOKUP(E5253,#REF!,1,FALSE())),"?TYPE_IDENTIFIABLE","?REFERENTIAL"),"_")))))</f>
        <v> </v>
      </c>
      <c r="H5253" s="25" t="str">
        <f>IF(J5253&lt;&gt;1,"",IF(I5253="SBJ","CB","?"))</f>
        <v> </v>
      </c>
      <c r="I5253" s="26" t="str">
        <f>IF(OR(E5253="",E5253="!!!",F5253="NEW"),"",INDEX(B5252:B$2,-1+SUMPRODUCT(MAX(ROW(E5252:E$2)*(E5253=E5252:E$2)))))</f>
        <v> </v>
      </c>
      <c r="J5253" s="26" t="str">
        <f>IF(OR(E5253="",E5253="!!!",F5253="NEW"),"",COUNTBLANK(OFFSET(A$1,,,SUMPRODUCT(MAX(ROW(E$2:E5253)*(E5253=E$2:E5253)))))-COUNTBLANK(OFFSET(A$1,,,SUMPRODUCT(MAX(ROW(E$1:E5252)*(E2=E$1:E5252))))))</f>
        <v> </v>
      </c>
      <c r="K5253" s="26" t="str">
        <f>IF(OR(E5253="",E5253="!!!",F5253="NEW"),"",INDEX(J$1:J5252,SUMPRODUCT(MAX(ROW(E$1:E5252)*(E5253=E$1:E5252)))))</f>
        <v> </v>
      </c>
      <c r="L5253" s="27"/>
    </row>
    <row r="5254" spans="1:12">
      <c r="A5254" s="20" t="s">
        <v>1583</v>
      </c>
      <c r="E5254" s="22">
        <f>IF(D5254="?OLD","!!!","")</f>
        <v/>
      </c>
      <c r="F5254" s="23" t="str">
        <f>IF(OR(E5254="",E5254="!!!"),"",IF(NOT(ISNA(VLOOKUP(E5254,E$1:E5253,1,FALSE()))),"OLD",IF(AND(E5254&lt;&gt;"",E5254&lt;&gt;"!!!"),"NEW","")))</f>
        <v> </v>
      </c>
      <c r="G5254" s="24" t="str">
        <f>IF(OR(E5254="",E5254="!!!"),"",IF(OR(J5254=0,AND(J5254=1,K5254=1),AND(J5254=1,I5254="SBJ"),AND(J5254=1,I5254=0)),"?IN_FOCUS",IF(J5254&lt;=2,"?ACTIVATED",IF(J5254&lt;&gt;"","?FAMILIAR",IF(F5254="NEW",IF(ISNA(VLOOKUP(E5254,#REF!,1,FALSE())),"?TYPE_IDENTIFIABLE","?REFERENTIAL"),"_")))))</f>
        <v> </v>
      </c>
      <c r="H5254" s="25" t="str">
        <f>IF(J5254&lt;&gt;1,"",IF(I5254="SBJ","CB","?"))</f>
        <v> </v>
      </c>
      <c r="I5254" s="26" t="str">
        <f>IF(OR(E5254="",E5254="!!!",F5254="NEW"),"",INDEX(B5253:B$2,-1+SUMPRODUCT(MAX(ROW(E5253:E$2)*(E5254=E5253:E$2)))))</f>
        <v> </v>
      </c>
      <c r="J5254" s="26" t="str">
        <f>IF(OR(E5254="",E5254="!!!",F5254="NEW"),"",COUNTBLANK(OFFSET(A$1,,,SUMPRODUCT(MAX(ROW(E$2:E5254)*(E5254=E$2:E5254)))))-COUNTBLANK(OFFSET(A$1,,,SUMPRODUCT(MAX(ROW(E$1:E5253)*(E2=E$1:E5253))))))</f>
        <v> </v>
      </c>
      <c r="K5254" s="26" t="str">
        <f>IF(OR(E5254="",E5254="!!!",F5254="NEW"),"",INDEX(J$1:J5253,SUMPRODUCT(MAX(ROW(E$1:E5253)*(E5254=E$1:E5253)))))</f>
        <v> </v>
      </c>
      <c r="L5254" s="27"/>
    </row>
    <row r="5255" spans="1:12">
      <c r="A5255" s="20" t="s">
        <v>1835</v>
      </c>
      <c r="E5255" s="22">
        <f>IF(D5255="?OLD","!!!","")</f>
        <v/>
      </c>
      <c r="F5255" s="23" t="str">
        <f>IF(OR(E5255="",E5255="!!!"),"",IF(NOT(ISNA(VLOOKUP(E5255,E$1:E5254,1,FALSE()))),"OLD",IF(AND(E5255&lt;&gt;"",E5255&lt;&gt;"!!!"),"NEW","")))</f>
        <v> </v>
      </c>
      <c r="G5255" s="24" t="str">
        <f>IF(OR(E5255="",E5255="!!!"),"",IF(OR(J5255=0,AND(J5255=1,K5255=1),AND(J5255=1,I5255="SBJ"),AND(J5255=1,I5255=0)),"?IN_FOCUS",IF(J5255&lt;=2,"?ACTIVATED",IF(J5255&lt;&gt;"","?FAMILIAR",IF(F5255="NEW",IF(ISNA(VLOOKUP(E5255,#REF!,1,FALSE())),"?TYPE_IDENTIFIABLE","?REFERENTIAL"),"_")))))</f>
        <v> </v>
      </c>
      <c r="H5255" s="25" t="str">
        <f>IF(J5255&lt;&gt;1,"",IF(I5255="SBJ","CB","?"))</f>
        <v> </v>
      </c>
      <c r="I5255" s="26" t="str">
        <f>IF(OR(E5255="",E5255="!!!",F5255="NEW"),"",INDEX(B5254:B$2,-1+SUMPRODUCT(MAX(ROW(E5254:E$2)*(E5255=E5254:E$2)))))</f>
        <v> </v>
      </c>
      <c r="J5255" s="26" t="str">
        <f>IF(OR(E5255="",E5255="!!!",F5255="NEW"),"",COUNTBLANK(OFFSET(A$1,,,SUMPRODUCT(MAX(ROW(E$2:E5255)*(E5255=E$2:E5255)))))-COUNTBLANK(OFFSET(A$1,,,SUMPRODUCT(MAX(ROW(E$1:E5254)*(E2=E$1:E5254))))))</f>
        <v> </v>
      </c>
      <c r="K5255" s="26" t="str">
        <f>IF(OR(E5255="",E5255="!!!",F5255="NEW"),"",INDEX(J$1:J5254,SUMPRODUCT(MAX(ROW(E$1:E5254)*(E5255=E$1:E5254)))))</f>
        <v> </v>
      </c>
      <c r="L5255" s="27"/>
    </row>
    <row r="5256" spans="1:12">
      <c r="A5256" s="20" t="s">
        <v>1277</v>
      </c>
      <c r="E5256" s="22">
        <f>IF(D5256="?OLD","!!!","")</f>
        <v/>
      </c>
      <c r="F5256" s="23" t="str">
        <f>IF(OR(E5256="",E5256="!!!"),"",IF(NOT(ISNA(VLOOKUP(E5256,E$1:E5255,1,FALSE()))),"OLD",IF(AND(E5256&lt;&gt;"",E5256&lt;&gt;"!!!"),"NEW","")))</f>
        <v> </v>
      </c>
      <c r="G5256" s="24" t="str">
        <f>IF(OR(E5256="",E5256="!!!"),"",IF(OR(J5256=0,AND(J5256=1,K5256=1),AND(J5256=1,I5256="SBJ"),AND(J5256=1,I5256=0)),"?IN_FOCUS",IF(J5256&lt;=2,"?ACTIVATED",IF(J5256&lt;&gt;"","?FAMILIAR",IF(F5256="NEW",IF(ISNA(VLOOKUP(E5256,#REF!,1,FALSE())),"?TYPE_IDENTIFIABLE","?REFERENTIAL"),"_")))))</f>
        <v> </v>
      </c>
      <c r="H5256" s="25" t="str">
        <f>IF(J5256&lt;&gt;1,"",IF(I5256="SBJ","CB","?"))</f>
        <v> </v>
      </c>
      <c r="I5256" s="26" t="str">
        <f>IF(OR(E5256="",E5256="!!!",F5256="NEW"),"",INDEX(B5255:B$2,-1+SUMPRODUCT(MAX(ROW(E5255:E$2)*(E5256=E5255:E$2)))))</f>
        <v> </v>
      </c>
      <c r="J5256" s="26" t="str">
        <f>IF(OR(E5256="",E5256="!!!",F5256="NEW"),"",COUNTBLANK(OFFSET(A$1,,,SUMPRODUCT(MAX(ROW(E$2:E5256)*(E5256=E$2:E5256)))))-COUNTBLANK(OFFSET(A$1,,,SUMPRODUCT(MAX(ROW(E$1:E5255)*(E2=E$1:E5255))))))</f>
        <v> </v>
      </c>
      <c r="K5256" s="26" t="str">
        <f>IF(OR(E5256="",E5256="!!!",F5256="NEW"),"",INDEX(J$1:J5255,SUMPRODUCT(MAX(ROW(E$1:E5255)*(E5256=E$1:E5255)))))</f>
        <v> </v>
      </c>
      <c r="L5256" s="27"/>
    </row>
    <row r="5257" spans="1:12">
      <c r="A5257" s="20" t="s">
        <v>2601</v>
      </c>
      <c r="E5257" s="22">
        <f>IF(D5257="?OLD","!!!","")</f>
        <v/>
      </c>
      <c r="F5257" s="23" t="str">
        <f>IF(OR(E5257="",E5257="!!!"),"",IF(NOT(ISNA(VLOOKUP(E5257,E$1:E5256,1,FALSE()))),"OLD",IF(AND(E5257&lt;&gt;"",E5257&lt;&gt;"!!!"),"NEW","")))</f>
        <v> </v>
      </c>
      <c r="G5257" s="24" t="str">
        <f>IF(OR(E5257="",E5257="!!!"),"",IF(OR(J5257=0,AND(J5257=1,K5257=1),AND(J5257=1,I5257="SBJ"),AND(J5257=1,I5257=0)),"?IN_FOCUS",IF(J5257&lt;=2,"?ACTIVATED",IF(J5257&lt;&gt;"","?FAMILIAR",IF(F5257="NEW",IF(ISNA(VLOOKUP(E5257,#REF!,1,FALSE())),"?TYPE_IDENTIFIABLE","?REFERENTIAL"),"_")))))</f>
        <v> </v>
      </c>
      <c r="H5257" s="25" t="str">
        <f>IF(J5257&lt;&gt;1,"",IF(I5257="SBJ","CB","?"))</f>
        <v> </v>
      </c>
      <c r="I5257" s="26" t="str">
        <f>IF(OR(E5257="",E5257="!!!",F5257="NEW"),"",INDEX(B5256:B$2,-1+SUMPRODUCT(MAX(ROW(E5256:E$2)*(E5257=E5256:E$2)))))</f>
        <v> </v>
      </c>
      <c r="J5257" s="26" t="str">
        <f>IF(OR(E5257="",E5257="!!!",F5257="NEW"),"",COUNTBLANK(OFFSET(A$1,,,SUMPRODUCT(MAX(ROW(E$2:E5257)*(E5257=E$2:E5257)))))-COUNTBLANK(OFFSET(A$1,,,SUMPRODUCT(MAX(ROW(E$1:E5256)*(E2=E$1:E5256))))))</f>
        <v> </v>
      </c>
      <c r="K5257" s="26" t="str">
        <f>IF(OR(E5257="",E5257="!!!",F5257="NEW"),"",INDEX(J$1:J5256,SUMPRODUCT(MAX(ROW(E$1:E5256)*(E5257=E$1:E5256)))))</f>
        <v> </v>
      </c>
      <c r="L5257" s="27"/>
    </row>
    <row r="5258" spans="1:12">
      <c r="A5258" s="20" t="s">
        <v>1286</v>
      </c>
      <c r="E5258" s="22">
        <f>IF(D5258="?OLD","!!!","")</f>
        <v/>
      </c>
      <c r="F5258" s="23" t="str">
        <f>IF(OR(E5258="",E5258="!!!"),"",IF(NOT(ISNA(VLOOKUP(E5258,E$1:E5257,1,FALSE()))),"OLD",IF(AND(E5258&lt;&gt;"",E5258&lt;&gt;"!!!"),"NEW","")))</f>
        <v> </v>
      </c>
      <c r="G5258" s="24" t="str">
        <f>IF(OR(E5258="",E5258="!!!"),"",IF(OR(J5258=0,AND(J5258=1,K5258=1),AND(J5258=1,I5258="SBJ"),AND(J5258=1,I5258=0)),"?IN_FOCUS",IF(J5258&lt;=2,"?ACTIVATED",IF(J5258&lt;&gt;"","?FAMILIAR",IF(F5258="NEW",IF(ISNA(VLOOKUP(E5258,#REF!,1,FALSE())),"?TYPE_IDENTIFIABLE","?REFERENTIAL"),"_")))))</f>
        <v> </v>
      </c>
      <c r="H5258" s="25" t="str">
        <f>IF(J5258&lt;&gt;1,"",IF(I5258="SBJ","CB","?"))</f>
        <v> </v>
      </c>
      <c r="I5258" s="26" t="str">
        <f>IF(OR(E5258="",E5258="!!!",F5258="NEW"),"",INDEX(B5257:B$2,-1+SUMPRODUCT(MAX(ROW(E5257:E$2)*(E5258=E5257:E$2)))))</f>
        <v> </v>
      </c>
      <c r="J5258" s="26" t="str">
        <f>IF(OR(E5258="",E5258="!!!",F5258="NEW"),"",COUNTBLANK(OFFSET(A$1,,,SUMPRODUCT(MAX(ROW(E$2:E5258)*(E5258=E$2:E5258)))))-COUNTBLANK(OFFSET(A$1,,,SUMPRODUCT(MAX(ROW(E$1:E5257)*(E2=E$1:E5257))))))</f>
        <v> </v>
      </c>
      <c r="K5258" s="26" t="str">
        <f>IF(OR(E5258="",E5258="!!!",F5258="NEW"),"",INDEX(J$1:J5257,SUMPRODUCT(MAX(ROW(E$1:E5257)*(E5258=E$1:E5257)))))</f>
        <v> </v>
      </c>
      <c r="L5258" s="27"/>
    </row>
    <row r="5259" spans="1:12">
      <c r="A5259" s="20" t="s">
        <v>1767</v>
      </c>
      <c r="E5259" s="22">
        <f>IF(D5259="?OLD","!!!","")</f>
        <v/>
      </c>
      <c r="F5259" s="23" t="str">
        <f>IF(OR(E5259="",E5259="!!!"),"",IF(NOT(ISNA(VLOOKUP(E5259,E$1:E5258,1,FALSE()))),"OLD",IF(AND(E5259&lt;&gt;"",E5259&lt;&gt;"!!!"),"NEW","")))</f>
        <v> </v>
      </c>
      <c r="G5259" s="24" t="str">
        <f>IF(OR(E5259="",E5259="!!!"),"",IF(OR(J5259=0,AND(J5259=1,K5259=1),AND(J5259=1,I5259="SBJ"),AND(J5259=1,I5259=0)),"?IN_FOCUS",IF(J5259&lt;=2,"?ACTIVATED",IF(J5259&lt;&gt;"","?FAMILIAR",IF(F5259="NEW",IF(ISNA(VLOOKUP(E5259,#REF!,1,FALSE())),"?TYPE_IDENTIFIABLE","?REFERENTIAL"),"_")))))</f>
        <v> </v>
      </c>
      <c r="H5259" s="25" t="str">
        <f>IF(J5259&lt;&gt;1,"",IF(I5259="SBJ","CB","?"))</f>
        <v> </v>
      </c>
      <c r="I5259" s="26" t="str">
        <f>IF(OR(E5259="",E5259="!!!",F5259="NEW"),"",INDEX(B5258:B$2,-1+SUMPRODUCT(MAX(ROW(E5258:E$2)*(E5259=E5258:E$2)))))</f>
        <v> </v>
      </c>
      <c r="J5259" s="26" t="str">
        <f>IF(OR(E5259="",E5259="!!!",F5259="NEW"),"",COUNTBLANK(OFFSET(A$1,,,SUMPRODUCT(MAX(ROW(E$2:E5259)*(E5259=E$2:E5259)))))-COUNTBLANK(OFFSET(A$1,,,SUMPRODUCT(MAX(ROW(E$1:E5258)*(E2=E$1:E5258))))))</f>
        <v> </v>
      </c>
      <c r="K5259" s="26" t="str">
        <f>IF(OR(E5259="",E5259="!!!",F5259="NEW"),"",INDEX(J$1:J5258,SUMPRODUCT(MAX(ROW(E$1:E5258)*(E5259=E$1:E5258)))))</f>
        <v> </v>
      </c>
      <c r="L5259" s="27"/>
    </row>
    <row r="5260" spans="1:12">
      <c r="A5260" s="20" t="s">
        <v>1277</v>
      </c>
      <c r="E5260" s="22">
        <f>IF(D5260="?OLD","!!!","")</f>
        <v/>
      </c>
      <c r="F5260" s="23" t="str">
        <f>IF(OR(E5260="",E5260="!!!"),"",IF(NOT(ISNA(VLOOKUP(E5260,E$1:E5259,1,FALSE()))),"OLD",IF(AND(E5260&lt;&gt;"",E5260&lt;&gt;"!!!"),"NEW","")))</f>
        <v> </v>
      </c>
      <c r="G5260" s="24" t="str">
        <f>IF(OR(E5260="",E5260="!!!"),"",IF(OR(J5260=0,AND(J5260=1,K5260=1),AND(J5260=1,I5260="SBJ"),AND(J5260=1,I5260=0)),"?IN_FOCUS",IF(J5260&lt;=2,"?ACTIVATED",IF(J5260&lt;&gt;"","?FAMILIAR",IF(F5260="NEW",IF(ISNA(VLOOKUP(E5260,#REF!,1,FALSE())),"?TYPE_IDENTIFIABLE","?REFERENTIAL"),"_")))))</f>
        <v> </v>
      </c>
      <c r="H5260" s="25" t="str">
        <f>IF(J5260&lt;&gt;1,"",IF(I5260="SBJ","CB","?"))</f>
        <v> </v>
      </c>
      <c r="I5260" s="26" t="str">
        <f>IF(OR(E5260="",E5260="!!!",F5260="NEW"),"",INDEX(B5259:B$2,-1+SUMPRODUCT(MAX(ROW(E5259:E$2)*(E5260=E5259:E$2)))))</f>
        <v> </v>
      </c>
      <c r="J5260" s="26" t="str">
        <f>IF(OR(E5260="",E5260="!!!",F5260="NEW"),"",COUNTBLANK(OFFSET(A$1,,,SUMPRODUCT(MAX(ROW(E$2:E5260)*(E5260=E$2:E5260)))))-COUNTBLANK(OFFSET(A$1,,,SUMPRODUCT(MAX(ROW(E$1:E5259)*(E2=E$1:E5259))))))</f>
        <v> </v>
      </c>
      <c r="K5260" s="26" t="str">
        <f>IF(OR(E5260="",E5260="!!!",F5260="NEW"),"",INDEX(J$1:J5259,SUMPRODUCT(MAX(ROW(E$1:E5259)*(E5260=E$1:E5259)))))</f>
        <v> </v>
      </c>
      <c r="L5260" s="27"/>
    </row>
    <row r="5261" spans="1:12">
      <c r="A5261" s="20" t="s">
        <v>1329</v>
      </c>
      <c r="E5261" s="22">
        <f>IF(D5261="?OLD","!!!","")</f>
        <v/>
      </c>
      <c r="F5261" s="23" t="str">
        <f>IF(OR(E5261="",E5261="!!!"),"",IF(NOT(ISNA(VLOOKUP(E5261,E$1:E5260,1,FALSE()))),"OLD",IF(AND(E5261&lt;&gt;"",E5261&lt;&gt;"!!!"),"NEW","")))</f>
        <v> </v>
      </c>
      <c r="G5261" s="24" t="str">
        <f>IF(OR(E5261="",E5261="!!!"),"",IF(OR(J5261=0,AND(J5261=1,K5261=1),AND(J5261=1,I5261="SBJ"),AND(J5261=1,I5261=0)),"?IN_FOCUS",IF(J5261&lt;=2,"?ACTIVATED",IF(J5261&lt;&gt;"","?FAMILIAR",IF(F5261="NEW",IF(ISNA(VLOOKUP(E5261,#REF!,1,FALSE())),"?TYPE_IDENTIFIABLE","?REFERENTIAL"),"_")))))</f>
        <v> </v>
      </c>
      <c r="H5261" s="25" t="str">
        <f>IF(J5261&lt;&gt;1,"",IF(I5261="SBJ","CB","?"))</f>
        <v> </v>
      </c>
      <c r="I5261" s="26" t="str">
        <f>IF(OR(E5261="",E5261="!!!",F5261="NEW"),"",INDEX(B5260:B$2,-1+SUMPRODUCT(MAX(ROW(E5260:E$2)*(E5261=E5260:E$2)))))</f>
        <v> </v>
      </c>
      <c r="J5261" s="26" t="str">
        <f>IF(OR(E5261="",E5261="!!!",F5261="NEW"),"",COUNTBLANK(OFFSET(A$1,,,SUMPRODUCT(MAX(ROW(E$2:E5261)*(E5261=E$2:E5261)))))-COUNTBLANK(OFFSET(A$1,,,SUMPRODUCT(MAX(ROW(E$1:E5260)*(E2=E$1:E5260))))))</f>
        <v> </v>
      </c>
      <c r="K5261" s="26" t="str">
        <f>IF(OR(E5261="",E5261="!!!",F5261="NEW"),"",INDEX(J$1:J5260,SUMPRODUCT(MAX(ROW(E$1:E5260)*(E5261=E$1:E5260)))))</f>
        <v> </v>
      </c>
      <c r="L5261" s="27"/>
    </row>
    <row r="5262" spans="1:12">
      <c r="A5262" s="20" t="s">
        <v>1337</v>
      </c>
      <c r="B5262" s="21" t="s">
        <v>1221</v>
      </c>
      <c r="C5262" s="21" t="s">
        <v>1276</v>
      </c>
      <c r="D5262" s="21" t="s">
        <v>1217</v>
      </c>
      <c r="E5262" s="22">
        <f>IF(D5262="?OLD","!!!","")</f>
        <v/>
      </c>
      <c r="F5262" s="23" t="str">
        <f>IF(OR(E5262="",E5262="!!!"),"",IF(NOT(ISNA(VLOOKUP(E5262,E$1:E5261,1,FALSE()))),"OLD",IF(AND(E5262&lt;&gt;"",E5262&lt;&gt;"!!!"),"NEW","")))</f>
        <v> </v>
      </c>
      <c r="G5262" s="24" t="str">
        <f>IF(OR(E5262="",E5262="!!!"),"",IF(OR(J5262=0,AND(J5262=1,K5262=1),AND(J5262=1,I5262="SBJ"),AND(J5262=1,I5262=0)),"?IN_FOCUS",IF(J5262&lt;=2,"?ACTIVATED",IF(J5262&lt;&gt;"","?FAMILIAR",IF(F5262="NEW",IF(ISNA(VLOOKUP(E5262,#REF!,1,FALSE())),"?TYPE_IDENTIFIABLE","?REFERENTIAL"),"_")))))</f>
        <v> </v>
      </c>
      <c r="H5262" s="25" t="str">
        <f>IF(J5262&lt;&gt;1,"",IF(I5262="SBJ","CB","?"))</f>
        <v> </v>
      </c>
      <c r="I5262" s="26" t="str">
        <f>IF(OR(E5262="",E5262="!!!",F5262="NEW"),"",INDEX(B5261:B$2,-1+SUMPRODUCT(MAX(ROW(E5261:E$2)*(E5262=E5261:E$2)))))</f>
        <v> </v>
      </c>
      <c r="J5262" s="26" t="str">
        <f>IF(OR(E5262="",E5262="!!!",F5262="NEW"),"",COUNTBLANK(OFFSET(A$1,,,SUMPRODUCT(MAX(ROW(E$2:E5262)*(E5262=E$2:E5262)))))-COUNTBLANK(OFFSET(A$1,,,SUMPRODUCT(MAX(ROW(E$1:E5261)*(E2=E$1:E5261))))))</f>
        <v> </v>
      </c>
      <c r="K5262" s="26" t="str">
        <f>IF(OR(E5262="",E5262="!!!",F5262="NEW"),"",INDEX(J$1:J5261,SUMPRODUCT(MAX(ROW(E$1:E5261)*(E5262=E$1:E5261)))))</f>
        <v> </v>
      </c>
      <c r="L5262" s="27"/>
    </row>
    <row r="5263" spans="1:12">
      <c r="A5263" s="20" t="s">
        <v>1218</v>
      </c>
      <c r="E5263" s="22">
        <f>IF(D5263="?OLD","!!!","")</f>
        <v/>
      </c>
      <c r="F5263" s="23" t="str">
        <f>IF(OR(E5263="",E5263="!!!"),"",IF(NOT(ISNA(VLOOKUP(E5263,E$1:E5262,1,FALSE()))),"OLD",IF(AND(E5263&lt;&gt;"",E5263&lt;&gt;"!!!"),"NEW","")))</f>
        <v> </v>
      </c>
      <c r="G5263" s="24" t="str">
        <f>IF(OR(E5263="",E5263="!!!"),"",IF(OR(J5263=0,AND(J5263=1,K5263=1),AND(J5263=1,I5263="SBJ"),AND(J5263=1,I5263=0)),"?IN_FOCUS",IF(J5263&lt;=2,"?ACTIVATED",IF(J5263&lt;&gt;"","?FAMILIAR",IF(F5263="NEW",IF(ISNA(VLOOKUP(E5263,#REF!,1,FALSE())),"?TYPE_IDENTIFIABLE","?REFERENTIAL"),"_")))))</f>
        <v> </v>
      </c>
      <c r="H5263" s="25" t="str">
        <f>IF(J5263&lt;&gt;1,"",IF(I5263="SBJ","CB","?"))</f>
        <v> </v>
      </c>
      <c r="I5263" s="26" t="str">
        <f>IF(OR(E5263="",E5263="!!!",F5263="NEW"),"",INDEX(B5262:B$2,-1+SUMPRODUCT(MAX(ROW(E5262:E$2)*(E5263=E5262:E$2)))))</f>
        <v> </v>
      </c>
      <c r="J5263" s="26" t="str">
        <f>IF(OR(E5263="",E5263="!!!",F5263="NEW"),"",COUNTBLANK(OFFSET(A$1,,,SUMPRODUCT(MAX(ROW(E$2:E5263)*(E5263=E$2:E5263)))))-COUNTBLANK(OFFSET(A$1,,,SUMPRODUCT(MAX(ROW(E$1:E5262)*(E2=E$1:E5262))))))</f>
        <v> </v>
      </c>
      <c r="K5263" s="26" t="str">
        <f>IF(OR(E5263="",E5263="!!!",F5263="NEW"),"",INDEX(J$1:J5262,SUMPRODUCT(MAX(ROW(E$1:E5262)*(E5263=E$1:E5262)))))</f>
        <v> </v>
      </c>
      <c r="L5263" s="27"/>
    </row>
    <row r="5264" spans="1:12">
      <c r="A5264" s="20" t="s">
        <v>1323</v>
      </c>
      <c r="E5264" s="22">
        <f>IF(D5264="?OLD","!!!","")</f>
        <v/>
      </c>
      <c r="F5264" s="23" t="str">
        <f>IF(OR(E5264="",E5264="!!!"),"",IF(NOT(ISNA(VLOOKUP(E5264,E$1:E5263,1,FALSE()))),"OLD",IF(AND(E5264&lt;&gt;"",E5264&lt;&gt;"!!!"),"NEW","")))</f>
        <v> </v>
      </c>
      <c r="G5264" s="24" t="str">
        <f>IF(OR(E5264="",E5264="!!!"),"",IF(OR(J5264=0,AND(J5264=1,K5264=1),AND(J5264=1,I5264="SBJ"),AND(J5264=1,I5264=0)),"?IN_FOCUS",IF(J5264&lt;=2,"?ACTIVATED",IF(J5264&lt;&gt;"","?FAMILIAR",IF(F5264="NEW",IF(ISNA(VLOOKUP(E5264,#REF!,1,FALSE())),"?TYPE_IDENTIFIABLE","?REFERENTIAL"),"_")))))</f>
        <v> </v>
      </c>
      <c r="H5264" s="25" t="str">
        <f>IF(J5264&lt;&gt;1,"",IF(I5264="SBJ","CB","?"))</f>
        <v> </v>
      </c>
      <c r="I5264" s="26" t="str">
        <f>IF(OR(E5264="",E5264="!!!",F5264="NEW"),"",INDEX(B5263:B$2,-1+SUMPRODUCT(MAX(ROW(E5263:E$2)*(E5264=E5263:E$2)))))</f>
        <v> </v>
      </c>
      <c r="J5264" s="26" t="str">
        <f>IF(OR(E5264="",E5264="!!!",F5264="NEW"),"",COUNTBLANK(OFFSET(A$1,,,SUMPRODUCT(MAX(ROW(E$2:E5264)*(E5264=E$2:E5264)))))-COUNTBLANK(OFFSET(A$1,,,SUMPRODUCT(MAX(ROW(E$1:E5263)*(E2=E$1:E5263))))))</f>
        <v> </v>
      </c>
      <c r="K5264" s="26" t="str">
        <f>IF(OR(E5264="",E5264="!!!",F5264="NEW"),"",INDEX(J$1:J5263,SUMPRODUCT(MAX(ROW(E$1:E5263)*(E5264=E$1:E5263)))))</f>
        <v> </v>
      </c>
      <c r="L5264" s="27"/>
    </row>
    <row r="5265" spans="1:12">
      <c r="A5265" s="20" t="s">
        <v>1519</v>
      </c>
      <c r="B5265" s="21" t="s">
        <v>1224</v>
      </c>
      <c r="C5265" s="21" t="s">
        <v>1269</v>
      </c>
      <c r="D5265" s="21" t="s">
        <v>1217</v>
      </c>
      <c r="E5265" s="22">
        <f>IF(D5265="?OLD","!!!","")</f>
        <v/>
      </c>
      <c r="F5265" s="23" t="str">
        <f>IF(OR(E5265="",E5265="!!!"),"",IF(NOT(ISNA(VLOOKUP(E5265,E$1:E5264,1,FALSE()))),"OLD",IF(AND(E5265&lt;&gt;"",E5265&lt;&gt;"!!!"),"NEW","")))</f>
        <v> </v>
      </c>
      <c r="G5265" s="24" t="str">
        <f>IF(OR(E5265="",E5265="!!!"),"",IF(OR(J5265=0,AND(J5265=1,K5265=1),AND(J5265=1,I5265="SBJ"),AND(J5265=1,I5265=0)),"?IN_FOCUS",IF(J5265&lt;=2,"?ACTIVATED",IF(J5265&lt;&gt;"","?FAMILIAR",IF(F5265="NEW",IF(ISNA(VLOOKUP(E5265,#REF!,1,FALSE())),"?TYPE_IDENTIFIABLE","?REFERENTIAL"),"_")))))</f>
        <v> </v>
      </c>
      <c r="H5265" s="25" t="str">
        <f>IF(J5265&lt;&gt;1,"",IF(I5265="SBJ","CB","?"))</f>
        <v> </v>
      </c>
      <c r="I5265" s="26" t="str">
        <f>IF(OR(E5265="",E5265="!!!",F5265="NEW"),"",INDEX(B5264:B$2,-1+SUMPRODUCT(MAX(ROW(E5264:E$2)*(E5265=E5264:E$2)))))</f>
        <v> </v>
      </c>
      <c r="J5265" s="26" t="str">
        <f>IF(OR(E5265="",E5265="!!!",F5265="NEW"),"",COUNTBLANK(OFFSET(A$1,,,SUMPRODUCT(MAX(ROW(E$2:E5265)*(E5265=E$2:E5265)))))-COUNTBLANK(OFFSET(A$1,,,SUMPRODUCT(MAX(ROW(E$1:E5264)*(E2=E$1:E5264))))))</f>
        <v> </v>
      </c>
      <c r="K5265" s="26" t="str">
        <f>IF(OR(E5265="",E5265="!!!",F5265="NEW"),"",INDEX(J$1:J5264,SUMPRODUCT(MAX(ROW(E$1:E5264)*(E5265=E$1:E5264)))))</f>
        <v> </v>
      </c>
      <c r="L5265" s="27"/>
    </row>
    <row r="5266" spans="1:12">
      <c r="A5266" s="20" t="s">
        <v>1262</v>
      </c>
      <c r="E5266" s="22">
        <f>IF(D5266="?OLD","!!!","")</f>
        <v/>
      </c>
      <c r="F5266" s="23" t="str">
        <f>IF(OR(E5266="",E5266="!!!"),"",IF(NOT(ISNA(VLOOKUP(E5266,E$1:E5265,1,FALSE()))),"OLD",IF(AND(E5266&lt;&gt;"",E5266&lt;&gt;"!!!"),"NEW","")))</f>
        <v> </v>
      </c>
      <c r="G5266" s="24" t="str">
        <f>IF(OR(E5266="",E5266="!!!"),"",IF(OR(J5266=0,AND(J5266=1,K5266=1),AND(J5266=1,I5266="SBJ"),AND(J5266=1,I5266=0)),"?IN_FOCUS",IF(J5266&lt;=2,"?ACTIVATED",IF(J5266&lt;&gt;"","?FAMILIAR",IF(F5266="NEW",IF(ISNA(VLOOKUP(E5266,#REF!,1,FALSE())),"?TYPE_IDENTIFIABLE","?REFERENTIAL"),"_")))))</f>
        <v> </v>
      </c>
      <c r="H5266" s="25" t="str">
        <f>IF(J5266&lt;&gt;1,"",IF(I5266="SBJ","CB","?"))</f>
        <v> </v>
      </c>
      <c r="I5266" s="26" t="str">
        <f>IF(OR(E5266="",E5266="!!!",F5266="NEW"),"",INDEX(B5265:B$2,-1+SUMPRODUCT(MAX(ROW(E5265:E$2)*(E5266=E5265:E$2)))))</f>
        <v> </v>
      </c>
      <c r="J5266" s="26" t="str">
        <f>IF(OR(E5266="",E5266="!!!",F5266="NEW"),"",COUNTBLANK(OFFSET(A$1,,,SUMPRODUCT(MAX(ROW(E$2:E5266)*(E5266=E$2:E5266)))))-COUNTBLANK(OFFSET(A$1,,,SUMPRODUCT(MAX(ROW(E$1:E5265)*(E2=E$1:E5265))))))</f>
        <v> </v>
      </c>
      <c r="K5266" s="26" t="str">
        <f>IF(OR(E5266="",E5266="!!!",F5266="NEW"),"",INDEX(J$1:J5265,SUMPRODUCT(MAX(ROW(E$1:E5265)*(E5266=E$1:E5265)))))</f>
        <v> </v>
      </c>
      <c r="L5266" s="27"/>
    </row>
    <row r="5267" spans="1:12">
      <c r="A5267" s="20"/>
    </row>
    <row r="5268" spans="1:12">
      <c r="A5268" s="20" t="s">
        <v>1542</v>
      </c>
    </row>
    <row r="5269" spans="1:12">
      <c r="A5269" s="20" t="s">
        <v>135</v>
      </c>
      <c r="E5269" s="22">
        <f>IF(D5269="?OLD","!!!","")</f>
        <v/>
      </c>
      <c r="F5269" s="23" t="str">
        <f>IF(OR(E5269="",E5269="!!!"),"",IF(NOT(ISNA(VLOOKUP(E5269,E$1:E5268,1,FALSE()))),"OLD",IF(AND(E5269&lt;&gt;"",E5269&lt;&gt;"!!!"),"NEW","")))</f>
        <v> </v>
      </c>
      <c r="G5269" s="24" t="str">
        <f>IF(OR(E5269="",E5269="!!!"),"",IF(OR(J5269=0,AND(J5269=1,K5269=1),AND(J5269=1,I5269="SBJ"),AND(J5269=1,I5269=0)),"?IN_FOCUS",IF(J5269&lt;=2,"?ACTIVATED",IF(J5269&lt;&gt;"","?FAMILIAR",IF(F5269="NEW",IF(ISNA(VLOOKUP(E5269,#REF!,1,FALSE())),"?TYPE_IDENTIFIABLE","?REFERENTIAL"),"_")))))</f>
        <v> </v>
      </c>
      <c r="H5269" s="25" t="str">
        <f>IF(J5269&lt;&gt;1,"",IF(I5269="SBJ","CB","?"))</f>
        <v> </v>
      </c>
      <c r="I5269" s="26" t="str">
        <f>IF(OR(E5269="",E5269="!!!",F5269="NEW"),"",INDEX(B5268:B$2,-1+SUMPRODUCT(MAX(ROW(E5268:E$2)*(E5269=E5268:E$2)))))</f>
        <v> </v>
      </c>
      <c r="J5269" s="26" t="str">
        <f>IF(OR(E5269="",E5269="!!!",F5269="NEW"),"",COUNTBLANK(OFFSET(A$1,,,SUMPRODUCT(MAX(ROW(E$2:E5269)*(E5269=E$2:E5269)))))-COUNTBLANK(OFFSET(A$1,,,SUMPRODUCT(MAX(ROW(E$1:E5268)*(E2=E$1:E5268))))))</f>
        <v> </v>
      </c>
      <c r="K5269" s="26" t="str">
        <f>IF(OR(E5269="",E5269="!!!",F5269="NEW"),"",INDEX(J$1:J5268,SUMPRODUCT(MAX(ROW(E$1:E5268)*(E5269=E$1:E5268)))))</f>
        <v> </v>
      </c>
      <c r="L5269" s="27"/>
    </row>
    <row r="5270" spans="1:12">
      <c r="A5270" s="20"/>
    </row>
    <row r="5271" spans="1:12">
      <c r="A5271" s="20" t="s">
        <v>2892</v>
      </c>
    </row>
    <row r="5272" spans="1:12">
      <c r="A5272" s="20" t="s">
        <v>2307</v>
      </c>
      <c r="B5272" s="21" t="s">
        <v>1215</v>
      </c>
      <c r="C5272" s="21" t="s">
        <v>1234</v>
      </c>
      <c r="D5272" s="21" t="s">
        <v>1217</v>
      </c>
      <c r="E5272" s="22">
        <f>IF(D5272="?OLD","!!!","")</f>
        <v/>
      </c>
      <c r="F5272" s="23" t="str">
        <f>IF(OR(E5272="",E5272="!!!"),"",IF(NOT(ISNA(VLOOKUP(E5272,E$1:E5271,1,FALSE()))),"OLD",IF(AND(E5272&lt;&gt;"",E5272&lt;&gt;"!!!"),"NEW","")))</f>
        <v> </v>
      </c>
      <c r="G5272" s="24" t="str">
        <f>IF(OR(E5272="",E5272="!!!"),"",IF(OR(J5272=0,AND(J5272=1,K5272=1),AND(J5272=1,I5272="SBJ"),AND(J5272=1,I5272=0)),"?IN_FOCUS",IF(J5272&lt;=2,"?ACTIVATED",IF(J5272&lt;&gt;"","?FAMILIAR",IF(F5272="NEW",IF(ISNA(VLOOKUP(E5272,#REF!,1,FALSE())),"?TYPE_IDENTIFIABLE","?REFERENTIAL"),"_")))))</f>
        <v> </v>
      </c>
      <c r="H5272" s="25" t="str">
        <f>IF(J5272&lt;&gt;1,"",IF(I5272="SBJ","CB","?"))</f>
        <v> </v>
      </c>
      <c r="I5272" s="26" t="str">
        <f>IF(OR(E5272="",E5272="!!!",F5272="NEW"),"",INDEX(B5271:B$2,-1+SUMPRODUCT(MAX(ROW(E5271:E$2)*(E5272=E5271:E$2)))))</f>
        <v> </v>
      </c>
      <c r="J5272" s="26" t="str">
        <f>IF(OR(E5272="",E5272="!!!",F5272="NEW"),"",COUNTBLANK(OFFSET(A$1,,,SUMPRODUCT(MAX(ROW(E$2:E5272)*(E5272=E$2:E5272)))))-COUNTBLANK(OFFSET(A$1,,,SUMPRODUCT(MAX(ROW(E$1:E5271)*(E2=E$1:E5271))))))</f>
        <v> </v>
      </c>
      <c r="K5272" s="26" t="str">
        <f>IF(OR(E5272="",E5272="!!!",F5272="NEW"),"",INDEX(J$1:J5271,SUMPRODUCT(MAX(ROW(E$1:E5271)*(E5272=E$1:E5271)))))</f>
        <v> </v>
      </c>
      <c r="L5272" s="27"/>
    </row>
    <row r="5273" spans="1:12">
      <c r="A5273" s="20" t="s">
        <v>2534</v>
      </c>
      <c r="E5273" s="22">
        <f>IF(D5273="?OLD","!!!","")</f>
        <v/>
      </c>
      <c r="F5273" s="23" t="str">
        <f>IF(OR(E5273="",E5273="!!!"),"",IF(NOT(ISNA(VLOOKUP(E5273,E$1:E5272,1,FALSE()))),"OLD",IF(AND(E5273&lt;&gt;"",E5273&lt;&gt;"!!!"),"NEW","")))</f>
        <v> </v>
      </c>
      <c r="G5273" s="24" t="str">
        <f>IF(OR(E5273="",E5273="!!!"),"",IF(OR(J5273=0,AND(J5273=1,K5273=1),AND(J5273=1,I5273="SBJ"),AND(J5273=1,I5273=0)),"?IN_FOCUS",IF(J5273&lt;=2,"?ACTIVATED",IF(J5273&lt;&gt;"","?FAMILIAR",IF(F5273="NEW",IF(ISNA(VLOOKUP(E5273,#REF!,1,FALSE())),"?TYPE_IDENTIFIABLE","?REFERENTIAL"),"_")))))</f>
        <v> </v>
      </c>
      <c r="H5273" s="25" t="str">
        <f>IF(J5273&lt;&gt;1,"",IF(I5273="SBJ","CB","?"))</f>
        <v> </v>
      </c>
      <c r="I5273" s="26" t="str">
        <f>IF(OR(E5273="",E5273="!!!",F5273="NEW"),"",INDEX(B5272:B$2,-1+SUMPRODUCT(MAX(ROW(E5272:E$2)*(E5273=E5272:E$2)))))</f>
        <v> </v>
      </c>
      <c r="J5273" s="26" t="str">
        <f>IF(OR(E5273="",E5273="!!!",F5273="NEW"),"",COUNTBLANK(OFFSET(A$1,,,SUMPRODUCT(MAX(ROW(E$2:E5273)*(E5273=E$2:E5273)))))-COUNTBLANK(OFFSET(A$1,,,SUMPRODUCT(MAX(ROW(E$1:E5272)*(E2=E$1:E5272))))))</f>
        <v> </v>
      </c>
      <c r="K5273" s="26" t="str">
        <f>IF(OR(E5273="",E5273="!!!",F5273="NEW"),"",INDEX(J$1:J5272,SUMPRODUCT(MAX(ROW(E$1:E5272)*(E5273=E$1:E5272)))))</f>
        <v> </v>
      </c>
      <c r="L5273" s="27"/>
    </row>
    <row r="5274" spans="1:12">
      <c r="A5274" s="20" t="s">
        <v>1852</v>
      </c>
      <c r="E5274" s="22">
        <f>IF(D5274="?OLD","!!!","")</f>
        <v/>
      </c>
      <c r="F5274" s="23" t="str">
        <f>IF(OR(E5274="",E5274="!!!"),"",IF(NOT(ISNA(VLOOKUP(E5274,E$1:E5273,1,FALSE()))),"OLD",IF(AND(E5274&lt;&gt;"",E5274&lt;&gt;"!!!"),"NEW","")))</f>
        <v> </v>
      </c>
      <c r="G5274" s="24" t="str">
        <f>IF(OR(E5274="",E5274="!!!"),"",IF(OR(J5274=0,AND(J5274=1,K5274=1),AND(J5274=1,I5274="SBJ"),AND(J5274=1,I5274=0)),"?IN_FOCUS",IF(J5274&lt;=2,"?ACTIVATED",IF(J5274&lt;&gt;"","?FAMILIAR",IF(F5274="NEW",IF(ISNA(VLOOKUP(E5274,#REF!,1,FALSE())),"?TYPE_IDENTIFIABLE","?REFERENTIAL"),"_")))))</f>
        <v> </v>
      </c>
      <c r="H5274" s="25" t="str">
        <f>IF(J5274&lt;&gt;1,"",IF(I5274="SBJ","CB","?"))</f>
        <v> </v>
      </c>
      <c r="I5274" s="26" t="str">
        <f>IF(OR(E5274="",E5274="!!!",F5274="NEW"),"",INDEX(B5273:B$2,-1+SUMPRODUCT(MAX(ROW(E5273:E$2)*(E5274=E5273:E$2)))))</f>
        <v> </v>
      </c>
      <c r="J5274" s="26" t="str">
        <f>IF(OR(E5274="",E5274="!!!",F5274="NEW"),"",COUNTBLANK(OFFSET(A$1,,,SUMPRODUCT(MAX(ROW(E$2:E5274)*(E5274=E$2:E5274)))))-COUNTBLANK(OFFSET(A$1,,,SUMPRODUCT(MAX(ROW(E$1:E5273)*(E2=E$1:E5273))))))</f>
        <v> </v>
      </c>
      <c r="K5274" s="26" t="str">
        <f>IF(OR(E5274="",E5274="!!!",F5274="NEW"),"",INDEX(J$1:J5273,SUMPRODUCT(MAX(ROW(E$1:E5273)*(E5274=E$1:E5273)))))</f>
        <v> </v>
      </c>
      <c r="L5274" s="27"/>
    </row>
    <row r="5275" spans="1:12">
      <c r="A5275" s="20" t="s">
        <v>1329</v>
      </c>
      <c r="B5275" s="21" t="s">
        <v>1244</v>
      </c>
      <c r="C5275" s="21" t="s">
        <v>1234</v>
      </c>
      <c r="D5275" s="21" t="s">
        <v>1217</v>
      </c>
      <c r="E5275" s="22">
        <f>IF(D5275="?OLD","!!!","")</f>
        <v/>
      </c>
      <c r="F5275" s="23" t="str">
        <f>IF(OR(E5275="",E5275="!!!"),"",IF(NOT(ISNA(VLOOKUP(E5275,E$1:E5274,1,FALSE()))),"OLD",IF(AND(E5275&lt;&gt;"",E5275&lt;&gt;"!!!"),"NEW","")))</f>
        <v> </v>
      </c>
      <c r="G5275" s="24" t="str">
        <f>IF(OR(E5275="",E5275="!!!"),"",IF(OR(J5275=0,AND(J5275=1,K5275=1),AND(J5275=1,I5275="SBJ"),AND(J5275=1,I5275=0)),"?IN_FOCUS",IF(J5275&lt;=2,"?ACTIVATED",IF(J5275&lt;&gt;"","?FAMILIAR",IF(F5275="NEW",IF(ISNA(VLOOKUP(E5275,#REF!,1,FALSE())),"?TYPE_IDENTIFIABLE","?REFERENTIAL"),"_")))))</f>
        <v> </v>
      </c>
      <c r="H5275" s="25" t="str">
        <f>IF(J5275&lt;&gt;1,"",IF(I5275="SBJ","CB","?"))</f>
        <v> </v>
      </c>
      <c r="I5275" s="26" t="str">
        <f>IF(OR(E5275="",E5275="!!!",F5275="NEW"),"",INDEX(B5274:B$2,-1+SUMPRODUCT(MAX(ROW(E5274:E$2)*(E5275=E5274:E$2)))))</f>
        <v> </v>
      </c>
      <c r="J5275" s="26" t="str">
        <f>IF(OR(E5275="",E5275="!!!",F5275="NEW"),"",COUNTBLANK(OFFSET(A$1,,,SUMPRODUCT(MAX(ROW(E$2:E5275)*(E5275=E$2:E5275)))))-COUNTBLANK(OFFSET(A$1,,,SUMPRODUCT(MAX(ROW(E$1:E5274)*(E2=E$1:E5274))))))</f>
        <v> </v>
      </c>
      <c r="K5275" s="26" t="str">
        <f>IF(OR(E5275="",E5275="!!!",F5275="NEW"),"",INDEX(J$1:J5274,SUMPRODUCT(MAX(ROW(E$1:E5274)*(E5275=E$1:E5274)))))</f>
        <v> </v>
      </c>
      <c r="L5275" s="27"/>
    </row>
    <row r="5276" spans="1:12">
      <c r="A5276" s="20" t="s">
        <v>1321</v>
      </c>
      <c r="B5276" s="21" t="s">
        <v>1249</v>
      </c>
      <c r="E5276" s="22">
        <f>IF(D5276="?OLD","!!!","")</f>
        <v/>
      </c>
      <c r="F5276" s="23" t="str">
        <f>IF(OR(E5276="",E5276="!!!"),"",IF(NOT(ISNA(VLOOKUP(E5276,E$1:E5275,1,FALSE()))),"OLD",IF(AND(E5276&lt;&gt;"",E5276&lt;&gt;"!!!"),"NEW","")))</f>
        <v> </v>
      </c>
      <c r="G5276" s="24" t="str">
        <f>IF(OR(E5276="",E5276="!!!"),"",IF(OR(J5276=0,AND(J5276=1,K5276=1),AND(J5276=1,I5276="SBJ"),AND(J5276=1,I5276=0)),"?IN_FOCUS",IF(J5276&lt;=2,"?ACTIVATED",IF(J5276&lt;&gt;"","?FAMILIAR",IF(F5276="NEW",IF(ISNA(VLOOKUP(E5276,#REF!,1,FALSE())),"?TYPE_IDENTIFIABLE","?REFERENTIAL"),"_")))))</f>
        <v> </v>
      </c>
      <c r="H5276" s="25" t="str">
        <f>IF(J5276&lt;&gt;1,"",IF(I5276="SBJ","CB","?"))</f>
        <v> </v>
      </c>
      <c r="I5276" s="26" t="str">
        <f>IF(OR(E5276="",E5276="!!!",F5276="NEW"),"",INDEX(B5275:B$2,-1+SUMPRODUCT(MAX(ROW(E5275:E$2)*(E5276=E5275:E$2)))))</f>
        <v> </v>
      </c>
      <c r="J5276" s="26" t="str">
        <f>IF(OR(E5276="",E5276="!!!",F5276="NEW"),"",COUNTBLANK(OFFSET(A$1,,,SUMPRODUCT(MAX(ROW(E$2:E5276)*(E5276=E$2:E5276)))))-COUNTBLANK(OFFSET(A$1,,,SUMPRODUCT(MAX(ROW(E$1:E5275)*(E2=E$1:E5275))))))</f>
        <v> </v>
      </c>
      <c r="K5276" s="26" t="str">
        <f>IF(OR(E5276="",E5276="!!!",F5276="NEW"),"",INDEX(J$1:J5275,SUMPRODUCT(MAX(ROW(E$1:E5275)*(E5276=E$1:E5275)))))</f>
        <v> </v>
      </c>
      <c r="L5276" s="27"/>
    </row>
    <row r="5277" spans="1:12">
      <c r="A5277" s="20" t="s">
        <v>1327</v>
      </c>
      <c r="B5277" s="21" t="s">
        <v>1229</v>
      </c>
      <c r="C5277" s="21" t="s">
        <v>1255</v>
      </c>
      <c r="D5277" s="21" t="s">
        <v>1217</v>
      </c>
      <c r="E5277" s="22">
        <f>IF(D5277="?OLD","!!!","")</f>
        <v/>
      </c>
      <c r="F5277" s="23" t="str">
        <f>IF(OR(E5277="",E5277="!!!"),"",IF(NOT(ISNA(VLOOKUP(E5277,E$1:E5276,1,FALSE()))),"OLD",IF(AND(E5277&lt;&gt;"",E5277&lt;&gt;"!!!"),"NEW","")))</f>
        <v> </v>
      </c>
      <c r="G5277" s="24" t="str">
        <f>IF(OR(E5277="",E5277="!!!"),"",IF(OR(J5277=0,AND(J5277=1,K5277=1),AND(J5277=1,I5277="SBJ"),AND(J5277=1,I5277=0)),"?IN_FOCUS",IF(J5277&lt;=2,"?ACTIVATED",IF(J5277&lt;&gt;"","?FAMILIAR",IF(F5277="NEW",IF(ISNA(VLOOKUP(E5277,#REF!,1,FALSE())),"?TYPE_IDENTIFIABLE","?REFERENTIAL"),"_")))))</f>
        <v> </v>
      </c>
      <c r="H5277" s="25" t="str">
        <f>IF(J5277&lt;&gt;1,"",IF(I5277="SBJ","CB","?"))</f>
        <v> </v>
      </c>
      <c r="I5277" s="26" t="str">
        <f>IF(OR(E5277="",E5277="!!!",F5277="NEW"),"",INDEX(B5276:B$2,-1+SUMPRODUCT(MAX(ROW(E5276:E$2)*(E5277=E5276:E$2)))))</f>
        <v> </v>
      </c>
      <c r="J5277" s="26" t="str">
        <f>IF(OR(E5277="",E5277="!!!",F5277="NEW"),"",COUNTBLANK(OFFSET(A$1,,,SUMPRODUCT(MAX(ROW(E$2:E5277)*(E5277=E$2:E5277)))))-COUNTBLANK(OFFSET(A$1,,,SUMPRODUCT(MAX(ROW(E$1:E5276)*(E2=E$1:E5276))))))</f>
        <v> </v>
      </c>
      <c r="K5277" s="26" t="str">
        <f>IF(OR(E5277="",E5277="!!!",F5277="NEW"),"",INDEX(J$1:J5276,SUMPRODUCT(MAX(ROW(E$1:E5276)*(E5277=E$1:E5276)))))</f>
        <v> </v>
      </c>
      <c r="L5277" s="27"/>
    </row>
    <row r="5278" spans="1:12">
      <c r="A5278" s="20" t="s">
        <v>2467</v>
      </c>
      <c r="E5278" s="22">
        <f>IF(D5278="?OLD","!!!","")</f>
        <v/>
      </c>
      <c r="F5278" s="23" t="str">
        <f>IF(OR(E5278="",E5278="!!!"),"",IF(NOT(ISNA(VLOOKUP(E5278,E$1:E5277,1,FALSE()))),"OLD",IF(AND(E5278&lt;&gt;"",E5278&lt;&gt;"!!!"),"NEW","")))</f>
        <v> </v>
      </c>
      <c r="G5278" s="24" t="str">
        <f>IF(OR(E5278="",E5278="!!!"),"",IF(OR(J5278=0,AND(J5278=1,K5278=1),AND(J5278=1,I5278="SBJ"),AND(J5278=1,I5278=0)),"?IN_FOCUS",IF(J5278&lt;=2,"?ACTIVATED",IF(J5278&lt;&gt;"","?FAMILIAR",IF(F5278="NEW",IF(ISNA(VLOOKUP(E5278,#REF!,1,FALSE())),"?TYPE_IDENTIFIABLE","?REFERENTIAL"),"_")))))</f>
        <v> </v>
      </c>
      <c r="H5278" s="25" t="str">
        <f>IF(J5278&lt;&gt;1,"",IF(I5278="SBJ","CB","?"))</f>
        <v> </v>
      </c>
      <c r="I5278" s="26" t="str">
        <f>IF(OR(E5278="",E5278="!!!",F5278="NEW"),"",INDEX(B5277:B$2,-1+SUMPRODUCT(MAX(ROW(E5277:E$2)*(E5278=E5277:E$2)))))</f>
        <v> </v>
      </c>
      <c r="J5278" s="26" t="str">
        <f>IF(OR(E5278="",E5278="!!!",F5278="NEW"),"",COUNTBLANK(OFFSET(A$1,,,SUMPRODUCT(MAX(ROW(E$2:E5278)*(E5278=E$2:E5278)))))-COUNTBLANK(OFFSET(A$1,,,SUMPRODUCT(MAX(ROW(E$1:E5277)*(E2=E$1:E5277))))))</f>
        <v> </v>
      </c>
      <c r="K5278" s="26" t="str">
        <f>IF(OR(E5278="",E5278="!!!",F5278="NEW"),"",INDEX(J$1:J5277,SUMPRODUCT(MAX(ROW(E$1:E5277)*(E5278=E$1:E5277)))))</f>
        <v> </v>
      </c>
      <c r="L5278" s="27"/>
    </row>
    <row r="5279" spans="1:12">
      <c r="A5279" s="20" t="s">
        <v>1218</v>
      </c>
      <c r="E5279" s="22">
        <f>IF(D5279="?OLD","!!!","")</f>
        <v/>
      </c>
      <c r="F5279" s="23" t="str">
        <f>IF(OR(E5279="",E5279="!!!"),"",IF(NOT(ISNA(VLOOKUP(E5279,E$1:E5278,1,FALSE()))),"OLD",IF(AND(E5279&lt;&gt;"",E5279&lt;&gt;"!!!"),"NEW","")))</f>
        <v> </v>
      </c>
      <c r="G5279" s="24" t="str">
        <f>IF(OR(E5279="",E5279="!!!"),"",IF(OR(J5279=0,AND(J5279=1,K5279=1),AND(J5279=1,I5279="SBJ"),AND(J5279=1,I5279=0)),"?IN_FOCUS",IF(J5279&lt;=2,"?ACTIVATED",IF(J5279&lt;&gt;"","?FAMILIAR",IF(F5279="NEW",IF(ISNA(VLOOKUP(E5279,#REF!,1,FALSE())),"?TYPE_IDENTIFIABLE","?REFERENTIAL"),"_")))))</f>
        <v> </v>
      </c>
      <c r="H5279" s="25" t="str">
        <f>IF(J5279&lt;&gt;1,"",IF(I5279="SBJ","CB","?"))</f>
        <v> </v>
      </c>
      <c r="I5279" s="26" t="str">
        <f>IF(OR(E5279="",E5279="!!!",F5279="NEW"),"",INDEX(B5278:B$2,-1+SUMPRODUCT(MAX(ROW(E5278:E$2)*(E5279=E5278:E$2)))))</f>
        <v> </v>
      </c>
      <c r="J5279" s="26" t="str">
        <f>IF(OR(E5279="",E5279="!!!",F5279="NEW"),"",COUNTBLANK(OFFSET(A$1,,,SUMPRODUCT(MAX(ROW(E$2:E5279)*(E5279=E$2:E5279)))))-COUNTBLANK(OFFSET(A$1,,,SUMPRODUCT(MAX(ROW(E$1:E5278)*(E2=E$1:E5278))))))</f>
        <v> </v>
      </c>
      <c r="K5279" s="26" t="str">
        <f>IF(OR(E5279="",E5279="!!!",F5279="NEW"),"",INDEX(J$1:J5278,SUMPRODUCT(MAX(ROW(E$1:E5278)*(E5279=E$1:E5278)))))</f>
        <v> </v>
      </c>
      <c r="L5279" s="27"/>
    </row>
    <row r="5280" spans="1:12">
      <c r="A5280" s="20" t="s">
        <v>1443</v>
      </c>
      <c r="B5280" s="21" t="s">
        <v>1221</v>
      </c>
      <c r="C5280" s="21" t="s">
        <v>1255</v>
      </c>
      <c r="D5280" s="21" t="s">
        <v>1217</v>
      </c>
      <c r="E5280" s="22">
        <f>IF(D5280="?OLD","!!!","")</f>
        <v/>
      </c>
      <c r="F5280" s="23" t="str">
        <f>IF(OR(E5280="",E5280="!!!"),"",IF(NOT(ISNA(VLOOKUP(E5280,E$1:E5279,1,FALSE()))),"OLD",IF(AND(E5280&lt;&gt;"",E5280&lt;&gt;"!!!"),"NEW","")))</f>
        <v> </v>
      </c>
      <c r="G5280" s="24" t="str">
        <f>IF(OR(E5280="",E5280="!!!"),"",IF(OR(J5280=0,AND(J5280=1,K5280=1),AND(J5280=1,I5280="SBJ"),AND(J5280=1,I5280=0)),"?IN_FOCUS",IF(J5280&lt;=2,"?ACTIVATED",IF(J5280&lt;&gt;"","?FAMILIAR",IF(F5280="NEW",IF(ISNA(VLOOKUP(E5280,#REF!,1,FALSE())),"?TYPE_IDENTIFIABLE","?REFERENTIAL"),"_")))))</f>
        <v> </v>
      </c>
      <c r="H5280" s="25" t="str">
        <f>IF(J5280&lt;&gt;1,"",IF(I5280="SBJ","CB","?"))</f>
        <v> </v>
      </c>
      <c r="I5280" s="26" t="str">
        <f>IF(OR(E5280="",E5280="!!!",F5280="NEW"),"",INDEX(B5279:B$2,-1+SUMPRODUCT(MAX(ROW(E5279:E$2)*(E5280=E5279:E$2)))))</f>
        <v> </v>
      </c>
      <c r="J5280" s="26" t="str">
        <f>IF(OR(E5280="",E5280="!!!",F5280="NEW"),"",COUNTBLANK(OFFSET(A$1,,,SUMPRODUCT(MAX(ROW(E$2:E5280)*(E5280=E$2:E5280)))))-COUNTBLANK(OFFSET(A$1,,,SUMPRODUCT(MAX(ROW(E$1:E5279)*(E2=E$1:E5279))))))</f>
        <v> </v>
      </c>
      <c r="K5280" s="26" t="str">
        <f>IF(OR(E5280="",E5280="!!!",F5280="NEW"),"",INDEX(J$1:J5279,SUMPRODUCT(MAX(ROW(E$1:E5279)*(E5280=E$1:E5279)))))</f>
        <v> </v>
      </c>
      <c r="L5280" s="27"/>
    </row>
    <row r="5281" spans="1:12">
      <c r="A5281" s="20" t="s">
        <v>1262</v>
      </c>
      <c r="E5281" s="22">
        <f>IF(D5281="?OLD","!!!","")</f>
        <v/>
      </c>
      <c r="F5281" s="23" t="str">
        <f>IF(OR(E5281="",E5281="!!!"),"",IF(NOT(ISNA(VLOOKUP(E5281,E$1:E5280,1,FALSE()))),"OLD",IF(AND(E5281&lt;&gt;"",E5281&lt;&gt;"!!!"),"NEW","")))</f>
        <v> </v>
      </c>
      <c r="G5281" s="24" t="str">
        <f>IF(OR(E5281="",E5281="!!!"),"",IF(OR(J5281=0,AND(J5281=1,K5281=1),AND(J5281=1,I5281="SBJ"),AND(J5281=1,I5281=0)),"?IN_FOCUS",IF(J5281&lt;=2,"?ACTIVATED",IF(J5281&lt;&gt;"","?FAMILIAR",IF(F5281="NEW",IF(ISNA(VLOOKUP(E5281,#REF!,1,FALSE())),"?TYPE_IDENTIFIABLE","?REFERENTIAL"),"_")))))</f>
        <v> </v>
      </c>
      <c r="H5281" s="25" t="str">
        <f>IF(J5281&lt;&gt;1,"",IF(I5281="SBJ","CB","?"))</f>
        <v> </v>
      </c>
      <c r="I5281" s="26" t="str">
        <f>IF(OR(E5281="",E5281="!!!",F5281="NEW"),"",INDEX(B5280:B$2,-1+SUMPRODUCT(MAX(ROW(E5280:E$2)*(E5281=E5280:E$2)))))</f>
        <v> </v>
      </c>
      <c r="J5281" s="26" t="str">
        <f>IF(OR(E5281="",E5281="!!!",F5281="NEW"),"",COUNTBLANK(OFFSET(A$1,,,SUMPRODUCT(MAX(ROW(E$2:E5281)*(E5281=E$2:E5281)))))-COUNTBLANK(OFFSET(A$1,,,SUMPRODUCT(MAX(ROW(E$1:E5280)*(E2=E$1:E5280))))))</f>
        <v> </v>
      </c>
      <c r="K5281" s="26" t="str">
        <f>IF(OR(E5281="",E5281="!!!",F5281="NEW"),"",INDEX(J$1:J5280,SUMPRODUCT(MAX(ROW(E$1:E5280)*(E5281=E$1:E5280)))))</f>
        <v> </v>
      </c>
      <c r="L5281" s="27"/>
    </row>
    <row r="5282" spans="1:12">
      <c r="A5282" s="20"/>
    </row>
    <row r="5283" spans="1:12">
      <c r="A5283" s="20" t="s">
        <v>2893</v>
      </c>
    </row>
    <row r="5284" spans="1:12">
      <c r="A5284" s="20" t="s">
        <v>2443</v>
      </c>
      <c r="E5284" s="22">
        <f>IF(D5284="?OLD","!!!","")</f>
        <v/>
      </c>
      <c r="F5284" s="23" t="str">
        <f>IF(OR(E5284="",E5284="!!!"),"",IF(NOT(ISNA(VLOOKUP(E5284,E$1:E5283,1,FALSE()))),"OLD",IF(AND(E5284&lt;&gt;"",E5284&lt;&gt;"!!!"),"NEW","")))</f>
        <v> </v>
      </c>
      <c r="G5284" s="24" t="str">
        <f>IF(OR(E5284="",E5284="!!!"),"",IF(OR(J5284=0,AND(J5284=1,K5284=1),AND(J5284=1,I5284="SBJ"),AND(J5284=1,I5284=0)),"?IN_FOCUS",IF(J5284&lt;=2,"?ACTIVATED",IF(J5284&lt;&gt;"","?FAMILIAR",IF(F5284="NEW",IF(ISNA(VLOOKUP(E5284,#REF!,1,FALSE())),"?TYPE_IDENTIFIABLE","?REFERENTIAL"),"_")))))</f>
        <v> </v>
      </c>
      <c r="H5284" s="25" t="str">
        <f>IF(J5284&lt;&gt;1,"",IF(I5284="SBJ","CB","?"))</f>
        <v> </v>
      </c>
      <c r="I5284" s="26" t="str">
        <f>IF(OR(E5284="",E5284="!!!",F5284="NEW"),"",INDEX(B5283:B$2,-1+SUMPRODUCT(MAX(ROW(E5283:E$2)*(E5284=E5283:E$2)))))</f>
        <v> </v>
      </c>
      <c r="J5284" s="26" t="str">
        <f>IF(OR(E5284="",E5284="!!!",F5284="NEW"),"",COUNTBLANK(OFFSET(A$1,,,SUMPRODUCT(MAX(ROW(E$2:E5284)*(E5284=E$2:E5284)))))-COUNTBLANK(OFFSET(A$1,,,SUMPRODUCT(MAX(ROW(E$1:E5283)*(E2=E$1:E5283))))))</f>
        <v> </v>
      </c>
      <c r="K5284" s="26" t="str">
        <f>IF(OR(E5284="",E5284="!!!",F5284="NEW"),"",INDEX(J$1:J5283,SUMPRODUCT(MAX(ROW(E$1:E5283)*(E5284=E$1:E5283)))))</f>
        <v> </v>
      </c>
      <c r="L5284" s="27"/>
    </row>
    <row r="5285" spans="1:12">
      <c r="A5285" s="20" t="s">
        <v>2444</v>
      </c>
      <c r="E5285" s="22">
        <f>IF(D5285="?OLD","!!!","")</f>
        <v/>
      </c>
      <c r="F5285" s="23" t="str">
        <f>IF(OR(E5285="",E5285="!!!"),"",IF(NOT(ISNA(VLOOKUP(E5285,E$1:E5284,1,FALSE()))),"OLD",IF(AND(E5285&lt;&gt;"",E5285&lt;&gt;"!!!"),"NEW","")))</f>
        <v> </v>
      </c>
      <c r="G5285" s="24" t="str">
        <f>IF(OR(E5285="",E5285="!!!"),"",IF(OR(J5285=0,AND(J5285=1,K5285=1),AND(J5285=1,I5285="SBJ"),AND(J5285=1,I5285=0)),"?IN_FOCUS",IF(J5285&lt;=2,"?ACTIVATED",IF(J5285&lt;&gt;"","?FAMILIAR",IF(F5285="NEW",IF(ISNA(VLOOKUP(E5285,#REF!,1,FALSE())),"?TYPE_IDENTIFIABLE","?REFERENTIAL"),"_")))))</f>
        <v> </v>
      </c>
      <c r="H5285" s="25" t="str">
        <f>IF(J5285&lt;&gt;1,"",IF(I5285="SBJ","CB","?"))</f>
        <v> </v>
      </c>
      <c r="I5285" s="26" t="str">
        <f>IF(OR(E5285="",E5285="!!!",F5285="NEW"),"",INDEX(B5284:B$2,-1+SUMPRODUCT(MAX(ROW(E5284:E$2)*(E5285=E5284:E$2)))))</f>
        <v> </v>
      </c>
      <c r="J5285" s="26" t="str">
        <f>IF(OR(E5285="",E5285="!!!",F5285="NEW"),"",COUNTBLANK(OFFSET(A$1,,,SUMPRODUCT(MAX(ROW(E$2:E5285)*(E5285=E$2:E5285)))))-COUNTBLANK(OFFSET(A$1,,,SUMPRODUCT(MAX(ROW(E$1:E5284)*(E2=E$1:E5284))))))</f>
        <v> </v>
      </c>
      <c r="K5285" s="26" t="str">
        <f>IF(OR(E5285="",E5285="!!!",F5285="NEW"),"",INDEX(J$1:J5284,SUMPRODUCT(MAX(ROW(E$1:E5284)*(E5285=E$1:E5284)))))</f>
        <v> </v>
      </c>
      <c r="L5285" s="27"/>
    </row>
    <row r="5286" spans="1:12">
      <c r="A5286" s="20" t="s">
        <v>1277</v>
      </c>
      <c r="E5286" s="22">
        <f>IF(D5286="?OLD","!!!","")</f>
        <v/>
      </c>
      <c r="F5286" s="23" t="str">
        <f>IF(OR(E5286="",E5286="!!!"),"",IF(NOT(ISNA(VLOOKUP(E5286,E$1:E5285,1,FALSE()))),"OLD",IF(AND(E5286&lt;&gt;"",E5286&lt;&gt;"!!!"),"NEW","")))</f>
        <v> </v>
      </c>
      <c r="G5286" s="24" t="str">
        <f>IF(OR(E5286="",E5286="!!!"),"",IF(OR(J5286=0,AND(J5286=1,K5286=1),AND(J5286=1,I5286="SBJ"),AND(J5286=1,I5286=0)),"?IN_FOCUS",IF(J5286&lt;=2,"?ACTIVATED",IF(J5286&lt;&gt;"","?FAMILIAR",IF(F5286="NEW",IF(ISNA(VLOOKUP(E5286,#REF!,1,FALSE())),"?TYPE_IDENTIFIABLE","?REFERENTIAL"),"_")))))</f>
        <v> </v>
      </c>
      <c r="H5286" s="25" t="str">
        <f>IF(J5286&lt;&gt;1,"",IF(I5286="SBJ","CB","?"))</f>
        <v> </v>
      </c>
      <c r="I5286" s="26" t="str">
        <f>IF(OR(E5286="",E5286="!!!",F5286="NEW"),"",INDEX(B5285:B$2,-1+SUMPRODUCT(MAX(ROW(E5285:E$2)*(E5286=E5285:E$2)))))</f>
        <v> </v>
      </c>
      <c r="J5286" s="26" t="str">
        <f>IF(OR(E5286="",E5286="!!!",F5286="NEW"),"",COUNTBLANK(OFFSET(A$1,,,SUMPRODUCT(MAX(ROW(E$2:E5286)*(E5286=E$2:E5286)))))-COUNTBLANK(OFFSET(A$1,,,SUMPRODUCT(MAX(ROW(E$1:E5285)*(E2=E$1:E5285))))))</f>
        <v> </v>
      </c>
      <c r="K5286" s="26" t="str">
        <f>IF(OR(E5286="",E5286="!!!",F5286="NEW"),"",INDEX(J$1:J5285,SUMPRODUCT(MAX(ROW(E$1:E5285)*(E5286=E$1:E5285)))))</f>
        <v> </v>
      </c>
      <c r="L5286" s="27"/>
    </row>
    <row r="5287" spans="1:12">
      <c r="A5287" s="20" t="s">
        <v>2894</v>
      </c>
      <c r="E5287" s="22">
        <f>IF(D5287="?OLD","!!!","")</f>
        <v/>
      </c>
      <c r="F5287" s="23" t="str">
        <f>IF(OR(E5287="",E5287="!!!"),"",IF(NOT(ISNA(VLOOKUP(E5287,E$1:E5286,1,FALSE()))),"OLD",IF(AND(E5287&lt;&gt;"",E5287&lt;&gt;"!!!"),"NEW","")))</f>
        <v> </v>
      </c>
      <c r="G5287" s="24" t="str">
        <f>IF(OR(E5287="",E5287="!!!"),"",IF(OR(J5287=0,AND(J5287=1,K5287=1),AND(J5287=1,I5287="SBJ"),AND(J5287=1,I5287=0)),"?IN_FOCUS",IF(J5287&lt;=2,"?ACTIVATED",IF(J5287&lt;&gt;"","?FAMILIAR",IF(F5287="NEW",IF(ISNA(VLOOKUP(E5287,#REF!,1,FALSE())),"?TYPE_IDENTIFIABLE","?REFERENTIAL"),"_")))))</f>
        <v> </v>
      </c>
      <c r="H5287" s="25" t="str">
        <f>IF(J5287&lt;&gt;1,"",IF(I5287="SBJ","CB","?"))</f>
        <v> </v>
      </c>
      <c r="I5287" s="26" t="str">
        <f>IF(OR(E5287="",E5287="!!!",F5287="NEW"),"",INDEX(B5286:B$2,-1+SUMPRODUCT(MAX(ROW(E5286:E$2)*(E5287=E5286:E$2)))))</f>
        <v> </v>
      </c>
      <c r="J5287" s="26" t="str">
        <f>IF(OR(E5287="",E5287="!!!",F5287="NEW"),"",COUNTBLANK(OFFSET(A$1,,,SUMPRODUCT(MAX(ROW(E$2:E5287)*(E5287=E$2:E5287)))))-COUNTBLANK(OFFSET(A$1,,,SUMPRODUCT(MAX(ROW(E$1:E5286)*(E2=E$1:E5286))))))</f>
        <v> </v>
      </c>
      <c r="K5287" s="26" t="str">
        <f>IF(OR(E5287="",E5287="!!!",F5287="NEW"),"",INDEX(J$1:J5286,SUMPRODUCT(MAX(ROW(E$1:E5286)*(E5287=E$1:E5286)))))</f>
        <v> </v>
      </c>
      <c r="L5287" s="27"/>
    </row>
    <row r="5288" spans="1:12">
      <c r="A5288" s="20" t="s">
        <v>1105</v>
      </c>
      <c r="E5288" s="22">
        <f>IF(D5288="?OLD","!!!","")</f>
        <v/>
      </c>
      <c r="F5288" s="23" t="str">
        <f>IF(OR(E5288="",E5288="!!!"),"",IF(NOT(ISNA(VLOOKUP(E5288,E$1:E5287,1,FALSE()))),"OLD",IF(AND(E5288&lt;&gt;"",E5288&lt;&gt;"!!!"),"NEW","")))</f>
        <v> </v>
      </c>
      <c r="G5288" s="24" t="str">
        <f>IF(OR(E5288="",E5288="!!!"),"",IF(OR(J5288=0,AND(J5288=1,K5288=1),AND(J5288=1,I5288="SBJ"),AND(J5288=1,I5288=0)),"?IN_FOCUS",IF(J5288&lt;=2,"?ACTIVATED",IF(J5288&lt;&gt;"","?FAMILIAR",IF(F5288="NEW",IF(ISNA(VLOOKUP(E5288,#REF!,1,FALSE())),"?TYPE_IDENTIFIABLE","?REFERENTIAL"),"_")))))</f>
        <v> </v>
      </c>
      <c r="H5288" s="25" t="str">
        <f>IF(J5288&lt;&gt;1,"",IF(I5288="SBJ","CB","?"))</f>
        <v> </v>
      </c>
      <c r="I5288" s="26" t="str">
        <f>IF(OR(E5288="",E5288="!!!",F5288="NEW"),"",INDEX(B5287:B$2,-1+SUMPRODUCT(MAX(ROW(E5287:E$2)*(E5288=E5287:E$2)))))</f>
        <v> </v>
      </c>
      <c r="J5288" s="26" t="str">
        <f>IF(OR(E5288="",E5288="!!!",F5288="NEW"),"",COUNTBLANK(OFFSET(A$1,,,SUMPRODUCT(MAX(ROW(E$2:E5288)*(E5288=E$2:E5288)))))-COUNTBLANK(OFFSET(A$1,,,SUMPRODUCT(MAX(ROW(E$1:E5287)*(E2=E$1:E5287))))))</f>
        <v> </v>
      </c>
      <c r="K5288" s="26" t="str">
        <f>IF(OR(E5288="",E5288="!!!",F5288="NEW"),"",INDEX(J$1:J5287,SUMPRODUCT(MAX(ROW(E$1:E5287)*(E5288=E$1:E5287)))))</f>
        <v> </v>
      </c>
      <c r="L5288" s="27"/>
    </row>
    <row r="5289" spans="1:12">
      <c r="A5289" s="20" t="s">
        <v>1218</v>
      </c>
      <c r="E5289" s="22">
        <f>IF(D5289="?OLD","!!!","")</f>
        <v/>
      </c>
      <c r="F5289" s="23" t="str">
        <f>IF(OR(E5289="",E5289="!!!"),"",IF(NOT(ISNA(VLOOKUP(E5289,E$1:E5288,1,FALSE()))),"OLD",IF(AND(E5289&lt;&gt;"",E5289&lt;&gt;"!!!"),"NEW","")))</f>
        <v> </v>
      </c>
      <c r="G5289" s="24" t="str">
        <f>IF(OR(E5289="",E5289="!!!"),"",IF(OR(J5289=0,AND(J5289=1,K5289=1),AND(J5289=1,I5289="SBJ"),AND(J5289=1,I5289=0)),"?IN_FOCUS",IF(J5289&lt;=2,"?ACTIVATED",IF(J5289&lt;&gt;"","?FAMILIAR",IF(F5289="NEW",IF(ISNA(VLOOKUP(E5289,#REF!,1,FALSE())),"?TYPE_IDENTIFIABLE","?REFERENTIAL"),"_")))))</f>
        <v> </v>
      </c>
      <c r="H5289" s="25" t="str">
        <f>IF(J5289&lt;&gt;1,"",IF(I5289="SBJ","CB","?"))</f>
        <v> </v>
      </c>
      <c r="I5289" s="26" t="str">
        <f>IF(OR(E5289="",E5289="!!!",F5289="NEW"),"",INDEX(B5288:B$2,-1+SUMPRODUCT(MAX(ROW(E5288:E$2)*(E5289=E5288:E$2)))))</f>
        <v> </v>
      </c>
      <c r="J5289" s="26" t="str">
        <f>IF(OR(E5289="",E5289="!!!",F5289="NEW"),"",COUNTBLANK(OFFSET(A$1,,,SUMPRODUCT(MAX(ROW(E$2:E5289)*(E5289=E$2:E5289)))))-COUNTBLANK(OFFSET(A$1,,,SUMPRODUCT(MAX(ROW(E$1:E5288)*(E2=E$1:E5288))))))</f>
        <v> </v>
      </c>
      <c r="K5289" s="26" t="str">
        <f>IF(OR(E5289="",E5289="!!!",F5289="NEW"),"",INDEX(J$1:J5288,SUMPRODUCT(MAX(ROW(E$1:E5288)*(E5289=E$1:E5288)))))</f>
        <v> </v>
      </c>
      <c r="L5289" s="27"/>
    </row>
    <row r="5290" spans="1:12">
      <c r="A5290" s="20" t="s">
        <v>1219</v>
      </c>
      <c r="E5290" s="22">
        <f>IF(D5290="?OLD","!!!","")</f>
        <v/>
      </c>
      <c r="F5290" s="23" t="str">
        <f>IF(OR(E5290="",E5290="!!!"),"",IF(NOT(ISNA(VLOOKUP(E5290,E$1:E5289,1,FALSE()))),"OLD",IF(AND(E5290&lt;&gt;"",E5290&lt;&gt;"!!!"),"NEW","")))</f>
        <v> </v>
      </c>
      <c r="G5290" s="24" t="str">
        <f>IF(OR(E5290="",E5290="!!!"),"",IF(OR(J5290=0,AND(J5290=1,K5290=1),AND(J5290=1,I5290="SBJ"),AND(J5290=1,I5290=0)),"?IN_FOCUS",IF(J5290&lt;=2,"?ACTIVATED",IF(J5290&lt;&gt;"","?FAMILIAR",IF(F5290="NEW",IF(ISNA(VLOOKUP(E5290,#REF!,1,FALSE())),"?TYPE_IDENTIFIABLE","?REFERENTIAL"),"_")))))</f>
        <v> </v>
      </c>
      <c r="H5290" s="25" t="str">
        <f>IF(J5290&lt;&gt;1,"",IF(I5290="SBJ","CB","?"))</f>
        <v> </v>
      </c>
      <c r="I5290" s="26" t="str">
        <f>IF(OR(E5290="",E5290="!!!",F5290="NEW"),"",INDEX(B5289:B$2,-1+SUMPRODUCT(MAX(ROW(E5289:E$2)*(E5290=E5289:E$2)))))</f>
        <v> </v>
      </c>
      <c r="J5290" s="26" t="str">
        <f>IF(OR(E5290="",E5290="!!!",F5290="NEW"),"",COUNTBLANK(OFFSET(A$1,,,SUMPRODUCT(MAX(ROW(E$2:E5290)*(E5290=E$2:E5290)))))-COUNTBLANK(OFFSET(A$1,,,SUMPRODUCT(MAX(ROW(E$1:E5289)*(E2=E$1:E5289))))))</f>
        <v> </v>
      </c>
      <c r="K5290" s="26" t="str">
        <f>IF(OR(E5290="",E5290="!!!",F5290="NEW"),"",INDEX(J$1:J5289,SUMPRODUCT(MAX(ROW(E$1:E5289)*(E5290=E$1:E5289)))))</f>
        <v> </v>
      </c>
      <c r="L5290" s="27"/>
    </row>
    <row r="5291" spans="1:12">
      <c r="A5291" s="20" t="s">
        <v>2212</v>
      </c>
      <c r="B5291" s="21" t="s">
        <v>1244</v>
      </c>
      <c r="C5291" s="21" t="s">
        <v>1269</v>
      </c>
      <c r="D5291" s="21" t="s">
        <v>1217</v>
      </c>
      <c r="E5291" s="22">
        <f>IF(D5291="?OLD","!!!","")</f>
        <v/>
      </c>
      <c r="F5291" s="23" t="str">
        <f>IF(OR(E5291="",E5291="!!!"),"",IF(NOT(ISNA(VLOOKUP(E5291,E$1:E5290,1,FALSE()))),"OLD",IF(AND(E5291&lt;&gt;"",E5291&lt;&gt;"!!!"),"NEW","")))</f>
        <v> </v>
      </c>
      <c r="G5291" s="24" t="str">
        <f>IF(OR(E5291="",E5291="!!!"),"",IF(OR(J5291=0,AND(J5291=1,K5291=1),AND(J5291=1,I5291="SBJ"),AND(J5291=1,I5291=0)),"?IN_FOCUS",IF(J5291&lt;=2,"?ACTIVATED",IF(J5291&lt;&gt;"","?FAMILIAR",IF(F5291="NEW",IF(ISNA(VLOOKUP(E5291,#REF!,1,FALSE())),"?TYPE_IDENTIFIABLE","?REFERENTIAL"),"_")))))</f>
        <v> </v>
      </c>
      <c r="H5291" s="25" t="str">
        <f>IF(J5291&lt;&gt;1,"",IF(I5291="SBJ","CB","?"))</f>
        <v> </v>
      </c>
      <c r="I5291" s="26" t="str">
        <f>IF(OR(E5291="",E5291="!!!",F5291="NEW"),"",INDEX(B5290:B$2,-1+SUMPRODUCT(MAX(ROW(E5290:E$2)*(E5291=E5290:E$2)))))</f>
        <v> </v>
      </c>
      <c r="J5291" s="26" t="str">
        <f>IF(OR(E5291="",E5291="!!!",F5291="NEW"),"",COUNTBLANK(OFFSET(A$1,,,SUMPRODUCT(MAX(ROW(E$2:E5291)*(E5291=E$2:E5291)))))-COUNTBLANK(OFFSET(A$1,,,SUMPRODUCT(MAX(ROW(E$1:E5290)*(E2=E$1:E5290))))))</f>
        <v> </v>
      </c>
      <c r="K5291" s="26" t="str">
        <f>IF(OR(E5291="",E5291="!!!",F5291="NEW"),"",INDEX(J$1:J5290,SUMPRODUCT(MAX(ROW(E$1:E5290)*(E5291=E$1:E5290)))))</f>
        <v> </v>
      </c>
      <c r="L5291" s="27"/>
    </row>
    <row r="5292" spans="1:12">
      <c r="A5292" s="20" t="s">
        <v>1218</v>
      </c>
      <c r="E5292" s="22">
        <f>IF(D5292="?OLD","!!!","")</f>
        <v/>
      </c>
      <c r="F5292" s="23" t="str">
        <f>IF(OR(E5292="",E5292="!!!"),"",IF(NOT(ISNA(VLOOKUP(E5292,E$1:E5291,1,FALSE()))),"OLD",IF(AND(E5292&lt;&gt;"",E5292&lt;&gt;"!!!"),"NEW","")))</f>
        <v> </v>
      </c>
      <c r="G5292" s="24" t="str">
        <f>IF(OR(E5292="",E5292="!!!"),"",IF(OR(J5292=0,AND(J5292=1,K5292=1),AND(J5292=1,I5292="SBJ"),AND(J5292=1,I5292=0)),"?IN_FOCUS",IF(J5292&lt;=2,"?ACTIVATED",IF(J5292&lt;&gt;"","?FAMILIAR",IF(F5292="NEW",IF(ISNA(VLOOKUP(E5292,#REF!,1,FALSE())),"?TYPE_IDENTIFIABLE","?REFERENTIAL"),"_")))))</f>
        <v> </v>
      </c>
      <c r="H5292" s="25" t="str">
        <f>IF(J5292&lt;&gt;1,"",IF(I5292="SBJ","CB","?"))</f>
        <v> </v>
      </c>
      <c r="I5292" s="26" t="str">
        <f>IF(OR(E5292="",E5292="!!!",F5292="NEW"),"",INDEX(B5291:B$2,-1+SUMPRODUCT(MAX(ROW(E5291:E$2)*(E5292=E5291:E$2)))))</f>
        <v> </v>
      </c>
      <c r="J5292" s="26" t="str">
        <f>IF(OR(E5292="",E5292="!!!",F5292="NEW"),"",COUNTBLANK(OFFSET(A$1,,,SUMPRODUCT(MAX(ROW(E$2:E5292)*(E5292=E$2:E5292)))))-COUNTBLANK(OFFSET(A$1,,,SUMPRODUCT(MAX(ROW(E$1:E5291)*(E2=E$1:E5291))))))</f>
        <v> </v>
      </c>
      <c r="K5292" s="26" t="str">
        <f>IF(OR(E5292="",E5292="!!!",F5292="NEW"),"",INDEX(J$1:J5291,SUMPRODUCT(MAX(ROW(E$1:E5291)*(E5292=E$1:E5291)))))</f>
        <v> </v>
      </c>
      <c r="L5292" s="27"/>
    </row>
    <row r="5293" spans="1:12">
      <c r="A5293" s="20" t="s">
        <v>1303</v>
      </c>
      <c r="B5293" s="21" t="s">
        <v>1221</v>
      </c>
      <c r="C5293" s="21" t="s">
        <v>1279</v>
      </c>
      <c r="E5293" s="22">
        <f>IF(D5293="?OLD","!!!","")</f>
        <v/>
      </c>
      <c r="F5293" s="23" t="str">
        <f>IF(OR(E5293="",E5293="!!!"),"",IF(NOT(ISNA(VLOOKUP(E5293,E$1:E5292,1,FALSE()))),"OLD",IF(AND(E5293&lt;&gt;"",E5293&lt;&gt;"!!!"),"NEW","")))</f>
        <v> </v>
      </c>
      <c r="G5293" s="24" t="str">
        <f>IF(OR(E5293="",E5293="!!!"),"",IF(OR(J5293=0,AND(J5293=1,K5293=1),AND(J5293=1,I5293="SBJ"),AND(J5293=1,I5293=0)),"?IN_FOCUS",IF(J5293&lt;=2,"?ACTIVATED",IF(J5293&lt;&gt;"","?FAMILIAR",IF(F5293="NEW",IF(ISNA(VLOOKUP(E5293,#REF!,1,FALSE())),"?TYPE_IDENTIFIABLE","?REFERENTIAL"),"_")))))</f>
        <v> </v>
      </c>
      <c r="H5293" s="25" t="str">
        <f>IF(J5293&lt;&gt;1,"",IF(I5293="SBJ","CB","?"))</f>
        <v> </v>
      </c>
      <c r="I5293" s="26" t="str">
        <f>IF(OR(E5293="",E5293="!!!",F5293="NEW"),"",INDEX(B5292:B$2,-1+SUMPRODUCT(MAX(ROW(E5292:E$2)*(E5293=E5292:E$2)))))</f>
        <v> </v>
      </c>
      <c r="J5293" s="26" t="str">
        <f>IF(OR(E5293="",E5293="!!!",F5293="NEW"),"",COUNTBLANK(OFFSET(A$1,,,SUMPRODUCT(MAX(ROW(E$2:E5293)*(E5293=E$2:E5293)))))-COUNTBLANK(OFFSET(A$1,,,SUMPRODUCT(MAX(ROW(E$1:E5292)*(E2=E$1:E5292))))))</f>
        <v> </v>
      </c>
      <c r="K5293" s="26" t="str">
        <f>IF(OR(E5293="",E5293="!!!",F5293="NEW"),"",INDEX(J$1:J5292,SUMPRODUCT(MAX(ROW(E$1:E5292)*(E5293=E$1:E5292)))))</f>
        <v> </v>
      </c>
      <c r="L5293" s="27"/>
    </row>
    <row r="5294" spans="1:12">
      <c r="A5294" s="20" t="s">
        <v>1257</v>
      </c>
      <c r="E5294" s="22">
        <f>IF(D5294="?OLD","!!!","")</f>
        <v/>
      </c>
      <c r="F5294" s="23" t="str">
        <f>IF(OR(E5294="",E5294="!!!"),"",IF(NOT(ISNA(VLOOKUP(E5294,E$1:E5293,1,FALSE()))),"OLD",IF(AND(E5294&lt;&gt;"",E5294&lt;&gt;"!!!"),"NEW","")))</f>
        <v> </v>
      </c>
      <c r="G5294" s="24" t="str">
        <f>IF(OR(E5294="",E5294="!!!"),"",IF(OR(J5294=0,AND(J5294=1,K5294=1),AND(J5294=1,I5294="SBJ"),AND(J5294=1,I5294=0)),"?IN_FOCUS",IF(J5294&lt;=2,"?ACTIVATED",IF(J5294&lt;&gt;"","?FAMILIAR",IF(F5294="NEW",IF(ISNA(VLOOKUP(E5294,#REF!,1,FALSE())),"?TYPE_IDENTIFIABLE","?REFERENTIAL"),"_")))))</f>
        <v> </v>
      </c>
      <c r="H5294" s="25" t="str">
        <f>IF(J5294&lt;&gt;1,"",IF(I5294="SBJ","CB","?"))</f>
        <v> </v>
      </c>
      <c r="I5294" s="26" t="str">
        <f>IF(OR(E5294="",E5294="!!!",F5294="NEW"),"",INDEX(B5293:B$2,-1+SUMPRODUCT(MAX(ROW(E5293:E$2)*(E5294=E5293:E$2)))))</f>
        <v> </v>
      </c>
      <c r="J5294" s="26" t="str">
        <f>IF(OR(E5294="",E5294="!!!",F5294="NEW"),"",COUNTBLANK(OFFSET(A$1,,,SUMPRODUCT(MAX(ROW(E$2:E5294)*(E5294=E$2:E5294)))))-COUNTBLANK(OFFSET(A$1,,,SUMPRODUCT(MAX(ROW(E$1:E5293)*(E2=E$1:E5293))))))</f>
        <v> </v>
      </c>
      <c r="K5294" s="26" t="str">
        <f>IF(OR(E5294="",E5294="!!!",F5294="NEW"),"",INDEX(J$1:J5293,SUMPRODUCT(MAX(ROW(E$1:E5293)*(E5294=E$1:E5293)))))</f>
        <v> </v>
      </c>
      <c r="L5294" s="27"/>
    </row>
    <row r="5295" spans="1:12">
      <c r="A5295" s="20" t="s">
        <v>1266</v>
      </c>
      <c r="E5295" s="22">
        <f>IF(D5295="?OLD","!!!","")</f>
        <v/>
      </c>
      <c r="F5295" s="23" t="str">
        <f>IF(OR(E5295="",E5295="!!!"),"",IF(NOT(ISNA(VLOOKUP(E5295,E$1:E5294,1,FALSE()))),"OLD",IF(AND(E5295&lt;&gt;"",E5295&lt;&gt;"!!!"),"NEW","")))</f>
        <v> </v>
      </c>
      <c r="G5295" s="24" t="str">
        <f>IF(OR(E5295="",E5295="!!!"),"",IF(OR(J5295=0,AND(J5295=1,K5295=1),AND(J5295=1,I5295="SBJ"),AND(J5295=1,I5295=0)),"?IN_FOCUS",IF(J5295&lt;=2,"?ACTIVATED",IF(J5295&lt;&gt;"","?FAMILIAR",IF(F5295="NEW",IF(ISNA(VLOOKUP(E5295,#REF!,1,FALSE())),"?TYPE_IDENTIFIABLE","?REFERENTIAL"),"_")))))</f>
        <v> </v>
      </c>
      <c r="H5295" s="25" t="str">
        <f>IF(J5295&lt;&gt;1,"",IF(I5295="SBJ","CB","?"))</f>
        <v> </v>
      </c>
      <c r="I5295" s="26" t="str">
        <f>IF(OR(E5295="",E5295="!!!",F5295="NEW"),"",INDEX(B5294:B$2,-1+SUMPRODUCT(MAX(ROW(E5294:E$2)*(E5295=E5294:E$2)))))</f>
        <v> </v>
      </c>
      <c r="J5295" s="26" t="str">
        <f>IF(OR(E5295="",E5295="!!!",F5295="NEW"),"",COUNTBLANK(OFFSET(A$1,,,SUMPRODUCT(MAX(ROW(E$2:E5295)*(E5295=E$2:E5295)))))-COUNTBLANK(OFFSET(A$1,,,SUMPRODUCT(MAX(ROW(E$1:E5294)*(E2=E$1:E5294))))))</f>
        <v> </v>
      </c>
      <c r="K5295" s="26" t="str">
        <f>IF(OR(E5295="",E5295="!!!",F5295="NEW"),"",INDEX(J$1:J5294,SUMPRODUCT(MAX(ROW(E$1:E5294)*(E5295=E$1:E5294)))))</f>
        <v> </v>
      </c>
      <c r="L5295" s="27"/>
    </row>
    <row r="5296" spans="1:12">
      <c r="A5296" s="20" t="s">
        <v>2794</v>
      </c>
      <c r="B5296" s="21" t="s">
        <v>1221</v>
      </c>
      <c r="C5296" s="21" t="s">
        <v>1269</v>
      </c>
      <c r="D5296" s="21" t="s">
        <v>1217</v>
      </c>
      <c r="E5296" s="22">
        <f>IF(D5296="?OLD","!!!","")</f>
        <v/>
      </c>
      <c r="F5296" s="23" t="str">
        <f>IF(OR(E5296="",E5296="!!!"),"",IF(NOT(ISNA(VLOOKUP(E5296,E$1:E5295,1,FALSE()))),"OLD",IF(AND(E5296&lt;&gt;"",E5296&lt;&gt;"!!!"),"NEW","")))</f>
        <v> </v>
      </c>
      <c r="G5296" s="24" t="str">
        <f>IF(OR(E5296="",E5296="!!!"),"",IF(OR(J5296=0,AND(J5296=1,K5296=1),AND(J5296=1,I5296="SBJ"),AND(J5296=1,I5296=0)),"?IN_FOCUS",IF(J5296&lt;=2,"?ACTIVATED",IF(J5296&lt;&gt;"","?FAMILIAR",IF(F5296="NEW",IF(ISNA(VLOOKUP(E5296,#REF!,1,FALSE())),"?TYPE_IDENTIFIABLE","?REFERENTIAL"),"_")))))</f>
        <v> </v>
      </c>
      <c r="H5296" s="25" t="str">
        <f>IF(J5296&lt;&gt;1,"",IF(I5296="SBJ","CB","?"))</f>
        <v> </v>
      </c>
      <c r="I5296" s="26" t="str">
        <f>IF(OR(E5296="",E5296="!!!",F5296="NEW"),"",INDEX(B5295:B$2,-1+SUMPRODUCT(MAX(ROW(E5295:E$2)*(E5296=E5295:E$2)))))</f>
        <v> </v>
      </c>
      <c r="J5296" s="26" t="str">
        <f>IF(OR(E5296="",E5296="!!!",F5296="NEW"),"",COUNTBLANK(OFFSET(A$1,,,SUMPRODUCT(MAX(ROW(E$2:E5296)*(E5296=E$2:E5296)))))-COUNTBLANK(OFFSET(A$1,,,SUMPRODUCT(MAX(ROW(E$1:E5295)*(E2=E$1:E5295))))))</f>
        <v> </v>
      </c>
      <c r="K5296" s="26" t="str">
        <f>IF(OR(E5296="",E5296="!!!",F5296="NEW"),"",INDEX(J$1:J5295,SUMPRODUCT(MAX(ROW(E$1:E5295)*(E5296=E$1:E5295)))))</f>
        <v> </v>
      </c>
      <c r="L5296" s="27"/>
    </row>
    <row r="5297" spans="1:12">
      <c r="A5297" s="20" t="s">
        <v>1636</v>
      </c>
      <c r="E5297" s="22">
        <f>IF(D5297="?OLD","!!!","")</f>
        <v/>
      </c>
      <c r="F5297" s="23" t="str">
        <f>IF(OR(E5297="",E5297="!!!"),"",IF(NOT(ISNA(VLOOKUP(E5297,E$1:E5296,1,FALSE()))),"OLD",IF(AND(E5297&lt;&gt;"",E5297&lt;&gt;"!!!"),"NEW","")))</f>
        <v> </v>
      </c>
      <c r="G5297" s="24" t="str">
        <f>IF(OR(E5297="",E5297="!!!"),"",IF(OR(J5297=0,AND(J5297=1,K5297=1),AND(J5297=1,I5297="SBJ"),AND(J5297=1,I5297=0)),"?IN_FOCUS",IF(J5297&lt;=2,"?ACTIVATED",IF(J5297&lt;&gt;"","?FAMILIAR",IF(F5297="NEW",IF(ISNA(VLOOKUP(E5297,#REF!,1,FALSE())),"?TYPE_IDENTIFIABLE","?REFERENTIAL"),"_")))))</f>
        <v> </v>
      </c>
      <c r="H5297" s="25" t="str">
        <f>IF(J5297&lt;&gt;1,"",IF(I5297="SBJ","CB","?"))</f>
        <v> </v>
      </c>
      <c r="I5297" s="26" t="str">
        <f>IF(OR(E5297="",E5297="!!!",F5297="NEW"),"",INDEX(B5296:B$2,-1+SUMPRODUCT(MAX(ROW(E5296:E$2)*(E5297=E5296:E$2)))))</f>
        <v> </v>
      </c>
      <c r="J5297" s="26" t="str">
        <f>IF(OR(E5297="",E5297="!!!",F5297="NEW"),"",COUNTBLANK(OFFSET(A$1,,,SUMPRODUCT(MAX(ROW(E$2:E5297)*(E5297=E$2:E5297)))))-COUNTBLANK(OFFSET(A$1,,,SUMPRODUCT(MAX(ROW(E$1:E5296)*(E2=E$1:E5296))))))</f>
        <v> </v>
      </c>
      <c r="K5297" s="26" t="str">
        <f>IF(OR(E5297="",E5297="!!!",F5297="NEW"),"",INDEX(J$1:J5296,SUMPRODUCT(MAX(ROW(E$1:E5296)*(E5297=E$1:E5296)))))</f>
        <v> </v>
      </c>
      <c r="L5297" s="27"/>
    </row>
    <row r="5298" spans="1:12">
      <c r="A5298" s="20" t="s">
        <v>1273</v>
      </c>
      <c r="E5298" s="22">
        <f>IF(D5298="?OLD","!!!","")</f>
        <v/>
      </c>
      <c r="F5298" s="23" t="str">
        <f>IF(OR(E5298="",E5298="!!!"),"",IF(NOT(ISNA(VLOOKUP(E5298,E$1:E5297,1,FALSE()))),"OLD",IF(AND(E5298&lt;&gt;"",E5298&lt;&gt;"!!!"),"NEW","")))</f>
        <v> </v>
      </c>
      <c r="G5298" s="24" t="str">
        <f>IF(OR(E5298="",E5298="!!!"),"",IF(OR(J5298=0,AND(J5298=1,K5298=1),AND(J5298=1,I5298="SBJ"),AND(J5298=1,I5298=0)),"?IN_FOCUS",IF(J5298&lt;=2,"?ACTIVATED",IF(J5298&lt;&gt;"","?FAMILIAR",IF(F5298="NEW",IF(ISNA(VLOOKUP(E5298,#REF!,1,FALSE())),"?TYPE_IDENTIFIABLE","?REFERENTIAL"),"_")))))</f>
        <v> </v>
      </c>
      <c r="H5298" s="25" t="str">
        <f>IF(J5298&lt;&gt;1,"",IF(I5298="SBJ","CB","?"))</f>
        <v> </v>
      </c>
      <c r="I5298" s="26" t="str">
        <f>IF(OR(E5298="",E5298="!!!",F5298="NEW"),"",INDEX(B5297:B$2,-1+SUMPRODUCT(MAX(ROW(E5297:E$2)*(E5298=E5297:E$2)))))</f>
        <v> </v>
      </c>
      <c r="J5298" s="26" t="str">
        <f>IF(OR(E5298="",E5298="!!!",F5298="NEW"),"",COUNTBLANK(OFFSET(A$1,,,SUMPRODUCT(MAX(ROW(E$2:E5298)*(E5298=E$2:E5298)))))-COUNTBLANK(OFFSET(A$1,,,SUMPRODUCT(MAX(ROW(E$1:E5297)*(E2=E$1:E5297))))))</f>
        <v> </v>
      </c>
      <c r="K5298" s="26" t="str">
        <f>IF(OR(E5298="",E5298="!!!",F5298="NEW"),"",INDEX(J$1:J5297,SUMPRODUCT(MAX(ROW(E$1:E5297)*(E5298=E$1:E5297)))))</f>
        <v> </v>
      </c>
      <c r="L5298" s="27"/>
    </row>
    <row r="5299" spans="1:12">
      <c r="A5299" s="20" t="s">
        <v>1790</v>
      </c>
      <c r="B5299" s="21" t="s">
        <v>1252</v>
      </c>
      <c r="C5299" s="21" t="s">
        <v>1276</v>
      </c>
      <c r="D5299" s="21" t="s">
        <v>1217</v>
      </c>
      <c r="E5299" s="22">
        <f>IF(D5299="?OLD","!!!","")</f>
        <v/>
      </c>
      <c r="F5299" s="23" t="str">
        <f>IF(OR(E5299="",E5299="!!!"),"",IF(NOT(ISNA(VLOOKUP(E5299,E$1:E5298,1,FALSE()))),"OLD",IF(AND(E5299&lt;&gt;"",E5299&lt;&gt;"!!!"),"NEW","")))</f>
        <v> </v>
      </c>
      <c r="G5299" s="24" t="str">
        <f>IF(OR(E5299="",E5299="!!!"),"",IF(OR(J5299=0,AND(J5299=1,K5299=1),AND(J5299=1,I5299="SBJ"),AND(J5299=1,I5299=0)),"?IN_FOCUS",IF(J5299&lt;=2,"?ACTIVATED",IF(J5299&lt;&gt;"","?FAMILIAR",IF(F5299="NEW",IF(ISNA(VLOOKUP(E5299,#REF!,1,FALSE())),"?TYPE_IDENTIFIABLE","?REFERENTIAL"),"_")))))</f>
        <v> </v>
      </c>
      <c r="H5299" s="25" t="str">
        <f>IF(J5299&lt;&gt;1,"",IF(I5299="SBJ","CB","?"))</f>
        <v> </v>
      </c>
      <c r="I5299" s="26" t="str">
        <f>IF(OR(E5299="",E5299="!!!",F5299="NEW"),"",INDEX(B5298:B$2,-1+SUMPRODUCT(MAX(ROW(E5298:E$2)*(E5299=E5298:E$2)))))</f>
        <v> </v>
      </c>
      <c r="J5299" s="26" t="str">
        <f>IF(OR(E5299="",E5299="!!!",F5299="NEW"),"",COUNTBLANK(OFFSET(A$1,,,SUMPRODUCT(MAX(ROW(E$2:E5299)*(E5299=E$2:E5299)))))-COUNTBLANK(OFFSET(A$1,,,SUMPRODUCT(MAX(ROW(E$1:E5298)*(E2=E$1:E5298))))))</f>
        <v> </v>
      </c>
      <c r="K5299" s="26" t="str">
        <f>IF(OR(E5299="",E5299="!!!",F5299="NEW"),"",INDEX(J$1:J5298,SUMPRODUCT(MAX(ROW(E$1:E5298)*(E5299=E$1:E5298)))))</f>
        <v> </v>
      </c>
      <c r="L5299" s="27"/>
    </row>
    <row r="5300" spans="1:12">
      <c r="A5300" s="20" t="s">
        <v>1218</v>
      </c>
      <c r="E5300" s="22">
        <f>IF(D5300="?OLD","!!!","")</f>
        <v/>
      </c>
      <c r="F5300" s="23" t="str">
        <f>IF(OR(E5300="",E5300="!!!"),"",IF(NOT(ISNA(VLOOKUP(E5300,E$1:E5299,1,FALSE()))),"OLD",IF(AND(E5300&lt;&gt;"",E5300&lt;&gt;"!!!"),"NEW","")))</f>
        <v> </v>
      </c>
      <c r="G5300" s="24" t="str">
        <f>IF(OR(E5300="",E5300="!!!"),"",IF(OR(J5300=0,AND(J5300=1,K5300=1),AND(J5300=1,I5300="SBJ"),AND(J5300=1,I5300=0)),"?IN_FOCUS",IF(J5300&lt;=2,"?ACTIVATED",IF(J5300&lt;&gt;"","?FAMILIAR",IF(F5300="NEW",IF(ISNA(VLOOKUP(E5300,#REF!,1,FALSE())),"?TYPE_IDENTIFIABLE","?REFERENTIAL"),"_")))))</f>
        <v> </v>
      </c>
      <c r="H5300" s="25" t="str">
        <f>IF(J5300&lt;&gt;1,"",IF(I5300="SBJ","CB","?"))</f>
        <v> </v>
      </c>
      <c r="I5300" s="26" t="str">
        <f>IF(OR(E5300="",E5300="!!!",F5300="NEW"),"",INDEX(B5299:B$2,-1+SUMPRODUCT(MAX(ROW(E5299:E$2)*(E5300=E5299:E$2)))))</f>
        <v> </v>
      </c>
      <c r="J5300" s="26" t="str">
        <f>IF(OR(E5300="",E5300="!!!",F5300="NEW"),"",COUNTBLANK(OFFSET(A$1,,,SUMPRODUCT(MAX(ROW(E$2:E5300)*(E5300=E$2:E5300)))))-COUNTBLANK(OFFSET(A$1,,,SUMPRODUCT(MAX(ROW(E$1:E5299)*(E2=E$1:E5299))))))</f>
        <v> </v>
      </c>
      <c r="K5300" s="26" t="str">
        <f>IF(OR(E5300="",E5300="!!!",F5300="NEW"),"",INDEX(J$1:J5299,SUMPRODUCT(MAX(ROW(E$1:E5299)*(E5300=E$1:E5299)))))</f>
        <v> </v>
      </c>
      <c r="L5300" s="27"/>
    </row>
    <row r="5301" spans="1:12">
      <c r="A5301" s="20" t="s">
        <v>2895</v>
      </c>
      <c r="B5301" s="21" t="s">
        <v>1261</v>
      </c>
      <c r="C5301" s="21" t="s">
        <v>1279</v>
      </c>
      <c r="E5301" s="22">
        <f>IF(D5301="?OLD","!!!","")</f>
        <v/>
      </c>
      <c r="F5301" s="23" t="str">
        <f>IF(OR(E5301="",E5301="!!!"),"",IF(NOT(ISNA(VLOOKUP(E5301,E$1:E5300,1,FALSE()))),"OLD",IF(AND(E5301&lt;&gt;"",E5301&lt;&gt;"!!!"),"NEW","")))</f>
        <v> </v>
      </c>
      <c r="G5301" s="24" t="str">
        <f>IF(OR(E5301="",E5301="!!!"),"",IF(OR(J5301=0,AND(J5301=1,K5301=1),AND(J5301=1,I5301="SBJ"),AND(J5301=1,I5301=0)),"?IN_FOCUS",IF(J5301&lt;=2,"?ACTIVATED",IF(J5301&lt;&gt;"","?FAMILIAR",IF(F5301="NEW",IF(ISNA(VLOOKUP(E5301,#REF!,1,FALSE())),"?TYPE_IDENTIFIABLE","?REFERENTIAL"),"_")))))</f>
        <v> </v>
      </c>
      <c r="H5301" s="25" t="str">
        <f>IF(J5301&lt;&gt;1,"",IF(I5301="SBJ","CB","?"))</f>
        <v> </v>
      </c>
      <c r="I5301" s="26" t="str">
        <f>IF(OR(E5301="",E5301="!!!",F5301="NEW"),"",INDEX(B5300:B$2,-1+SUMPRODUCT(MAX(ROW(E5300:E$2)*(E5301=E5300:E$2)))))</f>
        <v> </v>
      </c>
      <c r="J5301" s="26" t="str">
        <f>IF(OR(E5301="",E5301="!!!",F5301="NEW"),"",COUNTBLANK(OFFSET(A$1,,,SUMPRODUCT(MAX(ROW(E$2:E5301)*(E5301=E$2:E5301)))))-COUNTBLANK(OFFSET(A$1,,,SUMPRODUCT(MAX(ROW(E$1:E5300)*(E2=E$1:E5300))))))</f>
        <v> </v>
      </c>
      <c r="K5301" s="26" t="str">
        <f>IF(OR(E5301="",E5301="!!!",F5301="NEW"),"",INDEX(J$1:J5300,SUMPRODUCT(MAX(ROW(E$1:E5300)*(E5301=E$1:E5300)))))</f>
        <v> </v>
      </c>
      <c r="L5301" s="27"/>
    </row>
    <row r="5302" spans="1:12">
      <c r="A5302" s="20" t="s">
        <v>1780</v>
      </c>
      <c r="E5302" s="22">
        <f>IF(D5302="?OLD","!!!","")</f>
        <v/>
      </c>
      <c r="F5302" s="23" t="str">
        <f>IF(OR(E5302="",E5302="!!!"),"",IF(NOT(ISNA(VLOOKUP(E5302,E$1:E5301,1,FALSE()))),"OLD",IF(AND(E5302&lt;&gt;"",E5302&lt;&gt;"!!!"),"NEW","")))</f>
        <v> </v>
      </c>
      <c r="G5302" s="24" t="str">
        <f>IF(OR(E5302="",E5302="!!!"),"",IF(OR(J5302=0,AND(J5302=1,K5302=1),AND(J5302=1,I5302="SBJ"),AND(J5302=1,I5302=0)),"?IN_FOCUS",IF(J5302&lt;=2,"?ACTIVATED",IF(J5302&lt;&gt;"","?FAMILIAR",IF(F5302="NEW",IF(ISNA(VLOOKUP(E5302,#REF!,1,FALSE())),"?TYPE_IDENTIFIABLE","?REFERENTIAL"),"_")))))</f>
        <v> </v>
      </c>
      <c r="H5302" s="25" t="str">
        <f>IF(J5302&lt;&gt;1,"",IF(I5302="SBJ","CB","?"))</f>
        <v> </v>
      </c>
      <c r="I5302" s="26" t="str">
        <f>IF(OR(E5302="",E5302="!!!",F5302="NEW"),"",INDEX(B5301:B$2,-1+SUMPRODUCT(MAX(ROW(E5301:E$2)*(E5302=E5301:E$2)))))</f>
        <v> </v>
      </c>
      <c r="J5302" s="26" t="str">
        <f>IF(OR(E5302="",E5302="!!!",F5302="NEW"),"",COUNTBLANK(OFFSET(A$1,,,SUMPRODUCT(MAX(ROW(E$2:E5302)*(E5302=E$2:E5302)))))-COUNTBLANK(OFFSET(A$1,,,SUMPRODUCT(MAX(ROW(E$1:E5301)*(E2=E$1:E5301))))))</f>
        <v> </v>
      </c>
      <c r="K5302" s="26" t="str">
        <f>IF(OR(E5302="",E5302="!!!",F5302="NEW"),"",INDEX(J$1:J5301,SUMPRODUCT(MAX(ROW(E$1:E5301)*(E5302=E$1:E5301)))))</f>
        <v> </v>
      </c>
      <c r="L5302" s="27"/>
    </row>
    <row r="5303" spans="1:12">
      <c r="A5303" s="20" t="s">
        <v>2896</v>
      </c>
      <c r="E5303" s="22">
        <f>IF(D5303="?OLD","!!!","")</f>
        <v/>
      </c>
      <c r="F5303" s="23" t="str">
        <f>IF(OR(E5303="",E5303="!!!"),"",IF(NOT(ISNA(VLOOKUP(E5303,E$1:E5302,1,FALSE()))),"OLD",IF(AND(E5303&lt;&gt;"",E5303&lt;&gt;"!!!"),"NEW","")))</f>
        <v> </v>
      </c>
      <c r="G5303" s="24" t="str">
        <f>IF(OR(E5303="",E5303="!!!"),"",IF(OR(J5303=0,AND(J5303=1,K5303=1),AND(J5303=1,I5303="SBJ"),AND(J5303=1,I5303=0)),"?IN_FOCUS",IF(J5303&lt;=2,"?ACTIVATED",IF(J5303&lt;&gt;"","?FAMILIAR",IF(F5303="NEW",IF(ISNA(VLOOKUP(E5303,#REF!,1,FALSE())),"?TYPE_IDENTIFIABLE","?REFERENTIAL"),"_")))))</f>
        <v> </v>
      </c>
      <c r="H5303" s="25" t="str">
        <f>IF(J5303&lt;&gt;1,"",IF(I5303="SBJ","CB","?"))</f>
        <v> </v>
      </c>
      <c r="I5303" s="26" t="str">
        <f>IF(OR(E5303="",E5303="!!!",F5303="NEW"),"",INDEX(B5302:B$2,-1+SUMPRODUCT(MAX(ROW(E5302:E$2)*(E5303=E5302:E$2)))))</f>
        <v> </v>
      </c>
      <c r="J5303" s="26" t="str">
        <f>IF(OR(E5303="",E5303="!!!",F5303="NEW"),"",COUNTBLANK(OFFSET(A$1,,,SUMPRODUCT(MAX(ROW(E$2:E5303)*(E5303=E$2:E5303)))))-COUNTBLANK(OFFSET(A$1,,,SUMPRODUCT(MAX(ROW(E$1:E5302)*(E2=E$1:E5302))))))</f>
        <v> </v>
      </c>
      <c r="K5303" s="26" t="str">
        <f>IF(OR(E5303="",E5303="!!!",F5303="NEW"),"",INDEX(J$1:J5302,SUMPRODUCT(MAX(ROW(E$1:E5302)*(E5303=E$1:E5302)))))</f>
        <v> </v>
      </c>
      <c r="L5303" s="27"/>
    </row>
    <row r="5304" spans="1:12">
      <c r="A5304" s="20" t="s">
        <v>1280</v>
      </c>
      <c r="B5304" s="21" t="s">
        <v>1261</v>
      </c>
      <c r="C5304" s="21" t="s">
        <v>1242</v>
      </c>
      <c r="D5304" s="21" t="s">
        <v>1217</v>
      </c>
      <c r="E5304" s="22">
        <f>IF(D5304="?OLD","!!!","")</f>
        <v/>
      </c>
      <c r="F5304" s="23" t="str">
        <f>IF(OR(E5304="",E5304="!!!"),"",IF(NOT(ISNA(VLOOKUP(E5304,E$1:E5303,1,FALSE()))),"OLD",IF(AND(E5304&lt;&gt;"",E5304&lt;&gt;"!!!"),"NEW","")))</f>
        <v> </v>
      </c>
      <c r="G5304" s="24" t="str">
        <f>IF(OR(E5304="",E5304="!!!"),"",IF(OR(J5304=0,AND(J5304=1,K5304=1),AND(J5304=1,I5304="SBJ"),AND(J5304=1,I5304=0)),"?IN_FOCUS",IF(J5304&lt;=2,"?ACTIVATED",IF(J5304&lt;&gt;"","?FAMILIAR",IF(F5304="NEW",IF(ISNA(VLOOKUP(E5304,#REF!,1,FALSE())),"?TYPE_IDENTIFIABLE","?REFERENTIAL"),"_")))))</f>
        <v> </v>
      </c>
      <c r="H5304" s="25" t="str">
        <f>IF(J5304&lt;&gt;1,"",IF(I5304="SBJ","CB","?"))</f>
        <v> </v>
      </c>
      <c r="I5304" s="26" t="str">
        <f>IF(OR(E5304="",E5304="!!!",F5304="NEW"),"",INDEX(B5303:B$2,-1+SUMPRODUCT(MAX(ROW(E5303:E$2)*(E5304=E5303:E$2)))))</f>
        <v> </v>
      </c>
      <c r="J5304" s="26" t="str">
        <f>IF(OR(E5304="",E5304="!!!",F5304="NEW"),"",COUNTBLANK(OFFSET(A$1,,,SUMPRODUCT(MAX(ROW(E$2:E5304)*(E5304=E$2:E5304)))))-COUNTBLANK(OFFSET(A$1,,,SUMPRODUCT(MAX(ROW(E$1:E5303)*(E2=E$1:E5303))))))</f>
        <v> </v>
      </c>
      <c r="K5304" s="26" t="str">
        <f>IF(OR(E5304="",E5304="!!!",F5304="NEW"),"",INDEX(J$1:J5303,SUMPRODUCT(MAX(ROW(E$1:E5303)*(E5304=E$1:E5303)))))</f>
        <v> </v>
      </c>
      <c r="L5304" s="27"/>
    </row>
    <row r="5305" spans="1:12">
      <c r="A5305" s="20" t="s">
        <v>2897</v>
      </c>
      <c r="B5305" s="21" t="s">
        <v>1292</v>
      </c>
      <c r="C5305" s="21" t="s">
        <v>1222</v>
      </c>
      <c r="D5305" s="21" t="s">
        <v>1217</v>
      </c>
      <c r="E5305" s="22">
        <f>IF(D5305="?OLD","!!!","")</f>
        <v/>
      </c>
      <c r="F5305" s="23" t="str">
        <f>IF(OR(E5305="",E5305="!!!"),"",IF(NOT(ISNA(VLOOKUP(E5305,E$1:E5304,1,FALSE()))),"OLD",IF(AND(E5305&lt;&gt;"",E5305&lt;&gt;"!!!"),"NEW","")))</f>
        <v> </v>
      </c>
      <c r="G5305" s="24" t="str">
        <f>IF(OR(E5305="",E5305="!!!"),"",IF(OR(J5305=0,AND(J5305=1,K5305=1),AND(J5305=1,I5305="SBJ"),AND(J5305=1,I5305=0)),"?IN_FOCUS",IF(J5305&lt;=2,"?ACTIVATED",IF(J5305&lt;&gt;"","?FAMILIAR",IF(F5305="NEW",IF(ISNA(VLOOKUP(E5305,#REF!,1,FALSE())),"?TYPE_IDENTIFIABLE","?REFERENTIAL"),"_")))))</f>
        <v> </v>
      </c>
      <c r="H5305" s="25" t="str">
        <f>IF(J5305&lt;&gt;1,"",IF(I5305="SBJ","CB","?"))</f>
        <v> </v>
      </c>
      <c r="I5305" s="26" t="str">
        <f>IF(OR(E5305="",E5305="!!!",F5305="NEW"),"",INDEX(B5304:B$2,-1+SUMPRODUCT(MAX(ROW(E5304:E$2)*(E5305=E5304:E$2)))))</f>
        <v> </v>
      </c>
      <c r="J5305" s="26" t="str">
        <f>IF(OR(E5305="",E5305="!!!",F5305="NEW"),"",COUNTBLANK(OFFSET(A$1,,,SUMPRODUCT(MAX(ROW(E$2:E5305)*(E5305=E$2:E5305)))))-COUNTBLANK(OFFSET(A$1,,,SUMPRODUCT(MAX(ROW(E$1:E5304)*(E2=E$1:E5304))))))</f>
        <v> </v>
      </c>
      <c r="K5305" s="26" t="str">
        <f>IF(OR(E5305="",E5305="!!!",F5305="NEW"),"",INDEX(J$1:J5304,SUMPRODUCT(MAX(ROW(E$1:E5304)*(E5305=E$1:E5304)))))</f>
        <v> </v>
      </c>
      <c r="L5305" s="27"/>
    </row>
    <row r="5306" spans="1:12">
      <c r="A5306" s="20" t="s">
        <v>2233</v>
      </c>
      <c r="E5306" s="22">
        <f>IF(D5306="?OLD","!!!","")</f>
        <v/>
      </c>
      <c r="F5306" s="23" t="str">
        <f>IF(OR(E5306="",E5306="!!!"),"",IF(NOT(ISNA(VLOOKUP(E5306,E$1:E5305,1,FALSE()))),"OLD",IF(AND(E5306&lt;&gt;"",E5306&lt;&gt;"!!!"),"NEW","")))</f>
        <v> </v>
      </c>
      <c r="G5306" s="24" t="str">
        <f>IF(OR(E5306="",E5306="!!!"),"",IF(OR(J5306=0,AND(J5306=1,K5306=1),AND(J5306=1,I5306="SBJ"),AND(J5306=1,I5306=0)),"?IN_FOCUS",IF(J5306&lt;=2,"?ACTIVATED",IF(J5306&lt;&gt;"","?FAMILIAR",IF(F5306="NEW",IF(ISNA(VLOOKUP(E5306,#REF!,1,FALSE())),"?TYPE_IDENTIFIABLE","?REFERENTIAL"),"_")))))</f>
        <v> </v>
      </c>
      <c r="H5306" s="25" t="str">
        <f>IF(J5306&lt;&gt;1,"",IF(I5306="SBJ","CB","?"))</f>
        <v> </v>
      </c>
      <c r="I5306" s="26" t="str">
        <f>IF(OR(E5306="",E5306="!!!",F5306="NEW"),"",INDEX(B5305:B$2,-1+SUMPRODUCT(MAX(ROW(E5305:E$2)*(E5306=E5305:E$2)))))</f>
        <v> </v>
      </c>
      <c r="J5306" s="26" t="str">
        <f>IF(OR(E5306="",E5306="!!!",F5306="NEW"),"",COUNTBLANK(OFFSET(A$1,,,SUMPRODUCT(MAX(ROW(E$2:E5306)*(E5306=E$2:E5306)))))-COUNTBLANK(OFFSET(A$1,,,SUMPRODUCT(MAX(ROW(E$1:E5305)*(E2=E$1:E5305))))))</f>
        <v> </v>
      </c>
      <c r="K5306" s="26" t="str">
        <f>IF(OR(E5306="",E5306="!!!",F5306="NEW"),"",INDEX(J$1:J5305,SUMPRODUCT(MAX(ROW(E$1:E5305)*(E5306=E$1:E5305)))))</f>
        <v> </v>
      </c>
      <c r="L5306" s="27"/>
    </row>
    <row r="5307" spans="1:12">
      <c r="A5307" s="20" t="s">
        <v>1266</v>
      </c>
      <c r="E5307" s="22">
        <f>IF(D5307="?OLD","!!!","")</f>
        <v/>
      </c>
      <c r="F5307" s="23" t="str">
        <f>IF(OR(E5307="",E5307="!!!"),"",IF(NOT(ISNA(VLOOKUP(E5307,E$1:E5306,1,FALSE()))),"OLD",IF(AND(E5307&lt;&gt;"",E5307&lt;&gt;"!!!"),"NEW","")))</f>
        <v> </v>
      </c>
      <c r="G5307" s="24" t="str">
        <f>IF(OR(E5307="",E5307="!!!"),"",IF(OR(J5307=0,AND(J5307=1,K5307=1),AND(J5307=1,I5307="SBJ"),AND(J5307=1,I5307=0)),"?IN_FOCUS",IF(J5307&lt;=2,"?ACTIVATED",IF(J5307&lt;&gt;"","?FAMILIAR",IF(F5307="NEW",IF(ISNA(VLOOKUP(E5307,#REF!,1,FALSE())),"?TYPE_IDENTIFIABLE","?REFERENTIAL"),"_")))))</f>
        <v> </v>
      </c>
      <c r="H5307" s="25" t="str">
        <f>IF(J5307&lt;&gt;1,"",IF(I5307="SBJ","CB","?"))</f>
        <v> </v>
      </c>
      <c r="I5307" s="26" t="str">
        <f>IF(OR(E5307="",E5307="!!!",F5307="NEW"),"",INDEX(B5306:B$2,-1+SUMPRODUCT(MAX(ROW(E5306:E$2)*(E5307=E5306:E$2)))))</f>
        <v> </v>
      </c>
      <c r="J5307" s="26" t="str">
        <f>IF(OR(E5307="",E5307="!!!",F5307="NEW"),"",COUNTBLANK(OFFSET(A$1,,,SUMPRODUCT(MAX(ROW(E$2:E5307)*(E5307=E$2:E5307)))))-COUNTBLANK(OFFSET(A$1,,,SUMPRODUCT(MAX(ROW(E$1:E5306)*(E2=E$1:E5306))))))</f>
        <v> </v>
      </c>
      <c r="K5307" s="26" t="str">
        <f>IF(OR(E5307="",E5307="!!!",F5307="NEW"),"",INDEX(J$1:J5306,SUMPRODUCT(MAX(ROW(E$1:E5306)*(E5307=E$1:E5306)))))</f>
        <v> </v>
      </c>
      <c r="L5307" s="27"/>
    </row>
    <row r="5308" spans="1:12">
      <c r="A5308" s="20" t="s">
        <v>2148</v>
      </c>
      <c r="B5308" s="21" t="s">
        <v>1261</v>
      </c>
      <c r="C5308" s="21" t="s">
        <v>1269</v>
      </c>
      <c r="D5308" s="21" t="s">
        <v>1217</v>
      </c>
      <c r="E5308" s="22">
        <f>IF(D5308="?OLD","!!!","")</f>
        <v/>
      </c>
      <c r="F5308" s="23" t="str">
        <f>IF(OR(E5308="",E5308="!!!"),"",IF(NOT(ISNA(VLOOKUP(E5308,E$1:E5307,1,FALSE()))),"OLD",IF(AND(E5308&lt;&gt;"",E5308&lt;&gt;"!!!"),"NEW","")))</f>
        <v> </v>
      </c>
      <c r="G5308" s="24" t="str">
        <f>IF(OR(E5308="",E5308="!!!"),"",IF(OR(J5308=0,AND(J5308=1,K5308=1),AND(J5308=1,I5308="SBJ"),AND(J5308=1,I5308=0)),"?IN_FOCUS",IF(J5308&lt;=2,"?ACTIVATED",IF(J5308&lt;&gt;"","?FAMILIAR",IF(F5308="NEW",IF(ISNA(VLOOKUP(E5308,#REF!,1,FALSE())),"?TYPE_IDENTIFIABLE","?REFERENTIAL"),"_")))))</f>
        <v> </v>
      </c>
      <c r="H5308" s="25" t="str">
        <f>IF(J5308&lt;&gt;1,"",IF(I5308="SBJ","CB","?"))</f>
        <v> </v>
      </c>
      <c r="I5308" s="26" t="str">
        <f>IF(OR(E5308="",E5308="!!!",F5308="NEW"),"",INDEX(B5307:B$2,-1+SUMPRODUCT(MAX(ROW(E5307:E$2)*(E5308=E5307:E$2)))))</f>
        <v> </v>
      </c>
      <c r="J5308" s="26" t="str">
        <f>IF(OR(E5308="",E5308="!!!",F5308="NEW"),"",COUNTBLANK(OFFSET(A$1,,,SUMPRODUCT(MAX(ROW(E$2:E5308)*(E5308=E$2:E5308)))))-COUNTBLANK(OFFSET(A$1,,,SUMPRODUCT(MAX(ROW(E$1:E5307)*(E2=E$1:E5307))))))</f>
        <v> </v>
      </c>
      <c r="K5308" s="26" t="str">
        <f>IF(OR(E5308="",E5308="!!!",F5308="NEW"),"",INDEX(J$1:J5307,SUMPRODUCT(MAX(ROW(E$1:E5307)*(E5308=E$1:E5307)))))</f>
        <v> </v>
      </c>
      <c r="L5308" s="27"/>
    </row>
    <row r="5309" spans="1:12">
      <c r="A5309" s="20" t="s">
        <v>1526</v>
      </c>
      <c r="E5309" s="22">
        <f>IF(D5309="?OLD","!!!","")</f>
        <v/>
      </c>
      <c r="F5309" s="23" t="str">
        <f>IF(OR(E5309="",E5309="!!!"),"",IF(NOT(ISNA(VLOOKUP(E5309,E$1:E5308,1,FALSE()))),"OLD",IF(AND(E5309&lt;&gt;"",E5309&lt;&gt;"!!!"),"NEW","")))</f>
        <v> </v>
      </c>
      <c r="G5309" s="24" t="str">
        <f>IF(OR(E5309="",E5309="!!!"),"",IF(OR(J5309=0,AND(J5309=1,K5309=1),AND(J5309=1,I5309="SBJ"),AND(J5309=1,I5309=0)),"?IN_FOCUS",IF(J5309&lt;=2,"?ACTIVATED",IF(J5309&lt;&gt;"","?FAMILIAR",IF(F5309="NEW",IF(ISNA(VLOOKUP(E5309,#REF!,1,FALSE())),"?TYPE_IDENTIFIABLE","?REFERENTIAL"),"_")))))</f>
        <v> </v>
      </c>
      <c r="H5309" s="25" t="str">
        <f>IF(J5309&lt;&gt;1,"",IF(I5309="SBJ","CB","?"))</f>
        <v> </v>
      </c>
      <c r="I5309" s="26" t="str">
        <f>IF(OR(E5309="",E5309="!!!",F5309="NEW"),"",INDEX(B5308:B$2,-1+SUMPRODUCT(MAX(ROW(E5308:E$2)*(E5309=E5308:E$2)))))</f>
        <v> </v>
      </c>
      <c r="J5309" s="26" t="str">
        <f>IF(OR(E5309="",E5309="!!!",F5309="NEW"),"",COUNTBLANK(OFFSET(A$1,,,SUMPRODUCT(MAX(ROW(E$2:E5309)*(E5309=E$2:E5309)))))-COUNTBLANK(OFFSET(A$1,,,SUMPRODUCT(MAX(ROW(E$1:E5308)*(E2=E$1:E5308))))))</f>
        <v> </v>
      </c>
      <c r="K5309" s="26" t="str">
        <f>IF(OR(E5309="",E5309="!!!",F5309="NEW"),"",INDEX(J$1:J5308,SUMPRODUCT(MAX(ROW(E$1:E5308)*(E5309=E$1:E5308)))))</f>
        <v> </v>
      </c>
      <c r="L5309" s="27"/>
    </row>
    <row r="5310" spans="1:12">
      <c r="A5310" s="20" t="s">
        <v>1235</v>
      </c>
      <c r="E5310" s="22">
        <f>IF(D5310="?OLD","!!!","")</f>
        <v/>
      </c>
      <c r="F5310" s="23" t="str">
        <f>IF(OR(E5310="",E5310="!!!"),"",IF(NOT(ISNA(VLOOKUP(E5310,E$1:E5309,1,FALSE()))),"OLD",IF(AND(E5310&lt;&gt;"",E5310&lt;&gt;"!!!"),"NEW","")))</f>
        <v> </v>
      </c>
      <c r="G5310" s="24" t="str">
        <f>IF(OR(E5310="",E5310="!!!"),"",IF(OR(J5310=0,AND(J5310=1,K5310=1),AND(J5310=1,I5310="SBJ"),AND(J5310=1,I5310=0)),"?IN_FOCUS",IF(J5310&lt;=2,"?ACTIVATED",IF(J5310&lt;&gt;"","?FAMILIAR",IF(F5310="NEW",IF(ISNA(VLOOKUP(E5310,#REF!,1,FALSE())),"?TYPE_IDENTIFIABLE","?REFERENTIAL"),"_")))))</f>
        <v> </v>
      </c>
      <c r="H5310" s="25" t="str">
        <f>IF(J5310&lt;&gt;1,"",IF(I5310="SBJ","CB","?"))</f>
        <v> </v>
      </c>
      <c r="I5310" s="26" t="str">
        <f>IF(OR(E5310="",E5310="!!!",F5310="NEW"),"",INDEX(B5309:B$2,-1+SUMPRODUCT(MAX(ROW(E5309:E$2)*(E5310=E5309:E$2)))))</f>
        <v> </v>
      </c>
      <c r="J5310" s="26" t="str">
        <f>IF(OR(E5310="",E5310="!!!",F5310="NEW"),"",COUNTBLANK(OFFSET(A$1,,,SUMPRODUCT(MAX(ROW(E$2:E5310)*(E5310=E$2:E5310)))))-COUNTBLANK(OFFSET(A$1,,,SUMPRODUCT(MAX(ROW(E$1:E5309)*(E2=E$1:E5309))))))</f>
        <v> </v>
      </c>
      <c r="K5310" s="26" t="str">
        <f>IF(OR(E5310="",E5310="!!!",F5310="NEW"),"",INDEX(J$1:J5309,SUMPRODUCT(MAX(ROW(E$1:E5309)*(E5310=E$1:E5309)))))</f>
        <v> </v>
      </c>
      <c r="L5310" s="27"/>
    </row>
    <row r="5311" spans="1:12">
      <c r="A5311" s="20" t="s">
        <v>2019</v>
      </c>
      <c r="B5311" s="21" t="s">
        <v>1259</v>
      </c>
      <c r="C5311" s="21" t="s">
        <v>1238</v>
      </c>
      <c r="E5311" s="22">
        <f>IF(D5311="?OLD","!!!","")</f>
        <v/>
      </c>
      <c r="F5311" s="23" t="str">
        <f>IF(OR(E5311="",E5311="!!!"),"",IF(NOT(ISNA(VLOOKUP(E5311,E$1:E5310,1,FALSE()))),"OLD",IF(AND(E5311&lt;&gt;"",E5311&lt;&gt;"!!!"),"NEW","")))</f>
        <v> </v>
      </c>
      <c r="G5311" s="24" t="str">
        <f>IF(OR(E5311="",E5311="!!!"),"",IF(OR(J5311=0,AND(J5311=1,K5311=1),AND(J5311=1,I5311="SBJ"),AND(J5311=1,I5311=0)),"?IN_FOCUS",IF(J5311&lt;=2,"?ACTIVATED",IF(J5311&lt;&gt;"","?FAMILIAR",IF(F5311="NEW",IF(ISNA(VLOOKUP(E5311,#REF!,1,FALSE())),"?TYPE_IDENTIFIABLE","?REFERENTIAL"),"_")))))</f>
        <v> </v>
      </c>
      <c r="H5311" s="25" t="str">
        <f>IF(J5311&lt;&gt;1,"",IF(I5311="SBJ","CB","?"))</f>
        <v> </v>
      </c>
      <c r="I5311" s="26" t="str">
        <f>IF(OR(E5311="",E5311="!!!",F5311="NEW"),"",INDEX(B5310:B$2,-1+SUMPRODUCT(MAX(ROW(E5310:E$2)*(E5311=E5310:E$2)))))</f>
        <v> </v>
      </c>
      <c r="J5311" s="26" t="str">
        <f>IF(OR(E5311="",E5311="!!!",F5311="NEW"),"",COUNTBLANK(OFFSET(A$1,,,SUMPRODUCT(MAX(ROW(E$2:E5311)*(E5311=E$2:E5311)))))-COUNTBLANK(OFFSET(A$1,,,SUMPRODUCT(MAX(ROW(E$1:E5310)*(E2=E$1:E5310))))))</f>
        <v> </v>
      </c>
      <c r="K5311" s="26" t="str">
        <f>IF(OR(E5311="",E5311="!!!",F5311="NEW"),"",INDEX(J$1:J5310,SUMPRODUCT(MAX(ROW(E$1:E5310)*(E5311=E$1:E5310)))))</f>
        <v> </v>
      </c>
      <c r="L5311" s="27"/>
    </row>
    <row r="5312" spans="1:12">
      <c r="A5312" s="20" t="s">
        <v>1457</v>
      </c>
      <c r="E5312" s="22">
        <f>IF(D5312="?OLD","!!!","")</f>
        <v/>
      </c>
      <c r="F5312" s="23" t="str">
        <f>IF(OR(E5312="",E5312="!!!"),"",IF(NOT(ISNA(VLOOKUP(E5312,E$1:E5311,1,FALSE()))),"OLD",IF(AND(E5312&lt;&gt;"",E5312&lt;&gt;"!!!"),"NEW","")))</f>
        <v> </v>
      </c>
      <c r="G5312" s="24" t="str">
        <f>IF(OR(E5312="",E5312="!!!"),"",IF(OR(J5312=0,AND(J5312=1,K5312=1),AND(J5312=1,I5312="SBJ"),AND(J5312=1,I5312=0)),"?IN_FOCUS",IF(J5312&lt;=2,"?ACTIVATED",IF(J5312&lt;&gt;"","?FAMILIAR",IF(F5312="NEW",IF(ISNA(VLOOKUP(E5312,#REF!,1,FALSE())),"?TYPE_IDENTIFIABLE","?REFERENTIAL"),"_")))))</f>
        <v> </v>
      </c>
      <c r="H5312" s="25" t="str">
        <f>IF(J5312&lt;&gt;1,"",IF(I5312="SBJ","CB","?"))</f>
        <v> </v>
      </c>
      <c r="I5312" s="26" t="str">
        <f>IF(OR(E5312="",E5312="!!!",F5312="NEW"),"",INDEX(B5311:B$2,-1+SUMPRODUCT(MAX(ROW(E5311:E$2)*(E5312=E5311:E$2)))))</f>
        <v> </v>
      </c>
      <c r="J5312" s="26" t="str">
        <f>IF(OR(E5312="",E5312="!!!",F5312="NEW"),"",COUNTBLANK(OFFSET(A$1,,,SUMPRODUCT(MAX(ROW(E$2:E5312)*(E5312=E$2:E5312)))))-COUNTBLANK(OFFSET(A$1,,,SUMPRODUCT(MAX(ROW(E$1:E5311)*(E2=E$1:E5311))))))</f>
        <v> </v>
      </c>
      <c r="K5312" s="26" t="str">
        <f>IF(OR(E5312="",E5312="!!!",F5312="NEW"),"",INDEX(J$1:J5311,SUMPRODUCT(MAX(ROW(E$1:E5311)*(E5312=E$1:E5311)))))</f>
        <v> </v>
      </c>
      <c r="L5312" s="27"/>
    </row>
    <row r="5313" spans="1:12">
      <c r="A5313" s="20"/>
    </row>
    <row r="5314" spans="1:12">
      <c r="A5314" s="20" t="s">
        <v>2898</v>
      </c>
    </row>
    <row r="5315" spans="1:12">
      <c r="A5315" s="20" t="s">
        <v>2899</v>
      </c>
      <c r="E5315" s="22">
        <f>IF(D5315="?OLD","!!!","")</f>
        <v/>
      </c>
      <c r="F5315" s="23" t="str">
        <f>IF(OR(E5315="",E5315="!!!"),"",IF(NOT(ISNA(VLOOKUP(E5315,E$1:E5314,1,FALSE()))),"OLD",IF(AND(E5315&lt;&gt;"",E5315&lt;&gt;"!!!"),"NEW","")))</f>
        <v> </v>
      </c>
      <c r="G5315" s="24" t="str">
        <f>IF(OR(E5315="",E5315="!!!"),"",IF(OR(J5315=0,AND(J5315=1,K5315=1),AND(J5315=1,I5315="SBJ"),AND(J5315=1,I5315=0)),"?IN_FOCUS",IF(J5315&lt;=2,"?ACTIVATED",IF(J5315&lt;&gt;"","?FAMILIAR",IF(F5315="NEW",IF(ISNA(VLOOKUP(E5315,#REF!,1,FALSE())),"?TYPE_IDENTIFIABLE","?REFERENTIAL"),"_")))))</f>
        <v> </v>
      </c>
      <c r="H5315" s="25" t="str">
        <f>IF(J5315&lt;&gt;1,"",IF(I5315="SBJ","CB","?"))</f>
        <v> </v>
      </c>
      <c r="I5315" s="26" t="str">
        <f>IF(OR(E5315="",E5315="!!!",F5315="NEW"),"",INDEX(B5314:B$2,-1+SUMPRODUCT(MAX(ROW(E5314:E$2)*(E5315=E5314:E$2)))))</f>
        <v> </v>
      </c>
      <c r="J5315" s="26" t="str">
        <f>IF(OR(E5315="",E5315="!!!",F5315="NEW"),"",COUNTBLANK(OFFSET(A$1,,,SUMPRODUCT(MAX(ROW(E$2:E5315)*(E5315=E$2:E5315)))))-COUNTBLANK(OFFSET(A$1,,,SUMPRODUCT(MAX(ROW(E$1:E5314)*(E2=E$1:E5314))))))</f>
        <v> </v>
      </c>
      <c r="K5315" s="26" t="str">
        <f>IF(OR(E5315="",E5315="!!!",F5315="NEW"),"",INDEX(J$1:J5314,SUMPRODUCT(MAX(ROW(E$1:E5314)*(E5315=E$1:E5314)))))</f>
        <v> </v>
      </c>
      <c r="L5315" s="27"/>
    </row>
    <row r="5316" spans="1:12">
      <c r="A5316" s="20" t="s">
        <v>1336</v>
      </c>
      <c r="E5316" s="22">
        <f>IF(D5316="?OLD","!!!","")</f>
        <v/>
      </c>
      <c r="F5316" s="23" t="str">
        <f>IF(OR(E5316="",E5316="!!!"),"",IF(NOT(ISNA(VLOOKUP(E5316,E$1:E5315,1,FALSE()))),"OLD",IF(AND(E5316&lt;&gt;"",E5316&lt;&gt;"!!!"),"NEW","")))</f>
        <v> </v>
      </c>
      <c r="G5316" s="24" t="str">
        <f>IF(OR(E5316="",E5316="!!!"),"",IF(OR(J5316=0,AND(J5316=1,K5316=1),AND(J5316=1,I5316="SBJ"),AND(J5316=1,I5316=0)),"?IN_FOCUS",IF(J5316&lt;=2,"?ACTIVATED",IF(J5316&lt;&gt;"","?FAMILIAR",IF(F5316="NEW",IF(ISNA(VLOOKUP(E5316,#REF!,1,FALSE())),"?TYPE_IDENTIFIABLE","?REFERENTIAL"),"_")))))</f>
        <v> </v>
      </c>
      <c r="H5316" s="25" t="str">
        <f>IF(J5316&lt;&gt;1,"",IF(I5316="SBJ","CB","?"))</f>
        <v> </v>
      </c>
      <c r="I5316" s="26" t="str">
        <f>IF(OR(E5316="",E5316="!!!",F5316="NEW"),"",INDEX(B5315:B$2,-1+SUMPRODUCT(MAX(ROW(E5315:E$2)*(E5316=E5315:E$2)))))</f>
        <v> </v>
      </c>
      <c r="J5316" s="26" t="str">
        <f>IF(OR(E5316="",E5316="!!!",F5316="NEW"),"",COUNTBLANK(OFFSET(A$1,,,SUMPRODUCT(MAX(ROW(E$2:E5316)*(E5316=E$2:E5316)))))-COUNTBLANK(OFFSET(A$1,,,SUMPRODUCT(MAX(ROW(E$1:E5315)*(E2=E$1:E5315))))))</f>
        <v> </v>
      </c>
      <c r="K5316" s="26" t="str">
        <f>IF(OR(E5316="",E5316="!!!",F5316="NEW"),"",INDEX(J$1:J5315,SUMPRODUCT(MAX(ROW(E$1:E5315)*(E5316=E$1:E5315)))))</f>
        <v> </v>
      </c>
      <c r="L5316" s="27"/>
    </row>
    <row r="5317" spans="1:12">
      <c r="A5317" s="20" t="s">
        <v>1235</v>
      </c>
      <c r="E5317" s="22">
        <f>IF(D5317="?OLD","!!!","")</f>
        <v/>
      </c>
      <c r="F5317" s="23" t="str">
        <f>IF(OR(E5317="",E5317="!!!"),"",IF(NOT(ISNA(VLOOKUP(E5317,E$1:E5316,1,FALSE()))),"OLD",IF(AND(E5317&lt;&gt;"",E5317&lt;&gt;"!!!"),"NEW","")))</f>
        <v> </v>
      </c>
      <c r="G5317" s="24" t="str">
        <f>IF(OR(E5317="",E5317="!!!"),"",IF(OR(J5317=0,AND(J5317=1,K5317=1),AND(J5317=1,I5317="SBJ"),AND(J5317=1,I5317=0)),"?IN_FOCUS",IF(J5317&lt;=2,"?ACTIVATED",IF(J5317&lt;&gt;"","?FAMILIAR",IF(F5317="NEW",IF(ISNA(VLOOKUP(E5317,#REF!,1,FALSE())),"?TYPE_IDENTIFIABLE","?REFERENTIAL"),"_")))))</f>
        <v> </v>
      </c>
      <c r="H5317" s="25" t="str">
        <f>IF(J5317&lt;&gt;1,"",IF(I5317="SBJ","CB","?"))</f>
        <v> </v>
      </c>
      <c r="I5317" s="26" t="str">
        <f>IF(OR(E5317="",E5317="!!!",F5317="NEW"),"",INDEX(B5316:B$2,-1+SUMPRODUCT(MAX(ROW(E5316:E$2)*(E5317=E5316:E$2)))))</f>
        <v> </v>
      </c>
      <c r="J5317" s="26" t="str">
        <f>IF(OR(E5317="",E5317="!!!",F5317="NEW"),"",COUNTBLANK(OFFSET(A$1,,,SUMPRODUCT(MAX(ROW(E$2:E5317)*(E5317=E$2:E5317)))))-COUNTBLANK(OFFSET(A$1,,,SUMPRODUCT(MAX(ROW(E$1:E5316)*(E2=E$1:E5316))))))</f>
        <v> </v>
      </c>
      <c r="K5317" s="26" t="str">
        <f>IF(OR(E5317="",E5317="!!!",F5317="NEW"),"",INDEX(J$1:J5316,SUMPRODUCT(MAX(ROW(E$1:E5316)*(E5317=E$1:E5316)))))</f>
        <v> </v>
      </c>
      <c r="L5317" s="27"/>
    </row>
    <row r="5318" spans="1:12">
      <c r="A5318" s="20" t="s">
        <v>1610</v>
      </c>
      <c r="B5318" s="21" t="s">
        <v>1244</v>
      </c>
      <c r="C5318" s="21" t="s">
        <v>1238</v>
      </c>
      <c r="E5318" s="22">
        <f>IF(D5318="?OLD","!!!","")</f>
        <v/>
      </c>
      <c r="F5318" s="23" t="str">
        <f>IF(OR(E5318="",E5318="!!!"),"",IF(NOT(ISNA(VLOOKUP(E5318,E$1:E5317,1,FALSE()))),"OLD",IF(AND(E5318&lt;&gt;"",E5318&lt;&gt;"!!!"),"NEW","")))</f>
        <v> </v>
      </c>
      <c r="G5318" s="24" t="str">
        <f>IF(OR(E5318="",E5318="!!!"),"",IF(OR(J5318=0,AND(J5318=1,K5318=1),AND(J5318=1,I5318="SBJ"),AND(J5318=1,I5318=0)),"?IN_FOCUS",IF(J5318&lt;=2,"?ACTIVATED",IF(J5318&lt;&gt;"","?FAMILIAR",IF(F5318="NEW",IF(ISNA(VLOOKUP(E5318,#REF!,1,FALSE())),"?TYPE_IDENTIFIABLE","?REFERENTIAL"),"_")))))</f>
        <v> </v>
      </c>
      <c r="H5318" s="25" t="str">
        <f>IF(J5318&lt;&gt;1,"",IF(I5318="SBJ","CB","?"))</f>
        <v> </v>
      </c>
      <c r="I5318" s="26" t="str">
        <f>IF(OR(E5318="",E5318="!!!",F5318="NEW"),"",INDEX(B5317:B$2,-1+SUMPRODUCT(MAX(ROW(E5317:E$2)*(E5318=E5317:E$2)))))</f>
        <v> </v>
      </c>
      <c r="J5318" s="26" t="str">
        <f>IF(OR(E5318="",E5318="!!!",F5318="NEW"),"",COUNTBLANK(OFFSET(A$1,,,SUMPRODUCT(MAX(ROW(E$2:E5318)*(E5318=E$2:E5318)))))-COUNTBLANK(OFFSET(A$1,,,SUMPRODUCT(MAX(ROW(E$1:E5317)*(E2=E$1:E5317))))))</f>
        <v> </v>
      </c>
      <c r="K5318" s="26" t="str">
        <f>IF(OR(E5318="",E5318="!!!",F5318="NEW"),"",INDEX(J$1:J5317,SUMPRODUCT(MAX(ROW(E$1:E5317)*(E5318=E$1:E5317)))))</f>
        <v> </v>
      </c>
      <c r="L5318" s="27"/>
    </row>
    <row r="5319" spans="1:12">
      <c r="A5319" s="20" t="s">
        <v>1596</v>
      </c>
      <c r="E5319" s="22">
        <f>IF(D5319="?OLD","!!!","")</f>
        <v/>
      </c>
      <c r="F5319" s="23" t="str">
        <f>IF(OR(E5319="",E5319="!!!"),"",IF(NOT(ISNA(VLOOKUP(E5319,E$1:E5318,1,FALSE()))),"OLD",IF(AND(E5319&lt;&gt;"",E5319&lt;&gt;"!!!"),"NEW","")))</f>
        <v> </v>
      </c>
      <c r="G5319" s="24" t="str">
        <f>IF(OR(E5319="",E5319="!!!"),"",IF(OR(J5319=0,AND(J5319=1,K5319=1),AND(J5319=1,I5319="SBJ"),AND(J5319=1,I5319=0)),"?IN_FOCUS",IF(J5319&lt;=2,"?ACTIVATED",IF(J5319&lt;&gt;"","?FAMILIAR",IF(F5319="NEW",IF(ISNA(VLOOKUP(E5319,#REF!,1,FALSE())),"?TYPE_IDENTIFIABLE","?REFERENTIAL"),"_")))))</f>
        <v> </v>
      </c>
      <c r="H5319" s="25" t="str">
        <f>IF(J5319&lt;&gt;1,"",IF(I5319="SBJ","CB","?"))</f>
        <v> </v>
      </c>
      <c r="I5319" s="26" t="str">
        <f>IF(OR(E5319="",E5319="!!!",F5319="NEW"),"",INDEX(B5318:B$2,-1+SUMPRODUCT(MAX(ROW(E5318:E$2)*(E5319=E5318:E$2)))))</f>
        <v> </v>
      </c>
      <c r="J5319" s="26" t="str">
        <f>IF(OR(E5319="",E5319="!!!",F5319="NEW"),"",COUNTBLANK(OFFSET(A$1,,,SUMPRODUCT(MAX(ROW(E$2:E5319)*(E5319=E$2:E5319)))))-COUNTBLANK(OFFSET(A$1,,,SUMPRODUCT(MAX(ROW(E$1:E5318)*(E2=E$1:E5318))))))</f>
        <v> </v>
      </c>
      <c r="K5319" s="26" t="str">
        <f>IF(OR(E5319="",E5319="!!!",F5319="NEW"),"",INDEX(J$1:J5318,SUMPRODUCT(MAX(ROW(E$1:E5318)*(E5319=E$1:E5318)))))</f>
        <v> </v>
      </c>
      <c r="L5319" s="27"/>
    </row>
    <row r="5320" spans="1:12">
      <c r="A5320" s="20" t="s">
        <v>2900</v>
      </c>
      <c r="E5320" s="22">
        <f>IF(D5320="?OLD","!!!","")</f>
        <v/>
      </c>
      <c r="F5320" s="23" t="str">
        <f>IF(OR(E5320="",E5320="!!!"),"",IF(NOT(ISNA(VLOOKUP(E5320,E$1:E5319,1,FALSE()))),"OLD",IF(AND(E5320&lt;&gt;"",E5320&lt;&gt;"!!!"),"NEW","")))</f>
        <v> </v>
      </c>
      <c r="G5320" s="24" t="str">
        <f>IF(OR(E5320="",E5320="!!!"),"",IF(OR(J5320=0,AND(J5320=1,K5320=1),AND(J5320=1,I5320="SBJ"),AND(J5320=1,I5320=0)),"?IN_FOCUS",IF(J5320&lt;=2,"?ACTIVATED",IF(J5320&lt;&gt;"","?FAMILIAR",IF(F5320="NEW",IF(ISNA(VLOOKUP(E5320,#REF!,1,FALSE())),"?TYPE_IDENTIFIABLE","?REFERENTIAL"),"_")))))</f>
        <v> </v>
      </c>
      <c r="H5320" s="25" t="str">
        <f>IF(J5320&lt;&gt;1,"",IF(I5320="SBJ","CB","?"))</f>
        <v> </v>
      </c>
      <c r="I5320" s="26" t="str">
        <f>IF(OR(E5320="",E5320="!!!",F5320="NEW"),"",INDEX(B5319:B$2,-1+SUMPRODUCT(MAX(ROW(E5319:E$2)*(E5320=E5319:E$2)))))</f>
        <v> </v>
      </c>
      <c r="J5320" s="26" t="str">
        <f>IF(OR(E5320="",E5320="!!!",F5320="NEW"),"",COUNTBLANK(OFFSET(A$1,,,SUMPRODUCT(MAX(ROW(E$2:E5320)*(E5320=E$2:E5320)))))-COUNTBLANK(OFFSET(A$1,,,SUMPRODUCT(MAX(ROW(E$1:E5319)*(E2=E$1:E5319))))))</f>
        <v> </v>
      </c>
      <c r="K5320" s="26" t="str">
        <f>IF(OR(E5320="",E5320="!!!",F5320="NEW"),"",INDEX(J$1:J5319,SUMPRODUCT(MAX(ROW(E$1:E5319)*(E5320=E$1:E5319)))))</f>
        <v> </v>
      </c>
      <c r="L5320" s="27"/>
    </row>
    <row r="5321" spans="1:12">
      <c r="A5321" s="20" t="s">
        <v>2901</v>
      </c>
      <c r="E5321" s="22">
        <f>IF(D5321="?OLD","!!!","")</f>
        <v/>
      </c>
      <c r="F5321" s="23" t="str">
        <f>IF(OR(E5321="",E5321="!!!"),"",IF(NOT(ISNA(VLOOKUP(E5321,E$1:E5320,1,FALSE()))),"OLD",IF(AND(E5321&lt;&gt;"",E5321&lt;&gt;"!!!"),"NEW","")))</f>
        <v> </v>
      </c>
      <c r="G5321" s="24" t="str">
        <f>IF(OR(E5321="",E5321="!!!"),"",IF(OR(J5321=0,AND(J5321=1,K5321=1),AND(J5321=1,I5321="SBJ"),AND(J5321=1,I5321=0)),"?IN_FOCUS",IF(J5321&lt;=2,"?ACTIVATED",IF(J5321&lt;&gt;"","?FAMILIAR",IF(F5321="NEW",IF(ISNA(VLOOKUP(E5321,#REF!,1,FALSE())),"?TYPE_IDENTIFIABLE","?REFERENTIAL"),"_")))))</f>
        <v> </v>
      </c>
      <c r="H5321" s="25" t="str">
        <f>IF(J5321&lt;&gt;1,"",IF(I5321="SBJ","CB","?"))</f>
        <v> </v>
      </c>
      <c r="I5321" s="26" t="str">
        <f>IF(OR(E5321="",E5321="!!!",F5321="NEW"),"",INDEX(B5320:B$2,-1+SUMPRODUCT(MAX(ROW(E5320:E$2)*(E5321=E5320:E$2)))))</f>
        <v> </v>
      </c>
      <c r="J5321" s="26" t="str">
        <f>IF(OR(E5321="",E5321="!!!",F5321="NEW"),"",COUNTBLANK(OFFSET(A$1,,,SUMPRODUCT(MAX(ROW(E$2:E5321)*(E5321=E$2:E5321)))))-COUNTBLANK(OFFSET(A$1,,,SUMPRODUCT(MAX(ROW(E$1:E5320)*(E2=E$1:E5320))))))</f>
        <v> </v>
      </c>
      <c r="K5321" s="26" t="str">
        <f>IF(OR(E5321="",E5321="!!!",F5321="NEW"),"",INDEX(J$1:J5320,SUMPRODUCT(MAX(ROW(E$1:E5320)*(E5321=E$1:E5320)))))</f>
        <v> </v>
      </c>
      <c r="L5321" s="27"/>
    </row>
    <row r="5322" spans="1:12">
      <c r="A5322" s="20" t="s">
        <v>1471</v>
      </c>
      <c r="E5322" s="22">
        <f>IF(D5322="?OLD","!!!","")</f>
        <v/>
      </c>
      <c r="F5322" s="23" t="str">
        <f>IF(OR(E5322="",E5322="!!!"),"",IF(NOT(ISNA(VLOOKUP(E5322,E$1:E5321,1,FALSE()))),"OLD",IF(AND(E5322&lt;&gt;"",E5322&lt;&gt;"!!!"),"NEW","")))</f>
        <v> </v>
      </c>
      <c r="G5322" s="24" t="str">
        <f>IF(OR(E5322="",E5322="!!!"),"",IF(OR(J5322=0,AND(J5322=1,K5322=1),AND(J5322=1,I5322="SBJ"),AND(J5322=1,I5322=0)),"?IN_FOCUS",IF(J5322&lt;=2,"?ACTIVATED",IF(J5322&lt;&gt;"","?FAMILIAR",IF(F5322="NEW",IF(ISNA(VLOOKUP(E5322,#REF!,1,FALSE())),"?TYPE_IDENTIFIABLE","?REFERENTIAL"),"_")))))</f>
        <v> </v>
      </c>
      <c r="H5322" s="25" t="str">
        <f>IF(J5322&lt;&gt;1,"",IF(I5322="SBJ","CB","?"))</f>
        <v> </v>
      </c>
      <c r="I5322" s="26" t="str">
        <f>IF(OR(E5322="",E5322="!!!",F5322="NEW"),"",INDEX(B5321:B$2,-1+SUMPRODUCT(MAX(ROW(E5321:E$2)*(E5322=E5321:E$2)))))</f>
        <v> </v>
      </c>
      <c r="J5322" s="26" t="str">
        <f>IF(OR(E5322="",E5322="!!!",F5322="NEW"),"",COUNTBLANK(OFFSET(A$1,,,SUMPRODUCT(MAX(ROW(E$2:E5322)*(E5322=E$2:E5322)))))-COUNTBLANK(OFFSET(A$1,,,SUMPRODUCT(MAX(ROW(E$1:E5321)*(E2=E$1:E5321))))))</f>
        <v> </v>
      </c>
      <c r="K5322" s="26" t="str">
        <f>IF(OR(E5322="",E5322="!!!",F5322="NEW"),"",INDEX(J$1:J5321,SUMPRODUCT(MAX(ROW(E$1:E5321)*(E5322=E$1:E5321)))))</f>
        <v> </v>
      </c>
      <c r="L5322" s="27"/>
    </row>
    <row r="5323" spans="1:12">
      <c r="A5323" s="20" t="s">
        <v>1402</v>
      </c>
      <c r="B5323" s="21" t="s">
        <v>1237</v>
      </c>
      <c r="C5323" s="21" t="s">
        <v>1238</v>
      </c>
      <c r="E5323" s="22">
        <f>IF(D5323="?OLD","!!!","")</f>
        <v/>
      </c>
      <c r="F5323" s="23" t="str">
        <f>IF(OR(E5323="",E5323="!!!"),"",IF(NOT(ISNA(VLOOKUP(E5323,E$1:E5322,1,FALSE()))),"OLD",IF(AND(E5323&lt;&gt;"",E5323&lt;&gt;"!!!"),"NEW","")))</f>
        <v> </v>
      </c>
      <c r="G5323" s="24" t="str">
        <f>IF(OR(E5323="",E5323="!!!"),"",IF(OR(J5323=0,AND(J5323=1,K5323=1),AND(J5323=1,I5323="SBJ"),AND(J5323=1,I5323=0)),"?IN_FOCUS",IF(J5323&lt;=2,"?ACTIVATED",IF(J5323&lt;&gt;"","?FAMILIAR",IF(F5323="NEW",IF(ISNA(VLOOKUP(E5323,#REF!,1,FALSE())),"?TYPE_IDENTIFIABLE","?REFERENTIAL"),"_")))))</f>
        <v> </v>
      </c>
      <c r="H5323" s="25" t="str">
        <f>IF(J5323&lt;&gt;1,"",IF(I5323="SBJ","CB","?"))</f>
        <v> </v>
      </c>
      <c r="I5323" s="26" t="str">
        <f>IF(OR(E5323="",E5323="!!!",F5323="NEW"),"",INDEX(B5322:B$2,-1+SUMPRODUCT(MAX(ROW(E5322:E$2)*(E5323=E5322:E$2)))))</f>
        <v> </v>
      </c>
      <c r="J5323" s="26" t="str">
        <f>IF(OR(E5323="",E5323="!!!",F5323="NEW"),"",COUNTBLANK(OFFSET(A$1,,,SUMPRODUCT(MAX(ROW(E$2:E5323)*(E5323=E$2:E5323)))))-COUNTBLANK(OFFSET(A$1,,,SUMPRODUCT(MAX(ROW(E$1:E5322)*(E2=E$1:E5322))))))</f>
        <v> </v>
      </c>
      <c r="K5323" s="26" t="str">
        <f>IF(OR(E5323="",E5323="!!!",F5323="NEW"),"",INDEX(J$1:J5322,SUMPRODUCT(MAX(ROW(E$1:E5322)*(E5323=E$1:E5322)))))</f>
        <v> </v>
      </c>
      <c r="L5323" s="27"/>
    </row>
    <row r="5324" spans="1:12">
      <c r="A5324" s="20" t="s">
        <v>1526</v>
      </c>
      <c r="E5324" s="22">
        <f>IF(D5324="?OLD","!!!","")</f>
        <v/>
      </c>
      <c r="F5324" s="23" t="str">
        <f>IF(OR(E5324="",E5324="!!!"),"",IF(NOT(ISNA(VLOOKUP(E5324,E$1:E5323,1,FALSE()))),"OLD",IF(AND(E5324&lt;&gt;"",E5324&lt;&gt;"!!!"),"NEW","")))</f>
        <v> </v>
      </c>
      <c r="G5324" s="24" t="str">
        <f>IF(OR(E5324="",E5324="!!!"),"",IF(OR(J5324=0,AND(J5324=1,K5324=1),AND(J5324=1,I5324="SBJ"),AND(J5324=1,I5324=0)),"?IN_FOCUS",IF(J5324&lt;=2,"?ACTIVATED",IF(J5324&lt;&gt;"","?FAMILIAR",IF(F5324="NEW",IF(ISNA(VLOOKUP(E5324,#REF!,1,FALSE())),"?TYPE_IDENTIFIABLE","?REFERENTIAL"),"_")))))</f>
        <v> </v>
      </c>
      <c r="H5324" s="25" t="str">
        <f>IF(J5324&lt;&gt;1,"",IF(I5324="SBJ","CB","?"))</f>
        <v> </v>
      </c>
      <c r="I5324" s="26" t="str">
        <f>IF(OR(E5324="",E5324="!!!",F5324="NEW"),"",INDEX(B5323:B$2,-1+SUMPRODUCT(MAX(ROW(E5323:E$2)*(E5324=E5323:E$2)))))</f>
        <v> </v>
      </c>
      <c r="J5324" s="26" t="str">
        <f>IF(OR(E5324="",E5324="!!!",F5324="NEW"),"",COUNTBLANK(OFFSET(A$1,,,SUMPRODUCT(MAX(ROW(E$2:E5324)*(E5324=E$2:E5324)))))-COUNTBLANK(OFFSET(A$1,,,SUMPRODUCT(MAX(ROW(E$1:E5323)*(E2=E$1:E5323))))))</f>
        <v> </v>
      </c>
      <c r="K5324" s="26" t="str">
        <f>IF(OR(E5324="",E5324="!!!",F5324="NEW"),"",INDEX(J$1:J5323,SUMPRODUCT(MAX(ROW(E$1:E5323)*(E5324=E$1:E5323)))))</f>
        <v> </v>
      </c>
      <c r="L5324" s="27"/>
    </row>
    <row r="5325" spans="1:12">
      <c r="A5325" s="20" t="s">
        <v>2902</v>
      </c>
      <c r="B5325" s="21" t="s">
        <v>1226</v>
      </c>
      <c r="C5325" s="21" t="s">
        <v>1279</v>
      </c>
      <c r="E5325" s="22">
        <f>IF(D5325="?OLD","!!!","")</f>
        <v/>
      </c>
      <c r="F5325" s="23" t="str">
        <f>IF(OR(E5325="",E5325="!!!"),"",IF(NOT(ISNA(VLOOKUP(E5325,E$1:E5324,1,FALSE()))),"OLD",IF(AND(E5325&lt;&gt;"",E5325&lt;&gt;"!!!"),"NEW","")))</f>
        <v> </v>
      </c>
      <c r="G5325" s="24" t="str">
        <f>IF(OR(E5325="",E5325="!!!"),"",IF(OR(J5325=0,AND(J5325=1,K5325=1),AND(J5325=1,I5325="SBJ"),AND(J5325=1,I5325=0)),"?IN_FOCUS",IF(J5325&lt;=2,"?ACTIVATED",IF(J5325&lt;&gt;"","?FAMILIAR",IF(F5325="NEW",IF(ISNA(VLOOKUP(E5325,#REF!,1,FALSE())),"?TYPE_IDENTIFIABLE","?REFERENTIAL"),"_")))))</f>
        <v> </v>
      </c>
      <c r="H5325" s="25" t="str">
        <f>IF(J5325&lt;&gt;1,"",IF(I5325="SBJ","CB","?"))</f>
        <v> </v>
      </c>
      <c r="I5325" s="26" t="str">
        <f>IF(OR(E5325="",E5325="!!!",F5325="NEW"),"",INDEX(B5324:B$2,-1+SUMPRODUCT(MAX(ROW(E5324:E$2)*(E5325=E5324:E$2)))))</f>
        <v> </v>
      </c>
      <c r="J5325" s="26" t="str">
        <f>IF(OR(E5325="",E5325="!!!",F5325="NEW"),"",COUNTBLANK(OFFSET(A$1,,,SUMPRODUCT(MAX(ROW(E$2:E5325)*(E5325=E$2:E5325)))))-COUNTBLANK(OFFSET(A$1,,,SUMPRODUCT(MAX(ROW(E$1:E5324)*(E2=E$1:E5324))))))</f>
        <v> </v>
      </c>
      <c r="K5325" s="26" t="str">
        <f>IF(OR(E5325="",E5325="!!!",F5325="NEW"),"",INDEX(J$1:J5324,SUMPRODUCT(MAX(ROW(E$1:E5324)*(E5325=E$1:E5324)))))</f>
        <v> </v>
      </c>
      <c r="L5325" s="27"/>
    </row>
    <row r="5326" spans="1:12">
      <c r="A5326" s="20" t="s">
        <v>1245</v>
      </c>
      <c r="E5326" s="22">
        <f>IF(D5326="?OLD","!!!","")</f>
        <v/>
      </c>
      <c r="F5326" s="23" t="str">
        <f>IF(OR(E5326="",E5326="!!!"),"",IF(NOT(ISNA(VLOOKUP(E5326,E$1:E5325,1,FALSE()))),"OLD",IF(AND(E5326&lt;&gt;"",E5326&lt;&gt;"!!!"),"NEW","")))</f>
        <v> </v>
      </c>
      <c r="G5326" s="24" t="str">
        <f>IF(OR(E5326="",E5326="!!!"),"",IF(OR(J5326=0,AND(J5326=1,K5326=1),AND(J5326=1,I5326="SBJ"),AND(J5326=1,I5326=0)),"?IN_FOCUS",IF(J5326&lt;=2,"?ACTIVATED",IF(J5326&lt;&gt;"","?FAMILIAR",IF(F5326="NEW",IF(ISNA(VLOOKUP(E5326,#REF!,1,FALSE())),"?TYPE_IDENTIFIABLE","?REFERENTIAL"),"_")))))</f>
        <v> </v>
      </c>
      <c r="H5326" s="25" t="str">
        <f>IF(J5326&lt;&gt;1,"",IF(I5326="SBJ","CB","?"))</f>
        <v> </v>
      </c>
      <c r="I5326" s="26" t="str">
        <f>IF(OR(E5326="",E5326="!!!",F5326="NEW"),"",INDEX(B5325:B$2,-1+SUMPRODUCT(MAX(ROW(E5325:E$2)*(E5326=E5325:E$2)))))</f>
        <v> </v>
      </c>
      <c r="J5326" s="26" t="str">
        <f>IF(OR(E5326="",E5326="!!!",F5326="NEW"),"",COUNTBLANK(OFFSET(A$1,,,SUMPRODUCT(MAX(ROW(E$2:E5326)*(E5326=E$2:E5326)))))-COUNTBLANK(OFFSET(A$1,,,SUMPRODUCT(MAX(ROW(E$1:E5325)*(E2=E$1:E5325))))))</f>
        <v> </v>
      </c>
      <c r="K5326" s="26" t="str">
        <f>IF(OR(E5326="",E5326="!!!",F5326="NEW"),"",INDEX(J$1:J5325,SUMPRODUCT(MAX(ROW(E$1:E5325)*(E5326=E$1:E5325)))))</f>
        <v> </v>
      </c>
      <c r="L5326" s="27"/>
    </row>
    <row r="5327" spans="1:12">
      <c r="A5327" s="20" t="s">
        <v>1266</v>
      </c>
      <c r="E5327" s="22">
        <f>IF(D5327="?OLD","!!!","")</f>
        <v/>
      </c>
      <c r="F5327" s="23" t="str">
        <f>IF(OR(E5327="",E5327="!!!"),"",IF(NOT(ISNA(VLOOKUP(E5327,E$1:E5326,1,FALSE()))),"OLD",IF(AND(E5327&lt;&gt;"",E5327&lt;&gt;"!!!"),"NEW","")))</f>
        <v> </v>
      </c>
      <c r="G5327" s="24" t="str">
        <f>IF(OR(E5327="",E5327="!!!"),"",IF(OR(J5327=0,AND(J5327=1,K5327=1),AND(J5327=1,I5327="SBJ"),AND(J5327=1,I5327=0)),"?IN_FOCUS",IF(J5327&lt;=2,"?ACTIVATED",IF(J5327&lt;&gt;"","?FAMILIAR",IF(F5327="NEW",IF(ISNA(VLOOKUP(E5327,#REF!,1,FALSE())),"?TYPE_IDENTIFIABLE","?REFERENTIAL"),"_")))))</f>
        <v> </v>
      </c>
      <c r="H5327" s="25" t="str">
        <f>IF(J5327&lt;&gt;1,"",IF(I5327="SBJ","CB","?"))</f>
        <v> </v>
      </c>
      <c r="I5327" s="26" t="str">
        <f>IF(OR(E5327="",E5327="!!!",F5327="NEW"),"",INDEX(B5326:B$2,-1+SUMPRODUCT(MAX(ROW(E5326:E$2)*(E5327=E5326:E$2)))))</f>
        <v> </v>
      </c>
      <c r="J5327" s="26" t="str">
        <f>IF(OR(E5327="",E5327="!!!",F5327="NEW"),"",COUNTBLANK(OFFSET(A$1,,,SUMPRODUCT(MAX(ROW(E$2:E5327)*(E5327=E$2:E5327)))))-COUNTBLANK(OFFSET(A$1,,,SUMPRODUCT(MAX(ROW(E$1:E5326)*(E2=E$1:E5326))))))</f>
        <v> </v>
      </c>
      <c r="K5327" s="26" t="str">
        <f>IF(OR(E5327="",E5327="!!!",F5327="NEW"),"",INDEX(J$1:J5326,SUMPRODUCT(MAX(ROW(E$1:E5326)*(E5327=E$1:E5326)))))</f>
        <v> </v>
      </c>
      <c r="L5327" s="27"/>
    </row>
    <row r="5328" spans="1:12">
      <c r="A5328" s="20" t="s">
        <v>2008</v>
      </c>
      <c r="B5328" s="21" t="s">
        <v>1226</v>
      </c>
      <c r="C5328" s="21" t="s">
        <v>1269</v>
      </c>
      <c r="D5328" s="21" t="s">
        <v>1217</v>
      </c>
      <c r="E5328" s="22">
        <f>IF(D5328="?OLD","!!!","")</f>
        <v/>
      </c>
      <c r="F5328" s="23" t="str">
        <f>IF(OR(E5328="",E5328="!!!"),"",IF(NOT(ISNA(VLOOKUP(E5328,E$1:E5327,1,FALSE()))),"OLD",IF(AND(E5328&lt;&gt;"",E5328&lt;&gt;"!!!"),"NEW","")))</f>
        <v> </v>
      </c>
      <c r="G5328" s="24" t="str">
        <f>IF(OR(E5328="",E5328="!!!"),"",IF(OR(J5328=0,AND(J5328=1,K5328=1),AND(J5328=1,I5328="SBJ"),AND(J5328=1,I5328=0)),"?IN_FOCUS",IF(J5328&lt;=2,"?ACTIVATED",IF(J5328&lt;&gt;"","?FAMILIAR",IF(F5328="NEW",IF(ISNA(VLOOKUP(E5328,#REF!,1,FALSE())),"?TYPE_IDENTIFIABLE","?REFERENTIAL"),"_")))))</f>
        <v> </v>
      </c>
      <c r="H5328" s="25" t="str">
        <f>IF(J5328&lt;&gt;1,"",IF(I5328="SBJ","CB","?"))</f>
        <v> </v>
      </c>
      <c r="I5328" s="26" t="str">
        <f>IF(OR(E5328="",E5328="!!!",F5328="NEW"),"",INDEX(B5327:B$2,-1+SUMPRODUCT(MAX(ROW(E5327:E$2)*(E5328=E5327:E$2)))))</f>
        <v> </v>
      </c>
      <c r="J5328" s="26" t="str">
        <f>IF(OR(E5328="",E5328="!!!",F5328="NEW"),"",COUNTBLANK(OFFSET(A$1,,,SUMPRODUCT(MAX(ROW(E$2:E5328)*(E5328=E$2:E5328)))))-COUNTBLANK(OFFSET(A$1,,,SUMPRODUCT(MAX(ROW(E$1:E5327)*(E2=E$1:E5327))))))</f>
        <v> </v>
      </c>
      <c r="K5328" s="26" t="str">
        <f>IF(OR(E5328="",E5328="!!!",F5328="NEW"),"",INDEX(J$1:J5327,SUMPRODUCT(MAX(ROW(E$1:E5327)*(E5328=E$1:E5327)))))</f>
        <v> </v>
      </c>
      <c r="L5328" s="27"/>
    </row>
    <row r="5329" spans="1:12">
      <c r="A5329" s="20" t="s">
        <v>1218</v>
      </c>
      <c r="E5329" s="22">
        <f>IF(D5329="?OLD","!!!","")</f>
        <v/>
      </c>
      <c r="F5329" s="23" t="str">
        <f>IF(OR(E5329="",E5329="!!!"),"",IF(NOT(ISNA(VLOOKUP(E5329,E$1:E5328,1,FALSE()))),"OLD",IF(AND(E5329&lt;&gt;"",E5329&lt;&gt;"!!!"),"NEW","")))</f>
        <v> </v>
      </c>
      <c r="G5329" s="24" t="str">
        <f>IF(OR(E5329="",E5329="!!!"),"",IF(OR(J5329=0,AND(J5329=1,K5329=1),AND(J5329=1,I5329="SBJ"),AND(J5329=1,I5329=0)),"?IN_FOCUS",IF(J5329&lt;=2,"?ACTIVATED",IF(J5329&lt;&gt;"","?FAMILIAR",IF(F5329="NEW",IF(ISNA(VLOOKUP(E5329,#REF!,1,FALSE())),"?TYPE_IDENTIFIABLE","?REFERENTIAL"),"_")))))</f>
        <v> </v>
      </c>
      <c r="H5329" s="25" t="str">
        <f>IF(J5329&lt;&gt;1,"",IF(I5329="SBJ","CB","?"))</f>
        <v> </v>
      </c>
      <c r="I5329" s="26" t="str">
        <f>IF(OR(E5329="",E5329="!!!",F5329="NEW"),"",INDEX(B5328:B$2,-1+SUMPRODUCT(MAX(ROW(E5328:E$2)*(E5329=E5328:E$2)))))</f>
        <v> </v>
      </c>
      <c r="J5329" s="26" t="str">
        <f>IF(OR(E5329="",E5329="!!!",F5329="NEW"),"",COUNTBLANK(OFFSET(A$1,,,SUMPRODUCT(MAX(ROW(E$2:E5329)*(E5329=E$2:E5329)))))-COUNTBLANK(OFFSET(A$1,,,SUMPRODUCT(MAX(ROW(E$1:E5328)*(E2=E$1:E5328))))))</f>
        <v> </v>
      </c>
      <c r="K5329" s="26" t="str">
        <f>IF(OR(E5329="",E5329="!!!",F5329="NEW"),"",INDEX(J$1:J5328,SUMPRODUCT(MAX(ROW(E$1:E5328)*(E5329=E$1:E5328)))))</f>
        <v> </v>
      </c>
      <c r="L5329" s="27"/>
    </row>
    <row r="5330" spans="1:12">
      <c r="A5330" s="20" t="s">
        <v>1323</v>
      </c>
      <c r="E5330" s="22">
        <f>IF(D5330="?OLD","!!!","")</f>
        <v/>
      </c>
      <c r="F5330" s="23" t="str">
        <f>IF(OR(E5330="",E5330="!!!"),"",IF(NOT(ISNA(VLOOKUP(E5330,E$1:E5329,1,FALSE()))),"OLD",IF(AND(E5330&lt;&gt;"",E5330&lt;&gt;"!!!"),"NEW","")))</f>
        <v> </v>
      </c>
      <c r="G5330" s="24" t="str">
        <f>IF(OR(E5330="",E5330="!!!"),"",IF(OR(J5330=0,AND(J5330=1,K5330=1),AND(J5330=1,I5330="SBJ"),AND(J5330=1,I5330=0)),"?IN_FOCUS",IF(J5330&lt;=2,"?ACTIVATED",IF(J5330&lt;&gt;"","?FAMILIAR",IF(F5330="NEW",IF(ISNA(VLOOKUP(E5330,#REF!,1,FALSE())),"?TYPE_IDENTIFIABLE","?REFERENTIAL"),"_")))))</f>
        <v> </v>
      </c>
      <c r="H5330" s="25" t="str">
        <f>IF(J5330&lt;&gt;1,"",IF(I5330="SBJ","CB","?"))</f>
        <v> </v>
      </c>
      <c r="I5330" s="26" t="str">
        <f>IF(OR(E5330="",E5330="!!!",F5330="NEW"),"",INDEX(B5329:B$2,-1+SUMPRODUCT(MAX(ROW(E5329:E$2)*(E5330=E5329:E$2)))))</f>
        <v> </v>
      </c>
      <c r="J5330" s="26" t="str">
        <f>IF(OR(E5330="",E5330="!!!",F5330="NEW"),"",COUNTBLANK(OFFSET(A$1,,,SUMPRODUCT(MAX(ROW(E$2:E5330)*(E5330=E$2:E5330)))))-COUNTBLANK(OFFSET(A$1,,,SUMPRODUCT(MAX(ROW(E$1:E5329)*(E2=E$1:E5329))))))</f>
        <v> </v>
      </c>
      <c r="K5330" s="26" t="str">
        <f>IF(OR(E5330="",E5330="!!!",F5330="NEW"),"",INDEX(J$1:J5329,SUMPRODUCT(MAX(ROW(E$1:E5329)*(E5330=E$1:E5329)))))</f>
        <v> </v>
      </c>
      <c r="L5330" s="27"/>
    </row>
    <row r="5331" spans="1:12">
      <c r="A5331" s="20" t="s">
        <v>1519</v>
      </c>
      <c r="B5331" s="21" t="s">
        <v>1261</v>
      </c>
      <c r="C5331" s="21" t="s">
        <v>1269</v>
      </c>
      <c r="D5331" s="21" t="s">
        <v>1217</v>
      </c>
      <c r="E5331" s="22">
        <f>IF(D5331="?OLD","!!!","")</f>
        <v/>
      </c>
      <c r="F5331" s="23" t="str">
        <f>IF(OR(E5331="",E5331="!!!"),"",IF(NOT(ISNA(VLOOKUP(E5331,E$1:E5330,1,FALSE()))),"OLD",IF(AND(E5331&lt;&gt;"",E5331&lt;&gt;"!!!"),"NEW","")))</f>
        <v> </v>
      </c>
      <c r="G5331" s="24" t="str">
        <f>IF(OR(E5331="",E5331="!!!"),"",IF(OR(J5331=0,AND(J5331=1,K5331=1),AND(J5331=1,I5331="SBJ"),AND(J5331=1,I5331=0)),"?IN_FOCUS",IF(J5331&lt;=2,"?ACTIVATED",IF(J5331&lt;&gt;"","?FAMILIAR",IF(F5331="NEW",IF(ISNA(VLOOKUP(E5331,#REF!,1,FALSE())),"?TYPE_IDENTIFIABLE","?REFERENTIAL"),"_")))))</f>
        <v> </v>
      </c>
      <c r="H5331" s="25" t="str">
        <f>IF(J5331&lt;&gt;1,"",IF(I5331="SBJ","CB","?"))</f>
        <v> </v>
      </c>
      <c r="I5331" s="26" t="str">
        <f>IF(OR(E5331="",E5331="!!!",F5331="NEW"),"",INDEX(B5330:B$2,-1+SUMPRODUCT(MAX(ROW(E5330:E$2)*(E5331=E5330:E$2)))))</f>
        <v> </v>
      </c>
      <c r="J5331" s="26" t="str">
        <f>IF(OR(E5331="",E5331="!!!",F5331="NEW"),"",COUNTBLANK(OFFSET(A$1,,,SUMPRODUCT(MAX(ROW(E$2:E5331)*(E5331=E$2:E5331)))))-COUNTBLANK(OFFSET(A$1,,,SUMPRODUCT(MAX(ROW(E$1:E5330)*(E2=E$1:E5330))))))</f>
        <v> </v>
      </c>
      <c r="K5331" s="26" t="str">
        <f>IF(OR(E5331="",E5331="!!!",F5331="NEW"),"",INDEX(J$1:J5330,SUMPRODUCT(MAX(ROW(E$1:E5330)*(E5331=E$1:E5330)))))</f>
        <v> </v>
      </c>
      <c r="L5331" s="27"/>
    </row>
    <row r="5332" spans="1:12">
      <c r="A5332" s="20" t="s">
        <v>1277</v>
      </c>
      <c r="E5332" s="22">
        <f>IF(D5332="?OLD","!!!","")</f>
        <v/>
      </c>
      <c r="F5332" s="23" t="str">
        <f>IF(OR(E5332="",E5332="!!!"),"",IF(NOT(ISNA(VLOOKUP(E5332,E$1:E5331,1,FALSE()))),"OLD",IF(AND(E5332&lt;&gt;"",E5332&lt;&gt;"!!!"),"NEW","")))</f>
        <v> </v>
      </c>
      <c r="G5332" s="24" t="str">
        <f>IF(OR(E5332="",E5332="!!!"),"",IF(OR(J5332=0,AND(J5332=1,K5332=1),AND(J5332=1,I5332="SBJ"),AND(J5332=1,I5332=0)),"?IN_FOCUS",IF(J5332&lt;=2,"?ACTIVATED",IF(J5332&lt;&gt;"","?FAMILIAR",IF(F5332="NEW",IF(ISNA(VLOOKUP(E5332,#REF!,1,FALSE())),"?TYPE_IDENTIFIABLE","?REFERENTIAL"),"_")))))</f>
        <v> </v>
      </c>
      <c r="H5332" s="25" t="str">
        <f>IF(J5332&lt;&gt;1,"",IF(I5332="SBJ","CB","?"))</f>
        <v> </v>
      </c>
      <c r="I5332" s="26" t="str">
        <f>IF(OR(E5332="",E5332="!!!",F5332="NEW"),"",INDEX(B5331:B$2,-1+SUMPRODUCT(MAX(ROW(E5331:E$2)*(E5332=E5331:E$2)))))</f>
        <v> </v>
      </c>
      <c r="J5332" s="26" t="str">
        <f>IF(OR(E5332="",E5332="!!!",F5332="NEW"),"",COUNTBLANK(OFFSET(A$1,,,SUMPRODUCT(MAX(ROW(E$2:E5332)*(E5332=E$2:E5332)))))-COUNTBLANK(OFFSET(A$1,,,SUMPRODUCT(MAX(ROW(E$1:E5331)*(E2=E$1:E5331))))))</f>
        <v> </v>
      </c>
      <c r="K5332" s="26" t="str">
        <f>IF(OR(E5332="",E5332="!!!",F5332="NEW"),"",INDEX(J$1:J5331,SUMPRODUCT(MAX(ROW(E$1:E5331)*(E5332=E$1:E5331)))))</f>
        <v> </v>
      </c>
      <c r="L5332" s="27"/>
    </row>
    <row r="5333" spans="1:12">
      <c r="A5333" s="20" t="s">
        <v>1327</v>
      </c>
      <c r="B5333" s="21" t="s">
        <v>1226</v>
      </c>
      <c r="C5333" s="21" t="s">
        <v>1255</v>
      </c>
      <c r="D5333" s="21" t="s">
        <v>1217</v>
      </c>
      <c r="E5333" s="22">
        <f>IF(D5333="?OLD","!!!","")</f>
        <v/>
      </c>
      <c r="F5333" s="23" t="str">
        <f>IF(OR(E5333="",E5333="!!!"),"",IF(NOT(ISNA(VLOOKUP(E5333,E$1:E5332,1,FALSE()))),"OLD",IF(AND(E5333&lt;&gt;"",E5333&lt;&gt;"!!!"),"NEW","")))</f>
        <v> </v>
      </c>
      <c r="G5333" s="24" t="str">
        <f>IF(OR(E5333="",E5333="!!!"),"",IF(OR(J5333=0,AND(J5333=1,K5333=1),AND(J5333=1,I5333="SBJ"),AND(J5333=1,I5333=0)),"?IN_FOCUS",IF(J5333&lt;=2,"?ACTIVATED",IF(J5333&lt;&gt;"","?FAMILIAR",IF(F5333="NEW",IF(ISNA(VLOOKUP(E5333,#REF!,1,FALSE())),"?TYPE_IDENTIFIABLE","?REFERENTIAL"),"_")))))</f>
        <v> </v>
      </c>
      <c r="H5333" s="25" t="str">
        <f>IF(J5333&lt;&gt;1,"",IF(I5333="SBJ","CB","?"))</f>
        <v> </v>
      </c>
      <c r="I5333" s="26" t="str">
        <f>IF(OR(E5333="",E5333="!!!",F5333="NEW"),"",INDEX(B5332:B$2,-1+SUMPRODUCT(MAX(ROW(E5332:E$2)*(E5333=E5332:E$2)))))</f>
        <v> </v>
      </c>
      <c r="J5333" s="26" t="str">
        <f>IF(OR(E5333="",E5333="!!!",F5333="NEW"),"",COUNTBLANK(OFFSET(A$1,,,SUMPRODUCT(MAX(ROW(E$2:E5333)*(E5333=E$2:E5333)))))-COUNTBLANK(OFFSET(A$1,,,SUMPRODUCT(MAX(ROW(E$1:E5332)*(E2=E$1:E5332))))))</f>
        <v> </v>
      </c>
      <c r="K5333" s="26" t="str">
        <f>IF(OR(E5333="",E5333="!!!",F5333="NEW"),"",INDEX(J$1:J5332,SUMPRODUCT(MAX(ROW(E$1:E5332)*(E5333=E$1:E5332)))))</f>
        <v> </v>
      </c>
      <c r="L5333" s="27"/>
    </row>
    <row r="5334" spans="1:12">
      <c r="A5334" s="20" t="s">
        <v>2903</v>
      </c>
      <c r="E5334" s="22">
        <f>IF(D5334="?OLD","!!!","")</f>
        <v/>
      </c>
      <c r="F5334" s="23" t="str">
        <f>IF(OR(E5334="",E5334="!!!"),"",IF(NOT(ISNA(VLOOKUP(E5334,E$1:E5333,1,FALSE()))),"OLD",IF(AND(E5334&lt;&gt;"",E5334&lt;&gt;"!!!"),"NEW","")))</f>
        <v> </v>
      </c>
      <c r="G5334" s="24" t="str">
        <f>IF(OR(E5334="",E5334="!!!"),"",IF(OR(J5334=0,AND(J5334=1,K5334=1),AND(J5334=1,I5334="SBJ"),AND(J5334=1,I5334=0)),"?IN_FOCUS",IF(J5334&lt;=2,"?ACTIVATED",IF(J5334&lt;&gt;"","?FAMILIAR",IF(F5334="NEW",IF(ISNA(VLOOKUP(E5334,#REF!,1,FALSE())),"?TYPE_IDENTIFIABLE","?REFERENTIAL"),"_")))))</f>
        <v> </v>
      </c>
      <c r="H5334" s="25" t="str">
        <f>IF(J5334&lt;&gt;1,"",IF(I5334="SBJ","CB","?"))</f>
        <v> </v>
      </c>
      <c r="I5334" s="26" t="str">
        <f>IF(OR(E5334="",E5334="!!!",F5334="NEW"),"",INDEX(B5333:B$2,-1+SUMPRODUCT(MAX(ROW(E5333:E$2)*(E5334=E5333:E$2)))))</f>
        <v> </v>
      </c>
      <c r="J5334" s="26" t="str">
        <f>IF(OR(E5334="",E5334="!!!",F5334="NEW"),"",COUNTBLANK(OFFSET(A$1,,,SUMPRODUCT(MAX(ROW(E$2:E5334)*(E5334=E$2:E5334)))))-COUNTBLANK(OFFSET(A$1,,,SUMPRODUCT(MAX(ROW(E$1:E5333)*(E2=E$1:E5333))))))</f>
        <v> </v>
      </c>
      <c r="K5334" s="26" t="str">
        <f>IF(OR(E5334="",E5334="!!!",F5334="NEW"),"",INDEX(J$1:J5333,SUMPRODUCT(MAX(ROW(E$1:E5333)*(E5334=E$1:E5333)))))</f>
        <v> </v>
      </c>
      <c r="L5334" s="27"/>
    </row>
    <row r="5335" spans="1:12">
      <c r="A5335" s="20" t="s">
        <v>1409</v>
      </c>
      <c r="B5335" s="21" t="s">
        <v>1259</v>
      </c>
      <c r="C5335" s="21" t="s">
        <v>1242</v>
      </c>
      <c r="D5335" s="21" t="s">
        <v>1217</v>
      </c>
      <c r="E5335" s="22">
        <f>IF(D5335="?OLD","!!!","")</f>
        <v/>
      </c>
      <c r="F5335" s="23" t="str">
        <f>IF(OR(E5335="",E5335="!!!"),"",IF(NOT(ISNA(VLOOKUP(E5335,E$1:E5334,1,FALSE()))),"OLD",IF(AND(E5335&lt;&gt;"",E5335&lt;&gt;"!!!"),"NEW","")))</f>
        <v> </v>
      </c>
      <c r="G5335" s="24" t="str">
        <f>IF(OR(E5335="",E5335="!!!"),"",IF(OR(J5335=0,AND(J5335=1,K5335=1),AND(J5335=1,I5335="SBJ"),AND(J5335=1,I5335=0)),"?IN_FOCUS",IF(J5335&lt;=2,"?ACTIVATED",IF(J5335&lt;&gt;"","?FAMILIAR",IF(F5335="NEW",IF(ISNA(VLOOKUP(E5335,#REF!,1,FALSE())),"?TYPE_IDENTIFIABLE","?REFERENTIAL"),"_")))))</f>
        <v> </v>
      </c>
      <c r="H5335" s="25" t="str">
        <f>IF(J5335&lt;&gt;1,"",IF(I5335="SBJ","CB","?"))</f>
        <v> </v>
      </c>
      <c r="I5335" s="26" t="str">
        <f>IF(OR(E5335="",E5335="!!!",F5335="NEW"),"",INDEX(B5334:B$2,-1+SUMPRODUCT(MAX(ROW(E5334:E$2)*(E5335=E5334:E$2)))))</f>
        <v> </v>
      </c>
      <c r="J5335" s="26" t="str">
        <f>IF(OR(E5335="",E5335="!!!",F5335="NEW"),"",COUNTBLANK(OFFSET(A$1,,,SUMPRODUCT(MAX(ROW(E$2:E5335)*(E5335=E$2:E5335)))))-COUNTBLANK(OFFSET(A$1,,,SUMPRODUCT(MAX(ROW(E$1:E5334)*(E2=E$1:E5334))))))</f>
        <v> </v>
      </c>
      <c r="K5335" s="26" t="str">
        <f>IF(OR(E5335="",E5335="!!!",F5335="NEW"),"",INDEX(J$1:J5334,SUMPRODUCT(MAX(ROW(E$1:E5334)*(E5335=E$1:E5334)))))</f>
        <v> </v>
      </c>
      <c r="L5335" s="27"/>
    </row>
    <row r="5336" spans="1:12">
      <c r="A5336" s="20" t="s">
        <v>2717</v>
      </c>
      <c r="B5336" s="21" t="s">
        <v>1261</v>
      </c>
      <c r="C5336" s="21" t="s">
        <v>1222</v>
      </c>
      <c r="D5336" s="21" t="s">
        <v>1217</v>
      </c>
      <c r="E5336" s="22">
        <f>IF(D5336="?OLD","!!!","")</f>
        <v/>
      </c>
      <c r="F5336" s="23" t="str">
        <f>IF(OR(E5336="",E5336="!!!"),"",IF(NOT(ISNA(VLOOKUP(E5336,E$1:E5335,1,FALSE()))),"OLD",IF(AND(E5336&lt;&gt;"",E5336&lt;&gt;"!!!"),"NEW","")))</f>
        <v> </v>
      </c>
      <c r="G5336" s="24" t="str">
        <f>IF(OR(E5336="",E5336="!!!"),"",IF(OR(J5336=0,AND(J5336=1,K5336=1),AND(J5336=1,I5336="SBJ"),AND(J5336=1,I5336=0)),"?IN_FOCUS",IF(J5336&lt;=2,"?ACTIVATED",IF(J5336&lt;&gt;"","?FAMILIAR",IF(F5336="NEW",IF(ISNA(VLOOKUP(E5336,#REF!,1,FALSE())),"?TYPE_IDENTIFIABLE","?REFERENTIAL"),"_")))))</f>
        <v> </v>
      </c>
      <c r="H5336" s="25" t="str">
        <f>IF(J5336&lt;&gt;1,"",IF(I5336="SBJ","CB","?"))</f>
        <v> </v>
      </c>
      <c r="I5336" s="26" t="str">
        <f>IF(OR(E5336="",E5336="!!!",F5336="NEW"),"",INDEX(B5335:B$2,-1+SUMPRODUCT(MAX(ROW(E5335:E$2)*(E5336=E5335:E$2)))))</f>
        <v> </v>
      </c>
      <c r="J5336" s="26" t="str">
        <f>IF(OR(E5336="",E5336="!!!",F5336="NEW"),"",COUNTBLANK(OFFSET(A$1,,,SUMPRODUCT(MAX(ROW(E$2:E5336)*(E5336=E$2:E5336)))))-COUNTBLANK(OFFSET(A$1,,,SUMPRODUCT(MAX(ROW(E$1:E5335)*(E2=E$1:E5335))))))</f>
        <v> </v>
      </c>
      <c r="K5336" s="26" t="str">
        <f>IF(OR(E5336="",E5336="!!!",F5336="NEW"),"",INDEX(J$1:J5335,SUMPRODUCT(MAX(ROW(E$1:E5335)*(E5336=E$1:E5335)))))</f>
        <v> </v>
      </c>
      <c r="L5336" s="27"/>
    </row>
    <row r="5337" spans="1:12">
      <c r="A5337" s="20" t="s">
        <v>1666</v>
      </c>
      <c r="E5337" s="22">
        <f>IF(D5337="?OLD","!!!","")</f>
        <v/>
      </c>
      <c r="F5337" s="23" t="str">
        <f>IF(OR(E5337="",E5337="!!!"),"",IF(NOT(ISNA(VLOOKUP(E5337,E$1:E5336,1,FALSE()))),"OLD",IF(AND(E5337&lt;&gt;"",E5337&lt;&gt;"!!!"),"NEW","")))</f>
        <v> </v>
      </c>
      <c r="G5337" s="24" t="str">
        <f>IF(OR(E5337="",E5337="!!!"),"",IF(OR(J5337=0,AND(J5337=1,K5337=1),AND(J5337=1,I5337="SBJ"),AND(J5337=1,I5337=0)),"?IN_FOCUS",IF(J5337&lt;=2,"?ACTIVATED",IF(J5337&lt;&gt;"","?FAMILIAR",IF(F5337="NEW",IF(ISNA(VLOOKUP(E5337,#REF!,1,FALSE())),"?TYPE_IDENTIFIABLE","?REFERENTIAL"),"_")))))</f>
        <v> </v>
      </c>
      <c r="H5337" s="25" t="str">
        <f>IF(J5337&lt;&gt;1,"",IF(I5337="SBJ","CB","?"))</f>
        <v> </v>
      </c>
      <c r="I5337" s="26" t="str">
        <f>IF(OR(E5337="",E5337="!!!",F5337="NEW"),"",INDEX(B5336:B$2,-1+SUMPRODUCT(MAX(ROW(E5336:E$2)*(E5337=E5336:E$2)))))</f>
        <v> </v>
      </c>
      <c r="J5337" s="26" t="str">
        <f>IF(OR(E5337="",E5337="!!!",F5337="NEW"),"",COUNTBLANK(OFFSET(A$1,,,SUMPRODUCT(MAX(ROW(E$2:E5337)*(E5337=E$2:E5337)))))-COUNTBLANK(OFFSET(A$1,,,SUMPRODUCT(MAX(ROW(E$1:E5336)*(E2=E$1:E5336))))))</f>
        <v> </v>
      </c>
      <c r="K5337" s="26" t="str">
        <f>IF(OR(E5337="",E5337="!!!",F5337="NEW"),"",INDEX(J$1:J5336,SUMPRODUCT(MAX(ROW(E$1:E5336)*(E5337=E$1:E5336)))))</f>
        <v> </v>
      </c>
      <c r="L5337" s="27"/>
    </row>
    <row r="5338" spans="1:12">
      <c r="A5338" s="20" t="s">
        <v>1235</v>
      </c>
      <c r="E5338" s="22">
        <f>IF(D5338="?OLD","!!!","")</f>
        <v/>
      </c>
      <c r="F5338" s="23" t="str">
        <f>IF(OR(E5338="",E5338="!!!"),"",IF(NOT(ISNA(VLOOKUP(E5338,E$1:E5337,1,FALSE()))),"OLD",IF(AND(E5338&lt;&gt;"",E5338&lt;&gt;"!!!"),"NEW","")))</f>
        <v> </v>
      </c>
      <c r="G5338" s="24" t="str">
        <f>IF(OR(E5338="",E5338="!!!"),"",IF(OR(J5338=0,AND(J5338=1,K5338=1),AND(J5338=1,I5338="SBJ"),AND(J5338=1,I5338=0)),"?IN_FOCUS",IF(J5338&lt;=2,"?ACTIVATED",IF(J5338&lt;&gt;"","?FAMILIAR",IF(F5338="NEW",IF(ISNA(VLOOKUP(E5338,#REF!,1,FALSE())),"?TYPE_IDENTIFIABLE","?REFERENTIAL"),"_")))))</f>
        <v> </v>
      </c>
      <c r="H5338" s="25" t="str">
        <f>IF(J5338&lt;&gt;1,"",IF(I5338="SBJ","CB","?"))</f>
        <v> </v>
      </c>
      <c r="I5338" s="26" t="str">
        <f>IF(OR(E5338="",E5338="!!!",F5338="NEW"),"",INDEX(B5337:B$2,-1+SUMPRODUCT(MAX(ROW(E5337:E$2)*(E5338=E5337:E$2)))))</f>
        <v> </v>
      </c>
      <c r="J5338" s="26" t="str">
        <f>IF(OR(E5338="",E5338="!!!",F5338="NEW"),"",COUNTBLANK(OFFSET(A$1,,,SUMPRODUCT(MAX(ROW(E$2:E5338)*(E5338=E$2:E5338)))))-COUNTBLANK(OFFSET(A$1,,,SUMPRODUCT(MAX(ROW(E$1:E5337)*(E2=E$1:E5337))))))</f>
        <v> </v>
      </c>
      <c r="K5338" s="26" t="str">
        <f>IF(OR(E5338="",E5338="!!!",F5338="NEW"),"",INDEX(J$1:J5337,SUMPRODUCT(MAX(ROW(E$1:E5337)*(E5338=E$1:E5337)))))</f>
        <v> </v>
      </c>
      <c r="L5338" s="27"/>
    </row>
    <row r="5339" spans="1:12">
      <c r="A5339" s="20" t="s">
        <v>2904</v>
      </c>
      <c r="B5339" s="21" t="s">
        <v>1259</v>
      </c>
      <c r="C5339" s="21" t="s">
        <v>1238</v>
      </c>
      <c r="E5339" s="22">
        <f>IF(D5339="?OLD","!!!","")</f>
        <v/>
      </c>
      <c r="F5339" s="23" t="str">
        <f>IF(OR(E5339="",E5339="!!!"),"",IF(NOT(ISNA(VLOOKUP(E5339,E$1:E5338,1,FALSE()))),"OLD",IF(AND(E5339&lt;&gt;"",E5339&lt;&gt;"!!!"),"NEW","")))</f>
        <v> </v>
      </c>
      <c r="G5339" s="24" t="str">
        <f>IF(OR(E5339="",E5339="!!!"),"",IF(OR(J5339=0,AND(J5339=1,K5339=1),AND(J5339=1,I5339="SBJ"),AND(J5339=1,I5339=0)),"?IN_FOCUS",IF(J5339&lt;=2,"?ACTIVATED",IF(J5339&lt;&gt;"","?FAMILIAR",IF(F5339="NEW",IF(ISNA(VLOOKUP(E5339,#REF!,1,FALSE())),"?TYPE_IDENTIFIABLE","?REFERENTIAL"),"_")))))</f>
        <v> </v>
      </c>
      <c r="H5339" s="25" t="str">
        <f>IF(J5339&lt;&gt;1,"",IF(I5339="SBJ","CB","?"))</f>
        <v> </v>
      </c>
      <c r="I5339" s="26" t="str">
        <f>IF(OR(E5339="",E5339="!!!",F5339="NEW"),"",INDEX(B5338:B$2,-1+SUMPRODUCT(MAX(ROW(E5338:E$2)*(E5339=E5338:E$2)))))</f>
        <v> </v>
      </c>
      <c r="J5339" s="26" t="str">
        <f>IF(OR(E5339="",E5339="!!!",F5339="NEW"),"",COUNTBLANK(OFFSET(A$1,,,SUMPRODUCT(MAX(ROW(E$2:E5339)*(E5339=E$2:E5339)))))-COUNTBLANK(OFFSET(A$1,,,SUMPRODUCT(MAX(ROW(E$1:E5338)*(E2=E$1:E5338))))))</f>
        <v> </v>
      </c>
      <c r="K5339" s="26" t="str">
        <f>IF(OR(E5339="",E5339="!!!",F5339="NEW"),"",INDEX(J$1:J5338,SUMPRODUCT(MAX(ROW(E$1:E5338)*(E5339=E$1:E5338)))))</f>
        <v> </v>
      </c>
      <c r="L5339" s="27"/>
    </row>
    <row r="5340" spans="1:12">
      <c r="A5340" s="20" t="s">
        <v>2905</v>
      </c>
      <c r="E5340" s="22">
        <f>IF(D5340="?OLD","!!!","")</f>
        <v/>
      </c>
      <c r="F5340" s="23" t="str">
        <f>IF(OR(E5340="",E5340="!!!"),"",IF(NOT(ISNA(VLOOKUP(E5340,E$1:E5339,1,FALSE()))),"OLD",IF(AND(E5340&lt;&gt;"",E5340&lt;&gt;"!!!"),"NEW","")))</f>
        <v> </v>
      </c>
      <c r="G5340" s="24" t="str">
        <f>IF(OR(E5340="",E5340="!!!"),"",IF(OR(J5340=0,AND(J5340=1,K5340=1),AND(J5340=1,I5340="SBJ"),AND(J5340=1,I5340=0)),"?IN_FOCUS",IF(J5340&lt;=2,"?ACTIVATED",IF(J5340&lt;&gt;"","?FAMILIAR",IF(F5340="NEW",IF(ISNA(VLOOKUP(E5340,#REF!,1,FALSE())),"?TYPE_IDENTIFIABLE","?REFERENTIAL"),"_")))))</f>
        <v> </v>
      </c>
      <c r="H5340" s="25" t="str">
        <f>IF(J5340&lt;&gt;1,"",IF(I5340="SBJ","CB","?"))</f>
        <v> </v>
      </c>
      <c r="I5340" s="26" t="str">
        <f>IF(OR(E5340="",E5340="!!!",F5340="NEW"),"",INDEX(B5339:B$2,-1+SUMPRODUCT(MAX(ROW(E5339:E$2)*(E5340=E5339:E$2)))))</f>
        <v> </v>
      </c>
      <c r="J5340" s="26" t="str">
        <f>IF(OR(E5340="",E5340="!!!",F5340="NEW"),"",COUNTBLANK(OFFSET(A$1,,,SUMPRODUCT(MAX(ROW(E$2:E5340)*(E5340=E$2:E5340)))))-COUNTBLANK(OFFSET(A$1,,,SUMPRODUCT(MAX(ROW(E$1:E5339)*(E2=E$1:E5339))))))</f>
        <v> </v>
      </c>
      <c r="K5340" s="26" t="str">
        <f>IF(OR(E5340="",E5340="!!!",F5340="NEW"),"",INDEX(J$1:J5339,SUMPRODUCT(MAX(ROW(E$1:E5339)*(E5340=E$1:E5339)))))</f>
        <v> </v>
      </c>
      <c r="L5340" s="27"/>
    </row>
    <row r="5341" spans="1:12">
      <c r="A5341" s="20" t="s">
        <v>1262</v>
      </c>
      <c r="E5341" s="22">
        <f>IF(D5341="?OLD","!!!","")</f>
        <v/>
      </c>
      <c r="F5341" s="23" t="str">
        <f>IF(OR(E5341="",E5341="!!!"),"",IF(NOT(ISNA(VLOOKUP(E5341,E$1:E5340,1,FALSE()))),"OLD",IF(AND(E5341&lt;&gt;"",E5341&lt;&gt;"!!!"),"NEW","")))</f>
        <v> </v>
      </c>
      <c r="G5341" s="24" t="str">
        <f>IF(OR(E5341="",E5341="!!!"),"",IF(OR(J5341=0,AND(J5341=1,K5341=1),AND(J5341=1,I5341="SBJ"),AND(J5341=1,I5341=0)),"?IN_FOCUS",IF(J5341&lt;=2,"?ACTIVATED",IF(J5341&lt;&gt;"","?FAMILIAR",IF(F5341="NEW",IF(ISNA(VLOOKUP(E5341,#REF!,1,FALSE())),"?TYPE_IDENTIFIABLE","?REFERENTIAL"),"_")))))</f>
        <v> </v>
      </c>
      <c r="H5341" s="25" t="str">
        <f>IF(J5341&lt;&gt;1,"",IF(I5341="SBJ","CB","?"))</f>
        <v> </v>
      </c>
      <c r="I5341" s="26" t="str">
        <f>IF(OR(E5341="",E5341="!!!",F5341="NEW"),"",INDEX(B5340:B$2,-1+SUMPRODUCT(MAX(ROW(E5340:E$2)*(E5341=E5340:E$2)))))</f>
        <v> </v>
      </c>
      <c r="J5341" s="26" t="str">
        <f>IF(OR(E5341="",E5341="!!!",F5341="NEW"),"",COUNTBLANK(OFFSET(A$1,,,SUMPRODUCT(MAX(ROW(E$2:E5341)*(E5341=E$2:E5341)))))-COUNTBLANK(OFFSET(A$1,,,SUMPRODUCT(MAX(ROW(E$1:E5340)*(E2=E$1:E5340))))))</f>
        <v> </v>
      </c>
      <c r="K5341" s="26" t="str">
        <f>IF(OR(E5341="",E5341="!!!",F5341="NEW"),"",INDEX(J$1:J5340,SUMPRODUCT(MAX(ROW(E$1:E5340)*(E5341=E$1:E5340)))))</f>
        <v> </v>
      </c>
      <c r="L5341" s="27"/>
    </row>
    <row r="5342" spans="1:12">
      <c r="A5342" s="20"/>
    </row>
    <row r="5343" spans="1:12">
      <c r="A5343" s="20" t="s">
        <v>2906</v>
      </c>
    </row>
    <row r="5344" spans="1:12">
      <c r="A5344" s="20" t="s">
        <v>2907</v>
      </c>
      <c r="B5344" s="21" t="s">
        <v>1215</v>
      </c>
      <c r="C5344" s="21" t="s">
        <v>1255</v>
      </c>
      <c r="D5344" s="21" t="s">
        <v>1217</v>
      </c>
      <c r="E5344" s="22">
        <f>IF(D5344="?OLD","!!!","")</f>
        <v/>
      </c>
      <c r="F5344" s="23" t="str">
        <f>IF(OR(E5344="",E5344="!!!"),"",IF(NOT(ISNA(VLOOKUP(E5344,E$1:E5343,1,FALSE()))),"OLD",IF(AND(E5344&lt;&gt;"",E5344&lt;&gt;"!!!"),"NEW","")))</f>
        <v> </v>
      </c>
      <c r="G5344" s="24" t="str">
        <f>IF(OR(E5344="",E5344="!!!"),"",IF(OR(J5344=0,AND(J5344=1,K5344=1),AND(J5344=1,I5344="SBJ"),AND(J5344=1,I5344=0)),"?IN_FOCUS",IF(J5344&lt;=2,"?ACTIVATED",IF(J5344&lt;&gt;"","?FAMILIAR",IF(F5344="NEW",IF(ISNA(VLOOKUP(E5344,#REF!,1,FALSE())),"?TYPE_IDENTIFIABLE","?REFERENTIAL"),"_")))))</f>
        <v> </v>
      </c>
      <c r="H5344" s="25" t="str">
        <f>IF(J5344&lt;&gt;1,"",IF(I5344="SBJ","CB","?"))</f>
        <v> </v>
      </c>
      <c r="I5344" s="26" t="str">
        <f>IF(OR(E5344="",E5344="!!!",F5344="NEW"),"",INDEX(B5343:B$2,-1+SUMPRODUCT(MAX(ROW(E5343:E$2)*(E5344=E5343:E$2)))))</f>
        <v> </v>
      </c>
      <c r="J5344" s="26" t="str">
        <f>IF(OR(E5344="",E5344="!!!",F5344="NEW"),"",COUNTBLANK(OFFSET(A$1,,,SUMPRODUCT(MAX(ROW(E$2:E5344)*(E5344=E$2:E5344)))))-COUNTBLANK(OFFSET(A$1,,,SUMPRODUCT(MAX(ROW(E$1:E5343)*(E2=E$1:E5343))))))</f>
        <v> </v>
      </c>
      <c r="K5344" s="26" t="str">
        <f>IF(OR(E5344="",E5344="!!!",F5344="NEW"),"",INDEX(J$1:J5343,SUMPRODUCT(MAX(ROW(E$1:E5343)*(E5344=E$1:E5343)))))</f>
        <v> </v>
      </c>
      <c r="L5344" s="27"/>
    </row>
    <row r="5345" spans="1:12">
      <c r="A5345" s="20" t="s">
        <v>2908</v>
      </c>
      <c r="E5345" s="22">
        <f>IF(D5345="?OLD","!!!","")</f>
        <v/>
      </c>
      <c r="F5345" s="23" t="str">
        <f>IF(OR(E5345="",E5345="!!!"),"",IF(NOT(ISNA(VLOOKUP(E5345,E$1:E5344,1,FALSE()))),"OLD",IF(AND(E5345&lt;&gt;"",E5345&lt;&gt;"!!!"),"NEW","")))</f>
        <v> </v>
      </c>
      <c r="G5345" s="24" t="str">
        <f>IF(OR(E5345="",E5345="!!!"),"",IF(OR(J5345=0,AND(J5345=1,K5345=1),AND(J5345=1,I5345="SBJ"),AND(J5345=1,I5345=0)),"?IN_FOCUS",IF(J5345&lt;=2,"?ACTIVATED",IF(J5345&lt;&gt;"","?FAMILIAR",IF(F5345="NEW",IF(ISNA(VLOOKUP(E5345,#REF!,1,FALSE())),"?TYPE_IDENTIFIABLE","?REFERENTIAL"),"_")))))</f>
        <v> </v>
      </c>
      <c r="H5345" s="25" t="str">
        <f>IF(J5345&lt;&gt;1,"",IF(I5345="SBJ","CB","?"))</f>
        <v> </v>
      </c>
      <c r="I5345" s="26" t="str">
        <f>IF(OR(E5345="",E5345="!!!",F5345="NEW"),"",INDEX(B5344:B$2,-1+SUMPRODUCT(MAX(ROW(E5344:E$2)*(E5345=E5344:E$2)))))</f>
        <v> </v>
      </c>
      <c r="J5345" s="26" t="str">
        <f>IF(OR(E5345="",E5345="!!!",F5345="NEW"),"",COUNTBLANK(OFFSET(A$1,,,SUMPRODUCT(MAX(ROW(E$2:E5345)*(E5345=E$2:E5345)))))-COUNTBLANK(OFFSET(A$1,,,SUMPRODUCT(MAX(ROW(E$1:E5344)*(E2=E$1:E5344))))))</f>
        <v> </v>
      </c>
      <c r="K5345" s="26" t="str">
        <f>IF(OR(E5345="",E5345="!!!",F5345="NEW"),"",INDEX(J$1:J5344,SUMPRODUCT(MAX(ROW(E$1:E5344)*(E5345=E$1:E5344)))))</f>
        <v> </v>
      </c>
      <c r="L5345" s="27"/>
    </row>
    <row r="5346" spans="1:12">
      <c r="A5346" s="20" t="s">
        <v>2909</v>
      </c>
      <c r="E5346" s="22">
        <f>IF(D5346="?OLD","!!!","")</f>
        <v/>
      </c>
      <c r="F5346" s="23" t="str">
        <f>IF(OR(E5346="",E5346="!!!"),"",IF(NOT(ISNA(VLOOKUP(E5346,E$1:E5345,1,FALSE()))),"OLD",IF(AND(E5346&lt;&gt;"",E5346&lt;&gt;"!!!"),"NEW","")))</f>
        <v> </v>
      </c>
      <c r="G5346" s="24" t="str">
        <f>IF(OR(E5346="",E5346="!!!"),"",IF(OR(J5346=0,AND(J5346=1,K5346=1),AND(J5346=1,I5346="SBJ"),AND(J5346=1,I5346=0)),"?IN_FOCUS",IF(J5346&lt;=2,"?ACTIVATED",IF(J5346&lt;&gt;"","?FAMILIAR",IF(F5346="NEW",IF(ISNA(VLOOKUP(E5346,#REF!,1,FALSE())),"?TYPE_IDENTIFIABLE","?REFERENTIAL"),"_")))))</f>
        <v> </v>
      </c>
      <c r="H5346" s="25" t="str">
        <f>IF(J5346&lt;&gt;1,"",IF(I5346="SBJ","CB","?"))</f>
        <v> </v>
      </c>
      <c r="I5346" s="26" t="str">
        <f>IF(OR(E5346="",E5346="!!!",F5346="NEW"),"",INDEX(B5345:B$2,-1+SUMPRODUCT(MAX(ROW(E5345:E$2)*(E5346=E5345:E$2)))))</f>
        <v> </v>
      </c>
      <c r="J5346" s="26" t="str">
        <f>IF(OR(E5346="",E5346="!!!",F5346="NEW"),"",COUNTBLANK(OFFSET(A$1,,,SUMPRODUCT(MAX(ROW(E$2:E5346)*(E5346=E$2:E5346)))))-COUNTBLANK(OFFSET(A$1,,,SUMPRODUCT(MAX(ROW(E$1:E5345)*(E2=E$1:E5345))))))</f>
        <v> </v>
      </c>
      <c r="K5346" s="26" t="str">
        <f>IF(OR(E5346="",E5346="!!!",F5346="NEW"),"",INDEX(J$1:J5345,SUMPRODUCT(MAX(ROW(E$1:E5345)*(E5346=E$1:E5345)))))</f>
        <v> </v>
      </c>
      <c r="L5346" s="27"/>
    </row>
    <row r="5347" spans="1:12">
      <c r="A5347" s="20" t="s">
        <v>1262</v>
      </c>
      <c r="E5347" s="22">
        <f>IF(D5347="?OLD","!!!","")</f>
        <v/>
      </c>
      <c r="F5347" s="23" t="str">
        <f>IF(OR(E5347="",E5347="!!!"),"",IF(NOT(ISNA(VLOOKUP(E5347,E$1:E5346,1,FALSE()))),"OLD",IF(AND(E5347&lt;&gt;"",E5347&lt;&gt;"!!!"),"NEW","")))</f>
        <v> </v>
      </c>
      <c r="G5347" s="24" t="str">
        <f>IF(OR(E5347="",E5347="!!!"),"",IF(OR(J5347=0,AND(J5347=1,K5347=1),AND(J5347=1,I5347="SBJ"),AND(J5347=1,I5347=0)),"?IN_FOCUS",IF(J5347&lt;=2,"?ACTIVATED",IF(J5347&lt;&gt;"","?FAMILIAR",IF(F5347="NEW",IF(ISNA(VLOOKUP(E5347,#REF!,1,FALSE())),"?TYPE_IDENTIFIABLE","?REFERENTIAL"),"_")))))</f>
        <v> </v>
      </c>
      <c r="H5347" s="25" t="str">
        <f>IF(J5347&lt;&gt;1,"",IF(I5347="SBJ","CB","?"))</f>
        <v> </v>
      </c>
      <c r="I5347" s="26" t="str">
        <f>IF(OR(E5347="",E5347="!!!",F5347="NEW"),"",INDEX(B5346:B$2,-1+SUMPRODUCT(MAX(ROW(E5346:E$2)*(E5347=E5346:E$2)))))</f>
        <v> </v>
      </c>
      <c r="J5347" s="26" t="str">
        <f>IF(OR(E5347="",E5347="!!!",F5347="NEW"),"",COUNTBLANK(OFFSET(A$1,,,SUMPRODUCT(MAX(ROW(E$2:E5347)*(E5347=E$2:E5347)))))-COUNTBLANK(OFFSET(A$1,,,SUMPRODUCT(MAX(ROW(E$1:E5346)*(E2=E$1:E5346))))))</f>
        <v> </v>
      </c>
      <c r="K5347" s="26" t="str">
        <f>IF(OR(E5347="",E5347="!!!",F5347="NEW"),"",INDEX(J$1:J5346,SUMPRODUCT(MAX(ROW(E$1:E5346)*(E5347=E$1:E5346)))))</f>
        <v> </v>
      </c>
      <c r="L5347" s="27"/>
    </row>
    <row r="5348" spans="1:12">
      <c r="A5348" s="20"/>
    </row>
    <row r="5349" spans="1:12">
      <c r="A5349" s="20" t="s">
        <v>2910</v>
      </c>
    </row>
    <row r="5350" spans="1:12">
      <c r="A5350" s="20" t="s">
        <v>1945</v>
      </c>
      <c r="E5350" s="22">
        <f>IF(D5350="?OLD","!!!","")</f>
        <v/>
      </c>
      <c r="F5350" s="23" t="str">
        <f>IF(OR(E5350="",E5350="!!!"),"",IF(NOT(ISNA(VLOOKUP(E5350,E$1:E5349,1,FALSE()))),"OLD",IF(AND(E5350&lt;&gt;"",E5350&lt;&gt;"!!!"),"NEW","")))</f>
        <v> </v>
      </c>
      <c r="G5350" s="24" t="str">
        <f>IF(OR(E5350="",E5350="!!!"),"",IF(OR(J5350=0,AND(J5350=1,K5350=1),AND(J5350=1,I5350="SBJ"),AND(J5350=1,I5350=0)),"?IN_FOCUS",IF(J5350&lt;=2,"?ACTIVATED",IF(J5350&lt;&gt;"","?FAMILIAR",IF(F5350="NEW",IF(ISNA(VLOOKUP(E5350,#REF!,1,FALSE())),"?TYPE_IDENTIFIABLE","?REFERENTIAL"),"_")))))</f>
        <v> </v>
      </c>
      <c r="H5350" s="25" t="str">
        <f>IF(J5350&lt;&gt;1,"",IF(I5350="SBJ","CB","?"))</f>
        <v> </v>
      </c>
      <c r="I5350" s="26" t="str">
        <f>IF(OR(E5350="",E5350="!!!",F5350="NEW"),"",INDEX(B5349:B$2,-1+SUMPRODUCT(MAX(ROW(E5349:E$2)*(E5350=E5349:E$2)))))</f>
        <v> </v>
      </c>
      <c r="J5350" s="26" t="str">
        <f>IF(OR(E5350="",E5350="!!!",F5350="NEW"),"",COUNTBLANK(OFFSET(A$1,,,SUMPRODUCT(MAX(ROW(E$2:E5350)*(E5350=E$2:E5350)))))-COUNTBLANK(OFFSET(A$1,,,SUMPRODUCT(MAX(ROW(E$1:E5349)*(E2=E$1:E5349))))))</f>
        <v> </v>
      </c>
      <c r="K5350" s="26" t="str">
        <f>IF(OR(E5350="",E5350="!!!",F5350="NEW"),"",INDEX(J$1:J5349,SUMPRODUCT(MAX(ROW(E$1:E5349)*(E5350=E$1:E5349)))))</f>
        <v> </v>
      </c>
      <c r="L5350" s="27"/>
    </row>
    <row r="5351" spans="1:12">
      <c r="A5351" s="20" t="s">
        <v>1323</v>
      </c>
      <c r="E5351" s="22">
        <f>IF(D5351="?OLD","!!!","")</f>
        <v/>
      </c>
      <c r="F5351" s="23" t="str">
        <f>IF(OR(E5351="",E5351="!!!"),"",IF(NOT(ISNA(VLOOKUP(E5351,E$1:E5350,1,FALSE()))),"OLD",IF(AND(E5351&lt;&gt;"",E5351&lt;&gt;"!!!"),"NEW","")))</f>
        <v> </v>
      </c>
      <c r="G5351" s="24" t="str">
        <f>IF(OR(E5351="",E5351="!!!"),"",IF(OR(J5351=0,AND(J5351=1,K5351=1),AND(J5351=1,I5351="SBJ"),AND(J5351=1,I5351=0)),"?IN_FOCUS",IF(J5351&lt;=2,"?ACTIVATED",IF(J5351&lt;&gt;"","?FAMILIAR",IF(F5351="NEW",IF(ISNA(VLOOKUP(E5351,#REF!,1,FALSE())),"?TYPE_IDENTIFIABLE","?REFERENTIAL"),"_")))))</f>
        <v> </v>
      </c>
      <c r="H5351" s="25" t="str">
        <f>IF(J5351&lt;&gt;1,"",IF(I5351="SBJ","CB","?"))</f>
        <v> </v>
      </c>
      <c r="I5351" s="26" t="str">
        <f>IF(OR(E5351="",E5351="!!!",F5351="NEW"),"",INDEX(B5350:B$2,-1+SUMPRODUCT(MAX(ROW(E5350:E$2)*(E5351=E5350:E$2)))))</f>
        <v> </v>
      </c>
      <c r="J5351" s="26" t="str">
        <f>IF(OR(E5351="",E5351="!!!",F5351="NEW"),"",COUNTBLANK(OFFSET(A$1,,,SUMPRODUCT(MAX(ROW(E$2:E5351)*(E5351=E$2:E5351)))))-COUNTBLANK(OFFSET(A$1,,,SUMPRODUCT(MAX(ROW(E$1:E5350)*(E2=E$1:E5350))))))</f>
        <v> </v>
      </c>
      <c r="K5351" s="26" t="str">
        <f>IF(OR(E5351="",E5351="!!!",F5351="NEW"),"",INDEX(J$1:J5350,SUMPRODUCT(MAX(ROW(E$1:E5350)*(E5351=E$1:E5350)))))</f>
        <v> </v>
      </c>
      <c r="L5351" s="27"/>
    </row>
    <row r="5352" spans="1:12">
      <c r="A5352" s="20" t="s">
        <v>1997</v>
      </c>
      <c r="B5352" s="21" t="s">
        <v>1229</v>
      </c>
      <c r="C5352" s="21" t="s">
        <v>1269</v>
      </c>
      <c r="D5352" s="21" t="s">
        <v>1217</v>
      </c>
      <c r="E5352" s="22">
        <f>IF(D5352="?OLD","!!!","")</f>
        <v/>
      </c>
      <c r="F5352" s="23" t="str">
        <f>IF(OR(E5352="",E5352="!!!"),"",IF(NOT(ISNA(VLOOKUP(E5352,E$1:E5351,1,FALSE()))),"OLD",IF(AND(E5352&lt;&gt;"",E5352&lt;&gt;"!!!"),"NEW","")))</f>
        <v> </v>
      </c>
      <c r="G5352" s="24" t="str">
        <f>IF(OR(E5352="",E5352="!!!"),"",IF(OR(J5352=0,AND(J5352=1,K5352=1),AND(J5352=1,I5352="SBJ"),AND(J5352=1,I5352=0)),"?IN_FOCUS",IF(J5352&lt;=2,"?ACTIVATED",IF(J5352&lt;&gt;"","?FAMILIAR",IF(F5352="NEW",IF(ISNA(VLOOKUP(E5352,#REF!,1,FALSE())),"?TYPE_IDENTIFIABLE","?REFERENTIAL"),"_")))))</f>
        <v> </v>
      </c>
      <c r="H5352" s="25" t="str">
        <f>IF(J5352&lt;&gt;1,"",IF(I5352="SBJ","CB","?"))</f>
        <v> </v>
      </c>
      <c r="I5352" s="26" t="str">
        <f>IF(OR(E5352="",E5352="!!!",F5352="NEW"),"",INDEX(B5351:B$2,-1+SUMPRODUCT(MAX(ROW(E5351:E$2)*(E5352=E5351:E$2)))))</f>
        <v> </v>
      </c>
      <c r="J5352" s="26" t="str">
        <f>IF(OR(E5352="",E5352="!!!",F5352="NEW"),"",COUNTBLANK(OFFSET(A$1,,,SUMPRODUCT(MAX(ROW(E$2:E5352)*(E5352=E$2:E5352)))))-COUNTBLANK(OFFSET(A$1,,,SUMPRODUCT(MAX(ROW(E$1:E5351)*(E2=E$1:E5351))))))</f>
        <v> </v>
      </c>
      <c r="K5352" s="26" t="str">
        <f>IF(OR(E5352="",E5352="!!!",F5352="NEW"),"",INDEX(J$1:J5351,SUMPRODUCT(MAX(ROW(E$1:E5351)*(E5352=E$1:E5351)))))</f>
        <v> </v>
      </c>
      <c r="L5352" s="27"/>
    </row>
    <row r="5353" spans="1:12">
      <c r="A5353" s="20" t="s">
        <v>1225</v>
      </c>
      <c r="E5353" s="22">
        <f>IF(D5353="?OLD","!!!","")</f>
        <v/>
      </c>
      <c r="F5353" s="23" t="str">
        <f>IF(OR(E5353="",E5353="!!!"),"",IF(NOT(ISNA(VLOOKUP(E5353,E$1:E5352,1,FALSE()))),"OLD",IF(AND(E5353&lt;&gt;"",E5353&lt;&gt;"!!!"),"NEW","")))</f>
        <v> </v>
      </c>
      <c r="G5353" s="24" t="str">
        <f>IF(OR(E5353="",E5353="!!!"),"",IF(OR(J5353=0,AND(J5353=1,K5353=1),AND(J5353=1,I5353="SBJ"),AND(J5353=1,I5353=0)),"?IN_FOCUS",IF(J5353&lt;=2,"?ACTIVATED",IF(J5353&lt;&gt;"","?FAMILIAR",IF(F5353="NEW",IF(ISNA(VLOOKUP(E5353,#REF!,1,FALSE())),"?TYPE_IDENTIFIABLE","?REFERENTIAL"),"_")))))</f>
        <v> </v>
      </c>
      <c r="H5353" s="25" t="str">
        <f>IF(J5353&lt;&gt;1,"",IF(I5353="SBJ","CB","?"))</f>
        <v> </v>
      </c>
      <c r="I5353" s="26" t="str">
        <f>IF(OR(E5353="",E5353="!!!",F5353="NEW"),"",INDEX(B5352:B$2,-1+SUMPRODUCT(MAX(ROW(E5352:E$2)*(E5353=E5352:E$2)))))</f>
        <v> </v>
      </c>
      <c r="J5353" s="26" t="str">
        <f>IF(OR(E5353="",E5353="!!!",F5353="NEW"),"",COUNTBLANK(OFFSET(A$1,,,SUMPRODUCT(MAX(ROW(E$2:E5353)*(E5353=E$2:E5353)))))-COUNTBLANK(OFFSET(A$1,,,SUMPRODUCT(MAX(ROW(E$1:E5352)*(E2=E$1:E5352))))))</f>
        <v> </v>
      </c>
      <c r="K5353" s="26" t="str">
        <f>IF(OR(E5353="",E5353="!!!",F5353="NEW"),"",INDEX(J$1:J5352,SUMPRODUCT(MAX(ROW(E$1:E5352)*(E5353=E$1:E5352)))))</f>
        <v> </v>
      </c>
      <c r="L5353" s="27"/>
    </row>
    <row r="5354" spans="1:12">
      <c r="A5354" s="20" t="s">
        <v>2911</v>
      </c>
      <c r="E5354" s="22">
        <f>IF(D5354="?OLD","!!!","")</f>
        <v/>
      </c>
      <c r="F5354" s="23" t="str">
        <f>IF(OR(E5354="",E5354="!!!"),"",IF(NOT(ISNA(VLOOKUP(E5354,E$1:E5353,1,FALSE()))),"OLD",IF(AND(E5354&lt;&gt;"",E5354&lt;&gt;"!!!"),"NEW","")))</f>
        <v> </v>
      </c>
      <c r="G5354" s="24" t="str">
        <f>IF(OR(E5354="",E5354="!!!"),"",IF(OR(J5354=0,AND(J5354=1,K5354=1),AND(J5354=1,I5354="SBJ"),AND(J5354=1,I5354=0)),"?IN_FOCUS",IF(J5354&lt;=2,"?ACTIVATED",IF(J5354&lt;&gt;"","?FAMILIAR",IF(F5354="NEW",IF(ISNA(VLOOKUP(E5354,#REF!,1,FALSE())),"?TYPE_IDENTIFIABLE","?REFERENTIAL"),"_")))))</f>
        <v> </v>
      </c>
      <c r="H5354" s="25" t="str">
        <f>IF(J5354&lt;&gt;1,"",IF(I5354="SBJ","CB","?"))</f>
        <v> </v>
      </c>
      <c r="I5354" s="26" t="str">
        <f>IF(OR(E5354="",E5354="!!!",F5354="NEW"),"",INDEX(B5353:B$2,-1+SUMPRODUCT(MAX(ROW(E5353:E$2)*(E5354=E5353:E$2)))))</f>
        <v> </v>
      </c>
      <c r="J5354" s="26" t="str">
        <f>IF(OR(E5354="",E5354="!!!",F5354="NEW"),"",COUNTBLANK(OFFSET(A$1,,,SUMPRODUCT(MAX(ROW(E$2:E5354)*(E5354=E$2:E5354)))))-COUNTBLANK(OFFSET(A$1,,,SUMPRODUCT(MAX(ROW(E$1:E5353)*(E2=E$1:E5353))))))</f>
        <v> </v>
      </c>
      <c r="K5354" s="26" t="str">
        <f>IF(OR(E5354="",E5354="!!!",F5354="NEW"),"",INDEX(J$1:J5353,SUMPRODUCT(MAX(ROW(E$1:E5353)*(E5354=E$1:E5353)))))</f>
        <v> </v>
      </c>
      <c r="L5354" s="27"/>
    </row>
    <row r="5355" spans="1:12">
      <c r="A5355" s="20" t="s">
        <v>1303</v>
      </c>
      <c r="E5355" s="22">
        <f>IF(D5355="?OLD","!!!","")</f>
        <v/>
      </c>
      <c r="F5355" s="23" t="str">
        <f>IF(OR(E5355="",E5355="!!!"),"",IF(NOT(ISNA(VLOOKUP(E5355,E$1:E5354,1,FALSE()))),"OLD",IF(AND(E5355&lt;&gt;"",E5355&lt;&gt;"!!!"),"NEW","")))</f>
        <v> </v>
      </c>
      <c r="G5355" s="24" t="str">
        <f>IF(OR(E5355="",E5355="!!!"),"",IF(OR(J5355=0,AND(J5355=1,K5355=1),AND(J5355=1,I5355="SBJ"),AND(J5355=1,I5355=0)),"?IN_FOCUS",IF(J5355&lt;=2,"?ACTIVATED",IF(J5355&lt;&gt;"","?FAMILIAR",IF(F5355="NEW",IF(ISNA(VLOOKUP(E5355,#REF!,1,FALSE())),"?TYPE_IDENTIFIABLE","?REFERENTIAL"),"_")))))</f>
        <v> </v>
      </c>
      <c r="H5355" s="25" t="str">
        <f>IF(J5355&lt;&gt;1,"",IF(I5355="SBJ","CB","?"))</f>
        <v> </v>
      </c>
      <c r="I5355" s="26" t="str">
        <f>IF(OR(E5355="",E5355="!!!",F5355="NEW"),"",INDEX(B5354:B$2,-1+SUMPRODUCT(MAX(ROW(E5354:E$2)*(E5355=E5354:E$2)))))</f>
        <v> </v>
      </c>
      <c r="J5355" s="26" t="str">
        <f>IF(OR(E5355="",E5355="!!!",F5355="NEW"),"",COUNTBLANK(OFFSET(A$1,,,SUMPRODUCT(MAX(ROW(E$2:E5355)*(E5355=E$2:E5355)))))-COUNTBLANK(OFFSET(A$1,,,SUMPRODUCT(MAX(ROW(E$1:E5354)*(E2=E$1:E5354))))))</f>
        <v> </v>
      </c>
      <c r="K5355" s="26" t="str">
        <f>IF(OR(E5355="",E5355="!!!",F5355="NEW"),"",INDEX(J$1:J5354,SUMPRODUCT(MAX(ROW(E$1:E5354)*(E5355=E$1:E5354)))))</f>
        <v> </v>
      </c>
      <c r="L5355" s="27"/>
    </row>
    <row r="5356" spans="1:12">
      <c r="A5356" s="20" t="s">
        <v>1277</v>
      </c>
      <c r="E5356" s="22">
        <f>IF(D5356="?OLD","!!!","")</f>
        <v/>
      </c>
      <c r="F5356" s="23" t="str">
        <f>IF(OR(E5356="",E5356="!!!"),"",IF(NOT(ISNA(VLOOKUP(E5356,E$1:E5355,1,FALSE()))),"OLD",IF(AND(E5356&lt;&gt;"",E5356&lt;&gt;"!!!"),"NEW","")))</f>
        <v> </v>
      </c>
      <c r="G5356" s="24" t="str">
        <f>IF(OR(E5356="",E5356="!!!"),"",IF(OR(J5356=0,AND(J5356=1,K5356=1),AND(J5356=1,I5356="SBJ"),AND(J5356=1,I5356=0)),"?IN_FOCUS",IF(J5356&lt;=2,"?ACTIVATED",IF(J5356&lt;&gt;"","?FAMILIAR",IF(F5356="NEW",IF(ISNA(VLOOKUP(E5356,#REF!,1,FALSE())),"?TYPE_IDENTIFIABLE","?REFERENTIAL"),"_")))))</f>
        <v> </v>
      </c>
      <c r="H5356" s="25" t="str">
        <f>IF(J5356&lt;&gt;1,"",IF(I5356="SBJ","CB","?"))</f>
        <v> </v>
      </c>
      <c r="I5356" s="26" t="str">
        <f>IF(OR(E5356="",E5356="!!!",F5356="NEW"),"",INDEX(B5355:B$2,-1+SUMPRODUCT(MAX(ROW(E5355:E$2)*(E5356=E5355:E$2)))))</f>
        <v> </v>
      </c>
      <c r="J5356" s="26" t="str">
        <f>IF(OR(E5356="",E5356="!!!",F5356="NEW"),"",COUNTBLANK(OFFSET(A$1,,,SUMPRODUCT(MAX(ROW(E$2:E5356)*(E5356=E$2:E5356)))))-COUNTBLANK(OFFSET(A$1,,,SUMPRODUCT(MAX(ROW(E$1:E5355)*(E2=E$1:E5355))))))</f>
        <v> </v>
      </c>
      <c r="K5356" s="26" t="str">
        <f>IF(OR(E5356="",E5356="!!!",F5356="NEW"),"",INDEX(J$1:J5355,SUMPRODUCT(MAX(ROW(E$1:E5355)*(E5356=E$1:E5355)))))</f>
        <v> </v>
      </c>
      <c r="L5356" s="27"/>
    </row>
    <row r="5357" spans="1:12">
      <c r="A5357" s="20" t="s">
        <v>1319</v>
      </c>
      <c r="E5357" s="22">
        <f>IF(D5357="?OLD","!!!","")</f>
        <v/>
      </c>
      <c r="F5357" s="23" t="str">
        <f>IF(OR(E5357="",E5357="!!!"),"",IF(NOT(ISNA(VLOOKUP(E5357,E$1:E5356,1,FALSE()))),"OLD",IF(AND(E5357&lt;&gt;"",E5357&lt;&gt;"!!!"),"NEW","")))</f>
        <v> </v>
      </c>
      <c r="G5357" s="24" t="str">
        <f>IF(OR(E5357="",E5357="!!!"),"",IF(OR(J5357=0,AND(J5357=1,K5357=1),AND(J5357=1,I5357="SBJ"),AND(J5357=1,I5357=0)),"?IN_FOCUS",IF(J5357&lt;=2,"?ACTIVATED",IF(J5357&lt;&gt;"","?FAMILIAR",IF(F5357="NEW",IF(ISNA(VLOOKUP(E5357,#REF!,1,FALSE())),"?TYPE_IDENTIFIABLE","?REFERENTIAL"),"_")))))</f>
        <v> </v>
      </c>
      <c r="H5357" s="25" t="str">
        <f>IF(J5357&lt;&gt;1,"",IF(I5357="SBJ","CB","?"))</f>
        <v> </v>
      </c>
      <c r="I5357" s="26" t="str">
        <f>IF(OR(E5357="",E5357="!!!",F5357="NEW"),"",INDEX(B5356:B$2,-1+SUMPRODUCT(MAX(ROW(E5356:E$2)*(E5357=E5356:E$2)))))</f>
        <v> </v>
      </c>
      <c r="J5357" s="26" t="str">
        <f>IF(OR(E5357="",E5357="!!!",F5357="NEW"),"",COUNTBLANK(OFFSET(A$1,,,SUMPRODUCT(MAX(ROW(E$2:E5357)*(E5357=E$2:E5357)))))-COUNTBLANK(OFFSET(A$1,,,SUMPRODUCT(MAX(ROW(E$1:E5356)*(E2=E$1:E5356))))))</f>
        <v> </v>
      </c>
      <c r="K5357" s="26" t="str">
        <f>IF(OR(E5357="",E5357="!!!",F5357="NEW"),"",INDEX(J$1:J5356,SUMPRODUCT(MAX(ROW(E$1:E5356)*(E5357=E$1:E5356)))))</f>
        <v> </v>
      </c>
      <c r="L5357" s="27"/>
    </row>
    <row r="5358" spans="1:12">
      <c r="A5358" s="20" t="s">
        <v>1547</v>
      </c>
      <c r="B5358" s="21" t="s">
        <v>1215</v>
      </c>
      <c r="C5358" s="21" t="s">
        <v>1225</v>
      </c>
      <c r="D5358" s="21" t="s">
        <v>1217</v>
      </c>
      <c r="E5358" s="22">
        <f>IF(D5358="?OLD","!!!","")</f>
        <v/>
      </c>
      <c r="F5358" s="23" t="str">
        <f>IF(OR(E5358="",E5358="!!!"),"",IF(NOT(ISNA(VLOOKUP(E5358,E$1:E5357,1,FALSE()))),"OLD",IF(AND(E5358&lt;&gt;"",E5358&lt;&gt;"!!!"),"NEW","")))</f>
        <v> </v>
      </c>
      <c r="G5358" s="24" t="str">
        <f>IF(OR(E5358="",E5358="!!!"),"",IF(OR(J5358=0,AND(J5358=1,K5358=1),AND(J5358=1,I5358="SBJ"),AND(J5358=1,I5358=0)),"?IN_FOCUS",IF(J5358&lt;=2,"?ACTIVATED",IF(J5358&lt;&gt;"","?FAMILIAR",IF(F5358="NEW",IF(ISNA(VLOOKUP(E5358,#REF!,1,FALSE())),"?TYPE_IDENTIFIABLE","?REFERENTIAL"),"_")))))</f>
        <v> </v>
      </c>
      <c r="H5358" s="25" t="str">
        <f>IF(J5358&lt;&gt;1,"",IF(I5358="SBJ","CB","?"))</f>
        <v> </v>
      </c>
      <c r="I5358" s="26" t="str">
        <f>IF(OR(E5358="",E5358="!!!",F5358="NEW"),"",INDEX(B5357:B$2,-1+SUMPRODUCT(MAX(ROW(E5357:E$2)*(E5358=E5357:E$2)))))</f>
        <v> </v>
      </c>
      <c r="J5358" s="26" t="str">
        <f>IF(OR(E5358="",E5358="!!!",F5358="NEW"),"",COUNTBLANK(OFFSET(A$1,,,SUMPRODUCT(MAX(ROW(E$2:E5358)*(E5358=E$2:E5358)))))-COUNTBLANK(OFFSET(A$1,,,SUMPRODUCT(MAX(ROW(E$1:E5357)*(E2=E$1:E5357))))))</f>
        <v> </v>
      </c>
      <c r="K5358" s="26" t="str">
        <f>IF(OR(E5358="",E5358="!!!",F5358="NEW"),"",INDEX(J$1:J5357,SUMPRODUCT(MAX(ROW(E$1:E5357)*(E5358=E$1:E5357)))))</f>
        <v> </v>
      </c>
      <c r="L5358" s="27"/>
    </row>
    <row r="5359" spans="1:12">
      <c r="A5359" s="20" t="s">
        <v>1301</v>
      </c>
      <c r="E5359" s="22">
        <f>IF(D5359="?OLD","!!!","")</f>
        <v/>
      </c>
      <c r="F5359" s="23" t="str">
        <f>IF(OR(E5359="",E5359="!!!"),"",IF(NOT(ISNA(VLOOKUP(E5359,E$1:E5358,1,FALSE()))),"OLD",IF(AND(E5359&lt;&gt;"",E5359&lt;&gt;"!!!"),"NEW","")))</f>
        <v> </v>
      </c>
      <c r="G5359" s="24" t="str">
        <f>IF(OR(E5359="",E5359="!!!"),"",IF(OR(J5359=0,AND(J5359=1,K5359=1),AND(J5359=1,I5359="SBJ"),AND(J5359=1,I5359=0)),"?IN_FOCUS",IF(J5359&lt;=2,"?ACTIVATED",IF(J5359&lt;&gt;"","?FAMILIAR",IF(F5359="NEW",IF(ISNA(VLOOKUP(E5359,#REF!,1,FALSE())),"?TYPE_IDENTIFIABLE","?REFERENTIAL"),"_")))))</f>
        <v> </v>
      </c>
      <c r="H5359" s="25" t="str">
        <f>IF(J5359&lt;&gt;1,"",IF(I5359="SBJ","CB","?"))</f>
        <v> </v>
      </c>
      <c r="I5359" s="26" t="str">
        <f>IF(OR(E5359="",E5359="!!!",F5359="NEW"),"",INDEX(B5358:B$2,-1+SUMPRODUCT(MAX(ROW(E5358:E$2)*(E5359=E5358:E$2)))))</f>
        <v> </v>
      </c>
      <c r="J5359" s="26" t="str">
        <f>IF(OR(E5359="",E5359="!!!",F5359="NEW"),"",COUNTBLANK(OFFSET(A$1,,,SUMPRODUCT(MAX(ROW(E$2:E5359)*(E5359=E$2:E5359)))))-COUNTBLANK(OFFSET(A$1,,,SUMPRODUCT(MAX(ROW(E$1:E5358)*(E2=E$1:E5358))))))</f>
        <v> </v>
      </c>
      <c r="K5359" s="26" t="str">
        <f>IF(OR(E5359="",E5359="!!!",F5359="NEW"),"",INDEX(J$1:J5358,SUMPRODUCT(MAX(ROW(E$1:E5358)*(E5359=E$1:E5358)))))</f>
        <v> </v>
      </c>
      <c r="L5359" s="27"/>
    </row>
    <row r="5360" spans="1:12">
      <c r="A5360" s="20" t="s">
        <v>1348</v>
      </c>
      <c r="E5360" s="22">
        <f>IF(D5360="?OLD","!!!","")</f>
        <v/>
      </c>
      <c r="F5360" s="23" t="str">
        <f>IF(OR(E5360="",E5360="!!!"),"",IF(NOT(ISNA(VLOOKUP(E5360,E$1:E5359,1,FALSE()))),"OLD",IF(AND(E5360&lt;&gt;"",E5360&lt;&gt;"!!!"),"NEW","")))</f>
        <v> </v>
      </c>
      <c r="G5360" s="24" t="str">
        <f>IF(OR(E5360="",E5360="!!!"),"",IF(OR(J5360=0,AND(J5360=1,K5360=1),AND(J5360=1,I5360="SBJ"),AND(J5360=1,I5360=0)),"?IN_FOCUS",IF(J5360&lt;=2,"?ACTIVATED",IF(J5360&lt;&gt;"","?FAMILIAR",IF(F5360="NEW",IF(ISNA(VLOOKUP(E5360,#REF!,1,FALSE())),"?TYPE_IDENTIFIABLE","?REFERENTIAL"),"_")))))</f>
        <v> </v>
      </c>
      <c r="H5360" s="25" t="str">
        <f>IF(J5360&lt;&gt;1,"",IF(I5360="SBJ","CB","?"))</f>
        <v> </v>
      </c>
      <c r="I5360" s="26" t="str">
        <f>IF(OR(E5360="",E5360="!!!",F5360="NEW"),"",INDEX(B5359:B$2,-1+SUMPRODUCT(MAX(ROW(E5359:E$2)*(E5360=E5359:E$2)))))</f>
        <v> </v>
      </c>
      <c r="J5360" s="26" t="str">
        <f>IF(OR(E5360="",E5360="!!!",F5360="NEW"),"",COUNTBLANK(OFFSET(A$1,,,SUMPRODUCT(MAX(ROW(E$2:E5360)*(E5360=E$2:E5360)))))-COUNTBLANK(OFFSET(A$1,,,SUMPRODUCT(MAX(ROW(E$1:E5359)*(E2=E$1:E5359))))))</f>
        <v> </v>
      </c>
      <c r="K5360" s="26" t="str">
        <f>IF(OR(E5360="",E5360="!!!",F5360="NEW"),"",INDEX(J$1:J5359,SUMPRODUCT(MAX(ROW(E$1:E5359)*(E5360=E$1:E5359)))))</f>
        <v> </v>
      </c>
      <c r="L5360" s="27"/>
    </row>
    <row r="5361" spans="1:12">
      <c r="A5361" s="20" t="s">
        <v>2674</v>
      </c>
      <c r="E5361" s="22">
        <f>IF(D5361="?OLD","!!!","")</f>
        <v/>
      </c>
      <c r="F5361" s="23" t="str">
        <f>IF(OR(E5361="",E5361="!!!"),"",IF(NOT(ISNA(VLOOKUP(E5361,E$1:E5360,1,FALSE()))),"OLD",IF(AND(E5361&lt;&gt;"",E5361&lt;&gt;"!!!"),"NEW","")))</f>
        <v> </v>
      </c>
      <c r="G5361" s="24" t="str">
        <f>IF(OR(E5361="",E5361="!!!"),"",IF(OR(J5361=0,AND(J5361=1,K5361=1),AND(J5361=1,I5361="SBJ"),AND(J5361=1,I5361=0)),"?IN_FOCUS",IF(J5361&lt;=2,"?ACTIVATED",IF(J5361&lt;&gt;"","?FAMILIAR",IF(F5361="NEW",IF(ISNA(VLOOKUP(E5361,#REF!,1,FALSE())),"?TYPE_IDENTIFIABLE","?REFERENTIAL"),"_")))))</f>
        <v> </v>
      </c>
      <c r="H5361" s="25" t="str">
        <f>IF(J5361&lt;&gt;1,"",IF(I5361="SBJ","CB","?"))</f>
        <v> </v>
      </c>
      <c r="I5361" s="26" t="str">
        <f>IF(OR(E5361="",E5361="!!!",F5361="NEW"),"",INDEX(B5360:B$2,-1+SUMPRODUCT(MAX(ROW(E5360:E$2)*(E5361=E5360:E$2)))))</f>
        <v> </v>
      </c>
      <c r="J5361" s="26" t="str">
        <f>IF(OR(E5361="",E5361="!!!",F5361="NEW"),"",COUNTBLANK(OFFSET(A$1,,,SUMPRODUCT(MAX(ROW(E$2:E5361)*(E5361=E$2:E5361)))))-COUNTBLANK(OFFSET(A$1,,,SUMPRODUCT(MAX(ROW(E$1:E5360)*(E2=E$1:E5360))))))</f>
        <v> </v>
      </c>
      <c r="K5361" s="26" t="str">
        <f>IF(OR(E5361="",E5361="!!!",F5361="NEW"),"",INDEX(J$1:J5360,SUMPRODUCT(MAX(ROW(E$1:E5360)*(E5361=E$1:E5360)))))</f>
        <v> </v>
      </c>
      <c r="L5361" s="27"/>
    </row>
    <row r="5362" spans="1:12">
      <c r="A5362" s="20" t="s">
        <v>1805</v>
      </c>
      <c r="E5362" s="22">
        <f>IF(D5362="?OLD","!!!","")</f>
        <v/>
      </c>
      <c r="F5362" s="23" t="str">
        <f>IF(OR(E5362="",E5362="!!!"),"",IF(NOT(ISNA(VLOOKUP(E5362,E$1:E5361,1,FALSE()))),"OLD",IF(AND(E5362&lt;&gt;"",E5362&lt;&gt;"!!!"),"NEW","")))</f>
        <v> </v>
      </c>
      <c r="G5362" s="24" t="str">
        <f>IF(OR(E5362="",E5362="!!!"),"",IF(OR(J5362=0,AND(J5362=1,K5362=1),AND(J5362=1,I5362="SBJ"),AND(J5362=1,I5362=0)),"?IN_FOCUS",IF(J5362&lt;=2,"?ACTIVATED",IF(J5362&lt;&gt;"","?FAMILIAR",IF(F5362="NEW",IF(ISNA(VLOOKUP(E5362,#REF!,1,FALSE())),"?TYPE_IDENTIFIABLE","?REFERENTIAL"),"_")))))</f>
        <v> </v>
      </c>
      <c r="H5362" s="25" t="str">
        <f>IF(J5362&lt;&gt;1,"",IF(I5362="SBJ","CB","?"))</f>
        <v> </v>
      </c>
      <c r="I5362" s="26" t="str">
        <f>IF(OR(E5362="",E5362="!!!",F5362="NEW"),"",INDEX(B5361:B$2,-1+SUMPRODUCT(MAX(ROW(E5361:E$2)*(E5362=E5361:E$2)))))</f>
        <v> </v>
      </c>
      <c r="J5362" s="26" t="str">
        <f>IF(OR(E5362="",E5362="!!!",F5362="NEW"),"",COUNTBLANK(OFFSET(A$1,,,SUMPRODUCT(MAX(ROW(E$2:E5362)*(E5362=E$2:E5362)))))-COUNTBLANK(OFFSET(A$1,,,SUMPRODUCT(MAX(ROW(E$1:E5361)*(E2=E$1:E5361))))))</f>
        <v> </v>
      </c>
      <c r="K5362" s="26" t="str">
        <f>IF(OR(E5362="",E5362="!!!",F5362="NEW"),"",INDEX(J$1:J5361,SUMPRODUCT(MAX(ROW(E$1:E5361)*(E5362=E$1:E5361)))))</f>
        <v> </v>
      </c>
      <c r="L5362" s="27"/>
    </row>
    <row r="5363" spans="1:12">
      <c r="A5363" s="20" t="s">
        <v>1634</v>
      </c>
      <c r="E5363" s="22">
        <f>IF(D5363="?OLD","!!!","")</f>
        <v/>
      </c>
      <c r="F5363" s="23" t="str">
        <f>IF(OR(E5363="",E5363="!!!"),"",IF(NOT(ISNA(VLOOKUP(E5363,E$1:E5362,1,FALSE()))),"OLD",IF(AND(E5363&lt;&gt;"",E5363&lt;&gt;"!!!"),"NEW","")))</f>
        <v> </v>
      </c>
      <c r="G5363" s="24" t="str">
        <f>IF(OR(E5363="",E5363="!!!"),"",IF(OR(J5363=0,AND(J5363=1,K5363=1),AND(J5363=1,I5363="SBJ"),AND(J5363=1,I5363=0)),"?IN_FOCUS",IF(J5363&lt;=2,"?ACTIVATED",IF(J5363&lt;&gt;"","?FAMILIAR",IF(F5363="NEW",IF(ISNA(VLOOKUP(E5363,#REF!,1,FALSE())),"?TYPE_IDENTIFIABLE","?REFERENTIAL"),"_")))))</f>
        <v> </v>
      </c>
      <c r="H5363" s="25" t="str">
        <f>IF(J5363&lt;&gt;1,"",IF(I5363="SBJ","CB","?"))</f>
        <v> </v>
      </c>
      <c r="I5363" s="26" t="str">
        <f>IF(OR(E5363="",E5363="!!!",F5363="NEW"),"",INDEX(B5362:B$2,-1+SUMPRODUCT(MAX(ROW(E5362:E$2)*(E5363=E5362:E$2)))))</f>
        <v> </v>
      </c>
      <c r="J5363" s="26" t="str">
        <f>IF(OR(E5363="",E5363="!!!",F5363="NEW"),"",COUNTBLANK(OFFSET(A$1,,,SUMPRODUCT(MAX(ROW(E$2:E5363)*(E5363=E$2:E5363)))))-COUNTBLANK(OFFSET(A$1,,,SUMPRODUCT(MAX(ROW(E$1:E5362)*(E2=E$1:E5362))))))</f>
        <v> </v>
      </c>
      <c r="K5363" s="26" t="str">
        <f>IF(OR(E5363="",E5363="!!!",F5363="NEW"),"",INDEX(J$1:J5362,SUMPRODUCT(MAX(ROW(E$1:E5362)*(E5363=E$1:E5362)))))</f>
        <v> </v>
      </c>
      <c r="L5363" s="27"/>
    </row>
    <row r="5364" spans="1:12">
      <c r="A5364" s="20" t="s">
        <v>1505</v>
      </c>
      <c r="B5364" s="21" t="s">
        <v>1249</v>
      </c>
      <c r="C5364" s="21" t="s">
        <v>1276</v>
      </c>
      <c r="D5364" s="21" t="s">
        <v>1217</v>
      </c>
      <c r="E5364" s="22">
        <f>IF(D5364="?OLD","!!!","")</f>
        <v/>
      </c>
      <c r="F5364" s="23" t="str">
        <f>IF(OR(E5364="",E5364="!!!"),"",IF(NOT(ISNA(VLOOKUP(E5364,E$1:E5363,1,FALSE()))),"OLD",IF(AND(E5364&lt;&gt;"",E5364&lt;&gt;"!!!"),"NEW","")))</f>
        <v> </v>
      </c>
      <c r="G5364" s="24" t="str">
        <f>IF(OR(E5364="",E5364="!!!"),"",IF(OR(J5364=0,AND(J5364=1,K5364=1),AND(J5364=1,I5364="SBJ"),AND(J5364=1,I5364=0)),"?IN_FOCUS",IF(J5364&lt;=2,"?ACTIVATED",IF(J5364&lt;&gt;"","?FAMILIAR",IF(F5364="NEW",IF(ISNA(VLOOKUP(E5364,#REF!,1,FALSE())),"?TYPE_IDENTIFIABLE","?REFERENTIAL"),"_")))))</f>
        <v> </v>
      </c>
      <c r="H5364" s="25" t="str">
        <f>IF(J5364&lt;&gt;1,"",IF(I5364="SBJ","CB","?"))</f>
        <v> </v>
      </c>
      <c r="I5364" s="26" t="str">
        <f>IF(OR(E5364="",E5364="!!!",F5364="NEW"),"",INDEX(B5363:B$2,-1+SUMPRODUCT(MAX(ROW(E5363:E$2)*(E5364=E5363:E$2)))))</f>
        <v> </v>
      </c>
      <c r="J5364" s="26" t="str">
        <f>IF(OR(E5364="",E5364="!!!",F5364="NEW"),"",COUNTBLANK(OFFSET(A$1,,,SUMPRODUCT(MAX(ROW(E$2:E5364)*(E5364=E$2:E5364)))))-COUNTBLANK(OFFSET(A$1,,,SUMPRODUCT(MAX(ROW(E$1:E5363)*(E2=E$1:E5363))))))</f>
        <v> </v>
      </c>
      <c r="K5364" s="26" t="str">
        <f>IF(OR(E5364="",E5364="!!!",F5364="NEW"),"",INDEX(J$1:J5363,SUMPRODUCT(MAX(ROW(E$1:E5363)*(E5364=E$1:E5363)))))</f>
        <v> </v>
      </c>
      <c r="L5364" s="27"/>
    </row>
    <row r="5365" spans="1:12">
      <c r="A5365" s="20" t="s">
        <v>1277</v>
      </c>
      <c r="E5365" s="22">
        <f>IF(D5365="?OLD","!!!","")</f>
        <v/>
      </c>
      <c r="F5365" s="23" t="str">
        <f>IF(OR(E5365="",E5365="!!!"),"",IF(NOT(ISNA(VLOOKUP(E5365,E$1:E5364,1,FALSE()))),"OLD",IF(AND(E5365&lt;&gt;"",E5365&lt;&gt;"!!!"),"NEW","")))</f>
        <v> </v>
      </c>
      <c r="G5365" s="24" t="str">
        <f>IF(OR(E5365="",E5365="!!!"),"",IF(OR(J5365=0,AND(J5365=1,K5365=1),AND(J5365=1,I5365="SBJ"),AND(J5365=1,I5365=0)),"?IN_FOCUS",IF(J5365&lt;=2,"?ACTIVATED",IF(J5365&lt;&gt;"","?FAMILIAR",IF(F5365="NEW",IF(ISNA(VLOOKUP(E5365,#REF!,1,FALSE())),"?TYPE_IDENTIFIABLE","?REFERENTIAL"),"_")))))</f>
        <v> </v>
      </c>
      <c r="H5365" s="25" t="str">
        <f>IF(J5365&lt;&gt;1,"",IF(I5365="SBJ","CB","?"))</f>
        <v> </v>
      </c>
      <c r="I5365" s="26" t="str">
        <f>IF(OR(E5365="",E5365="!!!",F5365="NEW"),"",INDEX(B5364:B$2,-1+SUMPRODUCT(MAX(ROW(E5364:E$2)*(E5365=E5364:E$2)))))</f>
        <v> </v>
      </c>
      <c r="J5365" s="26" t="str">
        <f>IF(OR(E5365="",E5365="!!!",F5365="NEW"),"",COUNTBLANK(OFFSET(A$1,,,SUMPRODUCT(MAX(ROW(E$2:E5365)*(E5365=E$2:E5365)))))-COUNTBLANK(OFFSET(A$1,,,SUMPRODUCT(MAX(ROW(E$1:E5364)*(E2=E$1:E5364))))))</f>
        <v> </v>
      </c>
      <c r="K5365" s="26" t="str">
        <f>IF(OR(E5365="",E5365="!!!",F5365="NEW"),"",INDEX(J$1:J5364,SUMPRODUCT(MAX(ROW(E$1:E5364)*(E5365=E$1:E5364)))))</f>
        <v> </v>
      </c>
      <c r="L5365" s="27"/>
    </row>
    <row r="5366" spans="1:12">
      <c r="A5366" s="20" t="s">
        <v>2912</v>
      </c>
      <c r="E5366" s="22">
        <f>IF(D5366="?OLD","!!!","")</f>
        <v/>
      </c>
      <c r="F5366" s="23" t="str">
        <f>IF(OR(E5366="",E5366="!!!"),"",IF(NOT(ISNA(VLOOKUP(E5366,E$1:E5365,1,FALSE()))),"OLD",IF(AND(E5366&lt;&gt;"",E5366&lt;&gt;"!!!"),"NEW","")))</f>
        <v> </v>
      </c>
      <c r="G5366" s="24" t="str">
        <f>IF(OR(E5366="",E5366="!!!"),"",IF(OR(J5366=0,AND(J5366=1,K5366=1),AND(J5366=1,I5366="SBJ"),AND(J5366=1,I5366=0)),"?IN_FOCUS",IF(J5366&lt;=2,"?ACTIVATED",IF(J5366&lt;&gt;"","?FAMILIAR",IF(F5366="NEW",IF(ISNA(VLOOKUP(E5366,#REF!,1,FALSE())),"?TYPE_IDENTIFIABLE","?REFERENTIAL"),"_")))))</f>
        <v> </v>
      </c>
      <c r="H5366" s="25" t="str">
        <f>IF(J5366&lt;&gt;1,"",IF(I5366="SBJ","CB","?"))</f>
        <v> </v>
      </c>
      <c r="I5366" s="26" t="str">
        <f>IF(OR(E5366="",E5366="!!!",F5366="NEW"),"",INDEX(B5365:B$2,-1+SUMPRODUCT(MAX(ROW(E5365:E$2)*(E5366=E5365:E$2)))))</f>
        <v> </v>
      </c>
      <c r="J5366" s="26" t="str">
        <f>IF(OR(E5366="",E5366="!!!",F5366="NEW"),"",COUNTBLANK(OFFSET(A$1,,,SUMPRODUCT(MAX(ROW(E$2:E5366)*(E5366=E$2:E5366)))))-COUNTBLANK(OFFSET(A$1,,,SUMPRODUCT(MAX(ROW(E$1:E5365)*(E2=E$1:E5365))))))</f>
        <v> </v>
      </c>
      <c r="K5366" s="26" t="str">
        <f>IF(OR(E5366="",E5366="!!!",F5366="NEW"),"",INDEX(J$1:J5365,SUMPRODUCT(MAX(ROW(E$1:E5365)*(E5366=E$1:E5365)))))</f>
        <v> </v>
      </c>
      <c r="L5366" s="27"/>
    </row>
    <row r="5367" spans="1:12">
      <c r="A5367" s="20" t="s">
        <v>1241</v>
      </c>
      <c r="B5367" s="21" t="s">
        <v>1221</v>
      </c>
      <c r="C5367" s="21" t="s">
        <v>1242</v>
      </c>
      <c r="D5367" s="21" t="s">
        <v>1217</v>
      </c>
      <c r="E5367" s="22">
        <f>IF(D5367="?OLD","!!!","")</f>
        <v/>
      </c>
      <c r="F5367" s="23" t="str">
        <f>IF(OR(E5367="",E5367="!!!"),"",IF(NOT(ISNA(VLOOKUP(E5367,E$1:E5366,1,FALSE()))),"OLD",IF(AND(E5367&lt;&gt;"",E5367&lt;&gt;"!!!"),"NEW","")))</f>
        <v> </v>
      </c>
      <c r="G5367" s="24" t="str">
        <f>IF(OR(E5367="",E5367="!!!"),"",IF(OR(J5367=0,AND(J5367=1,K5367=1),AND(J5367=1,I5367="SBJ"),AND(J5367=1,I5367=0)),"?IN_FOCUS",IF(J5367&lt;=2,"?ACTIVATED",IF(J5367&lt;&gt;"","?FAMILIAR",IF(F5367="NEW",IF(ISNA(VLOOKUP(E5367,#REF!,1,FALSE())),"?TYPE_IDENTIFIABLE","?REFERENTIAL"),"_")))))</f>
        <v> </v>
      </c>
      <c r="H5367" s="25" t="str">
        <f>IF(J5367&lt;&gt;1,"",IF(I5367="SBJ","CB","?"))</f>
        <v> </v>
      </c>
      <c r="I5367" s="26" t="str">
        <f>IF(OR(E5367="",E5367="!!!",F5367="NEW"),"",INDEX(B5366:B$2,-1+SUMPRODUCT(MAX(ROW(E5366:E$2)*(E5367=E5366:E$2)))))</f>
        <v> </v>
      </c>
      <c r="J5367" s="26" t="str">
        <f>IF(OR(E5367="",E5367="!!!",F5367="NEW"),"",COUNTBLANK(OFFSET(A$1,,,SUMPRODUCT(MAX(ROW(E$2:E5367)*(E5367=E$2:E5367)))))-COUNTBLANK(OFFSET(A$1,,,SUMPRODUCT(MAX(ROW(E$1:E5366)*(E2=E$1:E5366))))))</f>
        <v> </v>
      </c>
      <c r="K5367" s="26" t="str">
        <f>IF(OR(E5367="",E5367="!!!",F5367="NEW"),"",INDEX(J$1:J5366,SUMPRODUCT(MAX(ROW(E$1:E5366)*(E5367=E$1:E5366)))))</f>
        <v> </v>
      </c>
      <c r="L5367" s="27"/>
    </row>
    <row r="5368" spans="1:12">
      <c r="A5368" s="20" t="s">
        <v>2913</v>
      </c>
      <c r="B5368" s="21" t="s">
        <v>1244</v>
      </c>
      <c r="C5368" s="21" t="s">
        <v>1222</v>
      </c>
      <c r="D5368" s="21" t="s">
        <v>1217</v>
      </c>
      <c r="E5368" s="22">
        <f>IF(D5368="?OLD","!!!","")</f>
        <v/>
      </c>
      <c r="F5368" s="23" t="str">
        <f>IF(OR(E5368="",E5368="!!!"),"",IF(NOT(ISNA(VLOOKUP(E5368,E$1:E5367,1,FALSE()))),"OLD",IF(AND(E5368&lt;&gt;"",E5368&lt;&gt;"!!!"),"NEW","")))</f>
        <v> </v>
      </c>
      <c r="G5368" s="24" t="str">
        <f>IF(OR(E5368="",E5368="!!!"),"",IF(OR(J5368=0,AND(J5368=1,K5368=1),AND(J5368=1,I5368="SBJ"),AND(J5368=1,I5368=0)),"?IN_FOCUS",IF(J5368&lt;=2,"?ACTIVATED",IF(J5368&lt;&gt;"","?FAMILIAR",IF(F5368="NEW",IF(ISNA(VLOOKUP(E5368,#REF!,1,FALSE())),"?TYPE_IDENTIFIABLE","?REFERENTIAL"),"_")))))</f>
        <v> </v>
      </c>
      <c r="H5368" s="25" t="str">
        <f>IF(J5368&lt;&gt;1,"",IF(I5368="SBJ","CB","?"))</f>
        <v> </v>
      </c>
      <c r="I5368" s="26" t="str">
        <f>IF(OR(E5368="",E5368="!!!",F5368="NEW"),"",INDEX(B5367:B$2,-1+SUMPRODUCT(MAX(ROW(E5367:E$2)*(E5368=E5367:E$2)))))</f>
        <v> </v>
      </c>
      <c r="J5368" s="26" t="str">
        <f>IF(OR(E5368="",E5368="!!!",F5368="NEW"),"",COUNTBLANK(OFFSET(A$1,,,SUMPRODUCT(MAX(ROW(E$2:E5368)*(E5368=E$2:E5368)))))-COUNTBLANK(OFFSET(A$1,,,SUMPRODUCT(MAX(ROW(E$1:E5367)*(E2=E$1:E5367))))))</f>
        <v> </v>
      </c>
      <c r="K5368" s="26" t="str">
        <f>IF(OR(E5368="",E5368="!!!",F5368="NEW"),"",INDEX(J$1:J5367,SUMPRODUCT(MAX(ROW(E$1:E5367)*(E5368=E$1:E5367)))))</f>
        <v> </v>
      </c>
      <c r="L5368" s="27"/>
    </row>
    <row r="5369" spans="1:12">
      <c r="A5369" s="20" t="s">
        <v>2914</v>
      </c>
      <c r="E5369" s="22">
        <f>IF(D5369="?OLD","!!!","")</f>
        <v/>
      </c>
      <c r="F5369" s="23" t="str">
        <f>IF(OR(E5369="",E5369="!!!"),"",IF(NOT(ISNA(VLOOKUP(E5369,E$1:E5368,1,FALSE()))),"OLD",IF(AND(E5369&lt;&gt;"",E5369&lt;&gt;"!!!"),"NEW","")))</f>
        <v> </v>
      </c>
      <c r="G5369" s="24" t="str">
        <f>IF(OR(E5369="",E5369="!!!"),"",IF(OR(J5369=0,AND(J5369=1,K5369=1),AND(J5369=1,I5369="SBJ"),AND(J5369=1,I5369=0)),"?IN_FOCUS",IF(J5369&lt;=2,"?ACTIVATED",IF(J5369&lt;&gt;"","?FAMILIAR",IF(F5369="NEW",IF(ISNA(VLOOKUP(E5369,#REF!,1,FALSE())),"?TYPE_IDENTIFIABLE","?REFERENTIAL"),"_")))))</f>
        <v> </v>
      </c>
      <c r="H5369" s="25" t="str">
        <f>IF(J5369&lt;&gt;1,"",IF(I5369="SBJ","CB","?"))</f>
        <v> </v>
      </c>
      <c r="I5369" s="26" t="str">
        <f>IF(OR(E5369="",E5369="!!!",F5369="NEW"),"",INDEX(B5368:B$2,-1+SUMPRODUCT(MAX(ROW(E5368:E$2)*(E5369=E5368:E$2)))))</f>
        <v> </v>
      </c>
      <c r="J5369" s="26" t="str">
        <f>IF(OR(E5369="",E5369="!!!",F5369="NEW"),"",COUNTBLANK(OFFSET(A$1,,,SUMPRODUCT(MAX(ROW(E$2:E5369)*(E5369=E$2:E5369)))))-COUNTBLANK(OFFSET(A$1,,,SUMPRODUCT(MAX(ROW(E$1:E5368)*(E2=E$1:E5368))))))</f>
        <v> </v>
      </c>
      <c r="K5369" s="26" t="str">
        <f>IF(OR(E5369="",E5369="!!!",F5369="NEW"),"",INDEX(J$1:J5368,SUMPRODUCT(MAX(ROW(E$1:E5368)*(E5369=E$1:E5368)))))</f>
        <v> </v>
      </c>
      <c r="L5369" s="27"/>
    </row>
    <row r="5370" spans="1:12">
      <c r="A5370" s="20" t="s">
        <v>1996</v>
      </c>
      <c r="E5370" s="22">
        <f>IF(D5370="?OLD","!!!","")</f>
        <v/>
      </c>
      <c r="F5370" s="23" t="str">
        <f>IF(OR(E5370="",E5370="!!!"),"",IF(NOT(ISNA(VLOOKUP(E5370,E$1:E5369,1,FALSE()))),"OLD",IF(AND(E5370&lt;&gt;"",E5370&lt;&gt;"!!!"),"NEW","")))</f>
        <v> </v>
      </c>
      <c r="G5370" s="24" t="str">
        <f>IF(OR(E5370="",E5370="!!!"),"",IF(OR(J5370=0,AND(J5370=1,K5370=1),AND(J5370=1,I5370="SBJ"),AND(J5370=1,I5370=0)),"?IN_FOCUS",IF(J5370&lt;=2,"?ACTIVATED",IF(J5370&lt;&gt;"","?FAMILIAR",IF(F5370="NEW",IF(ISNA(VLOOKUP(E5370,#REF!,1,FALSE())),"?TYPE_IDENTIFIABLE","?REFERENTIAL"),"_")))))</f>
        <v> </v>
      </c>
      <c r="H5370" s="25" t="str">
        <f>IF(J5370&lt;&gt;1,"",IF(I5370="SBJ","CB","?"))</f>
        <v> </v>
      </c>
      <c r="I5370" s="26" t="str">
        <f>IF(OR(E5370="",E5370="!!!",F5370="NEW"),"",INDEX(B5369:B$2,-1+SUMPRODUCT(MAX(ROW(E5369:E$2)*(E5370=E5369:E$2)))))</f>
        <v> </v>
      </c>
      <c r="J5370" s="26" t="str">
        <f>IF(OR(E5370="",E5370="!!!",F5370="NEW"),"",COUNTBLANK(OFFSET(A$1,,,SUMPRODUCT(MAX(ROW(E$2:E5370)*(E5370=E$2:E5370)))))-COUNTBLANK(OFFSET(A$1,,,SUMPRODUCT(MAX(ROW(E$1:E5369)*(E2=E$1:E5369))))))</f>
        <v> </v>
      </c>
      <c r="K5370" s="26" t="str">
        <f>IF(OR(E5370="",E5370="!!!",F5370="NEW"),"",INDEX(J$1:J5369,SUMPRODUCT(MAX(ROW(E$1:E5369)*(E5370=E$1:E5369)))))</f>
        <v> </v>
      </c>
      <c r="L5370" s="27"/>
    </row>
    <row r="5371" spans="1:12">
      <c r="A5371" s="20" t="s">
        <v>1266</v>
      </c>
      <c r="E5371" s="22">
        <f>IF(D5371="?OLD","!!!","")</f>
        <v/>
      </c>
      <c r="F5371" s="23" t="str">
        <f>IF(OR(E5371="",E5371="!!!"),"",IF(NOT(ISNA(VLOOKUP(E5371,E$1:E5370,1,FALSE()))),"OLD",IF(AND(E5371&lt;&gt;"",E5371&lt;&gt;"!!!"),"NEW","")))</f>
        <v> </v>
      </c>
      <c r="G5371" s="24" t="str">
        <f>IF(OR(E5371="",E5371="!!!"),"",IF(OR(J5371=0,AND(J5371=1,K5371=1),AND(J5371=1,I5371="SBJ"),AND(J5371=1,I5371=0)),"?IN_FOCUS",IF(J5371&lt;=2,"?ACTIVATED",IF(J5371&lt;&gt;"","?FAMILIAR",IF(F5371="NEW",IF(ISNA(VLOOKUP(E5371,#REF!,1,FALSE())),"?TYPE_IDENTIFIABLE","?REFERENTIAL"),"_")))))</f>
        <v> </v>
      </c>
      <c r="H5371" s="25" t="str">
        <f>IF(J5371&lt;&gt;1,"",IF(I5371="SBJ","CB","?"))</f>
        <v> </v>
      </c>
      <c r="I5371" s="26" t="str">
        <f>IF(OR(E5371="",E5371="!!!",F5371="NEW"),"",INDEX(B5370:B$2,-1+SUMPRODUCT(MAX(ROW(E5370:E$2)*(E5371=E5370:E$2)))))</f>
        <v> </v>
      </c>
      <c r="J5371" s="26" t="str">
        <f>IF(OR(E5371="",E5371="!!!",F5371="NEW"),"",COUNTBLANK(OFFSET(A$1,,,SUMPRODUCT(MAX(ROW(E$2:E5371)*(E5371=E$2:E5371)))))-COUNTBLANK(OFFSET(A$1,,,SUMPRODUCT(MAX(ROW(E$1:E5370)*(E2=E$1:E5370))))))</f>
        <v> </v>
      </c>
      <c r="K5371" s="26" t="str">
        <f>IF(OR(E5371="",E5371="!!!",F5371="NEW"),"",INDEX(J$1:J5370,SUMPRODUCT(MAX(ROW(E$1:E5370)*(E5371=E$1:E5370)))))</f>
        <v> </v>
      </c>
      <c r="L5371" s="27"/>
    </row>
    <row r="5372" spans="1:12">
      <c r="A5372" s="20" t="s">
        <v>1515</v>
      </c>
      <c r="B5372" s="21" t="s">
        <v>1221</v>
      </c>
      <c r="C5372" s="21" t="s">
        <v>1269</v>
      </c>
      <c r="D5372" s="21" t="s">
        <v>1217</v>
      </c>
      <c r="E5372" s="22">
        <f>IF(D5372="?OLD","!!!","")</f>
        <v/>
      </c>
      <c r="F5372" s="23" t="str">
        <f>IF(OR(E5372="",E5372="!!!"),"",IF(NOT(ISNA(VLOOKUP(E5372,E$1:E5371,1,FALSE()))),"OLD",IF(AND(E5372&lt;&gt;"",E5372&lt;&gt;"!!!"),"NEW","")))</f>
        <v> </v>
      </c>
      <c r="G5372" s="24" t="str">
        <f>IF(OR(E5372="",E5372="!!!"),"",IF(OR(J5372=0,AND(J5372=1,K5372=1),AND(J5372=1,I5372="SBJ"),AND(J5372=1,I5372=0)),"?IN_FOCUS",IF(J5372&lt;=2,"?ACTIVATED",IF(J5372&lt;&gt;"","?FAMILIAR",IF(F5372="NEW",IF(ISNA(VLOOKUP(E5372,#REF!,1,FALSE())),"?TYPE_IDENTIFIABLE","?REFERENTIAL"),"_")))))</f>
        <v> </v>
      </c>
      <c r="H5372" s="25" t="str">
        <f>IF(J5372&lt;&gt;1,"",IF(I5372="SBJ","CB","?"))</f>
        <v> </v>
      </c>
      <c r="I5372" s="26" t="str">
        <f>IF(OR(E5372="",E5372="!!!",F5372="NEW"),"",INDEX(B5371:B$2,-1+SUMPRODUCT(MAX(ROW(E5371:E$2)*(E5372=E5371:E$2)))))</f>
        <v> </v>
      </c>
      <c r="J5372" s="26" t="str">
        <f>IF(OR(E5372="",E5372="!!!",F5372="NEW"),"",COUNTBLANK(OFFSET(A$1,,,SUMPRODUCT(MAX(ROW(E$2:E5372)*(E5372=E$2:E5372)))))-COUNTBLANK(OFFSET(A$1,,,SUMPRODUCT(MAX(ROW(E$1:E5371)*(E2=E$1:E5371))))))</f>
        <v> </v>
      </c>
      <c r="K5372" s="26" t="str">
        <f>IF(OR(E5372="",E5372="!!!",F5372="NEW"),"",INDEX(J$1:J5371,SUMPRODUCT(MAX(ROW(E$1:E5371)*(E5372=E$1:E5371)))))</f>
        <v> </v>
      </c>
      <c r="L5372" s="27"/>
    </row>
    <row r="5373" spans="1:12">
      <c r="A5373" s="20" t="s">
        <v>1262</v>
      </c>
      <c r="E5373" s="22">
        <f>IF(D5373="?OLD","!!!","")</f>
        <v/>
      </c>
      <c r="F5373" s="23" t="str">
        <f>IF(OR(E5373="",E5373="!!!"),"",IF(NOT(ISNA(VLOOKUP(E5373,E$1:E5372,1,FALSE()))),"OLD",IF(AND(E5373&lt;&gt;"",E5373&lt;&gt;"!!!"),"NEW","")))</f>
        <v> </v>
      </c>
      <c r="G5373" s="24" t="str">
        <f>IF(OR(E5373="",E5373="!!!"),"",IF(OR(J5373=0,AND(J5373=1,K5373=1),AND(J5373=1,I5373="SBJ"),AND(J5373=1,I5373=0)),"?IN_FOCUS",IF(J5373&lt;=2,"?ACTIVATED",IF(J5373&lt;&gt;"","?FAMILIAR",IF(F5373="NEW",IF(ISNA(VLOOKUP(E5373,#REF!,1,FALSE())),"?TYPE_IDENTIFIABLE","?REFERENTIAL"),"_")))))</f>
        <v> </v>
      </c>
      <c r="H5373" s="25" t="str">
        <f>IF(J5373&lt;&gt;1,"",IF(I5373="SBJ","CB","?"))</f>
        <v> </v>
      </c>
      <c r="I5373" s="26" t="str">
        <f>IF(OR(E5373="",E5373="!!!",F5373="NEW"),"",INDEX(B5372:B$2,-1+SUMPRODUCT(MAX(ROW(E5372:E$2)*(E5373=E5372:E$2)))))</f>
        <v> </v>
      </c>
      <c r="J5373" s="26" t="str">
        <f>IF(OR(E5373="",E5373="!!!",F5373="NEW"),"",COUNTBLANK(OFFSET(A$1,,,SUMPRODUCT(MAX(ROW(E$2:E5373)*(E5373=E$2:E5373)))))-COUNTBLANK(OFFSET(A$1,,,SUMPRODUCT(MAX(ROW(E$1:E5372)*(E2=E$1:E5372))))))</f>
        <v> </v>
      </c>
      <c r="K5373" s="26" t="str">
        <f>IF(OR(E5373="",E5373="!!!",F5373="NEW"),"",INDEX(J$1:J5372,SUMPRODUCT(MAX(ROW(E$1:E5372)*(E5373=E$1:E5372)))))</f>
        <v> </v>
      </c>
      <c r="L5373" s="27"/>
    </row>
    <row r="5374" spans="1:12">
      <c r="A5374" s="20"/>
    </row>
    <row r="5375" spans="1:12">
      <c r="A5375" s="20" t="s">
        <v>2915</v>
      </c>
    </row>
    <row r="5376" spans="1:12">
      <c r="A5376" s="20" t="s">
        <v>2916</v>
      </c>
      <c r="E5376" s="22">
        <f>IF(D5376="?OLD","!!!","")</f>
        <v/>
      </c>
      <c r="F5376" s="23" t="str">
        <f>IF(OR(E5376="",E5376="!!!"),"",IF(NOT(ISNA(VLOOKUP(E5376,E$1:E5375,1,FALSE()))),"OLD",IF(AND(E5376&lt;&gt;"",E5376&lt;&gt;"!!!"),"NEW","")))</f>
        <v> </v>
      </c>
      <c r="G5376" s="24" t="str">
        <f>IF(OR(E5376="",E5376="!!!"),"",IF(OR(J5376=0,AND(J5376=1,K5376=1),AND(J5376=1,I5376="SBJ"),AND(J5376=1,I5376=0)),"?IN_FOCUS",IF(J5376&lt;=2,"?ACTIVATED",IF(J5376&lt;&gt;"","?FAMILIAR",IF(F5376="NEW",IF(ISNA(VLOOKUP(E5376,#REF!,1,FALSE())),"?TYPE_IDENTIFIABLE","?REFERENTIAL"),"_")))))</f>
        <v> </v>
      </c>
      <c r="H5376" s="25" t="str">
        <f>IF(J5376&lt;&gt;1,"",IF(I5376="SBJ","CB","?"))</f>
        <v> </v>
      </c>
      <c r="I5376" s="26" t="str">
        <f>IF(OR(E5376="",E5376="!!!",F5376="NEW"),"",INDEX(B5375:B$2,-1+SUMPRODUCT(MAX(ROW(E5375:E$2)*(E5376=E5375:E$2)))))</f>
        <v> </v>
      </c>
      <c r="J5376" s="26" t="str">
        <f>IF(OR(E5376="",E5376="!!!",F5376="NEW"),"",COUNTBLANK(OFFSET(A$1,,,SUMPRODUCT(MAX(ROW(E$2:E5376)*(E5376=E$2:E5376)))))-COUNTBLANK(OFFSET(A$1,,,SUMPRODUCT(MAX(ROW(E$1:E5375)*(E2=E$1:E5375))))))</f>
        <v> </v>
      </c>
      <c r="K5376" s="26" t="str">
        <f>IF(OR(E5376="",E5376="!!!",F5376="NEW"),"",INDEX(J$1:J5375,SUMPRODUCT(MAX(ROW(E$1:E5375)*(E5376=E$1:E5375)))))</f>
        <v> </v>
      </c>
      <c r="L5376" s="27"/>
    </row>
    <row r="5377" spans="1:12">
      <c r="A5377" s="20" t="s">
        <v>2917</v>
      </c>
      <c r="B5377" s="21" t="s">
        <v>1215</v>
      </c>
      <c r="C5377" s="21" t="s">
        <v>1297</v>
      </c>
      <c r="E5377" s="22">
        <f>IF(D5377="?OLD","!!!","")</f>
        <v/>
      </c>
      <c r="F5377" s="23" t="str">
        <f>IF(OR(E5377="",E5377="!!!"),"",IF(NOT(ISNA(VLOOKUP(E5377,E$1:E5376,1,FALSE()))),"OLD",IF(AND(E5377&lt;&gt;"",E5377&lt;&gt;"!!!"),"NEW","")))</f>
        <v> </v>
      </c>
      <c r="G5377" s="24" t="str">
        <f>IF(OR(E5377="",E5377="!!!"),"",IF(OR(J5377=0,AND(J5377=1,K5377=1),AND(J5377=1,I5377="SBJ"),AND(J5377=1,I5377=0)),"?IN_FOCUS",IF(J5377&lt;=2,"?ACTIVATED",IF(J5377&lt;&gt;"","?FAMILIAR",IF(F5377="NEW",IF(ISNA(VLOOKUP(E5377,#REF!,1,FALSE())),"?TYPE_IDENTIFIABLE","?REFERENTIAL"),"_")))))</f>
        <v> </v>
      </c>
      <c r="H5377" s="25" t="str">
        <f>IF(J5377&lt;&gt;1,"",IF(I5377="SBJ","CB","?"))</f>
        <v> </v>
      </c>
      <c r="I5377" s="26" t="str">
        <f>IF(OR(E5377="",E5377="!!!",F5377="NEW"),"",INDEX(B5376:B$2,-1+SUMPRODUCT(MAX(ROW(E5376:E$2)*(E5377=E5376:E$2)))))</f>
        <v> </v>
      </c>
      <c r="J5377" s="26" t="str">
        <f>IF(OR(E5377="",E5377="!!!",F5377="NEW"),"",COUNTBLANK(OFFSET(A$1,,,SUMPRODUCT(MAX(ROW(E$2:E5377)*(E5377=E$2:E5377)))))-COUNTBLANK(OFFSET(A$1,,,SUMPRODUCT(MAX(ROW(E$1:E5376)*(E2=E$1:E5376))))))</f>
        <v> </v>
      </c>
      <c r="K5377" s="26" t="str">
        <f>IF(OR(E5377="",E5377="!!!",F5377="NEW"),"",INDEX(J$1:J5376,SUMPRODUCT(MAX(ROW(E$1:E5376)*(E5377=E$1:E5376)))))</f>
        <v> </v>
      </c>
      <c r="L5377" s="27"/>
    </row>
    <row r="5378" spans="1:12">
      <c r="A5378" s="20" t="s">
        <v>1257</v>
      </c>
      <c r="E5378" s="22">
        <f>IF(D5378="?OLD","!!!","")</f>
        <v/>
      </c>
      <c r="F5378" s="23" t="str">
        <f>IF(OR(E5378="",E5378="!!!"),"",IF(NOT(ISNA(VLOOKUP(E5378,E$1:E5377,1,FALSE()))),"OLD",IF(AND(E5378&lt;&gt;"",E5378&lt;&gt;"!!!"),"NEW","")))</f>
        <v> </v>
      </c>
      <c r="G5378" s="24" t="str">
        <f>IF(OR(E5378="",E5378="!!!"),"",IF(OR(J5378=0,AND(J5378=1,K5378=1),AND(J5378=1,I5378="SBJ"),AND(J5378=1,I5378=0)),"?IN_FOCUS",IF(J5378&lt;=2,"?ACTIVATED",IF(J5378&lt;&gt;"","?FAMILIAR",IF(F5378="NEW",IF(ISNA(VLOOKUP(E5378,#REF!,1,FALSE())),"?TYPE_IDENTIFIABLE","?REFERENTIAL"),"_")))))</f>
        <v> </v>
      </c>
      <c r="H5378" s="25" t="str">
        <f>IF(J5378&lt;&gt;1,"",IF(I5378="SBJ","CB","?"))</f>
        <v> </v>
      </c>
      <c r="I5378" s="26" t="str">
        <f>IF(OR(E5378="",E5378="!!!",F5378="NEW"),"",INDEX(B5377:B$2,-1+SUMPRODUCT(MAX(ROW(E5377:E$2)*(E5378=E5377:E$2)))))</f>
        <v> </v>
      </c>
      <c r="J5378" s="26" t="str">
        <f>IF(OR(E5378="",E5378="!!!",F5378="NEW"),"",COUNTBLANK(OFFSET(A$1,,,SUMPRODUCT(MAX(ROW(E$2:E5378)*(E5378=E$2:E5378)))))-COUNTBLANK(OFFSET(A$1,,,SUMPRODUCT(MAX(ROW(E$1:E5377)*(E2=E$1:E5377))))))</f>
        <v> </v>
      </c>
      <c r="K5378" s="26" t="str">
        <f>IF(OR(E5378="",E5378="!!!",F5378="NEW"),"",INDEX(J$1:J5377,SUMPRODUCT(MAX(ROW(E$1:E5377)*(E5378=E$1:E5377)))))</f>
        <v> </v>
      </c>
      <c r="L5378" s="27"/>
    </row>
    <row r="5379" spans="1:12">
      <c r="A5379" s="20" t="s">
        <v>1323</v>
      </c>
      <c r="E5379" s="22">
        <f>IF(D5379="?OLD","!!!","")</f>
        <v/>
      </c>
      <c r="F5379" s="23" t="str">
        <f>IF(OR(E5379="",E5379="!!!"),"",IF(NOT(ISNA(VLOOKUP(E5379,E$1:E5378,1,FALSE()))),"OLD",IF(AND(E5379&lt;&gt;"",E5379&lt;&gt;"!!!"),"NEW","")))</f>
        <v> </v>
      </c>
      <c r="G5379" s="24" t="str">
        <f>IF(OR(E5379="",E5379="!!!"),"",IF(OR(J5379=0,AND(J5379=1,K5379=1),AND(J5379=1,I5379="SBJ"),AND(J5379=1,I5379=0)),"?IN_FOCUS",IF(J5379&lt;=2,"?ACTIVATED",IF(J5379&lt;&gt;"","?FAMILIAR",IF(F5379="NEW",IF(ISNA(VLOOKUP(E5379,#REF!,1,FALSE())),"?TYPE_IDENTIFIABLE","?REFERENTIAL"),"_")))))</f>
        <v> </v>
      </c>
      <c r="H5379" s="25" t="str">
        <f>IF(J5379&lt;&gt;1,"",IF(I5379="SBJ","CB","?"))</f>
        <v> </v>
      </c>
      <c r="I5379" s="26" t="str">
        <f>IF(OR(E5379="",E5379="!!!",F5379="NEW"),"",INDEX(B5378:B$2,-1+SUMPRODUCT(MAX(ROW(E5378:E$2)*(E5379=E5378:E$2)))))</f>
        <v> </v>
      </c>
      <c r="J5379" s="26" t="str">
        <f>IF(OR(E5379="",E5379="!!!",F5379="NEW"),"",COUNTBLANK(OFFSET(A$1,,,SUMPRODUCT(MAX(ROW(E$2:E5379)*(E5379=E$2:E5379)))))-COUNTBLANK(OFFSET(A$1,,,SUMPRODUCT(MAX(ROW(E$1:E5378)*(E2=E$1:E5378))))))</f>
        <v> </v>
      </c>
      <c r="K5379" s="26" t="str">
        <f>IF(OR(E5379="",E5379="!!!",F5379="NEW"),"",INDEX(J$1:J5378,SUMPRODUCT(MAX(ROW(E$1:E5378)*(E5379=E$1:E5378)))))</f>
        <v> </v>
      </c>
      <c r="L5379" s="27"/>
    </row>
    <row r="5380" spans="1:12">
      <c r="A5380" s="20" t="s">
        <v>1518</v>
      </c>
      <c r="E5380" s="22">
        <f>IF(D5380="?OLD","!!!","")</f>
        <v/>
      </c>
      <c r="F5380" s="23" t="str">
        <f>IF(OR(E5380="",E5380="!!!"),"",IF(NOT(ISNA(VLOOKUP(E5380,E$1:E5379,1,FALSE()))),"OLD",IF(AND(E5380&lt;&gt;"",E5380&lt;&gt;"!!!"),"NEW","")))</f>
        <v> </v>
      </c>
      <c r="G5380" s="24" t="str">
        <f>IF(OR(E5380="",E5380="!!!"),"",IF(OR(J5380=0,AND(J5380=1,K5380=1),AND(J5380=1,I5380="SBJ"),AND(J5380=1,I5380=0)),"?IN_FOCUS",IF(J5380&lt;=2,"?ACTIVATED",IF(J5380&lt;&gt;"","?FAMILIAR",IF(F5380="NEW",IF(ISNA(VLOOKUP(E5380,#REF!,1,FALSE())),"?TYPE_IDENTIFIABLE","?REFERENTIAL"),"_")))))</f>
        <v> </v>
      </c>
      <c r="H5380" s="25" t="str">
        <f>IF(J5380&lt;&gt;1,"",IF(I5380="SBJ","CB","?"))</f>
        <v> </v>
      </c>
      <c r="I5380" s="26" t="str">
        <f>IF(OR(E5380="",E5380="!!!",F5380="NEW"),"",INDEX(B5379:B$2,-1+SUMPRODUCT(MAX(ROW(E5379:E$2)*(E5380=E5379:E$2)))))</f>
        <v> </v>
      </c>
      <c r="J5380" s="26" t="str">
        <f>IF(OR(E5380="",E5380="!!!",F5380="NEW"),"",COUNTBLANK(OFFSET(A$1,,,SUMPRODUCT(MAX(ROW(E$2:E5380)*(E5380=E$2:E5380)))))-COUNTBLANK(OFFSET(A$1,,,SUMPRODUCT(MAX(ROW(E$1:E5379)*(E2=E$1:E5379))))))</f>
        <v> </v>
      </c>
      <c r="K5380" s="26" t="str">
        <f>IF(OR(E5380="",E5380="!!!",F5380="NEW"),"",INDEX(J$1:J5379,SUMPRODUCT(MAX(ROW(E$1:E5379)*(E5380=E$1:E5379)))))</f>
        <v> </v>
      </c>
      <c r="L5380" s="27"/>
    </row>
    <row r="5381" spans="1:12">
      <c r="A5381" s="20" t="s">
        <v>1519</v>
      </c>
      <c r="B5381" s="21" t="s">
        <v>1221</v>
      </c>
      <c r="C5381" s="21" t="s">
        <v>1222</v>
      </c>
      <c r="D5381" s="21" t="s">
        <v>1217</v>
      </c>
      <c r="E5381" s="22">
        <f>IF(D5381="?OLD","!!!","")</f>
        <v/>
      </c>
      <c r="F5381" s="23" t="str">
        <f>IF(OR(E5381="",E5381="!!!"),"",IF(NOT(ISNA(VLOOKUP(E5381,E$1:E5380,1,FALSE()))),"OLD",IF(AND(E5381&lt;&gt;"",E5381&lt;&gt;"!!!"),"NEW","")))</f>
        <v> </v>
      </c>
      <c r="G5381" s="24" t="str">
        <f>IF(OR(E5381="",E5381="!!!"),"",IF(OR(J5381=0,AND(J5381=1,K5381=1),AND(J5381=1,I5381="SBJ"),AND(J5381=1,I5381=0)),"?IN_FOCUS",IF(J5381&lt;=2,"?ACTIVATED",IF(J5381&lt;&gt;"","?FAMILIAR",IF(F5381="NEW",IF(ISNA(VLOOKUP(E5381,#REF!,1,FALSE())),"?TYPE_IDENTIFIABLE","?REFERENTIAL"),"_")))))</f>
        <v> </v>
      </c>
      <c r="H5381" s="25" t="str">
        <f>IF(J5381&lt;&gt;1,"",IF(I5381="SBJ","CB","?"))</f>
        <v> </v>
      </c>
      <c r="I5381" s="26" t="str">
        <f>IF(OR(E5381="",E5381="!!!",F5381="NEW"),"",INDEX(B5380:B$2,-1+SUMPRODUCT(MAX(ROW(E5380:E$2)*(E5381=E5380:E$2)))))</f>
        <v> </v>
      </c>
      <c r="J5381" s="26" t="str">
        <f>IF(OR(E5381="",E5381="!!!",F5381="NEW"),"",COUNTBLANK(OFFSET(A$1,,,SUMPRODUCT(MAX(ROW(E$2:E5381)*(E5381=E$2:E5381)))))-COUNTBLANK(OFFSET(A$1,,,SUMPRODUCT(MAX(ROW(E$1:E5380)*(E2=E$1:E5380))))))</f>
        <v> </v>
      </c>
      <c r="K5381" s="26" t="str">
        <f>IF(OR(E5381="",E5381="!!!",F5381="NEW"),"",INDEX(J$1:J5380,SUMPRODUCT(MAX(ROW(E$1:E5380)*(E5381=E$1:E5380)))))</f>
        <v> </v>
      </c>
      <c r="L5381" s="27"/>
    </row>
    <row r="5382" spans="1:12">
      <c r="A5382" s="20" t="s">
        <v>1218</v>
      </c>
      <c r="E5382" s="22">
        <f>IF(D5382="?OLD","!!!","")</f>
        <v/>
      </c>
      <c r="F5382" s="23" t="str">
        <f>IF(OR(E5382="",E5382="!!!"),"",IF(NOT(ISNA(VLOOKUP(E5382,E$1:E5381,1,FALSE()))),"OLD",IF(AND(E5382&lt;&gt;"",E5382&lt;&gt;"!!!"),"NEW","")))</f>
        <v> </v>
      </c>
      <c r="G5382" s="24" t="str">
        <f>IF(OR(E5382="",E5382="!!!"),"",IF(OR(J5382=0,AND(J5382=1,K5382=1),AND(J5382=1,I5382="SBJ"),AND(J5382=1,I5382=0)),"?IN_FOCUS",IF(J5382&lt;=2,"?ACTIVATED",IF(J5382&lt;&gt;"","?FAMILIAR",IF(F5382="NEW",IF(ISNA(VLOOKUP(E5382,#REF!,1,FALSE())),"?TYPE_IDENTIFIABLE","?REFERENTIAL"),"_")))))</f>
        <v> </v>
      </c>
      <c r="H5382" s="25" t="str">
        <f>IF(J5382&lt;&gt;1,"",IF(I5382="SBJ","CB","?"))</f>
        <v> </v>
      </c>
      <c r="I5382" s="26" t="str">
        <f>IF(OR(E5382="",E5382="!!!",F5382="NEW"),"",INDEX(B5381:B$2,-1+SUMPRODUCT(MAX(ROW(E5381:E$2)*(E5382=E5381:E$2)))))</f>
        <v> </v>
      </c>
      <c r="J5382" s="26" t="str">
        <f>IF(OR(E5382="",E5382="!!!",F5382="NEW"),"",COUNTBLANK(OFFSET(A$1,,,SUMPRODUCT(MAX(ROW(E$2:E5382)*(E5382=E$2:E5382)))))-COUNTBLANK(OFFSET(A$1,,,SUMPRODUCT(MAX(ROW(E$1:E5381)*(E2=E$1:E5381))))))</f>
        <v> </v>
      </c>
      <c r="K5382" s="26" t="str">
        <f>IF(OR(E5382="",E5382="!!!",F5382="NEW"),"",INDEX(J$1:J5381,SUMPRODUCT(MAX(ROW(E$1:E5381)*(E5382=E$1:E5381)))))</f>
        <v> </v>
      </c>
      <c r="L5382" s="27"/>
    </row>
    <row r="5383" spans="1:12">
      <c r="A5383" s="20" t="s">
        <v>1520</v>
      </c>
      <c r="B5383" s="21" t="s">
        <v>1224</v>
      </c>
      <c r="C5383" s="21" t="s">
        <v>1225</v>
      </c>
      <c r="D5383" s="21" t="s">
        <v>1217</v>
      </c>
      <c r="E5383" s="22">
        <f>IF(D5383="?OLD","!!!","")</f>
        <v/>
      </c>
      <c r="F5383" s="23" t="str">
        <f>IF(OR(E5383="",E5383="!!!"),"",IF(NOT(ISNA(VLOOKUP(E5383,E$1:E5382,1,FALSE()))),"OLD",IF(AND(E5383&lt;&gt;"",E5383&lt;&gt;"!!!"),"NEW","")))</f>
        <v> </v>
      </c>
      <c r="G5383" s="24" t="str">
        <f>IF(OR(E5383="",E5383="!!!"),"",IF(OR(J5383=0,AND(J5383=1,K5383=1),AND(J5383=1,I5383="SBJ"),AND(J5383=1,I5383=0)),"?IN_FOCUS",IF(J5383&lt;=2,"?ACTIVATED",IF(J5383&lt;&gt;"","?FAMILIAR",IF(F5383="NEW",IF(ISNA(VLOOKUP(E5383,#REF!,1,FALSE())),"?TYPE_IDENTIFIABLE","?REFERENTIAL"),"_")))))</f>
        <v> </v>
      </c>
      <c r="H5383" s="25" t="str">
        <f>IF(J5383&lt;&gt;1,"",IF(I5383="SBJ","CB","?"))</f>
        <v> </v>
      </c>
      <c r="I5383" s="26" t="str">
        <f>IF(OR(E5383="",E5383="!!!",F5383="NEW"),"",INDEX(B5382:B$2,-1+SUMPRODUCT(MAX(ROW(E5382:E$2)*(E5383=E5382:E$2)))))</f>
        <v> </v>
      </c>
      <c r="J5383" s="26" t="str">
        <f>IF(OR(E5383="",E5383="!!!",F5383="NEW"),"",COUNTBLANK(OFFSET(A$1,,,SUMPRODUCT(MAX(ROW(E$2:E5383)*(E5383=E$2:E5383)))))-COUNTBLANK(OFFSET(A$1,,,SUMPRODUCT(MAX(ROW(E$1:E5382)*(E2=E$1:E5382))))))</f>
        <v> </v>
      </c>
      <c r="K5383" s="26" t="str">
        <f>IF(OR(E5383="",E5383="!!!",F5383="NEW"),"",INDEX(J$1:J5382,SUMPRODUCT(MAX(ROW(E$1:E5382)*(E5383=E$1:E5382)))))</f>
        <v> </v>
      </c>
      <c r="L5383" s="27"/>
    </row>
    <row r="5384" spans="1:12">
      <c r="A5384" s="20" t="s">
        <v>1277</v>
      </c>
      <c r="E5384" s="22">
        <f>IF(D5384="?OLD","!!!","")</f>
        <v/>
      </c>
      <c r="F5384" s="23" t="str">
        <f>IF(OR(E5384="",E5384="!!!"),"",IF(NOT(ISNA(VLOOKUP(E5384,E$1:E5383,1,FALSE()))),"OLD",IF(AND(E5384&lt;&gt;"",E5384&lt;&gt;"!!!"),"NEW","")))</f>
        <v> </v>
      </c>
      <c r="G5384" s="24" t="str">
        <f>IF(OR(E5384="",E5384="!!!"),"",IF(OR(J5384=0,AND(J5384=1,K5384=1),AND(J5384=1,I5384="SBJ"),AND(J5384=1,I5384=0)),"?IN_FOCUS",IF(J5384&lt;=2,"?ACTIVATED",IF(J5384&lt;&gt;"","?FAMILIAR",IF(F5384="NEW",IF(ISNA(VLOOKUP(E5384,#REF!,1,FALSE())),"?TYPE_IDENTIFIABLE","?REFERENTIAL"),"_")))))</f>
        <v> </v>
      </c>
      <c r="H5384" s="25" t="str">
        <f>IF(J5384&lt;&gt;1,"",IF(I5384="SBJ","CB","?"))</f>
        <v> </v>
      </c>
      <c r="I5384" s="26" t="str">
        <f>IF(OR(E5384="",E5384="!!!",F5384="NEW"),"",INDEX(B5383:B$2,-1+SUMPRODUCT(MAX(ROW(E5383:E$2)*(E5384=E5383:E$2)))))</f>
        <v> </v>
      </c>
      <c r="J5384" s="26" t="str">
        <f>IF(OR(E5384="",E5384="!!!",F5384="NEW"),"",COUNTBLANK(OFFSET(A$1,,,SUMPRODUCT(MAX(ROW(E$2:E5384)*(E5384=E$2:E5384)))))-COUNTBLANK(OFFSET(A$1,,,SUMPRODUCT(MAX(ROW(E$1:E5383)*(E2=E$1:E5383))))))</f>
        <v> </v>
      </c>
      <c r="K5384" s="26" t="str">
        <f>IF(OR(E5384="",E5384="!!!",F5384="NEW"),"",INDEX(J$1:J5383,SUMPRODUCT(MAX(ROW(E$1:E5383)*(E5384=E$1:E5383)))))</f>
        <v> </v>
      </c>
      <c r="L5384" s="27"/>
    </row>
    <row r="5385" spans="1:12">
      <c r="A5385" s="20" t="s">
        <v>1634</v>
      </c>
      <c r="E5385" s="22">
        <f>IF(D5385="?OLD","!!!","")</f>
        <v/>
      </c>
      <c r="F5385" s="23" t="str">
        <f>IF(OR(E5385="",E5385="!!!"),"",IF(NOT(ISNA(VLOOKUP(E5385,E$1:E5384,1,FALSE()))),"OLD",IF(AND(E5385&lt;&gt;"",E5385&lt;&gt;"!!!"),"NEW","")))</f>
        <v> </v>
      </c>
      <c r="G5385" s="24" t="str">
        <f>IF(OR(E5385="",E5385="!!!"),"",IF(OR(J5385=0,AND(J5385=1,K5385=1),AND(J5385=1,I5385="SBJ"),AND(J5385=1,I5385=0)),"?IN_FOCUS",IF(J5385&lt;=2,"?ACTIVATED",IF(J5385&lt;&gt;"","?FAMILIAR",IF(F5385="NEW",IF(ISNA(VLOOKUP(E5385,#REF!,1,FALSE())),"?TYPE_IDENTIFIABLE","?REFERENTIAL"),"_")))))</f>
        <v> </v>
      </c>
      <c r="H5385" s="25" t="str">
        <f>IF(J5385&lt;&gt;1,"",IF(I5385="SBJ","CB","?"))</f>
        <v> </v>
      </c>
      <c r="I5385" s="26" t="str">
        <f>IF(OR(E5385="",E5385="!!!",F5385="NEW"),"",INDEX(B5384:B$2,-1+SUMPRODUCT(MAX(ROW(E5384:E$2)*(E5385=E5384:E$2)))))</f>
        <v> </v>
      </c>
      <c r="J5385" s="26" t="str">
        <f>IF(OR(E5385="",E5385="!!!",F5385="NEW"),"",COUNTBLANK(OFFSET(A$1,,,SUMPRODUCT(MAX(ROW(E$2:E5385)*(E5385=E$2:E5385)))))-COUNTBLANK(OFFSET(A$1,,,SUMPRODUCT(MAX(ROW(E$1:E5384)*(E2=E$1:E5384))))))</f>
        <v> </v>
      </c>
      <c r="K5385" s="26" t="str">
        <f>IF(OR(E5385="",E5385="!!!",F5385="NEW"),"",INDEX(J$1:J5384,SUMPRODUCT(MAX(ROW(E$1:E5384)*(E5385=E$1:E5384)))))</f>
        <v> </v>
      </c>
      <c r="L5385" s="27"/>
    </row>
    <row r="5386" spans="1:12">
      <c r="A5386" s="20" t="s">
        <v>2019</v>
      </c>
      <c r="B5386" s="21" t="s">
        <v>1224</v>
      </c>
      <c r="C5386" s="21" t="s">
        <v>1276</v>
      </c>
      <c r="D5386" s="21" t="s">
        <v>1217</v>
      </c>
      <c r="E5386" s="22">
        <f>IF(D5386="?OLD","!!!","")</f>
        <v/>
      </c>
      <c r="F5386" s="23" t="str">
        <f>IF(OR(E5386="",E5386="!!!"),"",IF(NOT(ISNA(VLOOKUP(E5386,E$1:E5385,1,FALSE()))),"OLD",IF(AND(E5386&lt;&gt;"",E5386&lt;&gt;"!!!"),"NEW","")))</f>
        <v> </v>
      </c>
      <c r="G5386" s="24" t="str">
        <f>IF(OR(E5386="",E5386="!!!"),"",IF(OR(J5386=0,AND(J5386=1,K5386=1),AND(J5386=1,I5386="SBJ"),AND(J5386=1,I5386=0)),"?IN_FOCUS",IF(J5386&lt;=2,"?ACTIVATED",IF(J5386&lt;&gt;"","?FAMILIAR",IF(F5386="NEW",IF(ISNA(VLOOKUP(E5386,#REF!,1,FALSE())),"?TYPE_IDENTIFIABLE","?REFERENTIAL"),"_")))))</f>
        <v> </v>
      </c>
      <c r="H5386" s="25" t="str">
        <f>IF(J5386&lt;&gt;1,"",IF(I5386="SBJ","CB","?"))</f>
        <v> </v>
      </c>
      <c r="I5386" s="26" t="str">
        <f>IF(OR(E5386="",E5386="!!!",F5386="NEW"),"",INDEX(B5385:B$2,-1+SUMPRODUCT(MAX(ROW(E5385:E$2)*(E5386=E5385:E$2)))))</f>
        <v> </v>
      </c>
      <c r="J5386" s="26" t="str">
        <f>IF(OR(E5386="",E5386="!!!",F5386="NEW"),"",COUNTBLANK(OFFSET(A$1,,,SUMPRODUCT(MAX(ROW(E$2:E5386)*(E5386=E$2:E5386)))))-COUNTBLANK(OFFSET(A$1,,,SUMPRODUCT(MAX(ROW(E$1:E5385)*(E2=E$1:E5385))))))</f>
        <v> </v>
      </c>
      <c r="K5386" s="26" t="str">
        <f>IF(OR(E5386="",E5386="!!!",F5386="NEW"),"",INDEX(J$1:J5385,SUMPRODUCT(MAX(ROW(E$1:E5385)*(E5386=E$1:E5385)))))</f>
        <v> </v>
      </c>
      <c r="L5386" s="27"/>
    </row>
    <row r="5387" spans="1:12">
      <c r="A5387" s="20" t="s">
        <v>1245</v>
      </c>
      <c r="E5387" s="22">
        <f>IF(D5387="?OLD","!!!","")</f>
        <v/>
      </c>
      <c r="F5387" s="23" t="str">
        <f>IF(OR(E5387="",E5387="!!!"),"",IF(NOT(ISNA(VLOOKUP(E5387,E$1:E5386,1,FALSE()))),"OLD",IF(AND(E5387&lt;&gt;"",E5387&lt;&gt;"!!!"),"NEW","")))</f>
        <v> </v>
      </c>
      <c r="G5387" s="24" t="str">
        <f>IF(OR(E5387="",E5387="!!!"),"",IF(OR(J5387=0,AND(J5387=1,K5387=1),AND(J5387=1,I5387="SBJ"),AND(J5387=1,I5387=0)),"?IN_FOCUS",IF(J5387&lt;=2,"?ACTIVATED",IF(J5387&lt;&gt;"","?FAMILIAR",IF(F5387="NEW",IF(ISNA(VLOOKUP(E5387,#REF!,1,FALSE())),"?TYPE_IDENTIFIABLE","?REFERENTIAL"),"_")))))</f>
        <v> </v>
      </c>
      <c r="H5387" s="25" t="str">
        <f>IF(J5387&lt;&gt;1,"",IF(I5387="SBJ","CB","?"))</f>
        <v> </v>
      </c>
      <c r="I5387" s="26" t="str">
        <f>IF(OR(E5387="",E5387="!!!",F5387="NEW"),"",INDEX(B5386:B$2,-1+SUMPRODUCT(MAX(ROW(E5386:E$2)*(E5387=E5386:E$2)))))</f>
        <v> </v>
      </c>
      <c r="J5387" s="26" t="str">
        <f>IF(OR(E5387="",E5387="!!!",F5387="NEW"),"",COUNTBLANK(OFFSET(A$1,,,SUMPRODUCT(MAX(ROW(E$2:E5387)*(E5387=E$2:E5387)))))-COUNTBLANK(OFFSET(A$1,,,SUMPRODUCT(MAX(ROW(E$1:E5386)*(E2=E$1:E5386))))))</f>
        <v> </v>
      </c>
      <c r="K5387" s="26" t="str">
        <f>IF(OR(E5387="",E5387="!!!",F5387="NEW"),"",INDEX(J$1:J5386,SUMPRODUCT(MAX(ROW(E$1:E5386)*(E5387=E$1:E5386)))))</f>
        <v> </v>
      </c>
      <c r="L5387" s="27"/>
    </row>
    <row r="5388" spans="1:12">
      <c r="A5388" s="20" t="s">
        <v>1266</v>
      </c>
      <c r="E5388" s="22">
        <f>IF(D5388="?OLD","!!!","")</f>
        <v/>
      </c>
      <c r="F5388" s="23" t="str">
        <f>IF(OR(E5388="",E5388="!!!"),"",IF(NOT(ISNA(VLOOKUP(E5388,E$1:E5387,1,FALSE()))),"OLD",IF(AND(E5388&lt;&gt;"",E5388&lt;&gt;"!!!"),"NEW","")))</f>
        <v> </v>
      </c>
      <c r="G5388" s="24" t="str">
        <f>IF(OR(E5388="",E5388="!!!"),"",IF(OR(J5388=0,AND(J5388=1,K5388=1),AND(J5388=1,I5388="SBJ"),AND(J5388=1,I5388=0)),"?IN_FOCUS",IF(J5388&lt;=2,"?ACTIVATED",IF(J5388&lt;&gt;"","?FAMILIAR",IF(F5388="NEW",IF(ISNA(VLOOKUP(E5388,#REF!,1,FALSE())),"?TYPE_IDENTIFIABLE","?REFERENTIAL"),"_")))))</f>
        <v> </v>
      </c>
      <c r="H5388" s="25" t="str">
        <f>IF(J5388&lt;&gt;1,"",IF(I5388="SBJ","CB","?"))</f>
        <v> </v>
      </c>
      <c r="I5388" s="26" t="str">
        <f>IF(OR(E5388="",E5388="!!!",F5388="NEW"),"",INDEX(B5387:B$2,-1+SUMPRODUCT(MAX(ROW(E5387:E$2)*(E5388=E5387:E$2)))))</f>
        <v> </v>
      </c>
      <c r="J5388" s="26" t="str">
        <f>IF(OR(E5388="",E5388="!!!",F5388="NEW"),"",COUNTBLANK(OFFSET(A$1,,,SUMPRODUCT(MAX(ROW(E$2:E5388)*(E5388=E$2:E5388)))))-COUNTBLANK(OFFSET(A$1,,,SUMPRODUCT(MAX(ROW(E$1:E5387)*(E2=E$1:E5387))))))</f>
        <v> </v>
      </c>
      <c r="K5388" s="26" t="str">
        <f>IF(OR(E5388="",E5388="!!!",F5388="NEW"),"",INDEX(J$1:J5387,SUMPRODUCT(MAX(ROW(E$1:E5387)*(E5388=E$1:E5387)))))</f>
        <v> </v>
      </c>
      <c r="L5388" s="27"/>
    </row>
    <row r="5389" spans="1:12">
      <c r="A5389" s="20" t="s">
        <v>2661</v>
      </c>
      <c r="B5389" s="21" t="s">
        <v>1226</v>
      </c>
      <c r="C5389" s="21" t="s">
        <v>1269</v>
      </c>
      <c r="D5389" s="21" t="s">
        <v>1217</v>
      </c>
      <c r="E5389" s="22">
        <f>IF(D5389="?OLD","!!!","")</f>
        <v/>
      </c>
      <c r="F5389" s="23" t="str">
        <f>IF(OR(E5389="",E5389="!!!"),"",IF(NOT(ISNA(VLOOKUP(E5389,E$1:E5388,1,FALSE()))),"OLD",IF(AND(E5389&lt;&gt;"",E5389&lt;&gt;"!!!"),"NEW","")))</f>
        <v> </v>
      </c>
      <c r="G5389" s="24" t="str">
        <f>IF(OR(E5389="",E5389="!!!"),"",IF(OR(J5389=0,AND(J5389=1,K5389=1),AND(J5389=1,I5389="SBJ"),AND(J5389=1,I5389=0)),"?IN_FOCUS",IF(J5389&lt;=2,"?ACTIVATED",IF(J5389&lt;&gt;"","?FAMILIAR",IF(F5389="NEW",IF(ISNA(VLOOKUP(E5389,#REF!,1,FALSE())),"?TYPE_IDENTIFIABLE","?REFERENTIAL"),"_")))))</f>
        <v> </v>
      </c>
      <c r="H5389" s="25" t="str">
        <f>IF(J5389&lt;&gt;1,"",IF(I5389="SBJ","CB","?"))</f>
        <v> </v>
      </c>
      <c r="I5389" s="26" t="str">
        <f>IF(OR(E5389="",E5389="!!!",F5389="NEW"),"",INDEX(B5388:B$2,-1+SUMPRODUCT(MAX(ROW(E5388:E$2)*(E5389=E5388:E$2)))))</f>
        <v> </v>
      </c>
      <c r="J5389" s="26" t="str">
        <f>IF(OR(E5389="",E5389="!!!",F5389="NEW"),"",COUNTBLANK(OFFSET(A$1,,,SUMPRODUCT(MAX(ROW(E$2:E5389)*(E5389=E$2:E5389)))))-COUNTBLANK(OFFSET(A$1,,,SUMPRODUCT(MAX(ROW(E$1:E5388)*(E2=E$1:E5388))))))</f>
        <v> </v>
      </c>
      <c r="K5389" s="26" t="str">
        <f>IF(OR(E5389="",E5389="!!!",F5389="NEW"),"",INDEX(J$1:J5388,SUMPRODUCT(MAX(ROW(E$1:E5388)*(E5389=E$1:E5388)))))</f>
        <v> </v>
      </c>
      <c r="L5389" s="27"/>
    </row>
    <row r="5390" spans="1:12">
      <c r="A5390" s="20" t="s">
        <v>2918</v>
      </c>
      <c r="E5390" s="22">
        <f>IF(D5390="?OLD","!!!","")</f>
        <v/>
      </c>
      <c r="F5390" s="23" t="str">
        <f>IF(OR(E5390="",E5390="!!!"),"",IF(NOT(ISNA(VLOOKUP(E5390,E$1:E5389,1,FALSE()))),"OLD",IF(AND(E5390&lt;&gt;"",E5390&lt;&gt;"!!!"),"NEW","")))</f>
        <v> </v>
      </c>
      <c r="G5390" s="24" t="str">
        <f>IF(OR(E5390="",E5390="!!!"),"",IF(OR(J5390=0,AND(J5390=1,K5390=1),AND(J5390=1,I5390="SBJ"),AND(J5390=1,I5390=0)),"?IN_FOCUS",IF(J5390&lt;=2,"?ACTIVATED",IF(J5390&lt;&gt;"","?FAMILIAR",IF(F5390="NEW",IF(ISNA(VLOOKUP(E5390,#REF!,1,FALSE())),"?TYPE_IDENTIFIABLE","?REFERENTIAL"),"_")))))</f>
        <v> </v>
      </c>
      <c r="H5390" s="25" t="str">
        <f>IF(J5390&lt;&gt;1,"",IF(I5390="SBJ","CB","?"))</f>
        <v> </v>
      </c>
      <c r="I5390" s="26" t="str">
        <f>IF(OR(E5390="",E5390="!!!",F5390="NEW"),"",INDEX(B5389:B$2,-1+SUMPRODUCT(MAX(ROW(E5389:E$2)*(E5390=E5389:E$2)))))</f>
        <v> </v>
      </c>
      <c r="J5390" s="26" t="str">
        <f>IF(OR(E5390="",E5390="!!!",F5390="NEW"),"",COUNTBLANK(OFFSET(A$1,,,SUMPRODUCT(MAX(ROW(E$2:E5390)*(E5390=E$2:E5390)))))-COUNTBLANK(OFFSET(A$1,,,SUMPRODUCT(MAX(ROW(E$1:E5389)*(E2=E$1:E5389))))))</f>
        <v> </v>
      </c>
      <c r="K5390" s="26" t="str">
        <f>IF(OR(E5390="",E5390="!!!",F5390="NEW"),"",INDEX(J$1:J5389,SUMPRODUCT(MAX(ROW(E$1:E5389)*(E5390=E$1:E5389)))))</f>
        <v> </v>
      </c>
      <c r="L5390" s="27"/>
    </row>
    <row r="5391" spans="1:12">
      <c r="A5391" s="20" t="s">
        <v>1286</v>
      </c>
      <c r="E5391" s="22">
        <f>IF(D5391="?OLD","!!!","")</f>
        <v/>
      </c>
      <c r="F5391" s="23" t="str">
        <f>IF(OR(E5391="",E5391="!!!"),"",IF(NOT(ISNA(VLOOKUP(E5391,E$1:E5390,1,FALSE()))),"OLD",IF(AND(E5391&lt;&gt;"",E5391&lt;&gt;"!!!"),"NEW","")))</f>
        <v> </v>
      </c>
      <c r="G5391" s="24" t="str">
        <f>IF(OR(E5391="",E5391="!!!"),"",IF(OR(J5391=0,AND(J5391=1,K5391=1),AND(J5391=1,I5391="SBJ"),AND(J5391=1,I5391=0)),"?IN_FOCUS",IF(J5391&lt;=2,"?ACTIVATED",IF(J5391&lt;&gt;"","?FAMILIAR",IF(F5391="NEW",IF(ISNA(VLOOKUP(E5391,#REF!,1,FALSE())),"?TYPE_IDENTIFIABLE","?REFERENTIAL"),"_")))))</f>
        <v> </v>
      </c>
      <c r="H5391" s="25" t="str">
        <f>IF(J5391&lt;&gt;1,"",IF(I5391="SBJ","CB","?"))</f>
        <v> </v>
      </c>
      <c r="I5391" s="26" t="str">
        <f>IF(OR(E5391="",E5391="!!!",F5391="NEW"),"",INDEX(B5390:B$2,-1+SUMPRODUCT(MAX(ROW(E5390:E$2)*(E5391=E5390:E$2)))))</f>
        <v> </v>
      </c>
      <c r="J5391" s="26" t="str">
        <f>IF(OR(E5391="",E5391="!!!",F5391="NEW"),"",COUNTBLANK(OFFSET(A$1,,,SUMPRODUCT(MAX(ROW(E$2:E5391)*(E5391=E$2:E5391)))))-COUNTBLANK(OFFSET(A$1,,,SUMPRODUCT(MAX(ROW(E$1:E5390)*(E2=E$1:E5390))))))</f>
        <v> </v>
      </c>
      <c r="K5391" s="26" t="str">
        <f>IF(OR(E5391="",E5391="!!!",F5391="NEW"),"",INDEX(J$1:J5390,SUMPRODUCT(MAX(ROW(E$1:E5390)*(E5391=E$1:E5390)))))</f>
        <v> </v>
      </c>
      <c r="L5391" s="27"/>
    </row>
    <row r="5392" spans="1:12">
      <c r="A5392" s="20" t="s">
        <v>2919</v>
      </c>
      <c r="E5392" s="22">
        <f>IF(D5392="?OLD","!!!","")</f>
        <v/>
      </c>
      <c r="F5392" s="23" t="str">
        <f>IF(OR(E5392="",E5392="!!!"),"",IF(NOT(ISNA(VLOOKUP(E5392,E$1:E5391,1,FALSE()))),"OLD",IF(AND(E5392&lt;&gt;"",E5392&lt;&gt;"!!!"),"NEW","")))</f>
        <v> </v>
      </c>
      <c r="G5392" s="24" t="str">
        <f>IF(OR(E5392="",E5392="!!!"),"",IF(OR(J5392=0,AND(J5392=1,K5392=1),AND(J5392=1,I5392="SBJ"),AND(J5392=1,I5392=0)),"?IN_FOCUS",IF(J5392&lt;=2,"?ACTIVATED",IF(J5392&lt;&gt;"","?FAMILIAR",IF(F5392="NEW",IF(ISNA(VLOOKUP(E5392,#REF!,1,FALSE())),"?TYPE_IDENTIFIABLE","?REFERENTIAL"),"_")))))</f>
        <v> </v>
      </c>
      <c r="H5392" s="25" t="str">
        <f>IF(J5392&lt;&gt;1,"",IF(I5392="SBJ","CB","?"))</f>
        <v> </v>
      </c>
      <c r="I5392" s="26" t="str">
        <f>IF(OR(E5392="",E5392="!!!",F5392="NEW"),"",INDEX(B5391:B$2,-1+SUMPRODUCT(MAX(ROW(E5391:E$2)*(E5392=E5391:E$2)))))</f>
        <v> </v>
      </c>
      <c r="J5392" s="26" t="str">
        <f>IF(OR(E5392="",E5392="!!!",F5392="NEW"),"",COUNTBLANK(OFFSET(A$1,,,SUMPRODUCT(MAX(ROW(E$2:E5392)*(E5392=E$2:E5392)))))-COUNTBLANK(OFFSET(A$1,,,SUMPRODUCT(MAX(ROW(E$1:E5391)*(E2=E$1:E5391))))))</f>
        <v> </v>
      </c>
      <c r="K5392" s="26" t="str">
        <f>IF(OR(E5392="",E5392="!!!",F5392="NEW"),"",INDEX(J$1:J5391,SUMPRODUCT(MAX(ROW(E$1:E5391)*(E5392=E$1:E5391)))))</f>
        <v> </v>
      </c>
      <c r="L5392" s="27"/>
    </row>
    <row r="5393" spans="1:12">
      <c r="A5393" s="20" t="s">
        <v>1302</v>
      </c>
      <c r="E5393" s="22">
        <f>IF(D5393="?OLD","!!!","")</f>
        <v/>
      </c>
      <c r="F5393" s="23" t="str">
        <f>IF(OR(E5393="",E5393="!!!"),"",IF(NOT(ISNA(VLOOKUP(E5393,E$1:E5392,1,FALSE()))),"OLD",IF(AND(E5393&lt;&gt;"",E5393&lt;&gt;"!!!"),"NEW","")))</f>
        <v> </v>
      </c>
      <c r="G5393" s="24" t="str">
        <f>IF(OR(E5393="",E5393="!!!"),"",IF(OR(J5393=0,AND(J5393=1,K5393=1),AND(J5393=1,I5393="SBJ"),AND(J5393=1,I5393=0)),"?IN_FOCUS",IF(J5393&lt;=2,"?ACTIVATED",IF(J5393&lt;&gt;"","?FAMILIAR",IF(F5393="NEW",IF(ISNA(VLOOKUP(E5393,#REF!,1,FALSE())),"?TYPE_IDENTIFIABLE","?REFERENTIAL"),"_")))))</f>
        <v> </v>
      </c>
      <c r="H5393" s="25" t="str">
        <f>IF(J5393&lt;&gt;1,"",IF(I5393="SBJ","CB","?"))</f>
        <v> </v>
      </c>
      <c r="I5393" s="26" t="str">
        <f>IF(OR(E5393="",E5393="!!!",F5393="NEW"),"",INDEX(B5392:B$2,-1+SUMPRODUCT(MAX(ROW(E5392:E$2)*(E5393=E5392:E$2)))))</f>
        <v> </v>
      </c>
      <c r="J5393" s="26" t="str">
        <f>IF(OR(E5393="",E5393="!!!",F5393="NEW"),"",COUNTBLANK(OFFSET(A$1,,,SUMPRODUCT(MAX(ROW(E$2:E5393)*(E5393=E$2:E5393)))))-COUNTBLANK(OFFSET(A$1,,,SUMPRODUCT(MAX(ROW(E$1:E5392)*(E2=E$1:E5392))))))</f>
        <v> </v>
      </c>
      <c r="K5393" s="26" t="str">
        <f>IF(OR(E5393="",E5393="!!!",F5393="NEW"),"",INDEX(J$1:J5392,SUMPRODUCT(MAX(ROW(E$1:E5392)*(E5393=E$1:E5392)))))</f>
        <v> </v>
      </c>
      <c r="L5393" s="27"/>
    </row>
    <row r="5394" spans="1:12">
      <c r="A5394" s="20" t="s">
        <v>2920</v>
      </c>
      <c r="E5394" s="22">
        <f>IF(D5394="?OLD","!!!","")</f>
        <v/>
      </c>
      <c r="F5394" s="23" t="str">
        <f>IF(OR(E5394="",E5394="!!!"),"",IF(NOT(ISNA(VLOOKUP(E5394,E$1:E5393,1,FALSE()))),"OLD",IF(AND(E5394&lt;&gt;"",E5394&lt;&gt;"!!!"),"NEW","")))</f>
        <v> </v>
      </c>
      <c r="G5394" s="24" t="str">
        <f>IF(OR(E5394="",E5394="!!!"),"",IF(OR(J5394=0,AND(J5394=1,K5394=1),AND(J5394=1,I5394="SBJ"),AND(J5394=1,I5394=0)),"?IN_FOCUS",IF(J5394&lt;=2,"?ACTIVATED",IF(J5394&lt;&gt;"","?FAMILIAR",IF(F5394="NEW",IF(ISNA(VLOOKUP(E5394,#REF!,1,FALSE())),"?TYPE_IDENTIFIABLE","?REFERENTIAL"),"_")))))</f>
        <v> </v>
      </c>
      <c r="H5394" s="25" t="str">
        <f>IF(J5394&lt;&gt;1,"",IF(I5394="SBJ","CB","?"))</f>
        <v> </v>
      </c>
      <c r="I5394" s="26" t="str">
        <f>IF(OR(E5394="",E5394="!!!",F5394="NEW"),"",INDEX(B5393:B$2,-1+SUMPRODUCT(MAX(ROW(E5393:E$2)*(E5394=E5393:E$2)))))</f>
        <v> </v>
      </c>
      <c r="J5394" s="26" t="str">
        <f>IF(OR(E5394="",E5394="!!!",F5394="NEW"),"",COUNTBLANK(OFFSET(A$1,,,SUMPRODUCT(MAX(ROW(E$2:E5394)*(E5394=E$2:E5394)))))-COUNTBLANK(OFFSET(A$1,,,SUMPRODUCT(MAX(ROW(E$1:E5393)*(E2=E$1:E5393))))))</f>
        <v> </v>
      </c>
      <c r="K5394" s="26" t="str">
        <f>IF(OR(E5394="",E5394="!!!",F5394="NEW"),"",INDEX(J$1:J5393,SUMPRODUCT(MAX(ROW(E$1:E5393)*(E5394=E$1:E5393)))))</f>
        <v> </v>
      </c>
      <c r="L5394" s="27"/>
    </row>
    <row r="5395" spans="1:12">
      <c r="A5395" s="20" t="s">
        <v>1277</v>
      </c>
      <c r="E5395" s="22">
        <f>IF(D5395="?OLD","!!!","")</f>
        <v/>
      </c>
      <c r="F5395" s="23" t="str">
        <f>IF(OR(E5395="",E5395="!!!"),"",IF(NOT(ISNA(VLOOKUP(E5395,E$1:E5394,1,FALSE()))),"OLD",IF(AND(E5395&lt;&gt;"",E5395&lt;&gt;"!!!"),"NEW","")))</f>
        <v> </v>
      </c>
      <c r="G5395" s="24" t="str">
        <f>IF(OR(E5395="",E5395="!!!"),"",IF(OR(J5395=0,AND(J5395=1,K5395=1),AND(J5395=1,I5395="SBJ"),AND(J5395=1,I5395=0)),"?IN_FOCUS",IF(J5395&lt;=2,"?ACTIVATED",IF(J5395&lt;&gt;"","?FAMILIAR",IF(F5395="NEW",IF(ISNA(VLOOKUP(E5395,#REF!,1,FALSE())),"?TYPE_IDENTIFIABLE","?REFERENTIAL"),"_")))))</f>
        <v> </v>
      </c>
      <c r="H5395" s="25" t="str">
        <f>IF(J5395&lt;&gt;1,"",IF(I5395="SBJ","CB","?"))</f>
        <v> </v>
      </c>
      <c r="I5395" s="26" t="str">
        <f>IF(OR(E5395="",E5395="!!!",F5395="NEW"),"",INDEX(B5394:B$2,-1+SUMPRODUCT(MAX(ROW(E5394:E$2)*(E5395=E5394:E$2)))))</f>
        <v> </v>
      </c>
      <c r="J5395" s="26" t="str">
        <f>IF(OR(E5395="",E5395="!!!",F5395="NEW"),"",COUNTBLANK(OFFSET(A$1,,,SUMPRODUCT(MAX(ROW(E$2:E5395)*(E5395=E$2:E5395)))))-COUNTBLANK(OFFSET(A$1,,,SUMPRODUCT(MAX(ROW(E$1:E5394)*(E2=E$1:E5394))))))</f>
        <v> </v>
      </c>
      <c r="K5395" s="26" t="str">
        <f>IF(OR(E5395="",E5395="!!!",F5395="NEW"),"",INDEX(J$1:J5394,SUMPRODUCT(MAX(ROW(E$1:E5394)*(E5395=E$1:E5394)))))</f>
        <v> </v>
      </c>
      <c r="L5395" s="27"/>
    </row>
    <row r="5396" spans="1:12">
      <c r="A5396" s="20" t="s">
        <v>2921</v>
      </c>
      <c r="E5396" s="22">
        <f>IF(D5396="?OLD","!!!","")</f>
        <v/>
      </c>
      <c r="F5396" s="23" t="str">
        <f>IF(OR(E5396="",E5396="!!!"),"",IF(NOT(ISNA(VLOOKUP(E5396,E$1:E5395,1,FALSE()))),"OLD",IF(AND(E5396&lt;&gt;"",E5396&lt;&gt;"!!!"),"NEW","")))</f>
        <v> </v>
      </c>
      <c r="G5396" s="24" t="str">
        <f>IF(OR(E5396="",E5396="!!!"),"",IF(OR(J5396=0,AND(J5396=1,K5396=1),AND(J5396=1,I5396="SBJ"),AND(J5396=1,I5396=0)),"?IN_FOCUS",IF(J5396&lt;=2,"?ACTIVATED",IF(J5396&lt;&gt;"","?FAMILIAR",IF(F5396="NEW",IF(ISNA(VLOOKUP(E5396,#REF!,1,FALSE())),"?TYPE_IDENTIFIABLE","?REFERENTIAL"),"_")))))</f>
        <v> </v>
      </c>
      <c r="H5396" s="25" t="str">
        <f>IF(J5396&lt;&gt;1,"",IF(I5396="SBJ","CB","?"))</f>
        <v> </v>
      </c>
      <c r="I5396" s="26" t="str">
        <f>IF(OR(E5396="",E5396="!!!",F5396="NEW"),"",INDEX(B5395:B$2,-1+SUMPRODUCT(MAX(ROW(E5395:E$2)*(E5396=E5395:E$2)))))</f>
        <v> </v>
      </c>
      <c r="J5396" s="26" t="str">
        <f>IF(OR(E5396="",E5396="!!!",F5396="NEW"),"",COUNTBLANK(OFFSET(A$1,,,SUMPRODUCT(MAX(ROW(E$2:E5396)*(E5396=E$2:E5396)))))-COUNTBLANK(OFFSET(A$1,,,SUMPRODUCT(MAX(ROW(E$1:E5395)*(E2=E$1:E5395))))))</f>
        <v> </v>
      </c>
      <c r="K5396" s="26" t="str">
        <f>IF(OR(E5396="",E5396="!!!",F5396="NEW"),"",INDEX(J$1:J5395,SUMPRODUCT(MAX(ROW(E$1:E5395)*(E5396=E$1:E5395)))))</f>
        <v> </v>
      </c>
      <c r="L5396" s="27"/>
    </row>
    <row r="5397" spans="1:12">
      <c r="A5397" s="20" t="s">
        <v>1363</v>
      </c>
      <c r="E5397" s="22">
        <f>IF(D5397="?OLD","!!!","")</f>
        <v/>
      </c>
      <c r="F5397" s="23" t="str">
        <f>IF(OR(E5397="",E5397="!!!"),"",IF(NOT(ISNA(VLOOKUP(E5397,E$1:E5396,1,FALSE()))),"OLD",IF(AND(E5397&lt;&gt;"",E5397&lt;&gt;"!!!"),"NEW","")))</f>
        <v> </v>
      </c>
      <c r="G5397" s="24" t="str">
        <f>IF(OR(E5397="",E5397="!!!"),"",IF(OR(J5397=0,AND(J5397=1,K5397=1),AND(J5397=1,I5397="SBJ"),AND(J5397=1,I5397=0)),"?IN_FOCUS",IF(J5397&lt;=2,"?ACTIVATED",IF(J5397&lt;&gt;"","?FAMILIAR",IF(F5397="NEW",IF(ISNA(VLOOKUP(E5397,#REF!,1,FALSE())),"?TYPE_IDENTIFIABLE","?REFERENTIAL"),"_")))))</f>
        <v> </v>
      </c>
      <c r="H5397" s="25" t="str">
        <f>IF(J5397&lt;&gt;1,"",IF(I5397="SBJ","CB","?"))</f>
        <v> </v>
      </c>
      <c r="I5397" s="26" t="str">
        <f>IF(OR(E5397="",E5397="!!!",F5397="NEW"),"",INDEX(B5396:B$2,-1+SUMPRODUCT(MAX(ROW(E5396:E$2)*(E5397=E5396:E$2)))))</f>
        <v> </v>
      </c>
      <c r="J5397" s="26" t="str">
        <f>IF(OR(E5397="",E5397="!!!",F5397="NEW"),"",COUNTBLANK(OFFSET(A$1,,,SUMPRODUCT(MAX(ROW(E$2:E5397)*(E5397=E$2:E5397)))))-COUNTBLANK(OFFSET(A$1,,,SUMPRODUCT(MAX(ROW(E$1:E5396)*(E2=E$1:E5396))))))</f>
        <v> </v>
      </c>
      <c r="K5397" s="26" t="str">
        <f>IF(OR(E5397="",E5397="!!!",F5397="NEW"),"",INDEX(J$1:J5396,SUMPRODUCT(MAX(ROW(E$1:E5396)*(E5397=E$1:E5396)))))</f>
        <v> </v>
      </c>
      <c r="L5397" s="27"/>
    </row>
    <row r="5398" spans="1:12">
      <c r="A5398" s="20" t="s">
        <v>1323</v>
      </c>
      <c r="E5398" s="22">
        <f>IF(D5398="?OLD","!!!","")</f>
        <v/>
      </c>
      <c r="F5398" s="23" t="str">
        <f>IF(OR(E5398="",E5398="!!!"),"",IF(NOT(ISNA(VLOOKUP(E5398,E$1:E5397,1,FALSE()))),"OLD",IF(AND(E5398&lt;&gt;"",E5398&lt;&gt;"!!!"),"NEW","")))</f>
        <v> </v>
      </c>
      <c r="G5398" s="24" t="str">
        <f>IF(OR(E5398="",E5398="!!!"),"",IF(OR(J5398=0,AND(J5398=1,K5398=1),AND(J5398=1,I5398="SBJ"),AND(J5398=1,I5398=0)),"?IN_FOCUS",IF(J5398&lt;=2,"?ACTIVATED",IF(J5398&lt;&gt;"","?FAMILIAR",IF(F5398="NEW",IF(ISNA(VLOOKUP(E5398,#REF!,1,FALSE())),"?TYPE_IDENTIFIABLE","?REFERENTIAL"),"_")))))</f>
        <v> </v>
      </c>
      <c r="H5398" s="25" t="str">
        <f>IF(J5398&lt;&gt;1,"",IF(I5398="SBJ","CB","?"))</f>
        <v> </v>
      </c>
      <c r="I5398" s="26" t="str">
        <f>IF(OR(E5398="",E5398="!!!",F5398="NEW"),"",INDEX(B5397:B$2,-1+SUMPRODUCT(MAX(ROW(E5397:E$2)*(E5398=E5397:E$2)))))</f>
        <v> </v>
      </c>
      <c r="J5398" s="26" t="str">
        <f>IF(OR(E5398="",E5398="!!!",F5398="NEW"),"",COUNTBLANK(OFFSET(A$1,,,SUMPRODUCT(MAX(ROW(E$2:E5398)*(E5398=E$2:E5398)))))-COUNTBLANK(OFFSET(A$1,,,SUMPRODUCT(MAX(ROW(E$1:E5397)*(E2=E$1:E5397))))))</f>
        <v> </v>
      </c>
      <c r="K5398" s="26" t="str">
        <f>IF(OR(E5398="",E5398="!!!",F5398="NEW"),"",INDEX(J$1:J5397,SUMPRODUCT(MAX(ROW(E$1:E5397)*(E5398=E$1:E5397)))))</f>
        <v> </v>
      </c>
      <c r="L5398" s="27"/>
    </row>
    <row r="5399" spans="1:12">
      <c r="A5399" s="20" t="s">
        <v>2832</v>
      </c>
      <c r="B5399" s="21" t="s">
        <v>1221</v>
      </c>
      <c r="C5399" s="21" t="s">
        <v>1269</v>
      </c>
      <c r="D5399" s="21" t="s">
        <v>1217</v>
      </c>
      <c r="E5399" s="22">
        <f>IF(D5399="?OLD","!!!","")</f>
        <v/>
      </c>
      <c r="F5399" s="23" t="str">
        <f>IF(OR(E5399="",E5399="!!!"),"",IF(NOT(ISNA(VLOOKUP(E5399,E$1:E5398,1,FALSE()))),"OLD",IF(AND(E5399&lt;&gt;"",E5399&lt;&gt;"!!!"),"NEW","")))</f>
        <v> </v>
      </c>
      <c r="G5399" s="24" t="str">
        <f>IF(OR(E5399="",E5399="!!!"),"",IF(OR(J5399=0,AND(J5399=1,K5399=1),AND(J5399=1,I5399="SBJ"),AND(J5399=1,I5399=0)),"?IN_FOCUS",IF(J5399&lt;=2,"?ACTIVATED",IF(J5399&lt;&gt;"","?FAMILIAR",IF(F5399="NEW",IF(ISNA(VLOOKUP(E5399,#REF!,1,FALSE())),"?TYPE_IDENTIFIABLE","?REFERENTIAL"),"_")))))</f>
        <v> </v>
      </c>
      <c r="H5399" s="25" t="str">
        <f>IF(J5399&lt;&gt;1,"",IF(I5399="SBJ","CB","?"))</f>
        <v> </v>
      </c>
      <c r="I5399" s="26" t="str">
        <f>IF(OR(E5399="",E5399="!!!",F5399="NEW"),"",INDEX(B5398:B$2,-1+SUMPRODUCT(MAX(ROW(E5398:E$2)*(E5399=E5398:E$2)))))</f>
        <v> </v>
      </c>
      <c r="J5399" s="26" t="str">
        <f>IF(OR(E5399="",E5399="!!!",F5399="NEW"),"",COUNTBLANK(OFFSET(A$1,,,SUMPRODUCT(MAX(ROW(E$2:E5399)*(E5399=E$2:E5399)))))-COUNTBLANK(OFFSET(A$1,,,SUMPRODUCT(MAX(ROW(E$1:E5398)*(E2=E$1:E5398))))))</f>
        <v> </v>
      </c>
      <c r="K5399" s="26" t="str">
        <f>IF(OR(E5399="",E5399="!!!",F5399="NEW"),"",INDEX(J$1:J5398,SUMPRODUCT(MAX(ROW(E$1:E5398)*(E5399=E$1:E5398)))))</f>
        <v> </v>
      </c>
      <c r="L5399" s="27"/>
    </row>
    <row r="5400" spans="1:12">
      <c r="A5400" s="20" t="s">
        <v>2833</v>
      </c>
      <c r="E5400" s="22">
        <f>IF(D5400="?OLD","!!!","")</f>
        <v/>
      </c>
      <c r="F5400" s="23" t="str">
        <f>IF(OR(E5400="",E5400="!!!"),"",IF(NOT(ISNA(VLOOKUP(E5400,E$1:E5399,1,FALSE()))),"OLD",IF(AND(E5400&lt;&gt;"",E5400&lt;&gt;"!!!"),"NEW","")))</f>
        <v> </v>
      </c>
      <c r="G5400" s="24" t="str">
        <f>IF(OR(E5400="",E5400="!!!"),"",IF(OR(J5400=0,AND(J5400=1,K5400=1),AND(J5400=1,I5400="SBJ"),AND(J5400=1,I5400=0)),"?IN_FOCUS",IF(J5400&lt;=2,"?ACTIVATED",IF(J5400&lt;&gt;"","?FAMILIAR",IF(F5400="NEW",IF(ISNA(VLOOKUP(E5400,#REF!,1,FALSE())),"?TYPE_IDENTIFIABLE","?REFERENTIAL"),"_")))))</f>
        <v> </v>
      </c>
      <c r="H5400" s="25" t="str">
        <f>IF(J5400&lt;&gt;1,"",IF(I5400="SBJ","CB","?"))</f>
        <v> </v>
      </c>
      <c r="I5400" s="26" t="str">
        <f>IF(OR(E5400="",E5400="!!!",F5400="NEW"),"",INDEX(B5399:B$2,-1+SUMPRODUCT(MAX(ROW(E5399:E$2)*(E5400=E5399:E$2)))))</f>
        <v> </v>
      </c>
      <c r="J5400" s="26" t="str">
        <f>IF(OR(E5400="",E5400="!!!",F5400="NEW"),"",COUNTBLANK(OFFSET(A$1,,,SUMPRODUCT(MAX(ROW(E$2:E5400)*(E5400=E$2:E5400)))))-COUNTBLANK(OFFSET(A$1,,,SUMPRODUCT(MAX(ROW(E$1:E5399)*(E2=E$1:E5399))))))</f>
        <v> </v>
      </c>
      <c r="K5400" s="26" t="str">
        <f>IF(OR(E5400="",E5400="!!!",F5400="NEW"),"",INDEX(J$1:J5399,SUMPRODUCT(MAX(ROW(E$1:E5399)*(E5400=E$1:E5399)))))</f>
        <v> </v>
      </c>
      <c r="L5400" s="27"/>
    </row>
    <row r="5401" spans="1:12">
      <c r="A5401" s="20" t="s">
        <v>1262</v>
      </c>
      <c r="E5401" s="22">
        <f>IF(D5401="?OLD","!!!","")</f>
        <v/>
      </c>
      <c r="F5401" s="23" t="str">
        <f>IF(OR(E5401="",E5401="!!!"),"",IF(NOT(ISNA(VLOOKUP(E5401,E$1:E5400,1,FALSE()))),"OLD",IF(AND(E5401&lt;&gt;"",E5401&lt;&gt;"!!!"),"NEW","")))</f>
        <v> </v>
      </c>
      <c r="G5401" s="24" t="str">
        <f>IF(OR(E5401="",E5401="!!!"),"",IF(OR(J5401=0,AND(J5401=1,K5401=1),AND(J5401=1,I5401="SBJ"),AND(J5401=1,I5401=0)),"?IN_FOCUS",IF(J5401&lt;=2,"?ACTIVATED",IF(J5401&lt;&gt;"","?FAMILIAR",IF(F5401="NEW",IF(ISNA(VLOOKUP(E5401,#REF!,1,FALSE())),"?TYPE_IDENTIFIABLE","?REFERENTIAL"),"_")))))</f>
        <v> </v>
      </c>
      <c r="H5401" s="25" t="str">
        <f>IF(J5401&lt;&gt;1,"",IF(I5401="SBJ","CB","?"))</f>
        <v> </v>
      </c>
      <c r="I5401" s="26" t="str">
        <f>IF(OR(E5401="",E5401="!!!",F5401="NEW"),"",INDEX(B5400:B$2,-1+SUMPRODUCT(MAX(ROW(E5400:E$2)*(E5401=E5400:E$2)))))</f>
        <v> </v>
      </c>
      <c r="J5401" s="26" t="str">
        <f>IF(OR(E5401="",E5401="!!!",F5401="NEW"),"",COUNTBLANK(OFFSET(A$1,,,SUMPRODUCT(MAX(ROW(E$2:E5401)*(E5401=E$2:E5401)))))-COUNTBLANK(OFFSET(A$1,,,SUMPRODUCT(MAX(ROW(E$1:E5400)*(E2=E$1:E5400))))))</f>
        <v> </v>
      </c>
      <c r="K5401" s="26" t="str">
        <f>IF(OR(E5401="",E5401="!!!",F5401="NEW"),"",INDEX(J$1:J5400,SUMPRODUCT(MAX(ROW(E$1:E5400)*(E5401=E$1:E5400)))))</f>
        <v> </v>
      </c>
      <c r="L5401" s="27"/>
    </row>
    <row r="5402" spans="1:12">
      <c r="A5402" s="20"/>
    </row>
    <row r="5403" spans="1:12">
      <c r="A5403" s="20" t="s">
        <v>2922</v>
      </c>
    </row>
    <row r="5404" spans="1:12">
      <c r="A5404" s="20" t="s">
        <v>1952</v>
      </c>
      <c r="E5404" s="22">
        <f>IF(D5404="?OLD","!!!","")</f>
        <v/>
      </c>
      <c r="F5404" s="23" t="str">
        <f>IF(OR(E5404="",E5404="!!!"),"",IF(NOT(ISNA(VLOOKUP(E5404,E$1:E5403,1,FALSE()))),"OLD",IF(AND(E5404&lt;&gt;"",E5404&lt;&gt;"!!!"),"NEW","")))</f>
        <v> </v>
      </c>
      <c r="G5404" s="24" t="str">
        <f>IF(OR(E5404="",E5404="!!!"),"",IF(OR(J5404=0,AND(J5404=1,K5404=1),AND(J5404=1,I5404="SBJ"),AND(J5404=1,I5404=0)),"?IN_FOCUS",IF(J5404&lt;=2,"?ACTIVATED",IF(J5404&lt;&gt;"","?FAMILIAR",IF(F5404="NEW",IF(ISNA(VLOOKUP(E5404,#REF!,1,FALSE())),"?TYPE_IDENTIFIABLE","?REFERENTIAL"),"_")))))</f>
        <v> </v>
      </c>
      <c r="H5404" s="25" t="str">
        <f>IF(J5404&lt;&gt;1,"",IF(I5404="SBJ","CB","?"))</f>
        <v> </v>
      </c>
      <c r="I5404" s="26" t="str">
        <f>IF(OR(E5404="",E5404="!!!",F5404="NEW"),"",INDEX(B5403:B$2,-1+SUMPRODUCT(MAX(ROW(E5403:E$2)*(E5404=E5403:E$2)))))</f>
        <v> </v>
      </c>
      <c r="J5404" s="26" t="str">
        <f>IF(OR(E5404="",E5404="!!!",F5404="NEW"),"",COUNTBLANK(OFFSET(A$1,,,SUMPRODUCT(MAX(ROW(E$2:E5404)*(E5404=E$2:E5404)))))-COUNTBLANK(OFFSET(A$1,,,SUMPRODUCT(MAX(ROW(E$1:E5403)*(E2=E$1:E5403))))))</f>
        <v> </v>
      </c>
      <c r="K5404" s="26" t="str">
        <f>IF(OR(E5404="",E5404="!!!",F5404="NEW"),"",INDEX(J$1:J5403,SUMPRODUCT(MAX(ROW(E$1:E5403)*(E5404=E$1:E5403)))))</f>
        <v> </v>
      </c>
      <c r="L5404" s="27"/>
    </row>
    <row r="5405" spans="1:12">
      <c r="A5405" s="20" t="s">
        <v>1273</v>
      </c>
      <c r="E5405" s="22">
        <f>IF(D5405="?OLD","!!!","")</f>
        <v/>
      </c>
      <c r="F5405" s="23" t="str">
        <f>IF(OR(E5405="",E5405="!!!"),"",IF(NOT(ISNA(VLOOKUP(E5405,E$1:E5404,1,FALSE()))),"OLD",IF(AND(E5405&lt;&gt;"",E5405&lt;&gt;"!!!"),"NEW","")))</f>
        <v> </v>
      </c>
      <c r="G5405" s="24" t="str">
        <f>IF(OR(E5405="",E5405="!!!"),"",IF(OR(J5405=0,AND(J5405=1,K5405=1),AND(J5405=1,I5405="SBJ"),AND(J5405=1,I5405=0)),"?IN_FOCUS",IF(J5405&lt;=2,"?ACTIVATED",IF(J5405&lt;&gt;"","?FAMILIAR",IF(F5405="NEW",IF(ISNA(VLOOKUP(E5405,#REF!,1,FALSE())),"?TYPE_IDENTIFIABLE","?REFERENTIAL"),"_")))))</f>
        <v> </v>
      </c>
      <c r="H5405" s="25" t="str">
        <f>IF(J5405&lt;&gt;1,"",IF(I5405="SBJ","CB","?"))</f>
        <v> </v>
      </c>
      <c r="I5405" s="26" t="str">
        <f>IF(OR(E5405="",E5405="!!!",F5405="NEW"),"",INDEX(B5404:B$2,-1+SUMPRODUCT(MAX(ROW(E5404:E$2)*(E5405=E5404:E$2)))))</f>
        <v> </v>
      </c>
      <c r="J5405" s="26" t="str">
        <f>IF(OR(E5405="",E5405="!!!",F5405="NEW"),"",COUNTBLANK(OFFSET(A$1,,,SUMPRODUCT(MAX(ROW(E$2:E5405)*(E5405=E$2:E5405)))))-COUNTBLANK(OFFSET(A$1,,,SUMPRODUCT(MAX(ROW(E$1:E5404)*(E2=E$1:E5404))))))</f>
        <v> </v>
      </c>
      <c r="K5405" s="26" t="str">
        <f>IF(OR(E5405="",E5405="!!!",F5405="NEW"),"",INDEX(J$1:J5404,SUMPRODUCT(MAX(ROW(E$1:E5404)*(E5405=E$1:E5404)))))</f>
        <v> </v>
      </c>
      <c r="L5405" s="27"/>
    </row>
    <row r="5406" spans="1:12">
      <c r="A5406" s="20" t="s">
        <v>2902</v>
      </c>
      <c r="B5406" s="21" t="s">
        <v>1244</v>
      </c>
      <c r="C5406" s="21" t="s">
        <v>1276</v>
      </c>
      <c r="D5406" s="21" t="s">
        <v>1217</v>
      </c>
      <c r="E5406" s="22">
        <f>IF(D5406="?OLD","!!!","")</f>
        <v/>
      </c>
      <c r="F5406" s="23" t="str">
        <f>IF(OR(E5406="",E5406="!!!"),"",IF(NOT(ISNA(VLOOKUP(E5406,E$1:E5405,1,FALSE()))),"OLD",IF(AND(E5406&lt;&gt;"",E5406&lt;&gt;"!!!"),"NEW","")))</f>
        <v> </v>
      </c>
      <c r="G5406" s="24" t="str">
        <f>IF(OR(E5406="",E5406="!!!"),"",IF(OR(J5406=0,AND(J5406=1,K5406=1),AND(J5406=1,I5406="SBJ"),AND(J5406=1,I5406=0)),"?IN_FOCUS",IF(J5406&lt;=2,"?ACTIVATED",IF(J5406&lt;&gt;"","?FAMILIAR",IF(F5406="NEW",IF(ISNA(VLOOKUP(E5406,#REF!,1,FALSE())),"?TYPE_IDENTIFIABLE","?REFERENTIAL"),"_")))))</f>
        <v> </v>
      </c>
      <c r="H5406" s="25" t="str">
        <f>IF(J5406&lt;&gt;1,"",IF(I5406="SBJ","CB","?"))</f>
        <v> </v>
      </c>
      <c r="I5406" s="26" t="str">
        <f>IF(OR(E5406="",E5406="!!!",F5406="NEW"),"",INDEX(B5405:B$2,-1+SUMPRODUCT(MAX(ROW(E5405:E$2)*(E5406=E5405:E$2)))))</f>
        <v> </v>
      </c>
      <c r="J5406" s="26" t="str">
        <f>IF(OR(E5406="",E5406="!!!",F5406="NEW"),"",COUNTBLANK(OFFSET(A$1,,,SUMPRODUCT(MAX(ROW(E$2:E5406)*(E5406=E$2:E5406)))))-COUNTBLANK(OFFSET(A$1,,,SUMPRODUCT(MAX(ROW(E$1:E5405)*(E2=E$1:E5405))))))</f>
        <v> </v>
      </c>
      <c r="K5406" s="26" t="str">
        <f>IF(OR(E5406="",E5406="!!!",F5406="NEW"),"",INDEX(J$1:J5405,SUMPRODUCT(MAX(ROW(E$1:E5405)*(E5406=E$1:E5405)))))</f>
        <v> </v>
      </c>
      <c r="L5406" s="27"/>
    </row>
    <row r="5407" spans="1:12">
      <c r="A5407" s="20" t="s">
        <v>2923</v>
      </c>
      <c r="E5407" s="22">
        <f>IF(D5407="?OLD","!!!","")</f>
        <v/>
      </c>
      <c r="F5407" s="23" t="str">
        <f>IF(OR(E5407="",E5407="!!!"),"",IF(NOT(ISNA(VLOOKUP(E5407,E$1:E5406,1,FALSE()))),"OLD",IF(AND(E5407&lt;&gt;"",E5407&lt;&gt;"!!!"),"NEW","")))</f>
        <v> </v>
      </c>
      <c r="G5407" s="24" t="str">
        <f>IF(OR(E5407="",E5407="!!!"),"",IF(OR(J5407=0,AND(J5407=1,K5407=1),AND(J5407=1,I5407="SBJ"),AND(J5407=1,I5407=0)),"?IN_FOCUS",IF(J5407&lt;=2,"?ACTIVATED",IF(J5407&lt;&gt;"","?FAMILIAR",IF(F5407="NEW",IF(ISNA(VLOOKUP(E5407,#REF!,1,FALSE())),"?TYPE_IDENTIFIABLE","?REFERENTIAL"),"_")))))</f>
        <v> </v>
      </c>
      <c r="H5407" s="25" t="str">
        <f>IF(J5407&lt;&gt;1,"",IF(I5407="SBJ","CB","?"))</f>
        <v> </v>
      </c>
      <c r="I5407" s="26" t="str">
        <f>IF(OR(E5407="",E5407="!!!",F5407="NEW"),"",INDEX(B5406:B$2,-1+SUMPRODUCT(MAX(ROW(E5406:E$2)*(E5407=E5406:E$2)))))</f>
        <v> </v>
      </c>
      <c r="J5407" s="26" t="str">
        <f>IF(OR(E5407="",E5407="!!!",F5407="NEW"),"",COUNTBLANK(OFFSET(A$1,,,SUMPRODUCT(MAX(ROW(E$2:E5407)*(E5407=E$2:E5407)))))-COUNTBLANK(OFFSET(A$1,,,SUMPRODUCT(MAX(ROW(E$1:E5406)*(E2=E$1:E5406))))))</f>
        <v> </v>
      </c>
      <c r="K5407" s="26" t="str">
        <f>IF(OR(E5407="",E5407="!!!",F5407="NEW"),"",INDEX(J$1:J5406,SUMPRODUCT(MAX(ROW(E$1:E5406)*(E5407=E$1:E5406)))))</f>
        <v> </v>
      </c>
      <c r="L5407" s="27"/>
    </row>
    <row r="5408" spans="1:12">
      <c r="A5408" s="20" t="s">
        <v>1218</v>
      </c>
      <c r="E5408" s="22">
        <f>IF(D5408="?OLD","!!!","")</f>
        <v/>
      </c>
      <c r="F5408" s="23" t="str">
        <f>IF(OR(E5408="",E5408="!!!"),"",IF(NOT(ISNA(VLOOKUP(E5408,E$1:E5407,1,FALSE()))),"OLD",IF(AND(E5408&lt;&gt;"",E5408&lt;&gt;"!!!"),"NEW","")))</f>
        <v> </v>
      </c>
      <c r="G5408" s="24" t="str">
        <f>IF(OR(E5408="",E5408="!!!"),"",IF(OR(J5408=0,AND(J5408=1,K5408=1),AND(J5408=1,I5408="SBJ"),AND(J5408=1,I5408=0)),"?IN_FOCUS",IF(J5408&lt;=2,"?ACTIVATED",IF(J5408&lt;&gt;"","?FAMILIAR",IF(F5408="NEW",IF(ISNA(VLOOKUP(E5408,#REF!,1,FALSE())),"?TYPE_IDENTIFIABLE","?REFERENTIAL"),"_")))))</f>
        <v> </v>
      </c>
      <c r="H5408" s="25" t="str">
        <f>IF(J5408&lt;&gt;1,"",IF(I5408="SBJ","CB","?"))</f>
        <v> </v>
      </c>
      <c r="I5408" s="26" t="str">
        <f>IF(OR(E5408="",E5408="!!!",F5408="NEW"),"",INDEX(B5407:B$2,-1+SUMPRODUCT(MAX(ROW(E5407:E$2)*(E5408=E5407:E$2)))))</f>
        <v> </v>
      </c>
      <c r="J5408" s="26" t="str">
        <f>IF(OR(E5408="",E5408="!!!",F5408="NEW"),"",COUNTBLANK(OFFSET(A$1,,,SUMPRODUCT(MAX(ROW(E$2:E5408)*(E5408=E$2:E5408)))))-COUNTBLANK(OFFSET(A$1,,,SUMPRODUCT(MAX(ROW(E$1:E5407)*(E2=E$1:E5407))))))</f>
        <v> </v>
      </c>
      <c r="K5408" s="26" t="str">
        <f>IF(OR(E5408="",E5408="!!!",F5408="NEW"),"",INDEX(J$1:J5407,SUMPRODUCT(MAX(ROW(E$1:E5407)*(E5408=E$1:E5407)))))</f>
        <v> </v>
      </c>
      <c r="L5408" s="27"/>
    </row>
    <row r="5409" spans="1:12">
      <c r="A5409" s="20" t="s">
        <v>1266</v>
      </c>
      <c r="E5409" s="22">
        <f>IF(D5409="?OLD","!!!","")</f>
        <v/>
      </c>
      <c r="F5409" s="23" t="str">
        <f>IF(OR(E5409="",E5409="!!!"),"",IF(NOT(ISNA(VLOOKUP(E5409,E$1:E5408,1,FALSE()))),"OLD",IF(AND(E5409&lt;&gt;"",E5409&lt;&gt;"!!!"),"NEW","")))</f>
        <v> </v>
      </c>
      <c r="G5409" s="24" t="str">
        <f>IF(OR(E5409="",E5409="!!!"),"",IF(OR(J5409=0,AND(J5409=1,K5409=1),AND(J5409=1,I5409="SBJ"),AND(J5409=1,I5409=0)),"?IN_FOCUS",IF(J5409&lt;=2,"?ACTIVATED",IF(J5409&lt;&gt;"","?FAMILIAR",IF(F5409="NEW",IF(ISNA(VLOOKUP(E5409,#REF!,1,FALSE())),"?TYPE_IDENTIFIABLE","?REFERENTIAL"),"_")))))</f>
        <v> </v>
      </c>
      <c r="H5409" s="25" t="str">
        <f>IF(J5409&lt;&gt;1,"",IF(I5409="SBJ","CB","?"))</f>
        <v> </v>
      </c>
      <c r="I5409" s="26" t="str">
        <f>IF(OR(E5409="",E5409="!!!",F5409="NEW"),"",INDEX(B5408:B$2,-1+SUMPRODUCT(MAX(ROW(E5408:E$2)*(E5409=E5408:E$2)))))</f>
        <v> </v>
      </c>
      <c r="J5409" s="26" t="str">
        <f>IF(OR(E5409="",E5409="!!!",F5409="NEW"),"",COUNTBLANK(OFFSET(A$1,,,SUMPRODUCT(MAX(ROW(E$2:E5409)*(E5409=E$2:E5409)))))-COUNTBLANK(OFFSET(A$1,,,SUMPRODUCT(MAX(ROW(E$1:E5408)*(E2=E$1:E5408))))))</f>
        <v> </v>
      </c>
      <c r="K5409" s="26" t="str">
        <f>IF(OR(E5409="",E5409="!!!",F5409="NEW"),"",INDEX(J$1:J5408,SUMPRODUCT(MAX(ROW(E$1:E5408)*(E5409=E$1:E5408)))))</f>
        <v> </v>
      </c>
      <c r="L5409" s="27"/>
    </row>
    <row r="5410" spans="1:12">
      <c r="A5410" s="20" t="s">
        <v>2008</v>
      </c>
      <c r="B5410" s="21" t="s">
        <v>1224</v>
      </c>
      <c r="C5410" s="21" t="s">
        <v>1269</v>
      </c>
      <c r="D5410" s="21" t="s">
        <v>1217</v>
      </c>
      <c r="E5410" s="22">
        <f>IF(D5410="?OLD","!!!","")</f>
        <v/>
      </c>
      <c r="F5410" s="23" t="str">
        <f>IF(OR(E5410="",E5410="!!!"),"",IF(NOT(ISNA(VLOOKUP(E5410,E$1:E5409,1,FALSE()))),"OLD",IF(AND(E5410&lt;&gt;"",E5410&lt;&gt;"!!!"),"NEW","")))</f>
        <v> </v>
      </c>
      <c r="G5410" s="24" t="str">
        <f>IF(OR(E5410="",E5410="!!!"),"",IF(OR(J5410=0,AND(J5410=1,K5410=1),AND(J5410=1,I5410="SBJ"),AND(J5410=1,I5410=0)),"?IN_FOCUS",IF(J5410&lt;=2,"?ACTIVATED",IF(J5410&lt;&gt;"","?FAMILIAR",IF(F5410="NEW",IF(ISNA(VLOOKUP(E5410,#REF!,1,FALSE())),"?TYPE_IDENTIFIABLE","?REFERENTIAL"),"_")))))</f>
        <v> </v>
      </c>
      <c r="H5410" s="25" t="str">
        <f>IF(J5410&lt;&gt;1,"",IF(I5410="SBJ","CB","?"))</f>
        <v> </v>
      </c>
      <c r="I5410" s="26" t="str">
        <f>IF(OR(E5410="",E5410="!!!",F5410="NEW"),"",INDEX(B5409:B$2,-1+SUMPRODUCT(MAX(ROW(E5409:E$2)*(E5410=E5409:E$2)))))</f>
        <v> </v>
      </c>
      <c r="J5410" s="26" t="str">
        <f>IF(OR(E5410="",E5410="!!!",F5410="NEW"),"",COUNTBLANK(OFFSET(A$1,,,SUMPRODUCT(MAX(ROW(E$2:E5410)*(E5410=E$2:E5410)))))-COUNTBLANK(OFFSET(A$1,,,SUMPRODUCT(MAX(ROW(E$1:E5409)*(E2=E$1:E5409))))))</f>
        <v> </v>
      </c>
      <c r="K5410" s="26" t="str">
        <f>IF(OR(E5410="",E5410="!!!",F5410="NEW"),"",INDEX(J$1:J5409,SUMPRODUCT(MAX(ROW(E$1:E5409)*(E5410=E$1:E5409)))))</f>
        <v> </v>
      </c>
      <c r="L5410" s="27"/>
    </row>
    <row r="5411" spans="1:12">
      <c r="A5411" s="20" t="s">
        <v>1218</v>
      </c>
      <c r="E5411" s="22">
        <f>IF(D5411="?OLD","!!!","")</f>
        <v/>
      </c>
      <c r="F5411" s="23" t="str">
        <f>IF(OR(E5411="",E5411="!!!"),"",IF(NOT(ISNA(VLOOKUP(E5411,E$1:E5410,1,FALSE()))),"OLD",IF(AND(E5411&lt;&gt;"",E5411&lt;&gt;"!!!"),"NEW","")))</f>
        <v> </v>
      </c>
      <c r="G5411" s="24" t="str">
        <f>IF(OR(E5411="",E5411="!!!"),"",IF(OR(J5411=0,AND(J5411=1,K5411=1),AND(J5411=1,I5411="SBJ"),AND(J5411=1,I5411=0)),"?IN_FOCUS",IF(J5411&lt;=2,"?ACTIVATED",IF(J5411&lt;&gt;"","?FAMILIAR",IF(F5411="NEW",IF(ISNA(VLOOKUP(E5411,#REF!,1,FALSE())),"?TYPE_IDENTIFIABLE","?REFERENTIAL"),"_")))))</f>
        <v> </v>
      </c>
      <c r="H5411" s="25" t="str">
        <f>IF(J5411&lt;&gt;1,"",IF(I5411="SBJ","CB","?"))</f>
        <v> </v>
      </c>
      <c r="I5411" s="26" t="str">
        <f>IF(OR(E5411="",E5411="!!!",F5411="NEW"),"",INDEX(B5410:B$2,-1+SUMPRODUCT(MAX(ROW(E5410:E$2)*(E5411=E5410:E$2)))))</f>
        <v> </v>
      </c>
      <c r="J5411" s="26" t="str">
        <f>IF(OR(E5411="",E5411="!!!",F5411="NEW"),"",COUNTBLANK(OFFSET(A$1,,,SUMPRODUCT(MAX(ROW(E$2:E5411)*(E5411=E$2:E5411)))))-COUNTBLANK(OFFSET(A$1,,,SUMPRODUCT(MAX(ROW(E$1:E5410)*(E2=E$1:E5410))))))</f>
        <v> </v>
      </c>
      <c r="K5411" s="26" t="str">
        <f>IF(OR(E5411="",E5411="!!!",F5411="NEW"),"",INDEX(J$1:J5410,SUMPRODUCT(MAX(ROW(E$1:E5410)*(E5411=E$1:E5410)))))</f>
        <v> </v>
      </c>
      <c r="L5411" s="27"/>
    </row>
    <row r="5412" spans="1:12">
      <c r="A5412" s="20" t="s">
        <v>1323</v>
      </c>
      <c r="E5412" s="22">
        <f>IF(D5412="?OLD","!!!","")</f>
        <v/>
      </c>
      <c r="F5412" s="23" t="str">
        <f>IF(OR(E5412="",E5412="!!!"),"",IF(NOT(ISNA(VLOOKUP(E5412,E$1:E5411,1,FALSE()))),"OLD",IF(AND(E5412&lt;&gt;"",E5412&lt;&gt;"!!!"),"NEW","")))</f>
        <v> </v>
      </c>
      <c r="G5412" s="24" t="str">
        <f>IF(OR(E5412="",E5412="!!!"),"",IF(OR(J5412=0,AND(J5412=1,K5412=1),AND(J5412=1,I5412="SBJ"),AND(J5412=1,I5412=0)),"?IN_FOCUS",IF(J5412&lt;=2,"?ACTIVATED",IF(J5412&lt;&gt;"","?FAMILIAR",IF(F5412="NEW",IF(ISNA(VLOOKUP(E5412,#REF!,1,FALSE())),"?TYPE_IDENTIFIABLE","?REFERENTIAL"),"_")))))</f>
        <v> </v>
      </c>
      <c r="H5412" s="25" t="str">
        <f>IF(J5412&lt;&gt;1,"",IF(I5412="SBJ","CB","?"))</f>
        <v> </v>
      </c>
      <c r="I5412" s="26" t="str">
        <f>IF(OR(E5412="",E5412="!!!",F5412="NEW"),"",INDEX(B5411:B$2,-1+SUMPRODUCT(MAX(ROW(E5411:E$2)*(E5412=E5411:E$2)))))</f>
        <v> </v>
      </c>
      <c r="J5412" s="26" t="str">
        <f>IF(OR(E5412="",E5412="!!!",F5412="NEW"),"",COUNTBLANK(OFFSET(A$1,,,SUMPRODUCT(MAX(ROW(E$2:E5412)*(E5412=E$2:E5412)))))-COUNTBLANK(OFFSET(A$1,,,SUMPRODUCT(MAX(ROW(E$1:E5411)*(E2=E$1:E5411))))))</f>
        <v> </v>
      </c>
      <c r="K5412" s="26" t="str">
        <f>IF(OR(E5412="",E5412="!!!",F5412="NEW"),"",INDEX(J$1:J5411,SUMPRODUCT(MAX(ROW(E$1:E5411)*(E5412=E$1:E5411)))))</f>
        <v> </v>
      </c>
      <c r="L5412" s="27"/>
    </row>
    <row r="5413" spans="1:12">
      <c r="A5413" s="20" t="s">
        <v>2855</v>
      </c>
      <c r="B5413" s="21" t="s">
        <v>1226</v>
      </c>
      <c r="C5413" s="21" t="s">
        <v>1269</v>
      </c>
      <c r="D5413" s="21" t="s">
        <v>1217</v>
      </c>
      <c r="E5413" s="22">
        <f>IF(D5413="?OLD","!!!","")</f>
        <v/>
      </c>
      <c r="F5413" s="23" t="str">
        <f>IF(OR(E5413="",E5413="!!!"),"",IF(NOT(ISNA(VLOOKUP(E5413,E$1:E5412,1,FALSE()))),"OLD",IF(AND(E5413&lt;&gt;"",E5413&lt;&gt;"!!!"),"NEW","")))</f>
        <v> </v>
      </c>
      <c r="G5413" s="24" t="str">
        <f>IF(OR(E5413="",E5413="!!!"),"",IF(OR(J5413=0,AND(J5413=1,K5413=1),AND(J5413=1,I5413="SBJ"),AND(J5413=1,I5413=0)),"?IN_FOCUS",IF(J5413&lt;=2,"?ACTIVATED",IF(J5413&lt;&gt;"","?FAMILIAR",IF(F5413="NEW",IF(ISNA(VLOOKUP(E5413,#REF!,1,FALSE())),"?TYPE_IDENTIFIABLE","?REFERENTIAL"),"_")))))</f>
        <v> </v>
      </c>
      <c r="H5413" s="25" t="str">
        <f>IF(J5413&lt;&gt;1,"",IF(I5413="SBJ","CB","?"))</f>
        <v> </v>
      </c>
      <c r="I5413" s="26" t="str">
        <f>IF(OR(E5413="",E5413="!!!",F5413="NEW"),"",INDEX(B5412:B$2,-1+SUMPRODUCT(MAX(ROW(E5412:E$2)*(E5413=E5412:E$2)))))</f>
        <v> </v>
      </c>
      <c r="J5413" s="26" t="str">
        <f>IF(OR(E5413="",E5413="!!!",F5413="NEW"),"",COUNTBLANK(OFFSET(A$1,,,SUMPRODUCT(MAX(ROW(E$2:E5413)*(E5413=E$2:E5413)))))-COUNTBLANK(OFFSET(A$1,,,SUMPRODUCT(MAX(ROW(E$1:E5412)*(E2=E$1:E5412))))))</f>
        <v> </v>
      </c>
      <c r="K5413" s="26" t="str">
        <f>IF(OR(E5413="",E5413="!!!",F5413="NEW"),"",INDEX(J$1:J5412,SUMPRODUCT(MAX(ROW(E$1:E5412)*(E5413=E$1:E5412)))))</f>
        <v> </v>
      </c>
      <c r="L5413" s="27"/>
    </row>
    <row r="5414" spans="1:12">
      <c r="A5414" s="20" t="s">
        <v>1277</v>
      </c>
      <c r="E5414" s="22">
        <f>IF(D5414="?OLD","!!!","")</f>
        <v/>
      </c>
      <c r="F5414" s="23" t="str">
        <f>IF(OR(E5414="",E5414="!!!"),"",IF(NOT(ISNA(VLOOKUP(E5414,E$1:E5413,1,FALSE()))),"OLD",IF(AND(E5414&lt;&gt;"",E5414&lt;&gt;"!!!"),"NEW","")))</f>
        <v> </v>
      </c>
      <c r="G5414" s="24" t="str">
        <f>IF(OR(E5414="",E5414="!!!"),"",IF(OR(J5414=0,AND(J5414=1,K5414=1),AND(J5414=1,I5414="SBJ"),AND(J5414=1,I5414=0)),"?IN_FOCUS",IF(J5414&lt;=2,"?ACTIVATED",IF(J5414&lt;&gt;"","?FAMILIAR",IF(F5414="NEW",IF(ISNA(VLOOKUP(E5414,#REF!,1,FALSE())),"?TYPE_IDENTIFIABLE","?REFERENTIAL"),"_")))))</f>
        <v> </v>
      </c>
      <c r="H5414" s="25" t="str">
        <f>IF(J5414&lt;&gt;1,"",IF(I5414="SBJ","CB","?"))</f>
        <v> </v>
      </c>
      <c r="I5414" s="26" t="str">
        <f>IF(OR(E5414="",E5414="!!!",F5414="NEW"),"",INDEX(B5413:B$2,-1+SUMPRODUCT(MAX(ROW(E5413:E$2)*(E5414=E5413:E$2)))))</f>
        <v> </v>
      </c>
      <c r="J5414" s="26" t="str">
        <f>IF(OR(E5414="",E5414="!!!",F5414="NEW"),"",COUNTBLANK(OFFSET(A$1,,,SUMPRODUCT(MAX(ROW(E$2:E5414)*(E5414=E$2:E5414)))))-COUNTBLANK(OFFSET(A$1,,,SUMPRODUCT(MAX(ROW(E$1:E5413)*(E2=E$1:E5413))))))</f>
        <v> </v>
      </c>
      <c r="K5414" s="26" t="str">
        <f>IF(OR(E5414="",E5414="!!!",F5414="NEW"),"",INDEX(J$1:J5413,SUMPRODUCT(MAX(ROW(E$1:E5413)*(E5414=E$1:E5413)))))</f>
        <v> </v>
      </c>
      <c r="L5414" s="27"/>
    </row>
    <row r="5415" spans="1:12">
      <c r="A5415" s="20" t="s">
        <v>1327</v>
      </c>
      <c r="B5415" s="21" t="s">
        <v>1215</v>
      </c>
      <c r="C5415" s="21" t="s">
        <v>1255</v>
      </c>
      <c r="D5415" s="21" t="s">
        <v>1217</v>
      </c>
      <c r="E5415" s="22">
        <f>IF(D5415="?OLD","!!!","")</f>
        <v/>
      </c>
      <c r="F5415" s="23" t="str">
        <f>IF(OR(E5415="",E5415="!!!"),"",IF(NOT(ISNA(VLOOKUP(E5415,E$1:E5414,1,FALSE()))),"OLD",IF(AND(E5415&lt;&gt;"",E5415&lt;&gt;"!!!"),"NEW","")))</f>
        <v> </v>
      </c>
      <c r="G5415" s="24" t="str">
        <f>IF(OR(E5415="",E5415="!!!"),"",IF(OR(J5415=0,AND(J5415=1,K5415=1),AND(J5415=1,I5415="SBJ"),AND(J5415=1,I5415=0)),"?IN_FOCUS",IF(J5415&lt;=2,"?ACTIVATED",IF(J5415&lt;&gt;"","?FAMILIAR",IF(F5415="NEW",IF(ISNA(VLOOKUP(E5415,#REF!,1,FALSE())),"?TYPE_IDENTIFIABLE","?REFERENTIAL"),"_")))))</f>
        <v> </v>
      </c>
      <c r="H5415" s="25" t="str">
        <f>IF(J5415&lt;&gt;1,"",IF(I5415="SBJ","CB","?"))</f>
        <v> </v>
      </c>
      <c r="I5415" s="26" t="str">
        <f>IF(OR(E5415="",E5415="!!!",F5415="NEW"),"",INDEX(B5414:B$2,-1+SUMPRODUCT(MAX(ROW(E5414:E$2)*(E5415=E5414:E$2)))))</f>
        <v> </v>
      </c>
      <c r="J5415" s="26" t="str">
        <f>IF(OR(E5415="",E5415="!!!",F5415="NEW"),"",COUNTBLANK(OFFSET(A$1,,,SUMPRODUCT(MAX(ROW(E$2:E5415)*(E5415=E$2:E5415)))))-COUNTBLANK(OFFSET(A$1,,,SUMPRODUCT(MAX(ROW(E$1:E5414)*(E2=E$1:E5414))))))</f>
        <v> </v>
      </c>
      <c r="K5415" s="26" t="str">
        <f>IF(OR(E5415="",E5415="!!!",F5415="NEW"),"",INDEX(J$1:J5414,SUMPRODUCT(MAX(ROW(E$1:E5414)*(E5415=E$1:E5414)))))</f>
        <v> </v>
      </c>
      <c r="L5415" s="27"/>
    </row>
    <row r="5416" spans="1:12">
      <c r="A5416" s="20" t="s">
        <v>2924</v>
      </c>
      <c r="E5416" s="22">
        <f>IF(D5416="?OLD","!!!","")</f>
        <v/>
      </c>
      <c r="F5416" s="23" t="str">
        <f>IF(OR(E5416="",E5416="!!!"),"",IF(NOT(ISNA(VLOOKUP(E5416,E$1:E5415,1,FALSE()))),"OLD",IF(AND(E5416&lt;&gt;"",E5416&lt;&gt;"!!!"),"NEW","")))</f>
        <v> </v>
      </c>
      <c r="G5416" s="24" t="str">
        <f>IF(OR(E5416="",E5416="!!!"),"",IF(OR(J5416=0,AND(J5416=1,K5416=1),AND(J5416=1,I5416="SBJ"),AND(J5416=1,I5416=0)),"?IN_FOCUS",IF(J5416&lt;=2,"?ACTIVATED",IF(J5416&lt;&gt;"","?FAMILIAR",IF(F5416="NEW",IF(ISNA(VLOOKUP(E5416,#REF!,1,FALSE())),"?TYPE_IDENTIFIABLE","?REFERENTIAL"),"_")))))</f>
        <v> </v>
      </c>
      <c r="H5416" s="25" t="str">
        <f>IF(J5416&lt;&gt;1,"",IF(I5416="SBJ","CB","?"))</f>
        <v> </v>
      </c>
      <c r="I5416" s="26" t="str">
        <f>IF(OR(E5416="",E5416="!!!",F5416="NEW"),"",INDEX(B5415:B$2,-1+SUMPRODUCT(MAX(ROW(E5415:E$2)*(E5416=E5415:E$2)))))</f>
        <v> </v>
      </c>
      <c r="J5416" s="26" t="str">
        <f>IF(OR(E5416="",E5416="!!!",F5416="NEW"),"",COUNTBLANK(OFFSET(A$1,,,SUMPRODUCT(MAX(ROW(E$2:E5416)*(E5416=E$2:E5416)))))-COUNTBLANK(OFFSET(A$1,,,SUMPRODUCT(MAX(ROW(E$1:E5415)*(E2=E$1:E5415))))))</f>
        <v> </v>
      </c>
      <c r="K5416" s="26" t="str">
        <f>IF(OR(E5416="",E5416="!!!",F5416="NEW"),"",INDEX(J$1:J5415,SUMPRODUCT(MAX(ROW(E$1:E5415)*(E5416=E$1:E5415)))))</f>
        <v> </v>
      </c>
      <c r="L5416" s="27"/>
    </row>
    <row r="5417" spans="1:12">
      <c r="A5417" s="20" t="s">
        <v>1218</v>
      </c>
      <c r="E5417" s="22">
        <f>IF(D5417="?OLD","!!!","")</f>
        <v/>
      </c>
      <c r="F5417" s="23" t="str">
        <f>IF(OR(E5417="",E5417="!!!"),"",IF(NOT(ISNA(VLOOKUP(E5417,E$1:E5416,1,FALSE()))),"OLD",IF(AND(E5417&lt;&gt;"",E5417&lt;&gt;"!!!"),"NEW","")))</f>
        <v> </v>
      </c>
      <c r="G5417" s="24" t="str">
        <f>IF(OR(E5417="",E5417="!!!"),"",IF(OR(J5417=0,AND(J5417=1,K5417=1),AND(J5417=1,I5417="SBJ"),AND(J5417=1,I5417=0)),"?IN_FOCUS",IF(J5417&lt;=2,"?ACTIVATED",IF(J5417&lt;&gt;"","?FAMILIAR",IF(F5417="NEW",IF(ISNA(VLOOKUP(E5417,#REF!,1,FALSE())),"?TYPE_IDENTIFIABLE","?REFERENTIAL"),"_")))))</f>
        <v> </v>
      </c>
      <c r="H5417" s="25" t="str">
        <f>IF(J5417&lt;&gt;1,"",IF(I5417="SBJ","CB","?"))</f>
        <v> </v>
      </c>
      <c r="I5417" s="26" t="str">
        <f>IF(OR(E5417="",E5417="!!!",F5417="NEW"),"",INDEX(B5416:B$2,-1+SUMPRODUCT(MAX(ROW(E5416:E$2)*(E5417=E5416:E$2)))))</f>
        <v> </v>
      </c>
      <c r="J5417" s="26" t="str">
        <f>IF(OR(E5417="",E5417="!!!",F5417="NEW"),"",COUNTBLANK(OFFSET(A$1,,,SUMPRODUCT(MAX(ROW(E$2:E5417)*(E5417=E$2:E5417)))))-COUNTBLANK(OFFSET(A$1,,,SUMPRODUCT(MAX(ROW(E$1:E5416)*(E2=E$1:E5416))))))</f>
        <v> </v>
      </c>
      <c r="K5417" s="26" t="str">
        <f>IF(OR(E5417="",E5417="!!!",F5417="NEW"),"",INDEX(J$1:J5416,SUMPRODUCT(MAX(ROW(E$1:E5416)*(E5417=E$1:E5416)))))</f>
        <v> </v>
      </c>
      <c r="L5417" s="27"/>
    </row>
    <row r="5418" spans="1:12">
      <c r="A5418" s="20" t="s">
        <v>2925</v>
      </c>
      <c r="E5418" s="22">
        <f>IF(D5418="?OLD","!!!","")</f>
        <v/>
      </c>
      <c r="F5418" s="23" t="str">
        <f>IF(OR(E5418="",E5418="!!!"),"",IF(NOT(ISNA(VLOOKUP(E5418,E$1:E5417,1,FALSE()))),"OLD",IF(AND(E5418&lt;&gt;"",E5418&lt;&gt;"!!!"),"NEW","")))</f>
        <v> </v>
      </c>
      <c r="G5418" s="24" t="str">
        <f>IF(OR(E5418="",E5418="!!!"),"",IF(OR(J5418=0,AND(J5418=1,K5418=1),AND(J5418=1,I5418="SBJ"),AND(J5418=1,I5418=0)),"?IN_FOCUS",IF(J5418&lt;=2,"?ACTIVATED",IF(J5418&lt;&gt;"","?FAMILIAR",IF(F5418="NEW",IF(ISNA(VLOOKUP(E5418,#REF!,1,FALSE())),"?TYPE_IDENTIFIABLE","?REFERENTIAL"),"_")))))</f>
        <v> </v>
      </c>
      <c r="H5418" s="25" t="str">
        <f>IF(J5418&lt;&gt;1,"",IF(I5418="SBJ","CB","?"))</f>
        <v> </v>
      </c>
      <c r="I5418" s="26" t="str">
        <f>IF(OR(E5418="",E5418="!!!",F5418="NEW"),"",INDEX(B5417:B$2,-1+SUMPRODUCT(MAX(ROW(E5417:E$2)*(E5418=E5417:E$2)))))</f>
        <v> </v>
      </c>
      <c r="J5418" s="26" t="str">
        <f>IF(OR(E5418="",E5418="!!!",F5418="NEW"),"",COUNTBLANK(OFFSET(A$1,,,SUMPRODUCT(MAX(ROW(E$2:E5418)*(E5418=E$2:E5418)))))-COUNTBLANK(OFFSET(A$1,,,SUMPRODUCT(MAX(ROW(E$1:E5417)*(E2=E$1:E5417))))))</f>
        <v> </v>
      </c>
      <c r="K5418" s="26" t="str">
        <f>IF(OR(E5418="",E5418="!!!",F5418="NEW"),"",INDEX(J$1:J5417,SUMPRODUCT(MAX(ROW(E$1:E5417)*(E5418=E$1:E5417)))))</f>
        <v> </v>
      </c>
      <c r="L5418" s="27"/>
    </row>
    <row r="5419" spans="1:12">
      <c r="A5419" s="20" t="s">
        <v>2212</v>
      </c>
      <c r="B5419" s="21" t="s">
        <v>1275</v>
      </c>
      <c r="C5419" s="21" t="s">
        <v>1222</v>
      </c>
      <c r="D5419" s="21" t="s">
        <v>1217</v>
      </c>
      <c r="E5419" s="22">
        <f>IF(D5419="?OLD","!!!","")</f>
        <v/>
      </c>
      <c r="F5419" s="23" t="str">
        <f>IF(OR(E5419="",E5419="!!!"),"",IF(NOT(ISNA(VLOOKUP(E5419,E$1:E5418,1,FALSE()))),"OLD",IF(AND(E5419&lt;&gt;"",E5419&lt;&gt;"!!!"),"NEW","")))</f>
        <v> </v>
      </c>
      <c r="G5419" s="24" t="str">
        <f>IF(OR(E5419="",E5419="!!!"),"",IF(OR(J5419=0,AND(J5419=1,K5419=1),AND(J5419=1,I5419="SBJ"),AND(J5419=1,I5419=0)),"?IN_FOCUS",IF(J5419&lt;=2,"?ACTIVATED",IF(J5419&lt;&gt;"","?FAMILIAR",IF(F5419="NEW",IF(ISNA(VLOOKUP(E5419,#REF!,1,FALSE())),"?TYPE_IDENTIFIABLE","?REFERENTIAL"),"_")))))</f>
        <v> </v>
      </c>
      <c r="H5419" s="25" t="str">
        <f>IF(J5419&lt;&gt;1,"",IF(I5419="SBJ","CB","?"))</f>
        <v> </v>
      </c>
      <c r="I5419" s="26" t="str">
        <f>IF(OR(E5419="",E5419="!!!",F5419="NEW"),"",INDEX(B5418:B$2,-1+SUMPRODUCT(MAX(ROW(E5418:E$2)*(E5419=E5418:E$2)))))</f>
        <v> </v>
      </c>
      <c r="J5419" s="26" t="str">
        <f>IF(OR(E5419="",E5419="!!!",F5419="NEW"),"",COUNTBLANK(OFFSET(A$1,,,SUMPRODUCT(MAX(ROW(E$2:E5419)*(E5419=E$2:E5419)))))-COUNTBLANK(OFFSET(A$1,,,SUMPRODUCT(MAX(ROW(E$1:E5418)*(E2=E$1:E5418))))))</f>
        <v> </v>
      </c>
      <c r="K5419" s="26" t="str">
        <f>IF(OR(E5419="",E5419="!!!",F5419="NEW"),"",INDEX(J$1:J5418,SUMPRODUCT(MAX(ROW(E$1:E5418)*(E5419=E$1:E5418)))))</f>
        <v> </v>
      </c>
      <c r="L5419" s="27"/>
    </row>
    <row r="5420" spans="1:12">
      <c r="A5420" s="20" t="s">
        <v>1218</v>
      </c>
      <c r="E5420" s="22">
        <f>IF(D5420="?OLD","!!!","")</f>
        <v/>
      </c>
      <c r="F5420" s="23" t="str">
        <f>IF(OR(E5420="",E5420="!!!"),"",IF(NOT(ISNA(VLOOKUP(E5420,E$1:E5419,1,FALSE()))),"OLD",IF(AND(E5420&lt;&gt;"",E5420&lt;&gt;"!!!"),"NEW","")))</f>
        <v> </v>
      </c>
      <c r="G5420" s="24" t="str">
        <f>IF(OR(E5420="",E5420="!!!"),"",IF(OR(J5420=0,AND(J5420=1,K5420=1),AND(J5420=1,I5420="SBJ"),AND(J5420=1,I5420=0)),"?IN_FOCUS",IF(J5420&lt;=2,"?ACTIVATED",IF(J5420&lt;&gt;"","?FAMILIAR",IF(F5420="NEW",IF(ISNA(VLOOKUP(E5420,#REF!,1,FALSE())),"?TYPE_IDENTIFIABLE","?REFERENTIAL"),"_")))))</f>
        <v> </v>
      </c>
      <c r="H5420" s="25" t="str">
        <f>IF(J5420&lt;&gt;1,"",IF(I5420="SBJ","CB","?"))</f>
        <v> </v>
      </c>
      <c r="I5420" s="26" t="str">
        <f>IF(OR(E5420="",E5420="!!!",F5420="NEW"),"",INDEX(B5419:B$2,-1+SUMPRODUCT(MAX(ROW(E5419:E$2)*(E5420=E5419:E$2)))))</f>
        <v> </v>
      </c>
      <c r="J5420" s="26" t="str">
        <f>IF(OR(E5420="",E5420="!!!",F5420="NEW"),"",COUNTBLANK(OFFSET(A$1,,,SUMPRODUCT(MAX(ROW(E$2:E5420)*(E5420=E$2:E5420)))))-COUNTBLANK(OFFSET(A$1,,,SUMPRODUCT(MAX(ROW(E$1:E5419)*(E2=E$1:E5419))))))</f>
        <v> </v>
      </c>
      <c r="K5420" s="26" t="str">
        <f>IF(OR(E5420="",E5420="!!!",F5420="NEW"),"",INDEX(J$1:J5419,SUMPRODUCT(MAX(ROW(E$1:E5419)*(E5420=E$1:E5419)))))</f>
        <v> </v>
      </c>
      <c r="L5420" s="27"/>
    </row>
    <row r="5421" spans="1:12">
      <c r="A5421" s="20" t="s">
        <v>1247</v>
      </c>
      <c r="B5421" s="21" t="s">
        <v>1224</v>
      </c>
      <c r="C5421" s="21" t="s">
        <v>1242</v>
      </c>
      <c r="D5421" s="21" t="s">
        <v>1217</v>
      </c>
      <c r="E5421" s="22">
        <f>IF(D5421="?OLD","!!!","")</f>
        <v/>
      </c>
      <c r="F5421" s="23" t="str">
        <f>IF(OR(E5421="",E5421="!!!"),"",IF(NOT(ISNA(VLOOKUP(E5421,E$1:E5420,1,FALSE()))),"OLD",IF(AND(E5421&lt;&gt;"",E5421&lt;&gt;"!!!"),"NEW","")))</f>
        <v> </v>
      </c>
      <c r="G5421" s="24" t="str">
        <f>IF(OR(E5421="",E5421="!!!"),"",IF(OR(J5421=0,AND(J5421=1,K5421=1),AND(J5421=1,I5421="SBJ"),AND(J5421=1,I5421=0)),"?IN_FOCUS",IF(J5421&lt;=2,"?ACTIVATED",IF(J5421&lt;&gt;"","?FAMILIAR",IF(F5421="NEW",IF(ISNA(VLOOKUP(E5421,#REF!,1,FALSE())),"?TYPE_IDENTIFIABLE","?REFERENTIAL"),"_")))))</f>
        <v> </v>
      </c>
      <c r="H5421" s="25" t="str">
        <f>IF(J5421&lt;&gt;1,"",IF(I5421="SBJ","CB","?"))</f>
        <v> </v>
      </c>
      <c r="I5421" s="26" t="str">
        <f>IF(OR(E5421="",E5421="!!!",F5421="NEW"),"",INDEX(B5420:B$2,-1+SUMPRODUCT(MAX(ROW(E5420:E$2)*(E5421=E5420:E$2)))))</f>
        <v> </v>
      </c>
      <c r="J5421" s="26" t="str">
        <f>IF(OR(E5421="",E5421="!!!",F5421="NEW"),"",COUNTBLANK(OFFSET(A$1,,,SUMPRODUCT(MAX(ROW(E$2:E5421)*(E5421=E$2:E5421)))))-COUNTBLANK(OFFSET(A$1,,,SUMPRODUCT(MAX(ROW(E$1:E5420)*(E2=E$1:E5420))))))</f>
        <v> </v>
      </c>
      <c r="K5421" s="26" t="str">
        <f>IF(OR(E5421="",E5421="!!!",F5421="NEW"),"",INDEX(J$1:J5420,SUMPRODUCT(MAX(ROW(E$1:E5420)*(E5421=E$1:E5420)))))</f>
        <v> </v>
      </c>
      <c r="L5421" s="27"/>
    </row>
    <row r="5422" spans="1:12">
      <c r="A5422" s="20" t="s">
        <v>2926</v>
      </c>
      <c r="B5422" s="21" t="s">
        <v>1221</v>
      </c>
      <c r="C5422" s="21" t="s">
        <v>1222</v>
      </c>
      <c r="D5422" s="21" t="s">
        <v>1217</v>
      </c>
      <c r="E5422" s="22">
        <f>IF(D5422="?OLD","!!!","")</f>
        <v/>
      </c>
      <c r="F5422" s="23" t="str">
        <f>IF(OR(E5422="",E5422="!!!"),"",IF(NOT(ISNA(VLOOKUP(E5422,E$1:E5421,1,FALSE()))),"OLD",IF(AND(E5422&lt;&gt;"",E5422&lt;&gt;"!!!"),"NEW","")))</f>
        <v> </v>
      </c>
      <c r="G5422" s="24" t="str">
        <f>IF(OR(E5422="",E5422="!!!"),"",IF(OR(J5422=0,AND(J5422=1,K5422=1),AND(J5422=1,I5422="SBJ"),AND(J5422=1,I5422=0)),"?IN_FOCUS",IF(J5422&lt;=2,"?ACTIVATED",IF(J5422&lt;&gt;"","?FAMILIAR",IF(F5422="NEW",IF(ISNA(VLOOKUP(E5422,#REF!,1,FALSE())),"?TYPE_IDENTIFIABLE","?REFERENTIAL"),"_")))))</f>
        <v> </v>
      </c>
      <c r="H5422" s="25" t="str">
        <f>IF(J5422&lt;&gt;1,"",IF(I5422="SBJ","CB","?"))</f>
        <v> </v>
      </c>
      <c r="I5422" s="26" t="str">
        <f>IF(OR(E5422="",E5422="!!!",F5422="NEW"),"",INDEX(B5421:B$2,-1+SUMPRODUCT(MAX(ROW(E5421:E$2)*(E5422=E5421:E$2)))))</f>
        <v> </v>
      </c>
      <c r="J5422" s="26" t="str">
        <f>IF(OR(E5422="",E5422="!!!",F5422="NEW"),"",COUNTBLANK(OFFSET(A$1,,,SUMPRODUCT(MAX(ROW(E$2:E5422)*(E5422=E$2:E5422)))))-COUNTBLANK(OFFSET(A$1,,,SUMPRODUCT(MAX(ROW(E$1:E5421)*(E2=E$1:E5421))))))</f>
        <v> </v>
      </c>
      <c r="K5422" s="26" t="str">
        <f>IF(OR(E5422="",E5422="!!!",F5422="NEW"),"",INDEX(J$1:J5421,SUMPRODUCT(MAX(ROW(E$1:E5421)*(E5422=E$1:E5421)))))</f>
        <v> </v>
      </c>
      <c r="L5422" s="27"/>
    </row>
    <row r="5423" spans="1:12">
      <c r="A5423" s="20" t="s">
        <v>1277</v>
      </c>
      <c r="E5423" s="22">
        <f>IF(D5423="?OLD","!!!","")</f>
        <v/>
      </c>
      <c r="F5423" s="23" t="str">
        <f>IF(OR(E5423="",E5423="!!!"),"",IF(NOT(ISNA(VLOOKUP(E5423,E$1:E5422,1,FALSE()))),"OLD",IF(AND(E5423&lt;&gt;"",E5423&lt;&gt;"!!!"),"NEW","")))</f>
        <v> </v>
      </c>
      <c r="G5423" s="24" t="str">
        <f>IF(OR(E5423="",E5423="!!!"),"",IF(OR(J5423=0,AND(J5423=1,K5423=1),AND(J5423=1,I5423="SBJ"),AND(J5423=1,I5423=0)),"?IN_FOCUS",IF(J5423&lt;=2,"?ACTIVATED",IF(J5423&lt;&gt;"","?FAMILIAR",IF(F5423="NEW",IF(ISNA(VLOOKUP(E5423,#REF!,1,FALSE())),"?TYPE_IDENTIFIABLE","?REFERENTIAL"),"_")))))</f>
        <v> </v>
      </c>
      <c r="H5423" s="25" t="str">
        <f>IF(J5423&lt;&gt;1,"",IF(I5423="SBJ","CB","?"))</f>
        <v> </v>
      </c>
      <c r="I5423" s="26" t="str">
        <f>IF(OR(E5423="",E5423="!!!",F5423="NEW"),"",INDEX(B5422:B$2,-1+SUMPRODUCT(MAX(ROW(E5422:E$2)*(E5423=E5422:E$2)))))</f>
        <v> </v>
      </c>
      <c r="J5423" s="26" t="str">
        <f>IF(OR(E5423="",E5423="!!!",F5423="NEW"),"",COUNTBLANK(OFFSET(A$1,,,SUMPRODUCT(MAX(ROW(E$2:E5423)*(E5423=E$2:E5423)))))-COUNTBLANK(OFFSET(A$1,,,SUMPRODUCT(MAX(ROW(E$1:E5422)*(E2=E$1:E5422))))))</f>
        <v> </v>
      </c>
      <c r="K5423" s="26" t="str">
        <f>IF(OR(E5423="",E5423="!!!",F5423="NEW"),"",INDEX(J$1:J5422,SUMPRODUCT(MAX(ROW(E$1:E5422)*(E5423=E$1:E5422)))))</f>
        <v> </v>
      </c>
      <c r="L5423" s="27"/>
    </row>
    <row r="5424" spans="1:12">
      <c r="A5424" s="20" t="s">
        <v>2217</v>
      </c>
      <c r="E5424" s="22">
        <f>IF(D5424="?OLD","!!!","")</f>
        <v/>
      </c>
      <c r="F5424" s="23" t="str">
        <f>IF(OR(E5424="",E5424="!!!"),"",IF(NOT(ISNA(VLOOKUP(E5424,E$1:E5423,1,FALSE()))),"OLD",IF(AND(E5424&lt;&gt;"",E5424&lt;&gt;"!!!"),"NEW","")))</f>
        <v> </v>
      </c>
      <c r="G5424" s="24" t="str">
        <f>IF(OR(E5424="",E5424="!!!"),"",IF(OR(J5424=0,AND(J5424=1,K5424=1),AND(J5424=1,I5424="SBJ"),AND(J5424=1,I5424=0)),"?IN_FOCUS",IF(J5424&lt;=2,"?ACTIVATED",IF(J5424&lt;&gt;"","?FAMILIAR",IF(F5424="NEW",IF(ISNA(VLOOKUP(E5424,#REF!,1,FALSE())),"?TYPE_IDENTIFIABLE","?REFERENTIAL"),"_")))))</f>
        <v> </v>
      </c>
      <c r="H5424" s="25" t="str">
        <f>IF(J5424&lt;&gt;1,"",IF(I5424="SBJ","CB","?"))</f>
        <v> </v>
      </c>
      <c r="I5424" s="26" t="str">
        <f>IF(OR(E5424="",E5424="!!!",F5424="NEW"),"",INDEX(B5423:B$2,-1+SUMPRODUCT(MAX(ROW(E5423:E$2)*(E5424=E5423:E$2)))))</f>
        <v> </v>
      </c>
      <c r="J5424" s="26" t="str">
        <f>IF(OR(E5424="",E5424="!!!",F5424="NEW"),"",COUNTBLANK(OFFSET(A$1,,,SUMPRODUCT(MAX(ROW(E$2:E5424)*(E5424=E$2:E5424)))))-COUNTBLANK(OFFSET(A$1,,,SUMPRODUCT(MAX(ROW(E$1:E5423)*(E2=E$1:E5423))))))</f>
        <v> </v>
      </c>
      <c r="K5424" s="26" t="str">
        <f>IF(OR(E5424="",E5424="!!!",F5424="NEW"),"",INDEX(J$1:J5423,SUMPRODUCT(MAX(ROW(E$1:E5423)*(E5424=E$1:E5423)))))</f>
        <v> </v>
      </c>
      <c r="L5424" s="27"/>
    </row>
    <row r="5425" spans="1:12">
      <c r="A5425" s="20" t="s">
        <v>1321</v>
      </c>
      <c r="E5425" s="22">
        <f>IF(D5425="?OLD","!!!","")</f>
        <v/>
      </c>
      <c r="F5425" s="23" t="str">
        <f>IF(OR(E5425="",E5425="!!!"),"",IF(NOT(ISNA(VLOOKUP(E5425,E$1:E5424,1,FALSE()))),"OLD",IF(AND(E5425&lt;&gt;"",E5425&lt;&gt;"!!!"),"NEW","")))</f>
        <v> </v>
      </c>
      <c r="G5425" s="24" t="str">
        <f>IF(OR(E5425="",E5425="!!!"),"",IF(OR(J5425=0,AND(J5425=1,K5425=1),AND(J5425=1,I5425="SBJ"),AND(J5425=1,I5425=0)),"?IN_FOCUS",IF(J5425&lt;=2,"?ACTIVATED",IF(J5425&lt;&gt;"","?FAMILIAR",IF(F5425="NEW",IF(ISNA(VLOOKUP(E5425,#REF!,1,FALSE())),"?TYPE_IDENTIFIABLE","?REFERENTIAL"),"_")))))</f>
        <v> </v>
      </c>
      <c r="H5425" s="25" t="str">
        <f>IF(J5425&lt;&gt;1,"",IF(I5425="SBJ","CB","?"))</f>
        <v> </v>
      </c>
      <c r="I5425" s="26" t="str">
        <f>IF(OR(E5425="",E5425="!!!",F5425="NEW"),"",INDEX(B5424:B$2,-1+SUMPRODUCT(MAX(ROW(E5424:E$2)*(E5425=E5424:E$2)))))</f>
        <v> </v>
      </c>
      <c r="J5425" s="26" t="str">
        <f>IF(OR(E5425="",E5425="!!!",F5425="NEW"),"",COUNTBLANK(OFFSET(A$1,,,SUMPRODUCT(MAX(ROW(E$2:E5425)*(E5425=E$2:E5425)))))-COUNTBLANK(OFFSET(A$1,,,SUMPRODUCT(MAX(ROW(E$1:E5424)*(E2=E$1:E5424))))))</f>
        <v> </v>
      </c>
      <c r="K5425" s="26" t="str">
        <f>IF(OR(E5425="",E5425="!!!",F5425="NEW"),"",INDEX(J$1:J5424,SUMPRODUCT(MAX(ROW(E$1:E5424)*(E5425=E$1:E5424)))))</f>
        <v> </v>
      </c>
      <c r="L5425" s="27"/>
    </row>
    <row r="5426" spans="1:12">
      <c r="A5426" s="20" t="s">
        <v>1218</v>
      </c>
      <c r="E5426" s="22">
        <f>IF(D5426="?OLD","!!!","")</f>
        <v/>
      </c>
      <c r="F5426" s="23" t="str">
        <f>IF(OR(E5426="",E5426="!!!"),"",IF(NOT(ISNA(VLOOKUP(E5426,E$1:E5425,1,FALSE()))),"OLD",IF(AND(E5426&lt;&gt;"",E5426&lt;&gt;"!!!"),"NEW","")))</f>
        <v> </v>
      </c>
      <c r="G5426" s="24" t="str">
        <f>IF(OR(E5426="",E5426="!!!"),"",IF(OR(J5426=0,AND(J5426=1,K5426=1),AND(J5426=1,I5426="SBJ"),AND(J5426=1,I5426=0)),"?IN_FOCUS",IF(J5426&lt;=2,"?ACTIVATED",IF(J5426&lt;&gt;"","?FAMILIAR",IF(F5426="NEW",IF(ISNA(VLOOKUP(E5426,#REF!,1,FALSE())),"?TYPE_IDENTIFIABLE","?REFERENTIAL"),"_")))))</f>
        <v> </v>
      </c>
      <c r="H5426" s="25" t="str">
        <f>IF(J5426&lt;&gt;1,"",IF(I5426="SBJ","CB","?"))</f>
        <v> </v>
      </c>
      <c r="I5426" s="26" t="str">
        <f>IF(OR(E5426="",E5426="!!!",F5426="NEW"),"",INDEX(B5425:B$2,-1+SUMPRODUCT(MAX(ROW(E5425:E$2)*(E5426=E5425:E$2)))))</f>
        <v> </v>
      </c>
      <c r="J5426" s="26" t="str">
        <f>IF(OR(E5426="",E5426="!!!",F5426="NEW"),"",COUNTBLANK(OFFSET(A$1,,,SUMPRODUCT(MAX(ROW(E$2:E5426)*(E5426=E$2:E5426)))))-COUNTBLANK(OFFSET(A$1,,,SUMPRODUCT(MAX(ROW(E$1:E5425)*(E2=E$1:E5425))))))</f>
        <v> </v>
      </c>
      <c r="K5426" s="26" t="str">
        <f>IF(OR(E5426="",E5426="!!!",F5426="NEW"),"",INDEX(J$1:J5425,SUMPRODUCT(MAX(ROW(E$1:E5425)*(E5426=E$1:E5425)))))</f>
        <v> </v>
      </c>
      <c r="L5426" s="27"/>
    </row>
    <row r="5427" spans="1:12">
      <c r="A5427" s="20" t="s">
        <v>1266</v>
      </c>
      <c r="E5427" s="22">
        <f>IF(D5427="?OLD","!!!","")</f>
        <v/>
      </c>
      <c r="F5427" s="23" t="str">
        <f>IF(OR(E5427="",E5427="!!!"),"",IF(NOT(ISNA(VLOOKUP(E5427,E$1:E5426,1,FALSE()))),"OLD",IF(AND(E5427&lt;&gt;"",E5427&lt;&gt;"!!!"),"NEW","")))</f>
        <v> </v>
      </c>
      <c r="G5427" s="24" t="str">
        <f>IF(OR(E5427="",E5427="!!!"),"",IF(OR(J5427=0,AND(J5427=1,K5427=1),AND(J5427=1,I5427="SBJ"),AND(J5427=1,I5427=0)),"?IN_FOCUS",IF(J5427&lt;=2,"?ACTIVATED",IF(J5427&lt;&gt;"","?FAMILIAR",IF(F5427="NEW",IF(ISNA(VLOOKUP(E5427,#REF!,1,FALSE())),"?TYPE_IDENTIFIABLE","?REFERENTIAL"),"_")))))</f>
        <v> </v>
      </c>
      <c r="H5427" s="25" t="str">
        <f>IF(J5427&lt;&gt;1,"",IF(I5427="SBJ","CB","?"))</f>
        <v> </v>
      </c>
      <c r="I5427" s="26" t="str">
        <f>IF(OR(E5427="",E5427="!!!",F5427="NEW"),"",INDEX(B5426:B$2,-1+SUMPRODUCT(MAX(ROW(E5426:E$2)*(E5427=E5426:E$2)))))</f>
        <v> </v>
      </c>
      <c r="J5427" s="26" t="str">
        <f>IF(OR(E5427="",E5427="!!!",F5427="NEW"),"",COUNTBLANK(OFFSET(A$1,,,SUMPRODUCT(MAX(ROW(E$2:E5427)*(E5427=E$2:E5427)))))-COUNTBLANK(OFFSET(A$1,,,SUMPRODUCT(MAX(ROW(E$1:E5426)*(E2=E$1:E5426))))))</f>
        <v> </v>
      </c>
      <c r="K5427" s="26" t="str">
        <f>IF(OR(E5427="",E5427="!!!",F5427="NEW"),"",INDEX(J$1:J5426,SUMPRODUCT(MAX(ROW(E$1:E5426)*(E5427=E$1:E5426)))))</f>
        <v> </v>
      </c>
      <c r="L5427" s="27"/>
    </row>
    <row r="5428" spans="1:12">
      <c r="A5428" s="20" t="s">
        <v>2927</v>
      </c>
      <c r="B5428" s="21" t="s">
        <v>1221</v>
      </c>
      <c r="C5428" s="21" t="s">
        <v>1222</v>
      </c>
      <c r="D5428" s="21" t="s">
        <v>1217</v>
      </c>
      <c r="E5428" s="22">
        <f>IF(D5428="?OLD","!!!","")</f>
        <v/>
      </c>
      <c r="F5428" s="23" t="str">
        <f>IF(OR(E5428="",E5428="!!!"),"",IF(NOT(ISNA(VLOOKUP(E5428,E$1:E5427,1,FALSE()))),"OLD",IF(AND(E5428&lt;&gt;"",E5428&lt;&gt;"!!!"),"NEW","")))</f>
        <v> </v>
      </c>
      <c r="G5428" s="24" t="str">
        <f>IF(OR(E5428="",E5428="!!!"),"",IF(OR(J5428=0,AND(J5428=1,K5428=1),AND(J5428=1,I5428="SBJ"),AND(J5428=1,I5428=0)),"?IN_FOCUS",IF(J5428&lt;=2,"?ACTIVATED",IF(J5428&lt;&gt;"","?FAMILIAR",IF(F5428="NEW",IF(ISNA(VLOOKUP(E5428,#REF!,1,FALSE())),"?TYPE_IDENTIFIABLE","?REFERENTIAL"),"_")))))</f>
        <v> </v>
      </c>
      <c r="H5428" s="25" t="str">
        <f>IF(J5428&lt;&gt;1,"",IF(I5428="SBJ","CB","?"))</f>
        <v> </v>
      </c>
      <c r="I5428" s="26" t="str">
        <f>IF(OR(E5428="",E5428="!!!",F5428="NEW"),"",INDEX(B5427:B$2,-1+SUMPRODUCT(MAX(ROW(E5427:E$2)*(E5428=E5427:E$2)))))</f>
        <v> </v>
      </c>
      <c r="J5428" s="26" t="str">
        <f>IF(OR(E5428="",E5428="!!!",F5428="NEW"),"",COUNTBLANK(OFFSET(A$1,,,SUMPRODUCT(MAX(ROW(E$2:E5428)*(E5428=E$2:E5428)))))-COUNTBLANK(OFFSET(A$1,,,SUMPRODUCT(MAX(ROW(E$1:E5427)*(E2=E$1:E5427))))))</f>
        <v> </v>
      </c>
      <c r="K5428" s="26" t="str">
        <f>IF(OR(E5428="",E5428="!!!",F5428="NEW"),"",INDEX(J$1:J5427,SUMPRODUCT(MAX(ROW(E$1:E5427)*(E5428=E$1:E5427)))))</f>
        <v> </v>
      </c>
      <c r="L5428" s="27"/>
    </row>
    <row r="5429" spans="1:12">
      <c r="A5429" s="20" t="s">
        <v>1218</v>
      </c>
      <c r="E5429" s="22">
        <f>IF(D5429="?OLD","!!!","")</f>
        <v/>
      </c>
      <c r="F5429" s="23" t="str">
        <f>IF(OR(E5429="",E5429="!!!"),"",IF(NOT(ISNA(VLOOKUP(E5429,E$1:E5428,1,FALSE()))),"OLD",IF(AND(E5429&lt;&gt;"",E5429&lt;&gt;"!!!"),"NEW","")))</f>
        <v> </v>
      </c>
      <c r="G5429" s="24" t="str">
        <f>IF(OR(E5429="",E5429="!!!"),"",IF(OR(J5429=0,AND(J5429=1,K5429=1),AND(J5429=1,I5429="SBJ"),AND(J5429=1,I5429=0)),"?IN_FOCUS",IF(J5429&lt;=2,"?ACTIVATED",IF(J5429&lt;&gt;"","?FAMILIAR",IF(F5429="NEW",IF(ISNA(VLOOKUP(E5429,#REF!,1,FALSE())),"?TYPE_IDENTIFIABLE","?REFERENTIAL"),"_")))))</f>
        <v> </v>
      </c>
      <c r="H5429" s="25" t="str">
        <f>IF(J5429&lt;&gt;1,"",IF(I5429="SBJ","CB","?"))</f>
        <v> </v>
      </c>
      <c r="I5429" s="26" t="str">
        <f>IF(OR(E5429="",E5429="!!!",F5429="NEW"),"",INDEX(B5428:B$2,-1+SUMPRODUCT(MAX(ROW(E5428:E$2)*(E5429=E5428:E$2)))))</f>
        <v> </v>
      </c>
      <c r="J5429" s="26" t="str">
        <f>IF(OR(E5429="",E5429="!!!",F5429="NEW"),"",COUNTBLANK(OFFSET(A$1,,,SUMPRODUCT(MAX(ROW(E$2:E5429)*(E5429=E$2:E5429)))))-COUNTBLANK(OFFSET(A$1,,,SUMPRODUCT(MAX(ROW(E$1:E5428)*(E2=E$1:E5428))))))</f>
        <v> </v>
      </c>
      <c r="K5429" s="26" t="str">
        <f>IF(OR(E5429="",E5429="!!!",F5429="NEW"),"",INDEX(J$1:J5428,SUMPRODUCT(MAX(ROW(E$1:E5428)*(E5429=E$1:E5428)))))</f>
        <v> </v>
      </c>
      <c r="L5429" s="27"/>
    </row>
    <row r="5430" spans="1:12">
      <c r="A5430" s="20" t="s">
        <v>1280</v>
      </c>
      <c r="B5430" s="21" t="s">
        <v>1226</v>
      </c>
      <c r="C5430" s="21" t="s">
        <v>1242</v>
      </c>
      <c r="D5430" s="21" t="s">
        <v>1217</v>
      </c>
      <c r="E5430" s="22">
        <f>IF(D5430="?OLD","!!!","")</f>
        <v/>
      </c>
      <c r="F5430" s="23" t="str">
        <f>IF(OR(E5430="",E5430="!!!"),"",IF(NOT(ISNA(VLOOKUP(E5430,E$1:E5429,1,FALSE()))),"OLD",IF(AND(E5430&lt;&gt;"",E5430&lt;&gt;"!!!"),"NEW","")))</f>
        <v> </v>
      </c>
      <c r="G5430" s="24" t="str">
        <f>IF(OR(E5430="",E5430="!!!"),"",IF(OR(J5430=0,AND(J5430=1,K5430=1),AND(J5430=1,I5430="SBJ"),AND(J5430=1,I5430=0)),"?IN_FOCUS",IF(J5430&lt;=2,"?ACTIVATED",IF(J5430&lt;&gt;"","?FAMILIAR",IF(F5430="NEW",IF(ISNA(VLOOKUP(E5430,#REF!,1,FALSE())),"?TYPE_IDENTIFIABLE","?REFERENTIAL"),"_")))))</f>
        <v> </v>
      </c>
      <c r="H5430" s="25" t="str">
        <f>IF(J5430&lt;&gt;1,"",IF(I5430="SBJ","CB","?"))</f>
        <v> </v>
      </c>
      <c r="I5430" s="26" t="str">
        <f>IF(OR(E5430="",E5430="!!!",F5430="NEW"),"",INDEX(B5429:B$2,-1+SUMPRODUCT(MAX(ROW(E5429:E$2)*(E5430=E5429:E$2)))))</f>
        <v> </v>
      </c>
      <c r="J5430" s="26" t="str">
        <f>IF(OR(E5430="",E5430="!!!",F5430="NEW"),"",COUNTBLANK(OFFSET(A$1,,,SUMPRODUCT(MAX(ROW(E$2:E5430)*(E5430=E$2:E5430)))))-COUNTBLANK(OFFSET(A$1,,,SUMPRODUCT(MAX(ROW(E$1:E5429)*(E2=E$1:E5429))))))</f>
        <v> </v>
      </c>
      <c r="K5430" s="26" t="str">
        <f>IF(OR(E5430="",E5430="!!!",F5430="NEW"),"",INDEX(J$1:J5429,SUMPRODUCT(MAX(ROW(E$1:E5429)*(E5430=E$1:E5429)))))</f>
        <v> </v>
      </c>
      <c r="L5430" s="27"/>
    </row>
    <row r="5431" spans="1:12">
      <c r="A5431" s="20" t="s">
        <v>2146</v>
      </c>
      <c r="B5431" s="21" t="s">
        <v>1224</v>
      </c>
      <c r="C5431" s="21" t="s">
        <v>1222</v>
      </c>
      <c r="D5431" s="21" t="s">
        <v>1217</v>
      </c>
      <c r="E5431" s="22">
        <f>IF(D5431="?OLD","!!!","")</f>
        <v/>
      </c>
      <c r="F5431" s="23" t="str">
        <f>IF(OR(E5431="",E5431="!!!"),"",IF(NOT(ISNA(VLOOKUP(E5431,E$1:E5430,1,FALSE()))),"OLD",IF(AND(E5431&lt;&gt;"",E5431&lt;&gt;"!!!"),"NEW","")))</f>
        <v> </v>
      </c>
      <c r="G5431" s="24" t="str">
        <f>IF(OR(E5431="",E5431="!!!"),"",IF(OR(J5431=0,AND(J5431=1,K5431=1),AND(J5431=1,I5431="SBJ"),AND(J5431=1,I5431=0)),"?IN_FOCUS",IF(J5431&lt;=2,"?ACTIVATED",IF(J5431&lt;&gt;"","?FAMILIAR",IF(F5431="NEW",IF(ISNA(VLOOKUP(E5431,#REF!,1,FALSE())),"?TYPE_IDENTIFIABLE","?REFERENTIAL"),"_")))))</f>
        <v> </v>
      </c>
      <c r="H5431" s="25" t="str">
        <f>IF(J5431&lt;&gt;1,"",IF(I5431="SBJ","CB","?"))</f>
        <v> </v>
      </c>
      <c r="I5431" s="26" t="str">
        <f>IF(OR(E5431="",E5431="!!!",F5431="NEW"),"",INDEX(B5430:B$2,-1+SUMPRODUCT(MAX(ROW(E5430:E$2)*(E5431=E5430:E$2)))))</f>
        <v> </v>
      </c>
      <c r="J5431" s="26" t="str">
        <f>IF(OR(E5431="",E5431="!!!",F5431="NEW"),"",COUNTBLANK(OFFSET(A$1,,,SUMPRODUCT(MAX(ROW(E$2:E5431)*(E5431=E$2:E5431)))))-COUNTBLANK(OFFSET(A$1,,,SUMPRODUCT(MAX(ROW(E$1:E5430)*(E2=E$1:E5430))))))</f>
        <v> </v>
      </c>
      <c r="K5431" s="26" t="str">
        <f>IF(OR(E5431="",E5431="!!!",F5431="NEW"),"",INDEX(J$1:J5430,SUMPRODUCT(MAX(ROW(E$1:E5430)*(E5431=E$1:E5430)))))</f>
        <v> </v>
      </c>
      <c r="L5431" s="27"/>
    </row>
    <row r="5432" spans="1:12">
      <c r="A5432" s="20" t="s">
        <v>2928</v>
      </c>
      <c r="E5432" s="22">
        <f>IF(D5432="?OLD","!!!","")</f>
        <v/>
      </c>
      <c r="F5432" s="23" t="str">
        <f>IF(OR(E5432="",E5432="!!!"),"",IF(NOT(ISNA(VLOOKUP(E5432,E$1:E5431,1,FALSE()))),"OLD",IF(AND(E5432&lt;&gt;"",E5432&lt;&gt;"!!!"),"NEW","")))</f>
        <v> </v>
      </c>
      <c r="G5432" s="24" t="str">
        <f>IF(OR(E5432="",E5432="!!!"),"",IF(OR(J5432=0,AND(J5432=1,K5432=1),AND(J5432=1,I5432="SBJ"),AND(J5432=1,I5432=0)),"?IN_FOCUS",IF(J5432&lt;=2,"?ACTIVATED",IF(J5432&lt;&gt;"","?FAMILIAR",IF(F5432="NEW",IF(ISNA(VLOOKUP(E5432,#REF!,1,FALSE())),"?TYPE_IDENTIFIABLE","?REFERENTIAL"),"_")))))</f>
        <v> </v>
      </c>
      <c r="H5432" s="25" t="str">
        <f>IF(J5432&lt;&gt;1,"",IF(I5432="SBJ","CB","?"))</f>
        <v> </v>
      </c>
      <c r="I5432" s="26" t="str">
        <f>IF(OR(E5432="",E5432="!!!",F5432="NEW"),"",INDEX(B5431:B$2,-1+SUMPRODUCT(MAX(ROW(E5431:E$2)*(E5432=E5431:E$2)))))</f>
        <v> </v>
      </c>
      <c r="J5432" s="26" t="str">
        <f>IF(OR(E5432="",E5432="!!!",F5432="NEW"),"",COUNTBLANK(OFFSET(A$1,,,SUMPRODUCT(MAX(ROW(E$2:E5432)*(E5432=E$2:E5432)))))-COUNTBLANK(OFFSET(A$1,,,SUMPRODUCT(MAX(ROW(E$1:E5431)*(E2=E$1:E5431))))))</f>
        <v> </v>
      </c>
      <c r="K5432" s="26" t="str">
        <f>IF(OR(E5432="",E5432="!!!",F5432="NEW"),"",INDEX(J$1:J5431,SUMPRODUCT(MAX(ROW(E$1:E5431)*(E5432=E$1:E5431)))))</f>
        <v> </v>
      </c>
      <c r="L5432" s="27"/>
    </row>
    <row r="5433" spans="1:12">
      <c r="A5433" s="20" t="s">
        <v>1262</v>
      </c>
      <c r="E5433" s="22">
        <f>IF(D5433="?OLD","!!!","")</f>
        <v/>
      </c>
      <c r="F5433" s="23" t="str">
        <f>IF(OR(E5433="",E5433="!!!"),"",IF(NOT(ISNA(VLOOKUP(E5433,E$1:E5432,1,FALSE()))),"OLD",IF(AND(E5433&lt;&gt;"",E5433&lt;&gt;"!!!"),"NEW","")))</f>
        <v> </v>
      </c>
      <c r="G5433" s="24" t="str">
        <f>IF(OR(E5433="",E5433="!!!"),"",IF(OR(J5433=0,AND(J5433=1,K5433=1),AND(J5433=1,I5433="SBJ"),AND(J5433=1,I5433=0)),"?IN_FOCUS",IF(J5433&lt;=2,"?ACTIVATED",IF(J5433&lt;&gt;"","?FAMILIAR",IF(F5433="NEW",IF(ISNA(VLOOKUP(E5433,#REF!,1,FALSE())),"?TYPE_IDENTIFIABLE","?REFERENTIAL"),"_")))))</f>
        <v> </v>
      </c>
      <c r="H5433" s="25" t="str">
        <f>IF(J5433&lt;&gt;1,"",IF(I5433="SBJ","CB","?"))</f>
        <v> </v>
      </c>
      <c r="I5433" s="26" t="str">
        <f>IF(OR(E5433="",E5433="!!!",F5433="NEW"),"",INDEX(B5432:B$2,-1+SUMPRODUCT(MAX(ROW(E5432:E$2)*(E5433=E5432:E$2)))))</f>
        <v> </v>
      </c>
      <c r="J5433" s="26" t="str">
        <f>IF(OR(E5433="",E5433="!!!",F5433="NEW"),"",COUNTBLANK(OFFSET(A$1,,,SUMPRODUCT(MAX(ROW(E$2:E5433)*(E5433=E$2:E5433)))))-COUNTBLANK(OFFSET(A$1,,,SUMPRODUCT(MAX(ROW(E$1:E5432)*(E2=E$1:E5432))))))</f>
        <v> </v>
      </c>
      <c r="K5433" s="26" t="str">
        <f>IF(OR(E5433="",E5433="!!!",F5433="NEW"),"",INDEX(J$1:J5432,SUMPRODUCT(MAX(ROW(E$1:E5432)*(E5433=E$1:E5432)))))</f>
        <v> </v>
      </c>
      <c r="L5433" s="27"/>
    </row>
    <row r="5434" spans="1:12">
      <c r="A5434" s="20"/>
    </row>
    <row r="5435" spans="1:12">
      <c r="A5435" s="20" t="s">
        <v>2929</v>
      </c>
    </row>
    <row r="5436" spans="1:12">
      <c r="A5436" s="20" t="s">
        <v>1716</v>
      </c>
      <c r="E5436" s="22">
        <f>IF(D5436="?OLD","!!!","")</f>
        <v/>
      </c>
      <c r="F5436" s="23" t="str">
        <f>IF(OR(E5436="",E5436="!!!"),"",IF(NOT(ISNA(VLOOKUP(E5436,E$1:E5435,1,FALSE()))),"OLD",IF(AND(E5436&lt;&gt;"",E5436&lt;&gt;"!!!"),"NEW","")))</f>
        <v> </v>
      </c>
      <c r="G5436" s="24" t="str">
        <f>IF(OR(E5436="",E5436="!!!"),"",IF(OR(J5436=0,AND(J5436=1,K5436=1),AND(J5436=1,I5436="SBJ"),AND(J5436=1,I5436=0)),"?IN_FOCUS",IF(J5436&lt;=2,"?ACTIVATED",IF(J5436&lt;&gt;"","?FAMILIAR",IF(F5436="NEW",IF(ISNA(VLOOKUP(E5436,#REF!,1,FALSE())),"?TYPE_IDENTIFIABLE","?REFERENTIAL"),"_")))))</f>
        <v> </v>
      </c>
      <c r="H5436" s="25" t="str">
        <f>IF(J5436&lt;&gt;1,"",IF(I5436="SBJ","CB","?"))</f>
        <v> </v>
      </c>
      <c r="I5436" s="26" t="str">
        <f>IF(OR(E5436="",E5436="!!!",F5436="NEW"),"",INDEX(B5435:B$2,-1+SUMPRODUCT(MAX(ROW(E5435:E$2)*(E5436=E5435:E$2)))))</f>
        <v> </v>
      </c>
      <c r="J5436" s="26" t="str">
        <f>IF(OR(E5436="",E5436="!!!",F5436="NEW"),"",COUNTBLANK(OFFSET(A$1,,,SUMPRODUCT(MAX(ROW(E$2:E5436)*(E5436=E$2:E5436)))))-COUNTBLANK(OFFSET(A$1,,,SUMPRODUCT(MAX(ROW(E$1:E5435)*(E2=E$1:E5435))))))</f>
        <v> </v>
      </c>
      <c r="K5436" s="26" t="str">
        <f>IF(OR(E5436="",E5436="!!!",F5436="NEW"),"",INDEX(J$1:J5435,SUMPRODUCT(MAX(ROW(E$1:E5435)*(E5436=E$1:E5435)))))</f>
        <v> </v>
      </c>
      <c r="L5436" s="27"/>
    </row>
    <row r="5437" spans="1:12">
      <c r="A5437" s="20" t="s">
        <v>2864</v>
      </c>
      <c r="E5437" s="22">
        <f>IF(D5437="?OLD","!!!","")</f>
        <v/>
      </c>
      <c r="F5437" s="23" t="str">
        <f>IF(OR(E5437="",E5437="!!!"),"",IF(NOT(ISNA(VLOOKUP(E5437,E$1:E5436,1,FALSE()))),"OLD",IF(AND(E5437&lt;&gt;"",E5437&lt;&gt;"!!!"),"NEW","")))</f>
        <v> </v>
      </c>
      <c r="G5437" s="24" t="str">
        <f>IF(OR(E5437="",E5437="!!!"),"",IF(OR(J5437=0,AND(J5437=1,K5437=1),AND(J5437=1,I5437="SBJ"),AND(J5437=1,I5437=0)),"?IN_FOCUS",IF(J5437&lt;=2,"?ACTIVATED",IF(J5437&lt;&gt;"","?FAMILIAR",IF(F5437="NEW",IF(ISNA(VLOOKUP(E5437,#REF!,1,FALSE())),"?TYPE_IDENTIFIABLE","?REFERENTIAL"),"_")))))</f>
        <v> </v>
      </c>
      <c r="H5437" s="25" t="str">
        <f>IF(J5437&lt;&gt;1,"",IF(I5437="SBJ","CB","?"))</f>
        <v> </v>
      </c>
      <c r="I5437" s="26" t="str">
        <f>IF(OR(E5437="",E5437="!!!",F5437="NEW"),"",INDEX(B5436:B$2,-1+SUMPRODUCT(MAX(ROW(E5436:E$2)*(E5437=E5436:E$2)))))</f>
        <v> </v>
      </c>
      <c r="J5437" s="26" t="str">
        <f>IF(OR(E5437="",E5437="!!!",F5437="NEW"),"",COUNTBLANK(OFFSET(A$1,,,SUMPRODUCT(MAX(ROW(E$2:E5437)*(E5437=E$2:E5437)))))-COUNTBLANK(OFFSET(A$1,,,SUMPRODUCT(MAX(ROW(E$1:E5436)*(E2=E$1:E5436))))))</f>
        <v> </v>
      </c>
      <c r="K5437" s="26" t="str">
        <f>IF(OR(E5437="",E5437="!!!",F5437="NEW"),"",INDEX(J$1:J5436,SUMPRODUCT(MAX(ROW(E$1:E5436)*(E5437=E$1:E5436)))))</f>
        <v> </v>
      </c>
      <c r="L5437" s="27"/>
    </row>
    <row r="5438" spans="1:12">
      <c r="A5438" s="20" t="s">
        <v>1389</v>
      </c>
      <c r="B5438" s="21" t="s">
        <v>1215</v>
      </c>
      <c r="C5438" s="21" t="s">
        <v>1238</v>
      </c>
      <c r="E5438" s="22">
        <f>IF(D5438="?OLD","!!!","")</f>
        <v/>
      </c>
      <c r="F5438" s="23" t="str">
        <f>IF(OR(E5438="",E5438="!!!"),"",IF(NOT(ISNA(VLOOKUP(E5438,E$1:E5437,1,FALSE()))),"OLD",IF(AND(E5438&lt;&gt;"",E5438&lt;&gt;"!!!"),"NEW","")))</f>
        <v> </v>
      </c>
      <c r="G5438" s="24" t="str">
        <f>IF(OR(E5438="",E5438="!!!"),"",IF(OR(J5438=0,AND(J5438=1,K5438=1),AND(J5438=1,I5438="SBJ"),AND(J5438=1,I5438=0)),"?IN_FOCUS",IF(J5438&lt;=2,"?ACTIVATED",IF(J5438&lt;&gt;"","?FAMILIAR",IF(F5438="NEW",IF(ISNA(VLOOKUP(E5438,#REF!,1,FALSE())),"?TYPE_IDENTIFIABLE","?REFERENTIAL"),"_")))))</f>
        <v> </v>
      </c>
      <c r="H5438" s="25" t="str">
        <f>IF(J5438&lt;&gt;1,"",IF(I5438="SBJ","CB","?"))</f>
        <v> </v>
      </c>
      <c r="I5438" s="26" t="str">
        <f>IF(OR(E5438="",E5438="!!!",F5438="NEW"),"",INDEX(B5437:B$2,-1+SUMPRODUCT(MAX(ROW(E5437:E$2)*(E5438=E5437:E$2)))))</f>
        <v> </v>
      </c>
      <c r="J5438" s="26" t="str">
        <f>IF(OR(E5438="",E5438="!!!",F5438="NEW"),"",COUNTBLANK(OFFSET(A$1,,,SUMPRODUCT(MAX(ROW(E$2:E5438)*(E5438=E$2:E5438)))))-COUNTBLANK(OFFSET(A$1,,,SUMPRODUCT(MAX(ROW(E$1:E5437)*(E2=E$1:E5437))))))</f>
        <v> </v>
      </c>
      <c r="K5438" s="26" t="str">
        <f>IF(OR(E5438="",E5438="!!!",F5438="NEW"),"",INDEX(J$1:J5437,SUMPRODUCT(MAX(ROW(E$1:E5437)*(E5438=E$1:E5437)))))</f>
        <v> </v>
      </c>
      <c r="L5438" s="27"/>
    </row>
    <row r="5439" spans="1:12">
      <c r="A5439" s="20" t="s">
        <v>1286</v>
      </c>
      <c r="E5439" s="22">
        <f>IF(D5439="?OLD","!!!","")</f>
        <v/>
      </c>
      <c r="F5439" s="23" t="str">
        <f>IF(OR(E5439="",E5439="!!!"),"",IF(NOT(ISNA(VLOOKUP(E5439,E$1:E5438,1,FALSE()))),"OLD",IF(AND(E5439&lt;&gt;"",E5439&lt;&gt;"!!!"),"NEW","")))</f>
        <v> </v>
      </c>
      <c r="G5439" s="24" t="str">
        <f>IF(OR(E5439="",E5439="!!!"),"",IF(OR(J5439=0,AND(J5439=1,K5439=1),AND(J5439=1,I5439="SBJ"),AND(J5439=1,I5439=0)),"?IN_FOCUS",IF(J5439&lt;=2,"?ACTIVATED",IF(J5439&lt;&gt;"","?FAMILIAR",IF(F5439="NEW",IF(ISNA(VLOOKUP(E5439,#REF!,1,FALSE())),"?TYPE_IDENTIFIABLE","?REFERENTIAL"),"_")))))</f>
        <v> </v>
      </c>
      <c r="H5439" s="25" t="str">
        <f>IF(J5439&lt;&gt;1,"",IF(I5439="SBJ","CB","?"))</f>
        <v> </v>
      </c>
      <c r="I5439" s="26" t="str">
        <f>IF(OR(E5439="",E5439="!!!",F5439="NEW"),"",INDEX(B5438:B$2,-1+SUMPRODUCT(MAX(ROW(E5438:E$2)*(E5439=E5438:E$2)))))</f>
        <v> </v>
      </c>
      <c r="J5439" s="26" t="str">
        <f>IF(OR(E5439="",E5439="!!!",F5439="NEW"),"",COUNTBLANK(OFFSET(A$1,,,SUMPRODUCT(MAX(ROW(E$2:E5439)*(E5439=E$2:E5439)))))-COUNTBLANK(OFFSET(A$1,,,SUMPRODUCT(MAX(ROW(E$1:E5438)*(E2=E$1:E5438))))))</f>
        <v> </v>
      </c>
      <c r="K5439" s="26" t="str">
        <f>IF(OR(E5439="",E5439="!!!",F5439="NEW"),"",INDEX(J$1:J5438,SUMPRODUCT(MAX(ROW(E$1:E5438)*(E5439=E$1:E5438)))))</f>
        <v> </v>
      </c>
      <c r="L5439" s="27"/>
    </row>
    <row r="5440" spans="1:12">
      <c r="A5440" s="20" t="s">
        <v>1471</v>
      </c>
      <c r="E5440" s="22">
        <f>IF(D5440="?OLD","!!!","")</f>
        <v/>
      </c>
      <c r="F5440" s="23" t="str">
        <f>IF(OR(E5440="",E5440="!!!"),"",IF(NOT(ISNA(VLOOKUP(E5440,E$1:E5439,1,FALSE()))),"OLD",IF(AND(E5440&lt;&gt;"",E5440&lt;&gt;"!!!"),"NEW","")))</f>
        <v> </v>
      </c>
      <c r="G5440" s="24" t="str">
        <f>IF(OR(E5440="",E5440="!!!"),"",IF(OR(J5440=0,AND(J5440=1,K5440=1),AND(J5440=1,I5440="SBJ"),AND(J5440=1,I5440=0)),"?IN_FOCUS",IF(J5440&lt;=2,"?ACTIVATED",IF(J5440&lt;&gt;"","?FAMILIAR",IF(F5440="NEW",IF(ISNA(VLOOKUP(E5440,#REF!,1,FALSE())),"?TYPE_IDENTIFIABLE","?REFERENTIAL"),"_")))))</f>
        <v> </v>
      </c>
      <c r="H5440" s="25" t="str">
        <f>IF(J5440&lt;&gt;1,"",IF(I5440="SBJ","CB","?"))</f>
        <v> </v>
      </c>
      <c r="I5440" s="26" t="str">
        <f>IF(OR(E5440="",E5440="!!!",F5440="NEW"),"",INDEX(B5439:B$2,-1+SUMPRODUCT(MAX(ROW(E5439:E$2)*(E5440=E5439:E$2)))))</f>
        <v> </v>
      </c>
      <c r="J5440" s="26" t="str">
        <f>IF(OR(E5440="",E5440="!!!",F5440="NEW"),"",COUNTBLANK(OFFSET(A$1,,,SUMPRODUCT(MAX(ROW(E$2:E5440)*(E5440=E$2:E5440)))))-COUNTBLANK(OFFSET(A$1,,,SUMPRODUCT(MAX(ROW(E$1:E5439)*(E2=E$1:E5439))))))</f>
        <v> </v>
      </c>
      <c r="K5440" s="26" t="str">
        <f>IF(OR(E5440="",E5440="!!!",F5440="NEW"),"",INDEX(J$1:J5439,SUMPRODUCT(MAX(ROW(E$1:E5439)*(E5440=E$1:E5439)))))</f>
        <v> </v>
      </c>
      <c r="L5440" s="27"/>
    </row>
    <row r="5441" spans="1:12">
      <c r="A5441" s="20" t="s">
        <v>2930</v>
      </c>
      <c r="B5441" s="21" t="s">
        <v>1221</v>
      </c>
      <c r="C5441" s="21" t="s">
        <v>1238</v>
      </c>
      <c r="E5441" s="22">
        <f>IF(D5441="?OLD","!!!","")</f>
        <v/>
      </c>
      <c r="F5441" s="23" t="str">
        <f>IF(OR(E5441="",E5441="!!!"),"",IF(NOT(ISNA(VLOOKUP(E5441,E$1:E5440,1,FALSE()))),"OLD",IF(AND(E5441&lt;&gt;"",E5441&lt;&gt;"!!!"),"NEW","")))</f>
        <v> </v>
      </c>
      <c r="G5441" s="24" t="str">
        <f>IF(OR(E5441="",E5441="!!!"),"",IF(OR(J5441=0,AND(J5441=1,K5441=1),AND(J5441=1,I5441="SBJ"),AND(J5441=1,I5441=0)),"?IN_FOCUS",IF(J5441&lt;=2,"?ACTIVATED",IF(J5441&lt;&gt;"","?FAMILIAR",IF(F5441="NEW",IF(ISNA(VLOOKUP(E5441,#REF!,1,FALSE())),"?TYPE_IDENTIFIABLE","?REFERENTIAL"),"_")))))</f>
        <v> </v>
      </c>
      <c r="H5441" s="25" t="str">
        <f>IF(J5441&lt;&gt;1,"",IF(I5441="SBJ","CB","?"))</f>
        <v> </v>
      </c>
      <c r="I5441" s="26" t="str">
        <f>IF(OR(E5441="",E5441="!!!",F5441="NEW"),"",INDEX(B5440:B$2,-1+SUMPRODUCT(MAX(ROW(E5440:E$2)*(E5441=E5440:E$2)))))</f>
        <v> </v>
      </c>
      <c r="J5441" s="26" t="str">
        <f>IF(OR(E5441="",E5441="!!!",F5441="NEW"),"",COUNTBLANK(OFFSET(A$1,,,SUMPRODUCT(MAX(ROW(E$2:E5441)*(E5441=E$2:E5441)))))-COUNTBLANK(OFFSET(A$1,,,SUMPRODUCT(MAX(ROW(E$1:E5440)*(E2=E$1:E5440))))))</f>
        <v> </v>
      </c>
      <c r="K5441" s="26" t="str">
        <f>IF(OR(E5441="",E5441="!!!",F5441="NEW"),"",INDEX(J$1:J5440,SUMPRODUCT(MAX(ROW(E$1:E5440)*(E5441=E$1:E5440)))))</f>
        <v> </v>
      </c>
      <c r="L5441" s="27"/>
    </row>
    <row r="5442" spans="1:12">
      <c r="A5442" s="20" t="s">
        <v>1245</v>
      </c>
      <c r="E5442" s="22">
        <f>IF(D5442="?OLD","!!!","")</f>
        <v/>
      </c>
      <c r="F5442" s="23" t="str">
        <f>IF(OR(E5442="",E5442="!!!"),"",IF(NOT(ISNA(VLOOKUP(E5442,E$1:E5441,1,FALSE()))),"OLD",IF(AND(E5442&lt;&gt;"",E5442&lt;&gt;"!!!"),"NEW","")))</f>
        <v> </v>
      </c>
      <c r="G5442" s="24" t="str">
        <f>IF(OR(E5442="",E5442="!!!"),"",IF(OR(J5442=0,AND(J5442=1,K5442=1),AND(J5442=1,I5442="SBJ"),AND(J5442=1,I5442=0)),"?IN_FOCUS",IF(J5442&lt;=2,"?ACTIVATED",IF(J5442&lt;&gt;"","?FAMILIAR",IF(F5442="NEW",IF(ISNA(VLOOKUP(E5442,#REF!,1,FALSE())),"?TYPE_IDENTIFIABLE","?REFERENTIAL"),"_")))))</f>
        <v> </v>
      </c>
      <c r="H5442" s="25" t="str">
        <f>IF(J5442&lt;&gt;1,"",IF(I5442="SBJ","CB","?"))</f>
        <v> </v>
      </c>
      <c r="I5442" s="26" t="str">
        <f>IF(OR(E5442="",E5442="!!!",F5442="NEW"),"",INDEX(B5441:B$2,-1+SUMPRODUCT(MAX(ROW(E5441:E$2)*(E5442=E5441:E$2)))))</f>
        <v> </v>
      </c>
      <c r="J5442" s="26" t="str">
        <f>IF(OR(E5442="",E5442="!!!",F5442="NEW"),"",COUNTBLANK(OFFSET(A$1,,,SUMPRODUCT(MAX(ROW(E$2:E5442)*(E5442=E$2:E5442)))))-COUNTBLANK(OFFSET(A$1,,,SUMPRODUCT(MAX(ROW(E$1:E5441)*(E2=E$1:E5441))))))</f>
        <v> </v>
      </c>
      <c r="K5442" s="26" t="str">
        <f>IF(OR(E5442="",E5442="!!!",F5442="NEW"),"",INDEX(J$1:J5441,SUMPRODUCT(MAX(ROW(E$1:E5441)*(E5442=E$1:E5441)))))</f>
        <v> </v>
      </c>
      <c r="L5442" s="27"/>
    </row>
    <row r="5443" spans="1:12">
      <c r="A5443" s="20" t="s">
        <v>2931</v>
      </c>
      <c r="E5443" s="22">
        <f>IF(D5443="?OLD","!!!","")</f>
        <v/>
      </c>
      <c r="F5443" s="23" t="str">
        <f>IF(OR(E5443="",E5443="!!!"),"",IF(NOT(ISNA(VLOOKUP(E5443,E$1:E5442,1,FALSE()))),"OLD",IF(AND(E5443&lt;&gt;"",E5443&lt;&gt;"!!!"),"NEW","")))</f>
        <v> </v>
      </c>
      <c r="G5443" s="24" t="str">
        <f>IF(OR(E5443="",E5443="!!!"),"",IF(OR(J5443=0,AND(J5443=1,K5443=1),AND(J5443=1,I5443="SBJ"),AND(J5443=1,I5443=0)),"?IN_FOCUS",IF(J5443&lt;=2,"?ACTIVATED",IF(J5443&lt;&gt;"","?FAMILIAR",IF(F5443="NEW",IF(ISNA(VLOOKUP(E5443,#REF!,1,FALSE())),"?TYPE_IDENTIFIABLE","?REFERENTIAL"),"_")))))</f>
        <v> </v>
      </c>
      <c r="H5443" s="25" t="str">
        <f>IF(J5443&lt;&gt;1,"",IF(I5443="SBJ","CB","?"))</f>
        <v> </v>
      </c>
      <c r="I5443" s="26" t="str">
        <f>IF(OR(E5443="",E5443="!!!",F5443="NEW"),"",INDEX(B5442:B$2,-1+SUMPRODUCT(MAX(ROW(E5442:E$2)*(E5443=E5442:E$2)))))</f>
        <v> </v>
      </c>
      <c r="J5443" s="26" t="str">
        <f>IF(OR(E5443="",E5443="!!!",F5443="NEW"),"",COUNTBLANK(OFFSET(A$1,,,SUMPRODUCT(MAX(ROW(E$2:E5443)*(E5443=E$2:E5443)))))-COUNTBLANK(OFFSET(A$1,,,SUMPRODUCT(MAX(ROW(E$1:E5442)*(E2=E$1:E5442))))))</f>
        <v> </v>
      </c>
      <c r="K5443" s="26" t="str">
        <f>IF(OR(E5443="",E5443="!!!",F5443="NEW"),"",INDEX(J$1:J5442,SUMPRODUCT(MAX(ROW(E$1:E5442)*(E5443=E$1:E5442)))))</f>
        <v> </v>
      </c>
      <c r="L5443" s="27"/>
    </row>
    <row r="5444" spans="1:12">
      <c r="A5444" s="20" t="s">
        <v>2932</v>
      </c>
      <c r="E5444" s="22">
        <f>IF(D5444="?OLD","!!!","")</f>
        <v/>
      </c>
      <c r="F5444" s="23" t="str">
        <f>IF(OR(E5444="",E5444="!!!"),"",IF(NOT(ISNA(VLOOKUP(E5444,E$1:E5443,1,FALSE()))),"OLD",IF(AND(E5444&lt;&gt;"",E5444&lt;&gt;"!!!"),"NEW","")))</f>
        <v> </v>
      </c>
      <c r="G5444" s="24" t="str">
        <f>IF(OR(E5444="",E5444="!!!"),"",IF(OR(J5444=0,AND(J5444=1,K5444=1),AND(J5444=1,I5444="SBJ"),AND(J5444=1,I5444=0)),"?IN_FOCUS",IF(J5444&lt;=2,"?ACTIVATED",IF(J5444&lt;&gt;"","?FAMILIAR",IF(F5444="NEW",IF(ISNA(VLOOKUP(E5444,#REF!,1,FALSE())),"?TYPE_IDENTIFIABLE","?REFERENTIAL"),"_")))))</f>
        <v> </v>
      </c>
      <c r="H5444" s="25" t="str">
        <f>IF(J5444&lt;&gt;1,"",IF(I5444="SBJ","CB","?"))</f>
        <v> </v>
      </c>
      <c r="I5444" s="26" t="str">
        <f>IF(OR(E5444="",E5444="!!!",F5444="NEW"),"",INDEX(B5443:B$2,-1+SUMPRODUCT(MAX(ROW(E5443:E$2)*(E5444=E5443:E$2)))))</f>
        <v> </v>
      </c>
      <c r="J5444" s="26" t="str">
        <f>IF(OR(E5444="",E5444="!!!",F5444="NEW"),"",COUNTBLANK(OFFSET(A$1,,,SUMPRODUCT(MAX(ROW(E$2:E5444)*(E5444=E$2:E5444)))))-COUNTBLANK(OFFSET(A$1,,,SUMPRODUCT(MAX(ROW(E$1:E5443)*(E2=E$1:E5443))))))</f>
        <v> </v>
      </c>
      <c r="K5444" s="26" t="str">
        <f>IF(OR(E5444="",E5444="!!!",F5444="NEW"),"",INDEX(J$1:J5443,SUMPRODUCT(MAX(ROW(E$1:E5443)*(E5444=E$1:E5443)))))</f>
        <v> </v>
      </c>
      <c r="L5444" s="27"/>
    </row>
    <row r="5445" spans="1:12">
      <c r="A5445" s="20" t="s">
        <v>1218</v>
      </c>
      <c r="E5445" s="22">
        <f>IF(D5445="?OLD","!!!","")</f>
        <v/>
      </c>
      <c r="F5445" s="23" t="str">
        <f>IF(OR(E5445="",E5445="!!!"),"",IF(NOT(ISNA(VLOOKUP(E5445,E$1:E5444,1,FALSE()))),"OLD",IF(AND(E5445&lt;&gt;"",E5445&lt;&gt;"!!!"),"NEW","")))</f>
        <v> </v>
      </c>
      <c r="G5445" s="24" t="str">
        <f>IF(OR(E5445="",E5445="!!!"),"",IF(OR(J5445=0,AND(J5445=1,K5445=1),AND(J5445=1,I5445="SBJ"),AND(J5445=1,I5445=0)),"?IN_FOCUS",IF(J5445&lt;=2,"?ACTIVATED",IF(J5445&lt;&gt;"","?FAMILIAR",IF(F5445="NEW",IF(ISNA(VLOOKUP(E5445,#REF!,1,FALSE())),"?TYPE_IDENTIFIABLE","?REFERENTIAL"),"_")))))</f>
        <v> </v>
      </c>
      <c r="H5445" s="25" t="str">
        <f>IF(J5445&lt;&gt;1,"",IF(I5445="SBJ","CB","?"))</f>
        <v> </v>
      </c>
      <c r="I5445" s="26" t="str">
        <f>IF(OR(E5445="",E5445="!!!",F5445="NEW"),"",INDEX(B5444:B$2,-1+SUMPRODUCT(MAX(ROW(E5444:E$2)*(E5445=E5444:E$2)))))</f>
        <v> </v>
      </c>
      <c r="J5445" s="26" t="str">
        <f>IF(OR(E5445="",E5445="!!!",F5445="NEW"),"",COUNTBLANK(OFFSET(A$1,,,SUMPRODUCT(MAX(ROW(E$2:E5445)*(E5445=E$2:E5445)))))-COUNTBLANK(OFFSET(A$1,,,SUMPRODUCT(MAX(ROW(E$1:E5444)*(E2=E$1:E5444))))))</f>
        <v> </v>
      </c>
      <c r="K5445" s="26" t="str">
        <f>IF(OR(E5445="",E5445="!!!",F5445="NEW"),"",INDEX(J$1:J5444,SUMPRODUCT(MAX(ROW(E$1:E5444)*(E5445=E$1:E5444)))))</f>
        <v> </v>
      </c>
      <c r="L5445" s="27"/>
    </row>
    <row r="5446" spans="1:12">
      <c r="A5446" s="20" t="s">
        <v>2933</v>
      </c>
      <c r="B5446" s="21" t="s">
        <v>1224</v>
      </c>
      <c r="C5446" s="21" t="s">
        <v>1279</v>
      </c>
      <c r="E5446" s="22">
        <f>IF(D5446="?OLD","!!!","")</f>
        <v/>
      </c>
      <c r="F5446" s="23" t="str">
        <f>IF(OR(E5446="",E5446="!!!"),"",IF(NOT(ISNA(VLOOKUP(E5446,E$1:E5445,1,FALSE()))),"OLD",IF(AND(E5446&lt;&gt;"",E5446&lt;&gt;"!!!"),"NEW","")))</f>
        <v> </v>
      </c>
      <c r="G5446" s="24" t="str">
        <f>IF(OR(E5446="",E5446="!!!"),"",IF(OR(J5446=0,AND(J5446=1,K5446=1),AND(J5446=1,I5446="SBJ"),AND(J5446=1,I5446=0)),"?IN_FOCUS",IF(J5446&lt;=2,"?ACTIVATED",IF(J5446&lt;&gt;"","?FAMILIAR",IF(F5446="NEW",IF(ISNA(VLOOKUP(E5446,#REF!,1,FALSE())),"?TYPE_IDENTIFIABLE","?REFERENTIAL"),"_")))))</f>
        <v> </v>
      </c>
      <c r="H5446" s="25" t="str">
        <f>IF(J5446&lt;&gt;1,"",IF(I5446="SBJ","CB","?"))</f>
        <v> </v>
      </c>
      <c r="I5446" s="26" t="str">
        <f>IF(OR(E5446="",E5446="!!!",F5446="NEW"),"",INDEX(B5445:B$2,-1+SUMPRODUCT(MAX(ROW(E5445:E$2)*(E5446=E5445:E$2)))))</f>
        <v> </v>
      </c>
      <c r="J5446" s="26" t="str">
        <f>IF(OR(E5446="",E5446="!!!",F5446="NEW"),"",COUNTBLANK(OFFSET(A$1,,,SUMPRODUCT(MAX(ROW(E$2:E5446)*(E5446=E$2:E5446)))))-COUNTBLANK(OFFSET(A$1,,,SUMPRODUCT(MAX(ROW(E$1:E5445)*(E2=E$1:E5445))))))</f>
        <v> </v>
      </c>
      <c r="K5446" s="26" t="str">
        <f>IF(OR(E5446="",E5446="!!!",F5446="NEW"),"",INDEX(J$1:J5445,SUMPRODUCT(MAX(ROW(E$1:E5445)*(E5446=E$1:E5445)))))</f>
        <v> </v>
      </c>
      <c r="L5446" s="27"/>
    </row>
    <row r="5447" spans="1:12">
      <c r="A5447" s="20" t="s">
        <v>2934</v>
      </c>
      <c r="E5447" s="22">
        <f>IF(D5447="?OLD","!!!","")</f>
        <v/>
      </c>
      <c r="F5447" s="23" t="str">
        <f>IF(OR(E5447="",E5447="!!!"),"",IF(NOT(ISNA(VLOOKUP(E5447,E$1:E5446,1,FALSE()))),"OLD",IF(AND(E5447&lt;&gt;"",E5447&lt;&gt;"!!!"),"NEW","")))</f>
        <v> </v>
      </c>
      <c r="G5447" s="24" t="str">
        <f>IF(OR(E5447="",E5447="!!!"),"",IF(OR(J5447=0,AND(J5447=1,K5447=1),AND(J5447=1,I5447="SBJ"),AND(J5447=1,I5447=0)),"?IN_FOCUS",IF(J5447&lt;=2,"?ACTIVATED",IF(J5447&lt;&gt;"","?FAMILIAR",IF(F5447="NEW",IF(ISNA(VLOOKUP(E5447,#REF!,1,FALSE())),"?TYPE_IDENTIFIABLE","?REFERENTIAL"),"_")))))</f>
        <v> </v>
      </c>
      <c r="H5447" s="25" t="str">
        <f>IF(J5447&lt;&gt;1,"",IF(I5447="SBJ","CB","?"))</f>
        <v> </v>
      </c>
      <c r="I5447" s="26" t="str">
        <f>IF(OR(E5447="",E5447="!!!",F5447="NEW"),"",INDEX(B5446:B$2,-1+SUMPRODUCT(MAX(ROW(E5446:E$2)*(E5447=E5446:E$2)))))</f>
        <v> </v>
      </c>
      <c r="J5447" s="26" t="str">
        <f>IF(OR(E5447="",E5447="!!!",F5447="NEW"),"",COUNTBLANK(OFFSET(A$1,,,SUMPRODUCT(MAX(ROW(E$2:E5447)*(E5447=E$2:E5447)))))-COUNTBLANK(OFFSET(A$1,,,SUMPRODUCT(MAX(ROW(E$1:E5446)*(E2=E$1:E5446))))))</f>
        <v> </v>
      </c>
      <c r="K5447" s="26" t="str">
        <f>IF(OR(E5447="",E5447="!!!",F5447="NEW"),"",INDEX(J$1:J5446,SUMPRODUCT(MAX(ROW(E$1:E5446)*(E5447=E$1:E5446)))))</f>
        <v> </v>
      </c>
      <c r="L5447" s="27"/>
    </row>
    <row r="5448" spans="1:12">
      <c r="A5448" s="20" t="s">
        <v>1228</v>
      </c>
      <c r="E5448" s="22">
        <f>IF(D5448="?OLD","!!!","")</f>
        <v/>
      </c>
      <c r="F5448" s="23" t="str">
        <f>IF(OR(E5448="",E5448="!!!"),"",IF(NOT(ISNA(VLOOKUP(E5448,E$1:E5447,1,FALSE()))),"OLD",IF(AND(E5448&lt;&gt;"",E5448&lt;&gt;"!!!"),"NEW","")))</f>
        <v> </v>
      </c>
      <c r="G5448" s="24" t="str">
        <f>IF(OR(E5448="",E5448="!!!"),"",IF(OR(J5448=0,AND(J5448=1,K5448=1),AND(J5448=1,I5448="SBJ"),AND(J5448=1,I5448=0)),"?IN_FOCUS",IF(J5448&lt;=2,"?ACTIVATED",IF(J5448&lt;&gt;"","?FAMILIAR",IF(F5448="NEW",IF(ISNA(VLOOKUP(E5448,#REF!,1,FALSE())),"?TYPE_IDENTIFIABLE","?REFERENTIAL"),"_")))))</f>
        <v> </v>
      </c>
      <c r="H5448" s="25" t="str">
        <f>IF(J5448&lt;&gt;1,"",IF(I5448="SBJ","CB","?"))</f>
        <v> </v>
      </c>
      <c r="I5448" s="26" t="str">
        <f>IF(OR(E5448="",E5448="!!!",F5448="NEW"),"",INDEX(B5447:B$2,-1+SUMPRODUCT(MAX(ROW(E5447:E$2)*(E5448=E5447:E$2)))))</f>
        <v> </v>
      </c>
      <c r="J5448" s="26" t="str">
        <f>IF(OR(E5448="",E5448="!!!",F5448="NEW"),"",COUNTBLANK(OFFSET(A$1,,,SUMPRODUCT(MAX(ROW(E$2:E5448)*(E5448=E$2:E5448)))))-COUNTBLANK(OFFSET(A$1,,,SUMPRODUCT(MAX(ROW(E$1:E5447)*(E2=E$1:E5447))))))</f>
        <v> </v>
      </c>
      <c r="K5448" s="26" t="str">
        <f>IF(OR(E5448="",E5448="!!!",F5448="NEW"),"",INDEX(J$1:J5447,SUMPRODUCT(MAX(ROW(E$1:E5447)*(E5448=E$1:E5447)))))</f>
        <v> </v>
      </c>
      <c r="L5448" s="27"/>
    </row>
    <row r="5449" spans="1:12">
      <c r="A5449" s="20" t="s">
        <v>2935</v>
      </c>
      <c r="B5449" s="21" t="s">
        <v>1275</v>
      </c>
      <c r="C5449" s="21" t="s">
        <v>1269</v>
      </c>
      <c r="D5449" s="21" t="s">
        <v>1217</v>
      </c>
      <c r="E5449" s="22">
        <f>IF(D5449="?OLD","!!!","")</f>
        <v/>
      </c>
      <c r="F5449" s="23" t="str">
        <f>IF(OR(E5449="",E5449="!!!"),"",IF(NOT(ISNA(VLOOKUP(E5449,E$1:E5448,1,FALSE()))),"OLD",IF(AND(E5449&lt;&gt;"",E5449&lt;&gt;"!!!"),"NEW","")))</f>
        <v> </v>
      </c>
      <c r="G5449" s="24" t="str">
        <f>IF(OR(E5449="",E5449="!!!"),"",IF(OR(J5449=0,AND(J5449=1,K5449=1),AND(J5449=1,I5449="SBJ"),AND(J5449=1,I5449=0)),"?IN_FOCUS",IF(J5449&lt;=2,"?ACTIVATED",IF(J5449&lt;&gt;"","?FAMILIAR",IF(F5449="NEW",IF(ISNA(VLOOKUP(E5449,#REF!,1,FALSE())),"?TYPE_IDENTIFIABLE","?REFERENTIAL"),"_")))))</f>
        <v> </v>
      </c>
      <c r="H5449" s="25" t="str">
        <f>IF(J5449&lt;&gt;1,"",IF(I5449="SBJ","CB","?"))</f>
        <v> </v>
      </c>
      <c r="I5449" s="26" t="str">
        <f>IF(OR(E5449="",E5449="!!!",F5449="NEW"),"",INDEX(B5448:B$2,-1+SUMPRODUCT(MAX(ROW(E5448:E$2)*(E5449=E5448:E$2)))))</f>
        <v> </v>
      </c>
      <c r="J5449" s="26" t="str">
        <f>IF(OR(E5449="",E5449="!!!",F5449="NEW"),"",COUNTBLANK(OFFSET(A$1,,,SUMPRODUCT(MAX(ROW(E$2:E5449)*(E5449=E$2:E5449)))))-COUNTBLANK(OFFSET(A$1,,,SUMPRODUCT(MAX(ROW(E$1:E5448)*(E2=E$1:E5448))))))</f>
        <v> </v>
      </c>
      <c r="K5449" s="26" t="str">
        <f>IF(OR(E5449="",E5449="!!!",F5449="NEW"),"",INDEX(J$1:J5448,SUMPRODUCT(MAX(ROW(E$1:E5448)*(E5449=E$1:E5448)))))</f>
        <v> </v>
      </c>
      <c r="L5449" s="27"/>
    </row>
    <row r="5450" spans="1:12">
      <c r="A5450" s="20" t="s">
        <v>1526</v>
      </c>
      <c r="E5450" s="22">
        <f>IF(D5450="?OLD","!!!","")</f>
        <v/>
      </c>
      <c r="F5450" s="23" t="str">
        <f>IF(OR(E5450="",E5450="!!!"),"",IF(NOT(ISNA(VLOOKUP(E5450,E$1:E5449,1,FALSE()))),"OLD",IF(AND(E5450&lt;&gt;"",E5450&lt;&gt;"!!!"),"NEW","")))</f>
        <v> </v>
      </c>
      <c r="G5450" s="24" t="str">
        <f>IF(OR(E5450="",E5450="!!!"),"",IF(OR(J5450=0,AND(J5450=1,K5450=1),AND(J5450=1,I5450="SBJ"),AND(J5450=1,I5450=0)),"?IN_FOCUS",IF(J5450&lt;=2,"?ACTIVATED",IF(J5450&lt;&gt;"","?FAMILIAR",IF(F5450="NEW",IF(ISNA(VLOOKUP(E5450,#REF!,1,FALSE())),"?TYPE_IDENTIFIABLE","?REFERENTIAL"),"_")))))</f>
        <v> </v>
      </c>
      <c r="H5450" s="25" t="str">
        <f>IF(J5450&lt;&gt;1,"",IF(I5450="SBJ","CB","?"))</f>
        <v> </v>
      </c>
      <c r="I5450" s="26" t="str">
        <f>IF(OR(E5450="",E5450="!!!",F5450="NEW"),"",INDEX(B5449:B$2,-1+SUMPRODUCT(MAX(ROW(E5449:E$2)*(E5450=E5449:E$2)))))</f>
        <v> </v>
      </c>
      <c r="J5450" s="26" t="str">
        <f>IF(OR(E5450="",E5450="!!!",F5450="NEW"),"",COUNTBLANK(OFFSET(A$1,,,SUMPRODUCT(MAX(ROW(E$2:E5450)*(E5450=E$2:E5450)))))-COUNTBLANK(OFFSET(A$1,,,SUMPRODUCT(MAX(ROW(E$1:E5449)*(E2=E$1:E5449))))))</f>
        <v> </v>
      </c>
      <c r="K5450" s="26" t="str">
        <f>IF(OR(E5450="",E5450="!!!",F5450="NEW"),"",INDEX(J$1:J5449,SUMPRODUCT(MAX(ROW(E$1:E5449)*(E5450=E$1:E5449)))))</f>
        <v> </v>
      </c>
      <c r="L5450" s="27"/>
    </row>
    <row r="5451" spans="1:12">
      <c r="A5451" s="20" t="s">
        <v>1471</v>
      </c>
      <c r="E5451" s="22">
        <f>IF(D5451="?OLD","!!!","")</f>
        <v/>
      </c>
      <c r="F5451" s="23" t="str">
        <f>IF(OR(E5451="",E5451="!!!"),"",IF(NOT(ISNA(VLOOKUP(E5451,E$1:E5450,1,FALSE()))),"OLD",IF(AND(E5451&lt;&gt;"",E5451&lt;&gt;"!!!"),"NEW","")))</f>
        <v> </v>
      </c>
      <c r="G5451" s="24" t="str">
        <f>IF(OR(E5451="",E5451="!!!"),"",IF(OR(J5451=0,AND(J5451=1,K5451=1),AND(J5451=1,I5451="SBJ"),AND(J5451=1,I5451=0)),"?IN_FOCUS",IF(J5451&lt;=2,"?ACTIVATED",IF(J5451&lt;&gt;"","?FAMILIAR",IF(F5451="NEW",IF(ISNA(VLOOKUP(E5451,#REF!,1,FALSE())),"?TYPE_IDENTIFIABLE","?REFERENTIAL"),"_")))))</f>
        <v> </v>
      </c>
      <c r="H5451" s="25" t="str">
        <f>IF(J5451&lt;&gt;1,"",IF(I5451="SBJ","CB","?"))</f>
        <v> </v>
      </c>
      <c r="I5451" s="26" t="str">
        <f>IF(OR(E5451="",E5451="!!!",F5451="NEW"),"",INDEX(B5450:B$2,-1+SUMPRODUCT(MAX(ROW(E5450:E$2)*(E5451=E5450:E$2)))))</f>
        <v> </v>
      </c>
      <c r="J5451" s="26" t="str">
        <f>IF(OR(E5451="",E5451="!!!",F5451="NEW"),"",COUNTBLANK(OFFSET(A$1,,,SUMPRODUCT(MAX(ROW(E$2:E5451)*(E5451=E$2:E5451)))))-COUNTBLANK(OFFSET(A$1,,,SUMPRODUCT(MAX(ROW(E$1:E5450)*(E2=E$1:E5450))))))</f>
        <v> </v>
      </c>
      <c r="K5451" s="26" t="str">
        <f>IF(OR(E5451="",E5451="!!!",F5451="NEW"),"",INDEX(J$1:J5450,SUMPRODUCT(MAX(ROW(E$1:E5450)*(E5451=E$1:E5450)))))</f>
        <v> </v>
      </c>
      <c r="L5451" s="27"/>
    </row>
    <row r="5452" spans="1:12">
      <c r="A5452" s="20" t="s">
        <v>2666</v>
      </c>
      <c r="B5452" s="21" t="s">
        <v>1221</v>
      </c>
      <c r="C5452" s="21" t="s">
        <v>1238</v>
      </c>
      <c r="E5452" s="22">
        <f>IF(D5452="?OLD","!!!","")</f>
        <v/>
      </c>
      <c r="F5452" s="23" t="str">
        <f>IF(OR(E5452="",E5452="!!!"),"",IF(NOT(ISNA(VLOOKUP(E5452,E$1:E5451,1,FALSE()))),"OLD",IF(AND(E5452&lt;&gt;"",E5452&lt;&gt;"!!!"),"NEW","")))</f>
        <v> </v>
      </c>
      <c r="G5452" s="24" t="str">
        <f>IF(OR(E5452="",E5452="!!!"),"",IF(OR(J5452=0,AND(J5452=1,K5452=1),AND(J5452=1,I5452="SBJ"),AND(J5452=1,I5452=0)),"?IN_FOCUS",IF(J5452&lt;=2,"?ACTIVATED",IF(J5452&lt;&gt;"","?FAMILIAR",IF(F5452="NEW",IF(ISNA(VLOOKUP(E5452,#REF!,1,FALSE())),"?TYPE_IDENTIFIABLE","?REFERENTIAL"),"_")))))</f>
        <v> </v>
      </c>
      <c r="H5452" s="25" t="str">
        <f>IF(J5452&lt;&gt;1,"",IF(I5452="SBJ","CB","?"))</f>
        <v> </v>
      </c>
      <c r="I5452" s="26" t="str">
        <f>IF(OR(E5452="",E5452="!!!",F5452="NEW"),"",INDEX(B5451:B$2,-1+SUMPRODUCT(MAX(ROW(E5451:E$2)*(E5452=E5451:E$2)))))</f>
        <v> </v>
      </c>
      <c r="J5452" s="26" t="str">
        <f>IF(OR(E5452="",E5452="!!!",F5452="NEW"),"",COUNTBLANK(OFFSET(A$1,,,SUMPRODUCT(MAX(ROW(E$2:E5452)*(E5452=E$2:E5452)))))-COUNTBLANK(OFFSET(A$1,,,SUMPRODUCT(MAX(ROW(E$1:E5451)*(E2=E$1:E5451))))))</f>
        <v> </v>
      </c>
      <c r="K5452" s="26" t="str">
        <f>IF(OR(E5452="",E5452="!!!",F5452="NEW"),"",INDEX(J$1:J5451,SUMPRODUCT(MAX(ROW(E$1:E5451)*(E5452=E$1:E5451)))))</f>
        <v> </v>
      </c>
      <c r="L5452" s="27"/>
    </row>
    <row r="5453" spans="1:12">
      <c r="A5453" s="20" t="s">
        <v>2936</v>
      </c>
      <c r="E5453" s="22">
        <f>IF(D5453="?OLD","!!!","")</f>
        <v/>
      </c>
      <c r="F5453" s="23" t="str">
        <f>IF(OR(E5453="",E5453="!!!"),"",IF(NOT(ISNA(VLOOKUP(E5453,E$1:E5452,1,FALSE()))),"OLD",IF(AND(E5453&lt;&gt;"",E5453&lt;&gt;"!!!"),"NEW","")))</f>
        <v> </v>
      </c>
      <c r="G5453" s="24" t="str">
        <f>IF(OR(E5453="",E5453="!!!"),"",IF(OR(J5453=0,AND(J5453=1,K5453=1),AND(J5453=1,I5453="SBJ"),AND(J5453=1,I5453=0)),"?IN_FOCUS",IF(J5453&lt;=2,"?ACTIVATED",IF(J5453&lt;&gt;"","?FAMILIAR",IF(F5453="NEW",IF(ISNA(VLOOKUP(E5453,#REF!,1,FALSE())),"?TYPE_IDENTIFIABLE","?REFERENTIAL"),"_")))))</f>
        <v> </v>
      </c>
      <c r="H5453" s="25" t="str">
        <f>IF(J5453&lt;&gt;1,"",IF(I5453="SBJ","CB","?"))</f>
        <v> </v>
      </c>
      <c r="I5453" s="26" t="str">
        <f>IF(OR(E5453="",E5453="!!!",F5453="NEW"),"",INDEX(B5452:B$2,-1+SUMPRODUCT(MAX(ROW(E5452:E$2)*(E5453=E5452:E$2)))))</f>
        <v> </v>
      </c>
      <c r="J5453" s="26" t="str">
        <f>IF(OR(E5453="",E5453="!!!",F5453="NEW"),"",COUNTBLANK(OFFSET(A$1,,,SUMPRODUCT(MAX(ROW(E$2:E5453)*(E5453=E$2:E5453)))))-COUNTBLANK(OFFSET(A$1,,,SUMPRODUCT(MAX(ROW(E$1:E5452)*(E2=E$1:E5452))))))</f>
        <v> </v>
      </c>
      <c r="K5453" s="26" t="str">
        <f>IF(OR(E5453="",E5453="!!!",F5453="NEW"),"",INDEX(J$1:J5452,SUMPRODUCT(MAX(ROW(E$1:E5452)*(E5453=E$1:E5452)))))</f>
        <v> </v>
      </c>
      <c r="L5453" s="27"/>
    </row>
    <row r="5454" spans="1:12">
      <c r="A5454" s="20" t="s">
        <v>1262</v>
      </c>
      <c r="E5454" s="22">
        <f>IF(D5454="?OLD","!!!","")</f>
        <v/>
      </c>
      <c r="F5454" s="23" t="str">
        <f>IF(OR(E5454="",E5454="!!!"),"",IF(NOT(ISNA(VLOOKUP(E5454,E$1:E5453,1,FALSE()))),"OLD",IF(AND(E5454&lt;&gt;"",E5454&lt;&gt;"!!!"),"NEW","")))</f>
        <v> </v>
      </c>
      <c r="G5454" s="24" t="str">
        <f>IF(OR(E5454="",E5454="!!!"),"",IF(OR(J5454=0,AND(J5454=1,K5454=1),AND(J5454=1,I5454="SBJ"),AND(J5454=1,I5454=0)),"?IN_FOCUS",IF(J5454&lt;=2,"?ACTIVATED",IF(J5454&lt;&gt;"","?FAMILIAR",IF(F5454="NEW",IF(ISNA(VLOOKUP(E5454,#REF!,1,FALSE())),"?TYPE_IDENTIFIABLE","?REFERENTIAL"),"_")))))</f>
        <v> </v>
      </c>
      <c r="H5454" s="25" t="str">
        <f>IF(J5454&lt;&gt;1,"",IF(I5454="SBJ","CB","?"))</f>
        <v> </v>
      </c>
      <c r="I5454" s="26" t="str">
        <f>IF(OR(E5454="",E5454="!!!",F5454="NEW"),"",INDEX(B5453:B$2,-1+SUMPRODUCT(MAX(ROW(E5453:E$2)*(E5454=E5453:E$2)))))</f>
        <v> </v>
      </c>
      <c r="J5454" s="26" t="str">
        <f>IF(OR(E5454="",E5454="!!!",F5454="NEW"),"",COUNTBLANK(OFFSET(A$1,,,SUMPRODUCT(MAX(ROW(E$2:E5454)*(E5454=E$2:E5454)))))-COUNTBLANK(OFFSET(A$1,,,SUMPRODUCT(MAX(ROW(E$1:E5453)*(E2=E$1:E5453))))))</f>
        <v> </v>
      </c>
      <c r="K5454" s="26" t="str">
        <f>IF(OR(E5454="",E5454="!!!",F5454="NEW"),"",INDEX(J$1:J5453,SUMPRODUCT(MAX(ROW(E$1:E5453)*(E5454=E$1:E5453)))))</f>
        <v> </v>
      </c>
      <c r="L5454" s="27"/>
    </row>
    <row r="5455" spans="1:12">
      <c r="A5455" s="20"/>
    </row>
    <row r="5456" spans="1:12">
      <c r="A5456" s="20" t="s">
        <v>2937</v>
      </c>
    </row>
    <row r="5457" spans="1:12">
      <c r="A5457" s="20" t="s">
        <v>2039</v>
      </c>
      <c r="E5457" s="22">
        <f>IF(D5457="?OLD","!!!","")</f>
        <v/>
      </c>
      <c r="F5457" s="23" t="str">
        <f>IF(OR(E5457="",E5457="!!!"),"",IF(NOT(ISNA(VLOOKUP(E5457,E$1:E5456,1,FALSE()))),"OLD",IF(AND(E5457&lt;&gt;"",E5457&lt;&gt;"!!!"),"NEW","")))</f>
        <v> </v>
      </c>
      <c r="G5457" s="24" t="str">
        <f>IF(OR(E5457="",E5457="!!!"),"",IF(OR(J5457=0,AND(J5457=1,K5457=1),AND(J5457=1,I5457="SBJ"),AND(J5457=1,I5457=0)),"?IN_FOCUS",IF(J5457&lt;=2,"?ACTIVATED",IF(J5457&lt;&gt;"","?FAMILIAR",IF(F5457="NEW",IF(ISNA(VLOOKUP(E5457,#REF!,1,FALSE())),"?TYPE_IDENTIFIABLE","?REFERENTIAL"),"_")))))</f>
        <v> </v>
      </c>
      <c r="H5457" s="25" t="str">
        <f>IF(J5457&lt;&gt;1,"",IF(I5457="SBJ","CB","?"))</f>
        <v> </v>
      </c>
      <c r="I5457" s="26" t="str">
        <f>IF(OR(E5457="",E5457="!!!",F5457="NEW"),"",INDEX(B5456:B$2,-1+SUMPRODUCT(MAX(ROW(E5456:E$2)*(E5457=E5456:E$2)))))</f>
        <v> </v>
      </c>
      <c r="J5457" s="26" t="str">
        <f>IF(OR(E5457="",E5457="!!!",F5457="NEW"),"",COUNTBLANK(OFFSET(A$1,,,SUMPRODUCT(MAX(ROW(E$2:E5457)*(E5457=E$2:E5457)))))-COUNTBLANK(OFFSET(A$1,,,SUMPRODUCT(MAX(ROW(E$1:E5456)*(E2=E$1:E5456))))))</f>
        <v> </v>
      </c>
      <c r="K5457" s="26" t="str">
        <f>IF(OR(E5457="",E5457="!!!",F5457="NEW"),"",INDEX(J$1:J5456,SUMPRODUCT(MAX(ROW(E$1:E5456)*(E5457=E$1:E5456)))))</f>
        <v> </v>
      </c>
      <c r="L5457" s="27"/>
    </row>
    <row r="5458" spans="1:12">
      <c r="A5458" s="20" t="s">
        <v>2033</v>
      </c>
      <c r="E5458" s="22">
        <f>IF(D5458="?OLD","!!!","")</f>
        <v/>
      </c>
      <c r="F5458" s="23" t="str">
        <f>IF(OR(E5458="",E5458="!!!"),"",IF(NOT(ISNA(VLOOKUP(E5458,E$1:E5457,1,FALSE()))),"OLD",IF(AND(E5458&lt;&gt;"",E5458&lt;&gt;"!!!"),"NEW","")))</f>
        <v> </v>
      </c>
      <c r="G5458" s="24" t="str">
        <f>IF(OR(E5458="",E5458="!!!"),"",IF(OR(J5458=0,AND(J5458=1,K5458=1),AND(J5458=1,I5458="SBJ"),AND(J5458=1,I5458=0)),"?IN_FOCUS",IF(J5458&lt;=2,"?ACTIVATED",IF(J5458&lt;&gt;"","?FAMILIAR",IF(F5458="NEW",IF(ISNA(VLOOKUP(E5458,#REF!,1,FALSE())),"?TYPE_IDENTIFIABLE","?REFERENTIAL"),"_")))))</f>
        <v> </v>
      </c>
      <c r="H5458" s="25" t="str">
        <f>IF(J5458&lt;&gt;1,"",IF(I5458="SBJ","CB","?"))</f>
        <v> </v>
      </c>
      <c r="I5458" s="26" t="str">
        <f>IF(OR(E5458="",E5458="!!!",F5458="NEW"),"",INDEX(B5457:B$2,-1+SUMPRODUCT(MAX(ROW(E5457:E$2)*(E5458=E5457:E$2)))))</f>
        <v> </v>
      </c>
      <c r="J5458" s="26" t="str">
        <f>IF(OR(E5458="",E5458="!!!",F5458="NEW"),"",COUNTBLANK(OFFSET(A$1,,,SUMPRODUCT(MAX(ROW(E$2:E5458)*(E5458=E$2:E5458)))))-COUNTBLANK(OFFSET(A$1,,,SUMPRODUCT(MAX(ROW(E$1:E5457)*(E2=E$1:E5457))))))</f>
        <v> </v>
      </c>
      <c r="K5458" s="26" t="str">
        <f>IF(OR(E5458="",E5458="!!!",F5458="NEW"),"",INDEX(J$1:J5457,SUMPRODUCT(MAX(ROW(E$1:E5457)*(E5458=E$1:E5457)))))</f>
        <v> </v>
      </c>
      <c r="L5458" s="27"/>
    </row>
    <row r="5459" spans="1:12">
      <c r="A5459" s="20" t="s">
        <v>1218</v>
      </c>
      <c r="E5459" s="22">
        <f>IF(D5459="?OLD","!!!","")</f>
        <v/>
      </c>
      <c r="F5459" s="23" t="str">
        <f>IF(OR(E5459="",E5459="!!!"),"",IF(NOT(ISNA(VLOOKUP(E5459,E$1:E5458,1,FALSE()))),"OLD",IF(AND(E5459&lt;&gt;"",E5459&lt;&gt;"!!!"),"NEW","")))</f>
        <v> </v>
      </c>
      <c r="G5459" s="24" t="str">
        <f>IF(OR(E5459="",E5459="!!!"),"",IF(OR(J5459=0,AND(J5459=1,K5459=1),AND(J5459=1,I5459="SBJ"),AND(J5459=1,I5459=0)),"?IN_FOCUS",IF(J5459&lt;=2,"?ACTIVATED",IF(J5459&lt;&gt;"","?FAMILIAR",IF(F5459="NEW",IF(ISNA(VLOOKUP(E5459,#REF!,1,FALSE())),"?TYPE_IDENTIFIABLE","?REFERENTIAL"),"_")))))</f>
        <v> </v>
      </c>
      <c r="H5459" s="25" t="str">
        <f>IF(J5459&lt;&gt;1,"",IF(I5459="SBJ","CB","?"))</f>
        <v> </v>
      </c>
      <c r="I5459" s="26" t="str">
        <f>IF(OR(E5459="",E5459="!!!",F5459="NEW"),"",INDEX(B5458:B$2,-1+SUMPRODUCT(MAX(ROW(E5458:E$2)*(E5459=E5458:E$2)))))</f>
        <v> </v>
      </c>
      <c r="J5459" s="26" t="str">
        <f>IF(OR(E5459="",E5459="!!!",F5459="NEW"),"",COUNTBLANK(OFFSET(A$1,,,SUMPRODUCT(MAX(ROW(E$2:E5459)*(E5459=E$2:E5459)))))-COUNTBLANK(OFFSET(A$1,,,SUMPRODUCT(MAX(ROW(E$1:E5458)*(E2=E$1:E5458))))))</f>
        <v> </v>
      </c>
      <c r="K5459" s="26" t="str">
        <f>IF(OR(E5459="",E5459="!!!",F5459="NEW"),"",INDEX(J$1:J5458,SUMPRODUCT(MAX(ROW(E$1:E5458)*(E5459=E$1:E5458)))))</f>
        <v> </v>
      </c>
      <c r="L5459" s="27"/>
    </row>
    <row r="5460" spans="1:12">
      <c r="A5460" s="20" t="s">
        <v>1756</v>
      </c>
      <c r="E5460" s="22">
        <f>IF(D5460="?OLD","!!!","")</f>
        <v/>
      </c>
      <c r="F5460" s="23" t="str">
        <f>IF(OR(E5460="",E5460="!!!"),"",IF(NOT(ISNA(VLOOKUP(E5460,E$1:E5459,1,FALSE()))),"OLD",IF(AND(E5460&lt;&gt;"",E5460&lt;&gt;"!!!"),"NEW","")))</f>
        <v> </v>
      </c>
      <c r="G5460" s="24" t="str">
        <f>IF(OR(E5460="",E5460="!!!"),"",IF(OR(J5460=0,AND(J5460=1,K5460=1),AND(J5460=1,I5460="SBJ"),AND(J5460=1,I5460=0)),"?IN_FOCUS",IF(J5460&lt;=2,"?ACTIVATED",IF(J5460&lt;&gt;"","?FAMILIAR",IF(F5460="NEW",IF(ISNA(VLOOKUP(E5460,#REF!,1,FALSE())),"?TYPE_IDENTIFIABLE","?REFERENTIAL"),"_")))))</f>
        <v> </v>
      </c>
      <c r="H5460" s="25" t="str">
        <f>IF(J5460&lt;&gt;1,"",IF(I5460="SBJ","CB","?"))</f>
        <v> </v>
      </c>
      <c r="I5460" s="26" t="str">
        <f>IF(OR(E5460="",E5460="!!!",F5460="NEW"),"",INDEX(B5459:B$2,-1+SUMPRODUCT(MAX(ROW(E5459:E$2)*(E5460=E5459:E$2)))))</f>
        <v> </v>
      </c>
      <c r="J5460" s="26" t="str">
        <f>IF(OR(E5460="",E5460="!!!",F5460="NEW"),"",COUNTBLANK(OFFSET(A$1,,,SUMPRODUCT(MAX(ROW(E$2:E5460)*(E5460=E$2:E5460)))))-COUNTBLANK(OFFSET(A$1,,,SUMPRODUCT(MAX(ROW(E$1:E5459)*(E2=E$1:E5459))))))</f>
        <v> </v>
      </c>
      <c r="K5460" s="26" t="str">
        <f>IF(OR(E5460="",E5460="!!!",F5460="NEW"),"",INDEX(J$1:J5459,SUMPRODUCT(MAX(ROW(E$1:E5459)*(E5460=E$1:E5459)))))</f>
        <v> </v>
      </c>
      <c r="L5460" s="27"/>
    </row>
    <row r="5461" spans="1:12">
      <c r="A5461" s="20" t="s">
        <v>1277</v>
      </c>
      <c r="E5461" s="22">
        <f>IF(D5461="?OLD","!!!","")</f>
        <v/>
      </c>
      <c r="F5461" s="23" t="str">
        <f>IF(OR(E5461="",E5461="!!!"),"",IF(NOT(ISNA(VLOOKUP(E5461,E$1:E5460,1,FALSE()))),"OLD",IF(AND(E5461&lt;&gt;"",E5461&lt;&gt;"!!!"),"NEW","")))</f>
        <v> </v>
      </c>
      <c r="G5461" s="24" t="str">
        <f>IF(OR(E5461="",E5461="!!!"),"",IF(OR(J5461=0,AND(J5461=1,K5461=1),AND(J5461=1,I5461="SBJ"),AND(J5461=1,I5461=0)),"?IN_FOCUS",IF(J5461&lt;=2,"?ACTIVATED",IF(J5461&lt;&gt;"","?FAMILIAR",IF(F5461="NEW",IF(ISNA(VLOOKUP(E5461,#REF!,1,FALSE())),"?TYPE_IDENTIFIABLE","?REFERENTIAL"),"_")))))</f>
        <v> </v>
      </c>
      <c r="H5461" s="25" t="str">
        <f>IF(J5461&lt;&gt;1,"",IF(I5461="SBJ","CB","?"))</f>
        <v> </v>
      </c>
      <c r="I5461" s="26" t="str">
        <f>IF(OR(E5461="",E5461="!!!",F5461="NEW"),"",INDEX(B5460:B$2,-1+SUMPRODUCT(MAX(ROW(E5460:E$2)*(E5461=E5460:E$2)))))</f>
        <v> </v>
      </c>
      <c r="J5461" s="26" t="str">
        <f>IF(OR(E5461="",E5461="!!!",F5461="NEW"),"",COUNTBLANK(OFFSET(A$1,,,SUMPRODUCT(MAX(ROW(E$2:E5461)*(E5461=E$2:E5461)))))-COUNTBLANK(OFFSET(A$1,,,SUMPRODUCT(MAX(ROW(E$1:E5460)*(E2=E$1:E5460))))))</f>
        <v> </v>
      </c>
      <c r="K5461" s="26" t="str">
        <f>IF(OR(E5461="",E5461="!!!",F5461="NEW"),"",INDEX(J$1:J5460,SUMPRODUCT(MAX(ROW(E$1:E5460)*(E5461=E$1:E5460)))))</f>
        <v> </v>
      </c>
      <c r="L5461" s="27"/>
    </row>
    <row r="5462" spans="1:12">
      <c r="A5462" s="20" t="s">
        <v>1230</v>
      </c>
      <c r="B5462" s="21" t="s">
        <v>1215</v>
      </c>
      <c r="C5462" s="21" t="s">
        <v>1216</v>
      </c>
      <c r="D5462" s="21" t="s">
        <v>1217</v>
      </c>
      <c r="E5462" s="22">
        <f>IF(D5462="?OLD","!!!","")</f>
        <v/>
      </c>
      <c r="F5462" s="23" t="str">
        <f>IF(OR(E5462="",E5462="!!!"),"",IF(NOT(ISNA(VLOOKUP(E5462,E$1:E5461,1,FALSE()))),"OLD",IF(AND(E5462&lt;&gt;"",E5462&lt;&gt;"!!!"),"NEW","")))</f>
        <v> </v>
      </c>
      <c r="G5462" s="24" t="str">
        <f>IF(OR(E5462="",E5462="!!!"),"",IF(OR(J5462=0,AND(J5462=1,K5462=1),AND(J5462=1,I5462="SBJ"),AND(J5462=1,I5462=0)),"?IN_FOCUS",IF(J5462&lt;=2,"?ACTIVATED",IF(J5462&lt;&gt;"","?FAMILIAR",IF(F5462="NEW",IF(ISNA(VLOOKUP(E5462,#REF!,1,FALSE())),"?TYPE_IDENTIFIABLE","?REFERENTIAL"),"_")))))</f>
        <v> </v>
      </c>
      <c r="H5462" s="25" t="str">
        <f>IF(J5462&lt;&gt;1,"",IF(I5462="SBJ","CB","?"))</f>
        <v> </v>
      </c>
      <c r="I5462" s="26" t="str">
        <f>IF(OR(E5462="",E5462="!!!",F5462="NEW"),"",INDEX(B5461:B$2,-1+SUMPRODUCT(MAX(ROW(E5461:E$2)*(E5462=E5461:E$2)))))</f>
        <v> </v>
      </c>
      <c r="J5462" s="26" t="str">
        <f>IF(OR(E5462="",E5462="!!!",F5462="NEW"),"",COUNTBLANK(OFFSET(A$1,,,SUMPRODUCT(MAX(ROW(E$2:E5462)*(E5462=E$2:E5462)))))-COUNTBLANK(OFFSET(A$1,,,SUMPRODUCT(MAX(ROW(E$1:E5461)*(E2=E$1:E5461))))))</f>
        <v> </v>
      </c>
      <c r="K5462" s="26" t="str">
        <f>IF(OR(E5462="",E5462="!!!",F5462="NEW"),"",INDEX(J$1:J5461,SUMPRODUCT(MAX(ROW(E$1:E5461)*(E5462=E$1:E5461)))))</f>
        <v> </v>
      </c>
      <c r="L5462" s="27"/>
    </row>
    <row r="5463" spans="1:12">
      <c r="A5463" s="20" t="s">
        <v>2938</v>
      </c>
      <c r="E5463" s="22">
        <f>IF(D5463="?OLD","!!!","")</f>
        <v/>
      </c>
      <c r="F5463" s="23" t="str">
        <f>IF(OR(E5463="",E5463="!!!"),"",IF(NOT(ISNA(VLOOKUP(E5463,E$1:E5462,1,FALSE()))),"OLD",IF(AND(E5463&lt;&gt;"",E5463&lt;&gt;"!!!"),"NEW","")))</f>
        <v> </v>
      </c>
      <c r="G5463" s="24" t="str">
        <f>IF(OR(E5463="",E5463="!!!"),"",IF(OR(J5463=0,AND(J5463=1,K5463=1),AND(J5463=1,I5463="SBJ"),AND(J5463=1,I5463=0)),"?IN_FOCUS",IF(J5463&lt;=2,"?ACTIVATED",IF(J5463&lt;&gt;"","?FAMILIAR",IF(F5463="NEW",IF(ISNA(VLOOKUP(E5463,#REF!,1,FALSE())),"?TYPE_IDENTIFIABLE","?REFERENTIAL"),"_")))))</f>
        <v> </v>
      </c>
      <c r="H5463" s="25" t="str">
        <f>IF(J5463&lt;&gt;1,"",IF(I5463="SBJ","CB","?"))</f>
        <v> </v>
      </c>
      <c r="I5463" s="26" t="str">
        <f>IF(OR(E5463="",E5463="!!!",F5463="NEW"),"",INDEX(B5462:B$2,-1+SUMPRODUCT(MAX(ROW(E5462:E$2)*(E5463=E5462:E$2)))))</f>
        <v> </v>
      </c>
      <c r="J5463" s="26" t="str">
        <f>IF(OR(E5463="",E5463="!!!",F5463="NEW"),"",COUNTBLANK(OFFSET(A$1,,,SUMPRODUCT(MAX(ROW(E$2:E5463)*(E5463=E$2:E5463)))))-COUNTBLANK(OFFSET(A$1,,,SUMPRODUCT(MAX(ROW(E$1:E5462)*(E2=E$1:E5462))))))</f>
        <v> </v>
      </c>
      <c r="K5463" s="26" t="str">
        <f>IF(OR(E5463="",E5463="!!!",F5463="NEW"),"",INDEX(J$1:J5462,SUMPRODUCT(MAX(ROW(E$1:E5462)*(E5463=E$1:E5462)))))</f>
        <v> </v>
      </c>
      <c r="L5463" s="27"/>
    </row>
    <row r="5464" spans="1:12">
      <c r="A5464" s="20" t="s">
        <v>1349</v>
      </c>
      <c r="E5464" s="22">
        <f>IF(D5464="?OLD","!!!","")</f>
        <v/>
      </c>
      <c r="F5464" s="23" t="str">
        <f>IF(OR(E5464="",E5464="!!!"),"",IF(NOT(ISNA(VLOOKUP(E5464,E$1:E5463,1,FALSE()))),"OLD",IF(AND(E5464&lt;&gt;"",E5464&lt;&gt;"!!!"),"NEW","")))</f>
        <v> </v>
      </c>
      <c r="G5464" s="24" t="str">
        <f>IF(OR(E5464="",E5464="!!!"),"",IF(OR(J5464=0,AND(J5464=1,K5464=1),AND(J5464=1,I5464="SBJ"),AND(J5464=1,I5464=0)),"?IN_FOCUS",IF(J5464&lt;=2,"?ACTIVATED",IF(J5464&lt;&gt;"","?FAMILIAR",IF(F5464="NEW",IF(ISNA(VLOOKUP(E5464,#REF!,1,FALSE())),"?TYPE_IDENTIFIABLE","?REFERENTIAL"),"_")))))</f>
        <v> </v>
      </c>
      <c r="H5464" s="25" t="str">
        <f>IF(J5464&lt;&gt;1,"",IF(I5464="SBJ","CB","?"))</f>
        <v> </v>
      </c>
      <c r="I5464" s="26" t="str">
        <f>IF(OR(E5464="",E5464="!!!",F5464="NEW"),"",INDEX(B5463:B$2,-1+SUMPRODUCT(MAX(ROW(E5463:E$2)*(E5464=E5463:E$2)))))</f>
        <v> </v>
      </c>
      <c r="J5464" s="26" t="str">
        <f>IF(OR(E5464="",E5464="!!!",F5464="NEW"),"",COUNTBLANK(OFFSET(A$1,,,SUMPRODUCT(MAX(ROW(E$2:E5464)*(E5464=E$2:E5464)))))-COUNTBLANK(OFFSET(A$1,,,SUMPRODUCT(MAX(ROW(E$1:E5463)*(E2=E$1:E5463))))))</f>
        <v> </v>
      </c>
      <c r="K5464" s="26" t="str">
        <f>IF(OR(E5464="",E5464="!!!",F5464="NEW"),"",INDEX(J$1:J5463,SUMPRODUCT(MAX(ROW(E$1:E5463)*(E5464=E$1:E5463)))))</f>
        <v> </v>
      </c>
      <c r="L5464" s="27"/>
    </row>
    <row r="5465" spans="1:12">
      <c r="A5465" s="20" t="s">
        <v>1219</v>
      </c>
      <c r="E5465" s="22">
        <f>IF(D5465="?OLD","!!!","")</f>
        <v/>
      </c>
      <c r="F5465" s="23" t="str">
        <f>IF(OR(E5465="",E5465="!!!"),"",IF(NOT(ISNA(VLOOKUP(E5465,E$1:E5464,1,FALSE()))),"OLD",IF(AND(E5465&lt;&gt;"",E5465&lt;&gt;"!!!"),"NEW","")))</f>
        <v> </v>
      </c>
      <c r="G5465" s="24" t="str">
        <f>IF(OR(E5465="",E5465="!!!"),"",IF(OR(J5465=0,AND(J5465=1,K5465=1),AND(J5465=1,I5465="SBJ"),AND(J5465=1,I5465=0)),"?IN_FOCUS",IF(J5465&lt;=2,"?ACTIVATED",IF(J5465&lt;&gt;"","?FAMILIAR",IF(F5465="NEW",IF(ISNA(VLOOKUP(E5465,#REF!,1,FALSE())),"?TYPE_IDENTIFIABLE","?REFERENTIAL"),"_")))))</f>
        <v> </v>
      </c>
      <c r="H5465" s="25" t="str">
        <f>IF(J5465&lt;&gt;1,"",IF(I5465="SBJ","CB","?"))</f>
        <v> </v>
      </c>
      <c r="I5465" s="26" t="str">
        <f>IF(OR(E5465="",E5465="!!!",F5465="NEW"),"",INDEX(B5464:B$2,-1+SUMPRODUCT(MAX(ROW(E5464:E$2)*(E5465=E5464:E$2)))))</f>
        <v> </v>
      </c>
      <c r="J5465" s="26" t="str">
        <f>IF(OR(E5465="",E5465="!!!",F5465="NEW"),"",COUNTBLANK(OFFSET(A$1,,,SUMPRODUCT(MAX(ROW(E$2:E5465)*(E5465=E$2:E5465)))))-COUNTBLANK(OFFSET(A$1,,,SUMPRODUCT(MAX(ROW(E$1:E5464)*(E2=E$1:E5464))))))</f>
        <v> </v>
      </c>
      <c r="K5465" s="26" t="str">
        <f>IF(OR(E5465="",E5465="!!!",F5465="NEW"),"",INDEX(J$1:J5464,SUMPRODUCT(MAX(ROW(E$1:E5464)*(E5465=E$1:E5464)))))</f>
        <v> </v>
      </c>
      <c r="L5465" s="27"/>
    </row>
    <row r="5466" spans="1:12">
      <c r="A5466" s="20" t="s">
        <v>2939</v>
      </c>
      <c r="B5466" s="21" t="s">
        <v>1275</v>
      </c>
      <c r="C5466" s="21" t="s">
        <v>1269</v>
      </c>
      <c r="D5466" s="21" t="s">
        <v>1217</v>
      </c>
      <c r="E5466" s="22">
        <f>IF(D5466="?OLD","!!!","")</f>
        <v/>
      </c>
      <c r="F5466" s="23" t="str">
        <f>IF(OR(E5466="",E5466="!!!"),"",IF(NOT(ISNA(VLOOKUP(E5466,E$1:E5465,1,FALSE()))),"OLD",IF(AND(E5466&lt;&gt;"",E5466&lt;&gt;"!!!"),"NEW","")))</f>
        <v> </v>
      </c>
      <c r="G5466" s="24" t="str">
        <f>IF(OR(E5466="",E5466="!!!"),"",IF(OR(J5466=0,AND(J5466=1,K5466=1),AND(J5466=1,I5466="SBJ"),AND(J5466=1,I5466=0)),"?IN_FOCUS",IF(J5466&lt;=2,"?ACTIVATED",IF(J5466&lt;&gt;"","?FAMILIAR",IF(F5466="NEW",IF(ISNA(VLOOKUP(E5466,#REF!,1,FALSE())),"?TYPE_IDENTIFIABLE","?REFERENTIAL"),"_")))))</f>
        <v> </v>
      </c>
      <c r="H5466" s="25" t="str">
        <f>IF(J5466&lt;&gt;1,"",IF(I5466="SBJ","CB","?"))</f>
        <v> </v>
      </c>
      <c r="I5466" s="26" t="str">
        <f>IF(OR(E5466="",E5466="!!!",F5466="NEW"),"",INDEX(B5465:B$2,-1+SUMPRODUCT(MAX(ROW(E5465:E$2)*(E5466=E5465:E$2)))))</f>
        <v> </v>
      </c>
      <c r="J5466" s="26" t="str">
        <f>IF(OR(E5466="",E5466="!!!",F5466="NEW"),"",COUNTBLANK(OFFSET(A$1,,,SUMPRODUCT(MAX(ROW(E$2:E5466)*(E5466=E$2:E5466)))))-COUNTBLANK(OFFSET(A$1,,,SUMPRODUCT(MAX(ROW(E$1:E5465)*(E2=E$1:E5465))))))</f>
        <v> </v>
      </c>
      <c r="K5466" s="26" t="str">
        <f>IF(OR(E5466="",E5466="!!!",F5466="NEW"),"",INDEX(J$1:J5465,SUMPRODUCT(MAX(ROW(E$1:E5465)*(E5466=E$1:E5465)))))</f>
        <v> </v>
      </c>
      <c r="L5466" s="27"/>
    </row>
    <row r="5467" spans="1:12">
      <c r="A5467" s="20" t="s">
        <v>1218</v>
      </c>
      <c r="E5467" s="22">
        <f>IF(D5467="?OLD","!!!","")</f>
        <v/>
      </c>
      <c r="F5467" s="23" t="str">
        <f>IF(OR(E5467="",E5467="!!!"),"",IF(NOT(ISNA(VLOOKUP(E5467,E$1:E5466,1,FALSE()))),"OLD",IF(AND(E5467&lt;&gt;"",E5467&lt;&gt;"!!!"),"NEW","")))</f>
        <v> </v>
      </c>
      <c r="G5467" s="24" t="str">
        <f>IF(OR(E5467="",E5467="!!!"),"",IF(OR(J5467=0,AND(J5467=1,K5467=1),AND(J5467=1,I5467="SBJ"),AND(J5467=1,I5467=0)),"?IN_FOCUS",IF(J5467&lt;=2,"?ACTIVATED",IF(J5467&lt;&gt;"","?FAMILIAR",IF(F5467="NEW",IF(ISNA(VLOOKUP(E5467,#REF!,1,FALSE())),"?TYPE_IDENTIFIABLE","?REFERENTIAL"),"_")))))</f>
        <v> </v>
      </c>
      <c r="H5467" s="25" t="str">
        <f>IF(J5467&lt;&gt;1,"",IF(I5467="SBJ","CB","?"))</f>
        <v> </v>
      </c>
      <c r="I5467" s="26" t="str">
        <f>IF(OR(E5467="",E5467="!!!",F5467="NEW"),"",INDEX(B5466:B$2,-1+SUMPRODUCT(MAX(ROW(E5466:E$2)*(E5467=E5466:E$2)))))</f>
        <v> </v>
      </c>
      <c r="J5467" s="26" t="str">
        <f>IF(OR(E5467="",E5467="!!!",F5467="NEW"),"",COUNTBLANK(OFFSET(A$1,,,SUMPRODUCT(MAX(ROW(E$2:E5467)*(E5467=E$2:E5467)))))-COUNTBLANK(OFFSET(A$1,,,SUMPRODUCT(MAX(ROW(E$1:E5466)*(E2=E$1:E5466))))))</f>
        <v> </v>
      </c>
      <c r="K5467" s="26" t="str">
        <f>IF(OR(E5467="",E5467="!!!",F5467="NEW"),"",INDEX(J$1:J5466,SUMPRODUCT(MAX(ROW(E$1:E5466)*(E5467=E$1:E5466)))))</f>
        <v> </v>
      </c>
      <c r="L5467" s="27"/>
    </row>
    <row r="5468" spans="1:12">
      <c r="A5468" s="20" t="s">
        <v>1219</v>
      </c>
      <c r="E5468" s="22">
        <f>IF(D5468="?OLD","!!!","")</f>
        <v/>
      </c>
      <c r="F5468" s="23" t="str">
        <f>IF(OR(E5468="",E5468="!!!"),"",IF(NOT(ISNA(VLOOKUP(E5468,E$1:E5467,1,FALSE()))),"OLD",IF(AND(E5468&lt;&gt;"",E5468&lt;&gt;"!!!"),"NEW","")))</f>
        <v> </v>
      </c>
      <c r="G5468" s="24" t="str">
        <f>IF(OR(E5468="",E5468="!!!"),"",IF(OR(J5468=0,AND(J5468=1,K5468=1),AND(J5468=1,I5468="SBJ"),AND(J5468=1,I5468=0)),"?IN_FOCUS",IF(J5468&lt;=2,"?ACTIVATED",IF(J5468&lt;&gt;"","?FAMILIAR",IF(F5468="NEW",IF(ISNA(VLOOKUP(E5468,#REF!,1,FALSE())),"?TYPE_IDENTIFIABLE","?REFERENTIAL"),"_")))))</f>
        <v> </v>
      </c>
      <c r="H5468" s="25" t="str">
        <f>IF(J5468&lt;&gt;1,"",IF(I5468="SBJ","CB","?"))</f>
        <v> </v>
      </c>
      <c r="I5468" s="26" t="str">
        <f>IF(OR(E5468="",E5468="!!!",F5468="NEW"),"",INDEX(B5467:B$2,-1+SUMPRODUCT(MAX(ROW(E5467:E$2)*(E5468=E5467:E$2)))))</f>
        <v> </v>
      </c>
      <c r="J5468" s="26" t="str">
        <f>IF(OR(E5468="",E5468="!!!",F5468="NEW"),"",COUNTBLANK(OFFSET(A$1,,,SUMPRODUCT(MAX(ROW(E$2:E5468)*(E5468=E$2:E5468)))))-COUNTBLANK(OFFSET(A$1,,,SUMPRODUCT(MAX(ROW(E$1:E5467)*(E2=E$1:E5467))))))</f>
        <v> </v>
      </c>
      <c r="K5468" s="26" t="str">
        <f>IF(OR(E5468="",E5468="!!!",F5468="NEW"),"",INDEX(J$1:J5467,SUMPRODUCT(MAX(ROW(E$1:E5467)*(E5468=E$1:E5467)))))</f>
        <v> </v>
      </c>
      <c r="L5468" s="27"/>
    </row>
    <row r="5469" spans="1:12">
      <c r="A5469" s="20" t="s">
        <v>2940</v>
      </c>
      <c r="B5469" s="21" t="s">
        <v>1221</v>
      </c>
      <c r="C5469" s="21" t="s">
        <v>1269</v>
      </c>
      <c r="D5469" s="21" t="s">
        <v>1217</v>
      </c>
      <c r="E5469" s="22">
        <f>IF(D5469="?OLD","!!!","")</f>
        <v/>
      </c>
      <c r="F5469" s="23" t="str">
        <f>IF(OR(E5469="",E5469="!!!"),"",IF(NOT(ISNA(VLOOKUP(E5469,E$1:E5468,1,FALSE()))),"OLD",IF(AND(E5469&lt;&gt;"",E5469&lt;&gt;"!!!"),"NEW","")))</f>
        <v> </v>
      </c>
      <c r="G5469" s="24" t="str">
        <f>IF(OR(E5469="",E5469="!!!"),"",IF(OR(J5469=0,AND(J5469=1,K5469=1),AND(J5469=1,I5469="SBJ"),AND(J5469=1,I5469=0)),"?IN_FOCUS",IF(J5469&lt;=2,"?ACTIVATED",IF(J5469&lt;&gt;"","?FAMILIAR",IF(F5469="NEW",IF(ISNA(VLOOKUP(E5469,#REF!,1,FALSE())),"?TYPE_IDENTIFIABLE","?REFERENTIAL"),"_")))))</f>
        <v> </v>
      </c>
      <c r="H5469" s="25" t="str">
        <f>IF(J5469&lt;&gt;1,"",IF(I5469="SBJ","CB","?"))</f>
        <v> </v>
      </c>
      <c r="I5469" s="26" t="str">
        <f>IF(OR(E5469="",E5469="!!!",F5469="NEW"),"",INDEX(B5468:B$2,-1+SUMPRODUCT(MAX(ROW(E5468:E$2)*(E5469=E5468:E$2)))))</f>
        <v> </v>
      </c>
      <c r="J5469" s="26" t="str">
        <f>IF(OR(E5469="",E5469="!!!",F5469="NEW"),"",COUNTBLANK(OFFSET(A$1,,,SUMPRODUCT(MAX(ROW(E$2:E5469)*(E5469=E$2:E5469)))))-COUNTBLANK(OFFSET(A$1,,,SUMPRODUCT(MAX(ROW(E$1:E5468)*(E2=E$1:E5468))))))</f>
        <v> </v>
      </c>
      <c r="K5469" s="26" t="str">
        <f>IF(OR(E5469="",E5469="!!!",F5469="NEW"),"",INDEX(J$1:J5468,SUMPRODUCT(MAX(ROW(E$1:E5468)*(E5469=E$1:E5468)))))</f>
        <v> </v>
      </c>
      <c r="L5469" s="27"/>
    </row>
    <row r="5470" spans="1:12">
      <c r="A5470" s="20" t="s">
        <v>1218</v>
      </c>
      <c r="E5470" s="22">
        <f>IF(D5470="?OLD","!!!","")</f>
        <v/>
      </c>
      <c r="F5470" s="23" t="str">
        <f>IF(OR(E5470="",E5470="!!!"),"",IF(NOT(ISNA(VLOOKUP(E5470,E$1:E5469,1,FALSE()))),"OLD",IF(AND(E5470&lt;&gt;"",E5470&lt;&gt;"!!!"),"NEW","")))</f>
        <v> </v>
      </c>
      <c r="G5470" s="24" t="str">
        <f>IF(OR(E5470="",E5470="!!!"),"",IF(OR(J5470=0,AND(J5470=1,K5470=1),AND(J5470=1,I5470="SBJ"),AND(J5470=1,I5470=0)),"?IN_FOCUS",IF(J5470&lt;=2,"?ACTIVATED",IF(J5470&lt;&gt;"","?FAMILIAR",IF(F5470="NEW",IF(ISNA(VLOOKUP(E5470,#REF!,1,FALSE())),"?TYPE_IDENTIFIABLE","?REFERENTIAL"),"_")))))</f>
        <v> </v>
      </c>
      <c r="H5470" s="25" t="str">
        <f>IF(J5470&lt;&gt;1,"",IF(I5470="SBJ","CB","?"))</f>
        <v> </v>
      </c>
      <c r="I5470" s="26" t="str">
        <f>IF(OR(E5470="",E5470="!!!",F5470="NEW"),"",INDEX(B5469:B$2,-1+SUMPRODUCT(MAX(ROW(E5469:E$2)*(E5470=E5469:E$2)))))</f>
        <v> </v>
      </c>
      <c r="J5470" s="26" t="str">
        <f>IF(OR(E5470="",E5470="!!!",F5470="NEW"),"",COUNTBLANK(OFFSET(A$1,,,SUMPRODUCT(MAX(ROW(E$2:E5470)*(E5470=E$2:E5470)))))-COUNTBLANK(OFFSET(A$1,,,SUMPRODUCT(MAX(ROW(E$1:E5469)*(E2=E$1:E5469))))))</f>
        <v> </v>
      </c>
      <c r="K5470" s="26" t="str">
        <f>IF(OR(E5470="",E5470="!!!",F5470="NEW"),"",INDEX(J$1:J5469,SUMPRODUCT(MAX(ROW(E$1:E5469)*(E5470=E$1:E5469)))))</f>
        <v> </v>
      </c>
      <c r="L5470" s="27"/>
    </row>
    <row r="5471" spans="1:12">
      <c r="A5471" s="20" t="s">
        <v>2941</v>
      </c>
      <c r="B5471" s="21" t="s">
        <v>1224</v>
      </c>
      <c r="C5471" s="21" t="s">
        <v>1279</v>
      </c>
      <c r="E5471" s="22">
        <f>IF(D5471="?OLD","!!!","")</f>
        <v/>
      </c>
      <c r="F5471" s="23" t="str">
        <f>IF(OR(E5471="",E5471="!!!"),"",IF(NOT(ISNA(VLOOKUP(E5471,E$1:E5470,1,FALSE()))),"OLD",IF(AND(E5471&lt;&gt;"",E5471&lt;&gt;"!!!"),"NEW","")))</f>
        <v> </v>
      </c>
      <c r="G5471" s="24" t="str">
        <f>IF(OR(E5471="",E5471="!!!"),"",IF(OR(J5471=0,AND(J5471=1,K5471=1),AND(J5471=1,I5471="SBJ"),AND(J5471=1,I5471=0)),"?IN_FOCUS",IF(J5471&lt;=2,"?ACTIVATED",IF(J5471&lt;&gt;"","?FAMILIAR",IF(F5471="NEW",IF(ISNA(VLOOKUP(E5471,#REF!,1,FALSE())),"?TYPE_IDENTIFIABLE","?REFERENTIAL"),"_")))))</f>
        <v> </v>
      </c>
      <c r="H5471" s="25" t="str">
        <f>IF(J5471&lt;&gt;1,"",IF(I5471="SBJ","CB","?"))</f>
        <v> </v>
      </c>
      <c r="I5471" s="26" t="str">
        <f>IF(OR(E5471="",E5471="!!!",F5471="NEW"),"",INDEX(B5470:B$2,-1+SUMPRODUCT(MAX(ROW(E5470:E$2)*(E5471=E5470:E$2)))))</f>
        <v> </v>
      </c>
      <c r="J5471" s="26" t="str">
        <f>IF(OR(E5471="",E5471="!!!",F5471="NEW"),"",COUNTBLANK(OFFSET(A$1,,,SUMPRODUCT(MAX(ROW(E$2:E5471)*(E5471=E$2:E5471)))))-COUNTBLANK(OFFSET(A$1,,,SUMPRODUCT(MAX(ROW(E$1:E5470)*(E2=E$1:E5470))))))</f>
        <v> </v>
      </c>
      <c r="K5471" s="26" t="str">
        <f>IF(OR(E5471="",E5471="!!!",F5471="NEW"),"",INDEX(J$1:J5470,SUMPRODUCT(MAX(ROW(E$1:E5470)*(E5471=E$1:E5470)))))</f>
        <v> </v>
      </c>
      <c r="L5471" s="27"/>
    </row>
    <row r="5472" spans="1:12">
      <c r="A5472" s="20" t="s">
        <v>1277</v>
      </c>
      <c r="E5472" s="22">
        <f>IF(D5472="?OLD","!!!","")</f>
        <v/>
      </c>
      <c r="F5472" s="23" t="str">
        <f>IF(OR(E5472="",E5472="!!!"),"",IF(NOT(ISNA(VLOOKUP(E5472,E$1:E5471,1,FALSE()))),"OLD",IF(AND(E5472&lt;&gt;"",E5472&lt;&gt;"!!!"),"NEW","")))</f>
        <v> </v>
      </c>
      <c r="G5472" s="24" t="str">
        <f>IF(OR(E5472="",E5472="!!!"),"",IF(OR(J5472=0,AND(J5472=1,K5472=1),AND(J5472=1,I5472="SBJ"),AND(J5472=1,I5472=0)),"?IN_FOCUS",IF(J5472&lt;=2,"?ACTIVATED",IF(J5472&lt;&gt;"","?FAMILIAR",IF(F5472="NEW",IF(ISNA(VLOOKUP(E5472,#REF!,1,FALSE())),"?TYPE_IDENTIFIABLE","?REFERENTIAL"),"_")))))</f>
        <v> </v>
      </c>
      <c r="H5472" s="25" t="str">
        <f>IF(J5472&lt;&gt;1,"",IF(I5472="SBJ","CB","?"))</f>
        <v> </v>
      </c>
      <c r="I5472" s="26" t="str">
        <f>IF(OR(E5472="",E5472="!!!",F5472="NEW"),"",INDEX(B5471:B$2,-1+SUMPRODUCT(MAX(ROW(E5471:E$2)*(E5472=E5471:E$2)))))</f>
        <v> </v>
      </c>
      <c r="J5472" s="26" t="str">
        <f>IF(OR(E5472="",E5472="!!!",F5472="NEW"),"",COUNTBLANK(OFFSET(A$1,,,SUMPRODUCT(MAX(ROW(E$2:E5472)*(E5472=E$2:E5472)))))-COUNTBLANK(OFFSET(A$1,,,SUMPRODUCT(MAX(ROW(E$1:E5471)*(E2=E$1:E5471))))))</f>
        <v> </v>
      </c>
      <c r="K5472" s="26" t="str">
        <f>IF(OR(E5472="",E5472="!!!",F5472="NEW"),"",INDEX(J$1:J5471,SUMPRODUCT(MAX(ROW(E$1:E5471)*(E5472=E$1:E5471)))))</f>
        <v> </v>
      </c>
      <c r="L5472" s="27"/>
    </row>
    <row r="5473" spans="1:12">
      <c r="A5473" s="20" t="s">
        <v>2942</v>
      </c>
      <c r="E5473" s="22">
        <f>IF(D5473="?OLD","!!!","")</f>
        <v/>
      </c>
      <c r="F5473" s="23" t="str">
        <f>IF(OR(E5473="",E5473="!!!"),"",IF(NOT(ISNA(VLOOKUP(E5473,E$1:E5472,1,FALSE()))),"OLD",IF(AND(E5473&lt;&gt;"",E5473&lt;&gt;"!!!"),"NEW","")))</f>
        <v> </v>
      </c>
      <c r="G5473" s="24" t="str">
        <f>IF(OR(E5473="",E5473="!!!"),"",IF(OR(J5473=0,AND(J5473=1,K5473=1),AND(J5473=1,I5473="SBJ"),AND(J5473=1,I5473=0)),"?IN_FOCUS",IF(J5473&lt;=2,"?ACTIVATED",IF(J5473&lt;&gt;"","?FAMILIAR",IF(F5473="NEW",IF(ISNA(VLOOKUP(E5473,#REF!,1,FALSE())),"?TYPE_IDENTIFIABLE","?REFERENTIAL"),"_")))))</f>
        <v> </v>
      </c>
      <c r="H5473" s="25" t="str">
        <f>IF(J5473&lt;&gt;1,"",IF(I5473="SBJ","CB","?"))</f>
        <v> </v>
      </c>
      <c r="I5473" s="26" t="str">
        <f>IF(OR(E5473="",E5473="!!!",F5473="NEW"),"",INDEX(B5472:B$2,-1+SUMPRODUCT(MAX(ROW(E5472:E$2)*(E5473=E5472:E$2)))))</f>
        <v> </v>
      </c>
      <c r="J5473" s="26" t="str">
        <f>IF(OR(E5473="",E5473="!!!",F5473="NEW"),"",COUNTBLANK(OFFSET(A$1,,,SUMPRODUCT(MAX(ROW(E$2:E5473)*(E5473=E$2:E5473)))))-COUNTBLANK(OFFSET(A$1,,,SUMPRODUCT(MAX(ROW(E$1:E5472)*(E2=E$1:E5472))))))</f>
        <v> </v>
      </c>
      <c r="K5473" s="26" t="str">
        <f>IF(OR(E5473="",E5473="!!!",F5473="NEW"),"",INDEX(J$1:J5472,SUMPRODUCT(MAX(ROW(E$1:E5472)*(E5473=E$1:E5472)))))</f>
        <v> </v>
      </c>
      <c r="L5473" s="27"/>
    </row>
    <row r="5474" spans="1:12">
      <c r="A5474" s="20" t="s">
        <v>1614</v>
      </c>
      <c r="E5474" s="22">
        <f>IF(D5474="?OLD","!!!","")</f>
        <v/>
      </c>
      <c r="F5474" s="23" t="str">
        <f>IF(OR(E5474="",E5474="!!!"),"",IF(NOT(ISNA(VLOOKUP(E5474,E$1:E5473,1,FALSE()))),"OLD",IF(AND(E5474&lt;&gt;"",E5474&lt;&gt;"!!!"),"NEW","")))</f>
        <v> </v>
      </c>
      <c r="G5474" s="24" t="str">
        <f>IF(OR(E5474="",E5474="!!!"),"",IF(OR(J5474=0,AND(J5474=1,K5474=1),AND(J5474=1,I5474="SBJ"),AND(J5474=1,I5474=0)),"?IN_FOCUS",IF(J5474&lt;=2,"?ACTIVATED",IF(J5474&lt;&gt;"","?FAMILIAR",IF(F5474="NEW",IF(ISNA(VLOOKUP(E5474,#REF!,1,FALSE())),"?TYPE_IDENTIFIABLE","?REFERENTIAL"),"_")))))</f>
        <v> </v>
      </c>
      <c r="H5474" s="25" t="str">
        <f>IF(J5474&lt;&gt;1,"",IF(I5474="SBJ","CB","?"))</f>
        <v> </v>
      </c>
      <c r="I5474" s="26" t="str">
        <f>IF(OR(E5474="",E5474="!!!",F5474="NEW"),"",INDEX(B5473:B$2,-1+SUMPRODUCT(MAX(ROW(E5473:E$2)*(E5474=E5473:E$2)))))</f>
        <v> </v>
      </c>
      <c r="J5474" s="26" t="str">
        <f>IF(OR(E5474="",E5474="!!!",F5474="NEW"),"",COUNTBLANK(OFFSET(A$1,,,SUMPRODUCT(MAX(ROW(E$2:E5474)*(E5474=E$2:E5474)))))-COUNTBLANK(OFFSET(A$1,,,SUMPRODUCT(MAX(ROW(E$1:E5473)*(E2=E$1:E5473))))))</f>
        <v> </v>
      </c>
      <c r="K5474" s="26" t="str">
        <f>IF(OR(E5474="",E5474="!!!",F5474="NEW"),"",INDEX(J$1:J5473,SUMPRODUCT(MAX(ROW(E$1:E5473)*(E5474=E$1:E5473)))))</f>
        <v> </v>
      </c>
      <c r="L5474" s="27"/>
    </row>
    <row r="5475" spans="1:12">
      <c r="A5475" s="20" t="s">
        <v>1623</v>
      </c>
      <c r="B5475" s="21" t="s">
        <v>1226</v>
      </c>
      <c r="C5475" s="21" t="s">
        <v>1279</v>
      </c>
      <c r="E5475" s="22">
        <f>IF(D5475="?OLD","!!!","")</f>
        <v/>
      </c>
      <c r="F5475" s="23" t="str">
        <f>IF(OR(E5475="",E5475="!!!"),"",IF(NOT(ISNA(VLOOKUP(E5475,E$1:E5474,1,FALSE()))),"OLD",IF(AND(E5475&lt;&gt;"",E5475&lt;&gt;"!!!"),"NEW","")))</f>
        <v> </v>
      </c>
      <c r="G5475" s="24" t="str">
        <f>IF(OR(E5475="",E5475="!!!"),"",IF(OR(J5475=0,AND(J5475=1,K5475=1),AND(J5475=1,I5475="SBJ"),AND(J5475=1,I5475=0)),"?IN_FOCUS",IF(J5475&lt;=2,"?ACTIVATED",IF(J5475&lt;&gt;"","?FAMILIAR",IF(F5475="NEW",IF(ISNA(VLOOKUP(E5475,#REF!,1,FALSE())),"?TYPE_IDENTIFIABLE","?REFERENTIAL"),"_")))))</f>
        <v> </v>
      </c>
      <c r="H5475" s="25" t="str">
        <f>IF(J5475&lt;&gt;1,"",IF(I5475="SBJ","CB","?"))</f>
        <v> </v>
      </c>
      <c r="I5475" s="26" t="str">
        <f>IF(OR(E5475="",E5475="!!!",F5475="NEW"),"",INDEX(B5474:B$2,-1+SUMPRODUCT(MAX(ROW(E5474:E$2)*(E5475=E5474:E$2)))))</f>
        <v> </v>
      </c>
      <c r="J5475" s="26" t="str">
        <f>IF(OR(E5475="",E5475="!!!",F5475="NEW"),"",COUNTBLANK(OFFSET(A$1,,,SUMPRODUCT(MAX(ROW(E$2:E5475)*(E5475=E$2:E5475)))))-COUNTBLANK(OFFSET(A$1,,,SUMPRODUCT(MAX(ROW(E$1:E5474)*(E2=E$1:E5474))))))</f>
        <v> </v>
      </c>
      <c r="K5475" s="26" t="str">
        <f>IF(OR(E5475="",E5475="!!!",F5475="NEW"),"",INDEX(J$1:J5474,SUMPRODUCT(MAX(ROW(E$1:E5474)*(E5475=E$1:E5474)))))</f>
        <v> </v>
      </c>
      <c r="L5475" s="27"/>
    </row>
    <row r="5476" spans="1:12">
      <c r="A5476" s="20" t="s">
        <v>1363</v>
      </c>
      <c r="E5476" s="22">
        <f>IF(D5476="?OLD","!!!","")</f>
        <v/>
      </c>
      <c r="F5476" s="23" t="str">
        <f>IF(OR(E5476="",E5476="!!!"),"",IF(NOT(ISNA(VLOOKUP(E5476,E$1:E5475,1,FALSE()))),"OLD",IF(AND(E5476&lt;&gt;"",E5476&lt;&gt;"!!!"),"NEW","")))</f>
        <v> </v>
      </c>
      <c r="G5476" s="24" t="str">
        <f>IF(OR(E5476="",E5476="!!!"),"",IF(OR(J5476=0,AND(J5476=1,K5476=1),AND(J5476=1,I5476="SBJ"),AND(J5476=1,I5476=0)),"?IN_FOCUS",IF(J5476&lt;=2,"?ACTIVATED",IF(J5476&lt;&gt;"","?FAMILIAR",IF(F5476="NEW",IF(ISNA(VLOOKUP(E5476,#REF!,1,FALSE())),"?TYPE_IDENTIFIABLE","?REFERENTIAL"),"_")))))</f>
        <v> </v>
      </c>
      <c r="H5476" s="25" t="str">
        <f>IF(J5476&lt;&gt;1,"",IF(I5476="SBJ","CB","?"))</f>
        <v> </v>
      </c>
      <c r="I5476" s="26" t="str">
        <f>IF(OR(E5476="",E5476="!!!",F5476="NEW"),"",INDEX(B5475:B$2,-1+SUMPRODUCT(MAX(ROW(E5475:E$2)*(E5476=E5475:E$2)))))</f>
        <v> </v>
      </c>
      <c r="J5476" s="26" t="str">
        <f>IF(OR(E5476="",E5476="!!!",F5476="NEW"),"",COUNTBLANK(OFFSET(A$1,,,SUMPRODUCT(MAX(ROW(E$2:E5476)*(E5476=E$2:E5476)))))-COUNTBLANK(OFFSET(A$1,,,SUMPRODUCT(MAX(ROW(E$1:E5475)*(E2=E$1:E5475))))))</f>
        <v> </v>
      </c>
      <c r="K5476" s="26" t="str">
        <f>IF(OR(E5476="",E5476="!!!",F5476="NEW"),"",INDEX(J$1:J5475,SUMPRODUCT(MAX(ROW(E$1:E5475)*(E5476=E$1:E5475)))))</f>
        <v> </v>
      </c>
      <c r="L5476" s="27"/>
    </row>
    <row r="5477" spans="1:12">
      <c r="A5477" s="20" t="s">
        <v>1219</v>
      </c>
      <c r="E5477" s="22">
        <f>IF(D5477="?OLD","!!!","")</f>
        <v/>
      </c>
      <c r="F5477" s="23" t="str">
        <f>IF(OR(E5477="",E5477="!!!"),"",IF(NOT(ISNA(VLOOKUP(E5477,E$1:E5476,1,FALSE()))),"OLD",IF(AND(E5477&lt;&gt;"",E5477&lt;&gt;"!!!"),"NEW","")))</f>
        <v> </v>
      </c>
      <c r="G5477" s="24" t="str">
        <f>IF(OR(E5477="",E5477="!!!"),"",IF(OR(J5477=0,AND(J5477=1,K5477=1),AND(J5477=1,I5477="SBJ"),AND(J5477=1,I5477=0)),"?IN_FOCUS",IF(J5477&lt;=2,"?ACTIVATED",IF(J5477&lt;&gt;"","?FAMILIAR",IF(F5477="NEW",IF(ISNA(VLOOKUP(E5477,#REF!,1,FALSE())),"?TYPE_IDENTIFIABLE","?REFERENTIAL"),"_")))))</f>
        <v> </v>
      </c>
      <c r="H5477" s="25" t="str">
        <f>IF(J5477&lt;&gt;1,"",IF(I5477="SBJ","CB","?"))</f>
        <v> </v>
      </c>
      <c r="I5477" s="26" t="str">
        <f>IF(OR(E5477="",E5477="!!!",F5477="NEW"),"",INDEX(B5476:B$2,-1+SUMPRODUCT(MAX(ROW(E5476:E$2)*(E5477=E5476:E$2)))))</f>
        <v> </v>
      </c>
      <c r="J5477" s="26" t="str">
        <f>IF(OR(E5477="",E5477="!!!",F5477="NEW"),"",COUNTBLANK(OFFSET(A$1,,,SUMPRODUCT(MAX(ROW(E$2:E5477)*(E5477=E$2:E5477)))))-COUNTBLANK(OFFSET(A$1,,,SUMPRODUCT(MAX(ROW(E$1:E5476)*(E2=E$1:E5476))))))</f>
        <v> </v>
      </c>
      <c r="K5477" s="26" t="str">
        <f>IF(OR(E5477="",E5477="!!!",F5477="NEW"),"",INDEX(J$1:J5476,SUMPRODUCT(MAX(ROW(E$1:E5476)*(E5477=E$1:E5476)))))</f>
        <v> </v>
      </c>
      <c r="L5477" s="27"/>
    </row>
    <row r="5478" spans="1:12">
      <c r="A5478" s="20" t="s">
        <v>2943</v>
      </c>
      <c r="B5478" s="21" t="s">
        <v>1224</v>
      </c>
      <c r="C5478" s="21" t="s">
        <v>1269</v>
      </c>
      <c r="D5478" s="21" t="s">
        <v>1217</v>
      </c>
      <c r="E5478" s="22">
        <f>IF(D5478="?OLD","!!!","")</f>
        <v/>
      </c>
      <c r="F5478" s="23" t="str">
        <f>IF(OR(E5478="",E5478="!!!"),"",IF(NOT(ISNA(VLOOKUP(E5478,E$1:E5477,1,FALSE()))),"OLD",IF(AND(E5478&lt;&gt;"",E5478&lt;&gt;"!!!"),"NEW","")))</f>
        <v> </v>
      </c>
      <c r="G5478" s="24" t="str">
        <f>IF(OR(E5478="",E5478="!!!"),"",IF(OR(J5478=0,AND(J5478=1,K5478=1),AND(J5478=1,I5478="SBJ"),AND(J5478=1,I5478=0)),"?IN_FOCUS",IF(J5478&lt;=2,"?ACTIVATED",IF(J5478&lt;&gt;"","?FAMILIAR",IF(F5478="NEW",IF(ISNA(VLOOKUP(E5478,#REF!,1,FALSE())),"?TYPE_IDENTIFIABLE","?REFERENTIAL"),"_")))))</f>
        <v> </v>
      </c>
      <c r="H5478" s="25" t="str">
        <f>IF(J5478&lt;&gt;1,"",IF(I5478="SBJ","CB","?"))</f>
        <v> </v>
      </c>
      <c r="I5478" s="26" t="str">
        <f>IF(OR(E5478="",E5478="!!!",F5478="NEW"),"",INDEX(B5477:B$2,-1+SUMPRODUCT(MAX(ROW(E5477:E$2)*(E5478=E5477:E$2)))))</f>
        <v> </v>
      </c>
      <c r="J5478" s="26" t="str">
        <f>IF(OR(E5478="",E5478="!!!",F5478="NEW"),"",COUNTBLANK(OFFSET(A$1,,,SUMPRODUCT(MAX(ROW(E$2:E5478)*(E5478=E$2:E5478)))))-COUNTBLANK(OFFSET(A$1,,,SUMPRODUCT(MAX(ROW(E$1:E5477)*(E2=E$1:E5477))))))</f>
        <v> </v>
      </c>
      <c r="K5478" s="26" t="str">
        <f>IF(OR(E5478="",E5478="!!!",F5478="NEW"),"",INDEX(J$1:J5477,SUMPRODUCT(MAX(ROW(E$1:E5477)*(E5478=E$1:E5477)))))</f>
        <v> </v>
      </c>
      <c r="L5478" s="27"/>
    </row>
    <row r="5479" spans="1:12">
      <c r="A5479" s="20" t="s">
        <v>2944</v>
      </c>
      <c r="E5479" s="22">
        <f>IF(D5479="?OLD","!!!","")</f>
        <v/>
      </c>
      <c r="F5479" s="23" t="str">
        <f>IF(OR(E5479="",E5479="!!!"),"",IF(NOT(ISNA(VLOOKUP(E5479,E$1:E5478,1,FALSE()))),"OLD",IF(AND(E5479&lt;&gt;"",E5479&lt;&gt;"!!!"),"NEW","")))</f>
        <v> </v>
      </c>
      <c r="G5479" s="24" t="str">
        <f>IF(OR(E5479="",E5479="!!!"),"",IF(OR(J5479=0,AND(J5479=1,K5479=1),AND(J5479=1,I5479="SBJ"),AND(J5479=1,I5479=0)),"?IN_FOCUS",IF(J5479&lt;=2,"?ACTIVATED",IF(J5479&lt;&gt;"","?FAMILIAR",IF(F5479="NEW",IF(ISNA(VLOOKUP(E5479,#REF!,1,FALSE())),"?TYPE_IDENTIFIABLE","?REFERENTIAL"),"_")))))</f>
        <v> </v>
      </c>
      <c r="H5479" s="25" t="str">
        <f>IF(J5479&lt;&gt;1,"",IF(I5479="SBJ","CB","?"))</f>
        <v> </v>
      </c>
      <c r="I5479" s="26" t="str">
        <f>IF(OR(E5479="",E5479="!!!",F5479="NEW"),"",INDEX(B5478:B$2,-1+SUMPRODUCT(MAX(ROW(E5478:E$2)*(E5479=E5478:E$2)))))</f>
        <v> </v>
      </c>
      <c r="J5479" s="26" t="str">
        <f>IF(OR(E5479="",E5479="!!!",F5479="NEW"),"",COUNTBLANK(OFFSET(A$1,,,SUMPRODUCT(MAX(ROW(E$2:E5479)*(E5479=E$2:E5479)))))-COUNTBLANK(OFFSET(A$1,,,SUMPRODUCT(MAX(ROW(E$1:E5478)*(E2=E$1:E5478))))))</f>
        <v> </v>
      </c>
      <c r="K5479" s="26" t="str">
        <f>IF(OR(E5479="",E5479="!!!",F5479="NEW"),"",INDEX(J$1:J5478,SUMPRODUCT(MAX(ROW(E$1:E5478)*(E5479=E$1:E5478)))))</f>
        <v> </v>
      </c>
      <c r="L5479" s="27"/>
    </row>
    <row r="5480" spans="1:12">
      <c r="A5480" s="20" t="s">
        <v>1218</v>
      </c>
      <c r="E5480" s="22">
        <f>IF(D5480="?OLD","!!!","")</f>
        <v/>
      </c>
      <c r="F5480" s="23" t="str">
        <f>IF(OR(E5480="",E5480="!!!"),"",IF(NOT(ISNA(VLOOKUP(E5480,E$1:E5479,1,FALSE()))),"OLD",IF(AND(E5480&lt;&gt;"",E5480&lt;&gt;"!!!"),"NEW","")))</f>
        <v> </v>
      </c>
      <c r="G5480" s="24" t="str">
        <f>IF(OR(E5480="",E5480="!!!"),"",IF(OR(J5480=0,AND(J5480=1,K5480=1),AND(J5480=1,I5480="SBJ"),AND(J5480=1,I5480=0)),"?IN_FOCUS",IF(J5480&lt;=2,"?ACTIVATED",IF(J5480&lt;&gt;"","?FAMILIAR",IF(F5480="NEW",IF(ISNA(VLOOKUP(E5480,#REF!,1,FALSE())),"?TYPE_IDENTIFIABLE","?REFERENTIAL"),"_")))))</f>
        <v> </v>
      </c>
      <c r="H5480" s="25" t="str">
        <f>IF(J5480&lt;&gt;1,"",IF(I5480="SBJ","CB","?"))</f>
        <v> </v>
      </c>
      <c r="I5480" s="26" t="str">
        <f>IF(OR(E5480="",E5480="!!!",F5480="NEW"),"",INDEX(B5479:B$2,-1+SUMPRODUCT(MAX(ROW(E5479:E$2)*(E5480=E5479:E$2)))))</f>
        <v> </v>
      </c>
      <c r="J5480" s="26" t="str">
        <f>IF(OR(E5480="",E5480="!!!",F5480="NEW"),"",COUNTBLANK(OFFSET(A$1,,,SUMPRODUCT(MAX(ROW(E$2:E5480)*(E5480=E$2:E5480)))))-COUNTBLANK(OFFSET(A$1,,,SUMPRODUCT(MAX(ROW(E$1:E5479)*(E2=E$1:E5479))))))</f>
        <v> </v>
      </c>
      <c r="K5480" s="26" t="str">
        <f>IF(OR(E5480="",E5480="!!!",F5480="NEW"),"",INDEX(J$1:J5479,SUMPRODUCT(MAX(ROW(E$1:E5479)*(E5480=E$1:E5479)))))</f>
        <v> </v>
      </c>
      <c r="L5480" s="27"/>
    </row>
    <row r="5481" spans="1:12">
      <c r="A5481" s="20" t="s">
        <v>1266</v>
      </c>
      <c r="E5481" s="22">
        <f>IF(D5481="?OLD","!!!","")</f>
        <v/>
      </c>
      <c r="F5481" s="23" t="str">
        <f>IF(OR(E5481="",E5481="!!!"),"",IF(NOT(ISNA(VLOOKUP(E5481,E$1:E5480,1,FALSE()))),"OLD",IF(AND(E5481&lt;&gt;"",E5481&lt;&gt;"!!!"),"NEW","")))</f>
        <v> </v>
      </c>
      <c r="G5481" s="24" t="str">
        <f>IF(OR(E5481="",E5481="!!!"),"",IF(OR(J5481=0,AND(J5481=1,K5481=1),AND(J5481=1,I5481="SBJ"),AND(J5481=1,I5481=0)),"?IN_FOCUS",IF(J5481&lt;=2,"?ACTIVATED",IF(J5481&lt;&gt;"","?FAMILIAR",IF(F5481="NEW",IF(ISNA(VLOOKUP(E5481,#REF!,1,FALSE())),"?TYPE_IDENTIFIABLE","?REFERENTIAL"),"_")))))</f>
        <v> </v>
      </c>
      <c r="H5481" s="25" t="str">
        <f>IF(J5481&lt;&gt;1,"",IF(I5481="SBJ","CB","?"))</f>
        <v> </v>
      </c>
      <c r="I5481" s="26" t="str">
        <f>IF(OR(E5481="",E5481="!!!",F5481="NEW"),"",INDEX(B5480:B$2,-1+SUMPRODUCT(MAX(ROW(E5480:E$2)*(E5481=E5480:E$2)))))</f>
        <v> </v>
      </c>
      <c r="J5481" s="26" t="str">
        <f>IF(OR(E5481="",E5481="!!!",F5481="NEW"),"",COUNTBLANK(OFFSET(A$1,,,SUMPRODUCT(MAX(ROW(E$2:E5481)*(E5481=E$2:E5481)))))-COUNTBLANK(OFFSET(A$1,,,SUMPRODUCT(MAX(ROW(E$1:E5480)*(E2=E$1:E5480))))))</f>
        <v> </v>
      </c>
      <c r="K5481" s="26" t="str">
        <f>IF(OR(E5481="",E5481="!!!",F5481="NEW"),"",INDEX(J$1:J5480,SUMPRODUCT(MAX(ROW(E$1:E5480)*(E5481=E$1:E5480)))))</f>
        <v> </v>
      </c>
      <c r="L5481" s="27"/>
    </row>
    <row r="5482" spans="1:12">
      <c r="A5482" s="20" t="s">
        <v>2945</v>
      </c>
      <c r="B5482" s="21" t="s">
        <v>1226</v>
      </c>
      <c r="C5482" s="21" t="s">
        <v>1269</v>
      </c>
      <c r="D5482" s="21" t="s">
        <v>1217</v>
      </c>
      <c r="E5482" s="22">
        <f>IF(D5482="?OLD","!!!","")</f>
        <v/>
      </c>
      <c r="F5482" s="23" t="str">
        <f>IF(OR(E5482="",E5482="!!!"),"",IF(NOT(ISNA(VLOOKUP(E5482,E$1:E5481,1,FALSE()))),"OLD",IF(AND(E5482&lt;&gt;"",E5482&lt;&gt;"!!!"),"NEW","")))</f>
        <v> </v>
      </c>
      <c r="G5482" s="24" t="str">
        <f>IF(OR(E5482="",E5482="!!!"),"",IF(OR(J5482=0,AND(J5482=1,K5482=1),AND(J5482=1,I5482="SBJ"),AND(J5482=1,I5482=0)),"?IN_FOCUS",IF(J5482&lt;=2,"?ACTIVATED",IF(J5482&lt;&gt;"","?FAMILIAR",IF(F5482="NEW",IF(ISNA(VLOOKUP(E5482,#REF!,1,FALSE())),"?TYPE_IDENTIFIABLE","?REFERENTIAL"),"_")))))</f>
        <v> </v>
      </c>
      <c r="H5482" s="25" t="str">
        <f>IF(J5482&lt;&gt;1,"",IF(I5482="SBJ","CB","?"))</f>
        <v> </v>
      </c>
      <c r="I5482" s="26" t="str">
        <f>IF(OR(E5482="",E5482="!!!",F5482="NEW"),"",INDEX(B5481:B$2,-1+SUMPRODUCT(MAX(ROW(E5481:E$2)*(E5482=E5481:E$2)))))</f>
        <v> </v>
      </c>
      <c r="J5482" s="26" t="str">
        <f>IF(OR(E5482="",E5482="!!!",F5482="NEW"),"",COUNTBLANK(OFFSET(A$1,,,SUMPRODUCT(MAX(ROW(E$2:E5482)*(E5482=E$2:E5482)))))-COUNTBLANK(OFFSET(A$1,,,SUMPRODUCT(MAX(ROW(E$1:E5481)*(E2=E$1:E5481))))))</f>
        <v> </v>
      </c>
      <c r="K5482" s="26" t="str">
        <f>IF(OR(E5482="",E5482="!!!",F5482="NEW"),"",INDEX(J$1:J5481,SUMPRODUCT(MAX(ROW(E$1:E5481)*(E5482=E$1:E5481)))))</f>
        <v> </v>
      </c>
      <c r="L5482" s="27"/>
    </row>
    <row r="5483" spans="1:12">
      <c r="A5483" s="20" t="s">
        <v>1262</v>
      </c>
      <c r="E5483" s="22">
        <f>IF(D5483="?OLD","!!!","")</f>
        <v/>
      </c>
      <c r="F5483" s="23" t="str">
        <f>IF(OR(E5483="",E5483="!!!"),"",IF(NOT(ISNA(VLOOKUP(E5483,E$1:E5482,1,FALSE()))),"OLD",IF(AND(E5483&lt;&gt;"",E5483&lt;&gt;"!!!"),"NEW","")))</f>
        <v> </v>
      </c>
      <c r="G5483" s="24" t="str">
        <f>IF(OR(E5483="",E5483="!!!"),"",IF(OR(J5483=0,AND(J5483=1,K5483=1),AND(J5483=1,I5483="SBJ"),AND(J5483=1,I5483=0)),"?IN_FOCUS",IF(J5483&lt;=2,"?ACTIVATED",IF(J5483&lt;&gt;"","?FAMILIAR",IF(F5483="NEW",IF(ISNA(VLOOKUP(E5483,#REF!,1,FALSE())),"?TYPE_IDENTIFIABLE","?REFERENTIAL"),"_")))))</f>
        <v> </v>
      </c>
      <c r="H5483" s="25" t="str">
        <f>IF(J5483&lt;&gt;1,"",IF(I5483="SBJ","CB","?"))</f>
        <v> </v>
      </c>
      <c r="I5483" s="26" t="str">
        <f>IF(OR(E5483="",E5483="!!!",F5483="NEW"),"",INDEX(B5482:B$2,-1+SUMPRODUCT(MAX(ROW(E5482:E$2)*(E5483=E5482:E$2)))))</f>
        <v> </v>
      </c>
      <c r="J5483" s="26" t="str">
        <f>IF(OR(E5483="",E5483="!!!",F5483="NEW"),"",COUNTBLANK(OFFSET(A$1,,,SUMPRODUCT(MAX(ROW(E$2:E5483)*(E5483=E$2:E5483)))))-COUNTBLANK(OFFSET(A$1,,,SUMPRODUCT(MAX(ROW(E$1:E5482)*(E2=E$1:E5482))))))</f>
        <v> </v>
      </c>
      <c r="K5483" s="26" t="str">
        <f>IF(OR(E5483="",E5483="!!!",F5483="NEW"),"",INDEX(J$1:J5482,SUMPRODUCT(MAX(ROW(E$1:E5482)*(E5483=E$1:E5482)))))</f>
        <v> </v>
      </c>
      <c r="L5483" s="27"/>
    </row>
    <row r="5484" spans="1:12">
      <c r="A5484" s="20"/>
    </row>
    <row r="5485" spans="1:12">
      <c r="A5485" s="20" t="s">
        <v>2946</v>
      </c>
    </row>
    <row r="5486" spans="1:12">
      <c r="A5486" s="20" t="s">
        <v>1952</v>
      </c>
      <c r="E5486" s="22">
        <f>IF(D5486="?OLD","!!!","")</f>
        <v/>
      </c>
      <c r="F5486" s="23" t="str">
        <f>IF(OR(E5486="",E5486="!!!"),"",IF(NOT(ISNA(VLOOKUP(E5486,E$1:E5485,1,FALSE()))),"OLD",IF(AND(E5486&lt;&gt;"",E5486&lt;&gt;"!!!"),"NEW","")))</f>
        <v> </v>
      </c>
      <c r="G5486" s="24" t="str">
        <f>IF(OR(E5486="",E5486="!!!"),"",IF(OR(J5486=0,AND(J5486=1,K5486=1),AND(J5486=1,I5486="SBJ"),AND(J5486=1,I5486=0)),"?IN_FOCUS",IF(J5486&lt;=2,"?ACTIVATED",IF(J5486&lt;&gt;"","?FAMILIAR",IF(F5486="NEW",IF(ISNA(VLOOKUP(E5486,#REF!,1,FALSE())),"?TYPE_IDENTIFIABLE","?REFERENTIAL"),"_")))))</f>
        <v> </v>
      </c>
      <c r="H5486" s="25" t="str">
        <f>IF(J5486&lt;&gt;1,"",IF(I5486="SBJ","CB","?"))</f>
        <v> </v>
      </c>
      <c r="I5486" s="26" t="str">
        <f>IF(OR(E5486="",E5486="!!!",F5486="NEW"),"",INDEX(B5485:B$2,-1+SUMPRODUCT(MAX(ROW(E5485:E$2)*(E5486=E5485:E$2)))))</f>
        <v> </v>
      </c>
      <c r="J5486" s="26" t="str">
        <f>IF(OR(E5486="",E5486="!!!",F5486="NEW"),"",COUNTBLANK(OFFSET(A$1,,,SUMPRODUCT(MAX(ROW(E$2:E5486)*(E5486=E$2:E5486)))))-COUNTBLANK(OFFSET(A$1,,,SUMPRODUCT(MAX(ROW(E$1:E5485)*(E2=E$1:E5485))))))</f>
        <v> </v>
      </c>
      <c r="K5486" s="26" t="str">
        <f>IF(OR(E5486="",E5486="!!!",F5486="NEW"),"",INDEX(J$1:J5485,SUMPRODUCT(MAX(ROW(E$1:E5485)*(E5486=E$1:E5485)))))</f>
        <v> </v>
      </c>
      <c r="L5486" s="27"/>
    </row>
    <row r="5487" spans="1:12">
      <c r="A5487" s="20" t="s">
        <v>1228</v>
      </c>
      <c r="E5487" s="22">
        <f>IF(D5487="?OLD","!!!","")</f>
        <v/>
      </c>
      <c r="F5487" s="23" t="str">
        <f>IF(OR(E5487="",E5487="!!!"),"",IF(NOT(ISNA(VLOOKUP(E5487,E$1:E5486,1,FALSE()))),"OLD",IF(AND(E5487&lt;&gt;"",E5487&lt;&gt;"!!!"),"NEW","")))</f>
        <v> </v>
      </c>
      <c r="G5487" s="24" t="str">
        <f>IF(OR(E5487="",E5487="!!!"),"",IF(OR(J5487=0,AND(J5487=1,K5487=1),AND(J5487=1,I5487="SBJ"),AND(J5487=1,I5487=0)),"?IN_FOCUS",IF(J5487&lt;=2,"?ACTIVATED",IF(J5487&lt;&gt;"","?FAMILIAR",IF(F5487="NEW",IF(ISNA(VLOOKUP(E5487,#REF!,1,FALSE())),"?TYPE_IDENTIFIABLE","?REFERENTIAL"),"_")))))</f>
        <v> </v>
      </c>
      <c r="H5487" s="25" t="str">
        <f>IF(J5487&lt;&gt;1,"",IF(I5487="SBJ","CB","?"))</f>
        <v> </v>
      </c>
      <c r="I5487" s="26" t="str">
        <f>IF(OR(E5487="",E5487="!!!",F5487="NEW"),"",INDEX(B5486:B$2,-1+SUMPRODUCT(MAX(ROW(E5486:E$2)*(E5487=E5486:E$2)))))</f>
        <v> </v>
      </c>
      <c r="J5487" s="26" t="str">
        <f>IF(OR(E5487="",E5487="!!!",F5487="NEW"),"",COUNTBLANK(OFFSET(A$1,,,SUMPRODUCT(MAX(ROW(E$2:E5487)*(E5487=E$2:E5487)))))-COUNTBLANK(OFFSET(A$1,,,SUMPRODUCT(MAX(ROW(E$1:E5486)*(E2=E$1:E5486))))))</f>
        <v> </v>
      </c>
      <c r="K5487" s="26" t="str">
        <f>IF(OR(E5487="",E5487="!!!",F5487="NEW"),"",INDEX(J$1:J5486,SUMPRODUCT(MAX(ROW(E$1:E5486)*(E5487=E$1:E5486)))))</f>
        <v> </v>
      </c>
      <c r="L5487" s="27"/>
    </row>
    <row r="5488" spans="1:12">
      <c r="A5488" s="20" t="s">
        <v>1471</v>
      </c>
      <c r="B5488" s="21" t="s">
        <v>1244</v>
      </c>
      <c r="C5488" s="21" t="s">
        <v>1216</v>
      </c>
      <c r="D5488" s="21" t="s">
        <v>1217</v>
      </c>
      <c r="E5488" s="22">
        <f>IF(D5488="?OLD","!!!","")</f>
        <v/>
      </c>
      <c r="F5488" s="23" t="str">
        <f>IF(OR(E5488="",E5488="!!!"),"",IF(NOT(ISNA(VLOOKUP(E5488,E$1:E5487,1,FALSE()))),"OLD",IF(AND(E5488&lt;&gt;"",E5488&lt;&gt;"!!!"),"NEW","")))</f>
        <v> </v>
      </c>
      <c r="G5488" s="24" t="str">
        <f>IF(OR(E5488="",E5488="!!!"),"",IF(OR(J5488=0,AND(J5488=1,K5488=1),AND(J5488=1,I5488="SBJ"),AND(J5488=1,I5488=0)),"?IN_FOCUS",IF(J5488&lt;=2,"?ACTIVATED",IF(J5488&lt;&gt;"","?FAMILIAR",IF(F5488="NEW",IF(ISNA(VLOOKUP(E5488,#REF!,1,FALSE())),"?TYPE_IDENTIFIABLE","?REFERENTIAL"),"_")))))</f>
        <v> </v>
      </c>
      <c r="H5488" s="25" t="str">
        <f>IF(J5488&lt;&gt;1,"",IF(I5488="SBJ","CB","?"))</f>
        <v> </v>
      </c>
      <c r="I5488" s="26" t="str">
        <f>IF(OR(E5488="",E5488="!!!",F5488="NEW"),"",INDEX(B5487:B$2,-1+SUMPRODUCT(MAX(ROW(E5487:E$2)*(E5488=E5487:E$2)))))</f>
        <v> </v>
      </c>
      <c r="J5488" s="26" t="str">
        <f>IF(OR(E5488="",E5488="!!!",F5488="NEW"),"",COUNTBLANK(OFFSET(A$1,,,SUMPRODUCT(MAX(ROW(E$2:E5488)*(E5488=E$2:E5488)))))-COUNTBLANK(OFFSET(A$1,,,SUMPRODUCT(MAX(ROW(E$1:E5487)*(E2=E$1:E5487))))))</f>
        <v> </v>
      </c>
      <c r="K5488" s="26" t="str">
        <f>IF(OR(E5488="",E5488="!!!",F5488="NEW"),"",INDEX(J$1:J5487,SUMPRODUCT(MAX(ROW(E$1:E5487)*(E5488=E$1:E5487)))))</f>
        <v> </v>
      </c>
      <c r="L5488" s="27"/>
    </row>
    <row r="5489" spans="1:12">
      <c r="A5489" s="20" t="s">
        <v>1218</v>
      </c>
      <c r="E5489" s="22">
        <f>IF(D5489="?OLD","!!!","")</f>
        <v/>
      </c>
      <c r="F5489" s="23" t="str">
        <f>IF(OR(E5489="",E5489="!!!"),"",IF(NOT(ISNA(VLOOKUP(E5489,E$1:E5488,1,FALSE()))),"OLD",IF(AND(E5489&lt;&gt;"",E5489&lt;&gt;"!!!"),"NEW","")))</f>
        <v> </v>
      </c>
      <c r="G5489" s="24" t="str">
        <f>IF(OR(E5489="",E5489="!!!"),"",IF(OR(J5489=0,AND(J5489=1,K5489=1),AND(J5489=1,I5489="SBJ"),AND(J5489=1,I5489=0)),"?IN_FOCUS",IF(J5489&lt;=2,"?ACTIVATED",IF(J5489&lt;&gt;"","?FAMILIAR",IF(F5489="NEW",IF(ISNA(VLOOKUP(E5489,#REF!,1,FALSE())),"?TYPE_IDENTIFIABLE","?REFERENTIAL"),"_")))))</f>
        <v> </v>
      </c>
      <c r="H5489" s="25" t="str">
        <f>IF(J5489&lt;&gt;1,"",IF(I5489="SBJ","CB","?"))</f>
        <v> </v>
      </c>
      <c r="I5489" s="26" t="str">
        <f>IF(OR(E5489="",E5489="!!!",F5489="NEW"),"",INDEX(B5488:B$2,-1+SUMPRODUCT(MAX(ROW(E5488:E$2)*(E5489=E5488:E$2)))))</f>
        <v> </v>
      </c>
      <c r="J5489" s="26" t="str">
        <f>IF(OR(E5489="",E5489="!!!",F5489="NEW"),"",COUNTBLANK(OFFSET(A$1,,,SUMPRODUCT(MAX(ROW(E$2:E5489)*(E5489=E$2:E5489)))))-COUNTBLANK(OFFSET(A$1,,,SUMPRODUCT(MAX(ROW(E$1:E5488)*(E2=E$1:E5488))))))</f>
        <v> </v>
      </c>
      <c r="K5489" s="26" t="str">
        <f>IF(OR(E5489="",E5489="!!!",F5489="NEW"),"",INDEX(J$1:J5488,SUMPRODUCT(MAX(ROW(E$1:E5488)*(E5489=E$1:E5488)))))</f>
        <v> </v>
      </c>
      <c r="L5489" s="27"/>
    </row>
    <row r="5490" spans="1:12">
      <c r="A5490" s="20" t="s">
        <v>1586</v>
      </c>
      <c r="E5490" s="22">
        <f>IF(D5490="?OLD","!!!","")</f>
        <v/>
      </c>
      <c r="F5490" s="23" t="str">
        <f>IF(OR(E5490="",E5490="!!!"),"",IF(NOT(ISNA(VLOOKUP(E5490,E$1:E5489,1,FALSE()))),"OLD",IF(AND(E5490&lt;&gt;"",E5490&lt;&gt;"!!!"),"NEW","")))</f>
        <v> </v>
      </c>
      <c r="G5490" s="24" t="str">
        <f>IF(OR(E5490="",E5490="!!!"),"",IF(OR(J5490=0,AND(J5490=1,K5490=1),AND(J5490=1,I5490="SBJ"),AND(J5490=1,I5490=0)),"?IN_FOCUS",IF(J5490&lt;=2,"?ACTIVATED",IF(J5490&lt;&gt;"","?FAMILIAR",IF(F5490="NEW",IF(ISNA(VLOOKUP(E5490,#REF!,1,FALSE())),"?TYPE_IDENTIFIABLE","?REFERENTIAL"),"_")))))</f>
        <v> </v>
      </c>
      <c r="H5490" s="25" t="str">
        <f>IF(J5490&lt;&gt;1,"",IF(I5490="SBJ","CB","?"))</f>
        <v> </v>
      </c>
      <c r="I5490" s="26" t="str">
        <f>IF(OR(E5490="",E5490="!!!",F5490="NEW"),"",INDEX(B5489:B$2,-1+SUMPRODUCT(MAX(ROW(E5489:E$2)*(E5490=E5489:E$2)))))</f>
        <v> </v>
      </c>
      <c r="J5490" s="26" t="str">
        <f>IF(OR(E5490="",E5490="!!!",F5490="NEW"),"",COUNTBLANK(OFFSET(A$1,,,SUMPRODUCT(MAX(ROW(E$2:E5490)*(E5490=E$2:E5490)))))-COUNTBLANK(OFFSET(A$1,,,SUMPRODUCT(MAX(ROW(E$1:E5489)*(E2=E$1:E5489))))))</f>
        <v> </v>
      </c>
      <c r="K5490" s="26" t="str">
        <f>IF(OR(E5490="",E5490="!!!",F5490="NEW"),"",INDEX(J$1:J5489,SUMPRODUCT(MAX(ROW(E$1:E5489)*(E5490=E$1:E5489)))))</f>
        <v> </v>
      </c>
      <c r="L5490" s="27"/>
    </row>
    <row r="5491" spans="1:12">
      <c r="A5491" s="20" t="s">
        <v>2940</v>
      </c>
      <c r="B5491" s="21" t="s">
        <v>1221</v>
      </c>
      <c r="C5491" s="21" t="s">
        <v>1276</v>
      </c>
      <c r="D5491" s="21" t="s">
        <v>1217</v>
      </c>
      <c r="E5491" s="22">
        <f>IF(D5491="?OLD","!!!","")</f>
        <v/>
      </c>
      <c r="F5491" s="23" t="str">
        <f>IF(OR(E5491="",E5491="!!!"),"",IF(NOT(ISNA(VLOOKUP(E5491,E$1:E5490,1,FALSE()))),"OLD",IF(AND(E5491&lt;&gt;"",E5491&lt;&gt;"!!!"),"NEW","")))</f>
        <v> </v>
      </c>
      <c r="G5491" s="24" t="str">
        <f>IF(OR(E5491="",E5491="!!!"),"",IF(OR(J5491=0,AND(J5491=1,K5491=1),AND(J5491=1,I5491="SBJ"),AND(J5491=1,I5491=0)),"?IN_FOCUS",IF(J5491&lt;=2,"?ACTIVATED",IF(J5491&lt;&gt;"","?FAMILIAR",IF(F5491="NEW",IF(ISNA(VLOOKUP(E5491,#REF!,1,FALSE())),"?TYPE_IDENTIFIABLE","?REFERENTIAL"),"_")))))</f>
        <v> </v>
      </c>
      <c r="H5491" s="25" t="str">
        <f>IF(J5491&lt;&gt;1,"",IF(I5491="SBJ","CB","?"))</f>
        <v> </v>
      </c>
      <c r="I5491" s="26" t="str">
        <f>IF(OR(E5491="",E5491="!!!",F5491="NEW"),"",INDEX(B5490:B$2,-1+SUMPRODUCT(MAX(ROW(E5490:E$2)*(E5491=E5490:E$2)))))</f>
        <v> </v>
      </c>
      <c r="J5491" s="26" t="str">
        <f>IF(OR(E5491="",E5491="!!!",F5491="NEW"),"",COUNTBLANK(OFFSET(A$1,,,SUMPRODUCT(MAX(ROW(E$2:E5491)*(E5491=E$2:E5491)))))-COUNTBLANK(OFFSET(A$1,,,SUMPRODUCT(MAX(ROW(E$1:E5490)*(E2=E$1:E5490))))))</f>
        <v> </v>
      </c>
      <c r="K5491" s="26" t="str">
        <f>IF(OR(E5491="",E5491="!!!",F5491="NEW"),"",INDEX(J$1:J5490,SUMPRODUCT(MAX(ROW(E$1:E5490)*(E5491=E$1:E5490)))))</f>
        <v> </v>
      </c>
      <c r="L5491" s="27"/>
    </row>
    <row r="5492" spans="1:12">
      <c r="A5492" s="20" t="s">
        <v>1277</v>
      </c>
      <c r="E5492" s="22">
        <f>IF(D5492="?OLD","!!!","")</f>
        <v/>
      </c>
      <c r="F5492" s="23" t="str">
        <f>IF(OR(E5492="",E5492="!!!"),"",IF(NOT(ISNA(VLOOKUP(E5492,E$1:E5491,1,FALSE()))),"OLD",IF(AND(E5492&lt;&gt;"",E5492&lt;&gt;"!!!"),"NEW","")))</f>
        <v> </v>
      </c>
      <c r="G5492" s="24" t="str">
        <f>IF(OR(E5492="",E5492="!!!"),"",IF(OR(J5492=0,AND(J5492=1,K5492=1),AND(J5492=1,I5492="SBJ"),AND(J5492=1,I5492=0)),"?IN_FOCUS",IF(J5492&lt;=2,"?ACTIVATED",IF(J5492&lt;&gt;"","?FAMILIAR",IF(F5492="NEW",IF(ISNA(VLOOKUP(E5492,#REF!,1,FALSE())),"?TYPE_IDENTIFIABLE","?REFERENTIAL"),"_")))))</f>
        <v> </v>
      </c>
      <c r="H5492" s="25" t="str">
        <f>IF(J5492&lt;&gt;1,"",IF(I5492="SBJ","CB","?"))</f>
        <v> </v>
      </c>
      <c r="I5492" s="26" t="str">
        <f>IF(OR(E5492="",E5492="!!!",F5492="NEW"),"",INDEX(B5491:B$2,-1+SUMPRODUCT(MAX(ROW(E5491:E$2)*(E5492=E5491:E$2)))))</f>
        <v> </v>
      </c>
      <c r="J5492" s="26" t="str">
        <f>IF(OR(E5492="",E5492="!!!",F5492="NEW"),"",COUNTBLANK(OFFSET(A$1,,,SUMPRODUCT(MAX(ROW(E$2:E5492)*(E5492=E$2:E5492)))))-COUNTBLANK(OFFSET(A$1,,,SUMPRODUCT(MAX(ROW(E$1:E5491)*(E2=E$1:E5491))))))</f>
        <v> </v>
      </c>
      <c r="K5492" s="26" t="str">
        <f>IF(OR(E5492="",E5492="!!!",F5492="NEW"),"",INDEX(J$1:J5491,SUMPRODUCT(MAX(ROW(E$1:E5491)*(E5492=E$1:E5491)))))</f>
        <v> </v>
      </c>
      <c r="L5492" s="27"/>
    </row>
    <row r="5493" spans="1:12">
      <c r="A5493" s="20" t="s">
        <v>1471</v>
      </c>
      <c r="E5493" s="22">
        <f>IF(D5493="?OLD","!!!","")</f>
        <v/>
      </c>
      <c r="F5493" s="23" t="str">
        <f>IF(OR(E5493="",E5493="!!!"),"",IF(NOT(ISNA(VLOOKUP(E5493,E$1:E5492,1,FALSE()))),"OLD",IF(AND(E5493&lt;&gt;"",E5493&lt;&gt;"!!!"),"NEW","")))</f>
        <v> </v>
      </c>
      <c r="G5493" s="24" t="str">
        <f>IF(OR(E5493="",E5493="!!!"),"",IF(OR(J5493=0,AND(J5493=1,K5493=1),AND(J5493=1,I5493="SBJ"),AND(J5493=1,I5493=0)),"?IN_FOCUS",IF(J5493&lt;=2,"?ACTIVATED",IF(J5493&lt;&gt;"","?FAMILIAR",IF(F5493="NEW",IF(ISNA(VLOOKUP(E5493,#REF!,1,FALSE())),"?TYPE_IDENTIFIABLE","?REFERENTIAL"),"_")))))</f>
        <v> </v>
      </c>
      <c r="H5493" s="25" t="str">
        <f>IF(J5493&lt;&gt;1,"",IF(I5493="SBJ","CB","?"))</f>
        <v> </v>
      </c>
      <c r="I5493" s="26" t="str">
        <f>IF(OR(E5493="",E5493="!!!",F5493="NEW"),"",INDEX(B5492:B$2,-1+SUMPRODUCT(MAX(ROW(E5492:E$2)*(E5493=E5492:E$2)))))</f>
        <v> </v>
      </c>
      <c r="J5493" s="26" t="str">
        <f>IF(OR(E5493="",E5493="!!!",F5493="NEW"),"",COUNTBLANK(OFFSET(A$1,,,SUMPRODUCT(MAX(ROW(E$2:E5493)*(E5493=E$2:E5493)))))-COUNTBLANK(OFFSET(A$1,,,SUMPRODUCT(MAX(ROW(E$1:E5492)*(E2=E$1:E5492))))))</f>
        <v> </v>
      </c>
      <c r="K5493" s="26" t="str">
        <f>IF(OR(E5493="",E5493="!!!",F5493="NEW"),"",INDEX(J$1:J5492,SUMPRODUCT(MAX(ROW(E$1:E5492)*(E5493=E$1:E5492)))))</f>
        <v> </v>
      </c>
      <c r="L5493" s="27"/>
    </row>
    <row r="5494" spans="1:12">
      <c r="A5494" s="20" t="s">
        <v>2947</v>
      </c>
      <c r="B5494" s="21" t="s">
        <v>1215</v>
      </c>
      <c r="C5494" s="21" t="s">
        <v>1238</v>
      </c>
      <c r="E5494" s="22">
        <f>IF(D5494="?OLD","!!!","")</f>
        <v/>
      </c>
      <c r="F5494" s="23" t="str">
        <f>IF(OR(E5494="",E5494="!!!"),"",IF(NOT(ISNA(VLOOKUP(E5494,E$1:E5493,1,FALSE()))),"OLD",IF(AND(E5494&lt;&gt;"",E5494&lt;&gt;"!!!"),"NEW","")))</f>
        <v> </v>
      </c>
      <c r="G5494" s="24" t="str">
        <f>IF(OR(E5494="",E5494="!!!"),"",IF(OR(J5494=0,AND(J5494=1,K5494=1),AND(J5494=1,I5494="SBJ"),AND(J5494=1,I5494=0)),"?IN_FOCUS",IF(J5494&lt;=2,"?ACTIVATED",IF(J5494&lt;&gt;"","?FAMILIAR",IF(F5494="NEW",IF(ISNA(VLOOKUP(E5494,#REF!,1,FALSE())),"?TYPE_IDENTIFIABLE","?REFERENTIAL"),"_")))))</f>
        <v> </v>
      </c>
      <c r="H5494" s="25" t="str">
        <f>IF(J5494&lt;&gt;1,"",IF(I5494="SBJ","CB","?"))</f>
        <v> </v>
      </c>
      <c r="I5494" s="26" t="str">
        <f>IF(OR(E5494="",E5494="!!!",F5494="NEW"),"",INDEX(B5493:B$2,-1+SUMPRODUCT(MAX(ROW(E5493:E$2)*(E5494=E5493:E$2)))))</f>
        <v> </v>
      </c>
      <c r="J5494" s="26" t="str">
        <f>IF(OR(E5494="",E5494="!!!",F5494="NEW"),"",COUNTBLANK(OFFSET(A$1,,,SUMPRODUCT(MAX(ROW(E$2:E5494)*(E5494=E$2:E5494)))))-COUNTBLANK(OFFSET(A$1,,,SUMPRODUCT(MAX(ROW(E$1:E5493)*(E2=E$1:E5493))))))</f>
        <v> </v>
      </c>
      <c r="K5494" s="26" t="str">
        <f>IF(OR(E5494="",E5494="!!!",F5494="NEW"),"",INDEX(J$1:J5493,SUMPRODUCT(MAX(ROW(E$1:E5493)*(E5494=E$1:E5493)))))</f>
        <v> </v>
      </c>
      <c r="L5494" s="27"/>
    </row>
    <row r="5495" spans="1:12">
      <c r="A5495" s="20" t="s">
        <v>1245</v>
      </c>
      <c r="E5495" s="22">
        <f>IF(D5495="?OLD","!!!","")</f>
        <v/>
      </c>
      <c r="F5495" s="23" t="str">
        <f>IF(OR(E5495="",E5495="!!!"),"",IF(NOT(ISNA(VLOOKUP(E5495,E$1:E5494,1,FALSE()))),"OLD",IF(AND(E5495&lt;&gt;"",E5495&lt;&gt;"!!!"),"NEW","")))</f>
        <v> </v>
      </c>
      <c r="G5495" s="24" t="str">
        <f>IF(OR(E5495="",E5495="!!!"),"",IF(OR(J5495=0,AND(J5495=1,K5495=1),AND(J5495=1,I5495="SBJ"),AND(J5495=1,I5495=0)),"?IN_FOCUS",IF(J5495&lt;=2,"?ACTIVATED",IF(J5495&lt;&gt;"","?FAMILIAR",IF(F5495="NEW",IF(ISNA(VLOOKUP(E5495,#REF!,1,FALSE())),"?TYPE_IDENTIFIABLE","?REFERENTIAL"),"_")))))</f>
        <v> </v>
      </c>
      <c r="H5495" s="25" t="str">
        <f>IF(J5495&lt;&gt;1,"",IF(I5495="SBJ","CB","?"))</f>
        <v> </v>
      </c>
      <c r="I5495" s="26" t="str">
        <f>IF(OR(E5495="",E5495="!!!",F5495="NEW"),"",INDEX(B5494:B$2,-1+SUMPRODUCT(MAX(ROW(E5494:E$2)*(E5495=E5494:E$2)))))</f>
        <v> </v>
      </c>
      <c r="J5495" s="26" t="str">
        <f>IF(OR(E5495="",E5495="!!!",F5495="NEW"),"",COUNTBLANK(OFFSET(A$1,,,SUMPRODUCT(MAX(ROW(E$2:E5495)*(E5495=E$2:E5495)))))-COUNTBLANK(OFFSET(A$1,,,SUMPRODUCT(MAX(ROW(E$1:E5494)*(E2=E$1:E5494))))))</f>
        <v> </v>
      </c>
      <c r="K5495" s="26" t="str">
        <f>IF(OR(E5495="",E5495="!!!",F5495="NEW"),"",INDEX(J$1:J5494,SUMPRODUCT(MAX(ROW(E$1:E5494)*(E5495=E$1:E5494)))))</f>
        <v> </v>
      </c>
      <c r="L5495" s="27"/>
    </row>
    <row r="5496" spans="1:12">
      <c r="A5496" s="20" t="s">
        <v>2399</v>
      </c>
      <c r="E5496" s="22">
        <f>IF(D5496="?OLD","!!!","")</f>
        <v/>
      </c>
      <c r="F5496" s="23" t="str">
        <f>IF(OR(E5496="",E5496="!!!"),"",IF(NOT(ISNA(VLOOKUP(E5496,E$1:E5495,1,FALSE()))),"OLD",IF(AND(E5496&lt;&gt;"",E5496&lt;&gt;"!!!"),"NEW","")))</f>
        <v> </v>
      </c>
      <c r="G5496" s="24" t="str">
        <f>IF(OR(E5496="",E5496="!!!"),"",IF(OR(J5496=0,AND(J5496=1,K5496=1),AND(J5496=1,I5496="SBJ"),AND(J5496=1,I5496=0)),"?IN_FOCUS",IF(J5496&lt;=2,"?ACTIVATED",IF(J5496&lt;&gt;"","?FAMILIAR",IF(F5496="NEW",IF(ISNA(VLOOKUP(E5496,#REF!,1,FALSE())),"?TYPE_IDENTIFIABLE","?REFERENTIAL"),"_")))))</f>
        <v> </v>
      </c>
      <c r="H5496" s="25" t="str">
        <f>IF(J5496&lt;&gt;1,"",IF(I5496="SBJ","CB","?"))</f>
        <v> </v>
      </c>
      <c r="I5496" s="26" t="str">
        <f>IF(OR(E5496="",E5496="!!!",F5496="NEW"),"",INDEX(B5495:B$2,-1+SUMPRODUCT(MAX(ROW(E5495:E$2)*(E5496=E5495:E$2)))))</f>
        <v> </v>
      </c>
      <c r="J5496" s="26" t="str">
        <f>IF(OR(E5496="",E5496="!!!",F5496="NEW"),"",COUNTBLANK(OFFSET(A$1,,,SUMPRODUCT(MAX(ROW(E$2:E5496)*(E5496=E$2:E5496)))))-COUNTBLANK(OFFSET(A$1,,,SUMPRODUCT(MAX(ROW(E$1:E5495)*(E2=E$1:E5495))))))</f>
        <v> </v>
      </c>
      <c r="K5496" s="26" t="str">
        <f>IF(OR(E5496="",E5496="!!!",F5496="NEW"),"",INDEX(J$1:J5495,SUMPRODUCT(MAX(ROW(E$1:E5495)*(E5496=E$1:E5495)))))</f>
        <v> </v>
      </c>
      <c r="L5496" s="27"/>
    </row>
    <row r="5497" spans="1:12">
      <c r="A5497" s="20" t="s">
        <v>1302</v>
      </c>
      <c r="E5497" s="22">
        <f>IF(D5497="?OLD","!!!","")</f>
        <v/>
      </c>
      <c r="F5497" s="23" t="str">
        <f>IF(OR(E5497="",E5497="!!!"),"",IF(NOT(ISNA(VLOOKUP(E5497,E$1:E5496,1,FALSE()))),"OLD",IF(AND(E5497&lt;&gt;"",E5497&lt;&gt;"!!!"),"NEW","")))</f>
        <v> </v>
      </c>
      <c r="G5497" s="24" t="str">
        <f>IF(OR(E5497="",E5497="!!!"),"",IF(OR(J5497=0,AND(J5497=1,K5497=1),AND(J5497=1,I5497="SBJ"),AND(J5497=1,I5497=0)),"?IN_FOCUS",IF(J5497&lt;=2,"?ACTIVATED",IF(J5497&lt;&gt;"","?FAMILIAR",IF(F5497="NEW",IF(ISNA(VLOOKUP(E5497,#REF!,1,FALSE())),"?TYPE_IDENTIFIABLE","?REFERENTIAL"),"_")))))</f>
        <v> </v>
      </c>
      <c r="H5497" s="25" t="str">
        <f>IF(J5497&lt;&gt;1,"",IF(I5497="SBJ","CB","?"))</f>
        <v> </v>
      </c>
      <c r="I5497" s="26" t="str">
        <f>IF(OR(E5497="",E5497="!!!",F5497="NEW"),"",INDEX(B5496:B$2,-1+SUMPRODUCT(MAX(ROW(E5496:E$2)*(E5497=E5496:E$2)))))</f>
        <v> </v>
      </c>
      <c r="J5497" s="26" t="str">
        <f>IF(OR(E5497="",E5497="!!!",F5497="NEW"),"",COUNTBLANK(OFFSET(A$1,,,SUMPRODUCT(MAX(ROW(E$2:E5497)*(E5497=E$2:E5497)))))-COUNTBLANK(OFFSET(A$1,,,SUMPRODUCT(MAX(ROW(E$1:E5496)*(E2=E$1:E5496))))))</f>
        <v> </v>
      </c>
      <c r="K5497" s="26" t="str">
        <f>IF(OR(E5497="",E5497="!!!",F5497="NEW"),"",INDEX(J$1:J5496,SUMPRODUCT(MAX(ROW(E$1:E5496)*(E5497=E$1:E5496)))))</f>
        <v> </v>
      </c>
      <c r="L5497" s="27"/>
    </row>
    <row r="5498" spans="1:12">
      <c r="A5498" s="20" t="s">
        <v>2948</v>
      </c>
      <c r="E5498" s="22">
        <f>IF(D5498="?OLD","!!!","")</f>
        <v/>
      </c>
      <c r="F5498" s="23" t="str">
        <f>IF(OR(E5498="",E5498="!!!"),"",IF(NOT(ISNA(VLOOKUP(E5498,E$1:E5497,1,FALSE()))),"OLD",IF(AND(E5498&lt;&gt;"",E5498&lt;&gt;"!!!"),"NEW","")))</f>
        <v> </v>
      </c>
      <c r="G5498" s="24" t="str">
        <f>IF(OR(E5498="",E5498="!!!"),"",IF(OR(J5498=0,AND(J5498=1,K5498=1),AND(J5498=1,I5498="SBJ"),AND(J5498=1,I5498=0)),"?IN_FOCUS",IF(J5498&lt;=2,"?ACTIVATED",IF(J5498&lt;&gt;"","?FAMILIAR",IF(F5498="NEW",IF(ISNA(VLOOKUP(E5498,#REF!,1,FALSE())),"?TYPE_IDENTIFIABLE","?REFERENTIAL"),"_")))))</f>
        <v> </v>
      </c>
      <c r="H5498" s="25" t="str">
        <f>IF(J5498&lt;&gt;1,"",IF(I5498="SBJ","CB","?"))</f>
        <v> </v>
      </c>
      <c r="I5498" s="26" t="str">
        <f>IF(OR(E5498="",E5498="!!!",F5498="NEW"),"",INDEX(B5497:B$2,-1+SUMPRODUCT(MAX(ROW(E5497:E$2)*(E5498=E5497:E$2)))))</f>
        <v> </v>
      </c>
      <c r="J5498" s="26" t="str">
        <f>IF(OR(E5498="",E5498="!!!",F5498="NEW"),"",COUNTBLANK(OFFSET(A$1,,,SUMPRODUCT(MAX(ROW(E$2:E5498)*(E5498=E$2:E5498)))))-COUNTBLANK(OFFSET(A$1,,,SUMPRODUCT(MAX(ROW(E$1:E5497)*(E2=E$1:E5497))))))</f>
        <v> </v>
      </c>
      <c r="K5498" s="26" t="str">
        <f>IF(OR(E5498="",E5498="!!!",F5498="NEW"),"",INDEX(J$1:J5497,SUMPRODUCT(MAX(ROW(E$1:E5497)*(E5498=E$1:E5497)))))</f>
        <v> </v>
      </c>
      <c r="L5498" s="27"/>
    </row>
    <row r="5499" spans="1:12">
      <c r="A5499" s="20" t="s">
        <v>1471</v>
      </c>
      <c r="E5499" s="22">
        <f>IF(D5499="?OLD","!!!","")</f>
        <v/>
      </c>
      <c r="F5499" s="23" t="str">
        <f>IF(OR(E5499="",E5499="!!!"),"",IF(NOT(ISNA(VLOOKUP(E5499,E$1:E5498,1,FALSE()))),"OLD",IF(AND(E5499&lt;&gt;"",E5499&lt;&gt;"!!!"),"NEW","")))</f>
        <v> </v>
      </c>
      <c r="G5499" s="24" t="str">
        <f>IF(OR(E5499="",E5499="!!!"),"",IF(OR(J5499=0,AND(J5499=1,K5499=1),AND(J5499=1,I5499="SBJ"),AND(J5499=1,I5499=0)),"?IN_FOCUS",IF(J5499&lt;=2,"?ACTIVATED",IF(J5499&lt;&gt;"","?FAMILIAR",IF(F5499="NEW",IF(ISNA(VLOOKUP(E5499,#REF!,1,FALSE())),"?TYPE_IDENTIFIABLE","?REFERENTIAL"),"_")))))</f>
        <v> </v>
      </c>
      <c r="H5499" s="25" t="str">
        <f>IF(J5499&lt;&gt;1,"",IF(I5499="SBJ","CB","?"))</f>
        <v> </v>
      </c>
      <c r="I5499" s="26" t="str">
        <f>IF(OR(E5499="",E5499="!!!",F5499="NEW"),"",INDEX(B5498:B$2,-1+SUMPRODUCT(MAX(ROW(E5498:E$2)*(E5499=E5498:E$2)))))</f>
        <v> </v>
      </c>
      <c r="J5499" s="26" t="str">
        <f>IF(OR(E5499="",E5499="!!!",F5499="NEW"),"",COUNTBLANK(OFFSET(A$1,,,SUMPRODUCT(MAX(ROW(E$2:E5499)*(E5499=E$2:E5499)))))-COUNTBLANK(OFFSET(A$1,,,SUMPRODUCT(MAX(ROW(E$1:E5498)*(E2=E$1:E5498))))))</f>
        <v> </v>
      </c>
      <c r="K5499" s="26" t="str">
        <f>IF(OR(E5499="",E5499="!!!",F5499="NEW"),"",INDEX(J$1:J5498,SUMPRODUCT(MAX(ROW(E$1:E5498)*(E5499=E$1:E5498)))))</f>
        <v> </v>
      </c>
      <c r="L5499" s="27"/>
    </row>
    <row r="5500" spans="1:12">
      <c r="A5500" s="20" t="s">
        <v>2949</v>
      </c>
      <c r="B5500" s="21" t="s">
        <v>1283</v>
      </c>
      <c r="C5500" s="21" t="s">
        <v>1238</v>
      </c>
      <c r="E5500" s="22">
        <f>IF(D5500="?OLD","!!!","")</f>
        <v/>
      </c>
      <c r="F5500" s="23" t="str">
        <f>IF(OR(E5500="",E5500="!!!"),"",IF(NOT(ISNA(VLOOKUP(E5500,E$1:E5499,1,FALSE()))),"OLD",IF(AND(E5500&lt;&gt;"",E5500&lt;&gt;"!!!"),"NEW","")))</f>
        <v> </v>
      </c>
      <c r="G5500" s="24" t="str">
        <f>IF(OR(E5500="",E5500="!!!"),"",IF(OR(J5500=0,AND(J5500=1,K5500=1),AND(J5500=1,I5500="SBJ"),AND(J5500=1,I5500=0)),"?IN_FOCUS",IF(J5500&lt;=2,"?ACTIVATED",IF(J5500&lt;&gt;"","?FAMILIAR",IF(F5500="NEW",IF(ISNA(VLOOKUP(E5500,#REF!,1,FALSE())),"?TYPE_IDENTIFIABLE","?REFERENTIAL"),"_")))))</f>
        <v> </v>
      </c>
      <c r="H5500" s="25" t="str">
        <f>IF(J5500&lt;&gt;1,"",IF(I5500="SBJ","CB","?"))</f>
        <v> </v>
      </c>
      <c r="I5500" s="26" t="str">
        <f>IF(OR(E5500="",E5500="!!!",F5500="NEW"),"",INDEX(B5499:B$2,-1+SUMPRODUCT(MAX(ROW(E5499:E$2)*(E5500=E5499:E$2)))))</f>
        <v> </v>
      </c>
      <c r="J5500" s="26" t="str">
        <f>IF(OR(E5500="",E5500="!!!",F5500="NEW"),"",COUNTBLANK(OFFSET(A$1,,,SUMPRODUCT(MAX(ROW(E$2:E5500)*(E5500=E$2:E5500)))))-COUNTBLANK(OFFSET(A$1,,,SUMPRODUCT(MAX(ROW(E$1:E5499)*(E2=E$1:E5499))))))</f>
        <v> </v>
      </c>
      <c r="K5500" s="26" t="str">
        <f>IF(OR(E5500="",E5500="!!!",F5500="NEW"),"",INDEX(J$1:J5499,SUMPRODUCT(MAX(ROW(E$1:E5499)*(E5500=E$1:E5499)))))</f>
        <v> </v>
      </c>
      <c r="L5500" s="27"/>
    </row>
    <row r="5501" spans="1:12">
      <c r="A5501" s="20" t="s">
        <v>1277</v>
      </c>
      <c r="E5501" s="22">
        <f>IF(D5501="?OLD","!!!","")</f>
        <v/>
      </c>
      <c r="F5501" s="23" t="str">
        <f>IF(OR(E5501="",E5501="!!!"),"",IF(NOT(ISNA(VLOOKUP(E5501,E$1:E5500,1,FALSE()))),"OLD",IF(AND(E5501&lt;&gt;"",E5501&lt;&gt;"!!!"),"NEW","")))</f>
        <v> </v>
      </c>
      <c r="G5501" s="24" t="str">
        <f>IF(OR(E5501="",E5501="!!!"),"",IF(OR(J5501=0,AND(J5501=1,K5501=1),AND(J5501=1,I5501="SBJ"),AND(J5501=1,I5501=0)),"?IN_FOCUS",IF(J5501&lt;=2,"?ACTIVATED",IF(J5501&lt;&gt;"","?FAMILIAR",IF(F5501="NEW",IF(ISNA(VLOOKUP(E5501,#REF!,1,FALSE())),"?TYPE_IDENTIFIABLE","?REFERENTIAL"),"_")))))</f>
        <v> </v>
      </c>
      <c r="H5501" s="25" t="str">
        <f>IF(J5501&lt;&gt;1,"",IF(I5501="SBJ","CB","?"))</f>
        <v> </v>
      </c>
      <c r="I5501" s="26" t="str">
        <f>IF(OR(E5501="",E5501="!!!",F5501="NEW"),"",INDEX(B5500:B$2,-1+SUMPRODUCT(MAX(ROW(E5500:E$2)*(E5501=E5500:E$2)))))</f>
        <v> </v>
      </c>
      <c r="J5501" s="26" t="str">
        <f>IF(OR(E5501="",E5501="!!!",F5501="NEW"),"",COUNTBLANK(OFFSET(A$1,,,SUMPRODUCT(MAX(ROW(E$2:E5501)*(E5501=E$2:E5501)))))-COUNTBLANK(OFFSET(A$1,,,SUMPRODUCT(MAX(ROW(E$1:E5500)*(E2=E$1:E5500))))))</f>
        <v> </v>
      </c>
      <c r="K5501" s="26" t="str">
        <f>IF(OR(E5501="",E5501="!!!",F5501="NEW"),"",INDEX(J$1:J5500,SUMPRODUCT(MAX(ROW(E$1:E5500)*(E5501=E$1:E5500)))))</f>
        <v> </v>
      </c>
      <c r="L5501" s="27"/>
    </row>
    <row r="5502" spans="1:12">
      <c r="A5502" s="20" t="s">
        <v>2244</v>
      </c>
      <c r="E5502" s="22">
        <f>IF(D5502="?OLD","!!!","")</f>
        <v/>
      </c>
      <c r="F5502" s="23" t="str">
        <f>IF(OR(E5502="",E5502="!!!"),"",IF(NOT(ISNA(VLOOKUP(E5502,E$1:E5501,1,FALSE()))),"OLD",IF(AND(E5502&lt;&gt;"",E5502&lt;&gt;"!!!"),"NEW","")))</f>
        <v> </v>
      </c>
      <c r="G5502" s="24" t="str">
        <f>IF(OR(E5502="",E5502="!!!"),"",IF(OR(J5502=0,AND(J5502=1,K5502=1),AND(J5502=1,I5502="SBJ"),AND(J5502=1,I5502=0)),"?IN_FOCUS",IF(J5502&lt;=2,"?ACTIVATED",IF(J5502&lt;&gt;"","?FAMILIAR",IF(F5502="NEW",IF(ISNA(VLOOKUP(E5502,#REF!,1,FALSE())),"?TYPE_IDENTIFIABLE","?REFERENTIAL"),"_")))))</f>
        <v> </v>
      </c>
      <c r="H5502" s="25" t="str">
        <f>IF(J5502&lt;&gt;1,"",IF(I5502="SBJ","CB","?"))</f>
        <v> </v>
      </c>
      <c r="I5502" s="26" t="str">
        <f>IF(OR(E5502="",E5502="!!!",F5502="NEW"),"",INDEX(B5501:B$2,-1+SUMPRODUCT(MAX(ROW(E5501:E$2)*(E5502=E5501:E$2)))))</f>
        <v> </v>
      </c>
      <c r="J5502" s="26" t="str">
        <f>IF(OR(E5502="",E5502="!!!",F5502="NEW"),"",COUNTBLANK(OFFSET(A$1,,,SUMPRODUCT(MAX(ROW(E$2:E5502)*(E5502=E$2:E5502)))))-COUNTBLANK(OFFSET(A$1,,,SUMPRODUCT(MAX(ROW(E$1:E5501)*(E2=E$1:E5501))))))</f>
        <v> </v>
      </c>
      <c r="K5502" s="26" t="str">
        <f>IF(OR(E5502="",E5502="!!!",F5502="NEW"),"",INDEX(J$1:J5501,SUMPRODUCT(MAX(ROW(E$1:E5501)*(E5502=E$1:E5501)))))</f>
        <v> </v>
      </c>
      <c r="L5502" s="27"/>
    </row>
    <row r="5503" spans="1:12">
      <c r="A5503" s="20" t="s">
        <v>1235</v>
      </c>
      <c r="E5503" s="22">
        <f>IF(D5503="?OLD","!!!","")</f>
        <v/>
      </c>
      <c r="F5503" s="23" t="str">
        <f>IF(OR(E5503="",E5503="!!!"),"",IF(NOT(ISNA(VLOOKUP(E5503,E$1:E5502,1,FALSE()))),"OLD",IF(AND(E5503&lt;&gt;"",E5503&lt;&gt;"!!!"),"NEW","")))</f>
        <v> </v>
      </c>
      <c r="G5503" s="24" t="str">
        <f>IF(OR(E5503="",E5503="!!!"),"",IF(OR(J5503=0,AND(J5503=1,K5503=1),AND(J5503=1,I5503="SBJ"),AND(J5503=1,I5503=0)),"?IN_FOCUS",IF(J5503&lt;=2,"?ACTIVATED",IF(J5503&lt;&gt;"","?FAMILIAR",IF(F5503="NEW",IF(ISNA(VLOOKUP(E5503,#REF!,1,FALSE())),"?TYPE_IDENTIFIABLE","?REFERENTIAL"),"_")))))</f>
        <v> </v>
      </c>
      <c r="H5503" s="25" t="str">
        <f>IF(J5503&lt;&gt;1,"",IF(I5503="SBJ","CB","?"))</f>
        <v> </v>
      </c>
      <c r="I5503" s="26" t="str">
        <f>IF(OR(E5503="",E5503="!!!",F5503="NEW"),"",INDEX(B5502:B$2,-1+SUMPRODUCT(MAX(ROW(E5502:E$2)*(E5503=E5502:E$2)))))</f>
        <v> </v>
      </c>
      <c r="J5503" s="26" t="str">
        <f>IF(OR(E5503="",E5503="!!!",F5503="NEW"),"",COUNTBLANK(OFFSET(A$1,,,SUMPRODUCT(MAX(ROW(E$2:E5503)*(E5503=E$2:E5503)))))-COUNTBLANK(OFFSET(A$1,,,SUMPRODUCT(MAX(ROW(E$1:E5502)*(E2=E$1:E5502))))))</f>
        <v> </v>
      </c>
      <c r="K5503" s="26" t="str">
        <f>IF(OR(E5503="",E5503="!!!",F5503="NEW"),"",INDEX(J$1:J5502,SUMPRODUCT(MAX(ROW(E$1:E5502)*(E5503=E$1:E5502)))))</f>
        <v> </v>
      </c>
      <c r="L5503" s="27"/>
    </row>
    <row r="5504" spans="1:12">
      <c r="A5504" s="20" t="s">
        <v>2950</v>
      </c>
      <c r="B5504" s="21" t="s">
        <v>1224</v>
      </c>
      <c r="C5504" s="21" t="s">
        <v>1238</v>
      </c>
      <c r="E5504" s="22">
        <f>IF(D5504="?OLD","!!!","")</f>
        <v/>
      </c>
      <c r="F5504" s="23" t="str">
        <f>IF(OR(E5504="",E5504="!!!"),"",IF(NOT(ISNA(VLOOKUP(E5504,E$1:E5503,1,FALSE()))),"OLD",IF(AND(E5504&lt;&gt;"",E5504&lt;&gt;"!!!"),"NEW","")))</f>
        <v> </v>
      </c>
      <c r="G5504" s="24" t="str">
        <f>IF(OR(E5504="",E5504="!!!"),"",IF(OR(J5504=0,AND(J5504=1,K5504=1),AND(J5504=1,I5504="SBJ"),AND(J5504=1,I5504=0)),"?IN_FOCUS",IF(J5504&lt;=2,"?ACTIVATED",IF(J5504&lt;&gt;"","?FAMILIAR",IF(F5504="NEW",IF(ISNA(VLOOKUP(E5504,#REF!,1,FALSE())),"?TYPE_IDENTIFIABLE","?REFERENTIAL"),"_")))))</f>
        <v> </v>
      </c>
      <c r="H5504" s="25" t="str">
        <f>IF(J5504&lt;&gt;1,"",IF(I5504="SBJ","CB","?"))</f>
        <v> </v>
      </c>
      <c r="I5504" s="26" t="str">
        <f>IF(OR(E5504="",E5504="!!!",F5504="NEW"),"",INDEX(B5503:B$2,-1+SUMPRODUCT(MAX(ROW(E5503:E$2)*(E5504=E5503:E$2)))))</f>
        <v> </v>
      </c>
      <c r="J5504" s="26" t="str">
        <f>IF(OR(E5504="",E5504="!!!",F5504="NEW"),"",COUNTBLANK(OFFSET(A$1,,,SUMPRODUCT(MAX(ROW(E$2:E5504)*(E5504=E$2:E5504)))))-COUNTBLANK(OFFSET(A$1,,,SUMPRODUCT(MAX(ROW(E$1:E5503)*(E2=E$1:E5503))))))</f>
        <v> </v>
      </c>
      <c r="K5504" s="26" t="str">
        <f>IF(OR(E5504="",E5504="!!!",F5504="NEW"),"",INDEX(J$1:J5503,SUMPRODUCT(MAX(ROW(E$1:E5503)*(E5504=E$1:E5503)))))</f>
        <v> </v>
      </c>
      <c r="L5504" s="27"/>
    </row>
    <row r="5505" spans="1:12">
      <c r="A5505" s="20" t="s">
        <v>1526</v>
      </c>
      <c r="E5505" s="22">
        <f>IF(D5505="?OLD","!!!","")</f>
        <v/>
      </c>
      <c r="F5505" s="23" t="str">
        <f>IF(OR(E5505="",E5505="!!!"),"",IF(NOT(ISNA(VLOOKUP(E5505,E$1:E5504,1,FALSE()))),"OLD",IF(AND(E5505&lt;&gt;"",E5505&lt;&gt;"!!!"),"NEW","")))</f>
        <v> </v>
      </c>
      <c r="G5505" s="24" t="str">
        <f>IF(OR(E5505="",E5505="!!!"),"",IF(OR(J5505=0,AND(J5505=1,K5505=1),AND(J5505=1,I5505="SBJ"),AND(J5505=1,I5505=0)),"?IN_FOCUS",IF(J5505&lt;=2,"?ACTIVATED",IF(J5505&lt;&gt;"","?FAMILIAR",IF(F5505="NEW",IF(ISNA(VLOOKUP(E5505,#REF!,1,FALSE())),"?TYPE_IDENTIFIABLE","?REFERENTIAL"),"_")))))</f>
        <v> </v>
      </c>
      <c r="H5505" s="25" t="str">
        <f>IF(J5505&lt;&gt;1,"",IF(I5505="SBJ","CB","?"))</f>
        <v> </v>
      </c>
      <c r="I5505" s="26" t="str">
        <f>IF(OR(E5505="",E5505="!!!",F5505="NEW"),"",INDEX(B5504:B$2,-1+SUMPRODUCT(MAX(ROW(E5504:E$2)*(E5505=E5504:E$2)))))</f>
        <v> </v>
      </c>
      <c r="J5505" s="26" t="str">
        <f>IF(OR(E5505="",E5505="!!!",F5505="NEW"),"",COUNTBLANK(OFFSET(A$1,,,SUMPRODUCT(MAX(ROW(E$2:E5505)*(E5505=E$2:E5505)))))-COUNTBLANK(OFFSET(A$1,,,SUMPRODUCT(MAX(ROW(E$1:E5504)*(E2=E$1:E5504))))))</f>
        <v> </v>
      </c>
      <c r="K5505" s="26" t="str">
        <f>IF(OR(E5505="",E5505="!!!",F5505="NEW"),"",INDEX(J$1:J5504,SUMPRODUCT(MAX(ROW(E$1:E5504)*(E5505=E$1:E5504)))))</f>
        <v> </v>
      </c>
      <c r="L5505" s="27"/>
    </row>
    <row r="5506" spans="1:12">
      <c r="A5506" s="20" t="s">
        <v>2951</v>
      </c>
      <c r="B5506" s="21" t="s">
        <v>1226</v>
      </c>
      <c r="C5506" s="21" t="s">
        <v>1279</v>
      </c>
      <c r="E5506" s="22">
        <f>IF(D5506="?OLD","!!!","")</f>
        <v/>
      </c>
      <c r="F5506" s="23" t="str">
        <f>IF(OR(E5506="",E5506="!!!"),"",IF(NOT(ISNA(VLOOKUP(E5506,E$1:E5505,1,FALSE()))),"OLD",IF(AND(E5506&lt;&gt;"",E5506&lt;&gt;"!!!"),"NEW","")))</f>
        <v> </v>
      </c>
      <c r="G5506" s="24" t="str">
        <f>IF(OR(E5506="",E5506="!!!"),"",IF(OR(J5506=0,AND(J5506=1,K5506=1),AND(J5506=1,I5506="SBJ"),AND(J5506=1,I5506=0)),"?IN_FOCUS",IF(J5506&lt;=2,"?ACTIVATED",IF(J5506&lt;&gt;"","?FAMILIAR",IF(F5506="NEW",IF(ISNA(VLOOKUP(E5506,#REF!,1,FALSE())),"?TYPE_IDENTIFIABLE","?REFERENTIAL"),"_")))))</f>
        <v> </v>
      </c>
      <c r="H5506" s="25" t="str">
        <f>IF(J5506&lt;&gt;1,"",IF(I5506="SBJ","CB","?"))</f>
        <v> </v>
      </c>
      <c r="I5506" s="26" t="str">
        <f>IF(OR(E5506="",E5506="!!!",F5506="NEW"),"",INDEX(B5505:B$2,-1+SUMPRODUCT(MAX(ROW(E5505:E$2)*(E5506=E5505:E$2)))))</f>
        <v> </v>
      </c>
      <c r="J5506" s="26" t="str">
        <f>IF(OR(E5506="",E5506="!!!",F5506="NEW"),"",COUNTBLANK(OFFSET(A$1,,,SUMPRODUCT(MAX(ROW(E$2:E5506)*(E5506=E$2:E5506)))))-COUNTBLANK(OFFSET(A$1,,,SUMPRODUCT(MAX(ROW(E$1:E5505)*(E2=E$1:E5505))))))</f>
        <v> </v>
      </c>
      <c r="K5506" s="26" t="str">
        <f>IF(OR(E5506="",E5506="!!!",F5506="NEW"),"",INDEX(J$1:J5505,SUMPRODUCT(MAX(ROW(E$1:E5505)*(E5506=E$1:E5505)))))</f>
        <v> </v>
      </c>
      <c r="L5506" s="27"/>
    </row>
    <row r="5507" spans="1:12">
      <c r="A5507" s="20" t="s">
        <v>1277</v>
      </c>
      <c r="E5507" s="22">
        <f>IF(D5507="?OLD","!!!","")</f>
        <v/>
      </c>
      <c r="F5507" s="23" t="str">
        <f>IF(OR(E5507="",E5507="!!!"),"",IF(NOT(ISNA(VLOOKUP(E5507,E$1:E5506,1,FALSE()))),"OLD",IF(AND(E5507&lt;&gt;"",E5507&lt;&gt;"!!!"),"NEW","")))</f>
        <v> </v>
      </c>
      <c r="G5507" s="24" t="str">
        <f>IF(OR(E5507="",E5507="!!!"),"",IF(OR(J5507=0,AND(J5507=1,K5507=1),AND(J5507=1,I5507="SBJ"),AND(J5507=1,I5507=0)),"?IN_FOCUS",IF(J5507&lt;=2,"?ACTIVATED",IF(J5507&lt;&gt;"","?FAMILIAR",IF(F5507="NEW",IF(ISNA(VLOOKUP(E5507,#REF!,1,FALSE())),"?TYPE_IDENTIFIABLE","?REFERENTIAL"),"_")))))</f>
        <v> </v>
      </c>
      <c r="H5507" s="25" t="str">
        <f>IF(J5507&lt;&gt;1,"",IF(I5507="SBJ","CB","?"))</f>
        <v> </v>
      </c>
      <c r="I5507" s="26" t="str">
        <f>IF(OR(E5507="",E5507="!!!",F5507="NEW"),"",INDEX(B5506:B$2,-1+SUMPRODUCT(MAX(ROW(E5506:E$2)*(E5507=E5506:E$2)))))</f>
        <v> </v>
      </c>
      <c r="J5507" s="26" t="str">
        <f>IF(OR(E5507="",E5507="!!!",F5507="NEW"),"",COUNTBLANK(OFFSET(A$1,,,SUMPRODUCT(MAX(ROW(E$2:E5507)*(E5507=E$2:E5507)))))-COUNTBLANK(OFFSET(A$1,,,SUMPRODUCT(MAX(ROW(E$1:E5506)*(E2=E$1:E5506))))))</f>
        <v> </v>
      </c>
      <c r="K5507" s="26" t="str">
        <f>IF(OR(E5507="",E5507="!!!",F5507="NEW"),"",INDEX(J$1:J5506,SUMPRODUCT(MAX(ROW(E$1:E5506)*(E5507=E$1:E5506)))))</f>
        <v> </v>
      </c>
      <c r="L5507" s="27"/>
    </row>
    <row r="5508" spans="1:12">
      <c r="A5508" s="20" t="s">
        <v>2798</v>
      </c>
      <c r="E5508" s="22">
        <f>IF(D5508="?OLD","!!!","")</f>
        <v/>
      </c>
      <c r="F5508" s="23" t="str">
        <f>IF(OR(E5508="",E5508="!!!"),"",IF(NOT(ISNA(VLOOKUP(E5508,E$1:E5507,1,FALSE()))),"OLD",IF(AND(E5508&lt;&gt;"",E5508&lt;&gt;"!!!"),"NEW","")))</f>
        <v> </v>
      </c>
      <c r="G5508" s="24" t="str">
        <f>IF(OR(E5508="",E5508="!!!"),"",IF(OR(J5508=0,AND(J5508=1,K5508=1),AND(J5508=1,I5508="SBJ"),AND(J5508=1,I5508=0)),"?IN_FOCUS",IF(J5508&lt;=2,"?ACTIVATED",IF(J5508&lt;&gt;"","?FAMILIAR",IF(F5508="NEW",IF(ISNA(VLOOKUP(E5508,#REF!,1,FALSE())),"?TYPE_IDENTIFIABLE","?REFERENTIAL"),"_")))))</f>
        <v> </v>
      </c>
      <c r="H5508" s="25" t="str">
        <f>IF(J5508&lt;&gt;1,"",IF(I5508="SBJ","CB","?"))</f>
        <v> </v>
      </c>
      <c r="I5508" s="26" t="str">
        <f>IF(OR(E5508="",E5508="!!!",F5508="NEW"),"",INDEX(B5507:B$2,-1+SUMPRODUCT(MAX(ROW(E5507:E$2)*(E5508=E5507:E$2)))))</f>
        <v> </v>
      </c>
      <c r="J5508" s="26" t="str">
        <f>IF(OR(E5508="",E5508="!!!",F5508="NEW"),"",COUNTBLANK(OFFSET(A$1,,,SUMPRODUCT(MAX(ROW(E$2:E5508)*(E5508=E$2:E5508)))))-COUNTBLANK(OFFSET(A$1,,,SUMPRODUCT(MAX(ROW(E$1:E5507)*(E2=E$1:E5507))))))</f>
        <v> </v>
      </c>
      <c r="K5508" s="26" t="str">
        <f>IF(OR(E5508="",E5508="!!!",F5508="NEW"),"",INDEX(J$1:J5507,SUMPRODUCT(MAX(ROW(E$1:E5507)*(E5508=E$1:E5507)))))</f>
        <v> </v>
      </c>
      <c r="L5508" s="27"/>
    </row>
    <row r="5509" spans="1:12">
      <c r="A5509" s="20" t="s">
        <v>1228</v>
      </c>
      <c r="E5509" s="22">
        <f>IF(D5509="?OLD","!!!","")</f>
        <v/>
      </c>
      <c r="F5509" s="23" t="str">
        <f>IF(OR(E5509="",E5509="!!!"),"",IF(NOT(ISNA(VLOOKUP(E5509,E$1:E5508,1,FALSE()))),"OLD",IF(AND(E5509&lt;&gt;"",E5509&lt;&gt;"!!!"),"NEW","")))</f>
        <v> </v>
      </c>
      <c r="G5509" s="24" t="str">
        <f>IF(OR(E5509="",E5509="!!!"),"",IF(OR(J5509=0,AND(J5509=1,K5509=1),AND(J5509=1,I5509="SBJ"),AND(J5509=1,I5509=0)),"?IN_FOCUS",IF(J5509&lt;=2,"?ACTIVATED",IF(J5509&lt;&gt;"","?FAMILIAR",IF(F5509="NEW",IF(ISNA(VLOOKUP(E5509,#REF!,1,FALSE())),"?TYPE_IDENTIFIABLE","?REFERENTIAL"),"_")))))</f>
        <v> </v>
      </c>
      <c r="H5509" s="25" t="str">
        <f>IF(J5509&lt;&gt;1,"",IF(I5509="SBJ","CB","?"))</f>
        <v> </v>
      </c>
      <c r="I5509" s="26" t="str">
        <f>IF(OR(E5509="",E5509="!!!",F5509="NEW"),"",INDEX(B5508:B$2,-1+SUMPRODUCT(MAX(ROW(E5508:E$2)*(E5509=E5508:E$2)))))</f>
        <v> </v>
      </c>
      <c r="J5509" s="26" t="str">
        <f>IF(OR(E5509="",E5509="!!!",F5509="NEW"),"",COUNTBLANK(OFFSET(A$1,,,SUMPRODUCT(MAX(ROW(E$2:E5509)*(E5509=E$2:E5509)))))-COUNTBLANK(OFFSET(A$1,,,SUMPRODUCT(MAX(ROW(E$1:E5508)*(E2=E$1:E5508))))))</f>
        <v> </v>
      </c>
      <c r="K5509" s="26" t="str">
        <f>IF(OR(E5509="",E5509="!!!",F5509="NEW"),"",INDEX(J$1:J5508,SUMPRODUCT(MAX(ROW(E$1:E5508)*(E5509=E$1:E5508)))))</f>
        <v> </v>
      </c>
      <c r="L5509" s="27"/>
    </row>
    <row r="5510" spans="1:12">
      <c r="A5510" s="20" t="s">
        <v>1505</v>
      </c>
      <c r="B5510" s="21" t="s">
        <v>1275</v>
      </c>
      <c r="C5510" s="21" t="s">
        <v>1269</v>
      </c>
      <c r="D5510" s="21" t="s">
        <v>1217</v>
      </c>
      <c r="E5510" s="22">
        <f>IF(D5510="?OLD","!!!","")</f>
        <v/>
      </c>
      <c r="F5510" s="23" t="str">
        <f>IF(OR(E5510="",E5510="!!!"),"",IF(NOT(ISNA(VLOOKUP(E5510,E$1:E5509,1,FALSE()))),"OLD",IF(AND(E5510&lt;&gt;"",E5510&lt;&gt;"!!!"),"NEW","")))</f>
        <v> </v>
      </c>
      <c r="G5510" s="24" t="str">
        <f>IF(OR(E5510="",E5510="!!!"),"",IF(OR(J5510=0,AND(J5510=1,K5510=1),AND(J5510=1,I5510="SBJ"),AND(J5510=1,I5510=0)),"?IN_FOCUS",IF(J5510&lt;=2,"?ACTIVATED",IF(J5510&lt;&gt;"","?FAMILIAR",IF(F5510="NEW",IF(ISNA(VLOOKUP(E5510,#REF!,1,FALSE())),"?TYPE_IDENTIFIABLE","?REFERENTIAL"),"_")))))</f>
        <v> </v>
      </c>
      <c r="H5510" s="25" t="str">
        <f>IF(J5510&lt;&gt;1,"",IF(I5510="SBJ","CB","?"))</f>
        <v> </v>
      </c>
      <c r="I5510" s="26" t="str">
        <f>IF(OR(E5510="",E5510="!!!",F5510="NEW"),"",INDEX(B5509:B$2,-1+SUMPRODUCT(MAX(ROW(E5509:E$2)*(E5510=E5509:E$2)))))</f>
        <v> </v>
      </c>
      <c r="J5510" s="26" t="str">
        <f>IF(OR(E5510="",E5510="!!!",F5510="NEW"),"",COUNTBLANK(OFFSET(A$1,,,SUMPRODUCT(MAX(ROW(E$2:E5510)*(E5510=E$2:E5510)))))-COUNTBLANK(OFFSET(A$1,,,SUMPRODUCT(MAX(ROW(E$1:E5509)*(E2=E$1:E5509))))))</f>
        <v> </v>
      </c>
      <c r="K5510" s="26" t="str">
        <f>IF(OR(E5510="",E5510="!!!",F5510="NEW"),"",INDEX(J$1:J5509,SUMPRODUCT(MAX(ROW(E$1:E5509)*(E5510=E$1:E5509)))))</f>
        <v> </v>
      </c>
      <c r="L5510" s="27"/>
    </row>
    <row r="5511" spans="1:12">
      <c r="A5511" s="20" t="s">
        <v>1636</v>
      </c>
      <c r="E5511" s="22">
        <f>IF(D5511="?OLD","!!!","")</f>
        <v/>
      </c>
      <c r="F5511" s="23" t="str">
        <f>IF(OR(E5511="",E5511="!!!"),"",IF(NOT(ISNA(VLOOKUP(E5511,E$1:E5510,1,FALSE()))),"OLD",IF(AND(E5511&lt;&gt;"",E5511&lt;&gt;"!!!"),"NEW","")))</f>
        <v> </v>
      </c>
      <c r="G5511" s="24" t="str">
        <f>IF(OR(E5511="",E5511="!!!"),"",IF(OR(J5511=0,AND(J5511=1,K5511=1),AND(J5511=1,I5511="SBJ"),AND(J5511=1,I5511=0)),"?IN_FOCUS",IF(J5511&lt;=2,"?ACTIVATED",IF(J5511&lt;&gt;"","?FAMILIAR",IF(F5511="NEW",IF(ISNA(VLOOKUP(E5511,#REF!,1,FALSE())),"?TYPE_IDENTIFIABLE","?REFERENTIAL"),"_")))))</f>
        <v> </v>
      </c>
      <c r="H5511" s="25" t="str">
        <f>IF(J5511&lt;&gt;1,"",IF(I5511="SBJ","CB","?"))</f>
        <v> </v>
      </c>
      <c r="I5511" s="26" t="str">
        <f>IF(OR(E5511="",E5511="!!!",F5511="NEW"),"",INDEX(B5510:B$2,-1+SUMPRODUCT(MAX(ROW(E5510:E$2)*(E5511=E5510:E$2)))))</f>
        <v> </v>
      </c>
      <c r="J5511" s="26" t="str">
        <f>IF(OR(E5511="",E5511="!!!",F5511="NEW"),"",COUNTBLANK(OFFSET(A$1,,,SUMPRODUCT(MAX(ROW(E$2:E5511)*(E5511=E$2:E5511)))))-COUNTBLANK(OFFSET(A$1,,,SUMPRODUCT(MAX(ROW(E$1:E5510)*(E2=E$1:E5510))))))</f>
        <v> </v>
      </c>
      <c r="K5511" s="26" t="str">
        <f>IF(OR(E5511="",E5511="!!!",F5511="NEW"),"",INDEX(J$1:J5510,SUMPRODUCT(MAX(ROW(E$1:E5510)*(E5511=E$1:E5510)))))</f>
        <v> </v>
      </c>
      <c r="L5511" s="27"/>
    </row>
    <row r="5512" spans="1:12">
      <c r="A5512" s="20" t="s">
        <v>1547</v>
      </c>
      <c r="B5512" s="21" t="s">
        <v>1283</v>
      </c>
      <c r="C5512" s="21" t="s">
        <v>1225</v>
      </c>
      <c r="D5512" s="21" t="s">
        <v>1217</v>
      </c>
      <c r="E5512" s="22">
        <f>IF(D5512="?OLD","!!!","")</f>
        <v/>
      </c>
      <c r="F5512" s="23" t="str">
        <f>IF(OR(E5512="",E5512="!!!"),"",IF(NOT(ISNA(VLOOKUP(E5512,E$1:E5511,1,FALSE()))),"OLD",IF(AND(E5512&lt;&gt;"",E5512&lt;&gt;"!!!"),"NEW","")))</f>
        <v> </v>
      </c>
      <c r="G5512" s="24" t="str">
        <f>IF(OR(E5512="",E5512="!!!"),"",IF(OR(J5512=0,AND(J5512=1,K5512=1),AND(J5512=1,I5512="SBJ"),AND(J5512=1,I5512=0)),"?IN_FOCUS",IF(J5512&lt;=2,"?ACTIVATED",IF(J5512&lt;&gt;"","?FAMILIAR",IF(F5512="NEW",IF(ISNA(VLOOKUP(E5512,#REF!,1,FALSE())),"?TYPE_IDENTIFIABLE","?REFERENTIAL"),"_")))))</f>
        <v> </v>
      </c>
      <c r="H5512" s="25" t="str">
        <f>IF(J5512&lt;&gt;1,"",IF(I5512="SBJ","CB","?"))</f>
        <v> </v>
      </c>
      <c r="I5512" s="26" t="str">
        <f>IF(OR(E5512="",E5512="!!!",F5512="NEW"),"",INDEX(B5511:B$2,-1+SUMPRODUCT(MAX(ROW(E5511:E$2)*(E5512=E5511:E$2)))))</f>
        <v> </v>
      </c>
      <c r="J5512" s="26" t="str">
        <f>IF(OR(E5512="",E5512="!!!",F5512="NEW"),"",COUNTBLANK(OFFSET(A$1,,,SUMPRODUCT(MAX(ROW(E$2:E5512)*(E5512=E$2:E5512)))))-COUNTBLANK(OFFSET(A$1,,,SUMPRODUCT(MAX(ROW(E$1:E5511)*(E2=E$1:E5511))))))</f>
        <v> </v>
      </c>
      <c r="K5512" s="26" t="str">
        <f>IF(OR(E5512="",E5512="!!!",F5512="NEW"),"",INDEX(J$1:J5511,SUMPRODUCT(MAX(ROW(E$1:E5511)*(E5512=E$1:E5511)))))</f>
        <v> </v>
      </c>
      <c r="L5512" s="27"/>
    </row>
    <row r="5513" spans="1:12">
      <c r="A5513" s="20" t="s">
        <v>2952</v>
      </c>
      <c r="E5513" s="22">
        <f>IF(D5513="?OLD","!!!","")</f>
        <v/>
      </c>
      <c r="F5513" s="23" t="str">
        <f>IF(OR(E5513="",E5513="!!!"),"",IF(NOT(ISNA(VLOOKUP(E5513,E$1:E5512,1,FALSE()))),"OLD",IF(AND(E5513&lt;&gt;"",E5513&lt;&gt;"!!!"),"NEW","")))</f>
        <v> </v>
      </c>
      <c r="G5513" s="24" t="str">
        <f>IF(OR(E5513="",E5513="!!!"),"",IF(OR(J5513=0,AND(J5513=1,K5513=1),AND(J5513=1,I5513="SBJ"),AND(J5513=1,I5513=0)),"?IN_FOCUS",IF(J5513&lt;=2,"?ACTIVATED",IF(J5513&lt;&gt;"","?FAMILIAR",IF(F5513="NEW",IF(ISNA(VLOOKUP(E5513,#REF!,1,FALSE())),"?TYPE_IDENTIFIABLE","?REFERENTIAL"),"_")))))</f>
        <v> </v>
      </c>
      <c r="H5513" s="25" t="str">
        <f>IF(J5513&lt;&gt;1,"",IF(I5513="SBJ","CB","?"))</f>
        <v> </v>
      </c>
      <c r="I5513" s="26" t="str">
        <f>IF(OR(E5513="",E5513="!!!",F5513="NEW"),"",INDEX(B5512:B$2,-1+SUMPRODUCT(MAX(ROW(E5512:E$2)*(E5513=E5512:E$2)))))</f>
        <v> </v>
      </c>
      <c r="J5513" s="26" t="str">
        <f>IF(OR(E5513="",E5513="!!!",F5513="NEW"),"",COUNTBLANK(OFFSET(A$1,,,SUMPRODUCT(MAX(ROW(E$2:E5513)*(E5513=E$2:E5513)))))-COUNTBLANK(OFFSET(A$1,,,SUMPRODUCT(MAX(ROW(E$1:E5512)*(E2=E$1:E5512))))))</f>
        <v> </v>
      </c>
      <c r="K5513" s="26" t="str">
        <f>IF(OR(E5513="",E5513="!!!",F5513="NEW"),"",INDEX(J$1:J5512,SUMPRODUCT(MAX(ROW(E$1:E5512)*(E5513=E$1:E5512)))))</f>
        <v> </v>
      </c>
      <c r="L5513" s="27"/>
    </row>
    <row r="5514" spans="1:12">
      <c r="A5514" s="20" t="s">
        <v>1280</v>
      </c>
      <c r="B5514" s="21" t="s">
        <v>1226</v>
      </c>
      <c r="C5514" s="21" t="s">
        <v>1242</v>
      </c>
      <c r="D5514" s="21" t="s">
        <v>1217</v>
      </c>
      <c r="E5514" s="22">
        <f>IF(D5514="?OLD","!!!","")</f>
        <v/>
      </c>
      <c r="F5514" s="23" t="str">
        <f>IF(OR(E5514="",E5514="!!!"),"",IF(NOT(ISNA(VLOOKUP(E5514,E$1:E5513,1,FALSE()))),"OLD",IF(AND(E5514&lt;&gt;"",E5514&lt;&gt;"!!!"),"NEW","")))</f>
        <v> </v>
      </c>
      <c r="G5514" s="24" t="str">
        <f>IF(OR(E5514="",E5514="!!!"),"",IF(OR(J5514=0,AND(J5514=1,K5514=1),AND(J5514=1,I5514="SBJ"),AND(J5514=1,I5514=0)),"?IN_FOCUS",IF(J5514&lt;=2,"?ACTIVATED",IF(J5514&lt;&gt;"","?FAMILIAR",IF(F5514="NEW",IF(ISNA(VLOOKUP(E5514,#REF!,1,FALSE())),"?TYPE_IDENTIFIABLE","?REFERENTIAL"),"_")))))</f>
        <v> </v>
      </c>
      <c r="H5514" s="25" t="str">
        <f>IF(J5514&lt;&gt;1,"",IF(I5514="SBJ","CB","?"))</f>
        <v> </v>
      </c>
      <c r="I5514" s="26" t="str">
        <f>IF(OR(E5514="",E5514="!!!",F5514="NEW"),"",INDEX(B5513:B$2,-1+SUMPRODUCT(MAX(ROW(E5513:E$2)*(E5514=E5513:E$2)))))</f>
        <v> </v>
      </c>
      <c r="J5514" s="26" t="str">
        <f>IF(OR(E5514="",E5514="!!!",F5514="NEW"),"",COUNTBLANK(OFFSET(A$1,,,SUMPRODUCT(MAX(ROW(E$2:E5514)*(E5514=E$2:E5514)))))-COUNTBLANK(OFFSET(A$1,,,SUMPRODUCT(MAX(ROW(E$1:E5513)*(E2=E$1:E5513))))))</f>
        <v> </v>
      </c>
      <c r="K5514" s="26" t="str">
        <f>IF(OR(E5514="",E5514="!!!",F5514="NEW"),"",INDEX(J$1:J5513,SUMPRODUCT(MAX(ROW(E$1:E5513)*(E5514=E$1:E5513)))))</f>
        <v> </v>
      </c>
      <c r="L5514" s="27"/>
    </row>
    <row r="5515" spans="1:12">
      <c r="A5515" s="20" t="s">
        <v>885</v>
      </c>
      <c r="B5515" s="21" t="s">
        <v>1237</v>
      </c>
      <c r="C5515" s="21" t="s">
        <v>1222</v>
      </c>
      <c r="D5515" s="21" t="s">
        <v>1217</v>
      </c>
      <c r="E5515" s="22">
        <f>IF(D5515="?OLD","!!!","")</f>
        <v/>
      </c>
      <c r="F5515" s="23" t="str">
        <f>IF(OR(E5515="",E5515="!!!"),"",IF(NOT(ISNA(VLOOKUP(E5515,E$1:E5514,1,FALSE()))),"OLD",IF(AND(E5515&lt;&gt;"",E5515&lt;&gt;"!!!"),"NEW","")))</f>
        <v> </v>
      </c>
      <c r="G5515" s="24" t="str">
        <f>IF(OR(E5515="",E5515="!!!"),"",IF(OR(J5515=0,AND(J5515=1,K5515=1),AND(J5515=1,I5515="SBJ"),AND(J5515=1,I5515=0)),"?IN_FOCUS",IF(J5515&lt;=2,"?ACTIVATED",IF(J5515&lt;&gt;"","?FAMILIAR",IF(F5515="NEW",IF(ISNA(VLOOKUP(E5515,#REF!,1,FALSE())),"?TYPE_IDENTIFIABLE","?REFERENTIAL"),"_")))))</f>
        <v> </v>
      </c>
      <c r="H5515" s="25" t="str">
        <f>IF(J5515&lt;&gt;1,"",IF(I5515="SBJ","CB","?"))</f>
        <v> </v>
      </c>
      <c r="I5515" s="26" t="str">
        <f>IF(OR(E5515="",E5515="!!!",F5515="NEW"),"",INDEX(B5514:B$2,-1+SUMPRODUCT(MAX(ROW(E5514:E$2)*(E5515=E5514:E$2)))))</f>
        <v> </v>
      </c>
      <c r="J5515" s="26" t="str">
        <f>IF(OR(E5515="",E5515="!!!",F5515="NEW"),"",COUNTBLANK(OFFSET(A$1,,,SUMPRODUCT(MAX(ROW(E$2:E5515)*(E5515=E$2:E5515)))))-COUNTBLANK(OFFSET(A$1,,,SUMPRODUCT(MAX(ROW(E$1:E5514)*(E2=E$1:E5514))))))</f>
        <v> </v>
      </c>
      <c r="K5515" s="26" t="str">
        <f>IF(OR(E5515="",E5515="!!!",F5515="NEW"),"",INDEX(J$1:J5514,SUMPRODUCT(MAX(ROW(E$1:E5514)*(E5515=E$1:E5514)))))</f>
        <v> </v>
      </c>
      <c r="L5515" s="27"/>
    </row>
    <row r="5516" spans="1:12">
      <c r="A5516" s="20" t="s">
        <v>1262</v>
      </c>
      <c r="E5516" s="22">
        <f>IF(D5516="?OLD","!!!","")</f>
        <v/>
      </c>
      <c r="F5516" s="23" t="str">
        <f>IF(OR(E5516="",E5516="!!!"),"",IF(NOT(ISNA(VLOOKUP(E5516,E$1:E5515,1,FALSE()))),"OLD",IF(AND(E5516&lt;&gt;"",E5516&lt;&gt;"!!!"),"NEW","")))</f>
        <v> </v>
      </c>
      <c r="G5516" s="24" t="str">
        <f>IF(OR(E5516="",E5516="!!!"),"",IF(OR(J5516=0,AND(J5516=1,K5516=1),AND(J5516=1,I5516="SBJ"),AND(J5516=1,I5516=0)),"?IN_FOCUS",IF(J5516&lt;=2,"?ACTIVATED",IF(J5516&lt;&gt;"","?FAMILIAR",IF(F5516="NEW",IF(ISNA(VLOOKUP(E5516,#REF!,1,FALSE())),"?TYPE_IDENTIFIABLE","?REFERENTIAL"),"_")))))</f>
        <v> </v>
      </c>
      <c r="H5516" s="25" t="str">
        <f>IF(J5516&lt;&gt;1,"",IF(I5516="SBJ","CB","?"))</f>
        <v> </v>
      </c>
      <c r="I5516" s="26" t="str">
        <f>IF(OR(E5516="",E5516="!!!",F5516="NEW"),"",INDEX(B5515:B$2,-1+SUMPRODUCT(MAX(ROW(E5515:E$2)*(E5516=E5515:E$2)))))</f>
        <v> </v>
      </c>
      <c r="J5516" s="26" t="str">
        <f>IF(OR(E5516="",E5516="!!!",F5516="NEW"),"",COUNTBLANK(OFFSET(A$1,,,SUMPRODUCT(MAX(ROW(E$2:E5516)*(E5516=E$2:E5516)))))-COUNTBLANK(OFFSET(A$1,,,SUMPRODUCT(MAX(ROW(E$1:E5515)*(E2=E$1:E5515))))))</f>
        <v> </v>
      </c>
      <c r="K5516" s="26" t="str">
        <f>IF(OR(E5516="",E5516="!!!",F5516="NEW"),"",INDEX(J$1:J5515,SUMPRODUCT(MAX(ROW(E$1:E5515)*(E5516=E$1:E5515)))))</f>
        <v> </v>
      </c>
      <c r="L5516" s="27"/>
    </row>
    <row r="5517" spans="1:12">
      <c r="A5517" s="20"/>
    </row>
    <row r="5518" spans="1:12">
      <c r="A5518" s="20" t="s">
        <v>2953</v>
      </c>
    </row>
    <row r="5519" spans="1:12">
      <c r="A5519" s="20" t="s">
        <v>1214</v>
      </c>
      <c r="E5519" s="22">
        <f>IF(D5519="?OLD","!!!","")</f>
        <v/>
      </c>
      <c r="F5519" s="23" t="str">
        <f>IF(OR(E5519="",E5519="!!!"),"",IF(NOT(ISNA(VLOOKUP(E5519,E$1:E5518,1,FALSE()))),"OLD",IF(AND(E5519&lt;&gt;"",E5519&lt;&gt;"!!!"),"NEW","")))</f>
        <v> </v>
      </c>
      <c r="G5519" s="24" t="str">
        <f>IF(OR(E5519="",E5519="!!!"),"",IF(OR(J5519=0,AND(J5519=1,K5519=1),AND(J5519=1,I5519="SBJ"),AND(J5519=1,I5519=0)),"?IN_FOCUS",IF(J5519&lt;=2,"?ACTIVATED",IF(J5519&lt;&gt;"","?FAMILIAR",IF(F5519="NEW",IF(ISNA(VLOOKUP(E5519,#REF!,1,FALSE())),"?TYPE_IDENTIFIABLE","?REFERENTIAL"),"_")))))</f>
        <v> </v>
      </c>
      <c r="H5519" s="25" t="str">
        <f>IF(J5519&lt;&gt;1,"",IF(I5519="SBJ","CB","?"))</f>
        <v> </v>
      </c>
      <c r="I5519" s="26" t="str">
        <f>IF(OR(E5519="",E5519="!!!",F5519="NEW"),"",INDEX(B5518:B$2,-1+SUMPRODUCT(MAX(ROW(E5518:E$2)*(E5519=E5518:E$2)))))</f>
        <v> </v>
      </c>
      <c r="J5519" s="26" t="str">
        <f>IF(OR(E5519="",E5519="!!!",F5519="NEW"),"",COUNTBLANK(OFFSET(A$1,,,SUMPRODUCT(MAX(ROW(E$2:E5519)*(E5519=E$2:E5519)))))-COUNTBLANK(OFFSET(A$1,,,SUMPRODUCT(MAX(ROW(E$1:E5518)*(E2=E$1:E5518))))))</f>
        <v> </v>
      </c>
      <c r="K5519" s="26" t="str">
        <f>IF(OR(E5519="",E5519="!!!",F5519="NEW"),"",INDEX(J$1:J5518,SUMPRODUCT(MAX(ROW(E$1:E5518)*(E5519=E$1:E5518)))))</f>
        <v> </v>
      </c>
      <c r="L5519" s="27"/>
    </row>
    <row r="5520" spans="1:12">
      <c r="A5520" s="20" t="s">
        <v>2954</v>
      </c>
      <c r="B5520" s="21" t="s">
        <v>1215</v>
      </c>
      <c r="C5520" s="21" t="s">
        <v>1238</v>
      </c>
      <c r="E5520" s="22">
        <f>IF(D5520="?OLD","!!!","")</f>
        <v/>
      </c>
      <c r="F5520" s="23" t="str">
        <f>IF(OR(E5520="",E5520="!!!"),"",IF(NOT(ISNA(VLOOKUP(E5520,E$1:E5519,1,FALSE()))),"OLD",IF(AND(E5520&lt;&gt;"",E5520&lt;&gt;"!!!"),"NEW","")))</f>
        <v> </v>
      </c>
      <c r="G5520" s="24" t="str">
        <f>IF(OR(E5520="",E5520="!!!"),"",IF(OR(J5520=0,AND(J5520=1,K5520=1),AND(J5520=1,I5520="SBJ"),AND(J5520=1,I5520=0)),"?IN_FOCUS",IF(J5520&lt;=2,"?ACTIVATED",IF(J5520&lt;&gt;"","?FAMILIAR",IF(F5520="NEW",IF(ISNA(VLOOKUP(E5520,#REF!,1,FALSE())),"?TYPE_IDENTIFIABLE","?REFERENTIAL"),"_")))))</f>
        <v> </v>
      </c>
      <c r="H5520" s="25" t="str">
        <f>IF(J5520&lt;&gt;1,"",IF(I5520="SBJ","CB","?"))</f>
        <v> </v>
      </c>
      <c r="I5520" s="26" t="str">
        <f>IF(OR(E5520="",E5520="!!!",F5520="NEW"),"",INDEX(B5519:B$2,-1+SUMPRODUCT(MAX(ROW(E5519:E$2)*(E5520=E5519:E$2)))))</f>
        <v> </v>
      </c>
      <c r="J5520" s="26" t="str">
        <f>IF(OR(E5520="",E5520="!!!",F5520="NEW"),"",COUNTBLANK(OFFSET(A$1,,,SUMPRODUCT(MAX(ROW(E$2:E5520)*(E5520=E$2:E5520)))))-COUNTBLANK(OFFSET(A$1,,,SUMPRODUCT(MAX(ROW(E$1:E5519)*(E2=E$1:E5519))))))</f>
        <v> </v>
      </c>
      <c r="K5520" s="26" t="str">
        <f>IF(OR(E5520="",E5520="!!!",F5520="NEW"),"",INDEX(J$1:J5519,SUMPRODUCT(MAX(ROW(E$1:E5519)*(E5520=E$1:E5519)))))</f>
        <v> </v>
      </c>
      <c r="L5520" s="27"/>
    </row>
    <row r="5521" spans="1:12">
      <c r="A5521" s="20" t="s">
        <v>1245</v>
      </c>
      <c r="E5521" s="22">
        <f>IF(D5521="?OLD","!!!","")</f>
        <v/>
      </c>
      <c r="F5521" s="23" t="str">
        <f>IF(OR(E5521="",E5521="!!!"),"",IF(NOT(ISNA(VLOOKUP(E5521,E$1:E5520,1,FALSE()))),"OLD",IF(AND(E5521&lt;&gt;"",E5521&lt;&gt;"!!!"),"NEW","")))</f>
        <v> </v>
      </c>
      <c r="G5521" s="24" t="str">
        <f>IF(OR(E5521="",E5521="!!!"),"",IF(OR(J5521=0,AND(J5521=1,K5521=1),AND(J5521=1,I5521="SBJ"),AND(J5521=1,I5521=0)),"?IN_FOCUS",IF(J5521&lt;=2,"?ACTIVATED",IF(J5521&lt;&gt;"","?FAMILIAR",IF(F5521="NEW",IF(ISNA(VLOOKUP(E5521,#REF!,1,FALSE())),"?TYPE_IDENTIFIABLE","?REFERENTIAL"),"_")))))</f>
        <v> </v>
      </c>
      <c r="H5521" s="25" t="str">
        <f>IF(J5521&lt;&gt;1,"",IF(I5521="SBJ","CB","?"))</f>
        <v> </v>
      </c>
      <c r="I5521" s="26" t="str">
        <f>IF(OR(E5521="",E5521="!!!",F5521="NEW"),"",INDEX(B5520:B$2,-1+SUMPRODUCT(MAX(ROW(E5520:E$2)*(E5521=E5520:E$2)))))</f>
        <v> </v>
      </c>
      <c r="J5521" s="26" t="str">
        <f>IF(OR(E5521="",E5521="!!!",F5521="NEW"),"",COUNTBLANK(OFFSET(A$1,,,SUMPRODUCT(MAX(ROW(E$2:E5521)*(E5521=E$2:E5521)))))-COUNTBLANK(OFFSET(A$1,,,SUMPRODUCT(MAX(ROW(E$1:E5520)*(E2=E$1:E5520))))))</f>
        <v> </v>
      </c>
      <c r="K5521" s="26" t="str">
        <f>IF(OR(E5521="",E5521="!!!",F5521="NEW"),"",INDEX(J$1:J5520,SUMPRODUCT(MAX(ROW(E$1:E5520)*(E5521=E$1:E5520)))))</f>
        <v> </v>
      </c>
      <c r="L5521" s="27"/>
    </row>
    <row r="5522" spans="1:12">
      <c r="A5522" s="20" t="s">
        <v>1705</v>
      </c>
      <c r="E5522" s="22">
        <f>IF(D5522="?OLD","!!!","")</f>
        <v/>
      </c>
      <c r="F5522" s="23" t="str">
        <f>IF(OR(E5522="",E5522="!!!"),"",IF(NOT(ISNA(VLOOKUP(E5522,E$1:E5521,1,FALSE()))),"OLD",IF(AND(E5522&lt;&gt;"",E5522&lt;&gt;"!!!"),"NEW","")))</f>
        <v> </v>
      </c>
      <c r="G5522" s="24" t="str">
        <f>IF(OR(E5522="",E5522="!!!"),"",IF(OR(J5522=0,AND(J5522=1,K5522=1),AND(J5522=1,I5522="SBJ"),AND(J5522=1,I5522=0)),"?IN_FOCUS",IF(J5522&lt;=2,"?ACTIVATED",IF(J5522&lt;&gt;"","?FAMILIAR",IF(F5522="NEW",IF(ISNA(VLOOKUP(E5522,#REF!,1,FALSE())),"?TYPE_IDENTIFIABLE","?REFERENTIAL"),"_")))))</f>
        <v> </v>
      </c>
      <c r="H5522" s="25" t="str">
        <f>IF(J5522&lt;&gt;1,"",IF(I5522="SBJ","CB","?"))</f>
        <v> </v>
      </c>
      <c r="I5522" s="26" t="str">
        <f>IF(OR(E5522="",E5522="!!!",F5522="NEW"),"",INDEX(B5521:B$2,-1+SUMPRODUCT(MAX(ROW(E5521:E$2)*(E5522=E5521:E$2)))))</f>
        <v> </v>
      </c>
      <c r="J5522" s="26" t="str">
        <f>IF(OR(E5522="",E5522="!!!",F5522="NEW"),"",COUNTBLANK(OFFSET(A$1,,,SUMPRODUCT(MAX(ROW(E$2:E5522)*(E5522=E$2:E5522)))))-COUNTBLANK(OFFSET(A$1,,,SUMPRODUCT(MAX(ROW(E$1:E5521)*(E2=E$1:E5521))))))</f>
        <v> </v>
      </c>
      <c r="K5522" s="26" t="str">
        <f>IF(OR(E5522="",E5522="!!!",F5522="NEW"),"",INDEX(J$1:J5521,SUMPRODUCT(MAX(ROW(E$1:E5521)*(E5522=E$1:E5521)))))</f>
        <v> </v>
      </c>
      <c r="L5522" s="27"/>
    </row>
    <row r="5523" spans="1:12">
      <c r="A5523" s="20" t="s">
        <v>2955</v>
      </c>
      <c r="E5523" s="22">
        <f>IF(D5523="?OLD","!!!","")</f>
        <v/>
      </c>
      <c r="F5523" s="23" t="str">
        <f>IF(OR(E5523="",E5523="!!!"),"",IF(NOT(ISNA(VLOOKUP(E5523,E$1:E5522,1,FALSE()))),"OLD",IF(AND(E5523&lt;&gt;"",E5523&lt;&gt;"!!!"),"NEW","")))</f>
        <v> </v>
      </c>
      <c r="G5523" s="24" t="str">
        <f>IF(OR(E5523="",E5523="!!!"),"",IF(OR(J5523=0,AND(J5523=1,K5523=1),AND(J5523=1,I5523="SBJ"),AND(J5523=1,I5523=0)),"?IN_FOCUS",IF(J5523&lt;=2,"?ACTIVATED",IF(J5523&lt;&gt;"","?FAMILIAR",IF(F5523="NEW",IF(ISNA(VLOOKUP(E5523,#REF!,1,FALSE())),"?TYPE_IDENTIFIABLE","?REFERENTIAL"),"_")))))</f>
        <v> </v>
      </c>
      <c r="H5523" s="25" t="str">
        <f>IF(J5523&lt;&gt;1,"",IF(I5523="SBJ","CB","?"))</f>
        <v> </v>
      </c>
      <c r="I5523" s="26" t="str">
        <f>IF(OR(E5523="",E5523="!!!",F5523="NEW"),"",INDEX(B5522:B$2,-1+SUMPRODUCT(MAX(ROW(E5522:E$2)*(E5523=E5522:E$2)))))</f>
        <v> </v>
      </c>
      <c r="J5523" s="26" t="str">
        <f>IF(OR(E5523="",E5523="!!!",F5523="NEW"),"",COUNTBLANK(OFFSET(A$1,,,SUMPRODUCT(MAX(ROW(E$2:E5523)*(E5523=E$2:E5523)))))-COUNTBLANK(OFFSET(A$1,,,SUMPRODUCT(MAX(ROW(E$1:E5522)*(E2=E$1:E5522))))))</f>
        <v> </v>
      </c>
      <c r="K5523" s="26" t="str">
        <f>IF(OR(E5523="",E5523="!!!",F5523="NEW"),"",INDEX(J$1:J5522,SUMPRODUCT(MAX(ROW(E$1:E5522)*(E5523=E$1:E5522)))))</f>
        <v> </v>
      </c>
      <c r="L5523" s="27"/>
    </row>
    <row r="5524" spans="1:12">
      <c r="A5524" s="20" t="s">
        <v>1349</v>
      </c>
      <c r="E5524" s="22">
        <f>IF(D5524="?OLD","!!!","")</f>
        <v/>
      </c>
      <c r="F5524" s="23" t="str">
        <f>IF(OR(E5524="",E5524="!!!"),"",IF(NOT(ISNA(VLOOKUP(E5524,E$1:E5523,1,FALSE()))),"OLD",IF(AND(E5524&lt;&gt;"",E5524&lt;&gt;"!!!"),"NEW","")))</f>
        <v> </v>
      </c>
      <c r="G5524" s="24" t="str">
        <f>IF(OR(E5524="",E5524="!!!"),"",IF(OR(J5524=0,AND(J5524=1,K5524=1),AND(J5524=1,I5524="SBJ"),AND(J5524=1,I5524=0)),"?IN_FOCUS",IF(J5524&lt;=2,"?ACTIVATED",IF(J5524&lt;&gt;"","?FAMILIAR",IF(F5524="NEW",IF(ISNA(VLOOKUP(E5524,#REF!,1,FALSE())),"?TYPE_IDENTIFIABLE","?REFERENTIAL"),"_")))))</f>
        <v> </v>
      </c>
      <c r="H5524" s="25" t="str">
        <f>IF(J5524&lt;&gt;1,"",IF(I5524="SBJ","CB","?"))</f>
        <v> </v>
      </c>
      <c r="I5524" s="26" t="str">
        <f>IF(OR(E5524="",E5524="!!!",F5524="NEW"),"",INDEX(B5523:B$2,-1+SUMPRODUCT(MAX(ROW(E5523:E$2)*(E5524=E5523:E$2)))))</f>
        <v> </v>
      </c>
      <c r="J5524" s="26" t="str">
        <f>IF(OR(E5524="",E5524="!!!",F5524="NEW"),"",COUNTBLANK(OFFSET(A$1,,,SUMPRODUCT(MAX(ROW(E$2:E5524)*(E5524=E$2:E5524)))))-COUNTBLANK(OFFSET(A$1,,,SUMPRODUCT(MAX(ROW(E$1:E5523)*(E2=E$1:E5523))))))</f>
        <v> </v>
      </c>
      <c r="K5524" s="26" t="str">
        <f>IF(OR(E5524="",E5524="!!!",F5524="NEW"),"",INDEX(J$1:J5523,SUMPRODUCT(MAX(ROW(E$1:E5523)*(E5524=E$1:E5523)))))</f>
        <v> </v>
      </c>
      <c r="L5524" s="27"/>
    </row>
    <row r="5525" spans="1:12">
      <c r="A5525" s="20" t="s">
        <v>1218</v>
      </c>
      <c r="E5525" s="22">
        <f>IF(D5525="?OLD","!!!","")</f>
        <v/>
      </c>
      <c r="F5525" s="23" t="str">
        <f>IF(OR(E5525="",E5525="!!!"),"",IF(NOT(ISNA(VLOOKUP(E5525,E$1:E5524,1,FALSE()))),"OLD",IF(AND(E5525&lt;&gt;"",E5525&lt;&gt;"!!!"),"NEW","")))</f>
        <v> </v>
      </c>
      <c r="G5525" s="24" t="str">
        <f>IF(OR(E5525="",E5525="!!!"),"",IF(OR(J5525=0,AND(J5525=1,K5525=1),AND(J5525=1,I5525="SBJ"),AND(J5525=1,I5525=0)),"?IN_FOCUS",IF(J5525&lt;=2,"?ACTIVATED",IF(J5525&lt;&gt;"","?FAMILIAR",IF(F5525="NEW",IF(ISNA(VLOOKUP(E5525,#REF!,1,FALSE())),"?TYPE_IDENTIFIABLE","?REFERENTIAL"),"_")))))</f>
        <v> </v>
      </c>
      <c r="H5525" s="25" t="str">
        <f>IF(J5525&lt;&gt;1,"",IF(I5525="SBJ","CB","?"))</f>
        <v> </v>
      </c>
      <c r="I5525" s="26" t="str">
        <f>IF(OR(E5525="",E5525="!!!",F5525="NEW"),"",INDEX(B5524:B$2,-1+SUMPRODUCT(MAX(ROW(E5524:E$2)*(E5525=E5524:E$2)))))</f>
        <v> </v>
      </c>
      <c r="J5525" s="26" t="str">
        <f>IF(OR(E5525="",E5525="!!!",F5525="NEW"),"",COUNTBLANK(OFFSET(A$1,,,SUMPRODUCT(MAX(ROW(E$2:E5525)*(E5525=E$2:E5525)))))-COUNTBLANK(OFFSET(A$1,,,SUMPRODUCT(MAX(ROW(E$1:E5524)*(E2=E$1:E5524))))))</f>
        <v> </v>
      </c>
      <c r="K5525" s="26" t="str">
        <f>IF(OR(E5525="",E5525="!!!",F5525="NEW"),"",INDEX(J$1:J5524,SUMPRODUCT(MAX(ROW(E$1:E5524)*(E5525=E$1:E5524)))))</f>
        <v> </v>
      </c>
      <c r="L5525" s="27"/>
    </row>
    <row r="5526" spans="1:12">
      <c r="A5526" s="20" t="s">
        <v>1219</v>
      </c>
      <c r="E5526" s="22">
        <f>IF(D5526="?OLD","!!!","")</f>
        <v/>
      </c>
      <c r="F5526" s="23" t="str">
        <f>IF(OR(E5526="",E5526="!!!"),"",IF(NOT(ISNA(VLOOKUP(E5526,E$1:E5525,1,FALSE()))),"OLD",IF(AND(E5526&lt;&gt;"",E5526&lt;&gt;"!!!"),"NEW","")))</f>
        <v> </v>
      </c>
      <c r="G5526" s="24" t="str">
        <f>IF(OR(E5526="",E5526="!!!"),"",IF(OR(J5526=0,AND(J5526=1,K5526=1),AND(J5526=1,I5526="SBJ"),AND(J5526=1,I5526=0)),"?IN_FOCUS",IF(J5526&lt;=2,"?ACTIVATED",IF(J5526&lt;&gt;"","?FAMILIAR",IF(F5526="NEW",IF(ISNA(VLOOKUP(E5526,#REF!,1,FALSE())),"?TYPE_IDENTIFIABLE","?REFERENTIAL"),"_")))))</f>
        <v> </v>
      </c>
      <c r="H5526" s="25" t="str">
        <f>IF(J5526&lt;&gt;1,"",IF(I5526="SBJ","CB","?"))</f>
        <v> </v>
      </c>
      <c r="I5526" s="26" t="str">
        <f>IF(OR(E5526="",E5526="!!!",F5526="NEW"),"",INDEX(B5525:B$2,-1+SUMPRODUCT(MAX(ROW(E5525:E$2)*(E5526=E5525:E$2)))))</f>
        <v> </v>
      </c>
      <c r="J5526" s="26" t="str">
        <f>IF(OR(E5526="",E5526="!!!",F5526="NEW"),"",COUNTBLANK(OFFSET(A$1,,,SUMPRODUCT(MAX(ROW(E$2:E5526)*(E5526=E$2:E5526)))))-COUNTBLANK(OFFSET(A$1,,,SUMPRODUCT(MAX(ROW(E$1:E5525)*(E2=E$1:E5525))))))</f>
        <v> </v>
      </c>
      <c r="K5526" s="26" t="str">
        <f>IF(OR(E5526="",E5526="!!!",F5526="NEW"),"",INDEX(J$1:J5525,SUMPRODUCT(MAX(ROW(E$1:E5525)*(E5526=E$1:E5525)))))</f>
        <v> </v>
      </c>
      <c r="L5526" s="27"/>
    </row>
    <row r="5527" spans="1:12">
      <c r="A5527" s="20" t="s">
        <v>2956</v>
      </c>
      <c r="B5527" s="21" t="s">
        <v>1229</v>
      </c>
      <c r="C5527" s="21" t="s">
        <v>1269</v>
      </c>
      <c r="D5527" s="21" t="s">
        <v>1217</v>
      </c>
      <c r="E5527" s="22">
        <f>IF(D5527="?OLD","!!!","")</f>
        <v/>
      </c>
      <c r="F5527" s="23" t="str">
        <f>IF(OR(E5527="",E5527="!!!"),"",IF(NOT(ISNA(VLOOKUP(E5527,E$1:E5526,1,FALSE()))),"OLD",IF(AND(E5527&lt;&gt;"",E5527&lt;&gt;"!!!"),"NEW","")))</f>
        <v> </v>
      </c>
      <c r="G5527" s="24" t="str">
        <f>IF(OR(E5527="",E5527="!!!"),"",IF(OR(J5527=0,AND(J5527=1,K5527=1),AND(J5527=1,I5527="SBJ"),AND(J5527=1,I5527=0)),"?IN_FOCUS",IF(J5527&lt;=2,"?ACTIVATED",IF(J5527&lt;&gt;"","?FAMILIAR",IF(F5527="NEW",IF(ISNA(VLOOKUP(E5527,#REF!,1,FALSE())),"?TYPE_IDENTIFIABLE","?REFERENTIAL"),"_")))))</f>
        <v> </v>
      </c>
      <c r="H5527" s="25" t="str">
        <f>IF(J5527&lt;&gt;1,"",IF(I5527="SBJ","CB","?"))</f>
        <v> </v>
      </c>
      <c r="I5527" s="26" t="str">
        <f>IF(OR(E5527="",E5527="!!!",F5527="NEW"),"",INDEX(B5526:B$2,-1+SUMPRODUCT(MAX(ROW(E5526:E$2)*(E5527=E5526:E$2)))))</f>
        <v> </v>
      </c>
      <c r="J5527" s="26" t="str">
        <f>IF(OR(E5527="",E5527="!!!",F5527="NEW"),"",COUNTBLANK(OFFSET(A$1,,,SUMPRODUCT(MAX(ROW(E$2:E5527)*(E5527=E$2:E5527)))))-COUNTBLANK(OFFSET(A$1,,,SUMPRODUCT(MAX(ROW(E$1:E5526)*(E2=E$1:E5526))))))</f>
        <v> </v>
      </c>
      <c r="K5527" s="26" t="str">
        <f>IF(OR(E5527="",E5527="!!!",F5527="NEW"),"",INDEX(J$1:J5526,SUMPRODUCT(MAX(ROW(E$1:E5526)*(E5527=E$1:E5526)))))</f>
        <v> </v>
      </c>
      <c r="L5527" s="27"/>
    </row>
    <row r="5528" spans="1:12">
      <c r="A5528" s="20" t="s">
        <v>2553</v>
      </c>
      <c r="E5528" s="22">
        <f>IF(D5528="?OLD","!!!","")</f>
        <v/>
      </c>
      <c r="F5528" s="23" t="str">
        <f>IF(OR(E5528="",E5528="!!!"),"",IF(NOT(ISNA(VLOOKUP(E5528,E$1:E5527,1,FALSE()))),"OLD",IF(AND(E5528&lt;&gt;"",E5528&lt;&gt;"!!!"),"NEW","")))</f>
        <v> </v>
      </c>
      <c r="G5528" s="24" t="str">
        <f>IF(OR(E5528="",E5528="!!!"),"",IF(OR(J5528=0,AND(J5528=1,K5528=1),AND(J5528=1,I5528="SBJ"),AND(J5528=1,I5528=0)),"?IN_FOCUS",IF(J5528&lt;=2,"?ACTIVATED",IF(J5528&lt;&gt;"","?FAMILIAR",IF(F5528="NEW",IF(ISNA(VLOOKUP(E5528,#REF!,1,FALSE())),"?TYPE_IDENTIFIABLE","?REFERENTIAL"),"_")))))</f>
        <v> </v>
      </c>
      <c r="H5528" s="25" t="str">
        <f>IF(J5528&lt;&gt;1,"",IF(I5528="SBJ","CB","?"))</f>
        <v> </v>
      </c>
      <c r="I5528" s="26" t="str">
        <f>IF(OR(E5528="",E5528="!!!",F5528="NEW"),"",INDEX(B5527:B$2,-1+SUMPRODUCT(MAX(ROW(E5527:E$2)*(E5528=E5527:E$2)))))</f>
        <v> </v>
      </c>
      <c r="J5528" s="26" t="str">
        <f>IF(OR(E5528="",E5528="!!!",F5528="NEW"),"",COUNTBLANK(OFFSET(A$1,,,SUMPRODUCT(MAX(ROW(E$2:E5528)*(E5528=E$2:E5528)))))-COUNTBLANK(OFFSET(A$1,,,SUMPRODUCT(MAX(ROW(E$1:E5527)*(E2=E$1:E5527))))))</f>
        <v> </v>
      </c>
      <c r="K5528" s="26" t="str">
        <f>IF(OR(E5528="",E5528="!!!",F5528="NEW"),"",INDEX(J$1:J5527,SUMPRODUCT(MAX(ROW(E$1:E5527)*(E5528=E$1:E5527)))))</f>
        <v> </v>
      </c>
      <c r="L5528" s="27"/>
    </row>
    <row r="5529" spans="1:12">
      <c r="A5529" s="20" t="s">
        <v>2302</v>
      </c>
      <c r="E5529" s="22">
        <f>IF(D5529="?OLD","!!!","")</f>
        <v/>
      </c>
      <c r="F5529" s="23" t="str">
        <f>IF(OR(E5529="",E5529="!!!"),"",IF(NOT(ISNA(VLOOKUP(E5529,E$1:E5528,1,FALSE()))),"OLD",IF(AND(E5529&lt;&gt;"",E5529&lt;&gt;"!!!"),"NEW","")))</f>
        <v> </v>
      </c>
      <c r="G5529" s="24" t="str">
        <f>IF(OR(E5529="",E5529="!!!"),"",IF(OR(J5529=0,AND(J5529=1,K5529=1),AND(J5529=1,I5529="SBJ"),AND(J5529=1,I5529=0)),"?IN_FOCUS",IF(J5529&lt;=2,"?ACTIVATED",IF(J5529&lt;&gt;"","?FAMILIAR",IF(F5529="NEW",IF(ISNA(VLOOKUP(E5529,#REF!,1,FALSE())),"?TYPE_IDENTIFIABLE","?REFERENTIAL"),"_")))))</f>
        <v> </v>
      </c>
      <c r="H5529" s="25" t="str">
        <f>IF(J5529&lt;&gt;1,"",IF(I5529="SBJ","CB","?"))</f>
        <v> </v>
      </c>
      <c r="I5529" s="26" t="str">
        <f>IF(OR(E5529="",E5529="!!!",F5529="NEW"),"",INDEX(B5528:B$2,-1+SUMPRODUCT(MAX(ROW(E5528:E$2)*(E5529=E5528:E$2)))))</f>
        <v> </v>
      </c>
      <c r="J5529" s="26" t="str">
        <f>IF(OR(E5529="",E5529="!!!",F5529="NEW"),"",COUNTBLANK(OFFSET(A$1,,,SUMPRODUCT(MAX(ROW(E$2:E5529)*(E5529=E$2:E5529)))))-COUNTBLANK(OFFSET(A$1,,,SUMPRODUCT(MAX(ROW(E$1:E5528)*(E2=E$1:E5528))))))</f>
        <v> </v>
      </c>
      <c r="K5529" s="26" t="str">
        <f>IF(OR(E5529="",E5529="!!!",F5529="NEW"),"",INDEX(J$1:J5528,SUMPRODUCT(MAX(ROW(E$1:E5528)*(E5529=E$1:E5528)))))</f>
        <v> </v>
      </c>
      <c r="L5529" s="27"/>
    </row>
    <row r="5530" spans="1:12">
      <c r="A5530" s="20" t="s">
        <v>1245</v>
      </c>
      <c r="E5530" s="22">
        <f>IF(D5530="?OLD","!!!","")</f>
        <v/>
      </c>
      <c r="F5530" s="23" t="str">
        <f>IF(OR(E5530="",E5530="!!!"),"",IF(NOT(ISNA(VLOOKUP(E5530,E$1:E5529,1,FALSE()))),"OLD",IF(AND(E5530&lt;&gt;"",E5530&lt;&gt;"!!!"),"NEW","")))</f>
        <v> </v>
      </c>
      <c r="G5530" s="24" t="str">
        <f>IF(OR(E5530="",E5530="!!!"),"",IF(OR(J5530=0,AND(J5530=1,K5530=1),AND(J5530=1,I5530="SBJ"),AND(J5530=1,I5530=0)),"?IN_FOCUS",IF(J5530&lt;=2,"?ACTIVATED",IF(J5530&lt;&gt;"","?FAMILIAR",IF(F5530="NEW",IF(ISNA(VLOOKUP(E5530,#REF!,1,FALSE())),"?TYPE_IDENTIFIABLE","?REFERENTIAL"),"_")))))</f>
        <v> </v>
      </c>
      <c r="H5530" s="25" t="str">
        <f>IF(J5530&lt;&gt;1,"",IF(I5530="SBJ","CB","?"))</f>
        <v> </v>
      </c>
      <c r="I5530" s="26" t="str">
        <f>IF(OR(E5530="",E5530="!!!",F5530="NEW"),"",INDEX(B5529:B$2,-1+SUMPRODUCT(MAX(ROW(E5529:E$2)*(E5530=E5529:E$2)))))</f>
        <v> </v>
      </c>
      <c r="J5530" s="26" t="str">
        <f>IF(OR(E5530="",E5530="!!!",F5530="NEW"),"",COUNTBLANK(OFFSET(A$1,,,SUMPRODUCT(MAX(ROW(E$2:E5530)*(E5530=E$2:E5530)))))-COUNTBLANK(OFFSET(A$1,,,SUMPRODUCT(MAX(ROW(E$1:E5529)*(E2=E$1:E5529))))))</f>
        <v> </v>
      </c>
      <c r="K5530" s="26" t="str">
        <f>IF(OR(E5530="",E5530="!!!",F5530="NEW"),"",INDEX(J$1:J5529,SUMPRODUCT(MAX(ROW(E$1:E5529)*(E5530=E$1:E5529)))))</f>
        <v> </v>
      </c>
      <c r="L5530" s="27"/>
    </row>
    <row r="5531" spans="1:12">
      <c r="A5531" s="20" t="s">
        <v>1266</v>
      </c>
      <c r="E5531" s="22">
        <f>IF(D5531="?OLD","!!!","")</f>
        <v/>
      </c>
      <c r="F5531" s="23" t="str">
        <f>IF(OR(E5531="",E5531="!!!"),"",IF(NOT(ISNA(VLOOKUP(E5531,E$1:E5530,1,FALSE()))),"OLD",IF(AND(E5531&lt;&gt;"",E5531&lt;&gt;"!!!"),"NEW","")))</f>
        <v> </v>
      </c>
      <c r="G5531" s="24" t="str">
        <f>IF(OR(E5531="",E5531="!!!"),"",IF(OR(J5531=0,AND(J5531=1,K5531=1),AND(J5531=1,I5531="SBJ"),AND(J5531=1,I5531=0)),"?IN_FOCUS",IF(J5531&lt;=2,"?ACTIVATED",IF(J5531&lt;&gt;"","?FAMILIAR",IF(F5531="NEW",IF(ISNA(VLOOKUP(E5531,#REF!,1,FALSE())),"?TYPE_IDENTIFIABLE","?REFERENTIAL"),"_")))))</f>
        <v> </v>
      </c>
      <c r="H5531" s="25" t="str">
        <f>IF(J5531&lt;&gt;1,"",IF(I5531="SBJ","CB","?"))</f>
        <v> </v>
      </c>
      <c r="I5531" s="26" t="str">
        <f>IF(OR(E5531="",E5531="!!!",F5531="NEW"),"",INDEX(B5530:B$2,-1+SUMPRODUCT(MAX(ROW(E5530:E$2)*(E5531=E5530:E$2)))))</f>
        <v> </v>
      </c>
      <c r="J5531" s="26" t="str">
        <f>IF(OR(E5531="",E5531="!!!",F5531="NEW"),"",COUNTBLANK(OFFSET(A$1,,,SUMPRODUCT(MAX(ROW(E$2:E5531)*(E5531=E$2:E5531)))))-COUNTBLANK(OFFSET(A$1,,,SUMPRODUCT(MAX(ROW(E$1:E5530)*(E2=E$1:E5530))))))</f>
        <v> </v>
      </c>
      <c r="K5531" s="26" t="str">
        <f>IF(OR(E5531="",E5531="!!!",F5531="NEW"),"",INDEX(J$1:J5530,SUMPRODUCT(MAX(ROW(E$1:E5530)*(E5531=E$1:E5530)))))</f>
        <v> </v>
      </c>
      <c r="L5531" s="27"/>
    </row>
    <row r="5532" spans="1:12">
      <c r="A5532" s="20" t="s">
        <v>2008</v>
      </c>
      <c r="B5532" s="21" t="s">
        <v>1221</v>
      </c>
      <c r="C5532" s="21" t="s">
        <v>1269</v>
      </c>
      <c r="D5532" s="21" t="s">
        <v>1217</v>
      </c>
      <c r="E5532" s="22">
        <f>IF(D5532="?OLD","!!!","")</f>
        <v/>
      </c>
      <c r="F5532" s="23" t="str">
        <f>IF(OR(E5532="",E5532="!!!"),"",IF(NOT(ISNA(VLOOKUP(E5532,E$1:E5531,1,FALSE()))),"OLD",IF(AND(E5532&lt;&gt;"",E5532&lt;&gt;"!!!"),"NEW","")))</f>
        <v> </v>
      </c>
      <c r="G5532" s="24" t="str">
        <f>IF(OR(E5532="",E5532="!!!"),"",IF(OR(J5532=0,AND(J5532=1,K5532=1),AND(J5532=1,I5532="SBJ"),AND(J5532=1,I5532=0)),"?IN_FOCUS",IF(J5532&lt;=2,"?ACTIVATED",IF(J5532&lt;&gt;"","?FAMILIAR",IF(F5532="NEW",IF(ISNA(VLOOKUP(E5532,#REF!,1,FALSE())),"?TYPE_IDENTIFIABLE","?REFERENTIAL"),"_")))))</f>
        <v> </v>
      </c>
      <c r="H5532" s="25" t="str">
        <f>IF(J5532&lt;&gt;1,"",IF(I5532="SBJ","CB","?"))</f>
        <v> </v>
      </c>
      <c r="I5532" s="26" t="str">
        <f>IF(OR(E5532="",E5532="!!!",F5532="NEW"),"",INDEX(B5531:B$2,-1+SUMPRODUCT(MAX(ROW(E5531:E$2)*(E5532=E5531:E$2)))))</f>
        <v> </v>
      </c>
      <c r="J5532" s="26" t="str">
        <f>IF(OR(E5532="",E5532="!!!",F5532="NEW"),"",COUNTBLANK(OFFSET(A$1,,,SUMPRODUCT(MAX(ROW(E$2:E5532)*(E5532=E$2:E5532)))))-COUNTBLANK(OFFSET(A$1,,,SUMPRODUCT(MAX(ROW(E$1:E5531)*(E2=E$1:E5531))))))</f>
        <v> </v>
      </c>
      <c r="K5532" s="26" t="str">
        <f>IF(OR(E5532="",E5532="!!!",F5532="NEW"),"",INDEX(J$1:J5531,SUMPRODUCT(MAX(ROW(E$1:E5531)*(E5532=E$1:E5531)))))</f>
        <v> </v>
      </c>
      <c r="L5532" s="27"/>
    </row>
    <row r="5533" spans="1:12">
      <c r="A5533" s="20" t="s">
        <v>1218</v>
      </c>
      <c r="E5533" s="22">
        <f>IF(D5533="?OLD","!!!","")</f>
        <v/>
      </c>
      <c r="F5533" s="23" t="str">
        <f>IF(OR(E5533="",E5533="!!!"),"",IF(NOT(ISNA(VLOOKUP(E5533,E$1:E5532,1,FALSE()))),"OLD",IF(AND(E5533&lt;&gt;"",E5533&lt;&gt;"!!!"),"NEW","")))</f>
        <v> </v>
      </c>
      <c r="G5533" s="24" t="str">
        <f>IF(OR(E5533="",E5533="!!!"),"",IF(OR(J5533=0,AND(J5533=1,K5533=1),AND(J5533=1,I5533="SBJ"),AND(J5533=1,I5533=0)),"?IN_FOCUS",IF(J5533&lt;=2,"?ACTIVATED",IF(J5533&lt;&gt;"","?FAMILIAR",IF(F5533="NEW",IF(ISNA(VLOOKUP(E5533,#REF!,1,FALSE())),"?TYPE_IDENTIFIABLE","?REFERENTIAL"),"_")))))</f>
        <v> </v>
      </c>
      <c r="H5533" s="25" t="str">
        <f>IF(J5533&lt;&gt;1,"",IF(I5533="SBJ","CB","?"))</f>
        <v> </v>
      </c>
      <c r="I5533" s="26" t="str">
        <f>IF(OR(E5533="",E5533="!!!",F5533="NEW"),"",INDEX(B5532:B$2,-1+SUMPRODUCT(MAX(ROW(E5532:E$2)*(E5533=E5532:E$2)))))</f>
        <v> </v>
      </c>
      <c r="J5533" s="26" t="str">
        <f>IF(OR(E5533="",E5533="!!!",F5533="NEW"),"",COUNTBLANK(OFFSET(A$1,,,SUMPRODUCT(MAX(ROW(E$2:E5533)*(E5533=E$2:E5533)))))-COUNTBLANK(OFFSET(A$1,,,SUMPRODUCT(MAX(ROW(E$1:E5532)*(E2=E$1:E5532))))))</f>
        <v> </v>
      </c>
      <c r="K5533" s="26" t="str">
        <f>IF(OR(E5533="",E5533="!!!",F5533="NEW"),"",INDEX(J$1:J5532,SUMPRODUCT(MAX(ROW(E$1:E5532)*(E5533=E$1:E5532)))))</f>
        <v> </v>
      </c>
      <c r="L5533" s="27"/>
    </row>
    <row r="5534" spans="1:12">
      <c r="A5534" s="20" t="s">
        <v>1219</v>
      </c>
      <c r="E5534" s="22">
        <f>IF(D5534="?OLD","!!!","")</f>
        <v/>
      </c>
      <c r="F5534" s="23" t="str">
        <f>IF(OR(E5534="",E5534="!!!"),"",IF(NOT(ISNA(VLOOKUP(E5534,E$1:E5533,1,FALSE()))),"OLD",IF(AND(E5534&lt;&gt;"",E5534&lt;&gt;"!!!"),"NEW","")))</f>
        <v> </v>
      </c>
      <c r="G5534" s="24" t="str">
        <f>IF(OR(E5534="",E5534="!!!"),"",IF(OR(J5534=0,AND(J5534=1,K5534=1),AND(J5534=1,I5534="SBJ"),AND(J5534=1,I5534=0)),"?IN_FOCUS",IF(J5534&lt;=2,"?ACTIVATED",IF(J5534&lt;&gt;"","?FAMILIAR",IF(F5534="NEW",IF(ISNA(VLOOKUP(E5534,#REF!,1,FALSE())),"?TYPE_IDENTIFIABLE","?REFERENTIAL"),"_")))))</f>
        <v> </v>
      </c>
      <c r="H5534" s="25" t="str">
        <f>IF(J5534&lt;&gt;1,"",IF(I5534="SBJ","CB","?"))</f>
        <v> </v>
      </c>
      <c r="I5534" s="26" t="str">
        <f>IF(OR(E5534="",E5534="!!!",F5534="NEW"),"",INDEX(B5533:B$2,-1+SUMPRODUCT(MAX(ROW(E5533:E$2)*(E5534=E5533:E$2)))))</f>
        <v> </v>
      </c>
      <c r="J5534" s="26" t="str">
        <f>IF(OR(E5534="",E5534="!!!",F5534="NEW"),"",COUNTBLANK(OFFSET(A$1,,,SUMPRODUCT(MAX(ROW(E$2:E5534)*(E5534=E$2:E5534)))))-COUNTBLANK(OFFSET(A$1,,,SUMPRODUCT(MAX(ROW(E$1:E5533)*(E2=E$1:E5533))))))</f>
        <v> </v>
      </c>
      <c r="K5534" s="26" t="str">
        <f>IF(OR(E5534="",E5534="!!!",F5534="NEW"),"",INDEX(J$1:J5533,SUMPRODUCT(MAX(ROW(E$1:E5533)*(E5534=E$1:E5533)))))</f>
        <v> </v>
      </c>
      <c r="L5534" s="27"/>
    </row>
    <row r="5535" spans="1:12">
      <c r="A5535" s="20" t="s">
        <v>2957</v>
      </c>
      <c r="B5535" s="21" t="s">
        <v>1224</v>
      </c>
      <c r="C5535" s="21" t="s">
        <v>1269</v>
      </c>
      <c r="D5535" s="21" t="s">
        <v>1217</v>
      </c>
      <c r="E5535" s="22">
        <f>IF(D5535="?OLD","!!!","")</f>
        <v/>
      </c>
      <c r="F5535" s="23" t="str">
        <f>IF(OR(E5535="",E5535="!!!"),"",IF(NOT(ISNA(VLOOKUP(E5535,E$1:E5534,1,FALSE()))),"OLD",IF(AND(E5535&lt;&gt;"",E5535&lt;&gt;"!!!"),"NEW","")))</f>
        <v> </v>
      </c>
      <c r="G5535" s="24" t="str">
        <f>IF(OR(E5535="",E5535="!!!"),"",IF(OR(J5535=0,AND(J5535=1,K5535=1),AND(J5535=1,I5535="SBJ"),AND(J5535=1,I5535=0)),"?IN_FOCUS",IF(J5535&lt;=2,"?ACTIVATED",IF(J5535&lt;&gt;"","?FAMILIAR",IF(F5535="NEW",IF(ISNA(VLOOKUP(E5535,#REF!,1,FALSE())),"?TYPE_IDENTIFIABLE","?REFERENTIAL"),"_")))))</f>
        <v> </v>
      </c>
      <c r="H5535" s="25" t="str">
        <f>IF(J5535&lt;&gt;1,"",IF(I5535="SBJ","CB","?"))</f>
        <v> </v>
      </c>
      <c r="I5535" s="26" t="str">
        <f>IF(OR(E5535="",E5535="!!!",F5535="NEW"),"",INDEX(B5534:B$2,-1+SUMPRODUCT(MAX(ROW(E5534:E$2)*(E5535=E5534:E$2)))))</f>
        <v> </v>
      </c>
      <c r="J5535" s="26" t="str">
        <f>IF(OR(E5535="",E5535="!!!",F5535="NEW"),"",COUNTBLANK(OFFSET(A$1,,,SUMPRODUCT(MAX(ROW(E$2:E5535)*(E5535=E$2:E5535)))))-COUNTBLANK(OFFSET(A$1,,,SUMPRODUCT(MAX(ROW(E$1:E5534)*(E2=E$1:E5534))))))</f>
        <v> </v>
      </c>
      <c r="K5535" s="26" t="str">
        <f>IF(OR(E5535="",E5535="!!!",F5535="NEW"),"",INDEX(J$1:J5534,SUMPRODUCT(MAX(ROW(E$1:E5534)*(E5535=E$1:E5534)))))</f>
        <v> </v>
      </c>
      <c r="L5535" s="27"/>
    </row>
    <row r="5536" spans="1:12">
      <c r="A5536" s="20" t="s">
        <v>1262</v>
      </c>
      <c r="E5536" s="22">
        <f>IF(D5536="?OLD","!!!","")</f>
        <v/>
      </c>
      <c r="F5536" s="23" t="str">
        <f>IF(OR(E5536="",E5536="!!!"),"",IF(NOT(ISNA(VLOOKUP(E5536,E$1:E5535,1,FALSE()))),"OLD",IF(AND(E5536&lt;&gt;"",E5536&lt;&gt;"!!!"),"NEW","")))</f>
        <v> </v>
      </c>
      <c r="G5536" s="24" t="str">
        <f>IF(OR(E5536="",E5536="!!!"),"",IF(OR(J5536=0,AND(J5536=1,K5536=1),AND(J5536=1,I5536="SBJ"),AND(J5536=1,I5536=0)),"?IN_FOCUS",IF(J5536&lt;=2,"?ACTIVATED",IF(J5536&lt;&gt;"","?FAMILIAR",IF(F5536="NEW",IF(ISNA(VLOOKUP(E5536,#REF!,1,FALSE())),"?TYPE_IDENTIFIABLE","?REFERENTIAL"),"_")))))</f>
        <v> </v>
      </c>
      <c r="H5536" s="25" t="str">
        <f>IF(J5536&lt;&gt;1,"",IF(I5536="SBJ","CB","?"))</f>
        <v> </v>
      </c>
      <c r="I5536" s="26" t="str">
        <f>IF(OR(E5536="",E5536="!!!",F5536="NEW"),"",INDEX(B5535:B$2,-1+SUMPRODUCT(MAX(ROW(E5535:E$2)*(E5536=E5535:E$2)))))</f>
        <v> </v>
      </c>
      <c r="J5536" s="26" t="str">
        <f>IF(OR(E5536="",E5536="!!!",F5536="NEW"),"",COUNTBLANK(OFFSET(A$1,,,SUMPRODUCT(MAX(ROW(E$2:E5536)*(E5536=E$2:E5536)))))-COUNTBLANK(OFFSET(A$1,,,SUMPRODUCT(MAX(ROW(E$1:E5535)*(E2=E$1:E5535))))))</f>
        <v> </v>
      </c>
      <c r="K5536" s="26" t="str">
        <f>IF(OR(E5536="",E5536="!!!",F5536="NEW"),"",INDEX(J$1:J5535,SUMPRODUCT(MAX(ROW(E$1:E5535)*(E5536=E$1:E5535)))))</f>
        <v> </v>
      </c>
      <c r="L5536" s="27"/>
    </row>
    <row r="5537" spans="1:12">
      <c r="A5537" s="20"/>
    </row>
    <row r="5538" spans="1:12">
      <c r="A5538" s="20" t="s">
        <v>2958</v>
      </c>
    </row>
    <row r="5539" spans="1:12">
      <c r="A5539" s="20" t="s">
        <v>1453</v>
      </c>
      <c r="E5539" s="22">
        <f>IF(D5539="?OLD","!!!","")</f>
        <v/>
      </c>
      <c r="F5539" s="23" t="str">
        <f>IF(OR(E5539="",E5539="!!!"),"",IF(NOT(ISNA(VLOOKUP(E5539,E$1:E5538,1,FALSE()))),"OLD",IF(AND(E5539&lt;&gt;"",E5539&lt;&gt;"!!!"),"NEW","")))</f>
        <v> </v>
      </c>
      <c r="G5539" s="24" t="str">
        <f>IF(OR(E5539="",E5539="!!!"),"",IF(OR(J5539=0,AND(J5539=1,K5539=1),AND(J5539=1,I5539="SBJ"),AND(J5539=1,I5539=0)),"?IN_FOCUS",IF(J5539&lt;=2,"?ACTIVATED",IF(J5539&lt;&gt;"","?FAMILIAR",IF(F5539="NEW",IF(ISNA(VLOOKUP(E5539,#REF!,1,FALSE())),"?TYPE_IDENTIFIABLE","?REFERENTIAL"),"_")))))</f>
        <v> </v>
      </c>
      <c r="H5539" s="25" t="str">
        <f>IF(J5539&lt;&gt;1,"",IF(I5539="SBJ","CB","?"))</f>
        <v> </v>
      </c>
      <c r="I5539" s="26" t="str">
        <f>IF(OR(E5539="",E5539="!!!",F5539="NEW"),"",INDEX(B5538:B$2,-1+SUMPRODUCT(MAX(ROW(E5538:E$2)*(E5539=E5538:E$2)))))</f>
        <v> </v>
      </c>
      <c r="J5539" s="26" t="str">
        <f>IF(OR(E5539="",E5539="!!!",F5539="NEW"),"",COUNTBLANK(OFFSET(A$1,,,SUMPRODUCT(MAX(ROW(E$2:E5539)*(E5539=E$2:E5539)))))-COUNTBLANK(OFFSET(A$1,,,SUMPRODUCT(MAX(ROW(E$1:E5538)*(E2=E$1:E5538))))))</f>
        <v> </v>
      </c>
      <c r="K5539" s="26" t="str">
        <f>IF(OR(E5539="",E5539="!!!",F5539="NEW"),"",INDEX(J$1:J5538,SUMPRODUCT(MAX(ROW(E$1:E5538)*(E5539=E$1:E5538)))))</f>
        <v> </v>
      </c>
      <c r="L5539" s="27"/>
    </row>
    <row r="5540" spans="1:12">
      <c r="A5540" s="20" t="s">
        <v>1214</v>
      </c>
      <c r="E5540" s="22">
        <f>IF(D5540="?OLD","!!!","")</f>
        <v/>
      </c>
      <c r="F5540" s="23" t="str">
        <f>IF(OR(E5540="",E5540="!!!"),"",IF(NOT(ISNA(VLOOKUP(E5540,E$1:E5539,1,FALSE()))),"OLD",IF(AND(E5540&lt;&gt;"",E5540&lt;&gt;"!!!"),"NEW","")))</f>
        <v> </v>
      </c>
      <c r="G5540" s="24" t="str">
        <f>IF(OR(E5540="",E5540="!!!"),"",IF(OR(J5540=0,AND(J5540=1,K5540=1),AND(J5540=1,I5540="SBJ"),AND(J5540=1,I5540=0)),"?IN_FOCUS",IF(J5540&lt;=2,"?ACTIVATED",IF(J5540&lt;&gt;"","?FAMILIAR",IF(F5540="NEW",IF(ISNA(VLOOKUP(E5540,#REF!,1,FALSE())),"?TYPE_IDENTIFIABLE","?REFERENTIAL"),"_")))))</f>
        <v> </v>
      </c>
      <c r="H5540" s="25" t="str">
        <f>IF(J5540&lt;&gt;1,"",IF(I5540="SBJ","CB","?"))</f>
        <v> </v>
      </c>
      <c r="I5540" s="26" t="str">
        <f>IF(OR(E5540="",E5540="!!!",F5540="NEW"),"",INDEX(B5539:B$2,-1+SUMPRODUCT(MAX(ROW(E5539:E$2)*(E5540=E5539:E$2)))))</f>
        <v> </v>
      </c>
      <c r="J5540" s="26" t="str">
        <f>IF(OR(E5540="",E5540="!!!",F5540="NEW"),"",COUNTBLANK(OFFSET(A$1,,,SUMPRODUCT(MAX(ROW(E$2:E5540)*(E5540=E$2:E5540)))))-COUNTBLANK(OFFSET(A$1,,,SUMPRODUCT(MAX(ROW(E$1:E5539)*(E2=E$1:E5539))))))</f>
        <v> </v>
      </c>
      <c r="K5540" s="26" t="str">
        <f>IF(OR(E5540="",E5540="!!!",F5540="NEW"),"",INDEX(J$1:J5539,SUMPRODUCT(MAX(ROW(E$1:E5539)*(E5540=E$1:E5539)))))</f>
        <v> </v>
      </c>
      <c r="L5540" s="27"/>
    </row>
    <row r="5541" spans="1:12">
      <c r="A5541" s="20" t="s">
        <v>885</v>
      </c>
      <c r="B5541" s="21" t="s">
        <v>1244</v>
      </c>
      <c r="C5541" s="21" t="s">
        <v>1238</v>
      </c>
      <c r="E5541" s="22">
        <f>IF(D5541="?OLD","!!!","")</f>
        <v/>
      </c>
      <c r="F5541" s="23" t="str">
        <f>IF(OR(E5541="",E5541="!!!"),"",IF(NOT(ISNA(VLOOKUP(E5541,E$1:E5540,1,FALSE()))),"OLD",IF(AND(E5541&lt;&gt;"",E5541&lt;&gt;"!!!"),"NEW","")))</f>
        <v> </v>
      </c>
      <c r="G5541" s="24" t="str">
        <f>IF(OR(E5541="",E5541="!!!"),"",IF(OR(J5541=0,AND(J5541=1,K5541=1),AND(J5541=1,I5541="SBJ"),AND(J5541=1,I5541=0)),"?IN_FOCUS",IF(J5541&lt;=2,"?ACTIVATED",IF(J5541&lt;&gt;"","?FAMILIAR",IF(F5541="NEW",IF(ISNA(VLOOKUP(E5541,#REF!,1,FALSE())),"?TYPE_IDENTIFIABLE","?REFERENTIAL"),"_")))))</f>
        <v> </v>
      </c>
      <c r="H5541" s="25" t="str">
        <f>IF(J5541&lt;&gt;1,"",IF(I5541="SBJ","CB","?"))</f>
        <v> </v>
      </c>
      <c r="I5541" s="26" t="str">
        <f>IF(OR(E5541="",E5541="!!!",F5541="NEW"),"",INDEX(B5540:B$2,-1+SUMPRODUCT(MAX(ROW(E5540:E$2)*(E5541=E5540:E$2)))))</f>
        <v> </v>
      </c>
      <c r="J5541" s="26" t="str">
        <f>IF(OR(E5541="",E5541="!!!",F5541="NEW"),"",COUNTBLANK(OFFSET(A$1,,,SUMPRODUCT(MAX(ROW(E$2:E5541)*(E5541=E$2:E5541)))))-COUNTBLANK(OFFSET(A$1,,,SUMPRODUCT(MAX(ROW(E$1:E5540)*(E2=E$1:E5540))))))</f>
        <v> </v>
      </c>
      <c r="K5541" s="26" t="str">
        <f>IF(OR(E5541="",E5541="!!!",F5541="NEW"),"",INDEX(J$1:J5540,SUMPRODUCT(MAX(ROW(E$1:E5540)*(E5541=E$1:E5540)))))</f>
        <v> </v>
      </c>
      <c r="L5541" s="27"/>
    </row>
    <row r="5542" spans="1:12">
      <c r="A5542" s="20" t="s">
        <v>1503</v>
      </c>
      <c r="E5542" s="22">
        <f>IF(D5542="?OLD","!!!","")</f>
        <v/>
      </c>
      <c r="F5542" s="23" t="str">
        <f>IF(OR(E5542="",E5542="!!!"),"",IF(NOT(ISNA(VLOOKUP(E5542,E$1:E5541,1,FALSE()))),"OLD",IF(AND(E5542&lt;&gt;"",E5542&lt;&gt;"!!!"),"NEW","")))</f>
        <v> </v>
      </c>
      <c r="G5542" s="24" t="str">
        <f>IF(OR(E5542="",E5542="!!!"),"",IF(OR(J5542=0,AND(J5542=1,K5542=1),AND(J5542=1,I5542="SBJ"),AND(J5542=1,I5542=0)),"?IN_FOCUS",IF(J5542&lt;=2,"?ACTIVATED",IF(J5542&lt;&gt;"","?FAMILIAR",IF(F5542="NEW",IF(ISNA(VLOOKUP(E5542,#REF!,1,FALSE())),"?TYPE_IDENTIFIABLE","?REFERENTIAL"),"_")))))</f>
        <v> </v>
      </c>
      <c r="H5542" s="25" t="str">
        <f>IF(J5542&lt;&gt;1,"",IF(I5542="SBJ","CB","?"))</f>
        <v> </v>
      </c>
      <c r="I5542" s="26" t="str">
        <f>IF(OR(E5542="",E5542="!!!",F5542="NEW"),"",INDEX(B5541:B$2,-1+SUMPRODUCT(MAX(ROW(E5541:E$2)*(E5542=E5541:E$2)))))</f>
        <v> </v>
      </c>
      <c r="J5542" s="26" t="str">
        <f>IF(OR(E5542="",E5542="!!!",F5542="NEW"),"",COUNTBLANK(OFFSET(A$1,,,SUMPRODUCT(MAX(ROW(E$2:E5542)*(E5542=E$2:E5542)))))-COUNTBLANK(OFFSET(A$1,,,SUMPRODUCT(MAX(ROW(E$1:E5541)*(E2=E$1:E5541))))))</f>
        <v> </v>
      </c>
      <c r="K5542" s="26" t="str">
        <f>IF(OR(E5542="",E5542="!!!",F5542="NEW"),"",INDEX(J$1:J5541,SUMPRODUCT(MAX(ROW(E$1:E5541)*(E5542=E$1:E5541)))))</f>
        <v> </v>
      </c>
      <c r="L5542" s="27"/>
    </row>
    <row r="5543" spans="1:12">
      <c r="A5543" s="20"/>
    </row>
    <row r="5544" spans="1:12">
      <c r="A5544" s="20" t="s">
        <v>2959</v>
      </c>
    </row>
    <row r="5545" spans="1:12">
      <c r="A5545" s="20" t="s">
        <v>1508</v>
      </c>
      <c r="E5545" s="22">
        <f>IF(D5545="?OLD","!!!","")</f>
        <v/>
      </c>
      <c r="F5545" s="23" t="str">
        <f>IF(OR(E5545="",E5545="!!!"),"",IF(NOT(ISNA(VLOOKUP(E5545,E$1:E5544,1,FALSE()))),"OLD",IF(AND(E5545&lt;&gt;"",E5545&lt;&gt;"!!!"),"NEW","")))</f>
        <v> </v>
      </c>
      <c r="G5545" s="24" t="str">
        <f>IF(OR(E5545="",E5545="!!!"),"",IF(OR(J5545=0,AND(J5545=1,K5545=1),AND(J5545=1,I5545="SBJ"),AND(J5545=1,I5545=0)),"?IN_FOCUS",IF(J5545&lt;=2,"?ACTIVATED",IF(J5545&lt;&gt;"","?FAMILIAR",IF(F5545="NEW",IF(ISNA(VLOOKUP(E5545,#REF!,1,FALSE())),"?TYPE_IDENTIFIABLE","?REFERENTIAL"),"_")))))</f>
        <v> </v>
      </c>
      <c r="H5545" s="25" t="str">
        <f>IF(J5545&lt;&gt;1,"",IF(I5545="SBJ","CB","?"))</f>
        <v> </v>
      </c>
      <c r="I5545" s="26" t="str">
        <f>IF(OR(E5545="",E5545="!!!",F5545="NEW"),"",INDEX(B5544:B$2,-1+SUMPRODUCT(MAX(ROW(E5544:E$2)*(E5545=E5544:E$2)))))</f>
        <v> </v>
      </c>
      <c r="J5545" s="26" t="str">
        <f>IF(OR(E5545="",E5545="!!!",F5545="NEW"),"",COUNTBLANK(OFFSET(A$1,,,SUMPRODUCT(MAX(ROW(E$2:E5545)*(E5545=E$2:E5545)))))-COUNTBLANK(OFFSET(A$1,,,SUMPRODUCT(MAX(ROW(E$1:E5544)*(E2=E$1:E5544))))))</f>
        <v> </v>
      </c>
      <c r="K5545" s="26" t="str">
        <f>IF(OR(E5545="",E5545="!!!",F5545="NEW"),"",INDEX(J$1:J5544,SUMPRODUCT(MAX(ROW(E$1:E5544)*(E5545=E$1:E5544)))))</f>
        <v> </v>
      </c>
      <c r="L5545" s="27"/>
    </row>
    <row r="5546" spans="1:12">
      <c r="A5546" s="20" t="s">
        <v>548</v>
      </c>
      <c r="B5546" s="21" t="s">
        <v>1275</v>
      </c>
      <c r="C5546" s="21" t="s">
        <v>1225</v>
      </c>
      <c r="D5546" s="21" t="s">
        <v>1217</v>
      </c>
      <c r="E5546" s="22">
        <f>IF(D5546="?OLD","!!!","")</f>
        <v/>
      </c>
      <c r="F5546" s="23" t="str">
        <f>IF(OR(E5546="",E5546="!!!"),"",IF(NOT(ISNA(VLOOKUP(E5546,E$1:E5545,1,FALSE()))),"OLD",IF(AND(E5546&lt;&gt;"",E5546&lt;&gt;"!!!"),"NEW","")))</f>
        <v> </v>
      </c>
      <c r="G5546" s="24" t="str">
        <f>IF(OR(E5546="",E5546="!!!"),"",IF(OR(J5546=0,AND(J5546=1,K5546=1),AND(J5546=1,I5546="SBJ"),AND(J5546=1,I5546=0)),"?IN_FOCUS",IF(J5546&lt;=2,"?ACTIVATED",IF(J5546&lt;&gt;"","?FAMILIAR",IF(F5546="NEW",IF(ISNA(VLOOKUP(E5546,#REF!,1,FALSE())),"?TYPE_IDENTIFIABLE","?REFERENTIAL"),"_")))))</f>
        <v> </v>
      </c>
      <c r="H5546" s="25" t="str">
        <f>IF(J5546&lt;&gt;1,"",IF(I5546="SBJ","CB","?"))</f>
        <v> </v>
      </c>
      <c r="I5546" s="26" t="str">
        <f>IF(OR(E5546="",E5546="!!!",F5546="NEW"),"",INDEX(B5545:B$2,-1+SUMPRODUCT(MAX(ROW(E5545:E$2)*(E5546=E5545:E$2)))))</f>
        <v> </v>
      </c>
      <c r="J5546" s="26" t="str">
        <f>IF(OR(E5546="",E5546="!!!",F5546="NEW"),"",COUNTBLANK(OFFSET(A$1,,,SUMPRODUCT(MAX(ROW(E$2:E5546)*(E5546=E$2:E5546)))))-COUNTBLANK(OFFSET(A$1,,,SUMPRODUCT(MAX(ROW(E$1:E5545)*(E2=E$1:E5545))))))</f>
        <v> </v>
      </c>
      <c r="K5546" s="26" t="str">
        <f>IF(OR(E5546="",E5546="!!!",F5546="NEW"),"",INDEX(J$1:J5545,SUMPRODUCT(MAX(ROW(E$1:E5545)*(E5546=E$1:E5545)))))</f>
        <v> </v>
      </c>
      <c r="L5546" s="27"/>
    </row>
    <row r="5547" spans="1:12">
      <c r="A5547" s="20" t="s">
        <v>1277</v>
      </c>
      <c r="E5547" s="22">
        <f>IF(D5547="?OLD","!!!","")</f>
        <v/>
      </c>
      <c r="F5547" s="23" t="str">
        <f>IF(OR(E5547="",E5547="!!!"),"",IF(NOT(ISNA(VLOOKUP(E5547,E$1:E5546,1,FALSE()))),"OLD",IF(AND(E5547&lt;&gt;"",E5547&lt;&gt;"!!!"),"NEW","")))</f>
        <v> </v>
      </c>
      <c r="G5547" s="24" t="str">
        <f>IF(OR(E5547="",E5547="!!!"),"",IF(OR(J5547=0,AND(J5547=1,K5547=1),AND(J5547=1,I5547="SBJ"),AND(J5547=1,I5547=0)),"?IN_FOCUS",IF(J5547&lt;=2,"?ACTIVATED",IF(J5547&lt;&gt;"","?FAMILIAR",IF(F5547="NEW",IF(ISNA(VLOOKUP(E5547,#REF!,1,FALSE())),"?TYPE_IDENTIFIABLE","?REFERENTIAL"),"_")))))</f>
        <v> </v>
      </c>
      <c r="H5547" s="25" t="str">
        <f>IF(J5547&lt;&gt;1,"",IF(I5547="SBJ","CB","?"))</f>
        <v> </v>
      </c>
      <c r="I5547" s="26" t="str">
        <f>IF(OR(E5547="",E5547="!!!",F5547="NEW"),"",INDEX(B5546:B$2,-1+SUMPRODUCT(MAX(ROW(E5546:E$2)*(E5547=E5546:E$2)))))</f>
        <v> </v>
      </c>
      <c r="J5547" s="26" t="str">
        <f>IF(OR(E5547="",E5547="!!!",F5547="NEW"),"",COUNTBLANK(OFFSET(A$1,,,SUMPRODUCT(MAX(ROW(E$2:E5547)*(E5547=E$2:E5547)))))-COUNTBLANK(OFFSET(A$1,,,SUMPRODUCT(MAX(ROW(E$1:E5546)*(E2=E$1:E5546))))))</f>
        <v> </v>
      </c>
      <c r="K5547" s="26" t="str">
        <f>IF(OR(E5547="",E5547="!!!",F5547="NEW"),"",INDEX(J$1:J5546,SUMPRODUCT(MAX(ROW(E$1:E5546)*(E5547=E$1:E5546)))))</f>
        <v> </v>
      </c>
      <c r="L5547" s="27"/>
    </row>
    <row r="5548" spans="1:12">
      <c r="A5548" s="20" t="s">
        <v>1240</v>
      </c>
      <c r="E5548" s="22">
        <f>IF(D5548="?OLD","!!!","")</f>
        <v/>
      </c>
      <c r="F5548" s="23" t="str">
        <f>IF(OR(E5548="",E5548="!!!"),"",IF(NOT(ISNA(VLOOKUP(E5548,E$1:E5547,1,FALSE()))),"OLD",IF(AND(E5548&lt;&gt;"",E5548&lt;&gt;"!!!"),"NEW","")))</f>
        <v> </v>
      </c>
      <c r="G5548" s="24" t="str">
        <f>IF(OR(E5548="",E5548="!!!"),"",IF(OR(J5548=0,AND(J5548=1,K5548=1),AND(J5548=1,I5548="SBJ"),AND(J5548=1,I5548=0)),"?IN_FOCUS",IF(J5548&lt;=2,"?ACTIVATED",IF(J5548&lt;&gt;"","?FAMILIAR",IF(F5548="NEW",IF(ISNA(VLOOKUP(E5548,#REF!,1,FALSE())),"?TYPE_IDENTIFIABLE","?REFERENTIAL"),"_")))))</f>
        <v> </v>
      </c>
      <c r="H5548" s="25" t="str">
        <f>IF(J5548&lt;&gt;1,"",IF(I5548="SBJ","CB","?"))</f>
        <v> </v>
      </c>
      <c r="I5548" s="26" t="str">
        <f>IF(OR(E5548="",E5548="!!!",F5548="NEW"),"",INDEX(B5547:B$2,-1+SUMPRODUCT(MAX(ROW(E5547:E$2)*(E5548=E5547:E$2)))))</f>
        <v> </v>
      </c>
      <c r="J5548" s="26" t="str">
        <f>IF(OR(E5548="",E5548="!!!",F5548="NEW"),"",COUNTBLANK(OFFSET(A$1,,,SUMPRODUCT(MAX(ROW(E$2:E5548)*(E5548=E$2:E5548)))))-COUNTBLANK(OFFSET(A$1,,,SUMPRODUCT(MAX(ROW(E$1:E5547)*(E2=E$1:E5547))))))</f>
        <v> </v>
      </c>
      <c r="K5548" s="26" t="str">
        <f>IF(OR(E5548="",E5548="!!!",F5548="NEW"),"",INDEX(J$1:J5547,SUMPRODUCT(MAX(ROW(E$1:E5547)*(E5548=E$1:E5547)))))</f>
        <v> </v>
      </c>
      <c r="L5548" s="27"/>
    </row>
    <row r="5549" spans="1:12">
      <c r="A5549" s="20" t="s">
        <v>1266</v>
      </c>
      <c r="E5549" s="22">
        <f>IF(D5549="?OLD","!!!","")</f>
        <v/>
      </c>
      <c r="F5549" s="23" t="str">
        <f>IF(OR(E5549="",E5549="!!!"),"",IF(NOT(ISNA(VLOOKUP(E5549,E$1:E5548,1,FALSE()))),"OLD",IF(AND(E5549&lt;&gt;"",E5549&lt;&gt;"!!!"),"NEW","")))</f>
        <v> </v>
      </c>
      <c r="G5549" s="24" t="str">
        <f>IF(OR(E5549="",E5549="!!!"),"",IF(OR(J5549=0,AND(J5549=1,K5549=1),AND(J5549=1,I5549="SBJ"),AND(J5549=1,I5549=0)),"?IN_FOCUS",IF(J5549&lt;=2,"?ACTIVATED",IF(J5549&lt;&gt;"","?FAMILIAR",IF(F5549="NEW",IF(ISNA(VLOOKUP(E5549,#REF!,1,FALSE())),"?TYPE_IDENTIFIABLE","?REFERENTIAL"),"_")))))</f>
        <v> </v>
      </c>
      <c r="H5549" s="25" t="str">
        <f>IF(J5549&lt;&gt;1,"",IF(I5549="SBJ","CB","?"))</f>
        <v> </v>
      </c>
      <c r="I5549" s="26" t="str">
        <f>IF(OR(E5549="",E5549="!!!",F5549="NEW"),"",INDEX(B5548:B$2,-1+SUMPRODUCT(MAX(ROW(E5548:E$2)*(E5549=E5548:E$2)))))</f>
        <v> </v>
      </c>
      <c r="J5549" s="26" t="str">
        <f>IF(OR(E5549="",E5549="!!!",F5549="NEW"),"",COUNTBLANK(OFFSET(A$1,,,SUMPRODUCT(MAX(ROW(E$2:E5549)*(E5549=E$2:E5549)))))-COUNTBLANK(OFFSET(A$1,,,SUMPRODUCT(MAX(ROW(E$1:E5548)*(E2=E$1:E5548))))))</f>
        <v> </v>
      </c>
      <c r="K5549" s="26" t="str">
        <f>IF(OR(E5549="",E5549="!!!",F5549="NEW"),"",INDEX(J$1:J5548,SUMPRODUCT(MAX(ROW(E$1:E5548)*(E5549=E$1:E5548)))))</f>
        <v> </v>
      </c>
      <c r="L5549" s="27"/>
    </row>
    <row r="5550" spans="1:12">
      <c r="A5550" s="20" t="s">
        <v>2960</v>
      </c>
      <c r="B5550" s="21" t="s">
        <v>1244</v>
      </c>
      <c r="C5550" s="21" t="s">
        <v>1269</v>
      </c>
      <c r="D5550" s="21" t="s">
        <v>1217</v>
      </c>
      <c r="E5550" s="22">
        <f>IF(D5550="?OLD","!!!","")</f>
        <v/>
      </c>
      <c r="F5550" s="23" t="str">
        <f>IF(OR(E5550="",E5550="!!!"),"",IF(NOT(ISNA(VLOOKUP(E5550,E$1:E5549,1,FALSE()))),"OLD",IF(AND(E5550&lt;&gt;"",E5550&lt;&gt;"!!!"),"NEW","")))</f>
        <v> </v>
      </c>
      <c r="G5550" s="24" t="str">
        <f>IF(OR(E5550="",E5550="!!!"),"",IF(OR(J5550=0,AND(J5550=1,K5550=1),AND(J5550=1,I5550="SBJ"),AND(J5550=1,I5550=0)),"?IN_FOCUS",IF(J5550&lt;=2,"?ACTIVATED",IF(J5550&lt;&gt;"","?FAMILIAR",IF(F5550="NEW",IF(ISNA(VLOOKUP(E5550,#REF!,1,FALSE())),"?TYPE_IDENTIFIABLE","?REFERENTIAL"),"_")))))</f>
        <v> </v>
      </c>
      <c r="H5550" s="25" t="str">
        <f>IF(J5550&lt;&gt;1,"",IF(I5550="SBJ","CB","?"))</f>
        <v> </v>
      </c>
      <c r="I5550" s="26" t="str">
        <f>IF(OR(E5550="",E5550="!!!",F5550="NEW"),"",INDEX(B5549:B$2,-1+SUMPRODUCT(MAX(ROW(E5549:E$2)*(E5550=E5549:E$2)))))</f>
        <v> </v>
      </c>
      <c r="J5550" s="26" t="str">
        <f>IF(OR(E5550="",E5550="!!!",F5550="NEW"),"",COUNTBLANK(OFFSET(A$1,,,SUMPRODUCT(MAX(ROW(E$2:E5550)*(E5550=E$2:E5550)))))-COUNTBLANK(OFFSET(A$1,,,SUMPRODUCT(MAX(ROW(E$1:E5549)*(E2=E$1:E5549))))))</f>
        <v> </v>
      </c>
      <c r="K5550" s="26" t="str">
        <f>IF(OR(E5550="",E5550="!!!",F5550="NEW"),"",INDEX(J$1:J5549,SUMPRODUCT(MAX(ROW(E$1:E5549)*(E5550=E$1:E5549)))))</f>
        <v> </v>
      </c>
      <c r="L5550" s="27"/>
    </row>
    <row r="5551" spans="1:12">
      <c r="A5551" s="20" t="s">
        <v>1218</v>
      </c>
      <c r="E5551" s="22">
        <f>IF(D5551="?OLD","!!!","")</f>
        <v/>
      </c>
      <c r="F5551" s="23" t="str">
        <f>IF(OR(E5551="",E5551="!!!"),"",IF(NOT(ISNA(VLOOKUP(E5551,E$1:E5550,1,FALSE()))),"OLD",IF(AND(E5551&lt;&gt;"",E5551&lt;&gt;"!!!"),"NEW","")))</f>
        <v> </v>
      </c>
      <c r="G5551" s="24" t="str">
        <f>IF(OR(E5551="",E5551="!!!"),"",IF(OR(J5551=0,AND(J5551=1,K5551=1),AND(J5551=1,I5551="SBJ"),AND(J5551=1,I5551=0)),"?IN_FOCUS",IF(J5551&lt;=2,"?ACTIVATED",IF(J5551&lt;&gt;"","?FAMILIAR",IF(F5551="NEW",IF(ISNA(VLOOKUP(E5551,#REF!,1,FALSE())),"?TYPE_IDENTIFIABLE","?REFERENTIAL"),"_")))))</f>
        <v> </v>
      </c>
      <c r="H5551" s="25" t="str">
        <f>IF(J5551&lt;&gt;1,"",IF(I5551="SBJ","CB","?"))</f>
        <v> </v>
      </c>
      <c r="I5551" s="26" t="str">
        <f>IF(OR(E5551="",E5551="!!!",F5551="NEW"),"",INDEX(B5550:B$2,-1+SUMPRODUCT(MAX(ROW(E5550:E$2)*(E5551=E5550:E$2)))))</f>
        <v> </v>
      </c>
      <c r="J5551" s="26" t="str">
        <f>IF(OR(E5551="",E5551="!!!",F5551="NEW"),"",COUNTBLANK(OFFSET(A$1,,,SUMPRODUCT(MAX(ROW(E$2:E5551)*(E5551=E$2:E5551)))))-COUNTBLANK(OFFSET(A$1,,,SUMPRODUCT(MAX(ROW(E$1:E5550)*(E2=E$1:E5550))))))</f>
        <v> </v>
      </c>
      <c r="K5551" s="26" t="str">
        <f>IF(OR(E5551="",E5551="!!!",F5551="NEW"),"",INDEX(J$1:J5550,SUMPRODUCT(MAX(ROW(E$1:E5550)*(E5551=E$1:E5550)))))</f>
        <v> </v>
      </c>
      <c r="L5551" s="27"/>
    </row>
    <row r="5552" spans="1:12">
      <c r="A5552" s="20" t="s">
        <v>1266</v>
      </c>
      <c r="E5552" s="22">
        <f>IF(D5552="?OLD","!!!","")</f>
        <v/>
      </c>
      <c r="F5552" s="23" t="str">
        <f>IF(OR(E5552="",E5552="!!!"),"",IF(NOT(ISNA(VLOOKUP(E5552,E$1:E5551,1,FALSE()))),"OLD",IF(AND(E5552&lt;&gt;"",E5552&lt;&gt;"!!!"),"NEW","")))</f>
        <v> </v>
      </c>
      <c r="G5552" s="24" t="str">
        <f>IF(OR(E5552="",E5552="!!!"),"",IF(OR(J5552=0,AND(J5552=1,K5552=1),AND(J5552=1,I5552="SBJ"),AND(J5552=1,I5552=0)),"?IN_FOCUS",IF(J5552&lt;=2,"?ACTIVATED",IF(J5552&lt;&gt;"","?FAMILIAR",IF(F5552="NEW",IF(ISNA(VLOOKUP(E5552,#REF!,1,FALSE())),"?TYPE_IDENTIFIABLE","?REFERENTIAL"),"_")))))</f>
        <v> </v>
      </c>
      <c r="H5552" s="25" t="str">
        <f>IF(J5552&lt;&gt;1,"",IF(I5552="SBJ","CB","?"))</f>
        <v> </v>
      </c>
      <c r="I5552" s="26" t="str">
        <f>IF(OR(E5552="",E5552="!!!",F5552="NEW"),"",INDEX(B5551:B$2,-1+SUMPRODUCT(MAX(ROW(E5551:E$2)*(E5552=E5551:E$2)))))</f>
        <v> </v>
      </c>
      <c r="J5552" s="26" t="str">
        <f>IF(OR(E5552="",E5552="!!!",F5552="NEW"),"",COUNTBLANK(OFFSET(A$1,,,SUMPRODUCT(MAX(ROW(E$2:E5552)*(E5552=E$2:E5552)))))-COUNTBLANK(OFFSET(A$1,,,SUMPRODUCT(MAX(ROW(E$1:E5551)*(E2=E$1:E5551))))))</f>
        <v> </v>
      </c>
      <c r="K5552" s="26" t="str">
        <f>IF(OR(E5552="",E5552="!!!",F5552="NEW"),"",INDEX(J$1:J5551,SUMPRODUCT(MAX(ROW(E$1:E5551)*(E5552=E$1:E5551)))))</f>
        <v> </v>
      </c>
      <c r="L5552" s="27"/>
    </row>
    <row r="5553" spans="1:12">
      <c r="A5553" s="20" t="s">
        <v>1942</v>
      </c>
      <c r="B5553" s="21" t="s">
        <v>1221</v>
      </c>
      <c r="C5553" s="21" t="s">
        <v>1269</v>
      </c>
      <c r="D5553" s="21" t="s">
        <v>1217</v>
      </c>
      <c r="E5553" s="22">
        <f>IF(D5553="?OLD","!!!","")</f>
        <v/>
      </c>
      <c r="F5553" s="23" t="str">
        <f>IF(OR(E5553="",E5553="!!!"),"",IF(NOT(ISNA(VLOOKUP(E5553,E$1:E5552,1,FALSE()))),"OLD",IF(AND(E5553&lt;&gt;"",E5553&lt;&gt;"!!!"),"NEW","")))</f>
        <v> </v>
      </c>
      <c r="G5553" s="24" t="str">
        <f>IF(OR(E5553="",E5553="!!!"),"",IF(OR(J5553=0,AND(J5553=1,K5553=1),AND(J5553=1,I5553="SBJ"),AND(J5553=1,I5553=0)),"?IN_FOCUS",IF(J5553&lt;=2,"?ACTIVATED",IF(J5553&lt;&gt;"","?FAMILIAR",IF(F5553="NEW",IF(ISNA(VLOOKUP(E5553,#REF!,1,FALSE())),"?TYPE_IDENTIFIABLE","?REFERENTIAL"),"_")))))</f>
        <v> </v>
      </c>
      <c r="H5553" s="25" t="str">
        <f>IF(J5553&lt;&gt;1,"",IF(I5553="SBJ","CB","?"))</f>
        <v> </v>
      </c>
      <c r="I5553" s="26" t="str">
        <f>IF(OR(E5553="",E5553="!!!",F5553="NEW"),"",INDEX(B5552:B$2,-1+SUMPRODUCT(MAX(ROW(E5552:E$2)*(E5553=E5552:E$2)))))</f>
        <v> </v>
      </c>
      <c r="J5553" s="26" t="str">
        <f>IF(OR(E5553="",E5553="!!!",F5553="NEW"),"",COUNTBLANK(OFFSET(A$1,,,SUMPRODUCT(MAX(ROW(E$2:E5553)*(E5553=E$2:E5553)))))-COUNTBLANK(OFFSET(A$1,,,SUMPRODUCT(MAX(ROW(E$1:E5552)*(E2=E$1:E5552))))))</f>
        <v> </v>
      </c>
      <c r="K5553" s="26" t="str">
        <f>IF(OR(E5553="",E5553="!!!",F5553="NEW"),"",INDEX(J$1:J5552,SUMPRODUCT(MAX(ROW(E$1:E5552)*(E5553=E$1:E5552)))))</f>
        <v> </v>
      </c>
      <c r="L5553" s="27"/>
    </row>
    <row r="5554" spans="1:12">
      <c r="A5554" s="20" t="s">
        <v>1262</v>
      </c>
      <c r="E5554" s="22">
        <f>IF(D5554="?OLD","!!!","")</f>
        <v/>
      </c>
      <c r="F5554" s="23" t="str">
        <f>IF(OR(E5554="",E5554="!!!"),"",IF(NOT(ISNA(VLOOKUP(E5554,E$1:E5553,1,FALSE()))),"OLD",IF(AND(E5554&lt;&gt;"",E5554&lt;&gt;"!!!"),"NEW","")))</f>
        <v> </v>
      </c>
      <c r="G5554" s="24" t="str">
        <f>IF(OR(E5554="",E5554="!!!"),"",IF(OR(J5554=0,AND(J5554=1,K5554=1),AND(J5554=1,I5554="SBJ"),AND(J5554=1,I5554=0)),"?IN_FOCUS",IF(J5554&lt;=2,"?ACTIVATED",IF(J5554&lt;&gt;"","?FAMILIAR",IF(F5554="NEW",IF(ISNA(VLOOKUP(E5554,#REF!,1,FALSE())),"?TYPE_IDENTIFIABLE","?REFERENTIAL"),"_")))))</f>
        <v> </v>
      </c>
      <c r="H5554" s="25" t="str">
        <f>IF(J5554&lt;&gt;1,"",IF(I5554="SBJ","CB","?"))</f>
        <v> </v>
      </c>
      <c r="I5554" s="26" t="str">
        <f>IF(OR(E5554="",E5554="!!!",F5554="NEW"),"",INDEX(B5553:B$2,-1+SUMPRODUCT(MAX(ROW(E5553:E$2)*(E5554=E5553:E$2)))))</f>
        <v> </v>
      </c>
      <c r="J5554" s="26" t="str">
        <f>IF(OR(E5554="",E5554="!!!",F5554="NEW"),"",COUNTBLANK(OFFSET(A$1,,,SUMPRODUCT(MAX(ROW(E$2:E5554)*(E5554=E$2:E5554)))))-COUNTBLANK(OFFSET(A$1,,,SUMPRODUCT(MAX(ROW(E$1:E5553)*(E2=E$1:E5553))))))</f>
        <v> </v>
      </c>
      <c r="K5554" s="26" t="str">
        <f>IF(OR(E5554="",E5554="!!!",F5554="NEW"),"",INDEX(J$1:J5553,SUMPRODUCT(MAX(ROW(E$1:E5553)*(E5554=E$1:E5553)))))</f>
        <v> </v>
      </c>
      <c r="L5554" s="27"/>
    </row>
    <row r="5555" spans="1:12">
      <c r="A5555" s="20"/>
    </row>
    <row r="5556" spans="1:12">
      <c r="A5556" s="20" t="s">
        <v>2961</v>
      </c>
    </row>
    <row r="5557" spans="1:12">
      <c r="A5557" s="20" t="s">
        <v>2962</v>
      </c>
      <c r="E5557" s="22">
        <f>IF(D5557="?OLD","!!!","")</f>
        <v/>
      </c>
      <c r="F5557" s="23" t="str">
        <f>IF(OR(E5557="",E5557="!!!"),"",IF(NOT(ISNA(VLOOKUP(E5557,E$1:E5556,1,FALSE()))),"OLD",IF(AND(E5557&lt;&gt;"",E5557&lt;&gt;"!!!"),"NEW","")))</f>
        <v> </v>
      </c>
      <c r="G5557" s="24" t="str">
        <f>IF(OR(E5557="",E5557="!!!"),"",IF(OR(J5557=0,AND(J5557=1,K5557=1),AND(J5557=1,I5557="SBJ"),AND(J5557=1,I5557=0)),"?IN_FOCUS",IF(J5557&lt;=2,"?ACTIVATED",IF(J5557&lt;&gt;"","?FAMILIAR",IF(F5557="NEW",IF(ISNA(VLOOKUP(E5557,#REF!,1,FALSE())),"?TYPE_IDENTIFIABLE","?REFERENTIAL"),"_")))))</f>
        <v> </v>
      </c>
      <c r="H5557" s="25" t="str">
        <f>IF(J5557&lt;&gt;1,"",IF(I5557="SBJ","CB","?"))</f>
        <v> </v>
      </c>
      <c r="I5557" s="26" t="str">
        <f>IF(OR(E5557="",E5557="!!!",F5557="NEW"),"",INDEX(B5556:B$2,-1+SUMPRODUCT(MAX(ROW(E5556:E$2)*(E5557=E5556:E$2)))))</f>
        <v> </v>
      </c>
      <c r="J5557" s="26" t="str">
        <f>IF(OR(E5557="",E5557="!!!",F5557="NEW"),"",COUNTBLANK(OFFSET(A$1,,,SUMPRODUCT(MAX(ROW(E$2:E5557)*(E5557=E$2:E5557)))))-COUNTBLANK(OFFSET(A$1,,,SUMPRODUCT(MAX(ROW(E$1:E5556)*(E2=E$1:E5556))))))</f>
        <v> </v>
      </c>
      <c r="K5557" s="26" t="str">
        <f>IF(OR(E5557="",E5557="!!!",F5557="NEW"),"",INDEX(J$1:J5556,SUMPRODUCT(MAX(ROW(E$1:E5556)*(E5557=E$1:E5556)))))</f>
        <v> </v>
      </c>
      <c r="L5557" s="27"/>
    </row>
    <row r="5558" spans="1:12">
      <c r="A5558" s="20" t="s">
        <v>1149</v>
      </c>
      <c r="B5558" s="21" t="s">
        <v>1244</v>
      </c>
      <c r="C5558" s="21" t="s">
        <v>1225</v>
      </c>
      <c r="D5558" s="21" t="s">
        <v>1217</v>
      </c>
      <c r="E5558" s="22">
        <f>IF(D5558="?OLD","!!!","")</f>
        <v/>
      </c>
      <c r="F5558" s="23" t="str">
        <f>IF(OR(E5558="",E5558="!!!"),"",IF(NOT(ISNA(VLOOKUP(E5558,E$1:E5557,1,FALSE()))),"OLD",IF(AND(E5558&lt;&gt;"",E5558&lt;&gt;"!!!"),"NEW","")))</f>
        <v> </v>
      </c>
      <c r="G5558" s="24" t="str">
        <f>IF(OR(E5558="",E5558="!!!"),"",IF(OR(J5558=0,AND(J5558=1,K5558=1),AND(J5558=1,I5558="SBJ"),AND(J5558=1,I5558=0)),"?IN_FOCUS",IF(J5558&lt;=2,"?ACTIVATED",IF(J5558&lt;&gt;"","?FAMILIAR",IF(F5558="NEW",IF(ISNA(VLOOKUP(E5558,#REF!,1,FALSE())),"?TYPE_IDENTIFIABLE","?REFERENTIAL"),"_")))))</f>
        <v> </v>
      </c>
      <c r="H5558" s="25" t="str">
        <f>IF(J5558&lt;&gt;1,"",IF(I5558="SBJ","CB","?"))</f>
        <v> </v>
      </c>
      <c r="I5558" s="26" t="str">
        <f>IF(OR(E5558="",E5558="!!!",F5558="NEW"),"",INDEX(B5557:B$2,-1+SUMPRODUCT(MAX(ROW(E5557:E$2)*(E5558=E5557:E$2)))))</f>
        <v> </v>
      </c>
      <c r="J5558" s="26" t="str">
        <f>IF(OR(E5558="",E5558="!!!",F5558="NEW"),"",COUNTBLANK(OFFSET(A$1,,,SUMPRODUCT(MAX(ROW(E$2:E5558)*(E5558=E$2:E5558)))))-COUNTBLANK(OFFSET(A$1,,,SUMPRODUCT(MAX(ROW(E$1:E5557)*(E2=E$1:E5557))))))</f>
        <v> </v>
      </c>
      <c r="K5558" s="26" t="str">
        <f>IF(OR(E5558="",E5558="!!!",F5558="NEW"),"",INDEX(J$1:J5557,SUMPRODUCT(MAX(ROW(E$1:E5557)*(E5558=E$1:E5557)))))</f>
        <v> </v>
      </c>
      <c r="L5558" s="27"/>
    </row>
    <row r="5559" spans="1:12">
      <c r="A5559" s="20" t="s">
        <v>1503</v>
      </c>
      <c r="E5559" s="22">
        <f>IF(D5559="?OLD","!!!","")</f>
        <v/>
      </c>
      <c r="F5559" s="23" t="str">
        <f>IF(OR(E5559="",E5559="!!!"),"",IF(NOT(ISNA(VLOOKUP(E5559,E$1:E5558,1,FALSE()))),"OLD",IF(AND(E5559&lt;&gt;"",E5559&lt;&gt;"!!!"),"NEW","")))</f>
        <v> </v>
      </c>
      <c r="G5559" s="24" t="str">
        <f>IF(OR(E5559="",E5559="!!!"),"",IF(OR(J5559=0,AND(J5559=1,K5559=1),AND(J5559=1,I5559="SBJ"),AND(J5559=1,I5559=0)),"?IN_FOCUS",IF(J5559&lt;=2,"?ACTIVATED",IF(J5559&lt;&gt;"","?FAMILIAR",IF(F5559="NEW",IF(ISNA(VLOOKUP(E5559,#REF!,1,FALSE())),"?TYPE_IDENTIFIABLE","?REFERENTIAL"),"_")))))</f>
        <v> </v>
      </c>
      <c r="H5559" s="25" t="str">
        <f>IF(J5559&lt;&gt;1,"",IF(I5559="SBJ","CB","?"))</f>
        <v> </v>
      </c>
      <c r="I5559" s="26" t="str">
        <f>IF(OR(E5559="",E5559="!!!",F5559="NEW"),"",INDEX(B5558:B$2,-1+SUMPRODUCT(MAX(ROW(E5558:E$2)*(E5559=E5558:E$2)))))</f>
        <v> </v>
      </c>
      <c r="J5559" s="26" t="str">
        <f>IF(OR(E5559="",E5559="!!!",F5559="NEW"),"",COUNTBLANK(OFFSET(A$1,,,SUMPRODUCT(MAX(ROW(E$2:E5559)*(E5559=E$2:E5559)))))-COUNTBLANK(OFFSET(A$1,,,SUMPRODUCT(MAX(ROW(E$1:E5558)*(E2=E$1:E5558))))))</f>
        <v> </v>
      </c>
      <c r="K5559" s="26" t="str">
        <f>IF(OR(E5559="",E5559="!!!",F5559="NEW"),"",INDEX(J$1:J5558,SUMPRODUCT(MAX(ROW(E$1:E5558)*(E5559=E$1:E5558)))))</f>
        <v> </v>
      </c>
      <c r="L5559" s="27"/>
    </row>
    <row r="5560" spans="1:12">
      <c r="A5560" s="20"/>
    </row>
    <row r="5561" spans="1:12">
      <c r="A5561" s="20" t="s">
        <v>2963</v>
      </c>
    </row>
    <row r="5562" spans="1:12">
      <c r="A5562" s="20" t="s">
        <v>1962</v>
      </c>
      <c r="B5562" s="21" t="s">
        <v>1215</v>
      </c>
      <c r="C5562" s="21" t="s">
        <v>1234</v>
      </c>
      <c r="D5562" s="21" t="s">
        <v>1217</v>
      </c>
      <c r="E5562" s="22">
        <f>IF(D5562="?OLD","!!!","")</f>
        <v/>
      </c>
      <c r="F5562" s="23" t="str">
        <f>IF(OR(E5562="",E5562="!!!"),"",IF(NOT(ISNA(VLOOKUP(E5562,E$1:E5561,1,FALSE()))),"OLD",IF(AND(E5562&lt;&gt;"",E5562&lt;&gt;"!!!"),"NEW","")))</f>
        <v> </v>
      </c>
      <c r="G5562" s="24" t="str">
        <f>IF(OR(E5562="",E5562="!!!"),"",IF(OR(J5562=0,AND(J5562=1,K5562=1),AND(J5562=1,I5562="SBJ"),AND(J5562=1,I5562=0)),"?IN_FOCUS",IF(J5562&lt;=2,"?ACTIVATED",IF(J5562&lt;&gt;"","?FAMILIAR",IF(F5562="NEW",IF(ISNA(VLOOKUP(E5562,#REF!,1,FALSE())),"?TYPE_IDENTIFIABLE","?REFERENTIAL"),"_")))))</f>
        <v> </v>
      </c>
      <c r="H5562" s="25" t="str">
        <f>IF(J5562&lt;&gt;1,"",IF(I5562="SBJ","CB","?"))</f>
        <v> </v>
      </c>
      <c r="I5562" s="26" t="str">
        <f>IF(OR(E5562="",E5562="!!!",F5562="NEW"),"",INDEX(B5561:B$2,-1+SUMPRODUCT(MAX(ROW(E5561:E$2)*(E5562=E5561:E$2)))))</f>
        <v> </v>
      </c>
      <c r="J5562" s="26" t="str">
        <f>IF(OR(E5562="",E5562="!!!",F5562="NEW"),"",COUNTBLANK(OFFSET(A$1,,,SUMPRODUCT(MAX(ROW(E$2:E5562)*(E5562=E$2:E5562)))))-COUNTBLANK(OFFSET(A$1,,,SUMPRODUCT(MAX(ROW(E$1:E5561)*(E2=E$1:E5561))))))</f>
        <v> </v>
      </c>
      <c r="K5562" s="26" t="str">
        <f>IF(OR(E5562="",E5562="!!!",F5562="NEW"),"",INDEX(J$1:J5561,SUMPRODUCT(MAX(ROW(E$1:E5561)*(E5562=E$1:E5561)))))</f>
        <v> </v>
      </c>
      <c r="L5562" s="27"/>
    </row>
    <row r="5563" spans="1:12">
      <c r="A5563" s="20" t="s">
        <v>1302</v>
      </c>
      <c r="E5563" s="22">
        <f>IF(D5563="?OLD","!!!","")</f>
        <v/>
      </c>
      <c r="F5563" s="23" t="str">
        <f>IF(OR(E5563="",E5563="!!!"),"",IF(NOT(ISNA(VLOOKUP(E5563,E$1:E5562,1,FALSE()))),"OLD",IF(AND(E5563&lt;&gt;"",E5563&lt;&gt;"!!!"),"NEW","")))</f>
        <v> </v>
      </c>
      <c r="G5563" s="24" t="str">
        <f>IF(OR(E5563="",E5563="!!!"),"",IF(OR(J5563=0,AND(J5563=1,K5563=1),AND(J5563=1,I5563="SBJ"),AND(J5563=1,I5563=0)),"?IN_FOCUS",IF(J5563&lt;=2,"?ACTIVATED",IF(J5563&lt;&gt;"","?FAMILIAR",IF(F5563="NEW",IF(ISNA(VLOOKUP(E5563,#REF!,1,FALSE())),"?TYPE_IDENTIFIABLE","?REFERENTIAL"),"_")))))</f>
        <v> </v>
      </c>
      <c r="H5563" s="25" t="str">
        <f>IF(J5563&lt;&gt;1,"",IF(I5563="SBJ","CB","?"))</f>
        <v> </v>
      </c>
      <c r="I5563" s="26" t="str">
        <f>IF(OR(E5563="",E5563="!!!",F5563="NEW"),"",INDEX(B5562:B$2,-1+SUMPRODUCT(MAX(ROW(E5562:E$2)*(E5563=E5562:E$2)))))</f>
        <v> </v>
      </c>
      <c r="J5563" s="26" t="str">
        <f>IF(OR(E5563="",E5563="!!!",F5563="NEW"),"",COUNTBLANK(OFFSET(A$1,,,SUMPRODUCT(MAX(ROW(E$2:E5563)*(E5563=E$2:E5563)))))-COUNTBLANK(OFFSET(A$1,,,SUMPRODUCT(MAX(ROW(E$1:E5562)*(E2=E$1:E5562))))))</f>
        <v> </v>
      </c>
      <c r="K5563" s="26" t="str">
        <f>IF(OR(E5563="",E5563="!!!",F5563="NEW"),"",INDEX(J$1:J5562,SUMPRODUCT(MAX(ROW(E$1:E5562)*(E5563=E$1:E5562)))))</f>
        <v> </v>
      </c>
      <c r="L5563" s="27"/>
    </row>
    <row r="5564" spans="1:12">
      <c r="A5564" s="20" t="s">
        <v>1235</v>
      </c>
      <c r="E5564" s="22">
        <f>IF(D5564="?OLD","!!!","")</f>
        <v/>
      </c>
      <c r="F5564" s="23" t="str">
        <f>IF(OR(E5564="",E5564="!!!"),"",IF(NOT(ISNA(VLOOKUP(E5564,E$1:E5563,1,FALSE()))),"OLD",IF(AND(E5564&lt;&gt;"",E5564&lt;&gt;"!!!"),"NEW","")))</f>
        <v> </v>
      </c>
      <c r="G5564" s="24" t="str">
        <f>IF(OR(E5564="",E5564="!!!"),"",IF(OR(J5564=0,AND(J5564=1,K5564=1),AND(J5564=1,I5564="SBJ"),AND(J5564=1,I5564=0)),"?IN_FOCUS",IF(J5564&lt;=2,"?ACTIVATED",IF(J5564&lt;&gt;"","?FAMILIAR",IF(F5564="NEW",IF(ISNA(VLOOKUP(E5564,#REF!,1,FALSE())),"?TYPE_IDENTIFIABLE","?REFERENTIAL"),"_")))))</f>
        <v> </v>
      </c>
      <c r="H5564" s="25" t="str">
        <f>IF(J5564&lt;&gt;1,"",IF(I5564="SBJ","CB","?"))</f>
        <v> </v>
      </c>
      <c r="I5564" s="26" t="str">
        <f>IF(OR(E5564="",E5564="!!!",F5564="NEW"),"",INDEX(B5563:B$2,-1+SUMPRODUCT(MAX(ROW(E5563:E$2)*(E5564=E5563:E$2)))))</f>
        <v> </v>
      </c>
      <c r="J5564" s="26" t="str">
        <f>IF(OR(E5564="",E5564="!!!",F5564="NEW"),"",COUNTBLANK(OFFSET(A$1,,,SUMPRODUCT(MAX(ROW(E$2:E5564)*(E5564=E$2:E5564)))))-COUNTBLANK(OFFSET(A$1,,,SUMPRODUCT(MAX(ROW(E$1:E5563)*(E2=E$1:E5563))))))</f>
        <v> </v>
      </c>
      <c r="K5564" s="26" t="str">
        <f>IF(OR(E5564="",E5564="!!!",F5564="NEW"),"",INDEX(J$1:J5563,SUMPRODUCT(MAX(ROW(E$1:E5563)*(E5564=E$1:E5563)))))</f>
        <v> </v>
      </c>
      <c r="L5564" s="27"/>
    </row>
    <row r="5565" spans="1:12">
      <c r="A5565" s="20" t="s">
        <v>2964</v>
      </c>
      <c r="B5565" s="21" t="s">
        <v>1244</v>
      </c>
      <c r="C5565" s="21" t="s">
        <v>1238</v>
      </c>
      <c r="E5565" s="22">
        <f>IF(D5565="?OLD","!!!","")</f>
        <v/>
      </c>
      <c r="F5565" s="23" t="str">
        <f>IF(OR(E5565="",E5565="!!!"),"",IF(NOT(ISNA(VLOOKUP(E5565,E$1:E5564,1,FALSE()))),"OLD",IF(AND(E5565&lt;&gt;"",E5565&lt;&gt;"!!!"),"NEW","")))</f>
        <v> </v>
      </c>
      <c r="G5565" s="24" t="str">
        <f>IF(OR(E5565="",E5565="!!!"),"",IF(OR(J5565=0,AND(J5565=1,K5565=1),AND(J5565=1,I5565="SBJ"),AND(J5565=1,I5565=0)),"?IN_FOCUS",IF(J5565&lt;=2,"?ACTIVATED",IF(J5565&lt;&gt;"","?FAMILIAR",IF(F5565="NEW",IF(ISNA(VLOOKUP(E5565,#REF!,1,FALSE())),"?TYPE_IDENTIFIABLE","?REFERENTIAL"),"_")))))</f>
        <v> </v>
      </c>
      <c r="H5565" s="25" t="str">
        <f>IF(J5565&lt;&gt;1,"",IF(I5565="SBJ","CB","?"))</f>
        <v> </v>
      </c>
      <c r="I5565" s="26" t="str">
        <f>IF(OR(E5565="",E5565="!!!",F5565="NEW"),"",INDEX(B5564:B$2,-1+SUMPRODUCT(MAX(ROW(E5564:E$2)*(E5565=E5564:E$2)))))</f>
        <v> </v>
      </c>
      <c r="J5565" s="26" t="str">
        <f>IF(OR(E5565="",E5565="!!!",F5565="NEW"),"",COUNTBLANK(OFFSET(A$1,,,SUMPRODUCT(MAX(ROW(E$2:E5565)*(E5565=E$2:E5565)))))-COUNTBLANK(OFFSET(A$1,,,SUMPRODUCT(MAX(ROW(E$1:E5564)*(E2=E$1:E5564))))))</f>
        <v> </v>
      </c>
      <c r="K5565" s="26" t="str">
        <f>IF(OR(E5565="",E5565="!!!",F5565="NEW"),"",INDEX(J$1:J5564,SUMPRODUCT(MAX(ROW(E$1:E5564)*(E5565=E$1:E5564)))))</f>
        <v> </v>
      </c>
      <c r="L5565" s="27"/>
    </row>
    <row r="5566" spans="1:12">
      <c r="A5566" s="20" t="s">
        <v>1503</v>
      </c>
      <c r="E5566" s="22">
        <f>IF(D5566="?OLD","!!!","")</f>
        <v/>
      </c>
      <c r="F5566" s="23" t="str">
        <f>IF(OR(E5566="",E5566="!!!"),"",IF(NOT(ISNA(VLOOKUP(E5566,E$1:E5565,1,FALSE()))),"OLD",IF(AND(E5566&lt;&gt;"",E5566&lt;&gt;"!!!"),"NEW","")))</f>
        <v> </v>
      </c>
      <c r="G5566" s="24" t="str">
        <f>IF(OR(E5566="",E5566="!!!"),"",IF(OR(J5566=0,AND(J5566=1,K5566=1),AND(J5566=1,I5566="SBJ"),AND(J5566=1,I5566=0)),"?IN_FOCUS",IF(J5566&lt;=2,"?ACTIVATED",IF(J5566&lt;&gt;"","?FAMILIAR",IF(F5566="NEW",IF(ISNA(VLOOKUP(E5566,#REF!,1,FALSE())),"?TYPE_IDENTIFIABLE","?REFERENTIAL"),"_")))))</f>
        <v> </v>
      </c>
      <c r="H5566" s="25" t="str">
        <f>IF(J5566&lt;&gt;1,"",IF(I5566="SBJ","CB","?"))</f>
        <v> </v>
      </c>
      <c r="I5566" s="26" t="str">
        <f>IF(OR(E5566="",E5566="!!!",F5566="NEW"),"",INDEX(B5565:B$2,-1+SUMPRODUCT(MAX(ROW(E5565:E$2)*(E5566=E5565:E$2)))))</f>
        <v> </v>
      </c>
      <c r="J5566" s="26" t="str">
        <f>IF(OR(E5566="",E5566="!!!",F5566="NEW"),"",COUNTBLANK(OFFSET(A$1,,,SUMPRODUCT(MAX(ROW(E$2:E5566)*(E5566=E$2:E5566)))))-COUNTBLANK(OFFSET(A$1,,,SUMPRODUCT(MAX(ROW(E$1:E5565)*(E2=E$1:E5565))))))</f>
        <v> </v>
      </c>
      <c r="K5566" s="26" t="str">
        <f>IF(OR(E5566="",E5566="!!!",F5566="NEW"),"",INDEX(J$1:J5565,SUMPRODUCT(MAX(ROW(E$1:E5565)*(E5566=E$1:E5565)))))</f>
        <v> </v>
      </c>
      <c r="L5566" s="27"/>
    </row>
    <row r="5567" spans="1:12">
      <c r="A5567" s="20"/>
    </row>
    <row r="5568" spans="1:12">
      <c r="A5568" s="20" t="s">
        <v>2965</v>
      </c>
    </row>
    <row r="5569" spans="1:12">
      <c r="A5569" s="20" t="s">
        <v>2966</v>
      </c>
      <c r="B5569" s="21" t="s">
        <v>1244</v>
      </c>
      <c r="C5569" s="21" t="s">
        <v>1225</v>
      </c>
      <c r="D5569" s="21" t="s">
        <v>1217</v>
      </c>
      <c r="E5569" s="22">
        <f>IF(D5569="?OLD","!!!","")</f>
        <v/>
      </c>
      <c r="F5569" s="23" t="str">
        <f>IF(OR(E5569="",E5569="!!!"),"",IF(NOT(ISNA(VLOOKUP(E5569,E$1:E5568,1,FALSE()))),"OLD",IF(AND(E5569&lt;&gt;"",E5569&lt;&gt;"!!!"),"NEW","")))</f>
        <v> </v>
      </c>
      <c r="G5569" s="24" t="str">
        <f>IF(OR(E5569="",E5569="!!!"),"",IF(OR(J5569=0,AND(J5569=1,K5569=1),AND(J5569=1,I5569="SBJ"),AND(J5569=1,I5569=0)),"?IN_FOCUS",IF(J5569&lt;=2,"?ACTIVATED",IF(J5569&lt;&gt;"","?FAMILIAR",IF(F5569="NEW",IF(ISNA(VLOOKUP(E5569,#REF!,1,FALSE())),"?TYPE_IDENTIFIABLE","?REFERENTIAL"),"_")))))</f>
        <v> </v>
      </c>
      <c r="H5569" s="25" t="str">
        <f>IF(J5569&lt;&gt;1,"",IF(I5569="SBJ","CB","?"))</f>
        <v> </v>
      </c>
      <c r="I5569" s="26" t="str">
        <f>IF(OR(E5569="",E5569="!!!",F5569="NEW"),"",INDEX(B5568:B$2,-1+SUMPRODUCT(MAX(ROW(E5568:E$2)*(E5569=E5568:E$2)))))</f>
        <v> </v>
      </c>
      <c r="J5569" s="26" t="str">
        <f>IF(OR(E5569="",E5569="!!!",F5569="NEW"),"",COUNTBLANK(OFFSET(A$1,,,SUMPRODUCT(MAX(ROW(E$2:E5569)*(E5569=E$2:E5569)))))-COUNTBLANK(OFFSET(A$1,,,SUMPRODUCT(MAX(ROW(E$1:E5568)*(E2=E$1:E5568))))))</f>
        <v> </v>
      </c>
      <c r="K5569" s="26" t="str">
        <f>IF(OR(E5569="",E5569="!!!",F5569="NEW"),"",INDEX(J$1:J5568,SUMPRODUCT(MAX(ROW(E$1:E5568)*(E5569=E$1:E5568)))))</f>
        <v> </v>
      </c>
      <c r="L5569" s="27"/>
    </row>
    <row r="5570" spans="1:12">
      <c r="A5570" s="20" t="s">
        <v>2743</v>
      </c>
      <c r="B5570" s="21" t="s">
        <v>1221</v>
      </c>
      <c r="C5570" s="21" t="s">
        <v>1225</v>
      </c>
      <c r="D5570" s="21" t="s">
        <v>1217</v>
      </c>
      <c r="E5570" s="22">
        <f>IF(D5570="?OLD","!!!","")</f>
        <v/>
      </c>
      <c r="F5570" s="23" t="str">
        <f>IF(OR(E5570="",E5570="!!!"),"",IF(NOT(ISNA(VLOOKUP(E5570,E$1:E5569,1,FALSE()))),"OLD",IF(AND(E5570&lt;&gt;"",E5570&lt;&gt;"!!!"),"NEW","")))</f>
        <v> </v>
      </c>
      <c r="G5570" s="24" t="str">
        <f>IF(OR(E5570="",E5570="!!!"),"",IF(OR(J5570=0,AND(J5570=1,K5570=1),AND(J5570=1,I5570="SBJ"),AND(J5570=1,I5570=0)),"?IN_FOCUS",IF(J5570&lt;=2,"?ACTIVATED",IF(J5570&lt;&gt;"","?FAMILIAR",IF(F5570="NEW",IF(ISNA(VLOOKUP(E5570,#REF!,1,FALSE())),"?TYPE_IDENTIFIABLE","?REFERENTIAL"),"_")))))</f>
        <v> </v>
      </c>
      <c r="H5570" s="25" t="str">
        <f>IF(J5570&lt;&gt;1,"",IF(I5570="SBJ","CB","?"))</f>
        <v> </v>
      </c>
      <c r="I5570" s="26" t="str">
        <f>IF(OR(E5570="",E5570="!!!",F5570="NEW"),"",INDEX(B5569:B$2,-1+SUMPRODUCT(MAX(ROW(E5569:E$2)*(E5570=E5569:E$2)))))</f>
        <v> </v>
      </c>
      <c r="J5570" s="26" t="str">
        <f>IF(OR(E5570="",E5570="!!!",F5570="NEW"),"",COUNTBLANK(OFFSET(A$1,,,SUMPRODUCT(MAX(ROW(E$2:E5570)*(E5570=E$2:E5570)))))-COUNTBLANK(OFFSET(A$1,,,SUMPRODUCT(MAX(ROW(E$1:E5569)*(E2=E$1:E5569))))))</f>
        <v> </v>
      </c>
      <c r="K5570" s="26" t="str">
        <f>IF(OR(E5570="",E5570="!!!",F5570="NEW"),"",INDEX(J$1:J5569,SUMPRODUCT(MAX(ROW(E$1:E5569)*(E5570=E$1:E5569)))))</f>
        <v> </v>
      </c>
      <c r="L5570" s="27"/>
    </row>
    <row r="5571" spans="1:12">
      <c r="A5571" s="20" t="s">
        <v>1277</v>
      </c>
      <c r="E5571" s="22">
        <f>IF(D5571="?OLD","!!!","")</f>
        <v/>
      </c>
      <c r="F5571" s="23" t="str">
        <f>IF(OR(E5571="",E5571="!!!"),"",IF(NOT(ISNA(VLOOKUP(E5571,E$1:E5570,1,FALSE()))),"OLD",IF(AND(E5571&lt;&gt;"",E5571&lt;&gt;"!!!"),"NEW","")))</f>
        <v> </v>
      </c>
      <c r="G5571" s="24" t="str">
        <f>IF(OR(E5571="",E5571="!!!"),"",IF(OR(J5571=0,AND(J5571=1,K5571=1),AND(J5571=1,I5571="SBJ"),AND(J5571=1,I5571=0)),"?IN_FOCUS",IF(J5571&lt;=2,"?ACTIVATED",IF(J5571&lt;&gt;"","?FAMILIAR",IF(F5571="NEW",IF(ISNA(VLOOKUP(E5571,#REF!,1,FALSE())),"?TYPE_IDENTIFIABLE","?REFERENTIAL"),"_")))))</f>
        <v> </v>
      </c>
      <c r="H5571" s="25" t="str">
        <f>IF(J5571&lt;&gt;1,"",IF(I5571="SBJ","CB","?"))</f>
        <v> </v>
      </c>
      <c r="I5571" s="26" t="str">
        <f>IF(OR(E5571="",E5571="!!!",F5571="NEW"),"",INDEX(B5570:B$2,-1+SUMPRODUCT(MAX(ROW(E5570:E$2)*(E5571=E5570:E$2)))))</f>
        <v> </v>
      </c>
      <c r="J5571" s="26" t="str">
        <f>IF(OR(E5571="",E5571="!!!",F5571="NEW"),"",COUNTBLANK(OFFSET(A$1,,,SUMPRODUCT(MAX(ROW(E$2:E5571)*(E5571=E$2:E5571)))))-COUNTBLANK(OFFSET(A$1,,,SUMPRODUCT(MAX(ROW(E$1:E5570)*(E2=E$1:E5570))))))</f>
        <v> </v>
      </c>
      <c r="K5571" s="26" t="str">
        <f>IF(OR(E5571="",E5571="!!!",F5571="NEW"),"",INDEX(J$1:J5570,SUMPRODUCT(MAX(ROW(E$1:E5570)*(E5571=E$1:E5570)))))</f>
        <v> </v>
      </c>
      <c r="L5571" s="27"/>
    </row>
    <row r="5572" spans="1:12">
      <c r="A5572" s="20" t="s">
        <v>565</v>
      </c>
      <c r="B5572" s="21" t="s">
        <v>1215</v>
      </c>
      <c r="C5572" s="21" t="s">
        <v>1255</v>
      </c>
      <c r="D5572" s="21" t="s">
        <v>1217</v>
      </c>
      <c r="E5572" s="22">
        <f>IF(D5572="?OLD","!!!","")</f>
        <v/>
      </c>
      <c r="F5572" s="23" t="str">
        <f>IF(OR(E5572="",E5572="!!!"),"",IF(NOT(ISNA(VLOOKUP(E5572,E$1:E5571,1,FALSE()))),"OLD",IF(AND(E5572&lt;&gt;"",E5572&lt;&gt;"!!!"),"NEW","")))</f>
        <v> </v>
      </c>
      <c r="G5572" s="24" t="str">
        <f>IF(OR(E5572="",E5572="!!!"),"",IF(OR(J5572=0,AND(J5572=1,K5572=1),AND(J5572=1,I5572="SBJ"),AND(J5572=1,I5572=0)),"?IN_FOCUS",IF(J5572&lt;=2,"?ACTIVATED",IF(J5572&lt;&gt;"","?FAMILIAR",IF(F5572="NEW",IF(ISNA(VLOOKUP(E5572,#REF!,1,FALSE())),"?TYPE_IDENTIFIABLE","?REFERENTIAL"),"_")))))</f>
        <v> </v>
      </c>
      <c r="H5572" s="25" t="str">
        <f>IF(J5572&lt;&gt;1,"",IF(I5572="SBJ","CB","?"))</f>
        <v> </v>
      </c>
      <c r="I5572" s="26" t="str">
        <f>IF(OR(E5572="",E5572="!!!",F5572="NEW"),"",INDEX(B5571:B$2,-1+SUMPRODUCT(MAX(ROW(E5571:E$2)*(E5572=E5571:E$2)))))</f>
        <v> </v>
      </c>
      <c r="J5572" s="26" t="str">
        <f>IF(OR(E5572="",E5572="!!!",F5572="NEW"),"",COUNTBLANK(OFFSET(A$1,,,SUMPRODUCT(MAX(ROW(E$2:E5572)*(E5572=E$2:E5572)))))-COUNTBLANK(OFFSET(A$1,,,SUMPRODUCT(MAX(ROW(E$1:E5571)*(E2=E$1:E5571))))))</f>
        <v> </v>
      </c>
      <c r="K5572" s="26" t="str">
        <f>IF(OR(E5572="",E5572="!!!",F5572="NEW"),"",INDEX(J$1:J5571,SUMPRODUCT(MAX(ROW(E$1:E5571)*(E5572=E$1:E5571)))))</f>
        <v> </v>
      </c>
      <c r="L5572" s="27"/>
    </row>
    <row r="5573" spans="1:12">
      <c r="A5573" s="20" t="s">
        <v>1225</v>
      </c>
      <c r="E5573" s="22">
        <f>IF(D5573="?OLD","!!!","")</f>
        <v/>
      </c>
      <c r="F5573" s="23" t="str">
        <f>IF(OR(E5573="",E5573="!!!"),"",IF(NOT(ISNA(VLOOKUP(E5573,E$1:E5572,1,FALSE()))),"OLD",IF(AND(E5573&lt;&gt;"",E5573&lt;&gt;"!!!"),"NEW","")))</f>
        <v> </v>
      </c>
      <c r="G5573" s="24" t="str">
        <f>IF(OR(E5573="",E5573="!!!"),"",IF(OR(J5573=0,AND(J5573=1,K5573=1),AND(J5573=1,I5573="SBJ"),AND(J5573=1,I5573=0)),"?IN_FOCUS",IF(J5573&lt;=2,"?ACTIVATED",IF(J5573&lt;&gt;"","?FAMILIAR",IF(F5573="NEW",IF(ISNA(VLOOKUP(E5573,#REF!,1,FALSE())),"?TYPE_IDENTIFIABLE","?REFERENTIAL"),"_")))))</f>
        <v> </v>
      </c>
      <c r="H5573" s="25" t="str">
        <f>IF(J5573&lt;&gt;1,"",IF(I5573="SBJ","CB","?"))</f>
        <v> </v>
      </c>
      <c r="I5573" s="26" t="str">
        <f>IF(OR(E5573="",E5573="!!!",F5573="NEW"),"",INDEX(B5572:B$2,-1+SUMPRODUCT(MAX(ROW(E5572:E$2)*(E5573=E5572:E$2)))))</f>
        <v> </v>
      </c>
      <c r="J5573" s="26" t="str">
        <f>IF(OR(E5573="",E5573="!!!",F5573="NEW"),"",COUNTBLANK(OFFSET(A$1,,,SUMPRODUCT(MAX(ROW(E$2:E5573)*(E5573=E$2:E5573)))))-COUNTBLANK(OFFSET(A$1,,,SUMPRODUCT(MAX(ROW(E$1:E5572)*(E2=E$1:E5572))))))</f>
        <v> </v>
      </c>
      <c r="K5573" s="26" t="str">
        <f>IF(OR(E5573="",E5573="!!!",F5573="NEW"),"",INDEX(J$1:J5572,SUMPRODUCT(MAX(ROW(E$1:E5572)*(E5573=E$1:E5572)))))</f>
        <v> </v>
      </c>
      <c r="L5573" s="27"/>
    </row>
    <row r="5574" spans="1:12">
      <c r="A5574" s="20" t="s">
        <v>2967</v>
      </c>
      <c r="E5574" s="22">
        <f>IF(D5574="?OLD","!!!","")</f>
        <v/>
      </c>
      <c r="F5574" s="23" t="str">
        <f>IF(OR(E5574="",E5574="!!!"),"",IF(NOT(ISNA(VLOOKUP(E5574,E$1:E5573,1,FALSE()))),"OLD",IF(AND(E5574&lt;&gt;"",E5574&lt;&gt;"!!!"),"NEW","")))</f>
        <v> </v>
      </c>
      <c r="G5574" s="24" t="str">
        <f>IF(OR(E5574="",E5574="!!!"),"",IF(OR(J5574=0,AND(J5574=1,K5574=1),AND(J5574=1,I5574="SBJ"),AND(J5574=1,I5574=0)),"?IN_FOCUS",IF(J5574&lt;=2,"?ACTIVATED",IF(J5574&lt;&gt;"","?FAMILIAR",IF(F5574="NEW",IF(ISNA(VLOOKUP(E5574,#REF!,1,FALSE())),"?TYPE_IDENTIFIABLE","?REFERENTIAL"),"_")))))</f>
        <v> </v>
      </c>
      <c r="H5574" s="25" t="str">
        <f>IF(J5574&lt;&gt;1,"",IF(I5574="SBJ","CB","?"))</f>
        <v> </v>
      </c>
      <c r="I5574" s="26" t="str">
        <f>IF(OR(E5574="",E5574="!!!",F5574="NEW"),"",INDEX(B5573:B$2,-1+SUMPRODUCT(MAX(ROW(E5573:E$2)*(E5574=E5573:E$2)))))</f>
        <v> </v>
      </c>
      <c r="J5574" s="26" t="str">
        <f>IF(OR(E5574="",E5574="!!!",F5574="NEW"),"",COUNTBLANK(OFFSET(A$1,,,SUMPRODUCT(MAX(ROW(E$2:E5574)*(E5574=E$2:E5574)))))-COUNTBLANK(OFFSET(A$1,,,SUMPRODUCT(MAX(ROW(E$1:E5573)*(E2=E$1:E5573))))))</f>
        <v> </v>
      </c>
      <c r="K5574" s="26" t="str">
        <f>IF(OR(E5574="",E5574="!!!",F5574="NEW"),"",INDEX(J$1:J5573,SUMPRODUCT(MAX(ROW(E$1:E5573)*(E5574=E$1:E5573)))))</f>
        <v> </v>
      </c>
      <c r="L5574" s="27"/>
    </row>
    <row r="5575" spans="1:12">
      <c r="A5575" s="20" t="s">
        <v>1596</v>
      </c>
      <c r="E5575" s="22">
        <f>IF(D5575="?OLD","!!!","")</f>
        <v/>
      </c>
      <c r="F5575" s="23" t="str">
        <f>IF(OR(E5575="",E5575="!!!"),"",IF(NOT(ISNA(VLOOKUP(E5575,E$1:E5574,1,FALSE()))),"OLD",IF(AND(E5575&lt;&gt;"",E5575&lt;&gt;"!!!"),"NEW","")))</f>
        <v> </v>
      </c>
      <c r="G5575" s="24" t="str">
        <f>IF(OR(E5575="",E5575="!!!"),"",IF(OR(J5575=0,AND(J5575=1,K5575=1),AND(J5575=1,I5575="SBJ"),AND(J5575=1,I5575=0)),"?IN_FOCUS",IF(J5575&lt;=2,"?ACTIVATED",IF(J5575&lt;&gt;"","?FAMILIAR",IF(F5575="NEW",IF(ISNA(VLOOKUP(E5575,#REF!,1,FALSE())),"?TYPE_IDENTIFIABLE","?REFERENTIAL"),"_")))))</f>
        <v> </v>
      </c>
      <c r="H5575" s="25" t="str">
        <f>IF(J5575&lt;&gt;1,"",IF(I5575="SBJ","CB","?"))</f>
        <v> </v>
      </c>
      <c r="I5575" s="26" t="str">
        <f>IF(OR(E5575="",E5575="!!!",F5575="NEW"),"",INDEX(B5574:B$2,-1+SUMPRODUCT(MAX(ROW(E5574:E$2)*(E5575=E5574:E$2)))))</f>
        <v> </v>
      </c>
      <c r="J5575" s="26" t="str">
        <f>IF(OR(E5575="",E5575="!!!",F5575="NEW"),"",COUNTBLANK(OFFSET(A$1,,,SUMPRODUCT(MAX(ROW(E$2:E5575)*(E5575=E$2:E5575)))))-COUNTBLANK(OFFSET(A$1,,,SUMPRODUCT(MAX(ROW(E$1:E5574)*(E2=E$1:E5574))))))</f>
        <v> </v>
      </c>
      <c r="K5575" s="26" t="str">
        <f>IF(OR(E5575="",E5575="!!!",F5575="NEW"),"",INDEX(J$1:J5574,SUMPRODUCT(MAX(ROW(E$1:E5574)*(E5575=E$1:E5574)))))</f>
        <v> </v>
      </c>
      <c r="L5575" s="27"/>
    </row>
    <row r="5576" spans="1:12">
      <c r="A5576" s="20" t="s">
        <v>1280</v>
      </c>
      <c r="B5576" s="21" t="s">
        <v>1221</v>
      </c>
      <c r="C5576" s="21" t="s">
        <v>1242</v>
      </c>
      <c r="D5576" s="21" t="s">
        <v>1217</v>
      </c>
      <c r="E5576" s="22">
        <f>IF(D5576="?OLD","!!!","")</f>
        <v/>
      </c>
      <c r="F5576" s="23" t="str">
        <f>IF(OR(E5576="",E5576="!!!"),"",IF(NOT(ISNA(VLOOKUP(E5576,E$1:E5575,1,FALSE()))),"OLD",IF(AND(E5576&lt;&gt;"",E5576&lt;&gt;"!!!"),"NEW","")))</f>
        <v> </v>
      </c>
      <c r="G5576" s="24" t="str">
        <f>IF(OR(E5576="",E5576="!!!"),"",IF(OR(J5576=0,AND(J5576=1,K5576=1),AND(J5576=1,I5576="SBJ"),AND(J5576=1,I5576=0)),"?IN_FOCUS",IF(J5576&lt;=2,"?ACTIVATED",IF(J5576&lt;&gt;"","?FAMILIAR",IF(F5576="NEW",IF(ISNA(VLOOKUP(E5576,#REF!,1,FALSE())),"?TYPE_IDENTIFIABLE","?REFERENTIAL"),"_")))))</f>
        <v> </v>
      </c>
      <c r="H5576" s="25" t="str">
        <f>IF(J5576&lt;&gt;1,"",IF(I5576="SBJ","CB","?"))</f>
        <v> </v>
      </c>
      <c r="I5576" s="26" t="str">
        <f>IF(OR(E5576="",E5576="!!!",F5576="NEW"),"",INDEX(B5575:B$2,-1+SUMPRODUCT(MAX(ROW(E5575:E$2)*(E5576=E5575:E$2)))))</f>
        <v> </v>
      </c>
      <c r="J5576" s="26" t="str">
        <f>IF(OR(E5576="",E5576="!!!",F5576="NEW"),"",COUNTBLANK(OFFSET(A$1,,,SUMPRODUCT(MAX(ROW(E$2:E5576)*(E5576=E$2:E5576)))))-COUNTBLANK(OFFSET(A$1,,,SUMPRODUCT(MAX(ROW(E$1:E5575)*(E2=E$1:E5575))))))</f>
        <v> </v>
      </c>
      <c r="K5576" s="26" t="str">
        <f>IF(OR(E5576="",E5576="!!!",F5576="NEW"),"",INDEX(J$1:J5575,SUMPRODUCT(MAX(ROW(E$1:E5575)*(E5576=E$1:E5575)))))</f>
        <v> </v>
      </c>
      <c r="L5576" s="27"/>
    </row>
    <row r="5577" spans="1:12">
      <c r="A5577" s="20" t="s">
        <v>2968</v>
      </c>
      <c r="B5577" s="21" t="s">
        <v>1275</v>
      </c>
      <c r="C5577" s="21" t="s">
        <v>1222</v>
      </c>
      <c r="D5577" s="21" t="s">
        <v>1217</v>
      </c>
      <c r="E5577" s="22">
        <f>IF(D5577="?OLD","!!!","")</f>
        <v/>
      </c>
      <c r="F5577" s="23" t="str">
        <f>IF(OR(E5577="",E5577="!!!"),"",IF(NOT(ISNA(VLOOKUP(E5577,E$1:E5576,1,FALSE()))),"OLD",IF(AND(E5577&lt;&gt;"",E5577&lt;&gt;"!!!"),"NEW","")))</f>
        <v> </v>
      </c>
      <c r="G5577" s="24" t="str">
        <f>IF(OR(E5577="",E5577="!!!"),"",IF(OR(J5577=0,AND(J5577=1,K5577=1),AND(J5577=1,I5577="SBJ"),AND(J5577=1,I5577=0)),"?IN_FOCUS",IF(J5577&lt;=2,"?ACTIVATED",IF(J5577&lt;&gt;"","?FAMILIAR",IF(F5577="NEW",IF(ISNA(VLOOKUP(E5577,#REF!,1,FALSE())),"?TYPE_IDENTIFIABLE","?REFERENTIAL"),"_")))))</f>
        <v> </v>
      </c>
      <c r="H5577" s="25" t="str">
        <f>IF(J5577&lt;&gt;1,"",IF(I5577="SBJ","CB","?"))</f>
        <v> </v>
      </c>
      <c r="I5577" s="26" t="str">
        <f>IF(OR(E5577="",E5577="!!!",F5577="NEW"),"",INDEX(B5576:B$2,-1+SUMPRODUCT(MAX(ROW(E5576:E$2)*(E5577=E5576:E$2)))))</f>
        <v> </v>
      </c>
      <c r="J5577" s="26" t="str">
        <f>IF(OR(E5577="",E5577="!!!",F5577="NEW"),"",COUNTBLANK(OFFSET(A$1,,,SUMPRODUCT(MAX(ROW(E$2:E5577)*(E5577=E$2:E5577)))))-COUNTBLANK(OFFSET(A$1,,,SUMPRODUCT(MAX(ROW(E$1:E5576)*(E2=E$1:E5576))))))</f>
        <v> </v>
      </c>
      <c r="K5577" s="26" t="str">
        <f>IF(OR(E5577="",E5577="!!!",F5577="NEW"),"",INDEX(J$1:J5576,SUMPRODUCT(MAX(ROW(E$1:E5576)*(E5577=E$1:E5576)))))</f>
        <v> </v>
      </c>
      <c r="L5577" s="27"/>
    </row>
    <row r="5578" spans="1:12">
      <c r="A5578" s="20" t="s">
        <v>1503</v>
      </c>
      <c r="E5578" s="22">
        <f>IF(D5578="?OLD","!!!","")</f>
        <v/>
      </c>
      <c r="F5578" s="23" t="str">
        <f>IF(OR(E5578="",E5578="!!!"),"",IF(NOT(ISNA(VLOOKUP(E5578,E$1:E5577,1,FALSE()))),"OLD",IF(AND(E5578&lt;&gt;"",E5578&lt;&gt;"!!!"),"NEW","")))</f>
        <v> </v>
      </c>
      <c r="G5578" s="24" t="str">
        <f>IF(OR(E5578="",E5578="!!!"),"",IF(OR(J5578=0,AND(J5578=1,K5578=1),AND(J5578=1,I5578="SBJ"),AND(J5578=1,I5578=0)),"?IN_FOCUS",IF(J5578&lt;=2,"?ACTIVATED",IF(J5578&lt;&gt;"","?FAMILIAR",IF(F5578="NEW",IF(ISNA(VLOOKUP(E5578,#REF!,1,FALSE())),"?TYPE_IDENTIFIABLE","?REFERENTIAL"),"_")))))</f>
        <v> </v>
      </c>
      <c r="H5578" s="25" t="str">
        <f>IF(J5578&lt;&gt;1,"",IF(I5578="SBJ","CB","?"))</f>
        <v> </v>
      </c>
      <c r="I5578" s="26" t="str">
        <f>IF(OR(E5578="",E5578="!!!",F5578="NEW"),"",INDEX(B5577:B$2,-1+SUMPRODUCT(MAX(ROW(E5577:E$2)*(E5578=E5577:E$2)))))</f>
        <v> </v>
      </c>
      <c r="J5578" s="26" t="str">
        <f>IF(OR(E5578="",E5578="!!!",F5578="NEW"),"",COUNTBLANK(OFFSET(A$1,,,SUMPRODUCT(MAX(ROW(E$2:E5578)*(E5578=E$2:E5578)))))-COUNTBLANK(OFFSET(A$1,,,SUMPRODUCT(MAX(ROW(E$1:E5577)*(E2=E$1:E5577))))))</f>
        <v> </v>
      </c>
      <c r="K5578" s="26" t="str">
        <f>IF(OR(E5578="",E5578="!!!",F5578="NEW"),"",INDEX(J$1:J5577,SUMPRODUCT(MAX(ROW(E$1:E5577)*(E5578=E$1:E5577)))))</f>
        <v> </v>
      </c>
      <c r="L5578" s="27"/>
    </row>
    <row r="5579" spans="1:12">
      <c r="A5579" s="20" t="s">
        <v>1611</v>
      </c>
      <c r="E5579" s="22">
        <f>IF(D5579="?OLD","!!!","")</f>
        <v/>
      </c>
      <c r="F5579" s="23" t="str">
        <f>IF(OR(E5579="",E5579="!!!"),"",IF(NOT(ISNA(VLOOKUP(E5579,E$1:E5578,1,FALSE()))),"OLD",IF(AND(E5579&lt;&gt;"",E5579&lt;&gt;"!!!"),"NEW","")))</f>
        <v> </v>
      </c>
      <c r="G5579" s="24" t="str">
        <f>IF(OR(E5579="",E5579="!!!"),"",IF(OR(J5579=0,AND(J5579=1,K5579=1),AND(J5579=1,I5579="SBJ"),AND(J5579=1,I5579=0)),"?IN_FOCUS",IF(J5579&lt;=2,"?ACTIVATED",IF(J5579&lt;&gt;"","?FAMILIAR",IF(F5579="NEW",IF(ISNA(VLOOKUP(E5579,#REF!,1,FALSE())),"?TYPE_IDENTIFIABLE","?REFERENTIAL"),"_")))))</f>
        <v> </v>
      </c>
      <c r="H5579" s="25" t="str">
        <f>IF(J5579&lt;&gt;1,"",IF(I5579="SBJ","CB","?"))</f>
        <v> </v>
      </c>
      <c r="I5579" s="26" t="str">
        <f>IF(OR(E5579="",E5579="!!!",F5579="NEW"),"",INDEX(B5578:B$2,-1+SUMPRODUCT(MAX(ROW(E5578:E$2)*(E5579=E5578:E$2)))))</f>
        <v> </v>
      </c>
      <c r="J5579" s="26" t="str">
        <f>IF(OR(E5579="",E5579="!!!",F5579="NEW"),"",COUNTBLANK(OFFSET(A$1,,,SUMPRODUCT(MAX(ROW(E$2:E5579)*(E5579=E$2:E5579)))))-COUNTBLANK(OFFSET(A$1,,,SUMPRODUCT(MAX(ROW(E$1:E5578)*(E2=E$1:E5578))))))</f>
        <v> </v>
      </c>
      <c r="K5579" s="26" t="str">
        <f>IF(OR(E5579="",E5579="!!!",F5579="NEW"),"",INDEX(J$1:J5578,SUMPRODUCT(MAX(ROW(E$1:E5578)*(E5579=E$1:E5578)))))</f>
        <v> </v>
      </c>
      <c r="L5579" s="27"/>
    </row>
    <row r="5580" spans="1:12">
      <c r="A5580" s="20"/>
    </row>
    <row r="5581" spans="1:12">
      <c r="A5581" s="20" t="s">
        <v>2969</v>
      </c>
    </row>
    <row r="5582" spans="1:12">
      <c r="A5582" s="20" t="s">
        <v>1361</v>
      </c>
      <c r="B5582" s="21" t="s">
        <v>1244</v>
      </c>
      <c r="C5582" s="21" t="s">
        <v>1255</v>
      </c>
      <c r="D5582" s="21" t="s">
        <v>1217</v>
      </c>
      <c r="E5582" s="22">
        <f>IF(D5582="?OLD","!!!","")</f>
        <v/>
      </c>
      <c r="F5582" s="23" t="str">
        <f>IF(OR(E5582="",E5582="!!!"),"",IF(NOT(ISNA(VLOOKUP(E5582,E$1:E5581,1,FALSE()))),"OLD",IF(AND(E5582&lt;&gt;"",E5582&lt;&gt;"!!!"),"NEW","")))</f>
        <v> </v>
      </c>
      <c r="G5582" s="24" t="str">
        <f>IF(OR(E5582="",E5582="!!!"),"",IF(OR(J5582=0,AND(J5582=1,K5582=1),AND(J5582=1,I5582="SBJ"),AND(J5582=1,I5582=0)),"?IN_FOCUS",IF(J5582&lt;=2,"?ACTIVATED",IF(J5582&lt;&gt;"","?FAMILIAR",IF(F5582="NEW",IF(ISNA(VLOOKUP(E5582,#REF!,1,FALSE())),"?TYPE_IDENTIFIABLE","?REFERENTIAL"),"_")))))</f>
        <v> </v>
      </c>
      <c r="H5582" s="25" t="str">
        <f>IF(J5582&lt;&gt;1,"",IF(I5582="SBJ","CB","?"))</f>
        <v> </v>
      </c>
      <c r="I5582" s="26" t="str">
        <f>IF(OR(E5582="",E5582="!!!",F5582="NEW"),"",INDEX(B5581:B$2,-1+SUMPRODUCT(MAX(ROW(E5581:E$2)*(E5582=E5581:E$2)))))</f>
        <v> </v>
      </c>
      <c r="J5582" s="26" t="str">
        <f>IF(OR(E5582="",E5582="!!!",F5582="NEW"),"",COUNTBLANK(OFFSET(A$1,,,SUMPRODUCT(MAX(ROW(E$2:E5582)*(E5582=E$2:E5582)))))-COUNTBLANK(OFFSET(A$1,,,SUMPRODUCT(MAX(ROW(E$1:E5581)*(E2=E$1:E5581))))))</f>
        <v> </v>
      </c>
      <c r="K5582" s="26" t="str">
        <f>IF(OR(E5582="",E5582="!!!",F5582="NEW"),"",INDEX(J$1:J5581,SUMPRODUCT(MAX(ROW(E$1:E5581)*(E5582=E$1:E5581)))))</f>
        <v> </v>
      </c>
      <c r="L5582" s="27"/>
    </row>
    <row r="5583" spans="1:12">
      <c r="A5583" s="20" t="s">
        <v>1623</v>
      </c>
      <c r="B5583" s="21" t="s">
        <v>1244</v>
      </c>
      <c r="C5583" s="21" t="s">
        <v>1279</v>
      </c>
      <c r="E5583" s="22">
        <f>IF(D5583="?OLD","!!!","")</f>
        <v/>
      </c>
      <c r="F5583" s="23" t="str">
        <f>IF(OR(E5583="",E5583="!!!"),"",IF(NOT(ISNA(VLOOKUP(E5583,E$1:E5582,1,FALSE()))),"OLD",IF(AND(E5583&lt;&gt;"",E5583&lt;&gt;"!!!"),"NEW","")))</f>
        <v> </v>
      </c>
      <c r="G5583" s="24" t="str">
        <f>IF(OR(E5583="",E5583="!!!"),"",IF(OR(J5583=0,AND(J5583=1,K5583=1),AND(J5583=1,I5583="SBJ"),AND(J5583=1,I5583=0)),"?IN_FOCUS",IF(J5583&lt;=2,"?ACTIVATED",IF(J5583&lt;&gt;"","?FAMILIAR",IF(F5583="NEW",IF(ISNA(VLOOKUP(E5583,#REF!,1,FALSE())),"?TYPE_IDENTIFIABLE","?REFERENTIAL"),"_")))))</f>
        <v> </v>
      </c>
      <c r="H5583" s="25" t="str">
        <f>IF(J5583&lt;&gt;1,"",IF(I5583="SBJ","CB","?"))</f>
        <v> </v>
      </c>
      <c r="I5583" s="26" t="str">
        <f>IF(OR(E5583="",E5583="!!!",F5583="NEW"),"",INDEX(B5582:B$2,-1+SUMPRODUCT(MAX(ROW(E5582:E$2)*(E5583=E5582:E$2)))))</f>
        <v> </v>
      </c>
      <c r="J5583" s="26" t="str">
        <f>IF(OR(E5583="",E5583="!!!",F5583="NEW"),"",COUNTBLANK(OFFSET(A$1,,,SUMPRODUCT(MAX(ROW(E$2:E5583)*(E5583=E$2:E5583)))))-COUNTBLANK(OFFSET(A$1,,,SUMPRODUCT(MAX(ROW(E$1:E5582)*(E2=E$1:E5582))))))</f>
        <v> </v>
      </c>
      <c r="K5583" s="26" t="str">
        <f>IF(OR(E5583="",E5583="!!!",F5583="NEW"),"",INDEX(J$1:J5582,SUMPRODUCT(MAX(ROW(E$1:E5582)*(E5583=E$1:E5582)))))</f>
        <v> </v>
      </c>
      <c r="L5583" s="27"/>
    </row>
    <row r="5584" spans="1:12">
      <c r="A5584" s="20" t="s">
        <v>1358</v>
      </c>
      <c r="B5584" s="21" t="s">
        <v>1249</v>
      </c>
      <c r="E5584" s="22">
        <f>IF(D5584="?OLD","!!!","")</f>
        <v/>
      </c>
      <c r="F5584" s="23" t="str">
        <f>IF(OR(E5584="",E5584="!!!"),"",IF(NOT(ISNA(VLOOKUP(E5584,E$1:E5583,1,FALSE()))),"OLD",IF(AND(E5584&lt;&gt;"",E5584&lt;&gt;"!!!"),"NEW","")))</f>
        <v> </v>
      </c>
      <c r="G5584" s="24" t="str">
        <f>IF(OR(E5584="",E5584="!!!"),"",IF(OR(J5584=0,AND(J5584=1,K5584=1),AND(J5584=1,I5584="SBJ"),AND(J5584=1,I5584=0)),"?IN_FOCUS",IF(J5584&lt;=2,"?ACTIVATED",IF(J5584&lt;&gt;"","?FAMILIAR",IF(F5584="NEW",IF(ISNA(VLOOKUP(E5584,#REF!,1,FALSE())),"?TYPE_IDENTIFIABLE","?REFERENTIAL"),"_")))))</f>
        <v> </v>
      </c>
      <c r="H5584" s="25" t="str">
        <f>IF(J5584&lt;&gt;1,"",IF(I5584="SBJ","CB","?"))</f>
        <v> </v>
      </c>
      <c r="I5584" s="26" t="str">
        <f>IF(OR(E5584="",E5584="!!!",F5584="NEW"),"",INDEX(B5583:B$2,-1+SUMPRODUCT(MAX(ROW(E5583:E$2)*(E5584=E5583:E$2)))))</f>
        <v> </v>
      </c>
      <c r="J5584" s="26" t="str">
        <f>IF(OR(E5584="",E5584="!!!",F5584="NEW"),"",COUNTBLANK(OFFSET(A$1,,,SUMPRODUCT(MAX(ROW(E$2:E5584)*(E5584=E$2:E5584)))))-COUNTBLANK(OFFSET(A$1,,,SUMPRODUCT(MAX(ROW(E$1:E5583)*(E2=E$1:E5583))))))</f>
        <v> </v>
      </c>
      <c r="K5584" s="26" t="str">
        <f>IF(OR(E5584="",E5584="!!!",F5584="NEW"),"",INDEX(J$1:J5583,SUMPRODUCT(MAX(ROW(E$1:E5583)*(E5584=E$1:E5583)))))</f>
        <v> </v>
      </c>
      <c r="L5584" s="27"/>
    </row>
    <row r="5585" spans="1:12">
      <c r="A5585" s="20" t="s">
        <v>565</v>
      </c>
      <c r="B5585" s="21" t="s">
        <v>1229</v>
      </c>
      <c r="C5585" s="21" t="s">
        <v>1255</v>
      </c>
      <c r="D5585" s="21" t="s">
        <v>1217</v>
      </c>
      <c r="E5585" s="22">
        <f>IF(D5585="?OLD","!!!","")</f>
        <v/>
      </c>
      <c r="F5585" s="23" t="str">
        <f>IF(OR(E5585="",E5585="!!!"),"",IF(NOT(ISNA(VLOOKUP(E5585,E$1:E5584,1,FALSE()))),"OLD",IF(AND(E5585&lt;&gt;"",E5585&lt;&gt;"!!!"),"NEW","")))</f>
        <v> </v>
      </c>
      <c r="G5585" s="24" t="str">
        <f>IF(OR(E5585="",E5585="!!!"),"",IF(OR(J5585=0,AND(J5585=1,K5585=1),AND(J5585=1,I5585="SBJ"),AND(J5585=1,I5585=0)),"?IN_FOCUS",IF(J5585&lt;=2,"?ACTIVATED",IF(J5585&lt;&gt;"","?FAMILIAR",IF(F5585="NEW",IF(ISNA(VLOOKUP(E5585,#REF!,1,FALSE())),"?TYPE_IDENTIFIABLE","?REFERENTIAL"),"_")))))</f>
        <v> </v>
      </c>
      <c r="H5585" s="25" t="str">
        <f>IF(J5585&lt;&gt;1,"",IF(I5585="SBJ","CB","?"))</f>
        <v> </v>
      </c>
      <c r="I5585" s="26" t="str">
        <f>IF(OR(E5585="",E5585="!!!",F5585="NEW"),"",INDEX(B5584:B$2,-1+SUMPRODUCT(MAX(ROW(E5584:E$2)*(E5585=E5584:E$2)))))</f>
        <v> </v>
      </c>
      <c r="J5585" s="26" t="str">
        <f>IF(OR(E5585="",E5585="!!!",F5585="NEW"),"",COUNTBLANK(OFFSET(A$1,,,SUMPRODUCT(MAX(ROW(E$2:E5585)*(E5585=E$2:E5585)))))-COUNTBLANK(OFFSET(A$1,,,SUMPRODUCT(MAX(ROW(E$1:E5584)*(E2=E$1:E5584))))))</f>
        <v> </v>
      </c>
      <c r="K5585" s="26" t="str">
        <f>IF(OR(E5585="",E5585="!!!",F5585="NEW"),"",INDEX(J$1:J5584,SUMPRODUCT(MAX(ROW(E$1:E5584)*(E5585=E$1:E5584)))))</f>
        <v> </v>
      </c>
      <c r="L5585" s="27"/>
    </row>
    <row r="5586" spans="1:12">
      <c r="A5586" s="20" t="s">
        <v>2970</v>
      </c>
      <c r="E5586" s="22">
        <f>IF(D5586="?OLD","!!!","")</f>
        <v/>
      </c>
      <c r="F5586" s="23" t="str">
        <f>IF(OR(E5586="",E5586="!!!"),"",IF(NOT(ISNA(VLOOKUP(E5586,E$1:E5585,1,FALSE()))),"OLD",IF(AND(E5586&lt;&gt;"",E5586&lt;&gt;"!!!"),"NEW","")))</f>
        <v> </v>
      </c>
      <c r="G5586" s="24" t="str">
        <f>IF(OR(E5586="",E5586="!!!"),"",IF(OR(J5586=0,AND(J5586=1,K5586=1),AND(J5586=1,I5586="SBJ"),AND(J5586=1,I5586=0)),"?IN_FOCUS",IF(J5586&lt;=2,"?ACTIVATED",IF(J5586&lt;&gt;"","?FAMILIAR",IF(F5586="NEW",IF(ISNA(VLOOKUP(E5586,#REF!,1,FALSE())),"?TYPE_IDENTIFIABLE","?REFERENTIAL"),"_")))))</f>
        <v> </v>
      </c>
      <c r="H5586" s="25" t="str">
        <f>IF(J5586&lt;&gt;1,"",IF(I5586="SBJ","CB","?"))</f>
        <v> </v>
      </c>
      <c r="I5586" s="26" t="str">
        <f>IF(OR(E5586="",E5586="!!!",F5586="NEW"),"",INDEX(B5585:B$2,-1+SUMPRODUCT(MAX(ROW(E5585:E$2)*(E5586=E5585:E$2)))))</f>
        <v> </v>
      </c>
      <c r="J5586" s="26" t="str">
        <f>IF(OR(E5586="",E5586="!!!",F5586="NEW"),"",COUNTBLANK(OFFSET(A$1,,,SUMPRODUCT(MAX(ROW(E$2:E5586)*(E5586=E$2:E5586)))))-COUNTBLANK(OFFSET(A$1,,,SUMPRODUCT(MAX(ROW(E$1:E5585)*(E2=E$1:E5585))))))</f>
        <v> </v>
      </c>
      <c r="K5586" s="26" t="str">
        <f>IF(OR(E5586="",E5586="!!!",F5586="NEW"),"",INDEX(J$1:J5585,SUMPRODUCT(MAX(ROW(E$1:E5585)*(E5586=E$1:E5585)))))</f>
        <v> </v>
      </c>
      <c r="L5586" s="27"/>
    </row>
    <row r="5587" spans="1:12">
      <c r="A5587" s="20" t="s">
        <v>1563</v>
      </c>
      <c r="E5587" s="22">
        <f>IF(D5587="?OLD","!!!","")</f>
        <v/>
      </c>
      <c r="F5587" s="23" t="str">
        <f>IF(OR(E5587="",E5587="!!!"),"",IF(NOT(ISNA(VLOOKUP(E5587,E$1:E5586,1,FALSE()))),"OLD",IF(AND(E5587&lt;&gt;"",E5587&lt;&gt;"!!!"),"NEW","")))</f>
        <v> </v>
      </c>
      <c r="G5587" s="24" t="str">
        <f>IF(OR(E5587="",E5587="!!!"),"",IF(OR(J5587=0,AND(J5587=1,K5587=1),AND(J5587=1,I5587="SBJ"),AND(J5587=1,I5587=0)),"?IN_FOCUS",IF(J5587&lt;=2,"?ACTIVATED",IF(J5587&lt;&gt;"","?FAMILIAR",IF(F5587="NEW",IF(ISNA(VLOOKUP(E5587,#REF!,1,FALSE())),"?TYPE_IDENTIFIABLE","?REFERENTIAL"),"_")))))</f>
        <v> </v>
      </c>
      <c r="H5587" s="25" t="str">
        <f>IF(J5587&lt;&gt;1,"",IF(I5587="SBJ","CB","?"))</f>
        <v> </v>
      </c>
      <c r="I5587" s="26" t="str">
        <f>IF(OR(E5587="",E5587="!!!",F5587="NEW"),"",INDEX(B5586:B$2,-1+SUMPRODUCT(MAX(ROW(E5586:E$2)*(E5587=E5586:E$2)))))</f>
        <v> </v>
      </c>
      <c r="J5587" s="26" t="str">
        <f>IF(OR(E5587="",E5587="!!!",F5587="NEW"),"",COUNTBLANK(OFFSET(A$1,,,SUMPRODUCT(MAX(ROW(E$2:E5587)*(E5587=E$2:E5587)))))-COUNTBLANK(OFFSET(A$1,,,SUMPRODUCT(MAX(ROW(E$1:E5586)*(E2=E$1:E5586))))))</f>
        <v> </v>
      </c>
      <c r="K5587" s="26" t="str">
        <f>IF(OR(E5587="",E5587="!!!",F5587="NEW"),"",INDEX(J$1:J5586,SUMPRODUCT(MAX(ROW(E$1:E5586)*(E5587=E$1:E5586)))))</f>
        <v> </v>
      </c>
      <c r="L5587" s="27"/>
    </row>
    <row r="5588" spans="1:12">
      <c r="A5588" s="20" t="s">
        <v>1218</v>
      </c>
      <c r="E5588" s="22">
        <f>IF(D5588="?OLD","!!!","")</f>
        <v/>
      </c>
      <c r="F5588" s="23" t="str">
        <f>IF(OR(E5588="",E5588="!!!"),"",IF(NOT(ISNA(VLOOKUP(E5588,E$1:E5587,1,FALSE()))),"OLD",IF(AND(E5588&lt;&gt;"",E5588&lt;&gt;"!!!"),"NEW","")))</f>
        <v> </v>
      </c>
      <c r="G5588" s="24" t="str">
        <f>IF(OR(E5588="",E5588="!!!"),"",IF(OR(J5588=0,AND(J5588=1,K5588=1),AND(J5588=1,I5588="SBJ"),AND(J5588=1,I5588=0)),"?IN_FOCUS",IF(J5588&lt;=2,"?ACTIVATED",IF(J5588&lt;&gt;"","?FAMILIAR",IF(F5588="NEW",IF(ISNA(VLOOKUP(E5588,#REF!,1,FALSE())),"?TYPE_IDENTIFIABLE","?REFERENTIAL"),"_")))))</f>
        <v> </v>
      </c>
      <c r="H5588" s="25" t="str">
        <f>IF(J5588&lt;&gt;1,"",IF(I5588="SBJ","CB","?"))</f>
        <v> </v>
      </c>
      <c r="I5588" s="26" t="str">
        <f>IF(OR(E5588="",E5588="!!!",F5588="NEW"),"",INDEX(B5587:B$2,-1+SUMPRODUCT(MAX(ROW(E5587:E$2)*(E5588=E5587:E$2)))))</f>
        <v> </v>
      </c>
      <c r="J5588" s="26" t="str">
        <f>IF(OR(E5588="",E5588="!!!",F5588="NEW"),"",COUNTBLANK(OFFSET(A$1,,,SUMPRODUCT(MAX(ROW(E$2:E5588)*(E5588=E$2:E5588)))))-COUNTBLANK(OFFSET(A$1,,,SUMPRODUCT(MAX(ROW(E$1:E5587)*(E2=E$1:E5587))))))</f>
        <v> </v>
      </c>
      <c r="K5588" s="26" t="str">
        <f>IF(OR(E5588="",E5588="!!!",F5588="NEW"),"",INDEX(J$1:J5587,SUMPRODUCT(MAX(ROW(E$1:E5587)*(E5588=E$1:E5587)))))</f>
        <v> </v>
      </c>
      <c r="L5588" s="27"/>
    </row>
    <row r="5589" spans="1:12">
      <c r="A5589" s="20" t="s">
        <v>1219</v>
      </c>
      <c r="E5589" s="22">
        <f>IF(D5589="?OLD","!!!","")</f>
        <v/>
      </c>
      <c r="F5589" s="23" t="str">
        <f>IF(OR(E5589="",E5589="!!!"),"",IF(NOT(ISNA(VLOOKUP(E5589,E$1:E5588,1,FALSE()))),"OLD",IF(AND(E5589&lt;&gt;"",E5589&lt;&gt;"!!!"),"NEW","")))</f>
        <v> </v>
      </c>
      <c r="G5589" s="24" t="str">
        <f>IF(OR(E5589="",E5589="!!!"),"",IF(OR(J5589=0,AND(J5589=1,K5589=1),AND(J5589=1,I5589="SBJ"),AND(J5589=1,I5589=0)),"?IN_FOCUS",IF(J5589&lt;=2,"?ACTIVATED",IF(J5589&lt;&gt;"","?FAMILIAR",IF(F5589="NEW",IF(ISNA(VLOOKUP(E5589,#REF!,1,FALSE())),"?TYPE_IDENTIFIABLE","?REFERENTIAL"),"_")))))</f>
        <v> </v>
      </c>
      <c r="H5589" s="25" t="str">
        <f>IF(J5589&lt;&gt;1,"",IF(I5589="SBJ","CB","?"))</f>
        <v> </v>
      </c>
      <c r="I5589" s="26" t="str">
        <f>IF(OR(E5589="",E5589="!!!",F5589="NEW"),"",INDEX(B5588:B$2,-1+SUMPRODUCT(MAX(ROW(E5588:E$2)*(E5589=E5588:E$2)))))</f>
        <v> </v>
      </c>
      <c r="J5589" s="26" t="str">
        <f>IF(OR(E5589="",E5589="!!!",F5589="NEW"),"",COUNTBLANK(OFFSET(A$1,,,SUMPRODUCT(MAX(ROW(E$2:E5589)*(E5589=E$2:E5589)))))-COUNTBLANK(OFFSET(A$1,,,SUMPRODUCT(MAX(ROW(E$1:E5588)*(E2=E$1:E5588))))))</f>
        <v> </v>
      </c>
      <c r="K5589" s="26" t="str">
        <f>IF(OR(E5589="",E5589="!!!",F5589="NEW"),"",INDEX(J$1:J5588,SUMPRODUCT(MAX(ROW(E$1:E5588)*(E5589=E$1:E5588)))))</f>
        <v> </v>
      </c>
      <c r="L5589" s="27"/>
    </row>
    <row r="5590" spans="1:12">
      <c r="A5590" s="20" t="s">
        <v>2971</v>
      </c>
      <c r="B5590" s="21" t="s">
        <v>1221</v>
      </c>
      <c r="C5590" s="21" t="s">
        <v>1269</v>
      </c>
      <c r="D5590" s="21" t="s">
        <v>1217</v>
      </c>
      <c r="E5590" s="22">
        <f>IF(D5590="?OLD","!!!","")</f>
        <v/>
      </c>
      <c r="F5590" s="23" t="str">
        <f>IF(OR(E5590="",E5590="!!!"),"",IF(NOT(ISNA(VLOOKUP(E5590,E$1:E5589,1,FALSE()))),"OLD",IF(AND(E5590&lt;&gt;"",E5590&lt;&gt;"!!!"),"NEW","")))</f>
        <v> </v>
      </c>
      <c r="G5590" s="24" t="str">
        <f>IF(OR(E5590="",E5590="!!!"),"",IF(OR(J5590=0,AND(J5590=1,K5590=1),AND(J5590=1,I5590="SBJ"),AND(J5590=1,I5590=0)),"?IN_FOCUS",IF(J5590&lt;=2,"?ACTIVATED",IF(J5590&lt;&gt;"","?FAMILIAR",IF(F5590="NEW",IF(ISNA(VLOOKUP(E5590,#REF!,1,FALSE())),"?TYPE_IDENTIFIABLE","?REFERENTIAL"),"_")))))</f>
        <v> </v>
      </c>
      <c r="H5590" s="25" t="str">
        <f>IF(J5590&lt;&gt;1,"",IF(I5590="SBJ","CB","?"))</f>
        <v> </v>
      </c>
      <c r="I5590" s="26" t="str">
        <f>IF(OR(E5590="",E5590="!!!",F5590="NEW"),"",INDEX(B5589:B$2,-1+SUMPRODUCT(MAX(ROW(E5589:E$2)*(E5590=E5589:E$2)))))</f>
        <v> </v>
      </c>
      <c r="J5590" s="26" t="str">
        <f>IF(OR(E5590="",E5590="!!!",F5590="NEW"),"",COUNTBLANK(OFFSET(A$1,,,SUMPRODUCT(MAX(ROW(E$2:E5590)*(E5590=E$2:E5590)))))-COUNTBLANK(OFFSET(A$1,,,SUMPRODUCT(MAX(ROW(E$1:E5589)*(E2=E$1:E5589))))))</f>
        <v> </v>
      </c>
      <c r="K5590" s="26" t="str">
        <f>IF(OR(E5590="",E5590="!!!",F5590="NEW"),"",INDEX(J$1:J5589,SUMPRODUCT(MAX(ROW(E$1:E5589)*(E5590=E$1:E5589)))))</f>
        <v> </v>
      </c>
      <c r="L5590" s="27"/>
    </row>
    <row r="5591" spans="1:12">
      <c r="A5591" s="20" t="s">
        <v>1321</v>
      </c>
      <c r="B5591" s="21" t="s">
        <v>1292</v>
      </c>
      <c r="E5591" s="22">
        <f>IF(D5591="?OLD","!!!","")</f>
        <v/>
      </c>
      <c r="F5591" s="23" t="str">
        <f>IF(OR(E5591="",E5591="!!!"),"",IF(NOT(ISNA(VLOOKUP(E5591,E$1:E5590,1,FALSE()))),"OLD",IF(AND(E5591&lt;&gt;"",E5591&lt;&gt;"!!!"),"NEW","")))</f>
        <v> </v>
      </c>
      <c r="G5591" s="24" t="str">
        <f>IF(OR(E5591="",E5591="!!!"),"",IF(OR(J5591=0,AND(J5591=1,K5591=1),AND(J5591=1,I5591="SBJ"),AND(J5591=1,I5591=0)),"?IN_FOCUS",IF(J5591&lt;=2,"?ACTIVATED",IF(J5591&lt;&gt;"","?FAMILIAR",IF(F5591="NEW",IF(ISNA(VLOOKUP(E5591,#REF!,1,FALSE())),"?TYPE_IDENTIFIABLE","?REFERENTIAL"),"_")))))</f>
        <v> </v>
      </c>
      <c r="H5591" s="25" t="str">
        <f>IF(J5591&lt;&gt;1,"",IF(I5591="SBJ","CB","?"))</f>
        <v> </v>
      </c>
      <c r="I5591" s="26" t="str">
        <f>IF(OR(E5591="",E5591="!!!",F5591="NEW"),"",INDEX(B5590:B$2,-1+SUMPRODUCT(MAX(ROW(E5590:E$2)*(E5591=E5590:E$2)))))</f>
        <v> </v>
      </c>
      <c r="J5591" s="26" t="str">
        <f>IF(OR(E5591="",E5591="!!!",F5591="NEW"),"",COUNTBLANK(OFFSET(A$1,,,SUMPRODUCT(MAX(ROW(E$2:E5591)*(E5591=E$2:E5591)))))-COUNTBLANK(OFFSET(A$1,,,SUMPRODUCT(MAX(ROW(E$1:E5590)*(E2=E$1:E5590))))))</f>
        <v> </v>
      </c>
      <c r="K5591" s="26" t="str">
        <f>IF(OR(E5591="",E5591="!!!",F5591="NEW"),"",INDEX(J$1:J5590,SUMPRODUCT(MAX(ROW(E$1:E5590)*(E5591=E$1:E5590)))))</f>
        <v> </v>
      </c>
      <c r="L5591" s="27"/>
    </row>
    <row r="5592" spans="1:12">
      <c r="A5592" s="20" t="s">
        <v>1327</v>
      </c>
      <c r="B5592" s="21" t="s">
        <v>1252</v>
      </c>
      <c r="C5592" s="21" t="s">
        <v>1255</v>
      </c>
      <c r="D5592" s="21" t="s">
        <v>1217</v>
      </c>
      <c r="E5592" s="22">
        <f>IF(D5592="?OLD","!!!","")</f>
        <v/>
      </c>
      <c r="F5592" s="23" t="str">
        <f>IF(OR(E5592="",E5592="!!!"),"",IF(NOT(ISNA(VLOOKUP(E5592,E$1:E5591,1,FALSE()))),"OLD",IF(AND(E5592&lt;&gt;"",E5592&lt;&gt;"!!!"),"NEW","")))</f>
        <v> </v>
      </c>
      <c r="G5592" s="24" t="str">
        <f>IF(OR(E5592="",E5592="!!!"),"",IF(OR(J5592=0,AND(J5592=1,K5592=1),AND(J5592=1,I5592="SBJ"),AND(J5592=1,I5592=0)),"?IN_FOCUS",IF(J5592&lt;=2,"?ACTIVATED",IF(J5592&lt;&gt;"","?FAMILIAR",IF(F5592="NEW",IF(ISNA(VLOOKUP(E5592,#REF!,1,FALSE())),"?TYPE_IDENTIFIABLE","?REFERENTIAL"),"_")))))</f>
        <v> </v>
      </c>
      <c r="H5592" s="25" t="str">
        <f>IF(J5592&lt;&gt;1,"",IF(I5592="SBJ","CB","?"))</f>
        <v> </v>
      </c>
      <c r="I5592" s="26" t="str">
        <f>IF(OR(E5592="",E5592="!!!",F5592="NEW"),"",INDEX(B5591:B$2,-1+SUMPRODUCT(MAX(ROW(E5591:E$2)*(E5592=E5591:E$2)))))</f>
        <v> </v>
      </c>
      <c r="J5592" s="26" t="str">
        <f>IF(OR(E5592="",E5592="!!!",F5592="NEW"),"",COUNTBLANK(OFFSET(A$1,,,SUMPRODUCT(MAX(ROW(E$2:E5592)*(E5592=E$2:E5592)))))-COUNTBLANK(OFFSET(A$1,,,SUMPRODUCT(MAX(ROW(E$1:E5591)*(E2=E$1:E5591))))))</f>
        <v> </v>
      </c>
      <c r="K5592" s="26" t="str">
        <f>IF(OR(E5592="",E5592="!!!",F5592="NEW"),"",INDEX(J$1:J5591,SUMPRODUCT(MAX(ROW(E$1:E5591)*(E5592=E$1:E5591)))))</f>
        <v> </v>
      </c>
      <c r="L5592" s="27"/>
    </row>
    <row r="5593" spans="1:12">
      <c r="A5593" s="20" t="s">
        <v>1301</v>
      </c>
      <c r="E5593" s="22">
        <f>IF(D5593="?OLD","!!!","")</f>
        <v/>
      </c>
      <c r="F5593" s="23" t="str">
        <f>IF(OR(E5593="",E5593="!!!"),"",IF(NOT(ISNA(VLOOKUP(E5593,E$1:E5592,1,FALSE()))),"OLD",IF(AND(E5593&lt;&gt;"",E5593&lt;&gt;"!!!"),"NEW","")))</f>
        <v> </v>
      </c>
      <c r="G5593" s="24" t="str">
        <f>IF(OR(E5593="",E5593="!!!"),"",IF(OR(J5593=0,AND(J5593=1,K5593=1),AND(J5593=1,I5593="SBJ"),AND(J5593=1,I5593=0)),"?IN_FOCUS",IF(J5593&lt;=2,"?ACTIVATED",IF(J5593&lt;&gt;"","?FAMILIAR",IF(F5593="NEW",IF(ISNA(VLOOKUP(E5593,#REF!,1,FALSE())),"?TYPE_IDENTIFIABLE","?REFERENTIAL"),"_")))))</f>
        <v> </v>
      </c>
      <c r="H5593" s="25" t="str">
        <f>IF(J5593&lt;&gt;1,"",IF(I5593="SBJ","CB","?"))</f>
        <v> </v>
      </c>
      <c r="I5593" s="26" t="str">
        <f>IF(OR(E5593="",E5593="!!!",F5593="NEW"),"",INDEX(B5592:B$2,-1+SUMPRODUCT(MAX(ROW(E5592:E$2)*(E5593=E5592:E$2)))))</f>
        <v> </v>
      </c>
      <c r="J5593" s="26" t="str">
        <f>IF(OR(E5593="",E5593="!!!",F5593="NEW"),"",COUNTBLANK(OFFSET(A$1,,,SUMPRODUCT(MAX(ROW(E$2:E5593)*(E5593=E$2:E5593)))))-COUNTBLANK(OFFSET(A$1,,,SUMPRODUCT(MAX(ROW(E$1:E5592)*(E2=E$1:E5592))))))</f>
        <v> </v>
      </c>
      <c r="K5593" s="26" t="str">
        <f>IF(OR(E5593="",E5593="!!!",F5593="NEW"),"",INDEX(J$1:J5592,SUMPRODUCT(MAX(ROW(E$1:E5592)*(E5593=E$1:E5592)))))</f>
        <v> </v>
      </c>
      <c r="L5593" s="27"/>
    </row>
    <row r="5594" spans="1:12">
      <c r="A5594" s="20" t="s">
        <v>2972</v>
      </c>
      <c r="E5594" s="22">
        <f>IF(D5594="?OLD","!!!","")</f>
        <v/>
      </c>
      <c r="F5594" s="23" t="str">
        <f>IF(OR(E5594="",E5594="!!!"),"",IF(NOT(ISNA(VLOOKUP(E5594,E$1:E5593,1,FALSE()))),"OLD",IF(AND(E5594&lt;&gt;"",E5594&lt;&gt;"!!!"),"NEW","")))</f>
        <v> </v>
      </c>
      <c r="G5594" s="24" t="str">
        <f>IF(OR(E5594="",E5594="!!!"),"",IF(OR(J5594=0,AND(J5594=1,K5594=1),AND(J5594=1,I5594="SBJ"),AND(J5594=1,I5594=0)),"?IN_FOCUS",IF(J5594&lt;=2,"?ACTIVATED",IF(J5594&lt;&gt;"","?FAMILIAR",IF(F5594="NEW",IF(ISNA(VLOOKUP(E5594,#REF!,1,FALSE())),"?TYPE_IDENTIFIABLE","?REFERENTIAL"),"_")))))</f>
        <v> </v>
      </c>
      <c r="H5594" s="25" t="str">
        <f>IF(J5594&lt;&gt;1,"",IF(I5594="SBJ","CB","?"))</f>
        <v> </v>
      </c>
      <c r="I5594" s="26" t="str">
        <f>IF(OR(E5594="",E5594="!!!",F5594="NEW"),"",INDEX(B5593:B$2,-1+SUMPRODUCT(MAX(ROW(E5593:E$2)*(E5594=E5593:E$2)))))</f>
        <v> </v>
      </c>
      <c r="J5594" s="26" t="str">
        <f>IF(OR(E5594="",E5594="!!!",F5594="NEW"),"",COUNTBLANK(OFFSET(A$1,,,SUMPRODUCT(MAX(ROW(E$2:E5594)*(E5594=E$2:E5594)))))-COUNTBLANK(OFFSET(A$1,,,SUMPRODUCT(MAX(ROW(E$1:E5593)*(E2=E$1:E5593))))))</f>
        <v> </v>
      </c>
      <c r="K5594" s="26" t="str">
        <f>IF(OR(E5594="",E5594="!!!",F5594="NEW"),"",INDEX(J$1:J5593,SUMPRODUCT(MAX(ROW(E$1:E5593)*(E5594=E$1:E5593)))))</f>
        <v> </v>
      </c>
      <c r="L5594" s="27"/>
    </row>
    <row r="5595" spans="1:12">
      <c r="A5595" s="20" t="s">
        <v>1303</v>
      </c>
      <c r="E5595" s="22">
        <f>IF(D5595="?OLD","!!!","")</f>
        <v/>
      </c>
      <c r="F5595" s="23" t="str">
        <f>IF(OR(E5595="",E5595="!!!"),"",IF(NOT(ISNA(VLOOKUP(E5595,E$1:E5594,1,FALSE()))),"OLD",IF(AND(E5595&lt;&gt;"",E5595&lt;&gt;"!!!"),"NEW","")))</f>
        <v> </v>
      </c>
      <c r="G5595" s="24" t="str">
        <f>IF(OR(E5595="",E5595="!!!"),"",IF(OR(J5595=0,AND(J5595=1,K5595=1),AND(J5595=1,I5595="SBJ"),AND(J5595=1,I5595=0)),"?IN_FOCUS",IF(J5595&lt;=2,"?ACTIVATED",IF(J5595&lt;&gt;"","?FAMILIAR",IF(F5595="NEW",IF(ISNA(VLOOKUP(E5595,#REF!,1,FALSE())),"?TYPE_IDENTIFIABLE","?REFERENTIAL"),"_")))))</f>
        <v> </v>
      </c>
      <c r="H5595" s="25" t="str">
        <f>IF(J5595&lt;&gt;1,"",IF(I5595="SBJ","CB","?"))</f>
        <v> </v>
      </c>
      <c r="I5595" s="26" t="str">
        <f>IF(OR(E5595="",E5595="!!!",F5595="NEW"),"",INDEX(B5594:B$2,-1+SUMPRODUCT(MAX(ROW(E5594:E$2)*(E5595=E5594:E$2)))))</f>
        <v> </v>
      </c>
      <c r="J5595" s="26" t="str">
        <f>IF(OR(E5595="",E5595="!!!",F5595="NEW"),"",COUNTBLANK(OFFSET(A$1,,,SUMPRODUCT(MAX(ROW(E$2:E5595)*(E5595=E$2:E5595)))))-COUNTBLANK(OFFSET(A$1,,,SUMPRODUCT(MAX(ROW(E$1:E5594)*(E2=E$1:E5594))))))</f>
        <v> </v>
      </c>
      <c r="K5595" s="26" t="str">
        <f>IF(OR(E5595="",E5595="!!!",F5595="NEW"),"",INDEX(J$1:J5594,SUMPRODUCT(MAX(ROW(E$1:E5594)*(E5595=E$1:E5594)))))</f>
        <v> </v>
      </c>
      <c r="L5595" s="27"/>
    </row>
    <row r="5596" spans="1:12">
      <c r="A5596" s="20" t="s">
        <v>2973</v>
      </c>
      <c r="E5596" s="22">
        <f>IF(D5596="?OLD","!!!","")</f>
        <v/>
      </c>
      <c r="F5596" s="23" t="str">
        <f>IF(OR(E5596="",E5596="!!!"),"",IF(NOT(ISNA(VLOOKUP(E5596,E$1:E5595,1,FALSE()))),"OLD",IF(AND(E5596&lt;&gt;"",E5596&lt;&gt;"!!!"),"NEW","")))</f>
        <v> </v>
      </c>
      <c r="G5596" s="24" t="str">
        <f>IF(OR(E5596="",E5596="!!!"),"",IF(OR(J5596=0,AND(J5596=1,K5596=1),AND(J5596=1,I5596="SBJ"),AND(J5596=1,I5596=0)),"?IN_FOCUS",IF(J5596&lt;=2,"?ACTIVATED",IF(J5596&lt;&gt;"","?FAMILIAR",IF(F5596="NEW",IF(ISNA(VLOOKUP(E5596,#REF!,1,FALSE())),"?TYPE_IDENTIFIABLE","?REFERENTIAL"),"_")))))</f>
        <v> </v>
      </c>
      <c r="H5596" s="25" t="str">
        <f>IF(J5596&lt;&gt;1,"",IF(I5596="SBJ","CB","?"))</f>
        <v> </v>
      </c>
      <c r="I5596" s="26" t="str">
        <f>IF(OR(E5596="",E5596="!!!",F5596="NEW"),"",INDEX(B5595:B$2,-1+SUMPRODUCT(MAX(ROW(E5595:E$2)*(E5596=E5595:E$2)))))</f>
        <v> </v>
      </c>
      <c r="J5596" s="26" t="str">
        <f>IF(OR(E5596="",E5596="!!!",F5596="NEW"),"",COUNTBLANK(OFFSET(A$1,,,SUMPRODUCT(MAX(ROW(E$2:E5596)*(E5596=E$2:E5596)))))-COUNTBLANK(OFFSET(A$1,,,SUMPRODUCT(MAX(ROW(E$1:E5595)*(E2=E$1:E5595))))))</f>
        <v> </v>
      </c>
      <c r="K5596" s="26" t="str">
        <f>IF(OR(E5596="",E5596="!!!",F5596="NEW"),"",INDEX(J$1:J5595,SUMPRODUCT(MAX(ROW(E$1:E5595)*(E5596=E$1:E5595)))))</f>
        <v> </v>
      </c>
      <c r="L5596" s="27"/>
    </row>
    <row r="5597" spans="1:12">
      <c r="A5597" s="20" t="s">
        <v>1618</v>
      </c>
      <c r="E5597" s="22">
        <f>IF(D5597="?OLD","!!!","")</f>
        <v/>
      </c>
      <c r="F5597" s="23" t="str">
        <f>IF(OR(E5597="",E5597="!!!"),"",IF(NOT(ISNA(VLOOKUP(E5597,E$1:E5596,1,FALSE()))),"OLD",IF(AND(E5597&lt;&gt;"",E5597&lt;&gt;"!!!"),"NEW","")))</f>
        <v> </v>
      </c>
      <c r="G5597" s="24" t="str">
        <f>IF(OR(E5597="",E5597="!!!"),"",IF(OR(J5597=0,AND(J5597=1,K5597=1),AND(J5597=1,I5597="SBJ"),AND(J5597=1,I5597=0)),"?IN_FOCUS",IF(J5597&lt;=2,"?ACTIVATED",IF(J5597&lt;&gt;"","?FAMILIAR",IF(F5597="NEW",IF(ISNA(VLOOKUP(E5597,#REF!,1,FALSE())),"?TYPE_IDENTIFIABLE","?REFERENTIAL"),"_")))))</f>
        <v> </v>
      </c>
      <c r="H5597" s="25" t="str">
        <f>IF(J5597&lt;&gt;1,"",IF(I5597="SBJ","CB","?"))</f>
        <v> </v>
      </c>
      <c r="I5597" s="26" t="str">
        <f>IF(OR(E5597="",E5597="!!!",F5597="NEW"),"",INDEX(B5596:B$2,-1+SUMPRODUCT(MAX(ROW(E5596:E$2)*(E5597=E5596:E$2)))))</f>
        <v> </v>
      </c>
      <c r="J5597" s="26" t="str">
        <f>IF(OR(E5597="",E5597="!!!",F5597="NEW"),"",COUNTBLANK(OFFSET(A$1,,,SUMPRODUCT(MAX(ROW(E$2:E5597)*(E5597=E$2:E5597)))))-COUNTBLANK(OFFSET(A$1,,,SUMPRODUCT(MAX(ROW(E$1:E5596)*(E2=E$1:E5596))))))</f>
        <v> </v>
      </c>
      <c r="K5597" s="26" t="str">
        <f>IF(OR(E5597="",E5597="!!!",F5597="NEW"),"",INDEX(J$1:J5596,SUMPRODUCT(MAX(ROW(E$1:E5596)*(E5597=E$1:E5596)))))</f>
        <v> </v>
      </c>
      <c r="L5597" s="27"/>
    </row>
    <row r="5598" spans="1:12">
      <c r="A5598" s="20" t="s">
        <v>1547</v>
      </c>
      <c r="B5598" s="21" t="s">
        <v>1283</v>
      </c>
      <c r="C5598" s="21" t="s">
        <v>1225</v>
      </c>
      <c r="D5598" s="21" t="s">
        <v>1217</v>
      </c>
      <c r="E5598" s="22">
        <f>IF(D5598="?OLD","!!!","")</f>
        <v/>
      </c>
      <c r="F5598" s="23" t="str">
        <f>IF(OR(E5598="",E5598="!!!"),"",IF(NOT(ISNA(VLOOKUP(E5598,E$1:E5597,1,FALSE()))),"OLD",IF(AND(E5598&lt;&gt;"",E5598&lt;&gt;"!!!"),"NEW","")))</f>
        <v> </v>
      </c>
      <c r="G5598" s="24" t="str">
        <f>IF(OR(E5598="",E5598="!!!"),"",IF(OR(J5598=0,AND(J5598=1,K5598=1),AND(J5598=1,I5598="SBJ"),AND(J5598=1,I5598=0)),"?IN_FOCUS",IF(J5598&lt;=2,"?ACTIVATED",IF(J5598&lt;&gt;"","?FAMILIAR",IF(F5598="NEW",IF(ISNA(VLOOKUP(E5598,#REF!,1,FALSE())),"?TYPE_IDENTIFIABLE","?REFERENTIAL"),"_")))))</f>
        <v> </v>
      </c>
      <c r="H5598" s="25" t="str">
        <f>IF(J5598&lt;&gt;1,"",IF(I5598="SBJ","CB","?"))</f>
        <v> </v>
      </c>
      <c r="I5598" s="26" t="str">
        <f>IF(OR(E5598="",E5598="!!!",F5598="NEW"),"",INDEX(B5597:B$2,-1+SUMPRODUCT(MAX(ROW(E5597:E$2)*(E5598=E5597:E$2)))))</f>
        <v> </v>
      </c>
      <c r="J5598" s="26" t="str">
        <f>IF(OR(E5598="",E5598="!!!",F5598="NEW"),"",COUNTBLANK(OFFSET(A$1,,,SUMPRODUCT(MAX(ROW(E$2:E5598)*(E5598=E$2:E5598)))))-COUNTBLANK(OFFSET(A$1,,,SUMPRODUCT(MAX(ROW(E$1:E5597)*(E2=E$1:E5597))))))</f>
        <v> </v>
      </c>
      <c r="K5598" s="26" t="str">
        <f>IF(OR(E5598="",E5598="!!!",F5598="NEW"),"",INDEX(J$1:J5597,SUMPRODUCT(MAX(ROW(E$1:E5597)*(E5598=E$1:E5597)))))</f>
        <v> </v>
      </c>
      <c r="L5598" s="27"/>
    </row>
    <row r="5599" spans="1:12">
      <c r="A5599" s="20" t="s">
        <v>2974</v>
      </c>
      <c r="E5599" s="22">
        <f>IF(D5599="?OLD","!!!","")</f>
        <v/>
      </c>
      <c r="F5599" s="23" t="str">
        <f>IF(OR(E5599="",E5599="!!!"),"",IF(NOT(ISNA(VLOOKUP(E5599,E$1:E5598,1,FALSE()))),"OLD",IF(AND(E5599&lt;&gt;"",E5599&lt;&gt;"!!!"),"NEW","")))</f>
        <v> </v>
      </c>
      <c r="G5599" s="24" t="str">
        <f>IF(OR(E5599="",E5599="!!!"),"",IF(OR(J5599=0,AND(J5599=1,K5599=1),AND(J5599=1,I5599="SBJ"),AND(J5599=1,I5599=0)),"?IN_FOCUS",IF(J5599&lt;=2,"?ACTIVATED",IF(J5599&lt;&gt;"","?FAMILIAR",IF(F5599="NEW",IF(ISNA(VLOOKUP(E5599,#REF!,1,FALSE())),"?TYPE_IDENTIFIABLE","?REFERENTIAL"),"_")))))</f>
        <v> </v>
      </c>
      <c r="H5599" s="25" t="str">
        <f>IF(J5599&lt;&gt;1,"",IF(I5599="SBJ","CB","?"))</f>
        <v> </v>
      </c>
      <c r="I5599" s="26" t="str">
        <f>IF(OR(E5599="",E5599="!!!",F5599="NEW"),"",INDEX(B5598:B$2,-1+SUMPRODUCT(MAX(ROW(E5598:E$2)*(E5599=E5598:E$2)))))</f>
        <v> </v>
      </c>
      <c r="J5599" s="26" t="str">
        <f>IF(OR(E5599="",E5599="!!!",F5599="NEW"),"",COUNTBLANK(OFFSET(A$1,,,SUMPRODUCT(MAX(ROW(E$2:E5599)*(E5599=E$2:E5599)))))-COUNTBLANK(OFFSET(A$1,,,SUMPRODUCT(MAX(ROW(E$1:E5598)*(E2=E$1:E5598))))))</f>
        <v> </v>
      </c>
      <c r="K5599" s="26" t="str">
        <f>IF(OR(E5599="",E5599="!!!",F5599="NEW"),"",INDEX(J$1:J5598,SUMPRODUCT(MAX(ROW(E$1:E5598)*(E5599=E$1:E5598)))))</f>
        <v> </v>
      </c>
      <c r="L5599" s="27"/>
    </row>
    <row r="5600" spans="1:12">
      <c r="A5600" s="20" t="s">
        <v>2975</v>
      </c>
      <c r="E5600" s="22">
        <f>IF(D5600="?OLD","!!!","")</f>
        <v/>
      </c>
      <c r="F5600" s="23" t="str">
        <f>IF(OR(E5600="",E5600="!!!"),"",IF(NOT(ISNA(VLOOKUP(E5600,E$1:E5599,1,FALSE()))),"OLD",IF(AND(E5600&lt;&gt;"",E5600&lt;&gt;"!!!"),"NEW","")))</f>
        <v> </v>
      </c>
      <c r="G5600" s="24" t="str">
        <f>IF(OR(E5600="",E5600="!!!"),"",IF(OR(J5600=0,AND(J5600=1,K5600=1),AND(J5600=1,I5600="SBJ"),AND(J5600=1,I5600=0)),"?IN_FOCUS",IF(J5600&lt;=2,"?ACTIVATED",IF(J5600&lt;&gt;"","?FAMILIAR",IF(F5600="NEW",IF(ISNA(VLOOKUP(E5600,#REF!,1,FALSE())),"?TYPE_IDENTIFIABLE","?REFERENTIAL"),"_")))))</f>
        <v> </v>
      </c>
      <c r="H5600" s="25" t="str">
        <f>IF(J5600&lt;&gt;1,"",IF(I5600="SBJ","CB","?"))</f>
        <v> </v>
      </c>
      <c r="I5600" s="26" t="str">
        <f>IF(OR(E5600="",E5600="!!!",F5600="NEW"),"",INDEX(B5599:B$2,-1+SUMPRODUCT(MAX(ROW(E5599:E$2)*(E5600=E5599:E$2)))))</f>
        <v> </v>
      </c>
      <c r="J5600" s="26" t="str">
        <f>IF(OR(E5600="",E5600="!!!",F5600="NEW"),"",COUNTBLANK(OFFSET(A$1,,,SUMPRODUCT(MAX(ROW(E$2:E5600)*(E5600=E$2:E5600)))))-COUNTBLANK(OFFSET(A$1,,,SUMPRODUCT(MAX(ROW(E$1:E5599)*(E2=E$1:E5599))))))</f>
        <v> </v>
      </c>
      <c r="K5600" s="26" t="str">
        <f>IF(OR(E5600="",E5600="!!!",F5600="NEW"),"",INDEX(J$1:J5599,SUMPRODUCT(MAX(ROW(E$1:E5599)*(E5600=E$1:E5599)))))</f>
        <v> </v>
      </c>
      <c r="L5600" s="27"/>
    </row>
    <row r="5601" spans="1:12">
      <c r="A5601" s="20" t="s">
        <v>1280</v>
      </c>
      <c r="B5601" s="21" t="s">
        <v>1261</v>
      </c>
      <c r="C5601" s="21" t="s">
        <v>1242</v>
      </c>
      <c r="D5601" s="21" t="s">
        <v>1217</v>
      </c>
      <c r="E5601" s="22">
        <f>IF(D5601="?OLD","!!!","")</f>
        <v/>
      </c>
      <c r="F5601" s="23" t="str">
        <f>IF(OR(E5601="",E5601="!!!"),"",IF(NOT(ISNA(VLOOKUP(E5601,E$1:E5600,1,FALSE()))),"OLD",IF(AND(E5601&lt;&gt;"",E5601&lt;&gt;"!!!"),"NEW","")))</f>
        <v> </v>
      </c>
      <c r="G5601" s="24" t="str">
        <f>IF(OR(E5601="",E5601="!!!"),"",IF(OR(J5601=0,AND(J5601=1,K5601=1),AND(J5601=1,I5601="SBJ"),AND(J5601=1,I5601=0)),"?IN_FOCUS",IF(J5601&lt;=2,"?ACTIVATED",IF(J5601&lt;&gt;"","?FAMILIAR",IF(F5601="NEW",IF(ISNA(VLOOKUP(E5601,#REF!,1,FALSE())),"?TYPE_IDENTIFIABLE","?REFERENTIAL"),"_")))))</f>
        <v> </v>
      </c>
      <c r="H5601" s="25" t="str">
        <f>IF(J5601&lt;&gt;1,"",IF(I5601="SBJ","CB","?"))</f>
        <v> </v>
      </c>
      <c r="I5601" s="26" t="str">
        <f>IF(OR(E5601="",E5601="!!!",F5601="NEW"),"",INDEX(B5600:B$2,-1+SUMPRODUCT(MAX(ROW(E5600:E$2)*(E5601=E5600:E$2)))))</f>
        <v> </v>
      </c>
      <c r="J5601" s="26" t="str">
        <f>IF(OR(E5601="",E5601="!!!",F5601="NEW"),"",COUNTBLANK(OFFSET(A$1,,,SUMPRODUCT(MAX(ROW(E$2:E5601)*(E5601=E$2:E5601)))))-COUNTBLANK(OFFSET(A$1,,,SUMPRODUCT(MAX(ROW(E$1:E5600)*(E2=E$1:E5600))))))</f>
        <v> </v>
      </c>
      <c r="K5601" s="26" t="str">
        <f>IF(OR(E5601="",E5601="!!!",F5601="NEW"),"",INDEX(J$1:J5600,SUMPRODUCT(MAX(ROW(E$1:E5600)*(E5601=E$1:E5600)))))</f>
        <v> </v>
      </c>
      <c r="L5601" s="27"/>
    </row>
    <row r="5602" spans="1:12">
      <c r="A5602" s="20" t="s">
        <v>885</v>
      </c>
      <c r="B5602" s="21" t="s">
        <v>1292</v>
      </c>
      <c r="C5602" s="21" t="s">
        <v>1222</v>
      </c>
      <c r="D5602" s="21" t="s">
        <v>1217</v>
      </c>
      <c r="E5602" s="22">
        <f>IF(D5602="?OLD","!!!","")</f>
        <v/>
      </c>
      <c r="F5602" s="23" t="str">
        <f>IF(OR(E5602="",E5602="!!!"),"",IF(NOT(ISNA(VLOOKUP(E5602,E$1:E5601,1,FALSE()))),"OLD",IF(AND(E5602&lt;&gt;"",E5602&lt;&gt;"!!!"),"NEW","")))</f>
        <v> </v>
      </c>
      <c r="G5602" s="24" t="str">
        <f>IF(OR(E5602="",E5602="!!!"),"",IF(OR(J5602=0,AND(J5602=1,K5602=1),AND(J5602=1,I5602="SBJ"),AND(J5602=1,I5602=0)),"?IN_FOCUS",IF(J5602&lt;=2,"?ACTIVATED",IF(J5602&lt;&gt;"","?FAMILIAR",IF(F5602="NEW",IF(ISNA(VLOOKUP(E5602,#REF!,1,FALSE())),"?TYPE_IDENTIFIABLE","?REFERENTIAL"),"_")))))</f>
        <v> </v>
      </c>
      <c r="H5602" s="25" t="str">
        <f>IF(J5602&lt;&gt;1,"",IF(I5602="SBJ","CB","?"))</f>
        <v> </v>
      </c>
      <c r="I5602" s="26" t="str">
        <f>IF(OR(E5602="",E5602="!!!",F5602="NEW"),"",INDEX(B5601:B$2,-1+SUMPRODUCT(MAX(ROW(E5601:E$2)*(E5602=E5601:E$2)))))</f>
        <v> </v>
      </c>
      <c r="J5602" s="26" t="str">
        <f>IF(OR(E5602="",E5602="!!!",F5602="NEW"),"",COUNTBLANK(OFFSET(A$1,,,SUMPRODUCT(MAX(ROW(E$2:E5602)*(E5602=E$2:E5602)))))-COUNTBLANK(OFFSET(A$1,,,SUMPRODUCT(MAX(ROW(E$1:E5601)*(E2=E$1:E5601))))))</f>
        <v> </v>
      </c>
      <c r="K5602" s="26" t="str">
        <f>IF(OR(E5602="",E5602="!!!",F5602="NEW"),"",INDEX(J$1:J5601,SUMPRODUCT(MAX(ROW(E$1:E5601)*(E5602=E$1:E5601)))))</f>
        <v> </v>
      </c>
      <c r="L5602" s="27"/>
    </row>
    <row r="5603" spans="1:12">
      <c r="A5603" s="20" t="s">
        <v>1277</v>
      </c>
      <c r="E5603" s="22">
        <f>IF(D5603="?OLD","!!!","")</f>
        <v/>
      </c>
      <c r="F5603" s="23" t="str">
        <f>IF(OR(E5603="",E5603="!!!"),"",IF(NOT(ISNA(VLOOKUP(E5603,E$1:E5602,1,FALSE()))),"OLD",IF(AND(E5603&lt;&gt;"",E5603&lt;&gt;"!!!"),"NEW","")))</f>
        <v> </v>
      </c>
      <c r="G5603" s="24" t="str">
        <f>IF(OR(E5603="",E5603="!!!"),"",IF(OR(J5603=0,AND(J5603=1,K5603=1),AND(J5603=1,I5603="SBJ"),AND(J5603=1,I5603=0)),"?IN_FOCUS",IF(J5603&lt;=2,"?ACTIVATED",IF(J5603&lt;&gt;"","?FAMILIAR",IF(F5603="NEW",IF(ISNA(VLOOKUP(E5603,#REF!,1,FALSE())),"?TYPE_IDENTIFIABLE","?REFERENTIAL"),"_")))))</f>
        <v> </v>
      </c>
      <c r="H5603" s="25" t="str">
        <f>IF(J5603&lt;&gt;1,"",IF(I5603="SBJ","CB","?"))</f>
        <v> </v>
      </c>
      <c r="I5603" s="26" t="str">
        <f>IF(OR(E5603="",E5603="!!!",F5603="NEW"),"",INDEX(B5602:B$2,-1+SUMPRODUCT(MAX(ROW(E5602:E$2)*(E5603=E5602:E$2)))))</f>
        <v> </v>
      </c>
      <c r="J5603" s="26" t="str">
        <f>IF(OR(E5603="",E5603="!!!",F5603="NEW"),"",COUNTBLANK(OFFSET(A$1,,,SUMPRODUCT(MAX(ROW(E$2:E5603)*(E5603=E$2:E5603)))))-COUNTBLANK(OFFSET(A$1,,,SUMPRODUCT(MAX(ROW(E$1:E5602)*(E2=E$1:E5602))))))</f>
        <v> </v>
      </c>
      <c r="K5603" s="26" t="str">
        <f>IF(OR(E5603="",E5603="!!!",F5603="NEW"),"",INDEX(J$1:J5602,SUMPRODUCT(MAX(ROW(E$1:E5602)*(E5603=E$1:E5602)))))</f>
        <v> </v>
      </c>
      <c r="L5603" s="27"/>
    </row>
    <row r="5604" spans="1:12">
      <c r="A5604" s="20" t="s">
        <v>1318</v>
      </c>
      <c r="E5604" s="22">
        <f>IF(D5604="?OLD","!!!","")</f>
        <v/>
      </c>
      <c r="F5604" s="23" t="str">
        <f>IF(OR(E5604="",E5604="!!!"),"",IF(NOT(ISNA(VLOOKUP(E5604,E$1:E5603,1,FALSE()))),"OLD",IF(AND(E5604&lt;&gt;"",E5604&lt;&gt;"!!!"),"NEW","")))</f>
        <v> </v>
      </c>
      <c r="G5604" s="24" t="str">
        <f>IF(OR(E5604="",E5604="!!!"),"",IF(OR(J5604=0,AND(J5604=1,K5604=1),AND(J5604=1,I5604="SBJ"),AND(J5604=1,I5604=0)),"?IN_FOCUS",IF(J5604&lt;=2,"?ACTIVATED",IF(J5604&lt;&gt;"","?FAMILIAR",IF(F5604="NEW",IF(ISNA(VLOOKUP(E5604,#REF!,1,FALSE())),"?TYPE_IDENTIFIABLE","?REFERENTIAL"),"_")))))</f>
        <v> </v>
      </c>
      <c r="H5604" s="25" t="str">
        <f>IF(J5604&lt;&gt;1,"",IF(I5604="SBJ","CB","?"))</f>
        <v> </v>
      </c>
      <c r="I5604" s="26" t="str">
        <f>IF(OR(E5604="",E5604="!!!",F5604="NEW"),"",INDEX(B5603:B$2,-1+SUMPRODUCT(MAX(ROW(E5603:E$2)*(E5604=E5603:E$2)))))</f>
        <v> </v>
      </c>
      <c r="J5604" s="26" t="str">
        <f>IF(OR(E5604="",E5604="!!!",F5604="NEW"),"",COUNTBLANK(OFFSET(A$1,,,SUMPRODUCT(MAX(ROW(E$2:E5604)*(E5604=E$2:E5604)))))-COUNTBLANK(OFFSET(A$1,,,SUMPRODUCT(MAX(ROW(E$1:E5603)*(E2=E$1:E5603))))))</f>
        <v> </v>
      </c>
      <c r="K5604" s="26" t="str">
        <f>IF(OR(E5604="",E5604="!!!",F5604="NEW"),"",INDEX(J$1:J5603,SUMPRODUCT(MAX(ROW(E$1:E5603)*(E5604=E$1:E5603)))))</f>
        <v> </v>
      </c>
      <c r="L5604" s="27"/>
    </row>
    <row r="5605" spans="1:12">
      <c r="A5605" s="20" t="s">
        <v>565</v>
      </c>
      <c r="B5605" s="21" t="s">
        <v>1252</v>
      </c>
      <c r="C5605" s="21" t="s">
        <v>1255</v>
      </c>
      <c r="D5605" s="21" t="s">
        <v>1217</v>
      </c>
      <c r="E5605" s="22">
        <f>IF(D5605="?OLD","!!!","")</f>
        <v/>
      </c>
      <c r="F5605" s="23" t="str">
        <f>IF(OR(E5605="",E5605="!!!"),"",IF(NOT(ISNA(VLOOKUP(E5605,E$1:E5604,1,FALSE()))),"OLD",IF(AND(E5605&lt;&gt;"",E5605&lt;&gt;"!!!"),"NEW","")))</f>
        <v> </v>
      </c>
      <c r="G5605" s="24" t="str">
        <f>IF(OR(E5605="",E5605="!!!"),"",IF(OR(J5605=0,AND(J5605=1,K5605=1),AND(J5605=1,I5605="SBJ"),AND(J5605=1,I5605=0)),"?IN_FOCUS",IF(J5605&lt;=2,"?ACTIVATED",IF(J5605&lt;&gt;"","?FAMILIAR",IF(F5605="NEW",IF(ISNA(VLOOKUP(E5605,#REF!,1,FALSE())),"?TYPE_IDENTIFIABLE","?REFERENTIAL"),"_")))))</f>
        <v> </v>
      </c>
      <c r="H5605" s="25" t="str">
        <f>IF(J5605&lt;&gt;1,"",IF(I5605="SBJ","CB","?"))</f>
        <v> </v>
      </c>
      <c r="I5605" s="26" t="str">
        <f>IF(OR(E5605="",E5605="!!!",F5605="NEW"),"",INDEX(B5604:B$2,-1+SUMPRODUCT(MAX(ROW(E5604:E$2)*(E5605=E5604:E$2)))))</f>
        <v> </v>
      </c>
      <c r="J5605" s="26" t="str">
        <f>IF(OR(E5605="",E5605="!!!",F5605="NEW"),"",COUNTBLANK(OFFSET(A$1,,,SUMPRODUCT(MAX(ROW(E$2:E5605)*(E5605=E$2:E5605)))))-COUNTBLANK(OFFSET(A$1,,,SUMPRODUCT(MAX(ROW(E$1:E5604)*(E2=E$1:E5604))))))</f>
        <v> </v>
      </c>
      <c r="K5605" s="26" t="str">
        <f>IF(OR(E5605="",E5605="!!!",F5605="NEW"),"",INDEX(J$1:J5604,SUMPRODUCT(MAX(ROW(E$1:E5604)*(E5605=E$1:E5604)))))</f>
        <v> </v>
      </c>
      <c r="L5605" s="27"/>
    </row>
    <row r="5606" spans="1:12">
      <c r="A5606" s="20" t="s">
        <v>1225</v>
      </c>
      <c r="E5606" s="22">
        <f>IF(D5606="?OLD","!!!","")</f>
        <v/>
      </c>
      <c r="F5606" s="23" t="str">
        <f>IF(OR(E5606="",E5606="!!!"),"",IF(NOT(ISNA(VLOOKUP(E5606,E$1:E5605,1,FALSE()))),"OLD",IF(AND(E5606&lt;&gt;"",E5606&lt;&gt;"!!!"),"NEW","")))</f>
        <v> </v>
      </c>
      <c r="G5606" s="24" t="str">
        <f>IF(OR(E5606="",E5606="!!!"),"",IF(OR(J5606=0,AND(J5606=1,K5606=1),AND(J5606=1,I5606="SBJ"),AND(J5606=1,I5606=0)),"?IN_FOCUS",IF(J5606&lt;=2,"?ACTIVATED",IF(J5606&lt;&gt;"","?FAMILIAR",IF(F5606="NEW",IF(ISNA(VLOOKUP(E5606,#REF!,1,FALSE())),"?TYPE_IDENTIFIABLE","?REFERENTIAL"),"_")))))</f>
        <v> </v>
      </c>
      <c r="H5606" s="25" t="str">
        <f>IF(J5606&lt;&gt;1,"",IF(I5606="SBJ","CB","?"))</f>
        <v> </v>
      </c>
      <c r="I5606" s="26" t="str">
        <f>IF(OR(E5606="",E5606="!!!",F5606="NEW"),"",INDEX(B5605:B$2,-1+SUMPRODUCT(MAX(ROW(E5605:E$2)*(E5606=E5605:E$2)))))</f>
        <v> </v>
      </c>
      <c r="J5606" s="26" t="str">
        <f>IF(OR(E5606="",E5606="!!!",F5606="NEW"),"",COUNTBLANK(OFFSET(A$1,,,SUMPRODUCT(MAX(ROW(E$2:E5606)*(E5606=E$2:E5606)))))-COUNTBLANK(OFFSET(A$1,,,SUMPRODUCT(MAX(ROW(E$1:E5605)*(E2=E$1:E5605))))))</f>
        <v> </v>
      </c>
      <c r="K5606" s="26" t="str">
        <f>IF(OR(E5606="",E5606="!!!",F5606="NEW"),"",INDEX(J$1:J5605,SUMPRODUCT(MAX(ROW(E$1:E5605)*(E5606=E$1:E5605)))))</f>
        <v> </v>
      </c>
      <c r="L5606" s="27"/>
    </row>
    <row r="5607" spans="1:12">
      <c r="A5607" s="20" t="s">
        <v>2974</v>
      </c>
      <c r="E5607" s="22">
        <f>IF(D5607="?OLD","!!!","")</f>
        <v/>
      </c>
      <c r="F5607" s="23" t="str">
        <f>IF(OR(E5607="",E5607="!!!"),"",IF(NOT(ISNA(VLOOKUP(E5607,E$1:E5606,1,FALSE()))),"OLD",IF(AND(E5607&lt;&gt;"",E5607&lt;&gt;"!!!"),"NEW","")))</f>
        <v> </v>
      </c>
      <c r="G5607" s="24" t="str">
        <f>IF(OR(E5607="",E5607="!!!"),"",IF(OR(J5607=0,AND(J5607=1,K5607=1),AND(J5607=1,I5607="SBJ"),AND(J5607=1,I5607=0)),"?IN_FOCUS",IF(J5607&lt;=2,"?ACTIVATED",IF(J5607&lt;&gt;"","?FAMILIAR",IF(F5607="NEW",IF(ISNA(VLOOKUP(E5607,#REF!,1,FALSE())),"?TYPE_IDENTIFIABLE","?REFERENTIAL"),"_")))))</f>
        <v> </v>
      </c>
      <c r="H5607" s="25" t="str">
        <f>IF(J5607&lt;&gt;1,"",IF(I5607="SBJ","CB","?"))</f>
        <v> </v>
      </c>
      <c r="I5607" s="26" t="str">
        <f>IF(OR(E5607="",E5607="!!!",F5607="NEW"),"",INDEX(B5606:B$2,-1+SUMPRODUCT(MAX(ROW(E5606:E$2)*(E5607=E5606:E$2)))))</f>
        <v> </v>
      </c>
      <c r="J5607" s="26" t="str">
        <f>IF(OR(E5607="",E5607="!!!",F5607="NEW"),"",COUNTBLANK(OFFSET(A$1,,,SUMPRODUCT(MAX(ROW(E$2:E5607)*(E5607=E$2:E5607)))))-COUNTBLANK(OFFSET(A$1,,,SUMPRODUCT(MAX(ROW(E$1:E5606)*(E2=E$1:E5606))))))</f>
        <v> </v>
      </c>
      <c r="K5607" s="26" t="str">
        <f>IF(OR(E5607="",E5607="!!!",F5607="NEW"),"",INDEX(J$1:J5606,SUMPRODUCT(MAX(ROW(E$1:E5606)*(E5607=E$1:E5606)))))</f>
        <v> </v>
      </c>
      <c r="L5607" s="27"/>
    </row>
    <row r="5608" spans="1:12">
      <c r="A5608" s="20" t="s">
        <v>1228</v>
      </c>
      <c r="B5608" s="21" t="s">
        <v>1254</v>
      </c>
      <c r="C5608" s="21" t="s">
        <v>1255</v>
      </c>
      <c r="D5608" s="21" t="s">
        <v>1217</v>
      </c>
      <c r="E5608" s="22">
        <f>IF(D5608="?OLD","!!!","")</f>
        <v/>
      </c>
      <c r="F5608" s="23" t="str">
        <f>IF(OR(E5608="",E5608="!!!"),"",IF(NOT(ISNA(VLOOKUP(E5608,E$1:E5607,1,FALSE()))),"OLD",IF(AND(E5608&lt;&gt;"",E5608&lt;&gt;"!!!"),"NEW","")))</f>
        <v> </v>
      </c>
      <c r="G5608" s="24" t="str">
        <f>IF(OR(E5608="",E5608="!!!"),"",IF(OR(J5608=0,AND(J5608=1,K5608=1),AND(J5608=1,I5608="SBJ"),AND(J5608=1,I5608=0)),"?IN_FOCUS",IF(J5608&lt;=2,"?ACTIVATED",IF(J5608&lt;&gt;"","?FAMILIAR",IF(F5608="NEW",IF(ISNA(VLOOKUP(E5608,#REF!,1,FALSE())),"?TYPE_IDENTIFIABLE","?REFERENTIAL"),"_")))))</f>
        <v> </v>
      </c>
      <c r="H5608" s="25" t="str">
        <f>IF(J5608&lt;&gt;1,"",IF(I5608="SBJ","CB","?"))</f>
        <v> </v>
      </c>
      <c r="I5608" s="26" t="str">
        <f>IF(OR(E5608="",E5608="!!!",F5608="NEW"),"",INDEX(B5607:B$2,-1+SUMPRODUCT(MAX(ROW(E5607:E$2)*(E5608=E5607:E$2)))))</f>
        <v> </v>
      </c>
      <c r="J5608" s="26" t="str">
        <f>IF(OR(E5608="",E5608="!!!",F5608="NEW"),"",COUNTBLANK(OFFSET(A$1,,,SUMPRODUCT(MAX(ROW(E$2:E5608)*(E5608=E$2:E5608)))))-COUNTBLANK(OFFSET(A$1,,,SUMPRODUCT(MAX(ROW(E$1:E5607)*(E2=E$1:E5607))))))</f>
        <v> </v>
      </c>
      <c r="K5608" s="26" t="str">
        <f>IF(OR(E5608="",E5608="!!!",F5608="NEW"),"",INDEX(J$1:J5607,SUMPRODUCT(MAX(ROW(E$1:E5607)*(E5608=E$1:E5607)))))</f>
        <v> </v>
      </c>
      <c r="L5608" s="27"/>
    </row>
    <row r="5609" spans="1:12">
      <c r="A5609" s="20" t="s">
        <v>2976</v>
      </c>
      <c r="E5609" s="22">
        <f>IF(D5609="?OLD","!!!","")</f>
        <v/>
      </c>
      <c r="F5609" s="23" t="str">
        <f>IF(OR(E5609="",E5609="!!!"),"",IF(NOT(ISNA(VLOOKUP(E5609,E$1:E5608,1,FALSE()))),"OLD",IF(AND(E5609&lt;&gt;"",E5609&lt;&gt;"!!!"),"NEW","")))</f>
        <v> </v>
      </c>
      <c r="G5609" s="24" t="str">
        <f>IF(OR(E5609="",E5609="!!!"),"",IF(OR(J5609=0,AND(J5609=1,K5609=1),AND(J5609=1,I5609="SBJ"),AND(J5609=1,I5609=0)),"?IN_FOCUS",IF(J5609&lt;=2,"?ACTIVATED",IF(J5609&lt;&gt;"","?FAMILIAR",IF(F5609="NEW",IF(ISNA(VLOOKUP(E5609,#REF!,1,FALSE())),"?TYPE_IDENTIFIABLE","?REFERENTIAL"),"_")))))</f>
        <v> </v>
      </c>
      <c r="H5609" s="25" t="str">
        <f>IF(J5609&lt;&gt;1,"",IF(I5609="SBJ","CB","?"))</f>
        <v> </v>
      </c>
      <c r="I5609" s="26" t="str">
        <f>IF(OR(E5609="",E5609="!!!",F5609="NEW"),"",INDEX(B5608:B$2,-1+SUMPRODUCT(MAX(ROW(E5608:E$2)*(E5609=E5608:E$2)))))</f>
        <v> </v>
      </c>
      <c r="J5609" s="26" t="str">
        <f>IF(OR(E5609="",E5609="!!!",F5609="NEW"),"",COUNTBLANK(OFFSET(A$1,,,SUMPRODUCT(MAX(ROW(E$2:E5609)*(E5609=E$2:E5609)))))-COUNTBLANK(OFFSET(A$1,,,SUMPRODUCT(MAX(ROW(E$1:E5608)*(E2=E$1:E5608))))))</f>
        <v> </v>
      </c>
      <c r="K5609" s="26" t="str">
        <f>IF(OR(E5609="",E5609="!!!",F5609="NEW"),"",INDEX(J$1:J5608,SUMPRODUCT(MAX(ROW(E$1:E5608)*(E5609=E$1:E5608)))))</f>
        <v> </v>
      </c>
      <c r="L5609" s="27"/>
    </row>
    <row r="5610" spans="1:12">
      <c r="A5610" s="20" t="s">
        <v>1526</v>
      </c>
      <c r="E5610" s="22">
        <f>IF(D5610="?OLD","!!!","")</f>
        <v/>
      </c>
      <c r="F5610" s="23" t="str">
        <f>IF(OR(E5610="",E5610="!!!"),"",IF(NOT(ISNA(VLOOKUP(E5610,E$1:E5609,1,FALSE()))),"OLD",IF(AND(E5610&lt;&gt;"",E5610&lt;&gt;"!!!"),"NEW","")))</f>
        <v> </v>
      </c>
      <c r="G5610" s="24" t="str">
        <f>IF(OR(E5610="",E5610="!!!"),"",IF(OR(J5610=0,AND(J5610=1,K5610=1),AND(J5610=1,I5610="SBJ"),AND(J5610=1,I5610=0)),"?IN_FOCUS",IF(J5610&lt;=2,"?ACTIVATED",IF(J5610&lt;&gt;"","?FAMILIAR",IF(F5610="NEW",IF(ISNA(VLOOKUP(E5610,#REF!,1,FALSE())),"?TYPE_IDENTIFIABLE","?REFERENTIAL"),"_")))))</f>
        <v> </v>
      </c>
      <c r="H5610" s="25" t="str">
        <f>IF(J5610&lt;&gt;1,"",IF(I5610="SBJ","CB","?"))</f>
        <v> </v>
      </c>
      <c r="I5610" s="26" t="str">
        <f>IF(OR(E5610="",E5610="!!!",F5610="NEW"),"",INDEX(B5609:B$2,-1+SUMPRODUCT(MAX(ROW(E5609:E$2)*(E5610=E5609:E$2)))))</f>
        <v> </v>
      </c>
      <c r="J5610" s="26" t="str">
        <f>IF(OR(E5610="",E5610="!!!",F5610="NEW"),"",COUNTBLANK(OFFSET(A$1,,,SUMPRODUCT(MAX(ROW(E$2:E5610)*(E5610=E$2:E5610)))))-COUNTBLANK(OFFSET(A$1,,,SUMPRODUCT(MAX(ROW(E$1:E5609)*(E2=E$1:E5609))))))</f>
        <v> </v>
      </c>
      <c r="K5610" s="26" t="str">
        <f>IF(OR(E5610="",E5610="!!!",F5610="NEW"),"",INDEX(J$1:J5609,SUMPRODUCT(MAX(ROW(E$1:E5609)*(E5610=E$1:E5609)))))</f>
        <v> </v>
      </c>
      <c r="L5610" s="27"/>
    </row>
    <row r="5611" spans="1:12">
      <c r="A5611" s="20" t="s">
        <v>2977</v>
      </c>
      <c r="E5611" s="22">
        <f>IF(D5611="?OLD","!!!","")</f>
        <v/>
      </c>
      <c r="F5611" s="23" t="str">
        <f>IF(OR(E5611="",E5611="!!!"),"",IF(NOT(ISNA(VLOOKUP(E5611,E$1:E5610,1,FALSE()))),"OLD",IF(AND(E5611&lt;&gt;"",E5611&lt;&gt;"!!!"),"NEW","")))</f>
        <v> </v>
      </c>
      <c r="G5611" s="24" t="str">
        <f>IF(OR(E5611="",E5611="!!!"),"",IF(OR(J5611=0,AND(J5611=1,K5611=1),AND(J5611=1,I5611="SBJ"),AND(J5611=1,I5611=0)),"?IN_FOCUS",IF(J5611&lt;=2,"?ACTIVATED",IF(J5611&lt;&gt;"","?FAMILIAR",IF(F5611="NEW",IF(ISNA(VLOOKUP(E5611,#REF!,1,FALSE())),"?TYPE_IDENTIFIABLE","?REFERENTIAL"),"_")))))</f>
        <v> </v>
      </c>
      <c r="H5611" s="25" t="str">
        <f>IF(J5611&lt;&gt;1,"",IF(I5611="SBJ","CB","?"))</f>
        <v> </v>
      </c>
      <c r="I5611" s="26" t="str">
        <f>IF(OR(E5611="",E5611="!!!",F5611="NEW"),"",INDEX(B5610:B$2,-1+SUMPRODUCT(MAX(ROW(E5610:E$2)*(E5611=E5610:E$2)))))</f>
        <v> </v>
      </c>
      <c r="J5611" s="26" t="str">
        <f>IF(OR(E5611="",E5611="!!!",F5611="NEW"),"",COUNTBLANK(OFFSET(A$1,,,SUMPRODUCT(MAX(ROW(E$2:E5611)*(E5611=E$2:E5611)))))-COUNTBLANK(OFFSET(A$1,,,SUMPRODUCT(MAX(ROW(E$1:E5610)*(E2=E$1:E5610))))))</f>
        <v> </v>
      </c>
      <c r="K5611" s="26" t="str">
        <f>IF(OR(E5611="",E5611="!!!",F5611="NEW"),"",INDEX(J$1:J5610,SUMPRODUCT(MAX(ROW(E$1:E5610)*(E5611=E$1:E5610)))))</f>
        <v> </v>
      </c>
      <c r="L5611" s="27"/>
    </row>
    <row r="5612" spans="1:12">
      <c r="A5612" s="20" t="s">
        <v>1503</v>
      </c>
      <c r="E5612" s="22">
        <f>IF(D5612="?OLD","!!!","")</f>
        <v/>
      </c>
      <c r="F5612" s="23" t="str">
        <f>IF(OR(E5612="",E5612="!!!"),"",IF(NOT(ISNA(VLOOKUP(E5612,E$1:E5611,1,FALSE()))),"OLD",IF(AND(E5612&lt;&gt;"",E5612&lt;&gt;"!!!"),"NEW","")))</f>
        <v> </v>
      </c>
      <c r="G5612" s="24" t="str">
        <f>IF(OR(E5612="",E5612="!!!"),"",IF(OR(J5612=0,AND(J5612=1,K5612=1),AND(J5612=1,I5612="SBJ"),AND(J5612=1,I5612=0)),"?IN_FOCUS",IF(J5612&lt;=2,"?ACTIVATED",IF(J5612&lt;&gt;"","?FAMILIAR",IF(F5612="NEW",IF(ISNA(VLOOKUP(E5612,#REF!,1,FALSE())),"?TYPE_IDENTIFIABLE","?REFERENTIAL"),"_")))))</f>
        <v> </v>
      </c>
      <c r="H5612" s="25" t="str">
        <f>IF(J5612&lt;&gt;1,"",IF(I5612="SBJ","CB","?"))</f>
        <v> </v>
      </c>
      <c r="I5612" s="26" t="str">
        <f>IF(OR(E5612="",E5612="!!!",F5612="NEW"),"",INDEX(B5611:B$2,-1+SUMPRODUCT(MAX(ROW(E5611:E$2)*(E5612=E5611:E$2)))))</f>
        <v> </v>
      </c>
      <c r="J5612" s="26" t="str">
        <f>IF(OR(E5612="",E5612="!!!",F5612="NEW"),"",COUNTBLANK(OFFSET(A$1,,,SUMPRODUCT(MAX(ROW(E$2:E5612)*(E5612=E$2:E5612)))))-COUNTBLANK(OFFSET(A$1,,,SUMPRODUCT(MAX(ROW(E$1:E5611)*(E2=E$1:E5611))))))</f>
        <v> </v>
      </c>
      <c r="K5612" s="26" t="str">
        <f>IF(OR(E5612="",E5612="!!!",F5612="NEW"),"",INDEX(J$1:J5611,SUMPRODUCT(MAX(ROW(E$1:E5611)*(E5612=E$1:E5611)))))</f>
        <v> </v>
      </c>
      <c r="L5612" s="27"/>
    </row>
    <row r="5613" spans="1:12">
      <c r="A5613" s="20"/>
    </row>
    <row r="5614" spans="1:12">
      <c r="A5614" s="20" t="s">
        <v>2978</v>
      </c>
    </row>
    <row r="5615" spans="1:12">
      <c r="A5615" s="20" t="s">
        <v>1658</v>
      </c>
      <c r="E5615" s="22">
        <f>IF(D5615="?OLD","!!!","")</f>
        <v/>
      </c>
      <c r="F5615" s="23" t="str">
        <f>IF(OR(E5615="",E5615="!!!"),"",IF(NOT(ISNA(VLOOKUP(E5615,E$1:E5614,1,FALSE()))),"OLD",IF(AND(E5615&lt;&gt;"",E5615&lt;&gt;"!!!"),"NEW","")))</f>
        <v> </v>
      </c>
      <c r="G5615" s="24" t="str">
        <f>IF(OR(E5615="",E5615="!!!"),"",IF(OR(J5615=0,AND(J5615=1,K5615=1),AND(J5615=1,I5615="SBJ"),AND(J5615=1,I5615=0)),"?IN_FOCUS",IF(J5615&lt;=2,"?ACTIVATED",IF(J5615&lt;&gt;"","?FAMILIAR",IF(F5615="NEW",IF(ISNA(VLOOKUP(E5615,#REF!,1,FALSE())),"?TYPE_IDENTIFIABLE","?REFERENTIAL"),"_")))))</f>
        <v> </v>
      </c>
      <c r="H5615" s="25" t="str">
        <f>IF(J5615&lt;&gt;1,"",IF(I5615="SBJ","CB","?"))</f>
        <v> </v>
      </c>
      <c r="I5615" s="26" t="str">
        <f>IF(OR(E5615="",E5615="!!!",F5615="NEW"),"",INDEX(B5614:B$2,-1+SUMPRODUCT(MAX(ROW(E5614:E$2)*(E5615=E5614:E$2)))))</f>
        <v> </v>
      </c>
      <c r="J5615" s="26" t="str">
        <f>IF(OR(E5615="",E5615="!!!",F5615="NEW"),"",COUNTBLANK(OFFSET(A$1,,,SUMPRODUCT(MAX(ROW(E$2:E5615)*(E5615=E$2:E5615)))))-COUNTBLANK(OFFSET(A$1,,,SUMPRODUCT(MAX(ROW(E$1:E5614)*(E2=E$1:E5614))))))</f>
        <v> </v>
      </c>
      <c r="K5615" s="26" t="str">
        <f>IF(OR(E5615="",E5615="!!!",F5615="NEW"),"",INDEX(J$1:J5614,SUMPRODUCT(MAX(ROW(E$1:E5614)*(E5615=E$1:E5614)))))</f>
        <v> </v>
      </c>
      <c r="L5615" s="27"/>
    </row>
    <row r="5616" spans="1:12">
      <c r="A5616" s="20" t="s">
        <v>1756</v>
      </c>
      <c r="E5616" s="22">
        <f>IF(D5616="?OLD","!!!","")</f>
        <v/>
      </c>
      <c r="F5616" s="23" t="str">
        <f>IF(OR(E5616="",E5616="!!!"),"",IF(NOT(ISNA(VLOOKUP(E5616,E$1:E5615,1,FALSE()))),"OLD",IF(AND(E5616&lt;&gt;"",E5616&lt;&gt;"!!!"),"NEW","")))</f>
        <v> </v>
      </c>
      <c r="G5616" s="24" t="str">
        <f>IF(OR(E5616="",E5616="!!!"),"",IF(OR(J5616=0,AND(J5616=1,K5616=1),AND(J5616=1,I5616="SBJ"),AND(J5616=1,I5616=0)),"?IN_FOCUS",IF(J5616&lt;=2,"?ACTIVATED",IF(J5616&lt;&gt;"","?FAMILIAR",IF(F5616="NEW",IF(ISNA(VLOOKUP(E5616,#REF!,1,FALSE())),"?TYPE_IDENTIFIABLE","?REFERENTIAL"),"_")))))</f>
        <v> </v>
      </c>
      <c r="H5616" s="25" t="str">
        <f>IF(J5616&lt;&gt;1,"",IF(I5616="SBJ","CB","?"))</f>
        <v> </v>
      </c>
      <c r="I5616" s="26" t="str">
        <f>IF(OR(E5616="",E5616="!!!",F5616="NEW"),"",INDEX(B5615:B$2,-1+SUMPRODUCT(MAX(ROW(E5615:E$2)*(E5616=E5615:E$2)))))</f>
        <v> </v>
      </c>
      <c r="J5616" s="26" t="str">
        <f>IF(OR(E5616="",E5616="!!!",F5616="NEW"),"",COUNTBLANK(OFFSET(A$1,,,SUMPRODUCT(MAX(ROW(E$2:E5616)*(E5616=E$2:E5616)))))-COUNTBLANK(OFFSET(A$1,,,SUMPRODUCT(MAX(ROW(E$1:E5615)*(E2=E$1:E5615))))))</f>
        <v> </v>
      </c>
      <c r="K5616" s="26" t="str">
        <f>IF(OR(E5616="",E5616="!!!",F5616="NEW"),"",INDEX(J$1:J5615,SUMPRODUCT(MAX(ROW(E$1:E5615)*(E5616=E$1:E5615)))))</f>
        <v> </v>
      </c>
      <c r="L5616" s="27"/>
    </row>
    <row r="5617" spans="1:12">
      <c r="A5617" s="20" t="s">
        <v>1586</v>
      </c>
      <c r="E5617" s="22">
        <f>IF(D5617="?OLD","!!!","")</f>
        <v/>
      </c>
      <c r="F5617" s="23" t="str">
        <f>IF(OR(E5617="",E5617="!!!"),"",IF(NOT(ISNA(VLOOKUP(E5617,E$1:E5616,1,FALSE()))),"OLD",IF(AND(E5617&lt;&gt;"",E5617&lt;&gt;"!!!"),"NEW","")))</f>
        <v> </v>
      </c>
      <c r="G5617" s="24" t="str">
        <f>IF(OR(E5617="",E5617="!!!"),"",IF(OR(J5617=0,AND(J5617=1,K5617=1),AND(J5617=1,I5617="SBJ"),AND(J5617=1,I5617=0)),"?IN_FOCUS",IF(J5617&lt;=2,"?ACTIVATED",IF(J5617&lt;&gt;"","?FAMILIAR",IF(F5617="NEW",IF(ISNA(VLOOKUP(E5617,#REF!,1,FALSE())),"?TYPE_IDENTIFIABLE","?REFERENTIAL"),"_")))))</f>
        <v> </v>
      </c>
      <c r="H5617" s="25" t="str">
        <f>IF(J5617&lt;&gt;1,"",IF(I5617="SBJ","CB","?"))</f>
        <v> </v>
      </c>
      <c r="I5617" s="26" t="str">
        <f>IF(OR(E5617="",E5617="!!!",F5617="NEW"),"",INDEX(B5616:B$2,-1+SUMPRODUCT(MAX(ROW(E5616:E$2)*(E5617=E5616:E$2)))))</f>
        <v> </v>
      </c>
      <c r="J5617" s="26" t="str">
        <f>IF(OR(E5617="",E5617="!!!",F5617="NEW"),"",COUNTBLANK(OFFSET(A$1,,,SUMPRODUCT(MAX(ROW(E$2:E5617)*(E5617=E$2:E5617)))))-COUNTBLANK(OFFSET(A$1,,,SUMPRODUCT(MAX(ROW(E$1:E5616)*(E2=E$1:E5616))))))</f>
        <v> </v>
      </c>
      <c r="K5617" s="26" t="str">
        <f>IF(OR(E5617="",E5617="!!!",F5617="NEW"),"",INDEX(J$1:J5616,SUMPRODUCT(MAX(ROW(E$1:E5616)*(E5617=E$1:E5616)))))</f>
        <v> </v>
      </c>
      <c r="L5617" s="27"/>
    </row>
    <row r="5618" spans="1:12">
      <c r="A5618" s="20" t="s">
        <v>2979</v>
      </c>
      <c r="B5618" s="21" t="s">
        <v>1244</v>
      </c>
      <c r="C5618" s="21" t="s">
        <v>1276</v>
      </c>
      <c r="D5618" s="21" t="s">
        <v>1217</v>
      </c>
      <c r="E5618" s="22">
        <f>IF(D5618="?OLD","!!!","")</f>
        <v/>
      </c>
      <c r="F5618" s="23" t="str">
        <f>IF(OR(E5618="",E5618="!!!"),"",IF(NOT(ISNA(VLOOKUP(E5618,E$1:E5617,1,FALSE()))),"OLD",IF(AND(E5618&lt;&gt;"",E5618&lt;&gt;"!!!"),"NEW","")))</f>
        <v> </v>
      </c>
      <c r="G5618" s="24" t="str">
        <f>IF(OR(E5618="",E5618="!!!"),"",IF(OR(J5618=0,AND(J5618=1,K5618=1),AND(J5618=1,I5618="SBJ"),AND(J5618=1,I5618=0)),"?IN_FOCUS",IF(J5618&lt;=2,"?ACTIVATED",IF(J5618&lt;&gt;"","?FAMILIAR",IF(F5618="NEW",IF(ISNA(VLOOKUP(E5618,#REF!,1,FALSE())),"?TYPE_IDENTIFIABLE","?REFERENTIAL"),"_")))))</f>
        <v> </v>
      </c>
      <c r="H5618" s="25" t="str">
        <f>IF(J5618&lt;&gt;1,"",IF(I5618="SBJ","CB","?"))</f>
        <v> </v>
      </c>
      <c r="I5618" s="26" t="str">
        <f>IF(OR(E5618="",E5618="!!!",F5618="NEW"),"",INDEX(B5617:B$2,-1+SUMPRODUCT(MAX(ROW(E5617:E$2)*(E5618=E5617:E$2)))))</f>
        <v> </v>
      </c>
      <c r="J5618" s="26" t="str">
        <f>IF(OR(E5618="",E5618="!!!",F5618="NEW"),"",COUNTBLANK(OFFSET(A$1,,,SUMPRODUCT(MAX(ROW(E$2:E5618)*(E5618=E$2:E5618)))))-COUNTBLANK(OFFSET(A$1,,,SUMPRODUCT(MAX(ROW(E$1:E5617)*(E2=E$1:E5617))))))</f>
        <v> </v>
      </c>
      <c r="K5618" s="26" t="str">
        <f>IF(OR(E5618="",E5618="!!!",F5618="NEW"),"",INDEX(J$1:J5617,SUMPRODUCT(MAX(ROW(E$1:E5617)*(E5618=E$1:E5617)))))</f>
        <v> </v>
      </c>
      <c r="L5618" s="27"/>
    </row>
    <row r="5619" spans="1:12">
      <c r="A5619" s="20" t="s">
        <v>1227</v>
      </c>
      <c r="E5619" s="22">
        <f>IF(D5619="?OLD","!!!","")</f>
        <v/>
      </c>
      <c r="F5619" s="23" t="str">
        <f>IF(OR(E5619="",E5619="!!!"),"",IF(NOT(ISNA(VLOOKUP(E5619,E$1:E5618,1,FALSE()))),"OLD",IF(AND(E5619&lt;&gt;"",E5619&lt;&gt;"!!!"),"NEW","")))</f>
        <v> </v>
      </c>
      <c r="G5619" s="24" t="str">
        <f>IF(OR(E5619="",E5619="!!!"),"",IF(OR(J5619=0,AND(J5619=1,K5619=1),AND(J5619=1,I5619="SBJ"),AND(J5619=1,I5619=0)),"?IN_FOCUS",IF(J5619&lt;=2,"?ACTIVATED",IF(J5619&lt;&gt;"","?FAMILIAR",IF(F5619="NEW",IF(ISNA(VLOOKUP(E5619,#REF!,1,FALSE())),"?TYPE_IDENTIFIABLE","?REFERENTIAL"),"_")))))</f>
        <v> </v>
      </c>
      <c r="H5619" s="25" t="str">
        <f>IF(J5619&lt;&gt;1,"",IF(I5619="SBJ","CB","?"))</f>
        <v> </v>
      </c>
      <c r="I5619" s="26" t="str">
        <f>IF(OR(E5619="",E5619="!!!",F5619="NEW"),"",INDEX(B5618:B$2,-1+SUMPRODUCT(MAX(ROW(E5618:E$2)*(E5619=E5618:E$2)))))</f>
        <v> </v>
      </c>
      <c r="J5619" s="26" t="str">
        <f>IF(OR(E5619="",E5619="!!!",F5619="NEW"),"",COUNTBLANK(OFFSET(A$1,,,SUMPRODUCT(MAX(ROW(E$2:E5619)*(E5619=E$2:E5619)))))-COUNTBLANK(OFFSET(A$1,,,SUMPRODUCT(MAX(ROW(E$1:E5618)*(E2=E$1:E5618))))))</f>
        <v> </v>
      </c>
      <c r="K5619" s="26" t="str">
        <f>IF(OR(E5619="",E5619="!!!",F5619="NEW"),"",INDEX(J$1:J5618,SUMPRODUCT(MAX(ROW(E$1:E5618)*(E5619=E$1:E5618)))))</f>
        <v> </v>
      </c>
      <c r="L5619" s="27"/>
    </row>
    <row r="5620" spans="1:12">
      <c r="A5620" s="20" t="s">
        <v>2980</v>
      </c>
      <c r="E5620" s="22">
        <f>IF(D5620="?OLD","!!!","")</f>
        <v/>
      </c>
      <c r="F5620" s="23" t="str">
        <f>IF(OR(E5620="",E5620="!!!"),"",IF(NOT(ISNA(VLOOKUP(E5620,E$1:E5619,1,FALSE()))),"OLD",IF(AND(E5620&lt;&gt;"",E5620&lt;&gt;"!!!"),"NEW","")))</f>
        <v> </v>
      </c>
      <c r="G5620" s="24" t="str">
        <f>IF(OR(E5620="",E5620="!!!"),"",IF(OR(J5620=0,AND(J5620=1,K5620=1),AND(J5620=1,I5620="SBJ"),AND(J5620=1,I5620=0)),"?IN_FOCUS",IF(J5620&lt;=2,"?ACTIVATED",IF(J5620&lt;&gt;"","?FAMILIAR",IF(F5620="NEW",IF(ISNA(VLOOKUP(E5620,#REF!,1,FALSE())),"?TYPE_IDENTIFIABLE","?REFERENTIAL"),"_")))))</f>
        <v> </v>
      </c>
      <c r="H5620" s="25" t="str">
        <f>IF(J5620&lt;&gt;1,"",IF(I5620="SBJ","CB","?"))</f>
        <v> </v>
      </c>
      <c r="I5620" s="26" t="str">
        <f>IF(OR(E5620="",E5620="!!!",F5620="NEW"),"",INDEX(B5619:B$2,-1+SUMPRODUCT(MAX(ROW(E5619:E$2)*(E5620=E5619:E$2)))))</f>
        <v> </v>
      </c>
      <c r="J5620" s="26" t="str">
        <f>IF(OR(E5620="",E5620="!!!",F5620="NEW"),"",COUNTBLANK(OFFSET(A$1,,,SUMPRODUCT(MAX(ROW(E$2:E5620)*(E5620=E$2:E5620)))))-COUNTBLANK(OFFSET(A$1,,,SUMPRODUCT(MAX(ROW(E$1:E5619)*(E2=E$1:E5619))))))</f>
        <v> </v>
      </c>
      <c r="K5620" s="26" t="str">
        <f>IF(OR(E5620="",E5620="!!!",F5620="NEW"),"",INDEX(J$1:J5619,SUMPRODUCT(MAX(ROW(E$1:E5619)*(E5620=E$1:E5619)))))</f>
        <v> </v>
      </c>
      <c r="L5620" s="27"/>
    </row>
    <row r="5621" spans="1:12">
      <c r="A5621" s="20" t="s">
        <v>1245</v>
      </c>
      <c r="E5621" s="22">
        <f>IF(D5621="?OLD","!!!","")</f>
        <v/>
      </c>
      <c r="F5621" s="23" t="str">
        <f>IF(OR(E5621="",E5621="!!!"),"",IF(NOT(ISNA(VLOOKUP(E5621,E$1:E5620,1,FALSE()))),"OLD",IF(AND(E5621&lt;&gt;"",E5621&lt;&gt;"!!!"),"NEW","")))</f>
        <v> </v>
      </c>
      <c r="G5621" s="24" t="str">
        <f>IF(OR(E5621="",E5621="!!!"),"",IF(OR(J5621=0,AND(J5621=1,K5621=1),AND(J5621=1,I5621="SBJ"),AND(J5621=1,I5621=0)),"?IN_FOCUS",IF(J5621&lt;=2,"?ACTIVATED",IF(J5621&lt;&gt;"","?FAMILIAR",IF(F5621="NEW",IF(ISNA(VLOOKUP(E5621,#REF!,1,FALSE())),"?TYPE_IDENTIFIABLE","?REFERENTIAL"),"_")))))</f>
        <v> </v>
      </c>
      <c r="H5621" s="25" t="str">
        <f>IF(J5621&lt;&gt;1,"",IF(I5621="SBJ","CB","?"))</f>
        <v> </v>
      </c>
      <c r="I5621" s="26" t="str">
        <f>IF(OR(E5621="",E5621="!!!",F5621="NEW"),"",INDEX(B5620:B$2,-1+SUMPRODUCT(MAX(ROW(E5620:E$2)*(E5621=E5620:E$2)))))</f>
        <v> </v>
      </c>
      <c r="J5621" s="26" t="str">
        <f>IF(OR(E5621="",E5621="!!!",F5621="NEW"),"",COUNTBLANK(OFFSET(A$1,,,SUMPRODUCT(MAX(ROW(E$2:E5621)*(E5621=E$2:E5621)))))-COUNTBLANK(OFFSET(A$1,,,SUMPRODUCT(MAX(ROW(E$1:E5620)*(E2=E$1:E5620))))))</f>
        <v> </v>
      </c>
      <c r="K5621" s="26" t="str">
        <f>IF(OR(E5621="",E5621="!!!",F5621="NEW"),"",INDEX(J$1:J5620,SUMPRODUCT(MAX(ROW(E$1:E5620)*(E5621=E$1:E5620)))))</f>
        <v> </v>
      </c>
      <c r="L5621" s="27"/>
    </row>
    <row r="5622" spans="1:12">
      <c r="A5622" s="20" t="s">
        <v>470</v>
      </c>
      <c r="E5622" s="22">
        <f>IF(D5622="?OLD","!!!","")</f>
        <v/>
      </c>
      <c r="F5622" s="23" t="str">
        <f>IF(OR(E5622="",E5622="!!!"),"",IF(NOT(ISNA(VLOOKUP(E5622,E$1:E5621,1,FALSE()))),"OLD",IF(AND(E5622&lt;&gt;"",E5622&lt;&gt;"!!!"),"NEW","")))</f>
        <v> </v>
      </c>
      <c r="G5622" s="24" t="str">
        <f>IF(OR(E5622="",E5622="!!!"),"",IF(OR(J5622=0,AND(J5622=1,K5622=1),AND(J5622=1,I5622="SBJ"),AND(J5622=1,I5622=0)),"?IN_FOCUS",IF(J5622&lt;=2,"?ACTIVATED",IF(J5622&lt;&gt;"","?FAMILIAR",IF(F5622="NEW",IF(ISNA(VLOOKUP(E5622,#REF!,1,FALSE())),"?TYPE_IDENTIFIABLE","?REFERENTIAL"),"_")))))</f>
        <v> </v>
      </c>
      <c r="H5622" s="25" t="str">
        <f>IF(J5622&lt;&gt;1,"",IF(I5622="SBJ","CB","?"))</f>
        <v> </v>
      </c>
      <c r="I5622" s="26" t="str">
        <f>IF(OR(E5622="",E5622="!!!",F5622="NEW"),"",INDEX(B5621:B$2,-1+SUMPRODUCT(MAX(ROW(E5621:E$2)*(E5622=E5621:E$2)))))</f>
        <v> </v>
      </c>
      <c r="J5622" s="26" t="str">
        <f>IF(OR(E5622="",E5622="!!!",F5622="NEW"),"",COUNTBLANK(OFFSET(A$1,,,SUMPRODUCT(MAX(ROW(E$2:E5622)*(E5622=E$2:E5622)))))-COUNTBLANK(OFFSET(A$1,,,SUMPRODUCT(MAX(ROW(E$1:E5621)*(E2=E$1:E5621))))))</f>
        <v> </v>
      </c>
      <c r="K5622" s="26" t="str">
        <f>IF(OR(E5622="",E5622="!!!",F5622="NEW"),"",INDEX(J$1:J5621,SUMPRODUCT(MAX(ROW(E$1:E5621)*(E5622=E$1:E5621)))))</f>
        <v> </v>
      </c>
      <c r="L5622" s="27"/>
    </row>
    <row r="5623" spans="1:12">
      <c r="A5623" s="20" t="s">
        <v>1277</v>
      </c>
      <c r="E5623" s="22">
        <f>IF(D5623="?OLD","!!!","")</f>
        <v/>
      </c>
      <c r="F5623" s="23" t="str">
        <f>IF(OR(E5623="",E5623="!!!"),"",IF(NOT(ISNA(VLOOKUP(E5623,E$1:E5622,1,FALSE()))),"OLD",IF(AND(E5623&lt;&gt;"",E5623&lt;&gt;"!!!"),"NEW","")))</f>
        <v> </v>
      </c>
      <c r="G5623" s="24" t="str">
        <f>IF(OR(E5623="",E5623="!!!"),"",IF(OR(J5623=0,AND(J5623=1,K5623=1),AND(J5623=1,I5623="SBJ"),AND(J5623=1,I5623=0)),"?IN_FOCUS",IF(J5623&lt;=2,"?ACTIVATED",IF(J5623&lt;&gt;"","?FAMILIAR",IF(F5623="NEW",IF(ISNA(VLOOKUP(E5623,#REF!,1,FALSE())),"?TYPE_IDENTIFIABLE","?REFERENTIAL"),"_")))))</f>
        <v> </v>
      </c>
      <c r="H5623" s="25" t="str">
        <f>IF(J5623&lt;&gt;1,"",IF(I5623="SBJ","CB","?"))</f>
        <v> </v>
      </c>
      <c r="I5623" s="26" t="str">
        <f>IF(OR(E5623="",E5623="!!!",F5623="NEW"),"",INDEX(B5622:B$2,-1+SUMPRODUCT(MAX(ROW(E5622:E$2)*(E5623=E5622:E$2)))))</f>
        <v> </v>
      </c>
      <c r="J5623" s="26" t="str">
        <f>IF(OR(E5623="",E5623="!!!",F5623="NEW"),"",COUNTBLANK(OFFSET(A$1,,,SUMPRODUCT(MAX(ROW(E$2:E5623)*(E5623=E$2:E5623)))))-COUNTBLANK(OFFSET(A$1,,,SUMPRODUCT(MAX(ROW(E$1:E5622)*(E2=E$1:E5622))))))</f>
        <v> </v>
      </c>
      <c r="K5623" s="26" t="str">
        <f>IF(OR(E5623="",E5623="!!!",F5623="NEW"),"",INDEX(J$1:J5622,SUMPRODUCT(MAX(ROW(E$1:E5622)*(E5623=E$1:E5622)))))</f>
        <v> </v>
      </c>
      <c r="L5623" s="27"/>
    </row>
    <row r="5624" spans="1:12">
      <c r="A5624" s="20" t="s">
        <v>1829</v>
      </c>
      <c r="E5624" s="22">
        <f>IF(D5624="?OLD","!!!","")</f>
        <v/>
      </c>
      <c r="F5624" s="23" t="str">
        <f>IF(OR(E5624="",E5624="!!!"),"",IF(NOT(ISNA(VLOOKUP(E5624,E$1:E5623,1,FALSE()))),"OLD",IF(AND(E5624&lt;&gt;"",E5624&lt;&gt;"!!!"),"NEW","")))</f>
        <v> </v>
      </c>
      <c r="G5624" s="24" t="str">
        <f>IF(OR(E5624="",E5624="!!!"),"",IF(OR(J5624=0,AND(J5624=1,K5624=1),AND(J5624=1,I5624="SBJ"),AND(J5624=1,I5624=0)),"?IN_FOCUS",IF(J5624&lt;=2,"?ACTIVATED",IF(J5624&lt;&gt;"","?FAMILIAR",IF(F5624="NEW",IF(ISNA(VLOOKUP(E5624,#REF!,1,FALSE())),"?TYPE_IDENTIFIABLE","?REFERENTIAL"),"_")))))</f>
        <v> </v>
      </c>
      <c r="H5624" s="25" t="str">
        <f>IF(J5624&lt;&gt;1,"",IF(I5624="SBJ","CB","?"))</f>
        <v> </v>
      </c>
      <c r="I5624" s="26" t="str">
        <f>IF(OR(E5624="",E5624="!!!",F5624="NEW"),"",INDEX(B5623:B$2,-1+SUMPRODUCT(MAX(ROW(E5623:E$2)*(E5624=E5623:E$2)))))</f>
        <v> </v>
      </c>
      <c r="J5624" s="26" t="str">
        <f>IF(OR(E5624="",E5624="!!!",F5624="NEW"),"",COUNTBLANK(OFFSET(A$1,,,SUMPRODUCT(MAX(ROW(E$2:E5624)*(E5624=E$2:E5624)))))-COUNTBLANK(OFFSET(A$1,,,SUMPRODUCT(MAX(ROW(E$1:E5623)*(E2=E$1:E5623))))))</f>
        <v> </v>
      </c>
      <c r="K5624" s="26" t="str">
        <f>IF(OR(E5624="",E5624="!!!",F5624="NEW"),"",INDEX(J$1:J5623,SUMPRODUCT(MAX(ROW(E$1:E5623)*(E5624=E$1:E5623)))))</f>
        <v> </v>
      </c>
      <c r="L5624" s="27"/>
    </row>
    <row r="5625" spans="1:12">
      <c r="A5625" s="20" t="s">
        <v>1240</v>
      </c>
      <c r="E5625" s="22">
        <f>IF(D5625="?OLD","!!!","")</f>
        <v/>
      </c>
      <c r="F5625" s="23" t="str">
        <f>IF(OR(E5625="",E5625="!!!"),"",IF(NOT(ISNA(VLOOKUP(E5625,E$1:E5624,1,FALSE()))),"OLD",IF(AND(E5625&lt;&gt;"",E5625&lt;&gt;"!!!"),"NEW","")))</f>
        <v> </v>
      </c>
      <c r="G5625" s="24" t="str">
        <f>IF(OR(E5625="",E5625="!!!"),"",IF(OR(J5625=0,AND(J5625=1,K5625=1),AND(J5625=1,I5625="SBJ"),AND(J5625=1,I5625=0)),"?IN_FOCUS",IF(J5625&lt;=2,"?ACTIVATED",IF(J5625&lt;&gt;"","?FAMILIAR",IF(F5625="NEW",IF(ISNA(VLOOKUP(E5625,#REF!,1,FALSE())),"?TYPE_IDENTIFIABLE","?REFERENTIAL"),"_")))))</f>
        <v> </v>
      </c>
      <c r="H5625" s="25" t="str">
        <f>IF(J5625&lt;&gt;1,"",IF(I5625="SBJ","CB","?"))</f>
        <v> </v>
      </c>
      <c r="I5625" s="26" t="str">
        <f>IF(OR(E5625="",E5625="!!!",F5625="NEW"),"",INDEX(B5624:B$2,-1+SUMPRODUCT(MAX(ROW(E5624:E$2)*(E5625=E5624:E$2)))))</f>
        <v> </v>
      </c>
      <c r="J5625" s="26" t="str">
        <f>IF(OR(E5625="",E5625="!!!",F5625="NEW"),"",COUNTBLANK(OFFSET(A$1,,,SUMPRODUCT(MAX(ROW(E$2:E5625)*(E5625=E$2:E5625)))))-COUNTBLANK(OFFSET(A$1,,,SUMPRODUCT(MAX(ROW(E$1:E5624)*(E2=E$1:E5624))))))</f>
        <v> </v>
      </c>
      <c r="K5625" s="26" t="str">
        <f>IF(OR(E5625="",E5625="!!!",F5625="NEW"),"",INDEX(J$1:J5624,SUMPRODUCT(MAX(ROW(E$1:E5624)*(E5625=E$1:E5624)))))</f>
        <v> </v>
      </c>
      <c r="L5625" s="27"/>
    </row>
    <row r="5626" spans="1:12">
      <c r="A5626" s="20" t="s">
        <v>2981</v>
      </c>
      <c r="E5626" s="22">
        <f>IF(D5626="?OLD","!!!","")</f>
        <v/>
      </c>
      <c r="F5626" s="23" t="str">
        <f>IF(OR(E5626="",E5626="!!!"),"",IF(NOT(ISNA(VLOOKUP(E5626,E$1:E5625,1,FALSE()))),"OLD",IF(AND(E5626&lt;&gt;"",E5626&lt;&gt;"!!!"),"NEW","")))</f>
        <v> </v>
      </c>
      <c r="G5626" s="24" t="str">
        <f>IF(OR(E5626="",E5626="!!!"),"",IF(OR(J5626=0,AND(J5626=1,K5626=1),AND(J5626=1,I5626="SBJ"),AND(J5626=1,I5626=0)),"?IN_FOCUS",IF(J5626&lt;=2,"?ACTIVATED",IF(J5626&lt;&gt;"","?FAMILIAR",IF(F5626="NEW",IF(ISNA(VLOOKUP(E5626,#REF!,1,FALSE())),"?TYPE_IDENTIFIABLE","?REFERENTIAL"),"_")))))</f>
        <v> </v>
      </c>
      <c r="H5626" s="25" t="str">
        <f>IF(J5626&lt;&gt;1,"",IF(I5626="SBJ","CB","?"))</f>
        <v> </v>
      </c>
      <c r="I5626" s="26" t="str">
        <f>IF(OR(E5626="",E5626="!!!",F5626="NEW"),"",INDEX(B5625:B$2,-1+SUMPRODUCT(MAX(ROW(E5625:E$2)*(E5626=E5625:E$2)))))</f>
        <v> </v>
      </c>
      <c r="J5626" s="26" t="str">
        <f>IF(OR(E5626="",E5626="!!!",F5626="NEW"),"",COUNTBLANK(OFFSET(A$1,,,SUMPRODUCT(MAX(ROW(E$2:E5626)*(E5626=E$2:E5626)))))-COUNTBLANK(OFFSET(A$1,,,SUMPRODUCT(MAX(ROW(E$1:E5625)*(E2=E$1:E5625))))))</f>
        <v> </v>
      </c>
      <c r="K5626" s="26" t="str">
        <f>IF(OR(E5626="",E5626="!!!",F5626="NEW"),"",INDEX(J$1:J5625,SUMPRODUCT(MAX(ROW(E$1:E5625)*(E5626=E$1:E5625)))))</f>
        <v> </v>
      </c>
      <c r="L5626" s="27"/>
    </row>
    <row r="5627" spans="1:12">
      <c r="A5627" s="20" t="s">
        <v>2982</v>
      </c>
      <c r="B5627" s="21" t="s">
        <v>1244</v>
      </c>
      <c r="C5627" s="21" t="s">
        <v>1279</v>
      </c>
      <c r="E5627" s="22">
        <f>IF(D5627="?OLD","!!!","")</f>
        <v/>
      </c>
      <c r="F5627" s="23" t="str">
        <f>IF(OR(E5627="",E5627="!!!"),"",IF(NOT(ISNA(VLOOKUP(E5627,E$1:E5626,1,FALSE()))),"OLD",IF(AND(E5627&lt;&gt;"",E5627&lt;&gt;"!!!"),"NEW","")))</f>
        <v> </v>
      </c>
      <c r="G5627" s="24" t="str">
        <f>IF(OR(E5627="",E5627="!!!"),"",IF(OR(J5627=0,AND(J5627=1,K5627=1),AND(J5627=1,I5627="SBJ"),AND(J5627=1,I5627=0)),"?IN_FOCUS",IF(J5627&lt;=2,"?ACTIVATED",IF(J5627&lt;&gt;"","?FAMILIAR",IF(F5627="NEW",IF(ISNA(VLOOKUP(E5627,#REF!,1,FALSE())),"?TYPE_IDENTIFIABLE","?REFERENTIAL"),"_")))))</f>
        <v> </v>
      </c>
      <c r="H5627" s="25" t="str">
        <f>IF(J5627&lt;&gt;1,"",IF(I5627="SBJ","CB","?"))</f>
        <v> </v>
      </c>
      <c r="I5627" s="26" t="str">
        <f>IF(OR(E5627="",E5627="!!!",F5627="NEW"),"",INDEX(B5626:B$2,-1+SUMPRODUCT(MAX(ROW(E5626:E$2)*(E5627=E5626:E$2)))))</f>
        <v> </v>
      </c>
      <c r="J5627" s="26" t="str">
        <f>IF(OR(E5627="",E5627="!!!",F5627="NEW"),"",COUNTBLANK(OFFSET(A$1,,,SUMPRODUCT(MAX(ROW(E$2:E5627)*(E5627=E$2:E5627)))))-COUNTBLANK(OFFSET(A$1,,,SUMPRODUCT(MAX(ROW(E$1:E5626)*(E2=E$1:E5626))))))</f>
        <v> </v>
      </c>
      <c r="K5627" s="26" t="str">
        <f>IF(OR(E5627="",E5627="!!!",F5627="NEW"),"",INDEX(J$1:J5626,SUMPRODUCT(MAX(ROW(E$1:E5626)*(E5627=E$1:E5626)))))</f>
        <v> </v>
      </c>
      <c r="L5627" s="27"/>
    </row>
    <row r="5628" spans="1:12">
      <c r="A5628" s="20" t="s">
        <v>1262</v>
      </c>
      <c r="E5628" s="22">
        <f>IF(D5628="?OLD","!!!","")</f>
        <v/>
      </c>
      <c r="F5628" s="23" t="str">
        <f>IF(OR(E5628="",E5628="!!!"),"",IF(NOT(ISNA(VLOOKUP(E5628,E$1:E5627,1,FALSE()))),"OLD",IF(AND(E5628&lt;&gt;"",E5628&lt;&gt;"!!!"),"NEW","")))</f>
        <v> </v>
      </c>
      <c r="G5628" s="24" t="str">
        <f>IF(OR(E5628="",E5628="!!!"),"",IF(OR(J5628=0,AND(J5628=1,K5628=1),AND(J5628=1,I5628="SBJ"),AND(J5628=1,I5628=0)),"?IN_FOCUS",IF(J5628&lt;=2,"?ACTIVATED",IF(J5628&lt;&gt;"","?FAMILIAR",IF(F5628="NEW",IF(ISNA(VLOOKUP(E5628,#REF!,1,FALSE())),"?TYPE_IDENTIFIABLE","?REFERENTIAL"),"_")))))</f>
        <v> </v>
      </c>
      <c r="H5628" s="25" t="str">
        <f>IF(J5628&lt;&gt;1,"",IF(I5628="SBJ","CB","?"))</f>
        <v> </v>
      </c>
      <c r="I5628" s="26" t="str">
        <f>IF(OR(E5628="",E5628="!!!",F5628="NEW"),"",INDEX(B5627:B$2,-1+SUMPRODUCT(MAX(ROW(E5627:E$2)*(E5628=E5627:E$2)))))</f>
        <v> </v>
      </c>
      <c r="J5628" s="26" t="str">
        <f>IF(OR(E5628="",E5628="!!!",F5628="NEW"),"",COUNTBLANK(OFFSET(A$1,,,SUMPRODUCT(MAX(ROW(E$2:E5628)*(E5628=E$2:E5628)))))-COUNTBLANK(OFFSET(A$1,,,SUMPRODUCT(MAX(ROW(E$1:E5627)*(E2=E$1:E5627))))))</f>
        <v> </v>
      </c>
      <c r="K5628" s="26" t="str">
        <f>IF(OR(E5628="",E5628="!!!",F5628="NEW"),"",INDEX(J$1:J5627,SUMPRODUCT(MAX(ROW(E$1:E5627)*(E5628=E$1:E5627)))))</f>
        <v> </v>
      </c>
      <c r="L5628" s="27"/>
    </row>
    <row r="5629" spans="1:12">
      <c r="A5629" s="20"/>
    </row>
    <row r="5630" spans="1:12">
      <c r="A5630" s="20" t="s">
        <v>2983</v>
      </c>
    </row>
    <row r="5631" spans="1:12">
      <c r="A5631" s="20" t="s">
        <v>2984</v>
      </c>
      <c r="E5631" s="22">
        <f>IF(D5631="?OLD","!!!","")</f>
        <v/>
      </c>
      <c r="F5631" s="23" t="str">
        <f>IF(OR(E5631="",E5631="!!!"),"",IF(NOT(ISNA(VLOOKUP(E5631,E$1:E5630,1,FALSE()))),"OLD",IF(AND(E5631&lt;&gt;"",E5631&lt;&gt;"!!!"),"NEW","")))</f>
        <v> </v>
      </c>
      <c r="G5631" s="24" t="str">
        <f>IF(OR(E5631="",E5631="!!!"),"",IF(OR(J5631=0,AND(J5631=1,K5631=1),AND(J5631=1,I5631="SBJ"),AND(J5631=1,I5631=0)),"?IN_FOCUS",IF(J5631&lt;=2,"?ACTIVATED",IF(J5631&lt;&gt;"","?FAMILIAR",IF(F5631="NEW",IF(ISNA(VLOOKUP(E5631,#REF!,1,FALSE())),"?TYPE_IDENTIFIABLE","?REFERENTIAL"),"_")))))</f>
        <v> </v>
      </c>
      <c r="H5631" s="25" t="str">
        <f>IF(J5631&lt;&gt;1,"",IF(I5631="SBJ","CB","?"))</f>
        <v> </v>
      </c>
      <c r="I5631" s="26" t="str">
        <f>IF(OR(E5631="",E5631="!!!",F5631="NEW"),"",INDEX(B5630:B$2,-1+SUMPRODUCT(MAX(ROW(E5630:E$2)*(E5631=E5630:E$2)))))</f>
        <v> </v>
      </c>
      <c r="J5631" s="26" t="str">
        <f>IF(OR(E5631="",E5631="!!!",F5631="NEW"),"",COUNTBLANK(OFFSET(A$1,,,SUMPRODUCT(MAX(ROW(E$2:E5631)*(E5631=E$2:E5631)))))-COUNTBLANK(OFFSET(A$1,,,SUMPRODUCT(MAX(ROW(E$1:E5630)*(E2=E$1:E5630))))))</f>
        <v> </v>
      </c>
      <c r="K5631" s="26" t="str">
        <f>IF(OR(E5631="",E5631="!!!",F5631="NEW"),"",INDEX(J$1:J5630,SUMPRODUCT(MAX(ROW(E$1:E5630)*(E5631=E$1:E5630)))))</f>
        <v> </v>
      </c>
      <c r="L5631" s="27"/>
    </row>
    <row r="5632" spans="1:12">
      <c r="A5632" s="20" t="s">
        <v>1323</v>
      </c>
      <c r="E5632" s="22">
        <f>IF(D5632="?OLD","!!!","")</f>
        <v/>
      </c>
      <c r="F5632" s="23" t="str">
        <f>IF(OR(E5632="",E5632="!!!"),"",IF(NOT(ISNA(VLOOKUP(E5632,E$1:E5631,1,FALSE()))),"OLD",IF(AND(E5632&lt;&gt;"",E5632&lt;&gt;"!!!"),"NEW","")))</f>
        <v> </v>
      </c>
      <c r="G5632" s="24" t="str">
        <f>IF(OR(E5632="",E5632="!!!"),"",IF(OR(J5632=0,AND(J5632=1,K5632=1),AND(J5632=1,I5632="SBJ"),AND(J5632=1,I5632=0)),"?IN_FOCUS",IF(J5632&lt;=2,"?ACTIVATED",IF(J5632&lt;&gt;"","?FAMILIAR",IF(F5632="NEW",IF(ISNA(VLOOKUP(E5632,#REF!,1,FALSE())),"?TYPE_IDENTIFIABLE","?REFERENTIAL"),"_")))))</f>
        <v> </v>
      </c>
      <c r="H5632" s="25" t="str">
        <f>IF(J5632&lt;&gt;1,"",IF(I5632="SBJ","CB","?"))</f>
        <v> </v>
      </c>
      <c r="I5632" s="26" t="str">
        <f>IF(OR(E5632="",E5632="!!!",F5632="NEW"),"",INDEX(B5631:B$2,-1+SUMPRODUCT(MAX(ROW(E5631:E$2)*(E5632=E5631:E$2)))))</f>
        <v> </v>
      </c>
      <c r="J5632" s="26" t="str">
        <f>IF(OR(E5632="",E5632="!!!",F5632="NEW"),"",COUNTBLANK(OFFSET(A$1,,,SUMPRODUCT(MAX(ROW(E$2:E5632)*(E5632=E$2:E5632)))))-COUNTBLANK(OFFSET(A$1,,,SUMPRODUCT(MAX(ROW(E$1:E5631)*(E2=E$1:E5631))))))</f>
        <v> </v>
      </c>
      <c r="K5632" s="26" t="str">
        <f>IF(OR(E5632="",E5632="!!!",F5632="NEW"),"",INDEX(J$1:J5631,SUMPRODUCT(MAX(ROW(E$1:E5631)*(E5632=E$1:E5631)))))</f>
        <v> </v>
      </c>
      <c r="L5632" s="27"/>
    </row>
    <row r="5633" spans="1:12">
      <c r="A5633" s="20" t="s">
        <v>2167</v>
      </c>
      <c r="B5633" s="21" t="s">
        <v>1249</v>
      </c>
      <c r="C5633" s="21" t="s">
        <v>1269</v>
      </c>
      <c r="D5633" s="21" t="s">
        <v>1217</v>
      </c>
      <c r="E5633" s="22">
        <f>IF(D5633="?OLD","!!!","")</f>
        <v/>
      </c>
      <c r="F5633" s="23" t="str">
        <f>IF(OR(E5633="",E5633="!!!"),"",IF(NOT(ISNA(VLOOKUP(E5633,E$1:E5632,1,FALSE()))),"OLD",IF(AND(E5633&lt;&gt;"",E5633&lt;&gt;"!!!"),"NEW","")))</f>
        <v> </v>
      </c>
      <c r="G5633" s="24" t="str">
        <f>IF(OR(E5633="",E5633="!!!"),"",IF(OR(J5633=0,AND(J5633=1,K5633=1),AND(J5633=1,I5633="SBJ"),AND(J5633=1,I5633=0)),"?IN_FOCUS",IF(J5633&lt;=2,"?ACTIVATED",IF(J5633&lt;&gt;"","?FAMILIAR",IF(F5633="NEW",IF(ISNA(VLOOKUP(E5633,#REF!,1,FALSE())),"?TYPE_IDENTIFIABLE","?REFERENTIAL"),"_")))))</f>
        <v> </v>
      </c>
      <c r="H5633" s="25" t="str">
        <f>IF(J5633&lt;&gt;1,"",IF(I5633="SBJ","CB","?"))</f>
        <v> </v>
      </c>
      <c r="I5633" s="26" t="str">
        <f>IF(OR(E5633="",E5633="!!!",F5633="NEW"),"",INDEX(B5632:B$2,-1+SUMPRODUCT(MAX(ROW(E5632:E$2)*(E5633=E5632:E$2)))))</f>
        <v> </v>
      </c>
      <c r="J5633" s="26" t="str">
        <f>IF(OR(E5633="",E5633="!!!",F5633="NEW"),"",COUNTBLANK(OFFSET(A$1,,,SUMPRODUCT(MAX(ROW(E$2:E5633)*(E5633=E$2:E5633)))))-COUNTBLANK(OFFSET(A$1,,,SUMPRODUCT(MAX(ROW(E$1:E5632)*(E2=E$1:E5632))))))</f>
        <v> </v>
      </c>
      <c r="K5633" s="26" t="str">
        <f>IF(OR(E5633="",E5633="!!!",F5633="NEW"),"",INDEX(J$1:J5632,SUMPRODUCT(MAX(ROW(E$1:E5632)*(E5633=E$1:E5632)))))</f>
        <v> </v>
      </c>
      <c r="L5633" s="27"/>
    </row>
    <row r="5634" spans="1:12">
      <c r="A5634" s="20" t="s">
        <v>1257</v>
      </c>
      <c r="E5634" s="22">
        <f>IF(D5634="?OLD","!!!","")</f>
        <v/>
      </c>
      <c r="F5634" s="23" t="str">
        <f>IF(OR(E5634="",E5634="!!!"),"",IF(NOT(ISNA(VLOOKUP(E5634,E$1:E5633,1,FALSE()))),"OLD",IF(AND(E5634&lt;&gt;"",E5634&lt;&gt;"!!!"),"NEW","")))</f>
        <v> </v>
      </c>
      <c r="G5634" s="24" t="str">
        <f>IF(OR(E5634="",E5634="!!!"),"",IF(OR(J5634=0,AND(J5634=1,K5634=1),AND(J5634=1,I5634="SBJ"),AND(J5634=1,I5634=0)),"?IN_FOCUS",IF(J5634&lt;=2,"?ACTIVATED",IF(J5634&lt;&gt;"","?FAMILIAR",IF(F5634="NEW",IF(ISNA(VLOOKUP(E5634,#REF!,1,FALSE())),"?TYPE_IDENTIFIABLE","?REFERENTIAL"),"_")))))</f>
        <v> </v>
      </c>
      <c r="H5634" s="25" t="str">
        <f>IF(J5634&lt;&gt;1,"",IF(I5634="SBJ","CB","?"))</f>
        <v> </v>
      </c>
      <c r="I5634" s="26" t="str">
        <f>IF(OR(E5634="",E5634="!!!",F5634="NEW"),"",INDEX(B5633:B$2,-1+SUMPRODUCT(MAX(ROW(E5633:E$2)*(E5634=E5633:E$2)))))</f>
        <v> </v>
      </c>
      <c r="J5634" s="26" t="str">
        <f>IF(OR(E5634="",E5634="!!!",F5634="NEW"),"",COUNTBLANK(OFFSET(A$1,,,SUMPRODUCT(MAX(ROW(E$2:E5634)*(E5634=E$2:E5634)))))-COUNTBLANK(OFFSET(A$1,,,SUMPRODUCT(MAX(ROW(E$1:E5633)*(E2=E$1:E5633))))))</f>
        <v> </v>
      </c>
      <c r="K5634" s="26" t="str">
        <f>IF(OR(E5634="",E5634="!!!",F5634="NEW"),"",INDEX(J$1:J5633,SUMPRODUCT(MAX(ROW(E$1:E5633)*(E5634=E$1:E5633)))))</f>
        <v> </v>
      </c>
      <c r="L5634" s="27"/>
    </row>
    <row r="5635" spans="1:12">
      <c r="A5635" s="20" t="s">
        <v>1235</v>
      </c>
      <c r="B5635" s="21" t="s">
        <v>1221</v>
      </c>
      <c r="C5635" s="21" t="s">
        <v>1216</v>
      </c>
      <c r="D5635" s="21" t="s">
        <v>1217</v>
      </c>
      <c r="E5635" s="22">
        <f>IF(D5635="?OLD","!!!","")</f>
        <v/>
      </c>
      <c r="F5635" s="23" t="str">
        <f>IF(OR(E5635="",E5635="!!!"),"",IF(NOT(ISNA(VLOOKUP(E5635,E$1:E5634,1,FALSE()))),"OLD",IF(AND(E5635&lt;&gt;"",E5635&lt;&gt;"!!!"),"NEW","")))</f>
        <v> </v>
      </c>
      <c r="G5635" s="24" t="str">
        <f>IF(OR(E5635="",E5635="!!!"),"",IF(OR(J5635=0,AND(J5635=1,K5635=1),AND(J5635=1,I5635="SBJ"),AND(J5635=1,I5635=0)),"?IN_FOCUS",IF(J5635&lt;=2,"?ACTIVATED",IF(J5635&lt;&gt;"","?FAMILIAR",IF(F5635="NEW",IF(ISNA(VLOOKUP(E5635,#REF!,1,FALSE())),"?TYPE_IDENTIFIABLE","?REFERENTIAL"),"_")))))</f>
        <v> </v>
      </c>
      <c r="H5635" s="25" t="str">
        <f>IF(J5635&lt;&gt;1,"",IF(I5635="SBJ","CB","?"))</f>
        <v> </v>
      </c>
      <c r="I5635" s="26" t="str">
        <f>IF(OR(E5635="",E5635="!!!",F5635="NEW"),"",INDEX(B5634:B$2,-1+SUMPRODUCT(MAX(ROW(E5634:E$2)*(E5635=E5634:E$2)))))</f>
        <v> </v>
      </c>
      <c r="J5635" s="26" t="str">
        <f>IF(OR(E5635="",E5635="!!!",F5635="NEW"),"",COUNTBLANK(OFFSET(A$1,,,SUMPRODUCT(MAX(ROW(E$2:E5635)*(E5635=E$2:E5635)))))-COUNTBLANK(OFFSET(A$1,,,SUMPRODUCT(MAX(ROW(E$1:E5634)*(E2=E$1:E5634))))))</f>
        <v> </v>
      </c>
      <c r="K5635" s="26" t="str">
        <f>IF(OR(E5635="",E5635="!!!",F5635="NEW"),"",INDEX(J$1:J5634,SUMPRODUCT(MAX(ROW(E$1:E5634)*(E5635=E$1:E5634)))))</f>
        <v> </v>
      </c>
      <c r="L5635" s="27"/>
    </row>
    <row r="5636" spans="1:12">
      <c r="A5636" s="20" t="s">
        <v>1218</v>
      </c>
      <c r="E5636" s="22">
        <f>IF(D5636="?OLD","!!!","")</f>
        <v/>
      </c>
      <c r="F5636" s="23" t="str">
        <f>IF(OR(E5636="",E5636="!!!"),"",IF(NOT(ISNA(VLOOKUP(E5636,E$1:E5635,1,FALSE()))),"OLD",IF(AND(E5636&lt;&gt;"",E5636&lt;&gt;"!!!"),"NEW","")))</f>
        <v> </v>
      </c>
      <c r="G5636" s="24" t="str">
        <f>IF(OR(E5636="",E5636="!!!"),"",IF(OR(J5636=0,AND(J5636=1,K5636=1),AND(J5636=1,I5636="SBJ"),AND(J5636=1,I5636=0)),"?IN_FOCUS",IF(J5636&lt;=2,"?ACTIVATED",IF(J5636&lt;&gt;"","?FAMILIAR",IF(F5636="NEW",IF(ISNA(VLOOKUP(E5636,#REF!,1,FALSE())),"?TYPE_IDENTIFIABLE","?REFERENTIAL"),"_")))))</f>
        <v> </v>
      </c>
      <c r="H5636" s="25" t="str">
        <f>IF(J5636&lt;&gt;1,"",IF(I5636="SBJ","CB","?"))</f>
        <v> </v>
      </c>
      <c r="I5636" s="26" t="str">
        <f>IF(OR(E5636="",E5636="!!!",F5636="NEW"),"",INDEX(B5635:B$2,-1+SUMPRODUCT(MAX(ROW(E5635:E$2)*(E5636=E5635:E$2)))))</f>
        <v> </v>
      </c>
      <c r="J5636" s="26" t="str">
        <f>IF(OR(E5636="",E5636="!!!",F5636="NEW"),"",COUNTBLANK(OFFSET(A$1,,,SUMPRODUCT(MAX(ROW(E$2:E5636)*(E5636=E$2:E5636)))))-COUNTBLANK(OFFSET(A$1,,,SUMPRODUCT(MAX(ROW(E$1:E5635)*(E2=E$1:E5635))))))</f>
        <v> </v>
      </c>
      <c r="K5636" s="26" t="str">
        <f>IF(OR(E5636="",E5636="!!!",F5636="NEW"),"",INDEX(J$1:J5635,SUMPRODUCT(MAX(ROW(E$1:E5635)*(E5636=E$1:E5635)))))</f>
        <v> </v>
      </c>
      <c r="L5636" s="27"/>
    </row>
    <row r="5637" spans="1:12">
      <c r="A5637" s="20" t="s">
        <v>1219</v>
      </c>
      <c r="E5637" s="22">
        <f>IF(D5637="?OLD","!!!","")</f>
        <v/>
      </c>
      <c r="F5637" s="23" t="str">
        <f>IF(OR(E5637="",E5637="!!!"),"",IF(NOT(ISNA(VLOOKUP(E5637,E$1:E5636,1,FALSE()))),"OLD",IF(AND(E5637&lt;&gt;"",E5637&lt;&gt;"!!!"),"NEW","")))</f>
        <v> </v>
      </c>
      <c r="G5637" s="24" t="str">
        <f>IF(OR(E5637="",E5637="!!!"),"",IF(OR(J5637=0,AND(J5637=1,K5637=1),AND(J5637=1,I5637="SBJ"),AND(J5637=1,I5637=0)),"?IN_FOCUS",IF(J5637&lt;=2,"?ACTIVATED",IF(J5637&lt;&gt;"","?FAMILIAR",IF(F5637="NEW",IF(ISNA(VLOOKUP(E5637,#REF!,1,FALSE())),"?TYPE_IDENTIFIABLE","?REFERENTIAL"),"_")))))</f>
        <v> </v>
      </c>
      <c r="H5637" s="25" t="str">
        <f>IF(J5637&lt;&gt;1,"",IF(I5637="SBJ","CB","?"))</f>
        <v> </v>
      </c>
      <c r="I5637" s="26" t="str">
        <f>IF(OR(E5637="",E5637="!!!",F5637="NEW"),"",INDEX(B5636:B$2,-1+SUMPRODUCT(MAX(ROW(E5636:E$2)*(E5637=E5636:E$2)))))</f>
        <v> </v>
      </c>
      <c r="J5637" s="26" t="str">
        <f>IF(OR(E5637="",E5637="!!!",F5637="NEW"),"",COUNTBLANK(OFFSET(A$1,,,SUMPRODUCT(MAX(ROW(E$2:E5637)*(E5637=E$2:E5637)))))-COUNTBLANK(OFFSET(A$1,,,SUMPRODUCT(MAX(ROW(E$1:E5636)*(E2=E$1:E5636))))))</f>
        <v> </v>
      </c>
      <c r="K5637" s="26" t="str">
        <f>IF(OR(E5637="",E5637="!!!",F5637="NEW"),"",INDEX(J$1:J5636,SUMPRODUCT(MAX(ROW(E$1:E5636)*(E5637=E$1:E5636)))))</f>
        <v> </v>
      </c>
      <c r="L5637" s="27"/>
    </row>
    <row r="5638" spans="1:12">
      <c r="A5638" s="20" t="s">
        <v>2985</v>
      </c>
      <c r="B5638" s="21" t="s">
        <v>1224</v>
      </c>
      <c r="C5638" s="21" t="s">
        <v>1222</v>
      </c>
      <c r="D5638" s="21" t="s">
        <v>1217</v>
      </c>
      <c r="E5638" s="22">
        <f>IF(D5638="?OLD","!!!","")</f>
        <v/>
      </c>
      <c r="F5638" s="23" t="str">
        <f>IF(OR(E5638="",E5638="!!!"),"",IF(NOT(ISNA(VLOOKUP(E5638,E$1:E5637,1,FALSE()))),"OLD",IF(AND(E5638&lt;&gt;"",E5638&lt;&gt;"!!!"),"NEW","")))</f>
        <v> </v>
      </c>
      <c r="G5638" s="24" t="str">
        <f>IF(OR(E5638="",E5638="!!!"),"",IF(OR(J5638=0,AND(J5638=1,K5638=1),AND(J5638=1,I5638="SBJ"),AND(J5638=1,I5638=0)),"?IN_FOCUS",IF(J5638&lt;=2,"?ACTIVATED",IF(J5638&lt;&gt;"","?FAMILIAR",IF(F5638="NEW",IF(ISNA(VLOOKUP(E5638,#REF!,1,FALSE())),"?TYPE_IDENTIFIABLE","?REFERENTIAL"),"_")))))</f>
        <v> </v>
      </c>
      <c r="H5638" s="25" t="str">
        <f>IF(J5638&lt;&gt;1,"",IF(I5638="SBJ","CB","?"))</f>
        <v> </v>
      </c>
      <c r="I5638" s="26" t="str">
        <f>IF(OR(E5638="",E5638="!!!",F5638="NEW"),"",INDEX(B5637:B$2,-1+SUMPRODUCT(MAX(ROW(E5637:E$2)*(E5638=E5637:E$2)))))</f>
        <v> </v>
      </c>
      <c r="J5638" s="26" t="str">
        <f>IF(OR(E5638="",E5638="!!!",F5638="NEW"),"",COUNTBLANK(OFFSET(A$1,,,SUMPRODUCT(MAX(ROW(E$2:E5638)*(E5638=E$2:E5638)))))-COUNTBLANK(OFFSET(A$1,,,SUMPRODUCT(MAX(ROW(E$1:E5637)*(E2=E$1:E5637))))))</f>
        <v> </v>
      </c>
      <c r="K5638" s="26" t="str">
        <f>IF(OR(E5638="",E5638="!!!",F5638="NEW"),"",INDEX(J$1:J5637,SUMPRODUCT(MAX(ROW(E$1:E5637)*(E5638=E$1:E5637)))))</f>
        <v> </v>
      </c>
      <c r="L5638" s="27"/>
    </row>
    <row r="5639" spans="1:12">
      <c r="A5639" s="20" t="s">
        <v>1218</v>
      </c>
      <c r="E5639" s="22">
        <f>IF(D5639="?OLD","!!!","")</f>
        <v/>
      </c>
      <c r="F5639" s="23" t="str">
        <f>IF(OR(E5639="",E5639="!!!"),"",IF(NOT(ISNA(VLOOKUP(E5639,E$1:E5638,1,FALSE()))),"OLD",IF(AND(E5639&lt;&gt;"",E5639&lt;&gt;"!!!"),"NEW","")))</f>
        <v> </v>
      </c>
      <c r="G5639" s="24" t="str">
        <f>IF(OR(E5639="",E5639="!!!"),"",IF(OR(J5639=0,AND(J5639=1,K5639=1),AND(J5639=1,I5639="SBJ"),AND(J5639=1,I5639=0)),"?IN_FOCUS",IF(J5639&lt;=2,"?ACTIVATED",IF(J5639&lt;&gt;"","?FAMILIAR",IF(F5639="NEW",IF(ISNA(VLOOKUP(E5639,#REF!,1,FALSE())),"?TYPE_IDENTIFIABLE","?REFERENTIAL"),"_")))))</f>
        <v> </v>
      </c>
      <c r="H5639" s="25" t="str">
        <f>IF(J5639&lt;&gt;1,"",IF(I5639="SBJ","CB","?"))</f>
        <v> </v>
      </c>
      <c r="I5639" s="26" t="str">
        <f>IF(OR(E5639="",E5639="!!!",F5639="NEW"),"",INDEX(B5638:B$2,-1+SUMPRODUCT(MAX(ROW(E5638:E$2)*(E5639=E5638:E$2)))))</f>
        <v> </v>
      </c>
      <c r="J5639" s="26" t="str">
        <f>IF(OR(E5639="",E5639="!!!",F5639="NEW"),"",COUNTBLANK(OFFSET(A$1,,,SUMPRODUCT(MAX(ROW(E$2:E5639)*(E5639=E$2:E5639)))))-COUNTBLANK(OFFSET(A$1,,,SUMPRODUCT(MAX(ROW(E$1:E5638)*(E2=E$1:E5638))))))</f>
        <v> </v>
      </c>
      <c r="K5639" s="26" t="str">
        <f>IF(OR(E5639="",E5639="!!!",F5639="NEW"),"",INDEX(J$1:J5638,SUMPRODUCT(MAX(ROW(E$1:E5638)*(E5639=E$1:E5638)))))</f>
        <v> </v>
      </c>
      <c r="L5639" s="27"/>
    </row>
    <row r="5640" spans="1:12">
      <c r="A5640" s="20" t="s">
        <v>1450</v>
      </c>
      <c r="B5640" s="21" t="s">
        <v>1226</v>
      </c>
      <c r="C5640" s="21" t="s">
        <v>1225</v>
      </c>
      <c r="D5640" s="21" t="s">
        <v>1217</v>
      </c>
      <c r="E5640" s="22">
        <f>IF(D5640="?OLD","!!!","")</f>
        <v/>
      </c>
      <c r="F5640" s="23" t="str">
        <f>IF(OR(E5640="",E5640="!!!"),"",IF(NOT(ISNA(VLOOKUP(E5640,E$1:E5639,1,FALSE()))),"OLD",IF(AND(E5640&lt;&gt;"",E5640&lt;&gt;"!!!"),"NEW","")))</f>
        <v> </v>
      </c>
      <c r="G5640" s="24" t="str">
        <f>IF(OR(E5640="",E5640="!!!"),"",IF(OR(J5640=0,AND(J5640=1,K5640=1),AND(J5640=1,I5640="SBJ"),AND(J5640=1,I5640=0)),"?IN_FOCUS",IF(J5640&lt;=2,"?ACTIVATED",IF(J5640&lt;&gt;"","?FAMILIAR",IF(F5640="NEW",IF(ISNA(VLOOKUP(E5640,#REF!,1,FALSE())),"?TYPE_IDENTIFIABLE","?REFERENTIAL"),"_")))))</f>
        <v> </v>
      </c>
      <c r="H5640" s="25" t="str">
        <f>IF(J5640&lt;&gt;1,"",IF(I5640="SBJ","CB","?"))</f>
        <v> </v>
      </c>
      <c r="I5640" s="26" t="str">
        <f>IF(OR(E5640="",E5640="!!!",F5640="NEW"),"",INDEX(B5639:B$2,-1+SUMPRODUCT(MAX(ROW(E5639:E$2)*(E5640=E5639:E$2)))))</f>
        <v> </v>
      </c>
      <c r="J5640" s="26" t="str">
        <f>IF(OR(E5640="",E5640="!!!",F5640="NEW"),"",COUNTBLANK(OFFSET(A$1,,,SUMPRODUCT(MAX(ROW(E$2:E5640)*(E5640=E$2:E5640)))))-COUNTBLANK(OFFSET(A$1,,,SUMPRODUCT(MAX(ROW(E$1:E5639)*(E2=E$1:E5639))))))</f>
        <v> </v>
      </c>
      <c r="K5640" s="26" t="str">
        <f>IF(OR(E5640="",E5640="!!!",F5640="NEW"),"",INDEX(J$1:J5639,SUMPRODUCT(MAX(ROW(E$1:E5639)*(E5640=E$1:E5639)))))</f>
        <v> </v>
      </c>
      <c r="L5640" s="27"/>
    </row>
    <row r="5641" spans="1:12">
      <c r="A5641" s="20" t="s">
        <v>1451</v>
      </c>
      <c r="E5641" s="22">
        <f>IF(D5641="?OLD","!!!","")</f>
        <v/>
      </c>
      <c r="F5641" s="23" t="str">
        <f>IF(OR(E5641="",E5641="!!!"),"",IF(NOT(ISNA(VLOOKUP(E5641,E$1:E5640,1,FALSE()))),"OLD",IF(AND(E5641&lt;&gt;"",E5641&lt;&gt;"!!!"),"NEW","")))</f>
        <v> </v>
      </c>
      <c r="G5641" s="24" t="str">
        <f>IF(OR(E5641="",E5641="!!!"),"",IF(OR(J5641=0,AND(J5641=1,K5641=1),AND(J5641=1,I5641="SBJ"),AND(J5641=1,I5641=0)),"?IN_FOCUS",IF(J5641&lt;=2,"?ACTIVATED",IF(J5641&lt;&gt;"","?FAMILIAR",IF(F5641="NEW",IF(ISNA(VLOOKUP(E5641,#REF!,1,FALSE())),"?TYPE_IDENTIFIABLE","?REFERENTIAL"),"_")))))</f>
        <v> </v>
      </c>
      <c r="H5641" s="25" t="str">
        <f>IF(J5641&lt;&gt;1,"",IF(I5641="SBJ","CB","?"))</f>
        <v> </v>
      </c>
      <c r="I5641" s="26" t="str">
        <f>IF(OR(E5641="",E5641="!!!",F5641="NEW"),"",INDEX(B5640:B$2,-1+SUMPRODUCT(MAX(ROW(E5640:E$2)*(E5641=E5640:E$2)))))</f>
        <v> </v>
      </c>
      <c r="J5641" s="26" t="str">
        <f>IF(OR(E5641="",E5641="!!!",F5641="NEW"),"",COUNTBLANK(OFFSET(A$1,,,SUMPRODUCT(MAX(ROW(E$2:E5641)*(E5641=E$2:E5641)))))-COUNTBLANK(OFFSET(A$1,,,SUMPRODUCT(MAX(ROW(E$1:E5640)*(E2=E$1:E5640))))))</f>
        <v> </v>
      </c>
      <c r="K5641" s="26" t="str">
        <f>IF(OR(E5641="",E5641="!!!",F5641="NEW"),"",INDEX(J$1:J5640,SUMPRODUCT(MAX(ROW(E$1:E5640)*(E5641=E$1:E5640)))))</f>
        <v> </v>
      </c>
      <c r="L5641" s="27"/>
    </row>
    <row r="5642" spans="1:12">
      <c r="A5642" s="20" t="s">
        <v>2986</v>
      </c>
      <c r="E5642" s="22">
        <f>IF(D5642="?OLD","!!!","")</f>
        <v/>
      </c>
      <c r="F5642" s="23" t="str">
        <f>IF(OR(E5642="",E5642="!!!"),"",IF(NOT(ISNA(VLOOKUP(E5642,E$1:E5641,1,FALSE()))),"OLD",IF(AND(E5642&lt;&gt;"",E5642&lt;&gt;"!!!"),"NEW","")))</f>
        <v> </v>
      </c>
      <c r="G5642" s="24" t="str">
        <f>IF(OR(E5642="",E5642="!!!"),"",IF(OR(J5642=0,AND(J5642=1,K5642=1),AND(J5642=1,I5642="SBJ"),AND(J5642=1,I5642=0)),"?IN_FOCUS",IF(J5642&lt;=2,"?ACTIVATED",IF(J5642&lt;&gt;"","?FAMILIAR",IF(F5642="NEW",IF(ISNA(VLOOKUP(E5642,#REF!,1,FALSE())),"?TYPE_IDENTIFIABLE","?REFERENTIAL"),"_")))))</f>
        <v> </v>
      </c>
      <c r="H5642" s="25" t="str">
        <f>IF(J5642&lt;&gt;1,"",IF(I5642="SBJ","CB","?"))</f>
        <v> </v>
      </c>
      <c r="I5642" s="26" t="str">
        <f>IF(OR(E5642="",E5642="!!!",F5642="NEW"),"",INDEX(B5641:B$2,-1+SUMPRODUCT(MAX(ROW(E5641:E$2)*(E5642=E5641:E$2)))))</f>
        <v> </v>
      </c>
      <c r="J5642" s="26" t="str">
        <f>IF(OR(E5642="",E5642="!!!",F5642="NEW"),"",COUNTBLANK(OFFSET(A$1,,,SUMPRODUCT(MAX(ROW(E$2:E5642)*(E5642=E$2:E5642)))))-COUNTBLANK(OFFSET(A$1,,,SUMPRODUCT(MAX(ROW(E$1:E5641)*(E2=E$1:E5641))))))</f>
        <v> </v>
      </c>
      <c r="K5642" s="26" t="str">
        <f>IF(OR(E5642="",E5642="!!!",F5642="NEW"),"",INDEX(J$1:J5641,SUMPRODUCT(MAX(ROW(E$1:E5641)*(E5642=E$1:E5641)))))</f>
        <v> </v>
      </c>
      <c r="L5642" s="27"/>
    </row>
    <row r="5643" spans="1:12">
      <c r="A5643" s="20" t="s">
        <v>1266</v>
      </c>
      <c r="E5643" s="22">
        <f>IF(D5643="?OLD","!!!","")</f>
        <v/>
      </c>
      <c r="F5643" s="23" t="str">
        <f>IF(OR(E5643="",E5643="!!!"),"",IF(NOT(ISNA(VLOOKUP(E5643,E$1:E5642,1,FALSE()))),"OLD",IF(AND(E5643&lt;&gt;"",E5643&lt;&gt;"!!!"),"NEW","")))</f>
        <v> </v>
      </c>
      <c r="G5643" s="24" t="str">
        <f>IF(OR(E5643="",E5643="!!!"),"",IF(OR(J5643=0,AND(J5643=1,K5643=1),AND(J5643=1,I5643="SBJ"),AND(J5643=1,I5643=0)),"?IN_FOCUS",IF(J5643&lt;=2,"?ACTIVATED",IF(J5643&lt;&gt;"","?FAMILIAR",IF(F5643="NEW",IF(ISNA(VLOOKUP(E5643,#REF!,1,FALSE())),"?TYPE_IDENTIFIABLE","?REFERENTIAL"),"_")))))</f>
        <v> </v>
      </c>
      <c r="H5643" s="25" t="str">
        <f>IF(J5643&lt;&gt;1,"",IF(I5643="SBJ","CB","?"))</f>
        <v> </v>
      </c>
      <c r="I5643" s="26" t="str">
        <f>IF(OR(E5643="",E5643="!!!",F5643="NEW"),"",INDEX(B5642:B$2,-1+SUMPRODUCT(MAX(ROW(E5642:E$2)*(E5643=E5642:E$2)))))</f>
        <v> </v>
      </c>
      <c r="J5643" s="26" t="str">
        <f>IF(OR(E5643="",E5643="!!!",F5643="NEW"),"",COUNTBLANK(OFFSET(A$1,,,SUMPRODUCT(MAX(ROW(E$2:E5643)*(E5643=E$2:E5643)))))-COUNTBLANK(OFFSET(A$1,,,SUMPRODUCT(MAX(ROW(E$1:E5642)*(E2=E$1:E5642))))))</f>
        <v> </v>
      </c>
      <c r="K5643" s="26" t="str">
        <f>IF(OR(E5643="",E5643="!!!",F5643="NEW"),"",INDEX(J$1:J5642,SUMPRODUCT(MAX(ROW(E$1:E5642)*(E5643=E$1:E5642)))))</f>
        <v> </v>
      </c>
      <c r="L5643" s="27"/>
    </row>
    <row r="5644" spans="1:12">
      <c r="A5644" s="20" t="s">
        <v>1711</v>
      </c>
      <c r="B5644" s="21" t="s">
        <v>1275</v>
      </c>
      <c r="C5644" s="21" t="s">
        <v>1269</v>
      </c>
      <c r="D5644" s="21" t="s">
        <v>1217</v>
      </c>
      <c r="E5644" s="22">
        <f>IF(D5644="?OLD","!!!","")</f>
        <v/>
      </c>
      <c r="F5644" s="23" t="str">
        <f>IF(OR(E5644="",E5644="!!!"),"",IF(NOT(ISNA(VLOOKUP(E5644,E$1:E5643,1,FALSE()))),"OLD",IF(AND(E5644&lt;&gt;"",E5644&lt;&gt;"!!!"),"NEW","")))</f>
        <v> </v>
      </c>
      <c r="G5644" s="24" t="str">
        <f>IF(OR(E5644="",E5644="!!!"),"",IF(OR(J5644=0,AND(J5644=1,K5644=1),AND(J5644=1,I5644="SBJ"),AND(J5644=1,I5644=0)),"?IN_FOCUS",IF(J5644&lt;=2,"?ACTIVATED",IF(J5644&lt;&gt;"","?FAMILIAR",IF(F5644="NEW",IF(ISNA(VLOOKUP(E5644,#REF!,1,FALSE())),"?TYPE_IDENTIFIABLE","?REFERENTIAL"),"_")))))</f>
        <v> </v>
      </c>
      <c r="H5644" s="25" t="str">
        <f>IF(J5644&lt;&gt;1,"",IF(I5644="SBJ","CB","?"))</f>
        <v> </v>
      </c>
      <c r="I5644" s="26" t="str">
        <f>IF(OR(E5644="",E5644="!!!",F5644="NEW"),"",INDEX(B5643:B$2,-1+SUMPRODUCT(MAX(ROW(E5643:E$2)*(E5644=E5643:E$2)))))</f>
        <v> </v>
      </c>
      <c r="J5644" s="26" t="str">
        <f>IF(OR(E5644="",E5644="!!!",F5644="NEW"),"",COUNTBLANK(OFFSET(A$1,,,SUMPRODUCT(MAX(ROW(E$2:E5644)*(E5644=E$2:E5644)))))-COUNTBLANK(OFFSET(A$1,,,SUMPRODUCT(MAX(ROW(E$1:E5643)*(E2=E$1:E5643))))))</f>
        <v> </v>
      </c>
      <c r="K5644" s="26" t="str">
        <f>IF(OR(E5644="",E5644="!!!",F5644="NEW"),"",INDEX(J$1:J5643,SUMPRODUCT(MAX(ROW(E$1:E5643)*(E5644=E$1:E5643)))))</f>
        <v> </v>
      </c>
      <c r="L5644" s="27"/>
    </row>
    <row r="5645" spans="1:12">
      <c r="A5645" s="20" t="s">
        <v>1245</v>
      </c>
      <c r="E5645" s="22">
        <f>IF(D5645="?OLD","!!!","")</f>
        <v/>
      </c>
      <c r="F5645" s="23" t="str">
        <f>IF(OR(E5645="",E5645="!!!"),"",IF(NOT(ISNA(VLOOKUP(E5645,E$1:E5644,1,FALSE()))),"OLD",IF(AND(E5645&lt;&gt;"",E5645&lt;&gt;"!!!"),"NEW","")))</f>
        <v> </v>
      </c>
      <c r="G5645" s="24" t="str">
        <f>IF(OR(E5645="",E5645="!!!"),"",IF(OR(J5645=0,AND(J5645=1,K5645=1),AND(J5645=1,I5645="SBJ"),AND(J5645=1,I5645=0)),"?IN_FOCUS",IF(J5645&lt;=2,"?ACTIVATED",IF(J5645&lt;&gt;"","?FAMILIAR",IF(F5645="NEW",IF(ISNA(VLOOKUP(E5645,#REF!,1,FALSE())),"?TYPE_IDENTIFIABLE","?REFERENTIAL"),"_")))))</f>
        <v> </v>
      </c>
      <c r="H5645" s="25" t="str">
        <f>IF(J5645&lt;&gt;1,"",IF(I5645="SBJ","CB","?"))</f>
        <v> </v>
      </c>
      <c r="I5645" s="26" t="str">
        <f>IF(OR(E5645="",E5645="!!!",F5645="NEW"),"",INDEX(B5644:B$2,-1+SUMPRODUCT(MAX(ROW(E5644:E$2)*(E5645=E5644:E$2)))))</f>
        <v> </v>
      </c>
      <c r="J5645" s="26" t="str">
        <f>IF(OR(E5645="",E5645="!!!",F5645="NEW"),"",COUNTBLANK(OFFSET(A$1,,,SUMPRODUCT(MAX(ROW(E$2:E5645)*(E5645=E$2:E5645)))))-COUNTBLANK(OFFSET(A$1,,,SUMPRODUCT(MAX(ROW(E$1:E5644)*(E2=E$1:E5644))))))</f>
        <v> </v>
      </c>
      <c r="K5645" s="26" t="str">
        <f>IF(OR(E5645="",E5645="!!!",F5645="NEW"),"",INDEX(J$1:J5644,SUMPRODUCT(MAX(ROW(E$1:E5644)*(E5645=E$1:E5644)))))</f>
        <v> </v>
      </c>
      <c r="L5645" s="27"/>
    </row>
    <row r="5646" spans="1:12">
      <c r="A5646" s="20" t="s">
        <v>1219</v>
      </c>
      <c r="E5646" s="22">
        <f>IF(D5646="?OLD","!!!","")</f>
        <v/>
      </c>
      <c r="F5646" s="23" t="str">
        <f>IF(OR(E5646="",E5646="!!!"),"",IF(NOT(ISNA(VLOOKUP(E5646,E$1:E5645,1,FALSE()))),"OLD",IF(AND(E5646&lt;&gt;"",E5646&lt;&gt;"!!!"),"NEW","")))</f>
        <v> </v>
      </c>
      <c r="G5646" s="24" t="str">
        <f>IF(OR(E5646="",E5646="!!!"),"",IF(OR(J5646=0,AND(J5646=1,K5646=1),AND(J5646=1,I5646="SBJ"),AND(J5646=1,I5646=0)),"?IN_FOCUS",IF(J5646&lt;=2,"?ACTIVATED",IF(J5646&lt;&gt;"","?FAMILIAR",IF(F5646="NEW",IF(ISNA(VLOOKUP(E5646,#REF!,1,FALSE())),"?TYPE_IDENTIFIABLE","?REFERENTIAL"),"_")))))</f>
        <v> </v>
      </c>
      <c r="H5646" s="25" t="str">
        <f>IF(J5646&lt;&gt;1,"",IF(I5646="SBJ","CB","?"))</f>
        <v> </v>
      </c>
      <c r="I5646" s="26" t="str">
        <f>IF(OR(E5646="",E5646="!!!",F5646="NEW"),"",INDEX(B5645:B$2,-1+SUMPRODUCT(MAX(ROW(E5645:E$2)*(E5646=E5645:E$2)))))</f>
        <v> </v>
      </c>
      <c r="J5646" s="26" t="str">
        <f>IF(OR(E5646="",E5646="!!!",F5646="NEW"),"",COUNTBLANK(OFFSET(A$1,,,SUMPRODUCT(MAX(ROW(E$2:E5646)*(E5646=E$2:E5646)))))-COUNTBLANK(OFFSET(A$1,,,SUMPRODUCT(MAX(ROW(E$1:E5645)*(E2=E$1:E5645))))))</f>
        <v> </v>
      </c>
      <c r="K5646" s="26" t="str">
        <f>IF(OR(E5646="",E5646="!!!",F5646="NEW"),"",INDEX(J$1:J5645,SUMPRODUCT(MAX(ROW(E$1:E5645)*(E5646=E$1:E5645)))))</f>
        <v> </v>
      </c>
      <c r="L5646" s="27"/>
    </row>
    <row r="5647" spans="1:12">
      <c r="A5647" s="20" t="s">
        <v>1596</v>
      </c>
      <c r="E5647" s="22">
        <f>IF(D5647="?OLD","!!!","")</f>
        <v/>
      </c>
      <c r="F5647" s="23" t="str">
        <f>IF(OR(E5647="",E5647="!!!"),"",IF(NOT(ISNA(VLOOKUP(E5647,E$1:E5646,1,FALSE()))),"OLD",IF(AND(E5647&lt;&gt;"",E5647&lt;&gt;"!!!"),"NEW","")))</f>
        <v> </v>
      </c>
      <c r="G5647" s="24" t="str">
        <f>IF(OR(E5647="",E5647="!!!"),"",IF(OR(J5647=0,AND(J5647=1,K5647=1),AND(J5647=1,I5647="SBJ"),AND(J5647=1,I5647=0)),"?IN_FOCUS",IF(J5647&lt;=2,"?ACTIVATED",IF(J5647&lt;&gt;"","?FAMILIAR",IF(F5647="NEW",IF(ISNA(VLOOKUP(E5647,#REF!,1,FALSE())),"?TYPE_IDENTIFIABLE","?REFERENTIAL"),"_")))))</f>
        <v> </v>
      </c>
      <c r="H5647" s="25" t="str">
        <f>IF(J5647&lt;&gt;1,"",IF(I5647="SBJ","CB","?"))</f>
        <v> </v>
      </c>
      <c r="I5647" s="26" t="str">
        <f>IF(OR(E5647="",E5647="!!!",F5647="NEW"),"",INDEX(B5646:B$2,-1+SUMPRODUCT(MAX(ROW(E5646:E$2)*(E5647=E5646:E$2)))))</f>
        <v> </v>
      </c>
      <c r="J5647" s="26" t="str">
        <f>IF(OR(E5647="",E5647="!!!",F5647="NEW"),"",COUNTBLANK(OFFSET(A$1,,,SUMPRODUCT(MAX(ROW(E$2:E5647)*(E5647=E$2:E5647)))))-COUNTBLANK(OFFSET(A$1,,,SUMPRODUCT(MAX(ROW(E$1:E5646)*(E2=E$1:E5646))))))</f>
        <v> </v>
      </c>
      <c r="K5647" s="26" t="str">
        <f>IF(OR(E5647="",E5647="!!!",F5647="NEW"),"",INDEX(J$1:J5646,SUMPRODUCT(MAX(ROW(E$1:E5646)*(E5647=E$1:E5646)))))</f>
        <v> </v>
      </c>
      <c r="L5647" s="27"/>
    </row>
    <row r="5648" spans="1:12">
      <c r="A5648" s="20" t="s">
        <v>2552</v>
      </c>
      <c r="E5648" s="22">
        <f>IF(D5648="?OLD","!!!","")</f>
        <v/>
      </c>
      <c r="F5648" s="23" t="str">
        <f>IF(OR(E5648="",E5648="!!!"),"",IF(NOT(ISNA(VLOOKUP(E5648,E$1:E5647,1,FALSE()))),"OLD",IF(AND(E5648&lt;&gt;"",E5648&lt;&gt;"!!!"),"NEW","")))</f>
        <v> </v>
      </c>
      <c r="G5648" s="24" t="str">
        <f>IF(OR(E5648="",E5648="!!!"),"",IF(OR(J5648=0,AND(J5648=1,K5648=1),AND(J5648=1,I5648="SBJ"),AND(J5648=1,I5648=0)),"?IN_FOCUS",IF(J5648&lt;=2,"?ACTIVATED",IF(J5648&lt;&gt;"","?FAMILIAR",IF(F5648="NEW",IF(ISNA(VLOOKUP(E5648,#REF!,1,FALSE())),"?TYPE_IDENTIFIABLE","?REFERENTIAL"),"_")))))</f>
        <v> </v>
      </c>
      <c r="H5648" s="25" t="str">
        <f>IF(J5648&lt;&gt;1,"",IF(I5648="SBJ","CB","?"))</f>
        <v> </v>
      </c>
      <c r="I5648" s="26" t="str">
        <f>IF(OR(E5648="",E5648="!!!",F5648="NEW"),"",INDEX(B5647:B$2,-1+SUMPRODUCT(MAX(ROW(E5647:E$2)*(E5648=E5647:E$2)))))</f>
        <v> </v>
      </c>
      <c r="J5648" s="26" t="str">
        <f>IF(OR(E5648="",E5648="!!!",F5648="NEW"),"",COUNTBLANK(OFFSET(A$1,,,SUMPRODUCT(MAX(ROW(E$2:E5648)*(E5648=E$2:E5648)))))-COUNTBLANK(OFFSET(A$1,,,SUMPRODUCT(MAX(ROW(E$1:E5647)*(E2=E$1:E5647))))))</f>
        <v> </v>
      </c>
      <c r="K5648" s="26" t="str">
        <f>IF(OR(E5648="",E5648="!!!",F5648="NEW"),"",INDEX(J$1:J5647,SUMPRODUCT(MAX(ROW(E$1:E5647)*(E5648=E$1:E5647)))))</f>
        <v> </v>
      </c>
      <c r="L5648" s="27"/>
    </row>
    <row r="5649" spans="1:12">
      <c r="A5649" s="20" t="s">
        <v>2987</v>
      </c>
      <c r="B5649" s="21" t="s">
        <v>1244</v>
      </c>
      <c r="C5649" s="21" t="s">
        <v>1269</v>
      </c>
      <c r="D5649" s="21" t="s">
        <v>1217</v>
      </c>
      <c r="E5649" s="22">
        <f>IF(D5649="?OLD","!!!","")</f>
        <v/>
      </c>
      <c r="F5649" s="23" t="str">
        <f>IF(OR(E5649="",E5649="!!!"),"",IF(NOT(ISNA(VLOOKUP(E5649,E$1:E5648,1,FALSE()))),"OLD",IF(AND(E5649&lt;&gt;"",E5649&lt;&gt;"!!!"),"NEW","")))</f>
        <v> </v>
      </c>
      <c r="G5649" s="24" t="str">
        <f>IF(OR(E5649="",E5649="!!!"),"",IF(OR(J5649=0,AND(J5649=1,K5649=1),AND(J5649=1,I5649="SBJ"),AND(J5649=1,I5649=0)),"?IN_FOCUS",IF(J5649&lt;=2,"?ACTIVATED",IF(J5649&lt;&gt;"","?FAMILIAR",IF(F5649="NEW",IF(ISNA(VLOOKUP(E5649,#REF!,1,FALSE())),"?TYPE_IDENTIFIABLE","?REFERENTIAL"),"_")))))</f>
        <v> </v>
      </c>
      <c r="H5649" s="25" t="str">
        <f>IF(J5649&lt;&gt;1,"",IF(I5649="SBJ","CB","?"))</f>
        <v> </v>
      </c>
      <c r="I5649" s="26" t="str">
        <f>IF(OR(E5649="",E5649="!!!",F5649="NEW"),"",INDEX(B5648:B$2,-1+SUMPRODUCT(MAX(ROW(E5648:E$2)*(E5649=E5648:E$2)))))</f>
        <v> </v>
      </c>
      <c r="J5649" s="26" t="str">
        <f>IF(OR(E5649="",E5649="!!!",F5649="NEW"),"",COUNTBLANK(OFFSET(A$1,,,SUMPRODUCT(MAX(ROW(E$2:E5649)*(E5649=E$2:E5649)))))-COUNTBLANK(OFFSET(A$1,,,SUMPRODUCT(MAX(ROW(E$1:E5648)*(E2=E$1:E5648))))))</f>
        <v> </v>
      </c>
      <c r="K5649" s="26" t="str">
        <f>IF(OR(E5649="",E5649="!!!",F5649="NEW"),"",INDEX(J$1:J5648,SUMPRODUCT(MAX(ROW(E$1:E5648)*(E5649=E$1:E5648)))))</f>
        <v> </v>
      </c>
      <c r="L5649" s="27"/>
    </row>
    <row r="5650" spans="1:12">
      <c r="A5650" s="20" t="s">
        <v>1286</v>
      </c>
      <c r="E5650" s="22">
        <f>IF(D5650="?OLD","!!!","")</f>
        <v/>
      </c>
      <c r="F5650" s="23" t="str">
        <f>IF(OR(E5650="",E5650="!!!"),"",IF(NOT(ISNA(VLOOKUP(E5650,E$1:E5649,1,FALSE()))),"OLD",IF(AND(E5650&lt;&gt;"",E5650&lt;&gt;"!!!"),"NEW","")))</f>
        <v> </v>
      </c>
      <c r="G5650" s="24" t="str">
        <f>IF(OR(E5650="",E5650="!!!"),"",IF(OR(J5650=0,AND(J5650=1,K5650=1),AND(J5650=1,I5650="SBJ"),AND(J5650=1,I5650=0)),"?IN_FOCUS",IF(J5650&lt;=2,"?ACTIVATED",IF(J5650&lt;&gt;"","?FAMILIAR",IF(F5650="NEW",IF(ISNA(VLOOKUP(E5650,#REF!,1,FALSE())),"?TYPE_IDENTIFIABLE","?REFERENTIAL"),"_")))))</f>
        <v> </v>
      </c>
      <c r="H5650" s="25" t="str">
        <f>IF(J5650&lt;&gt;1,"",IF(I5650="SBJ","CB","?"))</f>
        <v> </v>
      </c>
      <c r="I5650" s="26" t="str">
        <f>IF(OR(E5650="",E5650="!!!",F5650="NEW"),"",INDEX(B5649:B$2,-1+SUMPRODUCT(MAX(ROW(E5649:E$2)*(E5650=E5649:E$2)))))</f>
        <v> </v>
      </c>
      <c r="J5650" s="26" t="str">
        <f>IF(OR(E5650="",E5650="!!!",F5650="NEW"),"",COUNTBLANK(OFFSET(A$1,,,SUMPRODUCT(MAX(ROW(E$2:E5650)*(E5650=E$2:E5650)))))-COUNTBLANK(OFFSET(A$1,,,SUMPRODUCT(MAX(ROW(E$1:E5649)*(E2=E$1:E5649))))))</f>
        <v> </v>
      </c>
      <c r="K5650" s="26" t="str">
        <f>IF(OR(E5650="",E5650="!!!",F5650="NEW"),"",INDEX(J$1:J5649,SUMPRODUCT(MAX(ROW(E$1:E5649)*(E5650=E$1:E5649)))))</f>
        <v> </v>
      </c>
      <c r="L5650" s="27"/>
    </row>
    <row r="5651" spans="1:12">
      <c r="A5651" s="20" t="s">
        <v>1329</v>
      </c>
      <c r="B5651" s="21" t="s">
        <v>1229</v>
      </c>
      <c r="C5651" s="21" t="s">
        <v>1234</v>
      </c>
      <c r="D5651" s="21" t="s">
        <v>1217</v>
      </c>
      <c r="E5651" s="22">
        <f>IF(D5651="?OLD","!!!","")</f>
        <v/>
      </c>
      <c r="F5651" s="23" t="str">
        <f>IF(OR(E5651="",E5651="!!!"),"",IF(NOT(ISNA(VLOOKUP(E5651,E$1:E5650,1,FALSE()))),"OLD",IF(AND(E5651&lt;&gt;"",E5651&lt;&gt;"!!!"),"NEW","")))</f>
        <v> </v>
      </c>
      <c r="G5651" s="24" t="str">
        <f>IF(OR(E5651="",E5651="!!!"),"",IF(OR(J5651=0,AND(J5651=1,K5651=1),AND(J5651=1,I5651="SBJ"),AND(J5651=1,I5651=0)),"?IN_FOCUS",IF(J5651&lt;=2,"?ACTIVATED",IF(J5651&lt;&gt;"","?FAMILIAR",IF(F5651="NEW",IF(ISNA(VLOOKUP(E5651,#REF!,1,FALSE())),"?TYPE_IDENTIFIABLE","?REFERENTIAL"),"_")))))</f>
        <v> </v>
      </c>
      <c r="H5651" s="25" t="str">
        <f>IF(J5651&lt;&gt;1,"",IF(I5651="SBJ","CB","?"))</f>
        <v> </v>
      </c>
      <c r="I5651" s="26" t="str">
        <f>IF(OR(E5651="",E5651="!!!",F5651="NEW"),"",INDEX(B5650:B$2,-1+SUMPRODUCT(MAX(ROW(E5650:E$2)*(E5651=E5650:E$2)))))</f>
        <v> </v>
      </c>
      <c r="J5651" s="26" t="str">
        <f>IF(OR(E5651="",E5651="!!!",F5651="NEW"),"",COUNTBLANK(OFFSET(A$1,,,SUMPRODUCT(MAX(ROW(E$2:E5651)*(E5651=E$2:E5651)))))-COUNTBLANK(OFFSET(A$1,,,SUMPRODUCT(MAX(ROW(E$1:E5650)*(E2=E$1:E5650))))))</f>
        <v> </v>
      </c>
      <c r="K5651" s="26" t="str">
        <f>IF(OR(E5651="",E5651="!!!",F5651="NEW"),"",INDEX(J$1:J5650,SUMPRODUCT(MAX(ROW(E$1:E5650)*(E5651=E$1:E5650)))))</f>
        <v> </v>
      </c>
      <c r="L5651" s="27"/>
    </row>
    <row r="5652" spans="1:12">
      <c r="A5652" s="20" t="s">
        <v>1225</v>
      </c>
      <c r="E5652" s="22">
        <f>IF(D5652="?OLD","!!!","")</f>
        <v/>
      </c>
      <c r="F5652" s="23" t="str">
        <f>IF(OR(E5652="",E5652="!!!"),"",IF(NOT(ISNA(VLOOKUP(E5652,E$1:E5651,1,FALSE()))),"OLD",IF(AND(E5652&lt;&gt;"",E5652&lt;&gt;"!!!"),"NEW","")))</f>
        <v> </v>
      </c>
      <c r="G5652" s="24" t="str">
        <f>IF(OR(E5652="",E5652="!!!"),"",IF(OR(J5652=0,AND(J5652=1,K5652=1),AND(J5652=1,I5652="SBJ"),AND(J5652=1,I5652=0)),"?IN_FOCUS",IF(J5652&lt;=2,"?ACTIVATED",IF(J5652&lt;&gt;"","?FAMILIAR",IF(F5652="NEW",IF(ISNA(VLOOKUP(E5652,#REF!,1,FALSE())),"?TYPE_IDENTIFIABLE","?REFERENTIAL"),"_")))))</f>
        <v> </v>
      </c>
      <c r="H5652" s="25" t="str">
        <f>IF(J5652&lt;&gt;1,"",IF(I5652="SBJ","CB","?"))</f>
        <v> </v>
      </c>
      <c r="I5652" s="26" t="str">
        <f>IF(OR(E5652="",E5652="!!!",F5652="NEW"),"",INDEX(B5651:B$2,-1+SUMPRODUCT(MAX(ROW(E5651:E$2)*(E5652=E5651:E$2)))))</f>
        <v> </v>
      </c>
      <c r="J5652" s="26" t="str">
        <f>IF(OR(E5652="",E5652="!!!",F5652="NEW"),"",COUNTBLANK(OFFSET(A$1,,,SUMPRODUCT(MAX(ROW(E$2:E5652)*(E5652=E$2:E5652)))))-COUNTBLANK(OFFSET(A$1,,,SUMPRODUCT(MAX(ROW(E$1:E5651)*(E2=E$1:E5651))))))</f>
        <v> </v>
      </c>
      <c r="K5652" s="26" t="str">
        <f>IF(OR(E5652="",E5652="!!!",F5652="NEW"),"",INDEX(J$1:J5651,SUMPRODUCT(MAX(ROW(E$1:E5651)*(E5652=E$1:E5651)))))</f>
        <v> </v>
      </c>
      <c r="L5652" s="27"/>
    </row>
    <row r="5653" spans="1:12">
      <c r="A5653" s="20" t="s">
        <v>2534</v>
      </c>
      <c r="E5653" s="22">
        <f>IF(D5653="?OLD","!!!","")</f>
        <v/>
      </c>
      <c r="F5653" s="23" t="str">
        <f>IF(OR(E5653="",E5653="!!!"),"",IF(NOT(ISNA(VLOOKUP(E5653,E$1:E5652,1,FALSE()))),"OLD",IF(AND(E5653&lt;&gt;"",E5653&lt;&gt;"!!!"),"NEW","")))</f>
        <v> </v>
      </c>
      <c r="G5653" s="24" t="str">
        <f>IF(OR(E5653="",E5653="!!!"),"",IF(OR(J5653=0,AND(J5653=1,K5653=1),AND(J5653=1,I5653="SBJ"),AND(J5653=1,I5653=0)),"?IN_FOCUS",IF(J5653&lt;=2,"?ACTIVATED",IF(J5653&lt;&gt;"","?FAMILIAR",IF(F5653="NEW",IF(ISNA(VLOOKUP(E5653,#REF!,1,FALSE())),"?TYPE_IDENTIFIABLE","?REFERENTIAL"),"_")))))</f>
        <v> </v>
      </c>
      <c r="H5653" s="25" t="str">
        <f>IF(J5653&lt;&gt;1,"",IF(I5653="SBJ","CB","?"))</f>
        <v> </v>
      </c>
      <c r="I5653" s="26" t="str">
        <f>IF(OR(E5653="",E5653="!!!",F5653="NEW"),"",INDEX(B5652:B$2,-1+SUMPRODUCT(MAX(ROW(E5652:E$2)*(E5653=E5652:E$2)))))</f>
        <v> </v>
      </c>
      <c r="J5653" s="26" t="str">
        <f>IF(OR(E5653="",E5653="!!!",F5653="NEW"),"",COUNTBLANK(OFFSET(A$1,,,SUMPRODUCT(MAX(ROW(E$2:E5653)*(E5653=E$2:E5653)))))-COUNTBLANK(OFFSET(A$1,,,SUMPRODUCT(MAX(ROW(E$1:E5652)*(E2=E$1:E5652))))))</f>
        <v> </v>
      </c>
      <c r="K5653" s="26" t="str">
        <f>IF(OR(E5653="",E5653="!!!",F5653="NEW"),"",INDEX(J$1:J5652,SUMPRODUCT(MAX(ROW(E$1:E5652)*(E5653=E$1:E5652)))))</f>
        <v> </v>
      </c>
      <c r="L5653" s="27"/>
    </row>
    <row r="5654" spans="1:12">
      <c r="A5654" s="20" t="s">
        <v>1321</v>
      </c>
      <c r="E5654" s="22">
        <f>IF(D5654="?OLD","!!!","")</f>
        <v/>
      </c>
      <c r="F5654" s="23" t="str">
        <f>IF(OR(E5654="",E5654="!!!"),"",IF(NOT(ISNA(VLOOKUP(E5654,E$1:E5653,1,FALSE()))),"OLD",IF(AND(E5654&lt;&gt;"",E5654&lt;&gt;"!!!"),"NEW","")))</f>
        <v> </v>
      </c>
      <c r="G5654" s="24" t="str">
        <f>IF(OR(E5654="",E5654="!!!"),"",IF(OR(J5654=0,AND(J5654=1,K5654=1),AND(J5654=1,I5654="SBJ"),AND(J5654=1,I5654=0)),"?IN_FOCUS",IF(J5654&lt;=2,"?ACTIVATED",IF(J5654&lt;&gt;"","?FAMILIAR",IF(F5654="NEW",IF(ISNA(VLOOKUP(E5654,#REF!,1,FALSE())),"?TYPE_IDENTIFIABLE","?REFERENTIAL"),"_")))))</f>
        <v> </v>
      </c>
      <c r="H5654" s="25" t="str">
        <f>IF(J5654&lt;&gt;1,"",IF(I5654="SBJ","CB","?"))</f>
        <v> </v>
      </c>
      <c r="I5654" s="26" t="str">
        <f>IF(OR(E5654="",E5654="!!!",F5654="NEW"),"",INDEX(B5653:B$2,-1+SUMPRODUCT(MAX(ROW(E5653:E$2)*(E5654=E5653:E$2)))))</f>
        <v> </v>
      </c>
      <c r="J5654" s="26" t="str">
        <f>IF(OR(E5654="",E5654="!!!",F5654="NEW"),"",COUNTBLANK(OFFSET(A$1,,,SUMPRODUCT(MAX(ROW(E$2:E5654)*(E5654=E$2:E5654)))))-COUNTBLANK(OFFSET(A$1,,,SUMPRODUCT(MAX(ROW(E$1:E5653)*(E2=E$1:E5653))))))</f>
        <v> </v>
      </c>
      <c r="K5654" s="26" t="str">
        <f>IF(OR(E5654="",E5654="!!!",F5654="NEW"),"",INDEX(J$1:J5653,SUMPRODUCT(MAX(ROW(E$1:E5653)*(E5654=E$1:E5653)))))</f>
        <v> </v>
      </c>
      <c r="L5654" s="27"/>
    </row>
    <row r="5655" spans="1:12">
      <c r="A5655" s="20" t="s">
        <v>1266</v>
      </c>
      <c r="E5655" s="22">
        <f>IF(D5655="?OLD","!!!","")</f>
        <v/>
      </c>
      <c r="F5655" s="23" t="str">
        <f>IF(OR(E5655="",E5655="!!!"),"",IF(NOT(ISNA(VLOOKUP(E5655,E$1:E5654,1,FALSE()))),"OLD",IF(AND(E5655&lt;&gt;"",E5655&lt;&gt;"!!!"),"NEW","")))</f>
        <v> </v>
      </c>
      <c r="G5655" s="24" t="str">
        <f>IF(OR(E5655="",E5655="!!!"),"",IF(OR(J5655=0,AND(J5655=1,K5655=1),AND(J5655=1,I5655="SBJ"),AND(J5655=1,I5655=0)),"?IN_FOCUS",IF(J5655&lt;=2,"?ACTIVATED",IF(J5655&lt;&gt;"","?FAMILIAR",IF(F5655="NEW",IF(ISNA(VLOOKUP(E5655,#REF!,1,FALSE())),"?TYPE_IDENTIFIABLE","?REFERENTIAL"),"_")))))</f>
        <v> </v>
      </c>
      <c r="H5655" s="25" t="str">
        <f>IF(J5655&lt;&gt;1,"",IF(I5655="SBJ","CB","?"))</f>
        <v> </v>
      </c>
      <c r="I5655" s="26" t="str">
        <f>IF(OR(E5655="",E5655="!!!",F5655="NEW"),"",INDEX(B5654:B$2,-1+SUMPRODUCT(MAX(ROW(E5654:E$2)*(E5655=E5654:E$2)))))</f>
        <v> </v>
      </c>
      <c r="J5655" s="26" t="str">
        <f>IF(OR(E5655="",E5655="!!!",F5655="NEW"),"",COUNTBLANK(OFFSET(A$1,,,SUMPRODUCT(MAX(ROW(E$2:E5655)*(E5655=E$2:E5655)))))-COUNTBLANK(OFFSET(A$1,,,SUMPRODUCT(MAX(ROW(E$1:E5654)*(E2=E$1:E5654))))))</f>
        <v> </v>
      </c>
      <c r="K5655" s="26" t="str">
        <f>IF(OR(E5655="",E5655="!!!",F5655="NEW"),"",INDEX(J$1:J5654,SUMPRODUCT(MAX(ROW(E$1:E5654)*(E5655=E$1:E5654)))))</f>
        <v> </v>
      </c>
      <c r="L5655" s="27"/>
    </row>
    <row r="5656" spans="1:12">
      <c r="A5656" s="20" t="s">
        <v>1267</v>
      </c>
      <c r="E5656" s="22">
        <f>IF(D5656="?OLD","!!!","")</f>
        <v/>
      </c>
      <c r="F5656" s="23" t="str">
        <f>IF(OR(E5656="",E5656="!!!"),"",IF(NOT(ISNA(VLOOKUP(E5656,E$1:E5655,1,FALSE()))),"OLD",IF(AND(E5656&lt;&gt;"",E5656&lt;&gt;"!!!"),"NEW","")))</f>
        <v> </v>
      </c>
      <c r="G5656" s="24" t="str">
        <f>IF(OR(E5656="",E5656="!!!"),"",IF(OR(J5656=0,AND(J5656=1,K5656=1),AND(J5656=1,I5656="SBJ"),AND(J5656=1,I5656=0)),"?IN_FOCUS",IF(J5656&lt;=2,"?ACTIVATED",IF(J5656&lt;&gt;"","?FAMILIAR",IF(F5656="NEW",IF(ISNA(VLOOKUP(E5656,#REF!,1,FALSE())),"?TYPE_IDENTIFIABLE","?REFERENTIAL"),"_")))))</f>
        <v> </v>
      </c>
      <c r="H5656" s="25" t="str">
        <f>IF(J5656&lt;&gt;1,"",IF(I5656="SBJ","CB","?"))</f>
        <v> </v>
      </c>
      <c r="I5656" s="26" t="str">
        <f>IF(OR(E5656="",E5656="!!!",F5656="NEW"),"",INDEX(B5655:B$2,-1+SUMPRODUCT(MAX(ROW(E5655:E$2)*(E5656=E5655:E$2)))))</f>
        <v> </v>
      </c>
      <c r="J5656" s="26" t="str">
        <f>IF(OR(E5656="",E5656="!!!",F5656="NEW"),"",COUNTBLANK(OFFSET(A$1,,,SUMPRODUCT(MAX(ROW(E$2:E5656)*(E5656=E$2:E5656)))))-COUNTBLANK(OFFSET(A$1,,,SUMPRODUCT(MAX(ROW(E$1:E5655)*(E2=E$1:E5655))))))</f>
        <v> </v>
      </c>
      <c r="K5656" s="26" t="str">
        <f>IF(OR(E5656="",E5656="!!!",F5656="NEW"),"",INDEX(J$1:J5655,SUMPRODUCT(MAX(ROW(E$1:E5655)*(E5656=E$1:E5655)))))</f>
        <v> </v>
      </c>
      <c r="L5656" s="27"/>
    </row>
    <row r="5657" spans="1:12">
      <c r="A5657" s="20" t="s">
        <v>2982</v>
      </c>
      <c r="B5657" s="21" t="s">
        <v>1244</v>
      </c>
      <c r="C5657" s="21" t="s">
        <v>1269</v>
      </c>
      <c r="D5657" s="21" t="s">
        <v>1217</v>
      </c>
      <c r="E5657" s="22">
        <f>IF(D5657="?OLD","!!!","")</f>
        <v/>
      </c>
      <c r="F5657" s="23" t="str">
        <f>IF(OR(E5657="",E5657="!!!"),"",IF(NOT(ISNA(VLOOKUP(E5657,E$1:E5656,1,FALSE()))),"OLD",IF(AND(E5657&lt;&gt;"",E5657&lt;&gt;"!!!"),"NEW","")))</f>
        <v> </v>
      </c>
      <c r="G5657" s="24" t="str">
        <f>IF(OR(E5657="",E5657="!!!"),"",IF(OR(J5657=0,AND(J5657=1,K5657=1),AND(J5657=1,I5657="SBJ"),AND(J5657=1,I5657=0)),"?IN_FOCUS",IF(J5657&lt;=2,"?ACTIVATED",IF(J5657&lt;&gt;"","?FAMILIAR",IF(F5657="NEW",IF(ISNA(VLOOKUP(E5657,#REF!,1,FALSE())),"?TYPE_IDENTIFIABLE","?REFERENTIAL"),"_")))))</f>
        <v> </v>
      </c>
      <c r="H5657" s="25" t="str">
        <f>IF(J5657&lt;&gt;1,"",IF(I5657="SBJ","CB","?"))</f>
        <v> </v>
      </c>
      <c r="I5657" s="26" t="str">
        <f>IF(OR(E5657="",E5657="!!!",F5657="NEW"),"",INDEX(B5656:B$2,-1+SUMPRODUCT(MAX(ROW(E5656:E$2)*(E5657=E5656:E$2)))))</f>
        <v> </v>
      </c>
      <c r="J5657" s="26" t="str">
        <f>IF(OR(E5657="",E5657="!!!",F5657="NEW"),"",COUNTBLANK(OFFSET(A$1,,,SUMPRODUCT(MAX(ROW(E$2:E5657)*(E5657=E$2:E5657)))))-COUNTBLANK(OFFSET(A$1,,,SUMPRODUCT(MAX(ROW(E$1:E5656)*(E2=E$1:E5656))))))</f>
        <v> </v>
      </c>
      <c r="K5657" s="26" t="str">
        <f>IF(OR(E5657="",E5657="!!!",F5657="NEW"),"",INDEX(J$1:J5656,SUMPRODUCT(MAX(ROW(E$1:E5656)*(E5657=E$1:E5656)))))</f>
        <v> </v>
      </c>
      <c r="L5657" s="27"/>
    </row>
    <row r="5658" spans="1:12">
      <c r="A5658" s="20" t="s">
        <v>1277</v>
      </c>
      <c r="E5658" s="22">
        <f>IF(D5658="?OLD","!!!","")</f>
        <v/>
      </c>
      <c r="F5658" s="23" t="str">
        <f>IF(OR(E5658="",E5658="!!!"),"",IF(NOT(ISNA(VLOOKUP(E5658,E$1:E5657,1,FALSE()))),"OLD",IF(AND(E5658&lt;&gt;"",E5658&lt;&gt;"!!!"),"NEW","")))</f>
        <v> </v>
      </c>
      <c r="G5658" s="24" t="str">
        <f>IF(OR(E5658="",E5658="!!!"),"",IF(OR(J5658=0,AND(J5658=1,K5658=1),AND(J5658=1,I5658="SBJ"),AND(J5658=1,I5658=0)),"?IN_FOCUS",IF(J5658&lt;=2,"?ACTIVATED",IF(J5658&lt;&gt;"","?FAMILIAR",IF(F5658="NEW",IF(ISNA(VLOOKUP(E5658,#REF!,1,FALSE())),"?TYPE_IDENTIFIABLE","?REFERENTIAL"),"_")))))</f>
        <v> </v>
      </c>
      <c r="H5658" s="25" t="str">
        <f>IF(J5658&lt;&gt;1,"",IF(I5658="SBJ","CB","?"))</f>
        <v> </v>
      </c>
      <c r="I5658" s="26" t="str">
        <f>IF(OR(E5658="",E5658="!!!",F5658="NEW"),"",INDEX(B5657:B$2,-1+SUMPRODUCT(MAX(ROW(E5657:E$2)*(E5658=E5657:E$2)))))</f>
        <v> </v>
      </c>
      <c r="J5658" s="26" t="str">
        <f>IF(OR(E5658="",E5658="!!!",F5658="NEW"),"",COUNTBLANK(OFFSET(A$1,,,SUMPRODUCT(MAX(ROW(E$2:E5658)*(E5658=E$2:E5658)))))-COUNTBLANK(OFFSET(A$1,,,SUMPRODUCT(MAX(ROW(E$1:E5657)*(E2=E$1:E5657))))))</f>
        <v> </v>
      </c>
      <c r="K5658" s="26" t="str">
        <f>IF(OR(E5658="",E5658="!!!",F5658="NEW"),"",INDEX(J$1:J5657,SUMPRODUCT(MAX(ROW(E$1:E5657)*(E5658=E$1:E5657)))))</f>
        <v> </v>
      </c>
      <c r="L5658" s="27"/>
    </row>
    <row r="5659" spans="1:12">
      <c r="A5659" s="20" t="s">
        <v>1408</v>
      </c>
      <c r="E5659" s="22">
        <f>IF(D5659="?OLD","!!!","")</f>
        <v/>
      </c>
      <c r="F5659" s="23" t="str">
        <f>IF(OR(E5659="",E5659="!!!"),"",IF(NOT(ISNA(VLOOKUP(E5659,E$1:E5658,1,FALSE()))),"OLD",IF(AND(E5659&lt;&gt;"",E5659&lt;&gt;"!!!"),"NEW","")))</f>
        <v> </v>
      </c>
      <c r="G5659" s="24" t="str">
        <f>IF(OR(E5659="",E5659="!!!"),"",IF(OR(J5659=0,AND(J5659=1,K5659=1),AND(J5659=1,I5659="SBJ"),AND(J5659=1,I5659=0)),"?IN_FOCUS",IF(J5659&lt;=2,"?ACTIVATED",IF(J5659&lt;&gt;"","?FAMILIAR",IF(F5659="NEW",IF(ISNA(VLOOKUP(E5659,#REF!,1,FALSE())),"?TYPE_IDENTIFIABLE","?REFERENTIAL"),"_")))))</f>
        <v> </v>
      </c>
      <c r="H5659" s="25" t="str">
        <f>IF(J5659&lt;&gt;1,"",IF(I5659="SBJ","CB","?"))</f>
        <v> </v>
      </c>
      <c r="I5659" s="26" t="str">
        <f>IF(OR(E5659="",E5659="!!!",F5659="NEW"),"",INDEX(B5658:B$2,-1+SUMPRODUCT(MAX(ROW(E5658:E$2)*(E5659=E5658:E$2)))))</f>
        <v> </v>
      </c>
      <c r="J5659" s="26" t="str">
        <f>IF(OR(E5659="",E5659="!!!",F5659="NEW"),"",COUNTBLANK(OFFSET(A$1,,,SUMPRODUCT(MAX(ROW(E$2:E5659)*(E5659=E$2:E5659)))))-COUNTBLANK(OFFSET(A$1,,,SUMPRODUCT(MAX(ROW(E$1:E5658)*(E2=E$1:E5658))))))</f>
        <v> </v>
      </c>
      <c r="K5659" s="26" t="str">
        <f>IF(OR(E5659="",E5659="!!!",F5659="NEW"),"",INDEX(J$1:J5658,SUMPRODUCT(MAX(ROW(E$1:E5658)*(E5659=E$1:E5658)))))</f>
        <v> </v>
      </c>
      <c r="L5659" s="27"/>
    </row>
    <row r="5660" spans="1:12">
      <c r="A5660" s="20" t="s">
        <v>1358</v>
      </c>
      <c r="E5660" s="22">
        <f>IF(D5660="?OLD","!!!","")</f>
        <v/>
      </c>
      <c r="F5660" s="23" t="str">
        <f>IF(OR(E5660="",E5660="!!!"),"",IF(NOT(ISNA(VLOOKUP(E5660,E$1:E5659,1,FALSE()))),"OLD",IF(AND(E5660&lt;&gt;"",E5660&lt;&gt;"!!!"),"NEW","")))</f>
        <v> </v>
      </c>
      <c r="G5660" s="24" t="str">
        <f>IF(OR(E5660="",E5660="!!!"),"",IF(OR(J5660=0,AND(J5660=1,K5660=1),AND(J5660=1,I5660="SBJ"),AND(J5660=1,I5660=0)),"?IN_FOCUS",IF(J5660&lt;=2,"?ACTIVATED",IF(J5660&lt;&gt;"","?FAMILIAR",IF(F5660="NEW",IF(ISNA(VLOOKUP(E5660,#REF!,1,FALSE())),"?TYPE_IDENTIFIABLE","?REFERENTIAL"),"_")))))</f>
        <v> </v>
      </c>
      <c r="H5660" s="25" t="str">
        <f>IF(J5660&lt;&gt;1,"",IF(I5660="SBJ","CB","?"))</f>
        <v> </v>
      </c>
      <c r="I5660" s="26" t="str">
        <f>IF(OR(E5660="",E5660="!!!",F5660="NEW"),"",INDEX(B5659:B$2,-1+SUMPRODUCT(MAX(ROW(E5659:E$2)*(E5660=E5659:E$2)))))</f>
        <v> </v>
      </c>
      <c r="J5660" s="26" t="str">
        <f>IF(OR(E5660="",E5660="!!!",F5660="NEW"),"",COUNTBLANK(OFFSET(A$1,,,SUMPRODUCT(MAX(ROW(E$2:E5660)*(E5660=E$2:E5660)))))-COUNTBLANK(OFFSET(A$1,,,SUMPRODUCT(MAX(ROW(E$1:E5659)*(E2=E$1:E5659))))))</f>
        <v> </v>
      </c>
      <c r="K5660" s="26" t="str">
        <f>IF(OR(E5660="",E5660="!!!",F5660="NEW"),"",INDEX(J$1:J5659,SUMPRODUCT(MAX(ROW(E$1:E5659)*(E5660=E$1:E5659)))))</f>
        <v> </v>
      </c>
      <c r="L5660" s="27"/>
    </row>
    <row r="5661" spans="1:12">
      <c r="A5661" s="20" t="s">
        <v>565</v>
      </c>
      <c r="B5661" s="21" t="s">
        <v>1229</v>
      </c>
      <c r="C5661" s="21" t="s">
        <v>1255</v>
      </c>
      <c r="D5661" s="21" t="s">
        <v>1217</v>
      </c>
      <c r="E5661" s="22">
        <f>IF(D5661="?OLD","!!!","")</f>
        <v/>
      </c>
      <c r="F5661" s="23" t="str">
        <f>IF(OR(E5661="",E5661="!!!"),"",IF(NOT(ISNA(VLOOKUP(E5661,E$1:E5660,1,FALSE()))),"OLD",IF(AND(E5661&lt;&gt;"",E5661&lt;&gt;"!!!"),"NEW","")))</f>
        <v> </v>
      </c>
      <c r="G5661" s="24" t="str">
        <f>IF(OR(E5661="",E5661="!!!"),"",IF(OR(J5661=0,AND(J5661=1,K5661=1),AND(J5661=1,I5661="SBJ"),AND(J5661=1,I5661=0)),"?IN_FOCUS",IF(J5661&lt;=2,"?ACTIVATED",IF(J5661&lt;&gt;"","?FAMILIAR",IF(F5661="NEW",IF(ISNA(VLOOKUP(E5661,#REF!,1,FALSE())),"?TYPE_IDENTIFIABLE","?REFERENTIAL"),"_")))))</f>
        <v> </v>
      </c>
      <c r="H5661" s="25" t="str">
        <f>IF(J5661&lt;&gt;1,"",IF(I5661="SBJ","CB","?"))</f>
        <v> </v>
      </c>
      <c r="I5661" s="26" t="str">
        <f>IF(OR(E5661="",E5661="!!!",F5661="NEW"),"",INDEX(B5660:B$2,-1+SUMPRODUCT(MAX(ROW(E5660:E$2)*(E5661=E5660:E$2)))))</f>
        <v> </v>
      </c>
      <c r="J5661" s="26" t="str">
        <f>IF(OR(E5661="",E5661="!!!",F5661="NEW"),"",COUNTBLANK(OFFSET(A$1,,,SUMPRODUCT(MAX(ROW(E$2:E5661)*(E5661=E$2:E5661)))))-COUNTBLANK(OFFSET(A$1,,,SUMPRODUCT(MAX(ROW(E$1:E5660)*(E2=E$1:E5660))))))</f>
        <v> </v>
      </c>
      <c r="K5661" s="26" t="str">
        <f>IF(OR(E5661="",E5661="!!!",F5661="NEW"),"",INDEX(J$1:J5660,SUMPRODUCT(MAX(ROW(E$1:E5660)*(E5661=E$1:E5660)))))</f>
        <v> </v>
      </c>
      <c r="L5661" s="27"/>
    </row>
    <row r="5662" spans="1:12">
      <c r="A5662" s="20" t="s">
        <v>1474</v>
      </c>
      <c r="E5662" s="22">
        <f>IF(D5662="?OLD","!!!","")</f>
        <v/>
      </c>
      <c r="F5662" s="23" t="str">
        <f>IF(OR(E5662="",E5662="!!!"),"",IF(NOT(ISNA(VLOOKUP(E5662,E$1:E5661,1,FALSE()))),"OLD",IF(AND(E5662&lt;&gt;"",E5662&lt;&gt;"!!!"),"NEW","")))</f>
        <v> </v>
      </c>
      <c r="G5662" s="24" t="str">
        <f>IF(OR(E5662="",E5662="!!!"),"",IF(OR(J5662=0,AND(J5662=1,K5662=1),AND(J5662=1,I5662="SBJ"),AND(J5662=1,I5662=0)),"?IN_FOCUS",IF(J5662&lt;=2,"?ACTIVATED",IF(J5662&lt;&gt;"","?FAMILIAR",IF(F5662="NEW",IF(ISNA(VLOOKUP(E5662,#REF!,1,FALSE())),"?TYPE_IDENTIFIABLE","?REFERENTIAL"),"_")))))</f>
        <v> </v>
      </c>
      <c r="H5662" s="25" t="str">
        <f>IF(J5662&lt;&gt;1,"",IF(I5662="SBJ","CB","?"))</f>
        <v> </v>
      </c>
      <c r="I5662" s="26" t="str">
        <f>IF(OR(E5662="",E5662="!!!",F5662="NEW"),"",INDEX(B5661:B$2,-1+SUMPRODUCT(MAX(ROW(E5661:E$2)*(E5662=E5661:E$2)))))</f>
        <v> </v>
      </c>
      <c r="J5662" s="26" t="str">
        <f>IF(OR(E5662="",E5662="!!!",F5662="NEW"),"",COUNTBLANK(OFFSET(A$1,,,SUMPRODUCT(MAX(ROW(E$2:E5662)*(E5662=E$2:E5662)))))-COUNTBLANK(OFFSET(A$1,,,SUMPRODUCT(MAX(ROW(E$1:E5661)*(E2=E$1:E5661))))))</f>
        <v> </v>
      </c>
      <c r="K5662" s="26" t="str">
        <f>IF(OR(E5662="",E5662="!!!",F5662="NEW"),"",INDEX(J$1:J5661,SUMPRODUCT(MAX(ROW(E$1:E5661)*(E5662=E$1:E5661)))))</f>
        <v> </v>
      </c>
      <c r="L5662" s="27"/>
    </row>
    <row r="5663" spans="1:12">
      <c r="A5663" s="20" t="s">
        <v>2988</v>
      </c>
      <c r="E5663" s="22">
        <f>IF(D5663="?OLD","!!!","")</f>
        <v/>
      </c>
      <c r="F5663" s="23" t="str">
        <f>IF(OR(E5663="",E5663="!!!"),"",IF(NOT(ISNA(VLOOKUP(E5663,E$1:E5662,1,FALSE()))),"OLD",IF(AND(E5663&lt;&gt;"",E5663&lt;&gt;"!!!"),"NEW","")))</f>
        <v> </v>
      </c>
      <c r="G5663" s="24" t="str">
        <f>IF(OR(E5663="",E5663="!!!"),"",IF(OR(J5663=0,AND(J5663=1,K5663=1),AND(J5663=1,I5663="SBJ"),AND(J5663=1,I5663=0)),"?IN_FOCUS",IF(J5663&lt;=2,"?ACTIVATED",IF(J5663&lt;&gt;"","?FAMILIAR",IF(F5663="NEW",IF(ISNA(VLOOKUP(E5663,#REF!,1,FALSE())),"?TYPE_IDENTIFIABLE","?REFERENTIAL"),"_")))))</f>
        <v> </v>
      </c>
      <c r="H5663" s="25" t="str">
        <f>IF(J5663&lt;&gt;1,"",IF(I5663="SBJ","CB","?"))</f>
        <v> </v>
      </c>
      <c r="I5663" s="26" t="str">
        <f>IF(OR(E5663="",E5663="!!!",F5663="NEW"),"",INDEX(B5662:B$2,-1+SUMPRODUCT(MAX(ROW(E5662:E$2)*(E5663=E5662:E$2)))))</f>
        <v> </v>
      </c>
      <c r="J5663" s="26" t="str">
        <f>IF(OR(E5663="",E5663="!!!",F5663="NEW"),"",COUNTBLANK(OFFSET(A$1,,,SUMPRODUCT(MAX(ROW(E$2:E5663)*(E5663=E$2:E5663)))))-COUNTBLANK(OFFSET(A$1,,,SUMPRODUCT(MAX(ROW(E$1:E5662)*(E2=E$1:E5662))))))</f>
        <v> </v>
      </c>
      <c r="K5663" s="26" t="str">
        <f>IF(OR(E5663="",E5663="!!!",F5663="NEW"),"",INDEX(J$1:J5662,SUMPRODUCT(MAX(ROW(E$1:E5662)*(E5663=E$1:E5662)))))</f>
        <v> </v>
      </c>
      <c r="L5663" s="27"/>
    </row>
    <row r="5664" spans="1:12">
      <c r="A5664" s="20" t="s">
        <v>1245</v>
      </c>
      <c r="E5664" s="22">
        <f>IF(D5664="?OLD","!!!","")</f>
        <v/>
      </c>
      <c r="F5664" s="23" t="str">
        <f>IF(OR(E5664="",E5664="!!!"),"",IF(NOT(ISNA(VLOOKUP(E5664,E$1:E5663,1,FALSE()))),"OLD",IF(AND(E5664&lt;&gt;"",E5664&lt;&gt;"!!!"),"NEW","")))</f>
        <v> </v>
      </c>
      <c r="G5664" s="24" t="str">
        <f>IF(OR(E5664="",E5664="!!!"),"",IF(OR(J5664=0,AND(J5664=1,K5664=1),AND(J5664=1,I5664="SBJ"),AND(J5664=1,I5664=0)),"?IN_FOCUS",IF(J5664&lt;=2,"?ACTIVATED",IF(J5664&lt;&gt;"","?FAMILIAR",IF(F5664="NEW",IF(ISNA(VLOOKUP(E5664,#REF!,1,FALSE())),"?TYPE_IDENTIFIABLE","?REFERENTIAL"),"_")))))</f>
        <v> </v>
      </c>
      <c r="H5664" s="25" t="str">
        <f>IF(J5664&lt;&gt;1,"",IF(I5664="SBJ","CB","?"))</f>
        <v> </v>
      </c>
      <c r="I5664" s="26" t="str">
        <f>IF(OR(E5664="",E5664="!!!",F5664="NEW"),"",INDEX(B5663:B$2,-1+SUMPRODUCT(MAX(ROW(E5663:E$2)*(E5664=E5663:E$2)))))</f>
        <v> </v>
      </c>
      <c r="J5664" s="26" t="str">
        <f>IF(OR(E5664="",E5664="!!!",F5664="NEW"),"",COUNTBLANK(OFFSET(A$1,,,SUMPRODUCT(MAX(ROW(E$2:E5664)*(E5664=E$2:E5664)))))-COUNTBLANK(OFFSET(A$1,,,SUMPRODUCT(MAX(ROW(E$1:E5663)*(E2=E$1:E5663))))))</f>
        <v> </v>
      </c>
      <c r="K5664" s="26" t="str">
        <f>IF(OR(E5664="",E5664="!!!",F5664="NEW"),"",INDEX(J$1:J5663,SUMPRODUCT(MAX(ROW(E$1:E5663)*(E5664=E$1:E5663)))))</f>
        <v> </v>
      </c>
      <c r="L5664" s="27"/>
    </row>
    <row r="5665" spans="1:12">
      <c r="A5665" s="20" t="s">
        <v>1266</v>
      </c>
      <c r="E5665" s="22">
        <f>IF(D5665="?OLD","!!!","")</f>
        <v/>
      </c>
      <c r="F5665" s="23" t="str">
        <f>IF(OR(E5665="",E5665="!!!"),"",IF(NOT(ISNA(VLOOKUP(E5665,E$1:E5664,1,FALSE()))),"OLD",IF(AND(E5665&lt;&gt;"",E5665&lt;&gt;"!!!"),"NEW","")))</f>
        <v> </v>
      </c>
      <c r="G5665" s="24" t="str">
        <f>IF(OR(E5665="",E5665="!!!"),"",IF(OR(J5665=0,AND(J5665=1,K5665=1),AND(J5665=1,I5665="SBJ"),AND(J5665=1,I5665=0)),"?IN_FOCUS",IF(J5665&lt;=2,"?ACTIVATED",IF(J5665&lt;&gt;"","?FAMILIAR",IF(F5665="NEW",IF(ISNA(VLOOKUP(E5665,#REF!,1,FALSE())),"?TYPE_IDENTIFIABLE","?REFERENTIAL"),"_")))))</f>
        <v> </v>
      </c>
      <c r="H5665" s="25" t="str">
        <f>IF(J5665&lt;&gt;1,"",IF(I5665="SBJ","CB","?"))</f>
        <v> </v>
      </c>
      <c r="I5665" s="26" t="str">
        <f>IF(OR(E5665="",E5665="!!!",F5665="NEW"),"",INDEX(B5664:B$2,-1+SUMPRODUCT(MAX(ROW(E5664:E$2)*(E5665=E5664:E$2)))))</f>
        <v> </v>
      </c>
      <c r="J5665" s="26" t="str">
        <f>IF(OR(E5665="",E5665="!!!",F5665="NEW"),"",COUNTBLANK(OFFSET(A$1,,,SUMPRODUCT(MAX(ROW(E$2:E5665)*(E5665=E$2:E5665)))))-COUNTBLANK(OFFSET(A$1,,,SUMPRODUCT(MAX(ROW(E$1:E5664)*(E2=E$1:E5664))))))</f>
        <v> </v>
      </c>
      <c r="K5665" s="26" t="str">
        <f>IF(OR(E5665="",E5665="!!!",F5665="NEW"),"",INDEX(J$1:J5664,SUMPRODUCT(MAX(ROW(E$1:E5664)*(E5665=E$1:E5664)))))</f>
        <v> </v>
      </c>
      <c r="L5665" s="27"/>
    </row>
    <row r="5666" spans="1:12">
      <c r="A5666" s="20" t="s">
        <v>1531</v>
      </c>
      <c r="B5666" s="21" t="s">
        <v>1221</v>
      </c>
      <c r="C5666" s="21" t="s">
        <v>1222</v>
      </c>
      <c r="D5666" s="21" t="s">
        <v>1217</v>
      </c>
      <c r="E5666" s="22">
        <f>IF(D5666="?OLD","!!!","")</f>
        <v/>
      </c>
      <c r="F5666" s="23" t="str">
        <f>IF(OR(E5666="",E5666="!!!"),"",IF(NOT(ISNA(VLOOKUP(E5666,E$1:E5665,1,FALSE()))),"OLD",IF(AND(E5666&lt;&gt;"",E5666&lt;&gt;"!!!"),"NEW","")))</f>
        <v> </v>
      </c>
      <c r="G5666" s="24" t="str">
        <f>IF(OR(E5666="",E5666="!!!"),"",IF(OR(J5666=0,AND(J5666=1,K5666=1),AND(J5666=1,I5666="SBJ"),AND(J5666=1,I5666=0)),"?IN_FOCUS",IF(J5666&lt;=2,"?ACTIVATED",IF(J5666&lt;&gt;"","?FAMILIAR",IF(F5666="NEW",IF(ISNA(VLOOKUP(E5666,#REF!,1,FALSE())),"?TYPE_IDENTIFIABLE","?REFERENTIAL"),"_")))))</f>
        <v> </v>
      </c>
      <c r="H5666" s="25" t="str">
        <f>IF(J5666&lt;&gt;1,"",IF(I5666="SBJ","CB","?"))</f>
        <v> </v>
      </c>
      <c r="I5666" s="26" t="str">
        <f>IF(OR(E5666="",E5666="!!!",F5666="NEW"),"",INDEX(B5665:B$2,-1+SUMPRODUCT(MAX(ROW(E5665:E$2)*(E5666=E5665:E$2)))))</f>
        <v> </v>
      </c>
      <c r="J5666" s="26" t="str">
        <f>IF(OR(E5666="",E5666="!!!",F5666="NEW"),"",COUNTBLANK(OFFSET(A$1,,,SUMPRODUCT(MAX(ROW(E$2:E5666)*(E5666=E$2:E5666)))))-COUNTBLANK(OFFSET(A$1,,,SUMPRODUCT(MAX(ROW(E$1:E5665)*(E2=E$1:E5665))))))</f>
        <v> </v>
      </c>
      <c r="K5666" s="26" t="str">
        <f>IF(OR(E5666="",E5666="!!!",F5666="NEW"),"",INDEX(J$1:J5665,SUMPRODUCT(MAX(ROW(E$1:E5665)*(E5666=E$1:E5665)))))</f>
        <v> </v>
      </c>
      <c r="L5666" s="27"/>
    </row>
    <row r="5667" spans="1:12">
      <c r="A5667" s="20" t="s">
        <v>1218</v>
      </c>
      <c r="E5667" s="22">
        <f>IF(D5667="?OLD","!!!","")</f>
        <v/>
      </c>
      <c r="F5667" s="23" t="str">
        <f>IF(OR(E5667="",E5667="!!!"),"",IF(NOT(ISNA(VLOOKUP(E5667,E$1:E5666,1,FALSE()))),"OLD",IF(AND(E5667&lt;&gt;"",E5667&lt;&gt;"!!!"),"NEW","")))</f>
        <v> </v>
      </c>
      <c r="G5667" s="24" t="str">
        <f>IF(OR(E5667="",E5667="!!!"),"",IF(OR(J5667=0,AND(J5667=1,K5667=1),AND(J5667=1,I5667="SBJ"),AND(J5667=1,I5667=0)),"?IN_FOCUS",IF(J5667&lt;=2,"?ACTIVATED",IF(J5667&lt;&gt;"","?FAMILIAR",IF(F5667="NEW",IF(ISNA(VLOOKUP(E5667,#REF!,1,FALSE())),"?TYPE_IDENTIFIABLE","?REFERENTIAL"),"_")))))</f>
        <v> </v>
      </c>
      <c r="H5667" s="25" t="str">
        <f>IF(J5667&lt;&gt;1,"",IF(I5667="SBJ","CB","?"))</f>
        <v> </v>
      </c>
      <c r="I5667" s="26" t="str">
        <f>IF(OR(E5667="",E5667="!!!",F5667="NEW"),"",INDEX(B5666:B$2,-1+SUMPRODUCT(MAX(ROW(E5666:E$2)*(E5667=E5666:E$2)))))</f>
        <v> </v>
      </c>
      <c r="J5667" s="26" t="str">
        <f>IF(OR(E5667="",E5667="!!!",F5667="NEW"),"",COUNTBLANK(OFFSET(A$1,,,SUMPRODUCT(MAX(ROW(E$2:E5667)*(E5667=E$2:E5667)))))-COUNTBLANK(OFFSET(A$1,,,SUMPRODUCT(MAX(ROW(E$1:E5666)*(E2=E$1:E5666))))))</f>
        <v> </v>
      </c>
      <c r="K5667" s="26" t="str">
        <f>IF(OR(E5667="",E5667="!!!",F5667="NEW"),"",INDEX(J$1:J5666,SUMPRODUCT(MAX(ROW(E$1:E5666)*(E5667=E$1:E5666)))))</f>
        <v> </v>
      </c>
      <c r="L5667" s="27"/>
    </row>
    <row r="5668" spans="1:12">
      <c r="A5668" s="20" t="s">
        <v>1247</v>
      </c>
      <c r="B5668" s="21" t="s">
        <v>1226</v>
      </c>
      <c r="C5668" s="21" t="s">
        <v>1242</v>
      </c>
      <c r="D5668" s="21" t="s">
        <v>1217</v>
      </c>
      <c r="E5668" s="22">
        <f>IF(D5668="?OLD","!!!","")</f>
        <v/>
      </c>
      <c r="F5668" s="23" t="str">
        <f>IF(OR(E5668="",E5668="!!!"),"",IF(NOT(ISNA(VLOOKUP(E5668,E$1:E5667,1,FALSE()))),"OLD",IF(AND(E5668&lt;&gt;"",E5668&lt;&gt;"!!!"),"NEW","")))</f>
        <v> </v>
      </c>
      <c r="G5668" s="24" t="str">
        <f>IF(OR(E5668="",E5668="!!!"),"",IF(OR(J5668=0,AND(J5668=1,K5668=1),AND(J5668=1,I5668="SBJ"),AND(J5668=1,I5668=0)),"?IN_FOCUS",IF(J5668&lt;=2,"?ACTIVATED",IF(J5668&lt;&gt;"","?FAMILIAR",IF(F5668="NEW",IF(ISNA(VLOOKUP(E5668,#REF!,1,FALSE())),"?TYPE_IDENTIFIABLE","?REFERENTIAL"),"_")))))</f>
        <v> </v>
      </c>
      <c r="H5668" s="25" t="str">
        <f>IF(J5668&lt;&gt;1,"",IF(I5668="SBJ","CB","?"))</f>
        <v> </v>
      </c>
      <c r="I5668" s="26" t="str">
        <f>IF(OR(E5668="",E5668="!!!",F5668="NEW"),"",INDEX(B5667:B$2,-1+SUMPRODUCT(MAX(ROW(E5667:E$2)*(E5668=E5667:E$2)))))</f>
        <v> </v>
      </c>
      <c r="J5668" s="26" t="str">
        <f>IF(OR(E5668="",E5668="!!!",F5668="NEW"),"",COUNTBLANK(OFFSET(A$1,,,SUMPRODUCT(MAX(ROW(E$2:E5668)*(E5668=E$2:E5668)))))-COUNTBLANK(OFFSET(A$1,,,SUMPRODUCT(MAX(ROW(E$1:E5667)*(E2=E$1:E5667))))))</f>
        <v> </v>
      </c>
      <c r="K5668" s="26" t="str">
        <f>IF(OR(E5668="",E5668="!!!",F5668="NEW"),"",INDEX(J$1:J5667,SUMPRODUCT(MAX(ROW(E$1:E5667)*(E5668=E$1:E5667)))))</f>
        <v> </v>
      </c>
      <c r="L5668" s="27"/>
    </row>
    <row r="5669" spans="1:12">
      <c r="A5669" s="20" t="s">
        <v>2989</v>
      </c>
      <c r="B5669" s="21" t="s">
        <v>1224</v>
      </c>
      <c r="C5669" s="21" t="s">
        <v>1222</v>
      </c>
      <c r="D5669" s="21" t="s">
        <v>1217</v>
      </c>
      <c r="E5669" s="22">
        <f>IF(D5669="?OLD","!!!","")</f>
        <v/>
      </c>
      <c r="F5669" s="23" t="str">
        <f>IF(OR(E5669="",E5669="!!!"),"",IF(NOT(ISNA(VLOOKUP(E5669,E$1:E5668,1,FALSE()))),"OLD",IF(AND(E5669&lt;&gt;"",E5669&lt;&gt;"!!!"),"NEW","")))</f>
        <v> </v>
      </c>
      <c r="G5669" s="24" t="str">
        <f>IF(OR(E5669="",E5669="!!!"),"",IF(OR(J5669=0,AND(J5669=1,K5669=1),AND(J5669=1,I5669="SBJ"),AND(J5669=1,I5669=0)),"?IN_FOCUS",IF(J5669&lt;=2,"?ACTIVATED",IF(J5669&lt;&gt;"","?FAMILIAR",IF(F5669="NEW",IF(ISNA(VLOOKUP(E5669,#REF!,1,FALSE())),"?TYPE_IDENTIFIABLE","?REFERENTIAL"),"_")))))</f>
        <v> </v>
      </c>
      <c r="H5669" s="25" t="str">
        <f>IF(J5669&lt;&gt;1,"",IF(I5669="SBJ","CB","?"))</f>
        <v> </v>
      </c>
      <c r="I5669" s="26" t="str">
        <f>IF(OR(E5669="",E5669="!!!",F5669="NEW"),"",INDEX(B5668:B$2,-1+SUMPRODUCT(MAX(ROW(E5668:E$2)*(E5669=E5668:E$2)))))</f>
        <v> </v>
      </c>
      <c r="J5669" s="26" t="str">
        <f>IF(OR(E5669="",E5669="!!!",F5669="NEW"),"",COUNTBLANK(OFFSET(A$1,,,SUMPRODUCT(MAX(ROW(E$2:E5669)*(E5669=E$2:E5669)))))-COUNTBLANK(OFFSET(A$1,,,SUMPRODUCT(MAX(ROW(E$1:E5668)*(E2=E$1:E5668))))))</f>
        <v> </v>
      </c>
      <c r="K5669" s="26" t="str">
        <f>IF(OR(E5669="",E5669="!!!",F5669="NEW"),"",INDEX(J$1:J5668,SUMPRODUCT(MAX(ROW(E$1:E5668)*(E5669=E$1:E5668)))))</f>
        <v> </v>
      </c>
      <c r="L5669" s="27"/>
    </row>
    <row r="5670" spans="1:12">
      <c r="A5670" s="20" t="s">
        <v>1277</v>
      </c>
      <c r="E5670" s="22">
        <f>IF(D5670="?OLD","!!!","")</f>
        <v/>
      </c>
      <c r="F5670" s="23" t="str">
        <f>IF(OR(E5670="",E5670="!!!"),"",IF(NOT(ISNA(VLOOKUP(E5670,E$1:E5669,1,FALSE()))),"OLD",IF(AND(E5670&lt;&gt;"",E5670&lt;&gt;"!!!"),"NEW","")))</f>
        <v> </v>
      </c>
      <c r="G5670" s="24" t="str">
        <f>IF(OR(E5670="",E5670="!!!"),"",IF(OR(J5670=0,AND(J5670=1,K5670=1),AND(J5670=1,I5670="SBJ"),AND(J5670=1,I5670=0)),"?IN_FOCUS",IF(J5670&lt;=2,"?ACTIVATED",IF(J5670&lt;&gt;"","?FAMILIAR",IF(F5670="NEW",IF(ISNA(VLOOKUP(E5670,#REF!,1,FALSE())),"?TYPE_IDENTIFIABLE","?REFERENTIAL"),"_")))))</f>
        <v> </v>
      </c>
      <c r="H5670" s="25" t="str">
        <f>IF(J5670&lt;&gt;1,"",IF(I5670="SBJ","CB","?"))</f>
        <v> </v>
      </c>
      <c r="I5670" s="26" t="str">
        <f>IF(OR(E5670="",E5670="!!!",F5670="NEW"),"",INDEX(B5669:B$2,-1+SUMPRODUCT(MAX(ROW(E5669:E$2)*(E5670=E5669:E$2)))))</f>
        <v> </v>
      </c>
      <c r="J5670" s="26" t="str">
        <f>IF(OR(E5670="",E5670="!!!",F5670="NEW"),"",COUNTBLANK(OFFSET(A$1,,,SUMPRODUCT(MAX(ROW(E$2:E5670)*(E5670=E$2:E5670)))))-COUNTBLANK(OFFSET(A$1,,,SUMPRODUCT(MAX(ROW(E$1:E5669)*(E2=E$1:E5669))))))</f>
        <v> </v>
      </c>
      <c r="K5670" s="26" t="str">
        <f>IF(OR(E5670="",E5670="!!!",F5670="NEW"),"",INDEX(J$1:J5669,SUMPRODUCT(MAX(ROW(E$1:E5669)*(E5670=E$1:E5669)))))</f>
        <v> </v>
      </c>
      <c r="L5670" s="27"/>
    </row>
    <row r="5671" spans="1:12">
      <c r="A5671" s="20" t="s">
        <v>1358</v>
      </c>
      <c r="B5671" s="21" t="s">
        <v>1254</v>
      </c>
      <c r="E5671" s="22">
        <f>IF(D5671="?OLD","!!!","")</f>
        <v/>
      </c>
      <c r="F5671" s="23" t="str">
        <f>IF(OR(E5671="",E5671="!!!"),"",IF(NOT(ISNA(VLOOKUP(E5671,E$1:E5670,1,FALSE()))),"OLD",IF(AND(E5671&lt;&gt;"",E5671&lt;&gt;"!!!"),"NEW","")))</f>
        <v> </v>
      </c>
      <c r="G5671" s="24" t="str">
        <f>IF(OR(E5671="",E5671="!!!"),"",IF(OR(J5671=0,AND(J5671=1,K5671=1),AND(J5671=1,I5671="SBJ"),AND(J5671=1,I5671=0)),"?IN_FOCUS",IF(J5671&lt;=2,"?ACTIVATED",IF(J5671&lt;&gt;"","?FAMILIAR",IF(F5671="NEW",IF(ISNA(VLOOKUP(E5671,#REF!,1,FALSE())),"?TYPE_IDENTIFIABLE","?REFERENTIAL"),"_")))))</f>
        <v> </v>
      </c>
      <c r="H5671" s="25" t="str">
        <f>IF(J5671&lt;&gt;1,"",IF(I5671="SBJ","CB","?"))</f>
        <v> </v>
      </c>
      <c r="I5671" s="26" t="str">
        <f>IF(OR(E5671="",E5671="!!!",F5671="NEW"),"",INDEX(B5670:B$2,-1+SUMPRODUCT(MAX(ROW(E5670:E$2)*(E5671=E5670:E$2)))))</f>
        <v> </v>
      </c>
      <c r="J5671" s="26" t="str">
        <f>IF(OR(E5671="",E5671="!!!",F5671="NEW"),"",COUNTBLANK(OFFSET(A$1,,,SUMPRODUCT(MAX(ROW(E$2:E5671)*(E5671=E$2:E5671)))))-COUNTBLANK(OFFSET(A$1,,,SUMPRODUCT(MAX(ROW(E$1:E5670)*(E2=E$1:E5670))))))</f>
        <v> </v>
      </c>
      <c r="K5671" s="26" t="str">
        <f>IF(OR(E5671="",E5671="!!!",F5671="NEW"),"",INDEX(J$1:J5670,SUMPRODUCT(MAX(ROW(E$1:E5670)*(E5671=E$1:E5670)))))</f>
        <v> </v>
      </c>
      <c r="L5671" s="27"/>
    </row>
    <row r="5672" spans="1:12">
      <c r="A5672" s="20" t="s">
        <v>565</v>
      </c>
      <c r="B5672" s="21" t="s">
        <v>1516</v>
      </c>
      <c r="C5672" s="21" t="s">
        <v>1255</v>
      </c>
      <c r="D5672" s="21" t="s">
        <v>1217</v>
      </c>
      <c r="E5672" s="22">
        <f>IF(D5672="?OLD","!!!","")</f>
        <v/>
      </c>
      <c r="F5672" s="23" t="str">
        <f>IF(OR(E5672="",E5672="!!!"),"",IF(NOT(ISNA(VLOOKUP(E5672,E$1:E5671,1,FALSE()))),"OLD",IF(AND(E5672&lt;&gt;"",E5672&lt;&gt;"!!!"),"NEW","")))</f>
        <v> </v>
      </c>
      <c r="G5672" s="24" t="str">
        <f>IF(OR(E5672="",E5672="!!!"),"",IF(OR(J5672=0,AND(J5672=1,K5672=1),AND(J5672=1,I5672="SBJ"),AND(J5672=1,I5672=0)),"?IN_FOCUS",IF(J5672&lt;=2,"?ACTIVATED",IF(J5672&lt;&gt;"","?FAMILIAR",IF(F5672="NEW",IF(ISNA(VLOOKUP(E5672,#REF!,1,FALSE())),"?TYPE_IDENTIFIABLE","?REFERENTIAL"),"_")))))</f>
        <v> </v>
      </c>
      <c r="H5672" s="25" t="str">
        <f>IF(J5672&lt;&gt;1,"",IF(I5672="SBJ","CB","?"))</f>
        <v> </v>
      </c>
      <c r="I5672" s="26" t="str">
        <f>IF(OR(E5672="",E5672="!!!",F5672="NEW"),"",INDEX(B5671:B$2,-1+SUMPRODUCT(MAX(ROW(E5671:E$2)*(E5672=E5671:E$2)))))</f>
        <v> </v>
      </c>
      <c r="J5672" s="26" t="str">
        <f>IF(OR(E5672="",E5672="!!!",F5672="NEW"),"",COUNTBLANK(OFFSET(A$1,,,SUMPRODUCT(MAX(ROW(E$2:E5672)*(E5672=E$2:E5672)))))-COUNTBLANK(OFFSET(A$1,,,SUMPRODUCT(MAX(ROW(E$1:E5671)*(E2=E$1:E5671))))))</f>
        <v> </v>
      </c>
      <c r="K5672" s="26" t="str">
        <f>IF(OR(E5672="",E5672="!!!",F5672="NEW"),"",INDEX(J$1:J5671,SUMPRODUCT(MAX(ROW(E$1:E5671)*(E5672=E$1:E5671)))))</f>
        <v> </v>
      </c>
      <c r="L5672" s="27"/>
    </row>
    <row r="5673" spans="1:12">
      <c r="A5673" s="20" t="s">
        <v>2990</v>
      </c>
      <c r="E5673" s="22">
        <f>IF(D5673="?OLD","!!!","")</f>
        <v/>
      </c>
      <c r="F5673" s="23" t="str">
        <f>IF(OR(E5673="",E5673="!!!"),"",IF(NOT(ISNA(VLOOKUP(E5673,E$1:E5672,1,FALSE()))),"OLD",IF(AND(E5673&lt;&gt;"",E5673&lt;&gt;"!!!"),"NEW","")))</f>
        <v> </v>
      </c>
      <c r="G5673" s="24" t="str">
        <f>IF(OR(E5673="",E5673="!!!"),"",IF(OR(J5673=0,AND(J5673=1,K5673=1),AND(J5673=1,I5673="SBJ"),AND(J5673=1,I5673=0)),"?IN_FOCUS",IF(J5673&lt;=2,"?ACTIVATED",IF(J5673&lt;&gt;"","?FAMILIAR",IF(F5673="NEW",IF(ISNA(VLOOKUP(E5673,#REF!,1,FALSE())),"?TYPE_IDENTIFIABLE","?REFERENTIAL"),"_")))))</f>
        <v> </v>
      </c>
      <c r="H5673" s="25" t="str">
        <f>IF(J5673&lt;&gt;1,"",IF(I5673="SBJ","CB","?"))</f>
        <v> </v>
      </c>
      <c r="I5673" s="26" t="str">
        <f>IF(OR(E5673="",E5673="!!!",F5673="NEW"),"",INDEX(B5672:B$2,-1+SUMPRODUCT(MAX(ROW(E5672:E$2)*(E5673=E5672:E$2)))))</f>
        <v> </v>
      </c>
      <c r="J5673" s="26" t="str">
        <f>IF(OR(E5673="",E5673="!!!",F5673="NEW"),"",COUNTBLANK(OFFSET(A$1,,,SUMPRODUCT(MAX(ROW(E$2:E5673)*(E5673=E$2:E5673)))))-COUNTBLANK(OFFSET(A$1,,,SUMPRODUCT(MAX(ROW(E$1:E5672)*(E2=E$1:E5672))))))</f>
        <v> </v>
      </c>
      <c r="K5673" s="26" t="str">
        <f>IF(OR(E5673="",E5673="!!!",F5673="NEW"),"",INDEX(J$1:J5672,SUMPRODUCT(MAX(ROW(E$1:E5672)*(E5673=E$1:E5672)))))</f>
        <v> </v>
      </c>
      <c r="L5673" s="27"/>
    </row>
    <row r="5674" spans="1:12">
      <c r="A5674" s="20" t="s">
        <v>1373</v>
      </c>
      <c r="E5674" s="22">
        <f>IF(D5674="?OLD","!!!","")</f>
        <v/>
      </c>
      <c r="F5674" s="23" t="str">
        <f>IF(OR(E5674="",E5674="!!!"),"",IF(NOT(ISNA(VLOOKUP(E5674,E$1:E5673,1,FALSE()))),"OLD",IF(AND(E5674&lt;&gt;"",E5674&lt;&gt;"!!!"),"NEW","")))</f>
        <v> </v>
      </c>
      <c r="G5674" s="24" t="str">
        <f>IF(OR(E5674="",E5674="!!!"),"",IF(OR(J5674=0,AND(J5674=1,K5674=1),AND(J5674=1,I5674="SBJ"),AND(J5674=1,I5674=0)),"?IN_FOCUS",IF(J5674&lt;=2,"?ACTIVATED",IF(J5674&lt;&gt;"","?FAMILIAR",IF(F5674="NEW",IF(ISNA(VLOOKUP(E5674,#REF!,1,FALSE())),"?TYPE_IDENTIFIABLE","?REFERENTIAL"),"_")))))</f>
        <v> </v>
      </c>
      <c r="H5674" s="25" t="str">
        <f>IF(J5674&lt;&gt;1,"",IF(I5674="SBJ","CB","?"))</f>
        <v> </v>
      </c>
      <c r="I5674" s="26" t="str">
        <f>IF(OR(E5674="",E5674="!!!",F5674="NEW"),"",INDEX(B5673:B$2,-1+SUMPRODUCT(MAX(ROW(E5673:E$2)*(E5674=E5673:E$2)))))</f>
        <v> </v>
      </c>
      <c r="J5674" s="26" t="str">
        <f>IF(OR(E5674="",E5674="!!!",F5674="NEW"),"",COUNTBLANK(OFFSET(A$1,,,SUMPRODUCT(MAX(ROW(E$2:E5674)*(E5674=E$2:E5674)))))-COUNTBLANK(OFFSET(A$1,,,SUMPRODUCT(MAX(ROW(E$1:E5673)*(E2=E$1:E5673))))))</f>
        <v> </v>
      </c>
      <c r="K5674" s="26" t="str">
        <f>IF(OR(E5674="",E5674="!!!",F5674="NEW"),"",INDEX(J$1:J5673,SUMPRODUCT(MAX(ROW(E$1:E5673)*(E5674=E$1:E5673)))))</f>
        <v> </v>
      </c>
      <c r="L5674" s="27"/>
    </row>
    <row r="5675" spans="1:12">
      <c r="A5675" s="20" t="s">
        <v>1468</v>
      </c>
      <c r="B5675" s="21" t="s">
        <v>1894</v>
      </c>
      <c r="C5675" s="21" t="s">
        <v>1216</v>
      </c>
      <c r="D5675" s="21" t="s">
        <v>1217</v>
      </c>
      <c r="E5675" s="22">
        <f>IF(D5675="?OLD","!!!","")</f>
        <v/>
      </c>
      <c r="F5675" s="23" t="str">
        <f>IF(OR(E5675="",E5675="!!!"),"",IF(NOT(ISNA(VLOOKUP(E5675,E$1:E5674,1,FALSE()))),"OLD",IF(AND(E5675&lt;&gt;"",E5675&lt;&gt;"!!!"),"NEW","")))</f>
        <v> </v>
      </c>
      <c r="G5675" s="24" t="str">
        <f>IF(OR(E5675="",E5675="!!!"),"",IF(OR(J5675=0,AND(J5675=1,K5675=1),AND(J5675=1,I5675="SBJ"),AND(J5675=1,I5675=0)),"?IN_FOCUS",IF(J5675&lt;=2,"?ACTIVATED",IF(J5675&lt;&gt;"","?FAMILIAR",IF(F5675="NEW",IF(ISNA(VLOOKUP(E5675,#REF!,1,FALSE())),"?TYPE_IDENTIFIABLE","?REFERENTIAL"),"_")))))</f>
        <v> </v>
      </c>
      <c r="H5675" s="25" t="str">
        <f>IF(J5675&lt;&gt;1,"",IF(I5675="SBJ","CB","?"))</f>
        <v> </v>
      </c>
      <c r="I5675" s="26" t="str">
        <f>IF(OR(E5675="",E5675="!!!",F5675="NEW"),"",INDEX(B5674:B$2,-1+SUMPRODUCT(MAX(ROW(E5674:E$2)*(E5675=E5674:E$2)))))</f>
        <v> </v>
      </c>
      <c r="J5675" s="26" t="str">
        <f>IF(OR(E5675="",E5675="!!!",F5675="NEW"),"",COUNTBLANK(OFFSET(A$1,,,SUMPRODUCT(MAX(ROW(E$2:E5675)*(E5675=E$2:E5675)))))-COUNTBLANK(OFFSET(A$1,,,SUMPRODUCT(MAX(ROW(E$1:E5674)*(E2=E$1:E5674))))))</f>
        <v> </v>
      </c>
      <c r="K5675" s="26" t="str">
        <f>IF(OR(E5675="",E5675="!!!",F5675="NEW"),"",INDEX(J$1:J5674,SUMPRODUCT(MAX(ROW(E$1:E5674)*(E5675=E$1:E5674)))))</f>
        <v> </v>
      </c>
      <c r="L5675" s="27"/>
    </row>
    <row r="5676" spans="1:12">
      <c r="A5676" s="20" t="s">
        <v>2991</v>
      </c>
      <c r="E5676" s="22">
        <f>IF(D5676="?OLD","!!!","")</f>
        <v/>
      </c>
      <c r="F5676" s="23" t="str">
        <f>IF(OR(E5676="",E5676="!!!"),"",IF(NOT(ISNA(VLOOKUP(E5676,E$1:E5675,1,FALSE()))),"OLD",IF(AND(E5676&lt;&gt;"",E5676&lt;&gt;"!!!"),"NEW","")))</f>
        <v> </v>
      </c>
      <c r="G5676" s="24" t="str">
        <f>IF(OR(E5676="",E5676="!!!"),"",IF(OR(J5676=0,AND(J5676=1,K5676=1),AND(J5676=1,I5676="SBJ"),AND(J5676=1,I5676=0)),"?IN_FOCUS",IF(J5676&lt;=2,"?ACTIVATED",IF(J5676&lt;&gt;"","?FAMILIAR",IF(F5676="NEW",IF(ISNA(VLOOKUP(E5676,#REF!,1,FALSE())),"?TYPE_IDENTIFIABLE","?REFERENTIAL"),"_")))))</f>
        <v> </v>
      </c>
      <c r="H5676" s="25" t="str">
        <f>IF(J5676&lt;&gt;1,"",IF(I5676="SBJ","CB","?"))</f>
        <v> </v>
      </c>
      <c r="I5676" s="26" t="str">
        <f>IF(OR(E5676="",E5676="!!!",F5676="NEW"),"",INDEX(B5675:B$2,-1+SUMPRODUCT(MAX(ROW(E5675:E$2)*(E5676=E5675:E$2)))))</f>
        <v> </v>
      </c>
      <c r="J5676" s="26" t="str">
        <f>IF(OR(E5676="",E5676="!!!",F5676="NEW"),"",COUNTBLANK(OFFSET(A$1,,,SUMPRODUCT(MAX(ROW(E$2:E5676)*(E5676=E$2:E5676)))))-COUNTBLANK(OFFSET(A$1,,,SUMPRODUCT(MAX(ROW(E$1:E5675)*(E2=E$1:E5675))))))</f>
        <v> </v>
      </c>
      <c r="K5676" s="26" t="str">
        <f>IF(OR(E5676="",E5676="!!!",F5676="NEW"),"",INDEX(J$1:J5675,SUMPRODUCT(MAX(ROW(E$1:E5675)*(E5676=E$1:E5675)))))</f>
        <v> </v>
      </c>
      <c r="L5676" s="27"/>
    </row>
    <row r="5677" spans="1:12">
      <c r="A5677" s="20" t="s">
        <v>1618</v>
      </c>
      <c r="E5677" s="22">
        <f>IF(D5677="?OLD","!!!","")</f>
        <v/>
      </c>
      <c r="F5677" s="23" t="str">
        <f>IF(OR(E5677="",E5677="!!!"),"",IF(NOT(ISNA(VLOOKUP(E5677,E$1:E5676,1,FALSE()))),"OLD",IF(AND(E5677&lt;&gt;"",E5677&lt;&gt;"!!!"),"NEW","")))</f>
        <v> </v>
      </c>
      <c r="G5677" s="24" t="str">
        <f>IF(OR(E5677="",E5677="!!!"),"",IF(OR(J5677=0,AND(J5677=1,K5677=1),AND(J5677=1,I5677="SBJ"),AND(J5677=1,I5677=0)),"?IN_FOCUS",IF(J5677&lt;=2,"?ACTIVATED",IF(J5677&lt;&gt;"","?FAMILIAR",IF(F5677="NEW",IF(ISNA(VLOOKUP(E5677,#REF!,1,FALSE())),"?TYPE_IDENTIFIABLE","?REFERENTIAL"),"_")))))</f>
        <v> </v>
      </c>
      <c r="H5677" s="25" t="str">
        <f>IF(J5677&lt;&gt;1,"",IF(I5677="SBJ","CB","?"))</f>
        <v> </v>
      </c>
      <c r="I5677" s="26" t="str">
        <f>IF(OR(E5677="",E5677="!!!",F5677="NEW"),"",INDEX(B5676:B$2,-1+SUMPRODUCT(MAX(ROW(E5676:E$2)*(E5677=E5676:E$2)))))</f>
        <v> </v>
      </c>
      <c r="J5677" s="26" t="str">
        <f>IF(OR(E5677="",E5677="!!!",F5677="NEW"),"",COUNTBLANK(OFFSET(A$1,,,SUMPRODUCT(MAX(ROW(E$2:E5677)*(E5677=E$2:E5677)))))-COUNTBLANK(OFFSET(A$1,,,SUMPRODUCT(MAX(ROW(E$1:E5676)*(E2=E$1:E5676))))))</f>
        <v> </v>
      </c>
      <c r="K5677" s="26" t="str">
        <f>IF(OR(E5677="",E5677="!!!",F5677="NEW"),"",INDEX(J$1:J5676,SUMPRODUCT(MAX(ROW(E$1:E5676)*(E5677=E$1:E5676)))))</f>
        <v> </v>
      </c>
      <c r="L5677" s="27"/>
    </row>
    <row r="5678" spans="1:12">
      <c r="A5678" s="20"/>
    </row>
    <row r="5679" spans="1:12">
      <c r="A5679" s="20" t="s">
        <v>2992</v>
      </c>
    </row>
    <row r="5680" spans="1:12">
      <c r="A5680" s="20" t="s">
        <v>1397</v>
      </c>
      <c r="E5680" s="22">
        <f>IF(D5680="?OLD","!!!","")</f>
        <v/>
      </c>
      <c r="F5680" s="23" t="str">
        <f>IF(OR(E5680="",E5680="!!!"),"",IF(NOT(ISNA(VLOOKUP(E5680,E$1:E5679,1,FALSE()))),"OLD",IF(AND(E5680&lt;&gt;"",E5680&lt;&gt;"!!!"),"NEW","")))</f>
        <v> </v>
      </c>
      <c r="G5680" s="24" t="str">
        <f>IF(OR(E5680="",E5680="!!!"),"",IF(OR(J5680=0,AND(J5680=1,K5680=1),AND(J5680=1,I5680="SBJ"),AND(J5680=1,I5680=0)),"?IN_FOCUS",IF(J5680&lt;=2,"?ACTIVATED",IF(J5680&lt;&gt;"","?FAMILIAR",IF(F5680="NEW",IF(ISNA(VLOOKUP(E5680,#REF!,1,FALSE())),"?TYPE_IDENTIFIABLE","?REFERENTIAL"),"_")))))</f>
        <v> </v>
      </c>
      <c r="H5680" s="25" t="str">
        <f>IF(J5680&lt;&gt;1,"",IF(I5680="SBJ","CB","?"))</f>
        <v> </v>
      </c>
      <c r="I5680" s="26" t="str">
        <f>IF(OR(E5680="",E5680="!!!",F5680="NEW"),"",INDEX(B5679:B$2,-1+SUMPRODUCT(MAX(ROW(E5679:E$2)*(E5680=E5679:E$2)))))</f>
        <v> </v>
      </c>
      <c r="J5680" s="26" t="str">
        <f>IF(OR(E5680="",E5680="!!!",F5680="NEW"),"",COUNTBLANK(OFFSET(A$1,,,SUMPRODUCT(MAX(ROW(E$2:E5680)*(E5680=E$2:E5680)))))-COUNTBLANK(OFFSET(A$1,,,SUMPRODUCT(MAX(ROW(E$1:E5679)*(E2=E$1:E5679))))))</f>
        <v> </v>
      </c>
      <c r="K5680" s="26" t="str">
        <f>IF(OR(E5680="",E5680="!!!",F5680="NEW"),"",INDEX(J$1:J5679,SUMPRODUCT(MAX(ROW(E$1:E5679)*(E5680=E$1:E5679)))))</f>
        <v> </v>
      </c>
      <c r="L5680" s="27"/>
    </row>
    <row r="5681" spans="1:12">
      <c r="A5681" s="20" t="s">
        <v>2993</v>
      </c>
      <c r="B5681" s="21" t="s">
        <v>1215</v>
      </c>
      <c r="C5681" s="21" t="s">
        <v>1269</v>
      </c>
      <c r="D5681" s="21" t="s">
        <v>1217</v>
      </c>
      <c r="E5681" s="22">
        <f>IF(D5681="?OLD","!!!","")</f>
        <v/>
      </c>
      <c r="F5681" s="23" t="str">
        <f>IF(OR(E5681="",E5681="!!!"),"",IF(NOT(ISNA(VLOOKUP(E5681,E$1:E5680,1,FALSE()))),"OLD",IF(AND(E5681&lt;&gt;"",E5681&lt;&gt;"!!!"),"NEW","")))</f>
        <v> </v>
      </c>
      <c r="G5681" s="24" t="str">
        <f>IF(OR(E5681="",E5681="!!!"),"",IF(OR(J5681=0,AND(J5681=1,K5681=1),AND(J5681=1,I5681="SBJ"),AND(J5681=1,I5681=0)),"?IN_FOCUS",IF(J5681&lt;=2,"?ACTIVATED",IF(J5681&lt;&gt;"","?FAMILIAR",IF(F5681="NEW",IF(ISNA(VLOOKUP(E5681,#REF!,1,FALSE())),"?TYPE_IDENTIFIABLE","?REFERENTIAL"),"_")))))</f>
        <v> </v>
      </c>
      <c r="H5681" s="25" t="str">
        <f>IF(J5681&lt;&gt;1,"",IF(I5681="SBJ","CB","?"))</f>
        <v> </v>
      </c>
      <c r="I5681" s="26" t="str">
        <f>IF(OR(E5681="",E5681="!!!",F5681="NEW"),"",INDEX(B5680:B$2,-1+SUMPRODUCT(MAX(ROW(E5680:E$2)*(E5681=E5680:E$2)))))</f>
        <v> </v>
      </c>
      <c r="J5681" s="26" t="str">
        <f>IF(OR(E5681="",E5681="!!!",F5681="NEW"),"",COUNTBLANK(OFFSET(A$1,,,SUMPRODUCT(MAX(ROW(E$2:E5681)*(E5681=E$2:E5681)))))-COUNTBLANK(OFFSET(A$1,,,SUMPRODUCT(MAX(ROW(E$1:E5680)*(E2=E$1:E5680))))))</f>
        <v> </v>
      </c>
      <c r="K5681" s="26" t="str">
        <f>IF(OR(E5681="",E5681="!!!",F5681="NEW"),"",INDEX(J$1:J5680,SUMPRODUCT(MAX(ROW(E$1:E5680)*(E5681=E$1:E5680)))))</f>
        <v> </v>
      </c>
      <c r="L5681" s="27"/>
    </row>
    <row r="5682" spans="1:12">
      <c r="A5682" s="20" t="s">
        <v>2994</v>
      </c>
      <c r="E5682" s="22">
        <f>IF(D5682="?OLD","!!!","")</f>
        <v/>
      </c>
      <c r="F5682" s="23" t="str">
        <f>IF(OR(E5682="",E5682="!!!"),"",IF(NOT(ISNA(VLOOKUP(E5682,E$1:E5681,1,FALSE()))),"OLD",IF(AND(E5682&lt;&gt;"",E5682&lt;&gt;"!!!"),"NEW","")))</f>
        <v> </v>
      </c>
      <c r="G5682" s="24" t="str">
        <f>IF(OR(E5682="",E5682="!!!"),"",IF(OR(J5682=0,AND(J5682=1,K5682=1),AND(J5682=1,I5682="SBJ"),AND(J5682=1,I5682=0)),"?IN_FOCUS",IF(J5682&lt;=2,"?ACTIVATED",IF(J5682&lt;&gt;"","?FAMILIAR",IF(F5682="NEW",IF(ISNA(VLOOKUP(E5682,#REF!,1,FALSE())),"?TYPE_IDENTIFIABLE","?REFERENTIAL"),"_")))))</f>
        <v> </v>
      </c>
      <c r="H5682" s="25" t="str">
        <f>IF(J5682&lt;&gt;1,"",IF(I5682="SBJ","CB","?"))</f>
        <v> </v>
      </c>
      <c r="I5682" s="26" t="str">
        <f>IF(OR(E5682="",E5682="!!!",F5682="NEW"),"",INDEX(B5681:B$2,-1+SUMPRODUCT(MAX(ROW(E5681:E$2)*(E5682=E5681:E$2)))))</f>
        <v> </v>
      </c>
      <c r="J5682" s="26" t="str">
        <f>IF(OR(E5682="",E5682="!!!",F5682="NEW"),"",COUNTBLANK(OFFSET(A$1,,,SUMPRODUCT(MAX(ROW(E$2:E5682)*(E5682=E$2:E5682)))))-COUNTBLANK(OFFSET(A$1,,,SUMPRODUCT(MAX(ROW(E$1:E5681)*(E2=E$1:E5681))))))</f>
        <v> </v>
      </c>
      <c r="K5682" s="26" t="str">
        <f>IF(OR(E5682="",E5682="!!!",F5682="NEW"),"",INDEX(J$1:J5681,SUMPRODUCT(MAX(ROW(E$1:E5681)*(E5682=E$1:E5681)))))</f>
        <v> </v>
      </c>
      <c r="L5682" s="27"/>
    </row>
    <row r="5683" spans="1:12">
      <c r="A5683" s="20" t="s">
        <v>1257</v>
      </c>
      <c r="E5683" s="22">
        <f>IF(D5683="?OLD","!!!","")</f>
        <v/>
      </c>
      <c r="F5683" s="23" t="str">
        <f>IF(OR(E5683="",E5683="!!!"),"",IF(NOT(ISNA(VLOOKUP(E5683,E$1:E5682,1,FALSE()))),"OLD",IF(AND(E5683&lt;&gt;"",E5683&lt;&gt;"!!!"),"NEW","")))</f>
        <v> </v>
      </c>
      <c r="G5683" s="24" t="str">
        <f>IF(OR(E5683="",E5683="!!!"),"",IF(OR(J5683=0,AND(J5683=1,K5683=1),AND(J5683=1,I5683="SBJ"),AND(J5683=1,I5683=0)),"?IN_FOCUS",IF(J5683&lt;=2,"?ACTIVATED",IF(J5683&lt;&gt;"","?FAMILIAR",IF(F5683="NEW",IF(ISNA(VLOOKUP(E5683,#REF!,1,FALSE())),"?TYPE_IDENTIFIABLE","?REFERENTIAL"),"_")))))</f>
        <v> </v>
      </c>
      <c r="H5683" s="25" t="str">
        <f>IF(J5683&lt;&gt;1,"",IF(I5683="SBJ","CB","?"))</f>
        <v> </v>
      </c>
      <c r="I5683" s="26" t="str">
        <f>IF(OR(E5683="",E5683="!!!",F5683="NEW"),"",INDEX(B5682:B$2,-1+SUMPRODUCT(MAX(ROW(E5682:E$2)*(E5683=E5682:E$2)))))</f>
        <v> </v>
      </c>
      <c r="J5683" s="26" t="str">
        <f>IF(OR(E5683="",E5683="!!!",F5683="NEW"),"",COUNTBLANK(OFFSET(A$1,,,SUMPRODUCT(MAX(ROW(E$2:E5683)*(E5683=E$2:E5683)))))-COUNTBLANK(OFFSET(A$1,,,SUMPRODUCT(MAX(ROW(E$1:E5682)*(E2=E$1:E5682))))))</f>
        <v> </v>
      </c>
      <c r="K5683" s="26" t="str">
        <f>IF(OR(E5683="",E5683="!!!",F5683="NEW"),"",INDEX(J$1:J5682,SUMPRODUCT(MAX(ROW(E$1:E5682)*(E5683=E$1:E5682)))))</f>
        <v> </v>
      </c>
      <c r="L5683" s="27"/>
    </row>
    <row r="5684" spans="1:12">
      <c r="A5684" s="20" t="s">
        <v>1273</v>
      </c>
      <c r="E5684" s="22">
        <f>IF(D5684="?OLD","!!!","")</f>
        <v/>
      </c>
      <c r="F5684" s="23" t="str">
        <f>IF(OR(E5684="",E5684="!!!"),"",IF(NOT(ISNA(VLOOKUP(E5684,E$1:E5683,1,FALSE()))),"OLD",IF(AND(E5684&lt;&gt;"",E5684&lt;&gt;"!!!"),"NEW","")))</f>
        <v> </v>
      </c>
      <c r="G5684" s="24" t="str">
        <f>IF(OR(E5684="",E5684="!!!"),"",IF(OR(J5684=0,AND(J5684=1,K5684=1),AND(J5684=1,I5684="SBJ"),AND(J5684=1,I5684=0)),"?IN_FOCUS",IF(J5684&lt;=2,"?ACTIVATED",IF(J5684&lt;&gt;"","?FAMILIAR",IF(F5684="NEW",IF(ISNA(VLOOKUP(E5684,#REF!,1,FALSE())),"?TYPE_IDENTIFIABLE","?REFERENTIAL"),"_")))))</f>
        <v> </v>
      </c>
      <c r="H5684" s="25" t="str">
        <f>IF(J5684&lt;&gt;1,"",IF(I5684="SBJ","CB","?"))</f>
        <v> </v>
      </c>
      <c r="I5684" s="26" t="str">
        <f>IF(OR(E5684="",E5684="!!!",F5684="NEW"),"",INDEX(B5683:B$2,-1+SUMPRODUCT(MAX(ROW(E5683:E$2)*(E5684=E5683:E$2)))))</f>
        <v> </v>
      </c>
      <c r="J5684" s="26" t="str">
        <f>IF(OR(E5684="",E5684="!!!",F5684="NEW"),"",COUNTBLANK(OFFSET(A$1,,,SUMPRODUCT(MAX(ROW(E$2:E5684)*(E5684=E$2:E5684)))))-COUNTBLANK(OFFSET(A$1,,,SUMPRODUCT(MAX(ROW(E$1:E5683)*(E2=E$1:E5683))))))</f>
        <v> </v>
      </c>
      <c r="K5684" s="26" t="str">
        <f>IF(OR(E5684="",E5684="!!!",F5684="NEW"),"",INDEX(J$1:J5683,SUMPRODUCT(MAX(ROW(E$1:E5683)*(E5684=E$1:E5683)))))</f>
        <v> </v>
      </c>
      <c r="L5684" s="27"/>
    </row>
    <row r="5685" spans="1:12">
      <c r="A5685" s="20" t="s">
        <v>2995</v>
      </c>
      <c r="B5685" s="21" t="s">
        <v>1224</v>
      </c>
      <c r="C5685" s="21" t="s">
        <v>1276</v>
      </c>
      <c r="D5685" s="21" t="s">
        <v>1217</v>
      </c>
      <c r="E5685" s="22">
        <f>IF(D5685="?OLD","!!!","")</f>
        <v/>
      </c>
      <c r="F5685" s="23" t="str">
        <f>IF(OR(E5685="",E5685="!!!"),"",IF(NOT(ISNA(VLOOKUP(E5685,E$1:E5684,1,FALSE()))),"OLD",IF(AND(E5685&lt;&gt;"",E5685&lt;&gt;"!!!"),"NEW","")))</f>
        <v> </v>
      </c>
      <c r="G5685" s="24" t="str">
        <f>IF(OR(E5685="",E5685="!!!"),"",IF(OR(J5685=0,AND(J5685=1,K5685=1),AND(J5685=1,I5685="SBJ"),AND(J5685=1,I5685=0)),"?IN_FOCUS",IF(J5685&lt;=2,"?ACTIVATED",IF(J5685&lt;&gt;"","?FAMILIAR",IF(F5685="NEW",IF(ISNA(VLOOKUP(E5685,#REF!,1,FALSE())),"?TYPE_IDENTIFIABLE","?REFERENTIAL"),"_")))))</f>
        <v> </v>
      </c>
      <c r="H5685" s="25" t="str">
        <f>IF(J5685&lt;&gt;1,"",IF(I5685="SBJ","CB","?"))</f>
        <v> </v>
      </c>
      <c r="I5685" s="26" t="str">
        <f>IF(OR(E5685="",E5685="!!!",F5685="NEW"),"",INDEX(B5684:B$2,-1+SUMPRODUCT(MAX(ROW(E5684:E$2)*(E5685=E5684:E$2)))))</f>
        <v> </v>
      </c>
      <c r="J5685" s="26" t="str">
        <f>IF(OR(E5685="",E5685="!!!",F5685="NEW"),"",COUNTBLANK(OFFSET(A$1,,,SUMPRODUCT(MAX(ROW(E$2:E5685)*(E5685=E$2:E5685)))))-COUNTBLANK(OFFSET(A$1,,,SUMPRODUCT(MAX(ROW(E$1:E5684)*(E2=E$1:E5684))))))</f>
        <v> </v>
      </c>
      <c r="K5685" s="26" t="str">
        <f>IF(OR(E5685="",E5685="!!!",F5685="NEW"),"",INDEX(J$1:J5684,SUMPRODUCT(MAX(ROW(E$1:E5684)*(E5685=E$1:E5684)))))</f>
        <v> </v>
      </c>
      <c r="L5685" s="27"/>
    </row>
    <row r="5686" spans="1:12">
      <c r="A5686" s="20" t="s">
        <v>1526</v>
      </c>
      <c r="E5686" s="22">
        <f>IF(D5686="?OLD","!!!","")</f>
        <v/>
      </c>
      <c r="F5686" s="23" t="str">
        <f>IF(OR(E5686="",E5686="!!!"),"",IF(NOT(ISNA(VLOOKUP(E5686,E$1:E5685,1,FALSE()))),"OLD",IF(AND(E5686&lt;&gt;"",E5686&lt;&gt;"!!!"),"NEW","")))</f>
        <v> </v>
      </c>
      <c r="G5686" s="24" t="str">
        <f>IF(OR(E5686="",E5686="!!!"),"",IF(OR(J5686=0,AND(J5686=1,K5686=1),AND(J5686=1,I5686="SBJ"),AND(J5686=1,I5686=0)),"?IN_FOCUS",IF(J5686&lt;=2,"?ACTIVATED",IF(J5686&lt;&gt;"","?FAMILIAR",IF(F5686="NEW",IF(ISNA(VLOOKUP(E5686,#REF!,1,FALSE())),"?TYPE_IDENTIFIABLE","?REFERENTIAL"),"_")))))</f>
        <v> </v>
      </c>
      <c r="H5686" s="25" t="str">
        <f>IF(J5686&lt;&gt;1,"",IF(I5686="SBJ","CB","?"))</f>
        <v> </v>
      </c>
      <c r="I5686" s="26" t="str">
        <f>IF(OR(E5686="",E5686="!!!",F5686="NEW"),"",INDEX(B5685:B$2,-1+SUMPRODUCT(MAX(ROW(E5685:E$2)*(E5686=E5685:E$2)))))</f>
        <v> </v>
      </c>
      <c r="J5686" s="26" t="str">
        <f>IF(OR(E5686="",E5686="!!!",F5686="NEW"),"",COUNTBLANK(OFFSET(A$1,,,SUMPRODUCT(MAX(ROW(E$2:E5686)*(E5686=E$2:E5686)))))-COUNTBLANK(OFFSET(A$1,,,SUMPRODUCT(MAX(ROW(E$1:E5685)*(E2=E$1:E5685))))))</f>
        <v> </v>
      </c>
      <c r="K5686" s="26" t="str">
        <f>IF(OR(E5686="",E5686="!!!",F5686="NEW"),"",INDEX(J$1:J5685,SUMPRODUCT(MAX(ROW(E$1:E5685)*(E5686=E$1:E5685)))))</f>
        <v> </v>
      </c>
      <c r="L5686" s="27"/>
    </row>
    <row r="5687" spans="1:12">
      <c r="A5687" s="20" t="s">
        <v>2667</v>
      </c>
      <c r="B5687" s="21" t="s">
        <v>1226</v>
      </c>
      <c r="C5687" s="21" t="s">
        <v>1279</v>
      </c>
      <c r="E5687" s="22">
        <f>IF(D5687="?OLD","!!!","")</f>
        <v/>
      </c>
      <c r="F5687" s="23" t="str">
        <f>IF(OR(E5687="",E5687="!!!"),"",IF(NOT(ISNA(VLOOKUP(E5687,E$1:E5686,1,FALSE()))),"OLD",IF(AND(E5687&lt;&gt;"",E5687&lt;&gt;"!!!"),"NEW","")))</f>
        <v> </v>
      </c>
      <c r="G5687" s="24" t="str">
        <f>IF(OR(E5687="",E5687="!!!"),"",IF(OR(J5687=0,AND(J5687=1,K5687=1),AND(J5687=1,I5687="SBJ"),AND(J5687=1,I5687=0)),"?IN_FOCUS",IF(J5687&lt;=2,"?ACTIVATED",IF(J5687&lt;&gt;"","?FAMILIAR",IF(F5687="NEW",IF(ISNA(VLOOKUP(E5687,#REF!,1,FALSE())),"?TYPE_IDENTIFIABLE","?REFERENTIAL"),"_")))))</f>
        <v> </v>
      </c>
      <c r="H5687" s="25" t="str">
        <f>IF(J5687&lt;&gt;1,"",IF(I5687="SBJ","CB","?"))</f>
        <v> </v>
      </c>
      <c r="I5687" s="26" t="str">
        <f>IF(OR(E5687="",E5687="!!!",F5687="NEW"),"",INDEX(B5686:B$2,-1+SUMPRODUCT(MAX(ROW(E5686:E$2)*(E5687=E5686:E$2)))))</f>
        <v> </v>
      </c>
      <c r="J5687" s="26" t="str">
        <f>IF(OR(E5687="",E5687="!!!",F5687="NEW"),"",COUNTBLANK(OFFSET(A$1,,,SUMPRODUCT(MAX(ROW(E$2:E5687)*(E5687=E$2:E5687)))))-COUNTBLANK(OFFSET(A$1,,,SUMPRODUCT(MAX(ROW(E$1:E5686)*(E2=E$1:E5686))))))</f>
        <v> </v>
      </c>
      <c r="K5687" s="26" t="str">
        <f>IF(OR(E5687="",E5687="!!!",F5687="NEW"),"",INDEX(J$1:J5686,SUMPRODUCT(MAX(ROW(E$1:E5686)*(E5687=E$1:E5686)))))</f>
        <v> </v>
      </c>
      <c r="L5687" s="27"/>
    </row>
    <row r="5688" spans="1:12">
      <c r="A5688" s="20" t="s">
        <v>1530</v>
      </c>
      <c r="E5688" s="22">
        <f>IF(D5688="?OLD","!!!","")</f>
        <v/>
      </c>
      <c r="F5688" s="23" t="str">
        <f>IF(OR(E5688="",E5688="!!!"),"",IF(NOT(ISNA(VLOOKUP(E5688,E$1:E5687,1,FALSE()))),"OLD",IF(AND(E5688&lt;&gt;"",E5688&lt;&gt;"!!!"),"NEW","")))</f>
        <v> </v>
      </c>
      <c r="G5688" s="24" t="str">
        <f>IF(OR(E5688="",E5688="!!!"),"",IF(OR(J5688=0,AND(J5688=1,K5688=1),AND(J5688=1,I5688="SBJ"),AND(J5688=1,I5688=0)),"?IN_FOCUS",IF(J5688&lt;=2,"?ACTIVATED",IF(J5688&lt;&gt;"","?FAMILIAR",IF(F5688="NEW",IF(ISNA(VLOOKUP(E5688,#REF!,1,FALSE())),"?TYPE_IDENTIFIABLE","?REFERENTIAL"),"_")))))</f>
        <v> </v>
      </c>
      <c r="H5688" s="25" t="str">
        <f>IF(J5688&lt;&gt;1,"",IF(I5688="SBJ","CB","?"))</f>
        <v> </v>
      </c>
      <c r="I5688" s="26" t="str">
        <f>IF(OR(E5688="",E5688="!!!",F5688="NEW"),"",INDEX(B5687:B$2,-1+SUMPRODUCT(MAX(ROW(E5687:E$2)*(E5688=E5687:E$2)))))</f>
        <v> </v>
      </c>
      <c r="J5688" s="26" t="str">
        <f>IF(OR(E5688="",E5688="!!!",F5688="NEW"),"",COUNTBLANK(OFFSET(A$1,,,SUMPRODUCT(MAX(ROW(E$2:E5688)*(E5688=E$2:E5688)))))-COUNTBLANK(OFFSET(A$1,,,SUMPRODUCT(MAX(ROW(E$1:E5687)*(E2=E$1:E5687))))))</f>
        <v> </v>
      </c>
      <c r="K5688" s="26" t="str">
        <f>IF(OR(E5688="",E5688="!!!",F5688="NEW"),"",INDEX(J$1:J5687,SUMPRODUCT(MAX(ROW(E$1:E5687)*(E5688=E$1:E5687)))))</f>
        <v> </v>
      </c>
      <c r="L5688" s="27"/>
    </row>
    <row r="5689" spans="1:12">
      <c r="A5689" s="20" t="s">
        <v>1614</v>
      </c>
      <c r="E5689" s="22">
        <f>IF(D5689="?OLD","!!!","")</f>
        <v/>
      </c>
      <c r="F5689" s="23" t="str">
        <f>IF(OR(E5689="",E5689="!!!"),"",IF(NOT(ISNA(VLOOKUP(E5689,E$1:E5688,1,FALSE()))),"OLD",IF(AND(E5689&lt;&gt;"",E5689&lt;&gt;"!!!"),"NEW","")))</f>
        <v> </v>
      </c>
      <c r="G5689" s="24" t="str">
        <f>IF(OR(E5689="",E5689="!!!"),"",IF(OR(J5689=0,AND(J5689=1,K5689=1),AND(J5689=1,I5689="SBJ"),AND(J5689=1,I5689=0)),"?IN_FOCUS",IF(J5689&lt;=2,"?ACTIVATED",IF(J5689&lt;&gt;"","?FAMILIAR",IF(F5689="NEW",IF(ISNA(VLOOKUP(E5689,#REF!,1,FALSE())),"?TYPE_IDENTIFIABLE","?REFERENTIAL"),"_")))))</f>
        <v> </v>
      </c>
      <c r="H5689" s="25" t="str">
        <f>IF(J5689&lt;&gt;1,"",IF(I5689="SBJ","CB","?"))</f>
        <v> </v>
      </c>
      <c r="I5689" s="26" t="str">
        <f>IF(OR(E5689="",E5689="!!!",F5689="NEW"),"",INDEX(B5688:B$2,-1+SUMPRODUCT(MAX(ROW(E5688:E$2)*(E5689=E5688:E$2)))))</f>
        <v> </v>
      </c>
      <c r="J5689" s="26" t="str">
        <f>IF(OR(E5689="",E5689="!!!",F5689="NEW"),"",COUNTBLANK(OFFSET(A$1,,,SUMPRODUCT(MAX(ROW(E$2:E5689)*(E5689=E$2:E5689)))))-COUNTBLANK(OFFSET(A$1,,,SUMPRODUCT(MAX(ROW(E$1:E5688)*(E2=E$1:E5688))))))</f>
        <v> </v>
      </c>
      <c r="K5689" s="26" t="str">
        <f>IF(OR(E5689="",E5689="!!!",F5689="NEW"),"",INDEX(J$1:J5688,SUMPRODUCT(MAX(ROW(E$1:E5688)*(E5689=E$1:E5688)))))</f>
        <v> </v>
      </c>
      <c r="L5689" s="27"/>
    </row>
    <row r="5690" spans="1:12">
      <c r="A5690" s="20" t="s">
        <v>1623</v>
      </c>
      <c r="B5690" s="21" t="s">
        <v>1221</v>
      </c>
      <c r="C5690" s="21" t="s">
        <v>1279</v>
      </c>
      <c r="E5690" s="22">
        <f>IF(D5690="?OLD","!!!","")</f>
        <v/>
      </c>
      <c r="F5690" s="23" t="str">
        <f>IF(OR(E5690="",E5690="!!!"),"",IF(NOT(ISNA(VLOOKUP(E5690,E$1:E5689,1,FALSE()))),"OLD",IF(AND(E5690&lt;&gt;"",E5690&lt;&gt;"!!!"),"NEW","")))</f>
        <v> </v>
      </c>
      <c r="G5690" s="24" t="str">
        <f>IF(OR(E5690="",E5690="!!!"),"",IF(OR(J5690=0,AND(J5690=1,K5690=1),AND(J5690=1,I5690="SBJ"),AND(J5690=1,I5690=0)),"?IN_FOCUS",IF(J5690&lt;=2,"?ACTIVATED",IF(J5690&lt;&gt;"","?FAMILIAR",IF(F5690="NEW",IF(ISNA(VLOOKUP(E5690,#REF!,1,FALSE())),"?TYPE_IDENTIFIABLE","?REFERENTIAL"),"_")))))</f>
        <v> </v>
      </c>
      <c r="H5690" s="25" t="str">
        <f>IF(J5690&lt;&gt;1,"",IF(I5690="SBJ","CB","?"))</f>
        <v> </v>
      </c>
      <c r="I5690" s="26" t="str">
        <f>IF(OR(E5690="",E5690="!!!",F5690="NEW"),"",INDEX(B5689:B$2,-1+SUMPRODUCT(MAX(ROW(E5689:E$2)*(E5690=E5689:E$2)))))</f>
        <v> </v>
      </c>
      <c r="J5690" s="26" t="str">
        <f>IF(OR(E5690="",E5690="!!!",F5690="NEW"),"",COUNTBLANK(OFFSET(A$1,,,SUMPRODUCT(MAX(ROW(E$2:E5690)*(E5690=E$2:E5690)))))-COUNTBLANK(OFFSET(A$1,,,SUMPRODUCT(MAX(ROW(E$1:E5689)*(E2=E$1:E5689))))))</f>
        <v> </v>
      </c>
      <c r="K5690" s="26" t="str">
        <f>IF(OR(E5690="",E5690="!!!",F5690="NEW"),"",INDEX(J$1:J5689,SUMPRODUCT(MAX(ROW(E$1:E5689)*(E5690=E$1:E5689)))))</f>
        <v> </v>
      </c>
      <c r="L5690" s="27"/>
    </row>
    <row r="5691" spans="1:12">
      <c r="A5691" s="20" t="s">
        <v>1323</v>
      </c>
      <c r="E5691" s="22">
        <f>IF(D5691="?OLD","!!!","")</f>
        <v/>
      </c>
      <c r="F5691" s="23" t="str">
        <f>IF(OR(E5691="",E5691="!!!"),"",IF(NOT(ISNA(VLOOKUP(E5691,E$1:E5690,1,FALSE()))),"OLD",IF(AND(E5691&lt;&gt;"",E5691&lt;&gt;"!!!"),"NEW","")))</f>
        <v> </v>
      </c>
      <c r="G5691" s="24" t="str">
        <f>IF(OR(E5691="",E5691="!!!"),"",IF(OR(J5691=0,AND(J5691=1,K5691=1),AND(J5691=1,I5691="SBJ"),AND(J5691=1,I5691=0)),"?IN_FOCUS",IF(J5691&lt;=2,"?ACTIVATED",IF(J5691&lt;&gt;"","?FAMILIAR",IF(F5691="NEW",IF(ISNA(VLOOKUP(E5691,#REF!,1,FALSE())),"?TYPE_IDENTIFIABLE","?REFERENTIAL"),"_")))))</f>
        <v> </v>
      </c>
      <c r="H5691" s="25" t="str">
        <f>IF(J5691&lt;&gt;1,"",IF(I5691="SBJ","CB","?"))</f>
        <v> </v>
      </c>
      <c r="I5691" s="26" t="str">
        <f>IF(OR(E5691="",E5691="!!!",F5691="NEW"),"",INDEX(B5690:B$2,-1+SUMPRODUCT(MAX(ROW(E5690:E$2)*(E5691=E5690:E$2)))))</f>
        <v> </v>
      </c>
      <c r="J5691" s="26" t="str">
        <f>IF(OR(E5691="",E5691="!!!",F5691="NEW"),"",COUNTBLANK(OFFSET(A$1,,,SUMPRODUCT(MAX(ROW(E$2:E5691)*(E5691=E$2:E5691)))))-COUNTBLANK(OFFSET(A$1,,,SUMPRODUCT(MAX(ROW(E$1:E5690)*(E2=E$1:E5690))))))</f>
        <v> </v>
      </c>
      <c r="K5691" s="26" t="str">
        <f>IF(OR(E5691="",E5691="!!!",F5691="NEW"),"",INDEX(J$1:J5690,SUMPRODUCT(MAX(ROW(E$1:E5690)*(E5691=E$1:E5690)))))</f>
        <v> </v>
      </c>
      <c r="L5691" s="27"/>
    </row>
    <row r="5692" spans="1:12">
      <c r="A5692" s="20" t="s">
        <v>2996</v>
      </c>
      <c r="B5692" s="21" t="s">
        <v>1244</v>
      </c>
      <c r="C5692" s="21" t="s">
        <v>1269</v>
      </c>
      <c r="D5692" s="21" t="s">
        <v>1217</v>
      </c>
      <c r="E5692" s="22">
        <f>IF(D5692="?OLD","!!!","")</f>
        <v/>
      </c>
      <c r="F5692" s="23" t="str">
        <f>IF(OR(E5692="",E5692="!!!"),"",IF(NOT(ISNA(VLOOKUP(E5692,E$1:E5691,1,FALSE()))),"OLD",IF(AND(E5692&lt;&gt;"",E5692&lt;&gt;"!!!"),"NEW","")))</f>
        <v> </v>
      </c>
      <c r="G5692" s="24" t="str">
        <f>IF(OR(E5692="",E5692="!!!"),"",IF(OR(J5692=0,AND(J5692=1,K5692=1),AND(J5692=1,I5692="SBJ"),AND(J5692=1,I5692=0)),"?IN_FOCUS",IF(J5692&lt;=2,"?ACTIVATED",IF(J5692&lt;&gt;"","?FAMILIAR",IF(F5692="NEW",IF(ISNA(VLOOKUP(E5692,#REF!,1,FALSE())),"?TYPE_IDENTIFIABLE","?REFERENTIAL"),"_")))))</f>
        <v> </v>
      </c>
      <c r="H5692" s="25" t="str">
        <f>IF(J5692&lt;&gt;1,"",IF(I5692="SBJ","CB","?"))</f>
        <v> </v>
      </c>
      <c r="I5692" s="26" t="str">
        <f>IF(OR(E5692="",E5692="!!!",F5692="NEW"),"",INDEX(B5691:B$2,-1+SUMPRODUCT(MAX(ROW(E5691:E$2)*(E5692=E5691:E$2)))))</f>
        <v> </v>
      </c>
      <c r="J5692" s="26" t="str">
        <f>IF(OR(E5692="",E5692="!!!",F5692="NEW"),"",COUNTBLANK(OFFSET(A$1,,,SUMPRODUCT(MAX(ROW(E$2:E5692)*(E5692=E$2:E5692)))))-COUNTBLANK(OFFSET(A$1,,,SUMPRODUCT(MAX(ROW(E$1:E5691)*(E2=E$1:E5691))))))</f>
        <v> </v>
      </c>
      <c r="K5692" s="26" t="str">
        <f>IF(OR(E5692="",E5692="!!!",F5692="NEW"),"",INDEX(J$1:J5691,SUMPRODUCT(MAX(ROW(E$1:E5691)*(E5692=E$1:E5691)))))</f>
        <v> </v>
      </c>
      <c r="L5692" s="27"/>
    </row>
    <row r="5693" spans="1:12">
      <c r="A5693" s="20" t="s">
        <v>2997</v>
      </c>
      <c r="E5693" s="22">
        <f>IF(D5693="?OLD","!!!","")</f>
        <v/>
      </c>
      <c r="F5693" s="23" t="str">
        <f>IF(OR(E5693="",E5693="!!!"),"",IF(NOT(ISNA(VLOOKUP(E5693,E$1:E5692,1,FALSE()))),"OLD",IF(AND(E5693&lt;&gt;"",E5693&lt;&gt;"!!!"),"NEW","")))</f>
        <v> </v>
      </c>
      <c r="G5693" s="24" t="str">
        <f>IF(OR(E5693="",E5693="!!!"),"",IF(OR(J5693=0,AND(J5693=1,K5693=1),AND(J5693=1,I5693="SBJ"),AND(J5693=1,I5693=0)),"?IN_FOCUS",IF(J5693&lt;=2,"?ACTIVATED",IF(J5693&lt;&gt;"","?FAMILIAR",IF(F5693="NEW",IF(ISNA(VLOOKUP(E5693,#REF!,1,FALSE())),"?TYPE_IDENTIFIABLE","?REFERENTIAL"),"_")))))</f>
        <v> </v>
      </c>
      <c r="H5693" s="25" t="str">
        <f>IF(J5693&lt;&gt;1,"",IF(I5693="SBJ","CB","?"))</f>
        <v> </v>
      </c>
      <c r="I5693" s="26" t="str">
        <f>IF(OR(E5693="",E5693="!!!",F5693="NEW"),"",INDEX(B5692:B$2,-1+SUMPRODUCT(MAX(ROW(E5692:E$2)*(E5693=E5692:E$2)))))</f>
        <v> </v>
      </c>
      <c r="J5693" s="26" t="str">
        <f>IF(OR(E5693="",E5693="!!!",F5693="NEW"),"",COUNTBLANK(OFFSET(A$1,,,SUMPRODUCT(MAX(ROW(E$2:E5693)*(E5693=E$2:E5693)))))-COUNTBLANK(OFFSET(A$1,,,SUMPRODUCT(MAX(ROW(E$1:E5692)*(E2=E$1:E5692))))))</f>
        <v> </v>
      </c>
      <c r="K5693" s="26" t="str">
        <f>IF(OR(E5693="",E5693="!!!",F5693="NEW"),"",INDEX(J$1:J5692,SUMPRODUCT(MAX(ROW(E$1:E5692)*(E5693=E$1:E5692)))))</f>
        <v> </v>
      </c>
      <c r="L5693" s="27"/>
    </row>
    <row r="5694" spans="1:12">
      <c r="A5694" s="20" t="s">
        <v>1747</v>
      </c>
      <c r="E5694" s="22">
        <f>IF(D5694="?OLD","!!!","")</f>
        <v/>
      </c>
      <c r="F5694" s="23" t="str">
        <f>IF(OR(E5694="",E5694="!!!"),"",IF(NOT(ISNA(VLOOKUP(E5694,E$1:E5693,1,FALSE()))),"OLD",IF(AND(E5694&lt;&gt;"",E5694&lt;&gt;"!!!"),"NEW","")))</f>
        <v> </v>
      </c>
      <c r="G5694" s="24" t="str">
        <f>IF(OR(E5694="",E5694="!!!"),"",IF(OR(J5694=0,AND(J5694=1,K5694=1),AND(J5694=1,I5694="SBJ"),AND(J5694=1,I5694=0)),"?IN_FOCUS",IF(J5694&lt;=2,"?ACTIVATED",IF(J5694&lt;&gt;"","?FAMILIAR",IF(F5694="NEW",IF(ISNA(VLOOKUP(E5694,#REF!,1,FALSE())),"?TYPE_IDENTIFIABLE","?REFERENTIAL"),"_")))))</f>
        <v> </v>
      </c>
      <c r="H5694" s="25" t="str">
        <f>IF(J5694&lt;&gt;1,"",IF(I5694="SBJ","CB","?"))</f>
        <v> </v>
      </c>
      <c r="I5694" s="26" t="str">
        <f>IF(OR(E5694="",E5694="!!!",F5694="NEW"),"",INDEX(B5693:B$2,-1+SUMPRODUCT(MAX(ROW(E5693:E$2)*(E5694=E5693:E$2)))))</f>
        <v> </v>
      </c>
      <c r="J5694" s="26" t="str">
        <f>IF(OR(E5694="",E5694="!!!",F5694="NEW"),"",COUNTBLANK(OFFSET(A$1,,,SUMPRODUCT(MAX(ROW(E$2:E5694)*(E5694=E$2:E5694)))))-COUNTBLANK(OFFSET(A$1,,,SUMPRODUCT(MAX(ROW(E$1:E5693)*(E2=E$1:E5693))))))</f>
        <v> </v>
      </c>
      <c r="K5694" s="26" t="str">
        <f>IF(OR(E5694="",E5694="!!!",F5694="NEW"),"",INDEX(J$1:J5693,SUMPRODUCT(MAX(ROW(E$1:E5693)*(E5694=E$1:E5693)))))</f>
        <v> </v>
      </c>
      <c r="L5694" s="27"/>
    </row>
    <row r="5695" spans="1:12">
      <c r="A5695" s="20" t="s">
        <v>565</v>
      </c>
      <c r="B5695" s="21" t="s">
        <v>1229</v>
      </c>
      <c r="C5695" s="21" t="s">
        <v>1255</v>
      </c>
      <c r="D5695" s="21" t="s">
        <v>1217</v>
      </c>
      <c r="E5695" s="22">
        <f>IF(D5695="?OLD","!!!","")</f>
        <v/>
      </c>
      <c r="F5695" s="23" t="str">
        <f>IF(OR(E5695="",E5695="!!!"),"",IF(NOT(ISNA(VLOOKUP(E5695,E$1:E5694,1,FALSE()))),"OLD",IF(AND(E5695&lt;&gt;"",E5695&lt;&gt;"!!!"),"NEW","")))</f>
        <v> </v>
      </c>
      <c r="G5695" s="24" t="str">
        <f>IF(OR(E5695="",E5695="!!!"),"",IF(OR(J5695=0,AND(J5695=1,K5695=1),AND(J5695=1,I5695="SBJ"),AND(J5695=1,I5695=0)),"?IN_FOCUS",IF(J5695&lt;=2,"?ACTIVATED",IF(J5695&lt;&gt;"","?FAMILIAR",IF(F5695="NEW",IF(ISNA(VLOOKUP(E5695,#REF!,1,FALSE())),"?TYPE_IDENTIFIABLE","?REFERENTIAL"),"_")))))</f>
        <v> </v>
      </c>
      <c r="H5695" s="25" t="str">
        <f>IF(J5695&lt;&gt;1,"",IF(I5695="SBJ","CB","?"))</f>
        <v> </v>
      </c>
      <c r="I5695" s="26" t="str">
        <f>IF(OR(E5695="",E5695="!!!",F5695="NEW"),"",INDEX(B5694:B$2,-1+SUMPRODUCT(MAX(ROW(E5694:E$2)*(E5695=E5694:E$2)))))</f>
        <v> </v>
      </c>
      <c r="J5695" s="26" t="str">
        <f>IF(OR(E5695="",E5695="!!!",F5695="NEW"),"",COUNTBLANK(OFFSET(A$1,,,SUMPRODUCT(MAX(ROW(E$2:E5695)*(E5695=E$2:E5695)))))-COUNTBLANK(OFFSET(A$1,,,SUMPRODUCT(MAX(ROW(E$1:E5694)*(E2=E$1:E5694))))))</f>
        <v> </v>
      </c>
      <c r="K5695" s="26" t="str">
        <f>IF(OR(E5695="",E5695="!!!",F5695="NEW"),"",INDEX(J$1:J5694,SUMPRODUCT(MAX(ROW(E$1:E5694)*(E5695=E$1:E5694)))))</f>
        <v> </v>
      </c>
      <c r="L5695" s="27"/>
    </row>
    <row r="5696" spans="1:12">
      <c r="A5696" s="20" t="s">
        <v>2998</v>
      </c>
      <c r="E5696" s="22">
        <f>IF(D5696="?OLD","!!!","")</f>
        <v/>
      </c>
      <c r="F5696" s="23" t="str">
        <f>IF(OR(E5696="",E5696="!!!"),"",IF(NOT(ISNA(VLOOKUP(E5696,E$1:E5695,1,FALSE()))),"OLD",IF(AND(E5696&lt;&gt;"",E5696&lt;&gt;"!!!"),"NEW","")))</f>
        <v> </v>
      </c>
      <c r="G5696" s="24" t="str">
        <f>IF(OR(E5696="",E5696="!!!"),"",IF(OR(J5696=0,AND(J5696=1,K5696=1),AND(J5696=1,I5696="SBJ"),AND(J5696=1,I5696=0)),"?IN_FOCUS",IF(J5696&lt;=2,"?ACTIVATED",IF(J5696&lt;&gt;"","?FAMILIAR",IF(F5696="NEW",IF(ISNA(VLOOKUP(E5696,#REF!,1,FALSE())),"?TYPE_IDENTIFIABLE","?REFERENTIAL"),"_")))))</f>
        <v> </v>
      </c>
      <c r="H5696" s="25" t="str">
        <f>IF(J5696&lt;&gt;1,"",IF(I5696="SBJ","CB","?"))</f>
        <v> </v>
      </c>
      <c r="I5696" s="26" t="str">
        <f>IF(OR(E5696="",E5696="!!!",F5696="NEW"),"",INDEX(B5695:B$2,-1+SUMPRODUCT(MAX(ROW(E5695:E$2)*(E5696=E5695:E$2)))))</f>
        <v> </v>
      </c>
      <c r="J5696" s="26" t="str">
        <f>IF(OR(E5696="",E5696="!!!",F5696="NEW"),"",COUNTBLANK(OFFSET(A$1,,,SUMPRODUCT(MAX(ROW(E$2:E5696)*(E5696=E$2:E5696)))))-COUNTBLANK(OFFSET(A$1,,,SUMPRODUCT(MAX(ROW(E$1:E5695)*(E2=E$1:E5695))))))</f>
        <v> </v>
      </c>
      <c r="K5696" s="26" t="str">
        <f>IF(OR(E5696="",E5696="!!!",F5696="NEW"),"",INDEX(J$1:J5695,SUMPRODUCT(MAX(ROW(E$1:E5695)*(E5696=E$1:E5695)))))</f>
        <v> </v>
      </c>
      <c r="L5696" s="27"/>
    </row>
    <row r="5697" spans="1:12">
      <c r="A5697" s="20" t="s">
        <v>1280</v>
      </c>
      <c r="B5697" s="21" t="s">
        <v>1224</v>
      </c>
      <c r="C5697" s="21" t="s">
        <v>1242</v>
      </c>
      <c r="D5697" s="21" t="s">
        <v>1217</v>
      </c>
      <c r="E5697" s="22">
        <f>IF(D5697="?OLD","!!!","")</f>
        <v/>
      </c>
      <c r="F5697" s="23" t="str">
        <f>IF(OR(E5697="",E5697="!!!"),"",IF(NOT(ISNA(VLOOKUP(E5697,E$1:E5696,1,FALSE()))),"OLD",IF(AND(E5697&lt;&gt;"",E5697&lt;&gt;"!!!"),"NEW","")))</f>
        <v> </v>
      </c>
      <c r="G5697" s="24" t="str">
        <f>IF(OR(E5697="",E5697="!!!"),"",IF(OR(J5697=0,AND(J5697=1,K5697=1),AND(J5697=1,I5697="SBJ"),AND(J5697=1,I5697=0)),"?IN_FOCUS",IF(J5697&lt;=2,"?ACTIVATED",IF(J5697&lt;&gt;"","?FAMILIAR",IF(F5697="NEW",IF(ISNA(VLOOKUP(E5697,#REF!,1,FALSE())),"?TYPE_IDENTIFIABLE","?REFERENTIAL"),"_")))))</f>
        <v> </v>
      </c>
      <c r="H5697" s="25" t="str">
        <f>IF(J5697&lt;&gt;1,"",IF(I5697="SBJ","CB","?"))</f>
        <v> </v>
      </c>
      <c r="I5697" s="26" t="str">
        <f>IF(OR(E5697="",E5697="!!!",F5697="NEW"),"",INDEX(B5696:B$2,-1+SUMPRODUCT(MAX(ROW(E5696:E$2)*(E5697=E5696:E$2)))))</f>
        <v> </v>
      </c>
      <c r="J5697" s="26" t="str">
        <f>IF(OR(E5697="",E5697="!!!",F5697="NEW"),"",COUNTBLANK(OFFSET(A$1,,,SUMPRODUCT(MAX(ROW(E$2:E5697)*(E5697=E$2:E5697)))))-COUNTBLANK(OFFSET(A$1,,,SUMPRODUCT(MAX(ROW(E$1:E5696)*(E2=E$1:E5696))))))</f>
        <v> </v>
      </c>
      <c r="K5697" s="26" t="str">
        <f>IF(OR(E5697="",E5697="!!!",F5697="NEW"),"",INDEX(J$1:J5696,SUMPRODUCT(MAX(ROW(E$1:E5696)*(E5697=E$1:E5696)))))</f>
        <v> </v>
      </c>
      <c r="L5697" s="27"/>
    </row>
    <row r="5698" spans="1:12">
      <c r="A5698" s="20" t="s">
        <v>885</v>
      </c>
      <c r="B5698" s="21" t="s">
        <v>1249</v>
      </c>
      <c r="C5698" s="21" t="s">
        <v>1222</v>
      </c>
      <c r="D5698" s="21" t="s">
        <v>1217</v>
      </c>
      <c r="E5698" s="22">
        <f>IF(D5698="?OLD","!!!","")</f>
        <v/>
      </c>
      <c r="F5698" s="23" t="str">
        <f>IF(OR(E5698="",E5698="!!!"),"",IF(NOT(ISNA(VLOOKUP(E5698,E$1:E5697,1,FALSE()))),"OLD",IF(AND(E5698&lt;&gt;"",E5698&lt;&gt;"!!!"),"NEW","")))</f>
        <v> </v>
      </c>
      <c r="G5698" s="24" t="str">
        <f>IF(OR(E5698="",E5698="!!!"),"",IF(OR(J5698=0,AND(J5698=1,K5698=1),AND(J5698=1,I5698="SBJ"),AND(J5698=1,I5698=0)),"?IN_FOCUS",IF(J5698&lt;=2,"?ACTIVATED",IF(J5698&lt;&gt;"","?FAMILIAR",IF(F5698="NEW",IF(ISNA(VLOOKUP(E5698,#REF!,1,FALSE())),"?TYPE_IDENTIFIABLE","?REFERENTIAL"),"_")))))</f>
        <v> </v>
      </c>
      <c r="H5698" s="25" t="str">
        <f>IF(J5698&lt;&gt;1,"",IF(I5698="SBJ","CB","?"))</f>
        <v> </v>
      </c>
      <c r="I5698" s="26" t="str">
        <f>IF(OR(E5698="",E5698="!!!",F5698="NEW"),"",INDEX(B5697:B$2,-1+SUMPRODUCT(MAX(ROW(E5697:E$2)*(E5698=E5697:E$2)))))</f>
        <v> </v>
      </c>
      <c r="J5698" s="26" t="str">
        <f>IF(OR(E5698="",E5698="!!!",F5698="NEW"),"",COUNTBLANK(OFFSET(A$1,,,SUMPRODUCT(MAX(ROW(E$2:E5698)*(E5698=E$2:E5698)))))-COUNTBLANK(OFFSET(A$1,,,SUMPRODUCT(MAX(ROW(E$1:E5697)*(E2=E$1:E5697))))))</f>
        <v> </v>
      </c>
      <c r="K5698" s="26" t="str">
        <f>IF(OR(E5698="",E5698="!!!",F5698="NEW"),"",INDEX(J$1:J5697,SUMPRODUCT(MAX(ROW(E$1:E5697)*(E5698=E$1:E5697)))))</f>
        <v> </v>
      </c>
      <c r="L5698" s="27"/>
    </row>
    <row r="5699" spans="1:12">
      <c r="A5699" s="20" t="s">
        <v>1262</v>
      </c>
      <c r="E5699" s="22">
        <f>IF(D5699="?OLD","!!!","")</f>
        <v/>
      </c>
      <c r="F5699" s="23" t="str">
        <f>IF(OR(E5699="",E5699="!!!"),"",IF(NOT(ISNA(VLOOKUP(E5699,E$1:E5698,1,FALSE()))),"OLD",IF(AND(E5699&lt;&gt;"",E5699&lt;&gt;"!!!"),"NEW","")))</f>
        <v> </v>
      </c>
      <c r="G5699" s="24" t="str">
        <f>IF(OR(E5699="",E5699="!!!"),"",IF(OR(J5699=0,AND(J5699=1,K5699=1),AND(J5699=1,I5699="SBJ"),AND(J5699=1,I5699=0)),"?IN_FOCUS",IF(J5699&lt;=2,"?ACTIVATED",IF(J5699&lt;&gt;"","?FAMILIAR",IF(F5699="NEW",IF(ISNA(VLOOKUP(E5699,#REF!,1,FALSE())),"?TYPE_IDENTIFIABLE","?REFERENTIAL"),"_")))))</f>
        <v> </v>
      </c>
      <c r="H5699" s="25" t="str">
        <f>IF(J5699&lt;&gt;1,"",IF(I5699="SBJ","CB","?"))</f>
        <v> </v>
      </c>
      <c r="I5699" s="26" t="str">
        <f>IF(OR(E5699="",E5699="!!!",F5699="NEW"),"",INDEX(B5698:B$2,-1+SUMPRODUCT(MAX(ROW(E5698:E$2)*(E5699=E5698:E$2)))))</f>
        <v> </v>
      </c>
      <c r="J5699" s="26" t="str">
        <f>IF(OR(E5699="",E5699="!!!",F5699="NEW"),"",COUNTBLANK(OFFSET(A$1,,,SUMPRODUCT(MAX(ROW(E$2:E5699)*(E5699=E$2:E5699)))))-COUNTBLANK(OFFSET(A$1,,,SUMPRODUCT(MAX(ROW(E$1:E5698)*(E2=E$1:E5698))))))</f>
        <v> </v>
      </c>
      <c r="K5699" s="26" t="str">
        <f>IF(OR(E5699="",E5699="!!!",F5699="NEW"),"",INDEX(J$1:J5698,SUMPRODUCT(MAX(ROW(E$1:E5698)*(E5699=E$1:E5698)))))</f>
        <v> </v>
      </c>
      <c r="L5699" s="27"/>
    </row>
    <row r="5700" spans="1:12">
      <c r="A5700" s="20"/>
    </row>
    <row r="5701" spans="1:12">
      <c r="A5701" s="20" t="s">
        <v>2999</v>
      </c>
    </row>
    <row r="5702" spans="1:12">
      <c r="A5702" s="20" t="s">
        <v>2160</v>
      </c>
      <c r="E5702" s="22">
        <f>IF(D5702="?OLD","!!!","")</f>
        <v/>
      </c>
      <c r="F5702" s="23" t="str">
        <f>IF(OR(E5702="",E5702="!!!"),"",IF(NOT(ISNA(VLOOKUP(E5702,E$1:E5701,1,FALSE()))),"OLD",IF(AND(E5702&lt;&gt;"",E5702&lt;&gt;"!!!"),"NEW","")))</f>
        <v> </v>
      </c>
      <c r="G5702" s="24" t="str">
        <f>IF(OR(E5702="",E5702="!!!"),"",IF(OR(J5702=0,AND(J5702=1,K5702=1),AND(J5702=1,I5702="SBJ"),AND(J5702=1,I5702=0)),"?IN_FOCUS",IF(J5702&lt;=2,"?ACTIVATED",IF(J5702&lt;&gt;"","?FAMILIAR",IF(F5702="NEW",IF(ISNA(VLOOKUP(E5702,#REF!,1,FALSE())),"?TYPE_IDENTIFIABLE","?REFERENTIAL"),"_")))))</f>
        <v> </v>
      </c>
      <c r="H5702" s="25" t="str">
        <f>IF(J5702&lt;&gt;1,"",IF(I5702="SBJ","CB","?"))</f>
        <v> </v>
      </c>
      <c r="I5702" s="26" t="str">
        <f>IF(OR(E5702="",E5702="!!!",F5702="NEW"),"",INDEX(B5701:B$2,-1+SUMPRODUCT(MAX(ROW(E5701:E$2)*(E5702=E5701:E$2)))))</f>
        <v> </v>
      </c>
      <c r="J5702" s="26" t="str">
        <f>IF(OR(E5702="",E5702="!!!",F5702="NEW"),"",COUNTBLANK(OFFSET(A$1,,,SUMPRODUCT(MAX(ROW(E$2:E5702)*(E5702=E$2:E5702)))))-COUNTBLANK(OFFSET(A$1,,,SUMPRODUCT(MAX(ROW(E$1:E5701)*(E2=E$1:E5701))))))</f>
        <v> </v>
      </c>
      <c r="K5702" s="26" t="str">
        <f>IF(OR(E5702="",E5702="!!!",F5702="NEW"),"",INDEX(J$1:J5701,SUMPRODUCT(MAX(ROW(E$1:E5701)*(E5702=E$1:E5701)))))</f>
        <v> </v>
      </c>
      <c r="L5702" s="27"/>
    </row>
    <row r="5703" spans="1:12">
      <c r="A5703" s="20" t="s">
        <v>3000</v>
      </c>
      <c r="B5703" s="21" t="s">
        <v>1215</v>
      </c>
      <c r="C5703" s="21" t="s">
        <v>1276</v>
      </c>
      <c r="D5703" s="21" t="s">
        <v>1217</v>
      </c>
      <c r="E5703" s="22">
        <f>IF(D5703="?OLD","!!!","")</f>
        <v/>
      </c>
      <c r="F5703" s="23" t="str">
        <f>IF(OR(E5703="",E5703="!!!"),"",IF(NOT(ISNA(VLOOKUP(E5703,E$1:E5702,1,FALSE()))),"OLD",IF(AND(E5703&lt;&gt;"",E5703&lt;&gt;"!!!"),"NEW","")))</f>
        <v> </v>
      </c>
      <c r="G5703" s="24" t="str">
        <f>IF(OR(E5703="",E5703="!!!"),"",IF(OR(J5703=0,AND(J5703=1,K5703=1),AND(J5703=1,I5703="SBJ"),AND(J5703=1,I5703=0)),"?IN_FOCUS",IF(J5703&lt;=2,"?ACTIVATED",IF(J5703&lt;&gt;"","?FAMILIAR",IF(F5703="NEW",IF(ISNA(VLOOKUP(E5703,#REF!,1,FALSE())),"?TYPE_IDENTIFIABLE","?REFERENTIAL"),"_")))))</f>
        <v> </v>
      </c>
      <c r="H5703" s="25" t="str">
        <f>IF(J5703&lt;&gt;1,"",IF(I5703="SBJ","CB","?"))</f>
        <v> </v>
      </c>
      <c r="I5703" s="26" t="str">
        <f>IF(OR(E5703="",E5703="!!!",F5703="NEW"),"",INDEX(B5702:B$2,-1+SUMPRODUCT(MAX(ROW(E5702:E$2)*(E5703=E5702:E$2)))))</f>
        <v> </v>
      </c>
      <c r="J5703" s="26" t="str">
        <f>IF(OR(E5703="",E5703="!!!",F5703="NEW"),"",COUNTBLANK(OFFSET(A$1,,,SUMPRODUCT(MAX(ROW(E$2:E5703)*(E5703=E$2:E5703)))))-COUNTBLANK(OFFSET(A$1,,,SUMPRODUCT(MAX(ROW(E$1:E5702)*(E2=E$1:E5702))))))</f>
        <v> </v>
      </c>
      <c r="K5703" s="26" t="str">
        <f>IF(OR(E5703="",E5703="!!!",F5703="NEW"),"",INDEX(J$1:J5702,SUMPRODUCT(MAX(ROW(E$1:E5702)*(E5703=E$1:E5702)))))</f>
        <v> </v>
      </c>
      <c r="L5703" s="27"/>
    </row>
    <row r="5704" spans="1:12">
      <c r="A5704" s="20" t="s">
        <v>1443</v>
      </c>
      <c r="B5704" s="21" t="s">
        <v>1215</v>
      </c>
      <c r="C5704" s="21" t="s">
        <v>1255</v>
      </c>
      <c r="D5704" s="21" t="s">
        <v>1217</v>
      </c>
      <c r="E5704" s="22">
        <f>IF(D5704="?OLD","!!!","")</f>
        <v/>
      </c>
      <c r="F5704" s="23" t="str">
        <f>IF(OR(E5704="",E5704="!!!"),"",IF(NOT(ISNA(VLOOKUP(E5704,E$1:E5703,1,FALSE()))),"OLD",IF(AND(E5704&lt;&gt;"",E5704&lt;&gt;"!!!"),"NEW","")))</f>
        <v> </v>
      </c>
      <c r="G5704" s="24" t="str">
        <f>IF(OR(E5704="",E5704="!!!"),"",IF(OR(J5704=0,AND(J5704=1,K5704=1),AND(J5704=1,I5704="SBJ"),AND(J5704=1,I5704=0)),"?IN_FOCUS",IF(J5704&lt;=2,"?ACTIVATED",IF(J5704&lt;&gt;"","?FAMILIAR",IF(F5704="NEW",IF(ISNA(VLOOKUP(E5704,#REF!,1,FALSE())),"?TYPE_IDENTIFIABLE","?REFERENTIAL"),"_")))))</f>
        <v> </v>
      </c>
      <c r="H5704" s="25" t="str">
        <f>IF(J5704&lt;&gt;1,"",IF(I5704="SBJ","CB","?"))</f>
        <v> </v>
      </c>
      <c r="I5704" s="26" t="str">
        <f>IF(OR(E5704="",E5704="!!!",F5704="NEW"),"",INDEX(B5703:B$2,-1+SUMPRODUCT(MAX(ROW(E5703:E$2)*(E5704=E5703:E$2)))))</f>
        <v> </v>
      </c>
      <c r="J5704" s="26" t="str">
        <f>IF(OR(E5704="",E5704="!!!",F5704="NEW"),"",COUNTBLANK(OFFSET(A$1,,,SUMPRODUCT(MAX(ROW(E$2:E5704)*(E5704=E$2:E5704)))))-COUNTBLANK(OFFSET(A$1,,,SUMPRODUCT(MAX(ROW(E$1:E5703)*(E2=E$1:E5703))))))</f>
        <v> </v>
      </c>
      <c r="K5704" s="26" t="str">
        <f>IF(OR(E5704="",E5704="!!!",F5704="NEW"),"",INDEX(J$1:J5703,SUMPRODUCT(MAX(ROW(E$1:E5703)*(E5704=E$1:E5703)))))</f>
        <v> </v>
      </c>
      <c r="L5704" s="27"/>
    </row>
    <row r="5705" spans="1:12">
      <c r="A5705" s="20" t="s">
        <v>2534</v>
      </c>
      <c r="E5705" s="22">
        <f>IF(D5705="?OLD","!!!","")</f>
        <v/>
      </c>
      <c r="F5705" s="23" t="str">
        <f>IF(OR(E5705="",E5705="!!!"),"",IF(NOT(ISNA(VLOOKUP(E5705,E$1:E5704,1,FALSE()))),"OLD",IF(AND(E5705&lt;&gt;"",E5705&lt;&gt;"!!!"),"NEW","")))</f>
        <v> </v>
      </c>
      <c r="G5705" s="24" t="str">
        <f>IF(OR(E5705="",E5705="!!!"),"",IF(OR(J5705=0,AND(J5705=1,K5705=1),AND(J5705=1,I5705="SBJ"),AND(J5705=1,I5705=0)),"?IN_FOCUS",IF(J5705&lt;=2,"?ACTIVATED",IF(J5705&lt;&gt;"","?FAMILIAR",IF(F5705="NEW",IF(ISNA(VLOOKUP(E5705,#REF!,1,FALSE())),"?TYPE_IDENTIFIABLE","?REFERENTIAL"),"_")))))</f>
        <v> </v>
      </c>
      <c r="H5705" s="25" t="str">
        <f>IF(J5705&lt;&gt;1,"",IF(I5705="SBJ","CB","?"))</f>
        <v> </v>
      </c>
      <c r="I5705" s="26" t="str">
        <f>IF(OR(E5705="",E5705="!!!",F5705="NEW"),"",INDEX(B5704:B$2,-1+SUMPRODUCT(MAX(ROW(E5704:E$2)*(E5705=E5704:E$2)))))</f>
        <v> </v>
      </c>
      <c r="J5705" s="26" t="str">
        <f>IF(OR(E5705="",E5705="!!!",F5705="NEW"),"",COUNTBLANK(OFFSET(A$1,,,SUMPRODUCT(MAX(ROW(E$2:E5705)*(E5705=E$2:E5705)))))-COUNTBLANK(OFFSET(A$1,,,SUMPRODUCT(MAX(ROW(E$1:E5704)*(E2=E$1:E5704))))))</f>
        <v> </v>
      </c>
      <c r="K5705" s="26" t="str">
        <f>IF(OR(E5705="",E5705="!!!",F5705="NEW"),"",INDEX(J$1:J5704,SUMPRODUCT(MAX(ROW(E$1:E5704)*(E5705=E$1:E5704)))))</f>
        <v> </v>
      </c>
      <c r="L5705" s="27"/>
    </row>
    <row r="5706" spans="1:12">
      <c r="A5706" s="20" t="s">
        <v>3001</v>
      </c>
      <c r="E5706" s="22">
        <f>IF(D5706="?OLD","!!!","")</f>
        <v/>
      </c>
      <c r="F5706" s="23" t="str">
        <f>IF(OR(E5706="",E5706="!!!"),"",IF(NOT(ISNA(VLOOKUP(E5706,E$1:E5705,1,FALSE()))),"OLD",IF(AND(E5706&lt;&gt;"",E5706&lt;&gt;"!!!"),"NEW","")))</f>
        <v> </v>
      </c>
      <c r="G5706" s="24" t="str">
        <f>IF(OR(E5706="",E5706="!!!"),"",IF(OR(J5706=0,AND(J5706=1,K5706=1),AND(J5706=1,I5706="SBJ"),AND(J5706=1,I5706=0)),"?IN_FOCUS",IF(J5706&lt;=2,"?ACTIVATED",IF(J5706&lt;&gt;"","?FAMILIAR",IF(F5706="NEW",IF(ISNA(VLOOKUP(E5706,#REF!,1,FALSE())),"?TYPE_IDENTIFIABLE","?REFERENTIAL"),"_")))))</f>
        <v> </v>
      </c>
      <c r="H5706" s="25" t="str">
        <f>IF(J5706&lt;&gt;1,"",IF(I5706="SBJ","CB","?"))</f>
        <v> </v>
      </c>
      <c r="I5706" s="26" t="str">
        <f>IF(OR(E5706="",E5706="!!!",F5706="NEW"),"",INDEX(B5705:B$2,-1+SUMPRODUCT(MAX(ROW(E5705:E$2)*(E5706=E5705:E$2)))))</f>
        <v> </v>
      </c>
      <c r="J5706" s="26" t="str">
        <f>IF(OR(E5706="",E5706="!!!",F5706="NEW"),"",COUNTBLANK(OFFSET(A$1,,,SUMPRODUCT(MAX(ROW(E$2:E5706)*(E5706=E$2:E5706)))))-COUNTBLANK(OFFSET(A$1,,,SUMPRODUCT(MAX(ROW(E$1:E5705)*(E2=E$1:E5705))))))</f>
        <v> </v>
      </c>
      <c r="K5706" s="26" t="str">
        <f>IF(OR(E5706="",E5706="!!!",F5706="NEW"),"",INDEX(J$1:J5705,SUMPRODUCT(MAX(ROW(E$1:E5705)*(E5706=E$1:E5705)))))</f>
        <v> </v>
      </c>
      <c r="L5706" s="27"/>
    </row>
    <row r="5707" spans="1:12">
      <c r="A5707" s="20" t="s">
        <v>3002</v>
      </c>
      <c r="E5707" s="22">
        <f>IF(D5707="?OLD","!!!","")</f>
        <v/>
      </c>
      <c r="F5707" s="23" t="str">
        <f>IF(OR(E5707="",E5707="!!!"),"",IF(NOT(ISNA(VLOOKUP(E5707,E$1:E5706,1,FALSE()))),"OLD",IF(AND(E5707&lt;&gt;"",E5707&lt;&gt;"!!!"),"NEW","")))</f>
        <v> </v>
      </c>
      <c r="G5707" s="24" t="str">
        <f>IF(OR(E5707="",E5707="!!!"),"",IF(OR(J5707=0,AND(J5707=1,K5707=1),AND(J5707=1,I5707="SBJ"),AND(J5707=1,I5707=0)),"?IN_FOCUS",IF(J5707&lt;=2,"?ACTIVATED",IF(J5707&lt;&gt;"","?FAMILIAR",IF(F5707="NEW",IF(ISNA(VLOOKUP(E5707,#REF!,1,FALSE())),"?TYPE_IDENTIFIABLE","?REFERENTIAL"),"_")))))</f>
        <v> </v>
      </c>
      <c r="H5707" s="25" t="str">
        <f>IF(J5707&lt;&gt;1,"",IF(I5707="SBJ","CB","?"))</f>
        <v> </v>
      </c>
      <c r="I5707" s="26" t="str">
        <f>IF(OR(E5707="",E5707="!!!",F5707="NEW"),"",INDEX(B5706:B$2,-1+SUMPRODUCT(MAX(ROW(E5706:E$2)*(E5707=E5706:E$2)))))</f>
        <v> </v>
      </c>
      <c r="J5707" s="26" t="str">
        <f>IF(OR(E5707="",E5707="!!!",F5707="NEW"),"",COUNTBLANK(OFFSET(A$1,,,SUMPRODUCT(MAX(ROW(E$2:E5707)*(E5707=E$2:E5707)))))-COUNTBLANK(OFFSET(A$1,,,SUMPRODUCT(MAX(ROW(E$1:E5706)*(E2=E$1:E5706))))))</f>
        <v> </v>
      </c>
      <c r="K5707" s="26" t="str">
        <f>IF(OR(E5707="",E5707="!!!",F5707="NEW"),"",INDEX(J$1:J5706,SUMPRODUCT(MAX(ROW(E$1:E5706)*(E5707=E$1:E5706)))))</f>
        <v> </v>
      </c>
      <c r="L5707" s="27"/>
    </row>
    <row r="5708" spans="1:12">
      <c r="A5708" s="20" t="s">
        <v>1363</v>
      </c>
      <c r="E5708" s="22">
        <f>IF(D5708="?OLD","!!!","")</f>
        <v/>
      </c>
      <c r="F5708" s="23" t="str">
        <f>IF(OR(E5708="",E5708="!!!"),"",IF(NOT(ISNA(VLOOKUP(E5708,E$1:E5707,1,FALSE()))),"OLD",IF(AND(E5708&lt;&gt;"",E5708&lt;&gt;"!!!"),"NEW","")))</f>
        <v> </v>
      </c>
      <c r="G5708" s="24" t="str">
        <f>IF(OR(E5708="",E5708="!!!"),"",IF(OR(J5708=0,AND(J5708=1,K5708=1),AND(J5708=1,I5708="SBJ"),AND(J5708=1,I5708=0)),"?IN_FOCUS",IF(J5708&lt;=2,"?ACTIVATED",IF(J5708&lt;&gt;"","?FAMILIAR",IF(F5708="NEW",IF(ISNA(VLOOKUP(E5708,#REF!,1,FALSE())),"?TYPE_IDENTIFIABLE","?REFERENTIAL"),"_")))))</f>
        <v> </v>
      </c>
      <c r="H5708" s="25" t="str">
        <f>IF(J5708&lt;&gt;1,"",IF(I5708="SBJ","CB","?"))</f>
        <v> </v>
      </c>
      <c r="I5708" s="26" t="str">
        <f>IF(OR(E5708="",E5708="!!!",F5708="NEW"),"",INDEX(B5707:B$2,-1+SUMPRODUCT(MAX(ROW(E5707:E$2)*(E5708=E5707:E$2)))))</f>
        <v> </v>
      </c>
      <c r="J5708" s="26" t="str">
        <f>IF(OR(E5708="",E5708="!!!",F5708="NEW"),"",COUNTBLANK(OFFSET(A$1,,,SUMPRODUCT(MAX(ROW(E$2:E5708)*(E5708=E$2:E5708)))))-COUNTBLANK(OFFSET(A$1,,,SUMPRODUCT(MAX(ROW(E$1:E5707)*(E2=E$1:E5707))))))</f>
        <v> </v>
      </c>
      <c r="K5708" s="26" t="str">
        <f>IF(OR(E5708="",E5708="!!!",F5708="NEW"),"",INDEX(J$1:J5707,SUMPRODUCT(MAX(ROW(E$1:E5707)*(E5708=E$1:E5707)))))</f>
        <v> </v>
      </c>
      <c r="L5708" s="27"/>
    </row>
    <row r="5709" spans="1:12">
      <c r="A5709" s="20" t="s">
        <v>1228</v>
      </c>
      <c r="E5709" s="22">
        <f>IF(D5709="?OLD","!!!","")</f>
        <v/>
      </c>
      <c r="F5709" s="23" t="str">
        <f>IF(OR(E5709="",E5709="!!!"),"",IF(NOT(ISNA(VLOOKUP(E5709,E$1:E5708,1,FALSE()))),"OLD",IF(AND(E5709&lt;&gt;"",E5709&lt;&gt;"!!!"),"NEW","")))</f>
        <v> </v>
      </c>
      <c r="G5709" s="24" t="str">
        <f>IF(OR(E5709="",E5709="!!!"),"",IF(OR(J5709=0,AND(J5709=1,K5709=1),AND(J5709=1,I5709="SBJ"),AND(J5709=1,I5709=0)),"?IN_FOCUS",IF(J5709&lt;=2,"?ACTIVATED",IF(J5709&lt;&gt;"","?FAMILIAR",IF(F5709="NEW",IF(ISNA(VLOOKUP(E5709,#REF!,1,FALSE())),"?TYPE_IDENTIFIABLE","?REFERENTIAL"),"_")))))</f>
        <v> </v>
      </c>
      <c r="H5709" s="25" t="str">
        <f>IF(J5709&lt;&gt;1,"",IF(I5709="SBJ","CB","?"))</f>
        <v> </v>
      </c>
      <c r="I5709" s="26" t="str">
        <f>IF(OR(E5709="",E5709="!!!",F5709="NEW"),"",INDEX(B5708:B$2,-1+SUMPRODUCT(MAX(ROW(E5708:E$2)*(E5709=E5708:E$2)))))</f>
        <v> </v>
      </c>
      <c r="J5709" s="26" t="str">
        <f>IF(OR(E5709="",E5709="!!!",F5709="NEW"),"",COUNTBLANK(OFFSET(A$1,,,SUMPRODUCT(MAX(ROW(E$2:E5709)*(E5709=E$2:E5709)))))-COUNTBLANK(OFFSET(A$1,,,SUMPRODUCT(MAX(ROW(E$1:E5708)*(E2=E$1:E5708))))))</f>
        <v> </v>
      </c>
      <c r="K5709" s="26" t="str">
        <f>IF(OR(E5709="",E5709="!!!",F5709="NEW"),"",INDEX(J$1:J5708,SUMPRODUCT(MAX(ROW(E$1:E5708)*(E5709=E$1:E5708)))))</f>
        <v> </v>
      </c>
      <c r="L5709" s="27"/>
    </row>
    <row r="5710" spans="1:12">
      <c r="A5710" s="20" t="s">
        <v>1012</v>
      </c>
      <c r="B5710" s="21" t="s">
        <v>1244</v>
      </c>
      <c r="C5710" s="21" t="s">
        <v>1269</v>
      </c>
      <c r="D5710" s="21" t="s">
        <v>1217</v>
      </c>
      <c r="E5710" s="22">
        <f>IF(D5710="?OLD","!!!","")</f>
        <v/>
      </c>
      <c r="F5710" s="23" t="str">
        <f>IF(OR(E5710="",E5710="!!!"),"",IF(NOT(ISNA(VLOOKUP(E5710,E$1:E5709,1,FALSE()))),"OLD",IF(AND(E5710&lt;&gt;"",E5710&lt;&gt;"!!!"),"NEW","")))</f>
        <v> </v>
      </c>
      <c r="G5710" s="24" t="str">
        <f>IF(OR(E5710="",E5710="!!!"),"",IF(OR(J5710=0,AND(J5710=1,K5710=1),AND(J5710=1,I5710="SBJ"),AND(J5710=1,I5710=0)),"?IN_FOCUS",IF(J5710&lt;=2,"?ACTIVATED",IF(J5710&lt;&gt;"","?FAMILIAR",IF(F5710="NEW",IF(ISNA(VLOOKUP(E5710,#REF!,1,FALSE())),"?TYPE_IDENTIFIABLE","?REFERENTIAL"),"_")))))</f>
        <v> </v>
      </c>
      <c r="H5710" s="25" t="str">
        <f>IF(J5710&lt;&gt;1,"",IF(I5710="SBJ","CB","?"))</f>
        <v> </v>
      </c>
      <c r="I5710" s="26" t="str">
        <f>IF(OR(E5710="",E5710="!!!",F5710="NEW"),"",INDEX(B5709:B$2,-1+SUMPRODUCT(MAX(ROW(E5709:E$2)*(E5710=E5709:E$2)))))</f>
        <v> </v>
      </c>
      <c r="J5710" s="26" t="str">
        <f>IF(OR(E5710="",E5710="!!!",F5710="NEW"),"",COUNTBLANK(OFFSET(A$1,,,SUMPRODUCT(MAX(ROW(E$2:E5710)*(E5710=E$2:E5710)))))-COUNTBLANK(OFFSET(A$1,,,SUMPRODUCT(MAX(ROW(E$1:E5709)*(E2=E$1:E5709))))))</f>
        <v> </v>
      </c>
      <c r="K5710" s="26" t="str">
        <f>IF(OR(E5710="",E5710="!!!",F5710="NEW"),"",INDEX(J$1:J5709,SUMPRODUCT(MAX(ROW(E$1:E5709)*(E5710=E$1:E5709)))))</f>
        <v> </v>
      </c>
      <c r="L5710" s="27"/>
    </row>
    <row r="5711" spans="1:12">
      <c r="A5711" s="20" t="s">
        <v>1218</v>
      </c>
      <c r="E5711" s="22">
        <f>IF(D5711="?OLD","!!!","")</f>
        <v/>
      </c>
      <c r="F5711" s="23" t="str">
        <f>IF(OR(E5711="",E5711="!!!"),"",IF(NOT(ISNA(VLOOKUP(E5711,E$1:E5710,1,FALSE()))),"OLD",IF(AND(E5711&lt;&gt;"",E5711&lt;&gt;"!!!"),"NEW","")))</f>
        <v> </v>
      </c>
      <c r="G5711" s="24" t="str">
        <f>IF(OR(E5711="",E5711="!!!"),"",IF(OR(J5711=0,AND(J5711=1,K5711=1),AND(J5711=1,I5711="SBJ"),AND(J5711=1,I5711=0)),"?IN_FOCUS",IF(J5711&lt;=2,"?ACTIVATED",IF(J5711&lt;&gt;"","?FAMILIAR",IF(F5711="NEW",IF(ISNA(VLOOKUP(E5711,#REF!,1,FALSE())),"?TYPE_IDENTIFIABLE","?REFERENTIAL"),"_")))))</f>
        <v> </v>
      </c>
      <c r="H5711" s="25" t="str">
        <f>IF(J5711&lt;&gt;1,"",IF(I5711="SBJ","CB","?"))</f>
        <v> </v>
      </c>
      <c r="I5711" s="26" t="str">
        <f>IF(OR(E5711="",E5711="!!!",F5711="NEW"),"",INDEX(B5710:B$2,-1+SUMPRODUCT(MAX(ROW(E5710:E$2)*(E5711=E5710:E$2)))))</f>
        <v> </v>
      </c>
      <c r="J5711" s="26" t="str">
        <f>IF(OR(E5711="",E5711="!!!",F5711="NEW"),"",COUNTBLANK(OFFSET(A$1,,,SUMPRODUCT(MAX(ROW(E$2:E5711)*(E5711=E$2:E5711)))))-COUNTBLANK(OFFSET(A$1,,,SUMPRODUCT(MAX(ROW(E$1:E5710)*(E2=E$1:E5710))))))</f>
        <v> </v>
      </c>
      <c r="K5711" s="26" t="str">
        <f>IF(OR(E5711="",E5711="!!!",F5711="NEW"),"",INDEX(J$1:J5710,SUMPRODUCT(MAX(ROW(E$1:E5710)*(E5711=E$1:E5710)))))</f>
        <v> </v>
      </c>
      <c r="L5711" s="27"/>
    </row>
    <row r="5712" spans="1:12">
      <c r="A5712" s="20" t="s">
        <v>1266</v>
      </c>
      <c r="E5712" s="22">
        <f>IF(D5712="?OLD","!!!","")</f>
        <v/>
      </c>
      <c r="F5712" s="23" t="str">
        <f>IF(OR(E5712="",E5712="!!!"),"",IF(NOT(ISNA(VLOOKUP(E5712,E$1:E5711,1,FALSE()))),"OLD",IF(AND(E5712&lt;&gt;"",E5712&lt;&gt;"!!!"),"NEW","")))</f>
        <v> </v>
      </c>
      <c r="G5712" s="24" t="str">
        <f>IF(OR(E5712="",E5712="!!!"),"",IF(OR(J5712=0,AND(J5712=1,K5712=1),AND(J5712=1,I5712="SBJ"),AND(J5712=1,I5712=0)),"?IN_FOCUS",IF(J5712&lt;=2,"?ACTIVATED",IF(J5712&lt;&gt;"","?FAMILIAR",IF(F5712="NEW",IF(ISNA(VLOOKUP(E5712,#REF!,1,FALSE())),"?TYPE_IDENTIFIABLE","?REFERENTIAL"),"_")))))</f>
        <v> </v>
      </c>
      <c r="H5712" s="25" t="str">
        <f>IF(J5712&lt;&gt;1,"",IF(I5712="SBJ","CB","?"))</f>
        <v> </v>
      </c>
      <c r="I5712" s="26" t="str">
        <f>IF(OR(E5712="",E5712="!!!",F5712="NEW"),"",INDEX(B5711:B$2,-1+SUMPRODUCT(MAX(ROW(E5711:E$2)*(E5712=E5711:E$2)))))</f>
        <v> </v>
      </c>
      <c r="J5712" s="26" t="str">
        <f>IF(OR(E5712="",E5712="!!!",F5712="NEW"),"",COUNTBLANK(OFFSET(A$1,,,SUMPRODUCT(MAX(ROW(E$2:E5712)*(E5712=E$2:E5712)))))-COUNTBLANK(OFFSET(A$1,,,SUMPRODUCT(MAX(ROW(E$1:E5711)*(E2=E$1:E5711))))))</f>
        <v> </v>
      </c>
      <c r="K5712" s="26" t="str">
        <f>IF(OR(E5712="",E5712="!!!",F5712="NEW"),"",INDEX(J$1:J5711,SUMPRODUCT(MAX(ROW(E$1:E5711)*(E5712=E$1:E5711)))))</f>
        <v> </v>
      </c>
      <c r="L5712" s="27"/>
    </row>
    <row r="5713" spans="1:12">
      <c r="A5713" s="20" t="s">
        <v>885</v>
      </c>
      <c r="B5713" s="21" t="s">
        <v>1221</v>
      </c>
      <c r="C5713" s="21" t="s">
        <v>1222</v>
      </c>
      <c r="D5713" s="21" t="s">
        <v>1217</v>
      </c>
      <c r="E5713" s="22">
        <f>IF(D5713="?OLD","!!!","")</f>
        <v/>
      </c>
      <c r="F5713" s="23" t="str">
        <f>IF(OR(E5713="",E5713="!!!"),"",IF(NOT(ISNA(VLOOKUP(E5713,E$1:E5712,1,FALSE()))),"OLD",IF(AND(E5713&lt;&gt;"",E5713&lt;&gt;"!!!"),"NEW","")))</f>
        <v> </v>
      </c>
      <c r="G5713" s="24" t="str">
        <f>IF(OR(E5713="",E5713="!!!"),"",IF(OR(J5713=0,AND(J5713=1,K5713=1),AND(J5713=1,I5713="SBJ"),AND(J5713=1,I5713=0)),"?IN_FOCUS",IF(J5713&lt;=2,"?ACTIVATED",IF(J5713&lt;&gt;"","?FAMILIAR",IF(F5713="NEW",IF(ISNA(VLOOKUP(E5713,#REF!,1,FALSE())),"?TYPE_IDENTIFIABLE","?REFERENTIAL"),"_")))))</f>
        <v> </v>
      </c>
      <c r="H5713" s="25" t="str">
        <f>IF(J5713&lt;&gt;1,"",IF(I5713="SBJ","CB","?"))</f>
        <v> </v>
      </c>
      <c r="I5713" s="26" t="str">
        <f>IF(OR(E5713="",E5713="!!!",F5713="NEW"),"",INDEX(B5712:B$2,-1+SUMPRODUCT(MAX(ROW(E5712:E$2)*(E5713=E5712:E$2)))))</f>
        <v> </v>
      </c>
      <c r="J5713" s="26" t="str">
        <f>IF(OR(E5713="",E5713="!!!",F5713="NEW"),"",COUNTBLANK(OFFSET(A$1,,,SUMPRODUCT(MAX(ROW(E$2:E5713)*(E5713=E$2:E5713)))))-COUNTBLANK(OFFSET(A$1,,,SUMPRODUCT(MAX(ROW(E$1:E5712)*(E2=E$1:E5712))))))</f>
        <v> </v>
      </c>
      <c r="K5713" s="26" t="str">
        <f>IF(OR(E5713="",E5713="!!!",F5713="NEW"),"",INDEX(J$1:J5712,SUMPRODUCT(MAX(ROW(E$1:E5712)*(E5713=E$1:E5712)))))</f>
        <v> </v>
      </c>
      <c r="L5713" s="27"/>
    </row>
    <row r="5714" spans="1:12">
      <c r="A5714" s="20" t="s">
        <v>1218</v>
      </c>
      <c r="E5714" s="22">
        <f>IF(D5714="?OLD","!!!","")</f>
        <v/>
      </c>
      <c r="F5714" s="23" t="str">
        <f>IF(OR(E5714="",E5714="!!!"),"",IF(NOT(ISNA(VLOOKUP(E5714,E$1:E5713,1,FALSE()))),"OLD",IF(AND(E5714&lt;&gt;"",E5714&lt;&gt;"!!!"),"NEW","")))</f>
        <v> </v>
      </c>
      <c r="G5714" s="24" t="str">
        <f>IF(OR(E5714="",E5714="!!!"),"",IF(OR(J5714=0,AND(J5714=1,K5714=1),AND(J5714=1,I5714="SBJ"),AND(J5714=1,I5714=0)),"?IN_FOCUS",IF(J5714&lt;=2,"?ACTIVATED",IF(J5714&lt;&gt;"","?FAMILIAR",IF(F5714="NEW",IF(ISNA(VLOOKUP(E5714,#REF!,1,FALSE())),"?TYPE_IDENTIFIABLE","?REFERENTIAL"),"_")))))</f>
        <v> </v>
      </c>
      <c r="H5714" s="25" t="str">
        <f>IF(J5714&lt;&gt;1,"",IF(I5714="SBJ","CB","?"))</f>
        <v> </v>
      </c>
      <c r="I5714" s="26" t="str">
        <f>IF(OR(E5714="",E5714="!!!",F5714="NEW"),"",INDEX(B5713:B$2,-1+SUMPRODUCT(MAX(ROW(E5713:E$2)*(E5714=E5713:E$2)))))</f>
        <v> </v>
      </c>
      <c r="J5714" s="26" t="str">
        <f>IF(OR(E5714="",E5714="!!!",F5714="NEW"),"",COUNTBLANK(OFFSET(A$1,,,SUMPRODUCT(MAX(ROW(E$2:E5714)*(E5714=E$2:E5714)))))-COUNTBLANK(OFFSET(A$1,,,SUMPRODUCT(MAX(ROW(E$1:E5713)*(E2=E$1:E5713))))))</f>
        <v> </v>
      </c>
      <c r="K5714" s="26" t="str">
        <f>IF(OR(E5714="",E5714="!!!",F5714="NEW"),"",INDEX(J$1:J5713,SUMPRODUCT(MAX(ROW(E$1:E5713)*(E5714=E$1:E5713)))))</f>
        <v> </v>
      </c>
      <c r="L5714" s="27"/>
    </row>
    <row r="5715" spans="1:12">
      <c r="A5715" s="20" t="s">
        <v>1219</v>
      </c>
      <c r="E5715" s="22">
        <f>IF(D5715="?OLD","!!!","")</f>
        <v/>
      </c>
      <c r="F5715" s="23" t="str">
        <f>IF(OR(E5715="",E5715="!!!"),"",IF(NOT(ISNA(VLOOKUP(E5715,E$1:E5714,1,FALSE()))),"OLD",IF(AND(E5715&lt;&gt;"",E5715&lt;&gt;"!!!"),"NEW","")))</f>
        <v> </v>
      </c>
      <c r="G5715" s="24" t="str">
        <f>IF(OR(E5715="",E5715="!!!"),"",IF(OR(J5715=0,AND(J5715=1,K5715=1),AND(J5715=1,I5715="SBJ"),AND(J5715=1,I5715=0)),"?IN_FOCUS",IF(J5715&lt;=2,"?ACTIVATED",IF(J5715&lt;&gt;"","?FAMILIAR",IF(F5715="NEW",IF(ISNA(VLOOKUP(E5715,#REF!,1,FALSE())),"?TYPE_IDENTIFIABLE","?REFERENTIAL"),"_")))))</f>
        <v> </v>
      </c>
      <c r="H5715" s="25" t="str">
        <f>IF(J5715&lt;&gt;1,"",IF(I5715="SBJ","CB","?"))</f>
        <v> </v>
      </c>
      <c r="I5715" s="26" t="str">
        <f>IF(OR(E5715="",E5715="!!!",F5715="NEW"),"",INDEX(B5714:B$2,-1+SUMPRODUCT(MAX(ROW(E5714:E$2)*(E5715=E5714:E$2)))))</f>
        <v> </v>
      </c>
      <c r="J5715" s="26" t="str">
        <f>IF(OR(E5715="",E5715="!!!",F5715="NEW"),"",COUNTBLANK(OFFSET(A$1,,,SUMPRODUCT(MAX(ROW(E$2:E5715)*(E5715=E$2:E5715)))))-COUNTBLANK(OFFSET(A$1,,,SUMPRODUCT(MAX(ROW(E$1:E5714)*(E2=E$1:E5714))))))</f>
        <v> </v>
      </c>
      <c r="K5715" s="26" t="str">
        <f>IF(OR(E5715="",E5715="!!!",F5715="NEW"),"",INDEX(J$1:J5714,SUMPRODUCT(MAX(ROW(E$1:E5714)*(E5715=E$1:E5714)))))</f>
        <v> </v>
      </c>
      <c r="L5715" s="27"/>
    </row>
    <row r="5716" spans="1:12">
      <c r="A5716" s="20" t="s">
        <v>2300</v>
      </c>
      <c r="B5716" s="21" t="s">
        <v>1224</v>
      </c>
      <c r="C5716" s="21" t="s">
        <v>1225</v>
      </c>
      <c r="D5716" s="21" t="s">
        <v>1217</v>
      </c>
      <c r="E5716" s="22">
        <f>IF(D5716="?OLD","!!!","")</f>
        <v/>
      </c>
      <c r="F5716" s="23" t="str">
        <f>IF(OR(E5716="",E5716="!!!"),"",IF(NOT(ISNA(VLOOKUP(E5716,E$1:E5715,1,FALSE()))),"OLD",IF(AND(E5716&lt;&gt;"",E5716&lt;&gt;"!!!"),"NEW","")))</f>
        <v> </v>
      </c>
      <c r="G5716" s="24" t="str">
        <f>IF(OR(E5716="",E5716="!!!"),"",IF(OR(J5716=0,AND(J5716=1,K5716=1),AND(J5716=1,I5716="SBJ"),AND(J5716=1,I5716=0)),"?IN_FOCUS",IF(J5716&lt;=2,"?ACTIVATED",IF(J5716&lt;&gt;"","?FAMILIAR",IF(F5716="NEW",IF(ISNA(VLOOKUP(E5716,#REF!,1,FALSE())),"?TYPE_IDENTIFIABLE","?REFERENTIAL"),"_")))))</f>
        <v> </v>
      </c>
      <c r="H5716" s="25" t="str">
        <f>IF(J5716&lt;&gt;1,"",IF(I5716="SBJ","CB","?"))</f>
        <v> </v>
      </c>
      <c r="I5716" s="26" t="str">
        <f>IF(OR(E5716="",E5716="!!!",F5716="NEW"),"",INDEX(B5715:B$2,-1+SUMPRODUCT(MAX(ROW(E5715:E$2)*(E5716=E5715:E$2)))))</f>
        <v> </v>
      </c>
      <c r="J5716" s="26" t="str">
        <f>IF(OR(E5716="",E5716="!!!",F5716="NEW"),"",COUNTBLANK(OFFSET(A$1,,,SUMPRODUCT(MAX(ROW(E$2:E5716)*(E5716=E$2:E5716)))))-COUNTBLANK(OFFSET(A$1,,,SUMPRODUCT(MAX(ROW(E$1:E5715)*(E2=E$1:E5715))))))</f>
        <v> </v>
      </c>
      <c r="K5716" s="26" t="str">
        <f>IF(OR(E5716="",E5716="!!!",F5716="NEW"),"",INDEX(J$1:J5715,SUMPRODUCT(MAX(ROW(E$1:E5715)*(E5716=E$1:E5715)))))</f>
        <v> </v>
      </c>
      <c r="L5716" s="27"/>
    </row>
    <row r="5717" spans="1:12">
      <c r="A5717" s="20" t="s">
        <v>1286</v>
      </c>
      <c r="E5717" s="22">
        <f>IF(D5717="?OLD","!!!","")</f>
        <v/>
      </c>
      <c r="F5717" s="23" t="str">
        <f>IF(OR(E5717="",E5717="!!!"),"",IF(NOT(ISNA(VLOOKUP(E5717,E$1:E5716,1,FALSE()))),"OLD",IF(AND(E5717&lt;&gt;"",E5717&lt;&gt;"!!!"),"NEW","")))</f>
        <v> </v>
      </c>
      <c r="G5717" s="24" t="str">
        <f>IF(OR(E5717="",E5717="!!!"),"",IF(OR(J5717=0,AND(J5717=1,K5717=1),AND(J5717=1,I5717="SBJ"),AND(J5717=1,I5717=0)),"?IN_FOCUS",IF(J5717&lt;=2,"?ACTIVATED",IF(J5717&lt;&gt;"","?FAMILIAR",IF(F5717="NEW",IF(ISNA(VLOOKUP(E5717,#REF!,1,FALSE())),"?TYPE_IDENTIFIABLE","?REFERENTIAL"),"_")))))</f>
        <v> </v>
      </c>
      <c r="H5717" s="25" t="str">
        <f>IF(J5717&lt;&gt;1,"",IF(I5717="SBJ","CB","?"))</f>
        <v> </v>
      </c>
      <c r="I5717" s="26" t="str">
        <f>IF(OR(E5717="",E5717="!!!",F5717="NEW"),"",INDEX(B5716:B$2,-1+SUMPRODUCT(MAX(ROW(E5716:E$2)*(E5717=E5716:E$2)))))</f>
        <v> </v>
      </c>
      <c r="J5717" s="26" t="str">
        <f>IF(OR(E5717="",E5717="!!!",F5717="NEW"),"",COUNTBLANK(OFFSET(A$1,,,SUMPRODUCT(MAX(ROW(E$2:E5717)*(E5717=E$2:E5717)))))-COUNTBLANK(OFFSET(A$1,,,SUMPRODUCT(MAX(ROW(E$1:E5716)*(E2=E$1:E5716))))))</f>
        <v> </v>
      </c>
      <c r="K5717" s="26" t="str">
        <f>IF(OR(E5717="",E5717="!!!",F5717="NEW"),"",INDEX(J$1:J5716,SUMPRODUCT(MAX(ROW(E$1:E5716)*(E5717=E$1:E5716)))))</f>
        <v> </v>
      </c>
      <c r="L5717" s="27"/>
    </row>
    <row r="5718" spans="1:12">
      <c r="A5718" s="20" t="s">
        <v>1363</v>
      </c>
      <c r="E5718" s="22">
        <f>IF(D5718="?OLD","!!!","")</f>
        <v/>
      </c>
      <c r="F5718" s="23" t="str">
        <f>IF(OR(E5718="",E5718="!!!"),"",IF(NOT(ISNA(VLOOKUP(E5718,E$1:E5717,1,FALSE()))),"OLD",IF(AND(E5718&lt;&gt;"",E5718&lt;&gt;"!!!"),"NEW","")))</f>
        <v> </v>
      </c>
      <c r="G5718" s="24" t="str">
        <f>IF(OR(E5718="",E5718="!!!"),"",IF(OR(J5718=0,AND(J5718=1,K5718=1),AND(J5718=1,I5718="SBJ"),AND(J5718=1,I5718=0)),"?IN_FOCUS",IF(J5718&lt;=2,"?ACTIVATED",IF(J5718&lt;&gt;"","?FAMILIAR",IF(F5718="NEW",IF(ISNA(VLOOKUP(E5718,#REF!,1,FALSE())),"?TYPE_IDENTIFIABLE","?REFERENTIAL"),"_")))))</f>
        <v> </v>
      </c>
      <c r="H5718" s="25" t="str">
        <f>IF(J5718&lt;&gt;1,"",IF(I5718="SBJ","CB","?"))</f>
        <v> </v>
      </c>
      <c r="I5718" s="26" t="str">
        <f>IF(OR(E5718="",E5718="!!!",F5718="NEW"),"",INDEX(B5717:B$2,-1+SUMPRODUCT(MAX(ROW(E5717:E$2)*(E5718=E5717:E$2)))))</f>
        <v> </v>
      </c>
      <c r="J5718" s="26" t="str">
        <f>IF(OR(E5718="",E5718="!!!",F5718="NEW"),"",COUNTBLANK(OFFSET(A$1,,,SUMPRODUCT(MAX(ROW(E$2:E5718)*(E5718=E$2:E5718)))))-COUNTBLANK(OFFSET(A$1,,,SUMPRODUCT(MAX(ROW(E$1:E5717)*(E2=E$1:E5717))))))</f>
        <v> </v>
      </c>
      <c r="K5718" s="26" t="str">
        <f>IF(OR(E5718="",E5718="!!!",F5718="NEW"),"",INDEX(J$1:J5717,SUMPRODUCT(MAX(ROW(E$1:E5717)*(E5718=E$1:E5717)))))</f>
        <v> </v>
      </c>
      <c r="L5718" s="27"/>
    </row>
    <row r="5719" spans="1:12">
      <c r="A5719" s="20" t="s">
        <v>1266</v>
      </c>
      <c r="E5719" s="22">
        <f>IF(D5719="?OLD","!!!","")</f>
        <v/>
      </c>
      <c r="F5719" s="23" t="str">
        <f>IF(OR(E5719="",E5719="!!!"),"",IF(NOT(ISNA(VLOOKUP(E5719,E$1:E5718,1,FALSE()))),"OLD",IF(AND(E5719&lt;&gt;"",E5719&lt;&gt;"!!!"),"NEW","")))</f>
        <v> </v>
      </c>
      <c r="G5719" s="24" t="str">
        <f>IF(OR(E5719="",E5719="!!!"),"",IF(OR(J5719=0,AND(J5719=1,K5719=1),AND(J5719=1,I5719="SBJ"),AND(J5719=1,I5719=0)),"?IN_FOCUS",IF(J5719&lt;=2,"?ACTIVATED",IF(J5719&lt;&gt;"","?FAMILIAR",IF(F5719="NEW",IF(ISNA(VLOOKUP(E5719,#REF!,1,FALSE())),"?TYPE_IDENTIFIABLE","?REFERENTIAL"),"_")))))</f>
        <v> </v>
      </c>
      <c r="H5719" s="25" t="str">
        <f>IF(J5719&lt;&gt;1,"",IF(I5719="SBJ","CB","?"))</f>
        <v> </v>
      </c>
      <c r="I5719" s="26" t="str">
        <f>IF(OR(E5719="",E5719="!!!",F5719="NEW"),"",INDEX(B5718:B$2,-1+SUMPRODUCT(MAX(ROW(E5718:E$2)*(E5719=E5718:E$2)))))</f>
        <v> </v>
      </c>
      <c r="J5719" s="26" t="str">
        <f>IF(OR(E5719="",E5719="!!!",F5719="NEW"),"",COUNTBLANK(OFFSET(A$1,,,SUMPRODUCT(MAX(ROW(E$2:E5719)*(E5719=E$2:E5719)))))-COUNTBLANK(OFFSET(A$1,,,SUMPRODUCT(MAX(ROW(E$1:E5718)*(E2=E$1:E5718))))))</f>
        <v> </v>
      </c>
      <c r="K5719" s="26" t="str">
        <f>IF(OR(E5719="",E5719="!!!",F5719="NEW"),"",INDEX(J$1:J5718,SUMPRODUCT(MAX(ROW(E$1:E5718)*(E5719=E$1:E5718)))))</f>
        <v> </v>
      </c>
      <c r="L5719" s="27"/>
    </row>
    <row r="5720" spans="1:12">
      <c r="A5720" s="20" t="s">
        <v>3003</v>
      </c>
      <c r="B5720" s="21" t="s">
        <v>1221</v>
      </c>
      <c r="C5720" s="21" t="s">
        <v>1269</v>
      </c>
      <c r="D5720" s="21" t="s">
        <v>1217</v>
      </c>
      <c r="E5720" s="22">
        <f>IF(D5720="?OLD","!!!","")</f>
        <v/>
      </c>
      <c r="F5720" s="23" t="str">
        <f>IF(OR(E5720="",E5720="!!!"),"",IF(NOT(ISNA(VLOOKUP(E5720,E$1:E5719,1,FALSE()))),"OLD",IF(AND(E5720&lt;&gt;"",E5720&lt;&gt;"!!!"),"NEW","")))</f>
        <v> </v>
      </c>
      <c r="G5720" s="24" t="str">
        <f>IF(OR(E5720="",E5720="!!!"),"",IF(OR(J5720=0,AND(J5720=1,K5720=1),AND(J5720=1,I5720="SBJ"),AND(J5720=1,I5720=0)),"?IN_FOCUS",IF(J5720&lt;=2,"?ACTIVATED",IF(J5720&lt;&gt;"","?FAMILIAR",IF(F5720="NEW",IF(ISNA(VLOOKUP(E5720,#REF!,1,FALSE())),"?TYPE_IDENTIFIABLE","?REFERENTIAL"),"_")))))</f>
        <v> </v>
      </c>
      <c r="H5720" s="25" t="str">
        <f>IF(J5720&lt;&gt;1,"",IF(I5720="SBJ","CB","?"))</f>
        <v> </v>
      </c>
      <c r="I5720" s="26" t="str">
        <f>IF(OR(E5720="",E5720="!!!",F5720="NEW"),"",INDEX(B5719:B$2,-1+SUMPRODUCT(MAX(ROW(E5719:E$2)*(E5720=E5719:E$2)))))</f>
        <v> </v>
      </c>
      <c r="J5720" s="26" t="str">
        <f>IF(OR(E5720="",E5720="!!!",F5720="NEW"),"",COUNTBLANK(OFFSET(A$1,,,SUMPRODUCT(MAX(ROW(E$2:E5720)*(E5720=E$2:E5720)))))-COUNTBLANK(OFFSET(A$1,,,SUMPRODUCT(MAX(ROW(E$1:E5719)*(E2=E$1:E5719))))))</f>
        <v> </v>
      </c>
      <c r="K5720" s="26" t="str">
        <f>IF(OR(E5720="",E5720="!!!",F5720="NEW"),"",INDEX(J$1:J5719,SUMPRODUCT(MAX(ROW(E$1:E5719)*(E5720=E$1:E5719)))))</f>
        <v> </v>
      </c>
      <c r="L5720" s="27"/>
    </row>
    <row r="5721" spans="1:12">
      <c r="A5721" s="20" t="s">
        <v>1526</v>
      </c>
      <c r="E5721" s="22">
        <f>IF(D5721="?OLD","!!!","")</f>
        <v/>
      </c>
      <c r="F5721" s="23" t="str">
        <f>IF(OR(E5721="",E5721="!!!"),"",IF(NOT(ISNA(VLOOKUP(E5721,E$1:E5720,1,FALSE()))),"OLD",IF(AND(E5721&lt;&gt;"",E5721&lt;&gt;"!!!"),"NEW","")))</f>
        <v> </v>
      </c>
      <c r="G5721" s="24" t="str">
        <f>IF(OR(E5721="",E5721="!!!"),"",IF(OR(J5721=0,AND(J5721=1,K5721=1),AND(J5721=1,I5721="SBJ"),AND(J5721=1,I5721=0)),"?IN_FOCUS",IF(J5721&lt;=2,"?ACTIVATED",IF(J5721&lt;&gt;"","?FAMILIAR",IF(F5721="NEW",IF(ISNA(VLOOKUP(E5721,#REF!,1,FALSE())),"?TYPE_IDENTIFIABLE","?REFERENTIAL"),"_")))))</f>
        <v> </v>
      </c>
      <c r="H5721" s="25" t="str">
        <f>IF(J5721&lt;&gt;1,"",IF(I5721="SBJ","CB","?"))</f>
        <v> </v>
      </c>
      <c r="I5721" s="26" t="str">
        <f>IF(OR(E5721="",E5721="!!!",F5721="NEW"),"",INDEX(B5720:B$2,-1+SUMPRODUCT(MAX(ROW(E5720:E$2)*(E5721=E5720:E$2)))))</f>
        <v> </v>
      </c>
      <c r="J5721" s="26" t="str">
        <f>IF(OR(E5721="",E5721="!!!",F5721="NEW"),"",COUNTBLANK(OFFSET(A$1,,,SUMPRODUCT(MAX(ROW(E$2:E5721)*(E5721=E$2:E5721)))))-COUNTBLANK(OFFSET(A$1,,,SUMPRODUCT(MAX(ROW(E$1:E5720)*(E2=E$1:E5720))))))</f>
        <v> </v>
      </c>
      <c r="K5721" s="26" t="str">
        <f>IF(OR(E5721="",E5721="!!!",F5721="NEW"),"",INDEX(J$1:J5720,SUMPRODUCT(MAX(ROW(E$1:E5720)*(E5721=E$1:E5720)))))</f>
        <v> </v>
      </c>
      <c r="L5721" s="27"/>
    </row>
    <row r="5722" spans="1:12">
      <c r="A5722" s="20" t="s">
        <v>3004</v>
      </c>
      <c r="E5722" s="22">
        <f>IF(D5722="?OLD","!!!","")</f>
        <v/>
      </c>
      <c r="F5722" s="23" t="str">
        <f>IF(OR(E5722="",E5722="!!!"),"",IF(NOT(ISNA(VLOOKUP(E5722,E$1:E5721,1,FALSE()))),"OLD",IF(AND(E5722&lt;&gt;"",E5722&lt;&gt;"!!!"),"NEW","")))</f>
        <v> </v>
      </c>
      <c r="G5722" s="24" t="str">
        <f>IF(OR(E5722="",E5722="!!!"),"",IF(OR(J5722=0,AND(J5722=1,K5722=1),AND(J5722=1,I5722="SBJ"),AND(J5722=1,I5722=0)),"?IN_FOCUS",IF(J5722&lt;=2,"?ACTIVATED",IF(J5722&lt;&gt;"","?FAMILIAR",IF(F5722="NEW",IF(ISNA(VLOOKUP(E5722,#REF!,1,FALSE())),"?TYPE_IDENTIFIABLE","?REFERENTIAL"),"_")))))</f>
        <v> </v>
      </c>
      <c r="H5722" s="25" t="str">
        <f>IF(J5722&lt;&gt;1,"",IF(I5722="SBJ","CB","?"))</f>
        <v> </v>
      </c>
      <c r="I5722" s="26" t="str">
        <f>IF(OR(E5722="",E5722="!!!",F5722="NEW"),"",INDEX(B5721:B$2,-1+SUMPRODUCT(MAX(ROW(E5721:E$2)*(E5722=E5721:E$2)))))</f>
        <v> </v>
      </c>
      <c r="J5722" s="26" t="str">
        <f>IF(OR(E5722="",E5722="!!!",F5722="NEW"),"",COUNTBLANK(OFFSET(A$1,,,SUMPRODUCT(MAX(ROW(E$2:E5722)*(E5722=E$2:E5722)))))-COUNTBLANK(OFFSET(A$1,,,SUMPRODUCT(MAX(ROW(E$1:E5721)*(E2=E$1:E5721))))))</f>
        <v> </v>
      </c>
      <c r="K5722" s="26" t="str">
        <f>IF(OR(E5722="",E5722="!!!",F5722="NEW"),"",INDEX(J$1:J5721,SUMPRODUCT(MAX(ROW(E$1:E5721)*(E5722=E$1:E5721)))))</f>
        <v> </v>
      </c>
      <c r="L5722" s="27"/>
    </row>
    <row r="5723" spans="1:12">
      <c r="A5723" s="20" t="s">
        <v>1649</v>
      </c>
      <c r="B5723" s="21" t="s">
        <v>1292</v>
      </c>
      <c r="C5723" s="21" t="s">
        <v>1225</v>
      </c>
      <c r="D5723" s="21" t="s">
        <v>1217</v>
      </c>
      <c r="E5723" s="22">
        <f>IF(D5723="?OLD","!!!","")</f>
        <v/>
      </c>
      <c r="F5723" s="23" t="str">
        <f>IF(OR(E5723="",E5723="!!!"),"",IF(NOT(ISNA(VLOOKUP(E5723,E$1:E5722,1,FALSE()))),"OLD",IF(AND(E5723&lt;&gt;"",E5723&lt;&gt;"!!!"),"NEW","")))</f>
        <v> </v>
      </c>
      <c r="G5723" s="24" t="str">
        <f>IF(OR(E5723="",E5723="!!!"),"",IF(OR(J5723=0,AND(J5723=1,K5723=1),AND(J5723=1,I5723="SBJ"),AND(J5723=1,I5723=0)),"?IN_FOCUS",IF(J5723&lt;=2,"?ACTIVATED",IF(J5723&lt;&gt;"","?FAMILIAR",IF(F5723="NEW",IF(ISNA(VLOOKUP(E5723,#REF!,1,FALSE())),"?TYPE_IDENTIFIABLE","?REFERENTIAL"),"_")))))</f>
        <v> </v>
      </c>
      <c r="H5723" s="25" t="str">
        <f>IF(J5723&lt;&gt;1,"",IF(I5723="SBJ","CB","?"))</f>
        <v> </v>
      </c>
      <c r="I5723" s="26" t="str">
        <f>IF(OR(E5723="",E5723="!!!",F5723="NEW"),"",INDEX(B5722:B$2,-1+SUMPRODUCT(MAX(ROW(E5722:E$2)*(E5723=E5722:E$2)))))</f>
        <v> </v>
      </c>
      <c r="J5723" s="26" t="str">
        <f>IF(OR(E5723="",E5723="!!!",F5723="NEW"),"",COUNTBLANK(OFFSET(A$1,,,SUMPRODUCT(MAX(ROW(E$2:E5723)*(E5723=E$2:E5723)))))-COUNTBLANK(OFFSET(A$1,,,SUMPRODUCT(MAX(ROW(E$1:E5722)*(E2=E$1:E5722))))))</f>
        <v> </v>
      </c>
      <c r="K5723" s="26" t="str">
        <f>IF(OR(E5723="",E5723="!!!",F5723="NEW"),"",INDEX(J$1:J5722,SUMPRODUCT(MAX(ROW(E$1:E5722)*(E5723=E$1:E5722)))))</f>
        <v> </v>
      </c>
      <c r="L5723" s="27"/>
    </row>
    <row r="5724" spans="1:12">
      <c r="A5724" s="20" t="s">
        <v>3005</v>
      </c>
      <c r="B5724" s="21" t="s">
        <v>1261</v>
      </c>
      <c r="C5724" s="21" t="s">
        <v>1225</v>
      </c>
      <c r="D5724" s="21" t="s">
        <v>1217</v>
      </c>
      <c r="E5724" s="22">
        <f>IF(D5724="?OLD","!!!","")</f>
        <v/>
      </c>
      <c r="F5724" s="23" t="str">
        <f>IF(OR(E5724="",E5724="!!!"),"",IF(NOT(ISNA(VLOOKUP(E5724,E$1:E5723,1,FALSE()))),"OLD",IF(AND(E5724&lt;&gt;"",E5724&lt;&gt;"!!!"),"NEW","")))</f>
        <v> </v>
      </c>
      <c r="G5724" s="24" t="str">
        <f>IF(OR(E5724="",E5724="!!!"),"",IF(OR(J5724=0,AND(J5724=1,K5724=1),AND(J5724=1,I5724="SBJ"),AND(J5724=1,I5724=0)),"?IN_FOCUS",IF(J5724&lt;=2,"?ACTIVATED",IF(J5724&lt;&gt;"","?FAMILIAR",IF(F5724="NEW",IF(ISNA(VLOOKUP(E5724,#REF!,1,FALSE())),"?TYPE_IDENTIFIABLE","?REFERENTIAL"),"_")))))</f>
        <v> </v>
      </c>
      <c r="H5724" s="25" t="str">
        <f>IF(J5724&lt;&gt;1,"",IF(I5724="SBJ","CB","?"))</f>
        <v> </v>
      </c>
      <c r="I5724" s="26" t="str">
        <f>IF(OR(E5724="",E5724="!!!",F5724="NEW"),"",INDEX(B5723:B$2,-1+SUMPRODUCT(MAX(ROW(E5723:E$2)*(E5724=E5723:E$2)))))</f>
        <v> </v>
      </c>
      <c r="J5724" s="26" t="str">
        <f>IF(OR(E5724="",E5724="!!!",F5724="NEW"),"",COUNTBLANK(OFFSET(A$1,,,SUMPRODUCT(MAX(ROW(E$2:E5724)*(E5724=E$2:E5724)))))-COUNTBLANK(OFFSET(A$1,,,SUMPRODUCT(MAX(ROW(E$1:E5723)*(E2=E$1:E5723))))))</f>
        <v> </v>
      </c>
      <c r="K5724" s="26" t="str">
        <f>IF(OR(E5724="",E5724="!!!",F5724="NEW"),"",INDEX(J$1:J5723,SUMPRODUCT(MAX(ROW(E$1:E5723)*(E5724=E$1:E5723)))))</f>
        <v> </v>
      </c>
      <c r="L5724" s="27"/>
    </row>
    <row r="5725" spans="1:12">
      <c r="A5725" s="20" t="s">
        <v>1436</v>
      </c>
      <c r="E5725" s="22">
        <f>IF(D5725="?OLD","!!!","")</f>
        <v/>
      </c>
      <c r="F5725" s="23" t="str">
        <f>IF(OR(E5725="",E5725="!!!"),"",IF(NOT(ISNA(VLOOKUP(E5725,E$1:E5724,1,FALSE()))),"OLD",IF(AND(E5725&lt;&gt;"",E5725&lt;&gt;"!!!"),"NEW","")))</f>
        <v> </v>
      </c>
      <c r="G5725" s="24" t="str">
        <f>IF(OR(E5725="",E5725="!!!"),"",IF(OR(J5725=0,AND(J5725=1,K5725=1),AND(J5725=1,I5725="SBJ"),AND(J5725=1,I5725=0)),"?IN_FOCUS",IF(J5725&lt;=2,"?ACTIVATED",IF(J5725&lt;&gt;"","?FAMILIAR",IF(F5725="NEW",IF(ISNA(VLOOKUP(E5725,#REF!,1,FALSE())),"?TYPE_IDENTIFIABLE","?REFERENTIAL"),"_")))))</f>
        <v> </v>
      </c>
      <c r="H5725" s="25" t="str">
        <f>IF(J5725&lt;&gt;1,"",IF(I5725="SBJ","CB","?"))</f>
        <v> </v>
      </c>
      <c r="I5725" s="26" t="str">
        <f>IF(OR(E5725="",E5725="!!!",F5725="NEW"),"",INDEX(B5724:B$2,-1+SUMPRODUCT(MAX(ROW(E5724:E$2)*(E5725=E5724:E$2)))))</f>
        <v> </v>
      </c>
      <c r="J5725" s="26" t="str">
        <f>IF(OR(E5725="",E5725="!!!",F5725="NEW"),"",COUNTBLANK(OFFSET(A$1,,,SUMPRODUCT(MAX(ROW(E$2:E5725)*(E5725=E$2:E5725)))))-COUNTBLANK(OFFSET(A$1,,,SUMPRODUCT(MAX(ROW(E$1:E5724)*(E2=E$1:E5724))))))</f>
        <v> </v>
      </c>
      <c r="K5725" s="26" t="str">
        <f>IF(OR(E5725="",E5725="!!!",F5725="NEW"),"",INDEX(J$1:J5724,SUMPRODUCT(MAX(ROW(E$1:E5724)*(E5725=E$1:E5724)))))</f>
        <v> </v>
      </c>
      <c r="L5725" s="27"/>
    </row>
    <row r="5726" spans="1:12">
      <c r="A5726" s="20" t="s">
        <v>1245</v>
      </c>
      <c r="E5726" s="22">
        <f>IF(D5726="?OLD","!!!","")</f>
        <v/>
      </c>
      <c r="F5726" s="23" t="str">
        <f>IF(OR(E5726="",E5726="!!!"),"",IF(NOT(ISNA(VLOOKUP(E5726,E$1:E5725,1,FALSE()))),"OLD",IF(AND(E5726&lt;&gt;"",E5726&lt;&gt;"!!!"),"NEW","")))</f>
        <v> </v>
      </c>
      <c r="G5726" s="24" t="str">
        <f>IF(OR(E5726="",E5726="!!!"),"",IF(OR(J5726=0,AND(J5726=1,K5726=1),AND(J5726=1,I5726="SBJ"),AND(J5726=1,I5726=0)),"?IN_FOCUS",IF(J5726&lt;=2,"?ACTIVATED",IF(J5726&lt;&gt;"","?FAMILIAR",IF(F5726="NEW",IF(ISNA(VLOOKUP(E5726,#REF!,1,FALSE())),"?TYPE_IDENTIFIABLE","?REFERENTIAL"),"_")))))</f>
        <v> </v>
      </c>
      <c r="H5726" s="25" t="str">
        <f>IF(J5726&lt;&gt;1,"",IF(I5726="SBJ","CB","?"))</f>
        <v> </v>
      </c>
      <c r="I5726" s="26" t="str">
        <f>IF(OR(E5726="",E5726="!!!",F5726="NEW"),"",INDEX(B5725:B$2,-1+SUMPRODUCT(MAX(ROW(E5725:E$2)*(E5726=E5725:E$2)))))</f>
        <v> </v>
      </c>
      <c r="J5726" s="26" t="str">
        <f>IF(OR(E5726="",E5726="!!!",F5726="NEW"),"",COUNTBLANK(OFFSET(A$1,,,SUMPRODUCT(MAX(ROW(E$2:E5726)*(E5726=E$2:E5726)))))-COUNTBLANK(OFFSET(A$1,,,SUMPRODUCT(MAX(ROW(E$1:E5725)*(E2=E$1:E5725))))))</f>
        <v> </v>
      </c>
      <c r="K5726" s="26" t="str">
        <f>IF(OR(E5726="",E5726="!!!",F5726="NEW"),"",INDEX(J$1:J5725,SUMPRODUCT(MAX(ROW(E$1:E5725)*(E5726=E$1:E5725)))))</f>
        <v> </v>
      </c>
      <c r="L5726" s="27"/>
    </row>
    <row r="5727" spans="1:12">
      <c r="A5727" s="20" t="s">
        <v>1266</v>
      </c>
      <c r="B5727" s="21" t="s">
        <v>1254</v>
      </c>
      <c r="C5727" s="21" t="s">
        <v>1255</v>
      </c>
      <c r="D5727" s="21" t="s">
        <v>1217</v>
      </c>
      <c r="E5727" s="22">
        <f>IF(D5727="?OLD","!!!","")</f>
        <v/>
      </c>
      <c r="F5727" s="23" t="str">
        <f>IF(OR(E5727="",E5727="!!!"),"",IF(NOT(ISNA(VLOOKUP(E5727,E$1:E5726,1,FALSE()))),"OLD",IF(AND(E5727&lt;&gt;"",E5727&lt;&gt;"!!!"),"NEW","")))</f>
        <v> </v>
      </c>
      <c r="G5727" s="24" t="str">
        <f>IF(OR(E5727="",E5727="!!!"),"",IF(OR(J5727=0,AND(J5727=1,K5727=1),AND(J5727=1,I5727="SBJ"),AND(J5727=1,I5727=0)),"?IN_FOCUS",IF(J5727&lt;=2,"?ACTIVATED",IF(J5727&lt;&gt;"","?FAMILIAR",IF(F5727="NEW",IF(ISNA(VLOOKUP(E5727,#REF!,1,FALSE())),"?TYPE_IDENTIFIABLE","?REFERENTIAL"),"_")))))</f>
        <v> </v>
      </c>
      <c r="H5727" s="25" t="str">
        <f>IF(J5727&lt;&gt;1,"",IF(I5727="SBJ","CB","?"))</f>
        <v> </v>
      </c>
      <c r="I5727" s="26" t="str">
        <f>IF(OR(E5727="",E5727="!!!",F5727="NEW"),"",INDEX(B5726:B$2,-1+SUMPRODUCT(MAX(ROW(E5726:E$2)*(E5727=E5726:E$2)))))</f>
        <v> </v>
      </c>
      <c r="J5727" s="26" t="str">
        <f>IF(OR(E5727="",E5727="!!!",F5727="NEW"),"",COUNTBLANK(OFFSET(A$1,,,SUMPRODUCT(MAX(ROW(E$2:E5727)*(E5727=E$2:E5727)))))-COUNTBLANK(OFFSET(A$1,,,SUMPRODUCT(MAX(ROW(E$1:E5726)*(E2=E$1:E5726))))))</f>
        <v> </v>
      </c>
      <c r="K5727" s="26" t="str">
        <f>IF(OR(E5727="",E5727="!!!",F5727="NEW"),"",INDEX(J$1:J5726,SUMPRODUCT(MAX(ROW(E$1:E5726)*(E5727=E$1:E5726)))))</f>
        <v> </v>
      </c>
      <c r="L5727" s="27"/>
    </row>
    <row r="5728" spans="1:12">
      <c r="A5728" s="20" t="s">
        <v>644</v>
      </c>
      <c r="E5728" s="22">
        <f>IF(D5728="?OLD","!!!","")</f>
        <v/>
      </c>
      <c r="F5728" s="23" t="str">
        <f>IF(OR(E5728="",E5728="!!!"),"",IF(NOT(ISNA(VLOOKUP(E5728,E$1:E5727,1,FALSE()))),"OLD",IF(AND(E5728&lt;&gt;"",E5728&lt;&gt;"!!!"),"NEW","")))</f>
        <v> </v>
      </c>
      <c r="G5728" s="24" t="str">
        <f>IF(OR(E5728="",E5728="!!!"),"",IF(OR(J5728=0,AND(J5728=1,K5728=1),AND(J5728=1,I5728="SBJ"),AND(J5728=1,I5728=0)),"?IN_FOCUS",IF(J5728&lt;=2,"?ACTIVATED",IF(J5728&lt;&gt;"","?FAMILIAR",IF(F5728="NEW",IF(ISNA(VLOOKUP(E5728,#REF!,1,FALSE())),"?TYPE_IDENTIFIABLE","?REFERENTIAL"),"_")))))</f>
        <v> </v>
      </c>
      <c r="H5728" s="25" t="str">
        <f>IF(J5728&lt;&gt;1,"",IF(I5728="SBJ","CB","?"))</f>
        <v> </v>
      </c>
      <c r="I5728" s="26" t="str">
        <f>IF(OR(E5728="",E5728="!!!",F5728="NEW"),"",INDEX(B5727:B$2,-1+SUMPRODUCT(MAX(ROW(E5727:E$2)*(E5728=E5727:E$2)))))</f>
        <v> </v>
      </c>
      <c r="J5728" s="26" t="str">
        <f>IF(OR(E5728="",E5728="!!!",F5728="NEW"),"",COUNTBLANK(OFFSET(A$1,,,SUMPRODUCT(MAX(ROW(E$2:E5728)*(E5728=E$2:E5728)))))-COUNTBLANK(OFFSET(A$1,,,SUMPRODUCT(MAX(ROW(E$1:E5727)*(E2=E$1:E5727))))))</f>
        <v> </v>
      </c>
      <c r="K5728" s="26" t="str">
        <f>IF(OR(E5728="",E5728="!!!",F5728="NEW"),"",INDEX(J$1:J5727,SUMPRODUCT(MAX(ROW(E$1:E5727)*(E5728=E$1:E5727)))))</f>
        <v> </v>
      </c>
      <c r="L5728" s="27"/>
    </row>
    <row r="5729" spans="1:12">
      <c r="A5729" s="20" t="s">
        <v>1262</v>
      </c>
      <c r="E5729" s="22">
        <f>IF(D5729="?OLD","!!!","")</f>
        <v/>
      </c>
      <c r="F5729" s="23" t="str">
        <f>IF(OR(E5729="",E5729="!!!"),"",IF(NOT(ISNA(VLOOKUP(E5729,E$1:E5728,1,FALSE()))),"OLD",IF(AND(E5729&lt;&gt;"",E5729&lt;&gt;"!!!"),"NEW","")))</f>
        <v> </v>
      </c>
      <c r="G5729" s="24" t="str">
        <f>IF(OR(E5729="",E5729="!!!"),"",IF(OR(J5729=0,AND(J5729=1,K5729=1),AND(J5729=1,I5729="SBJ"),AND(J5729=1,I5729=0)),"?IN_FOCUS",IF(J5729&lt;=2,"?ACTIVATED",IF(J5729&lt;&gt;"","?FAMILIAR",IF(F5729="NEW",IF(ISNA(VLOOKUP(E5729,#REF!,1,FALSE())),"?TYPE_IDENTIFIABLE","?REFERENTIAL"),"_")))))</f>
        <v> </v>
      </c>
      <c r="H5729" s="25" t="str">
        <f>IF(J5729&lt;&gt;1,"",IF(I5729="SBJ","CB","?"))</f>
        <v> </v>
      </c>
      <c r="I5729" s="26" t="str">
        <f>IF(OR(E5729="",E5729="!!!",F5729="NEW"),"",INDEX(B5728:B$2,-1+SUMPRODUCT(MAX(ROW(E5728:E$2)*(E5729=E5728:E$2)))))</f>
        <v> </v>
      </c>
      <c r="J5729" s="26" t="str">
        <f>IF(OR(E5729="",E5729="!!!",F5729="NEW"),"",COUNTBLANK(OFFSET(A$1,,,SUMPRODUCT(MAX(ROW(E$2:E5729)*(E5729=E$2:E5729)))))-COUNTBLANK(OFFSET(A$1,,,SUMPRODUCT(MAX(ROW(E$1:E5728)*(E2=E$1:E5728))))))</f>
        <v> </v>
      </c>
      <c r="K5729" s="26" t="str">
        <f>IF(OR(E5729="",E5729="!!!",F5729="NEW"),"",INDEX(J$1:J5728,SUMPRODUCT(MAX(ROW(E$1:E5728)*(E5729=E$1:E5728)))))</f>
        <v> </v>
      </c>
      <c r="L5729" s="27"/>
    </row>
    <row r="5730" spans="1:12">
      <c r="A5730" s="20"/>
    </row>
    <row r="5731" spans="1:12">
      <c r="A5731" s="20" t="s">
        <v>3006</v>
      </c>
    </row>
    <row r="5732" spans="1:12">
      <c r="A5732" s="20" t="s">
        <v>1809</v>
      </c>
      <c r="E5732" s="22">
        <f>IF(D5732="?OLD","!!!","")</f>
        <v/>
      </c>
      <c r="F5732" s="23" t="str">
        <f>IF(OR(E5732="",E5732="!!!"),"",IF(NOT(ISNA(VLOOKUP(E5732,E$1:E5731,1,FALSE()))),"OLD",IF(AND(E5732&lt;&gt;"",E5732&lt;&gt;"!!!"),"NEW","")))</f>
        <v> </v>
      </c>
      <c r="G5732" s="24" t="str">
        <f>IF(OR(E5732="",E5732="!!!"),"",IF(OR(J5732=0,AND(J5732=1,K5732=1),AND(J5732=1,I5732="SBJ"),AND(J5732=1,I5732=0)),"?IN_FOCUS",IF(J5732&lt;=2,"?ACTIVATED",IF(J5732&lt;&gt;"","?FAMILIAR",IF(F5732="NEW",IF(ISNA(VLOOKUP(E5732,#REF!,1,FALSE())),"?TYPE_IDENTIFIABLE","?REFERENTIAL"),"_")))))</f>
        <v> </v>
      </c>
      <c r="H5732" s="25" t="str">
        <f>IF(J5732&lt;&gt;1,"",IF(I5732="SBJ","CB","?"))</f>
        <v> </v>
      </c>
      <c r="I5732" s="26" t="str">
        <f>IF(OR(E5732="",E5732="!!!",F5732="NEW"),"",INDEX(B5731:B$2,-1+SUMPRODUCT(MAX(ROW(E5731:E$2)*(E5732=E5731:E$2)))))</f>
        <v> </v>
      </c>
      <c r="J5732" s="26" t="str">
        <f>IF(OR(E5732="",E5732="!!!",F5732="NEW"),"",COUNTBLANK(OFFSET(A$1,,,SUMPRODUCT(MAX(ROW(E$2:E5732)*(E5732=E$2:E5732)))))-COUNTBLANK(OFFSET(A$1,,,SUMPRODUCT(MAX(ROW(E$1:E5731)*(E2=E$1:E5731))))))</f>
        <v> </v>
      </c>
      <c r="K5732" s="26" t="str">
        <f>IF(OR(E5732="",E5732="!!!",F5732="NEW"),"",INDEX(J$1:J5731,SUMPRODUCT(MAX(ROW(E$1:E5731)*(E5732=E$1:E5731)))))</f>
        <v> </v>
      </c>
      <c r="L5732" s="27"/>
    </row>
    <row r="5733" spans="1:12">
      <c r="A5733" s="20" t="s">
        <v>1467</v>
      </c>
      <c r="B5733" s="21" t="s">
        <v>1215</v>
      </c>
      <c r="C5733" s="21" t="s">
        <v>1255</v>
      </c>
      <c r="D5733" s="21" t="s">
        <v>1217</v>
      </c>
      <c r="E5733" s="22">
        <f>IF(D5733="?OLD","!!!","")</f>
        <v/>
      </c>
      <c r="F5733" s="23" t="str">
        <f>IF(OR(E5733="",E5733="!!!"),"",IF(NOT(ISNA(VLOOKUP(E5733,E$1:E5732,1,FALSE()))),"OLD",IF(AND(E5733&lt;&gt;"",E5733&lt;&gt;"!!!"),"NEW","")))</f>
        <v> </v>
      </c>
      <c r="G5733" s="24" t="str">
        <f>IF(OR(E5733="",E5733="!!!"),"",IF(OR(J5733=0,AND(J5733=1,K5733=1),AND(J5733=1,I5733="SBJ"),AND(J5733=1,I5733=0)),"?IN_FOCUS",IF(J5733&lt;=2,"?ACTIVATED",IF(J5733&lt;&gt;"","?FAMILIAR",IF(F5733="NEW",IF(ISNA(VLOOKUP(E5733,#REF!,1,FALSE())),"?TYPE_IDENTIFIABLE","?REFERENTIAL"),"_")))))</f>
        <v> </v>
      </c>
      <c r="H5733" s="25" t="str">
        <f>IF(J5733&lt;&gt;1,"",IF(I5733="SBJ","CB","?"))</f>
        <v> </v>
      </c>
      <c r="I5733" s="26" t="str">
        <f>IF(OR(E5733="",E5733="!!!",F5733="NEW"),"",INDEX(B5732:B$2,-1+SUMPRODUCT(MAX(ROW(E5732:E$2)*(E5733=E5732:E$2)))))</f>
        <v> </v>
      </c>
      <c r="J5733" s="26" t="str">
        <f>IF(OR(E5733="",E5733="!!!",F5733="NEW"),"",COUNTBLANK(OFFSET(A$1,,,SUMPRODUCT(MAX(ROW(E$2:E5733)*(E5733=E$2:E5733)))))-COUNTBLANK(OFFSET(A$1,,,SUMPRODUCT(MAX(ROW(E$1:E5732)*(E2=E$1:E5732))))))</f>
        <v> </v>
      </c>
      <c r="K5733" s="26" t="str">
        <f>IF(OR(E5733="",E5733="!!!",F5733="NEW"),"",INDEX(J$1:J5732,SUMPRODUCT(MAX(ROW(E$1:E5732)*(E5733=E$1:E5732)))))</f>
        <v> </v>
      </c>
      <c r="L5733" s="27"/>
    </row>
    <row r="5734" spans="1:12">
      <c r="A5734" s="20" t="s">
        <v>3007</v>
      </c>
      <c r="E5734" s="22">
        <f>IF(D5734="?OLD","!!!","")</f>
        <v/>
      </c>
      <c r="F5734" s="23" t="str">
        <f>IF(OR(E5734="",E5734="!!!"),"",IF(NOT(ISNA(VLOOKUP(E5734,E$1:E5733,1,FALSE()))),"OLD",IF(AND(E5734&lt;&gt;"",E5734&lt;&gt;"!!!"),"NEW","")))</f>
        <v> </v>
      </c>
      <c r="G5734" s="24" t="str">
        <f>IF(OR(E5734="",E5734="!!!"),"",IF(OR(J5734=0,AND(J5734=1,K5734=1),AND(J5734=1,I5734="SBJ"),AND(J5734=1,I5734=0)),"?IN_FOCUS",IF(J5734&lt;=2,"?ACTIVATED",IF(J5734&lt;&gt;"","?FAMILIAR",IF(F5734="NEW",IF(ISNA(VLOOKUP(E5734,#REF!,1,FALSE())),"?TYPE_IDENTIFIABLE","?REFERENTIAL"),"_")))))</f>
        <v> </v>
      </c>
      <c r="H5734" s="25" t="str">
        <f>IF(J5734&lt;&gt;1,"",IF(I5734="SBJ","CB","?"))</f>
        <v> </v>
      </c>
      <c r="I5734" s="26" t="str">
        <f>IF(OR(E5734="",E5734="!!!",F5734="NEW"),"",INDEX(B5733:B$2,-1+SUMPRODUCT(MAX(ROW(E5733:E$2)*(E5734=E5733:E$2)))))</f>
        <v> </v>
      </c>
      <c r="J5734" s="26" t="str">
        <f>IF(OR(E5734="",E5734="!!!",F5734="NEW"),"",COUNTBLANK(OFFSET(A$1,,,SUMPRODUCT(MAX(ROW(E$2:E5734)*(E5734=E$2:E5734)))))-COUNTBLANK(OFFSET(A$1,,,SUMPRODUCT(MAX(ROW(E$1:E5733)*(E2=E$1:E5733))))))</f>
        <v> </v>
      </c>
      <c r="K5734" s="26" t="str">
        <f>IF(OR(E5734="",E5734="!!!",F5734="NEW"),"",INDEX(J$1:J5733,SUMPRODUCT(MAX(ROW(E$1:E5733)*(E5734=E$1:E5733)))))</f>
        <v> </v>
      </c>
      <c r="L5734" s="27"/>
    </row>
    <row r="5735" spans="1:12">
      <c r="A5735" s="20" t="s">
        <v>1321</v>
      </c>
      <c r="E5735" s="22">
        <f>IF(D5735="?OLD","!!!","")</f>
        <v/>
      </c>
      <c r="F5735" s="23" t="str">
        <f>IF(OR(E5735="",E5735="!!!"),"",IF(NOT(ISNA(VLOOKUP(E5735,E$1:E5734,1,FALSE()))),"OLD",IF(AND(E5735&lt;&gt;"",E5735&lt;&gt;"!!!"),"NEW","")))</f>
        <v> </v>
      </c>
      <c r="G5735" s="24" t="str">
        <f>IF(OR(E5735="",E5735="!!!"),"",IF(OR(J5735=0,AND(J5735=1,K5735=1),AND(J5735=1,I5735="SBJ"),AND(J5735=1,I5735=0)),"?IN_FOCUS",IF(J5735&lt;=2,"?ACTIVATED",IF(J5735&lt;&gt;"","?FAMILIAR",IF(F5735="NEW",IF(ISNA(VLOOKUP(E5735,#REF!,1,FALSE())),"?TYPE_IDENTIFIABLE","?REFERENTIAL"),"_")))))</f>
        <v> </v>
      </c>
      <c r="H5735" s="25" t="str">
        <f>IF(J5735&lt;&gt;1,"",IF(I5735="SBJ","CB","?"))</f>
        <v> </v>
      </c>
      <c r="I5735" s="26" t="str">
        <f>IF(OR(E5735="",E5735="!!!",F5735="NEW"),"",INDEX(B5734:B$2,-1+SUMPRODUCT(MAX(ROW(E5734:E$2)*(E5735=E5734:E$2)))))</f>
        <v> </v>
      </c>
      <c r="J5735" s="26" t="str">
        <f>IF(OR(E5735="",E5735="!!!",F5735="NEW"),"",COUNTBLANK(OFFSET(A$1,,,SUMPRODUCT(MAX(ROW(E$2:E5735)*(E5735=E$2:E5735)))))-COUNTBLANK(OFFSET(A$1,,,SUMPRODUCT(MAX(ROW(E$1:E5734)*(E2=E$1:E5734))))))</f>
        <v> </v>
      </c>
      <c r="K5735" s="26" t="str">
        <f>IF(OR(E5735="",E5735="!!!",F5735="NEW"),"",INDEX(J$1:J5734,SUMPRODUCT(MAX(ROW(E$1:E5734)*(E5735=E$1:E5734)))))</f>
        <v> </v>
      </c>
      <c r="L5735" s="27"/>
    </row>
    <row r="5736" spans="1:12">
      <c r="A5736" s="20" t="s">
        <v>1329</v>
      </c>
      <c r="B5736" s="21" t="s">
        <v>1283</v>
      </c>
      <c r="C5736" s="21" t="s">
        <v>1234</v>
      </c>
      <c r="D5736" s="21" t="s">
        <v>1217</v>
      </c>
      <c r="E5736" s="22">
        <f>IF(D5736="?OLD","!!!","")</f>
        <v/>
      </c>
      <c r="F5736" s="23" t="str">
        <f>IF(OR(E5736="",E5736="!!!"),"",IF(NOT(ISNA(VLOOKUP(E5736,E$1:E5735,1,FALSE()))),"OLD",IF(AND(E5736&lt;&gt;"",E5736&lt;&gt;"!!!"),"NEW","")))</f>
        <v> </v>
      </c>
      <c r="G5736" s="24" t="str">
        <f>IF(OR(E5736="",E5736="!!!"),"",IF(OR(J5736=0,AND(J5736=1,K5736=1),AND(J5736=1,I5736="SBJ"),AND(J5736=1,I5736=0)),"?IN_FOCUS",IF(J5736&lt;=2,"?ACTIVATED",IF(J5736&lt;&gt;"","?FAMILIAR",IF(F5736="NEW",IF(ISNA(VLOOKUP(E5736,#REF!,1,FALSE())),"?TYPE_IDENTIFIABLE","?REFERENTIAL"),"_")))))</f>
        <v> </v>
      </c>
      <c r="H5736" s="25" t="str">
        <f>IF(J5736&lt;&gt;1,"",IF(I5736="SBJ","CB","?"))</f>
        <v> </v>
      </c>
      <c r="I5736" s="26" t="str">
        <f>IF(OR(E5736="",E5736="!!!",F5736="NEW"),"",INDEX(B5735:B$2,-1+SUMPRODUCT(MAX(ROW(E5735:E$2)*(E5736=E5735:E$2)))))</f>
        <v> </v>
      </c>
      <c r="J5736" s="26" t="str">
        <f>IF(OR(E5736="",E5736="!!!",F5736="NEW"),"",COUNTBLANK(OFFSET(A$1,,,SUMPRODUCT(MAX(ROW(E$2:E5736)*(E5736=E$2:E5736)))))-COUNTBLANK(OFFSET(A$1,,,SUMPRODUCT(MAX(ROW(E$1:E5735)*(E2=E$1:E5735))))))</f>
        <v> </v>
      </c>
      <c r="K5736" s="26" t="str">
        <f>IF(OR(E5736="",E5736="!!!",F5736="NEW"),"",INDEX(J$1:J5735,SUMPRODUCT(MAX(ROW(E$1:E5735)*(E5736=E$1:E5735)))))</f>
        <v> </v>
      </c>
      <c r="L5736" s="27"/>
    </row>
    <row r="5737" spans="1:12">
      <c r="A5737" s="20" t="s">
        <v>3008</v>
      </c>
      <c r="E5737" s="22">
        <f>IF(D5737="?OLD","!!!","")</f>
        <v/>
      </c>
      <c r="F5737" s="23" t="str">
        <f>IF(OR(E5737="",E5737="!!!"),"",IF(NOT(ISNA(VLOOKUP(E5737,E$1:E5736,1,FALSE()))),"OLD",IF(AND(E5737&lt;&gt;"",E5737&lt;&gt;"!!!"),"NEW","")))</f>
        <v> </v>
      </c>
      <c r="G5737" s="24" t="str">
        <f>IF(OR(E5737="",E5737="!!!"),"",IF(OR(J5737=0,AND(J5737=1,K5737=1),AND(J5737=1,I5737="SBJ"),AND(J5737=1,I5737=0)),"?IN_FOCUS",IF(J5737&lt;=2,"?ACTIVATED",IF(J5737&lt;&gt;"","?FAMILIAR",IF(F5737="NEW",IF(ISNA(VLOOKUP(E5737,#REF!,1,FALSE())),"?TYPE_IDENTIFIABLE","?REFERENTIAL"),"_")))))</f>
        <v> </v>
      </c>
      <c r="H5737" s="25" t="str">
        <f>IF(J5737&lt;&gt;1,"",IF(I5737="SBJ","CB","?"))</f>
        <v> </v>
      </c>
      <c r="I5737" s="26" t="str">
        <f>IF(OR(E5737="",E5737="!!!",F5737="NEW"),"",INDEX(B5736:B$2,-1+SUMPRODUCT(MAX(ROW(E5736:E$2)*(E5737=E5736:E$2)))))</f>
        <v> </v>
      </c>
      <c r="J5737" s="26" t="str">
        <f>IF(OR(E5737="",E5737="!!!",F5737="NEW"),"",COUNTBLANK(OFFSET(A$1,,,SUMPRODUCT(MAX(ROW(E$2:E5737)*(E5737=E$2:E5737)))))-COUNTBLANK(OFFSET(A$1,,,SUMPRODUCT(MAX(ROW(E$1:E5736)*(E2=E$1:E5736))))))</f>
        <v> </v>
      </c>
      <c r="K5737" s="26" t="str">
        <f>IF(OR(E5737="",E5737="!!!",F5737="NEW"),"",INDEX(J$1:J5736,SUMPRODUCT(MAX(ROW(E$1:E5736)*(E5737=E$1:E5736)))))</f>
        <v> </v>
      </c>
      <c r="L5737" s="27"/>
    </row>
    <row r="5738" spans="1:12">
      <c r="A5738" s="20" t="s">
        <v>3009</v>
      </c>
      <c r="E5738" s="22">
        <f>IF(D5738="?OLD","!!!","")</f>
        <v/>
      </c>
      <c r="F5738" s="23" t="str">
        <f>IF(OR(E5738="",E5738="!!!"),"",IF(NOT(ISNA(VLOOKUP(E5738,E$1:E5737,1,FALSE()))),"OLD",IF(AND(E5738&lt;&gt;"",E5738&lt;&gt;"!!!"),"NEW","")))</f>
        <v> </v>
      </c>
      <c r="G5738" s="24" t="str">
        <f>IF(OR(E5738="",E5738="!!!"),"",IF(OR(J5738=0,AND(J5738=1,K5738=1),AND(J5738=1,I5738="SBJ"),AND(J5738=1,I5738=0)),"?IN_FOCUS",IF(J5738&lt;=2,"?ACTIVATED",IF(J5738&lt;&gt;"","?FAMILIAR",IF(F5738="NEW",IF(ISNA(VLOOKUP(E5738,#REF!,1,FALSE())),"?TYPE_IDENTIFIABLE","?REFERENTIAL"),"_")))))</f>
        <v> </v>
      </c>
      <c r="H5738" s="25" t="str">
        <f>IF(J5738&lt;&gt;1,"",IF(I5738="SBJ","CB","?"))</f>
        <v> </v>
      </c>
      <c r="I5738" s="26" t="str">
        <f>IF(OR(E5738="",E5738="!!!",F5738="NEW"),"",INDEX(B5737:B$2,-1+SUMPRODUCT(MAX(ROW(E5737:E$2)*(E5738=E5737:E$2)))))</f>
        <v> </v>
      </c>
      <c r="J5738" s="26" t="str">
        <f>IF(OR(E5738="",E5738="!!!",F5738="NEW"),"",COUNTBLANK(OFFSET(A$1,,,SUMPRODUCT(MAX(ROW(E$2:E5738)*(E5738=E$2:E5738)))))-COUNTBLANK(OFFSET(A$1,,,SUMPRODUCT(MAX(ROW(E$1:E5737)*(E2=E$1:E5737))))))</f>
        <v> </v>
      </c>
      <c r="K5738" s="26" t="str">
        <f>IF(OR(E5738="",E5738="!!!",F5738="NEW"),"",INDEX(J$1:J5737,SUMPRODUCT(MAX(ROW(E$1:E5737)*(E5738=E$1:E5737)))))</f>
        <v> </v>
      </c>
      <c r="L5738" s="27"/>
    </row>
    <row r="5739" spans="1:12">
      <c r="A5739" s="20" t="s">
        <v>1218</v>
      </c>
      <c r="E5739" s="22">
        <f>IF(D5739="?OLD","!!!","")</f>
        <v/>
      </c>
      <c r="F5739" s="23" t="str">
        <f>IF(OR(E5739="",E5739="!!!"),"",IF(NOT(ISNA(VLOOKUP(E5739,E$1:E5738,1,FALSE()))),"OLD",IF(AND(E5739&lt;&gt;"",E5739&lt;&gt;"!!!"),"NEW","")))</f>
        <v> </v>
      </c>
      <c r="G5739" s="24" t="str">
        <f>IF(OR(E5739="",E5739="!!!"),"",IF(OR(J5739=0,AND(J5739=1,K5739=1),AND(J5739=1,I5739="SBJ"),AND(J5739=1,I5739=0)),"?IN_FOCUS",IF(J5739&lt;=2,"?ACTIVATED",IF(J5739&lt;&gt;"","?FAMILIAR",IF(F5739="NEW",IF(ISNA(VLOOKUP(E5739,#REF!,1,FALSE())),"?TYPE_IDENTIFIABLE","?REFERENTIAL"),"_")))))</f>
        <v> </v>
      </c>
      <c r="H5739" s="25" t="str">
        <f>IF(J5739&lt;&gt;1,"",IF(I5739="SBJ","CB","?"))</f>
        <v> </v>
      </c>
      <c r="I5739" s="26" t="str">
        <f>IF(OR(E5739="",E5739="!!!",F5739="NEW"),"",INDEX(B5738:B$2,-1+SUMPRODUCT(MAX(ROW(E5738:E$2)*(E5739=E5738:E$2)))))</f>
        <v> </v>
      </c>
      <c r="J5739" s="26" t="str">
        <f>IF(OR(E5739="",E5739="!!!",F5739="NEW"),"",COUNTBLANK(OFFSET(A$1,,,SUMPRODUCT(MAX(ROW(E$2:E5739)*(E5739=E$2:E5739)))))-COUNTBLANK(OFFSET(A$1,,,SUMPRODUCT(MAX(ROW(E$1:E5738)*(E2=E$1:E5738))))))</f>
        <v> </v>
      </c>
      <c r="K5739" s="26" t="str">
        <f>IF(OR(E5739="",E5739="!!!",F5739="NEW"),"",INDEX(J$1:J5738,SUMPRODUCT(MAX(ROW(E$1:E5738)*(E5739=E$1:E5738)))))</f>
        <v> </v>
      </c>
      <c r="L5739" s="27"/>
    </row>
    <row r="5740" spans="1:12">
      <c r="A5740" s="20" t="s">
        <v>3010</v>
      </c>
      <c r="B5740" s="21" t="s">
        <v>1224</v>
      </c>
      <c r="C5740" s="21" t="s">
        <v>1225</v>
      </c>
      <c r="D5740" s="21" t="s">
        <v>1217</v>
      </c>
      <c r="E5740" s="22">
        <f>IF(D5740="?OLD","!!!","")</f>
        <v/>
      </c>
      <c r="F5740" s="23" t="str">
        <f>IF(OR(E5740="",E5740="!!!"),"",IF(NOT(ISNA(VLOOKUP(E5740,E$1:E5739,1,FALSE()))),"OLD",IF(AND(E5740&lt;&gt;"",E5740&lt;&gt;"!!!"),"NEW","")))</f>
        <v> </v>
      </c>
      <c r="G5740" s="24" t="str">
        <f>IF(OR(E5740="",E5740="!!!"),"",IF(OR(J5740=0,AND(J5740=1,K5740=1),AND(J5740=1,I5740="SBJ"),AND(J5740=1,I5740=0)),"?IN_FOCUS",IF(J5740&lt;=2,"?ACTIVATED",IF(J5740&lt;&gt;"","?FAMILIAR",IF(F5740="NEW",IF(ISNA(VLOOKUP(E5740,#REF!,1,FALSE())),"?TYPE_IDENTIFIABLE","?REFERENTIAL"),"_")))))</f>
        <v> </v>
      </c>
      <c r="H5740" s="25" t="str">
        <f>IF(J5740&lt;&gt;1,"",IF(I5740="SBJ","CB","?"))</f>
        <v> </v>
      </c>
      <c r="I5740" s="26" t="str">
        <f>IF(OR(E5740="",E5740="!!!",F5740="NEW"),"",INDEX(B5739:B$2,-1+SUMPRODUCT(MAX(ROW(E5739:E$2)*(E5740=E5739:E$2)))))</f>
        <v> </v>
      </c>
      <c r="J5740" s="26" t="str">
        <f>IF(OR(E5740="",E5740="!!!",F5740="NEW"),"",COUNTBLANK(OFFSET(A$1,,,SUMPRODUCT(MAX(ROW(E$2:E5740)*(E5740=E$2:E5740)))))-COUNTBLANK(OFFSET(A$1,,,SUMPRODUCT(MAX(ROW(E$1:E5739)*(E2=E$1:E5739))))))</f>
        <v> </v>
      </c>
      <c r="K5740" s="26" t="str">
        <f>IF(OR(E5740="",E5740="!!!",F5740="NEW"),"",INDEX(J$1:J5739,SUMPRODUCT(MAX(ROW(E$1:E5739)*(E5740=E$1:E5739)))))</f>
        <v> </v>
      </c>
      <c r="L5740" s="27"/>
    </row>
    <row r="5741" spans="1:12">
      <c r="A5741" s="20" t="s">
        <v>1834</v>
      </c>
      <c r="E5741" s="22">
        <f>IF(D5741="?OLD","!!!","")</f>
        <v/>
      </c>
      <c r="F5741" s="23" t="str">
        <f>IF(OR(E5741="",E5741="!!!"),"",IF(NOT(ISNA(VLOOKUP(E5741,E$1:E5740,1,FALSE()))),"OLD",IF(AND(E5741&lt;&gt;"",E5741&lt;&gt;"!!!"),"NEW","")))</f>
        <v> </v>
      </c>
      <c r="G5741" s="24" t="str">
        <f>IF(OR(E5741="",E5741="!!!"),"",IF(OR(J5741=0,AND(J5741=1,K5741=1),AND(J5741=1,I5741="SBJ"),AND(J5741=1,I5741=0)),"?IN_FOCUS",IF(J5741&lt;=2,"?ACTIVATED",IF(J5741&lt;&gt;"","?FAMILIAR",IF(F5741="NEW",IF(ISNA(VLOOKUP(E5741,#REF!,1,FALSE())),"?TYPE_IDENTIFIABLE","?REFERENTIAL"),"_")))))</f>
        <v> </v>
      </c>
      <c r="H5741" s="25" t="str">
        <f>IF(J5741&lt;&gt;1,"",IF(I5741="SBJ","CB","?"))</f>
        <v> </v>
      </c>
      <c r="I5741" s="26" t="str">
        <f>IF(OR(E5741="",E5741="!!!",F5741="NEW"),"",INDEX(B5740:B$2,-1+SUMPRODUCT(MAX(ROW(E5740:E$2)*(E5741=E5740:E$2)))))</f>
        <v> </v>
      </c>
      <c r="J5741" s="26" t="str">
        <f>IF(OR(E5741="",E5741="!!!",F5741="NEW"),"",COUNTBLANK(OFFSET(A$1,,,SUMPRODUCT(MAX(ROW(E$2:E5741)*(E5741=E$2:E5741)))))-COUNTBLANK(OFFSET(A$1,,,SUMPRODUCT(MAX(ROW(E$1:E5740)*(E2=E$1:E5740))))))</f>
        <v> </v>
      </c>
      <c r="K5741" s="26" t="str">
        <f>IF(OR(E5741="",E5741="!!!",F5741="NEW"),"",INDEX(J$1:J5740,SUMPRODUCT(MAX(ROW(E$1:E5740)*(E5741=E$1:E5740)))))</f>
        <v> </v>
      </c>
      <c r="L5741" s="27"/>
    </row>
    <row r="5742" spans="1:12">
      <c r="A5742" s="20" t="s">
        <v>2678</v>
      </c>
      <c r="E5742" s="22">
        <f>IF(D5742="?OLD","!!!","")</f>
        <v/>
      </c>
      <c r="F5742" s="23" t="str">
        <f>IF(OR(E5742="",E5742="!!!"),"",IF(NOT(ISNA(VLOOKUP(E5742,E$1:E5741,1,FALSE()))),"OLD",IF(AND(E5742&lt;&gt;"",E5742&lt;&gt;"!!!"),"NEW","")))</f>
        <v> </v>
      </c>
      <c r="G5742" s="24" t="str">
        <f>IF(OR(E5742="",E5742="!!!"),"",IF(OR(J5742=0,AND(J5742=1,K5742=1),AND(J5742=1,I5742="SBJ"),AND(J5742=1,I5742=0)),"?IN_FOCUS",IF(J5742&lt;=2,"?ACTIVATED",IF(J5742&lt;&gt;"","?FAMILIAR",IF(F5742="NEW",IF(ISNA(VLOOKUP(E5742,#REF!,1,FALSE())),"?TYPE_IDENTIFIABLE","?REFERENTIAL"),"_")))))</f>
        <v> </v>
      </c>
      <c r="H5742" s="25" t="str">
        <f>IF(J5742&lt;&gt;1,"",IF(I5742="SBJ","CB","?"))</f>
        <v> </v>
      </c>
      <c r="I5742" s="26" t="str">
        <f>IF(OR(E5742="",E5742="!!!",F5742="NEW"),"",INDEX(B5741:B$2,-1+SUMPRODUCT(MAX(ROW(E5741:E$2)*(E5742=E5741:E$2)))))</f>
        <v> </v>
      </c>
      <c r="J5742" s="26" t="str">
        <f>IF(OR(E5742="",E5742="!!!",F5742="NEW"),"",COUNTBLANK(OFFSET(A$1,,,SUMPRODUCT(MAX(ROW(E$2:E5742)*(E5742=E$2:E5742)))))-COUNTBLANK(OFFSET(A$1,,,SUMPRODUCT(MAX(ROW(E$1:E5741)*(E2=E$1:E5741))))))</f>
        <v> </v>
      </c>
      <c r="K5742" s="26" t="str">
        <f>IF(OR(E5742="",E5742="!!!",F5742="NEW"),"",INDEX(J$1:J5741,SUMPRODUCT(MAX(ROW(E$1:E5741)*(E5742=E$1:E5741)))))</f>
        <v> </v>
      </c>
      <c r="L5742" s="27"/>
    </row>
    <row r="5743" spans="1:12">
      <c r="A5743" s="20" t="s">
        <v>1277</v>
      </c>
      <c r="E5743" s="22">
        <f>IF(D5743="?OLD","!!!","")</f>
        <v/>
      </c>
      <c r="F5743" s="23" t="str">
        <f>IF(OR(E5743="",E5743="!!!"),"",IF(NOT(ISNA(VLOOKUP(E5743,E$1:E5742,1,FALSE()))),"OLD",IF(AND(E5743&lt;&gt;"",E5743&lt;&gt;"!!!"),"NEW","")))</f>
        <v> </v>
      </c>
      <c r="G5743" s="24" t="str">
        <f>IF(OR(E5743="",E5743="!!!"),"",IF(OR(J5743=0,AND(J5743=1,K5743=1),AND(J5743=1,I5743="SBJ"),AND(J5743=1,I5743=0)),"?IN_FOCUS",IF(J5743&lt;=2,"?ACTIVATED",IF(J5743&lt;&gt;"","?FAMILIAR",IF(F5743="NEW",IF(ISNA(VLOOKUP(E5743,#REF!,1,FALSE())),"?TYPE_IDENTIFIABLE","?REFERENTIAL"),"_")))))</f>
        <v> </v>
      </c>
      <c r="H5743" s="25" t="str">
        <f>IF(J5743&lt;&gt;1,"",IF(I5743="SBJ","CB","?"))</f>
        <v> </v>
      </c>
      <c r="I5743" s="26" t="str">
        <f>IF(OR(E5743="",E5743="!!!",F5743="NEW"),"",INDEX(B5742:B$2,-1+SUMPRODUCT(MAX(ROW(E5742:E$2)*(E5743=E5742:E$2)))))</f>
        <v> </v>
      </c>
      <c r="J5743" s="26" t="str">
        <f>IF(OR(E5743="",E5743="!!!",F5743="NEW"),"",COUNTBLANK(OFFSET(A$1,,,SUMPRODUCT(MAX(ROW(E$2:E5743)*(E5743=E$2:E5743)))))-COUNTBLANK(OFFSET(A$1,,,SUMPRODUCT(MAX(ROW(E$1:E5742)*(E2=E$1:E5742))))))</f>
        <v> </v>
      </c>
      <c r="K5743" s="26" t="str">
        <f>IF(OR(E5743="",E5743="!!!",F5743="NEW"),"",INDEX(J$1:J5742,SUMPRODUCT(MAX(ROW(E$1:E5742)*(E5743=E$1:E5742)))))</f>
        <v> </v>
      </c>
      <c r="L5743" s="27"/>
    </row>
    <row r="5744" spans="1:12">
      <c r="A5744" s="20" t="s">
        <v>1834</v>
      </c>
      <c r="E5744" s="22">
        <f>IF(D5744="?OLD","!!!","")</f>
        <v/>
      </c>
      <c r="F5744" s="23" t="str">
        <f>IF(OR(E5744="",E5744="!!!"),"",IF(NOT(ISNA(VLOOKUP(E5744,E$1:E5743,1,FALSE()))),"OLD",IF(AND(E5744&lt;&gt;"",E5744&lt;&gt;"!!!"),"NEW","")))</f>
        <v> </v>
      </c>
      <c r="G5744" s="24" t="str">
        <f>IF(OR(E5744="",E5744="!!!"),"",IF(OR(J5744=0,AND(J5744=1,K5744=1),AND(J5744=1,I5744="SBJ"),AND(J5744=1,I5744=0)),"?IN_FOCUS",IF(J5744&lt;=2,"?ACTIVATED",IF(J5744&lt;&gt;"","?FAMILIAR",IF(F5744="NEW",IF(ISNA(VLOOKUP(E5744,#REF!,1,FALSE())),"?TYPE_IDENTIFIABLE","?REFERENTIAL"),"_")))))</f>
        <v> </v>
      </c>
      <c r="H5744" s="25" t="str">
        <f>IF(J5744&lt;&gt;1,"",IF(I5744="SBJ","CB","?"))</f>
        <v> </v>
      </c>
      <c r="I5744" s="26" t="str">
        <f>IF(OR(E5744="",E5744="!!!",F5744="NEW"),"",INDEX(B5743:B$2,-1+SUMPRODUCT(MAX(ROW(E5743:E$2)*(E5744=E5743:E$2)))))</f>
        <v> </v>
      </c>
      <c r="J5744" s="26" t="str">
        <f>IF(OR(E5744="",E5744="!!!",F5744="NEW"),"",COUNTBLANK(OFFSET(A$1,,,SUMPRODUCT(MAX(ROW(E$2:E5744)*(E5744=E$2:E5744)))))-COUNTBLANK(OFFSET(A$1,,,SUMPRODUCT(MAX(ROW(E$1:E5743)*(E2=E$1:E5743))))))</f>
        <v> </v>
      </c>
      <c r="K5744" s="26" t="str">
        <f>IF(OR(E5744="",E5744="!!!",F5744="NEW"),"",INDEX(J$1:J5743,SUMPRODUCT(MAX(ROW(E$1:E5743)*(E5744=E$1:E5743)))))</f>
        <v> </v>
      </c>
      <c r="L5744" s="27"/>
    </row>
    <row r="5745" spans="1:12">
      <c r="A5745" s="20" t="s">
        <v>3011</v>
      </c>
      <c r="E5745" s="22">
        <f>IF(D5745="?OLD","!!!","")</f>
        <v/>
      </c>
      <c r="F5745" s="23" t="str">
        <f>IF(OR(E5745="",E5745="!!!"),"",IF(NOT(ISNA(VLOOKUP(E5745,E$1:E5744,1,FALSE()))),"OLD",IF(AND(E5745&lt;&gt;"",E5745&lt;&gt;"!!!"),"NEW","")))</f>
        <v> </v>
      </c>
      <c r="G5745" s="24" t="str">
        <f>IF(OR(E5745="",E5745="!!!"),"",IF(OR(J5745=0,AND(J5745=1,K5745=1),AND(J5745=1,I5745="SBJ"),AND(J5745=1,I5745=0)),"?IN_FOCUS",IF(J5745&lt;=2,"?ACTIVATED",IF(J5745&lt;&gt;"","?FAMILIAR",IF(F5745="NEW",IF(ISNA(VLOOKUP(E5745,#REF!,1,FALSE())),"?TYPE_IDENTIFIABLE","?REFERENTIAL"),"_")))))</f>
        <v> </v>
      </c>
      <c r="H5745" s="25" t="str">
        <f>IF(J5745&lt;&gt;1,"",IF(I5745="SBJ","CB","?"))</f>
        <v> </v>
      </c>
      <c r="I5745" s="26" t="str">
        <f>IF(OR(E5745="",E5745="!!!",F5745="NEW"),"",INDEX(B5744:B$2,-1+SUMPRODUCT(MAX(ROW(E5744:E$2)*(E5745=E5744:E$2)))))</f>
        <v> </v>
      </c>
      <c r="J5745" s="26" t="str">
        <f>IF(OR(E5745="",E5745="!!!",F5745="NEW"),"",COUNTBLANK(OFFSET(A$1,,,SUMPRODUCT(MAX(ROW(E$2:E5745)*(E5745=E$2:E5745)))))-COUNTBLANK(OFFSET(A$1,,,SUMPRODUCT(MAX(ROW(E$1:E5744)*(E2=E$1:E5744))))))</f>
        <v> </v>
      </c>
      <c r="K5745" s="26" t="str">
        <f>IF(OR(E5745="",E5745="!!!",F5745="NEW"),"",INDEX(J$1:J5744,SUMPRODUCT(MAX(ROW(E$1:E5744)*(E5745=E$1:E5744)))))</f>
        <v> </v>
      </c>
      <c r="L5745" s="27"/>
    </row>
    <row r="5746" spans="1:12">
      <c r="A5746" s="20" t="s">
        <v>16</v>
      </c>
      <c r="E5746" s="22">
        <f>IF(D5746="?OLD","!!!","")</f>
        <v/>
      </c>
      <c r="F5746" s="23" t="str">
        <f>IF(OR(E5746="",E5746="!!!"),"",IF(NOT(ISNA(VLOOKUP(E5746,E$1:E5745,1,FALSE()))),"OLD",IF(AND(E5746&lt;&gt;"",E5746&lt;&gt;"!!!"),"NEW","")))</f>
        <v> </v>
      </c>
      <c r="G5746" s="24" t="str">
        <f>IF(OR(E5746="",E5746="!!!"),"",IF(OR(J5746=0,AND(J5746=1,K5746=1),AND(J5746=1,I5746="SBJ"),AND(J5746=1,I5746=0)),"?IN_FOCUS",IF(J5746&lt;=2,"?ACTIVATED",IF(J5746&lt;&gt;"","?FAMILIAR",IF(F5746="NEW",IF(ISNA(VLOOKUP(E5746,#REF!,1,FALSE())),"?TYPE_IDENTIFIABLE","?REFERENTIAL"),"_")))))</f>
        <v> </v>
      </c>
      <c r="H5746" s="25" t="str">
        <f>IF(J5746&lt;&gt;1,"",IF(I5746="SBJ","CB","?"))</f>
        <v> </v>
      </c>
      <c r="I5746" s="26" t="str">
        <f>IF(OR(E5746="",E5746="!!!",F5746="NEW"),"",INDEX(B5745:B$2,-1+SUMPRODUCT(MAX(ROW(E5745:E$2)*(E5746=E5745:E$2)))))</f>
        <v> </v>
      </c>
      <c r="J5746" s="26" t="str">
        <f>IF(OR(E5746="",E5746="!!!",F5746="NEW"),"",COUNTBLANK(OFFSET(A$1,,,SUMPRODUCT(MAX(ROW(E$2:E5746)*(E5746=E$2:E5746)))))-COUNTBLANK(OFFSET(A$1,,,SUMPRODUCT(MAX(ROW(E$1:E5745)*(E2=E$1:E5745))))))</f>
        <v> </v>
      </c>
      <c r="K5746" s="26" t="str">
        <f>IF(OR(E5746="",E5746="!!!",F5746="NEW"),"",INDEX(J$1:J5745,SUMPRODUCT(MAX(ROW(E$1:E5745)*(E5746=E$1:E5745)))))</f>
        <v> </v>
      </c>
      <c r="L5746" s="27"/>
    </row>
    <row r="5747" spans="1:12">
      <c r="A5747" s="20" t="s">
        <v>16</v>
      </c>
      <c r="E5747" s="22">
        <f>IF(D5747="?OLD","!!!","")</f>
        <v/>
      </c>
      <c r="F5747" s="23" t="str">
        <f>IF(OR(E5747="",E5747="!!!"),"",IF(NOT(ISNA(VLOOKUP(E5747,E$1:E5746,1,FALSE()))),"OLD",IF(AND(E5747&lt;&gt;"",E5747&lt;&gt;"!!!"),"NEW","")))</f>
        <v> </v>
      </c>
      <c r="G5747" s="24" t="str">
        <f>IF(OR(E5747="",E5747="!!!"),"",IF(OR(J5747=0,AND(J5747=1,K5747=1),AND(J5747=1,I5747="SBJ"),AND(J5747=1,I5747=0)),"?IN_FOCUS",IF(J5747&lt;=2,"?ACTIVATED",IF(J5747&lt;&gt;"","?FAMILIAR",IF(F5747="NEW",IF(ISNA(VLOOKUP(E5747,#REF!,1,FALSE())),"?TYPE_IDENTIFIABLE","?REFERENTIAL"),"_")))))</f>
        <v> </v>
      </c>
      <c r="H5747" s="25" t="str">
        <f>IF(J5747&lt;&gt;1,"",IF(I5747="SBJ","CB","?"))</f>
        <v> </v>
      </c>
      <c r="I5747" s="26" t="str">
        <f>IF(OR(E5747="",E5747="!!!",F5747="NEW"),"",INDEX(B5746:B$2,-1+SUMPRODUCT(MAX(ROW(E5746:E$2)*(E5747=E5746:E$2)))))</f>
        <v> </v>
      </c>
      <c r="J5747" s="26" t="str">
        <f>IF(OR(E5747="",E5747="!!!",F5747="NEW"),"",COUNTBLANK(OFFSET(A$1,,,SUMPRODUCT(MAX(ROW(E$2:E5747)*(E5747=E$2:E5747)))))-COUNTBLANK(OFFSET(A$1,,,SUMPRODUCT(MAX(ROW(E$1:E5746)*(E2=E$1:E5746))))))</f>
        <v> </v>
      </c>
      <c r="K5747" s="26" t="str">
        <f>IF(OR(E5747="",E5747="!!!",F5747="NEW"),"",INDEX(J$1:J5746,SUMPRODUCT(MAX(ROW(E$1:E5746)*(E5747=E$1:E5746)))))</f>
        <v> </v>
      </c>
      <c r="L5747" s="27"/>
    </row>
    <row r="5748" spans="1:12">
      <c r="A5748" s="20" t="s">
        <v>16</v>
      </c>
      <c r="E5748" s="22">
        <f>IF(D5748="?OLD","!!!","")</f>
        <v/>
      </c>
      <c r="F5748" s="23" t="str">
        <f>IF(OR(E5748="",E5748="!!!"),"",IF(NOT(ISNA(VLOOKUP(E5748,E$1:E5747,1,FALSE()))),"OLD",IF(AND(E5748&lt;&gt;"",E5748&lt;&gt;"!!!"),"NEW","")))</f>
        <v> </v>
      </c>
      <c r="G5748" s="24" t="str">
        <f>IF(OR(E5748="",E5748="!!!"),"",IF(OR(J5748=0,AND(J5748=1,K5748=1),AND(J5748=1,I5748="SBJ"),AND(J5748=1,I5748=0)),"?IN_FOCUS",IF(J5748&lt;=2,"?ACTIVATED",IF(J5748&lt;&gt;"","?FAMILIAR",IF(F5748="NEW",IF(ISNA(VLOOKUP(E5748,#REF!,1,FALSE())),"?TYPE_IDENTIFIABLE","?REFERENTIAL"),"_")))))</f>
        <v> </v>
      </c>
      <c r="H5748" s="25" t="str">
        <f>IF(J5748&lt;&gt;1,"",IF(I5748="SBJ","CB","?"))</f>
        <v> </v>
      </c>
      <c r="I5748" s="26" t="str">
        <f>IF(OR(E5748="",E5748="!!!",F5748="NEW"),"",INDEX(B5747:B$2,-1+SUMPRODUCT(MAX(ROW(E5747:E$2)*(E5748=E5747:E$2)))))</f>
        <v> </v>
      </c>
      <c r="J5748" s="26" t="str">
        <f>IF(OR(E5748="",E5748="!!!",F5748="NEW"),"",COUNTBLANK(OFFSET(A$1,,,SUMPRODUCT(MAX(ROW(E$2:E5748)*(E5748=E$2:E5748)))))-COUNTBLANK(OFFSET(A$1,,,SUMPRODUCT(MAX(ROW(E$1:E5747)*(E2=E$1:E5747))))))</f>
        <v> </v>
      </c>
      <c r="K5748" s="26" t="str">
        <f>IF(OR(E5748="",E5748="!!!",F5748="NEW"),"",INDEX(J$1:J5747,SUMPRODUCT(MAX(ROW(E$1:E5747)*(E5748=E$1:E5747)))))</f>
        <v> </v>
      </c>
      <c r="L5748" s="27"/>
    </row>
    <row r="5749" spans="1:12">
      <c r="A5749" s="20" t="s">
        <v>2217</v>
      </c>
      <c r="E5749" s="22">
        <f>IF(D5749="?OLD","!!!","")</f>
        <v/>
      </c>
      <c r="F5749" s="23" t="str">
        <f>IF(OR(E5749="",E5749="!!!"),"",IF(NOT(ISNA(VLOOKUP(E5749,E$1:E5748,1,FALSE()))),"OLD",IF(AND(E5749&lt;&gt;"",E5749&lt;&gt;"!!!"),"NEW","")))</f>
        <v> </v>
      </c>
      <c r="G5749" s="24" t="str">
        <f>IF(OR(E5749="",E5749="!!!"),"",IF(OR(J5749=0,AND(J5749=1,K5749=1),AND(J5749=1,I5749="SBJ"),AND(J5749=1,I5749=0)),"?IN_FOCUS",IF(J5749&lt;=2,"?ACTIVATED",IF(J5749&lt;&gt;"","?FAMILIAR",IF(F5749="NEW",IF(ISNA(VLOOKUP(E5749,#REF!,1,FALSE())),"?TYPE_IDENTIFIABLE","?REFERENTIAL"),"_")))))</f>
        <v> </v>
      </c>
      <c r="H5749" s="25" t="str">
        <f>IF(J5749&lt;&gt;1,"",IF(I5749="SBJ","CB","?"))</f>
        <v> </v>
      </c>
      <c r="I5749" s="26" t="str">
        <f>IF(OR(E5749="",E5749="!!!",F5749="NEW"),"",INDEX(B5748:B$2,-1+SUMPRODUCT(MAX(ROW(E5748:E$2)*(E5749=E5748:E$2)))))</f>
        <v> </v>
      </c>
      <c r="J5749" s="26" t="str">
        <f>IF(OR(E5749="",E5749="!!!",F5749="NEW"),"",COUNTBLANK(OFFSET(A$1,,,SUMPRODUCT(MAX(ROW(E$2:E5749)*(E5749=E$2:E5749)))))-COUNTBLANK(OFFSET(A$1,,,SUMPRODUCT(MAX(ROW(E$1:E5748)*(E2=E$1:E5748))))))</f>
        <v> </v>
      </c>
      <c r="K5749" s="26" t="str">
        <f>IF(OR(E5749="",E5749="!!!",F5749="NEW"),"",INDEX(J$1:J5748,SUMPRODUCT(MAX(ROW(E$1:E5748)*(E5749=E$1:E5748)))))</f>
        <v> </v>
      </c>
      <c r="L5749" s="27"/>
    </row>
    <row r="5750" spans="1:12">
      <c r="A5750" s="20" t="s">
        <v>1321</v>
      </c>
      <c r="E5750" s="22">
        <f>IF(D5750="?OLD","!!!","")</f>
        <v/>
      </c>
      <c r="F5750" s="23" t="str">
        <f>IF(OR(E5750="",E5750="!!!"),"",IF(NOT(ISNA(VLOOKUP(E5750,E$1:E5749,1,FALSE()))),"OLD",IF(AND(E5750&lt;&gt;"",E5750&lt;&gt;"!!!"),"NEW","")))</f>
        <v> </v>
      </c>
      <c r="G5750" s="24" t="str">
        <f>IF(OR(E5750="",E5750="!!!"),"",IF(OR(J5750=0,AND(J5750=1,K5750=1),AND(J5750=1,I5750="SBJ"),AND(J5750=1,I5750=0)),"?IN_FOCUS",IF(J5750&lt;=2,"?ACTIVATED",IF(J5750&lt;&gt;"","?FAMILIAR",IF(F5750="NEW",IF(ISNA(VLOOKUP(E5750,#REF!,1,FALSE())),"?TYPE_IDENTIFIABLE","?REFERENTIAL"),"_")))))</f>
        <v> </v>
      </c>
      <c r="H5750" s="25" t="str">
        <f>IF(J5750&lt;&gt;1,"",IF(I5750="SBJ","CB","?"))</f>
        <v> </v>
      </c>
      <c r="I5750" s="26" t="str">
        <f>IF(OR(E5750="",E5750="!!!",F5750="NEW"),"",INDEX(B5749:B$2,-1+SUMPRODUCT(MAX(ROW(E5749:E$2)*(E5750=E5749:E$2)))))</f>
        <v> </v>
      </c>
      <c r="J5750" s="26" t="str">
        <f>IF(OR(E5750="",E5750="!!!",F5750="NEW"),"",COUNTBLANK(OFFSET(A$1,,,SUMPRODUCT(MAX(ROW(E$2:E5750)*(E5750=E$2:E5750)))))-COUNTBLANK(OFFSET(A$1,,,SUMPRODUCT(MAX(ROW(E$1:E5749)*(E2=E$1:E5749))))))</f>
        <v> </v>
      </c>
      <c r="K5750" s="26" t="str">
        <f>IF(OR(E5750="",E5750="!!!",F5750="NEW"),"",INDEX(J$1:J5749,SUMPRODUCT(MAX(ROW(E$1:E5749)*(E5750=E$1:E5749)))))</f>
        <v> </v>
      </c>
      <c r="L5750" s="27"/>
    </row>
    <row r="5751" spans="1:12">
      <c r="A5751" s="20" t="s">
        <v>1649</v>
      </c>
      <c r="B5751" s="21" t="s">
        <v>1748</v>
      </c>
      <c r="C5751" s="21" t="s">
        <v>1225</v>
      </c>
      <c r="D5751" s="21" t="s">
        <v>1217</v>
      </c>
      <c r="E5751" s="22">
        <f>IF(D5751="?OLD","!!!","")</f>
        <v/>
      </c>
      <c r="F5751" s="23" t="str">
        <f>IF(OR(E5751="",E5751="!!!"),"",IF(NOT(ISNA(VLOOKUP(E5751,E$1:E5750,1,FALSE()))),"OLD",IF(AND(E5751&lt;&gt;"",E5751&lt;&gt;"!!!"),"NEW","")))</f>
        <v> </v>
      </c>
      <c r="G5751" s="24" t="str">
        <f>IF(OR(E5751="",E5751="!!!"),"",IF(OR(J5751=0,AND(J5751=1,K5751=1),AND(J5751=1,I5751="SBJ"),AND(J5751=1,I5751=0)),"?IN_FOCUS",IF(J5751&lt;=2,"?ACTIVATED",IF(J5751&lt;&gt;"","?FAMILIAR",IF(F5751="NEW",IF(ISNA(VLOOKUP(E5751,#REF!,1,FALSE())),"?TYPE_IDENTIFIABLE","?REFERENTIAL"),"_")))))</f>
        <v> </v>
      </c>
      <c r="H5751" s="25" t="str">
        <f>IF(J5751&lt;&gt;1,"",IF(I5751="SBJ","CB","?"))</f>
        <v> </v>
      </c>
      <c r="I5751" s="26" t="str">
        <f>IF(OR(E5751="",E5751="!!!",F5751="NEW"),"",INDEX(B5750:B$2,-1+SUMPRODUCT(MAX(ROW(E5750:E$2)*(E5751=E5750:E$2)))))</f>
        <v> </v>
      </c>
      <c r="J5751" s="26" t="str">
        <f>IF(OR(E5751="",E5751="!!!",F5751="NEW"),"",COUNTBLANK(OFFSET(A$1,,,SUMPRODUCT(MAX(ROW(E$2:E5751)*(E5751=E$2:E5751)))))-COUNTBLANK(OFFSET(A$1,,,SUMPRODUCT(MAX(ROW(E$1:E5750)*(E2=E$1:E5750))))))</f>
        <v> </v>
      </c>
      <c r="K5751" s="26" t="str">
        <f>IF(OR(E5751="",E5751="!!!",F5751="NEW"),"",INDEX(J$1:J5750,SUMPRODUCT(MAX(ROW(E$1:E5750)*(E5751=E$1:E5750)))))</f>
        <v> </v>
      </c>
      <c r="L5751" s="27"/>
    </row>
    <row r="5752" spans="1:12">
      <c r="A5752" s="20" t="s">
        <v>1650</v>
      </c>
      <c r="B5752" s="21" t="s">
        <v>1377</v>
      </c>
      <c r="C5752" s="21" t="s">
        <v>1225</v>
      </c>
      <c r="D5752" s="21" t="s">
        <v>1217</v>
      </c>
      <c r="E5752" s="22">
        <f>IF(D5752="?OLD","!!!","")</f>
        <v/>
      </c>
      <c r="F5752" s="23" t="str">
        <f>IF(OR(E5752="",E5752="!!!"),"",IF(NOT(ISNA(VLOOKUP(E5752,E$1:E5751,1,FALSE()))),"OLD",IF(AND(E5752&lt;&gt;"",E5752&lt;&gt;"!!!"),"NEW","")))</f>
        <v> </v>
      </c>
      <c r="G5752" s="24" t="str">
        <f>IF(OR(E5752="",E5752="!!!"),"",IF(OR(J5752=0,AND(J5752=1,K5752=1),AND(J5752=1,I5752="SBJ"),AND(J5752=1,I5752=0)),"?IN_FOCUS",IF(J5752&lt;=2,"?ACTIVATED",IF(J5752&lt;&gt;"","?FAMILIAR",IF(F5752="NEW",IF(ISNA(VLOOKUP(E5752,#REF!,1,FALSE())),"?TYPE_IDENTIFIABLE","?REFERENTIAL"),"_")))))</f>
        <v> </v>
      </c>
      <c r="H5752" s="25" t="str">
        <f>IF(J5752&lt;&gt;1,"",IF(I5752="SBJ","CB","?"))</f>
        <v> </v>
      </c>
      <c r="I5752" s="26" t="str">
        <f>IF(OR(E5752="",E5752="!!!",F5752="NEW"),"",INDEX(B5751:B$2,-1+SUMPRODUCT(MAX(ROW(E5751:E$2)*(E5752=E5751:E$2)))))</f>
        <v> </v>
      </c>
      <c r="J5752" s="26" t="str">
        <f>IF(OR(E5752="",E5752="!!!",F5752="NEW"),"",COUNTBLANK(OFFSET(A$1,,,SUMPRODUCT(MAX(ROW(E$2:E5752)*(E5752=E$2:E5752)))))-COUNTBLANK(OFFSET(A$1,,,SUMPRODUCT(MAX(ROW(E$1:E5751)*(E2=E$1:E5751))))))</f>
        <v> </v>
      </c>
      <c r="K5752" s="26" t="str">
        <f>IF(OR(E5752="",E5752="!!!",F5752="NEW"),"",INDEX(J$1:J5751,SUMPRODUCT(MAX(ROW(E$1:E5751)*(E5752=E$1:E5751)))))</f>
        <v> </v>
      </c>
      <c r="L5752" s="27"/>
    </row>
    <row r="5753" spans="1:12">
      <c r="A5753" s="20" t="s">
        <v>1286</v>
      </c>
      <c r="E5753" s="22">
        <f>IF(D5753="?OLD","!!!","")</f>
        <v/>
      </c>
      <c r="F5753" s="23" t="str">
        <f>IF(OR(E5753="",E5753="!!!"),"",IF(NOT(ISNA(VLOOKUP(E5753,E$1:E5752,1,FALSE()))),"OLD",IF(AND(E5753&lt;&gt;"",E5753&lt;&gt;"!!!"),"NEW","")))</f>
        <v> </v>
      </c>
      <c r="G5753" s="24" t="str">
        <f>IF(OR(E5753="",E5753="!!!"),"",IF(OR(J5753=0,AND(J5753=1,K5753=1),AND(J5753=1,I5753="SBJ"),AND(J5753=1,I5753=0)),"?IN_FOCUS",IF(J5753&lt;=2,"?ACTIVATED",IF(J5753&lt;&gt;"","?FAMILIAR",IF(F5753="NEW",IF(ISNA(VLOOKUP(E5753,#REF!,1,FALSE())),"?TYPE_IDENTIFIABLE","?REFERENTIAL"),"_")))))</f>
        <v> </v>
      </c>
      <c r="H5753" s="25" t="str">
        <f>IF(J5753&lt;&gt;1,"",IF(I5753="SBJ","CB","?"))</f>
        <v> </v>
      </c>
      <c r="I5753" s="26" t="str">
        <f>IF(OR(E5753="",E5753="!!!",F5753="NEW"),"",INDEX(B5752:B$2,-1+SUMPRODUCT(MAX(ROW(E5752:E$2)*(E5753=E5752:E$2)))))</f>
        <v> </v>
      </c>
      <c r="J5753" s="26" t="str">
        <f>IF(OR(E5753="",E5753="!!!",F5753="NEW"),"",COUNTBLANK(OFFSET(A$1,,,SUMPRODUCT(MAX(ROW(E$2:E5753)*(E5753=E$2:E5753)))))-COUNTBLANK(OFFSET(A$1,,,SUMPRODUCT(MAX(ROW(E$1:E5752)*(E2=E$1:E5752))))))</f>
        <v> </v>
      </c>
      <c r="K5753" s="26" t="str">
        <f>IF(OR(E5753="",E5753="!!!",F5753="NEW"),"",INDEX(J$1:J5752,SUMPRODUCT(MAX(ROW(E$1:E5752)*(E5753=E$1:E5752)))))</f>
        <v> </v>
      </c>
      <c r="L5753" s="27"/>
    </row>
    <row r="5754" spans="1:12">
      <c r="A5754" s="20" t="s">
        <v>3012</v>
      </c>
      <c r="E5754" s="22">
        <f>IF(D5754="?OLD","!!!","")</f>
        <v/>
      </c>
      <c r="F5754" s="23" t="str">
        <f>IF(OR(E5754="",E5754="!!!"),"",IF(NOT(ISNA(VLOOKUP(E5754,E$1:E5753,1,FALSE()))),"OLD",IF(AND(E5754&lt;&gt;"",E5754&lt;&gt;"!!!"),"NEW","")))</f>
        <v> </v>
      </c>
      <c r="G5754" s="24" t="str">
        <f>IF(OR(E5754="",E5754="!!!"),"",IF(OR(J5754=0,AND(J5754=1,K5754=1),AND(J5754=1,I5754="SBJ"),AND(J5754=1,I5754=0)),"?IN_FOCUS",IF(J5754&lt;=2,"?ACTIVATED",IF(J5754&lt;&gt;"","?FAMILIAR",IF(F5754="NEW",IF(ISNA(VLOOKUP(E5754,#REF!,1,FALSE())),"?TYPE_IDENTIFIABLE","?REFERENTIAL"),"_")))))</f>
        <v> </v>
      </c>
      <c r="H5754" s="25" t="str">
        <f>IF(J5754&lt;&gt;1,"",IF(I5754="SBJ","CB","?"))</f>
        <v> </v>
      </c>
      <c r="I5754" s="26" t="str">
        <f>IF(OR(E5754="",E5754="!!!",F5754="NEW"),"",INDEX(B5753:B$2,-1+SUMPRODUCT(MAX(ROW(E5753:E$2)*(E5754=E5753:E$2)))))</f>
        <v> </v>
      </c>
      <c r="J5754" s="26" t="str">
        <f>IF(OR(E5754="",E5754="!!!",F5754="NEW"),"",COUNTBLANK(OFFSET(A$1,,,SUMPRODUCT(MAX(ROW(E$2:E5754)*(E5754=E$2:E5754)))))-COUNTBLANK(OFFSET(A$1,,,SUMPRODUCT(MAX(ROW(E$1:E5753)*(E2=E$1:E5753))))))</f>
        <v> </v>
      </c>
      <c r="K5754" s="26" t="str">
        <f>IF(OR(E5754="",E5754="!!!",F5754="NEW"),"",INDEX(J$1:J5753,SUMPRODUCT(MAX(ROW(E$1:E5753)*(E5754=E$1:E5753)))))</f>
        <v> </v>
      </c>
      <c r="L5754" s="27"/>
    </row>
    <row r="5755" spans="1:12">
      <c r="A5755" s="20" t="s">
        <v>1590</v>
      </c>
      <c r="E5755" s="22">
        <f>IF(D5755="?OLD","!!!","")</f>
        <v/>
      </c>
      <c r="F5755" s="23" t="str">
        <f>IF(OR(E5755="",E5755="!!!"),"",IF(NOT(ISNA(VLOOKUP(E5755,E$1:E5754,1,FALSE()))),"OLD",IF(AND(E5755&lt;&gt;"",E5755&lt;&gt;"!!!"),"NEW","")))</f>
        <v> </v>
      </c>
      <c r="G5755" s="24" t="str">
        <f>IF(OR(E5755="",E5755="!!!"),"",IF(OR(J5755=0,AND(J5755=1,K5755=1),AND(J5755=1,I5755="SBJ"),AND(J5755=1,I5755=0)),"?IN_FOCUS",IF(J5755&lt;=2,"?ACTIVATED",IF(J5755&lt;&gt;"","?FAMILIAR",IF(F5755="NEW",IF(ISNA(VLOOKUP(E5755,#REF!,1,FALSE())),"?TYPE_IDENTIFIABLE","?REFERENTIAL"),"_")))))</f>
        <v> </v>
      </c>
      <c r="H5755" s="25" t="str">
        <f>IF(J5755&lt;&gt;1,"",IF(I5755="SBJ","CB","?"))</f>
        <v> </v>
      </c>
      <c r="I5755" s="26" t="str">
        <f>IF(OR(E5755="",E5755="!!!",F5755="NEW"),"",INDEX(B5754:B$2,-1+SUMPRODUCT(MAX(ROW(E5754:E$2)*(E5755=E5754:E$2)))))</f>
        <v> </v>
      </c>
      <c r="J5755" s="26" t="str">
        <f>IF(OR(E5755="",E5755="!!!",F5755="NEW"),"",COUNTBLANK(OFFSET(A$1,,,SUMPRODUCT(MAX(ROW(E$2:E5755)*(E5755=E$2:E5755)))))-COUNTBLANK(OFFSET(A$1,,,SUMPRODUCT(MAX(ROW(E$1:E5754)*(E2=E$1:E5754))))))</f>
        <v> </v>
      </c>
      <c r="K5755" s="26" t="str">
        <f>IF(OR(E5755="",E5755="!!!",F5755="NEW"),"",INDEX(J$1:J5754,SUMPRODUCT(MAX(ROW(E$1:E5754)*(E5755=E$1:E5754)))))</f>
        <v> </v>
      </c>
      <c r="L5755" s="27"/>
    </row>
    <row r="5756" spans="1:12">
      <c r="A5756" s="20" t="s">
        <v>3013</v>
      </c>
      <c r="E5756" s="22">
        <f>IF(D5756="?OLD","!!!","")</f>
        <v/>
      </c>
      <c r="F5756" s="23" t="str">
        <f>IF(OR(E5756="",E5756="!!!"),"",IF(NOT(ISNA(VLOOKUP(E5756,E$1:E5755,1,FALSE()))),"OLD",IF(AND(E5756&lt;&gt;"",E5756&lt;&gt;"!!!"),"NEW","")))</f>
        <v> </v>
      </c>
      <c r="G5756" s="24" t="str">
        <f>IF(OR(E5756="",E5756="!!!"),"",IF(OR(J5756=0,AND(J5756=1,K5756=1),AND(J5756=1,I5756="SBJ"),AND(J5756=1,I5756=0)),"?IN_FOCUS",IF(J5756&lt;=2,"?ACTIVATED",IF(J5756&lt;&gt;"","?FAMILIAR",IF(F5756="NEW",IF(ISNA(VLOOKUP(E5756,#REF!,1,FALSE())),"?TYPE_IDENTIFIABLE","?REFERENTIAL"),"_")))))</f>
        <v> </v>
      </c>
      <c r="H5756" s="25" t="str">
        <f>IF(J5756&lt;&gt;1,"",IF(I5756="SBJ","CB","?"))</f>
        <v> </v>
      </c>
      <c r="I5756" s="26" t="str">
        <f>IF(OR(E5756="",E5756="!!!",F5756="NEW"),"",INDEX(B5755:B$2,-1+SUMPRODUCT(MAX(ROW(E5755:E$2)*(E5756=E5755:E$2)))))</f>
        <v> </v>
      </c>
      <c r="J5756" s="26" t="str">
        <f>IF(OR(E5756="",E5756="!!!",F5756="NEW"),"",COUNTBLANK(OFFSET(A$1,,,SUMPRODUCT(MAX(ROW(E$2:E5756)*(E5756=E$2:E5756)))))-COUNTBLANK(OFFSET(A$1,,,SUMPRODUCT(MAX(ROW(E$1:E5755)*(E2=E$1:E5755))))))</f>
        <v> </v>
      </c>
      <c r="K5756" s="26" t="str">
        <f>IF(OR(E5756="",E5756="!!!",F5756="NEW"),"",INDEX(J$1:J5755,SUMPRODUCT(MAX(ROW(E$1:E5755)*(E5756=E$1:E5755)))))</f>
        <v> </v>
      </c>
      <c r="L5756" s="27"/>
    </row>
    <row r="5757" spans="1:12">
      <c r="A5757" s="20" t="s">
        <v>565</v>
      </c>
      <c r="B5757" s="21" t="s">
        <v>1748</v>
      </c>
      <c r="C5757" s="21" t="s">
        <v>1255</v>
      </c>
      <c r="D5757" s="21" t="s">
        <v>1217</v>
      </c>
      <c r="E5757" s="22">
        <f>IF(D5757="?OLD","!!!","")</f>
        <v/>
      </c>
      <c r="F5757" s="23" t="str">
        <f>IF(OR(E5757="",E5757="!!!"),"",IF(NOT(ISNA(VLOOKUP(E5757,E$1:E5756,1,FALSE()))),"OLD",IF(AND(E5757&lt;&gt;"",E5757&lt;&gt;"!!!"),"NEW","")))</f>
        <v> </v>
      </c>
      <c r="G5757" s="24" t="str">
        <f>IF(OR(E5757="",E5757="!!!"),"",IF(OR(J5757=0,AND(J5757=1,K5757=1),AND(J5757=1,I5757="SBJ"),AND(J5757=1,I5757=0)),"?IN_FOCUS",IF(J5757&lt;=2,"?ACTIVATED",IF(J5757&lt;&gt;"","?FAMILIAR",IF(F5757="NEW",IF(ISNA(VLOOKUP(E5757,#REF!,1,FALSE())),"?TYPE_IDENTIFIABLE","?REFERENTIAL"),"_")))))</f>
        <v> </v>
      </c>
      <c r="H5757" s="25" t="str">
        <f>IF(J5757&lt;&gt;1,"",IF(I5757="SBJ","CB","?"))</f>
        <v> </v>
      </c>
      <c r="I5757" s="26" t="str">
        <f>IF(OR(E5757="",E5757="!!!",F5757="NEW"),"",INDEX(B5756:B$2,-1+SUMPRODUCT(MAX(ROW(E5756:E$2)*(E5757=E5756:E$2)))))</f>
        <v> </v>
      </c>
      <c r="J5757" s="26" t="str">
        <f>IF(OR(E5757="",E5757="!!!",F5757="NEW"),"",COUNTBLANK(OFFSET(A$1,,,SUMPRODUCT(MAX(ROW(E$2:E5757)*(E5757=E$2:E5757)))))-COUNTBLANK(OFFSET(A$1,,,SUMPRODUCT(MAX(ROW(E$1:E5756)*(E2=E$1:E5756))))))</f>
        <v> </v>
      </c>
      <c r="K5757" s="26" t="str">
        <f>IF(OR(E5757="",E5757="!!!",F5757="NEW"),"",INDEX(J$1:J5756,SUMPRODUCT(MAX(ROW(E$1:E5756)*(E5757=E$1:E5756)))))</f>
        <v> </v>
      </c>
      <c r="L5757" s="27"/>
    </row>
    <row r="5758" spans="1:12">
      <c r="A5758" s="20" t="s">
        <v>3014</v>
      </c>
      <c r="E5758" s="22">
        <f>IF(D5758="?OLD","!!!","")</f>
        <v/>
      </c>
      <c r="F5758" s="23" t="str">
        <f>IF(OR(E5758="",E5758="!!!"),"",IF(NOT(ISNA(VLOOKUP(E5758,E$1:E5757,1,FALSE()))),"OLD",IF(AND(E5758&lt;&gt;"",E5758&lt;&gt;"!!!"),"NEW","")))</f>
        <v> </v>
      </c>
      <c r="G5758" s="24" t="str">
        <f>IF(OR(E5758="",E5758="!!!"),"",IF(OR(J5758=0,AND(J5758=1,K5758=1),AND(J5758=1,I5758="SBJ"),AND(J5758=1,I5758=0)),"?IN_FOCUS",IF(J5758&lt;=2,"?ACTIVATED",IF(J5758&lt;&gt;"","?FAMILIAR",IF(F5758="NEW",IF(ISNA(VLOOKUP(E5758,#REF!,1,FALSE())),"?TYPE_IDENTIFIABLE","?REFERENTIAL"),"_")))))</f>
        <v> </v>
      </c>
      <c r="H5758" s="25" t="str">
        <f>IF(J5758&lt;&gt;1,"",IF(I5758="SBJ","CB","?"))</f>
        <v> </v>
      </c>
      <c r="I5758" s="26" t="str">
        <f>IF(OR(E5758="",E5758="!!!",F5758="NEW"),"",INDEX(B5757:B$2,-1+SUMPRODUCT(MAX(ROW(E5757:E$2)*(E5758=E5757:E$2)))))</f>
        <v> </v>
      </c>
      <c r="J5758" s="26" t="str">
        <f>IF(OR(E5758="",E5758="!!!",F5758="NEW"),"",COUNTBLANK(OFFSET(A$1,,,SUMPRODUCT(MAX(ROW(E$2:E5758)*(E5758=E$2:E5758)))))-COUNTBLANK(OFFSET(A$1,,,SUMPRODUCT(MAX(ROW(E$1:E5757)*(E2=E$1:E5757))))))</f>
        <v> </v>
      </c>
      <c r="K5758" s="26" t="str">
        <f>IF(OR(E5758="",E5758="!!!",F5758="NEW"),"",INDEX(J$1:J5757,SUMPRODUCT(MAX(ROW(E$1:E5757)*(E5758=E$1:E5757)))))</f>
        <v> </v>
      </c>
      <c r="L5758" s="27"/>
    </row>
    <row r="5759" spans="1:12">
      <c r="A5759" s="20" t="s">
        <v>3015</v>
      </c>
      <c r="E5759" s="22">
        <f>IF(D5759="?OLD","!!!","")</f>
        <v/>
      </c>
      <c r="F5759" s="23" t="str">
        <f>IF(OR(E5759="",E5759="!!!"),"",IF(NOT(ISNA(VLOOKUP(E5759,E$1:E5758,1,FALSE()))),"OLD",IF(AND(E5759&lt;&gt;"",E5759&lt;&gt;"!!!"),"NEW","")))</f>
        <v> </v>
      </c>
      <c r="G5759" s="24" t="str">
        <f>IF(OR(E5759="",E5759="!!!"),"",IF(OR(J5759=0,AND(J5759=1,K5759=1),AND(J5759=1,I5759="SBJ"),AND(J5759=1,I5759=0)),"?IN_FOCUS",IF(J5759&lt;=2,"?ACTIVATED",IF(J5759&lt;&gt;"","?FAMILIAR",IF(F5759="NEW",IF(ISNA(VLOOKUP(E5759,#REF!,1,FALSE())),"?TYPE_IDENTIFIABLE","?REFERENTIAL"),"_")))))</f>
        <v> </v>
      </c>
      <c r="H5759" s="25" t="str">
        <f>IF(J5759&lt;&gt;1,"",IF(I5759="SBJ","CB","?"))</f>
        <v> </v>
      </c>
      <c r="I5759" s="26" t="str">
        <f>IF(OR(E5759="",E5759="!!!",F5759="NEW"),"",INDEX(B5758:B$2,-1+SUMPRODUCT(MAX(ROW(E5758:E$2)*(E5759=E5758:E$2)))))</f>
        <v> </v>
      </c>
      <c r="J5759" s="26" t="str">
        <f>IF(OR(E5759="",E5759="!!!",F5759="NEW"),"",COUNTBLANK(OFFSET(A$1,,,SUMPRODUCT(MAX(ROW(E$2:E5759)*(E5759=E$2:E5759)))))-COUNTBLANK(OFFSET(A$1,,,SUMPRODUCT(MAX(ROW(E$1:E5758)*(E2=E$1:E5758))))))</f>
        <v> </v>
      </c>
      <c r="K5759" s="26" t="str">
        <f>IF(OR(E5759="",E5759="!!!",F5759="NEW"),"",INDEX(J$1:J5758,SUMPRODUCT(MAX(ROW(E$1:E5758)*(E5759=E$1:E5758)))))</f>
        <v> </v>
      </c>
      <c r="L5759" s="27"/>
    </row>
    <row r="5760" spans="1:12">
      <c r="A5760" s="20" t="s">
        <v>1245</v>
      </c>
      <c r="E5760" s="22">
        <f>IF(D5760="?OLD","!!!","")</f>
        <v/>
      </c>
      <c r="F5760" s="23" t="str">
        <f>IF(OR(E5760="",E5760="!!!"),"",IF(NOT(ISNA(VLOOKUP(E5760,E$1:E5759,1,FALSE()))),"OLD",IF(AND(E5760&lt;&gt;"",E5760&lt;&gt;"!!!"),"NEW","")))</f>
        <v> </v>
      </c>
      <c r="G5760" s="24" t="str">
        <f>IF(OR(E5760="",E5760="!!!"),"",IF(OR(J5760=0,AND(J5760=1,K5760=1),AND(J5760=1,I5760="SBJ"),AND(J5760=1,I5760=0)),"?IN_FOCUS",IF(J5760&lt;=2,"?ACTIVATED",IF(J5760&lt;&gt;"","?FAMILIAR",IF(F5760="NEW",IF(ISNA(VLOOKUP(E5760,#REF!,1,FALSE())),"?TYPE_IDENTIFIABLE","?REFERENTIAL"),"_")))))</f>
        <v> </v>
      </c>
      <c r="H5760" s="25" t="str">
        <f>IF(J5760&lt;&gt;1,"",IF(I5760="SBJ","CB","?"))</f>
        <v> </v>
      </c>
      <c r="I5760" s="26" t="str">
        <f>IF(OR(E5760="",E5760="!!!",F5760="NEW"),"",INDEX(B5759:B$2,-1+SUMPRODUCT(MAX(ROW(E5759:E$2)*(E5760=E5759:E$2)))))</f>
        <v> </v>
      </c>
      <c r="J5760" s="26" t="str">
        <f>IF(OR(E5760="",E5760="!!!",F5760="NEW"),"",COUNTBLANK(OFFSET(A$1,,,SUMPRODUCT(MAX(ROW(E$2:E5760)*(E5760=E$2:E5760)))))-COUNTBLANK(OFFSET(A$1,,,SUMPRODUCT(MAX(ROW(E$1:E5759)*(E2=E$1:E5759))))))</f>
        <v> </v>
      </c>
      <c r="K5760" s="26" t="str">
        <f>IF(OR(E5760="",E5760="!!!",F5760="NEW"),"",INDEX(J$1:J5759,SUMPRODUCT(MAX(ROW(E$1:E5759)*(E5760=E$1:E5759)))))</f>
        <v> </v>
      </c>
      <c r="L5760" s="27"/>
    </row>
    <row r="5761" spans="1:12">
      <c r="A5761" s="20" t="s">
        <v>1241</v>
      </c>
      <c r="B5761" s="21" t="s">
        <v>1380</v>
      </c>
      <c r="C5761" s="21" t="s">
        <v>1242</v>
      </c>
      <c r="D5761" s="21" t="s">
        <v>1217</v>
      </c>
      <c r="E5761" s="22">
        <f>IF(D5761="?OLD","!!!","")</f>
        <v/>
      </c>
      <c r="F5761" s="23" t="str">
        <f>IF(OR(E5761="",E5761="!!!"),"",IF(NOT(ISNA(VLOOKUP(E5761,E$1:E5760,1,FALSE()))),"OLD",IF(AND(E5761&lt;&gt;"",E5761&lt;&gt;"!!!"),"NEW","")))</f>
        <v> </v>
      </c>
      <c r="G5761" s="24" t="str">
        <f>IF(OR(E5761="",E5761="!!!"),"",IF(OR(J5761=0,AND(J5761=1,K5761=1),AND(J5761=1,I5761="SBJ"),AND(J5761=1,I5761=0)),"?IN_FOCUS",IF(J5761&lt;=2,"?ACTIVATED",IF(J5761&lt;&gt;"","?FAMILIAR",IF(F5761="NEW",IF(ISNA(VLOOKUP(E5761,#REF!,1,FALSE())),"?TYPE_IDENTIFIABLE","?REFERENTIAL"),"_")))))</f>
        <v> </v>
      </c>
      <c r="H5761" s="25" t="str">
        <f>IF(J5761&lt;&gt;1,"",IF(I5761="SBJ","CB","?"))</f>
        <v> </v>
      </c>
      <c r="I5761" s="26" t="str">
        <f>IF(OR(E5761="",E5761="!!!",F5761="NEW"),"",INDEX(B5760:B$2,-1+SUMPRODUCT(MAX(ROW(E5760:E$2)*(E5761=E5760:E$2)))))</f>
        <v> </v>
      </c>
      <c r="J5761" s="26" t="str">
        <f>IF(OR(E5761="",E5761="!!!",F5761="NEW"),"",COUNTBLANK(OFFSET(A$1,,,SUMPRODUCT(MAX(ROW(E$2:E5761)*(E5761=E$2:E5761)))))-COUNTBLANK(OFFSET(A$1,,,SUMPRODUCT(MAX(ROW(E$1:E5760)*(E2=E$1:E5760))))))</f>
        <v> </v>
      </c>
      <c r="K5761" s="26" t="str">
        <f>IF(OR(E5761="",E5761="!!!",F5761="NEW"),"",INDEX(J$1:J5760,SUMPRODUCT(MAX(ROW(E$1:E5760)*(E5761=E$1:E5760)))))</f>
        <v> </v>
      </c>
      <c r="L5761" s="27"/>
    </row>
    <row r="5762" spans="1:12">
      <c r="A5762" s="20" t="s">
        <v>3016</v>
      </c>
      <c r="B5762" s="21" t="s">
        <v>1377</v>
      </c>
      <c r="C5762" s="21" t="s">
        <v>1222</v>
      </c>
      <c r="D5762" s="21" t="s">
        <v>1217</v>
      </c>
      <c r="E5762" s="22">
        <f>IF(D5762="?OLD","!!!","")</f>
        <v/>
      </c>
      <c r="F5762" s="23" t="str">
        <f>IF(OR(E5762="",E5762="!!!"),"",IF(NOT(ISNA(VLOOKUP(E5762,E$1:E5761,1,FALSE()))),"OLD",IF(AND(E5762&lt;&gt;"",E5762&lt;&gt;"!!!"),"NEW","")))</f>
        <v> </v>
      </c>
      <c r="G5762" s="24" t="str">
        <f>IF(OR(E5762="",E5762="!!!"),"",IF(OR(J5762=0,AND(J5762=1,K5762=1),AND(J5762=1,I5762="SBJ"),AND(J5762=1,I5762=0)),"?IN_FOCUS",IF(J5762&lt;=2,"?ACTIVATED",IF(J5762&lt;&gt;"","?FAMILIAR",IF(F5762="NEW",IF(ISNA(VLOOKUP(E5762,#REF!,1,FALSE())),"?TYPE_IDENTIFIABLE","?REFERENTIAL"),"_")))))</f>
        <v> </v>
      </c>
      <c r="H5762" s="25" t="str">
        <f>IF(J5762&lt;&gt;1,"",IF(I5762="SBJ","CB","?"))</f>
        <v> </v>
      </c>
      <c r="I5762" s="26" t="str">
        <f>IF(OR(E5762="",E5762="!!!",F5762="NEW"),"",INDEX(B5761:B$2,-1+SUMPRODUCT(MAX(ROW(E5761:E$2)*(E5762=E5761:E$2)))))</f>
        <v> </v>
      </c>
      <c r="J5762" s="26" t="str">
        <f>IF(OR(E5762="",E5762="!!!",F5762="NEW"),"",COUNTBLANK(OFFSET(A$1,,,SUMPRODUCT(MAX(ROW(E$2:E5762)*(E5762=E$2:E5762)))))-COUNTBLANK(OFFSET(A$1,,,SUMPRODUCT(MAX(ROW(E$1:E5761)*(E2=E$1:E5761))))))</f>
        <v> </v>
      </c>
      <c r="K5762" s="26" t="str">
        <f>IF(OR(E5762="",E5762="!!!",F5762="NEW"),"",INDEX(J$1:J5761,SUMPRODUCT(MAX(ROW(E$1:E5761)*(E5762=E$1:E5761)))))</f>
        <v> </v>
      </c>
      <c r="L5762" s="27"/>
    </row>
    <row r="5763" spans="1:12">
      <c r="A5763" s="20" t="s">
        <v>1277</v>
      </c>
      <c r="E5763" s="22">
        <f>IF(D5763="?OLD","!!!","")</f>
        <v/>
      </c>
      <c r="F5763" s="23" t="str">
        <f>IF(OR(E5763="",E5763="!!!"),"",IF(NOT(ISNA(VLOOKUP(E5763,E$1:E5762,1,FALSE()))),"OLD",IF(AND(E5763&lt;&gt;"",E5763&lt;&gt;"!!!"),"NEW","")))</f>
        <v> </v>
      </c>
      <c r="G5763" s="24" t="str">
        <f>IF(OR(E5763="",E5763="!!!"),"",IF(OR(J5763=0,AND(J5763=1,K5763=1),AND(J5763=1,I5763="SBJ"),AND(J5763=1,I5763=0)),"?IN_FOCUS",IF(J5763&lt;=2,"?ACTIVATED",IF(J5763&lt;&gt;"","?FAMILIAR",IF(F5763="NEW",IF(ISNA(VLOOKUP(E5763,#REF!,1,FALSE())),"?TYPE_IDENTIFIABLE","?REFERENTIAL"),"_")))))</f>
        <v> </v>
      </c>
      <c r="H5763" s="25" t="str">
        <f>IF(J5763&lt;&gt;1,"",IF(I5763="SBJ","CB","?"))</f>
        <v> </v>
      </c>
      <c r="I5763" s="26" t="str">
        <f>IF(OR(E5763="",E5763="!!!",F5763="NEW"),"",INDEX(B5762:B$2,-1+SUMPRODUCT(MAX(ROW(E5762:E$2)*(E5763=E5762:E$2)))))</f>
        <v> </v>
      </c>
      <c r="J5763" s="26" t="str">
        <f>IF(OR(E5763="",E5763="!!!",F5763="NEW"),"",COUNTBLANK(OFFSET(A$1,,,SUMPRODUCT(MAX(ROW(E$2:E5763)*(E5763=E$2:E5763)))))-COUNTBLANK(OFFSET(A$1,,,SUMPRODUCT(MAX(ROW(E$1:E5762)*(E2=E$1:E5762))))))</f>
        <v> </v>
      </c>
      <c r="K5763" s="26" t="str">
        <f>IF(OR(E5763="",E5763="!!!",F5763="NEW"),"",INDEX(J$1:J5762,SUMPRODUCT(MAX(ROW(E$1:E5762)*(E5763=E$1:E5762)))))</f>
        <v> </v>
      </c>
      <c r="L5763" s="27"/>
    </row>
    <row r="5764" spans="1:12">
      <c r="A5764" s="20" t="s">
        <v>1257</v>
      </c>
      <c r="E5764" s="22">
        <f>IF(D5764="?OLD","!!!","")</f>
        <v/>
      </c>
      <c r="F5764" s="23" t="str">
        <f>IF(OR(E5764="",E5764="!!!"),"",IF(NOT(ISNA(VLOOKUP(E5764,E$1:E5763,1,FALSE()))),"OLD",IF(AND(E5764&lt;&gt;"",E5764&lt;&gt;"!!!"),"NEW","")))</f>
        <v> </v>
      </c>
      <c r="G5764" s="24" t="str">
        <f>IF(OR(E5764="",E5764="!!!"),"",IF(OR(J5764=0,AND(J5764=1,K5764=1),AND(J5764=1,I5764="SBJ"),AND(J5764=1,I5764=0)),"?IN_FOCUS",IF(J5764&lt;=2,"?ACTIVATED",IF(J5764&lt;&gt;"","?FAMILIAR",IF(F5764="NEW",IF(ISNA(VLOOKUP(E5764,#REF!,1,FALSE())),"?TYPE_IDENTIFIABLE","?REFERENTIAL"),"_")))))</f>
        <v> </v>
      </c>
      <c r="H5764" s="25" t="str">
        <f>IF(J5764&lt;&gt;1,"",IF(I5764="SBJ","CB","?"))</f>
        <v> </v>
      </c>
      <c r="I5764" s="26" t="str">
        <f>IF(OR(E5764="",E5764="!!!",F5764="NEW"),"",INDEX(B5763:B$2,-1+SUMPRODUCT(MAX(ROW(E5763:E$2)*(E5764=E5763:E$2)))))</f>
        <v> </v>
      </c>
      <c r="J5764" s="26" t="str">
        <f>IF(OR(E5764="",E5764="!!!",F5764="NEW"),"",COUNTBLANK(OFFSET(A$1,,,SUMPRODUCT(MAX(ROW(E$2:E5764)*(E5764=E$2:E5764)))))-COUNTBLANK(OFFSET(A$1,,,SUMPRODUCT(MAX(ROW(E$1:E5763)*(E2=E$1:E5763))))))</f>
        <v> </v>
      </c>
      <c r="K5764" s="26" t="str">
        <f>IF(OR(E5764="",E5764="!!!",F5764="NEW"),"",INDEX(J$1:J5763,SUMPRODUCT(MAX(ROW(E$1:E5763)*(E5764=E$1:E5763)))))</f>
        <v> </v>
      </c>
      <c r="L5764" s="27"/>
    </row>
    <row r="5765" spans="1:12">
      <c r="A5765" s="20" t="s">
        <v>1219</v>
      </c>
      <c r="E5765" s="22">
        <f>IF(D5765="?OLD","!!!","")</f>
        <v/>
      </c>
      <c r="F5765" s="23" t="str">
        <f>IF(OR(E5765="",E5765="!!!"),"",IF(NOT(ISNA(VLOOKUP(E5765,E$1:E5764,1,FALSE()))),"OLD",IF(AND(E5765&lt;&gt;"",E5765&lt;&gt;"!!!"),"NEW","")))</f>
        <v> </v>
      </c>
      <c r="G5765" s="24" t="str">
        <f>IF(OR(E5765="",E5765="!!!"),"",IF(OR(J5765=0,AND(J5765=1,K5765=1),AND(J5765=1,I5765="SBJ"),AND(J5765=1,I5765=0)),"?IN_FOCUS",IF(J5765&lt;=2,"?ACTIVATED",IF(J5765&lt;&gt;"","?FAMILIAR",IF(F5765="NEW",IF(ISNA(VLOOKUP(E5765,#REF!,1,FALSE())),"?TYPE_IDENTIFIABLE","?REFERENTIAL"),"_")))))</f>
        <v> </v>
      </c>
      <c r="H5765" s="25" t="str">
        <f>IF(J5765&lt;&gt;1,"",IF(I5765="SBJ","CB","?"))</f>
        <v> </v>
      </c>
      <c r="I5765" s="26" t="str">
        <f>IF(OR(E5765="",E5765="!!!",F5765="NEW"),"",INDEX(B5764:B$2,-1+SUMPRODUCT(MAX(ROW(E5764:E$2)*(E5765=E5764:E$2)))))</f>
        <v> </v>
      </c>
      <c r="J5765" s="26" t="str">
        <f>IF(OR(E5765="",E5765="!!!",F5765="NEW"),"",COUNTBLANK(OFFSET(A$1,,,SUMPRODUCT(MAX(ROW(E$2:E5765)*(E5765=E$2:E5765)))))-COUNTBLANK(OFFSET(A$1,,,SUMPRODUCT(MAX(ROW(E$1:E5764)*(E2=E$1:E5764))))))</f>
        <v> </v>
      </c>
      <c r="K5765" s="26" t="str">
        <f>IF(OR(E5765="",E5765="!!!",F5765="NEW"),"",INDEX(J$1:J5764,SUMPRODUCT(MAX(ROW(E$1:E5764)*(E5765=E$1:E5764)))))</f>
        <v> </v>
      </c>
      <c r="L5765" s="27"/>
    </row>
    <row r="5766" spans="1:12">
      <c r="A5766" s="20" t="s">
        <v>2336</v>
      </c>
      <c r="B5766" s="21" t="s">
        <v>1377</v>
      </c>
      <c r="C5766" s="21" t="s">
        <v>1269</v>
      </c>
      <c r="D5766" s="21" t="s">
        <v>1217</v>
      </c>
      <c r="E5766" s="22">
        <f>IF(D5766="?OLD","!!!","")</f>
        <v/>
      </c>
      <c r="F5766" s="23" t="str">
        <f>IF(OR(E5766="",E5766="!!!"),"",IF(NOT(ISNA(VLOOKUP(E5766,E$1:E5765,1,FALSE()))),"OLD",IF(AND(E5766&lt;&gt;"",E5766&lt;&gt;"!!!"),"NEW","")))</f>
        <v> </v>
      </c>
      <c r="G5766" s="24" t="str">
        <f>IF(OR(E5766="",E5766="!!!"),"",IF(OR(J5766=0,AND(J5766=1,K5766=1),AND(J5766=1,I5766="SBJ"),AND(J5766=1,I5766=0)),"?IN_FOCUS",IF(J5766&lt;=2,"?ACTIVATED",IF(J5766&lt;&gt;"","?FAMILIAR",IF(F5766="NEW",IF(ISNA(VLOOKUP(E5766,#REF!,1,FALSE())),"?TYPE_IDENTIFIABLE","?REFERENTIAL"),"_")))))</f>
        <v> </v>
      </c>
      <c r="H5766" s="25" t="str">
        <f>IF(J5766&lt;&gt;1,"",IF(I5766="SBJ","CB","?"))</f>
        <v> </v>
      </c>
      <c r="I5766" s="26" t="str">
        <f>IF(OR(E5766="",E5766="!!!",F5766="NEW"),"",INDEX(B5765:B$2,-1+SUMPRODUCT(MAX(ROW(E5765:E$2)*(E5766=E5765:E$2)))))</f>
        <v> </v>
      </c>
      <c r="J5766" s="26" t="str">
        <f>IF(OR(E5766="",E5766="!!!",F5766="NEW"),"",COUNTBLANK(OFFSET(A$1,,,SUMPRODUCT(MAX(ROW(E$2:E5766)*(E5766=E$2:E5766)))))-COUNTBLANK(OFFSET(A$1,,,SUMPRODUCT(MAX(ROW(E$1:E5765)*(E2=E$1:E5765))))))</f>
        <v> </v>
      </c>
      <c r="K5766" s="26" t="str">
        <f>IF(OR(E5766="",E5766="!!!",F5766="NEW"),"",INDEX(J$1:J5765,SUMPRODUCT(MAX(ROW(E$1:E5765)*(E5766=E$1:E5765)))))</f>
        <v> </v>
      </c>
      <c r="L5766" s="27"/>
    </row>
    <row r="5767" spans="1:12">
      <c r="A5767" s="20" t="s">
        <v>1218</v>
      </c>
      <c r="E5767" s="22">
        <f>IF(D5767="?OLD","!!!","")</f>
        <v/>
      </c>
      <c r="F5767" s="23" t="str">
        <f>IF(OR(E5767="",E5767="!!!"),"",IF(NOT(ISNA(VLOOKUP(E5767,E$1:E5766,1,FALSE()))),"OLD",IF(AND(E5767&lt;&gt;"",E5767&lt;&gt;"!!!"),"NEW","")))</f>
        <v> </v>
      </c>
      <c r="G5767" s="24" t="str">
        <f>IF(OR(E5767="",E5767="!!!"),"",IF(OR(J5767=0,AND(J5767=1,K5767=1),AND(J5767=1,I5767="SBJ"),AND(J5767=1,I5767=0)),"?IN_FOCUS",IF(J5767&lt;=2,"?ACTIVATED",IF(J5767&lt;&gt;"","?FAMILIAR",IF(F5767="NEW",IF(ISNA(VLOOKUP(E5767,#REF!,1,FALSE())),"?TYPE_IDENTIFIABLE","?REFERENTIAL"),"_")))))</f>
        <v> </v>
      </c>
      <c r="H5767" s="25" t="str">
        <f>IF(J5767&lt;&gt;1,"",IF(I5767="SBJ","CB","?"))</f>
        <v> </v>
      </c>
      <c r="I5767" s="26" t="str">
        <f>IF(OR(E5767="",E5767="!!!",F5767="NEW"),"",INDEX(B5766:B$2,-1+SUMPRODUCT(MAX(ROW(E5766:E$2)*(E5767=E5766:E$2)))))</f>
        <v> </v>
      </c>
      <c r="J5767" s="26" t="str">
        <f>IF(OR(E5767="",E5767="!!!",F5767="NEW"),"",COUNTBLANK(OFFSET(A$1,,,SUMPRODUCT(MAX(ROW(E$2:E5767)*(E5767=E$2:E5767)))))-COUNTBLANK(OFFSET(A$1,,,SUMPRODUCT(MAX(ROW(E$1:E5766)*(E2=E$1:E5766))))))</f>
        <v> </v>
      </c>
      <c r="K5767" s="26" t="str">
        <f>IF(OR(E5767="",E5767="!!!",F5767="NEW"),"",INDEX(J$1:J5766,SUMPRODUCT(MAX(ROW(E$1:E5766)*(E5767=E$1:E5766)))))</f>
        <v> </v>
      </c>
      <c r="L5767" s="27"/>
    </row>
    <row r="5768" spans="1:12">
      <c r="A5768" s="20" t="s">
        <v>1323</v>
      </c>
      <c r="E5768" s="22">
        <f>IF(D5768="?OLD","!!!","")</f>
        <v/>
      </c>
      <c r="F5768" s="23" t="str">
        <f>IF(OR(E5768="",E5768="!!!"),"",IF(NOT(ISNA(VLOOKUP(E5768,E$1:E5767,1,FALSE()))),"OLD",IF(AND(E5768&lt;&gt;"",E5768&lt;&gt;"!!!"),"NEW","")))</f>
        <v> </v>
      </c>
      <c r="G5768" s="24" t="str">
        <f>IF(OR(E5768="",E5768="!!!"),"",IF(OR(J5768=0,AND(J5768=1,K5768=1),AND(J5768=1,I5768="SBJ"),AND(J5768=1,I5768=0)),"?IN_FOCUS",IF(J5768&lt;=2,"?ACTIVATED",IF(J5768&lt;&gt;"","?FAMILIAR",IF(F5768="NEW",IF(ISNA(VLOOKUP(E5768,#REF!,1,FALSE())),"?TYPE_IDENTIFIABLE","?REFERENTIAL"),"_")))))</f>
        <v> </v>
      </c>
      <c r="H5768" s="25" t="str">
        <f>IF(J5768&lt;&gt;1,"",IF(I5768="SBJ","CB","?"))</f>
        <v> </v>
      </c>
      <c r="I5768" s="26" t="str">
        <f>IF(OR(E5768="",E5768="!!!",F5768="NEW"),"",INDEX(B5767:B$2,-1+SUMPRODUCT(MAX(ROW(E5767:E$2)*(E5768=E5767:E$2)))))</f>
        <v> </v>
      </c>
      <c r="J5768" s="26" t="str">
        <f>IF(OR(E5768="",E5768="!!!",F5768="NEW"),"",COUNTBLANK(OFFSET(A$1,,,SUMPRODUCT(MAX(ROW(E$2:E5768)*(E5768=E$2:E5768)))))-COUNTBLANK(OFFSET(A$1,,,SUMPRODUCT(MAX(ROW(E$1:E5767)*(E2=E$1:E5767))))))</f>
        <v> </v>
      </c>
      <c r="K5768" s="26" t="str">
        <f>IF(OR(E5768="",E5768="!!!",F5768="NEW"),"",INDEX(J$1:J5767,SUMPRODUCT(MAX(ROW(E$1:E5767)*(E5768=E$1:E5767)))))</f>
        <v> </v>
      </c>
      <c r="L5768" s="27"/>
    </row>
    <row r="5769" spans="1:12">
      <c r="A5769" s="20" t="s">
        <v>1385</v>
      </c>
      <c r="B5769" s="21" t="s">
        <v>1380</v>
      </c>
      <c r="C5769" s="21" t="s">
        <v>1269</v>
      </c>
      <c r="D5769" s="21" t="s">
        <v>1217</v>
      </c>
      <c r="E5769" s="22">
        <f>IF(D5769="?OLD","!!!","")</f>
        <v/>
      </c>
      <c r="F5769" s="23" t="str">
        <f>IF(OR(E5769="",E5769="!!!"),"",IF(NOT(ISNA(VLOOKUP(E5769,E$1:E5768,1,FALSE()))),"OLD",IF(AND(E5769&lt;&gt;"",E5769&lt;&gt;"!!!"),"NEW","")))</f>
        <v> </v>
      </c>
      <c r="G5769" s="24" t="str">
        <f>IF(OR(E5769="",E5769="!!!"),"",IF(OR(J5769=0,AND(J5769=1,K5769=1),AND(J5769=1,I5769="SBJ"),AND(J5769=1,I5769=0)),"?IN_FOCUS",IF(J5769&lt;=2,"?ACTIVATED",IF(J5769&lt;&gt;"","?FAMILIAR",IF(F5769="NEW",IF(ISNA(VLOOKUP(E5769,#REF!,1,FALSE())),"?TYPE_IDENTIFIABLE","?REFERENTIAL"),"_")))))</f>
        <v> </v>
      </c>
      <c r="H5769" s="25" t="str">
        <f>IF(J5769&lt;&gt;1,"",IF(I5769="SBJ","CB","?"))</f>
        <v> </v>
      </c>
      <c r="I5769" s="26" t="str">
        <f>IF(OR(E5769="",E5769="!!!",F5769="NEW"),"",INDEX(B5768:B$2,-1+SUMPRODUCT(MAX(ROW(E5768:E$2)*(E5769=E5768:E$2)))))</f>
        <v> </v>
      </c>
      <c r="J5769" s="26" t="str">
        <f>IF(OR(E5769="",E5769="!!!",F5769="NEW"),"",COUNTBLANK(OFFSET(A$1,,,SUMPRODUCT(MAX(ROW(E$2:E5769)*(E5769=E$2:E5769)))))-COUNTBLANK(OFFSET(A$1,,,SUMPRODUCT(MAX(ROW(E$1:E5768)*(E2=E$1:E5768))))))</f>
        <v> </v>
      </c>
      <c r="K5769" s="26" t="str">
        <f>IF(OR(E5769="",E5769="!!!",F5769="NEW"),"",INDEX(J$1:J5768,SUMPRODUCT(MAX(ROW(E$1:E5768)*(E5769=E$1:E5768)))))</f>
        <v> </v>
      </c>
      <c r="L5769" s="27"/>
    </row>
    <row r="5770" spans="1:12">
      <c r="A5770" s="20" t="s">
        <v>1277</v>
      </c>
      <c r="E5770" s="22">
        <f>IF(D5770="?OLD","!!!","")</f>
        <v/>
      </c>
      <c r="F5770" s="23" t="str">
        <f>IF(OR(E5770="",E5770="!!!"),"",IF(NOT(ISNA(VLOOKUP(E5770,E$1:E5769,1,FALSE()))),"OLD",IF(AND(E5770&lt;&gt;"",E5770&lt;&gt;"!!!"),"NEW","")))</f>
        <v> </v>
      </c>
      <c r="G5770" s="24" t="str">
        <f>IF(OR(E5770="",E5770="!!!"),"",IF(OR(J5770=0,AND(J5770=1,K5770=1),AND(J5770=1,I5770="SBJ"),AND(J5770=1,I5770=0)),"?IN_FOCUS",IF(J5770&lt;=2,"?ACTIVATED",IF(J5770&lt;&gt;"","?FAMILIAR",IF(F5770="NEW",IF(ISNA(VLOOKUP(E5770,#REF!,1,FALSE())),"?TYPE_IDENTIFIABLE","?REFERENTIAL"),"_")))))</f>
        <v> </v>
      </c>
      <c r="H5770" s="25" t="str">
        <f>IF(J5770&lt;&gt;1,"",IF(I5770="SBJ","CB","?"))</f>
        <v> </v>
      </c>
      <c r="I5770" s="26" t="str">
        <f>IF(OR(E5770="",E5770="!!!",F5770="NEW"),"",INDEX(B5769:B$2,-1+SUMPRODUCT(MAX(ROW(E5769:E$2)*(E5770=E5769:E$2)))))</f>
        <v> </v>
      </c>
      <c r="J5770" s="26" t="str">
        <f>IF(OR(E5770="",E5770="!!!",F5770="NEW"),"",COUNTBLANK(OFFSET(A$1,,,SUMPRODUCT(MAX(ROW(E$2:E5770)*(E5770=E$2:E5770)))))-COUNTBLANK(OFFSET(A$1,,,SUMPRODUCT(MAX(ROW(E$1:E5769)*(E2=E$1:E5769))))))</f>
        <v> </v>
      </c>
      <c r="K5770" s="26" t="str">
        <f>IF(OR(E5770="",E5770="!!!",F5770="NEW"),"",INDEX(J$1:J5769,SUMPRODUCT(MAX(ROW(E$1:E5769)*(E5770=E$1:E5769)))))</f>
        <v> </v>
      </c>
      <c r="L5770" s="27"/>
    </row>
    <row r="5771" spans="1:12">
      <c r="A5771" s="20" t="s">
        <v>1471</v>
      </c>
      <c r="E5771" s="22">
        <f>IF(D5771="?OLD","!!!","")</f>
        <v/>
      </c>
      <c r="F5771" s="23" t="str">
        <f>IF(OR(E5771="",E5771="!!!"),"",IF(NOT(ISNA(VLOOKUP(E5771,E$1:E5770,1,FALSE()))),"OLD",IF(AND(E5771&lt;&gt;"",E5771&lt;&gt;"!!!"),"NEW","")))</f>
        <v> </v>
      </c>
      <c r="G5771" s="24" t="str">
        <f>IF(OR(E5771="",E5771="!!!"),"",IF(OR(J5771=0,AND(J5771=1,K5771=1),AND(J5771=1,I5771="SBJ"),AND(J5771=1,I5771=0)),"?IN_FOCUS",IF(J5771&lt;=2,"?ACTIVATED",IF(J5771&lt;&gt;"","?FAMILIAR",IF(F5771="NEW",IF(ISNA(VLOOKUP(E5771,#REF!,1,FALSE())),"?TYPE_IDENTIFIABLE","?REFERENTIAL"),"_")))))</f>
        <v> </v>
      </c>
      <c r="H5771" s="25" t="str">
        <f>IF(J5771&lt;&gt;1,"",IF(I5771="SBJ","CB","?"))</f>
        <v> </v>
      </c>
      <c r="I5771" s="26" t="str">
        <f>IF(OR(E5771="",E5771="!!!",F5771="NEW"),"",INDEX(B5770:B$2,-1+SUMPRODUCT(MAX(ROW(E5770:E$2)*(E5771=E5770:E$2)))))</f>
        <v> </v>
      </c>
      <c r="J5771" s="26" t="str">
        <f>IF(OR(E5771="",E5771="!!!",F5771="NEW"),"",COUNTBLANK(OFFSET(A$1,,,SUMPRODUCT(MAX(ROW(E$2:E5771)*(E5771=E$2:E5771)))))-COUNTBLANK(OFFSET(A$1,,,SUMPRODUCT(MAX(ROW(E$1:E5770)*(E2=E$1:E5770))))))</f>
        <v> </v>
      </c>
      <c r="K5771" s="26" t="str">
        <f>IF(OR(E5771="",E5771="!!!",F5771="NEW"),"",INDEX(J$1:J5770,SUMPRODUCT(MAX(ROW(E$1:E5770)*(E5771=E$1:E5770)))))</f>
        <v> </v>
      </c>
      <c r="L5771" s="27"/>
    </row>
    <row r="5772" spans="1:12">
      <c r="A5772" s="20" t="s">
        <v>2357</v>
      </c>
      <c r="B5772" s="21" t="s">
        <v>3017</v>
      </c>
      <c r="C5772" s="21" t="s">
        <v>1238</v>
      </c>
      <c r="E5772" s="22">
        <f>IF(D5772="?OLD","!!!","")</f>
        <v/>
      </c>
      <c r="F5772" s="23" t="str">
        <f>IF(OR(E5772="",E5772="!!!"),"",IF(NOT(ISNA(VLOOKUP(E5772,E$1:E5771,1,FALSE()))),"OLD",IF(AND(E5772&lt;&gt;"",E5772&lt;&gt;"!!!"),"NEW","")))</f>
        <v> </v>
      </c>
      <c r="G5772" s="24" t="str">
        <f>IF(OR(E5772="",E5772="!!!"),"",IF(OR(J5772=0,AND(J5772=1,K5772=1),AND(J5772=1,I5772="SBJ"),AND(J5772=1,I5772=0)),"?IN_FOCUS",IF(J5772&lt;=2,"?ACTIVATED",IF(J5772&lt;&gt;"","?FAMILIAR",IF(F5772="NEW",IF(ISNA(VLOOKUP(E5772,#REF!,1,FALSE())),"?TYPE_IDENTIFIABLE","?REFERENTIAL"),"_")))))</f>
        <v> </v>
      </c>
      <c r="H5772" s="25" t="str">
        <f>IF(J5772&lt;&gt;1,"",IF(I5772="SBJ","CB","?"))</f>
        <v> </v>
      </c>
      <c r="I5772" s="26" t="str">
        <f>IF(OR(E5772="",E5772="!!!",F5772="NEW"),"",INDEX(B5771:B$2,-1+SUMPRODUCT(MAX(ROW(E5771:E$2)*(E5772=E5771:E$2)))))</f>
        <v> </v>
      </c>
      <c r="J5772" s="26" t="str">
        <f>IF(OR(E5772="",E5772="!!!",F5772="NEW"),"",COUNTBLANK(OFFSET(A$1,,,SUMPRODUCT(MAX(ROW(E$2:E5772)*(E5772=E$2:E5772)))))-COUNTBLANK(OFFSET(A$1,,,SUMPRODUCT(MAX(ROW(E$1:E5771)*(E2=E$1:E5771))))))</f>
        <v> </v>
      </c>
      <c r="K5772" s="26" t="str">
        <f>IF(OR(E5772="",E5772="!!!",F5772="NEW"),"",INDEX(J$1:J5771,SUMPRODUCT(MAX(ROW(E$1:E5771)*(E5772=E$1:E5771)))))</f>
        <v> </v>
      </c>
      <c r="L5772" s="27"/>
    </row>
    <row r="5773" spans="1:12">
      <c r="A5773" s="20" t="s">
        <v>1289</v>
      </c>
      <c r="E5773" s="22">
        <f>IF(D5773="?OLD","!!!","")</f>
        <v/>
      </c>
      <c r="F5773" s="23" t="str">
        <f>IF(OR(E5773="",E5773="!!!"),"",IF(NOT(ISNA(VLOOKUP(E5773,E$1:E5772,1,FALSE()))),"OLD",IF(AND(E5773&lt;&gt;"",E5773&lt;&gt;"!!!"),"NEW","")))</f>
        <v> </v>
      </c>
      <c r="G5773" s="24" t="str">
        <f>IF(OR(E5773="",E5773="!!!"),"",IF(OR(J5773=0,AND(J5773=1,K5773=1),AND(J5773=1,I5773="SBJ"),AND(J5773=1,I5773=0)),"?IN_FOCUS",IF(J5773&lt;=2,"?ACTIVATED",IF(J5773&lt;&gt;"","?FAMILIAR",IF(F5773="NEW",IF(ISNA(VLOOKUP(E5773,#REF!,1,FALSE())),"?TYPE_IDENTIFIABLE","?REFERENTIAL"),"_")))))</f>
        <v> </v>
      </c>
      <c r="H5773" s="25" t="str">
        <f>IF(J5773&lt;&gt;1,"",IF(I5773="SBJ","CB","?"))</f>
        <v> </v>
      </c>
      <c r="I5773" s="26" t="str">
        <f>IF(OR(E5773="",E5773="!!!",F5773="NEW"),"",INDEX(B5772:B$2,-1+SUMPRODUCT(MAX(ROW(E5772:E$2)*(E5773=E5772:E$2)))))</f>
        <v> </v>
      </c>
      <c r="J5773" s="26" t="str">
        <f>IF(OR(E5773="",E5773="!!!",F5773="NEW"),"",COUNTBLANK(OFFSET(A$1,,,SUMPRODUCT(MAX(ROW(E$2:E5773)*(E5773=E$2:E5773)))))-COUNTBLANK(OFFSET(A$1,,,SUMPRODUCT(MAX(ROW(E$1:E5772)*(E2=E$1:E5772))))))</f>
        <v> </v>
      </c>
      <c r="K5773" s="26" t="str">
        <f>IF(OR(E5773="",E5773="!!!",F5773="NEW"),"",INDEX(J$1:J5772,SUMPRODUCT(MAX(ROW(E$1:E5772)*(E5773=E$1:E5772)))))</f>
        <v> </v>
      </c>
      <c r="L5773" s="27"/>
    </row>
    <row r="5774" spans="1:12">
      <c r="A5774" s="20" t="s">
        <v>2501</v>
      </c>
      <c r="E5774" s="22">
        <f>IF(D5774="?OLD","!!!","")</f>
        <v/>
      </c>
      <c r="F5774" s="23" t="str">
        <f>IF(OR(E5774="",E5774="!!!"),"",IF(NOT(ISNA(VLOOKUP(E5774,E$1:E5773,1,FALSE()))),"OLD",IF(AND(E5774&lt;&gt;"",E5774&lt;&gt;"!!!"),"NEW","")))</f>
        <v> </v>
      </c>
      <c r="G5774" s="24" t="str">
        <f>IF(OR(E5774="",E5774="!!!"),"",IF(OR(J5774=0,AND(J5774=1,K5774=1),AND(J5774=1,I5774="SBJ"),AND(J5774=1,I5774=0)),"?IN_FOCUS",IF(J5774&lt;=2,"?ACTIVATED",IF(J5774&lt;&gt;"","?FAMILIAR",IF(F5774="NEW",IF(ISNA(VLOOKUP(E5774,#REF!,1,FALSE())),"?TYPE_IDENTIFIABLE","?REFERENTIAL"),"_")))))</f>
        <v> </v>
      </c>
      <c r="H5774" s="25" t="str">
        <f>IF(J5774&lt;&gt;1,"",IF(I5774="SBJ","CB","?"))</f>
        <v> </v>
      </c>
      <c r="I5774" s="26" t="str">
        <f>IF(OR(E5774="",E5774="!!!",F5774="NEW"),"",INDEX(B5773:B$2,-1+SUMPRODUCT(MAX(ROW(E5773:E$2)*(E5774=E5773:E$2)))))</f>
        <v> </v>
      </c>
      <c r="J5774" s="26" t="str">
        <f>IF(OR(E5774="",E5774="!!!",F5774="NEW"),"",COUNTBLANK(OFFSET(A$1,,,SUMPRODUCT(MAX(ROW(E$2:E5774)*(E5774=E$2:E5774)))))-COUNTBLANK(OFFSET(A$1,,,SUMPRODUCT(MAX(ROW(E$1:E5773)*(E2=E$1:E5773))))))</f>
        <v> </v>
      </c>
      <c r="K5774" s="26" t="str">
        <f>IF(OR(E5774="",E5774="!!!",F5774="NEW"),"",INDEX(J$1:J5773,SUMPRODUCT(MAX(ROW(E$1:E5773)*(E5774=E$1:E5773)))))</f>
        <v> </v>
      </c>
      <c r="L5774" s="27"/>
    </row>
    <row r="5775" spans="1:12">
      <c r="A5775" s="20" t="s">
        <v>1457</v>
      </c>
      <c r="E5775" s="22">
        <f>IF(D5775="?OLD","!!!","")</f>
        <v/>
      </c>
      <c r="F5775" s="23" t="str">
        <f>IF(OR(E5775="",E5775="!!!"),"",IF(NOT(ISNA(VLOOKUP(E5775,E$1:E5774,1,FALSE()))),"OLD",IF(AND(E5775&lt;&gt;"",E5775&lt;&gt;"!!!"),"NEW","")))</f>
        <v> </v>
      </c>
      <c r="G5775" s="24" t="str">
        <f>IF(OR(E5775="",E5775="!!!"),"",IF(OR(J5775=0,AND(J5775=1,K5775=1),AND(J5775=1,I5775="SBJ"),AND(J5775=1,I5775=0)),"?IN_FOCUS",IF(J5775&lt;=2,"?ACTIVATED",IF(J5775&lt;&gt;"","?FAMILIAR",IF(F5775="NEW",IF(ISNA(VLOOKUP(E5775,#REF!,1,FALSE())),"?TYPE_IDENTIFIABLE","?REFERENTIAL"),"_")))))</f>
        <v> </v>
      </c>
      <c r="H5775" s="25" t="str">
        <f>IF(J5775&lt;&gt;1,"",IF(I5775="SBJ","CB","?"))</f>
        <v> </v>
      </c>
      <c r="I5775" s="26" t="str">
        <f>IF(OR(E5775="",E5775="!!!",F5775="NEW"),"",INDEX(B5774:B$2,-1+SUMPRODUCT(MAX(ROW(E5774:E$2)*(E5775=E5774:E$2)))))</f>
        <v> </v>
      </c>
      <c r="J5775" s="26" t="str">
        <f>IF(OR(E5775="",E5775="!!!",F5775="NEW"),"",COUNTBLANK(OFFSET(A$1,,,SUMPRODUCT(MAX(ROW(E$2:E5775)*(E5775=E$2:E5775)))))-COUNTBLANK(OFFSET(A$1,,,SUMPRODUCT(MAX(ROW(E$1:E5774)*(E2=E$1:E5774))))))</f>
        <v> </v>
      </c>
      <c r="K5775" s="26" t="str">
        <f>IF(OR(E5775="",E5775="!!!",F5775="NEW"),"",INDEX(J$1:J5774,SUMPRODUCT(MAX(ROW(E$1:E5774)*(E5775=E$1:E5774)))))</f>
        <v> </v>
      </c>
      <c r="L5775" s="27"/>
    </row>
    <row r="5776" spans="1:12">
      <c r="A5776" s="20" t="s">
        <v>1611</v>
      </c>
      <c r="E5776" s="22">
        <f>IF(D5776="?OLD","!!!","")</f>
        <v/>
      </c>
      <c r="F5776" s="23" t="str">
        <f>IF(OR(E5776="",E5776="!!!"),"",IF(NOT(ISNA(VLOOKUP(E5776,E$1:E5775,1,FALSE()))),"OLD",IF(AND(E5776&lt;&gt;"",E5776&lt;&gt;"!!!"),"NEW","")))</f>
        <v> </v>
      </c>
      <c r="G5776" s="24" t="str">
        <f>IF(OR(E5776="",E5776="!!!"),"",IF(OR(J5776=0,AND(J5776=1,K5776=1),AND(J5776=1,I5776="SBJ"),AND(J5776=1,I5776=0)),"?IN_FOCUS",IF(J5776&lt;=2,"?ACTIVATED",IF(J5776&lt;&gt;"","?FAMILIAR",IF(F5776="NEW",IF(ISNA(VLOOKUP(E5776,#REF!,1,FALSE())),"?TYPE_IDENTIFIABLE","?REFERENTIAL"),"_")))))</f>
        <v> </v>
      </c>
      <c r="H5776" s="25" t="str">
        <f>IF(J5776&lt;&gt;1,"",IF(I5776="SBJ","CB","?"))</f>
        <v> </v>
      </c>
      <c r="I5776" s="26" t="str">
        <f>IF(OR(E5776="",E5776="!!!",F5776="NEW"),"",INDEX(B5775:B$2,-1+SUMPRODUCT(MAX(ROW(E5775:E$2)*(E5776=E5775:E$2)))))</f>
        <v> </v>
      </c>
      <c r="J5776" s="26" t="str">
        <f>IF(OR(E5776="",E5776="!!!",F5776="NEW"),"",COUNTBLANK(OFFSET(A$1,,,SUMPRODUCT(MAX(ROW(E$2:E5776)*(E5776=E$2:E5776)))))-COUNTBLANK(OFFSET(A$1,,,SUMPRODUCT(MAX(ROW(E$1:E5775)*(E2=E$1:E5775))))))</f>
        <v> </v>
      </c>
      <c r="K5776" s="26" t="str">
        <f>IF(OR(E5776="",E5776="!!!",F5776="NEW"),"",INDEX(J$1:J5775,SUMPRODUCT(MAX(ROW(E$1:E5775)*(E5776=E$1:E5775)))))</f>
        <v> </v>
      </c>
      <c r="L5776" s="27"/>
    </row>
    <row r="5777" spans="1:12">
      <c r="A5777" s="20"/>
    </row>
    <row r="5778" spans="1:12">
      <c r="A5778" s="20" t="s">
        <v>3018</v>
      </c>
    </row>
    <row r="5779" spans="1:12">
      <c r="A5779" s="20" t="s">
        <v>1264</v>
      </c>
      <c r="E5779" s="22">
        <f>IF(D5779="?OLD","!!!","")</f>
        <v/>
      </c>
      <c r="F5779" s="23" t="str">
        <f>IF(OR(E5779="",E5779="!!!"),"",IF(NOT(ISNA(VLOOKUP(E5779,E$1:E5778,1,FALSE()))),"OLD",IF(AND(E5779&lt;&gt;"",E5779&lt;&gt;"!!!"),"NEW","")))</f>
        <v> </v>
      </c>
      <c r="G5779" s="24" t="str">
        <f>IF(OR(E5779="",E5779="!!!"),"",IF(OR(J5779=0,AND(J5779=1,K5779=1),AND(J5779=1,I5779="SBJ"),AND(J5779=1,I5779=0)),"?IN_FOCUS",IF(J5779&lt;=2,"?ACTIVATED",IF(J5779&lt;&gt;"","?FAMILIAR",IF(F5779="NEW",IF(ISNA(VLOOKUP(E5779,#REF!,1,FALSE())),"?TYPE_IDENTIFIABLE","?REFERENTIAL"),"_")))))</f>
        <v> </v>
      </c>
      <c r="H5779" s="25" t="str">
        <f>IF(J5779&lt;&gt;1,"",IF(I5779="SBJ","CB","?"))</f>
        <v> </v>
      </c>
      <c r="I5779" s="26" t="str">
        <f>IF(OR(E5779="",E5779="!!!",F5779="NEW"),"",INDEX(B5778:B$2,-1+SUMPRODUCT(MAX(ROW(E5778:E$2)*(E5779=E5778:E$2)))))</f>
        <v> </v>
      </c>
      <c r="J5779" s="26" t="str">
        <f>IF(OR(E5779="",E5779="!!!",F5779="NEW"),"",COUNTBLANK(OFFSET(A$1,,,SUMPRODUCT(MAX(ROW(E$2:E5779)*(E5779=E$2:E5779)))))-COUNTBLANK(OFFSET(A$1,,,SUMPRODUCT(MAX(ROW(E$1:E5778)*(E2=E$1:E5778))))))</f>
        <v> </v>
      </c>
      <c r="K5779" s="26" t="str">
        <f>IF(OR(E5779="",E5779="!!!",F5779="NEW"),"",INDEX(J$1:J5778,SUMPRODUCT(MAX(ROW(E$1:E5778)*(E5779=E$1:E5778)))))</f>
        <v> </v>
      </c>
      <c r="L5779" s="27"/>
    </row>
    <row r="5780" spans="1:12">
      <c r="A5780" s="20" t="s">
        <v>2404</v>
      </c>
      <c r="E5780" s="22">
        <f>IF(D5780="?OLD","!!!","")</f>
        <v/>
      </c>
      <c r="F5780" s="23" t="str">
        <f>IF(OR(E5780="",E5780="!!!"),"",IF(NOT(ISNA(VLOOKUP(E5780,E$1:E5779,1,FALSE()))),"OLD",IF(AND(E5780&lt;&gt;"",E5780&lt;&gt;"!!!"),"NEW","")))</f>
        <v> </v>
      </c>
      <c r="G5780" s="24" t="str">
        <f>IF(OR(E5780="",E5780="!!!"),"",IF(OR(J5780=0,AND(J5780=1,K5780=1),AND(J5780=1,I5780="SBJ"),AND(J5780=1,I5780=0)),"?IN_FOCUS",IF(J5780&lt;=2,"?ACTIVATED",IF(J5780&lt;&gt;"","?FAMILIAR",IF(F5780="NEW",IF(ISNA(VLOOKUP(E5780,#REF!,1,FALSE())),"?TYPE_IDENTIFIABLE","?REFERENTIAL"),"_")))))</f>
        <v> </v>
      </c>
      <c r="H5780" s="25" t="str">
        <f>IF(J5780&lt;&gt;1,"",IF(I5780="SBJ","CB","?"))</f>
        <v> </v>
      </c>
      <c r="I5780" s="26" t="str">
        <f>IF(OR(E5780="",E5780="!!!",F5780="NEW"),"",INDEX(B5779:B$2,-1+SUMPRODUCT(MAX(ROW(E5779:E$2)*(E5780=E5779:E$2)))))</f>
        <v> </v>
      </c>
      <c r="J5780" s="26" t="str">
        <f>IF(OR(E5780="",E5780="!!!",F5780="NEW"),"",COUNTBLANK(OFFSET(A$1,,,SUMPRODUCT(MAX(ROW(E$2:E5780)*(E5780=E$2:E5780)))))-COUNTBLANK(OFFSET(A$1,,,SUMPRODUCT(MAX(ROW(E$1:E5779)*(E2=E$1:E5779))))))</f>
        <v> </v>
      </c>
      <c r="K5780" s="26" t="str">
        <f>IF(OR(E5780="",E5780="!!!",F5780="NEW"),"",INDEX(J$1:J5779,SUMPRODUCT(MAX(ROW(E$1:E5779)*(E5780=E$1:E5779)))))</f>
        <v> </v>
      </c>
      <c r="L5780" s="27"/>
    </row>
    <row r="5781" spans="1:12">
      <c r="A5781" s="20" t="s">
        <v>3019</v>
      </c>
      <c r="E5781" s="22">
        <f>IF(D5781="?OLD","!!!","")</f>
        <v/>
      </c>
      <c r="F5781" s="23" t="str">
        <f>IF(OR(E5781="",E5781="!!!"),"",IF(NOT(ISNA(VLOOKUP(E5781,E$1:E5780,1,FALSE()))),"OLD",IF(AND(E5781&lt;&gt;"",E5781&lt;&gt;"!!!"),"NEW","")))</f>
        <v> </v>
      </c>
      <c r="G5781" s="24" t="str">
        <f>IF(OR(E5781="",E5781="!!!"),"",IF(OR(J5781=0,AND(J5781=1,K5781=1),AND(J5781=1,I5781="SBJ"),AND(J5781=1,I5781=0)),"?IN_FOCUS",IF(J5781&lt;=2,"?ACTIVATED",IF(J5781&lt;&gt;"","?FAMILIAR",IF(F5781="NEW",IF(ISNA(VLOOKUP(E5781,#REF!,1,FALSE())),"?TYPE_IDENTIFIABLE","?REFERENTIAL"),"_")))))</f>
        <v> </v>
      </c>
      <c r="H5781" s="25" t="str">
        <f>IF(J5781&lt;&gt;1,"",IF(I5781="SBJ","CB","?"))</f>
        <v> </v>
      </c>
      <c r="I5781" s="26" t="str">
        <f>IF(OR(E5781="",E5781="!!!",F5781="NEW"),"",INDEX(B5780:B$2,-1+SUMPRODUCT(MAX(ROW(E5780:E$2)*(E5781=E5780:E$2)))))</f>
        <v> </v>
      </c>
      <c r="J5781" s="26" t="str">
        <f>IF(OR(E5781="",E5781="!!!",F5781="NEW"),"",COUNTBLANK(OFFSET(A$1,,,SUMPRODUCT(MAX(ROW(E$2:E5781)*(E5781=E$2:E5781)))))-COUNTBLANK(OFFSET(A$1,,,SUMPRODUCT(MAX(ROW(E$1:E5780)*(E2=E$1:E5780))))))</f>
        <v> </v>
      </c>
      <c r="K5781" s="26" t="str">
        <f>IF(OR(E5781="",E5781="!!!",F5781="NEW"),"",INDEX(J$1:J5780,SUMPRODUCT(MAX(ROW(E$1:E5780)*(E5781=E$1:E5780)))))</f>
        <v> </v>
      </c>
      <c r="L5781" s="27"/>
    </row>
    <row r="5782" spans="1:12">
      <c r="A5782" s="20" t="s">
        <v>1228</v>
      </c>
      <c r="E5782" s="22">
        <f>IF(D5782="?OLD","!!!","")</f>
        <v/>
      </c>
      <c r="F5782" s="23" t="str">
        <f>IF(OR(E5782="",E5782="!!!"),"",IF(NOT(ISNA(VLOOKUP(E5782,E$1:E5781,1,FALSE()))),"OLD",IF(AND(E5782&lt;&gt;"",E5782&lt;&gt;"!!!"),"NEW","")))</f>
        <v> </v>
      </c>
      <c r="G5782" s="24" t="str">
        <f>IF(OR(E5782="",E5782="!!!"),"",IF(OR(J5782=0,AND(J5782=1,K5782=1),AND(J5782=1,I5782="SBJ"),AND(J5782=1,I5782=0)),"?IN_FOCUS",IF(J5782&lt;=2,"?ACTIVATED",IF(J5782&lt;&gt;"","?FAMILIAR",IF(F5782="NEW",IF(ISNA(VLOOKUP(E5782,#REF!,1,FALSE())),"?TYPE_IDENTIFIABLE","?REFERENTIAL"),"_")))))</f>
        <v> </v>
      </c>
      <c r="H5782" s="25" t="str">
        <f>IF(J5782&lt;&gt;1,"",IF(I5782="SBJ","CB","?"))</f>
        <v> </v>
      </c>
      <c r="I5782" s="26" t="str">
        <f>IF(OR(E5782="",E5782="!!!",F5782="NEW"),"",INDEX(B5781:B$2,-1+SUMPRODUCT(MAX(ROW(E5781:E$2)*(E5782=E5781:E$2)))))</f>
        <v> </v>
      </c>
      <c r="J5782" s="26" t="str">
        <f>IF(OR(E5782="",E5782="!!!",F5782="NEW"),"",COUNTBLANK(OFFSET(A$1,,,SUMPRODUCT(MAX(ROW(E$2:E5782)*(E5782=E$2:E5782)))))-COUNTBLANK(OFFSET(A$1,,,SUMPRODUCT(MAX(ROW(E$1:E5781)*(E2=E$1:E5781))))))</f>
        <v> </v>
      </c>
      <c r="K5782" s="26" t="str">
        <f>IF(OR(E5782="",E5782="!!!",F5782="NEW"),"",INDEX(J$1:J5781,SUMPRODUCT(MAX(ROW(E$1:E5781)*(E5782=E$1:E5781)))))</f>
        <v> </v>
      </c>
      <c r="L5782" s="27"/>
    </row>
    <row r="5783" spans="1:12">
      <c r="A5783" s="20" t="s">
        <v>3020</v>
      </c>
      <c r="B5783" s="21" t="s">
        <v>1249</v>
      </c>
      <c r="C5783" s="21" t="s">
        <v>1269</v>
      </c>
      <c r="D5783" s="21" t="s">
        <v>1217</v>
      </c>
      <c r="E5783" s="22">
        <f>IF(D5783="?OLD","!!!","")</f>
        <v/>
      </c>
      <c r="F5783" s="23" t="str">
        <f>IF(OR(E5783="",E5783="!!!"),"",IF(NOT(ISNA(VLOOKUP(E5783,E$1:E5782,1,FALSE()))),"OLD",IF(AND(E5783&lt;&gt;"",E5783&lt;&gt;"!!!"),"NEW","")))</f>
        <v> </v>
      </c>
      <c r="G5783" s="24" t="str">
        <f>IF(OR(E5783="",E5783="!!!"),"",IF(OR(J5783=0,AND(J5783=1,K5783=1),AND(J5783=1,I5783="SBJ"),AND(J5783=1,I5783=0)),"?IN_FOCUS",IF(J5783&lt;=2,"?ACTIVATED",IF(J5783&lt;&gt;"","?FAMILIAR",IF(F5783="NEW",IF(ISNA(VLOOKUP(E5783,#REF!,1,FALSE())),"?TYPE_IDENTIFIABLE","?REFERENTIAL"),"_")))))</f>
        <v> </v>
      </c>
      <c r="H5783" s="25" t="str">
        <f>IF(J5783&lt;&gt;1,"",IF(I5783="SBJ","CB","?"))</f>
        <v> </v>
      </c>
      <c r="I5783" s="26" t="str">
        <f>IF(OR(E5783="",E5783="!!!",F5783="NEW"),"",INDEX(B5782:B$2,-1+SUMPRODUCT(MAX(ROW(E5782:E$2)*(E5783=E5782:E$2)))))</f>
        <v> </v>
      </c>
      <c r="J5783" s="26" t="str">
        <f>IF(OR(E5783="",E5783="!!!",F5783="NEW"),"",COUNTBLANK(OFFSET(A$1,,,SUMPRODUCT(MAX(ROW(E$2:E5783)*(E5783=E$2:E5783)))))-COUNTBLANK(OFFSET(A$1,,,SUMPRODUCT(MAX(ROW(E$1:E5782)*(E2=E$1:E5782))))))</f>
        <v> </v>
      </c>
      <c r="K5783" s="26" t="str">
        <f>IF(OR(E5783="",E5783="!!!",F5783="NEW"),"",INDEX(J$1:J5782,SUMPRODUCT(MAX(ROW(E$1:E5782)*(E5783=E$1:E5782)))))</f>
        <v> </v>
      </c>
      <c r="L5783" s="27"/>
    </row>
    <row r="5784" spans="1:12">
      <c r="A5784" s="20" t="s">
        <v>1218</v>
      </c>
      <c r="E5784" s="22">
        <f>IF(D5784="?OLD","!!!","")</f>
        <v/>
      </c>
      <c r="F5784" s="23" t="str">
        <f>IF(OR(E5784="",E5784="!!!"),"",IF(NOT(ISNA(VLOOKUP(E5784,E$1:E5783,1,FALSE()))),"OLD",IF(AND(E5784&lt;&gt;"",E5784&lt;&gt;"!!!"),"NEW","")))</f>
        <v> </v>
      </c>
      <c r="G5784" s="24" t="str">
        <f>IF(OR(E5784="",E5784="!!!"),"",IF(OR(J5784=0,AND(J5784=1,K5784=1),AND(J5784=1,I5784="SBJ"),AND(J5784=1,I5784=0)),"?IN_FOCUS",IF(J5784&lt;=2,"?ACTIVATED",IF(J5784&lt;&gt;"","?FAMILIAR",IF(F5784="NEW",IF(ISNA(VLOOKUP(E5784,#REF!,1,FALSE())),"?TYPE_IDENTIFIABLE","?REFERENTIAL"),"_")))))</f>
        <v> </v>
      </c>
      <c r="H5784" s="25" t="str">
        <f>IF(J5784&lt;&gt;1,"",IF(I5784="SBJ","CB","?"))</f>
        <v> </v>
      </c>
      <c r="I5784" s="26" t="str">
        <f>IF(OR(E5784="",E5784="!!!",F5784="NEW"),"",INDEX(B5783:B$2,-1+SUMPRODUCT(MAX(ROW(E5783:E$2)*(E5784=E5783:E$2)))))</f>
        <v> </v>
      </c>
      <c r="J5784" s="26" t="str">
        <f>IF(OR(E5784="",E5784="!!!",F5784="NEW"),"",COUNTBLANK(OFFSET(A$1,,,SUMPRODUCT(MAX(ROW(E$2:E5784)*(E5784=E$2:E5784)))))-COUNTBLANK(OFFSET(A$1,,,SUMPRODUCT(MAX(ROW(E$1:E5783)*(E2=E$1:E5783))))))</f>
        <v> </v>
      </c>
      <c r="K5784" s="26" t="str">
        <f>IF(OR(E5784="",E5784="!!!",F5784="NEW"),"",INDEX(J$1:J5783,SUMPRODUCT(MAX(ROW(E$1:E5783)*(E5784=E$1:E5783)))))</f>
        <v> </v>
      </c>
      <c r="L5784" s="27"/>
    </row>
    <row r="5785" spans="1:12">
      <c r="A5785" s="20" t="s">
        <v>1228</v>
      </c>
      <c r="E5785" s="22">
        <f>IF(D5785="?OLD","!!!","")</f>
        <v/>
      </c>
      <c r="F5785" s="23" t="str">
        <f>IF(OR(E5785="",E5785="!!!"),"",IF(NOT(ISNA(VLOOKUP(E5785,E$1:E5784,1,FALSE()))),"OLD",IF(AND(E5785&lt;&gt;"",E5785&lt;&gt;"!!!"),"NEW","")))</f>
        <v> </v>
      </c>
      <c r="G5785" s="24" t="str">
        <f>IF(OR(E5785="",E5785="!!!"),"",IF(OR(J5785=0,AND(J5785=1,K5785=1),AND(J5785=1,I5785="SBJ"),AND(J5785=1,I5785=0)),"?IN_FOCUS",IF(J5785&lt;=2,"?ACTIVATED",IF(J5785&lt;&gt;"","?FAMILIAR",IF(F5785="NEW",IF(ISNA(VLOOKUP(E5785,#REF!,1,FALSE())),"?TYPE_IDENTIFIABLE","?REFERENTIAL"),"_")))))</f>
        <v> </v>
      </c>
      <c r="H5785" s="25" t="str">
        <f>IF(J5785&lt;&gt;1,"",IF(I5785="SBJ","CB","?"))</f>
        <v> </v>
      </c>
      <c r="I5785" s="26" t="str">
        <f>IF(OR(E5785="",E5785="!!!",F5785="NEW"),"",INDEX(B5784:B$2,-1+SUMPRODUCT(MAX(ROW(E5784:E$2)*(E5785=E5784:E$2)))))</f>
        <v> </v>
      </c>
      <c r="J5785" s="26" t="str">
        <f>IF(OR(E5785="",E5785="!!!",F5785="NEW"),"",COUNTBLANK(OFFSET(A$1,,,SUMPRODUCT(MAX(ROW(E$2:E5785)*(E5785=E$2:E5785)))))-COUNTBLANK(OFFSET(A$1,,,SUMPRODUCT(MAX(ROW(E$1:E5784)*(E2=E$1:E5784))))))</f>
        <v> </v>
      </c>
      <c r="K5785" s="26" t="str">
        <f>IF(OR(E5785="",E5785="!!!",F5785="NEW"),"",INDEX(J$1:J5784,SUMPRODUCT(MAX(ROW(E$1:E5784)*(E5785=E$1:E5784)))))</f>
        <v> </v>
      </c>
      <c r="L5785" s="27"/>
    </row>
    <row r="5786" spans="1:12">
      <c r="A5786" s="20" t="s">
        <v>3021</v>
      </c>
      <c r="B5786" s="21" t="s">
        <v>1224</v>
      </c>
      <c r="C5786" s="21" t="s">
        <v>1269</v>
      </c>
      <c r="D5786" s="21" t="s">
        <v>1217</v>
      </c>
      <c r="E5786" s="22">
        <f>IF(D5786="?OLD","!!!","")</f>
        <v/>
      </c>
      <c r="F5786" s="23" t="str">
        <f>IF(OR(E5786="",E5786="!!!"),"",IF(NOT(ISNA(VLOOKUP(E5786,E$1:E5785,1,FALSE()))),"OLD",IF(AND(E5786&lt;&gt;"",E5786&lt;&gt;"!!!"),"NEW","")))</f>
        <v> </v>
      </c>
      <c r="G5786" s="24" t="str">
        <f>IF(OR(E5786="",E5786="!!!"),"",IF(OR(J5786=0,AND(J5786=1,K5786=1),AND(J5786=1,I5786="SBJ"),AND(J5786=1,I5786=0)),"?IN_FOCUS",IF(J5786&lt;=2,"?ACTIVATED",IF(J5786&lt;&gt;"","?FAMILIAR",IF(F5786="NEW",IF(ISNA(VLOOKUP(E5786,#REF!,1,FALSE())),"?TYPE_IDENTIFIABLE","?REFERENTIAL"),"_")))))</f>
        <v> </v>
      </c>
      <c r="H5786" s="25" t="str">
        <f>IF(J5786&lt;&gt;1,"",IF(I5786="SBJ","CB","?"))</f>
        <v> </v>
      </c>
      <c r="I5786" s="26" t="str">
        <f>IF(OR(E5786="",E5786="!!!",F5786="NEW"),"",INDEX(B5785:B$2,-1+SUMPRODUCT(MAX(ROW(E5785:E$2)*(E5786=E5785:E$2)))))</f>
        <v> </v>
      </c>
      <c r="J5786" s="26" t="str">
        <f>IF(OR(E5786="",E5786="!!!",F5786="NEW"),"",COUNTBLANK(OFFSET(A$1,,,SUMPRODUCT(MAX(ROW(E$2:E5786)*(E5786=E$2:E5786)))))-COUNTBLANK(OFFSET(A$1,,,SUMPRODUCT(MAX(ROW(E$1:E5785)*(E2=E$1:E5785))))))</f>
        <v> </v>
      </c>
      <c r="K5786" s="26" t="str">
        <f>IF(OR(E5786="",E5786="!!!",F5786="NEW"),"",INDEX(J$1:J5785,SUMPRODUCT(MAX(ROW(E$1:E5785)*(E5786=E$1:E5785)))))</f>
        <v> </v>
      </c>
      <c r="L5786" s="27"/>
    </row>
    <row r="5787" spans="1:12">
      <c r="A5787" s="20" t="s">
        <v>1262</v>
      </c>
      <c r="E5787" s="22">
        <f>IF(D5787="?OLD","!!!","")</f>
        <v/>
      </c>
      <c r="F5787" s="23" t="str">
        <f>IF(OR(E5787="",E5787="!!!"),"",IF(NOT(ISNA(VLOOKUP(E5787,E$1:E5786,1,FALSE()))),"OLD",IF(AND(E5787&lt;&gt;"",E5787&lt;&gt;"!!!"),"NEW","")))</f>
        <v> </v>
      </c>
      <c r="G5787" s="24" t="str">
        <f>IF(OR(E5787="",E5787="!!!"),"",IF(OR(J5787=0,AND(J5787=1,K5787=1),AND(J5787=1,I5787="SBJ"),AND(J5787=1,I5787=0)),"?IN_FOCUS",IF(J5787&lt;=2,"?ACTIVATED",IF(J5787&lt;&gt;"","?FAMILIAR",IF(F5787="NEW",IF(ISNA(VLOOKUP(E5787,#REF!,1,FALSE())),"?TYPE_IDENTIFIABLE","?REFERENTIAL"),"_")))))</f>
        <v> </v>
      </c>
      <c r="H5787" s="25" t="str">
        <f>IF(J5787&lt;&gt;1,"",IF(I5787="SBJ","CB","?"))</f>
        <v> </v>
      </c>
      <c r="I5787" s="26" t="str">
        <f>IF(OR(E5787="",E5787="!!!",F5787="NEW"),"",INDEX(B5786:B$2,-1+SUMPRODUCT(MAX(ROW(E5786:E$2)*(E5787=E5786:E$2)))))</f>
        <v> </v>
      </c>
      <c r="J5787" s="26" t="str">
        <f>IF(OR(E5787="",E5787="!!!",F5787="NEW"),"",COUNTBLANK(OFFSET(A$1,,,SUMPRODUCT(MAX(ROW(E$2:E5787)*(E5787=E$2:E5787)))))-COUNTBLANK(OFFSET(A$1,,,SUMPRODUCT(MAX(ROW(E$1:E5786)*(E2=E$1:E5786))))))</f>
        <v> </v>
      </c>
      <c r="K5787" s="26" t="str">
        <f>IF(OR(E5787="",E5787="!!!",F5787="NEW"),"",INDEX(J$1:J5786,SUMPRODUCT(MAX(ROW(E$1:E5786)*(E5787=E$1:E5786)))))</f>
        <v> </v>
      </c>
      <c r="L5787" s="27"/>
    </row>
    <row r="5788" spans="1:12">
      <c r="A5788" s="20"/>
    </row>
    <row r="5789" spans="1:12">
      <c r="A5789" s="20" t="s">
        <v>3022</v>
      </c>
    </row>
    <row r="5790" spans="1:12">
      <c r="A5790" s="20" t="s">
        <v>2051</v>
      </c>
      <c r="E5790" s="22">
        <f>IF(D5790="?OLD","!!!","")</f>
        <v/>
      </c>
      <c r="F5790" s="23" t="str">
        <f>IF(OR(E5790="",E5790="!!!"),"",IF(NOT(ISNA(VLOOKUP(E5790,E$1:E5789,1,FALSE()))),"OLD",IF(AND(E5790&lt;&gt;"",E5790&lt;&gt;"!!!"),"NEW","")))</f>
        <v> </v>
      </c>
      <c r="G5790" s="24" t="str">
        <f>IF(OR(E5790="",E5790="!!!"),"",IF(OR(J5790=0,AND(J5790=1,K5790=1),AND(J5790=1,I5790="SBJ"),AND(J5790=1,I5790=0)),"?IN_FOCUS",IF(J5790&lt;=2,"?ACTIVATED",IF(J5790&lt;&gt;"","?FAMILIAR",IF(F5790="NEW",IF(ISNA(VLOOKUP(E5790,#REF!,1,FALSE())),"?TYPE_IDENTIFIABLE","?REFERENTIAL"),"_")))))</f>
        <v> </v>
      </c>
      <c r="H5790" s="25" t="str">
        <f>IF(J5790&lt;&gt;1,"",IF(I5790="SBJ","CB","?"))</f>
        <v> </v>
      </c>
      <c r="I5790" s="26" t="str">
        <f>IF(OR(E5790="",E5790="!!!",F5790="NEW"),"",INDEX(B5789:B$2,-1+SUMPRODUCT(MAX(ROW(E5789:E$2)*(E5790=E5789:E$2)))))</f>
        <v> </v>
      </c>
      <c r="J5790" s="26" t="str">
        <f>IF(OR(E5790="",E5790="!!!",F5790="NEW"),"",COUNTBLANK(OFFSET(A$1,,,SUMPRODUCT(MAX(ROW(E$2:E5790)*(E5790=E$2:E5790)))))-COUNTBLANK(OFFSET(A$1,,,SUMPRODUCT(MAX(ROW(E$1:E5789)*(E2=E$1:E5789))))))</f>
        <v> </v>
      </c>
      <c r="K5790" s="26" t="str">
        <f>IF(OR(E5790="",E5790="!!!",F5790="NEW"),"",INDEX(J$1:J5789,SUMPRODUCT(MAX(ROW(E$1:E5789)*(E5790=E$1:E5789)))))</f>
        <v> </v>
      </c>
      <c r="L5790" s="27"/>
    </row>
    <row r="5791" spans="1:12">
      <c r="A5791" s="20" t="s">
        <v>3023</v>
      </c>
      <c r="B5791" s="21" t="s">
        <v>1221</v>
      </c>
      <c r="C5791" s="21" t="s">
        <v>1279</v>
      </c>
      <c r="E5791" s="22">
        <f>IF(D5791="?OLD","!!!","")</f>
        <v/>
      </c>
      <c r="F5791" s="23" t="str">
        <f>IF(OR(E5791="",E5791="!!!"),"",IF(NOT(ISNA(VLOOKUP(E5791,E$1:E5790,1,FALSE()))),"OLD",IF(AND(E5791&lt;&gt;"",E5791&lt;&gt;"!!!"),"NEW","")))</f>
        <v> </v>
      </c>
      <c r="G5791" s="24" t="str">
        <f>IF(OR(E5791="",E5791="!!!"),"",IF(OR(J5791=0,AND(J5791=1,K5791=1),AND(J5791=1,I5791="SBJ"),AND(J5791=1,I5791=0)),"?IN_FOCUS",IF(J5791&lt;=2,"?ACTIVATED",IF(J5791&lt;&gt;"","?FAMILIAR",IF(F5791="NEW",IF(ISNA(VLOOKUP(E5791,#REF!,1,FALSE())),"?TYPE_IDENTIFIABLE","?REFERENTIAL"),"_")))))</f>
        <v> </v>
      </c>
      <c r="H5791" s="25" t="str">
        <f>IF(J5791&lt;&gt;1,"",IF(I5791="SBJ","CB","?"))</f>
        <v> </v>
      </c>
      <c r="I5791" s="26" t="str">
        <f>IF(OR(E5791="",E5791="!!!",F5791="NEW"),"",INDEX(B5790:B$2,-1+SUMPRODUCT(MAX(ROW(E5790:E$2)*(E5791=E5790:E$2)))))</f>
        <v> </v>
      </c>
      <c r="J5791" s="26" t="str">
        <f>IF(OR(E5791="",E5791="!!!",F5791="NEW"),"",COUNTBLANK(OFFSET(A$1,,,SUMPRODUCT(MAX(ROW(E$2:E5791)*(E5791=E$2:E5791)))))-COUNTBLANK(OFFSET(A$1,,,SUMPRODUCT(MAX(ROW(E$1:E5790)*(E2=E$1:E5790))))))</f>
        <v> </v>
      </c>
      <c r="K5791" s="26" t="str">
        <f>IF(OR(E5791="",E5791="!!!",F5791="NEW"),"",INDEX(J$1:J5790,SUMPRODUCT(MAX(ROW(E$1:E5790)*(E5791=E$1:E5790)))))</f>
        <v> </v>
      </c>
      <c r="L5791" s="27"/>
    </row>
    <row r="5792" spans="1:12">
      <c r="A5792" s="20" t="s">
        <v>1277</v>
      </c>
      <c r="E5792" s="22">
        <f>IF(D5792="?OLD","!!!","")</f>
        <v/>
      </c>
      <c r="F5792" s="23" t="str">
        <f>IF(OR(E5792="",E5792="!!!"),"",IF(NOT(ISNA(VLOOKUP(E5792,E$1:E5791,1,FALSE()))),"OLD",IF(AND(E5792&lt;&gt;"",E5792&lt;&gt;"!!!"),"NEW","")))</f>
        <v> </v>
      </c>
      <c r="G5792" s="24" t="str">
        <f>IF(OR(E5792="",E5792="!!!"),"",IF(OR(J5792=0,AND(J5792=1,K5792=1),AND(J5792=1,I5792="SBJ"),AND(J5792=1,I5792=0)),"?IN_FOCUS",IF(J5792&lt;=2,"?ACTIVATED",IF(J5792&lt;&gt;"","?FAMILIAR",IF(F5792="NEW",IF(ISNA(VLOOKUP(E5792,#REF!,1,FALSE())),"?TYPE_IDENTIFIABLE","?REFERENTIAL"),"_")))))</f>
        <v> </v>
      </c>
      <c r="H5792" s="25" t="str">
        <f>IF(J5792&lt;&gt;1,"",IF(I5792="SBJ","CB","?"))</f>
        <v> </v>
      </c>
      <c r="I5792" s="26" t="str">
        <f>IF(OR(E5792="",E5792="!!!",F5792="NEW"),"",INDEX(B5791:B$2,-1+SUMPRODUCT(MAX(ROW(E5791:E$2)*(E5792=E5791:E$2)))))</f>
        <v> </v>
      </c>
      <c r="J5792" s="26" t="str">
        <f>IF(OR(E5792="",E5792="!!!",F5792="NEW"),"",COUNTBLANK(OFFSET(A$1,,,SUMPRODUCT(MAX(ROW(E$2:E5792)*(E5792=E$2:E5792)))))-COUNTBLANK(OFFSET(A$1,,,SUMPRODUCT(MAX(ROW(E$1:E5791)*(E2=E$1:E5791))))))</f>
        <v> </v>
      </c>
      <c r="K5792" s="26" t="str">
        <f>IF(OR(E5792="",E5792="!!!",F5792="NEW"),"",INDEX(J$1:J5791,SUMPRODUCT(MAX(ROW(E$1:E5791)*(E5792=E$1:E5791)))))</f>
        <v> </v>
      </c>
      <c r="L5792" s="27"/>
    </row>
    <row r="5793" spans="1:12">
      <c r="A5793" s="20" t="s">
        <v>3024</v>
      </c>
      <c r="E5793" s="22">
        <f>IF(D5793="?OLD","!!!","")</f>
        <v/>
      </c>
      <c r="F5793" s="23" t="str">
        <f>IF(OR(E5793="",E5793="!!!"),"",IF(NOT(ISNA(VLOOKUP(E5793,E$1:E5792,1,FALSE()))),"OLD",IF(AND(E5793&lt;&gt;"",E5793&lt;&gt;"!!!"),"NEW","")))</f>
        <v> </v>
      </c>
      <c r="G5793" s="24" t="str">
        <f>IF(OR(E5793="",E5793="!!!"),"",IF(OR(J5793=0,AND(J5793=1,K5793=1),AND(J5793=1,I5793="SBJ"),AND(J5793=1,I5793=0)),"?IN_FOCUS",IF(J5793&lt;=2,"?ACTIVATED",IF(J5793&lt;&gt;"","?FAMILIAR",IF(F5793="NEW",IF(ISNA(VLOOKUP(E5793,#REF!,1,FALSE())),"?TYPE_IDENTIFIABLE","?REFERENTIAL"),"_")))))</f>
        <v> </v>
      </c>
      <c r="H5793" s="25" t="str">
        <f>IF(J5793&lt;&gt;1,"",IF(I5793="SBJ","CB","?"))</f>
        <v> </v>
      </c>
      <c r="I5793" s="26" t="str">
        <f>IF(OR(E5793="",E5793="!!!",F5793="NEW"),"",INDEX(B5792:B$2,-1+SUMPRODUCT(MAX(ROW(E5792:E$2)*(E5793=E5792:E$2)))))</f>
        <v> </v>
      </c>
      <c r="J5793" s="26" t="str">
        <f>IF(OR(E5793="",E5793="!!!",F5793="NEW"),"",COUNTBLANK(OFFSET(A$1,,,SUMPRODUCT(MAX(ROW(E$2:E5793)*(E5793=E$2:E5793)))))-COUNTBLANK(OFFSET(A$1,,,SUMPRODUCT(MAX(ROW(E$1:E5792)*(E2=E$1:E5792))))))</f>
        <v> </v>
      </c>
      <c r="K5793" s="26" t="str">
        <f>IF(OR(E5793="",E5793="!!!",F5793="NEW"),"",INDEX(J$1:J5792,SUMPRODUCT(MAX(ROW(E$1:E5792)*(E5793=E$1:E5792)))))</f>
        <v> </v>
      </c>
      <c r="L5793" s="27"/>
    </row>
    <row r="5794" spans="1:12">
      <c r="A5794" s="20" t="s">
        <v>1218</v>
      </c>
      <c r="E5794" s="22">
        <f>IF(D5794="?OLD","!!!","")</f>
        <v/>
      </c>
      <c r="F5794" s="23" t="str">
        <f>IF(OR(E5794="",E5794="!!!"),"",IF(NOT(ISNA(VLOOKUP(E5794,E$1:E5793,1,FALSE()))),"OLD",IF(AND(E5794&lt;&gt;"",E5794&lt;&gt;"!!!"),"NEW","")))</f>
        <v> </v>
      </c>
      <c r="G5794" s="24" t="str">
        <f>IF(OR(E5794="",E5794="!!!"),"",IF(OR(J5794=0,AND(J5794=1,K5794=1),AND(J5794=1,I5794="SBJ"),AND(J5794=1,I5794=0)),"?IN_FOCUS",IF(J5794&lt;=2,"?ACTIVATED",IF(J5794&lt;&gt;"","?FAMILIAR",IF(F5794="NEW",IF(ISNA(VLOOKUP(E5794,#REF!,1,FALSE())),"?TYPE_IDENTIFIABLE","?REFERENTIAL"),"_")))))</f>
        <v> </v>
      </c>
      <c r="H5794" s="25" t="str">
        <f>IF(J5794&lt;&gt;1,"",IF(I5794="SBJ","CB","?"))</f>
        <v> </v>
      </c>
      <c r="I5794" s="26" t="str">
        <f>IF(OR(E5794="",E5794="!!!",F5794="NEW"),"",INDEX(B5793:B$2,-1+SUMPRODUCT(MAX(ROW(E5793:E$2)*(E5794=E5793:E$2)))))</f>
        <v> </v>
      </c>
      <c r="J5794" s="26" t="str">
        <f>IF(OR(E5794="",E5794="!!!",F5794="NEW"),"",COUNTBLANK(OFFSET(A$1,,,SUMPRODUCT(MAX(ROW(E$2:E5794)*(E5794=E$2:E5794)))))-COUNTBLANK(OFFSET(A$1,,,SUMPRODUCT(MAX(ROW(E$1:E5793)*(E2=E$1:E5793))))))</f>
        <v> </v>
      </c>
      <c r="K5794" s="26" t="str">
        <f>IF(OR(E5794="",E5794="!!!",F5794="NEW"),"",INDEX(J$1:J5793,SUMPRODUCT(MAX(ROW(E$1:E5793)*(E5794=E$1:E5793)))))</f>
        <v> </v>
      </c>
      <c r="L5794" s="27"/>
    </row>
    <row r="5795" spans="1:12">
      <c r="A5795" s="20" t="s">
        <v>1323</v>
      </c>
      <c r="E5795" s="22">
        <f>IF(D5795="?OLD","!!!","")</f>
        <v/>
      </c>
      <c r="F5795" s="23" t="str">
        <f>IF(OR(E5795="",E5795="!!!"),"",IF(NOT(ISNA(VLOOKUP(E5795,E$1:E5794,1,FALSE()))),"OLD",IF(AND(E5795&lt;&gt;"",E5795&lt;&gt;"!!!"),"NEW","")))</f>
        <v> </v>
      </c>
      <c r="G5795" s="24" t="str">
        <f>IF(OR(E5795="",E5795="!!!"),"",IF(OR(J5795=0,AND(J5795=1,K5795=1),AND(J5795=1,I5795="SBJ"),AND(J5795=1,I5795=0)),"?IN_FOCUS",IF(J5795&lt;=2,"?ACTIVATED",IF(J5795&lt;&gt;"","?FAMILIAR",IF(F5795="NEW",IF(ISNA(VLOOKUP(E5795,#REF!,1,FALSE())),"?TYPE_IDENTIFIABLE","?REFERENTIAL"),"_")))))</f>
        <v> </v>
      </c>
      <c r="H5795" s="25" t="str">
        <f>IF(J5795&lt;&gt;1,"",IF(I5795="SBJ","CB","?"))</f>
        <v> </v>
      </c>
      <c r="I5795" s="26" t="str">
        <f>IF(OR(E5795="",E5795="!!!",F5795="NEW"),"",INDEX(B5794:B$2,-1+SUMPRODUCT(MAX(ROW(E5794:E$2)*(E5795=E5794:E$2)))))</f>
        <v> </v>
      </c>
      <c r="J5795" s="26" t="str">
        <f>IF(OR(E5795="",E5795="!!!",F5795="NEW"),"",COUNTBLANK(OFFSET(A$1,,,SUMPRODUCT(MAX(ROW(E$2:E5795)*(E5795=E$2:E5795)))))-COUNTBLANK(OFFSET(A$1,,,SUMPRODUCT(MAX(ROW(E$1:E5794)*(E2=E$1:E5794))))))</f>
        <v> </v>
      </c>
      <c r="K5795" s="26" t="str">
        <f>IF(OR(E5795="",E5795="!!!",F5795="NEW"),"",INDEX(J$1:J5794,SUMPRODUCT(MAX(ROW(E$1:E5794)*(E5795=E$1:E5794)))))</f>
        <v> </v>
      </c>
      <c r="L5795" s="27"/>
    </row>
    <row r="5796" spans="1:12">
      <c r="A5796" s="20" t="s">
        <v>3025</v>
      </c>
      <c r="B5796" s="21" t="s">
        <v>1221</v>
      </c>
      <c r="C5796" s="21" t="s">
        <v>1269</v>
      </c>
      <c r="D5796" s="21" t="s">
        <v>1217</v>
      </c>
      <c r="E5796" s="22">
        <f>IF(D5796="?OLD","!!!","")</f>
        <v/>
      </c>
      <c r="F5796" s="23" t="str">
        <f>IF(OR(E5796="",E5796="!!!"),"",IF(NOT(ISNA(VLOOKUP(E5796,E$1:E5795,1,FALSE()))),"OLD",IF(AND(E5796&lt;&gt;"",E5796&lt;&gt;"!!!"),"NEW","")))</f>
        <v> </v>
      </c>
      <c r="G5796" s="24" t="str">
        <f>IF(OR(E5796="",E5796="!!!"),"",IF(OR(J5796=0,AND(J5796=1,K5796=1),AND(J5796=1,I5796="SBJ"),AND(J5796=1,I5796=0)),"?IN_FOCUS",IF(J5796&lt;=2,"?ACTIVATED",IF(J5796&lt;&gt;"","?FAMILIAR",IF(F5796="NEW",IF(ISNA(VLOOKUP(E5796,#REF!,1,FALSE())),"?TYPE_IDENTIFIABLE","?REFERENTIAL"),"_")))))</f>
        <v> </v>
      </c>
      <c r="H5796" s="25" t="str">
        <f>IF(J5796&lt;&gt;1,"",IF(I5796="SBJ","CB","?"))</f>
        <v> </v>
      </c>
      <c r="I5796" s="26" t="str">
        <f>IF(OR(E5796="",E5796="!!!",F5796="NEW"),"",INDEX(B5795:B$2,-1+SUMPRODUCT(MAX(ROW(E5795:E$2)*(E5796=E5795:E$2)))))</f>
        <v> </v>
      </c>
      <c r="J5796" s="26" t="str">
        <f>IF(OR(E5796="",E5796="!!!",F5796="NEW"),"",COUNTBLANK(OFFSET(A$1,,,SUMPRODUCT(MAX(ROW(E$2:E5796)*(E5796=E$2:E5796)))))-COUNTBLANK(OFFSET(A$1,,,SUMPRODUCT(MAX(ROW(E$1:E5795)*(E2=E$1:E5795))))))</f>
        <v> </v>
      </c>
      <c r="K5796" s="26" t="str">
        <f>IF(OR(E5796="",E5796="!!!",F5796="NEW"),"",INDEX(J$1:J5795,SUMPRODUCT(MAX(ROW(E$1:E5795)*(E5796=E$1:E5795)))))</f>
        <v> </v>
      </c>
      <c r="L5796" s="27"/>
    </row>
    <row r="5797" spans="1:12">
      <c r="A5797" s="20" t="s">
        <v>1218</v>
      </c>
      <c r="E5797" s="22">
        <f>IF(D5797="?OLD","!!!","")</f>
        <v/>
      </c>
      <c r="F5797" s="23" t="str">
        <f>IF(OR(E5797="",E5797="!!!"),"",IF(NOT(ISNA(VLOOKUP(E5797,E$1:E5796,1,FALSE()))),"OLD",IF(AND(E5797&lt;&gt;"",E5797&lt;&gt;"!!!"),"NEW","")))</f>
        <v> </v>
      </c>
      <c r="G5797" s="24" t="str">
        <f>IF(OR(E5797="",E5797="!!!"),"",IF(OR(J5797=0,AND(J5797=1,K5797=1),AND(J5797=1,I5797="SBJ"),AND(J5797=1,I5797=0)),"?IN_FOCUS",IF(J5797&lt;=2,"?ACTIVATED",IF(J5797&lt;&gt;"","?FAMILIAR",IF(F5797="NEW",IF(ISNA(VLOOKUP(E5797,#REF!,1,FALSE())),"?TYPE_IDENTIFIABLE","?REFERENTIAL"),"_")))))</f>
        <v> </v>
      </c>
      <c r="H5797" s="25" t="str">
        <f>IF(J5797&lt;&gt;1,"",IF(I5797="SBJ","CB","?"))</f>
        <v> </v>
      </c>
      <c r="I5797" s="26" t="str">
        <f>IF(OR(E5797="",E5797="!!!",F5797="NEW"),"",INDEX(B5796:B$2,-1+SUMPRODUCT(MAX(ROW(E5796:E$2)*(E5797=E5796:E$2)))))</f>
        <v> </v>
      </c>
      <c r="J5797" s="26" t="str">
        <f>IF(OR(E5797="",E5797="!!!",F5797="NEW"),"",COUNTBLANK(OFFSET(A$1,,,SUMPRODUCT(MAX(ROW(E$2:E5797)*(E5797=E$2:E5797)))))-COUNTBLANK(OFFSET(A$1,,,SUMPRODUCT(MAX(ROW(E$1:E5796)*(E2=E$1:E5796))))))</f>
        <v> </v>
      </c>
      <c r="K5797" s="26" t="str">
        <f>IF(OR(E5797="",E5797="!!!",F5797="NEW"),"",INDEX(J$1:J5796,SUMPRODUCT(MAX(ROW(E$1:E5796)*(E5797=E$1:E5796)))))</f>
        <v> </v>
      </c>
      <c r="L5797" s="27"/>
    </row>
    <row r="5798" spans="1:12">
      <c r="A5798" s="20" t="s">
        <v>644</v>
      </c>
      <c r="E5798" s="22">
        <f>IF(D5798="?OLD","!!!","")</f>
        <v/>
      </c>
      <c r="F5798" s="23" t="str">
        <f>IF(OR(E5798="",E5798="!!!"),"",IF(NOT(ISNA(VLOOKUP(E5798,E$1:E5797,1,FALSE()))),"OLD",IF(AND(E5798&lt;&gt;"",E5798&lt;&gt;"!!!"),"NEW","")))</f>
        <v> </v>
      </c>
      <c r="G5798" s="24" t="str">
        <f>IF(OR(E5798="",E5798="!!!"),"",IF(OR(J5798=0,AND(J5798=1,K5798=1),AND(J5798=1,I5798="SBJ"),AND(J5798=1,I5798=0)),"?IN_FOCUS",IF(J5798&lt;=2,"?ACTIVATED",IF(J5798&lt;&gt;"","?FAMILIAR",IF(F5798="NEW",IF(ISNA(VLOOKUP(E5798,#REF!,1,FALSE())),"?TYPE_IDENTIFIABLE","?REFERENTIAL"),"_")))))</f>
        <v> </v>
      </c>
      <c r="H5798" s="25" t="str">
        <f>IF(J5798&lt;&gt;1,"",IF(I5798="SBJ","CB","?"))</f>
        <v> </v>
      </c>
      <c r="I5798" s="26" t="str">
        <f>IF(OR(E5798="",E5798="!!!",F5798="NEW"),"",INDEX(B5797:B$2,-1+SUMPRODUCT(MAX(ROW(E5797:E$2)*(E5798=E5797:E$2)))))</f>
        <v> </v>
      </c>
      <c r="J5798" s="26" t="str">
        <f>IF(OR(E5798="",E5798="!!!",F5798="NEW"),"",COUNTBLANK(OFFSET(A$1,,,SUMPRODUCT(MAX(ROW(E$2:E5798)*(E5798=E$2:E5798)))))-COUNTBLANK(OFFSET(A$1,,,SUMPRODUCT(MAX(ROW(E$1:E5797)*(E2=E$1:E5797))))))</f>
        <v> </v>
      </c>
      <c r="K5798" s="26" t="str">
        <f>IF(OR(E5798="",E5798="!!!",F5798="NEW"),"",INDEX(J$1:J5797,SUMPRODUCT(MAX(ROW(E$1:E5797)*(E5798=E$1:E5797)))))</f>
        <v> </v>
      </c>
      <c r="L5798" s="27"/>
    </row>
    <row r="5799" spans="1:12">
      <c r="A5799" s="20" t="s">
        <v>1241</v>
      </c>
      <c r="B5799" s="21" t="s">
        <v>1261</v>
      </c>
      <c r="C5799" s="21" t="s">
        <v>1242</v>
      </c>
      <c r="D5799" s="21" t="s">
        <v>1217</v>
      </c>
      <c r="E5799" s="22">
        <f>IF(D5799="?OLD","!!!","")</f>
        <v/>
      </c>
      <c r="F5799" s="23" t="str">
        <f>IF(OR(E5799="",E5799="!!!"),"",IF(NOT(ISNA(VLOOKUP(E5799,E$1:E5798,1,FALSE()))),"OLD",IF(AND(E5799&lt;&gt;"",E5799&lt;&gt;"!!!"),"NEW","")))</f>
        <v> </v>
      </c>
      <c r="G5799" s="24" t="str">
        <f>IF(OR(E5799="",E5799="!!!"),"",IF(OR(J5799=0,AND(J5799=1,K5799=1),AND(J5799=1,I5799="SBJ"),AND(J5799=1,I5799=0)),"?IN_FOCUS",IF(J5799&lt;=2,"?ACTIVATED",IF(J5799&lt;&gt;"","?FAMILIAR",IF(F5799="NEW",IF(ISNA(VLOOKUP(E5799,#REF!,1,FALSE())),"?TYPE_IDENTIFIABLE","?REFERENTIAL"),"_")))))</f>
        <v> </v>
      </c>
      <c r="H5799" s="25" t="str">
        <f>IF(J5799&lt;&gt;1,"",IF(I5799="SBJ","CB","?"))</f>
        <v> </v>
      </c>
      <c r="I5799" s="26" t="str">
        <f>IF(OR(E5799="",E5799="!!!",F5799="NEW"),"",INDEX(B5798:B$2,-1+SUMPRODUCT(MAX(ROW(E5798:E$2)*(E5799=E5798:E$2)))))</f>
        <v> </v>
      </c>
      <c r="J5799" s="26" t="str">
        <f>IF(OR(E5799="",E5799="!!!",F5799="NEW"),"",COUNTBLANK(OFFSET(A$1,,,SUMPRODUCT(MAX(ROW(E$2:E5799)*(E5799=E$2:E5799)))))-COUNTBLANK(OFFSET(A$1,,,SUMPRODUCT(MAX(ROW(E$1:E5798)*(E2=E$1:E5798))))))</f>
        <v> </v>
      </c>
      <c r="K5799" s="26" t="str">
        <f>IF(OR(E5799="",E5799="!!!",F5799="NEW"),"",INDEX(J$1:J5798,SUMPRODUCT(MAX(ROW(E$1:E5798)*(E5799=E$1:E5798)))))</f>
        <v> </v>
      </c>
      <c r="L5799" s="27"/>
    </row>
    <row r="5800" spans="1:12">
      <c r="A5800" s="20" t="s">
        <v>2222</v>
      </c>
      <c r="B5800" s="21" t="s">
        <v>1292</v>
      </c>
      <c r="C5800" s="21" t="s">
        <v>1222</v>
      </c>
      <c r="D5800" s="21" t="s">
        <v>1217</v>
      </c>
      <c r="E5800" s="22">
        <f>IF(D5800="?OLD","!!!","")</f>
        <v/>
      </c>
      <c r="F5800" s="23" t="str">
        <f>IF(OR(E5800="",E5800="!!!"),"",IF(NOT(ISNA(VLOOKUP(E5800,E$1:E5799,1,FALSE()))),"OLD",IF(AND(E5800&lt;&gt;"",E5800&lt;&gt;"!!!"),"NEW","")))</f>
        <v> </v>
      </c>
      <c r="G5800" s="24" t="str">
        <f>IF(OR(E5800="",E5800="!!!"),"",IF(OR(J5800=0,AND(J5800=1,K5800=1),AND(J5800=1,I5800="SBJ"),AND(J5800=1,I5800=0)),"?IN_FOCUS",IF(J5800&lt;=2,"?ACTIVATED",IF(J5800&lt;&gt;"","?FAMILIAR",IF(F5800="NEW",IF(ISNA(VLOOKUP(E5800,#REF!,1,FALSE())),"?TYPE_IDENTIFIABLE","?REFERENTIAL"),"_")))))</f>
        <v> </v>
      </c>
      <c r="H5800" s="25" t="str">
        <f>IF(J5800&lt;&gt;1,"",IF(I5800="SBJ","CB","?"))</f>
        <v> </v>
      </c>
      <c r="I5800" s="26" t="str">
        <f>IF(OR(E5800="",E5800="!!!",F5800="NEW"),"",INDEX(B5799:B$2,-1+SUMPRODUCT(MAX(ROW(E5799:E$2)*(E5800=E5799:E$2)))))</f>
        <v> </v>
      </c>
      <c r="J5800" s="26" t="str">
        <f>IF(OR(E5800="",E5800="!!!",F5800="NEW"),"",COUNTBLANK(OFFSET(A$1,,,SUMPRODUCT(MAX(ROW(E$2:E5800)*(E5800=E$2:E5800)))))-COUNTBLANK(OFFSET(A$1,,,SUMPRODUCT(MAX(ROW(E$1:E5799)*(E2=E$1:E5799))))))</f>
        <v> </v>
      </c>
      <c r="K5800" s="26" t="str">
        <f>IF(OR(E5800="",E5800="!!!",F5800="NEW"),"",INDEX(J$1:J5799,SUMPRODUCT(MAX(ROW(E$1:E5799)*(E5800=E$1:E5799)))))</f>
        <v> </v>
      </c>
      <c r="L5800" s="27"/>
    </row>
    <row r="5801" spans="1:12">
      <c r="A5801" s="20" t="s">
        <v>1277</v>
      </c>
      <c r="E5801" s="22">
        <f>IF(D5801="?OLD","!!!","")</f>
        <v/>
      </c>
      <c r="F5801" s="23" t="str">
        <f>IF(OR(E5801="",E5801="!!!"),"",IF(NOT(ISNA(VLOOKUP(E5801,E$1:E5800,1,FALSE()))),"OLD",IF(AND(E5801&lt;&gt;"",E5801&lt;&gt;"!!!"),"NEW","")))</f>
        <v> </v>
      </c>
      <c r="G5801" s="24" t="str">
        <f>IF(OR(E5801="",E5801="!!!"),"",IF(OR(J5801=0,AND(J5801=1,K5801=1),AND(J5801=1,I5801="SBJ"),AND(J5801=1,I5801=0)),"?IN_FOCUS",IF(J5801&lt;=2,"?ACTIVATED",IF(J5801&lt;&gt;"","?FAMILIAR",IF(F5801="NEW",IF(ISNA(VLOOKUP(E5801,#REF!,1,FALSE())),"?TYPE_IDENTIFIABLE","?REFERENTIAL"),"_")))))</f>
        <v> </v>
      </c>
      <c r="H5801" s="25" t="str">
        <f>IF(J5801&lt;&gt;1,"",IF(I5801="SBJ","CB","?"))</f>
        <v> </v>
      </c>
      <c r="I5801" s="26" t="str">
        <f>IF(OR(E5801="",E5801="!!!",F5801="NEW"),"",INDEX(B5800:B$2,-1+SUMPRODUCT(MAX(ROW(E5800:E$2)*(E5801=E5800:E$2)))))</f>
        <v> </v>
      </c>
      <c r="J5801" s="26" t="str">
        <f>IF(OR(E5801="",E5801="!!!",F5801="NEW"),"",COUNTBLANK(OFFSET(A$1,,,SUMPRODUCT(MAX(ROW(E$2:E5801)*(E5801=E$2:E5801)))))-COUNTBLANK(OFFSET(A$1,,,SUMPRODUCT(MAX(ROW(E$1:E5800)*(E2=E$1:E5800))))))</f>
        <v> </v>
      </c>
      <c r="K5801" s="26" t="str">
        <f>IF(OR(E5801="",E5801="!!!",F5801="NEW"),"",INDEX(J$1:J5800,SUMPRODUCT(MAX(ROW(E$1:E5800)*(E5801=E$1:E5800)))))</f>
        <v> </v>
      </c>
      <c r="L5801" s="27"/>
    </row>
    <row r="5802" spans="1:12">
      <c r="A5802" s="20" t="s">
        <v>1233</v>
      </c>
      <c r="B5802" s="21" t="s">
        <v>1215</v>
      </c>
      <c r="C5802" s="21" t="s">
        <v>1234</v>
      </c>
      <c r="D5802" s="21" t="s">
        <v>1217</v>
      </c>
      <c r="E5802" s="22">
        <f>IF(D5802="?OLD","!!!","")</f>
        <v/>
      </c>
      <c r="F5802" s="23" t="str">
        <f>IF(OR(E5802="",E5802="!!!"),"",IF(NOT(ISNA(VLOOKUP(E5802,E$1:E5801,1,FALSE()))),"OLD",IF(AND(E5802&lt;&gt;"",E5802&lt;&gt;"!!!"),"NEW","")))</f>
        <v> </v>
      </c>
      <c r="G5802" s="24" t="str">
        <f>IF(OR(E5802="",E5802="!!!"),"",IF(OR(J5802=0,AND(J5802=1,K5802=1),AND(J5802=1,I5802="SBJ"),AND(J5802=1,I5802=0)),"?IN_FOCUS",IF(J5802&lt;=2,"?ACTIVATED",IF(J5802&lt;&gt;"","?FAMILIAR",IF(F5802="NEW",IF(ISNA(VLOOKUP(E5802,#REF!,1,FALSE())),"?TYPE_IDENTIFIABLE","?REFERENTIAL"),"_")))))</f>
        <v> </v>
      </c>
      <c r="H5802" s="25" t="str">
        <f>IF(J5802&lt;&gt;1,"",IF(I5802="SBJ","CB","?"))</f>
        <v> </v>
      </c>
      <c r="I5802" s="26" t="str">
        <f>IF(OR(E5802="",E5802="!!!",F5802="NEW"),"",INDEX(B5801:B$2,-1+SUMPRODUCT(MAX(ROW(E5801:E$2)*(E5802=E5801:E$2)))))</f>
        <v> </v>
      </c>
      <c r="J5802" s="26" t="str">
        <f>IF(OR(E5802="",E5802="!!!",F5802="NEW"),"",COUNTBLANK(OFFSET(A$1,,,SUMPRODUCT(MAX(ROW(E$2:E5802)*(E5802=E$2:E5802)))))-COUNTBLANK(OFFSET(A$1,,,SUMPRODUCT(MAX(ROW(E$1:E5801)*(E2=E$1:E5801))))))</f>
        <v> </v>
      </c>
      <c r="K5802" s="26" t="str">
        <f>IF(OR(E5802="",E5802="!!!",F5802="NEW"),"",INDEX(J$1:J5801,SUMPRODUCT(MAX(ROW(E$1:E5801)*(E5802=E$1:E5801)))))</f>
        <v> </v>
      </c>
      <c r="L5802" s="27"/>
    </row>
    <row r="5803" spans="1:12">
      <c r="A5803" s="20" t="s">
        <v>3026</v>
      </c>
      <c r="E5803" s="22">
        <f>IF(D5803="?OLD","!!!","")</f>
        <v/>
      </c>
      <c r="F5803" s="23" t="str">
        <f>IF(OR(E5803="",E5803="!!!"),"",IF(NOT(ISNA(VLOOKUP(E5803,E$1:E5802,1,FALSE()))),"OLD",IF(AND(E5803&lt;&gt;"",E5803&lt;&gt;"!!!"),"NEW","")))</f>
        <v> </v>
      </c>
      <c r="G5803" s="24" t="str">
        <f>IF(OR(E5803="",E5803="!!!"),"",IF(OR(J5803=0,AND(J5803=1,K5803=1),AND(J5803=1,I5803="SBJ"),AND(J5803=1,I5803=0)),"?IN_FOCUS",IF(J5803&lt;=2,"?ACTIVATED",IF(J5803&lt;&gt;"","?FAMILIAR",IF(F5803="NEW",IF(ISNA(VLOOKUP(E5803,#REF!,1,FALSE())),"?TYPE_IDENTIFIABLE","?REFERENTIAL"),"_")))))</f>
        <v> </v>
      </c>
      <c r="H5803" s="25" t="str">
        <f>IF(J5803&lt;&gt;1,"",IF(I5803="SBJ","CB","?"))</f>
        <v> </v>
      </c>
      <c r="I5803" s="26" t="str">
        <f>IF(OR(E5803="",E5803="!!!",F5803="NEW"),"",INDEX(B5802:B$2,-1+SUMPRODUCT(MAX(ROW(E5802:E$2)*(E5803=E5802:E$2)))))</f>
        <v> </v>
      </c>
      <c r="J5803" s="26" t="str">
        <f>IF(OR(E5803="",E5803="!!!",F5803="NEW"),"",COUNTBLANK(OFFSET(A$1,,,SUMPRODUCT(MAX(ROW(E$2:E5803)*(E5803=E$2:E5803)))))-COUNTBLANK(OFFSET(A$1,,,SUMPRODUCT(MAX(ROW(E$1:E5802)*(E2=E$1:E5802))))))</f>
        <v> </v>
      </c>
      <c r="K5803" s="26" t="str">
        <f>IF(OR(E5803="",E5803="!!!",F5803="NEW"),"",INDEX(J$1:J5802,SUMPRODUCT(MAX(ROW(E$1:E5802)*(E5803=E$1:E5802)))))</f>
        <v> </v>
      </c>
      <c r="L5803" s="27"/>
    </row>
    <row r="5804" spans="1:12">
      <c r="A5804" s="20" t="s">
        <v>1228</v>
      </c>
      <c r="E5804" s="22">
        <f>IF(D5804="?OLD","!!!","")</f>
        <v/>
      </c>
      <c r="F5804" s="23" t="str">
        <f>IF(OR(E5804="",E5804="!!!"),"",IF(NOT(ISNA(VLOOKUP(E5804,E$1:E5803,1,FALSE()))),"OLD",IF(AND(E5804&lt;&gt;"",E5804&lt;&gt;"!!!"),"NEW","")))</f>
        <v> </v>
      </c>
      <c r="G5804" s="24" t="str">
        <f>IF(OR(E5804="",E5804="!!!"),"",IF(OR(J5804=0,AND(J5804=1,K5804=1),AND(J5804=1,I5804="SBJ"),AND(J5804=1,I5804=0)),"?IN_FOCUS",IF(J5804&lt;=2,"?ACTIVATED",IF(J5804&lt;&gt;"","?FAMILIAR",IF(F5804="NEW",IF(ISNA(VLOOKUP(E5804,#REF!,1,FALSE())),"?TYPE_IDENTIFIABLE","?REFERENTIAL"),"_")))))</f>
        <v> </v>
      </c>
      <c r="H5804" s="25" t="str">
        <f>IF(J5804&lt;&gt;1,"",IF(I5804="SBJ","CB","?"))</f>
        <v> </v>
      </c>
      <c r="I5804" s="26" t="str">
        <f>IF(OR(E5804="",E5804="!!!",F5804="NEW"),"",INDEX(B5803:B$2,-1+SUMPRODUCT(MAX(ROW(E5803:E$2)*(E5804=E5803:E$2)))))</f>
        <v> </v>
      </c>
      <c r="J5804" s="26" t="str">
        <f>IF(OR(E5804="",E5804="!!!",F5804="NEW"),"",COUNTBLANK(OFFSET(A$1,,,SUMPRODUCT(MAX(ROW(E$2:E5804)*(E5804=E$2:E5804)))))-COUNTBLANK(OFFSET(A$1,,,SUMPRODUCT(MAX(ROW(E$1:E5803)*(E2=E$1:E5803))))))</f>
        <v> </v>
      </c>
      <c r="K5804" s="26" t="str">
        <f>IF(OR(E5804="",E5804="!!!",F5804="NEW"),"",INDEX(J$1:J5803,SUMPRODUCT(MAX(ROW(E$1:E5803)*(E5804=E$1:E5803)))))</f>
        <v> </v>
      </c>
      <c r="L5804" s="27"/>
    </row>
    <row r="5805" spans="1:12">
      <c r="A5805" s="20" t="s">
        <v>3027</v>
      </c>
      <c r="B5805" s="21" t="s">
        <v>1275</v>
      </c>
      <c r="C5805" s="21" t="s">
        <v>1269</v>
      </c>
      <c r="D5805" s="21" t="s">
        <v>1217</v>
      </c>
      <c r="E5805" s="22">
        <f>IF(D5805="?OLD","!!!","")</f>
        <v/>
      </c>
      <c r="F5805" s="23" t="str">
        <f>IF(OR(E5805="",E5805="!!!"),"",IF(NOT(ISNA(VLOOKUP(E5805,E$1:E5804,1,FALSE()))),"OLD",IF(AND(E5805&lt;&gt;"",E5805&lt;&gt;"!!!"),"NEW","")))</f>
        <v> </v>
      </c>
      <c r="G5805" s="24" t="str">
        <f>IF(OR(E5805="",E5805="!!!"),"",IF(OR(J5805=0,AND(J5805=1,K5805=1),AND(J5805=1,I5805="SBJ"),AND(J5805=1,I5805=0)),"?IN_FOCUS",IF(J5805&lt;=2,"?ACTIVATED",IF(J5805&lt;&gt;"","?FAMILIAR",IF(F5805="NEW",IF(ISNA(VLOOKUP(E5805,#REF!,1,FALSE())),"?TYPE_IDENTIFIABLE","?REFERENTIAL"),"_")))))</f>
        <v> </v>
      </c>
      <c r="H5805" s="25" t="str">
        <f>IF(J5805&lt;&gt;1,"",IF(I5805="SBJ","CB","?"))</f>
        <v> </v>
      </c>
      <c r="I5805" s="26" t="str">
        <f>IF(OR(E5805="",E5805="!!!",F5805="NEW"),"",INDEX(B5804:B$2,-1+SUMPRODUCT(MAX(ROW(E5804:E$2)*(E5805=E5804:E$2)))))</f>
        <v> </v>
      </c>
      <c r="J5805" s="26" t="str">
        <f>IF(OR(E5805="",E5805="!!!",F5805="NEW"),"",COUNTBLANK(OFFSET(A$1,,,SUMPRODUCT(MAX(ROW(E$2:E5805)*(E5805=E$2:E5805)))))-COUNTBLANK(OFFSET(A$1,,,SUMPRODUCT(MAX(ROW(E$1:E5804)*(E2=E$1:E5804))))))</f>
        <v> </v>
      </c>
      <c r="K5805" s="26" t="str">
        <f>IF(OR(E5805="",E5805="!!!",F5805="NEW"),"",INDEX(J$1:J5804,SUMPRODUCT(MAX(ROW(E$1:E5804)*(E5805=E$1:E5804)))))</f>
        <v> </v>
      </c>
      <c r="L5805" s="27"/>
    </row>
    <row r="5806" spans="1:12">
      <c r="A5806" s="20" t="s">
        <v>1526</v>
      </c>
      <c r="E5806" s="22">
        <f>IF(D5806="?OLD","!!!","")</f>
        <v/>
      </c>
      <c r="F5806" s="23" t="str">
        <f>IF(OR(E5806="",E5806="!!!"),"",IF(NOT(ISNA(VLOOKUP(E5806,E$1:E5805,1,FALSE()))),"OLD",IF(AND(E5806&lt;&gt;"",E5806&lt;&gt;"!!!"),"NEW","")))</f>
        <v> </v>
      </c>
      <c r="G5806" s="24" t="str">
        <f>IF(OR(E5806="",E5806="!!!"),"",IF(OR(J5806=0,AND(J5806=1,K5806=1),AND(J5806=1,I5806="SBJ"),AND(J5806=1,I5806=0)),"?IN_FOCUS",IF(J5806&lt;=2,"?ACTIVATED",IF(J5806&lt;&gt;"","?FAMILIAR",IF(F5806="NEW",IF(ISNA(VLOOKUP(E5806,#REF!,1,FALSE())),"?TYPE_IDENTIFIABLE","?REFERENTIAL"),"_")))))</f>
        <v> </v>
      </c>
      <c r="H5806" s="25" t="str">
        <f>IF(J5806&lt;&gt;1,"",IF(I5806="SBJ","CB","?"))</f>
        <v> </v>
      </c>
      <c r="I5806" s="26" t="str">
        <f>IF(OR(E5806="",E5806="!!!",F5806="NEW"),"",INDEX(B5805:B$2,-1+SUMPRODUCT(MAX(ROW(E5805:E$2)*(E5806=E5805:E$2)))))</f>
        <v> </v>
      </c>
      <c r="J5806" s="26" t="str">
        <f>IF(OR(E5806="",E5806="!!!",F5806="NEW"),"",COUNTBLANK(OFFSET(A$1,,,SUMPRODUCT(MAX(ROW(E$2:E5806)*(E5806=E$2:E5806)))))-COUNTBLANK(OFFSET(A$1,,,SUMPRODUCT(MAX(ROW(E$1:E5805)*(E2=E$1:E5805))))))</f>
        <v> </v>
      </c>
      <c r="K5806" s="26" t="str">
        <f>IF(OR(E5806="",E5806="!!!",F5806="NEW"),"",INDEX(J$1:J5805,SUMPRODUCT(MAX(ROW(E$1:E5805)*(E5806=E$1:E5805)))))</f>
        <v> </v>
      </c>
      <c r="L5806" s="27"/>
    </row>
    <row r="5807" spans="1:12">
      <c r="A5807" s="20" t="s">
        <v>3028</v>
      </c>
      <c r="E5807" s="22">
        <f>IF(D5807="?OLD","!!!","")</f>
        <v/>
      </c>
      <c r="F5807" s="23" t="str">
        <f>IF(OR(E5807="",E5807="!!!"),"",IF(NOT(ISNA(VLOOKUP(E5807,E$1:E5806,1,FALSE()))),"OLD",IF(AND(E5807&lt;&gt;"",E5807&lt;&gt;"!!!"),"NEW","")))</f>
        <v> </v>
      </c>
      <c r="G5807" s="24" t="str">
        <f>IF(OR(E5807="",E5807="!!!"),"",IF(OR(J5807=0,AND(J5807=1,K5807=1),AND(J5807=1,I5807="SBJ"),AND(J5807=1,I5807=0)),"?IN_FOCUS",IF(J5807&lt;=2,"?ACTIVATED",IF(J5807&lt;&gt;"","?FAMILIAR",IF(F5807="NEW",IF(ISNA(VLOOKUP(E5807,#REF!,1,FALSE())),"?TYPE_IDENTIFIABLE","?REFERENTIAL"),"_")))))</f>
        <v> </v>
      </c>
      <c r="H5807" s="25" t="str">
        <f>IF(J5807&lt;&gt;1,"",IF(I5807="SBJ","CB","?"))</f>
        <v> </v>
      </c>
      <c r="I5807" s="26" t="str">
        <f>IF(OR(E5807="",E5807="!!!",F5807="NEW"),"",INDEX(B5806:B$2,-1+SUMPRODUCT(MAX(ROW(E5806:E$2)*(E5807=E5806:E$2)))))</f>
        <v> </v>
      </c>
      <c r="J5807" s="26" t="str">
        <f>IF(OR(E5807="",E5807="!!!",F5807="NEW"),"",COUNTBLANK(OFFSET(A$1,,,SUMPRODUCT(MAX(ROW(E$2:E5807)*(E5807=E$2:E5807)))))-COUNTBLANK(OFFSET(A$1,,,SUMPRODUCT(MAX(ROW(E$1:E5806)*(E2=E$1:E5806))))))</f>
        <v> </v>
      </c>
      <c r="K5807" s="26" t="str">
        <f>IF(OR(E5807="",E5807="!!!",F5807="NEW"),"",INDEX(J$1:J5806,SUMPRODUCT(MAX(ROW(E$1:E5806)*(E5807=E$1:E5806)))))</f>
        <v> </v>
      </c>
      <c r="L5807" s="27"/>
    </row>
    <row r="5808" spans="1:12">
      <c r="A5808" s="20" t="s">
        <v>1218</v>
      </c>
      <c r="E5808" s="22">
        <f>IF(D5808="?OLD","!!!","")</f>
        <v/>
      </c>
      <c r="F5808" s="23" t="str">
        <f>IF(OR(E5808="",E5808="!!!"),"",IF(NOT(ISNA(VLOOKUP(E5808,E$1:E5807,1,FALSE()))),"OLD",IF(AND(E5808&lt;&gt;"",E5808&lt;&gt;"!!!"),"NEW","")))</f>
        <v> </v>
      </c>
      <c r="G5808" s="24" t="str">
        <f>IF(OR(E5808="",E5808="!!!"),"",IF(OR(J5808=0,AND(J5808=1,K5808=1),AND(J5808=1,I5808="SBJ"),AND(J5808=1,I5808=0)),"?IN_FOCUS",IF(J5808&lt;=2,"?ACTIVATED",IF(J5808&lt;&gt;"","?FAMILIAR",IF(F5808="NEW",IF(ISNA(VLOOKUP(E5808,#REF!,1,FALSE())),"?TYPE_IDENTIFIABLE","?REFERENTIAL"),"_")))))</f>
        <v> </v>
      </c>
      <c r="H5808" s="25" t="str">
        <f>IF(J5808&lt;&gt;1,"",IF(I5808="SBJ","CB","?"))</f>
        <v> </v>
      </c>
      <c r="I5808" s="26" t="str">
        <f>IF(OR(E5808="",E5808="!!!",F5808="NEW"),"",INDEX(B5807:B$2,-1+SUMPRODUCT(MAX(ROW(E5807:E$2)*(E5808=E5807:E$2)))))</f>
        <v> </v>
      </c>
      <c r="J5808" s="26" t="str">
        <f>IF(OR(E5808="",E5808="!!!",F5808="NEW"),"",COUNTBLANK(OFFSET(A$1,,,SUMPRODUCT(MAX(ROW(E$2:E5808)*(E5808=E$2:E5808)))))-COUNTBLANK(OFFSET(A$1,,,SUMPRODUCT(MAX(ROW(E$1:E5807)*(E2=E$1:E5807))))))</f>
        <v> </v>
      </c>
      <c r="K5808" s="26" t="str">
        <f>IF(OR(E5808="",E5808="!!!",F5808="NEW"),"",INDEX(J$1:J5807,SUMPRODUCT(MAX(ROW(E$1:E5807)*(E5808=E$1:E5807)))))</f>
        <v> </v>
      </c>
      <c r="L5808" s="27"/>
    </row>
    <row r="5809" spans="1:12">
      <c r="A5809" s="20" t="s">
        <v>1266</v>
      </c>
      <c r="E5809" s="22">
        <f>IF(D5809="?OLD","!!!","")</f>
        <v/>
      </c>
      <c r="F5809" s="23" t="str">
        <f>IF(OR(E5809="",E5809="!!!"),"",IF(NOT(ISNA(VLOOKUP(E5809,E$1:E5808,1,FALSE()))),"OLD",IF(AND(E5809&lt;&gt;"",E5809&lt;&gt;"!!!"),"NEW","")))</f>
        <v> </v>
      </c>
      <c r="G5809" s="24" t="str">
        <f>IF(OR(E5809="",E5809="!!!"),"",IF(OR(J5809=0,AND(J5809=1,K5809=1),AND(J5809=1,I5809="SBJ"),AND(J5809=1,I5809=0)),"?IN_FOCUS",IF(J5809&lt;=2,"?ACTIVATED",IF(J5809&lt;&gt;"","?FAMILIAR",IF(F5809="NEW",IF(ISNA(VLOOKUP(E5809,#REF!,1,FALSE())),"?TYPE_IDENTIFIABLE","?REFERENTIAL"),"_")))))</f>
        <v> </v>
      </c>
      <c r="H5809" s="25" t="str">
        <f>IF(J5809&lt;&gt;1,"",IF(I5809="SBJ","CB","?"))</f>
        <v> </v>
      </c>
      <c r="I5809" s="26" t="str">
        <f>IF(OR(E5809="",E5809="!!!",F5809="NEW"),"",INDEX(B5808:B$2,-1+SUMPRODUCT(MAX(ROW(E5808:E$2)*(E5809=E5808:E$2)))))</f>
        <v> </v>
      </c>
      <c r="J5809" s="26" t="str">
        <f>IF(OR(E5809="",E5809="!!!",F5809="NEW"),"",COUNTBLANK(OFFSET(A$1,,,SUMPRODUCT(MAX(ROW(E$2:E5809)*(E5809=E$2:E5809)))))-COUNTBLANK(OFFSET(A$1,,,SUMPRODUCT(MAX(ROW(E$1:E5808)*(E2=E$1:E5808))))))</f>
        <v> </v>
      </c>
      <c r="K5809" s="26" t="str">
        <f>IF(OR(E5809="",E5809="!!!",F5809="NEW"),"",INDEX(J$1:J5808,SUMPRODUCT(MAX(ROW(E$1:E5808)*(E5809=E$1:E5808)))))</f>
        <v> </v>
      </c>
      <c r="L5809" s="27"/>
    </row>
    <row r="5810" spans="1:12">
      <c r="A5810" s="20" t="s">
        <v>2230</v>
      </c>
      <c r="B5810" s="21" t="s">
        <v>1224</v>
      </c>
      <c r="C5810" s="21" t="s">
        <v>1269</v>
      </c>
      <c r="D5810" s="21" t="s">
        <v>1217</v>
      </c>
      <c r="E5810" s="22">
        <f>IF(D5810="?OLD","!!!","")</f>
        <v/>
      </c>
      <c r="F5810" s="23" t="str">
        <f>IF(OR(E5810="",E5810="!!!"),"",IF(NOT(ISNA(VLOOKUP(E5810,E$1:E5809,1,FALSE()))),"OLD",IF(AND(E5810&lt;&gt;"",E5810&lt;&gt;"!!!"),"NEW","")))</f>
        <v> </v>
      </c>
      <c r="G5810" s="24" t="str">
        <f>IF(OR(E5810="",E5810="!!!"),"",IF(OR(J5810=0,AND(J5810=1,K5810=1),AND(J5810=1,I5810="SBJ"),AND(J5810=1,I5810=0)),"?IN_FOCUS",IF(J5810&lt;=2,"?ACTIVATED",IF(J5810&lt;&gt;"","?FAMILIAR",IF(F5810="NEW",IF(ISNA(VLOOKUP(E5810,#REF!,1,FALSE())),"?TYPE_IDENTIFIABLE","?REFERENTIAL"),"_")))))</f>
        <v> </v>
      </c>
      <c r="H5810" s="25" t="str">
        <f>IF(J5810&lt;&gt;1,"",IF(I5810="SBJ","CB","?"))</f>
        <v> </v>
      </c>
      <c r="I5810" s="26" t="str">
        <f>IF(OR(E5810="",E5810="!!!",F5810="NEW"),"",INDEX(B5809:B$2,-1+SUMPRODUCT(MAX(ROW(E5809:E$2)*(E5810=E5809:E$2)))))</f>
        <v> </v>
      </c>
      <c r="J5810" s="26" t="str">
        <f>IF(OR(E5810="",E5810="!!!",F5810="NEW"),"",COUNTBLANK(OFFSET(A$1,,,SUMPRODUCT(MAX(ROW(E$2:E5810)*(E5810=E$2:E5810)))))-COUNTBLANK(OFFSET(A$1,,,SUMPRODUCT(MAX(ROW(E$1:E5809)*(E2=E$1:E5809))))))</f>
        <v> </v>
      </c>
      <c r="K5810" s="26" t="str">
        <f>IF(OR(E5810="",E5810="!!!",F5810="NEW"),"",INDEX(J$1:J5809,SUMPRODUCT(MAX(ROW(E$1:E5809)*(E5810=E$1:E5809)))))</f>
        <v> </v>
      </c>
      <c r="L5810" s="27"/>
    </row>
    <row r="5811" spans="1:12">
      <c r="A5811" s="20" t="s">
        <v>2064</v>
      </c>
      <c r="E5811" s="22">
        <f>IF(D5811="?OLD","!!!","")</f>
        <v/>
      </c>
      <c r="F5811" s="23" t="str">
        <f>IF(OR(E5811="",E5811="!!!"),"",IF(NOT(ISNA(VLOOKUP(E5811,E$1:E5810,1,FALSE()))),"OLD",IF(AND(E5811&lt;&gt;"",E5811&lt;&gt;"!!!"),"NEW","")))</f>
        <v> </v>
      </c>
      <c r="G5811" s="24" t="str">
        <f>IF(OR(E5811="",E5811="!!!"),"",IF(OR(J5811=0,AND(J5811=1,K5811=1),AND(J5811=1,I5811="SBJ"),AND(J5811=1,I5811=0)),"?IN_FOCUS",IF(J5811&lt;=2,"?ACTIVATED",IF(J5811&lt;&gt;"","?FAMILIAR",IF(F5811="NEW",IF(ISNA(VLOOKUP(E5811,#REF!,1,FALSE())),"?TYPE_IDENTIFIABLE","?REFERENTIAL"),"_")))))</f>
        <v> </v>
      </c>
      <c r="H5811" s="25" t="str">
        <f>IF(J5811&lt;&gt;1,"",IF(I5811="SBJ","CB","?"))</f>
        <v> </v>
      </c>
      <c r="I5811" s="26" t="str">
        <f>IF(OR(E5811="",E5811="!!!",F5811="NEW"),"",INDEX(B5810:B$2,-1+SUMPRODUCT(MAX(ROW(E5810:E$2)*(E5811=E5810:E$2)))))</f>
        <v> </v>
      </c>
      <c r="J5811" s="26" t="str">
        <f>IF(OR(E5811="",E5811="!!!",F5811="NEW"),"",COUNTBLANK(OFFSET(A$1,,,SUMPRODUCT(MAX(ROW(E$2:E5811)*(E5811=E$2:E5811)))))-COUNTBLANK(OFFSET(A$1,,,SUMPRODUCT(MAX(ROW(E$1:E5810)*(E2=E$1:E5810))))))</f>
        <v> </v>
      </c>
      <c r="K5811" s="26" t="str">
        <f>IF(OR(E5811="",E5811="!!!",F5811="NEW"),"",INDEX(J$1:J5810,SUMPRODUCT(MAX(ROW(E$1:E5810)*(E5811=E$1:E5810)))))</f>
        <v> </v>
      </c>
      <c r="L5811" s="27"/>
    </row>
    <row r="5812" spans="1:12">
      <c r="A5812" s="20" t="s">
        <v>1219</v>
      </c>
      <c r="E5812" s="22">
        <f>IF(D5812="?OLD","!!!","")</f>
        <v/>
      </c>
      <c r="F5812" s="23" t="str">
        <f>IF(OR(E5812="",E5812="!!!"),"",IF(NOT(ISNA(VLOOKUP(E5812,E$1:E5811,1,FALSE()))),"OLD",IF(AND(E5812&lt;&gt;"",E5812&lt;&gt;"!!!"),"NEW","")))</f>
        <v> </v>
      </c>
      <c r="G5812" s="24" t="str">
        <f>IF(OR(E5812="",E5812="!!!"),"",IF(OR(J5812=0,AND(J5812=1,K5812=1),AND(J5812=1,I5812="SBJ"),AND(J5812=1,I5812=0)),"?IN_FOCUS",IF(J5812&lt;=2,"?ACTIVATED",IF(J5812&lt;&gt;"","?FAMILIAR",IF(F5812="NEW",IF(ISNA(VLOOKUP(E5812,#REF!,1,FALSE())),"?TYPE_IDENTIFIABLE","?REFERENTIAL"),"_")))))</f>
        <v> </v>
      </c>
      <c r="H5812" s="25" t="str">
        <f>IF(J5812&lt;&gt;1,"",IF(I5812="SBJ","CB","?"))</f>
        <v> </v>
      </c>
      <c r="I5812" s="26" t="str">
        <f>IF(OR(E5812="",E5812="!!!",F5812="NEW"),"",INDEX(B5811:B$2,-1+SUMPRODUCT(MAX(ROW(E5811:E$2)*(E5812=E5811:E$2)))))</f>
        <v> </v>
      </c>
      <c r="J5812" s="26" t="str">
        <f>IF(OR(E5812="",E5812="!!!",F5812="NEW"),"",COUNTBLANK(OFFSET(A$1,,,SUMPRODUCT(MAX(ROW(E$2:E5812)*(E5812=E$2:E5812)))))-COUNTBLANK(OFFSET(A$1,,,SUMPRODUCT(MAX(ROW(E$1:E5811)*(E2=E$1:E5811))))))</f>
        <v> </v>
      </c>
      <c r="K5812" s="26" t="str">
        <f>IF(OR(E5812="",E5812="!!!",F5812="NEW"),"",INDEX(J$1:J5811,SUMPRODUCT(MAX(ROW(E$1:E5811)*(E5812=E$1:E5811)))))</f>
        <v> </v>
      </c>
      <c r="L5812" s="27"/>
    </row>
    <row r="5813" spans="1:12">
      <c r="A5813" s="20" t="s">
        <v>3029</v>
      </c>
      <c r="B5813" s="21" t="s">
        <v>1516</v>
      </c>
      <c r="C5813" s="21" t="s">
        <v>1269</v>
      </c>
      <c r="D5813" s="21" t="s">
        <v>1217</v>
      </c>
      <c r="E5813" s="22">
        <f>IF(D5813="?OLD","!!!","")</f>
        <v/>
      </c>
      <c r="F5813" s="23" t="str">
        <f>IF(OR(E5813="",E5813="!!!"),"",IF(NOT(ISNA(VLOOKUP(E5813,E$1:E5812,1,FALSE()))),"OLD",IF(AND(E5813&lt;&gt;"",E5813&lt;&gt;"!!!"),"NEW","")))</f>
        <v> </v>
      </c>
      <c r="G5813" s="24" t="str">
        <f>IF(OR(E5813="",E5813="!!!"),"",IF(OR(J5813=0,AND(J5813=1,K5813=1),AND(J5813=1,I5813="SBJ"),AND(J5813=1,I5813=0)),"?IN_FOCUS",IF(J5813&lt;=2,"?ACTIVATED",IF(J5813&lt;&gt;"","?FAMILIAR",IF(F5813="NEW",IF(ISNA(VLOOKUP(E5813,#REF!,1,FALSE())),"?TYPE_IDENTIFIABLE","?REFERENTIAL"),"_")))))</f>
        <v> </v>
      </c>
      <c r="H5813" s="25" t="str">
        <f>IF(J5813&lt;&gt;1,"",IF(I5813="SBJ","CB","?"))</f>
        <v> </v>
      </c>
      <c r="I5813" s="26" t="str">
        <f>IF(OR(E5813="",E5813="!!!",F5813="NEW"),"",INDEX(B5812:B$2,-1+SUMPRODUCT(MAX(ROW(E5812:E$2)*(E5813=E5812:E$2)))))</f>
        <v> </v>
      </c>
      <c r="J5813" s="26" t="str">
        <f>IF(OR(E5813="",E5813="!!!",F5813="NEW"),"",COUNTBLANK(OFFSET(A$1,,,SUMPRODUCT(MAX(ROW(E$2:E5813)*(E5813=E$2:E5813)))))-COUNTBLANK(OFFSET(A$1,,,SUMPRODUCT(MAX(ROW(E$1:E5812)*(E2=E$1:E5812))))))</f>
        <v> </v>
      </c>
      <c r="K5813" s="26" t="str">
        <f>IF(OR(E5813="",E5813="!!!",F5813="NEW"),"",INDEX(J$1:J5812,SUMPRODUCT(MAX(ROW(E$1:E5812)*(E5813=E$1:E5812)))))</f>
        <v> </v>
      </c>
      <c r="L5813" s="27"/>
    </row>
    <row r="5814" spans="1:12">
      <c r="A5814" s="20" t="s">
        <v>1251</v>
      </c>
      <c r="E5814" s="22">
        <f>IF(D5814="?OLD","!!!","")</f>
        <v/>
      </c>
      <c r="F5814" s="23" t="str">
        <f>IF(OR(E5814="",E5814="!!!"),"",IF(NOT(ISNA(VLOOKUP(E5814,E$1:E5813,1,FALSE()))),"OLD",IF(AND(E5814&lt;&gt;"",E5814&lt;&gt;"!!!"),"NEW","")))</f>
        <v> </v>
      </c>
      <c r="G5814" s="24" t="str">
        <f>IF(OR(E5814="",E5814="!!!"),"",IF(OR(J5814=0,AND(J5814=1,K5814=1),AND(J5814=1,I5814="SBJ"),AND(J5814=1,I5814=0)),"?IN_FOCUS",IF(J5814&lt;=2,"?ACTIVATED",IF(J5814&lt;&gt;"","?FAMILIAR",IF(F5814="NEW",IF(ISNA(VLOOKUP(E5814,#REF!,1,FALSE())),"?TYPE_IDENTIFIABLE","?REFERENTIAL"),"_")))))</f>
        <v> </v>
      </c>
      <c r="H5814" s="25" t="str">
        <f>IF(J5814&lt;&gt;1,"",IF(I5814="SBJ","CB","?"))</f>
        <v> </v>
      </c>
      <c r="I5814" s="26" t="str">
        <f>IF(OR(E5814="",E5814="!!!",F5814="NEW"),"",INDEX(B5813:B$2,-1+SUMPRODUCT(MAX(ROW(E5813:E$2)*(E5814=E5813:E$2)))))</f>
        <v> </v>
      </c>
      <c r="J5814" s="26" t="str">
        <f>IF(OR(E5814="",E5814="!!!",F5814="NEW"),"",COUNTBLANK(OFFSET(A$1,,,SUMPRODUCT(MAX(ROW(E$2:E5814)*(E5814=E$2:E5814)))))-COUNTBLANK(OFFSET(A$1,,,SUMPRODUCT(MAX(ROW(E$1:E5813)*(E2=E$1:E5813))))))</f>
        <v> </v>
      </c>
      <c r="K5814" s="26" t="str">
        <f>IF(OR(E5814="",E5814="!!!",F5814="NEW"),"",INDEX(J$1:J5813,SUMPRODUCT(MAX(ROW(E$1:E5813)*(E5814=E$1:E5813)))))</f>
        <v> </v>
      </c>
      <c r="L5814" s="27"/>
    </row>
    <row r="5815" spans="1:12">
      <c r="A5815" s="20" t="s">
        <v>1277</v>
      </c>
      <c r="E5815" s="22">
        <f>IF(D5815="?OLD","!!!","")</f>
        <v/>
      </c>
      <c r="F5815" s="23" t="str">
        <f>IF(OR(E5815="",E5815="!!!"),"",IF(NOT(ISNA(VLOOKUP(E5815,E$1:E5814,1,FALSE()))),"OLD",IF(AND(E5815&lt;&gt;"",E5815&lt;&gt;"!!!"),"NEW","")))</f>
        <v> </v>
      </c>
      <c r="G5815" s="24" t="str">
        <f>IF(OR(E5815="",E5815="!!!"),"",IF(OR(J5815=0,AND(J5815=1,K5815=1),AND(J5815=1,I5815="SBJ"),AND(J5815=1,I5815=0)),"?IN_FOCUS",IF(J5815&lt;=2,"?ACTIVATED",IF(J5815&lt;&gt;"","?FAMILIAR",IF(F5815="NEW",IF(ISNA(VLOOKUP(E5815,#REF!,1,FALSE())),"?TYPE_IDENTIFIABLE","?REFERENTIAL"),"_")))))</f>
        <v> </v>
      </c>
      <c r="H5815" s="25" t="str">
        <f>IF(J5815&lt;&gt;1,"",IF(I5815="SBJ","CB","?"))</f>
        <v> </v>
      </c>
      <c r="I5815" s="26" t="str">
        <f>IF(OR(E5815="",E5815="!!!",F5815="NEW"),"",INDEX(B5814:B$2,-1+SUMPRODUCT(MAX(ROW(E5814:E$2)*(E5815=E5814:E$2)))))</f>
        <v> </v>
      </c>
      <c r="J5815" s="26" t="str">
        <f>IF(OR(E5815="",E5815="!!!",F5815="NEW"),"",COUNTBLANK(OFFSET(A$1,,,SUMPRODUCT(MAX(ROW(E$2:E5815)*(E5815=E$2:E5815)))))-COUNTBLANK(OFFSET(A$1,,,SUMPRODUCT(MAX(ROW(E$1:E5814)*(E2=E$1:E5814))))))</f>
        <v> </v>
      </c>
      <c r="K5815" s="26" t="str">
        <f>IF(OR(E5815="",E5815="!!!",F5815="NEW"),"",INDEX(J$1:J5814,SUMPRODUCT(MAX(ROW(E$1:E5814)*(E5815=E$1:E5814)))))</f>
        <v> </v>
      </c>
      <c r="L5815" s="27"/>
    </row>
    <row r="5816" spans="1:12">
      <c r="A5816" s="20" t="s">
        <v>1266</v>
      </c>
      <c r="B5816" s="21" t="s">
        <v>2771</v>
      </c>
      <c r="C5816" s="21" t="s">
        <v>1255</v>
      </c>
      <c r="D5816" s="21" t="s">
        <v>1217</v>
      </c>
      <c r="E5816" s="22">
        <f>IF(D5816="?OLD","!!!","")</f>
        <v/>
      </c>
      <c r="F5816" s="23" t="str">
        <f>IF(OR(E5816="",E5816="!!!"),"",IF(NOT(ISNA(VLOOKUP(E5816,E$1:E5815,1,FALSE()))),"OLD",IF(AND(E5816&lt;&gt;"",E5816&lt;&gt;"!!!"),"NEW","")))</f>
        <v> </v>
      </c>
      <c r="G5816" s="24" t="str">
        <f>IF(OR(E5816="",E5816="!!!"),"",IF(OR(J5816=0,AND(J5816=1,K5816=1),AND(J5816=1,I5816="SBJ"),AND(J5816=1,I5816=0)),"?IN_FOCUS",IF(J5816&lt;=2,"?ACTIVATED",IF(J5816&lt;&gt;"","?FAMILIAR",IF(F5816="NEW",IF(ISNA(VLOOKUP(E5816,#REF!,1,FALSE())),"?TYPE_IDENTIFIABLE","?REFERENTIAL"),"_")))))</f>
        <v> </v>
      </c>
      <c r="H5816" s="25" t="str">
        <f>IF(J5816&lt;&gt;1,"",IF(I5816="SBJ","CB","?"))</f>
        <v> </v>
      </c>
      <c r="I5816" s="26" t="str">
        <f>IF(OR(E5816="",E5816="!!!",F5816="NEW"),"",INDEX(B5815:B$2,-1+SUMPRODUCT(MAX(ROW(E5815:E$2)*(E5816=E5815:E$2)))))</f>
        <v> </v>
      </c>
      <c r="J5816" s="26" t="str">
        <f>IF(OR(E5816="",E5816="!!!",F5816="NEW"),"",COUNTBLANK(OFFSET(A$1,,,SUMPRODUCT(MAX(ROW(E$2:E5816)*(E5816=E$2:E5816)))))-COUNTBLANK(OFFSET(A$1,,,SUMPRODUCT(MAX(ROW(E$1:E5815)*(E2=E$1:E5815))))))</f>
        <v> </v>
      </c>
      <c r="K5816" s="26" t="str">
        <f>IF(OR(E5816="",E5816="!!!",F5816="NEW"),"",INDEX(J$1:J5815,SUMPRODUCT(MAX(ROW(E$1:E5815)*(E5816=E$1:E5815)))))</f>
        <v> </v>
      </c>
      <c r="L5816" s="27"/>
    </row>
    <row r="5817" spans="1:12">
      <c r="A5817" s="20" t="s">
        <v>3030</v>
      </c>
      <c r="E5817" s="22">
        <f>IF(D5817="?OLD","!!!","")</f>
        <v/>
      </c>
      <c r="F5817" s="23" t="str">
        <f>IF(OR(E5817="",E5817="!!!"),"",IF(NOT(ISNA(VLOOKUP(E5817,E$1:E5816,1,FALSE()))),"OLD",IF(AND(E5817&lt;&gt;"",E5817&lt;&gt;"!!!"),"NEW","")))</f>
        <v> </v>
      </c>
      <c r="G5817" s="24" t="str">
        <f>IF(OR(E5817="",E5817="!!!"),"",IF(OR(J5817=0,AND(J5817=1,K5817=1),AND(J5817=1,I5817="SBJ"),AND(J5817=1,I5817=0)),"?IN_FOCUS",IF(J5817&lt;=2,"?ACTIVATED",IF(J5817&lt;&gt;"","?FAMILIAR",IF(F5817="NEW",IF(ISNA(VLOOKUP(E5817,#REF!,1,FALSE())),"?TYPE_IDENTIFIABLE","?REFERENTIAL"),"_")))))</f>
        <v> </v>
      </c>
      <c r="H5817" s="25" t="str">
        <f>IF(J5817&lt;&gt;1,"",IF(I5817="SBJ","CB","?"))</f>
        <v> </v>
      </c>
      <c r="I5817" s="26" t="str">
        <f>IF(OR(E5817="",E5817="!!!",F5817="NEW"),"",INDEX(B5816:B$2,-1+SUMPRODUCT(MAX(ROW(E5816:E$2)*(E5817=E5816:E$2)))))</f>
        <v> </v>
      </c>
      <c r="J5817" s="26" t="str">
        <f>IF(OR(E5817="",E5817="!!!",F5817="NEW"),"",COUNTBLANK(OFFSET(A$1,,,SUMPRODUCT(MAX(ROW(E$2:E5817)*(E5817=E$2:E5817)))))-COUNTBLANK(OFFSET(A$1,,,SUMPRODUCT(MAX(ROW(E$1:E5816)*(E2=E$1:E5816))))))</f>
        <v> </v>
      </c>
      <c r="K5817" s="26" t="str">
        <f>IF(OR(E5817="",E5817="!!!",F5817="NEW"),"",INDEX(J$1:J5816,SUMPRODUCT(MAX(ROW(E$1:E5816)*(E5817=E$1:E5816)))))</f>
        <v> </v>
      </c>
      <c r="L5817" s="27"/>
    </row>
    <row r="5818" spans="1:12">
      <c r="A5818" s="20" t="s">
        <v>1336</v>
      </c>
      <c r="E5818" s="22">
        <f>IF(D5818="?OLD","!!!","")</f>
        <v/>
      </c>
      <c r="F5818" s="23" t="str">
        <f>IF(OR(E5818="",E5818="!!!"),"",IF(NOT(ISNA(VLOOKUP(E5818,E$1:E5817,1,FALSE()))),"OLD",IF(AND(E5818&lt;&gt;"",E5818&lt;&gt;"!!!"),"NEW","")))</f>
        <v> </v>
      </c>
      <c r="G5818" s="24" t="str">
        <f>IF(OR(E5818="",E5818="!!!"),"",IF(OR(J5818=0,AND(J5818=1,K5818=1),AND(J5818=1,I5818="SBJ"),AND(J5818=1,I5818=0)),"?IN_FOCUS",IF(J5818&lt;=2,"?ACTIVATED",IF(J5818&lt;&gt;"","?FAMILIAR",IF(F5818="NEW",IF(ISNA(VLOOKUP(E5818,#REF!,1,FALSE())),"?TYPE_IDENTIFIABLE","?REFERENTIAL"),"_")))))</f>
        <v> </v>
      </c>
      <c r="H5818" s="25" t="str">
        <f>IF(J5818&lt;&gt;1,"",IF(I5818="SBJ","CB","?"))</f>
        <v> </v>
      </c>
      <c r="I5818" s="26" t="str">
        <f>IF(OR(E5818="",E5818="!!!",F5818="NEW"),"",INDEX(B5817:B$2,-1+SUMPRODUCT(MAX(ROW(E5817:E$2)*(E5818=E5817:E$2)))))</f>
        <v> </v>
      </c>
      <c r="J5818" s="26" t="str">
        <f>IF(OR(E5818="",E5818="!!!",F5818="NEW"),"",COUNTBLANK(OFFSET(A$1,,,SUMPRODUCT(MAX(ROW(E$2:E5818)*(E5818=E$2:E5818)))))-COUNTBLANK(OFFSET(A$1,,,SUMPRODUCT(MAX(ROW(E$1:E5817)*(E2=E$1:E5817))))))</f>
        <v> </v>
      </c>
      <c r="K5818" s="26" t="str">
        <f>IF(OR(E5818="",E5818="!!!",F5818="NEW"),"",INDEX(J$1:J5817,SUMPRODUCT(MAX(ROW(E$1:E5817)*(E5818=E$1:E5817)))))</f>
        <v> </v>
      </c>
      <c r="L5818" s="27"/>
    </row>
    <row r="5819" spans="1:12">
      <c r="A5819" s="20" t="s">
        <v>1323</v>
      </c>
      <c r="E5819" s="22">
        <f>IF(D5819="?OLD","!!!","")</f>
        <v/>
      </c>
      <c r="F5819" s="23" t="str">
        <f>IF(OR(E5819="",E5819="!!!"),"",IF(NOT(ISNA(VLOOKUP(E5819,E$1:E5818,1,FALSE()))),"OLD",IF(AND(E5819&lt;&gt;"",E5819&lt;&gt;"!!!"),"NEW","")))</f>
        <v> </v>
      </c>
      <c r="G5819" s="24" t="str">
        <f>IF(OR(E5819="",E5819="!!!"),"",IF(OR(J5819=0,AND(J5819=1,K5819=1),AND(J5819=1,I5819="SBJ"),AND(J5819=1,I5819=0)),"?IN_FOCUS",IF(J5819&lt;=2,"?ACTIVATED",IF(J5819&lt;&gt;"","?FAMILIAR",IF(F5819="NEW",IF(ISNA(VLOOKUP(E5819,#REF!,1,FALSE())),"?TYPE_IDENTIFIABLE","?REFERENTIAL"),"_")))))</f>
        <v> </v>
      </c>
      <c r="H5819" s="25" t="str">
        <f>IF(J5819&lt;&gt;1,"",IF(I5819="SBJ","CB","?"))</f>
        <v> </v>
      </c>
      <c r="I5819" s="26" t="str">
        <f>IF(OR(E5819="",E5819="!!!",F5819="NEW"),"",INDEX(B5818:B$2,-1+SUMPRODUCT(MAX(ROW(E5818:E$2)*(E5819=E5818:E$2)))))</f>
        <v> </v>
      </c>
      <c r="J5819" s="26" t="str">
        <f>IF(OR(E5819="",E5819="!!!",F5819="NEW"),"",COUNTBLANK(OFFSET(A$1,,,SUMPRODUCT(MAX(ROW(E$2:E5819)*(E5819=E$2:E5819)))))-COUNTBLANK(OFFSET(A$1,,,SUMPRODUCT(MAX(ROW(E$1:E5818)*(E2=E$1:E5818))))))</f>
        <v> </v>
      </c>
      <c r="K5819" s="26" t="str">
        <f>IF(OR(E5819="",E5819="!!!",F5819="NEW"),"",INDEX(J$1:J5818,SUMPRODUCT(MAX(ROW(E$1:E5818)*(E5819=E$1:E5818)))))</f>
        <v> </v>
      </c>
      <c r="L5819" s="27"/>
    </row>
    <row r="5820" spans="1:12">
      <c r="A5820" s="20" t="s">
        <v>1385</v>
      </c>
      <c r="B5820" s="21" t="s">
        <v>1380</v>
      </c>
      <c r="C5820" s="21" t="s">
        <v>1269</v>
      </c>
      <c r="D5820" s="21" t="s">
        <v>1217</v>
      </c>
      <c r="E5820" s="22">
        <f>IF(D5820="?OLD","!!!","")</f>
        <v/>
      </c>
      <c r="F5820" s="23" t="str">
        <f>IF(OR(E5820="",E5820="!!!"),"",IF(NOT(ISNA(VLOOKUP(E5820,E$1:E5819,1,FALSE()))),"OLD",IF(AND(E5820&lt;&gt;"",E5820&lt;&gt;"!!!"),"NEW","")))</f>
        <v> </v>
      </c>
      <c r="G5820" s="24" t="str">
        <f>IF(OR(E5820="",E5820="!!!"),"",IF(OR(J5820=0,AND(J5820=1,K5820=1),AND(J5820=1,I5820="SBJ"),AND(J5820=1,I5820=0)),"?IN_FOCUS",IF(J5820&lt;=2,"?ACTIVATED",IF(J5820&lt;&gt;"","?FAMILIAR",IF(F5820="NEW",IF(ISNA(VLOOKUP(E5820,#REF!,1,FALSE())),"?TYPE_IDENTIFIABLE","?REFERENTIAL"),"_")))))</f>
        <v> </v>
      </c>
      <c r="H5820" s="25" t="str">
        <f>IF(J5820&lt;&gt;1,"",IF(I5820="SBJ","CB","?"))</f>
        <v> </v>
      </c>
      <c r="I5820" s="26" t="str">
        <f>IF(OR(E5820="",E5820="!!!",F5820="NEW"),"",INDEX(B5819:B$2,-1+SUMPRODUCT(MAX(ROW(E5819:E$2)*(E5820=E5819:E$2)))))</f>
        <v> </v>
      </c>
      <c r="J5820" s="26" t="str">
        <f>IF(OR(E5820="",E5820="!!!",F5820="NEW"),"",COUNTBLANK(OFFSET(A$1,,,SUMPRODUCT(MAX(ROW(E$2:E5820)*(E5820=E$2:E5820)))))-COUNTBLANK(OFFSET(A$1,,,SUMPRODUCT(MAX(ROW(E$1:E5819)*(E2=E$1:E5819))))))</f>
        <v> </v>
      </c>
      <c r="K5820" s="26" t="str">
        <f>IF(OR(E5820="",E5820="!!!",F5820="NEW"),"",INDEX(J$1:J5819,SUMPRODUCT(MAX(ROW(E$1:E5819)*(E5820=E$1:E5819)))))</f>
        <v> </v>
      </c>
      <c r="L5820" s="27"/>
    </row>
    <row r="5821" spans="1:12">
      <c r="A5821" s="20" t="s">
        <v>16</v>
      </c>
      <c r="E5821" s="22">
        <f>IF(D5821="?OLD","!!!","")</f>
        <v/>
      </c>
      <c r="F5821" s="23" t="str">
        <f>IF(OR(E5821="",E5821="!!!"),"",IF(NOT(ISNA(VLOOKUP(E5821,E$1:E5820,1,FALSE()))),"OLD",IF(AND(E5821&lt;&gt;"",E5821&lt;&gt;"!!!"),"NEW","")))</f>
        <v> </v>
      </c>
      <c r="G5821" s="24" t="str">
        <f>IF(OR(E5821="",E5821="!!!"),"",IF(OR(J5821=0,AND(J5821=1,K5821=1),AND(J5821=1,I5821="SBJ"),AND(J5821=1,I5821=0)),"?IN_FOCUS",IF(J5821&lt;=2,"?ACTIVATED",IF(J5821&lt;&gt;"","?FAMILIAR",IF(F5821="NEW",IF(ISNA(VLOOKUP(E5821,#REF!,1,FALSE())),"?TYPE_IDENTIFIABLE","?REFERENTIAL"),"_")))))</f>
        <v> </v>
      </c>
      <c r="H5821" s="25" t="str">
        <f>IF(J5821&lt;&gt;1,"",IF(I5821="SBJ","CB","?"))</f>
        <v> </v>
      </c>
      <c r="I5821" s="26" t="str">
        <f>IF(OR(E5821="",E5821="!!!",F5821="NEW"),"",INDEX(B5820:B$2,-1+SUMPRODUCT(MAX(ROW(E5820:E$2)*(E5821=E5820:E$2)))))</f>
        <v> </v>
      </c>
      <c r="J5821" s="26" t="str">
        <f>IF(OR(E5821="",E5821="!!!",F5821="NEW"),"",COUNTBLANK(OFFSET(A$1,,,SUMPRODUCT(MAX(ROW(E$2:E5821)*(E5821=E$2:E5821)))))-COUNTBLANK(OFFSET(A$1,,,SUMPRODUCT(MAX(ROW(E$1:E5820)*(E2=E$1:E5820))))))</f>
        <v> </v>
      </c>
      <c r="K5821" s="26" t="str">
        <f>IF(OR(E5821="",E5821="!!!",F5821="NEW"),"",INDEX(J$1:J5820,SUMPRODUCT(MAX(ROW(E$1:E5820)*(E5821=E$1:E5820)))))</f>
        <v> </v>
      </c>
      <c r="L5821" s="27"/>
    </row>
    <row r="5822" spans="1:12">
      <c r="A5822" s="20" t="s">
        <v>16</v>
      </c>
      <c r="E5822" s="22">
        <f>IF(D5822="?OLD","!!!","")</f>
        <v/>
      </c>
      <c r="F5822" s="23" t="str">
        <f>IF(OR(E5822="",E5822="!!!"),"",IF(NOT(ISNA(VLOOKUP(E5822,E$1:E5821,1,FALSE()))),"OLD",IF(AND(E5822&lt;&gt;"",E5822&lt;&gt;"!!!"),"NEW","")))</f>
        <v> </v>
      </c>
      <c r="G5822" s="24" t="str">
        <f>IF(OR(E5822="",E5822="!!!"),"",IF(OR(J5822=0,AND(J5822=1,K5822=1),AND(J5822=1,I5822="SBJ"),AND(J5822=1,I5822=0)),"?IN_FOCUS",IF(J5822&lt;=2,"?ACTIVATED",IF(J5822&lt;&gt;"","?FAMILIAR",IF(F5822="NEW",IF(ISNA(VLOOKUP(E5822,#REF!,1,FALSE())),"?TYPE_IDENTIFIABLE","?REFERENTIAL"),"_")))))</f>
        <v> </v>
      </c>
      <c r="H5822" s="25" t="str">
        <f>IF(J5822&lt;&gt;1,"",IF(I5822="SBJ","CB","?"))</f>
        <v> </v>
      </c>
      <c r="I5822" s="26" t="str">
        <f>IF(OR(E5822="",E5822="!!!",F5822="NEW"),"",INDEX(B5821:B$2,-1+SUMPRODUCT(MAX(ROW(E5821:E$2)*(E5822=E5821:E$2)))))</f>
        <v> </v>
      </c>
      <c r="J5822" s="26" t="str">
        <f>IF(OR(E5822="",E5822="!!!",F5822="NEW"),"",COUNTBLANK(OFFSET(A$1,,,SUMPRODUCT(MAX(ROW(E$2:E5822)*(E5822=E$2:E5822)))))-COUNTBLANK(OFFSET(A$1,,,SUMPRODUCT(MAX(ROW(E$1:E5821)*(E2=E$1:E5821))))))</f>
        <v> </v>
      </c>
      <c r="K5822" s="26" t="str">
        <f>IF(OR(E5822="",E5822="!!!",F5822="NEW"),"",INDEX(J$1:J5821,SUMPRODUCT(MAX(ROW(E$1:E5821)*(E5822=E$1:E5821)))))</f>
        <v> </v>
      </c>
      <c r="L5822" s="27"/>
    </row>
    <row r="5823" spans="1:12">
      <c r="A5823" s="20" t="s">
        <v>16</v>
      </c>
      <c r="E5823" s="22">
        <f>IF(D5823="?OLD","!!!","")</f>
        <v/>
      </c>
      <c r="F5823" s="23" t="str">
        <f>IF(OR(E5823="",E5823="!!!"),"",IF(NOT(ISNA(VLOOKUP(E5823,E$1:E5822,1,FALSE()))),"OLD",IF(AND(E5823&lt;&gt;"",E5823&lt;&gt;"!!!"),"NEW","")))</f>
        <v> </v>
      </c>
      <c r="G5823" s="24" t="str">
        <f>IF(OR(E5823="",E5823="!!!"),"",IF(OR(J5823=0,AND(J5823=1,K5823=1),AND(J5823=1,I5823="SBJ"),AND(J5823=1,I5823=0)),"?IN_FOCUS",IF(J5823&lt;=2,"?ACTIVATED",IF(J5823&lt;&gt;"","?FAMILIAR",IF(F5823="NEW",IF(ISNA(VLOOKUP(E5823,#REF!,1,FALSE())),"?TYPE_IDENTIFIABLE","?REFERENTIAL"),"_")))))</f>
        <v> </v>
      </c>
      <c r="H5823" s="25" t="str">
        <f>IF(J5823&lt;&gt;1,"",IF(I5823="SBJ","CB","?"))</f>
        <v> </v>
      </c>
      <c r="I5823" s="26" t="str">
        <f>IF(OR(E5823="",E5823="!!!",F5823="NEW"),"",INDEX(B5822:B$2,-1+SUMPRODUCT(MAX(ROW(E5822:E$2)*(E5823=E5822:E$2)))))</f>
        <v> </v>
      </c>
      <c r="J5823" s="26" t="str">
        <f>IF(OR(E5823="",E5823="!!!",F5823="NEW"),"",COUNTBLANK(OFFSET(A$1,,,SUMPRODUCT(MAX(ROW(E$2:E5823)*(E5823=E$2:E5823)))))-COUNTBLANK(OFFSET(A$1,,,SUMPRODUCT(MAX(ROW(E$1:E5822)*(E2=E$1:E5822))))))</f>
        <v> </v>
      </c>
      <c r="K5823" s="26" t="str">
        <f>IF(OR(E5823="",E5823="!!!",F5823="NEW"),"",INDEX(J$1:J5822,SUMPRODUCT(MAX(ROW(E$1:E5822)*(E5823=E$1:E5822)))))</f>
        <v> </v>
      </c>
      <c r="L5823" s="27"/>
    </row>
    <row r="5824" spans="1:12">
      <c r="A5824" s="20" t="s">
        <v>1233</v>
      </c>
      <c r="B5824" s="21" t="s">
        <v>2772</v>
      </c>
      <c r="C5824" s="21" t="s">
        <v>1234</v>
      </c>
      <c r="D5824" s="21" t="s">
        <v>1217</v>
      </c>
      <c r="E5824" s="22">
        <f>IF(D5824="?OLD","!!!","")</f>
        <v/>
      </c>
      <c r="F5824" s="23" t="str">
        <f>IF(OR(E5824="",E5824="!!!"),"",IF(NOT(ISNA(VLOOKUP(E5824,E$1:E5823,1,FALSE()))),"OLD",IF(AND(E5824&lt;&gt;"",E5824&lt;&gt;"!!!"),"NEW","")))</f>
        <v> </v>
      </c>
      <c r="G5824" s="24" t="str">
        <f>IF(OR(E5824="",E5824="!!!"),"",IF(OR(J5824=0,AND(J5824=1,K5824=1),AND(J5824=1,I5824="SBJ"),AND(J5824=1,I5824=0)),"?IN_FOCUS",IF(J5824&lt;=2,"?ACTIVATED",IF(J5824&lt;&gt;"","?FAMILIAR",IF(F5824="NEW",IF(ISNA(VLOOKUP(E5824,#REF!,1,FALSE())),"?TYPE_IDENTIFIABLE","?REFERENTIAL"),"_")))))</f>
        <v> </v>
      </c>
      <c r="H5824" s="25" t="str">
        <f>IF(J5824&lt;&gt;1,"",IF(I5824="SBJ","CB","?"))</f>
        <v> </v>
      </c>
      <c r="I5824" s="26" t="str">
        <f>IF(OR(E5824="",E5824="!!!",F5824="NEW"),"",INDEX(B5823:B$2,-1+SUMPRODUCT(MAX(ROW(E5823:E$2)*(E5824=E5823:E$2)))))</f>
        <v> </v>
      </c>
      <c r="J5824" s="26" t="str">
        <f>IF(OR(E5824="",E5824="!!!",F5824="NEW"),"",COUNTBLANK(OFFSET(A$1,,,SUMPRODUCT(MAX(ROW(E$2:E5824)*(E5824=E$2:E5824)))))-COUNTBLANK(OFFSET(A$1,,,SUMPRODUCT(MAX(ROW(E$1:E5823)*(E2=E$1:E5823))))))</f>
        <v> </v>
      </c>
      <c r="K5824" s="26" t="str">
        <f>IF(OR(E5824="",E5824="!!!",F5824="NEW"),"",INDEX(J$1:J5823,SUMPRODUCT(MAX(ROW(E$1:E5823)*(E5824=E$1:E5823)))))</f>
        <v> </v>
      </c>
      <c r="L5824" s="27"/>
    </row>
    <row r="5825" spans="1:12">
      <c r="A5825" s="20" t="s">
        <v>1530</v>
      </c>
      <c r="E5825" s="22">
        <f>IF(D5825="?OLD","!!!","")</f>
        <v/>
      </c>
      <c r="F5825" s="23" t="str">
        <f>IF(OR(E5825="",E5825="!!!"),"",IF(NOT(ISNA(VLOOKUP(E5825,E$1:E5824,1,FALSE()))),"OLD",IF(AND(E5825&lt;&gt;"",E5825&lt;&gt;"!!!"),"NEW","")))</f>
        <v> </v>
      </c>
      <c r="G5825" s="24" t="str">
        <f>IF(OR(E5825="",E5825="!!!"),"",IF(OR(J5825=0,AND(J5825=1,K5825=1),AND(J5825=1,I5825="SBJ"),AND(J5825=1,I5825=0)),"?IN_FOCUS",IF(J5825&lt;=2,"?ACTIVATED",IF(J5825&lt;&gt;"","?FAMILIAR",IF(F5825="NEW",IF(ISNA(VLOOKUP(E5825,#REF!,1,FALSE())),"?TYPE_IDENTIFIABLE","?REFERENTIAL"),"_")))))</f>
        <v> </v>
      </c>
      <c r="H5825" s="25" t="str">
        <f>IF(J5825&lt;&gt;1,"",IF(I5825="SBJ","CB","?"))</f>
        <v> </v>
      </c>
      <c r="I5825" s="26" t="str">
        <f>IF(OR(E5825="",E5825="!!!",F5825="NEW"),"",INDEX(B5824:B$2,-1+SUMPRODUCT(MAX(ROW(E5824:E$2)*(E5825=E5824:E$2)))))</f>
        <v> </v>
      </c>
      <c r="J5825" s="26" t="str">
        <f>IF(OR(E5825="",E5825="!!!",F5825="NEW"),"",COUNTBLANK(OFFSET(A$1,,,SUMPRODUCT(MAX(ROW(E$2:E5825)*(E5825=E$2:E5825)))))-COUNTBLANK(OFFSET(A$1,,,SUMPRODUCT(MAX(ROW(E$1:E5824)*(E2=E$1:E5824))))))</f>
        <v> </v>
      </c>
      <c r="K5825" s="26" t="str">
        <f>IF(OR(E5825="",E5825="!!!",F5825="NEW"),"",INDEX(J$1:J5824,SUMPRODUCT(MAX(ROW(E$1:E5824)*(E5825=E$1:E5824)))))</f>
        <v> </v>
      </c>
      <c r="L5825" s="27"/>
    </row>
    <row r="5826" spans="1:12">
      <c r="A5826" s="20" t="s">
        <v>3031</v>
      </c>
      <c r="E5826" s="22">
        <f>IF(D5826="?OLD","!!!","")</f>
        <v/>
      </c>
      <c r="F5826" s="23" t="str">
        <f>IF(OR(E5826="",E5826="!!!"),"",IF(NOT(ISNA(VLOOKUP(E5826,E$1:E5825,1,FALSE()))),"OLD",IF(AND(E5826&lt;&gt;"",E5826&lt;&gt;"!!!"),"NEW","")))</f>
        <v> </v>
      </c>
      <c r="G5826" s="24" t="str">
        <f>IF(OR(E5826="",E5826="!!!"),"",IF(OR(J5826=0,AND(J5826=1,K5826=1),AND(J5826=1,I5826="SBJ"),AND(J5826=1,I5826=0)),"?IN_FOCUS",IF(J5826&lt;=2,"?ACTIVATED",IF(J5826&lt;&gt;"","?FAMILIAR",IF(F5826="NEW",IF(ISNA(VLOOKUP(E5826,#REF!,1,FALSE())),"?TYPE_IDENTIFIABLE","?REFERENTIAL"),"_")))))</f>
        <v> </v>
      </c>
      <c r="H5826" s="25" t="str">
        <f>IF(J5826&lt;&gt;1,"",IF(I5826="SBJ","CB","?"))</f>
        <v> </v>
      </c>
      <c r="I5826" s="26" t="str">
        <f>IF(OR(E5826="",E5826="!!!",F5826="NEW"),"",INDEX(B5825:B$2,-1+SUMPRODUCT(MAX(ROW(E5825:E$2)*(E5826=E5825:E$2)))))</f>
        <v> </v>
      </c>
      <c r="J5826" s="26" t="str">
        <f>IF(OR(E5826="",E5826="!!!",F5826="NEW"),"",COUNTBLANK(OFFSET(A$1,,,SUMPRODUCT(MAX(ROW(E$2:E5826)*(E5826=E$2:E5826)))))-COUNTBLANK(OFFSET(A$1,,,SUMPRODUCT(MAX(ROW(E$1:E5825)*(E2=E$1:E5825))))))</f>
        <v> </v>
      </c>
      <c r="K5826" s="26" t="str">
        <f>IF(OR(E5826="",E5826="!!!",F5826="NEW"),"",INDEX(J$1:J5825,SUMPRODUCT(MAX(ROW(E$1:E5825)*(E5826=E$1:E5825)))))</f>
        <v> </v>
      </c>
      <c r="L5826" s="27"/>
    </row>
    <row r="5827" spans="1:12">
      <c r="A5827" s="20" t="s">
        <v>1245</v>
      </c>
      <c r="E5827" s="22">
        <f>IF(D5827="?OLD","!!!","")</f>
        <v/>
      </c>
      <c r="F5827" s="23" t="str">
        <f>IF(OR(E5827="",E5827="!!!"),"",IF(NOT(ISNA(VLOOKUP(E5827,E$1:E5826,1,FALSE()))),"OLD",IF(AND(E5827&lt;&gt;"",E5827&lt;&gt;"!!!"),"NEW","")))</f>
        <v> </v>
      </c>
      <c r="G5827" s="24" t="str">
        <f>IF(OR(E5827="",E5827="!!!"),"",IF(OR(J5827=0,AND(J5827=1,K5827=1),AND(J5827=1,I5827="SBJ"),AND(J5827=1,I5827=0)),"?IN_FOCUS",IF(J5827&lt;=2,"?ACTIVATED",IF(J5827&lt;&gt;"","?FAMILIAR",IF(F5827="NEW",IF(ISNA(VLOOKUP(E5827,#REF!,1,FALSE())),"?TYPE_IDENTIFIABLE","?REFERENTIAL"),"_")))))</f>
        <v> </v>
      </c>
      <c r="H5827" s="25" t="str">
        <f>IF(J5827&lt;&gt;1,"",IF(I5827="SBJ","CB","?"))</f>
        <v> </v>
      </c>
      <c r="I5827" s="26" t="str">
        <f>IF(OR(E5827="",E5827="!!!",F5827="NEW"),"",INDEX(B5826:B$2,-1+SUMPRODUCT(MAX(ROW(E5826:E$2)*(E5827=E5826:E$2)))))</f>
        <v> </v>
      </c>
      <c r="J5827" s="26" t="str">
        <f>IF(OR(E5827="",E5827="!!!",F5827="NEW"),"",COUNTBLANK(OFFSET(A$1,,,SUMPRODUCT(MAX(ROW(E$2:E5827)*(E5827=E$2:E5827)))))-COUNTBLANK(OFFSET(A$1,,,SUMPRODUCT(MAX(ROW(E$1:E5826)*(E2=E$1:E5826))))))</f>
        <v> </v>
      </c>
      <c r="K5827" s="26" t="str">
        <f>IF(OR(E5827="",E5827="!!!",F5827="NEW"),"",INDEX(J$1:J5826,SUMPRODUCT(MAX(ROW(E$1:E5826)*(E5827=E$1:E5826)))))</f>
        <v> </v>
      </c>
      <c r="L5827" s="27"/>
    </row>
    <row r="5828" spans="1:12">
      <c r="A5828" s="20" t="s">
        <v>2214</v>
      </c>
      <c r="B5828" s="21" t="s">
        <v>2756</v>
      </c>
      <c r="C5828" s="21" t="s">
        <v>1216</v>
      </c>
      <c r="D5828" s="21" t="s">
        <v>1217</v>
      </c>
      <c r="E5828" s="22">
        <f>IF(D5828="?OLD","!!!","")</f>
        <v/>
      </c>
      <c r="F5828" s="23" t="str">
        <f>IF(OR(E5828="",E5828="!!!"),"",IF(NOT(ISNA(VLOOKUP(E5828,E$1:E5827,1,FALSE()))),"OLD",IF(AND(E5828&lt;&gt;"",E5828&lt;&gt;"!!!"),"NEW","")))</f>
        <v> </v>
      </c>
      <c r="G5828" s="24" t="str">
        <f>IF(OR(E5828="",E5828="!!!"),"",IF(OR(J5828=0,AND(J5828=1,K5828=1),AND(J5828=1,I5828="SBJ"),AND(J5828=1,I5828=0)),"?IN_FOCUS",IF(J5828&lt;=2,"?ACTIVATED",IF(J5828&lt;&gt;"","?FAMILIAR",IF(F5828="NEW",IF(ISNA(VLOOKUP(E5828,#REF!,1,FALSE())),"?TYPE_IDENTIFIABLE","?REFERENTIAL"),"_")))))</f>
        <v> </v>
      </c>
      <c r="H5828" s="25" t="str">
        <f>IF(J5828&lt;&gt;1,"",IF(I5828="SBJ","CB","?"))</f>
        <v> </v>
      </c>
      <c r="I5828" s="26" t="str">
        <f>IF(OR(E5828="",E5828="!!!",F5828="NEW"),"",INDEX(B5827:B$2,-1+SUMPRODUCT(MAX(ROW(E5827:E$2)*(E5828=E5827:E$2)))))</f>
        <v> </v>
      </c>
      <c r="J5828" s="26" t="str">
        <f>IF(OR(E5828="",E5828="!!!",F5828="NEW"),"",COUNTBLANK(OFFSET(A$1,,,SUMPRODUCT(MAX(ROW(E$2:E5828)*(E5828=E$2:E5828)))))-COUNTBLANK(OFFSET(A$1,,,SUMPRODUCT(MAX(ROW(E$1:E5827)*(E2=E$1:E5827))))))</f>
        <v> </v>
      </c>
      <c r="K5828" s="26" t="str">
        <f>IF(OR(E5828="",E5828="!!!",F5828="NEW"),"",INDEX(J$1:J5827,SUMPRODUCT(MAX(ROW(E$1:E5827)*(E5828=E$1:E5827)))))</f>
        <v> </v>
      </c>
      <c r="L5828" s="27"/>
    </row>
    <row r="5829" spans="1:12">
      <c r="A5829" s="20" t="s">
        <v>16</v>
      </c>
      <c r="E5829" s="22">
        <f>IF(D5829="?OLD","!!!","")</f>
        <v/>
      </c>
      <c r="F5829" s="23" t="str">
        <f>IF(OR(E5829="",E5829="!!!"),"",IF(NOT(ISNA(VLOOKUP(E5829,E$1:E5828,1,FALSE()))),"OLD",IF(AND(E5829&lt;&gt;"",E5829&lt;&gt;"!!!"),"NEW","")))</f>
        <v> </v>
      </c>
      <c r="G5829" s="24" t="str">
        <f>IF(OR(E5829="",E5829="!!!"),"",IF(OR(J5829=0,AND(J5829=1,K5829=1),AND(J5829=1,I5829="SBJ"),AND(J5829=1,I5829=0)),"?IN_FOCUS",IF(J5829&lt;=2,"?ACTIVATED",IF(J5829&lt;&gt;"","?FAMILIAR",IF(F5829="NEW",IF(ISNA(VLOOKUP(E5829,#REF!,1,FALSE())),"?TYPE_IDENTIFIABLE","?REFERENTIAL"),"_")))))</f>
        <v> </v>
      </c>
      <c r="H5829" s="25" t="str">
        <f>IF(J5829&lt;&gt;1,"",IF(I5829="SBJ","CB","?"))</f>
        <v> </v>
      </c>
      <c r="I5829" s="26" t="str">
        <f>IF(OR(E5829="",E5829="!!!",F5829="NEW"),"",INDEX(B5828:B$2,-1+SUMPRODUCT(MAX(ROW(E5828:E$2)*(E5829=E5828:E$2)))))</f>
        <v> </v>
      </c>
      <c r="J5829" s="26" t="str">
        <f>IF(OR(E5829="",E5829="!!!",F5829="NEW"),"",COUNTBLANK(OFFSET(A$1,,,SUMPRODUCT(MAX(ROW(E$2:E5829)*(E5829=E$2:E5829)))))-COUNTBLANK(OFFSET(A$1,,,SUMPRODUCT(MAX(ROW(E$1:E5828)*(E2=E$1:E5828))))))</f>
        <v> </v>
      </c>
      <c r="K5829" s="26" t="str">
        <f>IF(OR(E5829="",E5829="!!!",F5829="NEW"),"",INDEX(J$1:J5828,SUMPRODUCT(MAX(ROW(E$1:E5828)*(E5829=E$1:E5828)))))</f>
        <v> </v>
      </c>
      <c r="L5829" s="27"/>
    </row>
    <row r="5830" spans="1:12">
      <c r="A5830" s="20" t="s">
        <v>16</v>
      </c>
      <c r="E5830" s="22">
        <f>IF(D5830="?OLD","!!!","")</f>
        <v/>
      </c>
      <c r="F5830" s="23" t="str">
        <f>IF(OR(E5830="",E5830="!!!"),"",IF(NOT(ISNA(VLOOKUP(E5830,E$1:E5829,1,FALSE()))),"OLD",IF(AND(E5830&lt;&gt;"",E5830&lt;&gt;"!!!"),"NEW","")))</f>
        <v> </v>
      </c>
      <c r="G5830" s="24" t="str">
        <f>IF(OR(E5830="",E5830="!!!"),"",IF(OR(J5830=0,AND(J5830=1,K5830=1),AND(J5830=1,I5830="SBJ"),AND(J5830=1,I5830=0)),"?IN_FOCUS",IF(J5830&lt;=2,"?ACTIVATED",IF(J5830&lt;&gt;"","?FAMILIAR",IF(F5830="NEW",IF(ISNA(VLOOKUP(E5830,#REF!,1,FALSE())),"?TYPE_IDENTIFIABLE","?REFERENTIAL"),"_")))))</f>
        <v> </v>
      </c>
      <c r="H5830" s="25" t="str">
        <f>IF(J5830&lt;&gt;1,"",IF(I5830="SBJ","CB","?"))</f>
        <v> </v>
      </c>
      <c r="I5830" s="26" t="str">
        <f>IF(OR(E5830="",E5830="!!!",F5830="NEW"),"",INDEX(B5829:B$2,-1+SUMPRODUCT(MAX(ROW(E5829:E$2)*(E5830=E5829:E$2)))))</f>
        <v> </v>
      </c>
      <c r="J5830" s="26" t="str">
        <f>IF(OR(E5830="",E5830="!!!",F5830="NEW"),"",COUNTBLANK(OFFSET(A$1,,,SUMPRODUCT(MAX(ROW(E$2:E5830)*(E5830=E$2:E5830)))))-COUNTBLANK(OFFSET(A$1,,,SUMPRODUCT(MAX(ROW(E$1:E5829)*(E2=E$1:E5829))))))</f>
        <v> </v>
      </c>
      <c r="K5830" s="26" t="str">
        <f>IF(OR(E5830="",E5830="!!!",F5830="NEW"),"",INDEX(J$1:J5829,SUMPRODUCT(MAX(ROW(E$1:E5829)*(E5830=E$1:E5829)))))</f>
        <v> </v>
      </c>
      <c r="L5830" s="27"/>
    </row>
    <row r="5831" spans="1:12">
      <c r="A5831" s="20" t="s">
        <v>16</v>
      </c>
      <c r="E5831" s="22">
        <f>IF(D5831="?OLD","!!!","")</f>
        <v/>
      </c>
      <c r="F5831" s="23" t="str">
        <f>IF(OR(E5831="",E5831="!!!"),"",IF(NOT(ISNA(VLOOKUP(E5831,E$1:E5830,1,FALSE()))),"OLD",IF(AND(E5831&lt;&gt;"",E5831&lt;&gt;"!!!"),"NEW","")))</f>
        <v> </v>
      </c>
      <c r="G5831" s="24" t="str">
        <f>IF(OR(E5831="",E5831="!!!"),"",IF(OR(J5831=0,AND(J5831=1,K5831=1),AND(J5831=1,I5831="SBJ"),AND(J5831=1,I5831=0)),"?IN_FOCUS",IF(J5831&lt;=2,"?ACTIVATED",IF(J5831&lt;&gt;"","?FAMILIAR",IF(F5831="NEW",IF(ISNA(VLOOKUP(E5831,#REF!,1,FALSE())),"?TYPE_IDENTIFIABLE","?REFERENTIAL"),"_")))))</f>
        <v> </v>
      </c>
      <c r="H5831" s="25" t="str">
        <f>IF(J5831&lt;&gt;1,"",IF(I5831="SBJ","CB","?"))</f>
        <v> </v>
      </c>
      <c r="I5831" s="26" t="str">
        <f>IF(OR(E5831="",E5831="!!!",F5831="NEW"),"",INDEX(B5830:B$2,-1+SUMPRODUCT(MAX(ROW(E5830:E$2)*(E5831=E5830:E$2)))))</f>
        <v> </v>
      </c>
      <c r="J5831" s="26" t="str">
        <f>IF(OR(E5831="",E5831="!!!",F5831="NEW"),"",COUNTBLANK(OFFSET(A$1,,,SUMPRODUCT(MAX(ROW(E$2:E5831)*(E5831=E$2:E5831)))))-COUNTBLANK(OFFSET(A$1,,,SUMPRODUCT(MAX(ROW(E$1:E5830)*(E2=E$1:E5830))))))</f>
        <v> </v>
      </c>
      <c r="K5831" s="26" t="str">
        <f>IF(OR(E5831="",E5831="!!!",F5831="NEW"),"",INDEX(J$1:J5830,SUMPRODUCT(MAX(ROW(E$1:E5830)*(E5831=E$1:E5830)))))</f>
        <v> </v>
      </c>
      <c r="L5831" s="27"/>
    </row>
    <row r="5832" spans="1:12">
      <c r="A5832" s="20" t="s">
        <v>3032</v>
      </c>
      <c r="E5832" s="22">
        <f>IF(D5832="?OLD","!!!","")</f>
        <v/>
      </c>
      <c r="F5832" s="23" t="str">
        <f>IF(OR(E5832="",E5832="!!!"),"",IF(NOT(ISNA(VLOOKUP(E5832,E$1:E5831,1,FALSE()))),"OLD",IF(AND(E5832&lt;&gt;"",E5832&lt;&gt;"!!!"),"NEW","")))</f>
        <v> </v>
      </c>
      <c r="G5832" s="24" t="str">
        <f>IF(OR(E5832="",E5832="!!!"),"",IF(OR(J5832=0,AND(J5832=1,K5832=1),AND(J5832=1,I5832="SBJ"),AND(J5832=1,I5832=0)),"?IN_FOCUS",IF(J5832&lt;=2,"?ACTIVATED",IF(J5832&lt;&gt;"","?FAMILIAR",IF(F5832="NEW",IF(ISNA(VLOOKUP(E5832,#REF!,1,FALSE())),"?TYPE_IDENTIFIABLE","?REFERENTIAL"),"_")))))</f>
        <v> </v>
      </c>
      <c r="H5832" s="25" t="str">
        <f>IF(J5832&lt;&gt;1,"",IF(I5832="SBJ","CB","?"))</f>
        <v> </v>
      </c>
      <c r="I5832" s="26" t="str">
        <f>IF(OR(E5832="",E5832="!!!",F5832="NEW"),"",INDEX(B5831:B$2,-1+SUMPRODUCT(MAX(ROW(E5831:E$2)*(E5832=E5831:E$2)))))</f>
        <v> </v>
      </c>
      <c r="J5832" s="26" t="str">
        <f>IF(OR(E5832="",E5832="!!!",F5832="NEW"),"",COUNTBLANK(OFFSET(A$1,,,SUMPRODUCT(MAX(ROW(E$2:E5832)*(E5832=E$2:E5832)))))-COUNTBLANK(OFFSET(A$1,,,SUMPRODUCT(MAX(ROW(E$1:E5831)*(E2=E$1:E5831))))))</f>
        <v> </v>
      </c>
      <c r="K5832" s="26" t="str">
        <f>IF(OR(E5832="",E5832="!!!",F5832="NEW"),"",INDEX(J$1:J5831,SUMPRODUCT(MAX(ROW(E$1:E5831)*(E5832=E$1:E5831)))))</f>
        <v> </v>
      </c>
      <c r="L5832" s="27"/>
    </row>
    <row r="5833" spans="1:12">
      <c r="A5833" s="20" t="s">
        <v>3033</v>
      </c>
      <c r="E5833" s="22">
        <f>IF(D5833="?OLD","!!!","")</f>
        <v/>
      </c>
      <c r="F5833" s="23" t="str">
        <f>IF(OR(E5833="",E5833="!!!"),"",IF(NOT(ISNA(VLOOKUP(E5833,E$1:E5832,1,FALSE()))),"OLD",IF(AND(E5833&lt;&gt;"",E5833&lt;&gt;"!!!"),"NEW","")))</f>
        <v> </v>
      </c>
      <c r="G5833" s="24" t="str">
        <f>IF(OR(E5833="",E5833="!!!"),"",IF(OR(J5833=0,AND(J5833=1,K5833=1),AND(J5833=1,I5833="SBJ"),AND(J5833=1,I5833=0)),"?IN_FOCUS",IF(J5833&lt;=2,"?ACTIVATED",IF(J5833&lt;&gt;"","?FAMILIAR",IF(F5833="NEW",IF(ISNA(VLOOKUP(E5833,#REF!,1,FALSE())),"?TYPE_IDENTIFIABLE","?REFERENTIAL"),"_")))))</f>
        <v> </v>
      </c>
      <c r="H5833" s="25" t="str">
        <f>IF(J5833&lt;&gt;1,"",IF(I5833="SBJ","CB","?"))</f>
        <v> </v>
      </c>
      <c r="I5833" s="26" t="str">
        <f>IF(OR(E5833="",E5833="!!!",F5833="NEW"),"",INDEX(B5832:B$2,-1+SUMPRODUCT(MAX(ROW(E5832:E$2)*(E5833=E5832:E$2)))))</f>
        <v> </v>
      </c>
      <c r="J5833" s="26" t="str">
        <f>IF(OR(E5833="",E5833="!!!",F5833="NEW"),"",COUNTBLANK(OFFSET(A$1,,,SUMPRODUCT(MAX(ROW(E$2:E5833)*(E5833=E$2:E5833)))))-COUNTBLANK(OFFSET(A$1,,,SUMPRODUCT(MAX(ROW(E$1:E5832)*(E2=E$1:E5832))))))</f>
        <v> </v>
      </c>
      <c r="K5833" s="26" t="str">
        <f>IF(OR(E5833="",E5833="!!!",F5833="NEW"),"",INDEX(J$1:J5832,SUMPRODUCT(MAX(ROW(E$1:E5832)*(E5833=E$1:E5832)))))</f>
        <v> </v>
      </c>
      <c r="L5833" s="27"/>
    </row>
    <row r="5834" spans="1:12">
      <c r="A5834" s="20" t="s">
        <v>1228</v>
      </c>
      <c r="E5834" s="22">
        <f>IF(D5834="?OLD","!!!","")</f>
        <v/>
      </c>
      <c r="F5834" s="23" t="str">
        <f>IF(OR(E5834="",E5834="!!!"),"",IF(NOT(ISNA(VLOOKUP(E5834,E$1:E5833,1,FALSE()))),"OLD",IF(AND(E5834&lt;&gt;"",E5834&lt;&gt;"!!!"),"NEW","")))</f>
        <v> </v>
      </c>
      <c r="G5834" s="24" t="str">
        <f>IF(OR(E5834="",E5834="!!!"),"",IF(OR(J5834=0,AND(J5834=1,K5834=1),AND(J5834=1,I5834="SBJ"),AND(J5834=1,I5834=0)),"?IN_FOCUS",IF(J5834&lt;=2,"?ACTIVATED",IF(J5834&lt;&gt;"","?FAMILIAR",IF(F5834="NEW",IF(ISNA(VLOOKUP(E5834,#REF!,1,FALSE())),"?TYPE_IDENTIFIABLE","?REFERENTIAL"),"_")))))</f>
        <v> </v>
      </c>
      <c r="H5834" s="25" t="str">
        <f>IF(J5834&lt;&gt;1,"",IF(I5834="SBJ","CB","?"))</f>
        <v> </v>
      </c>
      <c r="I5834" s="26" t="str">
        <f>IF(OR(E5834="",E5834="!!!",F5834="NEW"),"",INDEX(B5833:B$2,-1+SUMPRODUCT(MAX(ROW(E5833:E$2)*(E5834=E5833:E$2)))))</f>
        <v> </v>
      </c>
      <c r="J5834" s="26" t="str">
        <f>IF(OR(E5834="",E5834="!!!",F5834="NEW"),"",COUNTBLANK(OFFSET(A$1,,,SUMPRODUCT(MAX(ROW(E$2:E5834)*(E5834=E$2:E5834)))))-COUNTBLANK(OFFSET(A$1,,,SUMPRODUCT(MAX(ROW(E$1:E5833)*(E2=E$1:E5833))))))</f>
        <v> </v>
      </c>
      <c r="K5834" s="26" t="str">
        <f>IF(OR(E5834="",E5834="!!!",F5834="NEW"),"",INDEX(J$1:J5833,SUMPRODUCT(MAX(ROW(E$1:E5833)*(E5834=E$1:E5833)))))</f>
        <v> </v>
      </c>
      <c r="L5834" s="27"/>
    </row>
    <row r="5835" spans="1:12">
      <c r="A5835" s="20" t="s">
        <v>3034</v>
      </c>
      <c r="B5835" s="21" t="s">
        <v>1254</v>
      </c>
      <c r="C5835" s="21" t="s">
        <v>1269</v>
      </c>
      <c r="D5835" s="21" t="s">
        <v>1217</v>
      </c>
      <c r="E5835" s="22">
        <f>IF(D5835="?OLD","!!!","")</f>
        <v/>
      </c>
      <c r="F5835" s="23" t="str">
        <f>IF(OR(E5835="",E5835="!!!"),"",IF(NOT(ISNA(VLOOKUP(E5835,E$1:E5834,1,FALSE()))),"OLD",IF(AND(E5835&lt;&gt;"",E5835&lt;&gt;"!!!"),"NEW","")))</f>
        <v> </v>
      </c>
      <c r="G5835" s="24" t="str">
        <f>IF(OR(E5835="",E5835="!!!"),"",IF(OR(J5835=0,AND(J5835=1,K5835=1),AND(J5835=1,I5835="SBJ"),AND(J5835=1,I5835=0)),"?IN_FOCUS",IF(J5835&lt;=2,"?ACTIVATED",IF(J5835&lt;&gt;"","?FAMILIAR",IF(F5835="NEW",IF(ISNA(VLOOKUP(E5835,#REF!,1,FALSE())),"?TYPE_IDENTIFIABLE","?REFERENTIAL"),"_")))))</f>
        <v> </v>
      </c>
      <c r="H5835" s="25" t="str">
        <f>IF(J5835&lt;&gt;1,"",IF(I5835="SBJ","CB","?"))</f>
        <v> </v>
      </c>
      <c r="I5835" s="26" t="str">
        <f>IF(OR(E5835="",E5835="!!!",F5835="NEW"),"",INDEX(B5834:B$2,-1+SUMPRODUCT(MAX(ROW(E5834:E$2)*(E5835=E5834:E$2)))))</f>
        <v> </v>
      </c>
      <c r="J5835" s="26" t="str">
        <f>IF(OR(E5835="",E5835="!!!",F5835="NEW"),"",COUNTBLANK(OFFSET(A$1,,,SUMPRODUCT(MAX(ROW(E$2:E5835)*(E5835=E$2:E5835)))))-COUNTBLANK(OFFSET(A$1,,,SUMPRODUCT(MAX(ROW(E$1:E5834)*(E2=E$1:E5834))))))</f>
        <v> </v>
      </c>
      <c r="K5835" s="26" t="str">
        <f>IF(OR(E5835="",E5835="!!!",F5835="NEW"),"",INDEX(J$1:J5834,SUMPRODUCT(MAX(ROW(E$1:E5834)*(E5835=E$1:E5834)))))</f>
        <v> </v>
      </c>
      <c r="L5835" s="27"/>
    </row>
    <row r="5836" spans="1:12">
      <c r="A5836" s="20" t="s">
        <v>1218</v>
      </c>
      <c r="E5836" s="22">
        <f>IF(D5836="?OLD","!!!","")</f>
        <v/>
      </c>
      <c r="F5836" s="23" t="str">
        <f>IF(OR(E5836="",E5836="!!!"),"",IF(NOT(ISNA(VLOOKUP(E5836,E$1:E5835,1,FALSE()))),"OLD",IF(AND(E5836&lt;&gt;"",E5836&lt;&gt;"!!!"),"NEW","")))</f>
        <v> </v>
      </c>
      <c r="G5836" s="24" t="str">
        <f>IF(OR(E5836="",E5836="!!!"),"",IF(OR(J5836=0,AND(J5836=1,K5836=1),AND(J5836=1,I5836="SBJ"),AND(J5836=1,I5836=0)),"?IN_FOCUS",IF(J5836&lt;=2,"?ACTIVATED",IF(J5836&lt;&gt;"","?FAMILIAR",IF(F5836="NEW",IF(ISNA(VLOOKUP(E5836,#REF!,1,FALSE())),"?TYPE_IDENTIFIABLE","?REFERENTIAL"),"_")))))</f>
        <v> </v>
      </c>
      <c r="H5836" s="25" t="str">
        <f>IF(J5836&lt;&gt;1,"",IF(I5836="SBJ","CB","?"))</f>
        <v> </v>
      </c>
      <c r="I5836" s="26" t="str">
        <f>IF(OR(E5836="",E5836="!!!",F5836="NEW"),"",INDEX(B5835:B$2,-1+SUMPRODUCT(MAX(ROW(E5835:E$2)*(E5836=E5835:E$2)))))</f>
        <v> </v>
      </c>
      <c r="J5836" s="26" t="str">
        <f>IF(OR(E5836="",E5836="!!!",F5836="NEW"),"",COUNTBLANK(OFFSET(A$1,,,SUMPRODUCT(MAX(ROW(E$2:E5836)*(E5836=E$2:E5836)))))-COUNTBLANK(OFFSET(A$1,,,SUMPRODUCT(MAX(ROW(E$1:E5835)*(E2=E$1:E5835))))))</f>
        <v> </v>
      </c>
      <c r="K5836" s="26" t="str">
        <f>IF(OR(E5836="",E5836="!!!",F5836="NEW"),"",INDEX(J$1:J5835,SUMPRODUCT(MAX(ROW(E$1:E5835)*(E5836=E$1:E5835)))))</f>
        <v> </v>
      </c>
      <c r="L5836" s="27"/>
    </row>
    <row r="5837" spans="1:12">
      <c r="A5837" s="20" t="s">
        <v>1228</v>
      </c>
      <c r="B5837" s="21" t="s">
        <v>1894</v>
      </c>
      <c r="C5837" s="21" t="s">
        <v>1255</v>
      </c>
      <c r="D5837" s="21" t="s">
        <v>1217</v>
      </c>
      <c r="E5837" s="22">
        <f>IF(D5837="?OLD","!!!","")</f>
        <v/>
      </c>
      <c r="F5837" s="23" t="str">
        <f>IF(OR(E5837="",E5837="!!!"),"",IF(NOT(ISNA(VLOOKUP(E5837,E$1:E5836,1,FALSE()))),"OLD",IF(AND(E5837&lt;&gt;"",E5837&lt;&gt;"!!!"),"NEW","")))</f>
        <v> </v>
      </c>
      <c r="G5837" s="24" t="str">
        <f>IF(OR(E5837="",E5837="!!!"),"",IF(OR(J5837=0,AND(J5837=1,K5837=1),AND(J5837=1,I5837="SBJ"),AND(J5837=1,I5837=0)),"?IN_FOCUS",IF(J5837&lt;=2,"?ACTIVATED",IF(J5837&lt;&gt;"","?FAMILIAR",IF(F5837="NEW",IF(ISNA(VLOOKUP(E5837,#REF!,1,FALSE())),"?TYPE_IDENTIFIABLE","?REFERENTIAL"),"_")))))</f>
        <v> </v>
      </c>
      <c r="H5837" s="25" t="str">
        <f>IF(J5837&lt;&gt;1,"",IF(I5837="SBJ","CB","?"))</f>
        <v> </v>
      </c>
      <c r="I5837" s="26" t="str">
        <f>IF(OR(E5837="",E5837="!!!",F5837="NEW"),"",INDEX(B5836:B$2,-1+SUMPRODUCT(MAX(ROW(E5836:E$2)*(E5837=E5836:E$2)))))</f>
        <v> </v>
      </c>
      <c r="J5837" s="26" t="str">
        <f>IF(OR(E5837="",E5837="!!!",F5837="NEW"),"",COUNTBLANK(OFFSET(A$1,,,SUMPRODUCT(MAX(ROW(E$2:E5837)*(E5837=E$2:E5837)))))-COUNTBLANK(OFFSET(A$1,,,SUMPRODUCT(MAX(ROW(E$1:E5836)*(E2=E$1:E5836))))))</f>
        <v> </v>
      </c>
      <c r="K5837" s="26" t="str">
        <f>IF(OR(E5837="",E5837="!!!",F5837="NEW"),"",INDEX(J$1:J5836,SUMPRODUCT(MAX(ROW(E$1:E5836)*(E5837=E$1:E5836)))))</f>
        <v> </v>
      </c>
      <c r="L5837" s="27"/>
    </row>
    <row r="5838" spans="1:12">
      <c r="A5838" s="20" t="s">
        <v>3035</v>
      </c>
      <c r="E5838" s="22">
        <f>IF(D5838="?OLD","!!!","")</f>
        <v/>
      </c>
      <c r="F5838" s="23" t="str">
        <f>IF(OR(E5838="",E5838="!!!"),"",IF(NOT(ISNA(VLOOKUP(E5838,E$1:E5837,1,FALSE()))),"OLD",IF(AND(E5838&lt;&gt;"",E5838&lt;&gt;"!!!"),"NEW","")))</f>
        <v> </v>
      </c>
      <c r="G5838" s="24" t="str">
        <f>IF(OR(E5838="",E5838="!!!"),"",IF(OR(J5838=0,AND(J5838=1,K5838=1),AND(J5838=1,I5838="SBJ"),AND(J5838=1,I5838=0)),"?IN_FOCUS",IF(J5838&lt;=2,"?ACTIVATED",IF(J5838&lt;&gt;"","?FAMILIAR",IF(F5838="NEW",IF(ISNA(VLOOKUP(E5838,#REF!,1,FALSE())),"?TYPE_IDENTIFIABLE","?REFERENTIAL"),"_")))))</f>
        <v> </v>
      </c>
      <c r="H5838" s="25" t="str">
        <f>IF(J5838&lt;&gt;1,"",IF(I5838="SBJ","CB","?"))</f>
        <v> </v>
      </c>
      <c r="I5838" s="26" t="str">
        <f>IF(OR(E5838="",E5838="!!!",F5838="NEW"),"",INDEX(B5837:B$2,-1+SUMPRODUCT(MAX(ROW(E5837:E$2)*(E5838=E5837:E$2)))))</f>
        <v> </v>
      </c>
      <c r="J5838" s="26" t="str">
        <f>IF(OR(E5838="",E5838="!!!",F5838="NEW"),"",COUNTBLANK(OFFSET(A$1,,,SUMPRODUCT(MAX(ROW(E$2:E5838)*(E5838=E$2:E5838)))))-COUNTBLANK(OFFSET(A$1,,,SUMPRODUCT(MAX(ROW(E$1:E5837)*(E2=E$1:E5837))))))</f>
        <v> </v>
      </c>
      <c r="K5838" s="26" t="str">
        <f>IF(OR(E5838="",E5838="!!!",F5838="NEW"),"",INDEX(J$1:J5837,SUMPRODUCT(MAX(ROW(E$1:E5837)*(E5838=E$1:E5837)))))</f>
        <v> </v>
      </c>
      <c r="L5838" s="27"/>
    </row>
    <row r="5839" spans="1:12">
      <c r="A5839" s="20" t="s">
        <v>1218</v>
      </c>
      <c r="E5839" s="22">
        <f>IF(D5839="?OLD","!!!","")</f>
        <v/>
      </c>
      <c r="F5839" s="23" t="str">
        <f>IF(OR(E5839="",E5839="!!!"),"",IF(NOT(ISNA(VLOOKUP(E5839,E$1:E5838,1,FALSE()))),"OLD",IF(AND(E5839&lt;&gt;"",E5839&lt;&gt;"!!!"),"NEW","")))</f>
        <v> </v>
      </c>
      <c r="G5839" s="24" t="str">
        <f>IF(OR(E5839="",E5839="!!!"),"",IF(OR(J5839=0,AND(J5839=1,K5839=1),AND(J5839=1,I5839="SBJ"),AND(J5839=1,I5839=0)),"?IN_FOCUS",IF(J5839&lt;=2,"?ACTIVATED",IF(J5839&lt;&gt;"","?FAMILIAR",IF(F5839="NEW",IF(ISNA(VLOOKUP(E5839,#REF!,1,FALSE())),"?TYPE_IDENTIFIABLE","?REFERENTIAL"),"_")))))</f>
        <v> </v>
      </c>
      <c r="H5839" s="25" t="str">
        <f>IF(J5839&lt;&gt;1,"",IF(I5839="SBJ","CB","?"))</f>
        <v> </v>
      </c>
      <c r="I5839" s="26" t="str">
        <f>IF(OR(E5839="",E5839="!!!",F5839="NEW"),"",INDEX(B5838:B$2,-1+SUMPRODUCT(MAX(ROW(E5838:E$2)*(E5839=E5838:E$2)))))</f>
        <v> </v>
      </c>
      <c r="J5839" s="26" t="str">
        <f>IF(OR(E5839="",E5839="!!!",F5839="NEW"),"",COUNTBLANK(OFFSET(A$1,,,SUMPRODUCT(MAX(ROW(E$2:E5839)*(E5839=E$2:E5839)))))-COUNTBLANK(OFFSET(A$1,,,SUMPRODUCT(MAX(ROW(E$1:E5838)*(E2=E$1:E5838))))))</f>
        <v> </v>
      </c>
      <c r="K5839" s="26" t="str">
        <f>IF(OR(E5839="",E5839="!!!",F5839="NEW"),"",INDEX(J$1:J5838,SUMPRODUCT(MAX(ROW(E$1:E5838)*(E5839=E$1:E5838)))))</f>
        <v> </v>
      </c>
      <c r="L5839" s="27"/>
    </row>
    <row r="5840" spans="1:12">
      <c r="A5840" s="20" t="s">
        <v>1983</v>
      </c>
      <c r="E5840" s="22">
        <f>IF(D5840="?OLD","!!!","")</f>
        <v/>
      </c>
      <c r="F5840" s="23" t="str">
        <f>IF(OR(E5840="",E5840="!!!"),"",IF(NOT(ISNA(VLOOKUP(E5840,E$1:E5839,1,FALSE()))),"OLD",IF(AND(E5840&lt;&gt;"",E5840&lt;&gt;"!!!"),"NEW","")))</f>
        <v> </v>
      </c>
      <c r="G5840" s="24" t="str">
        <f>IF(OR(E5840="",E5840="!!!"),"",IF(OR(J5840=0,AND(J5840=1,K5840=1),AND(J5840=1,I5840="SBJ"),AND(J5840=1,I5840=0)),"?IN_FOCUS",IF(J5840&lt;=2,"?ACTIVATED",IF(J5840&lt;&gt;"","?FAMILIAR",IF(F5840="NEW",IF(ISNA(VLOOKUP(E5840,#REF!,1,FALSE())),"?TYPE_IDENTIFIABLE","?REFERENTIAL"),"_")))))</f>
        <v> </v>
      </c>
      <c r="H5840" s="25" t="str">
        <f>IF(J5840&lt;&gt;1,"",IF(I5840="SBJ","CB","?"))</f>
        <v> </v>
      </c>
      <c r="I5840" s="26" t="str">
        <f>IF(OR(E5840="",E5840="!!!",F5840="NEW"),"",INDEX(B5839:B$2,-1+SUMPRODUCT(MAX(ROW(E5839:E$2)*(E5840=E5839:E$2)))))</f>
        <v> </v>
      </c>
      <c r="J5840" s="26" t="str">
        <f>IF(OR(E5840="",E5840="!!!",F5840="NEW"),"",COUNTBLANK(OFFSET(A$1,,,SUMPRODUCT(MAX(ROW(E$2:E5840)*(E5840=E$2:E5840)))))-COUNTBLANK(OFFSET(A$1,,,SUMPRODUCT(MAX(ROW(E$1:E5839)*(E2=E$1:E5839))))))</f>
        <v> </v>
      </c>
      <c r="K5840" s="26" t="str">
        <f>IF(OR(E5840="",E5840="!!!",F5840="NEW"),"",INDEX(J$1:J5839,SUMPRODUCT(MAX(ROW(E$1:E5839)*(E5840=E$1:E5839)))))</f>
        <v> </v>
      </c>
      <c r="L5840" s="27"/>
    </row>
    <row r="5841" spans="1:12">
      <c r="A5841" s="20" t="s">
        <v>2033</v>
      </c>
      <c r="E5841" s="22">
        <f>IF(D5841="?OLD","!!!","")</f>
        <v/>
      </c>
      <c r="F5841" s="23" t="str">
        <f>IF(OR(E5841="",E5841="!!!"),"",IF(NOT(ISNA(VLOOKUP(E5841,E$1:E5840,1,FALSE()))),"OLD",IF(AND(E5841&lt;&gt;"",E5841&lt;&gt;"!!!"),"NEW","")))</f>
        <v> </v>
      </c>
      <c r="G5841" s="24" t="str">
        <f>IF(OR(E5841="",E5841="!!!"),"",IF(OR(J5841=0,AND(J5841=1,K5841=1),AND(J5841=1,I5841="SBJ"),AND(J5841=1,I5841=0)),"?IN_FOCUS",IF(J5841&lt;=2,"?ACTIVATED",IF(J5841&lt;&gt;"","?FAMILIAR",IF(F5841="NEW",IF(ISNA(VLOOKUP(E5841,#REF!,1,FALSE())),"?TYPE_IDENTIFIABLE","?REFERENTIAL"),"_")))))</f>
        <v> </v>
      </c>
      <c r="H5841" s="25" t="str">
        <f>IF(J5841&lt;&gt;1,"",IF(I5841="SBJ","CB","?"))</f>
        <v> </v>
      </c>
      <c r="I5841" s="26" t="str">
        <f>IF(OR(E5841="",E5841="!!!",F5841="NEW"),"",INDEX(B5840:B$2,-1+SUMPRODUCT(MAX(ROW(E5840:E$2)*(E5841=E5840:E$2)))))</f>
        <v> </v>
      </c>
      <c r="J5841" s="26" t="str">
        <f>IF(OR(E5841="",E5841="!!!",F5841="NEW"),"",COUNTBLANK(OFFSET(A$1,,,SUMPRODUCT(MAX(ROW(E$2:E5841)*(E5841=E$2:E5841)))))-COUNTBLANK(OFFSET(A$1,,,SUMPRODUCT(MAX(ROW(E$1:E5840)*(E2=E$1:E5840))))))</f>
        <v> </v>
      </c>
      <c r="K5841" s="26" t="str">
        <f>IF(OR(E5841="",E5841="!!!",F5841="NEW"),"",INDEX(J$1:J5840,SUMPRODUCT(MAX(ROW(E$1:E5840)*(E5841=E$1:E5840)))))</f>
        <v> </v>
      </c>
      <c r="L5841" s="27"/>
    </row>
    <row r="5842" spans="1:12">
      <c r="A5842" s="20" t="s">
        <v>1262</v>
      </c>
      <c r="E5842" s="22">
        <f>IF(D5842="?OLD","!!!","")</f>
        <v/>
      </c>
      <c r="F5842" s="23" t="str">
        <f>IF(OR(E5842="",E5842="!!!"),"",IF(NOT(ISNA(VLOOKUP(E5842,E$1:E5841,1,FALSE()))),"OLD",IF(AND(E5842&lt;&gt;"",E5842&lt;&gt;"!!!"),"NEW","")))</f>
        <v> </v>
      </c>
      <c r="G5842" s="24" t="str">
        <f>IF(OR(E5842="",E5842="!!!"),"",IF(OR(J5842=0,AND(J5842=1,K5842=1),AND(J5842=1,I5842="SBJ"),AND(J5842=1,I5842=0)),"?IN_FOCUS",IF(J5842&lt;=2,"?ACTIVATED",IF(J5842&lt;&gt;"","?FAMILIAR",IF(F5842="NEW",IF(ISNA(VLOOKUP(E5842,#REF!,1,FALSE())),"?TYPE_IDENTIFIABLE","?REFERENTIAL"),"_")))))</f>
        <v> </v>
      </c>
      <c r="H5842" s="25" t="str">
        <f>IF(J5842&lt;&gt;1,"",IF(I5842="SBJ","CB","?"))</f>
        <v> </v>
      </c>
      <c r="I5842" s="26" t="str">
        <f>IF(OR(E5842="",E5842="!!!",F5842="NEW"),"",INDEX(B5841:B$2,-1+SUMPRODUCT(MAX(ROW(E5841:E$2)*(E5842=E5841:E$2)))))</f>
        <v> </v>
      </c>
      <c r="J5842" s="26" t="str">
        <f>IF(OR(E5842="",E5842="!!!",F5842="NEW"),"",COUNTBLANK(OFFSET(A$1,,,SUMPRODUCT(MAX(ROW(E$2:E5842)*(E5842=E$2:E5842)))))-COUNTBLANK(OFFSET(A$1,,,SUMPRODUCT(MAX(ROW(E$1:E5841)*(E2=E$1:E5841))))))</f>
        <v> </v>
      </c>
      <c r="K5842" s="26" t="str">
        <f>IF(OR(E5842="",E5842="!!!",F5842="NEW"),"",INDEX(J$1:J5841,SUMPRODUCT(MAX(ROW(E$1:E5841)*(E5842=E$1:E5841)))))</f>
        <v> </v>
      </c>
      <c r="L5842" s="27"/>
    </row>
    <row r="5843" spans="1:12">
      <c r="A5843" s="20"/>
    </row>
    <row r="5844" spans="1:12">
      <c r="A5844" s="20" t="s">
        <v>3036</v>
      </c>
    </row>
    <row r="5845" spans="1:12">
      <c r="A5845" s="20" t="s">
        <v>1361</v>
      </c>
      <c r="B5845" s="21" t="s">
        <v>1215</v>
      </c>
      <c r="C5845" s="21" t="s">
        <v>1255</v>
      </c>
      <c r="D5845" s="21" t="s">
        <v>1217</v>
      </c>
      <c r="E5845" s="22">
        <f>IF(D5845="?OLD","!!!","")</f>
        <v/>
      </c>
      <c r="F5845" s="23" t="str">
        <f>IF(OR(E5845="",E5845="!!!"),"",IF(NOT(ISNA(VLOOKUP(E5845,E$1:E5844,1,FALSE()))),"OLD",IF(AND(E5845&lt;&gt;"",E5845&lt;&gt;"!!!"),"NEW","")))</f>
        <v> </v>
      </c>
      <c r="G5845" s="24" t="str">
        <f>IF(OR(E5845="",E5845="!!!"),"",IF(OR(J5845=0,AND(J5845=1,K5845=1),AND(J5845=1,I5845="SBJ"),AND(J5845=1,I5845=0)),"?IN_FOCUS",IF(J5845&lt;=2,"?ACTIVATED",IF(J5845&lt;&gt;"","?FAMILIAR",IF(F5845="NEW",IF(ISNA(VLOOKUP(E5845,#REF!,1,FALSE())),"?TYPE_IDENTIFIABLE","?REFERENTIAL"),"_")))))</f>
        <v> </v>
      </c>
      <c r="H5845" s="25" t="str">
        <f>IF(J5845&lt;&gt;1,"",IF(I5845="SBJ","CB","?"))</f>
        <v> </v>
      </c>
      <c r="I5845" s="26" t="str">
        <f>IF(OR(E5845="",E5845="!!!",F5845="NEW"),"",INDEX(B5844:B$2,-1+SUMPRODUCT(MAX(ROW(E5844:E$2)*(E5845=E5844:E$2)))))</f>
        <v> </v>
      </c>
      <c r="J5845" s="26" t="str">
        <f>IF(OR(E5845="",E5845="!!!",F5845="NEW"),"",COUNTBLANK(OFFSET(A$1,,,SUMPRODUCT(MAX(ROW(E$2:E5845)*(E5845=E$2:E5845)))))-COUNTBLANK(OFFSET(A$1,,,SUMPRODUCT(MAX(ROW(E$1:E5844)*(E2=E$1:E5844))))))</f>
        <v> </v>
      </c>
      <c r="K5845" s="26" t="str">
        <f>IF(OR(E5845="",E5845="!!!",F5845="NEW"),"",INDEX(J$1:J5844,SUMPRODUCT(MAX(ROW(E$1:E5844)*(E5845=E$1:E5844)))))</f>
        <v> </v>
      </c>
      <c r="L5845" s="27"/>
    </row>
    <row r="5846" spans="1:12">
      <c r="A5846" s="20" t="s">
        <v>1228</v>
      </c>
      <c r="B5846" s="21" t="s">
        <v>1275</v>
      </c>
      <c r="C5846" s="21" t="s">
        <v>1255</v>
      </c>
      <c r="D5846" s="21" t="s">
        <v>1217</v>
      </c>
      <c r="E5846" s="22">
        <f>IF(D5846="?OLD","!!!","")</f>
        <v/>
      </c>
      <c r="F5846" s="23" t="str">
        <f>IF(OR(E5846="",E5846="!!!"),"",IF(NOT(ISNA(VLOOKUP(E5846,E$1:E5845,1,FALSE()))),"OLD",IF(AND(E5846&lt;&gt;"",E5846&lt;&gt;"!!!"),"NEW","")))</f>
        <v> </v>
      </c>
      <c r="G5846" s="24" t="str">
        <f>IF(OR(E5846="",E5846="!!!"),"",IF(OR(J5846=0,AND(J5846=1,K5846=1),AND(J5846=1,I5846="SBJ"),AND(J5846=1,I5846=0)),"?IN_FOCUS",IF(J5846&lt;=2,"?ACTIVATED",IF(J5846&lt;&gt;"","?FAMILIAR",IF(F5846="NEW",IF(ISNA(VLOOKUP(E5846,#REF!,1,FALSE())),"?TYPE_IDENTIFIABLE","?REFERENTIAL"),"_")))))</f>
        <v> </v>
      </c>
      <c r="H5846" s="25" t="str">
        <f>IF(J5846&lt;&gt;1,"",IF(I5846="SBJ","CB","?"))</f>
        <v> </v>
      </c>
      <c r="I5846" s="26" t="str">
        <f>IF(OR(E5846="",E5846="!!!",F5846="NEW"),"",INDEX(B5845:B$2,-1+SUMPRODUCT(MAX(ROW(E5845:E$2)*(E5846=E5845:E$2)))))</f>
        <v> </v>
      </c>
      <c r="J5846" s="26" t="str">
        <f>IF(OR(E5846="",E5846="!!!",F5846="NEW"),"",COUNTBLANK(OFFSET(A$1,,,SUMPRODUCT(MAX(ROW(E$2:E5846)*(E5846=E$2:E5846)))))-COUNTBLANK(OFFSET(A$1,,,SUMPRODUCT(MAX(ROW(E$1:E5845)*(E2=E$1:E5845))))))</f>
        <v> </v>
      </c>
      <c r="K5846" s="26" t="str">
        <f>IF(OR(E5846="",E5846="!!!",F5846="NEW"),"",INDEX(J$1:J5845,SUMPRODUCT(MAX(ROW(E$1:E5845)*(E5846=E$1:E5845)))))</f>
        <v> </v>
      </c>
      <c r="L5846" s="27"/>
    </row>
    <row r="5847" spans="1:12">
      <c r="A5847" s="20" t="s">
        <v>1315</v>
      </c>
      <c r="E5847" s="22">
        <f>IF(D5847="?OLD","!!!","")</f>
        <v/>
      </c>
      <c r="F5847" s="23" t="str">
        <f>IF(OR(E5847="",E5847="!!!"),"",IF(NOT(ISNA(VLOOKUP(E5847,E$1:E5846,1,FALSE()))),"OLD",IF(AND(E5847&lt;&gt;"",E5847&lt;&gt;"!!!"),"NEW","")))</f>
        <v> </v>
      </c>
      <c r="G5847" s="24" t="str">
        <f>IF(OR(E5847="",E5847="!!!"),"",IF(OR(J5847=0,AND(J5847=1,K5847=1),AND(J5847=1,I5847="SBJ"),AND(J5847=1,I5847=0)),"?IN_FOCUS",IF(J5847&lt;=2,"?ACTIVATED",IF(J5847&lt;&gt;"","?FAMILIAR",IF(F5847="NEW",IF(ISNA(VLOOKUP(E5847,#REF!,1,FALSE())),"?TYPE_IDENTIFIABLE","?REFERENTIAL"),"_")))))</f>
        <v> </v>
      </c>
      <c r="H5847" s="25" t="str">
        <f>IF(J5847&lt;&gt;1,"",IF(I5847="SBJ","CB","?"))</f>
        <v> </v>
      </c>
      <c r="I5847" s="26" t="str">
        <f>IF(OR(E5847="",E5847="!!!",F5847="NEW"),"",INDEX(B5846:B$2,-1+SUMPRODUCT(MAX(ROW(E5846:E$2)*(E5847=E5846:E$2)))))</f>
        <v> </v>
      </c>
      <c r="J5847" s="26" t="str">
        <f>IF(OR(E5847="",E5847="!!!",F5847="NEW"),"",COUNTBLANK(OFFSET(A$1,,,SUMPRODUCT(MAX(ROW(E$2:E5847)*(E5847=E$2:E5847)))))-COUNTBLANK(OFFSET(A$1,,,SUMPRODUCT(MAX(ROW(E$1:E5846)*(E2=E$1:E5846))))))</f>
        <v> </v>
      </c>
      <c r="K5847" s="26" t="str">
        <f>IF(OR(E5847="",E5847="!!!",F5847="NEW"),"",INDEX(J$1:J5846,SUMPRODUCT(MAX(ROW(E$1:E5846)*(E5847=E$1:E5846)))))</f>
        <v> </v>
      </c>
      <c r="L5847" s="27"/>
    </row>
    <row r="5848" spans="1:12">
      <c r="A5848" s="20" t="s">
        <v>1351</v>
      </c>
      <c r="E5848" s="22">
        <f>IF(D5848="?OLD","!!!","")</f>
        <v/>
      </c>
      <c r="F5848" s="23" t="str">
        <f>IF(OR(E5848="",E5848="!!!"),"",IF(NOT(ISNA(VLOOKUP(E5848,E$1:E5847,1,FALSE()))),"OLD",IF(AND(E5848&lt;&gt;"",E5848&lt;&gt;"!!!"),"NEW","")))</f>
        <v> </v>
      </c>
      <c r="G5848" s="24" t="str">
        <f>IF(OR(E5848="",E5848="!!!"),"",IF(OR(J5848=0,AND(J5848=1,K5848=1),AND(J5848=1,I5848="SBJ"),AND(J5848=1,I5848=0)),"?IN_FOCUS",IF(J5848&lt;=2,"?ACTIVATED",IF(J5848&lt;&gt;"","?FAMILIAR",IF(F5848="NEW",IF(ISNA(VLOOKUP(E5848,#REF!,1,FALSE())),"?TYPE_IDENTIFIABLE","?REFERENTIAL"),"_")))))</f>
        <v> </v>
      </c>
      <c r="H5848" s="25" t="str">
        <f>IF(J5848&lt;&gt;1,"",IF(I5848="SBJ","CB","?"))</f>
        <v> </v>
      </c>
      <c r="I5848" s="26" t="str">
        <f>IF(OR(E5848="",E5848="!!!",F5848="NEW"),"",INDEX(B5847:B$2,-1+SUMPRODUCT(MAX(ROW(E5847:E$2)*(E5848=E5847:E$2)))))</f>
        <v> </v>
      </c>
      <c r="J5848" s="26" t="str">
        <f>IF(OR(E5848="",E5848="!!!",F5848="NEW"),"",COUNTBLANK(OFFSET(A$1,,,SUMPRODUCT(MAX(ROW(E$2:E5848)*(E5848=E$2:E5848)))))-COUNTBLANK(OFFSET(A$1,,,SUMPRODUCT(MAX(ROW(E$1:E5847)*(E2=E$1:E5847))))))</f>
        <v> </v>
      </c>
      <c r="K5848" s="26" t="str">
        <f>IF(OR(E5848="",E5848="!!!",F5848="NEW"),"",INDEX(J$1:J5847,SUMPRODUCT(MAX(ROW(E$1:E5847)*(E5848=E$1:E5847)))))</f>
        <v> </v>
      </c>
      <c r="L5848" s="27"/>
    </row>
    <row r="5849" spans="1:12">
      <c r="A5849" s="20" t="s">
        <v>1245</v>
      </c>
      <c r="E5849" s="22">
        <f>IF(D5849="?OLD","!!!","")</f>
        <v/>
      </c>
      <c r="F5849" s="23" t="str">
        <f>IF(OR(E5849="",E5849="!!!"),"",IF(NOT(ISNA(VLOOKUP(E5849,E$1:E5848,1,FALSE()))),"OLD",IF(AND(E5849&lt;&gt;"",E5849&lt;&gt;"!!!"),"NEW","")))</f>
        <v> </v>
      </c>
      <c r="G5849" s="24" t="str">
        <f>IF(OR(E5849="",E5849="!!!"),"",IF(OR(J5849=0,AND(J5849=1,K5849=1),AND(J5849=1,I5849="SBJ"),AND(J5849=1,I5849=0)),"?IN_FOCUS",IF(J5849&lt;=2,"?ACTIVATED",IF(J5849&lt;&gt;"","?FAMILIAR",IF(F5849="NEW",IF(ISNA(VLOOKUP(E5849,#REF!,1,FALSE())),"?TYPE_IDENTIFIABLE","?REFERENTIAL"),"_")))))</f>
        <v> </v>
      </c>
      <c r="H5849" s="25" t="str">
        <f>IF(J5849&lt;&gt;1,"",IF(I5849="SBJ","CB","?"))</f>
        <v> </v>
      </c>
      <c r="I5849" s="26" t="str">
        <f>IF(OR(E5849="",E5849="!!!",F5849="NEW"),"",INDEX(B5848:B$2,-1+SUMPRODUCT(MAX(ROW(E5848:E$2)*(E5849=E5848:E$2)))))</f>
        <v> </v>
      </c>
      <c r="J5849" s="26" t="str">
        <f>IF(OR(E5849="",E5849="!!!",F5849="NEW"),"",COUNTBLANK(OFFSET(A$1,,,SUMPRODUCT(MAX(ROW(E$2:E5849)*(E5849=E$2:E5849)))))-COUNTBLANK(OFFSET(A$1,,,SUMPRODUCT(MAX(ROW(E$1:E5848)*(E2=E$1:E5848))))))</f>
        <v> </v>
      </c>
      <c r="K5849" s="26" t="str">
        <f>IF(OR(E5849="",E5849="!!!",F5849="NEW"),"",INDEX(J$1:J5848,SUMPRODUCT(MAX(ROW(E$1:E5848)*(E5849=E$1:E5848)))))</f>
        <v> </v>
      </c>
      <c r="L5849" s="27"/>
    </row>
    <row r="5850" spans="1:12">
      <c r="A5850" s="20" t="s">
        <v>3037</v>
      </c>
      <c r="B5850" s="21" t="s">
        <v>1244</v>
      </c>
      <c r="C5850" s="21" t="s">
        <v>1225</v>
      </c>
      <c r="D5850" s="21" t="s">
        <v>1217</v>
      </c>
      <c r="E5850" s="22">
        <f>IF(D5850="?OLD","!!!","")</f>
        <v/>
      </c>
      <c r="F5850" s="23" t="str">
        <f>IF(OR(E5850="",E5850="!!!"),"",IF(NOT(ISNA(VLOOKUP(E5850,E$1:E5849,1,FALSE()))),"OLD",IF(AND(E5850&lt;&gt;"",E5850&lt;&gt;"!!!"),"NEW","")))</f>
        <v> </v>
      </c>
      <c r="G5850" s="24" t="str">
        <f>IF(OR(E5850="",E5850="!!!"),"",IF(OR(J5850=0,AND(J5850=1,K5850=1),AND(J5850=1,I5850="SBJ"),AND(J5850=1,I5850=0)),"?IN_FOCUS",IF(J5850&lt;=2,"?ACTIVATED",IF(J5850&lt;&gt;"","?FAMILIAR",IF(F5850="NEW",IF(ISNA(VLOOKUP(E5850,#REF!,1,FALSE())),"?TYPE_IDENTIFIABLE","?REFERENTIAL"),"_")))))</f>
        <v> </v>
      </c>
      <c r="H5850" s="25" t="str">
        <f>IF(J5850&lt;&gt;1,"",IF(I5850="SBJ","CB","?"))</f>
        <v> </v>
      </c>
      <c r="I5850" s="26" t="str">
        <f>IF(OR(E5850="",E5850="!!!",F5850="NEW"),"",INDEX(B5849:B$2,-1+SUMPRODUCT(MAX(ROW(E5849:E$2)*(E5850=E5849:E$2)))))</f>
        <v> </v>
      </c>
      <c r="J5850" s="26" t="str">
        <f>IF(OR(E5850="",E5850="!!!",F5850="NEW"),"",COUNTBLANK(OFFSET(A$1,,,SUMPRODUCT(MAX(ROW(E$2:E5850)*(E5850=E$2:E5850)))))-COUNTBLANK(OFFSET(A$1,,,SUMPRODUCT(MAX(ROW(E$1:E5849)*(E2=E$1:E5849))))))</f>
        <v> </v>
      </c>
      <c r="K5850" s="26" t="str">
        <f>IF(OR(E5850="",E5850="!!!",F5850="NEW"),"",INDEX(J$1:J5849,SUMPRODUCT(MAX(ROW(E$1:E5849)*(E5850=E$1:E5849)))))</f>
        <v> </v>
      </c>
      <c r="L5850" s="27"/>
    </row>
    <row r="5851" spans="1:12">
      <c r="A5851" s="20" t="s">
        <v>1277</v>
      </c>
      <c r="E5851" s="22">
        <f>IF(D5851="?OLD","!!!","")</f>
        <v/>
      </c>
      <c r="F5851" s="23" t="str">
        <f>IF(OR(E5851="",E5851="!!!"),"",IF(NOT(ISNA(VLOOKUP(E5851,E$1:E5850,1,FALSE()))),"OLD",IF(AND(E5851&lt;&gt;"",E5851&lt;&gt;"!!!"),"NEW","")))</f>
        <v> </v>
      </c>
      <c r="G5851" s="24" t="str">
        <f>IF(OR(E5851="",E5851="!!!"),"",IF(OR(J5851=0,AND(J5851=1,K5851=1),AND(J5851=1,I5851="SBJ"),AND(J5851=1,I5851=0)),"?IN_FOCUS",IF(J5851&lt;=2,"?ACTIVATED",IF(J5851&lt;&gt;"","?FAMILIAR",IF(F5851="NEW",IF(ISNA(VLOOKUP(E5851,#REF!,1,FALSE())),"?TYPE_IDENTIFIABLE","?REFERENTIAL"),"_")))))</f>
        <v> </v>
      </c>
      <c r="H5851" s="25" t="str">
        <f>IF(J5851&lt;&gt;1,"",IF(I5851="SBJ","CB","?"))</f>
        <v> </v>
      </c>
      <c r="I5851" s="26" t="str">
        <f>IF(OR(E5851="",E5851="!!!",F5851="NEW"),"",INDEX(B5850:B$2,-1+SUMPRODUCT(MAX(ROW(E5850:E$2)*(E5851=E5850:E$2)))))</f>
        <v> </v>
      </c>
      <c r="J5851" s="26" t="str">
        <f>IF(OR(E5851="",E5851="!!!",F5851="NEW"),"",COUNTBLANK(OFFSET(A$1,,,SUMPRODUCT(MAX(ROW(E$2:E5851)*(E5851=E$2:E5851)))))-COUNTBLANK(OFFSET(A$1,,,SUMPRODUCT(MAX(ROW(E$1:E5850)*(E2=E$1:E5850))))))</f>
        <v> </v>
      </c>
      <c r="K5851" s="26" t="str">
        <f>IF(OR(E5851="",E5851="!!!",F5851="NEW"),"",INDEX(J$1:J5850,SUMPRODUCT(MAX(ROW(E$1:E5850)*(E5851=E$1:E5850)))))</f>
        <v> </v>
      </c>
      <c r="L5851" s="27"/>
    </row>
    <row r="5852" spans="1:12">
      <c r="A5852" s="20" t="s">
        <v>1485</v>
      </c>
      <c r="B5852" s="21" t="s">
        <v>1244</v>
      </c>
      <c r="C5852" s="21" t="s">
        <v>1225</v>
      </c>
      <c r="D5852" s="21" t="s">
        <v>1217</v>
      </c>
      <c r="E5852" s="22">
        <f>IF(D5852="?OLD","!!!","")</f>
        <v/>
      </c>
      <c r="F5852" s="23" t="str">
        <f>IF(OR(E5852="",E5852="!!!"),"",IF(NOT(ISNA(VLOOKUP(E5852,E$1:E5851,1,FALSE()))),"OLD",IF(AND(E5852&lt;&gt;"",E5852&lt;&gt;"!!!"),"NEW","")))</f>
        <v> </v>
      </c>
      <c r="G5852" s="24" t="str">
        <f>IF(OR(E5852="",E5852="!!!"),"",IF(OR(J5852=0,AND(J5852=1,K5852=1),AND(J5852=1,I5852="SBJ"),AND(J5852=1,I5852=0)),"?IN_FOCUS",IF(J5852&lt;=2,"?ACTIVATED",IF(J5852&lt;&gt;"","?FAMILIAR",IF(F5852="NEW",IF(ISNA(VLOOKUP(E5852,#REF!,1,FALSE())),"?TYPE_IDENTIFIABLE","?REFERENTIAL"),"_")))))</f>
        <v> </v>
      </c>
      <c r="H5852" s="25" t="str">
        <f>IF(J5852&lt;&gt;1,"",IF(I5852="SBJ","CB","?"))</f>
        <v> </v>
      </c>
      <c r="I5852" s="26" t="str">
        <f>IF(OR(E5852="",E5852="!!!",F5852="NEW"),"",INDEX(B5851:B$2,-1+SUMPRODUCT(MAX(ROW(E5851:E$2)*(E5852=E5851:E$2)))))</f>
        <v> </v>
      </c>
      <c r="J5852" s="26" t="str">
        <f>IF(OR(E5852="",E5852="!!!",F5852="NEW"),"",COUNTBLANK(OFFSET(A$1,,,SUMPRODUCT(MAX(ROW(E$2:E5852)*(E5852=E$2:E5852)))))-COUNTBLANK(OFFSET(A$1,,,SUMPRODUCT(MAX(ROW(E$1:E5851)*(E2=E$1:E5851))))))</f>
        <v> </v>
      </c>
      <c r="K5852" s="26" t="str">
        <f>IF(OR(E5852="",E5852="!!!",F5852="NEW"),"",INDEX(J$1:J5851,SUMPRODUCT(MAX(ROW(E$1:E5851)*(E5852=E$1:E5851)))))</f>
        <v> </v>
      </c>
      <c r="L5852" s="27"/>
    </row>
    <row r="5853" spans="1:12">
      <c r="A5853" s="20" t="s">
        <v>1277</v>
      </c>
      <c r="E5853" s="22">
        <f>IF(D5853="?OLD","!!!","")</f>
        <v/>
      </c>
      <c r="F5853" s="23" t="str">
        <f>IF(OR(E5853="",E5853="!!!"),"",IF(NOT(ISNA(VLOOKUP(E5853,E$1:E5852,1,FALSE()))),"OLD",IF(AND(E5853&lt;&gt;"",E5853&lt;&gt;"!!!"),"NEW","")))</f>
        <v> </v>
      </c>
      <c r="G5853" s="24" t="str">
        <f>IF(OR(E5853="",E5853="!!!"),"",IF(OR(J5853=0,AND(J5853=1,K5853=1),AND(J5853=1,I5853="SBJ"),AND(J5853=1,I5853=0)),"?IN_FOCUS",IF(J5853&lt;=2,"?ACTIVATED",IF(J5853&lt;&gt;"","?FAMILIAR",IF(F5853="NEW",IF(ISNA(VLOOKUP(E5853,#REF!,1,FALSE())),"?TYPE_IDENTIFIABLE","?REFERENTIAL"),"_")))))</f>
        <v> </v>
      </c>
      <c r="H5853" s="25" t="str">
        <f>IF(J5853&lt;&gt;1,"",IF(I5853="SBJ","CB","?"))</f>
        <v> </v>
      </c>
      <c r="I5853" s="26" t="str">
        <f>IF(OR(E5853="",E5853="!!!",F5853="NEW"),"",INDEX(B5852:B$2,-1+SUMPRODUCT(MAX(ROW(E5852:E$2)*(E5853=E5852:E$2)))))</f>
        <v> </v>
      </c>
      <c r="J5853" s="26" t="str">
        <f>IF(OR(E5853="",E5853="!!!",F5853="NEW"),"",COUNTBLANK(OFFSET(A$1,,,SUMPRODUCT(MAX(ROW(E$2:E5853)*(E5853=E$2:E5853)))))-COUNTBLANK(OFFSET(A$1,,,SUMPRODUCT(MAX(ROW(E$1:E5852)*(E2=E$1:E5852))))))</f>
        <v> </v>
      </c>
      <c r="K5853" s="26" t="str">
        <f>IF(OR(E5853="",E5853="!!!",F5853="NEW"),"",INDEX(J$1:J5852,SUMPRODUCT(MAX(ROW(E$1:E5852)*(E5853=E$1:E5852)))))</f>
        <v> </v>
      </c>
      <c r="L5853" s="27"/>
    </row>
    <row r="5854" spans="1:12">
      <c r="A5854" s="20" t="s">
        <v>1286</v>
      </c>
      <c r="E5854" s="22">
        <f>IF(D5854="?OLD","!!!","")</f>
        <v/>
      </c>
      <c r="F5854" s="23" t="str">
        <f>IF(OR(E5854="",E5854="!!!"),"",IF(NOT(ISNA(VLOOKUP(E5854,E$1:E5853,1,FALSE()))),"OLD",IF(AND(E5854&lt;&gt;"",E5854&lt;&gt;"!!!"),"NEW","")))</f>
        <v> </v>
      </c>
      <c r="G5854" s="24" t="str">
        <f>IF(OR(E5854="",E5854="!!!"),"",IF(OR(J5854=0,AND(J5854=1,K5854=1),AND(J5854=1,I5854="SBJ"),AND(J5854=1,I5854=0)),"?IN_FOCUS",IF(J5854&lt;=2,"?ACTIVATED",IF(J5854&lt;&gt;"","?FAMILIAR",IF(F5854="NEW",IF(ISNA(VLOOKUP(E5854,#REF!,1,FALSE())),"?TYPE_IDENTIFIABLE","?REFERENTIAL"),"_")))))</f>
        <v> </v>
      </c>
      <c r="H5854" s="25" t="str">
        <f>IF(J5854&lt;&gt;1,"",IF(I5854="SBJ","CB","?"))</f>
        <v> </v>
      </c>
      <c r="I5854" s="26" t="str">
        <f>IF(OR(E5854="",E5854="!!!",F5854="NEW"),"",INDEX(B5853:B$2,-1+SUMPRODUCT(MAX(ROW(E5853:E$2)*(E5854=E5853:E$2)))))</f>
        <v> </v>
      </c>
      <c r="J5854" s="26" t="str">
        <f>IF(OR(E5854="",E5854="!!!",F5854="NEW"),"",COUNTBLANK(OFFSET(A$1,,,SUMPRODUCT(MAX(ROW(E$2:E5854)*(E5854=E$2:E5854)))))-COUNTBLANK(OFFSET(A$1,,,SUMPRODUCT(MAX(ROW(E$1:E5853)*(E2=E$1:E5853))))))</f>
        <v> </v>
      </c>
      <c r="K5854" s="26" t="str">
        <f>IF(OR(E5854="",E5854="!!!",F5854="NEW"),"",INDEX(J$1:J5853,SUMPRODUCT(MAX(ROW(E$1:E5853)*(E5854=E$1:E5853)))))</f>
        <v> </v>
      </c>
      <c r="L5854" s="27"/>
    </row>
    <row r="5855" spans="1:12">
      <c r="A5855" s="20" t="s">
        <v>1419</v>
      </c>
      <c r="B5855" s="21" t="s">
        <v>1229</v>
      </c>
      <c r="C5855" s="21" t="s">
        <v>1255</v>
      </c>
      <c r="D5855" s="21" t="s">
        <v>1217</v>
      </c>
      <c r="E5855" s="22">
        <f>IF(D5855="?OLD","!!!","")</f>
        <v/>
      </c>
      <c r="F5855" s="23" t="str">
        <f>IF(OR(E5855="",E5855="!!!"),"",IF(NOT(ISNA(VLOOKUP(E5855,E$1:E5854,1,FALSE()))),"OLD",IF(AND(E5855&lt;&gt;"",E5855&lt;&gt;"!!!"),"NEW","")))</f>
        <v> </v>
      </c>
      <c r="G5855" s="24" t="str">
        <f>IF(OR(E5855="",E5855="!!!"),"",IF(OR(J5855=0,AND(J5855=1,K5855=1),AND(J5855=1,I5855="SBJ"),AND(J5855=1,I5855=0)),"?IN_FOCUS",IF(J5855&lt;=2,"?ACTIVATED",IF(J5855&lt;&gt;"","?FAMILIAR",IF(F5855="NEW",IF(ISNA(VLOOKUP(E5855,#REF!,1,FALSE())),"?TYPE_IDENTIFIABLE","?REFERENTIAL"),"_")))))</f>
        <v> </v>
      </c>
      <c r="H5855" s="25" t="str">
        <f>IF(J5855&lt;&gt;1,"",IF(I5855="SBJ","CB","?"))</f>
        <v> </v>
      </c>
      <c r="I5855" s="26" t="str">
        <f>IF(OR(E5855="",E5855="!!!",F5855="NEW"),"",INDEX(B5854:B$2,-1+SUMPRODUCT(MAX(ROW(E5854:E$2)*(E5855=E5854:E$2)))))</f>
        <v> </v>
      </c>
      <c r="J5855" s="26" t="str">
        <f>IF(OR(E5855="",E5855="!!!",F5855="NEW"),"",COUNTBLANK(OFFSET(A$1,,,SUMPRODUCT(MAX(ROW(E$2:E5855)*(E5855=E$2:E5855)))))-COUNTBLANK(OFFSET(A$1,,,SUMPRODUCT(MAX(ROW(E$1:E5854)*(E2=E$1:E5854))))))</f>
        <v> </v>
      </c>
      <c r="K5855" s="26" t="str">
        <f>IF(OR(E5855="",E5855="!!!",F5855="NEW"),"",INDEX(J$1:J5854,SUMPRODUCT(MAX(ROW(E$1:E5854)*(E5855=E$1:E5854)))))</f>
        <v> </v>
      </c>
      <c r="L5855" s="27"/>
    </row>
    <row r="5856" spans="1:12">
      <c r="A5856" s="20" t="s">
        <v>1266</v>
      </c>
      <c r="B5856" s="21" t="s">
        <v>1249</v>
      </c>
      <c r="C5856" s="21" t="s">
        <v>1255</v>
      </c>
      <c r="D5856" s="21" t="s">
        <v>1217</v>
      </c>
      <c r="E5856" s="22">
        <f>IF(D5856="?OLD","!!!","")</f>
        <v/>
      </c>
      <c r="F5856" s="23" t="str">
        <f>IF(OR(E5856="",E5856="!!!"),"",IF(NOT(ISNA(VLOOKUP(E5856,E$1:E5855,1,FALSE()))),"OLD",IF(AND(E5856&lt;&gt;"",E5856&lt;&gt;"!!!"),"NEW","")))</f>
        <v> </v>
      </c>
      <c r="G5856" s="24" t="str">
        <f>IF(OR(E5856="",E5856="!!!"),"",IF(OR(J5856=0,AND(J5856=1,K5856=1),AND(J5856=1,I5856="SBJ"),AND(J5856=1,I5856=0)),"?IN_FOCUS",IF(J5856&lt;=2,"?ACTIVATED",IF(J5856&lt;&gt;"","?FAMILIAR",IF(F5856="NEW",IF(ISNA(VLOOKUP(E5856,#REF!,1,FALSE())),"?TYPE_IDENTIFIABLE","?REFERENTIAL"),"_")))))</f>
        <v> </v>
      </c>
      <c r="H5856" s="25" t="str">
        <f>IF(J5856&lt;&gt;1,"",IF(I5856="SBJ","CB","?"))</f>
        <v> </v>
      </c>
      <c r="I5856" s="26" t="str">
        <f>IF(OR(E5856="",E5856="!!!",F5856="NEW"),"",INDEX(B5855:B$2,-1+SUMPRODUCT(MAX(ROW(E5855:E$2)*(E5856=E5855:E$2)))))</f>
        <v> </v>
      </c>
      <c r="J5856" s="26" t="str">
        <f>IF(OR(E5856="",E5856="!!!",F5856="NEW"),"",COUNTBLANK(OFFSET(A$1,,,SUMPRODUCT(MAX(ROW(E$2:E5856)*(E5856=E$2:E5856)))))-COUNTBLANK(OFFSET(A$1,,,SUMPRODUCT(MAX(ROW(E$1:E5855)*(E2=E$1:E5855))))))</f>
        <v> </v>
      </c>
      <c r="K5856" s="26" t="str">
        <f>IF(OR(E5856="",E5856="!!!",F5856="NEW"),"",INDEX(J$1:J5855,SUMPRODUCT(MAX(ROW(E$1:E5855)*(E5856=E$1:E5855)))))</f>
        <v> </v>
      </c>
      <c r="L5856" s="27"/>
    </row>
    <row r="5857" spans="1:12">
      <c r="A5857" s="20" t="s">
        <v>3038</v>
      </c>
      <c r="E5857" s="22">
        <f>IF(D5857="?OLD","!!!","")</f>
        <v/>
      </c>
      <c r="F5857" s="23" t="str">
        <f>IF(OR(E5857="",E5857="!!!"),"",IF(NOT(ISNA(VLOOKUP(E5857,E$1:E5856,1,FALSE()))),"OLD",IF(AND(E5857&lt;&gt;"",E5857&lt;&gt;"!!!"),"NEW","")))</f>
        <v> </v>
      </c>
      <c r="G5857" s="24" t="str">
        <f>IF(OR(E5857="",E5857="!!!"),"",IF(OR(J5857=0,AND(J5857=1,K5857=1),AND(J5857=1,I5857="SBJ"),AND(J5857=1,I5857=0)),"?IN_FOCUS",IF(J5857&lt;=2,"?ACTIVATED",IF(J5857&lt;&gt;"","?FAMILIAR",IF(F5857="NEW",IF(ISNA(VLOOKUP(E5857,#REF!,1,FALSE())),"?TYPE_IDENTIFIABLE","?REFERENTIAL"),"_")))))</f>
        <v> </v>
      </c>
      <c r="H5857" s="25" t="str">
        <f>IF(J5857&lt;&gt;1,"",IF(I5857="SBJ","CB","?"))</f>
        <v> </v>
      </c>
      <c r="I5857" s="26" t="str">
        <f>IF(OR(E5857="",E5857="!!!",F5857="NEW"),"",INDEX(B5856:B$2,-1+SUMPRODUCT(MAX(ROW(E5856:E$2)*(E5857=E5856:E$2)))))</f>
        <v> </v>
      </c>
      <c r="J5857" s="26" t="str">
        <f>IF(OR(E5857="",E5857="!!!",F5857="NEW"),"",COUNTBLANK(OFFSET(A$1,,,SUMPRODUCT(MAX(ROW(E$2:E5857)*(E5857=E$2:E5857)))))-COUNTBLANK(OFFSET(A$1,,,SUMPRODUCT(MAX(ROW(E$1:E5856)*(E2=E$1:E5856))))))</f>
        <v> </v>
      </c>
      <c r="K5857" s="26" t="str">
        <f>IF(OR(E5857="",E5857="!!!",F5857="NEW"),"",INDEX(J$1:J5856,SUMPRODUCT(MAX(ROW(E$1:E5856)*(E5857=E$1:E5856)))))</f>
        <v> </v>
      </c>
      <c r="L5857" s="27"/>
    </row>
    <row r="5858" spans="1:12">
      <c r="A5858" s="20" t="s">
        <v>1563</v>
      </c>
      <c r="E5858" s="22">
        <f>IF(D5858="?OLD","!!!","")</f>
        <v/>
      </c>
      <c r="F5858" s="23" t="str">
        <f>IF(OR(E5858="",E5858="!!!"),"",IF(NOT(ISNA(VLOOKUP(E5858,E$1:E5857,1,FALSE()))),"OLD",IF(AND(E5858&lt;&gt;"",E5858&lt;&gt;"!!!"),"NEW","")))</f>
        <v> </v>
      </c>
      <c r="G5858" s="24" t="str">
        <f>IF(OR(E5858="",E5858="!!!"),"",IF(OR(J5858=0,AND(J5858=1,K5858=1),AND(J5858=1,I5858="SBJ"),AND(J5858=1,I5858=0)),"?IN_FOCUS",IF(J5858&lt;=2,"?ACTIVATED",IF(J5858&lt;&gt;"","?FAMILIAR",IF(F5858="NEW",IF(ISNA(VLOOKUP(E5858,#REF!,1,FALSE())),"?TYPE_IDENTIFIABLE","?REFERENTIAL"),"_")))))</f>
        <v> </v>
      </c>
      <c r="H5858" s="25" t="str">
        <f>IF(J5858&lt;&gt;1,"",IF(I5858="SBJ","CB","?"))</f>
        <v> </v>
      </c>
      <c r="I5858" s="26" t="str">
        <f>IF(OR(E5858="",E5858="!!!",F5858="NEW"),"",INDEX(B5857:B$2,-1+SUMPRODUCT(MAX(ROW(E5857:E$2)*(E5858=E5857:E$2)))))</f>
        <v> </v>
      </c>
      <c r="J5858" s="26" t="str">
        <f>IF(OR(E5858="",E5858="!!!",F5858="NEW"),"",COUNTBLANK(OFFSET(A$1,,,SUMPRODUCT(MAX(ROW(E$2:E5858)*(E5858=E$2:E5858)))))-COUNTBLANK(OFFSET(A$1,,,SUMPRODUCT(MAX(ROW(E$1:E5857)*(E2=E$1:E5857))))))</f>
        <v> </v>
      </c>
      <c r="K5858" s="26" t="str">
        <f>IF(OR(E5858="",E5858="!!!",F5858="NEW"),"",INDEX(J$1:J5857,SUMPRODUCT(MAX(ROW(E$1:E5857)*(E5858=E$1:E5857)))))</f>
        <v> </v>
      </c>
      <c r="L5858" s="27"/>
    </row>
    <row r="5859" spans="1:12">
      <c r="A5859" s="20" t="s">
        <v>1245</v>
      </c>
      <c r="E5859" s="22">
        <f>IF(D5859="?OLD","!!!","")</f>
        <v/>
      </c>
      <c r="F5859" s="23" t="str">
        <f>IF(OR(E5859="",E5859="!!!"),"",IF(NOT(ISNA(VLOOKUP(E5859,E$1:E5858,1,FALSE()))),"OLD",IF(AND(E5859&lt;&gt;"",E5859&lt;&gt;"!!!"),"NEW","")))</f>
        <v> </v>
      </c>
      <c r="G5859" s="24" t="str">
        <f>IF(OR(E5859="",E5859="!!!"),"",IF(OR(J5859=0,AND(J5859=1,K5859=1),AND(J5859=1,I5859="SBJ"),AND(J5859=1,I5859=0)),"?IN_FOCUS",IF(J5859&lt;=2,"?ACTIVATED",IF(J5859&lt;&gt;"","?FAMILIAR",IF(F5859="NEW",IF(ISNA(VLOOKUP(E5859,#REF!,1,FALSE())),"?TYPE_IDENTIFIABLE","?REFERENTIAL"),"_")))))</f>
        <v> </v>
      </c>
      <c r="H5859" s="25" t="str">
        <f>IF(J5859&lt;&gt;1,"",IF(I5859="SBJ","CB","?"))</f>
        <v> </v>
      </c>
      <c r="I5859" s="26" t="str">
        <f>IF(OR(E5859="",E5859="!!!",F5859="NEW"),"",INDEX(B5858:B$2,-1+SUMPRODUCT(MAX(ROW(E5858:E$2)*(E5859=E5858:E$2)))))</f>
        <v> </v>
      </c>
      <c r="J5859" s="26" t="str">
        <f>IF(OR(E5859="",E5859="!!!",F5859="NEW"),"",COUNTBLANK(OFFSET(A$1,,,SUMPRODUCT(MAX(ROW(E$2:E5859)*(E5859=E$2:E5859)))))-COUNTBLANK(OFFSET(A$1,,,SUMPRODUCT(MAX(ROW(E$1:E5858)*(E2=E$1:E5858))))))</f>
        <v> </v>
      </c>
      <c r="K5859" s="26" t="str">
        <f>IF(OR(E5859="",E5859="!!!",F5859="NEW"),"",INDEX(J$1:J5858,SUMPRODUCT(MAX(ROW(E$1:E5858)*(E5859=E$1:E5858)))))</f>
        <v> </v>
      </c>
      <c r="L5859" s="27"/>
    </row>
    <row r="5860" spans="1:12">
      <c r="A5860" s="20" t="s">
        <v>1273</v>
      </c>
      <c r="E5860" s="22">
        <f>IF(D5860="?OLD","!!!","")</f>
        <v/>
      </c>
      <c r="F5860" s="23" t="str">
        <f>IF(OR(E5860="",E5860="!!!"),"",IF(NOT(ISNA(VLOOKUP(E5860,E$1:E5859,1,FALSE()))),"OLD",IF(AND(E5860&lt;&gt;"",E5860&lt;&gt;"!!!"),"NEW","")))</f>
        <v> </v>
      </c>
      <c r="G5860" s="24" t="str">
        <f>IF(OR(E5860="",E5860="!!!"),"",IF(OR(J5860=0,AND(J5860=1,K5860=1),AND(J5860=1,I5860="SBJ"),AND(J5860=1,I5860=0)),"?IN_FOCUS",IF(J5860&lt;=2,"?ACTIVATED",IF(J5860&lt;&gt;"","?FAMILIAR",IF(F5860="NEW",IF(ISNA(VLOOKUP(E5860,#REF!,1,FALSE())),"?TYPE_IDENTIFIABLE","?REFERENTIAL"),"_")))))</f>
        <v> </v>
      </c>
      <c r="H5860" s="25" t="str">
        <f>IF(J5860&lt;&gt;1,"",IF(I5860="SBJ","CB","?"))</f>
        <v> </v>
      </c>
      <c r="I5860" s="26" t="str">
        <f>IF(OR(E5860="",E5860="!!!",F5860="NEW"),"",INDEX(B5859:B$2,-1+SUMPRODUCT(MAX(ROW(E5859:E$2)*(E5860=E5859:E$2)))))</f>
        <v> </v>
      </c>
      <c r="J5860" s="26" t="str">
        <f>IF(OR(E5860="",E5860="!!!",F5860="NEW"),"",COUNTBLANK(OFFSET(A$1,,,SUMPRODUCT(MAX(ROW(E$2:E5860)*(E5860=E$2:E5860)))))-COUNTBLANK(OFFSET(A$1,,,SUMPRODUCT(MAX(ROW(E$1:E5859)*(E2=E$1:E5859))))))</f>
        <v> </v>
      </c>
      <c r="K5860" s="26" t="str">
        <f>IF(OR(E5860="",E5860="!!!",F5860="NEW"),"",INDEX(J$1:J5859,SUMPRODUCT(MAX(ROW(E$1:E5859)*(E5860=E$1:E5859)))))</f>
        <v> </v>
      </c>
      <c r="L5860" s="27"/>
    </row>
    <row r="5861" spans="1:12">
      <c r="A5861" s="20" t="s">
        <v>1948</v>
      </c>
      <c r="B5861" s="21" t="s">
        <v>1221</v>
      </c>
      <c r="C5861" s="21" t="s">
        <v>1276</v>
      </c>
      <c r="D5861" s="21" t="s">
        <v>1217</v>
      </c>
      <c r="E5861" s="22">
        <f>IF(D5861="?OLD","!!!","")</f>
        <v/>
      </c>
      <c r="F5861" s="23" t="str">
        <f>IF(OR(E5861="",E5861="!!!"),"",IF(NOT(ISNA(VLOOKUP(E5861,E$1:E5860,1,FALSE()))),"OLD",IF(AND(E5861&lt;&gt;"",E5861&lt;&gt;"!!!"),"NEW","")))</f>
        <v> </v>
      </c>
      <c r="G5861" s="24" t="str">
        <f>IF(OR(E5861="",E5861="!!!"),"",IF(OR(J5861=0,AND(J5861=1,K5861=1),AND(J5861=1,I5861="SBJ"),AND(J5861=1,I5861=0)),"?IN_FOCUS",IF(J5861&lt;=2,"?ACTIVATED",IF(J5861&lt;&gt;"","?FAMILIAR",IF(F5861="NEW",IF(ISNA(VLOOKUP(E5861,#REF!,1,FALSE())),"?TYPE_IDENTIFIABLE","?REFERENTIAL"),"_")))))</f>
        <v> </v>
      </c>
      <c r="H5861" s="25" t="str">
        <f>IF(J5861&lt;&gt;1,"",IF(I5861="SBJ","CB","?"))</f>
        <v> </v>
      </c>
      <c r="I5861" s="26" t="str">
        <f>IF(OR(E5861="",E5861="!!!",F5861="NEW"),"",INDEX(B5860:B$2,-1+SUMPRODUCT(MAX(ROW(E5860:E$2)*(E5861=E5860:E$2)))))</f>
        <v> </v>
      </c>
      <c r="J5861" s="26" t="str">
        <f>IF(OR(E5861="",E5861="!!!",F5861="NEW"),"",COUNTBLANK(OFFSET(A$1,,,SUMPRODUCT(MAX(ROW(E$2:E5861)*(E5861=E$2:E5861)))))-COUNTBLANK(OFFSET(A$1,,,SUMPRODUCT(MAX(ROW(E$1:E5860)*(E2=E$1:E5860))))))</f>
        <v> </v>
      </c>
      <c r="K5861" s="26" t="str">
        <f>IF(OR(E5861="",E5861="!!!",F5861="NEW"),"",INDEX(J$1:J5860,SUMPRODUCT(MAX(ROW(E$1:E5860)*(E5861=E$1:E5860)))))</f>
        <v> </v>
      </c>
      <c r="L5861" s="27"/>
    </row>
    <row r="5862" spans="1:12">
      <c r="A5862" s="20" t="s">
        <v>1277</v>
      </c>
      <c r="E5862" s="22">
        <f>IF(D5862="?OLD","!!!","")</f>
        <v/>
      </c>
      <c r="F5862" s="23" t="str">
        <f>IF(OR(E5862="",E5862="!!!"),"",IF(NOT(ISNA(VLOOKUP(E5862,E$1:E5861,1,FALSE()))),"OLD",IF(AND(E5862&lt;&gt;"",E5862&lt;&gt;"!!!"),"NEW","")))</f>
        <v> </v>
      </c>
      <c r="G5862" s="24" t="str">
        <f>IF(OR(E5862="",E5862="!!!"),"",IF(OR(J5862=0,AND(J5862=1,K5862=1),AND(J5862=1,I5862="SBJ"),AND(J5862=1,I5862=0)),"?IN_FOCUS",IF(J5862&lt;=2,"?ACTIVATED",IF(J5862&lt;&gt;"","?FAMILIAR",IF(F5862="NEW",IF(ISNA(VLOOKUP(E5862,#REF!,1,FALSE())),"?TYPE_IDENTIFIABLE","?REFERENTIAL"),"_")))))</f>
        <v> </v>
      </c>
      <c r="H5862" s="25" t="str">
        <f>IF(J5862&lt;&gt;1,"",IF(I5862="SBJ","CB","?"))</f>
        <v> </v>
      </c>
      <c r="I5862" s="26" t="str">
        <f>IF(OR(E5862="",E5862="!!!",F5862="NEW"),"",INDEX(B5861:B$2,-1+SUMPRODUCT(MAX(ROW(E5861:E$2)*(E5862=E5861:E$2)))))</f>
        <v> </v>
      </c>
      <c r="J5862" s="26" t="str">
        <f>IF(OR(E5862="",E5862="!!!",F5862="NEW"),"",COUNTBLANK(OFFSET(A$1,,,SUMPRODUCT(MAX(ROW(E$2:E5862)*(E5862=E$2:E5862)))))-COUNTBLANK(OFFSET(A$1,,,SUMPRODUCT(MAX(ROW(E$1:E5861)*(E2=E$1:E5861))))))</f>
        <v> </v>
      </c>
      <c r="K5862" s="26" t="str">
        <f>IF(OR(E5862="",E5862="!!!",F5862="NEW"),"",INDEX(J$1:J5861,SUMPRODUCT(MAX(ROW(E$1:E5861)*(E5862=E$1:E5861)))))</f>
        <v> </v>
      </c>
      <c r="L5862" s="27"/>
    </row>
    <row r="5863" spans="1:12">
      <c r="A5863" s="20" t="s">
        <v>1327</v>
      </c>
      <c r="B5863" s="21" t="s">
        <v>1229</v>
      </c>
      <c r="C5863" s="21" t="s">
        <v>1255</v>
      </c>
      <c r="D5863" s="21" t="s">
        <v>1217</v>
      </c>
      <c r="E5863" s="22">
        <f>IF(D5863="?OLD","!!!","")</f>
        <v/>
      </c>
      <c r="F5863" s="23" t="str">
        <f>IF(OR(E5863="",E5863="!!!"),"",IF(NOT(ISNA(VLOOKUP(E5863,E$1:E5862,1,FALSE()))),"OLD",IF(AND(E5863&lt;&gt;"",E5863&lt;&gt;"!!!"),"NEW","")))</f>
        <v> </v>
      </c>
      <c r="G5863" s="24" t="str">
        <f>IF(OR(E5863="",E5863="!!!"),"",IF(OR(J5863=0,AND(J5863=1,K5863=1),AND(J5863=1,I5863="SBJ"),AND(J5863=1,I5863=0)),"?IN_FOCUS",IF(J5863&lt;=2,"?ACTIVATED",IF(J5863&lt;&gt;"","?FAMILIAR",IF(F5863="NEW",IF(ISNA(VLOOKUP(E5863,#REF!,1,FALSE())),"?TYPE_IDENTIFIABLE","?REFERENTIAL"),"_")))))</f>
        <v> </v>
      </c>
      <c r="H5863" s="25" t="str">
        <f>IF(J5863&lt;&gt;1,"",IF(I5863="SBJ","CB","?"))</f>
        <v> </v>
      </c>
      <c r="I5863" s="26" t="str">
        <f>IF(OR(E5863="",E5863="!!!",F5863="NEW"),"",INDEX(B5862:B$2,-1+SUMPRODUCT(MAX(ROW(E5862:E$2)*(E5863=E5862:E$2)))))</f>
        <v> </v>
      </c>
      <c r="J5863" s="26" t="str">
        <f>IF(OR(E5863="",E5863="!!!",F5863="NEW"),"",COUNTBLANK(OFFSET(A$1,,,SUMPRODUCT(MAX(ROW(E$2:E5863)*(E5863=E$2:E5863)))))-COUNTBLANK(OFFSET(A$1,,,SUMPRODUCT(MAX(ROW(E$1:E5862)*(E2=E$1:E5862))))))</f>
        <v> </v>
      </c>
      <c r="K5863" s="26" t="str">
        <f>IF(OR(E5863="",E5863="!!!",F5863="NEW"),"",INDEX(J$1:J5862,SUMPRODUCT(MAX(ROW(E$1:E5862)*(E5863=E$1:E5862)))))</f>
        <v> </v>
      </c>
      <c r="L5863" s="27"/>
    </row>
    <row r="5864" spans="1:12">
      <c r="A5864" s="20" t="s">
        <v>1301</v>
      </c>
      <c r="E5864" s="22">
        <f>IF(D5864="?OLD","!!!","")</f>
        <v/>
      </c>
      <c r="F5864" s="23" t="str">
        <f>IF(OR(E5864="",E5864="!!!"),"",IF(NOT(ISNA(VLOOKUP(E5864,E$1:E5863,1,FALSE()))),"OLD",IF(AND(E5864&lt;&gt;"",E5864&lt;&gt;"!!!"),"NEW","")))</f>
        <v> </v>
      </c>
      <c r="G5864" s="24" t="str">
        <f>IF(OR(E5864="",E5864="!!!"),"",IF(OR(J5864=0,AND(J5864=1,K5864=1),AND(J5864=1,I5864="SBJ"),AND(J5864=1,I5864=0)),"?IN_FOCUS",IF(J5864&lt;=2,"?ACTIVATED",IF(J5864&lt;&gt;"","?FAMILIAR",IF(F5864="NEW",IF(ISNA(VLOOKUP(E5864,#REF!,1,FALSE())),"?TYPE_IDENTIFIABLE","?REFERENTIAL"),"_")))))</f>
        <v> </v>
      </c>
      <c r="H5864" s="25" t="str">
        <f>IF(J5864&lt;&gt;1,"",IF(I5864="SBJ","CB","?"))</f>
        <v> </v>
      </c>
      <c r="I5864" s="26" t="str">
        <f>IF(OR(E5864="",E5864="!!!",F5864="NEW"),"",INDEX(B5863:B$2,-1+SUMPRODUCT(MAX(ROW(E5863:E$2)*(E5864=E5863:E$2)))))</f>
        <v> </v>
      </c>
      <c r="J5864" s="26" t="str">
        <f>IF(OR(E5864="",E5864="!!!",F5864="NEW"),"",COUNTBLANK(OFFSET(A$1,,,SUMPRODUCT(MAX(ROW(E$2:E5864)*(E5864=E$2:E5864)))))-COUNTBLANK(OFFSET(A$1,,,SUMPRODUCT(MAX(ROW(E$1:E5863)*(E2=E$1:E5863))))))</f>
        <v> </v>
      </c>
      <c r="K5864" s="26" t="str">
        <f>IF(OR(E5864="",E5864="!!!",F5864="NEW"),"",INDEX(J$1:J5863,SUMPRODUCT(MAX(ROW(E$1:E5863)*(E5864=E$1:E5863)))))</f>
        <v> </v>
      </c>
      <c r="L5864" s="27"/>
    </row>
    <row r="5865" spans="1:12">
      <c r="A5865" s="20" t="s">
        <v>2295</v>
      </c>
      <c r="E5865" s="22">
        <f>IF(D5865="?OLD","!!!","")</f>
        <v/>
      </c>
      <c r="F5865" s="23" t="str">
        <f>IF(OR(E5865="",E5865="!!!"),"",IF(NOT(ISNA(VLOOKUP(E5865,E$1:E5864,1,FALSE()))),"OLD",IF(AND(E5865&lt;&gt;"",E5865&lt;&gt;"!!!"),"NEW","")))</f>
        <v> </v>
      </c>
      <c r="G5865" s="24" t="str">
        <f>IF(OR(E5865="",E5865="!!!"),"",IF(OR(J5865=0,AND(J5865=1,K5865=1),AND(J5865=1,I5865="SBJ"),AND(J5865=1,I5865=0)),"?IN_FOCUS",IF(J5865&lt;=2,"?ACTIVATED",IF(J5865&lt;&gt;"","?FAMILIAR",IF(F5865="NEW",IF(ISNA(VLOOKUP(E5865,#REF!,1,FALSE())),"?TYPE_IDENTIFIABLE","?REFERENTIAL"),"_")))))</f>
        <v> </v>
      </c>
      <c r="H5865" s="25" t="str">
        <f>IF(J5865&lt;&gt;1,"",IF(I5865="SBJ","CB","?"))</f>
        <v> </v>
      </c>
      <c r="I5865" s="26" t="str">
        <f>IF(OR(E5865="",E5865="!!!",F5865="NEW"),"",INDEX(B5864:B$2,-1+SUMPRODUCT(MAX(ROW(E5864:E$2)*(E5865=E5864:E$2)))))</f>
        <v> </v>
      </c>
      <c r="J5865" s="26" t="str">
        <f>IF(OR(E5865="",E5865="!!!",F5865="NEW"),"",COUNTBLANK(OFFSET(A$1,,,SUMPRODUCT(MAX(ROW(E$2:E5865)*(E5865=E$2:E5865)))))-COUNTBLANK(OFFSET(A$1,,,SUMPRODUCT(MAX(ROW(E$1:E5864)*(E2=E$1:E5864))))))</f>
        <v> </v>
      </c>
      <c r="K5865" s="26" t="str">
        <f>IF(OR(E5865="",E5865="!!!",F5865="NEW"),"",INDEX(J$1:J5864,SUMPRODUCT(MAX(ROW(E$1:E5864)*(E5865=E$1:E5864)))))</f>
        <v> </v>
      </c>
      <c r="L5865" s="27"/>
    </row>
    <row r="5866" spans="1:12">
      <c r="A5866" s="20" t="s">
        <v>1319</v>
      </c>
      <c r="E5866" s="22">
        <f>IF(D5866="?OLD","!!!","")</f>
        <v/>
      </c>
      <c r="F5866" s="23" t="str">
        <f>IF(OR(E5866="",E5866="!!!"),"",IF(NOT(ISNA(VLOOKUP(E5866,E$1:E5865,1,FALSE()))),"OLD",IF(AND(E5866&lt;&gt;"",E5866&lt;&gt;"!!!"),"NEW","")))</f>
        <v> </v>
      </c>
      <c r="G5866" s="24" t="str">
        <f>IF(OR(E5866="",E5866="!!!"),"",IF(OR(J5866=0,AND(J5866=1,K5866=1),AND(J5866=1,I5866="SBJ"),AND(J5866=1,I5866=0)),"?IN_FOCUS",IF(J5866&lt;=2,"?ACTIVATED",IF(J5866&lt;&gt;"","?FAMILIAR",IF(F5866="NEW",IF(ISNA(VLOOKUP(E5866,#REF!,1,FALSE())),"?TYPE_IDENTIFIABLE","?REFERENTIAL"),"_")))))</f>
        <v> </v>
      </c>
      <c r="H5866" s="25" t="str">
        <f>IF(J5866&lt;&gt;1,"",IF(I5866="SBJ","CB","?"))</f>
        <v> </v>
      </c>
      <c r="I5866" s="26" t="str">
        <f>IF(OR(E5866="",E5866="!!!",F5866="NEW"),"",INDEX(B5865:B$2,-1+SUMPRODUCT(MAX(ROW(E5865:E$2)*(E5866=E5865:E$2)))))</f>
        <v> </v>
      </c>
      <c r="J5866" s="26" t="str">
        <f>IF(OR(E5866="",E5866="!!!",F5866="NEW"),"",COUNTBLANK(OFFSET(A$1,,,SUMPRODUCT(MAX(ROW(E$2:E5866)*(E5866=E$2:E5866)))))-COUNTBLANK(OFFSET(A$1,,,SUMPRODUCT(MAX(ROW(E$1:E5865)*(E2=E$1:E5865))))))</f>
        <v> </v>
      </c>
      <c r="K5866" s="26" t="str">
        <f>IF(OR(E5866="",E5866="!!!",F5866="NEW"),"",INDEX(J$1:J5865,SUMPRODUCT(MAX(ROW(E$1:E5865)*(E5866=E$1:E5865)))))</f>
        <v> </v>
      </c>
      <c r="L5866" s="27"/>
    </row>
    <row r="5867" spans="1:12">
      <c r="A5867" s="20" t="s">
        <v>3039</v>
      </c>
      <c r="E5867" s="22">
        <f>IF(D5867="?OLD","!!!","")</f>
        <v/>
      </c>
      <c r="F5867" s="23" t="str">
        <f>IF(OR(E5867="",E5867="!!!"),"",IF(NOT(ISNA(VLOOKUP(E5867,E$1:E5866,1,FALSE()))),"OLD",IF(AND(E5867&lt;&gt;"",E5867&lt;&gt;"!!!"),"NEW","")))</f>
        <v> </v>
      </c>
      <c r="G5867" s="24" t="str">
        <f>IF(OR(E5867="",E5867="!!!"),"",IF(OR(J5867=0,AND(J5867=1,K5867=1),AND(J5867=1,I5867="SBJ"),AND(J5867=1,I5867=0)),"?IN_FOCUS",IF(J5867&lt;=2,"?ACTIVATED",IF(J5867&lt;&gt;"","?FAMILIAR",IF(F5867="NEW",IF(ISNA(VLOOKUP(E5867,#REF!,1,FALSE())),"?TYPE_IDENTIFIABLE","?REFERENTIAL"),"_")))))</f>
        <v> </v>
      </c>
      <c r="H5867" s="25" t="str">
        <f>IF(J5867&lt;&gt;1,"",IF(I5867="SBJ","CB","?"))</f>
        <v> </v>
      </c>
      <c r="I5867" s="26" t="str">
        <f>IF(OR(E5867="",E5867="!!!",F5867="NEW"),"",INDEX(B5866:B$2,-1+SUMPRODUCT(MAX(ROW(E5866:E$2)*(E5867=E5866:E$2)))))</f>
        <v> </v>
      </c>
      <c r="J5867" s="26" t="str">
        <f>IF(OR(E5867="",E5867="!!!",F5867="NEW"),"",COUNTBLANK(OFFSET(A$1,,,SUMPRODUCT(MAX(ROW(E$2:E5867)*(E5867=E$2:E5867)))))-COUNTBLANK(OFFSET(A$1,,,SUMPRODUCT(MAX(ROW(E$1:E5866)*(E2=E$1:E5866))))))</f>
        <v> </v>
      </c>
      <c r="K5867" s="26" t="str">
        <f>IF(OR(E5867="",E5867="!!!",F5867="NEW"),"",INDEX(J$1:J5866,SUMPRODUCT(MAX(ROW(E$1:E5866)*(E5867=E$1:E5866)))))</f>
        <v> </v>
      </c>
      <c r="L5867" s="27"/>
    </row>
    <row r="5868" spans="1:12">
      <c r="A5868" s="20" t="s">
        <v>1323</v>
      </c>
      <c r="E5868" s="22">
        <f>IF(D5868="?OLD","!!!","")</f>
        <v/>
      </c>
      <c r="F5868" s="23" t="str">
        <f>IF(OR(E5868="",E5868="!!!"),"",IF(NOT(ISNA(VLOOKUP(E5868,E$1:E5867,1,FALSE()))),"OLD",IF(AND(E5868&lt;&gt;"",E5868&lt;&gt;"!!!"),"NEW","")))</f>
        <v> </v>
      </c>
      <c r="G5868" s="24" t="str">
        <f>IF(OR(E5868="",E5868="!!!"),"",IF(OR(J5868=0,AND(J5868=1,K5868=1),AND(J5868=1,I5868="SBJ"),AND(J5868=1,I5868=0)),"?IN_FOCUS",IF(J5868&lt;=2,"?ACTIVATED",IF(J5868&lt;&gt;"","?FAMILIAR",IF(F5868="NEW",IF(ISNA(VLOOKUP(E5868,#REF!,1,FALSE())),"?TYPE_IDENTIFIABLE","?REFERENTIAL"),"_")))))</f>
        <v> </v>
      </c>
      <c r="H5868" s="25" t="str">
        <f>IF(J5868&lt;&gt;1,"",IF(I5868="SBJ","CB","?"))</f>
        <v> </v>
      </c>
      <c r="I5868" s="26" t="str">
        <f>IF(OR(E5868="",E5868="!!!",F5868="NEW"),"",INDEX(B5867:B$2,-1+SUMPRODUCT(MAX(ROW(E5867:E$2)*(E5868=E5867:E$2)))))</f>
        <v> </v>
      </c>
      <c r="J5868" s="26" t="str">
        <f>IF(OR(E5868="",E5868="!!!",F5868="NEW"),"",COUNTBLANK(OFFSET(A$1,,,SUMPRODUCT(MAX(ROW(E$2:E5868)*(E5868=E$2:E5868)))))-COUNTBLANK(OFFSET(A$1,,,SUMPRODUCT(MAX(ROW(E$1:E5867)*(E2=E$1:E5867))))))</f>
        <v> </v>
      </c>
      <c r="K5868" s="26" t="str">
        <f>IF(OR(E5868="",E5868="!!!",F5868="NEW"),"",INDEX(J$1:J5867,SUMPRODUCT(MAX(ROW(E$1:E5867)*(E5868=E$1:E5867)))))</f>
        <v> </v>
      </c>
      <c r="L5868" s="27"/>
    </row>
    <row r="5869" spans="1:12">
      <c r="A5869" s="20" t="s">
        <v>2185</v>
      </c>
      <c r="B5869" s="21" t="s">
        <v>1249</v>
      </c>
      <c r="C5869" s="21" t="s">
        <v>1269</v>
      </c>
      <c r="D5869" s="21" t="s">
        <v>1217</v>
      </c>
      <c r="E5869" s="22">
        <f>IF(D5869="?OLD","!!!","")</f>
        <v/>
      </c>
      <c r="F5869" s="23" t="str">
        <f>IF(OR(E5869="",E5869="!!!"),"",IF(NOT(ISNA(VLOOKUP(E5869,E$1:E5868,1,FALSE()))),"OLD",IF(AND(E5869&lt;&gt;"",E5869&lt;&gt;"!!!"),"NEW","")))</f>
        <v> </v>
      </c>
      <c r="G5869" s="24" t="str">
        <f>IF(OR(E5869="",E5869="!!!"),"",IF(OR(J5869=0,AND(J5869=1,K5869=1),AND(J5869=1,I5869="SBJ"),AND(J5869=1,I5869=0)),"?IN_FOCUS",IF(J5869&lt;=2,"?ACTIVATED",IF(J5869&lt;&gt;"","?FAMILIAR",IF(F5869="NEW",IF(ISNA(VLOOKUP(E5869,#REF!,1,FALSE())),"?TYPE_IDENTIFIABLE","?REFERENTIAL"),"_")))))</f>
        <v> </v>
      </c>
      <c r="H5869" s="25" t="str">
        <f>IF(J5869&lt;&gt;1,"",IF(I5869="SBJ","CB","?"))</f>
        <v> </v>
      </c>
      <c r="I5869" s="26" t="str">
        <f>IF(OR(E5869="",E5869="!!!",F5869="NEW"),"",INDEX(B5868:B$2,-1+SUMPRODUCT(MAX(ROW(E5868:E$2)*(E5869=E5868:E$2)))))</f>
        <v> </v>
      </c>
      <c r="J5869" s="26" t="str">
        <f>IF(OR(E5869="",E5869="!!!",F5869="NEW"),"",COUNTBLANK(OFFSET(A$1,,,SUMPRODUCT(MAX(ROW(E$2:E5869)*(E5869=E$2:E5869)))))-COUNTBLANK(OFFSET(A$1,,,SUMPRODUCT(MAX(ROW(E$1:E5868)*(E2=E$1:E5868))))))</f>
        <v> </v>
      </c>
      <c r="K5869" s="26" t="str">
        <f>IF(OR(E5869="",E5869="!!!",F5869="NEW"),"",INDEX(J$1:J5868,SUMPRODUCT(MAX(ROW(E$1:E5868)*(E5869=E$1:E5868)))))</f>
        <v> </v>
      </c>
      <c r="L5869" s="27"/>
    </row>
    <row r="5870" spans="1:12">
      <c r="A5870" s="20" t="s">
        <v>1245</v>
      </c>
      <c r="E5870" s="22">
        <f>IF(D5870="?OLD","!!!","")</f>
        <v/>
      </c>
      <c r="F5870" s="23" t="str">
        <f>IF(OR(E5870="",E5870="!!!"),"",IF(NOT(ISNA(VLOOKUP(E5870,E$1:E5869,1,FALSE()))),"OLD",IF(AND(E5870&lt;&gt;"",E5870&lt;&gt;"!!!"),"NEW","")))</f>
        <v> </v>
      </c>
      <c r="G5870" s="24" t="str">
        <f>IF(OR(E5870="",E5870="!!!"),"",IF(OR(J5870=0,AND(J5870=1,K5870=1),AND(J5870=1,I5870="SBJ"),AND(J5870=1,I5870=0)),"?IN_FOCUS",IF(J5870&lt;=2,"?ACTIVATED",IF(J5870&lt;&gt;"","?FAMILIAR",IF(F5870="NEW",IF(ISNA(VLOOKUP(E5870,#REF!,1,FALSE())),"?TYPE_IDENTIFIABLE","?REFERENTIAL"),"_")))))</f>
        <v> </v>
      </c>
      <c r="H5870" s="25" t="str">
        <f>IF(J5870&lt;&gt;1,"",IF(I5870="SBJ","CB","?"))</f>
        <v> </v>
      </c>
      <c r="I5870" s="26" t="str">
        <f>IF(OR(E5870="",E5870="!!!",F5870="NEW"),"",INDEX(B5869:B$2,-1+SUMPRODUCT(MAX(ROW(E5869:E$2)*(E5870=E5869:E$2)))))</f>
        <v> </v>
      </c>
      <c r="J5870" s="26" t="str">
        <f>IF(OR(E5870="",E5870="!!!",F5870="NEW"),"",COUNTBLANK(OFFSET(A$1,,,SUMPRODUCT(MAX(ROW(E$2:E5870)*(E5870=E$2:E5870)))))-COUNTBLANK(OFFSET(A$1,,,SUMPRODUCT(MAX(ROW(E$1:E5869)*(E2=E$1:E5869))))))</f>
        <v> </v>
      </c>
      <c r="K5870" s="26" t="str">
        <f>IF(OR(E5870="",E5870="!!!",F5870="NEW"),"",INDEX(J$1:J5869,SUMPRODUCT(MAX(ROW(E$1:E5869)*(E5870=E$1:E5869)))))</f>
        <v> </v>
      </c>
      <c r="L5870" s="27"/>
    </row>
    <row r="5871" spans="1:12">
      <c r="A5871" s="20" t="s">
        <v>1235</v>
      </c>
      <c r="E5871" s="22">
        <f>IF(D5871="?OLD","!!!","")</f>
        <v/>
      </c>
      <c r="F5871" s="23" t="str">
        <f>IF(OR(E5871="",E5871="!!!"),"",IF(NOT(ISNA(VLOOKUP(E5871,E$1:E5870,1,FALSE()))),"OLD",IF(AND(E5871&lt;&gt;"",E5871&lt;&gt;"!!!"),"NEW","")))</f>
        <v> </v>
      </c>
      <c r="G5871" s="24" t="str">
        <f>IF(OR(E5871="",E5871="!!!"),"",IF(OR(J5871=0,AND(J5871=1,K5871=1),AND(J5871=1,I5871="SBJ"),AND(J5871=1,I5871=0)),"?IN_FOCUS",IF(J5871&lt;=2,"?ACTIVATED",IF(J5871&lt;&gt;"","?FAMILIAR",IF(F5871="NEW",IF(ISNA(VLOOKUP(E5871,#REF!,1,FALSE())),"?TYPE_IDENTIFIABLE","?REFERENTIAL"),"_")))))</f>
        <v> </v>
      </c>
      <c r="H5871" s="25" t="str">
        <f>IF(J5871&lt;&gt;1,"",IF(I5871="SBJ","CB","?"))</f>
        <v> </v>
      </c>
      <c r="I5871" s="26" t="str">
        <f>IF(OR(E5871="",E5871="!!!",F5871="NEW"),"",INDEX(B5870:B$2,-1+SUMPRODUCT(MAX(ROW(E5870:E$2)*(E5871=E5870:E$2)))))</f>
        <v> </v>
      </c>
      <c r="J5871" s="26" t="str">
        <f>IF(OR(E5871="",E5871="!!!",F5871="NEW"),"",COUNTBLANK(OFFSET(A$1,,,SUMPRODUCT(MAX(ROW(E$2:E5871)*(E5871=E$2:E5871)))))-COUNTBLANK(OFFSET(A$1,,,SUMPRODUCT(MAX(ROW(E$1:E5870)*(E2=E$1:E5870))))))</f>
        <v> </v>
      </c>
      <c r="K5871" s="26" t="str">
        <f>IF(OR(E5871="",E5871="!!!",F5871="NEW"),"",INDEX(J$1:J5870,SUMPRODUCT(MAX(ROW(E$1:E5870)*(E5871=E$1:E5870)))))</f>
        <v> </v>
      </c>
      <c r="L5871" s="27"/>
    </row>
    <row r="5872" spans="1:12">
      <c r="A5872" s="20" t="s">
        <v>2019</v>
      </c>
      <c r="B5872" s="21" t="s">
        <v>1221</v>
      </c>
      <c r="C5872" s="21" t="s">
        <v>1238</v>
      </c>
      <c r="E5872" s="22">
        <f>IF(D5872="?OLD","!!!","")</f>
        <v/>
      </c>
      <c r="F5872" s="23" t="str">
        <f>IF(OR(E5872="",E5872="!!!"),"",IF(NOT(ISNA(VLOOKUP(E5872,E$1:E5871,1,FALSE()))),"OLD",IF(AND(E5872&lt;&gt;"",E5872&lt;&gt;"!!!"),"NEW","")))</f>
        <v> </v>
      </c>
      <c r="G5872" s="24" t="str">
        <f>IF(OR(E5872="",E5872="!!!"),"",IF(OR(J5872=0,AND(J5872=1,K5872=1),AND(J5872=1,I5872="SBJ"),AND(J5872=1,I5872=0)),"?IN_FOCUS",IF(J5872&lt;=2,"?ACTIVATED",IF(J5872&lt;&gt;"","?FAMILIAR",IF(F5872="NEW",IF(ISNA(VLOOKUP(E5872,#REF!,1,FALSE())),"?TYPE_IDENTIFIABLE","?REFERENTIAL"),"_")))))</f>
        <v> </v>
      </c>
      <c r="H5872" s="25" t="str">
        <f>IF(J5872&lt;&gt;1,"",IF(I5872="SBJ","CB","?"))</f>
        <v> </v>
      </c>
      <c r="I5872" s="26" t="str">
        <f>IF(OR(E5872="",E5872="!!!",F5872="NEW"),"",INDEX(B5871:B$2,-1+SUMPRODUCT(MAX(ROW(E5871:E$2)*(E5872=E5871:E$2)))))</f>
        <v> </v>
      </c>
      <c r="J5872" s="26" t="str">
        <f>IF(OR(E5872="",E5872="!!!",F5872="NEW"),"",COUNTBLANK(OFFSET(A$1,,,SUMPRODUCT(MAX(ROW(E$2:E5872)*(E5872=E$2:E5872)))))-COUNTBLANK(OFFSET(A$1,,,SUMPRODUCT(MAX(ROW(E$1:E5871)*(E2=E$1:E5871))))))</f>
        <v> </v>
      </c>
      <c r="K5872" s="26" t="str">
        <f>IF(OR(E5872="",E5872="!!!",F5872="NEW"),"",INDEX(J$1:J5871,SUMPRODUCT(MAX(ROW(E$1:E5871)*(E5872=E$1:E5871)))))</f>
        <v> </v>
      </c>
      <c r="L5872" s="27"/>
    </row>
    <row r="5873" spans="1:12">
      <c r="A5873" s="20" t="s">
        <v>1596</v>
      </c>
      <c r="E5873" s="22">
        <f>IF(D5873="?OLD","!!!","")</f>
        <v/>
      </c>
      <c r="F5873" s="23" t="str">
        <f>IF(OR(E5873="",E5873="!!!"),"",IF(NOT(ISNA(VLOOKUP(E5873,E$1:E5872,1,FALSE()))),"OLD",IF(AND(E5873&lt;&gt;"",E5873&lt;&gt;"!!!"),"NEW","")))</f>
        <v> </v>
      </c>
      <c r="G5873" s="24" t="str">
        <f>IF(OR(E5873="",E5873="!!!"),"",IF(OR(J5873=0,AND(J5873=1,K5873=1),AND(J5873=1,I5873="SBJ"),AND(J5873=1,I5873=0)),"?IN_FOCUS",IF(J5873&lt;=2,"?ACTIVATED",IF(J5873&lt;&gt;"","?FAMILIAR",IF(F5873="NEW",IF(ISNA(VLOOKUP(E5873,#REF!,1,FALSE())),"?TYPE_IDENTIFIABLE","?REFERENTIAL"),"_")))))</f>
        <v> </v>
      </c>
      <c r="H5873" s="25" t="str">
        <f>IF(J5873&lt;&gt;1,"",IF(I5873="SBJ","CB","?"))</f>
        <v> </v>
      </c>
      <c r="I5873" s="26" t="str">
        <f>IF(OR(E5873="",E5873="!!!",F5873="NEW"),"",INDEX(B5872:B$2,-1+SUMPRODUCT(MAX(ROW(E5872:E$2)*(E5873=E5872:E$2)))))</f>
        <v> </v>
      </c>
      <c r="J5873" s="26" t="str">
        <f>IF(OR(E5873="",E5873="!!!",F5873="NEW"),"",COUNTBLANK(OFFSET(A$1,,,SUMPRODUCT(MAX(ROW(E$2:E5873)*(E5873=E$2:E5873)))))-COUNTBLANK(OFFSET(A$1,,,SUMPRODUCT(MAX(ROW(E$1:E5872)*(E2=E$1:E5872))))))</f>
        <v> </v>
      </c>
      <c r="K5873" s="26" t="str">
        <f>IF(OR(E5873="",E5873="!!!",F5873="NEW"),"",INDEX(J$1:J5872,SUMPRODUCT(MAX(ROW(E$1:E5872)*(E5873=E$1:E5872)))))</f>
        <v> </v>
      </c>
      <c r="L5873" s="27"/>
    </row>
    <row r="5874" spans="1:12">
      <c r="A5874" s="20" t="s">
        <v>2511</v>
      </c>
      <c r="E5874" s="22">
        <f>IF(D5874="?OLD","!!!","")</f>
        <v/>
      </c>
      <c r="F5874" s="23" t="str">
        <f>IF(OR(E5874="",E5874="!!!"),"",IF(NOT(ISNA(VLOOKUP(E5874,E$1:E5873,1,FALSE()))),"OLD",IF(AND(E5874&lt;&gt;"",E5874&lt;&gt;"!!!"),"NEW","")))</f>
        <v> </v>
      </c>
      <c r="G5874" s="24" t="str">
        <f>IF(OR(E5874="",E5874="!!!"),"",IF(OR(J5874=0,AND(J5874=1,K5874=1),AND(J5874=1,I5874="SBJ"),AND(J5874=1,I5874=0)),"?IN_FOCUS",IF(J5874&lt;=2,"?ACTIVATED",IF(J5874&lt;&gt;"","?FAMILIAR",IF(F5874="NEW",IF(ISNA(VLOOKUP(E5874,#REF!,1,FALSE())),"?TYPE_IDENTIFIABLE","?REFERENTIAL"),"_")))))</f>
        <v> </v>
      </c>
      <c r="H5874" s="25" t="str">
        <f>IF(J5874&lt;&gt;1,"",IF(I5874="SBJ","CB","?"))</f>
        <v> </v>
      </c>
      <c r="I5874" s="26" t="str">
        <f>IF(OR(E5874="",E5874="!!!",F5874="NEW"),"",INDEX(B5873:B$2,-1+SUMPRODUCT(MAX(ROW(E5873:E$2)*(E5874=E5873:E$2)))))</f>
        <v> </v>
      </c>
      <c r="J5874" s="26" t="str">
        <f>IF(OR(E5874="",E5874="!!!",F5874="NEW"),"",COUNTBLANK(OFFSET(A$1,,,SUMPRODUCT(MAX(ROW(E$2:E5874)*(E5874=E$2:E5874)))))-COUNTBLANK(OFFSET(A$1,,,SUMPRODUCT(MAX(ROW(E$1:E5873)*(E2=E$1:E5873))))))</f>
        <v> </v>
      </c>
      <c r="K5874" s="26" t="str">
        <f>IF(OR(E5874="",E5874="!!!",F5874="NEW"),"",INDEX(J$1:J5873,SUMPRODUCT(MAX(ROW(E$1:E5873)*(E5874=E$1:E5873)))))</f>
        <v> </v>
      </c>
      <c r="L5874" s="27"/>
    </row>
    <row r="5875" spans="1:12">
      <c r="A5875" s="20" t="s">
        <v>1321</v>
      </c>
      <c r="E5875" s="22">
        <f>IF(D5875="?OLD","!!!","")</f>
        <v/>
      </c>
      <c r="F5875" s="23" t="str">
        <f>IF(OR(E5875="",E5875="!!!"),"",IF(NOT(ISNA(VLOOKUP(E5875,E$1:E5874,1,FALSE()))),"OLD",IF(AND(E5875&lt;&gt;"",E5875&lt;&gt;"!!!"),"NEW","")))</f>
        <v> </v>
      </c>
      <c r="G5875" s="24" t="str">
        <f>IF(OR(E5875="",E5875="!!!"),"",IF(OR(J5875=0,AND(J5875=1,K5875=1),AND(J5875=1,I5875="SBJ"),AND(J5875=1,I5875=0)),"?IN_FOCUS",IF(J5875&lt;=2,"?ACTIVATED",IF(J5875&lt;&gt;"","?FAMILIAR",IF(F5875="NEW",IF(ISNA(VLOOKUP(E5875,#REF!,1,FALSE())),"?TYPE_IDENTIFIABLE","?REFERENTIAL"),"_")))))</f>
        <v> </v>
      </c>
      <c r="H5875" s="25" t="str">
        <f>IF(J5875&lt;&gt;1,"",IF(I5875="SBJ","CB","?"))</f>
        <v> </v>
      </c>
      <c r="I5875" s="26" t="str">
        <f>IF(OR(E5875="",E5875="!!!",F5875="NEW"),"",INDEX(B5874:B$2,-1+SUMPRODUCT(MAX(ROW(E5874:E$2)*(E5875=E5874:E$2)))))</f>
        <v> </v>
      </c>
      <c r="J5875" s="26" t="str">
        <f>IF(OR(E5875="",E5875="!!!",F5875="NEW"),"",COUNTBLANK(OFFSET(A$1,,,SUMPRODUCT(MAX(ROW(E$2:E5875)*(E5875=E$2:E5875)))))-COUNTBLANK(OFFSET(A$1,,,SUMPRODUCT(MAX(ROW(E$1:E5874)*(E2=E$1:E5874))))))</f>
        <v> </v>
      </c>
      <c r="K5875" s="26" t="str">
        <f>IF(OR(E5875="",E5875="!!!",F5875="NEW"),"",INDEX(J$1:J5874,SUMPRODUCT(MAX(ROW(E$1:E5874)*(E5875=E$1:E5874)))))</f>
        <v> </v>
      </c>
      <c r="L5875" s="27"/>
    </row>
    <row r="5876" spans="1:12">
      <c r="A5876" s="20" t="s">
        <v>180</v>
      </c>
      <c r="B5876" s="21" t="s">
        <v>1226</v>
      </c>
      <c r="C5876" s="21" t="s">
        <v>1234</v>
      </c>
      <c r="D5876" s="21" t="s">
        <v>1217</v>
      </c>
      <c r="E5876" s="22">
        <f>IF(D5876="?OLD","!!!","")</f>
        <v/>
      </c>
      <c r="F5876" s="23" t="str">
        <f>IF(OR(E5876="",E5876="!!!"),"",IF(NOT(ISNA(VLOOKUP(E5876,E$1:E5875,1,FALSE()))),"OLD",IF(AND(E5876&lt;&gt;"",E5876&lt;&gt;"!!!"),"NEW","")))</f>
        <v> </v>
      </c>
      <c r="G5876" s="24" t="str">
        <f>IF(OR(E5876="",E5876="!!!"),"",IF(OR(J5876=0,AND(J5876=1,K5876=1),AND(J5876=1,I5876="SBJ"),AND(J5876=1,I5876=0)),"?IN_FOCUS",IF(J5876&lt;=2,"?ACTIVATED",IF(J5876&lt;&gt;"","?FAMILIAR",IF(F5876="NEW",IF(ISNA(VLOOKUP(E5876,#REF!,1,FALSE())),"?TYPE_IDENTIFIABLE","?REFERENTIAL"),"_")))))</f>
        <v> </v>
      </c>
      <c r="H5876" s="25" t="str">
        <f>IF(J5876&lt;&gt;1,"",IF(I5876="SBJ","CB","?"))</f>
        <v> </v>
      </c>
      <c r="I5876" s="26" t="str">
        <f>IF(OR(E5876="",E5876="!!!",F5876="NEW"),"",INDEX(B5875:B$2,-1+SUMPRODUCT(MAX(ROW(E5875:E$2)*(E5876=E5875:E$2)))))</f>
        <v> </v>
      </c>
      <c r="J5876" s="26" t="str">
        <f>IF(OR(E5876="",E5876="!!!",F5876="NEW"),"",COUNTBLANK(OFFSET(A$1,,,SUMPRODUCT(MAX(ROW(E$2:E5876)*(E5876=E$2:E5876)))))-COUNTBLANK(OFFSET(A$1,,,SUMPRODUCT(MAX(ROW(E$1:E5875)*(E2=E$1:E5875))))))</f>
        <v> </v>
      </c>
      <c r="K5876" s="26" t="str">
        <f>IF(OR(E5876="",E5876="!!!",F5876="NEW"),"",INDEX(J$1:J5875,SUMPRODUCT(MAX(ROW(E$1:E5875)*(E5876=E$1:E5875)))))</f>
        <v> </v>
      </c>
      <c r="L5876" s="27"/>
    </row>
    <row r="5877" spans="1:12">
      <c r="A5877" s="20" t="s">
        <v>1251</v>
      </c>
      <c r="B5877" s="21" t="s">
        <v>1748</v>
      </c>
      <c r="E5877" s="22">
        <f>IF(D5877="?OLD","!!!","")</f>
        <v/>
      </c>
      <c r="F5877" s="23" t="str">
        <f>IF(OR(E5877="",E5877="!!!"),"",IF(NOT(ISNA(VLOOKUP(E5877,E$1:E5876,1,FALSE()))),"OLD",IF(AND(E5877&lt;&gt;"",E5877&lt;&gt;"!!!"),"NEW","")))</f>
        <v> </v>
      </c>
      <c r="G5877" s="24" t="str">
        <f>IF(OR(E5877="",E5877="!!!"),"",IF(OR(J5877=0,AND(J5877=1,K5877=1),AND(J5877=1,I5877="SBJ"),AND(J5877=1,I5877=0)),"?IN_FOCUS",IF(J5877&lt;=2,"?ACTIVATED",IF(J5877&lt;&gt;"","?FAMILIAR",IF(F5877="NEW",IF(ISNA(VLOOKUP(E5877,#REF!,1,FALSE())),"?TYPE_IDENTIFIABLE","?REFERENTIAL"),"_")))))</f>
        <v> </v>
      </c>
      <c r="H5877" s="25" t="str">
        <f>IF(J5877&lt;&gt;1,"",IF(I5877="SBJ","CB","?"))</f>
        <v> </v>
      </c>
      <c r="I5877" s="26" t="str">
        <f>IF(OR(E5877="",E5877="!!!",F5877="NEW"),"",INDEX(B5876:B$2,-1+SUMPRODUCT(MAX(ROW(E5876:E$2)*(E5877=E5876:E$2)))))</f>
        <v> </v>
      </c>
      <c r="J5877" s="26" t="str">
        <f>IF(OR(E5877="",E5877="!!!",F5877="NEW"),"",COUNTBLANK(OFFSET(A$1,,,SUMPRODUCT(MAX(ROW(E$2:E5877)*(E5877=E$2:E5877)))))-COUNTBLANK(OFFSET(A$1,,,SUMPRODUCT(MAX(ROW(E$1:E5876)*(E2=E$1:E5876))))))</f>
        <v> </v>
      </c>
      <c r="K5877" s="26" t="str">
        <f>IF(OR(E5877="",E5877="!!!",F5877="NEW"),"",INDEX(J$1:J5876,SUMPRODUCT(MAX(ROW(E$1:E5876)*(E5877=E$1:E5876)))))</f>
        <v> </v>
      </c>
      <c r="L5877" s="27"/>
    </row>
    <row r="5878" spans="1:12">
      <c r="A5878" s="20" t="s">
        <v>3040</v>
      </c>
      <c r="E5878" s="22">
        <f>IF(D5878="?OLD","!!!","")</f>
        <v/>
      </c>
      <c r="F5878" s="23" t="str">
        <f>IF(OR(E5878="",E5878="!!!"),"",IF(NOT(ISNA(VLOOKUP(E5878,E$1:E5877,1,FALSE()))),"OLD",IF(AND(E5878&lt;&gt;"",E5878&lt;&gt;"!!!"),"NEW","")))</f>
        <v> </v>
      </c>
      <c r="G5878" s="24" t="str">
        <f>IF(OR(E5878="",E5878="!!!"),"",IF(OR(J5878=0,AND(J5878=1,K5878=1),AND(J5878=1,I5878="SBJ"),AND(J5878=1,I5878=0)),"?IN_FOCUS",IF(J5878&lt;=2,"?ACTIVATED",IF(J5878&lt;&gt;"","?FAMILIAR",IF(F5878="NEW",IF(ISNA(VLOOKUP(E5878,#REF!,1,FALSE())),"?TYPE_IDENTIFIABLE","?REFERENTIAL"),"_")))))</f>
        <v> </v>
      </c>
      <c r="H5878" s="25" t="str">
        <f>IF(J5878&lt;&gt;1,"",IF(I5878="SBJ","CB","?"))</f>
        <v> </v>
      </c>
      <c r="I5878" s="26" t="str">
        <f>IF(OR(E5878="",E5878="!!!",F5878="NEW"),"",INDEX(B5877:B$2,-1+SUMPRODUCT(MAX(ROW(E5877:E$2)*(E5878=E5877:E$2)))))</f>
        <v> </v>
      </c>
      <c r="J5878" s="26" t="str">
        <f>IF(OR(E5878="",E5878="!!!",F5878="NEW"),"",COUNTBLANK(OFFSET(A$1,,,SUMPRODUCT(MAX(ROW(E$2:E5878)*(E5878=E$2:E5878)))))-COUNTBLANK(OFFSET(A$1,,,SUMPRODUCT(MAX(ROW(E$1:E5877)*(E2=E$1:E5877))))))</f>
        <v> </v>
      </c>
      <c r="K5878" s="26" t="str">
        <f>IF(OR(E5878="",E5878="!!!",F5878="NEW"),"",INDEX(J$1:J5877,SUMPRODUCT(MAX(ROW(E$1:E5877)*(E5878=E$1:E5877)))))</f>
        <v> </v>
      </c>
      <c r="L5878" s="27"/>
    </row>
    <row r="5879" spans="1:12">
      <c r="A5879" s="20" t="s">
        <v>3041</v>
      </c>
      <c r="B5879" s="21" t="s">
        <v>1894</v>
      </c>
      <c r="C5879" s="21" t="s">
        <v>1279</v>
      </c>
      <c r="E5879" s="22">
        <f>IF(D5879="?OLD","!!!","")</f>
        <v/>
      </c>
      <c r="F5879" s="23" t="str">
        <f>IF(OR(E5879="",E5879="!!!"),"",IF(NOT(ISNA(VLOOKUP(E5879,E$1:E5878,1,FALSE()))),"OLD",IF(AND(E5879&lt;&gt;"",E5879&lt;&gt;"!!!"),"NEW","")))</f>
        <v> </v>
      </c>
      <c r="G5879" s="24" t="str">
        <f>IF(OR(E5879="",E5879="!!!"),"",IF(OR(J5879=0,AND(J5879=1,K5879=1),AND(J5879=1,I5879="SBJ"),AND(J5879=1,I5879=0)),"?IN_FOCUS",IF(J5879&lt;=2,"?ACTIVATED",IF(J5879&lt;&gt;"","?FAMILIAR",IF(F5879="NEW",IF(ISNA(VLOOKUP(E5879,#REF!,1,FALSE())),"?TYPE_IDENTIFIABLE","?REFERENTIAL"),"_")))))</f>
        <v> </v>
      </c>
      <c r="H5879" s="25" t="str">
        <f>IF(J5879&lt;&gt;1,"",IF(I5879="SBJ","CB","?"))</f>
        <v> </v>
      </c>
      <c r="I5879" s="26" t="str">
        <f>IF(OR(E5879="",E5879="!!!",F5879="NEW"),"",INDEX(B5878:B$2,-1+SUMPRODUCT(MAX(ROW(E5878:E$2)*(E5879=E5878:E$2)))))</f>
        <v> </v>
      </c>
      <c r="J5879" s="26" t="str">
        <f>IF(OR(E5879="",E5879="!!!",F5879="NEW"),"",COUNTBLANK(OFFSET(A$1,,,SUMPRODUCT(MAX(ROW(E$2:E5879)*(E5879=E$2:E5879)))))-COUNTBLANK(OFFSET(A$1,,,SUMPRODUCT(MAX(ROW(E$1:E5878)*(E2=E$1:E5878))))))</f>
        <v> </v>
      </c>
      <c r="K5879" s="26" t="str">
        <f>IF(OR(E5879="",E5879="!!!",F5879="NEW"),"",INDEX(J$1:J5878,SUMPRODUCT(MAX(ROW(E$1:E5878)*(E5879=E$1:E5878)))))</f>
        <v> </v>
      </c>
      <c r="L5879" s="27"/>
    </row>
    <row r="5880" spans="1:12">
      <c r="A5880" s="20" t="s">
        <v>1262</v>
      </c>
      <c r="E5880" s="22">
        <f>IF(D5880="?OLD","!!!","")</f>
        <v/>
      </c>
      <c r="F5880" s="23" t="str">
        <f>IF(OR(E5880="",E5880="!!!"),"",IF(NOT(ISNA(VLOOKUP(E5880,E$1:E5879,1,FALSE()))),"OLD",IF(AND(E5880&lt;&gt;"",E5880&lt;&gt;"!!!"),"NEW","")))</f>
        <v> </v>
      </c>
      <c r="G5880" s="24" t="str">
        <f>IF(OR(E5880="",E5880="!!!"),"",IF(OR(J5880=0,AND(J5880=1,K5880=1),AND(J5880=1,I5880="SBJ"),AND(J5880=1,I5880=0)),"?IN_FOCUS",IF(J5880&lt;=2,"?ACTIVATED",IF(J5880&lt;&gt;"","?FAMILIAR",IF(F5880="NEW",IF(ISNA(VLOOKUP(E5880,#REF!,1,FALSE())),"?TYPE_IDENTIFIABLE","?REFERENTIAL"),"_")))))</f>
        <v> </v>
      </c>
      <c r="H5880" s="25" t="str">
        <f>IF(J5880&lt;&gt;1,"",IF(I5880="SBJ","CB","?"))</f>
        <v> </v>
      </c>
      <c r="I5880" s="26" t="str">
        <f>IF(OR(E5880="",E5880="!!!",F5880="NEW"),"",INDEX(B5879:B$2,-1+SUMPRODUCT(MAX(ROW(E5879:E$2)*(E5880=E5879:E$2)))))</f>
        <v> </v>
      </c>
      <c r="J5880" s="26" t="str">
        <f>IF(OR(E5880="",E5880="!!!",F5880="NEW"),"",COUNTBLANK(OFFSET(A$1,,,SUMPRODUCT(MAX(ROW(E$2:E5880)*(E5880=E$2:E5880)))))-COUNTBLANK(OFFSET(A$1,,,SUMPRODUCT(MAX(ROW(E$1:E5879)*(E2=E$1:E5879))))))</f>
        <v> </v>
      </c>
      <c r="K5880" s="26" t="str">
        <f>IF(OR(E5880="",E5880="!!!",F5880="NEW"),"",INDEX(J$1:J5879,SUMPRODUCT(MAX(ROW(E$1:E5879)*(E5880=E$1:E5879)))))</f>
        <v> </v>
      </c>
      <c r="L5880" s="27"/>
    </row>
    <row r="5881" spans="1:12">
      <c r="A5881" s="20"/>
    </row>
    <row r="5882" spans="1:12">
      <c r="A5882" s="20" t="s">
        <v>1542</v>
      </c>
    </row>
    <row r="5883" spans="1:12">
      <c r="A5883" s="20" t="s">
        <v>135</v>
      </c>
      <c r="E5883" s="22">
        <f>IF(D5883="?OLD","!!!","")</f>
        <v/>
      </c>
      <c r="F5883" s="23" t="str">
        <f>IF(OR(E5883="",E5883="!!!"),"",IF(NOT(ISNA(VLOOKUP(E5883,E$1:E5882,1,FALSE()))),"OLD",IF(AND(E5883&lt;&gt;"",E5883&lt;&gt;"!!!"),"NEW","")))</f>
        <v> </v>
      </c>
      <c r="G5883" s="24" t="str">
        <f>IF(OR(E5883="",E5883="!!!"),"",IF(OR(J5883=0,AND(J5883=1,K5883=1),AND(J5883=1,I5883="SBJ"),AND(J5883=1,I5883=0)),"?IN_FOCUS",IF(J5883&lt;=2,"?ACTIVATED",IF(J5883&lt;&gt;"","?FAMILIAR",IF(F5883="NEW",IF(ISNA(VLOOKUP(E5883,#REF!,1,FALSE())),"?TYPE_IDENTIFIABLE","?REFERENTIAL"),"_")))))</f>
        <v> </v>
      </c>
      <c r="H5883" s="25" t="str">
        <f>IF(J5883&lt;&gt;1,"",IF(I5883="SBJ","CB","?"))</f>
        <v> </v>
      </c>
      <c r="I5883" s="26" t="str">
        <f>IF(OR(E5883="",E5883="!!!",F5883="NEW"),"",INDEX(B5882:B$2,-1+SUMPRODUCT(MAX(ROW(E5882:E$2)*(E5883=E5882:E$2)))))</f>
        <v> </v>
      </c>
      <c r="J5883" s="26" t="str">
        <f>IF(OR(E5883="",E5883="!!!",F5883="NEW"),"",COUNTBLANK(OFFSET(A$1,,,SUMPRODUCT(MAX(ROW(E$2:E5883)*(E5883=E$2:E5883)))))-COUNTBLANK(OFFSET(A$1,,,SUMPRODUCT(MAX(ROW(E$1:E5882)*(E2=E$1:E5882))))))</f>
        <v> </v>
      </c>
      <c r="K5883" s="26" t="str">
        <f>IF(OR(E5883="",E5883="!!!",F5883="NEW"),"",INDEX(J$1:J5882,SUMPRODUCT(MAX(ROW(E$1:E5882)*(E5883=E$1:E5882)))))</f>
        <v> </v>
      </c>
      <c r="L5883" s="27"/>
    </row>
    <row r="5884" spans="1:12">
      <c r="A5884" s="20"/>
    </row>
    <row r="5885" spans="1:12">
      <c r="A5885" s="20" t="s">
        <v>3042</v>
      </c>
    </row>
    <row r="5886" spans="1:12">
      <c r="A5886" s="20" t="s">
        <v>2051</v>
      </c>
      <c r="E5886" s="22">
        <f>IF(D5886="?OLD","!!!","")</f>
        <v/>
      </c>
      <c r="F5886" s="23" t="str">
        <f>IF(OR(E5886="",E5886="!!!"),"",IF(NOT(ISNA(VLOOKUP(E5886,E$1:E5885,1,FALSE()))),"OLD",IF(AND(E5886&lt;&gt;"",E5886&lt;&gt;"!!!"),"NEW","")))</f>
        <v> </v>
      </c>
      <c r="G5886" s="24" t="str">
        <f>IF(OR(E5886="",E5886="!!!"),"",IF(OR(J5886=0,AND(J5886=1,K5886=1),AND(J5886=1,I5886="SBJ"),AND(J5886=1,I5886=0)),"?IN_FOCUS",IF(J5886&lt;=2,"?ACTIVATED",IF(J5886&lt;&gt;"","?FAMILIAR",IF(F5886="NEW",IF(ISNA(VLOOKUP(E5886,#REF!,1,FALSE())),"?TYPE_IDENTIFIABLE","?REFERENTIAL"),"_")))))</f>
        <v> </v>
      </c>
      <c r="H5886" s="25" t="str">
        <f>IF(J5886&lt;&gt;1,"",IF(I5886="SBJ","CB","?"))</f>
        <v> </v>
      </c>
      <c r="I5886" s="26" t="str">
        <f>IF(OR(E5886="",E5886="!!!",F5886="NEW"),"",INDEX(B5885:B$2,-1+SUMPRODUCT(MAX(ROW(E5885:E$2)*(E5886=E5885:E$2)))))</f>
        <v> </v>
      </c>
      <c r="J5886" s="26" t="str">
        <f>IF(OR(E5886="",E5886="!!!",F5886="NEW"),"",COUNTBLANK(OFFSET(A$1,,,SUMPRODUCT(MAX(ROW(E$2:E5886)*(E5886=E$2:E5886)))))-COUNTBLANK(OFFSET(A$1,,,SUMPRODUCT(MAX(ROW(E$1:E5885)*(E2=E$1:E5885))))))</f>
        <v> </v>
      </c>
      <c r="K5886" s="26" t="str">
        <f>IF(OR(E5886="",E5886="!!!",F5886="NEW"),"",INDEX(J$1:J5885,SUMPRODUCT(MAX(ROW(E$1:E5885)*(E5886=E$1:E5885)))))</f>
        <v> </v>
      </c>
      <c r="L5886" s="27"/>
    </row>
    <row r="5887" spans="1:12">
      <c r="A5887" s="20" t="s">
        <v>3043</v>
      </c>
      <c r="E5887" s="22">
        <f>IF(D5887="?OLD","!!!","")</f>
        <v/>
      </c>
      <c r="F5887" s="23" t="str">
        <f>IF(OR(E5887="",E5887="!!!"),"",IF(NOT(ISNA(VLOOKUP(E5887,E$1:E5886,1,FALSE()))),"OLD",IF(AND(E5887&lt;&gt;"",E5887&lt;&gt;"!!!"),"NEW","")))</f>
        <v> </v>
      </c>
      <c r="G5887" s="24" t="str">
        <f>IF(OR(E5887="",E5887="!!!"),"",IF(OR(J5887=0,AND(J5887=1,K5887=1),AND(J5887=1,I5887="SBJ"),AND(J5887=1,I5887=0)),"?IN_FOCUS",IF(J5887&lt;=2,"?ACTIVATED",IF(J5887&lt;&gt;"","?FAMILIAR",IF(F5887="NEW",IF(ISNA(VLOOKUP(E5887,#REF!,1,FALSE())),"?TYPE_IDENTIFIABLE","?REFERENTIAL"),"_")))))</f>
        <v> </v>
      </c>
      <c r="H5887" s="25" t="str">
        <f>IF(J5887&lt;&gt;1,"",IF(I5887="SBJ","CB","?"))</f>
        <v> </v>
      </c>
      <c r="I5887" s="26" t="str">
        <f>IF(OR(E5887="",E5887="!!!",F5887="NEW"),"",INDEX(B5886:B$2,-1+SUMPRODUCT(MAX(ROW(E5886:E$2)*(E5887=E5886:E$2)))))</f>
        <v> </v>
      </c>
      <c r="J5887" s="26" t="str">
        <f>IF(OR(E5887="",E5887="!!!",F5887="NEW"),"",COUNTBLANK(OFFSET(A$1,,,SUMPRODUCT(MAX(ROW(E$2:E5887)*(E5887=E$2:E5887)))))-COUNTBLANK(OFFSET(A$1,,,SUMPRODUCT(MAX(ROW(E$1:E5886)*(E2=E$1:E5886))))))</f>
        <v> </v>
      </c>
      <c r="K5887" s="26" t="str">
        <f>IF(OR(E5887="",E5887="!!!",F5887="NEW"),"",INDEX(J$1:J5886,SUMPRODUCT(MAX(ROW(E$1:E5886)*(E5887=E$1:E5886)))))</f>
        <v> </v>
      </c>
      <c r="L5887" s="27"/>
    </row>
    <row r="5888" spans="1:12">
      <c r="A5888" s="20" t="s">
        <v>1586</v>
      </c>
      <c r="E5888" s="22">
        <f>IF(D5888="?OLD","!!!","")</f>
        <v/>
      </c>
      <c r="F5888" s="23" t="str">
        <f>IF(OR(E5888="",E5888="!!!"),"",IF(NOT(ISNA(VLOOKUP(E5888,E$1:E5887,1,FALSE()))),"OLD",IF(AND(E5888&lt;&gt;"",E5888&lt;&gt;"!!!"),"NEW","")))</f>
        <v> </v>
      </c>
      <c r="G5888" s="24" t="str">
        <f>IF(OR(E5888="",E5888="!!!"),"",IF(OR(J5888=0,AND(J5888=1,K5888=1),AND(J5888=1,I5888="SBJ"),AND(J5888=1,I5888=0)),"?IN_FOCUS",IF(J5888&lt;=2,"?ACTIVATED",IF(J5888&lt;&gt;"","?FAMILIAR",IF(F5888="NEW",IF(ISNA(VLOOKUP(E5888,#REF!,1,FALSE())),"?TYPE_IDENTIFIABLE","?REFERENTIAL"),"_")))))</f>
        <v> </v>
      </c>
      <c r="H5888" s="25" t="str">
        <f>IF(J5888&lt;&gt;1,"",IF(I5888="SBJ","CB","?"))</f>
        <v> </v>
      </c>
      <c r="I5888" s="26" t="str">
        <f>IF(OR(E5888="",E5888="!!!",F5888="NEW"),"",INDEX(B5887:B$2,-1+SUMPRODUCT(MAX(ROW(E5887:E$2)*(E5888=E5887:E$2)))))</f>
        <v> </v>
      </c>
      <c r="J5888" s="26" t="str">
        <f>IF(OR(E5888="",E5888="!!!",F5888="NEW"),"",COUNTBLANK(OFFSET(A$1,,,SUMPRODUCT(MAX(ROW(E$2:E5888)*(E5888=E$2:E5888)))))-COUNTBLANK(OFFSET(A$1,,,SUMPRODUCT(MAX(ROW(E$1:E5887)*(E2=E$1:E5887))))))</f>
        <v> </v>
      </c>
      <c r="K5888" s="26" t="str">
        <f>IF(OR(E5888="",E5888="!!!",F5888="NEW"),"",INDEX(J$1:J5887,SUMPRODUCT(MAX(ROW(E$1:E5887)*(E5888=E$1:E5887)))))</f>
        <v> </v>
      </c>
      <c r="L5888" s="27"/>
    </row>
    <row r="5889" spans="1:12">
      <c r="A5889" s="20" t="s">
        <v>3044</v>
      </c>
      <c r="E5889" s="22">
        <f>IF(D5889="?OLD","!!!","")</f>
        <v/>
      </c>
      <c r="F5889" s="23" t="str">
        <f>IF(OR(E5889="",E5889="!!!"),"",IF(NOT(ISNA(VLOOKUP(E5889,E$1:E5888,1,FALSE()))),"OLD",IF(AND(E5889&lt;&gt;"",E5889&lt;&gt;"!!!"),"NEW","")))</f>
        <v> </v>
      </c>
      <c r="G5889" s="24" t="str">
        <f>IF(OR(E5889="",E5889="!!!"),"",IF(OR(J5889=0,AND(J5889=1,K5889=1),AND(J5889=1,I5889="SBJ"),AND(J5889=1,I5889=0)),"?IN_FOCUS",IF(J5889&lt;=2,"?ACTIVATED",IF(J5889&lt;&gt;"","?FAMILIAR",IF(F5889="NEW",IF(ISNA(VLOOKUP(E5889,#REF!,1,FALSE())),"?TYPE_IDENTIFIABLE","?REFERENTIAL"),"_")))))</f>
        <v> </v>
      </c>
      <c r="H5889" s="25" t="str">
        <f>IF(J5889&lt;&gt;1,"",IF(I5889="SBJ","CB","?"))</f>
        <v> </v>
      </c>
      <c r="I5889" s="26" t="str">
        <f>IF(OR(E5889="",E5889="!!!",F5889="NEW"),"",INDEX(B5888:B$2,-1+SUMPRODUCT(MAX(ROW(E5888:E$2)*(E5889=E5888:E$2)))))</f>
        <v> </v>
      </c>
      <c r="J5889" s="26" t="str">
        <f>IF(OR(E5889="",E5889="!!!",F5889="NEW"),"",COUNTBLANK(OFFSET(A$1,,,SUMPRODUCT(MAX(ROW(E$2:E5889)*(E5889=E$2:E5889)))))-COUNTBLANK(OFFSET(A$1,,,SUMPRODUCT(MAX(ROW(E$1:E5888)*(E2=E$1:E5888))))))</f>
        <v> </v>
      </c>
      <c r="K5889" s="26" t="str">
        <f>IF(OR(E5889="",E5889="!!!",F5889="NEW"),"",INDEX(J$1:J5888,SUMPRODUCT(MAX(ROW(E$1:E5888)*(E5889=E$1:E5888)))))</f>
        <v> </v>
      </c>
      <c r="L5889" s="27"/>
    </row>
    <row r="5890" spans="1:12">
      <c r="A5890" s="20" t="s">
        <v>1797</v>
      </c>
      <c r="B5890" s="21" t="s">
        <v>1249</v>
      </c>
      <c r="C5890" s="21" t="s">
        <v>1276</v>
      </c>
      <c r="D5890" s="21" t="s">
        <v>1217</v>
      </c>
      <c r="E5890" s="22">
        <f>IF(D5890="?OLD","!!!","")</f>
        <v/>
      </c>
      <c r="F5890" s="23" t="str">
        <f>IF(OR(E5890="",E5890="!!!"),"",IF(NOT(ISNA(VLOOKUP(E5890,E$1:E5889,1,FALSE()))),"OLD",IF(AND(E5890&lt;&gt;"",E5890&lt;&gt;"!!!"),"NEW","")))</f>
        <v> </v>
      </c>
      <c r="G5890" s="24" t="str">
        <f>IF(OR(E5890="",E5890="!!!"),"",IF(OR(J5890=0,AND(J5890=1,K5890=1),AND(J5890=1,I5890="SBJ"),AND(J5890=1,I5890=0)),"?IN_FOCUS",IF(J5890&lt;=2,"?ACTIVATED",IF(J5890&lt;&gt;"","?FAMILIAR",IF(F5890="NEW",IF(ISNA(VLOOKUP(E5890,#REF!,1,FALSE())),"?TYPE_IDENTIFIABLE","?REFERENTIAL"),"_")))))</f>
        <v> </v>
      </c>
      <c r="H5890" s="25" t="str">
        <f>IF(J5890&lt;&gt;1,"",IF(I5890="SBJ","CB","?"))</f>
        <v> </v>
      </c>
      <c r="I5890" s="26" t="str">
        <f>IF(OR(E5890="",E5890="!!!",F5890="NEW"),"",INDEX(B5889:B$2,-1+SUMPRODUCT(MAX(ROW(E5889:E$2)*(E5890=E5889:E$2)))))</f>
        <v> </v>
      </c>
      <c r="J5890" s="26" t="str">
        <f>IF(OR(E5890="",E5890="!!!",F5890="NEW"),"",COUNTBLANK(OFFSET(A$1,,,SUMPRODUCT(MAX(ROW(E$2:E5890)*(E5890=E$2:E5890)))))-COUNTBLANK(OFFSET(A$1,,,SUMPRODUCT(MAX(ROW(E$1:E5889)*(E2=E$1:E5889))))))</f>
        <v> </v>
      </c>
      <c r="K5890" s="26" t="str">
        <f>IF(OR(E5890="",E5890="!!!",F5890="NEW"),"",INDEX(J$1:J5889,SUMPRODUCT(MAX(ROW(E$1:E5889)*(E5890=E$1:E5889)))))</f>
        <v> </v>
      </c>
      <c r="L5890" s="27"/>
    </row>
    <row r="5891" spans="1:12">
      <c r="A5891" s="20" t="s">
        <v>1277</v>
      </c>
      <c r="E5891" s="22">
        <f>IF(D5891="?OLD","!!!","")</f>
        <v/>
      </c>
      <c r="F5891" s="23" t="str">
        <f>IF(OR(E5891="",E5891="!!!"),"",IF(NOT(ISNA(VLOOKUP(E5891,E$1:E5890,1,FALSE()))),"OLD",IF(AND(E5891&lt;&gt;"",E5891&lt;&gt;"!!!"),"NEW","")))</f>
        <v> </v>
      </c>
      <c r="G5891" s="24" t="str">
        <f>IF(OR(E5891="",E5891="!!!"),"",IF(OR(J5891=0,AND(J5891=1,K5891=1),AND(J5891=1,I5891="SBJ"),AND(J5891=1,I5891=0)),"?IN_FOCUS",IF(J5891&lt;=2,"?ACTIVATED",IF(J5891&lt;&gt;"","?FAMILIAR",IF(F5891="NEW",IF(ISNA(VLOOKUP(E5891,#REF!,1,FALSE())),"?TYPE_IDENTIFIABLE","?REFERENTIAL"),"_")))))</f>
        <v> </v>
      </c>
      <c r="H5891" s="25" t="str">
        <f>IF(J5891&lt;&gt;1,"",IF(I5891="SBJ","CB","?"))</f>
        <v> </v>
      </c>
      <c r="I5891" s="26" t="str">
        <f>IF(OR(E5891="",E5891="!!!",F5891="NEW"),"",INDEX(B5890:B$2,-1+SUMPRODUCT(MAX(ROW(E5890:E$2)*(E5891=E5890:E$2)))))</f>
        <v> </v>
      </c>
      <c r="J5891" s="26" t="str">
        <f>IF(OR(E5891="",E5891="!!!",F5891="NEW"),"",COUNTBLANK(OFFSET(A$1,,,SUMPRODUCT(MAX(ROW(E$2:E5891)*(E5891=E$2:E5891)))))-COUNTBLANK(OFFSET(A$1,,,SUMPRODUCT(MAX(ROW(E$1:E5890)*(E2=E$1:E5890))))))</f>
        <v> </v>
      </c>
      <c r="K5891" s="26" t="str">
        <f>IF(OR(E5891="",E5891="!!!",F5891="NEW"),"",INDEX(J$1:J5890,SUMPRODUCT(MAX(ROW(E$1:E5890)*(E5891=E$1:E5890)))))</f>
        <v> </v>
      </c>
      <c r="L5891" s="27"/>
    </row>
    <row r="5892" spans="1:12">
      <c r="A5892" s="20" t="s">
        <v>548</v>
      </c>
      <c r="B5892" s="21" t="s">
        <v>1215</v>
      </c>
      <c r="C5892" s="21" t="s">
        <v>1225</v>
      </c>
      <c r="D5892" s="21" t="s">
        <v>1217</v>
      </c>
      <c r="E5892" s="22">
        <f>IF(D5892="?OLD","!!!","")</f>
        <v/>
      </c>
      <c r="F5892" s="23" t="str">
        <f>IF(OR(E5892="",E5892="!!!"),"",IF(NOT(ISNA(VLOOKUP(E5892,E$1:E5891,1,FALSE()))),"OLD",IF(AND(E5892&lt;&gt;"",E5892&lt;&gt;"!!!"),"NEW","")))</f>
        <v> </v>
      </c>
      <c r="G5892" s="24" t="str">
        <f>IF(OR(E5892="",E5892="!!!"),"",IF(OR(J5892=0,AND(J5892=1,K5892=1),AND(J5892=1,I5892="SBJ"),AND(J5892=1,I5892=0)),"?IN_FOCUS",IF(J5892&lt;=2,"?ACTIVATED",IF(J5892&lt;&gt;"","?FAMILIAR",IF(F5892="NEW",IF(ISNA(VLOOKUP(E5892,#REF!,1,FALSE())),"?TYPE_IDENTIFIABLE","?REFERENTIAL"),"_")))))</f>
        <v> </v>
      </c>
      <c r="H5892" s="25" t="str">
        <f>IF(J5892&lt;&gt;1,"",IF(I5892="SBJ","CB","?"))</f>
        <v> </v>
      </c>
      <c r="I5892" s="26" t="str">
        <f>IF(OR(E5892="",E5892="!!!",F5892="NEW"),"",INDEX(B5891:B$2,-1+SUMPRODUCT(MAX(ROW(E5891:E$2)*(E5892=E5891:E$2)))))</f>
        <v> </v>
      </c>
      <c r="J5892" s="26" t="str">
        <f>IF(OR(E5892="",E5892="!!!",F5892="NEW"),"",COUNTBLANK(OFFSET(A$1,,,SUMPRODUCT(MAX(ROW(E$2:E5892)*(E5892=E$2:E5892)))))-COUNTBLANK(OFFSET(A$1,,,SUMPRODUCT(MAX(ROW(E$1:E5891)*(E2=E$1:E5891))))))</f>
        <v> </v>
      </c>
      <c r="K5892" s="26" t="str">
        <f>IF(OR(E5892="",E5892="!!!",F5892="NEW"),"",INDEX(J$1:J5891,SUMPRODUCT(MAX(ROW(E$1:E5891)*(E5892=E$1:E5891)))))</f>
        <v> </v>
      </c>
      <c r="L5892" s="27"/>
    </row>
    <row r="5893" spans="1:12">
      <c r="A5893" s="20" t="s">
        <v>3045</v>
      </c>
      <c r="E5893" s="22">
        <f>IF(D5893="?OLD","!!!","")</f>
        <v/>
      </c>
      <c r="F5893" s="23" t="str">
        <f>IF(OR(E5893="",E5893="!!!"),"",IF(NOT(ISNA(VLOOKUP(E5893,E$1:E5892,1,FALSE()))),"OLD",IF(AND(E5893&lt;&gt;"",E5893&lt;&gt;"!!!"),"NEW","")))</f>
        <v> </v>
      </c>
      <c r="G5893" s="24" t="str">
        <f>IF(OR(E5893="",E5893="!!!"),"",IF(OR(J5893=0,AND(J5893=1,K5893=1),AND(J5893=1,I5893="SBJ"),AND(J5893=1,I5893=0)),"?IN_FOCUS",IF(J5893&lt;=2,"?ACTIVATED",IF(J5893&lt;&gt;"","?FAMILIAR",IF(F5893="NEW",IF(ISNA(VLOOKUP(E5893,#REF!,1,FALSE())),"?TYPE_IDENTIFIABLE","?REFERENTIAL"),"_")))))</f>
        <v> </v>
      </c>
      <c r="H5893" s="25" t="str">
        <f>IF(J5893&lt;&gt;1,"",IF(I5893="SBJ","CB","?"))</f>
        <v> </v>
      </c>
      <c r="I5893" s="26" t="str">
        <f>IF(OR(E5893="",E5893="!!!",F5893="NEW"),"",INDEX(B5892:B$2,-1+SUMPRODUCT(MAX(ROW(E5892:E$2)*(E5893=E5892:E$2)))))</f>
        <v> </v>
      </c>
      <c r="J5893" s="26" t="str">
        <f>IF(OR(E5893="",E5893="!!!",F5893="NEW"),"",COUNTBLANK(OFFSET(A$1,,,SUMPRODUCT(MAX(ROW(E$2:E5893)*(E5893=E$2:E5893)))))-COUNTBLANK(OFFSET(A$1,,,SUMPRODUCT(MAX(ROW(E$1:E5892)*(E2=E$1:E5892))))))</f>
        <v> </v>
      </c>
      <c r="K5893" s="26" t="str">
        <f>IF(OR(E5893="",E5893="!!!",F5893="NEW"),"",INDEX(J$1:J5892,SUMPRODUCT(MAX(ROW(E$1:E5892)*(E5893=E$1:E5892)))))</f>
        <v> </v>
      </c>
      <c r="L5893" s="27"/>
    </row>
    <row r="5894" spans="1:12">
      <c r="A5894" s="20" t="s">
        <v>1323</v>
      </c>
      <c r="E5894" s="22">
        <f>IF(D5894="?OLD","!!!","")</f>
        <v/>
      </c>
      <c r="F5894" s="23" t="str">
        <f>IF(OR(E5894="",E5894="!!!"),"",IF(NOT(ISNA(VLOOKUP(E5894,E$1:E5893,1,FALSE()))),"OLD",IF(AND(E5894&lt;&gt;"",E5894&lt;&gt;"!!!"),"NEW","")))</f>
        <v> </v>
      </c>
      <c r="G5894" s="24" t="str">
        <f>IF(OR(E5894="",E5894="!!!"),"",IF(OR(J5894=0,AND(J5894=1,K5894=1),AND(J5894=1,I5894="SBJ"),AND(J5894=1,I5894=0)),"?IN_FOCUS",IF(J5894&lt;=2,"?ACTIVATED",IF(J5894&lt;&gt;"","?FAMILIAR",IF(F5894="NEW",IF(ISNA(VLOOKUP(E5894,#REF!,1,FALSE())),"?TYPE_IDENTIFIABLE","?REFERENTIAL"),"_")))))</f>
        <v> </v>
      </c>
      <c r="H5894" s="25" t="str">
        <f>IF(J5894&lt;&gt;1,"",IF(I5894="SBJ","CB","?"))</f>
        <v> </v>
      </c>
      <c r="I5894" s="26" t="str">
        <f>IF(OR(E5894="",E5894="!!!",F5894="NEW"),"",INDEX(B5893:B$2,-1+SUMPRODUCT(MAX(ROW(E5893:E$2)*(E5894=E5893:E$2)))))</f>
        <v> </v>
      </c>
      <c r="J5894" s="26" t="str">
        <f>IF(OR(E5894="",E5894="!!!",F5894="NEW"),"",COUNTBLANK(OFFSET(A$1,,,SUMPRODUCT(MAX(ROW(E$2:E5894)*(E5894=E$2:E5894)))))-COUNTBLANK(OFFSET(A$1,,,SUMPRODUCT(MAX(ROW(E$1:E5893)*(E2=E$1:E5893))))))</f>
        <v> </v>
      </c>
      <c r="K5894" s="26" t="str">
        <f>IF(OR(E5894="",E5894="!!!",F5894="NEW"),"",INDEX(J$1:J5893,SUMPRODUCT(MAX(ROW(E$1:E5893)*(E5894=E$1:E5893)))))</f>
        <v> </v>
      </c>
      <c r="L5894" s="27"/>
    </row>
    <row r="5895" spans="1:12">
      <c r="A5895" s="20" t="s">
        <v>1938</v>
      </c>
      <c r="B5895" s="21" t="s">
        <v>1275</v>
      </c>
      <c r="C5895" s="21" t="s">
        <v>1269</v>
      </c>
      <c r="D5895" s="21" t="s">
        <v>1217</v>
      </c>
      <c r="E5895" s="22">
        <f>IF(D5895="?OLD","!!!","")</f>
        <v/>
      </c>
      <c r="F5895" s="23" t="str">
        <f>IF(OR(E5895="",E5895="!!!"),"",IF(NOT(ISNA(VLOOKUP(E5895,E$1:E5894,1,FALSE()))),"OLD",IF(AND(E5895&lt;&gt;"",E5895&lt;&gt;"!!!"),"NEW","")))</f>
        <v> </v>
      </c>
      <c r="G5895" s="24" t="str">
        <f>IF(OR(E5895="",E5895="!!!"),"",IF(OR(J5895=0,AND(J5895=1,K5895=1),AND(J5895=1,I5895="SBJ"),AND(J5895=1,I5895=0)),"?IN_FOCUS",IF(J5895&lt;=2,"?ACTIVATED",IF(J5895&lt;&gt;"","?FAMILIAR",IF(F5895="NEW",IF(ISNA(VLOOKUP(E5895,#REF!,1,FALSE())),"?TYPE_IDENTIFIABLE","?REFERENTIAL"),"_")))))</f>
        <v> </v>
      </c>
      <c r="H5895" s="25" t="str">
        <f>IF(J5895&lt;&gt;1,"",IF(I5895="SBJ","CB","?"))</f>
        <v> </v>
      </c>
      <c r="I5895" s="26" t="str">
        <f>IF(OR(E5895="",E5895="!!!",F5895="NEW"),"",INDEX(B5894:B$2,-1+SUMPRODUCT(MAX(ROW(E5894:E$2)*(E5895=E5894:E$2)))))</f>
        <v> </v>
      </c>
      <c r="J5895" s="26" t="str">
        <f>IF(OR(E5895="",E5895="!!!",F5895="NEW"),"",COUNTBLANK(OFFSET(A$1,,,SUMPRODUCT(MAX(ROW(E$2:E5895)*(E5895=E$2:E5895)))))-COUNTBLANK(OFFSET(A$1,,,SUMPRODUCT(MAX(ROW(E$1:E5894)*(E2=E$1:E5894))))))</f>
        <v> </v>
      </c>
      <c r="K5895" s="26" t="str">
        <f>IF(OR(E5895="",E5895="!!!",F5895="NEW"),"",INDEX(J$1:J5894,SUMPRODUCT(MAX(ROW(E$1:E5894)*(E5895=E$1:E5894)))))</f>
        <v> </v>
      </c>
      <c r="L5895" s="27"/>
    </row>
    <row r="5896" spans="1:12">
      <c r="A5896" s="20" t="s">
        <v>1428</v>
      </c>
      <c r="E5896" s="22">
        <f>IF(D5896="?OLD","!!!","")</f>
        <v/>
      </c>
      <c r="F5896" s="23" t="str">
        <f>IF(OR(E5896="",E5896="!!!"),"",IF(NOT(ISNA(VLOOKUP(E5896,E$1:E5895,1,FALSE()))),"OLD",IF(AND(E5896&lt;&gt;"",E5896&lt;&gt;"!!!"),"NEW","")))</f>
        <v> </v>
      </c>
      <c r="G5896" s="24" t="str">
        <f>IF(OR(E5896="",E5896="!!!"),"",IF(OR(J5896=0,AND(J5896=1,K5896=1),AND(J5896=1,I5896="SBJ"),AND(J5896=1,I5896=0)),"?IN_FOCUS",IF(J5896&lt;=2,"?ACTIVATED",IF(J5896&lt;&gt;"","?FAMILIAR",IF(F5896="NEW",IF(ISNA(VLOOKUP(E5896,#REF!,1,FALSE())),"?TYPE_IDENTIFIABLE","?REFERENTIAL"),"_")))))</f>
        <v> </v>
      </c>
      <c r="H5896" s="25" t="str">
        <f>IF(J5896&lt;&gt;1,"",IF(I5896="SBJ","CB","?"))</f>
        <v> </v>
      </c>
      <c r="I5896" s="26" t="str">
        <f>IF(OR(E5896="",E5896="!!!",F5896="NEW"),"",INDEX(B5895:B$2,-1+SUMPRODUCT(MAX(ROW(E5895:E$2)*(E5896=E5895:E$2)))))</f>
        <v> </v>
      </c>
      <c r="J5896" s="26" t="str">
        <f>IF(OR(E5896="",E5896="!!!",F5896="NEW"),"",COUNTBLANK(OFFSET(A$1,,,SUMPRODUCT(MAX(ROW(E$2:E5896)*(E5896=E$2:E5896)))))-COUNTBLANK(OFFSET(A$1,,,SUMPRODUCT(MAX(ROW(E$1:E5895)*(E2=E$1:E5895))))))</f>
        <v> </v>
      </c>
      <c r="K5896" s="26" t="str">
        <f>IF(OR(E5896="",E5896="!!!",F5896="NEW"),"",INDEX(J$1:J5895,SUMPRODUCT(MAX(ROW(E$1:E5895)*(E5896=E$1:E5895)))))</f>
        <v> </v>
      </c>
      <c r="L5896" s="27"/>
    </row>
    <row r="5897" spans="1:12">
      <c r="A5897" s="20" t="s">
        <v>1266</v>
      </c>
      <c r="E5897" s="22">
        <f>IF(D5897="?OLD","!!!","")</f>
        <v/>
      </c>
      <c r="F5897" s="23" t="str">
        <f>IF(OR(E5897="",E5897="!!!"),"",IF(NOT(ISNA(VLOOKUP(E5897,E$1:E5896,1,FALSE()))),"OLD",IF(AND(E5897&lt;&gt;"",E5897&lt;&gt;"!!!"),"NEW","")))</f>
        <v> </v>
      </c>
      <c r="G5897" s="24" t="str">
        <f>IF(OR(E5897="",E5897="!!!"),"",IF(OR(J5897=0,AND(J5897=1,K5897=1),AND(J5897=1,I5897="SBJ"),AND(J5897=1,I5897=0)),"?IN_FOCUS",IF(J5897&lt;=2,"?ACTIVATED",IF(J5897&lt;&gt;"","?FAMILIAR",IF(F5897="NEW",IF(ISNA(VLOOKUP(E5897,#REF!,1,FALSE())),"?TYPE_IDENTIFIABLE","?REFERENTIAL"),"_")))))</f>
        <v> </v>
      </c>
      <c r="H5897" s="25" t="str">
        <f>IF(J5897&lt;&gt;1,"",IF(I5897="SBJ","CB","?"))</f>
        <v> </v>
      </c>
      <c r="I5897" s="26" t="str">
        <f>IF(OR(E5897="",E5897="!!!",F5897="NEW"),"",INDEX(B5896:B$2,-1+SUMPRODUCT(MAX(ROW(E5896:E$2)*(E5897=E5896:E$2)))))</f>
        <v> </v>
      </c>
      <c r="J5897" s="26" t="str">
        <f>IF(OR(E5897="",E5897="!!!",F5897="NEW"),"",COUNTBLANK(OFFSET(A$1,,,SUMPRODUCT(MAX(ROW(E$2:E5897)*(E5897=E$2:E5897)))))-COUNTBLANK(OFFSET(A$1,,,SUMPRODUCT(MAX(ROW(E$1:E5896)*(E2=E$1:E5896))))))</f>
        <v> </v>
      </c>
      <c r="K5897" s="26" t="str">
        <f>IF(OR(E5897="",E5897="!!!",F5897="NEW"),"",INDEX(J$1:J5896,SUMPRODUCT(MAX(ROW(E$1:E5896)*(E5897=E$1:E5896)))))</f>
        <v> </v>
      </c>
      <c r="L5897" s="27"/>
    </row>
    <row r="5898" spans="1:12">
      <c r="A5898" s="20" t="s">
        <v>2453</v>
      </c>
      <c r="E5898" s="22">
        <f>IF(D5898="?OLD","!!!","")</f>
        <v/>
      </c>
      <c r="F5898" s="23" t="str">
        <f>IF(OR(E5898="",E5898="!!!"),"",IF(NOT(ISNA(VLOOKUP(E5898,E$1:E5897,1,FALSE()))),"OLD",IF(AND(E5898&lt;&gt;"",E5898&lt;&gt;"!!!"),"NEW","")))</f>
        <v> </v>
      </c>
      <c r="G5898" s="24" t="str">
        <f>IF(OR(E5898="",E5898="!!!"),"",IF(OR(J5898=0,AND(J5898=1,K5898=1),AND(J5898=1,I5898="SBJ"),AND(J5898=1,I5898=0)),"?IN_FOCUS",IF(J5898&lt;=2,"?ACTIVATED",IF(J5898&lt;&gt;"","?FAMILIAR",IF(F5898="NEW",IF(ISNA(VLOOKUP(E5898,#REF!,1,FALSE())),"?TYPE_IDENTIFIABLE","?REFERENTIAL"),"_")))))</f>
        <v> </v>
      </c>
      <c r="H5898" s="25" t="str">
        <f>IF(J5898&lt;&gt;1,"",IF(I5898="SBJ","CB","?"))</f>
        <v> </v>
      </c>
      <c r="I5898" s="26" t="str">
        <f>IF(OR(E5898="",E5898="!!!",F5898="NEW"),"",INDEX(B5897:B$2,-1+SUMPRODUCT(MAX(ROW(E5897:E$2)*(E5898=E5897:E$2)))))</f>
        <v> </v>
      </c>
      <c r="J5898" s="26" t="str">
        <f>IF(OR(E5898="",E5898="!!!",F5898="NEW"),"",COUNTBLANK(OFFSET(A$1,,,SUMPRODUCT(MAX(ROW(E$2:E5898)*(E5898=E$2:E5898)))))-COUNTBLANK(OFFSET(A$1,,,SUMPRODUCT(MAX(ROW(E$1:E5897)*(E2=E$1:E5897))))))</f>
        <v> </v>
      </c>
      <c r="K5898" s="26" t="str">
        <f>IF(OR(E5898="",E5898="!!!",F5898="NEW"),"",INDEX(J$1:J5897,SUMPRODUCT(MAX(ROW(E$1:E5897)*(E5898=E$1:E5897)))))</f>
        <v> </v>
      </c>
      <c r="L5898" s="27"/>
    </row>
    <row r="5899" spans="1:12">
      <c r="A5899" s="20" t="s">
        <v>2560</v>
      </c>
      <c r="B5899" s="21" t="s">
        <v>1244</v>
      </c>
      <c r="C5899" s="21" t="s">
        <v>1269</v>
      </c>
      <c r="D5899" s="21" t="s">
        <v>1217</v>
      </c>
      <c r="E5899" s="22">
        <f>IF(D5899="?OLD","!!!","")</f>
        <v/>
      </c>
      <c r="F5899" s="23" t="str">
        <f>IF(OR(E5899="",E5899="!!!"),"",IF(NOT(ISNA(VLOOKUP(E5899,E$1:E5898,1,FALSE()))),"OLD",IF(AND(E5899&lt;&gt;"",E5899&lt;&gt;"!!!"),"NEW","")))</f>
        <v> </v>
      </c>
      <c r="G5899" s="24" t="str">
        <f>IF(OR(E5899="",E5899="!!!"),"",IF(OR(J5899=0,AND(J5899=1,K5899=1),AND(J5899=1,I5899="SBJ"),AND(J5899=1,I5899=0)),"?IN_FOCUS",IF(J5899&lt;=2,"?ACTIVATED",IF(J5899&lt;&gt;"","?FAMILIAR",IF(F5899="NEW",IF(ISNA(VLOOKUP(E5899,#REF!,1,FALSE())),"?TYPE_IDENTIFIABLE","?REFERENTIAL"),"_")))))</f>
        <v> </v>
      </c>
      <c r="H5899" s="25" t="str">
        <f>IF(J5899&lt;&gt;1,"",IF(I5899="SBJ","CB","?"))</f>
        <v> </v>
      </c>
      <c r="I5899" s="26" t="str">
        <f>IF(OR(E5899="",E5899="!!!",F5899="NEW"),"",INDEX(B5898:B$2,-1+SUMPRODUCT(MAX(ROW(E5898:E$2)*(E5899=E5898:E$2)))))</f>
        <v> </v>
      </c>
      <c r="J5899" s="26" t="str">
        <f>IF(OR(E5899="",E5899="!!!",F5899="NEW"),"",COUNTBLANK(OFFSET(A$1,,,SUMPRODUCT(MAX(ROW(E$2:E5899)*(E5899=E$2:E5899)))))-COUNTBLANK(OFFSET(A$1,,,SUMPRODUCT(MAX(ROW(E$1:E5898)*(E2=E$1:E5898))))))</f>
        <v> </v>
      </c>
      <c r="K5899" s="26" t="str">
        <f>IF(OR(E5899="",E5899="!!!",F5899="NEW"),"",INDEX(J$1:J5898,SUMPRODUCT(MAX(ROW(E$1:E5898)*(E5899=E$1:E5898)))))</f>
        <v> </v>
      </c>
      <c r="L5899" s="27"/>
    </row>
    <row r="5900" spans="1:12">
      <c r="A5900" s="20" t="s">
        <v>3046</v>
      </c>
      <c r="E5900" s="22">
        <f>IF(D5900="?OLD","!!!","")</f>
        <v/>
      </c>
      <c r="F5900" s="23" t="str">
        <f>IF(OR(E5900="",E5900="!!!"),"",IF(NOT(ISNA(VLOOKUP(E5900,E$1:E5899,1,FALSE()))),"OLD",IF(AND(E5900&lt;&gt;"",E5900&lt;&gt;"!!!"),"NEW","")))</f>
        <v> </v>
      </c>
      <c r="G5900" s="24" t="str">
        <f>IF(OR(E5900="",E5900="!!!"),"",IF(OR(J5900=0,AND(J5900=1,K5900=1),AND(J5900=1,I5900="SBJ"),AND(J5900=1,I5900=0)),"?IN_FOCUS",IF(J5900&lt;=2,"?ACTIVATED",IF(J5900&lt;&gt;"","?FAMILIAR",IF(F5900="NEW",IF(ISNA(VLOOKUP(E5900,#REF!,1,FALSE())),"?TYPE_IDENTIFIABLE","?REFERENTIAL"),"_")))))</f>
        <v> </v>
      </c>
      <c r="H5900" s="25" t="str">
        <f>IF(J5900&lt;&gt;1,"",IF(I5900="SBJ","CB","?"))</f>
        <v> </v>
      </c>
      <c r="I5900" s="26" t="str">
        <f>IF(OR(E5900="",E5900="!!!",F5900="NEW"),"",INDEX(B5899:B$2,-1+SUMPRODUCT(MAX(ROW(E5899:E$2)*(E5900=E5899:E$2)))))</f>
        <v> </v>
      </c>
      <c r="J5900" s="26" t="str">
        <f>IF(OR(E5900="",E5900="!!!",F5900="NEW"),"",COUNTBLANK(OFFSET(A$1,,,SUMPRODUCT(MAX(ROW(E$2:E5900)*(E5900=E$2:E5900)))))-COUNTBLANK(OFFSET(A$1,,,SUMPRODUCT(MAX(ROW(E$1:E5899)*(E2=E$1:E5899))))))</f>
        <v> </v>
      </c>
      <c r="K5900" s="26" t="str">
        <f>IF(OR(E5900="",E5900="!!!",F5900="NEW"),"",INDEX(J$1:J5899,SUMPRODUCT(MAX(ROW(E$1:E5899)*(E5900=E$1:E5899)))))</f>
        <v> </v>
      </c>
      <c r="L5900" s="27"/>
    </row>
    <row r="5901" spans="1:12">
      <c r="A5901" s="20" t="s">
        <v>1218</v>
      </c>
      <c r="E5901" s="22">
        <f>IF(D5901="?OLD","!!!","")</f>
        <v/>
      </c>
      <c r="F5901" s="23" t="str">
        <f>IF(OR(E5901="",E5901="!!!"),"",IF(NOT(ISNA(VLOOKUP(E5901,E$1:E5900,1,FALSE()))),"OLD",IF(AND(E5901&lt;&gt;"",E5901&lt;&gt;"!!!"),"NEW","")))</f>
        <v> </v>
      </c>
      <c r="G5901" s="24" t="str">
        <f>IF(OR(E5901="",E5901="!!!"),"",IF(OR(J5901=0,AND(J5901=1,K5901=1),AND(J5901=1,I5901="SBJ"),AND(J5901=1,I5901=0)),"?IN_FOCUS",IF(J5901&lt;=2,"?ACTIVATED",IF(J5901&lt;&gt;"","?FAMILIAR",IF(F5901="NEW",IF(ISNA(VLOOKUP(E5901,#REF!,1,FALSE())),"?TYPE_IDENTIFIABLE","?REFERENTIAL"),"_")))))</f>
        <v> </v>
      </c>
      <c r="H5901" s="25" t="str">
        <f>IF(J5901&lt;&gt;1,"",IF(I5901="SBJ","CB","?"))</f>
        <v> </v>
      </c>
      <c r="I5901" s="26" t="str">
        <f>IF(OR(E5901="",E5901="!!!",F5901="NEW"),"",INDEX(B5900:B$2,-1+SUMPRODUCT(MAX(ROW(E5900:E$2)*(E5901=E5900:E$2)))))</f>
        <v> </v>
      </c>
      <c r="J5901" s="26" t="str">
        <f>IF(OR(E5901="",E5901="!!!",F5901="NEW"),"",COUNTBLANK(OFFSET(A$1,,,SUMPRODUCT(MAX(ROW(E$2:E5901)*(E5901=E$2:E5901)))))-COUNTBLANK(OFFSET(A$1,,,SUMPRODUCT(MAX(ROW(E$1:E5900)*(E2=E$1:E5900))))))</f>
        <v> </v>
      </c>
      <c r="K5901" s="26" t="str">
        <f>IF(OR(E5901="",E5901="!!!",F5901="NEW"),"",INDEX(J$1:J5900,SUMPRODUCT(MAX(ROW(E$1:E5900)*(E5901=E$1:E5900)))))</f>
        <v> </v>
      </c>
      <c r="L5901" s="27"/>
    </row>
    <row r="5902" spans="1:12">
      <c r="A5902" s="20" t="s">
        <v>3047</v>
      </c>
      <c r="B5902" s="21" t="s">
        <v>1224</v>
      </c>
      <c r="C5902" s="21" t="s">
        <v>1279</v>
      </c>
      <c r="E5902" s="22">
        <f>IF(D5902="?OLD","!!!","")</f>
        <v/>
      </c>
      <c r="F5902" s="23" t="str">
        <f>IF(OR(E5902="",E5902="!!!"),"",IF(NOT(ISNA(VLOOKUP(E5902,E$1:E5901,1,FALSE()))),"OLD",IF(AND(E5902&lt;&gt;"",E5902&lt;&gt;"!!!"),"NEW","")))</f>
        <v> </v>
      </c>
      <c r="G5902" s="24" t="str">
        <f>IF(OR(E5902="",E5902="!!!"),"",IF(OR(J5902=0,AND(J5902=1,K5902=1),AND(J5902=1,I5902="SBJ"),AND(J5902=1,I5902=0)),"?IN_FOCUS",IF(J5902&lt;=2,"?ACTIVATED",IF(J5902&lt;&gt;"","?FAMILIAR",IF(F5902="NEW",IF(ISNA(VLOOKUP(E5902,#REF!,1,FALSE())),"?TYPE_IDENTIFIABLE","?REFERENTIAL"),"_")))))</f>
        <v> </v>
      </c>
      <c r="H5902" s="25" t="str">
        <f>IF(J5902&lt;&gt;1,"",IF(I5902="SBJ","CB","?"))</f>
        <v> </v>
      </c>
      <c r="I5902" s="26" t="str">
        <f>IF(OR(E5902="",E5902="!!!",F5902="NEW"),"",INDEX(B5901:B$2,-1+SUMPRODUCT(MAX(ROW(E5901:E$2)*(E5902=E5901:E$2)))))</f>
        <v> </v>
      </c>
      <c r="J5902" s="26" t="str">
        <f>IF(OR(E5902="",E5902="!!!",F5902="NEW"),"",COUNTBLANK(OFFSET(A$1,,,SUMPRODUCT(MAX(ROW(E$2:E5902)*(E5902=E$2:E5902)))))-COUNTBLANK(OFFSET(A$1,,,SUMPRODUCT(MAX(ROW(E$1:E5901)*(E2=E$1:E5901))))))</f>
        <v> </v>
      </c>
      <c r="K5902" s="26" t="str">
        <f>IF(OR(E5902="",E5902="!!!",F5902="NEW"),"",INDEX(J$1:J5901,SUMPRODUCT(MAX(ROW(E$1:E5901)*(E5902=E$1:E5901)))))</f>
        <v> </v>
      </c>
      <c r="L5902" s="27"/>
    </row>
    <row r="5903" spans="1:12">
      <c r="A5903" s="20" t="s">
        <v>1251</v>
      </c>
      <c r="B5903" s="21" t="s">
        <v>1516</v>
      </c>
      <c r="E5903" s="22">
        <f>IF(D5903="?OLD","!!!","")</f>
        <v/>
      </c>
      <c r="F5903" s="23" t="str">
        <f>IF(OR(E5903="",E5903="!!!"),"",IF(NOT(ISNA(VLOOKUP(E5903,E$1:E5902,1,FALSE()))),"OLD",IF(AND(E5903&lt;&gt;"",E5903&lt;&gt;"!!!"),"NEW","")))</f>
        <v> </v>
      </c>
      <c r="G5903" s="24" t="str">
        <f>IF(OR(E5903="",E5903="!!!"),"",IF(OR(J5903=0,AND(J5903=1,K5903=1),AND(J5903=1,I5903="SBJ"),AND(J5903=1,I5903=0)),"?IN_FOCUS",IF(J5903&lt;=2,"?ACTIVATED",IF(J5903&lt;&gt;"","?FAMILIAR",IF(F5903="NEW",IF(ISNA(VLOOKUP(E5903,#REF!,1,FALSE())),"?TYPE_IDENTIFIABLE","?REFERENTIAL"),"_")))))</f>
        <v> </v>
      </c>
      <c r="H5903" s="25" t="str">
        <f>IF(J5903&lt;&gt;1,"",IF(I5903="SBJ","CB","?"))</f>
        <v> </v>
      </c>
      <c r="I5903" s="26" t="str">
        <f>IF(OR(E5903="",E5903="!!!",F5903="NEW"),"",INDEX(B5902:B$2,-1+SUMPRODUCT(MAX(ROW(E5902:E$2)*(E5903=E5902:E$2)))))</f>
        <v> </v>
      </c>
      <c r="J5903" s="26" t="str">
        <f>IF(OR(E5903="",E5903="!!!",F5903="NEW"),"",COUNTBLANK(OFFSET(A$1,,,SUMPRODUCT(MAX(ROW(E$2:E5903)*(E5903=E$2:E5903)))))-COUNTBLANK(OFFSET(A$1,,,SUMPRODUCT(MAX(ROW(E$1:E5902)*(E2=E$1:E5902))))))</f>
        <v> </v>
      </c>
      <c r="K5903" s="26" t="str">
        <f>IF(OR(E5903="",E5903="!!!",F5903="NEW"),"",INDEX(J$1:J5902,SUMPRODUCT(MAX(ROW(E$1:E5902)*(E5903=E$1:E5902)))))</f>
        <v> </v>
      </c>
      <c r="L5903" s="27"/>
    </row>
    <row r="5904" spans="1:12">
      <c r="A5904" s="20" t="s">
        <v>3048</v>
      </c>
      <c r="E5904" s="22">
        <f>IF(D5904="?OLD","!!!","")</f>
        <v/>
      </c>
      <c r="F5904" s="23" t="str">
        <f>IF(OR(E5904="",E5904="!!!"),"",IF(NOT(ISNA(VLOOKUP(E5904,E$1:E5903,1,FALSE()))),"OLD",IF(AND(E5904&lt;&gt;"",E5904&lt;&gt;"!!!"),"NEW","")))</f>
        <v> </v>
      </c>
      <c r="G5904" s="24" t="str">
        <f>IF(OR(E5904="",E5904="!!!"),"",IF(OR(J5904=0,AND(J5904=1,K5904=1),AND(J5904=1,I5904="SBJ"),AND(J5904=1,I5904=0)),"?IN_FOCUS",IF(J5904&lt;=2,"?ACTIVATED",IF(J5904&lt;&gt;"","?FAMILIAR",IF(F5904="NEW",IF(ISNA(VLOOKUP(E5904,#REF!,1,FALSE())),"?TYPE_IDENTIFIABLE","?REFERENTIAL"),"_")))))</f>
        <v> </v>
      </c>
      <c r="H5904" s="25" t="str">
        <f>IF(J5904&lt;&gt;1,"",IF(I5904="SBJ","CB","?"))</f>
        <v> </v>
      </c>
      <c r="I5904" s="26" t="str">
        <f>IF(OR(E5904="",E5904="!!!",F5904="NEW"),"",INDEX(B5903:B$2,-1+SUMPRODUCT(MAX(ROW(E5903:E$2)*(E5904=E5903:E$2)))))</f>
        <v> </v>
      </c>
      <c r="J5904" s="26" t="str">
        <f>IF(OR(E5904="",E5904="!!!",F5904="NEW"),"",COUNTBLANK(OFFSET(A$1,,,SUMPRODUCT(MAX(ROW(E$2:E5904)*(E5904=E$2:E5904)))))-COUNTBLANK(OFFSET(A$1,,,SUMPRODUCT(MAX(ROW(E$1:E5903)*(E2=E$1:E5903))))))</f>
        <v> </v>
      </c>
      <c r="K5904" s="26" t="str">
        <f>IF(OR(E5904="",E5904="!!!",F5904="NEW"),"",INDEX(J$1:J5903,SUMPRODUCT(MAX(ROW(E$1:E5903)*(E5904=E$1:E5903)))))</f>
        <v> </v>
      </c>
      <c r="L5904" s="27"/>
    </row>
    <row r="5905" spans="1:12">
      <c r="A5905" s="20" t="s">
        <v>1323</v>
      </c>
      <c r="E5905" s="22">
        <f>IF(D5905="?OLD","!!!","")</f>
        <v/>
      </c>
      <c r="F5905" s="23" t="str">
        <f>IF(OR(E5905="",E5905="!!!"),"",IF(NOT(ISNA(VLOOKUP(E5905,E$1:E5904,1,FALSE()))),"OLD",IF(AND(E5905&lt;&gt;"",E5905&lt;&gt;"!!!"),"NEW","")))</f>
        <v> </v>
      </c>
      <c r="G5905" s="24" t="str">
        <f>IF(OR(E5905="",E5905="!!!"),"",IF(OR(J5905=0,AND(J5905=1,K5905=1),AND(J5905=1,I5905="SBJ"),AND(J5905=1,I5905=0)),"?IN_FOCUS",IF(J5905&lt;=2,"?ACTIVATED",IF(J5905&lt;&gt;"","?FAMILIAR",IF(F5905="NEW",IF(ISNA(VLOOKUP(E5905,#REF!,1,FALSE())),"?TYPE_IDENTIFIABLE","?REFERENTIAL"),"_")))))</f>
        <v> </v>
      </c>
      <c r="H5905" s="25" t="str">
        <f>IF(J5905&lt;&gt;1,"",IF(I5905="SBJ","CB","?"))</f>
        <v> </v>
      </c>
      <c r="I5905" s="26" t="str">
        <f>IF(OR(E5905="",E5905="!!!",F5905="NEW"),"",INDEX(B5904:B$2,-1+SUMPRODUCT(MAX(ROW(E5904:E$2)*(E5905=E5904:E$2)))))</f>
        <v> </v>
      </c>
      <c r="J5905" s="26" t="str">
        <f>IF(OR(E5905="",E5905="!!!",F5905="NEW"),"",COUNTBLANK(OFFSET(A$1,,,SUMPRODUCT(MAX(ROW(E$2:E5905)*(E5905=E$2:E5905)))))-COUNTBLANK(OFFSET(A$1,,,SUMPRODUCT(MAX(ROW(E$1:E5904)*(E2=E$1:E5904))))))</f>
        <v> </v>
      </c>
      <c r="K5905" s="26" t="str">
        <f>IF(OR(E5905="",E5905="!!!",F5905="NEW"),"",INDEX(J$1:J5904,SUMPRODUCT(MAX(ROW(E$1:E5904)*(E5905=E$1:E5904)))))</f>
        <v> </v>
      </c>
      <c r="L5905" s="27"/>
    </row>
    <row r="5906" spans="1:12">
      <c r="A5906" s="20" t="s">
        <v>1519</v>
      </c>
      <c r="B5906" s="21" t="s">
        <v>1254</v>
      </c>
      <c r="C5906" s="21" t="s">
        <v>1222</v>
      </c>
      <c r="D5906" s="21" t="s">
        <v>1217</v>
      </c>
      <c r="E5906" s="22">
        <f>IF(D5906="?OLD","!!!","")</f>
        <v/>
      </c>
      <c r="F5906" s="23" t="str">
        <f>IF(OR(E5906="",E5906="!!!"),"",IF(NOT(ISNA(VLOOKUP(E5906,E$1:E5905,1,FALSE()))),"OLD",IF(AND(E5906&lt;&gt;"",E5906&lt;&gt;"!!!"),"NEW","")))</f>
        <v> </v>
      </c>
      <c r="G5906" s="24" t="str">
        <f>IF(OR(E5906="",E5906="!!!"),"",IF(OR(J5906=0,AND(J5906=1,K5906=1),AND(J5906=1,I5906="SBJ"),AND(J5906=1,I5906=0)),"?IN_FOCUS",IF(J5906&lt;=2,"?ACTIVATED",IF(J5906&lt;&gt;"","?FAMILIAR",IF(F5906="NEW",IF(ISNA(VLOOKUP(E5906,#REF!,1,FALSE())),"?TYPE_IDENTIFIABLE","?REFERENTIAL"),"_")))))</f>
        <v> </v>
      </c>
      <c r="H5906" s="25" t="str">
        <f>IF(J5906&lt;&gt;1,"",IF(I5906="SBJ","CB","?"))</f>
        <v> </v>
      </c>
      <c r="I5906" s="26" t="str">
        <f>IF(OR(E5906="",E5906="!!!",F5906="NEW"),"",INDEX(B5905:B$2,-1+SUMPRODUCT(MAX(ROW(E5905:E$2)*(E5906=E5905:E$2)))))</f>
        <v> </v>
      </c>
      <c r="J5906" s="26" t="str">
        <f>IF(OR(E5906="",E5906="!!!",F5906="NEW"),"",COUNTBLANK(OFFSET(A$1,,,SUMPRODUCT(MAX(ROW(E$2:E5906)*(E5906=E$2:E5906)))))-COUNTBLANK(OFFSET(A$1,,,SUMPRODUCT(MAX(ROW(E$1:E5905)*(E2=E$1:E5905))))))</f>
        <v> </v>
      </c>
      <c r="K5906" s="26" t="str">
        <f>IF(OR(E5906="",E5906="!!!",F5906="NEW"),"",INDEX(J$1:J5905,SUMPRODUCT(MAX(ROW(E$1:E5905)*(E5906=E$1:E5905)))))</f>
        <v> </v>
      </c>
      <c r="L5906" s="27"/>
    </row>
    <row r="5907" spans="1:12">
      <c r="A5907" s="20" t="s">
        <v>1218</v>
      </c>
      <c r="E5907" s="22">
        <f>IF(D5907="?OLD","!!!","")</f>
        <v/>
      </c>
      <c r="F5907" s="23" t="str">
        <f>IF(OR(E5907="",E5907="!!!"),"",IF(NOT(ISNA(VLOOKUP(E5907,E$1:E5906,1,FALSE()))),"OLD",IF(AND(E5907&lt;&gt;"",E5907&lt;&gt;"!!!"),"NEW","")))</f>
        <v> </v>
      </c>
      <c r="G5907" s="24" t="str">
        <f>IF(OR(E5907="",E5907="!!!"),"",IF(OR(J5907=0,AND(J5907=1,K5907=1),AND(J5907=1,I5907="SBJ"),AND(J5907=1,I5907=0)),"?IN_FOCUS",IF(J5907&lt;=2,"?ACTIVATED",IF(J5907&lt;&gt;"","?FAMILIAR",IF(F5907="NEW",IF(ISNA(VLOOKUP(E5907,#REF!,1,FALSE())),"?TYPE_IDENTIFIABLE","?REFERENTIAL"),"_")))))</f>
        <v> </v>
      </c>
      <c r="H5907" s="25" t="str">
        <f>IF(J5907&lt;&gt;1,"",IF(I5907="SBJ","CB","?"))</f>
        <v> </v>
      </c>
      <c r="I5907" s="26" t="str">
        <f>IF(OR(E5907="",E5907="!!!",F5907="NEW"),"",INDEX(B5906:B$2,-1+SUMPRODUCT(MAX(ROW(E5906:E$2)*(E5907=E5906:E$2)))))</f>
        <v> </v>
      </c>
      <c r="J5907" s="26" t="str">
        <f>IF(OR(E5907="",E5907="!!!",F5907="NEW"),"",COUNTBLANK(OFFSET(A$1,,,SUMPRODUCT(MAX(ROW(E$2:E5907)*(E5907=E$2:E5907)))))-COUNTBLANK(OFFSET(A$1,,,SUMPRODUCT(MAX(ROW(E$1:E5906)*(E2=E$1:E5906))))))</f>
        <v> </v>
      </c>
      <c r="K5907" s="26" t="str">
        <f>IF(OR(E5907="",E5907="!!!",F5907="NEW"),"",INDEX(J$1:J5906,SUMPRODUCT(MAX(ROW(E$1:E5906)*(E5907=E$1:E5906)))))</f>
        <v> </v>
      </c>
      <c r="L5907" s="27"/>
    </row>
    <row r="5908" spans="1:12">
      <c r="A5908" s="20" t="s">
        <v>1520</v>
      </c>
      <c r="B5908" s="21" t="s">
        <v>1259</v>
      </c>
      <c r="C5908" s="21" t="s">
        <v>1225</v>
      </c>
      <c r="D5908" s="21" t="s">
        <v>1217</v>
      </c>
      <c r="E5908" s="22">
        <f>IF(D5908="?OLD","!!!","")</f>
        <v/>
      </c>
      <c r="F5908" s="23" t="str">
        <f>IF(OR(E5908="",E5908="!!!"),"",IF(NOT(ISNA(VLOOKUP(E5908,E$1:E5907,1,FALSE()))),"OLD",IF(AND(E5908&lt;&gt;"",E5908&lt;&gt;"!!!"),"NEW","")))</f>
        <v> </v>
      </c>
      <c r="G5908" s="24" t="str">
        <f>IF(OR(E5908="",E5908="!!!"),"",IF(OR(J5908=0,AND(J5908=1,K5908=1),AND(J5908=1,I5908="SBJ"),AND(J5908=1,I5908=0)),"?IN_FOCUS",IF(J5908&lt;=2,"?ACTIVATED",IF(J5908&lt;&gt;"","?FAMILIAR",IF(F5908="NEW",IF(ISNA(VLOOKUP(E5908,#REF!,1,FALSE())),"?TYPE_IDENTIFIABLE","?REFERENTIAL"),"_")))))</f>
        <v> </v>
      </c>
      <c r="H5908" s="25" t="str">
        <f>IF(J5908&lt;&gt;1,"",IF(I5908="SBJ","CB","?"))</f>
        <v> </v>
      </c>
      <c r="I5908" s="26" t="str">
        <f>IF(OR(E5908="",E5908="!!!",F5908="NEW"),"",INDEX(B5907:B$2,-1+SUMPRODUCT(MAX(ROW(E5907:E$2)*(E5908=E5907:E$2)))))</f>
        <v> </v>
      </c>
      <c r="J5908" s="26" t="str">
        <f>IF(OR(E5908="",E5908="!!!",F5908="NEW"),"",COUNTBLANK(OFFSET(A$1,,,SUMPRODUCT(MAX(ROW(E$2:E5908)*(E5908=E$2:E5908)))))-COUNTBLANK(OFFSET(A$1,,,SUMPRODUCT(MAX(ROW(E$1:E5907)*(E2=E$1:E5907))))))</f>
        <v> </v>
      </c>
      <c r="K5908" s="26" t="str">
        <f>IF(OR(E5908="",E5908="!!!",F5908="NEW"),"",INDEX(J$1:J5907,SUMPRODUCT(MAX(ROW(E$1:E5907)*(E5908=E$1:E5907)))))</f>
        <v> </v>
      </c>
      <c r="L5908" s="27"/>
    </row>
    <row r="5909" spans="1:12">
      <c r="A5909" s="20" t="s">
        <v>1286</v>
      </c>
      <c r="E5909" s="22">
        <f>IF(D5909="?OLD","!!!","")</f>
        <v/>
      </c>
      <c r="F5909" s="23" t="str">
        <f>IF(OR(E5909="",E5909="!!!"),"",IF(NOT(ISNA(VLOOKUP(E5909,E$1:E5908,1,FALSE()))),"OLD",IF(AND(E5909&lt;&gt;"",E5909&lt;&gt;"!!!"),"NEW","")))</f>
        <v> </v>
      </c>
      <c r="G5909" s="24" t="str">
        <f>IF(OR(E5909="",E5909="!!!"),"",IF(OR(J5909=0,AND(J5909=1,K5909=1),AND(J5909=1,I5909="SBJ"),AND(J5909=1,I5909=0)),"?IN_FOCUS",IF(J5909&lt;=2,"?ACTIVATED",IF(J5909&lt;&gt;"","?FAMILIAR",IF(F5909="NEW",IF(ISNA(VLOOKUP(E5909,#REF!,1,FALSE())),"?TYPE_IDENTIFIABLE","?REFERENTIAL"),"_")))))</f>
        <v> </v>
      </c>
      <c r="H5909" s="25" t="str">
        <f>IF(J5909&lt;&gt;1,"",IF(I5909="SBJ","CB","?"))</f>
        <v> </v>
      </c>
      <c r="I5909" s="26" t="str">
        <f>IF(OR(E5909="",E5909="!!!",F5909="NEW"),"",INDEX(B5908:B$2,-1+SUMPRODUCT(MAX(ROW(E5908:E$2)*(E5909=E5908:E$2)))))</f>
        <v> </v>
      </c>
      <c r="J5909" s="26" t="str">
        <f>IF(OR(E5909="",E5909="!!!",F5909="NEW"),"",COUNTBLANK(OFFSET(A$1,,,SUMPRODUCT(MAX(ROW(E$2:E5909)*(E5909=E$2:E5909)))))-COUNTBLANK(OFFSET(A$1,,,SUMPRODUCT(MAX(ROW(E$1:E5908)*(E2=E$1:E5908))))))</f>
        <v> </v>
      </c>
      <c r="K5909" s="26" t="str">
        <f>IF(OR(E5909="",E5909="!!!",F5909="NEW"),"",INDEX(J$1:J5908,SUMPRODUCT(MAX(ROW(E$1:E5908)*(E5909=E$1:E5908)))))</f>
        <v> </v>
      </c>
      <c r="L5909" s="27"/>
    </row>
    <row r="5910" spans="1:12">
      <c r="A5910" s="20" t="s">
        <v>1251</v>
      </c>
      <c r="B5910" s="21" t="s">
        <v>1748</v>
      </c>
      <c r="E5910" s="22">
        <f>IF(D5910="?OLD","!!!","")</f>
        <v/>
      </c>
      <c r="F5910" s="23" t="str">
        <f>IF(OR(E5910="",E5910="!!!"),"",IF(NOT(ISNA(VLOOKUP(E5910,E$1:E5909,1,FALSE()))),"OLD",IF(AND(E5910&lt;&gt;"",E5910&lt;&gt;"!!!"),"NEW","")))</f>
        <v> </v>
      </c>
      <c r="G5910" s="24" t="str">
        <f>IF(OR(E5910="",E5910="!!!"),"",IF(OR(J5910=0,AND(J5910=1,K5910=1),AND(J5910=1,I5910="SBJ"),AND(J5910=1,I5910=0)),"?IN_FOCUS",IF(J5910&lt;=2,"?ACTIVATED",IF(J5910&lt;&gt;"","?FAMILIAR",IF(F5910="NEW",IF(ISNA(VLOOKUP(E5910,#REF!,1,FALSE())),"?TYPE_IDENTIFIABLE","?REFERENTIAL"),"_")))))</f>
        <v> </v>
      </c>
      <c r="H5910" s="25" t="str">
        <f>IF(J5910&lt;&gt;1,"",IF(I5910="SBJ","CB","?"))</f>
        <v> </v>
      </c>
      <c r="I5910" s="26" t="str">
        <f>IF(OR(E5910="",E5910="!!!",F5910="NEW"),"",INDEX(B5909:B$2,-1+SUMPRODUCT(MAX(ROW(E5909:E$2)*(E5910=E5909:E$2)))))</f>
        <v> </v>
      </c>
      <c r="J5910" s="26" t="str">
        <f>IF(OR(E5910="",E5910="!!!",F5910="NEW"),"",COUNTBLANK(OFFSET(A$1,,,SUMPRODUCT(MAX(ROW(E$2:E5910)*(E5910=E$2:E5910)))))-COUNTBLANK(OFFSET(A$1,,,SUMPRODUCT(MAX(ROW(E$1:E5909)*(E2=E$1:E5909))))))</f>
        <v> </v>
      </c>
      <c r="K5910" s="26" t="str">
        <f>IF(OR(E5910="",E5910="!!!",F5910="NEW"),"",INDEX(J$1:J5909,SUMPRODUCT(MAX(ROW(E$1:E5909)*(E5910=E$1:E5909)))))</f>
        <v> </v>
      </c>
      <c r="L5910" s="27"/>
    </row>
    <row r="5911" spans="1:12">
      <c r="A5911" s="20" t="s">
        <v>1373</v>
      </c>
      <c r="E5911" s="22">
        <f>IF(D5911="?OLD","!!!","")</f>
        <v/>
      </c>
      <c r="F5911" s="23" t="str">
        <f>IF(OR(E5911="",E5911="!!!"),"",IF(NOT(ISNA(VLOOKUP(E5911,E$1:E5910,1,FALSE()))),"OLD",IF(AND(E5911&lt;&gt;"",E5911&lt;&gt;"!!!"),"NEW","")))</f>
        <v> </v>
      </c>
      <c r="G5911" s="24" t="str">
        <f>IF(OR(E5911="",E5911="!!!"),"",IF(OR(J5911=0,AND(J5911=1,K5911=1),AND(J5911=1,I5911="SBJ"),AND(J5911=1,I5911=0)),"?IN_FOCUS",IF(J5911&lt;=2,"?ACTIVATED",IF(J5911&lt;&gt;"","?FAMILIAR",IF(F5911="NEW",IF(ISNA(VLOOKUP(E5911,#REF!,1,FALSE())),"?TYPE_IDENTIFIABLE","?REFERENTIAL"),"_")))))</f>
        <v> </v>
      </c>
      <c r="H5911" s="25" t="str">
        <f>IF(J5911&lt;&gt;1,"",IF(I5911="SBJ","CB","?"))</f>
        <v> </v>
      </c>
      <c r="I5911" s="26" t="str">
        <f>IF(OR(E5911="",E5911="!!!",F5911="NEW"),"",INDEX(B5910:B$2,-1+SUMPRODUCT(MAX(ROW(E5910:E$2)*(E5911=E5910:E$2)))))</f>
        <v> </v>
      </c>
      <c r="J5911" s="26" t="str">
        <f>IF(OR(E5911="",E5911="!!!",F5911="NEW"),"",COUNTBLANK(OFFSET(A$1,,,SUMPRODUCT(MAX(ROW(E$2:E5911)*(E5911=E$2:E5911)))))-COUNTBLANK(OFFSET(A$1,,,SUMPRODUCT(MAX(ROW(E$1:E5910)*(E2=E$1:E5910))))))</f>
        <v> </v>
      </c>
      <c r="K5911" s="26" t="str">
        <f>IF(OR(E5911="",E5911="!!!",F5911="NEW"),"",INDEX(J$1:J5910,SUMPRODUCT(MAX(ROW(E$1:E5910)*(E5911=E$1:E5910)))))</f>
        <v> </v>
      </c>
      <c r="L5911" s="27"/>
    </row>
    <row r="5912" spans="1:12">
      <c r="A5912" s="20" t="s">
        <v>1775</v>
      </c>
      <c r="E5912" s="22">
        <f>IF(D5912="?OLD","!!!","")</f>
        <v/>
      </c>
      <c r="F5912" s="23" t="str">
        <f>IF(OR(E5912="",E5912="!!!"),"",IF(NOT(ISNA(VLOOKUP(E5912,E$1:E5911,1,FALSE()))),"OLD",IF(AND(E5912&lt;&gt;"",E5912&lt;&gt;"!!!"),"NEW","")))</f>
        <v> </v>
      </c>
      <c r="G5912" s="24" t="str">
        <f>IF(OR(E5912="",E5912="!!!"),"",IF(OR(J5912=0,AND(J5912=1,K5912=1),AND(J5912=1,I5912="SBJ"),AND(J5912=1,I5912=0)),"?IN_FOCUS",IF(J5912&lt;=2,"?ACTIVATED",IF(J5912&lt;&gt;"","?FAMILIAR",IF(F5912="NEW",IF(ISNA(VLOOKUP(E5912,#REF!,1,FALSE())),"?TYPE_IDENTIFIABLE","?REFERENTIAL"),"_")))))</f>
        <v> </v>
      </c>
      <c r="H5912" s="25" t="str">
        <f>IF(J5912&lt;&gt;1,"",IF(I5912="SBJ","CB","?"))</f>
        <v> </v>
      </c>
      <c r="I5912" s="26" t="str">
        <f>IF(OR(E5912="",E5912="!!!",F5912="NEW"),"",INDEX(B5911:B$2,-1+SUMPRODUCT(MAX(ROW(E5911:E$2)*(E5912=E5911:E$2)))))</f>
        <v> </v>
      </c>
      <c r="J5912" s="26" t="str">
        <f>IF(OR(E5912="",E5912="!!!",F5912="NEW"),"",COUNTBLANK(OFFSET(A$1,,,SUMPRODUCT(MAX(ROW(E$2:E5912)*(E5912=E$2:E5912)))))-COUNTBLANK(OFFSET(A$1,,,SUMPRODUCT(MAX(ROW(E$1:E5911)*(E2=E$1:E5911))))))</f>
        <v> </v>
      </c>
      <c r="K5912" s="26" t="str">
        <f>IF(OR(E5912="",E5912="!!!",F5912="NEW"),"",INDEX(J$1:J5911,SUMPRODUCT(MAX(ROW(E$1:E5911)*(E5912=E$1:E5911)))))</f>
        <v> </v>
      </c>
      <c r="L5912" s="27"/>
    </row>
    <row r="5913" spans="1:12">
      <c r="A5913" s="20" t="s">
        <v>1245</v>
      </c>
      <c r="E5913" s="22">
        <f>IF(D5913="?OLD","!!!","")</f>
        <v/>
      </c>
      <c r="F5913" s="23" t="str">
        <f>IF(OR(E5913="",E5913="!!!"),"",IF(NOT(ISNA(VLOOKUP(E5913,E$1:E5912,1,FALSE()))),"OLD",IF(AND(E5913&lt;&gt;"",E5913&lt;&gt;"!!!"),"NEW","")))</f>
        <v> </v>
      </c>
      <c r="G5913" s="24" t="str">
        <f>IF(OR(E5913="",E5913="!!!"),"",IF(OR(J5913=0,AND(J5913=1,K5913=1),AND(J5913=1,I5913="SBJ"),AND(J5913=1,I5913=0)),"?IN_FOCUS",IF(J5913&lt;=2,"?ACTIVATED",IF(J5913&lt;&gt;"","?FAMILIAR",IF(F5913="NEW",IF(ISNA(VLOOKUP(E5913,#REF!,1,FALSE())),"?TYPE_IDENTIFIABLE","?REFERENTIAL"),"_")))))</f>
        <v> </v>
      </c>
      <c r="H5913" s="25" t="str">
        <f>IF(J5913&lt;&gt;1,"",IF(I5913="SBJ","CB","?"))</f>
        <v> </v>
      </c>
      <c r="I5913" s="26" t="str">
        <f>IF(OR(E5913="",E5913="!!!",F5913="NEW"),"",INDEX(B5912:B$2,-1+SUMPRODUCT(MAX(ROW(E5912:E$2)*(E5913=E5912:E$2)))))</f>
        <v> </v>
      </c>
      <c r="J5913" s="26" t="str">
        <f>IF(OR(E5913="",E5913="!!!",F5913="NEW"),"",COUNTBLANK(OFFSET(A$1,,,SUMPRODUCT(MAX(ROW(E$2:E5913)*(E5913=E$2:E5913)))))-COUNTBLANK(OFFSET(A$1,,,SUMPRODUCT(MAX(ROW(E$1:E5912)*(E2=E$1:E5912))))))</f>
        <v> </v>
      </c>
      <c r="K5913" s="26" t="str">
        <f>IF(OR(E5913="",E5913="!!!",F5913="NEW"),"",INDEX(J$1:J5912,SUMPRODUCT(MAX(ROW(E$1:E5912)*(E5913=E$1:E5912)))))</f>
        <v> </v>
      </c>
      <c r="L5913" s="27"/>
    </row>
    <row r="5914" spans="1:12">
      <c r="A5914" s="20" t="s">
        <v>1266</v>
      </c>
      <c r="E5914" s="22">
        <f>IF(D5914="?OLD","!!!","")</f>
        <v/>
      </c>
      <c r="F5914" s="23" t="str">
        <f>IF(OR(E5914="",E5914="!!!"),"",IF(NOT(ISNA(VLOOKUP(E5914,E$1:E5913,1,FALSE()))),"OLD",IF(AND(E5914&lt;&gt;"",E5914&lt;&gt;"!!!"),"NEW","")))</f>
        <v> </v>
      </c>
      <c r="G5914" s="24" t="str">
        <f>IF(OR(E5914="",E5914="!!!"),"",IF(OR(J5914=0,AND(J5914=1,K5914=1),AND(J5914=1,I5914="SBJ"),AND(J5914=1,I5914=0)),"?IN_FOCUS",IF(J5914&lt;=2,"?ACTIVATED",IF(J5914&lt;&gt;"","?FAMILIAR",IF(F5914="NEW",IF(ISNA(VLOOKUP(E5914,#REF!,1,FALSE())),"?TYPE_IDENTIFIABLE","?REFERENTIAL"),"_")))))</f>
        <v> </v>
      </c>
      <c r="H5914" s="25" t="str">
        <f>IF(J5914&lt;&gt;1,"",IF(I5914="SBJ","CB","?"))</f>
        <v> </v>
      </c>
      <c r="I5914" s="26" t="str">
        <f>IF(OR(E5914="",E5914="!!!",F5914="NEW"),"",INDEX(B5913:B$2,-1+SUMPRODUCT(MAX(ROW(E5913:E$2)*(E5914=E5913:E$2)))))</f>
        <v> </v>
      </c>
      <c r="J5914" s="26" t="str">
        <f>IF(OR(E5914="",E5914="!!!",F5914="NEW"),"",COUNTBLANK(OFFSET(A$1,,,SUMPRODUCT(MAX(ROW(E$2:E5914)*(E5914=E$2:E5914)))))-COUNTBLANK(OFFSET(A$1,,,SUMPRODUCT(MAX(ROW(E$1:E5913)*(E2=E$1:E5913))))))</f>
        <v> </v>
      </c>
      <c r="K5914" s="26" t="str">
        <f>IF(OR(E5914="",E5914="!!!",F5914="NEW"),"",INDEX(J$1:J5913,SUMPRODUCT(MAX(ROW(E$1:E5913)*(E5914=E$1:E5913)))))</f>
        <v> </v>
      </c>
      <c r="L5914" s="27"/>
    </row>
    <row r="5915" spans="1:12">
      <c r="A5915" s="20" t="s">
        <v>1597</v>
      </c>
      <c r="E5915" s="22">
        <f>IF(D5915="?OLD","!!!","")</f>
        <v/>
      </c>
      <c r="F5915" s="23" t="str">
        <f>IF(OR(E5915="",E5915="!!!"),"",IF(NOT(ISNA(VLOOKUP(E5915,E$1:E5914,1,FALSE()))),"OLD",IF(AND(E5915&lt;&gt;"",E5915&lt;&gt;"!!!"),"NEW","")))</f>
        <v> </v>
      </c>
      <c r="G5915" s="24" t="str">
        <f>IF(OR(E5915="",E5915="!!!"),"",IF(OR(J5915=0,AND(J5915=1,K5915=1),AND(J5915=1,I5915="SBJ"),AND(J5915=1,I5915=0)),"?IN_FOCUS",IF(J5915&lt;=2,"?ACTIVATED",IF(J5915&lt;&gt;"","?FAMILIAR",IF(F5915="NEW",IF(ISNA(VLOOKUP(E5915,#REF!,1,FALSE())),"?TYPE_IDENTIFIABLE","?REFERENTIAL"),"_")))))</f>
        <v> </v>
      </c>
      <c r="H5915" s="25" t="str">
        <f>IF(J5915&lt;&gt;1,"",IF(I5915="SBJ","CB","?"))</f>
        <v> </v>
      </c>
      <c r="I5915" s="26" t="str">
        <f>IF(OR(E5915="",E5915="!!!",F5915="NEW"),"",INDEX(B5914:B$2,-1+SUMPRODUCT(MAX(ROW(E5914:E$2)*(E5915=E5914:E$2)))))</f>
        <v> </v>
      </c>
      <c r="J5915" s="26" t="str">
        <f>IF(OR(E5915="",E5915="!!!",F5915="NEW"),"",COUNTBLANK(OFFSET(A$1,,,SUMPRODUCT(MAX(ROW(E$2:E5915)*(E5915=E$2:E5915)))))-COUNTBLANK(OFFSET(A$1,,,SUMPRODUCT(MAX(ROW(E$1:E5914)*(E2=E$1:E5914))))))</f>
        <v> </v>
      </c>
      <c r="K5915" s="26" t="str">
        <f>IF(OR(E5915="",E5915="!!!",F5915="NEW"),"",INDEX(J$1:J5914,SUMPRODUCT(MAX(ROW(E$1:E5914)*(E5915=E$1:E5914)))))</f>
        <v> </v>
      </c>
      <c r="L5915" s="27"/>
    </row>
    <row r="5916" spans="1:12">
      <c r="A5916" s="20" t="s">
        <v>1436</v>
      </c>
      <c r="E5916" s="22">
        <f>IF(D5916="?OLD","!!!","")</f>
        <v/>
      </c>
      <c r="F5916" s="23" t="str">
        <f>IF(OR(E5916="",E5916="!!!"),"",IF(NOT(ISNA(VLOOKUP(E5916,E$1:E5915,1,FALSE()))),"OLD",IF(AND(E5916&lt;&gt;"",E5916&lt;&gt;"!!!"),"NEW","")))</f>
        <v> </v>
      </c>
      <c r="G5916" s="24" t="str">
        <f>IF(OR(E5916="",E5916="!!!"),"",IF(OR(J5916=0,AND(J5916=1,K5916=1),AND(J5916=1,I5916="SBJ"),AND(J5916=1,I5916=0)),"?IN_FOCUS",IF(J5916&lt;=2,"?ACTIVATED",IF(J5916&lt;&gt;"","?FAMILIAR",IF(F5916="NEW",IF(ISNA(VLOOKUP(E5916,#REF!,1,FALSE())),"?TYPE_IDENTIFIABLE","?REFERENTIAL"),"_")))))</f>
        <v> </v>
      </c>
      <c r="H5916" s="25" t="str">
        <f>IF(J5916&lt;&gt;1,"",IF(I5916="SBJ","CB","?"))</f>
        <v> </v>
      </c>
      <c r="I5916" s="26" t="str">
        <f>IF(OR(E5916="",E5916="!!!",F5916="NEW"),"",INDEX(B5915:B$2,-1+SUMPRODUCT(MAX(ROW(E5915:E$2)*(E5916=E5915:E$2)))))</f>
        <v> </v>
      </c>
      <c r="J5916" s="26" t="str">
        <f>IF(OR(E5916="",E5916="!!!",F5916="NEW"),"",COUNTBLANK(OFFSET(A$1,,,SUMPRODUCT(MAX(ROW(E$2:E5916)*(E5916=E$2:E5916)))))-COUNTBLANK(OFFSET(A$1,,,SUMPRODUCT(MAX(ROW(E$1:E5915)*(E2=E$1:E5915))))))</f>
        <v> </v>
      </c>
      <c r="K5916" s="26" t="str">
        <f>IF(OR(E5916="",E5916="!!!",F5916="NEW"),"",INDEX(J$1:J5915,SUMPRODUCT(MAX(ROW(E$1:E5915)*(E5916=E$1:E5915)))))</f>
        <v> </v>
      </c>
      <c r="L5916" s="27"/>
    </row>
    <row r="5917" spans="1:12">
      <c r="A5917" s="20" t="s">
        <v>1245</v>
      </c>
      <c r="E5917" s="22">
        <f>IF(D5917="?OLD","!!!","")</f>
        <v/>
      </c>
      <c r="F5917" s="23" t="str">
        <f>IF(OR(E5917="",E5917="!!!"),"",IF(NOT(ISNA(VLOOKUP(E5917,E$1:E5916,1,FALSE()))),"OLD",IF(AND(E5917&lt;&gt;"",E5917&lt;&gt;"!!!"),"NEW","")))</f>
        <v> </v>
      </c>
      <c r="G5917" s="24" t="str">
        <f>IF(OR(E5917="",E5917="!!!"),"",IF(OR(J5917=0,AND(J5917=1,K5917=1),AND(J5917=1,I5917="SBJ"),AND(J5917=1,I5917=0)),"?IN_FOCUS",IF(J5917&lt;=2,"?ACTIVATED",IF(J5917&lt;&gt;"","?FAMILIAR",IF(F5917="NEW",IF(ISNA(VLOOKUP(E5917,#REF!,1,FALSE())),"?TYPE_IDENTIFIABLE","?REFERENTIAL"),"_")))))</f>
        <v> </v>
      </c>
      <c r="H5917" s="25" t="str">
        <f>IF(J5917&lt;&gt;1,"",IF(I5917="SBJ","CB","?"))</f>
        <v> </v>
      </c>
      <c r="I5917" s="26" t="str">
        <f>IF(OR(E5917="",E5917="!!!",F5917="NEW"),"",INDEX(B5916:B$2,-1+SUMPRODUCT(MAX(ROW(E5916:E$2)*(E5917=E5916:E$2)))))</f>
        <v> </v>
      </c>
      <c r="J5917" s="26" t="str">
        <f>IF(OR(E5917="",E5917="!!!",F5917="NEW"),"",COUNTBLANK(OFFSET(A$1,,,SUMPRODUCT(MAX(ROW(E$2:E5917)*(E5917=E$2:E5917)))))-COUNTBLANK(OFFSET(A$1,,,SUMPRODUCT(MAX(ROW(E$1:E5916)*(E2=E$1:E5916))))))</f>
        <v> </v>
      </c>
      <c r="K5917" s="26" t="str">
        <f>IF(OR(E5917="",E5917="!!!",F5917="NEW"),"",INDEX(J$1:J5916,SUMPRODUCT(MAX(ROW(E$1:E5916)*(E5917=E$1:E5916)))))</f>
        <v> </v>
      </c>
      <c r="L5917" s="27"/>
    </row>
    <row r="5918" spans="1:12">
      <c r="A5918" s="20" t="s">
        <v>1219</v>
      </c>
      <c r="E5918" s="22">
        <f>IF(D5918="?OLD","!!!","")</f>
        <v/>
      </c>
      <c r="F5918" s="23" t="str">
        <f>IF(OR(E5918="",E5918="!!!"),"",IF(NOT(ISNA(VLOOKUP(E5918,E$1:E5917,1,FALSE()))),"OLD",IF(AND(E5918&lt;&gt;"",E5918&lt;&gt;"!!!"),"NEW","")))</f>
        <v> </v>
      </c>
      <c r="G5918" s="24" t="str">
        <f>IF(OR(E5918="",E5918="!!!"),"",IF(OR(J5918=0,AND(J5918=1,K5918=1),AND(J5918=1,I5918="SBJ"),AND(J5918=1,I5918=0)),"?IN_FOCUS",IF(J5918&lt;=2,"?ACTIVATED",IF(J5918&lt;&gt;"","?FAMILIAR",IF(F5918="NEW",IF(ISNA(VLOOKUP(E5918,#REF!,1,FALSE())),"?TYPE_IDENTIFIABLE","?REFERENTIAL"),"_")))))</f>
        <v> </v>
      </c>
      <c r="H5918" s="25" t="str">
        <f>IF(J5918&lt;&gt;1,"",IF(I5918="SBJ","CB","?"))</f>
        <v> </v>
      </c>
      <c r="I5918" s="26" t="str">
        <f>IF(OR(E5918="",E5918="!!!",F5918="NEW"),"",INDEX(B5917:B$2,-1+SUMPRODUCT(MAX(ROW(E5917:E$2)*(E5918=E5917:E$2)))))</f>
        <v> </v>
      </c>
      <c r="J5918" s="26" t="str">
        <f>IF(OR(E5918="",E5918="!!!",F5918="NEW"),"",COUNTBLANK(OFFSET(A$1,,,SUMPRODUCT(MAX(ROW(E$2:E5918)*(E5918=E$2:E5918)))))-COUNTBLANK(OFFSET(A$1,,,SUMPRODUCT(MAX(ROW(E$1:E5917)*(E2=E$1:E5917))))))</f>
        <v> </v>
      </c>
      <c r="K5918" s="26" t="str">
        <f>IF(OR(E5918="",E5918="!!!",F5918="NEW"),"",INDEX(J$1:J5917,SUMPRODUCT(MAX(ROW(E$1:E5917)*(E5918=E$1:E5917)))))</f>
        <v> </v>
      </c>
      <c r="L5918" s="27"/>
    </row>
    <row r="5919" spans="1:12">
      <c r="A5919" s="20" t="s">
        <v>1511</v>
      </c>
      <c r="B5919" s="21" t="s">
        <v>1377</v>
      </c>
      <c r="C5919" s="21" t="s">
        <v>1269</v>
      </c>
      <c r="D5919" s="21" t="s">
        <v>1217</v>
      </c>
      <c r="E5919" s="22">
        <f>IF(D5919="?OLD","!!!","")</f>
        <v/>
      </c>
      <c r="F5919" s="23" t="str">
        <f>IF(OR(E5919="",E5919="!!!"),"",IF(NOT(ISNA(VLOOKUP(E5919,E$1:E5918,1,FALSE()))),"OLD",IF(AND(E5919&lt;&gt;"",E5919&lt;&gt;"!!!"),"NEW","")))</f>
        <v> </v>
      </c>
      <c r="G5919" s="24" t="str">
        <f>IF(OR(E5919="",E5919="!!!"),"",IF(OR(J5919=0,AND(J5919=1,K5919=1),AND(J5919=1,I5919="SBJ"),AND(J5919=1,I5919=0)),"?IN_FOCUS",IF(J5919&lt;=2,"?ACTIVATED",IF(J5919&lt;&gt;"","?FAMILIAR",IF(F5919="NEW",IF(ISNA(VLOOKUP(E5919,#REF!,1,FALSE())),"?TYPE_IDENTIFIABLE","?REFERENTIAL"),"_")))))</f>
        <v> </v>
      </c>
      <c r="H5919" s="25" t="str">
        <f>IF(J5919&lt;&gt;1,"",IF(I5919="SBJ","CB","?"))</f>
        <v> </v>
      </c>
      <c r="I5919" s="26" t="str">
        <f>IF(OR(E5919="",E5919="!!!",F5919="NEW"),"",INDEX(B5918:B$2,-1+SUMPRODUCT(MAX(ROW(E5918:E$2)*(E5919=E5918:E$2)))))</f>
        <v> </v>
      </c>
      <c r="J5919" s="26" t="str">
        <f>IF(OR(E5919="",E5919="!!!",F5919="NEW"),"",COUNTBLANK(OFFSET(A$1,,,SUMPRODUCT(MAX(ROW(E$2:E5919)*(E5919=E$2:E5919)))))-COUNTBLANK(OFFSET(A$1,,,SUMPRODUCT(MAX(ROW(E$1:E5918)*(E2=E$1:E5918))))))</f>
        <v> </v>
      </c>
      <c r="K5919" s="26" t="str">
        <f>IF(OR(E5919="",E5919="!!!",F5919="NEW"),"",INDEX(J$1:J5918,SUMPRODUCT(MAX(ROW(E$1:E5918)*(E5919=E$1:E5918)))))</f>
        <v> </v>
      </c>
      <c r="L5919" s="27"/>
    </row>
    <row r="5920" spans="1:12">
      <c r="A5920" s="20" t="s">
        <v>1370</v>
      </c>
      <c r="E5920" s="22">
        <f>IF(D5920="?OLD","!!!","")</f>
        <v/>
      </c>
      <c r="F5920" s="23" t="str">
        <f>IF(OR(E5920="",E5920="!!!"),"",IF(NOT(ISNA(VLOOKUP(E5920,E$1:E5919,1,FALSE()))),"OLD",IF(AND(E5920&lt;&gt;"",E5920&lt;&gt;"!!!"),"NEW","")))</f>
        <v> </v>
      </c>
      <c r="G5920" s="24" t="str">
        <f>IF(OR(E5920="",E5920="!!!"),"",IF(OR(J5920=0,AND(J5920=1,K5920=1),AND(J5920=1,I5920="SBJ"),AND(J5920=1,I5920=0)),"?IN_FOCUS",IF(J5920&lt;=2,"?ACTIVATED",IF(J5920&lt;&gt;"","?FAMILIAR",IF(F5920="NEW",IF(ISNA(VLOOKUP(E5920,#REF!,1,FALSE())),"?TYPE_IDENTIFIABLE","?REFERENTIAL"),"_")))))</f>
        <v> </v>
      </c>
      <c r="H5920" s="25" t="str">
        <f>IF(J5920&lt;&gt;1,"",IF(I5920="SBJ","CB","?"))</f>
        <v> </v>
      </c>
      <c r="I5920" s="26" t="str">
        <f>IF(OR(E5920="",E5920="!!!",F5920="NEW"),"",INDEX(B5919:B$2,-1+SUMPRODUCT(MAX(ROW(E5919:E$2)*(E5920=E5919:E$2)))))</f>
        <v> </v>
      </c>
      <c r="J5920" s="26" t="str">
        <f>IF(OR(E5920="",E5920="!!!",F5920="NEW"),"",COUNTBLANK(OFFSET(A$1,,,SUMPRODUCT(MAX(ROW(E$2:E5920)*(E5920=E$2:E5920)))))-COUNTBLANK(OFFSET(A$1,,,SUMPRODUCT(MAX(ROW(E$1:E5919)*(E2=E$1:E5919))))))</f>
        <v> </v>
      </c>
      <c r="K5920" s="26" t="str">
        <f>IF(OR(E5920="",E5920="!!!",F5920="NEW"),"",INDEX(J$1:J5919,SUMPRODUCT(MAX(ROW(E$1:E5919)*(E5920=E$1:E5919)))))</f>
        <v> </v>
      </c>
      <c r="L5920" s="27"/>
    </row>
    <row r="5921" spans="1:12">
      <c r="A5921" s="20" t="s">
        <v>1218</v>
      </c>
      <c r="E5921" s="22">
        <f>IF(D5921="?OLD","!!!","")</f>
        <v/>
      </c>
      <c r="F5921" s="23" t="str">
        <f>IF(OR(E5921="",E5921="!!!"),"",IF(NOT(ISNA(VLOOKUP(E5921,E$1:E5920,1,FALSE()))),"OLD",IF(AND(E5921&lt;&gt;"",E5921&lt;&gt;"!!!"),"NEW","")))</f>
        <v> </v>
      </c>
      <c r="G5921" s="24" t="str">
        <f>IF(OR(E5921="",E5921="!!!"),"",IF(OR(J5921=0,AND(J5921=1,K5921=1),AND(J5921=1,I5921="SBJ"),AND(J5921=1,I5921=0)),"?IN_FOCUS",IF(J5921&lt;=2,"?ACTIVATED",IF(J5921&lt;&gt;"","?FAMILIAR",IF(F5921="NEW",IF(ISNA(VLOOKUP(E5921,#REF!,1,FALSE())),"?TYPE_IDENTIFIABLE","?REFERENTIAL"),"_")))))</f>
        <v> </v>
      </c>
      <c r="H5921" s="25" t="str">
        <f>IF(J5921&lt;&gt;1,"",IF(I5921="SBJ","CB","?"))</f>
        <v> </v>
      </c>
      <c r="I5921" s="26" t="str">
        <f>IF(OR(E5921="",E5921="!!!",F5921="NEW"),"",INDEX(B5920:B$2,-1+SUMPRODUCT(MAX(ROW(E5920:E$2)*(E5921=E5920:E$2)))))</f>
        <v> </v>
      </c>
      <c r="J5921" s="26" t="str">
        <f>IF(OR(E5921="",E5921="!!!",F5921="NEW"),"",COUNTBLANK(OFFSET(A$1,,,SUMPRODUCT(MAX(ROW(E$2:E5921)*(E5921=E$2:E5921)))))-COUNTBLANK(OFFSET(A$1,,,SUMPRODUCT(MAX(ROW(E$1:E5920)*(E2=E$1:E5920))))))</f>
        <v> </v>
      </c>
      <c r="K5921" s="26" t="str">
        <f>IF(OR(E5921="",E5921="!!!",F5921="NEW"),"",INDEX(J$1:J5920,SUMPRODUCT(MAX(ROW(E$1:E5920)*(E5921=E$1:E5920)))))</f>
        <v> </v>
      </c>
      <c r="L5921" s="27"/>
    </row>
    <row r="5922" spans="1:12">
      <c r="A5922" s="20" t="s">
        <v>1323</v>
      </c>
      <c r="E5922" s="22">
        <f>IF(D5922="?OLD","!!!","")</f>
        <v/>
      </c>
      <c r="F5922" s="23" t="str">
        <f>IF(OR(E5922="",E5922="!!!"),"",IF(NOT(ISNA(VLOOKUP(E5922,E$1:E5921,1,FALSE()))),"OLD",IF(AND(E5922&lt;&gt;"",E5922&lt;&gt;"!!!"),"NEW","")))</f>
        <v> </v>
      </c>
      <c r="G5922" s="24" t="str">
        <f>IF(OR(E5922="",E5922="!!!"),"",IF(OR(J5922=0,AND(J5922=1,K5922=1),AND(J5922=1,I5922="SBJ"),AND(J5922=1,I5922=0)),"?IN_FOCUS",IF(J5922&lt;=2,"?ACTIVATED",IF(J5922&lt;&gt;"","?FAMILIAR",IF(F5922="NEW",IF(ISNA(VLOOKUP(E5922,#REF!,1,FALSE())),"?TYPE_IDENTIFIABLE","?REFERENTIAL"),"_")))))</f>
        <v> </v>
      </c>
      <c r="H5922" s="25" t="str">
        <f>IF(J5922&lt;&gt;1,"",IF(I5922="SBJ","CB","?"))</f>
        <v> </v>
      </c>
      <c r="I5922" s="26" t="str">
        <f>IF(OR(E5922="",E5922="!!!",F5922="NEW"),"",INDEX(B5921:B$2,-1+SUMPRODUCT(MAX(ROW(E5921:E$2)*(E5922=E5921:E$2)))))</f>
        <v> </v>
      </c>
      <c r="J5922" s="26" t="str">
        <f>IF(OR(E5922="",E5922="!!!",F5922="NEW"),"",COUNTBLANK(OFFSET(A$1,,,SUMPRODUCT(MAX(ROW(E$2:E5922)*(E5922=E$2:E5922)))))-COUNTBLANK(OFFSET(A$1,,,SUMPRODUCT(MAX(ROW(E$1:E5921)*(E2=E$1:E5921))))))</f>
        <v> </v>
      </c>
      <c r="K5922" s="26" t="str">
        <f>IF(OR(E5922="",E5922="!!!",F5922="NEW"),"",INDEX(J$1:J5921,SUMPRODUCT(MAX(ROW(E$1:E5921)*(E5922=E$1:E5921)))))</f>
        <v> </v>
      </c>
      <c r="L5922" s="27"/>
    </row>
    <row r="5923" spans="1:12">
      <c r="A5923" s="20" t="s">
        <v>1385</v>
      </c>
      <c r="B5923" s="21" t="s">
        <v>1380</v>
      </c>
      <c r="C5923" s="21" t="s">
        <v>1269</v>
      </c>
      <c r="D5923" s="21" t="s">
        <v>1217</v>
      </c>
      <c r="E5923" s="22">
        <f>IF(D5923="?OLD","!!!","")</f>
        <v/>
      </c>
      <c r="F5923" s="23" t="str">
        <f>IF(OR(E5923="",E5923="!!!"),"",IF(NOT(ISNA(VLOOKUP(E5923,E$1:E5922,1,FALSE()))),"OLD",IF(AND(E5923&lt;&gt;"",E5923&lt;&gt;"!!!"),"NEW","")))</f>
        <v> </v>
      </c>
      <c r="G5923" s="24" t="str">
        <f>IF(OR(E5923="",E5923="!!!"),"",IF(OR(J5923=0,AND(J5923=1,K5923=1),AND(J5923=1,I5923="SBJ"),AND(J5923=1,I5923=0)),"?IN_FOCUS",IF(J5923&lt;=2,"?ACTIVATED",IF(J5923&lt;&gt;"","?FAMILIAR",IF(F5923="NEW",IF(ISNA(VLOOKUP(E5923,#REF!,1,FALSE())),"?TYPE_IDENTIFIABLE","?REFERENTIAL"),"_")))))</f>
        <v> </v>
      </c>
      <c r="H5923" s="25" t="str">
        <f>IF(J5923&lt;&gt;1,"",IF(I5923="SBJ","CB","?"))</f>
        <v> </v>
      </c>
      <c r="I5923" s="26" t="str">
        <f>IF(OR(E5923="",E5923="!!!",F5923="NEW"),"",INDEX(B5922:B$2,-1+SUMPRODUCT(MAX(ROW(E5922:E$2)*(E5923=E5922:E$2)))))</f>
        <v> </v>
      </c>
      <c r="J5923" s="26" t="str">
        <f>IF(OR(E5923="",E5923="!!!",F5923="NEW"),"",COUNTBLANK(OFFSET(A$1,,,SUMPRODUCT(MAX(ROW(E$2:E5923)*(E5923=E$2:E5923)))))-COUNTBLANK(OFFSET(A$1,,,SUMPRODUCT(MAX(ROW(E$1:E5922)*(E2=E$1:E5922))))))</f>
        <v> </v>
      </c>
      <c r="K5923" s="26" t="str">
        <f>IF(OR(E5923="",E5923="!!!",F5923="NEW"),"",INDEX(J$1:J5922,SUMPRODUCT(MAX(ROW(E$1:E5922)*(E5923=E$1:E5922)))))</f>
        <v> </v>
      </c>
      <c r="L5923" s="27"/>
    </row>
    <row r="5924" spans="1:12">
      <c r="A5924" s="20" t="s">
        <v>1262</v>
      </c>
      <c r="E5924" s="22">
        <f>IF(D5924="?OLD","!!!","")</f>
        <v/>
      </c>
      <c r="F5924" s="23" t="str">
        <f>IF(OR(E5924="",E5924="!!!"),"",IF(NOT(ISNA(VLOOKUP(E5924,E$1:E5923,1,FALSE()))),"OLD",IF(AND(E5924&lt;&gt;"",E5924&lt;&gt;"!!!"),"NEW","")))</f>
        <v> </v>
      </c>
      <c r="G5924" s="24" t="str">
        <f>IF(OR(E5924="",E5924="!!!"),"",IF(OR(J5924=0,AND(J5924=1,K5924=1),AND(J5924=1,I5924="SBJ"),AND(J5924=1,I5924=0)),"?IN_FOCUS",IF(J5924&lt;=2,"?ACTIVATED",IF(J5924&lt;&gt;"","?FAMILIAR",IF(F5924="NEW",IF(ISNA(VLOOKUP(E5924,#REF!,1,FALSE())),"?TYPE_IDENTIFIABLE","?REFERENTIAL"),"_")))))</f>
        <v> </v>
      </c>
      <c r="H5924" s="25" t="str">
        <f>IF(J5924&lt;&gt;1,"",IF(I5924="SBJ","CB","?"))</f>
        <v> </v>
      </c>
      <c r="I5924" s="26" t="str">
        <f>IF(OR(E5924="",E5924="!!!",F5924="NEW"),"",INDEX(B5923:B$2,-1+SUMPRODUCT(MAX(ROW(E5923:E$2)*(E5924=E5923:E$2)))))</f>
        <v> </v>
      </c>
      <c r="J5924" s="26" t="str">
        <f>IF(OR(E5924="",E5924="!!!",F5924="NEW"),"",COUNTBLANK(OFFSET(A$1,,,SUMPRODUCT(MAX(ROW(E$2:E5924)*(E5924=E$2:E5924)))))-COUNTBLANK(OFFSET(A$1,,,SUMPRODUCT(MAX(ROW(E$1:E5923)*(E2=E$1:E5923))))))</f>
        <v> </v>
      </c>
      <c r="K5924" s="26" t="str">
        <f>IF(OR(E5924="",E5924="!!!",F5924="NEW"),"",INDEX(J$1:J5923,SUMPRODUCT(MAX(ROW(E$1:E5923)*(E5924=E$1:E5923)))))</f>
        <v> </v>
      </c>
      <c r="L5924" s="27"/>
    </row>
    <row r="5925" spans="1:12">
      <c r="A592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2025-07-10T18:07:15Z</dcterms:created>
  <dcterms:modified xsi:type="dcterms:W3CDTF">2025-07-10T18:07:15Z</dcterms:modified>
</cp:coreProperties>
</file>