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<sst xmlns="http://schemas.openxmlformats.org/spreadsheetml/2006/main" count="3432" uniqueCount="973">
  <si>
    <t>ID</t>
  </si>
  <si>
    <t>PRED_ID</t>
  </si>
  <si>
    <t>MARKER_AUTO</t>
  </si>
  <si>
    <t>PREDICATE</t>
  </si>
  <si>
    <t>TEXT</t>
  </si>
  <si>
    <t>SENTENCE</t>
  </si>
  <si>
    <t>MARKER</t>
  </si>
  <si>
    <t>TARGET</t>
  </si>
  <si>
    <t>RELATION</t>
  </si>
  <si>
    <t>COMMENT</t>
  </si>
  <si>
    <t>1</t>
  </si>
  <si>
    <t>14</t>
  </si>
  <si>
    <t>_</t>
  </si>
  <si>
    <t>présenter</t>
  </si>
  <si>
    <t>Il y a plusieurs années , ici à Ted , Peter Skillman a présenté une épreuve de conception appelée l' épreuve du de le marshmallow .</t>
  </si>
  <si>
    <t>file://conllu/fr/teddy-1429.conllu#s1_0</t>
  </si>
  <si>
    <t>2</t>
  </si>
  <si>
    <t>4</t>
  </si>
  <si>
    <t>plutôt?</t>
  </si>
  <si>
    <t>être (être simple)</t>
  </si>
  <si>
    <t>Et l' idée est plutôt simple .</t>
  </si>
  <si>
    <t>file://conllu/fr/teddy-1429.conllu#s2_0</t>
  </si>
  <si>
    <t>3</t>
  </si>
  <si>
    <t>devoir</t>
  </si>
  <si>
    <t>Le marshmallow doit être placé au à le sommet .</t>
  </si>
  <si>
    <t>file://conllu/fr/teddy-1429.conllu#s4_0</t>
  </si>
  <si>
    <t>5</t>
  </si>
  <si>
    <t>9</t>
  </si>
  <si>
    <t>en fait?</t>
  </si>
  <si>
    <t>être (être difficile)</t>
  </si>
  <si>
    <t>Bien que cela semble vraiment simple , c' est en fait plutôt difficile , parce que ça oblige les gens à collaborer rapidement .</t>
  </si>
  <si>
    <t>file://conllu/fr/teddy-1429.conllu#s5_0</t>
  </si>
  <si>
    <t>6</t>
  </si>
  <si>
    <t>trouver</t>
  </si>
  <si>
    <t>J' ai trouvé que c' était une idée intéressante , alors je l' ai insérée dans un atelier de conception .</t>
  </si>
  <si>
    <t>file://conllu/fr/teddy-1429.conllu#s6_0</t>
  </si>
  <si>
    <t>7</t>
  </si>
  <si>
    <t>et?</t>
  </si>
  <si>
    <t>être (être succès)</t>
  </si>
  <si>
    <t>Et ça a été un grand succès .</t>
  </si>
  <si>
    <t>file://conllu/fr/teddy-1429.conllu#s7_0</t>
  </si>
  <si>
    <t>8</t>
  </si>
  <si>
    <t>depuis?</t>
  </si>
  <si>
    <t>diriger</t>
  </si>
  <si>
    <t>Depuis , j' ai dirigé environ 70 ateliers de conception dans le monde entier , avec des de les étudiants , des de les designers et des de les architectes , et même les Directeurs Techniques d' entreprises du de le Fortune 50 , et il y a quelque chose dans cet exercice qui révèle de profonds enseignements sur la nature de la collaboration , et j' aimerais en partager certains avec vous .</t>
  </si>
  <si>
    <t>file://conllu/fr/teddy-1429.conllu#s8_0</t>
  </si>
  <si>
    <t>commencer</t>
  </si>
  <si>
    <t>Bon , normalement la plupart des de les gens commencent par prendre leurs marques par rapport à la tâche .</t>
  </si>
  <si>
    <t>file://conllu/fr/teddy-1429.conllu#s9_0</t>
  </si>
  <si>
    <t>10</t>
  </si>
  <si>
    <t>en?</t>
  </si>
  <si>
    <t>parler</t>
  </si>
  <si>
    <t>Ils en parlent , ils cherchent à quoi ça va ressembler , ils manoeuvrent pour le pouvoir , et puis ils passent un peu de temps à planifier , à organiser .</t>
  </si>
  <si>
    <t>file://conllu/fr/teddy-1429.conllu#s10_0</t>
  </si>
  <si>
    <t>11</t>
  </si>
  <si>
    <t>faire</t>
  </si>
  <si>
    <t>Ils font des de les croquis , et disposent les spaghettis .</t>
  </si>
  <si>
    <t>file://conllu/fr/teddy-1429.conllu#s11_0</t>
  </si>
  <si>
    <t>12</t>
  </si>
  <si>
    <t>passer</t>
  </si>
  <si>
    <t>Ils passent la majeure partie de leur temps à assembler les bâtons en structures de plus en plus grandes , et puis , à la fin , juste quand le délai se rapproche , quelqu'un prend le marshmallow , et le pose précautionneusement au à le sommet , puis ils reculent , et ... Ta-daaa !</t>
  </si>
  <si>
    <t>file://conllu/fr/teddy-1429.conllu#s12_0</t>
  </si>
  <si>
    <t>13</t>
  </si>
  <si>
    <t>admir</t>
  </si>
  <si>
    <t>Ils admirent leur travail .</t>
  </si>
  <si>
    <t>file://conllu/fr/teddy-1429.conllu#s13_0</t>
  </si>
  <si>
    <t>16</t>
  </si>
  <si>
    <t>être</t>
  </si>
  <si>
    <t>Mais en fait , ce qui arrive , la plupart du de le temps , c' est que le &amp;quot; ta-daa &amp;quot; se termine en &amp;quot; oh -oh &amp;quot; parce que le poids du de le marshmallow fait que toute la structure se déforme et s' écroule .</t>
  </si>
  <si>
    <t>file://conllu/fr/teddy-1429.conllu#s14_0</t>
  </si>
  <si>
    <t>15</t>
  </si>
  <si>
    <t>avoir</t>
  </si>
  <si>
    <t>Il y a un certain nombre de participants qui ont bien plus de &amp;quot; oh oh &amp;quot; que les autres , et , parmi les pires , les jeunes diplômés des de les écoles de commerce .</t>
  </si>
  <si>
    <t>file://conllu/fr/teddy-1429.conllu#s15_0</t>
  </si>
  <si>
    <t>Rires</t>
  </si>
  <si>
    <t>( Rires )</t>
  </si>
  <si>
    <t>file://conllu/fr/teddy-1429.conllu#s16_0</t>
  </si>
  <si>
    <t>17</t>
  </si>
  <si>
    <t>être (être boiteux)</t>
  </si>
  <si>
    <t>Ils mentent , ils trichent , ils sont distraits , et les structures qu' ils produisent sont vraiment boiteuses .</t>
  </si>
  <si>
    <t>file://conllu/fr/teddy-1429.conllu#s17_0</t>
  </si>
  <si>
    <t>18</t>
  </si>
  <si>
    <t>Et bien sûr , il y a des de les équipes qui produisent bien plus de structures &amp;quot; ta-daa &amp;quot; , et , parmi les meilleures , les jeunes diplômés d' écoles maternelles .</t>
  </si>
  <si>
    <t>file://conllu/fr/teddy-1429.conllu#s18_0</t>
  </si>
  <si>
    <t>19</t>
  </si>
  <si>
    <t>être (être étonnant)</t>
  </si>
  <si>
    <t>Et c' est vraiment étonnant .</t>
  </si>
  <si>
    <t>file://conllu/fr/teddy-1429.conllu#s19_0</t>
  </si>
  <si>
    <t>20</t>
  </si>
  <si>
    <t>comme?</t>
  </si>
  <si>
    <t>dire (dire produire)</t>
  </si>
  <si>
    <t>Comme le dit Peter , non seulement ils produisent les structures les plus hautes , mais ce sont aussi les structures les plus intéressantes .</t>
  </si>
  <si>
    <t>file://conllu/fr/teddy-1429.conllu#s20_0</t>
  </si>
  <si>
    <t>21</t>
  </si>
  <si>
    <t>alors?</t>
  </si>
  <si>
    <t>Alors , la question qu' on se pose , c' est : Comment ça se fait ?</t>
  </si>
  <si>
    <t>file://conllu/fr/teddy-1429.conllu#s21_0</t>
  </si>
  <si>
    <t>22</t>
  </si>
  <si>
    <t>pourquoi</t>
  </si>
  <si>
    <t>Pourquoi ?</t>
  </si>
  <si>
    <t>file://conllu/fr/teddy-1429.conllu#s22_0</t>
  </si>
  <si>
    <t>23</t>
  </si>
  <si>
    <t>Qu' ont -ils de spécial ?</t>
  </si>
  <si>
    <t>file://conllu/fr/teddy-1429.conllu#s23_0</t>
  </si>
  <si>
    <t>24</t>
  </si>
  <si>
    <t>aimer</t>
  </si>
  <si>
    <t>Peter aime dire ceci : &amp;quot; Aucun des de les enfants n' a passé une seule minute à essayer de devenir Directeur Technique de la Spaghetti Inc. &amp;quot; .</t>
  </si>
  <si>
    <t>file://conllu/fr/teddy-1429.conllu#s24_0</t>
  </si>
  <si>
    <t>25</t>
  </si>
  <si>
    <t>être (être vrai)</t>
  </si>
  <si>
    <t>C' est vrai .</t>
  </si>
  <si>
    <t>file://conllu/fr/teddy-1429.conllu#s25_0</t>
  </si>
  <si>
    <t>26</t>
  </si>
  <si>
    <t>à?</t>
  </si>
  <si>
    <t>Ils ne passent pas leur temps à manoeuvrer pour le pouvoir .</t>
  </si>
  <si>
    <t>file://conllu/fr/teddy-1429.conllu#s26_0</t>
  </si>
  <si>
    <t>27</t>
  </si>
  <si>
    <t>aussi?</t>
  </si>
  <si>
    <t>Mais il y a aussi une autre raison .</t>
  </si>
  <si>
    <t>file://conllu/fr/teddy-1429.conllu#s27_0</t>
  </si>
  <si>
    <t>28</t>
  </si>
  <si>
    <t>C' est que les étudiants des de les écoles de commerce sont entrainés à trouver l' unique plan qui marchera .</t>
  </si>
  <si>
    <t>file://conllu/fr/teddy-1429.conllu#s28_0</t>
  </si>
  <si>
    <t>29</t>
  </si>
  <si>
    <t>et puis?</t>
  </si>
  <si>
    <t>mettre</t>
  </si>
  <si>
    <t>Et puis le mettre en oeuvre .</t>
  </si>
  <si>
    <t>file://conllu/fr/teddy-1429.conllu#s29_0</t>
  </si>
  <si>
    <t>30</t>
  </si>
  <si>
    <t>poser</t>
  </si>
  <si>
    <t>Et puis , ce qui arrive , quand ils posent le marshmallow au à le sommet , ils ne leur reste plus de temps , et alors ?</t>
  </si>
  <si>
    <t>file://conllu/fr/teddy-1429.conllu#s30_0</t>
  </si>
  <si>
    <t>31</t>
  </si>
  <si>
    <t>être (être crise)</t>
  </si>
  <si>
    <t>C' est la crise .</t>
  </si>
  <si>
    <t>file://conllu/fr/teddy-1429.conllu#s31_0</t>
  </si>
  <si>
    <t>32</t>
  </si>
  <si>
    <t>rappeler</t>
  </si>
  <si>
    <t>Ça vous rappelle quelque chose ?</t>
  </si>
  <si>
    <t>file://conllu/fr/teddy-1429.conllu#s32_0</t>
  </si>
  <si>
    <t>33</t>
  </si>
  <si>
    <t>parfait</t>
  </si>
  <si>
    <t>Parfait .</t>
  </si>
  <si>
    <t>file://conllu/fr/teddy-1429.conllu#s33_0</t>
  </si>
  <si>
    <t>34</t>
  </si>
  <si>
    <t>Ce que les équipes de maternelle font différemment , c' est qu' elles commencent par le marshmallow , et construisent des de les prototypes , des de les prototypes successifs , en gardant toujours le marshmallow au à le sommet , et ont ainsi de nombreuses occasions de réparer les prototypes en difficulté .</t>
  </si>
  <si>
    <t>file://conllu/fr/teddy-1429.conllu#s34_0</t>
  </si>
  <si>
    <t>35</t>
  </si>
  <si>
    <t>reconnaitr</t>
  </si>
  <si>
    <t>Les concepteurs reconnaitront ce type de coopération comme la base essentielle du de le processus itératif .</t>
  </si>
  <si>
    <t>file://conllu/fr/teddy-1429.conllu#s35_0</t>
  </si>
  <si>
    <t>36</t>
  </si>
  <si>
    <t>Avec chaque version , les enfants ont un retour d' information instantané sur ce qui marche ou pas .</t>
  </si>
  <si>
    <t>file://conllu/fr/teddy-1429.conllu#s36_0</t>
  </si>
  <si>
    <t>37</t>
  </si>
  <si>
    <t>mais?</t>
  </si>
  <si>
    <t>être (être essentiel)</t>
  </si>
  <si>
    <t>Donc , la capacité de travailler avec des de les prototypes est essentielle , mais voyons quelles sont les résultats des de les différentes équipes .</t>
  </si>
  <si>
    <t>file://conllu/fr/teddy-1429.conllu#s37_0</t>
  </si>
  <si>
    <t>38</t>
  </si>
  <si>
    <t>mieux?</t>
  </si>
  <si>
    <t>être (être centimètre)</t>
  </si>
  <si>
    <t>La moyenne pour la plupart des de les gens est de 50 centimètres , pour les étudiants d' écoles de commerce , à peu près de la moitié , les avocats , un peu mieux , mais pas beaucoup , et pour les maternelles , mieux que pour la majorité des de les adultes .</t>
  </si>
  <si>
    <t>file://conllu/fr/teddy-1429.conllu#s38_0</t>
  </si>
  <si>
    <t>39</t>
  </si>
  <si>
    <t>être (être meilleur)</t>
  </si>
  <si>
    <t>Qui sont vraiment les meilleurs ?</t>
  </si>
  <si>
    <t>file://conllu/fr/teddy-1429.conllu#s39_0</t>
  </si>
  <si>
    <t>40</t>
  </si>
  <si>
    <t>architecte</t>
  </si>
  <si>
    <t>Les architectes et les ingénieurs , heureusement !</t>
  </si>
  <si>
    <t>file://conllu/fr/teddy-1429.conllu#s40_0</t>
  </si>
  <si>
    <t>41</t>
  </si>
  <si>
    <t>être (être structure)</t>
  </si>
  <si>
    <t>Un mètre , c' est la plus haute structure que j' aie vue .</t>
  </si>
  <si>
    <t>file://conllu/fr/teddy-1429.conllu#s41_0</t>
  </si>
  <si>
    <t>42</t>
  </si>
  <si>
    <t>donc?</t>
  </si>
  <si>
    <t>donc</t>
  </si>
  <si>
    <t>Et pourquoi donc ?</t>
  </si>
  <si>
    <t>file://conllu/fr/teddy-1429.conllu#s42_0</t>
  </si>
  <si>
    <t>43</t>
  </si>
  <si>
    <t>parce qu'?</t>
  </si>
  <si>
    <t>comprendre</t>
  </si>
  <si>
    <t>Parce qu' ils comprennent que les triangles et les schémas géométriques auto-porteurs sont la clé pour construire des de les structures stables .</t>
  </si>
  <si>
    <t>file://conllu/fr/teddy-1429.conllu#s43_0</t>
  </si>
  <si>
    <t>44</t>
  </si>
  <si>
    <t>Les directeurs techniques , donc , font un peu mieux que la moyenne .</t>
  </si>
  <si>
    <t>file://conllu/fr/teddy-1429.conllu#s44_0</t>
  </si>
  <si>
    <t>45</t>
  </si>
  <si>
    <t>voilà</t>
  </si>
  <si>
    <t>Mais voilà où ça devient intéressant .</t>
  </si>
  <si>
    <t>file://conllu/fr/teddy-1429.conllu#s45_0</t>
  </si>
  <si>
    <t>46</t>
  </si>
  <si>
    <t>si?</t>
  </si>
  <si>
    <t>augmenter</t>
  </si>
  <si>
    <t>Si on ajoute un cadre administratif à l' équipe , les résultats augmentent de manière significative .</t>
  </si>
  <si>
    <t>file://conllu/fr/teddy-1429.conllu#s46_0</t>
  </si>
  <si>
    <t>47</t>
  </si>
  <si>
    <t>être (être incroyable)</t>
  </si>
  <si>
    <t>C' est incroyable .</t>
  </si>
  <si>
    <t>file://conllu/fr/teddy-1429.conllu#s47_0</t>
  </si>
  <si>
    <t>48</t>
  </si>
  <si>
    <t>savoir (savoir regarder)</t>
  </si>
  <si>
    <t>Vous savez , vous regardez autour de vous , et vous vous dites &amp;quot; Oh , c' est CETTE équipe qui va gagner . &amp;quot;</t>
  </si>
  <si>
    <t>file://conllu/fr/teddy-1429.conllu#s48_0</t>
  </si>
  <si>
    <t>49</t>
  </si>
  <si>
    <t>pouvoir</t>
  </si>
  <si>
    <t>On peut le dire à l' avance .</t>
  </si>
  <si>
    <t>file://conllu/fr/teddy-1429.conllu#s49_0</t>
  </si>
  <si>
    <t>50</t>
  </si>
  <si>
    <t>et</t>
  </si>
  <si>
    <t>Et pourquoi ?</t>
  </si>
  <si>
    <t>file://conllu/fr/teddy-1429.conllu#s50_0</t>
  </si>
  <si>
    <t>51</t>
  </si>
  <si>
    <t>posséder</t>
  </si>
  <si>
    <t>Parce qu' ils possèdent ces compétences particulières de facilitation .</t>
  </si>
  <si>
    <t>file://conllu/fr/teddy-1429.conllu#s51_0</t>
  </si>
  <si>
    <t>52</t>
  </si>
  <si>
    <t>gèr</t>
  </si>
  <si>
    <t>Ils gèrent le processus , ils comprennent le process .</t>
  </si>
  <si>
    <t>file://conllu/fr/teddy-1429.conllu#s52_0</t>
  </si>
  <si>
    <t>53</t>
  </si>
  <si>
    <t>améliorer</t>
  </si>
  <si>
    <t>Et toute équipe qui gère et suit avec une grande attention le déroulement du de le travail améliorera de manière significative ses performances .</t>
  </si>
  <si>
    <t>file://conllu/fr/teddy-1429.conllu#s53_0</t>
  </si>
  <si>
    <t>55</t>
  </si>
  <si>
    <t>réaliser</t>
  </si>
  <si>
    <t>Si vous avez 10 équipes en train de concourir , six environ , peut-être , réaliseront une structure qui tient debout .</t>
  </si>
  <si>
    <t>file://conllu/fr/teddy-1429.conllu#s55_0</t>
  </si>
  <si>
    <t>56</t>
  </si>
  <si>
    <t>essayer</t>
  </si>
  <si>
    <t>Et j' ai essayé quelque chose d' intéressant .</t>
  </si>
  <si>
    <t>file://conllu/fr/teddy-1429.conllu#s56_0</t>
  </si>
  <si>
    <t>57</t>
  </si>
  <si>
    <t>penser</t>
  </si>
  <si>
    <t>J' ai pensé &amp;quot; Cette fois -ci , montons les enjeux &amp;quot; .</t>
  </si>
  <si>
    <t>file://conllu/fr/teddy-1429.conllu#s57_0</t>
  </si>
  <si>
    <t>58</t>
  </si>
  <si>
    <t>offrir</t>
  </si>
  <si>
    <t>Alors j' ai offert un prix d' une valeur de 10 000 $ en logiciels à l' équipe gagnante .</t>
  </si>
  <si>
    <t>file://conllu/fr/teddy-1429.conllu#s58_0</t>
  </si>
  <si>
    <t>59</t>
  </si>
  <si>
    <t>Et que pensez -vous qu' il est arrivé à ces étudiants en design ?</t>
  </si>
  <si>
    <t>file://conllu/fr/teddy-1429.conllu#s59_0</t>
  </si>
  <si>
    <t>60</t>
  </si>
  <si>
    <t>résultat?</t>
  </si>
  <si>
    <t>être (être résultat)</t>
  </si>
  <si>
    <t>Quel a été le résultat ?</t>
  </si>
  <si>
    <t>file://conllu/fr/teddy-1429.conllu#s60_0</t>
  </si>
  <si>
    <t>61</t>
  </si>
  <si>
    <t>voici</t>
  </si>
  <si>
    <t>Voici ce qui est arrivé .</t>
  </si>
  <si>
    <t>file://conllu/fr/teddy-1429.conllu#s61_0</t>
  </si>
  <si>
    <t>62</t>
  </si>
  <si>
    <t>Pas une seule équipe n' avait de structure tenant debout .</t>
  </si>
  <si>
    <t>file://conllu/fr/teddy-1429.conllu#s62_0</t>
  </si>
  <si>
    <t>63</t>
  </si>
  <si>
    <t>dire</t>
  </si>
  <si>
    <t>Si une seule avait construit , disons , une structure de 3 centimètres , ils auraient ramené le prix à la maison !</t>
  </si>
  <si>
    <t>file://conllu/fr/teddy-1429.conllu#s63_0</t>
  </si>
  <si>
    <t>64</t>
  </si>
  <si>
    <t>er</t>
  </si>
  <si>
    <t>Alors , n' est -ce pas intéressant , que des de les enjeux élevés aient un impact fort ?</t>
  </si>
  <si>
    <t>file://conllu/fr/teddy-1429.conllu#s64_0</t>
  </si>
  <si>
    <t>65</t>
  </si>
  <si>
    <t>refaire</t>
  </si>
  <si>
    <t>Nous avons refait l' exercice avec les mêmes étudiants .</t>
  </si>
  <si>
    <t>file://conllu/fr/teddy-1429.conllu#s65_0</t>
  </si>
  <si>
    <t>66</t>
  </si>
  <si>
    <t>Que pensez -vous qu' il est alors arrivé ?</t>
  </si>
  <si>
    <t>file://conllu/fr/teddy-1429.conllu#s66_0</t>
  </si>
  <si>
    <t>67</t>
  </si>
  <si>
    <t>Là , ils comprenaient l' importance du de le prototypage .</t>
  </si>
  <si>
    <t>file://conllu/fr/teddy-1429.conllu#s67_0</t>
  </si>
  <si>
    <t>68</t>
  </si>
  <si>
    <t>même?</t>
  </si>
  <si>
    <t>Et la même équipe est passée du de le groupe des de les pires à celui des de les meilleurs .</t>
  </si>
  <si>
    <t>file://conllu/fr/teddy-1429.conllu#s68_0</t>
  </si>
  <si>
    <t>69</t>
  </si>
  <si>
    <t>Ils ont réalisé la plus haute structure dans le temps le plus court .</t>
  </si>
  <si>
    <t>file://conllu/fr/teddy-1429.conllu#s69_0</t>
  </si>
  <si>
    <t>70</t>
  </si>
  <si>
    <t>à propos?</t>
  </si>
  <si>
    <t>Il y a là de grandes leçons pour nous , à propos de la nature des de les motivations et du de le succès .</t>
  </si>
  <si>
    <t>file://conllu/fr/teddy-1429.conllu#s70_0</t>
  </si>
  <si>
    <t>71</t>
  </si>
  <si>
    <t>pourrier</t>
  </si>
  <si>
    <t>Alors , vous pourriez vous demander : &amp;quot; Pourquoi quelqu'un passe -t -il du de le temps à organiser une &amp;quot; Épreuve du de le Marshamallow &amp;quot; ?</t>
  </si>
  <si>
    <t>file://conllu/fr/teddy-1429.conllu#s71_0</t>
  </si>
  <si>
    <t>72</t>
  </si>
  <si>
    <t>La raison est que j' aide à créer des de les outils numériques et des de les processus qui aident des de les équipes à réaliser des de les automobiles , des de les jeux vidéo , et des de les effets spéciaux .</t>
  </si>
  <si>
    <t>file://conllu/fr/teddy-1429.conllu#s72_0</t>
  </si>
  <si>
    <t>73</t>
  </si>
  <si>
    <t>Et ce que fait l' Épreuve du de le Marshamallow , c' est qu' elle les aide à identifier les préjugés cachés .</t>
  </si>
  <si>
    <t>file://conllu/fr/teddy-1429.conllu#s73_0</t>
  </si>
  <si>
    <t>74</t>
  </si>
  <si>
    <t>être (être ce)</t>
  </si>
  <si>
    <t>Parce que , franchement , chaque projet possède son propre marshmallow , n' est -ce pas ?</t>
  </si>
  <si>
    <t>file://conllu/fr/teddy-1429.conllu#s74_0</t>
  </si>
  <si>
    <t>75</t>
  </si>
  <si>
    <t>apporter</t>
  </si>
  <si>
    <t>La compétition apporte une expérience partagée , un langage commun , une attitude commune pour construire le &amp;quot; bon &amp;quot; prototype .</t>
  </si>
  <si>
    <t>file://conllu/fr/teddy-1429.conllu#s75_0</t>
  </si>
  <si>
    <t>76</t>
  </si>
  <si>
    <t>être (être cela)</t>
  </si>
  <si>
    <t>Et c' est cela , la valeur de cette expérience , de cet exercice si simple .</t>
  </si>
  <si>
    <t>file://conllu/fr/teddy-1429.conllu#s76_0</t>
  </si>
  <si>
    <t>77</t>
  </si>
  <si>
    <t>Et ceux que cela intéresse peuvent aller sur marshmallowchallenge.com .</t>
  </si>
  <si>
    <t>file://conllu/fr/teddy-1429.conllu#s77_0</t>
  </si>
  <si>
    <t>78</t>
  </si>
  <si>
    <t>être (être blog)</t>
  </si>
  <si>
    <t>C' est un blog que vous pouvez consulter sur la manière de conduire les &amp;quot; Épreuves du de le Marshamallow &amp;quot; .</t>
  </si>
  <si>
    <t>file://conllu/fr/teddy-1429.conllu#s78_0</t>
  </si>
  <si>
    <t>79</t>
  </si>
  <si>
    <t>Il y a des de les instructions pas à pas .</t>
  </si>
  <si>
    <t>file://conllu/fr/teddy-1429.conllu#s79_0</t>
  </si>
  <si>
    <t>80</t>
  </si>
  <si>
    <t>Il y a des de les exemples fous venus du de le monde entier , de comment les gens tordent et ajustent le système .</t>
  </si>
  <si>
    <t>file://conllu/fr/teddy-1429.conllu#s80_0</t>
  </si>
  <si>
    <t>81</t>
  </si>
  <si>
    <t>Il y a aussi les records du de le monde .</t>
  </si>
  <si>
    <t>file://conllu/fr/teddy-1429.conllu#s81_0</t>
  </si>
  <si>
    <t>82</t>
  </si>
  <si>
    <t>croire</t>
  </si>
  <si>
    <t>Et la leçon fondamentale , je crois , est que le design est réellement un sport de contact .</t>
  </si>
  <si>
    <t>file://conllu/fr/teddy-1429.conllu#s82_0</t>
  </si>
  <si>
    <t>83</t>
  </si>
  <si>
    <t>exiger</t>
  </si>
  <si>
    <t>Il exige que nous apportiions tous nos sens à la tâche , et que nous appliquions le meilleur de notre réflexion , de notre ressenti et de notre application au à le challenge que nous avons devant nous .</t>
  </si>
  <si>
    <t>file://conllu/fr/teddy-1429.conllu#s83_0</t>
  </si>
  <si>
    <t>84</t>
  </si>
  <si>
    <t>être (être chose)</t>
  </si>
  <si>
    <t>Et , parfois , un petit prototype de cette expérience sera la seule chose qui qui nous permettra de faire d' un &amp;quot; oh -oh &amp;quot; un &amp;quot; ta-daa &amp;quot; .</t>
  </si>
  <si>
    <t>file://conllu/fr/teddy-1429.conllu#s84_0</t>
  </si>
  <si>
    <t>85</t>
  </si>
  <si>
    <t>Et ça peut faire une grande différence .</t>
  </si>
  <si>
    <t>file://conllu/fr/teddy-1429.conllu#s85_0</t>
  </si>
  <si>
    <t>86</t>
  </si>
  <si>
    <t>merci</t>
  </si>
  <si>
    <t>Merci beaucoup ( Applaudissements )</t>
  </si>
  <si>
    <t>file://conllu/fr/teddy-1429.conllu#s86_0</t>
  </si>
  <si>
    <t>WORD</t>
  </si>
  <si>
    <t>GR</t>
  </si>
  <si>
    <t>NP_TYPE</t>
  </si>
  <si>
    <t>REF_AUTO</t>
  </si>
  <si>
    <t>COREF</t>
  </si>
  <si>
    <t>REF</t>
  </si>
  <si>
    <t>IS</t>
  </si>
  <si>
    <t>CB</t>
  </si>
  <si>
    <t>GR_ANTE</t>
  </si>
  <si>
    <t>REF_DIST</t>
  </si>
  <si>
    <t>REF_DIST_ANTE</t>
  </si>
  <si>
    <t># text = Il y a plusieurs années, ici à Ted, Peter Skillman a présenté une épreuve de conception appelée l'épreuve du marshmallow.</t>
  </si>
  <si>
    <t>Il</t>
  </si>
  <si>
    <t>other_2</t>
  </si>
  <si>
    <t>pron.pper</t>
  </si>
  <si>
    <t>?OLD</t>
  </si>
  <si>
    <t>y</t>
  </si>
  <si>
    <t>other_3</t>
  </si>
  <si>
    <t>pron</t>
  </si>
  <si>
    <t>a</t>
  </si>
  <si>
    <t>plusieurs</t>
  </si>
  <si>
    <t>années</t>
  </si>
  <si>
    <t>other</t>
  </si>
  <si>
    <t>indef-np</t>
  </si>
  <si>
    <t>,</t>
  </si>
  <si>
    <t>ici</t>
  </si>
  <si>
    <t>à</t>
  </si>
  <si>
    <t>Ted</t>
  </si>
  <si>
    <t>ne</t>
  </si>
  <si>
    <t>Peter</t>
  </si>
  <si>
    <t>SBJ</t>
  </si>
  <si>
    <t>Skillman</t>
  </si>
  <si>
    <t>présenté</t>
  </si>
  <si>
    <t>une</t>
  </si>
  <si>
    <t>épreuve</t>
  </si>
  <si>
    <t>OBJ</t>
  </si>
  <si>
    <t>indef-np.a</t>
  </si>
  <si>
    <t>de</t>
  </si>
  <si>
    <t>conception</t>
  </si>
  <si>
    <t>indef-np.bare</t>
  </si>
  <si>
    <t>appelée</t>
  </si>
  <si>
    <t>l'</t>
  </si>
  <si>
    <t>def-np.the</t>
  </si>
  <si>
    <t>le</t>
  </si>
  <si>
    <t>marshmallow</t>
  </si>
  <si>
    <t>other_4</t>
  </si>
  <si>
    <t>.</t>
  </si>
  <si>
    <t># text = Et l'idée est plutôt simple.</t>
  </si>
  <si>
    <t>Et</t>
  </si>
  <si>
    <t>idée</t>
  </si>
  <si>
    <t>est</t>
  </si>
  <si>
    <t>plutôt</t>
  </si>
  <si>
    <t>simple</t>
  </si>
  <si>
    <t># text = Des équipes de quatre personnes doivent bâtir la plus haute structure tenant debout avec 20 spaghettis, un mètre de ruban collant, un mètre de ficelle, et un marshmallow.</t>
  </si>
  <si>
    <t>De</t>
  </si>
  <si>
    <t>les</t>
  </si>
  <si>
    <t>équipes</t>
  </si>
  <si>
    <t>quatre</t>
  </si>
  <si>
    <t>personnes</t>
  </si>
  <si>
    <t>indef-np.quant</t>
  </si>
  <si>
    <t>doivent</t>
  </si>
  <si>
    <t>bâtir</t>
  </si>
  <si>
    <t>la</t>
  </si>
  <si>
    <t>plus</t>
  </si>
  <si>
    <t>haute</t>
  </si>
  <si>
    <t>structure</t>
  </si>
  <si>
    <t>OBJ_2</t>
  </si>
  <si>
    <t>tenant</t>
  </si>
  <si>
    <t>debout</t>
  </si>
  <si>
    <t>avec</t>
  </si>
  <si>
    <t>spaghettis</t>
  </si>
  <si>
    <t>un</t>
  </si>
  <si>
    <t>mètre</t>
  </si>
  <si>
    <t>ruban</t>
  </si>
  <si>
    <t>other_5</t>
  </si>
  <si>
    <t>collant</t>
  </si>
  <si>
    <t>ficelle</t>
  </si>
  <si>
    <t># text = Le marshmallow doit être placé au sommet.</t>
  </si>
  <si>
    <t>Le</t>
  </si>
  <si>
    <t>doit</t>
  </si>
  <si>
    <t>placé</t>
  </si>
  <si>
    <t>sommet</t>
  </si>
  <si>
    <t># text = Bien que cela semble vraiment simple, c'est en fait plutôt difficile, parce que ça oblige les gens à collaborer rapidement.</t>
  </si>
  <si>
    <t>Bien</t>
  </si>
  <si>
    <t>que</t>
  </si>
  <si>
    <t>cela</t>
  </si>
  <si>
    <t>SBJ_2</t>
  </si>
  <si>
    <t>pron.pds</t>
  </si>
  <si>
    <t>semble</t>
  </si>
  <si>
    <t>vraiment</t>
  </si>
  <si>
    <t>c'</t>
  </si>
  <si>
    <t>en</t>
  </si>
  <si>
    <t>fait</t>
  </si>
  <si>
    <t>difficile</t>
  </si>
  <si>
    <t>parce</t>
  </si>
  <si>
    <t>ça</t>
  </si>
  <si>
    <t>oblige</t>
  </si>
  <si>
    <t>gens</t>
  </si>
  <si>
    <t>collaborer</t>
  </si>
  <si>
    <t>rapidement</t>
  </si>
  <si>
    <t># text = J'ai trouvé que c'était une idée intéressante, alors je l'ai insérée dans un atelier de conception.</t>
  </si>
  <si>
    <t>J'</t>
  </si>
  <si>
    <t>ai</t>
  </si>
  <si>
    <t>trouvé</t>
  </si>
  <si>
    <t>était</t>
  </si>
  <si>
    <t>intéressante</t>
  </si>
  <si>
    <t>alors</t>
  </si>
  <si>
    <t>je</t>
  </si>
  <si>
    <t>SBJ_3</t>
  </si>
  <si>
    <t>OBJ_3</t>
  </si>
  <si>
    <t>insérée</t>
  </si>
  <si>
    <t>dans</t>
  </si>
  <si>
    <t>atelier</t>
  </si>
  <si>
    <t># text = Et ça a été un grand succès.</t>
  </si>
  <si>
    <t>été</t>
  </si>
  <si>
    <t>grand</t>
  </si>
  <si>
    <t>succès</t>
  </si>
  <si>
    <t># text = Depuis, j'ai dirigé environ 70 ateliers de conception dans le monde entier, avec des étudiants, des designers et des architectes, et même les Directeurs Techniques d'entreprises du Fortune 50, et il y a quelque chose dans cet exercice qui révèle de profonds enseignements sur la nature de la collaboration, et j'aimerais en partager certains avec vous.</t>
  </si>
  <si>
    <t>Depuis</t>
  </si>
  <si>
    <t>j'</t>
  </si>
  <si>
    <t>dirigé</t>
  </si>
  <si>
    <t>environ</t>
  </si>
  <si>
    <t>ateliers</t>
  </si>
  <si>
    <t>monde</t>
  </si>
  <si>
    <t>entier</t>
  </si>
  <si>
    <t>étudiants</t>
  </si>
  <si>
    <t>designers</t>
  </si>
  <si>
    <t>architectes</t>
  </si>
  <si>
    <t>même</t>
  </si>
  <si>
    <t>Directeurs</t>
  </si>
  <si>
    <t>Techniques</t>
  </si>
  <si>
    <t>d'</t>
  </si>
  <si>
    <t>entreprises</t>
  </si>
  <si>
    <t>def-np.poss</t>
  </si>
  <si>
    <t>Fortune</t>
  </si>
  <si>
    <t>il</t>
  </si>
  <si>
    <t>quelque</t>
  </si>
  <si>
    <t>chose</t>
  </si>
  <si>
    <t>cet</t>
  </si>
  <si>
    <t>exercice</t>
  </si>
  <si>
    <t>def-np.dem</t>
  </si>
  <si>
    <t>qui</t>
  </si>
  <si>
    <t>SBJ_4</t>
  </si>
  <si>
    <t>révèle</t>
  </si>
  <si>
    <t>profonds</t>
  </si>
  <si>
    <t>enseignements</t>
  </si>
  <si>
    <t>OBJ_4</t>
  </si>
  <si>
    <t>sur</t>
  </si>
  <si>
    <t>nature</t>
  </si>
  <si>
    <t>collaboration</t>
  </si>
  <si>
    <t>other_6</t>
  </si>
  <si>
    <t>aimerais</t>
  </si>
  <si>
    <t>partager</t>
  </si>
  <si>
    <t>certains</t>
  </si>
  <si>
    <t>vous</t>
  </si>
  <si>
    <t># text = Bon, normalement la plupart des gens commencent par prendre leurs marques par rapport à la tâche.</t>
  </si>
  <si>
    <t>Bon</t>
  </si>
  <si>
    <t>normalement</t>
  </si>
  <si>
    <t>plupart</t>
  </si>
  <si>
    <t>commencent</t>
  </si>
  <si>
    <t>par</t>
  </si>
  <si>
    <t>prendre</t>
  </si>
  <si>
    <t>leurs</t>
  </si>
  <si>
    <t>pron.ppos</t>
  </si>
  <si>
    <t>marques</t>
  </si>
  <si>
    <t>rapport</t>
  </si>
  <si>
    <t>tâche</t>
  </si>
  <si>
    <t># text = Ils en parlent, ils cherchent à quoi ça va ressembler, ils manoeuvrent pour le pouvoir, et puis ils passent un peu de temps à planifier, à organiser.</t>
  </si>
  <si>
    <t>Ils</t>
  </si>
  <si>
    <t>parlent</t>
  </si>
  <si>
    <t>ils</t>
  </si>
  <si>
    <t>cherchent</t>
  </si>
  <si>
    <t>quoi</t>
  </si>
  <si>
    <t>va</t>
  </si>
  <si>
    <t>ressembler</t>
  </si>
  <si>
    <t>manoeuvrent</t>
  </si>
  <si>
    <t>pour</t>
  </si>
  <si>
    <t>puis</t>
  </si>
  <si>
    <t>passent</t>
  </si>
  <si>
    <t>peu</t>
  </si>
  <si>
    <t>temps</t>
  </si>
  <si>
    <t>planifier</t>
  </si>
  <si>
    <t>organiser</t>
  </si>
  <si>
    <t># text = Ils font des croquis, et disposent les spaghettis.</t>
  </si>
  <si>
    <t>font</t>
  </si>
  <si>
    <t>croquis</t>
  </si>
  <si>
    <t>disposent</t>
  </si>
  <si>
    <t># text = Ils passent la majeure partie de leur temps à assembler les bâtons en structures de plus en plus grandes, et puis, à la fin, juste quand le délai se rapproche, quelqu'un prend le marshmallow, et le pose précautionneusement au sommet, puis ils reculent, et ... Ta-daaa !</t>
  </si>
  <si>
    <t>majeure</t>
  </si>
  <si>
    <t>partie</t>
  </si>
  <si>
    <t>leur</t>
  </si>
  <si>
    <t>assembler</t>
  </si>
  <si>
    <t>bâtons</t>
  </si>
  <si>
    <t>structures</t>
  </si>
  <si>
    <t>grandes</t>
  </si>
  <si>
    <t>fin</t>
  </si>
  <si>
    <t>juste</t>
  </si>
  <si>
    <t>quand</t>
  </si>
  <si>
    <t>délai</t>
  </si>
  <si>
    <t>se</t>
  </si>
  <si>
    <t>rapproche</t>
  </si>
  <si>
    <t>quelqu'un</t>
  </si>
  <si>
    <t>prend</t>
  </si>
  <si>
    <t>pose</t>
  </si>
  <si>
    <t>précautionneusement</t>
  </si>
  <si>
    <t>reculent</t>
  </si>
  <si>
    <t>...</t>
  </si>
  <si>
    <t>Ta-daaa</t>
  </si>
  <si>
    <t>!</t>
  </si>
  <si>
    <t># text = Ils admirent leur travail.</t>
  </si>
  <si>
    <t>admirent</t>
  </si>
  <si>
    <t>travail</t>
  </si>
  <si>
    <t>--</t>
  </si>
  <si>
    <t># text = Mais en fait, ce qui arrive, la plupart du temps, c'est que le \"ta-daa\" se termine en \"oh-oh\" parce que le poids du marshmallow fait que toute la structure se déforme et s'écroule.</t>
  </si>
  <si>
    <t>Mais</t>
  </si>
  <si>
    <t>ce</t>
  </si>
  <si>
    <t>arrive</t>
  </si>
  <si>
    <t>&amp;quot;</t>
  </si>
  <si>
    <t>ta-daa</t>
  </si>
  <si>
    <t>termine</t>
  </si>
  <si>
    <t>oh</t>
  </si>
  <si>
    <t>-oh</t>
  </si>
  <si>
    <t>poids</t>
  </si>
  <si>
    <t>toute</t>
  </si>
  <si>
    <t>SBJ_5</t>
  </si>
  <si>
    <t>déforme</t>
  </si>
  <si>
    <t>s'</t>
  </si>
  <si>
    <t>écroule</t>
  </si>
  <si>
    <t># text = Il y a un certain nombre de participants qui ont bien plus de "oh-oh" que les autres, et, parmi les pires, les jeunes diplômés des écoles de commerce.</t>
  </si>
  <si>
    <t>certain</t>
  </si>
  <si>
    <t>nombre</t>
  </si>
  <si>
    <t>participants</t>
  </si>
  <si>
    <t>ont</t>
  </si>
  <si>
    <t>bien</t>
  </si>
  <si>
    <t>autres</t>
  </si>
  <si>
    <t>parmi</t>
  </si>
  <si>
    <t>pires</t>
  </si>
  <si>
    <t>other_7</t>
  </si>
  <si>
    <t>jeunes</t>
  </si>
  <si>
    <t>diplômés</t>
  </si>
  <si>
    <t>écoles</t>
  </si>
  <si>
    <t>commerce</t>
  </si>
  <si>
    <t>other_8</t>
  </si>
  <si>
    <t># text = (Rires)</t>
  </si>
  <si>
    <t>(</t>
  </si>
  <si>
    <t>)</t>
  </si>
  <si>
    <t># text = Ils mentent, ils trichent, ils sont distraits, et les structures qu'ils produisent sont vraiment boiteuses .</t>
  </si>
  <si>
    <t>mentent</t>
  </si>
  <si>
    <t>trichent</t>
  </si>
  <si>
    <t>sont</t>
  </si>
  <si>
    <t>distraits</t>
  </si>
  <si>
    <t>qu'</t>
  </si>
  <si>
    <t>produisent</t>
  </si>
  <si>
    <t>boiteuses</t>
  </si>
  <si>
    <t># text = Et bien sûr, il y a des équipes qui produisent bien plus de structures \"ta-daa\", et, parmi les meilleures, les jeunes diplômés d'écoles maternelles.</t>
  </si>
  <si>
    <t>sûr</t>
  </si>
  <si>
    <t>meilleures</t>
  </si>
  <si>
    <t>maternelles</t>
  </si>
  <si>
    <t># text = Et c'est vraiment étonnant.</t>
  </si>
  <si>
    <t>étonnant</t>
  </si>
  <si>
    <t># text = Comme le dit Peter, non seulement ils produisent les structures les plus hautes, mais ce sont aussi les structures les plus intéressantes.</t>
  </si>
  <si>
    <t>Comme</t>
  </si>
  <si>
    <t>dit</t>
  </si>
  <si>
    <t>non</t>
  </si>
  <si>
    <t>seulement</t>
  </si>
  <si>
    <t>hautes</t>
  </si>
  <si>
    <t>mais</t>
  </si>
  <si>
    <t>aussi</t>
  </si>
  <si>
    <t>intéressantes</t>
  </si>
  <si>
    <t># text = Alors, la question qu'on se pose, c'est : Comment ça se fait ?</t>
  </si>
  <si>
    <t>Alors</t>
  </si>
  <si>
    <t>question</t>
  </si>
  <si>
    <t>on</t>
  </si>
  <si>
    <t>:</t>
  </si>
  <si>
    <t>Comment</t>
  </si>
  <si>
    <t>?</t>
  </si>
  <si>
    <t># text = Pourquoi ?</t>
  </si>
  <si>
    <t>Pourquoi</t>
  </si>
  <si>
    <t># text = Qu'ont-ils de spécial ?</t>
  </si>
  <si>
    <t>Qu'</t>
  </si>
  <si>
    <t>-ils</t>
  </si>
  <si>
    <t>spécial</t>
  </si>
  <si>
    <t># text = Peter aime dire ceci : \"Aucun des enfants n'a passé une seule minute à essayer de devenir Directeur Technique de la Spaghetti Inc.\" .</t>
  </si>
  <si>
    <t>aime</t>
  </si>
  <si>
    <t>ceci</t>
  </si>
  <si>
    <t>Aucun</t>
  </si>
  <si>
    <t>enfants</t>
  </si>
  <si>
    <t>n'</t>
  </si>
  <si>
    <t>passé</t>
  </si>
  <si>
    <t>seule</t>
  </si>
  <si>
    <t>minute</t>
  </si>
  <si>
    <t>devenir</t>
  </si>
  <si>
    <t>Directeur</t>
  </si>
  <si>
    <t>Technique</t>
  </si>
  <si>
    <t>Spaghetti</t>
  </si>
  <si>
    <t>Inc.</t>
  </si>
  <si>
    <t># text = C'est vrai.</t>
  </si>
  <si>
    <t>C'</t>
  </si>
  <si>
    <t>vrai</t>
  </si>
  <si>
    <t># text = Ils ne passent pas leur temps à manoeuvrer pour le pouvoir.</t>
  </si>
  <si>
    <t>pas</t>
  </si>
  <si>
    <t>manoeuvrer</t>
  </si>
  <si>
    <t># text = Mais il y a aussi une autre raison.</t>
  </si>
  <si>
    <t>autre</t>
  </si>
  <si>
    <t>raison</t>
  </si>
  <si>
    <t># text = C'est que les étudiants des écoles de commerce sont entrainés à trouver l'unique plan qui marchera.</t>
  </si>
  <si>
    <t>entrainés</t>
  </si>
  <si>
    <t>unique</t>
  </si>
  <si>
    <t>plan</t>
  </si>
  <si>
    <t>marchera</t>
  </si>
  <si>
    <t># text = Et puis le mettre en oeuvre.</t>
  </si>
  <si>
    <t>oeuvre</t>
  </si>
  <si>
    <t># text = Et puis, ce qui arrive, quand ils posent le marshmallow au sommet, ils ne leur reste plus de temps, et alors ?</t>
  </si>
  <si>
    <t>posent</t>
  </si>
  <si>
    <t>reste</t>
  </si>
  <si>
    <t># text = C'est la crise.</t>
  </si>
  <si>
    <t>crise</t>
  </si>
  <si>
    <t># text = Ça vous rappelle quelque chose ?</t>
  </si>
  <si>
    <t>Ça</t>
  </si>
  <si>
    <t>rappelle</t>
  </si>
  <si>
    <t># text = Parfait.</t>
  </si>
  <si>
    <t>Parfait</t>
  </si>
  <si>
    <t># text = Ce que les équipes de maternelle font différemment, c'est qu'elles commencent par le marshmallow, et construisent des prototypes, des prototypes successifs, en gardant toujours le marshmallow au sommet, et ont ainsi de nombreuses occasions de réparer les prototypes en difficulté.</t>
  </si>
  <si>
    <t>Ce</t>
  </si>
  <si>
    <t>maternelle</t>
  </si>
  <si>
    <t>différemment</t>
  </si>
  <si>
    <t>elles</t>
  </si>
  <si>
    <t>construisent</t>
  </si>
  <si>
    <t>prototypes</t>
  </si>
  <si>
    <t>successifs</t>
  </si>
  <si>
    <t>gardant</t>
  </si>
  <si>
    <t>toujours</t>
  </si>
  <si>
    <t>ainsi</t>
  </si>
  <si>
    <t>nombreuses</t>
  </si>
  <si>
    <t>occasions</t>
  </si>
  <si>
    <t>réparer</t>
  </si>
  <si>
    <t>OBJ_5</t>
  </si>
  <si>
    <t>difficulté</t>
  </si>
  <si>
    <t># text = Les concepteurs reconnaitront ce type de coopération comme la base essentielle du processus itératif.</t>
  </si>
  <si>
    <t>Les</t>
  </si>
  <si>
    <t>concepteurs</t>
  </si>
  <si>
    <t>reconnaitront</t>
  </si>
  <si>
    <t>type</t>
  </si>
  <si>
    <t>coopération</t>
  </si>
  <si>
    <t>comme</t>
  </si>
  <si>
    <t>base</t>
  </si>
  <si>
    <t>essentielle</t>
  </si>
  <si>
    <t>processus</t>
  </si>
  <si>
    <t>itératif</t>
  </si>
  <si>
    <t># text = Avec chaque version, les enfants ont un retour d'information instantané sur ce qui marche ou pas.</t>
  </si>
  <si>
    <t>Avec</t>
  </si>
  <si>
    <t>chaque</t>
  </si>
  <si>
    <t>version</t>
  </si>
  <si>
    <t>retour</t>
  </si>
  <si>
    <t>information</t>
  </si>
  <si>
    <t>instantané</t>
  </si>
  <si>
    <t>marche</t>
  </si>
  <si>
    <t>ou</t>
  </si>
  <si>
    <t># text = Donc, la capacité de travailler avec des prototypes est essentielle, mais voyons quelles sont les résultats des différentes équipes.</t>
  </si>
  <si>
    <t>Donc</t>
  </si>
  <si>
    <t>capacité</t>
  </si>
  <si>
    <t>travailler</t>
  </si>
  <si>
    <t>voyons</t>
  </si>
  <si>
    <t>quelles</t>
  </si>
  <si>
    <t>résultats</t>
  </si>
  <si>
    <t>différentes</t>
  </si>
  <si>
    <t># text = La moyenne pour la plupart des gens est de 50 centimètres, pour les étudiants d'écoles de commerce, à peu près de la moitié, les avocats, un peu mieux, mais pas beaucoup, et pour les maternelles, mieux que pour la majorité des adultes.</t>
  </si>
  <si>
    <t>La</t>
  </si>
  <si>
    <t>moyenne</t>
  </si>
  <si>
    <t>centimètres</t>
  </si>
  <si>
    <t>près</t>
  </si>
  <si>
    <t>moitié</t>
  </si>
  <si>
    <t>avocats</t>
  </si>
  <si>
    <t>mieux</t>
  </si>
  <si>
    <t>beaucoup</t>
  </si>
  <si>
    <t>majorité</t>
  </si>
  <si>
    <t>adultes</t>
  </si>
  <si>
    <t># text = Qui sont vraiment les meilleurs ?</t>
  </si>
  <si>
    <t>Qui</t>
  </si>
  <si>
    <t>pron.pint</t>
  </si>
  <si>
    <t>meilleurs</t>
  </si>
  <si>
    <t># text = Les architectes et les ingénieurs, heureusement !</t>
  </si>
  <si>
    <t>ingénieurs</t>
  </si>
  <si>
    <t>heureusement</t>
  </si>
  <si>
    <t># text = Un mètre, c'est la plus haute structure que j'aie vue.</t>
  </si>
  <si>
    <t>Un</t>
  </si>
  <si>
    <t>aie</t>
  </si>
  <si>
    <t>vue</t>
  </si>
  <si>
    <t># text = Et pourquoi donc ?</t>
  </si>
  <si>
    <t># text = Parce qu'ils comprennent que les triangles et les schémas géométriques auto-porteurs sont la clé pour construire des structures stables.</t>
  </si>
  <si>
    <t>Parce</t>
  </si>
  <si>
    <t>comprennent</t>
  </si>
  <si>
    <t>triangles</t>
  </si>
  <si>
    <t>schémas</t>
  </si>
  <si>
    <t>géométriques</t>
  </si>
  <si>
    <t>auto-porteurs</t>
  </si>
  <si>
    <t>clé</t>
  </si>
  <si>
    <t>construire</t>
  </si>
  <si>
    <t>stables</t>
  </si>
  <si>
    <t># text = Les directeurs techniques, donc, font un peu mieux que la moyenne.</t>
  </si>
  <si>
    <t>directeurs</t>
  </si>
  <si>
    <t>techniques</t>
  </si>
  <si>
    <t># text = Mais voilà où ça devient intéressant.</t>
  </si>
  <si>
    <t>où</t>
  </si>
  <si>
    <t>devient</t>
  </si>
  <si>
    <t>intéressant</t>
  </si>
  <si>
    <t># text = Si on ajoute un cadre administratif à l'équipe, les résultats augmentent de manière significative.</t>
  </si>
  <si>
    <t>Si</t>
  </si>
  <si>
    <t>ajoute</t>
  </si>
  <si>
    <t>cadre</t>
  </si>
  <si>
    <t>administratif</t>
  </si>
  <si>
    <t>équipe</t>
  </si>
  <si>
    <t>augmentent</t>
  </si>
  <si>
    <t>manière</t>
  </si>
  <si>
    <t>significative</t>
  </si>
  <si>
    <t># text = C'est incroyable.</t>
  </si>
  <si>
    <t>incroyable</t>
  </si>
  <si>
    <t># text = Vous savez, vous regardez autour de vous, et vous vous dites\"Oh, c'est CETTE équipe qui va gagner.\"</t>
  </si>
  <si>
    <t>Vous</t>
  </si>
  <si>
    <t>savez</t>
  </si>
  <si>
    <t>regardez</t>
  </si>
  <si>
    <t>autour</t>
  </si>
  <si>
    <t>dites</t>
  </si>
  <si>
    <t>Oh</t>
  </si>
  <si>
    <t>CETTE</t>
  </si>
  <si>
    <t>gagner</t>
  </si>
  <si>
    <t># text = On peut le dire à l'avance.</t>
  </si>
  <si>
    <t>On</t>
  </si>
  <si>
    <t>peut</t>
  </si>
  <si>
    <t>avance</t>
  </si>
  <si>
    <t># text = Et pourquoi ?</t>
  </si>
  <si>
    <t># text = Parce qu'ils possèdent ces compétences particulières de facilitation.</t>
  </si>
  <si>
    <t>possèdent</t>
  </si>
  <si>
    <t>ces</t>
  </si>
  <si>
    <t>compétences</t>
  </si>
  <si>
    <t>particulières</t>
  </si>
  <si>
    <t>facilitation</t>
  </si>
  <si>
    <t># text = Ils gèrent le processus, ils comprennent le process.</t>
  </si>
  <si>
    <t>gèrent</t>
  </si>
  <si>
    <t>process</t>
  </si>
  <si>
    <t># text = Et toute équipe qui gère et suit avec une grande attention le déroulement du travail améliorera de manière significative ses performances.</t>
  </si>
  <si>
    <t>gère</t>
  </si>
  <si>
    <t>suit</t>
  </si>
  <si>
    <t>grande</t>
  </si>
  <si>
    <t>attention</t>
  </si>
  <si>
    <t>déroulement</t>
  </si>
  <si>
    <t>améliorera</t>
  </si>
  <si>
    <t>ses</t>
  </si>
  <si>
    <t>performances</t>
  </si>
  <si>
    <t># text = Des compétences spécialisées et des compétences de facilitation, leur combinaison conduit au succès.</t>
  </si>
  <si>
    <t>spécialisées</t>
  </si>
  <si>
    <t>combinaison</t>
  </si>
  <si>
    <t>conduit</t>
  </si>
  <si>
    <t># text = Si vous avez 10 équipes en train de concourir, six environ, peut-être, réaliseront une structure qui tient debout.</t>
  </si>
  <si>
    <t>avez</t>
  </si>
  <si>
    <t>train</t>
  </si>
  <si>
    <t>concourir</t>
  </si>
  <si>
    <t>six</t>
  </si>
  <si>
    <t>peut-être</t>
  </si>
  <si>
    <t>réaliseront</t>
  </si>
  <si>
    <t>tient</t>
  </si>
  <si>
    <t># text = Et j'ai essayé quelque chose d'intéressant.</t>
  </si>
  <si>
    <t>essayé</t>
  </si>
  <si>
    <t># text = J'ai pensé \"Cette fois-ci, montons les enjeux\".</t>
  </si>
  <si>
    <t>pensé</t>
  </si>
  <si>
    <t>Cette</t>
  </si>
  <si>
    <t>fois</t>
  </si>
  <si>
    <t>-ci</t>
  </si>
  <si>
    <t>montons</t>
  </si>
  <si>
    <t>enjeux</t>
  </si>
  <si>
    <t># text = Alors j'ai offert un prix d'une valeur de 10 000 $ en logiciels à l'équipe gagnante.</t>
  </si>
  <si>
    <t>offert</t>
  </si>
  <si>
    <t>prix</t>
  </si>
  <si>
    <t>valeur</t>
  </si>
  <si>
    <t>10 000</t>
  </si>
  <si>
    <t>$</t>
  </si>
  <si>
    <t>logiciels</t>
  </si>
  <si>
    <t>gagnante</t>
  </si>
  <si>
    <t># text = Et que pensez-vous qu'il est arrivé à ces étudiants en design ?</t>
  </si>
  <si>
    <t>pensez</t>
  </si>
  <si>
    <t>-vous</t>
  </si>
  <si>
    <t>arrivé</t>
  </si>
  <si>
    <t>design</t>
  </si>
  <si>
    <t># text = Quel a été le résultat ?</t>
  </si>
  <si>
    <t>Quel</t>
  </si>
  <si>
    <t>résultat</t>
  </si>
  <si>
    <t># text = Voici ce qui est arrivé.</t>
  </si>
  <si>
    <t>Voici</t>
  </si>
  <si>
    <t># text = Pas une seule équipe n'avait de structure tenant debout.</t>
  </si>
  <si>
    <t>Pas</t>
  </si>
  <si>
    <t>avait</t>
  </si>
  <si>
    <t># text = Si une seule avait construit, disons, une structure de 3 centimètres, ils auraient ramené le prix à la maison !</t>
  </si>
  <si>
    <t>construit</t>
  </si>
  <si>
    <t>disons</t>
  </si>
  <si>
    <t>auraient</t>
  </si>
  <si>
    <t>ramené</t>
  </si>
  <si>
    <t>maison</t>
  </si>
  <si>
    <t># text = Alors, n'est-ce pas intéressant, que des enjeux élevés aient un impact fort ?</t>
  </si>
  <si>
    <t>-ce</t>
  </si>
  <si>
    <t>élevés</t>
  </si>
  <si>
    <t>aient</t>
  </si>
  <si>
    <t>impact</t>
  </si>
  <si>
    <t>fort</t>
  </si>
  <si>
    <t># text = Nous avons refait l'exercice avec les mêmes étudiants.</t>
  </si>
  <si>
    <t>Nous</t>
  </si>
  <si>
    <t>avons</t>
  </si>
  <si>
    <t>refait</t>
  </si>
  <si>
    <t>mêmes</t>
  </si>
  <si>
    <t># text = Que pensez-vous qu'il est alors arrivé ?</t>
  </si>
  <si>
    <t>Que</t>
  </si>
  <si>
    <t># text = Là, ils comprenaient l'importance du prototypage.</t>
  </si>
  <si>
    <t>Là</t>
  </si>
  <si>
    <t>comprenaient</t>
  </si>
  <si>
    <t>importance</t>
  </si>
  <si>
    <t>prototypage</t>
  </si>
  <si>
    <t># text = Et la même équipe est passée du groupe des pires à celui des meilleurs.</t>
  </si>
  <si>
    <t>passée</t>
  </si>
  <si>
    <t>groupe</t>
  </si>
  <si>
    <t>celui</t>
  </si>
  <si>
    <t># text = Ils ont réalisé la plus haute structure dans le temps le plus court.</t>
  </si>
  <si>
    <t>réalisé</t>
  </si>
  <si>
    <t>court</t>
  </si>
  <si>
    <t># text = Il y a là de grandes leçons pour nous, à propos de la nature des motivations et du succès.</t>
  </si>
  <si>
    <t>là</t>
  </si>
  <si>
    <t>leçons</t>
  </si>
  <si>
    <t>nous</t>
  </si>
  <si>
    <t>propos</t>
  </si>
  <si>
    <t>motivations</t>
  </si>
  <si>
    <t># text = Alors, vous pourriez vous demander : \"Pourquoi quelqu'un passe-t-il du temps à organiser une \"Épreuve du Marshamallow\" ?</t>
  </si>
  <si>
    <t>pourriez</t>
  </si>
  <si>
    <t>demander</t>
  </si>
  <si>
    <t>passe</t>
  </si>
  <si>
    <t>-t</t>
  </si>
  <si>
    <t>-il</t>
  </si>
  <si>
    <t>Épreuve</t>
  </si>
  <si>
    <t>Marshamallow</t>
  </si>
  <si>
    <t># text = La raison est que j'aide à créer des outils numériques et des processus qui aident des équipes à réaliser des automobiles, des jeux vidéo, et des effets spéciaux.</t>
  </si>
  <si>
    <t>aide</t>
  </si>
  <si>
    <t>créer</t>
  </si>
  <si>
    <t>outils</t>
  </si>
  <si>
    <t>numériques</t>
  </si>
  <si>
    <t>SBJ_6</t>
  </si>
  <si>
    <t>aident</t>
  </si>
  <si>
    <t>automobiles</t>
  </si>
  <si>
    <t>jeux</t>
  </si>
  <si>
    <t>vidéo</t>
  </si>
  <si>
    <t>effets</t>
  </si>
  <si>
    <t>spéciaux</t>
  </si>
  <si>
    <t># text = Et ce que fait l'Épreuve du Marshamallow, c'est qu'elle les aide à identifier les préjugés cachés.</t>
  </si>
  <si>
    <t>elle</t>
  </si>
  <si>
    <t>identifier</t>
  </si>
  <si>
    <t>préjugés</t>
  </si>
  <si>
    <t>cachés</t>
  </si>
  <si>
    <t># text = Parce que, franchement, chaque projet possède son propre marshmallow, n'est-ce pas ?</t>
  </si>
  <si>
    <t>franchement</t>
  </si>
  <si>
    <t>projet</t>
  </si>
  <si>
    <t>possède</t>
  </si>
  <si>
    <t>son</t>
  </si>
  <si>
    <t>propre</t>
  </si>
  <si>
    <t># text = La compétition apporte une expérience partagée, un langage commun, une attitude commune pour construire le "bon" prototype.</t>
  </si>
  <si>
    <t>compétition</t>
  </si>
  <si>
    <t>apporte</t>
  </si>
  <si>
    <t>expérience</t>
  </si>
  <si>
    <t>partagée</t>
  </si>
  <si>
    <t>langage</t>
  </si>
  <si>
    <t>commun</t>
  </si>
  <si>
    <t>attitude</t>
  </si>
  <si>
    <t>commune</t>
  </si>
  <si>
    <t>bon</t>
  </si>
  <si>
    <t>prototype</t>
  </si>
  <si>
    <t># text = Et c'est cela, la valeur de cette expérience, de cet exercice si simple.</t>
  </si>
  <si>
    <t>cette</t>
  </si>
  <si>
    <t>si</t>
  </si>
  <si>
    <t># text = Et ceux que cela intéresse peuvent aller sur marshmallowchallenge.com.</t>
  </si>
  <si>
    <t>ceux</t>
  </si>
  <si>
    <t>intéresse</t>
  </si>
  <si>
    <t>peuvent</t>
  </si>
  <si>
    <t>aller</t>
  </si>
  <si>
    <t>marshmallowchallenge.com</t>
  </si>
  <si>
    <t># text = C'est un blog que vous pouvez consulter sur la manière de conduire les \"Épreuves du Marshamallow\".</t>
  </si>
  <si>
    <t>blog</t>
  </si>
  <si>
    <t>pouvez</t>
  </si>
  <si>
    <t>consulter</t>
  </si>
  <si>
    <t>conduire</t>
  </si>
  <si>
    <t>Épreuves</t>
  </si>
  <si>
    <t># text = Il y a des instructions pas à pas.</t>
  </si>
  <si>
    <t>instructions</t>
  </si>
  <si>
    <t># text = Il y a des exemples fous venus du monde entier, de comment les gens tordent et ajustent le système.</t>
  </si>
  <si>
    <t>exemples</t>
  </si>
  <si>
    <t>fous</t>
  </si>
  <si>
    <t>venus</t>
  </si>
  <si>
    <t>comment</t>
  </si>
  <si>
    <t>tordent</t>
  </si>
  <si>
    <t>ajustent</t>
  </si>
  <si>
    <t>système</t>
  </si>
  <si>
    <t># text = Il y a aussi les records du monde.</t>
  </si>
  <si>
    <t>records</t>
  </si>
  <si>
    <t># text = Et la leçon fondamentale, je crois, est que le design est réellement un sport de contact.</t>
  </si>
  <si>
    <t>leçon</t>
  </si>
  <si>
    <t>fondamentale</t>
  </si>
  <si>
    <t>crois</t>
  </si>
  <si>
    <t>réellement</t>
  </si>
  <si>
    <t>sport</t>
  </si>
  <si>
    <t>contact</t>
  </si>
  <si>
    <t># text = Il exige que nous apportiions tous nos sens à la tâche, et que nous appliquions le meilleur de notre réflexion, de notre ressenti et de notre application au challenge que nous avons devant nous.</t>
  </si>
  <si>
    <t>exige</t>
  </si>
  <si>
    <t>apportiions</t>
  </si>
  <si>
    <t>tous</t>
  </si>
  <si>
    <t>nos</t>
  </si>
  <si>
    <t>sens</t>
  </si>
  <si>
    <t>appliquions</t>
  </si>
  <si>
    <t>meilleur</t>
  </si>
  <si>
    <t>notre</t>
  </si>
  <si>
    <t>réflexion</t>
  </si>
  <si>
    <t>ressenti</t>
  </si>
  <si>
    <t>application</t>
  </si>
  <si>
    <t>challenge</t>
  </si>
  <si>
    <t>OBJ_7</t>
  </si>
  <si>
    <t>SBJ_7</t>
  </si>
  <si>
    <t>devant</t>
  </si>
  <si>
    <t># text = Et, parfois, un petit prototype de cette expérience sera la seule chose qui qui nous permettra de faire d'un "oh-oh" un "ta-daa".</t>
  </si>
  <si>
    <t>parfois</t>
  </si>
  <si>
    <t>petit</t>
  </si>
  <si>
    <t>sera</t>
  </si>
  <si>
    <t>permettra</t>
  </si>
  <si>
    <t># text = Et ça peut faire une grande différence.</t>
  </si>
  <si>
    <t>différence</t>
  </si>
  <si>
    <t># text = Merci beaucoup (Applaudissements)</t>
  </si>
  <si>
    <t>Merci</t>
  </si>
  <si>
    <t>Applaudissements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</si>
</sst>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85"/>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17</v>
      </c>
      <c r="C3" s="6" t="s">
        <v>18</v>
      </c>
      <c r="D3" s="7" t="s">
        <v>19</v>
      </c>
      <c r="E3" s="8" t="s">
        <v>20</v>
      </c>
      <c r="F3" s="6" t="s">
        <v>21</v>
      </c>
      <c r="G3" s="9">
        <f>IF(A3=1,"_",IF(C3="_","???",C3))</f>
        <v/>
      </c>
      <c r="H3" s="10" t="s">
        <v>12</v>
      </c>
      <c r="I3" s="11" t="s">
        <v>12</v>
      </c>
      <c r="J3" s="12"/>
    </row>
    <row r="4" spans="1:10" ht="60" customHeight="1">
      <c r="A4" s="6" t="s">
        <v>17</v>
      </c>
      <c r="B4" s="6" t="s">
        <v>22</v>
      </c>
      <c r="C4" s="6" t="s">
        <v>12</v>
      </c>
      <c r="D4" s="7" t="s">
        <v>23</v>
      </c>
      <c r="E4" s="8" t="s">
        <v>24</v>
      </c>
      <c r="F4" s="6" t="s">
        <v>25</v>
      </c>
      <c r="G4" s="9">
        <f>IF(A4=1,"_",IF(C4="_","???",C4))</f>
        <v/>
      </c>
      <c r="H4" s="10" t="s">
        <v>12</v>
      </c>
      <c r="I4" s="11" t="s">
        <v>12</v>
      </c>
      <c r="J4" s="12"/>
    </row>
    <row r="5" spans="1:10" ht="60" customHeight="1">
      <c r="A5" s="6" t="s">
        <v>26</v>
      </c>
      <c r="B5" s="6" t="s">
        <v>27</v>
      </c>
      <c r="C5" s="6" t="s">
        <v>28</v>
      </c>
      <c r="D5" s="7" t="s">
        <v>29</v>
      </c>
      <c r="E5" s="8" t="s">
        <v>30</v>
      </c>
      <c r="F5" s="6" t="s">
        <v>31</v>
      </c>
      <c r="G5" s="9">
        <f>IF(A5=1,"_",IF(C5="_","???",C5))</f>
        <v/>
      </c>
      <c r="H5" s="10" t="s">
        <v>12</v>
      </c>
      <c r="I5" s="11" t="s">
        <v>12</v>
      </c>
      <c r="J5" s="12"/>
    </row>
    <row r="6" spans="1:10" ht="60" customHeight="1">
      <c r="A6" s="6" t="s">
        <v>32</v>
      </c>
      <c r="B6" s="6" t="s">
        <v>22</v>
      </c>
      <c r="C6" s="6" t="s">
        <v>12</v>
      </c>
      <c r="D6" s="7" t="s">
        <v>33</v>
      </c>
      <c r="E6" s="8" t="s">
        <v>34</v>
      </c>
      <c r="F6" s="6" t="s">
        <v>35</v>
      </c>
      <c r="G6" s="9">
        <f>IF(A6=1,"_",IF(C6="_","???",C6))</f>
        <v/>
      </c>
      <c r="H6" s="10" t="s">
        <v>12</v>
      </c>
      <c r="I6" s="11" t="s">
        <v>12</v>
      </c>
      <c r="J6" s="12"/>
    </row>
    <row r="7" spans="1:10" ht="60" customHeight="1">
      <c r="A7" s="6" t="s">
        <v>36</v>
      </c>
      <c r="B7" s="6" t="s">
        <v>17</v>
      </c>
      <c r="C7" s="6" t="s">
        <v>37</v>
      </c>
      <c r="D7" s="7" t="s">
        <v>38</v>
      </c>
      <c r="E7" s="8" t="s">
        <v>39</v>
      </c>
      <c r="F7" s="6" t="s">
        <v>40</v>
      </c>
      <c r="G7" s="9">
        <f>IF(A7=1,"_",IF(C7="_","???",C7))</f>
        <v/>
      </c>
      <c r="H7" s="10" t="s">
        <v>12</v>
      </c>
      <c r="I7" s="11" t="s">
        <v>12</v>
      </c>
      <c r="J7" s="12"/>
    </row>
    <row r="8" spans="1:10" ht="60" customHeight="1">
      <c r="A8" s="6" t="s">
        <v>41</v>
      </c>
      <c r="B8" s="6" t="s">
        <v>26</v>
      </c>
      <c r="C8" s="6" t="s">
        <v>42</v>
      </c>
      <c r="D8" s="7" t="s">
        <v>43</v>
      </c>
      <c r="E8" s="8" t="s">
        <v>44</v>
      </c>
      <c r="F8" s="6" t="s">
        <v>45</v>
      </c>
      <c r="G8" s="9">
        <f>IF(A8=1,"_",IF(C8="_","???",C8))</f>
        <v/>
      </c>
      <c r="H8" s="10" t="s">
        <v>12</v>
      </c>
      <c r="I8" s="11" t="s">
        <v>12</v>
      </c>
      <c r="J8" s="12"/>
    </row>
    <row r="9" spans="1:10" ht="60" customHeight="1">
      <c r="A9" s="6" t="s">
        <v>27</v>
      </c>
      <c r="B9" s="6" t="s">
        <v>27</v>
      </c>
      <c r="C9" s="6" t="s">
        <v>12</v>
      </c>
      <c r="D9" s="7" t="s">
        <v>46</v>
      </c>
      <c r="E9" s="8" t="s">
        <v>47</v>
      </c>
      <c r="F9" s="6" t="s">
        <v>48</v>
      </c>
      <c r="G9" s="9">
        <f>IF(A9=1,"_",IF(C9="_","???",C9))</f>
        <v/>
      </c>
      <c r="H9" s="10" t="s">
        <v>12</v>
      </c>
      <c r="I9" s="11" t="s">
        <v>12</v>
      </c>
      <c r="J9" s="12"/>
    </row>
    <row r="10" spans="1:10" ht="60" customHeight="1">
      <c r="A10" s="6" t="s">
        <v>49</v>
      </c>
      <c r="B10" s="6" t="s">
        <v>22</v>
      </c>
      <c r="C10" s="6" t="s">
        <v>50</v>
      </c>
      <c r="D10" s="7" t="s">
        <v>51</v>
      </c>
      <c r="E10" s="8" t="s">
        <v>52</v>
      </c>
      <c r="F10" s="6" t="s">
        <v>53</v>
      </c>
      <c r="G10" s="9">
        <f>IF(A10=1,"_",IF(C10="_","???",C10))</f>
        <v/>
      </c>
      <c r="H10" s="10" t="s">
        <v>12</v>
      </c>
      <c r="I10" s="11" t="s">
        <v>12</v>
      </c>
      <c r="J10" s="12"/>
    </row>
    <row r="11" spans="1:10" ht="60" customHeight="1">
      <c r="A11" s="6" t="s">
        <v>54</v>
      </c>
      <c r="B11" s="6" t="s">
        <v>16</v>
      </c>
      <c r="C11" s="6" t="s">
        <v>37</v>
      </c>
      <c r="D11" s="7" t="s">
        <v>55</v>
      </c>
      <c r="E11" s="8" t="s">
        <v>56</v>
      </c>
      <c r="F11" s="6" t="s">
        <v>57</v>
      </c>
      <c r="G11" s="9">
        <f>IF(A11=1,"_",IF(C11="_","???",C11))</f>
        <v/>
      </c>
      <c r="H11" s="10" t="s">
        <v>12</v>
      </c>
      <c r="I11" s="11" t="s">
        <v>12</v>
      </c>
      <c r="J11" s="12"/>
    </row>
    <row r="12" spans="1:10" ht="60" customHeight="1">
      <c r="A12" s="6" t="s">
        <v>58</v>
      </c>
      <c r="B12" s="6" t="s">
        <v>16</v>
      </c>
      <c r="C12" s="6" t="s">
        <v>37</v>
      </c>
      <c r="D12" s="7" t="s">
        <v>59</v>
      </c>
      <c r="E12" s="8" t="s">
        <v>60</v>
      </c>
      <c r="F12" s="6" t="s">
        <v>61</v>
      </c>
      <c r="G12" s="9">
        <f>IF(A12=1,"_",IF(C12="_","???",C12))</f>
        <v/>
      </c>
      <c r="H12" s="10" t="s">
        <v>12</v>
      </c>
      <c r="I12" s="11" t="s">
        <v>12</v>
      </c>
      <c r="J12" s="12"/>
    </row>
    <row r="13" spans="1:10" ht="60" customHeight="1">
      <c r="A13" s="6" t="s">
        <v>62</v>
      </c>
      <c r="B13" s="6" t="s">
        <v>16</v>
      </c>
      <c r="C13" s="6" t="s">
        <v>12</v>
      </c>
      <c r="D13" s="7" t="s">
        <v>63</v>
      </c>
      <c r="E13" s="8" t="s">
        <v>64</v>
      </c>
      <c r="F13" s="6" t="s">
        <v>65</v>
      </c>
      <c r="G13" s="9">
        <f>IF(A13=1,"_",IF(C13="_","???",C13))</f>
        <v/>
      </c>
      <c r="H13" s="10" t="s">
        <v>12</v>
      </c>
      <c r="I13" s="11" t="s">
        <v>12</v>
      </c>
      <c r="J13" s="12"/>
    </row>
    <row r="14" spans="1:10" ht="60" customHeight="1">
      <c r="A14" s="6" t="s">
        <v>11</v>
      </c>
      <c r="B14" s="6" t="s">
        <v>66</v>
      </c>
      <c r="C14" s="6" t="s">
        <v>28</v>
      </c>
      <c r="D14" s="7" t="s">
        <v>67</v>
      </c>
      <c r="E14" s="8" t="s">
        <v>68</v>
      </c>
      <c r="F14" s="6" t="s">
        <v>69</v>
      </c>
      <c r="G14" s="9">
        <f>IF(A14=1,"_",IF(C14="_","???",C14))</f>
        <v/>
      </c>
      <c r="H14" s="10" t="s">
        <v>12</v>
      </c>
      <c r="I14" s="11" t="s">
        <v>12</v>
      </c>
      <c r="J14" s="12"/>
    </row>
    <row r="15" spans="1:10" ht="60" customHeight="1">
      <c r="A15" s="6" t="s">
        <v>70</v>
      </c>
      <c r="B15" s="6" t="s">
        <v>22</v>
      </c>
      <c r="C15" s="6" t="s">
        <v>12</v>
      </c>
      <c r="D15" s="7" t="s">
        <v>71</v>
      </c>
      <c r="E15" s="8" t="s">
        <v>72</v>
      </c>
      <c r="F15" s="6" t="s">
        <v>73</v>
      </c>
      <c r="G15" s="9">
        <f>IF(A15=1,"_",IF(C15="_","???",C15))</f>
        <v/>
      </c>
      <c r="H15" s="10" t="s">
        <v>12</v>
      </c>
      <c r="I15" s="11" t="s">
        <v>12</v>
      </c>
      <c r="J15" s="12"/>
    </row>
    <row r="16" spans="1:10" ht="60" customHeight="1">
      <c r="A16" s="6" t="s">
        <v>66</v>
      </c>
      <c r="B16" s="6" t="s">
        <v>16</v>
      </c>
      <c r="C16" s="6" t="s">
        <v>12</v>
      </c>
      <c r="D16" s="7" t="s">
        <v>74</v>
      </c>
      <c r="E16" s="8" t="s">
        <v>75</v>
      </c>
      <c r="F16" s="6" t="s">
        <v>76</v>
      </c>
      <c r="G16" s="9">
        <f>IF(A16=1,"_",IF(C16="_","???",C16))</f>
        <v/>
      </c>
      <c r="H16" s="10" t="s">
        <v>12</v>
      </c>
      <c r="I16" s="11" t="s">
        <v>12</v>
      </c>
      <c r="J16" s="12"/>
    </row>
    <row r="17" spans="1:10" ht="60" customHeight="1">
      <c r="A17" s="6" t="s">
        <v>77</v>
      </c>
      <c r="B17" s="6" t="s">
        <v>77</v>
      </c>
      <c r="C17" s="6" t="s">
        <v>12</v>
      </c>
      <c r="D17" s="7" t="s">
        <v>78</v>
      </c>
      <c r="E17" s="8" t="s">
        <v>79</v>
      </c>
      <c r="F17" s="6" t="s">
        <v>80</v>
      </c>
      <c r="G17" s="9">
        <f>IF(A17=1,"_",IF(C17="_","???",C17))</f>
        <v/>
      </c>
      <c r="H17" s="10" t="s">
        <v>12</v>
      </c>
      <c r="I17" s="11" t="s">
        <v>12</v>
      </c>
      <c r="J17" s="12"/>
    </row>
    <row r="18" spans="1:10" ht="60" customHeight="1">
      <c r="A18" s="6" t="s">
        <v>81</v>
      </c>
      <c r="B18" s="6" t="s">
        <v>36</v>
      </c>
      <c r="C18" s="6" t="s">
        <v>37</v>
      </c>
      <c r="D18" s="7" t="s">
        <v>71</v>
      </c>
      <c r="E18" s="8" t="s">
        <v>82</v>
      </c>
      <c r="F18" s="6" t="s">
        <v>83</v>
      </c>
      <c r="G18" s="9">
        <f>IF(A18=1,"_",IF(C18="_","???",C18))</f>
        <v/>
      </c>
      <c r="H18" s="10" t="s">
        <v>12</v>
      </c>
      <c r="I18" s="11" t="s">
        <v>12</v>
      </c>
      <c r="J18" s="12"/>
    </row>
    <row r="19" spans="1:10" ht="60" customHeight="1">
      <c r="A19" s="6" t="s">
        <v>84</v>
      </c>
      <c r="B19" s="6" t="s">
        <v>22</v>
      </c>
      <c r="C19" s="6" t="s">
        <v>37</v>
      </c>
      <c r="D19" s="7" t="s">
        <v>85</v>
      </c>
      <c r="E19" s="8" t="s">
        <v>86</v>
      </c>
      <c r="F19" s="6" t="s">
        <v>87</v>
      </c>
      <c r="G19" s="9">
        <f>IF(A19=1,"_",IF(C19="_","???",C19))</f>
        <v/>
      </c>
      <c r="H19" s="10" t="s">
        <v>12</v>
      </c>
      <c r="I19" s="11" t="s">
        <v>12</v>
      </c>
      <c r="J19" s="12"/>
    </row>
    <row r="20" spans="1:10" ht="60" customHeight="1">
      <c r="A20" s="6" t="s">
        <v>88</v>
      </c>
      <c r="B20" s="6" t="s">
        <v>22</v>
      </c>
      <c r="C20" s="6" t="s">
        <v>89</v>
      </c>
      <c r="D20" s="7" t="s">
        <v>90</v>
      </c>
      <c r="E20" s="8" t="s">
        <v>91</v>
      </c>
      <c r="F20" s="6" t="s">
        <v>92</v>
      </c>
      <c r="G20" s="9">
        <f>IF(A20=1,"_",IF(C20="_","???",C20))</f>
        <v/>
      </c>
      <c r="H20" s="10" t="s">
        <v>12</v>
      </c>
      <c r="I20" s="11" t="s">
        <v>12</v>
      </c>
      <c r="J20" s="12"/>
    </row>
    <row r="21" spans="1:10" ht="60" customHeight="1">
      <c r="A21" s="6" t="s">
        <v>93</v>
      </c>
      <c r="B21" s="6" t="s">
        <v>54</v>
      </c>
      <c r="C21" s="6" t="s">
        <v>94</v>
      </c>
      <c r="D21" s="7" t="s">
        <v>67</v>
      </c>
      <c r="E21" s="8" t="s">
        <v>95</v>
      </c>
      <c r="F21" s="6" t="s">
        <v>96</v>
      </c>
      <c r="G21" s="9">
        <f>IF(A21=1,"_",IF(C21="_","???",C21))</f>
        <v/>
      </c>
      <c r="H21" s="10" t="s">
        <v>12</v>
      </c>
      <c r="I21" s="11" t="s">
        <v>12</v>
      </c>
      <c r="J21" s="12"/>
    </row>
    <row r="22" spans="1:10" ht="60" customHeight="1">
      <c r="A22" s="6" t="s">
        <v>97</v>
      </c>
      <c r="B22" s="6" t="s">
        <v>10</v>
      </c>
      <c r="C22" s="6" t="s">
        <v>12</v>
      </c>
      <c r="D22" s="7" t="s">
        <v>98</v>
      </c>
      <c r="E22" s="8" t="s">
        <v>99</v>
      </c>
      <c r="F22" s="6" t="s">
        <v>100</v>
      </c>
      <c r="G22" s="9">
        <f>IF(A22=1,"_",IF(C22="_","???",C22))</f>
        <v/>
      </c>
      <c r="H22" s="10" t="s">
        <v>12</v>
      </c>
      <c r="I22" s="11" t="s">
        <v>12</v>
      </c>
      <c r="J22" s="12"/>
    </row>
    <row r="23" spans="1:10" ht="60" customHeight="1">
      <c r="A23" s="6" t="s">
        <v>101</v>
      </c>
      <c r="B23" s="6" t="s">
        <v>16</v>
      </c>
      <c r="C23" s="6" t="s">
        <v>12</v>
      </c>
      <c r="D23" s="7" t="s">
        <v>71</v>
      </c>
      <c r="E23" s="8" t="s">
        <v>102</v>
      </c>
      <c r="F23" s="6" t="s">
        <v>103</v>
      </c>
      <c r="G23" s="9">
        <f>IF(A23=1,"_",IF(C23="_","???",C23))</f>
        <v/>
      </c>
      <c r="H23" s="10" t="s">
        <v>12</v>
      </c>
      <c r="I23" s="11" t="s">
        <v>12</v>
      </c>
      <c r="J23" s="12"/>
    </row>
    <row r="24" spans="1:10" ht="60" customHeight="1">
      <c r="A24" s="6" t="s">
        <v>104</v>
      </c>
      <c r="B24" s="6" t="s">
        <v>16</v>
      </c>
      <c r="C24" s="6" t="s">
        <v>12</v>
      </c>
      <c r="D24" s="7" t="s">
        <v>105</v>
      </c>
      <c r="E24" s="8" t="s">
        <v>106</v>
      </c>
      <c r="F24" s="6" t="s">
        <v>107</v>
      </c>
      <c r="G24" s="9">
        <f>IF(A24=1,"_",IF(C24="_","???",C24))</f>
        <v/>
      </c>
      <c r="H24" s="10" t="s">
        <v>12</v>
      </c>
      <c r="I24" s="11" t="s">
        <v>12</v>
      </c>
      <c r="J24" s="12"/>
    </row>
    <row r="25" spans="1:10" ht="60" customHeight="1">
      <c r="A25" s="6" t="s">
        <v>108</v>
      </c>
      <c r="B25" s="6" t="s">
        <v>16</v>
      </c>
      <c r="C25" s="6" t="s">
        <v>12</v>
      </c>
      <c r="D25" s="7" t="s">
        <v>109</v>
      </c>
      <c r="E25" s="8" t="s">
        <v>110</v>
      </c>
      <c r="F25" s="6" t="s">
        <v>111</v>
      </c>
      <c r="G25" s="9">
        <f>IF(A25=1,"_",IF(C25="_","???",C25))</f>
        <v/>
      </c>
      <c r="H25" s="10" t="s">
        <v>12</v>
      </c>
      <c r="I25" s="11" t="s">
        <v>12</v>
      </c>
      <c r="J25" s="12"/>
    </row>
    <row r="26" spans="1:10" ht="60" customHeight="1">
      <c r="A26" s="6" t="s">
        <v>112</v>
      </c>
      <c r="B26" s="6" t="s">
        <v>22</v>
      </c>
      <c r="C26" s="6" t="s">
        <v>113</v>
      </c>
      <c r="D26" s="7" t="s">
        <v>59</v>
      </c>
      <c r="E26" s="8" t="s">
        <v>114</v>
      </c>
      <c r="F26" s="6" t="s">
        <v>115</v>
      </c>
      <c r="G26" s="9">
        <f>IF(A26=1,"_",IF(C26="_","???",C26))</f>
        <v/>
      </c>
      <c r="H26" s="10" t="s">
        <v>12</v>
      </c>
      <c r="I26" s="11" t="s">
        <v>12</v>
      </c>
      <c r="J26" s="12"/>
    </row>
    <row r="27" spans="1:10" ht="60" customHeight="1">
      <c r="A27" s="6" t="s">
        <v>116</v>
      </c>
      <c r="B27" s="6" t="s">
        <v>17</v>
      </c>
      <c r="C27" s="6" t="s">
        <v>117</v>
      </c>
      <c r="D27" s="7" t="s">
        <v>71</v>
      </c>
      <c r="E27" s="8" t="s">
        <v>118</v>
      </c>
      <c r="F27" s="6" t="s">
        <v>119</v>
      </c>
      <c r="G27" s="9">
        <f>IF(A27=1,"_",IF(C27="_","???",C27))</f>
        <v/>
      </c>
      <c r="H27" s="10" t="s">
        <v>12</v>
      </c>
      <c r="I27" s="11" t="s">
        <v>12</v>
      </c>
      <c r="J27" s="12"/>
    </row>
    <row r="28" spans="1:10" ht="60" customHeight="1">
      <c r="A28" s="6" t="s">
        <v>120</v>
      </c>
      <c r="B28" s="6" t="s">
        <v>16</v>
      </c>
      <c r="C28" s="6" t="s">
        <v>12</v>
      </c>
      <c r="D28" s="7" t="s">
        <v>67</v>
      </c>
      <c r="E28" s="8" t="s">
        <v>121</v>
      </c>
      <c r="F28" s="6" t="s">
        <v>122</v>
      </c>
      <c r="G28" s="9">
        <f>IF(A28=1,"_",IF(C28="_","???",C28))</f>
        <v/>
      </c>
      <c r="H28" s="10" t="s">
        <v>12</v>
      </c>
      <c r="I28" s="11" t="s">
        <v>12</v>
      </c>
      <c r="J28" s="12"/>
    </row>
    <row r="29" spans="1:10" ht="60" customHeight="1">
      <c r="A29" s="6" t="s">
        <v>123</v>
      </c>
      <c r="B29" s="6" t="s">
        <v>17</v>
      </c>
      <c r="C29" s="6" t="s">
        <v>124</v>
      </c>
      <c r="D29" s="7" t="s">
        <v>125</v>
      </c>
      <c r="E29" s="8" t="s">
        <v>126</v>
      </c>
      <c r="F29" s="6" t="s">
        <v>127</v>
      </c>
      <c r="G29" s="9">
        <f>IF(A29=1,"_",IF(C29="_","???",C29))</f>
        <v/>
      </c>
      <c r="H29" s="10" t="s">
        <v>12</v>
      </c>
      <c r="I29" s="11" t="s">
        <v>12</v>
      </c>
      <c r="J29" s="12"/>
    </row>
    <row r="30" spans="1:10" ht="60" customHeight="1">
      <c r="A30" s="6" t="s">
        <v>128</v>
      </c>
      <c r="B30" s="6" t="s">
        <v>49</v>
      </c>
      <c r="C30" s="6" t="s">
        <v>124</v>
      </c>
      <c r="D30" s="7" t="s">
        <v>129</v>
      </c>
      <c r="E30" s="8" t="s">
        <v>130</v>
      </c>
      <c r="F30" s="6" t="s">
        <v>131</v>
      </c>
      <c r="G30" s="9">
        <f>IF(A30=1,"_",IF(C30="_","???",C30))</f>
        <v/>
      </c>
      <c r="H30" s="10" t="s">
        <v>12</v>
      </c>
      <c r="I30" s="11" t="s">
        <v>12</v>
      </c>
      <c r="J30" s="12"/>
    </row>
    <row r="31" spans="1:10" ht="60" customHeight="1">
      <c r="A31" s="6" t="s">
        <v>132</v>
      </c>
      <c r="B31" s="6" t="s">
        <v>16</v>
      </c>
      <c r="C31" s="6" t="s">
        <v>12</v>
      </c>
      <c r="D31" s="7" t="s">
        <v>133</v>
      </c>
      <c r="E31" s="8" t="s">
        <v>134</v>
      </c>
      <c r="F31" s="6" t="s">
        <v>135</v>
      </c>
      <c r="G31" s="9">
        <f>IF(A31=1,"_",IF(C31="_","???",C31))</f>
        <v/>
      </c>
      <c r="H31" s="10" t="s">
        <v>12</v>
      </c>
      <c r="I31" s="11" t="s">
        <v>12</v>
      </c>
      <c r="J31" s="12"/>
    </row>
    <row r="32" spans="1:10" ht="60" customHeight="1">
      <c r="A32" s="6" t="s">
        <v>136</v>
      </c>
      <c r="B32" s="6" t="s">
        <v>22</v>
      </c>
      <c r="C32" s="6" t="s">
        <v>12</v>
      </c>
      <c r="D32" s="7" t="s">
        <v>137</v>
      </c>
      <c r="E32" s="8" t="s">
        <v>138</v>
      </c>
      <c r="F32" s="6" t="s">
        <v>139</v>
      </c>
      <c r="G32" s="9">
        <f>IF(A32=1,"_",IF(C32="_","???",C32))</f>
        <v/>
      </c>
      <c r="H32" s="10" t="s">
        <v>12</v>
      </c>
      <c r="I32" s="11" t="s">
        <v>12</v>
      </c>
      <c r="J32" s="12"/>
    </row>
    <row r="33" spans="1:10" ht="60" customHeight="1">
      <c r="A33" s="6" t="s">
        <v>140</v>
      </c>
      <c r="B33" s="6" t="s">
        <v>10</v>
      </c>
      <c r="C33" s="6" t="s">
        <v>12</v>
      </c>
      <c r="D33" s="7" t="s">
        <v>141</v>
      </c>
      <c r="E33" s="8" t="s">
        <v>142</v>
      </c>
      <c r="F33" s="6" t="s">
        <v>143</v>
      </c>
      <c r="G33" s="9">
        <f>IF(A33=1,"_",IF(C33="_","???",C33))</f>
        <v/>
      </c>
      <c r="H33" s="10" t="s">
        <v>12</v>
      </c>
      <c r="I33" s="11" t="s">
        <v>12</v>
      </c>
      <c r="J33" s="12"/>
    </row>
    <row r="34" spans="1:10" ht="60" customHeight="1">
      <c r="A34" s="6" t="s">
        <v>144</v>
      </c>
      <c r="B34" s="6" t="s">
        <v>54</v>
      </c>
      <c r="C34" s="6" t="s">
        <v>37</v>
      </c>
      <c r="D34" s="7" t="s">
        <v>67</v>
      </c>
      <c r="E34" s="8" t="s">
        <v>145</v>
      </c>
      <c r="F34" s="6" t="s">
        <v>146</v>
      </c>
      <c r="G34" s="9">
        <f>IF(A34=1,"_",IF(C34="_","???",C34))</f>
        <v/>
      </c>
      <c r="H34" s="10" t="s">
        <v>12</v>
      </c>
      <c r="I34" s="11" t="s">
        <v>12</v>
      </c>
      <c r="J34" s="12"/>
    </row>
    <row r="35" spans="1:10" ht="60" customHeight="1">
      <c r="A35" s="6" t="s">
        <v>147</v>
      </c>
      <c r="B35" s="6" t="s">
        <v>22</v>
      </c>
      <c r="C35" s="6" t="s">
        <v>89</v>
      </c>
      <c r="D35" s="7" t="s">
        <v>148</v>
      </c>
      <c r="E35" s="8" t="s">
        <v>149</v>
      </c>
      <c r="F35" s="6" t="s">
        <v>150</v>
      </c>
      <c r="G35" s="9">
        <f>IF(A35=1,"_",IF(C35="_","???",C35))</f>
        <v/>
      </c>
      <c r="H35" s="10" t="s">
        <v>12</v>
      </c>
      <c r="I35" s="11" t="s">
        <v>12</v>
      </c>
      <c r="J35" s="12"/>
    </row>
    <row r="36" spans="1:10" ht="60" customHeight="1">
      <c r="A36" s="6" t="s">
        <v>151</v>
      </c>
      <c r="B36" s="6" t="s">
        <v>36</v>
      </c>
      <c r="C36" s="6" t="s">
        <v>12</v>
      </c>
      <c r="D36" s="7" t="s">
        <v>71</v>
      </c>
      <c r="E36" s="8" t="s">
        <v>152</v>
      </c>
      <c r="F36" s="6" t="s">
        <v>153</v>
      </c>
      <c r="G36" s="9">
        <f>IF(A36=1,"_",IF(C36="_","???",C36))</f>
        <v/>
      </c>
      <c r="H36" s="10" t="s">
        <v>12</v>
      </c>
      <c r="I36" s="11" t="s">
        <v>12</v>
      </c>
      <c r="J36" s="12"/>
    </row>
    <row r="37" spans="1:10" ht="60" customHeight="1">
      <c r="A37" s="6" t="s">
        <v>154</v>
      </c>
      <c r="B37" s="6" t="s">
        <v>54</v>
      </c>
      <c r="C37" s="6" t="s">
        <v>155</v>
      </c>
      <c r="D37" s="7" t="s">
        <v>156</v>
      </c>
      <c r="E37" s="8" t="s">
        <v>157</v>
      </c>
      <c r="F37" s="6" t="s">
        <v>158</v>
      </c>
      <c r="G37" s="9">
        <f>IF(A37=1,"_",IF(C37="_","???",C37))</f>
        <v/>
      </c>
      <c r="H37" s="10" t="s">
        <v>12</v>
      </c>
      <c r="I37" s="11" t="s">
        <v>12</v>
      </c>
      <c r="J37" s="12"/>
    </row>
    <row r="38" spans="1:10" ht="60" customHeight="1">
      <c r="A38" s="6" t="s">
        <v>159</v>
      </c>
      <c r="B38" s="6" t="s">
        <v>27</v>
      </c>
      <c r="C38" s="6" t="s">
        <v>160</v>
      </c>
      <c r="D38" s="7" t="s">
        <v>161</v>
      </c>
      <c r="E38" s="8" t="s">
        <v>162</v>
      </c>
      <c r="F38" s="6" t="s">
        <v>163</v>
      </c>
      <c r="G38" s="9">
        <f>IF(A38=1,"_",IF(C38="_","???",C38))</f>
        <v/>
      </c>
      <c r="H38" s="10" t="s">
        <v>12</v>
      </c>
      <c r="I38" s="11" t="s">
        <v>12</v>
      </c>
      <c r="J38" s="12"/>
    </row>
    <row r="39" spans="1:10" ht="60" customHeight="1">
      <c r="A39" s="6" t="s">
        <v>164</v>
      </c>
      <c r="B39" s="6" t="s">
        <v>16</v>
      </c>
      <c r="C39" s="6" t="s">
        <v>12</v>
      </c>
      <c r="D39" s="7" t="s">
        <v>165</v>
      </c>
      <c r="E39" s="8" t="s">
        <v>166</v>
      </c>
      <c r="F39" s="6" t="s">
        <v>167</v>
      </c>
      <c r="G39" s="9">
        <f>IF(A39=1,"_",IF(C39="_","???",C39))</f>
        <v/>
      </c>
      <c r="H39" s="10" t="s">
        <v>12</v>
      </c>
      <c r="I39" s="11" t="s">
        <v>12</v>
      </c>
      <c r="J39" s="12"/>
    </row>
    <row r="40" spans="1:10" ht="60" customHeight="1">
      <c r="A40" s="6" t="s">
        <v>168</v>
      </c>
      <c r="B40" s="6" t="s">
        <v>16</v>
      </c>
      <c r="C40" s="6" t="s">
        <v>37</v>
      </c>
      <c r="D40" s="7" t="s">
        <v>169</v>
      </c>
      <c r="E40" s="8" t="s">
        <v>170</v>
      </c>
      <c r="F40" s="6" t="s">
        <v>171</v>
      </c>
      <c r="G40" s="9">
        <f>IF(A40=1,"_",IF(C40="_","???",C40))</f>
        <v/>
      </c>
      <c r="H40" s="10" t="s">
        <v>12</v>
      </c>
      <c r="I40" s="11" t="s">
        <v>12</v>
      </c>
      <c r="J40" s="12"/>
    </row>
    <row r="41" spans="1:10" ht="60" customHeight="1">
      <c r="A41" s="6" t="s">
        <v>172</v>
      </c>
      <c r="B41" s="6" t="s">
        <v>26</v>
      </c>
      <c r="C41" s="6" t="s">
        <v>12</v>
      </c>
      <c r="D41" s="7" t="s">
        <v>173</v>
      </c>
      <c r="E41" s="8" t="s">
        <v>174</v>
      </c>
      <c r="F41" s="6" t="s">
        <v>175</v>
      </c>
      <c r="G41" s="9">
        <f>IF(A41=1,"_",IF(C41="_","???",C41))</f>
        <v/>
      </c>
      <c r="H41" s="10" t="s">
        <v>12</v>
      </c>
      <c r="I41" s="11" t="s">
        <v>12</v>
      </c>
      <c r="J41" s="12"/>
    </row>
    <row r="42" spans="1:10" ht="60" customHeight="1">
      <c r="A42" s="6" t="s">
        <v>176</v>
      </c>
      <c r="B42" s="6" t="s">
        <v>22</v>
      </c>
      <c r="C42" s="6" t="s">
        <v>177</v>
      </c>
      <c r="D42" s="7" t="s">
        <v>178</v>
      </c>
      <c r="E42" s="8" t="s">
        <v>179</v>
      </c>
      <c r="F42" s="6" t="s">
        <v>180</v>
      </c>
      <c r="G42" s="9">
        <f>IF(A42=1,"_",IF(C42="_","???",C42))</f>
        <v/>
      </c>
      <c r="H42" s="10" t="s">
        <v>12</v>
      </c>
      <c r="I42" s="11" t="s">
        <v>12</v>
      </c>
      <c r="J42" s="12"/>
    </row>
    <row r="43" spans="1:10" ht="60" customHeight="1">
      <c r="A43" s="6" t="s">
        <v>181</v>
      </c>
      <c r="B43" s="6" t="s">
        <v>17</v>
      </c>
      <c r="C43" s="6" t="s">
        <v>182</v>
      </c>
      <c r="D43" s="7" t="s">
        <v>183</v>
      </c>
      <c r="E43" s="8" t="s">
        <v>184</v>
      </c>
      <c r="F43" s="6" t="s">
        <v>185</v>
      </c>
      <c r="G43" s="9">
        <f>IF(A43=1,"_",IF(C43="_","???",C43))</f>
        <v/>
      </c>
      <c r="H43" s="10" t="s">
        <v>12</v>
      </c>
      <c r="I43" s="11" t="s">
        <v>12</v>
      </c>
      <c r="J43" s="12"/>
    </row>
    <row r="44" spans="1:10" ht="60" customHeight="1">
      <c r="A44" s="6" t="s">
        <v>186</v>
      </c>
      <c r="B44" s="6" t="s">
        <v>36</v>
      </c>
      <c r="C44" s="6" t="s">
        <v>160</v>
      </c>
      <c r="D44" s="7" t="s">
        <v>55</v>
      </c>
      <c r="E44" s="8" t="s">
        <v>187</v>
      </c>
      <c r="F44" s="6" t="s">
        <v>188</v>
      </c>
      <c r="G44" s="9">
        <f>IF(A44=1,"_",IF(C44="_","???",C44))</f>
        <v/>
      </c>
      <c r="H44" s="10" t="s">
        <v>12</v>
      </c>
      <c r="I44" s="11" t="s">
        <v>12</v>
      </c>
      <c r="J44" s="12"/>
    </row>
    <row r="45" spans="1:10" ht="60" customHeight="1">
      <c r="A45" s="6" t="s">
        <v>189</v>
      </c>
      <c r="B45" s="6" t="s">
        <v>16</v>
      </c>
      <c r="C45" s="6" t="s">
        <v>155</v>
      </c>
      <c r="D45" s="7" t="s">
        <v>190</v>
      </c>
      <c r="E45" s="8" t="s">
        <v>191</v>
      </c>
      <c r="F45" s="6" t="s">
        <v>192</v>
      </c>
      <c r="G45" s="9">
        <f>IF(A45=1,"_",IF(C45="_","???",C45))</f>
        <v/>
      </c>
      <c r="H45" s="10" t="s">
        <v>12</v>
      </c>
      <c r="I45" s="11" t="s">
        <v>12</v>
      </c>
      <c r="J45" s="12"/>
    </row>
    <row r="46" spans="1:10" ht="60" customHeight="1">
      <c r="A46" s="6" t="s">
        <v>193</v>
      </c>
      <c r="B46" s="6" t="s">
        <v>62</v>
      </c>
      <c r="C46" s="6" t="s">
        <v>194</v>
      </c>
      <c r="D46" s="7" t="s">
        <v>195</v>
      </c>
      <c r="E46" s="8" t="s">
        <v>196</v>
      </c>
      <c r="F46" s="6" t="s">
        <v>197</v>
      </c>
      <c r="G46" s="9">
        <f>IF(A46=1,"_",IF(C46="_","???",C46))</f>
        <v/>
      </c>
      <c r="H46" s="10" t="s">
        <v>12</v>
      </c>
      <c r="I46" s="11" t="s">
        <v>12</v>
      </c>
      <c r="J46" s="12"/>
    </row>
    <row r="47" spans="1:10" ht="60" customHeight="1">
      <c r="A47" s="6" t="s">
        <v>198</v>
      </c>
      <c r="B47" s="6" t="s">
        <v>16</v>
      </c>
      <c r="C47" s="6" t="s">
        <v>12</v>
      </c>
      <c r="D47" s="7" t="s">
        <v>199</v>
      </c>
      <c r="E47" s="8" t="s">
        <v>200</v>
      </c>
      <c r="F47" s="6" t="s">
        <v>201</v>
      </c>
      <c r="G47" s="9">
        <f>IF(A47=1,"_",IF(C47="_","???",C47))</f>
        <v/>
      </c>
      <c r="H47" s="10" t="s">
        <v>12</v>
      </c>
      <c r="I47" s="11" t="s">
        <v>12</v>
      </c>
      <c r="J47" s="12"/>
    </row>
    <row r="48" spans="1:10" ht="60" customHeight="1">
      <c r="A48" s="6" t="s">
        <v>202</v>
      </c>
      <c r="B48" s="6" t="s">
        <v>16</v>
      </c>
      <c r="C48" s="6" t="s">
        <v>37</v>
      </c>
      <c r="D48" s="7" t="s">
        <v>203</v>
      </c>
      <c r="E48" s="8" t="s">
        <v>204</v>
      </c>
      <c r="F48" s="6" t="s">
        <v>205</v>
      </c>
      <c r="G48" s="9">
        <f>IF(A48=1,"_",IF(C48="_","???",C48))</f>
        <v/>
      </c>
      <c r="H48" s="10" t="s">
        <v>12</v>
      </c>
      <c r="I48" s="11" t="s">
        <v>12</v>
      </c>
      <c r="J48" s="12"/>
    </row>
    <row r="49" spans="1:10" ht="60" customHeight="1">
      <c r="A49" s="6" t="s">
        <v>206</v>
      </c>
      <c r="B49" s="6" t="s">
        <v>16</v>
      </c>
      <c r="C49" s="6" t="s">
        <v>12</v>
      </c>
      <c r="D49" s="7" t="s">
        <v>207</v>
      </c>
      <c r="E49" s="8" t="s">
        <v>208</v>
      </c>
      <c r="F49" s="6" t="s">
        <v>209</v>
      </c>
      <c r="G49" s="9">
        <f>IF(A49=1,"_",IF(C49="_","???",C49))</f>
        <v/>
      </c>
      <c r="H49" s="10" t="s">
        <v>12</v>
      </c>
      <c r="I49" s="11" t="s">
        <v>12</v>
      </c>
      <c r="J49" s="12"/>
    </row>
    <row r="50" spans="1:10" ht="60" customHeight="1">
      <c r="A50" s="6" t="s">
        <v>210</v>
      </c>
      <c r="B50" s="6" t="s">
        <v>10</v>
      </c>
      <c r="C50" s="6" t="s">
        <v>37</v>
      </c>
      <c r="D50" s="7" t="s">
        <v>211</v>
      </c>
      <c r="E50" s="8" t="s">
        <v>212</v>
      </c>
      <c r="F50" s="6" t="s">
        <v>213</v>
      </c>
      <c r="G50" s="9">
        <f>IF(A50=1,"_",IF(C50="_","???",C50))</f>
        <v/>
      </c>
      <c r="H50" s="10" t="s">
        <v>12</v>
      </c>
      <c r="I50" s="11" t="s">
        <v>12</v>
      </c>
      <c r="J50" s="12"/>
    </row>
    <row r="51" spans="1:10" ht="60" customHeight="1">
      <c r="A51" s="6" t="s">
        <v>214</v>
      </c>
      <c r="B51" s="6" t="s">
        <v>17</v>
      </c>
      <c r="C51" s="6" t="s">
        <v>182</v>
      </c>
      <c r="D51" s="7" t="s">
        <v>215</v>
      </c>
      <c r="E51" s="8" t="s">
        <v>216</v>
      </c>
      <c r="F51" s="6" t="s">
        <v>217</v>
      </c>
      <c r="G51" s="9">
        <f>IF(A51=1,"_",IF(C51="_","???",C51))</f>
        <v/>
      </c>
      <c r="H51" s="10" t="s">
        <v>12</v>
      </c>
      <c r="I51" s="11" t="s">
        <v>12</v>
      </c>
      <c r="J51" s="12"/>
    </row>
    <row r="52" spans="1:10" ht="60" customHeight="1">
      <c r="A52" s="6" t="s">
        <v>218</v>
      </c>
      <c r="B52" s="6" t="s">
        <v>16</v>
      </c>
      <c r="C52" s="6" t="s">
        <v>12</v>
      </c>
      <c r="D52" s="7" t="s">
        <v>219</v>
      </c>
      <c r="E52" s="8" t="s">
        <v>220</v>
      </c>
      <c r="F52" s="6" t="s">
        <v>221</v>
      </c>
      <c r="G52" s="9">
        <f>IF(A52=1,"_",IF(C52="_","???",C52))</f>
        <v/>
      </c>
      <c r="H52" s="10" t="s">
        <v>12</v>
      </c>
      <c r="I52" s="11" t="s">
        <v>12</v>
      </c>
      <c r="J52" s="12"/>
    </row>
    <row r="53" spans="1:10" ht="60" customHeight="1">
      <c r="A53" s="6" t="s">
        <v>222</v>
      </c>
      <c r="B53" s="6" t="s">
        <v>77</v>
      </c>
      <c r="C53" s="6" t="s">
        <v>37</v>
      </c>
      <c r="D53" s="7" t="s">
        <v>223</v>
      </c>
      <c r="E53" s="8" t="s">
        <v>224</v>
      </c>
      <c r="F53" s="6" t="s">
        <v>225</v>
      </c>
      <c r="G53" s="9">
        <f>IF(A53=1,"_",IF(C53="_","???",C53))</f>
        <v/>
      </c>
      <c r="H53" s="10" t="s">
        <v>12</v>
      </c>
      <c r="I53" s="11" t="s">
        <v>12</v>
      </c>
      <c r="J53" s="12"/>
    </row>
    <row r="54" spans="1:10" ht="60" customHeight="1">
      <c r="A54" s="6" t="s">
        <v>226</v>
      </c>
      <c r="B54" s="6" t="s">
        <v>66</v>
      </c>
      <c r="C54" s="6" t="s">
        <v>194</v>
      </c>
      <c r="D54" s="7" t="s">
        <v>227</v>
      </c>
      <c r="E54" s="8" t="s">
        <v>228</v>
      </c>
      <c r="F54" s="6" t="s">
        <v>229</v>
      </c>
      <c r="G54" s="9">
        <f>IF(A54=1,"_",IF(C54="_","???",C54))</f>
        <v/>
      </c>
      <c r="H54" s="10" t="s">
        <v>12</v>
      </c>
      <c r="I54" s="11" t="s">
        <v>12</v>
      </c>
      <c r="J54" s="12"/>
    </row>
    <row r="55" spans="1:10" ht="60" customHeight="1">
      <c r="A55" s="6" t="s">
        <v>230</v>
      </c>
      <c r="B55" s="6" t="s">
        <v>17</v>
      </c>
      <c r="C55" s="6" t="s">
        <v>37</v>
      </c>
      <c r="D55" s="7" t="s">
        <v>231</v>
      </c>
      <c r="E55" s="8" t="s">
        <v>232</v>
      </c>
      <c r="F55" s="6" t="s">
        <v>233</v>
      </c>
      <c r="G55" s="9">
        <f>IF(A55=1,"_",IF(C55="_","???",C55))</f>
        <v/>
      </c>
      <c r="H55" s="10" t="s">
        <v>12</v>
      </c>
      <c r="I55" s="11" t="s">
        <v>12</v>
      </c>
      <c r="J55" s="12"/>
    </row>
    <row r="56" spans="1:10" ht="60" customHeight="1">
      <c r="A56" s="6" t="s">
        <v>234</v>
      </c>
      <c r="B56" s="6" t="s">
        <v>22</v>
      </c>
      <c r="C56" s="6" t="s">
        <v>12</v>
      </c>
      <c r="D56" s="7" t="s">
        <v>235</v>
      </c>
      <c r="E56" s="8" t="s">
        <v>236</v>
      </c>
      <c r="F56" s="6" t="s">
        <v>237</v>
      </c>
      <c r="G56" s="9">
        <f>IF(A56=1,"_",IF(C56="_","???",C56))</f>
        <v/>
      </c>
      <c r="H56" s="10" t="s">
        <v>12</v>
      </c>
      <c r="I56" s="11" t="s">
        <v>12</v>
      </c>
      <c r="J56" s="12"/>
    </row>
    <row r="57" spans="1:10" ht="60" customHeight="1">
      <c r="A57" s="6" t="s">
        <v>238</v>
      </c>
      <c r="B57" s="6" t="s">
        <v>17</v>
      </c>
      <c r="C57" s="6" t="s">
        <v>94</v>
      </c>
      <c r="D57" s="7" t="s">
        <v>239</v>
      </c>
      <c r="E57" s="8" t="s">
        <v>240</v>
      </c>
      <c r="F57" s="6" t="s">
        <v>241</v>
      </c>
      <c r="G57" s="9">
        <f>IF(A57=1,"_",IF(C57="_","???",C57))</f>
        <v/>
      </c>
      <c r="H57" s="10" t="s">
        <v>12</v>
      </c>
      <c r="I57" s="11" t="s">
        <v>12</v>
      </c>
      <c r="J57" s="12"/>
    </row>
    <row r="58" spans="1:10" ht="60" customHeight="1">
      <c r="A58" s="6" t="s">
        <v>242</v>
      </c>
      <c r="B58" s="6" t="s">
        <v>22</v>
      </c>
      <c r="C58" s="6" t="s">
        <v>37</v>
      </c>
      <c r="D58" s="7" t="s">
        <v>235</v>
      </c>
      <c r="E58" s="8" t="s">
        <v>243</v>
      </c>
      <c r="F58" s="6" t="s">
        <v>244</v>
      </c>
      <c r="G58" s="9">
        <f>IF(A58=1,"_",IF(C58="_","???",C58))</f>
        <v/>
      </c>
      <c r="H58" s="10" t="s">
        <v>12</v>
      </c>
      <c r="I58" s="11" t="s">
        <v>12</v>
      </c>
      <c r="J58" s="12"/>
    </row>
    <row r="59" spans="1:10" ht="60" customHeight="1">
      <c r="A59" s="6" t="s">
        <v>245</v>
      </c>
      <c r="B59" s="6" t="s">
        <v>22</v>
      </c>
      <c r="C59" s="6" t="s">
        <v>246</v>
      </c>
      <c r="D59" s="7" t="s">
        <v>247</v>
      </c>
      <c r="E59" s="8" t="s">
        <v>248</v>
      </c>
      <c r="F59" s="6" t="s">
        <v>249</v>
      </c>
      <c r="G59" s="9">
        <f>IF(A59=1,"_",IF(C59="_","???",C59))</f>
        <v/>
      </c>
      <c r="H59" s="10" t="s">
        <v>12</v>
      </c>
      <c r="I59" s="11" t="s">
        <v>12</v>
      </c>
      <c r="J59" s="12"/>
    </row>
    <row r="60" spans="1:10" ht="60" customHeight="1">
      <c r="A60" s="6" t="s">
        <v>250</v>
      </c>
      <c r="B60" s="6" t="s">
        <v>10</v>
      </c>
      <c r="C60" s="6" t="s">
        <v>12</v>
      </c>
      <c r="D60" s="7" t="s">
        <v>251</v>
      </c>
      <c r="E60" s="8" t="s">
        <v>252</v>
      </c>
      <c r="F60" s="6" t="s">
        <v>253</v>
      </c>
      <c r="G60" s="9">
        <f>IF(A60=1,"_",IF(C60="_","???",C60))</f>
        <v/>
      </c>
      <c r="H60" s="10" t="s">
        <v>12</v>
      </c>
      <c r="I60" s="11" t="s">
        <v>12</v>
      </c>
      <c r="J60" s="12"/>
    </row>
    <row r="61" spans="1:10" ht="60" customHeight="1">
      <c r="A61" s="6" t="s">
        <v>254</v>
      </c>
      <c r="B61" s="6" t="s">
        <v>32</v>
      </c>
      <c r="C61" s="6" t="s">
        <v>12</v>
      </c>
      <c r="D61" s="7" t="s">
        <v>71</v>
      </c>
      <c r="E61" s="8" t="s">
        <v>255</v>
      </c>
      <c r="F61" s="6" t="s">
        <v>256</v>
      </c>
      <c r="G61" s="9">
        <f>IF(A61=1,"_",IF(C61="_","???",C61))</f>
        <v/>
      </c>
      <c r="H61" s="10" t="s">
        <v>12</v>
      </c>
      <c r="I61" s="11" t="s">
        <v>12</v>
      </c>
      <c r="J61" s="12"/>
    </row>
    <row r="62" spans="1:10" ht="60" customHeight="1">
      <c r="A62" s="6" t="s">
        <v>257</v>
      </c>
      <c r="B62" s="6" t="s">
        <v>36</v>
      </c>
      <c r="C62" s="6" t="s">
        <v>194</v>
      </c>
      <c r="D62" s="7" t="s">
        <v>258</v>
      </c>
      <c r="E62" s="8" t="s">
        <v>259</v>
      </c>
      <c r="F62" s="6" t="s">
        <v>260</v>
      </c>
      <c r="G62" s="9">
        <f>IF(A62=1,"_",IF(C62="_","???",C62))</f>
        <v/>
      </c>
      <c r="H62" s="10" t="s">
        <v>12</v>
      </c>
      <c r="I62" s="11" t="s">
        <v>12</v>
      </c>
      <c r="J62" s="12"/>
    </row>
    <row r="63" spans="1:10" ht="60" customHeight="1">
      <c r="A63" s="6" t="s">
        <v>261</v>
      </c>
      <c r="B63" s="6" t="s">
        <v>11</v>
      </c>
      <c r="C63" s="6" t="s">
        <v>94</v>
      </c>
      <c r="D63" s="7" t="s">
        <v>262</v>
      </c>
      <c r="E63" s="8" t="s">
        <v>263</v>
      </c>
      <c r="F63" s="6" t="s">
        <v>264</v>
      </c>
      <c r="G63" s="9">
        <f>IF(A63=1,"_",IF(C63="_","???",C63))</f>
        <v/>
      </c>
      <c r="H63" s="10" t="s">
        <v>12</v>
      </c>
      <c r="I63" s="11" t="s">
        <v>12</v>
      </c>
      <c r="J63" s="12"/>
    </row>
    <row r="64" spans="1:10" ht="60" customHeight="1">
      <c r="A64" s="6" t="s">
        <v>265</v>
      </c>
      <c r="B64" s="6" t="s">
        <v>22</v>
      </c>
      <c r="C64" s="6" t="s">
        <v>12</v>
      </c>
      <c r="D64" s="7" t="s">
        <v>266</v>
      </c>
      <c r="E64" s="8" t="s">
        <v>267</v>
      </c>
      <c r="F64" s="6" t="s">
        <v>268</v>
      </c>
      <c r="G64" s="9">
        <f>IF(A64=1,"_",IF(C64="_","???",C64))</f>
        <v/>
      </c>
      <c r="H64" s="10" t="s">
        <v>12</v>
      </c>
      <c r="I64" s="11" t="s">
        <v>12</v>
      </c>
      <c r="J64" s="12"/>
    </row>
    <row r="65" spans="1:10" ht="60" customHeight="1">
      <c r="A65" s="6" t="s">
        <v>269</v>
      </c>
      <c r="B65" s="6" t="s">
        <v>16</v>
      </c>
      <c r="C65" s="6" t="s">
        <v>94</v>
      </c>
      <c r="D65" s="7" t="s">
        <v>235</v>
      </c>
      <c r="E65" s="8" t="s">
        <v>270</v>
      </c>
      <c r="F65" s="6" t="s">
        <v>271</v>
      </c>
      <c r="G65" s="9">
        <f>IF(A65=1,"_",IF(C65="_","???",C65))</f>
        <v/>
      </c>
      <c r="H65" s="10" t="s">
        <v>12</v>
      </c>
      <c r="I65" s="11" t="s">
        <v>12</v>
      </c>
      <c r="J65" s="12"/>
    </row>
    <row r="66" spans="1:10" ht="60" customHeight="1">
      <c r="A66" s="6" t="s">
        <v>272</v>
      </c>
      <c r="B66" s="6" t="s">
        <v>17</v>
      </c>
      <c r="C66" s="6" t="s">
        <v>12</v>
      </c>
      <c r="D66" s="7" t="s">
        <v>183</v>
      </c>
      <c r="E66" s="8" t="s">
        <v>273</v>
      </c>
      <c r="F66" s="6" t="s">
        <v>274</v>
      </c>
      <c r="G66" s="9">
        <f>IF(A66=1,"_",IF(C66="_","???",C66))</f>
        <v/>
      </c>
      <c r="H66" s="10" t="s">
        <v>12</v>
      </c>
      <c r="I66" s="11" t="s">
        <v>12</v>
      </c>
      <c r="J66" s="12"/>
    </row>
    <row r="67" spans="1:10" ht="60" customHeight="1">
      <c r="A67" s="6" t="s">
        <v>275</v>
      </c>
      <c r="B67" s="6" t="s">
        <v>32</v>
      </c>
      <c r="C67" s="6" t="s">
        <v>276</v>
      </c>
      <c r="D67" s="7" t="s">
        <v>59</v>
      </c>
      <c r="E67" s="8" t="s">
        <v>277</v>
      </c>
      <c r="F67" s="6" t="s">
        <v>278</v>
      </c>
      <c r="G67" s="9">
        <f>IF(A67=1,"_",IF(C67="_","???",C67))</f>
        <v/>
      </c>
      <c r="H67" s="10" t="s">
        <v>12</v>
      </c>
      <c r="I67" s="11" t="s">
        <v>12</v>
      </c>
      <c r="J67" s="12"/>
    </row>
    <row r="68" spans="1:10" ht="60" customHeight="1">
      <c r="A68" s="6" t="s">
        <v>279</v>
      </c>
      <c r="B68" s="6" t="s">
        <v>22</v>
      </c>
      <c r="C68" s="6" t="s">
        <v>12</v>
      </c>
      <c r="D68" s="7" t="s">
        <v>227</v>
      </c>
      <c r="E68" s="8" t="s">
        <v>280</v>
      </c>
      <c r="F68" s="6" t="s">
        <v>281</v>
      </c>
      <c r="G68" s="9">
        <f>IF(A68=1,"_",IF(C68="_","???",C68))</f>
        <v/>
      </c>
      <c r="H68" s="10" t="s">
        <v>12</v>
      </c>
      <c r="I68" s="11" t="s">
        <v>12</v>
      </c>
      <c r="J68" s="12"/>
    </row>
    <row r="69" spans="1:10" ht="60" customHeight="1">
      <c r="A69" s="6" t="s">
        <v>282</v>
      </c>
      <c r="B69" s="6" t="s">
        <v>22</v>
      </c>
      <c r="C69" s="6" t="s">
        <v>283</v>
      </c>
      <c r="D69" s="7" t="s">
        <v>71</v>
      </c>
      <c r="E69" s="8" t="s">
        <v>284</v>
      </c>
      <c r="F69" s="6" t="s">
        <v>285</v>
      </c>
      <c r="G69" s="9">
        <f>IF(A69=1,"_",IF(C69="_","???",C69))</f>
        <v/>
      </c>
      <c r="H69" s="10" t="s">
        <v>12</v>
      </c>
      <c r="I69" s="11" t="s">
        <v>12</v>
      </c>
      <c r="J69" s="12"/>
    </row>
    <row r="70" spans="1:10" ht="60" customHeight="1">
      <c r="A70" s="6" t="s">
        <v>286</v>
      </c>
      <c r="B70" s="6" t="s">
        <v>17</v>
      </c>
      <c r="C70" s="6" t="s">
        <v>94</v>
      </c>
      <c r="D70" s="7" t="s">
        <v>287</v>
      </c>
      <c r="E70" s="8" t="s">
        <v>288</v>
      </c>
      <c r="F70" s="6" t="s">
        <v>289</v>
      </c>
      <c r="G70" s="9">
        <f>IF(A70=1,"_",IF(C70="_","???",C70))</f>
        <v/>
      </c>
      <c r="H70" s="10" t="s">
        <v>12</v>
      </c>
      <c r="I70" s="11" t="s">
        <v>12</v>
      </c>
      <c r="J70" s="12"/>
    </row>
    <row r="71" spans="1:10" ht="60" customHeight="1">
      <c r="A71" s="6" t="s">
        <v>290</v>
      </c>
      <c r="B71" s="6" t="s">
        <v>22</v>
      </c>
      <c r="C71" s="6" t="s">
        <v>12</v>
      </c>
      <c r="D71" s="7" t="s">
        <v>67</v>
      </c>
      <c r="E71" s="8" t="s">
        <v>291</v>
      </c>
      <c r="F71" s="6" t="s">
        <v>292</v>
      </c>
      <c r="G71" s="9">
        <f>IF(A71=1,"_",IF(C71="_","???",C71))</f>
        <v/>
      </c>
      <c r="H71" s="10" t="s">
        <v>12</v>
      </c>
      <c r="I71" s="11" t="s">
        <v>12</v>
      </c>
      <c r="J71" s="12"/>
    </row>
    <row r="72" spans="1:10" ht="60" customHeight="1">
      <c r="A72" s="6" t="s">
        <v>293</v>
      </c>
      <c r="B72" s="6" t="s">
        <v>58</v>
      </c>
      <c r="C72" s="6" t="s">
        <v>37</v>
      </c>
      <c r="D72" s="7" t="s">
        <v>67</v>
      </c>
      <c r="E72" s="8" t="s">
        <v>294</v>
      </c>
      <c r="F72" s="6" t="s">
        <v>295</v>
      </c>
      <c r="G72" s="9">
        <f>IF(A72=1,"_",IF(C72="_","???",C72))</f>
        <v/>
      </c>
      <c r="H72" s="10" t="s">
        <v>12</v>
      </c>
      <c r="I72" s="11" t="s">
        <v>12</v>
      </c>
      <c r="J72" s="12"/>
    </row>
    <row r="73" spans="1:10" ht="60" customHeight="1">
      <c r="A73" s="6" t="s">
        <v>296</v>
      </c>
      <c r="B73" s="6" t="s">
        <v>11</v>
      </c>
      <c r="C73" s="6" t="s">
        <v>12</v>
      </c>
      <c r="D73" s="7" t="s">
        <v>297</v>
      </c>
      <c r="E73" s="8" t="s">
        <v>298</v>
      </c>
      <c r="F73" s="6" t="s">
        <v>299</v>
      </c>
      <c r="G73" s="9">
        <f>IF(A73=1,"_",IF(C73="_","???",C73))</f>
        <v/>
      </c>
      <c r="H73" s="10" t="s">
        <v>12</v>
      </c>
      <c r="I73" s="11" t="s">
        <v>12</v>
      </c>
      <c r="J73" s="12"/>
    </row>
    <row r="74" spans="1:10" ht="60" customHeight="1">
      <c r="A74" s="6" t="s">
        <v>300</v>
      </c>
      <c r="B74" s="6" t="s">
        <v>22</v>
      </c>
      <c r="C74" s="6" t="s">
        <v>12</v>
      </c>
      <c r="D74" s="7" t="s">
        <v>301</v>
      </c>
      <c r="E74" s="8" t="s">
        <v>302</v>
      </c>
      <c r="F74" s="6" t="s">
        <v>303</v>
      </c>
      <c r="G74" s="9">
        <f>IF(A74=1,"_",IF(C74="_","???",C74))</f>
        <v/>
      </c>
      <c r="H74" s="10" t="s">
        <v>12</v>
      </c>
      <c r="I74" s="11" t="s">
        <v>12</v>
      </c>
      <c r="J74" s="12"/>
    </row>
    <row r="75" spans="1:10" ht="60" customHeight="1">
      <c r="A75" s="6" t="s">
        <v>304</v>
      </c>
      <c r="B75" s="6" t="s">
        <v>22</v>
      </c>
      <c r="C75" s="6" t="s">
        <v>37</v>
      </c>
      <c r="D75" s="7" t="s">
        <v>305</v>
      </c>
      <c r="E75" s="8" t="s">
        <v>306</v>
      </c>
      <c r="F75" s="6" t="s">
        <v>307</v>
      </c>
      <c r="G75" s="9">
        <f>IF(A75=1,"_",IF(C75="_","???",C75))</f>
        <v/>
      </c>
      <c r="H75" s="10" t="s">
        <v>12</v>
      </c>
      <c r="I75" s="11" t="s">
        <v>12</v>
      </c>
      <c r="J75" s="12"/>
    </row>
    <row r="76" spans="1:10" ht="60" customHeight="1">
      <c r="A76" s="6" t="s">
        <v>308</v>
      </c>
      <c r="B76" s="6" t="s">
        <v>32</v>
      </c>
      <c r="C76" s="6" t="s">
        <v>37</v>
      </c>
      <c r="D76" s="7" t="s">
        <v>207</v>
      </c>
      <c r="E76" s="8" t="s">
        <v>309</v>
      </c>
      <c r="F76" s="6" t="s">
        <v>310</v>
      </c>
      <c r="G76" s="9">
        <f>IF(A76=1,"_",IF(C76="_","???",C76))</f>
        <v/>
      </c>
      <c r="H76" s="10" t="s">
        <v>12</v>
      </c>
      <c r="I76" s="11" t="s">
        <v>12</v>
      </c>
      <c r="J76" s="12"/>
    </row>
    <row r="77" spans="1:10" ht="60" customHeight="1">
      <c r="A77" s="6" t="s">
        <v>311</v>
      </c>
      <c r="B77" s="6" t="s">
        <v>16</v>
      </c>
      <c r="C77" s="6" t="s">
        <v>12</v>
      </c>
      <c r="D77" s="7" t="s">
        <v>312</v>
      </c>
      <c r="E77" s="8" t="s">
        <v>313</v>
      </c>
      <c r="F77" s="6" t="s">
        <v>314</v>
      </c>
      <c r="G77" s="9">
        <f>IF(A77=1,"_",IF(C77="_","???",C77))</f>
        <v/>
      </c>
      <c r="H77" s="10" t="s">
        <v>12</v>
      </c>
      <c r="I77" s="11" t="s">
        <v>12</v>
      </c>
      <c r="J77" s="12"/>
    </row>
    <row r="78" spans="1:10" ht="60" customHeight="1">
      <c r="A78" s="6" t="s">
        <v>315</v>
      </c>
      <c r="B78" s="6" t="s">
        <v>22</v>
      </c>
      <c r="C78" s="6" t="s">
        <v>12</v>
      </c>
      <c r="D78" s="7" t="s">
        <v>71</v>
      </c>
      <c r="E78" s="8" t="s">
        <v>316</v>
      </c>
      <c r="F78" s="6" t="s">
        <v>317</v>
      </c>
      <c r="G78" s="9">
        <f>IF(A78=1,"_",IF(C78="_","???",C78))</f>
        <v/>
      </c>
      <c r="H78" s="10" t="s">
        <v>12</v>
      </c>
      <c r="I78" s="11" t="s">
        <v>12</v>
      </c>
      <c r="J78" s="12"/>
    </row>
    <row r="79" spans="1:10" ht="60" customHeight="1">
      <c r="A79" s="6" t="s">
        <v>318</v>
      </c>
      <c r="B79" s="6" t="s">
        <v>22</v>
      </c>
      <c r="C79" s="6" t="s">
        <v>37</v>
      </c>
      <c r="D79" s="7" t="s">
        <v>71</v>
      </c>
      <c r="E79" s="8" t="s">
        <v>319</v>
      </c>
      <c r="F79" s="6" t="s">
        <v>320</v>
      </c>
      <c r="G79" s="9">
        <f>IF(A79=1,"_",IF(C79="_","???",C79))</f>
        <v/>
      </c>
      <c r="H79" s="10" t="s">
        <v>12</v>
      </c>
      <c r="I79" s="11" t="s">
        <v>12</v>
      </c>
      <c r="J79" s="12"/>
    </row>
    <row r="80" spans="1:10" ht="60" customHeight="1">
      <c r="A80" s="6" t="s">
        <v>321</v>
      </c>
      <c r="B80" s="6" t="s">
        <v>22</v>
      </c>
      <c r="C80" s="6" t="s">
        <v>117</v>
      </c>
      <c r="D80" s="7" t="s">
        <v>71</v>
      </c>
      <c r="E80" s="8" t="s">
        <v>322</v>
      </c>
      <c r="F80" s="6" t="s">
        <v>323</v>
      </c>
      <c r="G80" s="9">
        <f>IF(A80=1,"_",IF(C80="_","???",C80))</f>
        <v/>
      </c>
      <c r="H80" s="10" t="s">
        <v>12</v>
      </c>
      <c r="I80" s="11" t="s">
        <v>12</v>
      </c>
      <c r="J80" s="12"/>
    </row>
    <row r="81" spans="1:10" ht="60" customHeight="1">
      <c r="A81" s="6" t="s">
        <v>324</v>
      </c>
      <c r="B81" s="6" t="s">
        <v>36</v>
      </c>
      <c r="C81" s="6" t="s">
        <v>37</v>
      </c>
      <c r="D81" s="7" t="s">
        <v>325</v>
      </c>
      <c r="E81" s="8" t="s">
        <v>326</v>
      </c>
      <c r="F81" s="6" t="s">
        <v>327</v>
      </c>
      <c r="G81" s="9">
        <f>IF(A81=1,"_",IF(C81="_","???",C81))</f>
        <v/>
      </c>
      <c r="H81" s="10" t="s">
        <v>12</v>
      </c>
      <c r="I81" s="11" t="s">
        <v>12</v>
      </c>
      <c r="J81" s="12"/>
    </row>
    <row r="82" spans="1:10" ht="60" customHeight="1">
      <c r="A82" s="6" t="s">
        <v>328</v>
      </c>
      <c r="B82" s="6" t="s">
        <v>16</v>
      </c>
      <c r="C82" s="6" t="s">
        <v>12</v>
      </c>
      <c r="D82" s="7" t="s">
        <v>329</v>
      </c>
      <c r="E82" s="8" t="s">
        <v>330</v>
      </c>
      <c r="F82" s="6" t="s">
        <v>331</v>
      </c>
      <c r="G82" s="9">
        <f>IF(A82=1,"_",IF(C82="_","???",C82))</f>
        <v/>
      </c>
      <c r="H82" s="10" t="s">
        <v>12</v>
      </c>
      <c r="I82" s="11" t="s">
        <v>12</v>
      </c>
      <c r="J82" s="12"/>
    </row>
    <row r="83" spans="1:10" ht="60" customHeight="1">
      <c r="A83" s="6" t="s">
        <v>332</v>
      </c>
      <c r="B83" s="6" t="s">
        <v>54</v>
      </c>
      <c r="C83" s="6" t="s">
        <v>37</v>
      </c>
      <c r="D83" s="7" t="s">
        <v>333</v>
      </c>
      <c r="E83" s="8" t="s">
        <v>334</v>
      </c>
      <c r="F83" s="6" t="s">
        <v>335</v>
      </c>
      <c r="G83" s="9">
        <f>IF(A83=1,"_",IF(C83="_","???",C83))</f>
        <v/>
      </c>
      <c r="H83" s="10" t="s">
        <v>12</v>
      </c>
      <c r="I83" s="11" t="s">
        <v>12</v>
      </c>
      <c r="J83" s="12"/>
    </row>
    <row r="84" spans="1:10" ht="60" customHeight="1">
      <c r="A84" s="6" t="s">
        <v>336</v>
      </c>
      <c r="B84" s="6" t="s">
        <v>22</v>
      </c>
      <c r="C84" s="6" t="s">
        <v>37</v>
      </c>
      <c r="D84" s="7" t="s">
        <v>207</v>
      </c>
      <c r="E84" s="8" t="s">
        <v>337</v>
      </c>
      <c r="F84" s="6" t="s">
        <v>338</v>
      </c>
      <c r="G84" s="9">
        <f>IF(A84=1,"_",IF(C84="_","???",C84))</f>
        <v/>
      </c>
      <c r="H84" s="10" t="s">
        <v>12</v>
      </c>
      <c r="I84" s="11" t="s">
        <v>12</v>
      </c>
      <c r="J84" s="12"/>
    </row>
    <row r="85" spans="1:10" ht="60" customHeight="1">
      <c r="A85" s="6" t="s">
        <v>339</v>
      </c>
      <c r="B85" s="6" t="s">
        <v>10</v>
      </c>
      <c r="C85" s="6" t="s">
        <v>12</v>
      </c>
      <c r="D85" s="7" t="s">
        <v>340</v>
      </c>
      <c r="E85" s="8" t="s">
        <v>341</v>
      </c>
      <c r="F85" s="6" t="s">
        <v>342</v>
      </c>
      <c r="G85" s="9">
        <f>IF(A85=1,"_",IF(C85="_","???",C85))</f>
        <v/>
      </c>
      <c r="H85" s="10" t="s">
        <v>12</v>
      </c>
      <c r="I85" s="11" t="s">
        <v>12</v>
      </c>
      <c r="J85"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715"/>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343</v>
      </c>
      <c r="B1" s="13" t="s">
        <v>344</v>
      </c>
      <c r="C1" s="13" t="s">
        <v>345</v>
      </c>
      <c r="D1" s="13" t="s">
        <v>346</v>
      </c>
      <c r="E1" s="14" t="s">
        <v>347</v>
      </c>
      <c r="F1" s="15" t="s">
        <v>348</v>
      </c>
      <c r="G1" s="16" t="s">
        <v>349</v>
      </c>
      <c r="H1" s="17" t="s">
        <v>350</v>
      </c>
      <c r="I1" s="18" t="s">
        <v>351</v>
      </c>
      <c r="J1" s="18" t="s">
        <v>352</v>
      </c>
      <c r="K1" s="18" t="s">
        <v>353</v>
      </c>
      <c r="L1" s="19" t="s">
        <v>9</v>
      </c>
    </row>
    <row r="2" spans="1:12">
      <c r="A2" s="20" t="s">
        <v>354</v>
      </c>
    </row>
    <row r="3" spans="1:12">
      <c r="A3" s="20" t="s">
        <v>355</v>
      </c>
      <c r="B3" s="21" t="s">
        <v>356</v>
      </c>
      <c r="C3" s="21" t="s">
        <v>357</v>
      </c>
      <c r="D3" s="21" t="s">
        <v>358</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359</v>
      </c>
      <c r="B4" s="21" t="s">
        <v>360</v>
      </c>
      <c r="C4" s="21" t="s">
        <v>361</v>
      </c>
      <c r="D4" s="21" t="s">
        <v>358</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362</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363</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364</v>
      </c>
      <c r="B7" s="21" t="s">
        <v>365</v>
      </c>
      <c r="C7" s="21" t="s">
        <v>366</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367</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368</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369</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370</v>
      </c>
      <c r="B11" s="21" t="s">
        <v>356</v>
      </c>
      <c r="C11" s="21" t="s">
        <v>371</v>
      </c>
      <c r="D11" s="21" t="s">
        <v>358</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367</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372</v>
      </c>
      <c r="B13" s="21" t="s">
        <v>373</v>
      </c>
      <c r="C13" s="21" t="s">
        <v>371</v>
      </c>
      <c r="D13" s="21" t="s">
        <v>358</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374</v>
      </c>
      <c r="B14" s="21" t="s">
        <v>356</v>
      </c>
      <c r="C14" s="21" t="s">
        <v>371</v>
      </c>
      <c r="D14" s="21" t="s">
        <v>358</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362</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375</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376</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377</v>
      </c>
      <c r="B18" s="21" t="s">
        <v>378</v>
      </c>
      <c r="C18" s="21" t="s">
        <v>379</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380</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381</v>
      </c>
      <c r="B20" s="21" t="s">
        <v>356</v>
      </c>
      <c r="C20" s="21" t="s">
        <v>382</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383</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384</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377</v>
      </c>
      <c r="B23" s="21" t="s">
        <v>360</v>
      </c>
      <c r="C23" s="21" t="s">
        <v>385</v>
      </c>
      <c r="D23" s="21" t="s">
        <v>358</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380</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386</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387</v>
      </c>
      <c r="B26" s="21" t="s">
        <v>388</v>
      </c>
      <c r="C26" s="21" t="s">
        <v>385</v>
      </c>
      <c r="D26" s="21" t="s">
        <v>358</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389</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row>
    <row r="29" spans="1:12">
      <c r="A29" s="20" t="s">
        <v>390</v>
      </c>
    </row>
    <row r="30" spans="1:12">
      <c r="A30" s="20" t="s">
        <v>391</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384</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392</v>
      </c>
      <c r="B32" s="21" t="s">
        <v>373</v>
      </c>
      <c r="C32" s="21" t="s">
        <v>385</v>
      </c>
      <c r="D32" s="21" t="s">
        <v>358</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393</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394</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395</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389</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row>
    <row r="38" spans="1:12">
      <c r="A38" s="20" t="s">
        <v>396</v>
      </c>
    </row>
    <row r="39" spans="1:12">
      <c r="A39" s="20" t="s">
        <v>397</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398</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399</v>
      </c>
      <c r="B41" s="21" t="s">
        <v>373</v>
      </c>
      <c r="C41" s="21" t="s">
        <v>385</v>
      </c>
      <c r="D41" s="21" t="s">
        <v>358</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380</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400</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401</v>
      </c>
      <c r="B44" s="21" t="s">
        <v>356</v>
      </c>
      <c r="C44" s="21" t="s">
        <v>402</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403</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404</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405</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406</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407</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408</v>
      </c>
      <c r="B50" s="21" t="s">
        <v>409</v>
      </c>
      <c r="C50" s="21" t="s">
        <v>385</v>
      </c>
      <c r="D50" s="21" t="s">
        <v>358</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410</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411</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412</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88</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413</v>
      </c>
      <c r="B55" s="21" t="s">
        <v>360</v>
      </c>
      <c r="C55" s="21" t="s">
        <v>402</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367</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414</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415</v>
      </c>
      <c r="B58" s="21" t="s">
        <v>388</v>
      </c>
      <c r="C58" s="21" t="s">
        <v>379</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380</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416</v>
      </c>
      <c r="B60" s="21" t="s">
        <v>417</v>
      </c>
      <c r="C60" s="21" t="s">
        <v>382</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418</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367</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414</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415</v>
      </c>
      <c r="B64" s="21" t="s">
        <v>388</v>
      </c>
      <c r="C64" s="21" t="s">
        <v>379</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380</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419</v>
      </c>
      <c r="B66" s="21" t="s">
        <v>417</v>
      </c>
      <c r="C66" s="21" t="s">
        <v>382</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367</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211</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414</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387</v>
      </c>
      <c r="B70" s="21" t="s">
        <v>356</v>
      </c>
      <c r="C70" s="21" t="s">
        <v>379</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389</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row>
    <row r="73" spans="1:12">
      <c r="A73" s="20" t="s">
        <v>420</v>
      </c>
    </row>
    <row r="74" spans="1:12">
      <c r="A74" s="20" t="s">
        <v>421</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387</v>
      </c>
      <c r="B75" s="21" t="s">
        <v>373</v>
      </c>
      <c r="C75" s="21" t="s">
        <v>385</v>
      </c>
      <c r="D75" s="21" t="s">
        <v>358</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422</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67</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423</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369</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386</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424</v>
      </c>
      <c r="B81" s="21" t="s">
        <v>356</v>
      </c>
      <c r="C81" s="21" t="s">
        <v>385</v>
      </c>
      <c r="D81" s="21" t="s">
        <v>358</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389</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row>
    <row r="84" spans="1:12">
      <c r="A84" s="20" t="s">
        <v>425</v>
      </c>
    </row>
    <row r="85" spans="1:12">
      <c r="A85" s="20" t="s">
        <v>426</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427</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428</v>
      </c>
      <c r="B87" s="21" t="s">
        <v>429</v>
      </c>
      <c r="C87" s="21" t="s">
        <v>430</v>
      </c>
      <c r="D87" s="21" t="s">
        <v>358</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431</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432</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395</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367</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433</v>
      </c>
      <c r="B92" s="21" t="s">
        <v>373</v>
      </c>
      <c r="C92" s="21" t="s">
        <v>430</v>
      </c>
      <c r="D92" s="21" t="s">
        <v>358</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393</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434</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435</v>
      </c>
      <c r="B95" s="21" t="s">
        <v>356</v>
      </c>
      <c r="C95" s="21" t="s">
        <v>382</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394</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436</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367</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437</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427</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438</v>
      </c>
      <c r="B101" s="21" t="s">
        <v>429</v>
      </c>
      <c r="C101" s="21" t="s">
        <v>430</v>
      </c>
      <c r="D101" s="21" t="s">
        <v>358</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439</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398</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440</v>
      </c>
      <c r="B104" s="21" t="s">
        <v>409</v>
      </c>
      <c r="C104" s="21" t="s">
        <v>385</v>
      </c>
      <c r="D104" s="21" t="s">
        <v>358</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369</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441</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442</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389</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row>
    <row r="110" spans="1:12">
      <c r="A110" s="20" t="s">
        <v>443</v>
      </c>
    </row>
    <row r="111" spans="1:12">
      <c r="A111" s="20" t="s">
        <v>444</v>
      </c>
      <c r="B111" s="21" t="s">
        <v>373</v>
      </c>
      <c r="C111" s="21" t="s">
        <v>357</v>
      </c>
      <c r="D111" s="21" t="s">
        <v>358</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445</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446</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427</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433</v>
      </c>
      <c r="B115" s="21" t="s">
        <v>429</v>
      </c>
      <c r="C115" s="21" t="s">
        <v>430</v>
      </c>
      <c r="D115" s="21" t="s">
        <v>358</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447</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376</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392</v>
      </c>
      <c r="B118" s="21" t="s">
        <v>365</v>
      </c>
      <c r="C118" s="21" t="s">
        <v>379</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448</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367</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449</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450</v>
      </c>
      <c r="B122" s="21" t="s">
        <v>451</v>
      </c>
      <c r="C122" s="21" t="s">
        <v>357</v>
      </c>
      <c r="D122" s="21" t="s">
        <v>358</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384</v>
      </c>
      <c r="B123" s="21" t="s">
        <v>452</v>
      </c>
      <c r="C123" s="21" t="s">
        <v>357</v>
      </c>
      <c r="D123" s="21" t="s">
        <v>358</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445</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453</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454</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414</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455</v>
      </c>
      <c r="B128" s="21" t="s">
        <v>360</v>
      </c>
      <c r="C128" s="21" t="s">
        <v>379</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380</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381</v>
      </c>
      <c r="B130" s="21" t="s">
        <v>388</v>
      </c>
      <c r="C130" s="21" t="s">
        <v>382</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389</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row>
    <row r="133" spans="1:12">
      <c r="A133" s="20" t="s">
        <v>456</v>
      </c>
    </row>
    <row r="134" spans="1:12">
      <c r="A134" s="20" t="s">
        <v>391</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438</v>
      </c>
      <c r="B135" s="21" t="s">
        <v>373</v>
      </c>
      <c r="C135" s="21" t="s">
        <v>430</v>
      </c>
      <c r="D135" s="21" t="s">
        <v>358</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362</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457</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414</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458</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459</v>
      </c>
      <c r="B140" s="21" t="s">
        <v>365</v>
      </c>
      <c r="C140" s="21" t="s">
        <v>379</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389</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row>
    <row r="143" spans="1:12">
      <c r="A143" s="20" t="s">
        <v>460</v>
      </c>
    </row>
    <row r="144" spans="1:12">
      <c r="A144" s="20" t="s">
        <v>461</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367</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462</v>
      </c>
      <c r="B146" s="21" t="s">
        <v>373</v>
      </c>
      <c r="C146" s="21" t="s">
        <v>357</v>
      </c>
      <c r="D146" s="21" t="s">
        <v>358</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445</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463</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464</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282</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465</v>
      </c>
      <c r="B151" s="21" t="s">
        <v>378</v>
      </c>
      <c r="C151" s="21" t="s">
        <v>402</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380</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381</v>
      </c>
      <c r="B153" s="21" t="s">
        <v>356</v>
      </c>
      <c r="C153" s="21" t="s">
        <v>382</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454</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386</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466</v>
      </c>
      <c r="B156" s="21" t="s">
        <v>365</v>
      </c>
      <c r="C156" s="21" t="s">
        <v>385</v>
      </c>
      <c r="D156" s="21" t="s">
        <v>358</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467</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367</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412</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380</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398</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468</v>
      </c>
      <c r="B162" s="21" t="s">
        <v>365</v>
      </c>
      <c r="C162" s="21" t="s">
        <v>385</v>
      </c>
      <c r="D162" s="21" t="s">
        <v>358</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367</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380</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398</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469</v>
      </c>
      <c r="B166" s="21" t="s">
        <v>356</v>
      </c>
      <c r="C166" s="21" t="s">
        <v>385</v>
      </c>
      <c r="D166" s="21" t="s">
        <v>358</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211</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380</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398</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470</v>
      </c>
      <c r="B170" s="21" t="s">
        <v>356</v>
      </c>
      <c r="C170" s="21" t="s">
        <v>385</v>
      </c>
      <c r="D170" s="21" t="s">
        <v>358</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367</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211</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471</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398</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472</v>
      </c>
      <c r="B175" s="21" t="s">
        <v>356</v>
      </c>
      <c r="C175" s="21" t="s">
        <v>385</v>
      </c>
      <c r="D175" s="21" t="s">
        <v>358</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473</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474</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475</v>
      </c>
      <c r="B178" s="21" t="s">
        <v>360</v>
      </c>
      <c r="C178" s="21" t="s">
        <v>476</v>
      </c>
      <c r="D178" s="21" t="s">
        <v>358</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380</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386</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477</v>
      </c>
      <c r="B181" s="21" t="s">
        <v>388</v>
      </c>
      <c r="C181" s="21" t="s">
        <v>371</v>
      </c>
      <c r="D181" s="21" t="s">
        <v>358</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210</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367</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211</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478</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359</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362</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479</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480</v>
      </c>
      <c r="B189" s="21" t="s">
        <v>409</v>
      </c>
      <c r="C189" s="21" t="s">
        <v>366</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454</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481</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482</v>
      </c>
      <c r="B192" s="21" t="s">
        <v>356</v>
      </c>
      <c r="C192" s="21" t="s">
        <v>483</v>
      </c>
      <c r="D192" s="21" t="s">
        <v>358</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484</v>
      </c>
      <c r="B193" s="21" t="s">
        <v>485</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486</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380</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487</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488</v>
      </c>
      <c r="B197" s="21" t="s">
        <v>489</v>
      </c>
      <c r="C197" s="21" t="s">
        <v>379</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490</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405</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491</v>
      </c>
      <c r="B200" s="21" t="s">
        <v>417</v>
      </c>
      <c r="C200" s="21" t="s">
        <v>385</v>
      </c>
      <c r="D200" s="21" t="s">
        <v>358</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380</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405</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492</v>
      </c>
      <c r="B203" s="21" t="s">
        <v>493</v>
      </c>
      <c r="C203" s="21" t="s">
        <v>385</v>
      </c>
      <c r="D203" s="21" t="s">
        <v>358</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367</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211</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462</v>
      </c>
      <c r="B206" s="21" t="s">
        <v>429</v>
      </c>
      <c r="C206" s="21" t="s">
        <v>357</v>
      </c>
      <c r="D206" s="21" t="s">
        <v>358</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494</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434</v>
      </c>
      <c r="B208" s="21" t="s">
        <v>452</v>
      </c>
      <c r="C208" s="21" t="s">
        <v>361</v>
      </c>
      <c r="D208" s="21" t="s">
        <v>358</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495</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496</v>
      </c>
      <c r="B210" s="21" t="s">
        <v>452</v>
      </c>
      <c r="C210" s="21" t="s">
        <v>361</v>
      </c>
      <c r="D210" s="21" t="s">
        <v>358</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412</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497</v>
      </c>
      <c r="B212" s="21" t="s">
        <v>360</v>
      </c>
      <c r="C212" s="21" t="s">
        <v>357</v>
      </c>
      <c r="D212" s="21" t="s">
        <v>358</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389</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row>
    <row r="215" spans="1:12">
      <c r="A215" s="20" t="s">
        <v>498</v>
      </c>
    </row>
    <row r="216" spans="1:12">
      <c r="A216" s="20" t="s">
        <v>499</v>
      </c>
      <c r="B216" s="21" t="s">
        <v>373</v>
      </c>
      <c r="C216" s="21" t="s">
        <v>371</v>
      </c>
      <c r="D216" s="21" t="s">
        <v>358</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367</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500</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405</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501</v>
      </c>
      <c r="B220" s="21" t="s">
        <v>360</v>
      </c>
      <c r="C220" s="21" t="s">
        <v>382</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380</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398</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440</v>
      </c>
      <c r="B223" s="21" t="s">
        <v>360</v>
      </c>
      <c r="C223" s="21" t="s">
        <v>385</v>
      </c>
      <c r="D223" s="21" t="s">
        <v>358</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502</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503</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504</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505</v>
      </c>
      <c r="B227" s="21" t="s">
        <v>360</v>
      </c>
      <c r="C227" s="21" t="s">
        <v>506</v>
      </c>
      <c r="D227" s="21" t="s">
        <v>358</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507</v>
      </c>
      <c r="B228" s="21" t="s">
        <v>409</v>
      </c>
      <c r="C228" s="21" t="s">
        <v>476</v>
      </c>
      <c r="D228" s="21" t="s">
        <v>358</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503</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508</v>
      </c>
      <c r="B230" s="21" t="s">
        <v>356</v>
      </c>
      <c r="C230" s="21" t="s">
        <v>382</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369</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405</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509</v>
      </c>
      <c r="B233" s="21" t="s">
        <v>360</v>
      </c>
      <c r="C233" s="21" t="s">
        <v>385</v>
      </c>
      <c r="D233" s="21" t="s">
        <v>358</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389</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row>
    <row r="236" spans="1:12">
      <c r="A236" s="20" t="s">
        <v>510</v>
      </c>
    </row>
    <row r="237" spans="1:12">
      <c r="A237" s="20" t="s">
        <v>511</v>
      </c>
      <c r="B237" s="21" t="s">
        <v>373</v>
      </c>
      <c r="C237" s="21" t="s">
        <v>357</v>
      </c>
      <c r="D237" s="21" t="s">
        <v>358</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434</v>
      </c>
      <c r="B238" s="21" t="s">
        <v>378</v>
      </c>
      <c r="C238" s="21" t="s">
        <v>361</v>
      </c>
      <c r="D238" s="21" t="s">
        <v>358</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512</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367</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513</v>
      </c>
      <c r="B241" s="21" t="s">
        <v>429</v>
      </c>
      <c r="C241" s="21" t="s">
        <v>357</v>
      </c>
      <c r="D241" s="21" t="s">
        <v>358</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514</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369</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515</v>
      </c>
      <c r="B244" s="21" t="s">
        <v>356</v>
      </c>
      <c r="C244" s="21" t="s">
        <v>361</v>
      </c>
      <c r="D244" s="21" t="s">
        <v>358</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438</v>
      </c>
      <c r="B245" s="21" t="s">
        <v>451</v>
      </c>
      <c r="C245" s="21" t="s">
        <v>430</v>
      </c>
      <c r="D245" s="21" t="s">
        <v>358</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516</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517</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367</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513</v>
      </c>
      <c r="B249" s="21" t="s">
        <v>429</v>
      </c>
      <c r="C249" s="21" t="s">
        <v>357</v>
      </c>
      <c r="D249" s="21" t="s">
        <v>358</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518</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519</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386</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207</v>
      </c>
      <c r="B253" s="21" t="s">
        <v>356</v>
      </c>
      <c r="C253" s="21" t="s">
        <v>385</v>
      </c>
      <c r="D253" s="21" t="s">
        <v>358</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367</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211</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520</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513</v>
      </c>
      <c r="B257" s="21" t="s">
        <v>485</v>
      </c>
      <c r="C257" s="21" t="s">
        <v>357</v>
      </c>
      <c r="D257" s="21" t="s">
        <v>358</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521</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414</v>
      </c>
      <c r="B259" s="21" t="s">
        <v>489</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522</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380</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523</v>
      </c>
      <c r="B262" s="21" t="s">
        <v>417</v>
      </c>
      <c r="C262" s="21" t="s">
        <v>382</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369</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524</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367</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369</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525</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389</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row>
    <row r="270" spans="1:12">
      <c r="A270" s="20" t="s">
        <v>526</v>
      </c>
    </row>
    <row r="271" spans="1:12">
      <c r="A271" s="20" t="s">
        <v>511</v>
      </c>
      <c r="B271" s="21" t="s">
        <v>373</v>
      </c>
      <c r="C271" s="21" t="s">
        <v>357</v>
      </c>
      <c r="D271" s="21" t="s">
        <v>358</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527</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380</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398</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528</v>
      </c>
      <c r="B275" s="21" t="s">
        <v>365</v>
      </c>
      <c r="C275" s="21" t="s">
        <v>385</v>
      </c>
      <c r="D275" s="21" t="s">
        <v>358</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367</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211</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529</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398</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413</v>
      </c>
      <c r="B280" s="21" t="s">
        <v>409</v>
      </c>
      <c r="C280" s="21" t="s">
        <v>385</v>
      </c>
      <c r="D280" s="21" t="s">
        <v>358</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389</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row>
    <row r="283" spans="1:12">
      <c r="A283" s="20" t="s">
        <v>530</v>
      </c>
    </row>
    <row r="284" spans="1:12">
      <c r="A284" s="20" t="s">
        <v>511</v>
      </c>
      <c r="B284" s="21" t="s">
        <v>373</v>
      </c>
      <c r="C284" s="21" t="s">
        <v>357</v>
      </c>
      <c r="D284" s="21" t="s">
        <v>358</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521</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405</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531</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532</v>
      </c>
      <c r="B288" s="21" t="s">
        <v>378</v>
      </c>
      <c r="C288" s="21" t="s">
        <v>476</v>
      </c>
      <c r="D288" s="21" t="s">
        <v>358</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380</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533</v>
      </c>
      <c r="B290" s="21" t="s">
        <v>360</v>
      </c>
      <c r="C290" s="21" t="s">
        <v>506</v>
      </c>
      <c r="D290" s="21" t="s">
        <v>358</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523</v>
      </c>
      <c r="B291" s="21" t="s">
        <v>356</v>
      </c>
      <c r="C291" s="21" t="s">
        <v>476</v>
      </c>
      <c r="D291" s="21" t="s">
        <v>358</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369</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534</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398</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535</v>
      </c>
      <c r="B295" s="21" t="s">
        <v>409</v>
      </c>
      <c r="C295" s="21" t="s">
        <v>385</v>
      </c>
      <c r="D295" s="21" t="s">
        <v>358</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434</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536</v>
      </c>
      <c r="B297" s="21" t="s">
        <v>360</v>
      </c>
      <c r="C297" s="21" t="s">
        <v>382</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380</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406</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434</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406</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t="s">
        <v>537</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367</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211</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520</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367</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369</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405</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538</v>
      </c>
      <c r="B309" s="21" t="s">
        <v>360</v>
      </c>
      <c r="C309" s="21" t="s">
        <v>385</v>
      </c>
      <c r="D309" s="21" t="s">
        <v>358</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367</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539</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540</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386</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541</v>
      </c>
      <c r="B314" s="21" t="s">
        <v>451</v>
      </c>
      <c r="C314" s="21" t="s">
        <v>385</v>
      </c>
      <c r="D314" s="21" t="s">
        <v>358</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542</v>
      </c>
      <c r="B315" s="21" t="s">
        <v>452</v>
      </c>
      <c r="C315" s="21" t="s">
        <v>357</v>
      </c>
      <c r="D315" s="21" t="s">
        <v>358</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543</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367</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544</v>
      </c>
      <c r="B318" s="21" t="s">
        <v>485</v>
      </c>
      <c r="C318" s="21" t="s">
        <v>361</v>
      </c>
      <c r="D318" s="21" t="s">
        <v>358</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545</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386</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387</v>
      </c>
      <c r="B321" s="21" t="s">
        <v>489</v>
      </c>
      <c r="C321" s="21" t="s">
        <v>385</v>
      </c>
      <c r="D321" s="21" t="s">
        <v>358</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367</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211</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386</v>
      </c>
      <c r="B324" s="21" t="s">
        <v>409</v>
      </c>
      <c r="C324" s="21" t="s">
        <v>357</v>
      </c>
      <c r="D324" s="21" t="s">
        <v>358</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546</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547</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369</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386</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424</v>
      </c>
      <c r="B329" s="21" t="s">
        <v>356</v>
      </c>
      <c r="C329" s="21" t="s">
        <v>385</v>
      </c>
      <c r="D329" s="21" t="s">
        <v>358</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367</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520</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513</v>
      </c>
      <c r="B332" s="21" t="s">
        <v>485</v>
      </c>
      <c r="C332" s="21" t="s">
        <v>357</v>
      </c>
      <c r="D332" s="21" t="s">
        <v>358</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548</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367</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211</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549</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550</v>
      </c>
      <c r="B337" s="21" t="s">
        <v>388</v>
      </c>
      <c r="C337" s="21" t="s">
        <v>371</v>
      </c>
      <c r="D337" s="21" t="s">
        <v>358</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551</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row>
    <row r="340" spans="1:12">
      <c r="A340" s="20" t="s">
        <v>552</v>
      </c>
    </row>
    <row r="341" spans="1:12">
      <c r="A341" s="20" t="s">
        <v>511</v>
      </c>
      <c r="B341" s="21" t="s">
        <v>373</v>
      </c>
      <c r="C341" s="21" t="s">
        <v>357</v>
      </c>
      <c r="D341" s="21" t="s">
        <v>358</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553</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533</v>
      </c>
      <c r="B343" s="21" t="s">
        <v>356</v>
      </c>
      <c r="C343" s="21" t="s">
        <v>506</v>
      </c>
      <c r="D343" s="21" t="s">
        <v>358</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554</v>
      </c>
      <c r="B344" s="21" t="s">
        <v>378</v>
      </c>
      <c r="C344" s="21" t="s">
        <v>476</v>
      </c>
      <c r="D344" s="21" t="s">
        <v>358</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389</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row>
    <row r="347" spans="1:12">
      <c r="A347" s="20" t="s">
        <v>555</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556</v>
      </c>
    </row>
    <row r="349" spans="1:12">
      <c r="A349" s="20" t="s">
        <v>557</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434</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435</v>
      </c>
      <c r="B351" s="21" t="s">
        <v>356</v>
      </c>
      <c r="C351" s="21" t="s">
        <v>382</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367</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558</v>
      </c>
      <c r="B353" s="21" t="s">
        <v>365</v>
      </c>
      <c r="C353" s="21" t="s">
        <v>430</v>
      </c>
      <c r="D353" s="21" t="s">
        <v>358</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484</v>
      </c>
      <c r="B354" s="21" t="s">
        <v>451</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559</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367</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405</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501</v>
      </c>
      <c r="B358" s="21" t="s">
        <v>360</v>
      </c>
      <c r="C358" s="21" t="s">
        <v>382</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380</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386</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523</v>
      </c>
      <c r="B361" s="21" t="s">
        <v>360</v>
      </c>
      <c r="C361" s="21" t="s">
        <v>385</v>
      </c>
      <c r="D361" s="21" t="s">
        <v>358</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367</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433</v>
      </c>
      <c r="B363" s="21" t="s">
        <v>373</v>
      </c>
      <c r="C363" s="21" t="s">
        <v>430</v>
      </c>
      <c r="D363" s="21" t="s">
        <v>358</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393</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427</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386</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560</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561</v>
      </c>
      <c r="B368" s="21" t="s">
        <v>429</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560</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542</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562</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434</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560</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563</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564</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560</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437</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427</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386</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565</v>
      </c>
      <c r="B380" s="21" t="s">
        <v>485</v>
      </c>
      <c r="C380" s="21" t="s">
        <v>385</v>
      </c>
      <c r="D380" s="21" t="s">
        <v>358</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380</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386</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387</v>
      </c>
      <c r="B383" s="21" t="s">
        <v>417</v>
      </c>
      <c r="C383" s="21" t="s">
        <v>385</v>
      </c>
      <c r="D383" s="21" t="s">
        <v>358</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435</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427</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566</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405</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408</v>
      </c>
      <c r="B388" s="21" t="s">
        <v>567</v>
      </c>
      <c r="C388" s="21" t="s">
        <v>385</v>
      </c>
      <c r="D388" s="21" t="s">
        <v>358</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542</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568</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211</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569</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570</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389</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row>
    <row r="396" spans="1:12">
      <c r="A396" s="20" t="s">
        <v>555</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571</v>
      </c>
    </row>
    <row r="398" spans="1:12">
      <c r="A398" s="20" t="s">
        <v>355</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359</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362</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414</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572</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573</v>
      </c>
      <c r="B403" s="21" t="s">
        <v>378</v>
      </c>
      <c r="C403" s="21" t="s">
        <v>379</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380</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574</v>
      </c>
      <c r="B405" s="21" t="s">
        <v>356</v>
      </c>
      <c r="C405" s="21" t="s">
        <v>382</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484</v>
      </c>
      <c r="B406" s="21" t="s">
        <v>485</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575</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576</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406</v>
      </c>
      <c r="B409" s="21" t="s">
        <v>489</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380</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560</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563</v>
      </c>
      <c r="B412" s="21" t="s">
        <v>417</v>
      </c>
      <c r="C412" s="21" t="s">
        <v>382</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12</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563</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560</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427</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398</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577</v>
      </c>
      <c r="B418" s="21" t="s">
        <v>417</v>
      </c>
      <c r="C418" s="21" t="s">
        <v>385</v>
      </c>
      <c r="D418" s="21" t="s">
        <v>358</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367</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211</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367</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578</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398</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579</v>
      </c>
      <c r="B424" s="21" t="s">
        <v>580</v>
      </c>
      <c r="C424" s="21" t="s">
        <v>385</v>
      </c>
      <c r="D424" s="21" t="s">
        <v>358</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367</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398</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581</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582</v>
      </c>
      <c r="B428" s="21" t="s">
        <v>493</v>
      </c>
      <c r="C428" s="21" t="s">
        <v>385</v>
      </c>
      <c r="D428" s="21" t="s">
        <v>358</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380</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398</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583</v>
      </c>
      <c r="B431" s="21" t="s">
        <v>580</v>
      </c>
      <c r="C431" s="21" t="s">
        <v>385</v>
      </c>
      <c r="D431" s="21" t="s">
        <v>358</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380</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584</v>
      </c>
      <c r="B433" s="21" t="s">
        <v>585</v>
      </c>
      <c r="C433" s="21" t="s">
        <v>382</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389</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row>
    <row r="436" spans="1:12">
      <c r="A436" s="20" t="s">
        <v>586</v>
      </c>
    </row>
    <row r="437" spans="1:12">
      <c r="A437" s="20" t="s">
        <v>587</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74</v>
      </c>
      <c r="B438" s="21" t="s">
        <v>365</v>
      </c>
      <c r="C438" s="21" t="s">
        <v>371</v>
      </c>
      <c r="D438" s="21" t="s">
        <v>358</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588</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row>
    <row r="441" spans="1:12">
      <c r="A441" s="20" t="s">
        <v>589</v>
      </c>
    </row>
    <row r="442" spans="1:12">
      <c r="A442" s="20" t="s">
        <v>511</v>
      </c>
      <c r="B442" s="21" t="s">
        <v>429</v>
      </c>
      <c r="C442" s="21" t="s">
        <v>357</v>
      </c>
      <c r="D442" s="21" t="s">
        <v>358</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590</v>
      </c>
      <c r="B443" s="21" t="s">
        <v>373</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367</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513</v>
      </c>
      <c r="B445" s="21" t="s">
        <v>451</v>
      </c>
      <c r="C445" s="21" t="s">
        <v>357</v>
      </c>
      <c r="D445" s="21" t="s">
        <v>358</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591</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367</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513</v>
      </c>
      <c r="B448" s="21" t="s">
        <v>451</v>
      </c>
      <c r="C448" s="21" t="s">
        <v>357</v>
      </c>
      <c r="D448" s="21" t="s">
        <v>358</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592</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593</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367</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211</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398</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536</v>
      </c>
      <c r="B454" s="21" t="s">
        <v>356</v>
      </c>
      <c r="C454" s="21" t="s">
        <v>385</v>
      </c>
      <c r="D454" s="21" t="s">
        <v>358</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594</v>
      </c>
      <c r="B455" s="21" t="s">
        <v>489</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513</v>
      </c>
      <c r="B456" s="21" t="s">
        <v>485</v>
      </c>
      <c r="C456" s="21" t="s">
        <v>357</v>
      </c>
      <c r="D456" s="21" t="s">
        <v>358</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595</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592</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432</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596</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389</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row>
    <row r="463" spans="1:12">
      <c r="A463" s="20" t="s">
        <v>555</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597</v>
      </c>
    </row>
    <row r="465" spans="1:12">
      <c r="A465" s="20" t="s">
        <v>391</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576</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598</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367</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478</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359</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362</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380</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398</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399</v>
      </c>
      <c r="B474" s="21" t="s">
        <v>365</v>
      </c>
      <c r="C474" s="21" t="s">
        <v>385</v>
      </c>
      <c r="D474" s="21" t="s">
        <v>358</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484</v>
      </c>
      <c r="B475" s="21" t="s">
        <v>451</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595</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576</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406</v>
      </c>
      <c r="B478" s="21" t="s">
        <v>452</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380</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536</v>
      </c>
      <c r="B480" s="21" t="s">
        <v>388</v>
      </c>
      <c r="C480" s="21" t="s">
        <v>382</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560</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561</v>
      </c>
      <c r="B482" s="21" t="s">
        <v>417</v>
      </c>
      <c r="C482" s="21" t="s">
        <v>382</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560</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367</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211</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367</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578</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398</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599</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367</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398</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581</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582</v>
      </c>
      <c r="B493" s="21" t="s">
        <v>356</v>
      </c>
      <c r="C493" s="21" t="s">
        <v>385</v>
      </c>
      <c r="D493" s="21" t="s">
        <v>358</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474</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583</v>
      </c>
      <c r="B495" s="21" t="s">
        <v>360</v>
      </c>
      <c r="C495" s="21" t="s">
        <v>382</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600</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389</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row>
    <row r="499" spans="1:12">
      <c r="A499" s="20" t="s">
        <v>601</v>
      </c>
    </row>
    <row r="500" spans="1:12">
      <c r="A500" s="20" t="s">
        <v>391</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433</v>
      </c>
      <c r="B501" s="21" t="s">
        <v>373</v>
      </c>
      <c r="C501" s="21" t="s">
        <v>430</v>
      </c>
      <c r="D501" s="21" t="s">
        <v>358</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393</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432</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602</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389</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row>
    <row r="507" spans="1:12">
      <c r="A507" s="20" t="s">
        <v>603</v>
      </c>
    </row>
    <row r="508" spans="1:12">
      <c r="A508" s="20" t="s">
        <v>604</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t="s">
        <v>386</v>
      </c>
      <c r="B509" s="21" t="s">
        <v>409</v>
      </c>
      <c r="C509" s="21" t="s">
        <v>357</v>
      </c>
      <c r="D509" s="21" t="s">
        <v>358</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605</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372</v>
      </c>
      <c r="B511" s="21" t="s">
        <v>429</v>
      </c>
      <c r="C511" s="21" t="s">
        <v>371</v>
      </c>
      <c r="D511" s="21" t="s">
        <v>358</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367</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606</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607</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513</v>
      </c>
      <c r="B515" s="21" t="s">
        <v>373</v>
      </c>
      <c r="C515" s="21" t="s">
        <v>357</v>
      </c>
      <c r="D515" s="21" t="s">
        <v>358</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595</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398</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536</v>
      </c>
      <c r="B518" s="21" t="s">
        <v>378</v>
      </c>
      <c r="C518" s="21" t="s">
        <v>385</v>
      </c>
      <c r="D518" s="21" t="s">
        <v>358</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398</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406</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608</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367</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609</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558</v>
      </c>
      <c r="B524" s="21" t="s">
        <v>429</v>
      </c>
      <c r="C524" s="21" t="s">
        <v>430</v>
      </c>
      <c r="D524" s="21" t="s">
        <v>358</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592</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610</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398</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536</v>
      </c>
      <c r="B528" s="21" t="s">
        <v>365</v>
      </c>
      <c r="C528" s="21" t="s">
        <v>385</v>
      </c>
      <c r="D528" s="21" t="s">
        <v>358</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398</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406</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611</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389</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row>
    <row r="534" spans="1:12">
      <c r="A534" s="20" t="s">
        <v>612</v>
      </c>
    </row>
    <row r="535" spans="1:12">
      <c r="A535" s="20" t="s">
        <v>613</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367</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405</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614</v>
      </c>
      <c r="B538" s="21" t="s">
        <v>365</v>
      </c>
      <c r="C538" s="21" t="s">
        <v>385</v>
      </c>
      <c r="D538" s="21" t="s">
        <v>358</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594</v>
      </c>
      <c r="B539" s="21" t="s">
        <v>452</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615</v>
      </c>
      <c r="B540" s="21" t="s">
        <v>451</v>
      </c>
      <c r="C540" s="21" t="s">
        <v>361</v>
      </c>
      <c r="D540" s="21" t="s">
        <v>358</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542</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546</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367</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433</v>
      </c>
      <c r="B544" s="21" t="s">
        <v>373</v>
      </c>
      <c r="C544" s="21" t="s">
        <v>430</v>
      </c>
      <c r="D544" s="21" t="s">
        <v>358</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393</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616</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617</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438</v>
      </c>
      <c r="B548" s="21" t="s">
        <v>429</v>
      </c>
      <c r="C548" s="21" t="s">
        <v>430</v>
      </c>
      <c r="D548" s="21" t="s">
        <v>358</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542</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435</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618</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row>
    <row r="553" spans="1:12">
      <c r="A553" s="20" t="s">
        <v>619</v>
      </c>
    </row>
    <row r="554" spans="1:12">
      <c r="A554" s="20" t="s">
        <v>620</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618</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row>
    <row r="557" spans="1:12">
      <c r="A557" s="20" t="s">
        <v>621</v>
      </c>
    </row>
    <row r="558" spans="1:12">
      <c r="A558" s="20" t="s">
        <v>622</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575</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623</v>
      </c>
      <c r="B560" s="21" t="s">
        <v>373</v>
      </c>
      <c r="C560" s="21" t="s">
        <v>357</v>
      </c>
      <c r="D560" s="21" t="s">
        <v>358</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380</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624</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618</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row>
    <row r="565" spans="1:12">
      <c r="A565" s="20" t="s">
        <v>555</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625</v>
      </c>
    </row>
    <row r="567" spans="1:12">
      <c r="A567" s="20" t="s">
        <v>372</v>
      </c>
      <c r="B567" s="21" t="s">
        <v>373</v>
      </c>
      <c r="C567" s="21" t="s">
        <v>371</v>
      </c>
      <c r="D567" s="21" t="s">
        <v>358</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626</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258</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627</v>
      </c>
      <c r="B570" s="21" t="s">
        <v>409</v>
      </c>
      <c r="C570" s="21" t="s">
        <v>361</v>
      </c>
      <c r="D570" s="21" t="s">
        <v>358</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616</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560</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628</v>
      </c>
      <c r="B573" s="21" t="s">
        <v>485</v>
      </c>
      <c r="C573" s="21" t="s">
        <v>361</v>
      </c>
      <c r="D573" s="21" t="s">
        <v>358</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380</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398</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629</v>
      </c>
      <c r="B576" s="21" t="s">
        <v>417</v>
      </c>
      <c r="C576" s="21" t="s">
        <v>385</v>
      </c>
      <c r="D576" s="21" t="s">
        <v>358</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630</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362</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631</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376</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632</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633</v>
      </c>
      <c r="B582" s="21" t="s">
        <v>489</v>
      </c>
      <c r="C582" s="21" t="s">
        <v>379</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369</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231</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t="s">
        <v>380</v>
      </c>
      <c r="E585" s="22">
        <f>IF(D585="?OLD","!!!","")</f>
        <v/>
      </c>
      <c r="F585" s="23" t="str">
        <f>IF(OR(E585="",E585="!!!"),"",IF(NOT(ISNA(VLOOKUP(E585,E$1:E584,1,FALSE()))),"OLD",IF(AND(E585&lt;&gt;"",E585&lt;&gt;"!!!"),"NEW","")))</f>
        <v> </v>
      </c>
      <c r="G585" s="24" t="str">
        <f>IF(OR(E585="",E585="!!!"),"",IF(OR(J585=0,AND(J585=1,K585=1),AND(J585=1,I585="SBJ"),AND(J585=1,I585=0)),"?IN_FOCUS",IF(J585&lt;=2,"?ACTIVATED",IF(J585&lt;&gt;"","?FAMILIAR",IF(F585="NEW",IF(ISNA(VLOOKUP(E585,#REF!,1,FALSE())),"?TYPE_IDENTIFIABLE","?REFERENTIAL"),"_")))))</f>
        <v> </v>
      </c>
      <c r="H585" s="25" t="str">
        <f>IF(J585&lt;&gt;1,"",IF(I585="SBJ","CB","?"))</f>
        <v> </v>
      </c>
      <c r="I585" s="26" t="str">
        <f>IF(OR(E585="",E585="!!!",F585="NEW"),"",INDEX(B584:B$2,-1+SUMPRODUCT(MAX(ROW(E584:E$2)*(E585=E584:E$2)))))</f>
        <v> </v>
      </c>
      <c r="J585" s="26" t="str">
        <f>IF(OR(E585="",E585="!!!",F585="NEW"),"",COUNTBLANK(OFFSET(A$1,,,SUMPRODUCT(MAX(ROW(E$2:E585)*(E585=E$2:E585)))))-COUNTBLANK(OFFSET(A$1,,,SUMPRODUCT(MAX(ROW(E$1:E584)*(E2=E$1:E584))))))</f>
        <v> </v>
      </c>
      <c r="K585" s="26" t="str">
        <f>IF(OR(E585="",E585="!!!",F585="NEW"),"",INDEX(J$1:J584,SUMPRODUCT(MAX(ROW(E$1:E584)*(E585=E$1:E584)))))</f>
        <v> </v>
      </c>
      <c r="L585" s="27"/>
    </row>
    <row r="586" spans="1:12">
      <c r="A586" s="20" t="s">
        <v>634</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635</v>
      </c>
      <c r="B587" s="21" t="s">
        <v>493</v>
      </c>
      <c r="C587" s="21" t="s">
        <v>476</v>
      </c>
      <c r="D587" s="21" t="s">
        <v>358</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636</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380</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405</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637</v>
      </c>
      <c r="B591" s="21" t="s">
        <v>580</v>
      </c>
      <c r="C591" s="21" t="s">
        <v>371</v>
      </c>
      <c r="D591" s="21" t="s">
        <v>358</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638</v>
      </c>
      <c r="B592" s="21" t="s">
        <v>585</v>
      </c>
      <c r="C592" s="21" t="s">
        <v>371</v>
      </c>
      <c r="D592" s="21" t="s">
        <v>358</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560</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389</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row>
    <row r="596" spans="1:12">
      <c r="A596" s="20" t="s">
        <v>639</v>
      </c>
    </row>
    <row r="597" spans="1:12">
      <c r="A597" s="20" t="s">
        <v>640</v>
      </c>
      <c r="B597" s="21" t="s">
        <v>373</v>
      </c>
      <c r="C597" s="21" t="s">
        <v>430</v>
      </c>
      <c r="D597" s="21" t="s">
        <v>358</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393</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641</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389</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row>
    <row r="602" spans="1:12">
      <c r="A602" s="20" t="s">
        <v>642</v>
      </c>
    </row>
    <row r="603" spans="1:12">
      <c r="A603" s="20" t="s">
        <v>511</v>
      </c>
      <c r="B603" s="21" t="s">
        <v>373</v>
      </c>
      <c r="C603" s="21" t="s">
        <v>357</v>
      </c>
      <c r="D603" s="21" t="s">
        <v>358</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371</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t="s">
        <v>521</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643</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533</v>
      </c>
      <c r="B607" s="21" t="s">
        <v>356</v>
      </c>
      <c r="C607" s="21" t="s">
        <v>506</v>
      </c>
      <c r="D607" s="21" t="s">
        <v>358</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523</v>
      </c>
      <c r="B608" s="21" t="s">
        <v>378</v>
      </c>
      <c r="C608" s="21" t="s">
        <v>476</v>
      </c>
      <c r="D608" s="21" t="s">
        <v>358</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369</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644</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519</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386</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207</v>
      </c>
      <c r="B613" s="21" t="s">
        <v>356</v>
      </c>
      <c r="C613" s="21" t="s">
        <v>385</v>
      </c>
      <c r="D613" s="21" t="s">
        <v>358</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389</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row>
    <row r="616" spans="1:12">
      <c r="A616" s="20" t="s">
        <v>645</v>
      </c>
    </row>
    <row r="617" spans="1:12">
      <c r="A617" s="20" t="s">
        <v>557</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478</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359</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362</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610</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376</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646</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647</v>
      </c>
      <c r="B624" s="21" t="s">
        <v>378</v>
      </c>
      <c r="C624" s="21" t="s">
        <v>379</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389</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row>
    <row r="627" spans="1:12">
      <c r="A627" s="20" t="s">
        <v>648</v>
      </c>
    </row>
    <row r="628" spans="1:12">
      <c r="A628" s="20" t="s">
        <v>640</v>
      </c>
      <c r="B628" s="21" t="s">
        <v>373</v>
      </c>
      <c r="C628" s="21" t="s">
        <v>430</v>
      </c>
      <c r="D628" s="21" t="s">
        <v>358</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t="s">
        <v>393</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427</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398</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468</v>
      </c>
      <c r="B632" s="21" t="s">
        <v>429</v>
      </c>
      <c r="C632" s="21" t="s">
        <v>385</v>
      </c>
      <c r="D632" s="21" t="s">
        <v>358</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380</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398</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583</v>
      </c>
      <c r="B635" s="21" t="s">
        <v>360</v>
      </c>
      <c r="C635" s="21" t="s">
        <v>385</v>
      </c>
      <c r="D635" s="21" t="s">
        <v>358</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380</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584</v>
      </c>
      <c r="B637" s="21" t="s">
        <v>388</v>
      </c>
      <c r="C637" s="21" t="s">
        <v>382</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592</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649</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369</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33</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384</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650</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651</v>
      </c>
      <c r="B644" s="21" t="s">
        <v>452</v>
      </c>
      <c r="C644" s="21" t="s">
        <v>385</v>
      </c>
      <c r="D644" s="21" t="s">
        <v>358</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484</v>
      </c>
      <c r="B645" s="21" t="s">
        <v>567</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652</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389</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row>
    <row r="649" spans="1:12">
      <c r="A649" s="20" t="s">
        <v>653</v>
      </c>
    </row>
    <row r="650" spans="1:12">
      <c r="A650" s="20" t="s">
        <v>391</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520</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386</v>
      </c>
      <c r="B652" s="21" t="s">
        <v>378</v>
      </c>
      <c r="C652" s="21" t="s">
        <v>357</v>
      </c>
      <c r="D652" s="21" t="s">
        <v>358</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125</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434</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654</v>
      </c>
      <c r="B655" s="21" t="s">
        <v>365</v>
      </c>
      <c r="C655" s="21" t="s">
        <v>382</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389</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row>
    <row r="658" spans="1:12">
      <c r="A658" s="20" t="s">
        <v>655</v>
      </c>
    </row>
    <row r="659" spans="1:12">
      <c r="A659" s="20" t="s">
        <v>391</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520</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367</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558</v>
      </c>
      <c r="B662" s="21" t="s">
        <v>378</v>
      </c>
      <c r="C662" s="21" t="s">
        <v>430</v>
      </c>
      <c r="D662" s="21" t="s">
        <v>358</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484</v>
      </c>
      <c r="B663" s="21" t="s">
        <v>451</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559</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367</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540</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513</v>
      </c>
      <c r="B667" s="21" t="s">
        <v>373</v>
      </c>
      <c r="C667" s="21" t="s">
        <v>357</v>
      </c>
      <c r="D667" s="21" t="s">
        <v>358</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656</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386</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387</v>
      </c>
      <c r="B670" s="21" t="s">
        <v>378</v>
      </c>
      <c r="C670" s="21" t="s">
        <v>385</v>
      </c>
      <c r="D670" s="21" t="s">
        <v>358</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369</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386</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424</v>
      </c>
      <c r="B673" s="21" t="s">
        <v>365</v>
      </c>
      <c r="C673" s="21" t="s">
        <v>385</v>
      </c>
      <c r="D673" s="21" t="s">
        <v>358</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367</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513</v>
      </c>
      <c r="B675" s="21" t="s">
        <v>429</v>
      </c>
      <c r="C675" s="21" t="s">
        <v>357</v>
      </c>
      <c r="D675" s="21" t="s">
        <v>358</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371</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533</v>
      </c>
      <c r="B677" s="21" t="s">
        <v>409</v>
      </c>
      <c r="C677" s="21" t="s">
        <v>357</v>
      </c>
      <c r="D677" s="21" t="s">
        <v>358</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657</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406</v>
      </c>
      <c r="B679" s="21" t="s">
        <v>409</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380</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523</v>
      </c>
      <c r="B681" s="21" t="s">
        <v>360</v>
      </c>
      <c r="C681" s="21" t="s">
        <v>382</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367</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211</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449</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618</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row>
    <row r="687" spans="1:12">
      <c r="A687" s="20" t="s">
        <v>658</v>
      </c>
    </row>
    <row r="688" spans="1:12">
      <c r="A688" s="20" t="s">
        <v>640</v>
      </c>
      <c r="B688" s="21" t="s">
        <v>373</v>
      </c>
      <c r="C688" s="21" t="s">
        <v>430</v>
      </c>
      <c r="D688" s="21" t="s">
        <v>358</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393</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405</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659</v>
      </c>
      <c r="B691" s="21" t="s">
        <v>365</v>
      </c>
      <c r="C691" s="21" t="s">
        <v>385</v>
      </c>
      <c r="D691" s="21" t="s">
        <v>358</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t="s">
        <v>389</v>
      </c>
      <c r="E692" s="22">
        <f>IF(D692="?OLD","!!!","")</f>
        <v/>
      </c>
      <c r="F692" s="23" t="str">
        <f>IF(OR(E692="",E692="!!!"),"",IF(NOT(ISNA(VLOOKUP(E692,E$1:E691,1,FALSE()))),"OLD",IF(AND(E692&lt;&gt;"",E692&lt;&gt;"!!!"),"NEW","")))</f>
        <v> </v>
      </c>
      <c r="G692" s="24" t="str">
        <f>IF(OR(E692="",E692="!!!"),"",IF(OR(J692=0,AND(J692=1,K692=1),AND(J692=1,I692="SBJ"),AND(J692=1,I692=0)),"?IN_FOCUS",IF(J692&lt;=2,"?ACTIVATED",IF(J692&lt;&gt;"","?FAMILIAR",IF(F692="NEW",IF(ISNA(VLOOKUP(E692,#REF!,1,FALSE())),"?TYPE_IDENTIFIABLE","?REFERENTIAL"),"_")))))</f>
        <v> </v>
      </c>
      <c r="H692" s="25" t="str">
        <f>IF(J692&lt;&gt;1,"",IF(I692="SBJ","CB","?"))</f>
        <v> </v>
      </c>
      <c r="I692" s="26" t="str">
        <f>IF(OR(E692="",E692="!!!",F692="NEW"),"",INDEX(B691:B$2,-1+SUMPRODUCT(MAX(ROW(E691:E$2)*(E692=E691:E$2)))))</f>
        <v> </v>
      </c>
      <c r="J692" s="26" t="str">
        <f>IF(OR(E692="",E692="!!!",F692="NEW"),"",COUNTBLANK(OFFSET(A$1,,,SUMPRODUCT(MAX(ROW(E$2:E692)*(E692=E$2:E692)))))-COUNTBLANK(OFFSET(A$1,,,SUMPRODUCT(MAX(ROW(E$1:E691)*(E2=E$1:E691))))))</f>
        <v> </v>
      </c>
      <c r="K692" s="26" t="str">
        <f>IF(OR(E692="",E692="!!!",F692="NEW"),"",INDEX(J$1:J691,SUMPRODUCT(MAX(ROW(E$1:E691)*(E692=E$1:E691)))))</f>
        <v> </v>
      </c>
      <c r="L692" s="27"/>
    </row>
    <row r="693" spans="1:12">
      <c r="A693" s="20"/>
    </row>
    <row r="694" spans="1:12">
      <c r="A694" s="20" t="s">
        <v>660</v>
      </c>
    </row>
    <row r="695" spans="1:12">
      <c r="A695" s="20" t="s">
        <v>661</v>
      </c>
      <c r="B695" s="21" t="s">
        <v>373</v>
      </c>
      <c r="C695" s="21" t="s">
        <v>430</v>
      </c>
      <c r="D695" s="21" t="s">
        <v>358</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497</v>
      </c>
      <c r="B696" s="21" t="s">
        <v>378</v>
      </c>
      <c r="C696" s="21" t="s">
        <v>357</v>
      </c>
      <c r="D696" s="21" t="s">
        <v>358</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662</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479</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480</v>
      </c>
      <c r="B699" s="21" t="s">
        <v>378</v>
      </c>
      <c r="C699" s="21" t="s">
        <v>366</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618</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row>
    <row r="702" spans="1:12">
      <c r="A702" s="20" t="s">
        <v>663</v>
      </c>
    </row>
    <row r="703" spans="1:12">
      <c r="A703" s="20" t="s">
        <v>664</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389</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row>
    <row r="706" spans="1:12">
      <c r="A706" s="20" t="s">
        <v>665</v>
      </c>
    </row>
    <row r="707" spans="1:12">
      <c r="A707" s="20" t="s">
        <v>666</v>
      </c>
      <c r="B707" s="21" t="s">
        <v>365</v>
      </c>
      <c r="C707" s="21" t="s">
        <v>430</v>
      </c>
      <c r="D707" s="21" t="s">
        <v>358</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427</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398</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399</v>
      </c>
      <c r="B710" s="21" t="s">
        <v>451</v>
      </c>
      <c r="C710" s="21" t="s">
        <v>385</v>
      </c>
      <c r="D710" s="21" t="s">
        <v>358</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380</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667</v>
      </c>
      <c r="B712" s="21" t="s">
        <v>388</v>
      </c>
      <c r="C712" s="21" t="s">
        <v>382</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527</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668</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367</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433</v>
      </c>
      <c r="B716" s="21" t="s">
        <v>373</v>
      </c>
      <c r="C716" s="21" t="s">
        <v>430</v>
      </c>
      <c r="D716" s="21" t="s">
        <v>358</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393</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594</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t="s">
        <v>669</v>
      </c>
      <c r="B719" s="21" t="s">
        <v>429</v>
      </c>
      <c r="C719" s="21" t="s">
        <v>357</v>
      </c>
      <c r="D719" s="21" t="s">
        <v>358</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502</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503</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386</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387</v>
      </c>
      <c r="B723" s="21" t="s">
        <v>356</v>
      </c>
      <c r="C723" s="21" t="s">
        <v>385</v>
      </c>
      <c r="D723" s="21" t="s">
        <v>358</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367</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211</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670</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380</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398</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671</v>
      </c>
      <c r="B729" s="21" t="s">
        <v>356</v>
      </c>
      <c r="C729" s="21" t="s">
        <v>385</v>
      </c>
      <c r="D729" s="21" t="s">
        <v>358</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367</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t="s">
        <v>380</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t="s">
        <v>398</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671</v>
      </c>
      <c r="B733" s="21" t="s">
        <v>360</v>
      </c>
      <c r="C733" s="21" t="s">
        <v>385</v>
      </c>
      <c r="D733" s="21" t="s">
        <v>358</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672</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367</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434</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673</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674</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386</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387</v>
      </c>
      <c r="B740" s="21" t="s">
        <v>452</v>
      </c>
      <c r="C740" s="21" t="s">
        <v>385</v>
      </c>
      <c r="D740" s="21" t="s">
        <v>358</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369</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386</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t="s">
        <v>424</v>
      </c>
      <c r="B743" s="21" t="s">
        <v>360</v>
      </c>
      <c r="C743" s="21" t="s">
        <v>385</v>
      </c>
      <c r="D743" s="21" t="s">
        <v>358</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t="s">
        <v>367</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t="s">
        <v>211</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575</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675</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380</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676</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677</v>
      </c>
      <c r="B750" s="21" t="s">
        <v>452</v>
      </c>
      <c r="C750" s="21" t="s">
        <v>379</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380</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678</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398</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671</v>
      </c>
      <c r="B754" s="21" t="s">
        <v>679</v>
      </c>
      <c r="C754" s="21" t="s">
        <v>385</v>
      </c>
      <c r="D754" s="21" t="s">
        <v>358</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t="s">
        <v>434</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t="s">
        <v>680</v>
      </c>
      <c r="B756" s="21" t="s">
        <v>417</v>
      </c>
      <c r="C756" s="21" t="s">
        <v>382</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389</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row>
    <row r="759" spans="1:12">
      <c r="A759" s="20" t="s">
        <v>681</v>
      </c>
    </row>
    <row r="760" spans="1:12">
      <c r="A760" s="20" t="s">
        <v>682</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683</v>
      </c>
      <c r="B761" s="21" t="s">
        <v>373</v>
      </c>
      <c r="C761" s="21" t="s">
        <v>385</v>
      </c>
      <c r="D761" s="21" t="s">
        <v>358</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684</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558</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685</v>
      </c>
      <c r="B764" s="21" t="s">
        <v>378</v>
      </c>
      <c r="C764" s="21" t="s">
        <v>483</v>
      </c>
      <c r="D764" s="21" t="s">
        <v>358</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380</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686</v>
      </c>
      <c r="B766" s="21" t="s">
        <v>356</v>
      </c>
      <c r="C766" s="21" t="s">
        <v>382</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t="s">
        <v>687</v>
      </c>
      <c r="E767" s="22">
        <f>IF(D767="?OLD","!!!","")</f>
        <v/>
      </c>
      <c r="F767" s="23" t="str">
        <f>IF(OR(E767="",E767="!!!"),"",IF(NOT(ISNA(VLOOKUP(E767,E$1:E766,1,FALSE()))),"OLD",IF(AND(E767&lt;&gt;"",E767&lt;&gt;"!!!"),"NEW","")))</f>
        <v> </v>
      </c>
      <c r="G767" s="24" t="str">
        <f>IF(OR(E767="",E767="!!!"),"",IF(OR(J767=0,AND(J767=1,K767=1),AND(J767=1,I767="SBJ"),AND(J767=1,I767=0)),"?IN_FOCUS",IF(J767&lt;=2,"?ACTIVATED",IF(J767&lt;&gt;"","?FAMILIAR",IF(F767="NEW",IF(ISNA(VLOOKUP(E767,#REF!,1,FALSE())),"?TYPE_IDENTIFIABLE","?REFERENTIAL"),"_")))))</f>
        <v> </v>
      </c>
      <c r="H767" s="25" t="str">
        <f>IF(J767&lt;&gt;1,"",IF(I767="SBJ","CB","?"))</f>
        <v> </v>
      </c>
      <c r="I767" s="26" t="str">
        <f>IF(OR(E767="",E767="!!!",F767="NEW"),"",INDEX(B766:B$2,-1+SUMPRODUCT(MAX(ROW(E766:E$2)*(E767=E766:E$2)))))</f>
        <v> </v>
      </c>
      <c r="J767" s="26" t="str">
        <f>IF(OR(E767="",E767="!!!",F767="NEW"),"",COUNTBLANK(OFFSET(A$1,,,SUMPRODUCT(MAX(ROW(E$2:E767)*(E767=E$2:E767)))))-COUNTBLANK(OFFSET(A$1,,,SUMPRODUCT(MAX(ROW(E$1:E766)*(E2=E$1:E766))))))</f>
        <v> </v>
      </c>
      <c r="K767" s="26" t="str">
        <f>IF(OR(E767="",E767="!!!",F767="NEW"),"",INDEX(J$1:J766,SUMPRODUCT(MAX(ROW(E$1:E766)*(E767=E$1:E766)))))</f>
        <v> </v>
      </c>
      <c r="L767" s="27"/>
    </row>
    <row r="768" spans="1:12">
      <c r="A768" s="20" t="s">
        <v>405</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688</v>
      </c>
      <c r="B769" s="21" t="s">
        <v>365</v>
      </c>
      <c r="C769" s="21" t="s">
        <v>385</v>
      </c>
      <c r="D769" s="21" t="s">
        <v>358</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689</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380</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t="s">
        <v>386</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690</v>
      </c>
      <c r="B773" s="21" t="s">
        <v>356</v>
      </c>
      <c r="C773" s="21" t="s">
        <v>385</v>
      </c>
      <c r="D773" s="21" t="s">
        <v>358</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691</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389</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row>
    <row r="777" spans="1:12">
      <c r="A777" s="20" t="s">
        <v>692</v>
      </c>
    </row>
    <row r="778" spans="1:12">
      <c r="A778" s="20" t="s">
        <v>693</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t="s">
        <v>694</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t="s">
        <v>695</v>
      </c>
      <c r="B780" s="21" t="s">
        <v>365</v>
      </c>
      <c r="C780" s="21" t="s">
        <v>366</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t="s">
        <v>367</v>
      </c>
      <c r="E781" s="22">
        <f>IF(D781="?OLD","!!!","")</f>
        <v/>
      </c>
      <c r="F781" s="23" t="str">
        <f>IF(OR(E781="",E781="!!!"),"",IF(NOT(ISNA(VLOOKUP(E781,E$1:E780,1,FALSE()))),"OLD",IF(AND(E781&lt;&gt;"",E781&lt;&gt;"!!!"),"NEW","")))</f>
        <v> </v>
      </c>
      <c r="G781" s="24" t="str">
        <f>IF(OR(E781="",E781="!!!"),"",IF(OR(J781=0,AND(J781=1,K781=1),AND(J781=1,I781="SBJ"),AND(J781=1,I781=0)),"?IN_FOCUS",IF(J781&lt;=2,"?ACTIVATED",IF(J781&lt;&gt;"","?FAMILIAR",IF(F781="NEW",IF(ISNA(VLOOKUP(E781,#REF!,1,FALSE())),"?TYPE_IDENTIFIABLE","?REFERENTIAL"),"_")))))</f>
        <v> </v>
      </c>
      <c r="H781" s="25" t="str">
        <f>IF(J781&lt;&gt;1,"",IF(I781="SBJ","CB","?"))</f>
        <v> </v>
      </c>
      <c r="I781" s="26" t="str">
        <f>IF(OR(E781="",E781="!!!",F781="NEW"),"",INDEX(B780:B$2,-1+SUMPRODUCT(MAX(ROW(E780:E$2)*(E781=E780:E$2)))))</f>
        <v> </v>
      </c>
      <c r="J781" s="26" t="str">
        <f>IF(OR(E781="",E781="!!!",F781="NEW"),"",COUNTBLANK(OFFSET(A$1,,,SUMPRODUCT(MAX(ROW(E$2:E781)*(E781=E$2:E781)))))-COUNTBLANK(OFFSET(A$1,,,SUMPRODUCT(MAX(ROW(E$1:E780)*(E2=E$1:E780))))))</f>
        <v> </v>
      </c>
      <c r="K781" s="26" t="str">
        <f>IF(OR(E781="",E781="!!!",F781="NEW"),"",INDEX(J$1:J780,SUMPRODUCT(MAX(ROW(E$1:E780)*(E781=E$1:E780)))))</f>
        <v> </v>
      </c>
      <c r="L781" s="27"/>
    </row>
    <row r="782" spans="1:12">
      <c r="A782" s="20" t="s">
        <v>398</v>
      </c>
      <c r="E782" s="22">
        <f>IF(D782="?OLD","!!!","")</f>
        <v/>
      </c>
      <c r="F782" s="23" t="str">
        <f>IF(OR(E782="",E782="!!!"),"",IF(NOT(ISNA(VLOOKUP(E782,E$1:E781,1,FALSE()))),"OLD",IF(AND(E782&lt;&gt;"",E782&lt;&gt;"!!!"),"NEW","")))</f>
        <v> </v>
      </c>
      <c r="G782" s="24" t="str">
        <f>IF(OR(E782="",E782="!!!"),"",IF(OR(J782=0,AND(J782=1,K782=1),AND(J782=1,I782="SBJ"),AND(J782=1,I782=0)),"?IN_FOCUS",IF(J782&lt;=2,"?ACTIVATED",IF(J782&lt;&gt;"","?FAMILIAR",IF(F782="NEW",IF(ISNA(VLOOKUP(E782,#REF!,1,FALSE())),"?TYPE_IDENTIFIABLE","?REFERENTIAL"),"_")))))</f>
        <v> </v>
      </c>
      <c r="H782" s="25" t="str">
        <f>IF(J782&lt;&gt;1,"",IF(I782="SBJ","CB","?"))</f>
        <v> </v>
      </c>
      <c r="I782" s="26" t="str">
        <f>IF(OR(E782="",E782="!!!",F782="NEW"),"",INDEX(B781:B$2,-1+SUMPRODUCT(MAX(ROW(E781:E$2)*(E782=E781:E$2)))))</f>
        <v> </v>
      </c>
      <c r="J782" s="26" t="str">
        <f>IF(OR(E782="",E782="!!!",F782="NEW"),"",COUNTBLANK(OFFSET(A$1,,,SUMPRODUCT(MAX(ROW(E$2:E782)*(E782=E$2:E782)))))-COUNTBLANK(OFFSET(A$1,,,SUMPRODUCT(MAX(ROW(E$1:E781)*(E2=E$1:E781))))))</f>
        <v> </v>
      </c>
      <c r="K782" s="26" t="str">
        <f>IF(OR(E782="",E782="!!!",F782="NEW"),"",INDEX(J$1:J781,SUMPRODUCT(MAX(ROW(E$1:E781)*(E782=E$1:E781)))))</f>
        <v> </v>
      </c>
      <c r="L782" s="27"/>
    </row>
    <row r="783" spans="1:12">
      <c r="A783" s="20" t="s">
        <v>629</v>
      </c>
      <c r="B783" s="21" t="s">
        <v>373</v>
      </c>
      <c r="C783" s="21" t="s">
        <v>385</v>
      </c>
      <c r="D783" s="21" t="s">
        <v>358</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t="s">
        <v>575</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t="s">
        <v>414</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696</v>
      </c>
      <c r="B786" s="21" t="s">
        <v>378</v>
      </c>
      <c r="C786" s="21" t="s">
        <v>379</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t="s">
        <v>474</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697</v>
      </c>
      <c r="B788" s="21" t="s">
        <v>356</v>
      </c>
      <c r="C788" s="21" t="s">
        <v>382</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698</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490</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558</v>
      </c>
      <c r="B791" s="21" t="s">
        <v>360</v>
      </c>
      <c r="C791" s="21" t="s">
        <v>430</v>
      </c>
      <c r="D791" s="21" t="s">
        <v>358</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484</v>
      </c>
      <c r="B792" s="21" t="s">
        <v>567</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699</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700</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643</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t="s">
        <v>389</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row>
    <row r="798" spans="1:12">
      <c r="A798" s="20" t="s">
        <v>701</v>
      </c>
    </row>
    <row r="799" spans="1:12">
      <c r="A799" s="20" t="s">
        <v>702</v>
      </c>
      <c r="E799" s="22">
        <f>IF(D799="?OLD","!!!","")</f>
        <v/>
      </c>
      <c r="F799" s="23" t="str">
        <f>IF(OR(E799="",E799="!!!"),"",IF(NOT(ISNA(VLOOKUP(E799,E$1:E798,1,FALSE()))),"OLD",IF(AND(E799&lt;&gt;"",E799&lt;&gt;"!!!"),"NEW","")))</f>
        <v> </v>
      </c>
      <c r="G799" s="24" t="str">
        <f>IF(OR(E799="",E799="!!!"),"",IF(OR(J799=0,AND(J799=1,K799=1),AND(J799=1,I799="SBJ"),AND(J799=1,I799=0)),"?IN_FOCUS",IF(J799&lt;=2,"?ACTIVATED",IF(J799&lt;&gt;"","?FAMILIAR",IF(F799="NEW",IF(ISNA(VLOOKUP(E799,#REF!,1,FALSE())),"?TYPE_IDENTIFIABLE","?REFERENTIAL"),"_")))))</f>
        <v> </v>
      </c>
      <c r="H799" s="25" t="str">
        <f>IF(J799&lt;&gt;1,"",IF(I799="SBJ","CB","?"))</f>
        <v> </v>
      </c>
      <c r="I799" s="26" t="str">
        <f>IF(OR(E799="",E799="!!!",F799="NEW"),"",INDEX(B798:B$2,-1+SUMPRODUCT(MAX(ROW(E798:E$2)*(E799=E798:E$2)))))</f>
        <v> </v>
      </c>
      <c r="J799" s="26" t="str">
        <f>IF(OR(E799="",E799="!!!",F799="NEW"),"",COUNTBLANK(OFFSET(A$1,,,SUMPRODUCT(MAX(ROW(E$2:E799)*(E799=E$2:E799)))))-COUNTBLANK(OFFSET(A$1,,,SUMPRODUCT(MAX(ROW(E$1:E798)*(E2=E$1:E798))))))</f>
        <v> </v>
      </c>
      <c r="K799" s="26" t="str">
        <f>IF(OR(E799="",E799="!!!",F799="NEW"),"",INDEX(J$1:J798,SUMPRODUCT(MAX(ROW(E$1:E798)*(E799=E$1:E798)))))</f>
        <v> </v>
      </c>
      <c r="L799" s="27"/>
    </row>
    <row r="800" spans="1:12">
      <c r="A800" s="20" t="s">
        <v>367</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405</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703</v>
      </c>
      <c r="B802" s="21" t="s">
        <v>373</v>
      </c>
      <c r="C802" s="21" t="s">
        <v>385</v>
      </c>
      <c r="D802" s="21" t="s">
        <v>358</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380</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704</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412</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380</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398</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671</v>
      </c>
      <c r="B808" s="21" t="s">
        <v>360</v>
      </c>
      <c r="C808" s="21" t="s">
        <v>385</v>
      </c>
      <c r="D808" s="21" t="s">
        <v>358</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393</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t="s">
        <v>689</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t="s">
        <v>367</v>
      </c>
      <c r="E811" s="22">
        <f>IF(D811="?OLD","!!!","")</f>
        <v/>
      </c>
      <c r="F811" s="23" t="str">
        <f>IF(OR(E811="",E811="!!!"),"",IF(NOT(ISNA(VLOOKUP(E811,E$1:E810,1,FALSE()))),"OLD",IF(AND(E811&lt;&gt;"",E811&lt;&gt;"!!!"),"NEW","")))</f>
        <v> </v>
      </c>
      <c r="G811" s="24" t="str">
        <f>IF(OR(E811="",E811="!!!"),"",IF(OR(J811=0,AND(J811=1,K811=1),AND(J811=1,I811="SBJ"),AND(J811=1,I811=0)),"?IN_FOCUS",IF(J811&lt;=2,"?ACTIVATED",IF(J811&lt;&gt;"","?FAMILIAR",IF(F811="NEW",IF(ISNA(VLOOKUP(E811,#REF!,1,FALSE())),"?TYPE_IDENTIFIABLE","?REFERENTIAL"),"_")))))</f>
        <v> </v>
      </c>
      <c r="H811" s="25" t="str">
        <f>IF(J811&lt;&gt;1,"",IF(I811="SBJ","CB","?"))</f>
        <v> </v>
      </c>
      <c r="I811" s="26" t="str">
        <f>IF(OR(E811="",E811="!!!",F811="NEW"),"",INDEX(B810:B$2,-1+SUMPRODUCT(MAX(ROW(E810:E$2)*(E811=E810:E$2)))))</f>
        <v> </v>
      </c>
      <c r="J811" s="26" t="str">
        <f>IF(OR(E811="",E811="!!!",F811="NEW"),"",COUNTBLANK(OFFSET(A$1,,,SUMPRODUCT(MAX(ROW(E$2:E811)*(E811=E$2:E811)))))-COUNTBLANK(OFFSET(A$1,,,SUMPRODUCT(MAX(ROW(E$1:E810)*(E2=E$1:E810))))))</f>
        <v> </v>
      </c>
      <c r="K811" s="26" t="str">
        <f>IF(OR(E811="",E811="!!!",F811="NEW"),"",INDEX(J$1:J810,SUMPRODUCT(MAX(ROW(E$1:E810)*(E811=E$1:E810)))))</f>
        <v> </v>
      </c>
      <c r="L811" s="27"/>
    </row>
    <row r="812" spans="1:12">
      <c r="A812" s="20" t="s">
        <v>609</v>
      </c>
      <c r="E812" s="22">
        <f>IF(D812="?OLD","!!!","")</f>
        <v/>
      </c>
      <c r="F812" s="23" t="str">
        <f>IF(OR(E812="",E812="!!!"),"",IF(NOT(ISNA(VLOOKUP(E812,E$1:E811,1,FALSE()))),"OLD",IF(AND(E812&lt;&gt;"",E812&lt;&gt;"!!!"),"NEW","")))</f>
        <v> </v>
      </c>
      <c r="G812" s="24" t="str">
        <f>IF(OR(E812="",E812="!!!"),"",IF(OR(J812=0,AND(J812=1,K812=1),AND(J812=1,I812="SBJ"),AND(J812=1,I812=0)),"?IN_FOCUS",IF(J812&lt;=2,"?ACTIVATED",IF(J812&lt;&gt;"","?FAMILIAR",IF(F812="NEW",IF(ISNA(VLOOKUP(E812,#REF!,1,FALSE())),"?TYPE_IDENTIFIABLE","?REFERENTIAL"),"_")))))</f>
        <v> </v>
      </c>
      <c r="H812" s="25" t="str">
        <f>IF(J812&lt;&gt;1,"",IF(I812="SBJ","CB","?"))</f>
        <v> </v>
      </c>
      <c r="I812" s="26" t="str">
        <f>IF(OR(E812="",E812="!!!",F812="NEW"),"",INDEX(B811:B$2,-1+SUMPRODUCT(MAX(ROW(E811:E$2)*(E812=E811:E$2)))))</f>
        <v> </v>
      </c>
      <c r="J812" s="26" t="str">
        <f>IF(OR(E812="",E812="!!!",F812="NEW"),"",COUNTBLANK(OFFSET(A$1,,,SUMPRODUCT(MAX(ROW(E$2:E812)*(E812=E$2:E812)))))-COUNTBLANK(OFFSET(A$1,,,SUMPRODUCT(MAX(ROW(E$1:E811)*(E2=E$1:E811))))))</f>
        <v> </v>
      </c>
      <c r="K812" s="26" t="str">
        <f>IF(OR(E812="",E812="!!!",F812="NEW"),"",INDEX(J$1:J811,SUMPRODUCT(MAX(ROW(E$1:E811)*(E812=E$1:E811)))))</f>
        <v> </v>
      </c>
      <c r="L812" s="27"/>
    </row>
    <row r="813" spans="1:12">
      <c r="A813" s="20" t="s">
        <v>705</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706</v>
      </c>
      <c r="B814" s="21" t="s">
        <v>356</v>
      </c>
      <c r="C814" s="21" t="s">
        <v>361</v>
      </c>
      <c r="D814" s="21" t="s">
        <v>358</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592</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398</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707</v>
      </c>
      <c r="B817" s="21" t="s">
        <v>451</v>
      </c>
      <c r="C817" s="21" t="s">
        <v>385</v>
      </c>
      <c r="D817" s="21" t="s">
        <v>358</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t="s">
        <v>380</v>
      </c>
      <c r="E818" s="22">
        <f>IF(D818="?OLD","!!!","")</f>
        <v/>
      </c>
      <c r="F818" s="23" t="str">
        <f>IF(OR(E818="",E818="!!!"),"",IF(NOT(ISNA(VLOOKUP(E818,E$1:E817,1,FALSE()))),"OLD",IF(AND(E818&lt;&gt;"",E818&lt;&gt;"!!!"),"NEW","")))</f>
        <v> </v>
      </c>
      <c r="G818" s="24" t="str">
        <f>IF(OR(E818="",E818="!!!"),"",IF(OR(J818=0,AND(J818=1,K818=1),AND(J818=1,I818="SBJ"),AND(J818=1,I818=0)),"?IN_FOCUS",IF(J818&lt;=2,"?ACTIVATED",IF(J818&lt;&gt;"","?FAMILIAR",IF(F818="NEW",IF(ISNA(VLOOKUP(E818,#REF!,1,FALSE())),"?TYPE_IDENTIFIABLE","?REFERENTIAL"),"_")))))</f>
        <v> </v>
      </c>
      <c r="H818" s="25" t="str">
        <f>IF(J818&lt;&gt;1,"",IF(I818="SBJ","CB","?"))</f>
        <v> </v>
      </c>
      <c r="I818" s="26" t="str">
        <f>IF(OR(E818="",E818="!!!",F818="NEW"),"",INDEX(B817:B$2,-1+SUMPRODUCT(MAX(ROW(E817:E$2)*(E818=E817:E$2)))))</f>
        <v> </v>
      </c>
      <c r="J818" s="26" t="str">
        <f>IF(OR(E818="",E818="!!!",F818="NEW"),"",COUNTBLANK(OFFSET(A$1,,,SUMPRODUCT(MAX(ROW(E$2:E818)*(E818=E$2:E818)))))-COUNTBLANK(OFFSET(A$1,,,SUMPRODUCT(MAX(ROW(E$1:E817)*(E2=E$1:E817))))))</f>
        <v> </v>
      </c>
      <c r="K818" s="26" t="str">
        <f>IF(OR(E818="",E818="!!!",F818="NEW"),"",INDEX(J$1:J817,SUMPRODUCT(MAX(ROW(E$1:E817)*(E818=E$1:E817)))))</f>
        <v> </v>
      </c>
      <c r="L818" s="27"/>
    </row>
    <row r="819" spans="1:12">
      <c r="A819" s="20" t="s">
        <v>398</v>
      </c>
      <c r="E819" s="22">
        <f>IF(D819="?OLD","!!!","")</f>
        <v/>
      </c>
      <c r="F819" s="23" t="str">
        <f>IF(OR(E819="",E819="!!!"),"",IF(NOT(ISNA(VLOOKUP(E819,E$1:E818,1,FALSE()))),"OLD",IF(AND(E819&lt;&gt;"",E819&lt;&gt;"!!!"),"NEW","")))</f>
        <v> </v>
      </c>
      <c r="G819" s="24" t="str">
        <f>IF(OR(E819="",E819="!!!"),"",IF(OR(J819=0,AND(J819=1,K819=1),AND(J819=1,I819="SBJ"),AND(J819=1,I819=0)),"?IN_FOCUS",IF(J819&lt;=2,"?ACTIVATED",IF(J819&lt;&gt;"","?FAMILIAR",IF(F819="NEW",IF(ISNA(VLOOKUP(E819,#REF!,1,FALSE())),"?TYPE_IDENTIFIABLE","?REFERENTIAL"),"_")))))</f>
        <v> </v>
      </c>
      <c r="H819" s="25" t="str">
        <f>IF(J819&lt;&gt;1,"",IF(I819="SBJ","CB","?"))</f>
        <v> </v>
      </c>
      <c r="I819" s="26" t="str">
        <f>IF(OR(E819="",E819="!!!",F819="NEW"),"",INDEX(B818:B$2,-1+SUMPRODUCT(MAX(ROW(E818:E$2)*(E819=E818:E$2)))))</f>
        <v> </v>
      </c>
      <c r="J819" s="26" t="str">
        <f>IF(OR(E819="",E819="!!!",F819="NEW"),"",COUNTBLANK(OFFSET(A$1,,,SUMPRODUCT(MAX(ROW(E$2:E819)*(E819=E$2:E819)))))-COUNTBLANK(OFFSET(A$1,,,SUMPRODUCT(MAX(ROW(E$1:E818)*(E2=E$1:E818))))))</f>
        <v> </v>
      </c>
      <c r="K819" s="26" t="str">
        <f>IF(OR(E819="",E819="!!!",F819="NEW"),"",INDEX(J$1:J818,SUMPRODUCT(MAX(ROW(E$1:E818)*(E819=E$1:E818)))))</f>
        <v> </v>
      </c>
      <c r="L819" s="27"/>
    </row>
    <row r="820" spans="1:12">
      <c r="A820" s="20" t="s">
        <v>708</v>
      </c>
      <c r="E820" s="22">
        <f>IF(D820="?OLD","!!!","")</f>
        <v/>
      </c>
      <c r="F820" s="23" t="str">
        <f>IF(OR(E820="",E820="!!!"),"",IF(NOT(ISNA(VLOOKUP(E820,E$1:E819,1,FALSE()))),"OLD",IF(AND(E820&lt;&gt;"",E820&lt;&gt;"!!!"),"NEW","")))</f>
        <v> </v>
      </c>
      <c r="G820" s="24" t="str">
        <f>IF(OR(E820="",E820="!!!"),"",IF(OR(J820=0,AND(J820=1,K820=1),AND(J820=1,I820="SBJ"),AND(J820=1,I820=0)),"?IN_FOCUS",IF(J820&lt;=2,"?ACTIVATED",IF(J820&lt;&gt;"","?FAMILIAR",IF(F820="NEW",IF(ISNA(VLOOKUP(E820,#REF!,1,FALSE())),"?TYPE_IDENTIFIABLE","?REFERENTIAL"),"_")))))</f>
        <v> </v>
      </c>
      <c r="H820" s="25" t="str">
        <f>IF(J820&lt;&gt;1,"",IF(I820="SBJ","CB","?"))</f>
        <v> </v>
      </c>
      <c r="I820" s="26" t="str">
        <f>IF(OR(E820="",E820="!!!",F820="NEW"),"",INDEX(B819:B$2,-1+SUMPRODUCT(MAX(ROW(E819:E$2)*(E820=E819:E$2)))))</f>
        <v> </v>
      </c>
      <c r="J820" s="26" t="str">
        <f>IF(OR(E820="",E820="!!!",F820="NEW"),"",COUNTBLANK(OFFSET(A$1,,,SUMPRODUCT(MAX(ROW(E$2:E820)*(E820=E$2:E820)))))-COUNTBLANK(OFFSET(A$1,,,SUMPRODUCT(MAX(ROW(E$1:E819)*(E2=E$1:E819))))))</f>
        <v> </v>
      </c>
      <c r="K820" s="26" t="str">
        <f>IF(OR(E820="",E820="!!!",F820="NEW"),"",INDEX(J$1:J819,SUMPRODUCT(MAX(ROW(E$1:E819)*(E820=E$1:E819)))))</f>
        <v> </v>
      </c>
      <c r="L820" s="27"/>
    </row>
    <row r="821" spans="1:12">
      <c r="A821" s="20" t="s">
        <v>399</v>
      </c>
      <c r="B821" s="21" t="s">
        <v>388</v>
      </c>
      <c r="C821" s="21" t="s">
        <v>385</v>
      </c>
      <c r="D821" s="21" t="s">
        <v>358</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t="s">
        <v>389</v>
      </c>
      <c r="E822" s="22">
        <f>IF(D822="?OLD","!!!","")</f>
        <v/>
      </c>
      <c r="F822" s="23" t="str">
        <f>IF(OR(E822="",E822="!!!"),"",IF(NOT(ISNA(VLOOKUP(E822,E$1:E821,1,FALSE()))),"OLD",IF(AND(E822&lt;&gt;"",E822&lt;&gt;"!!!"),"NEW","")))</f>
        <v> </v>
      </c>
      <c r="G822" s="24" t="str">
        <f>IF(OR(E822="",E822="!!!"),"",IF(OR(J822=0,AND(J822=1,K822=1),AND(J822=1,I822="SBJ"),AND(J822=1,I822=0)),"?IN_FOCUS",IF(J822&lt;=2,"?ACTIVATED",IF(J822&lt;&gt;"","?FAMILIAR",IF(F822="NEW",IF(ISNA(VLOOKUP(E822,#REF!,1,FALSE())),"?TYPE_IDENTIFIABLE","?REFERENTIAL"),"_")))))</f>
        <v> </v>
      </c>
      <c r="H822" s="25" t="str">
        <f>IF(J822&lt;&gt;1,"",IF(I822="SBJ","CB","?"))</f>
        <v> </v>
      </c>
      <c r="I822" s="26" t="str">
        <f>IF(OR(E822="",E822="!!!",F822="NEW"),"",INDEX(B821:B$2,-1+SUMPRODUCT(MAX(ROW(E821:E$2)*(E822=E821:E$2)))))</f>
        <v> </v>
      </c>
      <c r="J822" s="26" t="str">
        <f>IF(OR(E822="",E822="!!!",F822="NEW"),"",COUNTBLANK(OFFSET(A$1,,,SUMPRODUCT(MAX(ROW(E$2:E822)*(E822=E$2:E822)))))-COUNTBLANK(OFFSET(A$1,,,SUMPRODUCT(MAX(ROW(E$1:E821)*(E2=E$1:E821))))))</f>
        <v> </v>
      </c>
      <c r="K822" s="26" t="str">
        <f>IF(OR(E822="",E822="!!!",F822="NEW"),"",INDEX(J$1:J821,SUMPRODUCT(MAX(ROW(E$1:E821)*(E822=E$1:E821)))))</f>
        <v> </v>
      </c>
      <c r="L822" s="27"/>
    </row>
    <row r="823" spans="1:12">
      <c r="A823" s="20"/>
    </row>
    <row r="824" spans="1:12">
      <c r="A824" s="20" t="s">
        <v>709</v>
      </c>
    </row>
    <row r="825" spans="1:12">
      <c r="A825" s="20" t="s">
        <v>710</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711</v>
      </c>
      <c r="B826" s="21" t="s">
        <v>373</v>
      </c>
      <c r="C826" s="21" t="s">
        <v>385</v>
      </c>
      <c r="D826" s="21" t="s">
        <v>358</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519</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405</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501</v>
      </c>
      <c r="B829" s="21" t="s">
        <v>360</v>
      </c>
      <c r="C829" s="21" t="s">
        <v>382</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t="s">
        <v>380</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398</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t="s">
        <v>440</v>
      </c>
      <c r="B832" s="21" t="s">
        <v>360</v>
      </c>
      <c r="C832" s="21" t="s">
        <v>385</v>
      </c>
      <c r="D832" s="21" t="s">
        <v>358</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t="s">
        <v>393</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t="s">
        <v>380</v>
      </c>
      <c r="E834" s="22">
        <f>IF(D834="?OLD","!!!","")</f>
        <v/>
      </c>
      <c r="F834" s="23" t="str">
        <f>IF(OR(E834="",E834="!!!"),"",IF(NOT(ISNA(VLOOKUP(E834,E$1:E833,1,FALSE()))),"OLD",IF(AND(E834&lt;&gt;"",E834&lt;&gt;"!!!"),"NEW","")))</f>
        <v> </v>
      </c>
      <c r="G834" s="24" t="str">
        <f>IF(OR(E834="",E834="!!!"),"",IF(OR(J834=0,AND(J834=1,K834=1),AND(J834=1,I834="SBJ"),AND(J834=1,I834=0)),"?IN_FOCUS",IF(J834&lt;=2,"?ACTIVATED",IF(J834&lt;&gt;"","?FAMILIAR",IF(F834="NEW",IF(ISNA(VLOOKUP(E834,#REF!,1,FALSE())),"?TYPE_IDENTIFIABLE","?REFERENTIAL"),"_")))))</f>
        <v> </v>
      </c>
      <c r="H834" s="25" t="str">
        <f>IF(J834&lt;&gt;1,"",IF(I834="SBJ","CB","?"))</f>
        <v> </v>
      </c>
      <c r="I834" s="26" t="str">
        <f>IF(OR(E834="",E834="!!!",F834="NEW"),"",INDEX(B833:B$2,-1+SUMPRODUCT(MAX(ROW(E833:E$2)*(E834=E833:E$2)))))</f>
        <v> </v>
      </c>
      <c r="J834" s="26" t="str">
        <f>IF(OR(E834="",E834="!!!",F834="NEW"),"",COUNTBLANK(OFFSET(A$1,,,SUMPRODUCT(MAX(ROW(E$2:E834)*(E834=E$2:E834)))))-COUNTBLANK(OFFSET(A$1,,,SUMPRODUCT(MAX(ROW(E$1:E833)*(E2=E$1:E833))))))</f>
        <v> </v>
      </c>
      <c r="K834" s="26" t="str">
        <f>IF(OR(E834="",E834="!!!",F834="NEW"),"",INDEX(J$1:J833,SUMPRODUCT(MAX(ROW(E$1:E833)*(E834=E$1:E833)))))</f>
        <v> </v>
      </c>
      <c r="L834" s="27"/>
    </row>
    <row r="835" spans="1:12">
      <c r="A835" s="20" t="s">
        <v>210</v>
      </c>
      <c r="E835" s="22">
        <f>IF(D835="?OLD","!!!","")</f>
        <v/>
      </c>
      <c r="F835" s="23" t="str">
        <f>IF(OR(E835="",E835="!!!"),"",IF(NOT(ISNA(VLOOKUP(E835,E$1:E834,1,FALSE()))),"OLD",IF(AND(E835&lt;&gt;"",E835&lt;&gt;"!!!"),"NEW","")))</f>
        <v> </v>
      </c>
      <c r="G835" s="24" t="str">
        <f>IF(OR(E835="",E835="!!!"),"",IF(OR(J835=0,AND(J835=1,K835=1),AND(J835=1,I835="SBJ"),AND(J835=1,I835=0)),"?IN_FOCUS",IF(J835&lt;=2,"?ACTIVATED",IF(J835&lt;&gt;"","?FAMILIAR",IF(F835="NEW",IF(ISNA(VLOOKUP(E835,#REF!,1,FALSE())),"?TYPE_IDENTIFIABLE","?REFERENTIAL"),"_")))))</f>
        <v> </v>
      </c>
      <c r="H835" s="25" t="str">
        <f>IF(J835&lt;&gt;1,"",IF(I835="SBJ","CB","?"))</f>
        <v> </v>
      </c>
      <c r="I835" s="26" t="str">
        <f>IF(OR(E835="",E835="!!!",F835="NEW"),"",INDEX(B834:B$2,-1+SUMPRODUCT(MAX(ROW(E834:E$2)*(E835=E834:E$2)))))</f>
        <v> </v>
      </c>
      <c r="J835" s="26" t="str">
        <f>IF(OR(E835="",E835="!!!",F835="NEW"),"",COUNTBLANK(OFFSET(A$1,,,SUMPRODUCT(MAX(ROW(E$2:E835)*(E835=E$2:E835)))))-COUNTBLANK(OFFSET(A$1,,,SUMPRODUCT(MAX(ROW(E$1:E834)*(E2=E$1:E834))))))</f>
        <v> </v>
      </c>
      <c r="K835" s="26" t="str">
        <f>IF(OR(E835="",E835="!!!",F835="NEW"),"",INDEX(J$1:J834,SUMPRODUCT(MAX(ROW(E$1:E834)*(E835=E$1:E834)))))</f>
        <v> </v>
      </c>
      <c r="L835" s="27"/>
    </row>
    <row r="836" spans="1:12">
      <c r="A836" s="20" t="s">
        <v>712</v>
      </c>
      <c r="B836" s="21" t="s">
        <v>365</v>
      </c>
      <c r="C836" s="21" t="s">
        <v>402</v>
      </c>
      <c r="E836" s="22">
        <f>IF(D836="?OLD","!!!","")</f>
        <v/>
      </c>
      <c r="F836" s="23" t="str">
        <f>IF(OR(E836="",E836="!!!"),"",IF(NOT(ISNA(VLOOKUP(E836,E$1:E835,1,FALSE()))),"OLD",IF(AND(E836&lt;&gt;"",E836&lt;&gt;"!!!"),"NEW","")))</f>
        <v> </v>
      </c>
      <c r="G836" s="24" t="str">
        <f>IF(OR(E836="",E836="!!!"),"",IF(OR(J836=0,AND(J836=1,K836=1),AND(J836=1,I836="SBJ"),AND(J836=1,I836=0)),"?IN_FOCUS",IF(J836&lt;=2,"?ACTIVATED",IF(J836&lt;&gt;"","?FAMILIAR",IF(F836="NEW",IF(ISNA(VLOOKUP(E836,#REF!,1,FALSE())),"?TYPE_IDENTIFIABLE","?REFERENTIAL"),"_")))))</f>
        <v> </v>
      </c>
      <c r="H836" s="25" t="str">
        <f>IF(J836&lt;&gt;1,"",IF(I836="SBJ","CB","?"))</f>
        <v> </v>
      </c>
      <c r="I836" s="26" t="str">
        <f>IF(OR(E836="",E836="!!!",F836="NEW"),"",INDEX(B835:B$2,-1+SUMPRODUCT(MAX(ROW(E835:E$2)*(E836=E835:E$2)))))</f>
        <v> </v>
      </c>
      <c r="J836" s="26" t="str">
        <f>IF(OR(E836="",E836="!!!",F836="NEW"),"",COUNTBLANK(OFFSET(A$1,,,SUMPRODUCT(MAX(ROW(E$2:E836)*(E836=E$2:E836)))))-COUNTBLANK(OFFSET(A$1,,,SUMPRODUCT(MAX(ROW(E$1:E835)*(E2=E$1:E835))))))</f>
        <v> </v>
      </c>
      <c r="K836" s="26" t="str">
        <f>IF(OR(E836="",E836="!!!",F836="NEW"),"",INDEX(J$1:J835,SUMPRODUCT(MAX(ROW(E$1:E835)*(E836=E$1:E835)))))</f>
        <v> </v>
      </c>
      <c r="L836" s="27"/>
    </row>
    <row r="837" spans="1:12">
      <c r="A837" s="20" t="s">
        <v>367</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519</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398</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468</v>
      </c>
      <c r="B840" s="21" t="s">
        <v>365</v>
      </c>
      <c r="C840" s="21" t="s">
        <v>385</v>
      </c>
      <c r="D840" s="21" t="s">
        <v>358</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474</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t="s">
        <v>583</v>
      </c>
      <c r="B842" s="21" t="s">
        <v>356</v>
      </c>
      <c r="C842" s="21" t="s">
        <v>382</v>
      </c>
      <c r="E842" s="22">
        <f>IF(D842="?OLD","!!!","")</f>
        <v/>
      </c>
      <c r="F842" s="23" t="str">
        <f>IF(OR(E842="",E842="!!!"),"",IF(NOT(ISNA(VLOOKUP(E842,E$1:E841,1,FALSE()))),"OLD",IF(AND(E842&lt;&gt;"",E842&lt;&gt;"!!!"),"NEW","")))</f>
        <v> </v>
      </c>
      <c r="G842" s="24" t="str">
        <f>IF(OR(E842="",E842="!!!"),"",IF(OR(J842=0,AND(J842=1,K842=1),AND(J842=1,I842="SBJ"),AND(J842=1,I842=0)),"?IN_FOCUS",IF(J842&lt;=2,"?ACTIVATED",IF(J842&lt;&gt;"","?FAMILIAR",IF(F842="NEW",IF(ISNA(VLOOKUP(E842,#REF!,1,FALSE())),"?TYPE_IDENTIFIABLE","?REFERENTIAL"),"_")))))</f>
        <v> </v>
      </c>
      <c r="H842" s="25" t="str">
        <f>IF(J842&lt;&gt;1,"",IF(I842="SBJ","CB","?"))</f>
        <v> </v>
      </c>
      <c r="I842" s="26" t="str">
        <f>IF(OR(E842="",E842="!!!",F842="NEW"),"",INDEX(B841:B$2,-1+SUMPRODUCT(MAX(ROW(E841:E$2)*(E842=E841:E$2)))))</f>
        <v> </v>
      </c>
      <c r="J842" s="26" t="str">
        <f>IF(OR(E842="",E842="!!!",F842="NEW"),"",COUNTBLANK(OFFSET(A$1,,,SUMPRODUCT(MAX(ROW(E$2:E842)*(E842=E$2:E842)))))-COUNTBLANK(OFFSET(A$1,,,SUMPRODUCT(MAX(ROW(E$1:E841)*(E2=E$1:E841))))))</f>
        <v> </v>
      </c>
      <c r="K842" s="26" t="str">
        <f>IF(OR(E842="",E842="!!!",F842="NEW"),"",INDEX(J$1:J841,SUMPRODUCT(MAX(ROW(E$1:E841)*(E842=E$1:E841)))))</f>
        <v> </v>
      </c>
      <c r="L842" s="27"/>
    </row>
    <row r="843" spans="1:12">
      <c r="A843" s="20" t="s">
        <v>380</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584</v>
      </c>
      <c r="B844" s="21" t="s">
        <v>360</v>
      </c>
      <c r="C844" s="21" t="s">
        <v>382</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367</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369</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522</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713</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380</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405</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t="s">
        <v>714</v>
      </c>
      <c r="B851" s="21" t="s">
        <v>356</v>
      </c>
      <c r="C851" s="21" t="s">
        <v>385</v>
      </c>
      <c r="D851" s="21" t="s">
        <v>358</v>
      </c>
      <c r="E851" s="22">
        <f>IF(D851="?OLD","!!!","")</f>
        <v/>
      </c>
      <c r="F851" s="23" t="str">
        <f>IF(OR(E851="",E851="!!!"),"",IF(NOT(ISNA(VLOOKUP(E851,E$1:E850,1,FALSE()))),"OLD",IF(AND(E851&lt;&gt;"",E851&lt;&gt;"!!!"),"NEW","")))</f>
        <v> </v>
      </c>
      <c r="G851" s="24" t="str">
        <f>IF(OR(E851="",E851="!!!"),"",IF(OR(J851=0,AND(J851=1,K851=1),AND(J851=1,I851="SBJ"),AND(J851=1,I851=0)),"?IN_FOCUS",IF(J851&lt;=2,"?ACTIVATED",IF(J851&lt;&gt;"","?FAMILIAR",IF(F851="NEW",IF(ISNA(VLOOKUP(E851,#REF!,1,FALSE())),"?TYPE_IDENTIFIABLE","?REFERENTIAL"),"_")))))</f>
        <v> </v>
      </c>
      <c r="H851" s="25" t="str">
        <f>IF(J851&lt;&gt;1,"",IF(I851="SBJ","CB","?"))</f>
        <v> </v>
      </c>
      <c r="I851" s="26" t="str">
        <f>IF(OR(E851="",E851="!!!",F851="NEW"),"",INDEX(B850:B$2,-1+SUMPRODUCT(MAX(ROW(E850:E$2)*(E851=E850:E$2)))))</f>
        <v> </v>
      </c>
      <c r="J851" s="26" t="str">
        <f>IF(OR(E851="",E851="!!!",F851="NEW"),"",COUNTBLANK(OFFSET(A$1,,,SUMPRODUCT(MAX(ROW(E$2:E851)*(E851=E$2:E851)))))-COUNTBLANK(OFFSET(A$1,,,SUMPRODUCT(MAX(ROW(E$1:E850)*(E2=E$1:E850))))))</f>
        <v> </v>
      </c>
      <c r="K851" s="26" t="str">
        <f>IF(OR(E851="",E851="!!!",F851="NEW"),"",INDEX(J$1:J850,SUMPRODUCT(MAX(ROW(E$1:E850)*(E851=E$1:E850)))))</f>
        <v> </v>
      </c>
      <c r="L851" s="27"/>
    </row>
    <row r="852" spans="1:12">
      <c r="A852" s="20" t="s">
        <v>367</v>
      </c>
      <c r="E852" s="22">
        <f>IF(D852="?OLD","!!!","")</f>
        <v/>
      </c>
      <c r="F852" s="23" t="str">
        <f>IF(OR(E852="",E852="!!!"),"",IF(NOT(ISNA(VLOOKUP(E852,E$1:E851,1,FALSE()))),"OLD",IF(AND(E852&lt;&gt;"",E852&lt;&gt;"!!!"),"NEW","")))</f>
        <v> </v>
      </c>
      <c r="G852" s="24" t="str">
        <f>IF(OR(E852="",E852="!!!"),"",IF(OR(J852=0,AND(J852=1,K852=1),AND(J852=1,I852="SBJ"),AND(J852=1,I852=0)),"?IN_FOCUS",IF(J852&lt;=2,"?ACTIVATED",IF(J852&lt;&gt;"","?FAMILIAR",IF(F852="NEW",IF(ISNA(VLOOKUP(E852,#REF!,1,FALSE())),"?TYPE_IDENTIFIABLE","?REFERENTIAL"),"_")))))</f>
        <v> </v>
      </c>
      <c r="H852" s="25" t="str">
        <f>IF(J852&lt;&gt;1,"",IF(I852="SBJ","CB","?"))</f>
        <v> </v>
      </c>
      <c r="I852" s="26" t="str">
        <f>IF(OR(E852="",E852="!!!",F852="NEW"),"",INDEX(B851:B$2,-1+SUMPRODUCT(MAX(ROW(E851:E$2)*(E852=E851:E$2)))))</f>
        <v> </v>
      </c>
      <c r="J852" s="26" t="str">
        <f>IF(OR(E852="",E852="!!!",F852="NEW"),"",COUNTBLANK(OFFSET(A$1,,,SUMPRODUCT(MAX(ROW(E$2:E852)*(E852=E$2:E852)))))-COUNTBLANK(OFFSET(A$1,,,SUMPRODUCT(MAX(ROW(E$1:E851)*(E2=E$1:E851))))))</f>
        <v> </v>
      </c>
      <c r="K852" s="26" t="str">
        <f>IF(OR(E852="",E852="!!!",F852="NEW"),"",INDEX(J$1:J851,SUMPRODUCT(MAX(ROW(E$1:E851)*(E852=E$1:E851)))))</f>
        <v> </v>
      </c>
      <c r="L852" s="27"/>
    </row>
    <row r="853" spans="1:12">
      <c r="A853" s="20" t="s">
        <v>398</v>
      </c>
      <c r="E853" s="22">
        <f>IF(D853="?OLD","!!!","")</f>
        <v/>
      </c>
      <c r="F853" s="23" t="str">
        <f>IF(OR(E853="",E853="!!!"),"",IF(NOT(ISNA(VLOOKUP(E853,E$1:E852,1,FALSE()))),"OLD",IF(AND(E853&lt;&gt;"",E853&lt;&gt;"!!!"),"NEW","")))</f>
        <v> </v>
      </c>
      <c r="G853" s="24" t="str">
        <f>IF(OR(E853="",E853="!!!"),"",IF(OR(J853=0,AND(J853=1,K853=1),AND(J853=1,I853="SBJ"),AND(J853=1,I853=0)),"?IN_FOCUS",IF(J853&lt;=2,"?ACTIVATED",IF(J853&lt;&gt;"","?FAMILIAR",IF(F853="NEW",IF(ISNA(VLOOKUP(E853,#REF!,1,FALSE())),"?TYPE_IDENTIFIABLE","?REFERENTIAL"),"_")))))</f>
        <v> </v>
      </c>
      <c r="H853" s="25" t="str">
        <f>IF(J853&lt;&gt;1,"",IF(I853="SBJ","CB","?"))</f>
        <v> </v>
      </c>
      <c r="I853" s="26" t="str">
        <f>IF(OR(E853="",E853="!!!",F853="NEW"),"",INDEX(B852:B$2,-1+SUMPRODUCT(MAX(ROW(E852:E$2)*(E853=E852:E$2)))))</f>
        <v> </v>
      </c>
      <c r="J853" s="26" t="str">
        <f>IF(OR(E853="",E853="!!!",F853="NEW"),"",COUNTBLANK(OFFSET(A$1,,,SUMPRODUCT(MAX(ROW(E$2:E853)*(E853=E$2:E853)))))-COUNTBLANK(OFFSET(A$1,,,SUMPRODUCT(MAX(ROW(E$1:E852)*(E2=E$1:E852))))))</f>
        <v> </v>
      </c>
      <c r="K853" s="26" t="str">
        <f>IF(OR(E853="",E853="!!!",F853="NEW"),"",INDEX(J$1:J852,SUMPRODUCT(MAX(ROW(E$1:E852)*(E853=E$1:E852)))))</f>
        <v> </v>
      </c>
      <c r="L853" s="27"/>
    </row>
    <row r="854" spans="1:12">
      <c r="A854" s="20" t="s">
        <v>715</v>
      </c>
      <c r="B854" s="21" t="s">
        <v>365</v>
      </c>
      <c r="C854" s="21" t="s">
        <v>385</v>
      </c>
      <c r="D854" s="21" t="s">
        <v>358</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t="s">
        <v>367</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414</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522</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t="s">
        <v>716</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t="s">
        <v>367</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t="s">
        <v>609</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643</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t="s">
        <v>717</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367</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211</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519</v>
      </c>
      <c r="E865" s="22">
        <f>IF(D865="?OLD","!!!","")</f>
        <v/>
      </c>
      <c r="F865" s="23" t="str">
        <f>IF(OR(E865="",E865="!!!"),"",IF(NOT(ISNA(VLOOKUP(E865,E$1:E864,1,FALSE()))),"OLD",IF(AND(E865&lt;&gt;"",E865&lt;&gt;"!!!"),"NEW","")))</f>
        <v> </v>
      </c>
      <c r="G865" s="24" t="str">
        <f>IF(OR(E865="",E865="!!!"),"",IF(OR(J865=0,AND(J865=1,K865=1),AND(J865=1,I865="SBJ"),AND(J865=1,I865=0)),"?IN_FOCUS",IF(J865&lt;=2,"?ACTIVATED",IF(J865&lt;&gt;"","?FAMILIAR",IF(F865="NEW",IF(ISNA(VLOOKUP(E865,#REF!,1,FALSE())),"?TYPE_IDENTIFIABLE","?REFERENTIAL"),"_")))))</f>
        <v> </v>
      </c>
      <c r="H865" s="25" t="str">
        <f>IF(J865&lt;&gt;1,"",IF(I865="SBJ","CB","?"))</f>
        <v> </v>
      </c>
      <c r="I865" s="26" t="str">
        <f>IF(OR(E865="",E865="!!!",F865="NEW"),"",INDEX(B864:B$2,-1+SUMPRODUCT(MAX(ROW(E864:E$2)*(E865=E864:E$2)))))</f>
        <v> </v>
      </c>
      <c r="J865" s="26" t="str">
        <f>IF(OR(E865="",E865="!!!",F865="NEW"),"",COUNTBLANK(OFFSET(A$1,,,SUMPRODUCT(MAX(ROW(E$2:E865)*(E865=E$2:E865)))))-COUNTBLANK(OFFSET(A$1,,,SUMPRODUCT(MAX(ROW(E$1:E864)*(E2=E$1:E864))))))</f>
        <v> </v>
      </c>
      <c r="K865" s="26" t="str">
        <f>IF(OR(E865="",E865="!!!",F865="NEW"),"",INDEX(J$1:J864,SUMPRODUCT(MAX(ROW(E$1:E864)*(E865=E$1:E864)))))</f>
        <v> </v>
      </c>
      <c r="L865" s="27"/>
    </row>
    <row r="866" spans="1:12">
      <c r="A866" s="20" t="s">
        <v>398</v>
      </c>
      <c r="E866" s="22">
        <f>IF(D866="?OLD","!!!","")</f>
        <v/>
      </c>
      <c r="F866" s="23" t="str">
        <f>IF(OR(E866="",E866="!!!"),"",IF(NOT(ISNA(VLOOKUP(E866,E$1:E865,1,FALSE()))),"OLD",IF(AND(E866&lt;&gt;"",E866&lt;&gt;"!!!"),"NEW","")))</f>
        <v> </v>
      </c>
      <c r="G866" s="24" t="str">
        <f>IF(OR(E866="",E866="!!!"),"",IF(OR(J866=0,AND(J866=1,K866=1),AND(J866=1,I866="SBJ"),AND(J866=1,I866=0)),"?IN_FOCUS",IF(J866&lt;=2,"?ACTIVATED",IF(J866&lt;&gt;"","?FAMILIAR",IF(F866="NEW",IF(ISNA(VLOOKUP(E866,#REF!,1,FALSE())),"?TYPE_IDENTIFIABLE","?REFERENTIAL"),"_")))))</f>
        <v> </v>
      </c>
      <c r="H866" s="25" t="str">
        <f>IF(J866&lt;&gt;1,"",IF(I866="SBJ","CB","?"))</f>
        <v> </v>
      </c>
      <c r="I866" s="26" t="str">
        <f>IF(OR(E866="",E866="!!!",F866="NEW"),"",INDEX(B865:B$2,-1+SUMPRODUCT(MAX(ROW(E865:E$2)*(E866=E865:E$2)))))</f>
        <v> </v>
      </c>
      <c r="J866" s="26" t="str">
        <f>IF(OR(E866="",E866="!!!",F866="NEW"),"",COUNTBLANK(OFFSET(A$1,,,SUMPRODUCT(MAX(ROW(E$2:E866)*(E866=E$2:E866)))))-COUNTBLANK(OFFSET(A$1,,,SUMPRODUCT(MAX(ROW(E$1:E865)*(E2=E$1:E865))))))</f>
        <v> </v>
      </c>
      <c r="K866" s="26" t="str">
        <f>IF(OR(E866="",E866="!!!",F866="NEW"),"",INDEX(J$1:J865,SUMPRODUCT(MAX(ROW(E$1:E865)*(E866=E$1:E865)))))</f>
        <v> </v>
      </c>
      <c r="L866" s="27"/>
    </row>
    <row r="867" spans="1:12">
      <c r="A867" s="20" t="s">
        <v>600</v>
      </c>
      <c r="B867" s="21" t="s">
        <v>365</v>
      </c>
      <c r="C867" s="21" t="s">
        <v>385</v>
      </c>
      <c r="D867" s="21" t="s">
        <v>358</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t="s">
        <v>367</v>
      </c>
      <c r="E868" s="22">
        <f>IF(D868="?OLD","!!!","")</f>
        <v/>
      </c>
      <c r="F868" s="23" t="str">
        <f>IF(OR(E868="",E868="!!!"),"",IF(NOT(ISNA(VLOOKUP(E868,E$1:E867,1,FALSE()))),"OLD",IF(AND(E868&lt;&gt;"",E868&lt;&gt;"!!!"),"NEW","")))</f>
        <v> </v>
      </c>
      <c r="G868" s="24" t="str">
        <f>IF(OR(E868="",E868="!!!"),"",IF(OR(J868=0,AND(J868=1,K868=1),AND(J868=1,I868="SBJ"),AND(J868=1,I868=0)),"?IN_FOCUS",IF(J868&lt;=2,"?ACTIVATED",IF(J868&lt;&gt;"","?FAMILIAR",IF(F868="NEW",IF(ISNA(VLOOKUP(E868,#REF!,1,FALSE())),"?TYPE_IDENTIFIABLE","?REFERENTIAL"),"_")))))</f>
        <v> </v>
      </c>
      <c r="H868" s="25" t="str">
        <f>IF(J868&lt;&gt;1,"",IF(I868="SBJ","CB","?"))</f>
        <v> </v>
      </c>
      <c r="I868" s="26" t="str">
        <f>IF(OR(E868="",E868="!!!",F868="NEW"),"",INDEX(B867:B$2,-1+SUMPRODUCT(MAX(ROW(E867:E$2)*(E868=E867:E$2)))))</f>
        <v> </v>
      </c>
      <c r="J868" s="26" t="str">
        <f>IF(OR(E868="",E868="!!!",F868="NEW"),"",COUNTBLANK(OFFSET(A$1,,,SUMPRODUCT(MAX(ROW(E$2:E868)*(E868=E$2:E868)))))-COUNTBLANK(OFFSET(A$1,,,SUMPRODUCT(MAX(ROW(E$1:E867)*(E2=E$1:E867))))))</f>
        <v> </v>
      </c>
      <c r="K868" s="26" t="str">
        <f>IF(OR(E868="",E868="!!!",F868="NEW"),"",INDEX(J$1:J867,SUMPRODUCT(MAX(ROW(E$1:E867)*(E868=E$1:E867)))))</f>
        <v> </v>
      </c>
      <c r="L868" s="27"/>
    </row>
    <row r="869" spans="1:12">
      <c r="A869" s="20" t="s">
        <v>716</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427</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t="s">
        <v>519</v>
      </c>
      <c r="E871" s="22">
        <f>IF(D871="?OLD","!!!","")</f>
        <v/>
      </c>
      <c r="F871" s="23" t="str">
        <f>IF(OR(E871="",E871="!!!"),"",IF(NOT(ISNA(VLOOKUP(E871,E$1:E870,1,FALSE()))),"OLD",IF(AND(E871&lt;&gt;"",E871&lt;&gt;"!!!"),"NEW","")))</f>
        <v> </v>
      </c>
      <c r="G871" s="24" t="str">
        <f>IF(OR(E871="",E871="!!!"),"",IF(OR(J871=0,AND(J871=1,K871=1),AND(J871=1,I871="SBJ"),AND(J871=1,I871=0)),"?IN_FOCUS",IF(J871&lt;=2,"?ACTIVATED",IF(J871&lt;&gt;"","?FAMILIAR",IF(F871="NEW",IF(ISNA(VLOOKUP(E871,#REF!,1,FALSE())),"?TYPE_IDENTIFIABLE","?REFERENTIAL"),"_")))))</f>
        <v> </v>
      </c>
      <c r="H871" s="25" t="str">
        <f>IF(J871&lt;&gt;1,"",IF(I871="SBJ","CB","?"))</f>
        <v> </v>
      </c>
      <c r="I871" s="26" t="str">
        <f>IF(OR(E871="",E871="!!!",F871="NEW"),"",INDEX(B870:B$2,-1+SUMPRODUCT(MAX(ROW(E870:E$2)*(E871=E870:E$2)))))</f>
        <v> </v>
      </c>
      <c r="J871" s="26" t="str">
        <f>IF(OR(E871="",E871="!!!",F871="NEW"),"",COUNTBLANK(OFFSET(A$1,,,SUMPRODUCT(MAX(ROW(E$2:E871)*(E871=E$2:E871)))))-COUNTBLANK(OFFSET(A$1,,,SUMPRODUCT(MAX(ROW(E$1:E870)*(E2=E$1:E870))))))</f>
        <v> </v>
      </c>
      <c r="K871" s="26" t="str">
        <f>IF(OR(E871="",E871="!!!",F871="NEW"),"",INDEX(J$1:J870,SUMPRODUCT(MAX(ROW(E$1:E870)*(E871=E$1:E870)))))</f>
        <v> </v>
      </c>
      <c r="L871" s="27"/>
    </row>
    <row r="872" spans="1:12">
      <c r="A872" s="20" t="s">
        <v>405</v>
      </c>
      <c r="E872" s="22">
        <f>IF(D872="?OLD","!!!","")</f>
        <v/>
      </c>
      <c r="F872" s="23" t="str">
        <f>IF(OR(E872="",E872="!!!"),"",IF(NOT(ISNA(VLOOKUP(E872,E$1:E871,1,FALSE()))),"OLD",IF(AND(E872&lt;&gt;"",E872&lt;&gt;"!!!"),"NEW","")))</f>
        <v> </v>
      </c>
      <c r="G872" s="24" t="str">
        <f>IF(OR(E872="",E872="!!!"),"",IF(OR(J872=0,AND(J872=1,K872=1),AND(J872=1,I872="SBJ"),AND(J872=1,I872=0)),"?IN_FOCUS",IF(J872&lt;=2,"?ACTIVATED",IF(J872&lt;&gt;"","?FAMILIAR",IF(F872="NEW",IF(ISNA(VLOOKUP(E872,#REF!,1,FALSE())),"?TYPE_IDENTIFIABLE","?REFERENTIAL"),"_")))))</f>
        <v> </v>
      </c>
      <c r="H872" s="25" t="str">
        <f>IF(J872&lt;&gt;1,"",IF(I872="SBJ","CB","?"))</f>
        <v> </v>
      </c>
      <c r="I872" s="26" t="str">
        <f>IF(OR(E872="",E872="!!!",F872="NEW"),"",INDEX(B871:B$2,-1+SUMPRODUCT(MAX(ROW(E871:E$2)*(E872=E871:E$2)))))</f>
        <v> </v>
      </c>
      <c r="J872" s="26" t="str">
        <f>IF(OR(E872="",E872="!!!",F872="NEW"),"",COUNTBLANK(OFFSET(A$1,,,SUMPRODUCT(MAX(ROW(E$2:E872)*(E872=E$2:E872)))))-COUNTBLANK(OFFSET(A$1,,,SUMPRODUCT(MAX(ROW(E$1:E871)*(E2=E$1:E871))))))</f>
        <v> </v>
      </c>
      <c r="K872" s="26" t="str">
        <f>IF(OR(E872="",E872="!!!",F872="NEW"),"",INDEX(J$1:J871,SUMPRODUCT(MAX(ROW(E$1:E871)*(E872=E$1:E871)))))</f>
        <v> </v>
      </c>
      <c r="L872" s="27"/>
    </row>
    <row r="873" spans="1:12">
      <c r="A873" s="20" t="s">
        <v>718</v>
      </c>
      <c r="B873" s="21" t="s">
        <v>365</v>
      </c>
      <c r="C873" s="21" t="s">
        <v>385</v>
      </c>
      <c r="D873" s="21" t="s">
        <v>358</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380</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398</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719</v>
      </c>
      <c r="B876" s="21" t="s">
        <v>356</v>
      </c>
      <c r="C876" s="21" t="s">
        <v>385</v>
      </c>
      <c r="D876" s="21" t="s">
        <v>358</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389</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row>
    <row r="879" spans="1:12">
      <c r="A879" s="20" t="s">
        <v>720</v>
      </c>
    </row>
    <row r="880" spans="1:12">
      <c r="A880" s="20" t="s">
        <v>721</v>
      </c>
      <c r="B880" s="21" t="s">
        <v>373</v>
      </c>
      <c r="C880" s="21" t="s">
        <v>722</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592</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432</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398</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t="s">
        <v>723</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t="s">
        <v>618</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row>
    <row r="887" spans="1:12">
      <c r="A887" s="20" t="s">
        <v>724</v>
      </c>
    </row>
    <row r="888" spans="1:12">
      <c r="A888" s="20" t="s">
        <v>682</v>
      </c>
      <c r="E888" s="22">
        <f>IF(D888="?OLD","!!!","")</f>
        <v/>
      </c>
      <c r="F888" s="23" t="str">
        <f>IF(OR(E888="",E888="!!!"),"",IF(NOT(ISNA(VLOOKUP(E888,E$1:E887,1,FALSE()))),"OLD",IF(AND(E888&lt;&gt;"",E888&lt;&gt;"!!!"),"NEW","")))</f>
        <v> </v>
      </c>
      <c r="G888" s="24" t="str">
        <f>IF(OR(E888="",E888="!!!"),"",IF(OR(J888=0,AND(J888=1,K888=1),AND(J888=1,I888="SBJ"),AND(J888=1,I888=0)),"?IN_FOCUS",IF(J888&lt;=2,"?ACTIVATED",IF(J888&lt;&gt;"","?FAMILIAR",IF(F888="NEW",IF(ISNA(VLOOKUP(E888,#REF!,1,FALSE())),"?TYPE_IDENTIFIABLE","?REFERENTIAL"),"_")))))</f>
        <v> </v>
      </c>
      <c r="H888" s="25" t="str">
        <f>IF(J888&lt;&gt;1,"",IF(I888="SBJ","CB","?"))</f>
        <v> </v>
      </c>
      <c r="I888" s="26" t="str">
        <f>IF(OR(E888="",E888="!!!",F888="NEW"),"",INDEX(B887:B$2,-1+SUMPRODUCT(MAX(ROW(E887:E$2)*(E888=E887:E$2)))))</f>
        <v> </v>
      </c>
      <c r="J888" s="26" t="str">
        <f>IF(OR(E888="",E888="!!!",F888="NEW"),"",COUNTBLANK(OFFSET(A$1,,,SUMPRODUCT(MAX(ROW(E$2:E888)*(E888=E$2:E888)))))-COUNTBLANK(OFFSET(A$1,,,SUMPRODUCT(MAX(ROW(E$1:E887)*(E2=E$1:E887))))))</f>
        <v> </v>
      </c>
      <c r="K888" s="26" t="str">
        <f>IF(OR(E888="",E888="!!!",F888="NEW"),"",INDEX(J$1:J887,SUMPRODUCT(MAX(ROW(E$1:E887)*(E888=E$1:E887)))))</f>
        <v> </v>
      </c>
      <c r="L888" s="27"/>
    </row>
    <row r="889" spans="1:12">
      <c r="A889" s="20" t="s">
        <v>470</v>
      </c>
      <c r="B889" s="21" t="s">
        <v>365</v>
      </c>
      <c r="C889" s="21" t="s">
        <v>385</v>
      </c>
      <c r="D889" s="21" t="s">
        <v>358</v>
      </c>
      <c r="E889" s="22">
        <f>IF(D889="?OLD","!!!","")</f>
        <v/>
      </c>
      <c r="F889" s="23" t="str">
        <f>IF(OR(E889="",E889="!!!"),"",IF(NOT(ISNA(VLOOKUP(E889,E$1:E888,1,FALSE()))),"OLD",IF(AND(E889&lt;&gt;"",E889&lt;&gt;"!!!"),"NEW","")))</f>
        <v> </v>
      </c>
      <c r="G889" s="24" t="str">
        <f>IF(OR(E889="",E889="!!!"),"",IF(OR(J889=0,AND(J889=1,K889=1),AND(J889=1,I889="SBJ"),AND(J889=1,I889=0)),"?IN_FOCUS",IF(J889&lt;=2,"?ACTIVATED",IF(J889&lt;&gt;"","?FAMILIAR",IF(F889="NEW",IF(ISNA(VLOOKUP(E889,#REF!,1,FALSE())),"?TYPE_IDENTIFIABLE","?REFERENTIAL"),"_")))))</f>
        <v> </v>
      </c>
      <c r="H889" s="25" t="str">
        <f>IF(J889&lt;&gt;1,"",IF(I889="SBJ","CB","?"))</f>
        <v> </v>
      </c>
      <c r="I889" s="26" t="str">
        <f>IF(OR(E889="",E889="!!!",F889="NEW"),"",INDEX(B888:B$2,-1+SUMPRODUCT(MAX(ROW(E888:E$2)*(E889=E888:E$2)))))</f>
        <v> </v>
      </c>
      <c r="J889" s="26" t="str">
        <f>IF(OR(E889="",E889="!!!",F889="NEW"),"",COUNTBLANK(OFFSET(A$1,,,SUMPRODUCT(MAX(ROW(E$2:E889)*(E889=E$2:E889)))))-COUNTBLANK(OFFSET(A$1,,,SUMPRODUCT(MAX(ROW(E$1:E888)*(E2=E$1:E888))))))</f>
        <v> </v>
      </c>
      <c r="K889" s="26" t="str">
        <f>IF(OR(E889="",E889="!!!",F889="NEW"),"",INDEX(J$1:J888,SUMPRODUCT(MAX(ROW(E$1:E888)*(E889=E$1:E888)))))</f>
        <v> </v>
      </c>
      <c r="L889" s="27"/>
    </row>
    <row r="890" spans="1:12">
      <c r="A890" s="20" t="s">
        <v>211</v>
      </c>
      <c r="E890" s="22">
        <f>IF(D890="?OLD","!!!","")</f>
        <v/>
      </c>
      <c r="F890" s="23" t="str">
        <f>IF(OR(E890="",E890="!!!"),"",IF(NOT(ISNA(VLOOKUP(E890,E$1:E889,1,FALSE()))),"OLD",IF(AND(E890&lt;&gt;"",E890&lt;&gt;"!!!"),"NEW","")))</f>
        <v> </v>
      </c>
      <c r="G890" s="24" t="str">
        <f>IF(OR(E890="",E890="!!!"),"",IF(OR(J890=0,AND(J890=1,K890=1),AND(J890=1,I890="SBJ"),AND(J890=1,I890=0)),"?IN_FOCUS",IF(J890&lt;=2,"?ACTIVATED",IF(J890&lt;&gt;"","?FAMILIAR",IF(F890="NEW",IF(ISNA(VLOOKUP(E890,#REF!,1,FALSE())),"?TYPE_IDENTIFIABLE","?REFERENTIAL"),"_")))))</f>
        <v> </v>
      </c>
      <c r="H890" s="25" t="str">
        <f>IF(J890&lt;&gt;1,"",IF(I890="SBJ","CB","?"))</f>
        <v> </v>
      </c>
      <c r="I890" s="26" t="str">
        <f>IF(OR(E890="",E890="!!!",F890="NEW"),"",INDEX(B889:B$2,-1+SUMPRODUCT(MAX(ROW(E889:E$2)*(E890=E889:E$2)))))</f>
        <v> </v>
      </c>
      <c r="J890" s="26" t="str">
        <f>IF(OR(E890="",E890="!!!",F890="NEW"),"",COUNTBLANK(OFFSET(A$1,,,SUMPRODUCT(MAX(ROW(E$2:E890)*(E890=E$2:E890)))))-COUNTBLANK(OFFSET(A$1,,,SUMPRODUCT(MAX(ROW(E$1:E889)*(E2=E$1:E889))))))</f>
        <v> </v>
      </c>
      <c r="K890" s="26" t="str">
        <f>IF(OR(E890="",E890="!!!",F890="NEW"),"",INDEX(J$1:J889,SUMPRODUCT(MAX(ROW(E$1:E889)*(E890=E$1:E889)))))</f>
        <v> </v>
      </c>
      <c r="L890" s="27"/>
    </row>
    <row r="891" spans="1:12">
      <c r="A891" s="20" t="s">
        <v>398</v>
      </c>
      <c r="E891" s="22">
        <f>IF(D891="?OLD","!!!","")</f>
        <v/>
      </c>
      <c r="F891" s="23" t="str">
        <f>IF(OR(E891="",E891="!!!"),"",IF(NOT(ISNA(VLOOKUP(E891,E$1:E890,1,FALSE()))),"OLD",IF(AND(E891&lt;&gt;"",E891&lt;&gt;"!!!"),"NEW","")))</f>
        <v> </v>
      </c>
      <c r="G891" s="24" t="str">
        <f>IF(OR(E891="",E891="!!!"),"",IF(OR(J891=0,AND(J891=1,K891=1),AND(J891=1,I891="SBJ"),AND(J891=1,I891=0)),"?IN_FOCUS",IF(J891&lt;=2,"?ACTIVATED",IF(J891&lt;&gt;"","?FAMILIAR",IF(F891="NEW",IF(ISNA(VLOOKUP(E891,#REF!,1,FALSE())),"?TYPE_IDENTIFIABLE","?REFERENTIAL"),"_")))))</f>
        <v> </v>
      </c>
      <c r="H891" s="25" t="str">
        <f>IF(J891&lt;&gt;1,"",IF(I891="SBJ","CB","?"))</f>
        <v> </v>
      </c>
      <c r="I891" s="26" t="str">
        <f>IF(OR(E891="",E891="!!!",F891="NEW"),"",INDEX(B890:B$2,-1+SUMPRODUCT(MAX(ROW(E890:E$2)*(E891=E890:E$2)))))</f>
        <v> </v>
      </c>
      <c r="J891" s="26" t="str">
        <f>IF(OR(E891="",E891="!!!",F891="NEW"),"",COUNTBLANK(OFFSET(A$1,,,SUMPRODUCT(MAX(ROW(E$2:E891)*(E891=E$2:E891)))))-COUNTBLANK(OFFSET(A$1,,,SUMPRODUCT(MAX(ROW(E$1:E890)*(E2=E$1:E890))))))</f>
        <v> </v>
      </c>
      <c r="K891" s="26" t="str">
        <f>IF(OR(E891="",E891="!!!",F891="NEW"),"",INDEX(J$1:J890,SUMPRODUCT(MAX(ROW(E$1:E890)*(E891=E$1:E890)))))</f>
        <v> </v>
      </c>
      <c r="L891" s="27"/>
    </row>
    <row r="892" spans="1:12">
      <c r="A892" s="20" t="s">
        <v>725</v>
      </c>
      <c r="B892" s="21" t="s">
        <v>365</v>
      </c>
      <c r="C892" s="21" t="s">
        <v>385</v>
      </c>
      <c r="D892" s="21" t="s">
        <v>358</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367</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726</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t="s">
        <v>551</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row>
    <row r="897" spans="1:12">
      <c r="A897" s="20" t="s">
        <v>727</v>
      </c>
    </row>
    <row r="898" spans="1:12">
      <c r="A898" s="20" t="s">
        <v>728</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t="s">
        <v>415</v>
      </c>
      <c r="B899" s="21" t="s">
        <v>365</v>
      </c>
      <c r="C899" s="21" t="s">
        <v>379</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367</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t="s">
        <v>433</v>
      </c>
      <c r="B901" s="21" t="s">
        <v>373</v>
      </c>
      <c r="C901" s="21" t="s">
        <v>430</v>
      </c>
      <c r="D901" s="21" t="s">
        <v>358</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393</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405</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406</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t="s">
        <v>407</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408</v>
      </c>
      <c r="B906" s="21" t="s">
        <v>365</v>
      </c>
      <c r="C906" s="21" t="s">
        <v>385</v>
      </c>
      <c r="D906" s="21" t="s">
        <v>358</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427</v>
      </c>
      <c r="B907" s="21" t="s">
        <v>409</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462</v>
      </c>
      <c r="B908" s="21" t="s">
        <v>429</v>
      </c>
      <c r="C908" s="21" t="s">
        <v>357</v>
      </c>
      <c r="D908" s="21" t="s">
        <v>358</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729</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t="s">
        <v>730</v>
      </c>
      <c r="E910" s="22">
        <f>IF(D910="?OLD","!!!","")</f>
        <v/>
      </c>
      <c r="F910" s="23" t="str">
        <f>IF(OR(E910="",E910="!!!"),"",IF(NOT(ISNA(VLOOKUP(E910,E$1:E909,1,FALSE()))),"OLD",IF(AND(E910&lt;&gt;"",E910&lt;&gt;"!!!"),"NEW","")))</f>
        <v> </v>
      </c>
      <c r="G910" s="24" t="str">
        <f>IF(OR(E910="",E910="!!!"),"",IF(OR(J910=0,AND(J910=1,K910=1),AND(J910=1,I910="SBJ"),AND(J910=1,I910=0)),"?IN_FOCUS",IF(J910&lt;=2,"?ACTIVATED",IF(J910&lt;&gt;"","?FAMILIAR",IF(F910="NEW",IF(ISNA(VLOOKUP(E910,#REF!,1,FALSE())),"?TYPE_IDENTIFIABLE","?REFERENTIAL"),"_")))))</f>
        <v> </v>
      </c>
      <c r="H910" s="25" t="str">
        <f>IF(J910&lt;&gt;1,"",IF(I910="SBJ","CB","?"))</f>
        <v> </v>
      </c>
      <c r="I910" s="26" t="str">
        <f>IF(OR(E910="",E910="!!!",F910="NEW"),"",INDEX(B909:B$2,-1+SUMPRODUCT(MAX(ROW(E909:E$2)*(E910=E909:E$2)))))</f>
        <v> </v>
      </c>
      <c r="J910" s="26" t="str">
        <f>IF(OR(E910="",E910="!!!",F910="NEW"),"",COUNTBLANK(OFFSET(A$1,,,SUMPRODUCT(MAX(ROW(E$2:E910)*(E910=E$2:E910)))))-COUNTBLANK(OFFSET(A$1,,,SUMPRODUCT(MAX(ROW(E$1:E909)*(E2=E$1:E909))))))</f>
        <v> </v>
      </c>
      <c r="K910" s="26" t="str">
        <f>IF(OR(E910="",E910="!!!",F910="NEW"),"",INDEX(J$1:J909,SUMPRODUCT(MAX(ROW(E$1:E909)*(E910=E$1:E909)))))</f>
        <v> </v>
      </c>
      <c r="L910" s="27"/>
    </row>
    <row r="911" spans="1:12">
      <c r="A911" s="20" t="s">
        <v>389</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row>
    <row r="913" spans="1:12">
      <c r="A913" s="20" t="s">
        <v>731</v>
      </c>
    </row>
    <row r="914" spans="1:12">
      <c r="A914" s="20" t="s">
        <v>391</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t="s">
        <v>98</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t="s">
        <v>178</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t="s">
        <v>618</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row>
    <row r="919" spans="1:12">
      <c r="A919" s="20" t="s">
        <v>732</v>
      </c>
    </row>
    <row r="920" spans="1:12">
      <c r="A920" s="20" t="s">
        <v>733</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t="s">
        <v>594</v>
      </c>
      <c r="E921" s="22">
        <f>IF(D921="?OLD","!!!","")</f>
        <v/>
      </c>
      <c r="F921" s="23" t="str">
        <f>IF(OR(E921="",E921="!!!"),"",IF(NOT(ISNA(VLOOKUP(E921,E$1:E920,1,FALSE()))),"OLD",IF(AND(E921&lt;&gt;"",E921&lt;&gt;"!!!"),"NEW","")))</f>
        <v> </v>
      </c>
      <c r="G921" s="24" t="str">
        <f>IF(OR(E921="",E921="!!!"),"",IF(OR(J921=0,AND(J921=1,K921=1),AND(J921=1,I921="SBJ"),AND(J921=1,I921=0)),"?IN_FOCUS",IF(J921&lt;=2,"?ACTIVATED",IF(J921&lt;&gt;"","?FAMILIAR",IF(F921="NEW",IF(ISNA(VLOOKUP(E921,#REF!,1,FALSE())),"?TYPE_IDENTIFIABLE","?REFERENTIAL"),"_")))))</f>
        <v> </v>
      </c>
      <c r="H921" s="25" t="str">
        <f>IF(J921&lt;&gt;1,"",IF(I921="SBJ","CB","?"))</f>
        <v> </v>
      </c>
      <c r="I921" s="26" t="str">
        <f>IF(OR(E921="",E921="!!!",F921="NEW"),"",INDEX(B920:B$2,-1+SUMPRODUCT(MAX(ROW(E920:E$2)*(E921=E920:E$2)))))</f>
        <v> </v>
      </c>
      <c r="J921" s="26" t="str">
        <f>IF(OR(E921="",E921="!!!",F921="NEW"),"",COUNTBLANK(OFFSET(A$1,,,SUMPRODUCT(MAX(ROW(E$2:E921)*(E921=E$2:E921)))))-COUNTBLANK(OFFSET(A$1,,,SUMPRODUCT(MAX(ROW(E$1:E920)*(E2=E$1:E920))))))</f>
        <v> </v>
      </c>
      <c r="K921" s="26" t="str">
        <f>IF(OR(E921="",E921="!!!",F921="NEW"),"",INDEX(J$1:J920,SUMPRODUCT(MAX(ROW(E$1:E920)*(E921=E$1:E920)))))</f>
        <v> </v>
      </c>
      <c r="L921" s="27"/>
    </row>
    <row r="922" spans="1:12">
      <c r="A922" s="20" t="s">
        <v>513</v>
      </c>
      <c r="B922" s="21" t="s">
        <v>373</v>
      </c>
      <c r="C922" s="21" t="s">
        <v>357</v>
      </c>
      <c r="D922" s="21" t="s">
        <v>358</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734</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t="s">
        <v>427</v>
      </c>
      <c r="E924" s="22">
        <f>IF(D924="?OLD","!!!","")</f>
        <v/>
      </c>
      <c r="F924" s="23" t="str">
        <f>IF(OR(E924="",E924="!!!"),"",IF(NOT(ISNA(VLOOKUP(E924,E$1:E923,1,FALSE()))),"OLD",IF(AND(E924&lt;&gt;"",E924&lt;&gt;"!!!"),"NEW","")))</f>
        <v> </v>
      </c>
      <c r="G924" s="24" t="str">
        <f>IF(OR(E924="",E924="!!!"),"",IF(OR(J924=0,AND(J924=1,K924=1),AND(J924=1,I924="SBJ"),AND(J924=1,I924=0)),"?IN_FOCUS",IF(J924&lt;=2,"?ACTIVATED",IF(J924&lt;&gt;"","?FAMILIAR",IF(F924="NEW",IF(ISNA(VLOOKUP(E924,#REF!,1,FALSE())),"?TYPE_IDENTIFIABLE","?REFERENTIAL"),"_")))))</f>
        <v> </v>
      </c>
      <c r="H924" s="25" t="str">
        <f>IF(J924&lt;&gt;1,"",IF(I924="SBJ","CB","?"))</f>
        <v> </v>
      </c>
      <c r="I924" s="26" t="str">
        <f>IF(OR(E924="",E924="!!!",F924="NEW"),"",INDEX(B923:B$2,-1+SUMPRODUCT(MAX(ROW(E923:E$2)*(E924=E923:E$2)))))</f>
        <v> </v>
      </c>
      <c r="J924" s="26" t="str">
        <f>IF(OR(E924="",E924="!!!",F924="NEW"),"",COUNTBLANK(OFFSET(A$1,,,SUMPRODUCT(MAX(ROW(E$2:E924)*(E924=E$2:E924)))))-COUNTBLANK(OFFSET(A$1,,,SUMPRODUCT(MAX(ROW(E$1:E923)*(E2=E$1:E923))))))</f>
        <v> </v>
      </c>
      <c r="K924" s="26" t="str">
        <f>IF(OR(E924="",E924="!!!",F924="NEW"),"",INDEX(J$1:J923,SUMPRODUCT(MAX(ROW(E$1:E923)*(E924=E$1:E923)))))</f>
        <v> </v>
      </c>
      <c r="L924" s="27"/>
    </row>
    <row r="925" spans="1:12">
      <c r="A925" s="20" t="s">
        <v>398</v>
      </c>
      <c r="E925" s="22">
        <f>IF(D925="?OLD","!!!","")</f>
        <v/>
      </c>
      <c r="F925" s="23" t="str">
        <f>IF(OR(E925="",E925="!!!"),"",IF(NOT(ISNA(VLOOKUP(E925,E$1:E924,1,FALSE()))),"OLD",IF(AND(E925&lt;&gt;"",E925&lt;&gt;"!!!"),"NEW","")))</f>
        <v> </v>
      </c>
      <c r="G925" s="24" t="str">
        <f>IF(OR(E925="",E925="!!!"),"",IF(OR(J925=0,AND(J925=1,K925=1),AND(J925=1,I925="SBJ"),AND(J925=1,I925=0)),"?IN_FOCUS",IF(J925&lt;=2,"?ACTIVATED",IF(J925&lt;&gt;"","?FAMILIAR",IF(F925="NEW",IF(ISNA(VLOOKUP(E925,#REF!,1,FALSE())),"?TYPE_IDENTIFIABLE","?REFERENTIAL"),"_")))))</f>
        <v> </v>
      </c>
      <c r="H925" s="25" t="str">
        <f>IF(J925&lt;&gt;1,"",IF(I925="SBJ","CB","?"))</f>
        <v> </v>
      </c>
      <c r="I925" s="26" t="str">
        <f>IF(OR(E925="",E925="!!!",F925="NEW"),"",INDEX(B924:B$2,-1+SUMPRODUCT(MAX(ROW(E924:E$2)*(E925=E924:E$2)))))</f>
        <v> </v>
      </c>
      <c r="J925" s="26" t="str">
        <f>IF(OR(E925="",E925="!!!",F925="NEW"),"",COUNTBLANK(OFFSET(A$1,,,SUMPRODUCT(MAX(ROW(E$2:E925)*(E925=E$2:E925)))))-COUNTBLANK(OFFSET(A$1,,,SUMPRODUCT(MAX(ROW(E$1:E924)*(E2=E$1:E924))))))</f>
        <v> </v>
      </c>
      <c r="K925" s="26" t="str">
        <f>IF(OR(E925="",E925="!!!",F925="NEW"),"",INDEX(J$1:J924,SUMPRODUCT(MAX(ROW(E$1:E924)*(E925=E$1:E924)))))</f>
        <v> </v>
      </c>
      <c r="L925" s="27"/>
    </row>
    <row r="926" spans="1:12">
      <c r="A926" s="20" t="s">
        <v>735</v>
      </c>
      <c r="B926" s="21" t="s">
        <v>429</v>
      </c>
      <c r="C926" s="21" t="s">
        <v>385</v>
      </c>
      <c r="D926" s="21" t="s">
        <v>358</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211</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398</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736</v>
      </c>
      <c r="B929" s="21" t="s">
        <v>360</v>
      </c>
      <c r="C929" s="21" t="s">
        <v>385</v>
      </c>
      <c r="D929" s="21" t="s">
        <v>358</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737</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738</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592</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405</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739</v>
      </c>
      <c r="B934" s="21" t="s">
        <v>365</v>
      </c>
      <c r="C934" s="21" t="s">
        <v>385</v>
      </c>
      <c r="D934" s="21" t="s">
        <v>358</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t="s">
        <v>519</v>
      </c>
      <c r="E935" s="22">
        <f>IF(D935="?OLD","!!!","")</f>
        <v/>
      </c>
      <c r="F935" s="23" t="str">
        <f>IF(OR(E935="",E935="!!!"),"",IF(NOT(ISNA(VLOOKUP(E935,E$1:E934,1,FALSE()))),"OLD",IF(AND(E935&lt;&gt;"",E935&lt;&gt;"!!!"),"NEW","")))</f>
        <v> </v>
      </c>
      <c r="G935" s="24" t="str">
        <f>IF(OR(E935="",E935="!!!"),"",IF(OR(J935=0,AND(J935=1,K935=1),AND(J935=1,I935="SBJ"),AND(J935=1,I935=0)),"?IN_FOCUS",IF(J935&lt;=2,"?ACTIVATED",IF(J935&lt;&gt;"","?FAMILIAR",IF(F935="NEW",IF(ISNA(VLOOKUP(E935,#REF!,1,FALSE())),"?TYPE_IDENTIFIABLE","?REFERENTIAL"),"_")))))</f>
        <v> </v>
      </c>
      <c r="H935" s="25" t="str">
        <f>IF(J935&lt;&gt;1,"",IF(I935="SBJ","CB","?"))</f>
        <v> </v>
      </c>
      <c r="I935" s="26" t="str">
        <f>IF(OR(E935="",E935="!!!",F935="NEW"),"",INDEX(B934:B$2,-1+SUMPRODUCT(MAX(ROW(E934:E$2)*(E935=E934:E$2)))))</f>
        <v> </v>
      </c>
      <c r="J935" s="26" t="str">
        <f>IF(OR(E935="",E935="!!!",F935="NEW"),"",COUNTBLANK(OFFSET(A$1,,,SUMPRODUCT(MAX(ROW(E$2:E935)*(E935=E$2:E935)))))-COUNTBLANK(OFFSET(A$1,,,SUMPRODUCT(MAX(ROW(E$1:E934)*(E2=E$1:E934))))))</f>
        <v> </v>
      </c>
      <c r="K935" s="26" t="str">
        <f>IF(OR(E935="",E935="!!!",F935="NEW"),"",INDEX(J$1:J934,SUMPRODUCT(MAX(ROW(E$1:E934)*(E935=E$1:E934)))))</f>
        <v> </v>
      </c>
      <c r="L935" s="27"/>
    </row>
    <row r="936" spans="1:12">
      <c r="A936" s="20" t="s">
        <v>740</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t="s">
        <v>380</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398</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536</v>
      </c>
      <c r="B939" s="21" t="s">
        <v>360</v>
      </c>
      <c r="C939" s="21" t="s">
        <v>385</v>
      </c>
      <c r="D939" s="21" t="s">
        <v>358</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t="s">
        <v>741</v>
      </c>
      <c r="E940" s="22">
        <f>IF(D940="?OLD","!!!","")</f>
        <v/>
      </c>
      <c r="F940" s="23" t="str">
        <f>IF(OR(E940="",E940="!!!"),"",IF(NOT(ISNA(VLOOKUP(E940,E$1:E939,1,FALSE()))),"OLD",IF(AND(E940&lt;&gt;"",E940&lt;&gt;"!!!"),"NEW","")))</f>
        <v> </v>
      </c>
      <c r="G940" s="24" t="str">
        <f>IF(OR(E940="",E940="!!!"),"",IF(OR(J940=0,AND(J940=1,K940=1),AND(J940=1,I940="SBJ"),AND(J940=1,I940=0)),"?IN_FOCUS",IF(J940&lt;=2,"?ACTIVATED",IF(J940&lt;&gt;"","?FAMILIAR",IF(F940="NEW",IF(ISNA(VLOOKUP(E940,#REF!,1,FALSE())),"?TYPE_IDENTIFIABLE","?REFERENTIAL"),"_")))))</f>
        <v> </v>
      </c>
      <c r="H940" s="25" t="str">
        <f>IF(J940&lt;&gt;1,"",IF(I940="SBJ","CB","?"))</f>
        <v> </v>
      </c>
      <c r="I940" s="26" t="str">
        <f>IF(OR(E940="",E940="!!!",F940="NEW"),"",INDEX(B939:B$2,-1+SUMPRODUCT(MAX(ROW(E939:E$2)*(E940=E939:E$2)))))</f>
        <v> </v>
      </c>
      <c r="J940" s="26" t="str">
        <f>IF(OR(E940="",E940="!!!",F940="NEW"),"",COUNTBLANK(OFFSET(A$1,,,SUMPRODUCT(MAX(ROW(E$2:E940)*(E940=E$2:E940)))))-COUNTBLANK(OFFSET(A$1,,,SUMPRODUCT(MAX(ROW(E$1:E939)*(E2=E$1:E939))))))</f>
        <v> </v>
      </c>
      <c r="K940" s="26" t="str">
        <f>IF(OR(E940="",E940="!!!",F940="NEW"),"",INDEX(J$1:J939,SUMPRODUCT(MAX(ROW(E$1:E939)*(E940=E$1:E939)))))</f>
        <v> </v>
      </c>
      <c r="L940" s="27"/>
    </row>
    <row r="941" spans="1:12">
      <c r="A941" s="20" t="s">
        <v>389</v>
      </c>
      <c r="E941" s="22">
        <f>IF(D941="?OLD","!!!","")</f>
        <v/>
      </c>
      <c r="F941" s="23" t="str">
        <f>IF(OR(E941="",E941="!!!"),"",IF(NOT(ISNA(VLOOKUP(E941,E$1:E940,1,FALSE()))),"OLD",IF(AND(E941&lt;&gt;"",E941&lt;&gt;"!!!"),"NEW","")))</f>
        <v> </v>
      </c>
      <c r="G941" s="24" t="str">
        <f>IF(OR(E941="",E941="!!!"),"",IF(OR(J941=0,AND(J941=1,K941=1),AND(J941=1,I941="SBJ"),AND(J941=1,I941=0)),"?IN_FOCUS",IF(J941&lt;=2,"?ACTIVATED",IF(J941&lt;&gt;"","?FAMILIAR",IF(F941="NEW",IF(ISNA(VLOOKUP(E941,#REF!,1,FALSE())),"?TYPE_IDENTIFIABLE","?REFERENTIAL"),"_")))))</f>
        <v> </v>
      </c>
      <c r="H941" s="25" t="str">
        <f>IF(J941&lt;&gt;1,"",IF(I941="SBJ","CB","?"))</f>
        <v> </v>
      </c>
      <c r="I941" s="26" t="str">
        <f>IF(OR(E941="",E941="!!!",F941="NEW"),"",INDEX(B940:B$2,-1+SUMPRODUCT(MAX(ROW(E940:E$2)*(E941=E940:E$2)))))</f>
        <v> </v>
      </c>
      <c r="J941" s="26" t="str">
        <f>IF(OR(E941="",E941="!!!",F941="NEW"),"",COUNTBLANK(OFFSET(A$1,,,SUMPRODUCT(MAX(ROW(E$2:E941)*(E941=E$2:E941)))))-COUNTBLANK(OFFSET(A$1,,,SUMPRODUCT(MAX(ROW(E$1:E940)*(E2=E$1:E940))))))</f>
        <v> </v>
      </c>
      <c r="K941" s="26" t="str">
        <f>IF(OR(E941="",E941="!!!",F941="NEW"),"",INDEX(J$1:J940,SUMPRODUCT(MAX(ROW(E$1:E940)*(E941=E$1:E940)))))</f>
        <v> </v>
      </c>
      <c r="L941" s="27"/>
    </row>
    <row r="942" spans="1:12">
      <c r="A942" s="20"/>
    </row>
    <row r="943" spans="1:12">
      <c r="A943" s="20" t="s">
        <v>742</v>
      </c>
    </row>
    <row r="944" spans="1:12">
      <c r="A944" s="20" t="s">
        <v>682</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t="s">
        <v>743</v>
      </c>
      <c r="B945" s="21" t="s">
        <v>373</v>
      </c>
      <c r="C945" s="21" t="s">
        <v>385</v>
      </c>
      <c r="D945" s="21" t="s">
        <v>358</v>
      </c>
      <c r="E945" s="22">
        <f>IF(D945="?OLD","!!!","")</f>
        <v/>
      </c>
      <c r="F945" s="23" t="str">
        <f>IF(OR(E945="",E945="!!!"),"",IF(NOT(ISNA(VLOOKUP(E945,E$1:E944,1,FALSE()))),"OLD",IF(AND(E945&lt;&gt;"",E945&lt;&gt;"!!!"),"NEW","")))</f>
        <v> </v>
      </c>
      <c r="G945" s="24" t="str">
        <f>IF(OR(E945="",E945="!!!"),"",IF(OR(J945=0,AND(J945=1,K945=1),AND(J945=1,I945="SBJ"),AND(J945=1,I945=0)),"?IN_FOCUS",IF(J945&lt;=2,"?ACTIVATED",IF(J945&lt;&gt;"","?FAMILIAR",IF(F945="NEW",IF(ISNA(VLOOKUP(E945,#REF!,1,FALSE())),"?TYPE_IDENTIFIABLE","?REFERENTIAL"),"_")))))</f>
        <v> </v>
      </c>
      <c r="H945" s="25" t="str">
        <f>IF(J945&lt;&gt;1,"",IF(I945="SBJ","CB","?"))</f>
        <v> </v>
      </c>
      <c r="I945" s="26" t="str">
        <f>IF(OR(E945="",E945="!!!",F945="NEW"),"",INDEX(B944:B$2,-1+SUMPRODUCT(MAX(ROW(E944:E$2)*(E945=E944:E$2)))))</f>
        <v> </v>
      </c>
      <c r="J945" s="26" t="str">
        <f>IF(OR(E945="",E945="!!!",F945="NEW"),"",COUNTBLANK(OFFSET(A$1,,,SUMPRODUCT(MAX(ROW(E$2:E945)*(E945=E$2:E945)))))-COUNTBLANK(OFFSET(A$1,,,SUMPRODUCT(MAX(ROW(E$1:E944)*(E2=E$1:E944))))))</f>
        <v> </v>
      </c>
      <c r="K945" s="26" t="str">
        <f>IF(OR(E945="",E945="!!!",F945="NEW"),"",INDEX(J$1:J944,SUMPRODUCT(MAX(ROW(E$1:E944)*(E945=E$1:E944)))))</f>
        <v> </v>
      </c>
      <c r="L945" s="27"/>
    </row>
    <row r="946" spans="1:12">
      <c r="A946" s="20" t="s">
        <v>744</v>
      </c>
      <c r="E946" s="22">
        <f>IF(D946="?OLD","!!!","")</f>
        <v/>
      </c>
      <c r="F946" s="23" t="str">
        <f>IF(OR(E946="",E946="!!!"),"",IF(NOT(ISNA(VLOOKUP(E946,E$1:E945,1,FALSE()))),"OLD",IF(AND(E946&lt;&gt;"",E946&lt;&gt;"!!!"),"NEW","")))</f>
        <v> </v>
      </c>
      <c r="G946" s="24" t="str">
        <f>IF(OR(E946="",E946="!!!"),"",IF(OR(J946=0,AND(J946=1,K946=1),AND(J946=1,I946="SBJ"),AND(J946=1,I946=0)),"?IN_FOCUS",IF(J946&lt;=2,"?ACTIVATED",IF(J946&lt;&gt;"","?FAMILIAR",IF(F946="NEW",IF(ISNA(VLOOKUP(E946,#REF!,1,FALSE())),"?TYPE_IDENTIFIABLE","?REFERENTIAL"),"_")))))</f>
        <v> </v>
      </c>
      <c r="H946" s="25" t="str">
        <f>IF(J946&lt;&gt;1,"",IF(I946="SBJ","CB","?"))</f>
        <v> </v>
      </c>
      <c r="I946" s="26" t="str">
        <f>IF(OR(E946="",E946="!!!",F946="NEW"),"",INDEX(B945:B$2,-1+SUMPRODUCT(MAX(ROW(E945:E$2)*(E946=E945:E$2)))))</f>
        <v> </v>
      </c>
      <c r="J946" s="26" t="str">
        <f>IF(OR(E946="",E946="!!!",F946="NEW"),"",COUNTBLANK(OFFSET(A$1,,,SUMPRODUCT(MAX(ROW(E$2:E946)*(E946=E$2:E946)))))-COUNTBLANK(OFFSET(A$1,,,SUMPRODUCT(MAX(ROW(E$1:E945)*(E2=E$1:E945))))))</f>
        <v> </v>
      </c>
      <c r="K946" s="26" t="str">
        <f>IF(OR(E946="",E946="!!!",F946="NEW"),"",INDEX(J$1:J945,SUMPRODUCT(MAX(ROW(E$1:E945)*(E946=E$1:E945)))))</f>
        <v> </v>
      </c>
      <c r="L946" s="27"/>
    </row>
    <row r="947" spans="1:12">
      <c r="A947" s="20" t="s">
        <v>367</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178</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367</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t="s">
        <v>527</v>
      </c>
      <c r="E950" s="22">
        <f>IF(D950="?OLD","!!!","")</f>
        <v/>
      </c>
      <c r="F950" s="23" t="str">
        <f>IF(OR(E950="",E950="!!!"),"",IF(NOT(ISNA(VLOOKUP(E950,E$1:E949,1,FALSE()))),"OLD",IF(AND(E950&lt;&gt;"",E950&lt;&gt;"!!!"),"NEW","")))</f>
        <v> </v>
      </c>
      <c r="G950" s="24" t="str">
        <f>IF(OR(E950="",E950="!!!"),"",IF(OR(J950=0,AND(J950=1,K950=1),AND(J950=1,I950="SBJ"),AND(J950=1,I950=0)),"?IN_FOCUS",IF(J950&lt;=2,"?ACTIVATED",IF(J950&lt;&gt;"","?FAMILIAR",IF(F950="NEW",IF(ISNA(VLOOKUP(E950,#REF!,1,FALSE())),"?TYPE_IDENTIFIABLE","?REFERENTIAL"),"_")))))</f>
        <v> </v>
      </c>
      <c r="H950" s="25" t="str">
        <f>IF(J950&lt;&gt;1,"",IF(I950="SBJ","CB","?"))</f>
        <v> </v>
      </c>
      <c r="I950" s="26" t="str">
        <f>IF(OR(E950="",E950="!!!",F950="NEW"),"",INDEX(B949:B$2,-1+SUMPRODUCT(MAX(ROW(E949:E$2)*(E950=E949:E$2)))))</f>
        <v> </v>
      </c>
      <c r="J950" s="26" t="str">
        <f>IF(OR(E950="",E950="!!!",F950="NEW"),"",COUNTBLANK(OFFSET(A$1,,,SUMPRODUCT(MAX(ROW(E$2:E950)*(E950=E$2:E950)))))-COUNTBLANK(OFFSET(A$1,,,SUMPRODUCT(MAX(ROW(E$1:E949)*(E2=E$1:E949))))))</f>
        <v> </v>
      </c>
      <c r="K950" s="26" t="str">
        <f>IF(OR(E950="",E950="!!!",F950="NEW"),"",INDEX(J$1:J949,SUMPRODUCT(MAX(ROW(E$1:E949)*(E950=E$1:E949)))))</f>
        <v> </v>
      </c>
      <c r="L950" s="27"/>
    </row>
    <row r="951" spans="1:12">
      <c r="A951" s="20" t="s">
        <v>414</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522</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716</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427</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405</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t="s">
        <v>711</v>
      </c>
      <c r="B956" s="21" t="s">
        <v>365</v>
      </c>
      <c r="C956" s="21" t="s">
        <v>385</v>
      </c>
      <c r="D956" s="21" t="s">
        <v>358</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389</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row>
    <row r="959" spans="1:12">
      <c r="A959" s="20" t="s">
        <v>745</v>
      </c>
    </row>
    <row r="960" spans="1:12">
      <c r="A960" s="20" t="s">
        <v>557</v>
      </c>
      <c r="E960" s="22">
        <f>IF(D960="?OLD","!!!","")</f>
        <v/>
      </c>
      <c r="F960" s="23" t="str">
        <f>IF(OR(E960="",E960="!!!"),"",IF(NOT(ISNA(VLOOKUP(E960,E$1:E959,1,FALSE()))),"OLD",IF(AND(E960&lt;&gt;"",E960&lt;&gt;"!!!"),"NEW","")))</f>
        <v> </v>
      </c>
      <c r="G960" s="24" t="str">
        <f>IF(OR(E960="",E960="!!!"),"",IF(OR(J960=0,AND(J960=1,K960=1),AND(J960=1,I960="SBJ"),AND(J960=1,I960=0)),"?IN_FOCUS",IF(J960&lt;=2,"?ACTIVATED",IF(J960&lt;&gt;"","?FAMILIAR",IF(F960="NEW",IF(ISNA(VLOOKUP(E960,#REF!,1,FALSE())),"?TYPE_IDENTIFIABLE","?REFERENTIAL"),"_")))))</f>
        <v> </v>
      </c>
      <c r="H960" s="25" t="str">
        <f>IF(J960&lt;&gt;1,"",IF(I960="SBJ","CB","?"))</f>
        <v> </v>
      </c>
      <c r="I960" s="26" t="str">
        <f>IF(OR(E960="",E960="!!!",F960="NEW"),"",INDEX(B959:B$2,-1+SUMPRODUCT(MAX(ROW(E959:E$2)*(E960=E959:E$2)))))</f>
        <v> </v>
      </c>
      <c r="J960" s="26" t="str">
        <f>IF(OR(E960="",E960="!!!",F960="NEW"),"",COUNTBLANK(OFFSET(A$1,,,SUMPRODUCT(MAX(ROW(E$2:E960)*(E960=E$2:E960)))))-COUNTBLANK(OFFSET(A$1,,,SUMPRODUCT(MAX(ROW(E$1:E959)*(E2=E$1:E959))))))</f>
        <v> </v>
      </c>
      <c r="K960" s="26" t="str">
        <f>IF(OR(E960="",E960="!!!",F960="NEW"),"",INDEX(J$1:J959,SUMPRODUCT(MAX(ROW(E$1:E959)*(E960=E$1:E959)))))</f>
        <v> </v>
      </c>
      <c r="L960" s="27"/>
    </row>
    <row r="961" spans="1:12">
      <c r="A961" s="20" t="s">
        <v>190</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t="s">
        <v>746</v>
      </c>
      <c r="E962" s="22">
        <f>IF(D962="?OLD","!!!","")</f>
        <v/>
      </c>
      <c r="F962" s="23" t="str">
        <f>IF(OR(E962="",E962="!!!"),"",IF(NOT(ISNA(VLOOKUP(E962,E$1:E961,1,FALSE()))),"OLD",IF(AND(E962&lt;&gt;"",E962&lt;&gt;"!!!"),"NEW","")))</f>
        <v> </v>
      </c>
      <c r="G962" s="24" t="str">
        <f>IF(OR(E962="",E962="!!!"),"",IF(OR(J962=0,AND(J962=1,K962=1),AND(J962=1,I962="SBJ"),AND(J962=1,I962=0)),"?IN_FOCUS",IF(J962&lt;=2,"?ACTIVATED",IF(J962&lt;&gt;"","?FAMILIAR",IF(F962="NEW",IF(ISNA(VLOOKUP(E962,#REF!,1,FALSE())),"?TYPE_IDENTIFIABLE","?REFERENTIAL"),"_")))))</f>
        <v> </v>
      </c>
      <c r="H962" s="25" t="str">
        <f>IF(J962&lt;&gt;1,"",IF(I962="SBJ","CB","?"))</f>
        <v> </v>
      </c>
      <c r="I962" s="26" t="str">
        <f>IF(OR(E962="",E962="!!!",F962="NEW"),"",INDEX(B961:B$2,-1+SUMPRODUCT(MAX(ROW(E961:E$2)*(E962=E961:E$2)))))</f>
        <v> </v>
      </c>
      <c r="J962" s="26" t="str">
        <f>IF(OR(E962="",E962="!!!",F962="NEW"),"",COUNTBLANK(OFFSET(A$1,,,SUMPRODUCT(MAX(ROW(E$2:E962)*(E962=E$2:E962)))))-COUNTBLANK(OFFSET(A$1,,,SUMPRODUCT(MAX(ROW(E$1:E961)*(E2=E$1:E961))))))</f>
        <v> </v>
      </c>
      <c r="K962" s="26" t="str">
        <f>IF(OR(E962="",E962="!!!",F962="NEW"),"",INDEX(J$1:J961,SUMPRODUCT(MAX(ROW(E$1:E961)*(E962=E$1:E961)))))</f>
        <v> </v>
      </c>
      <c r="L962" s="27"/>
    </row>
    <row r="963" spans="1:12">
      <c r="A963" s="20" t="s">
        <v>438</v>
      </c>
      <c r="B963" s="21" t="s">
        <v>429</v>
      </c>
      <c r="C963" s="21" t="s">
        <v>430</v>
      </c>
      <c r="D963" s="21" t="s">
        <v>358</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t="s">
        <v>747</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t="s">
        <v>748</v>
      </c>
      <c r="E965" s="22">
        <f>IF(D965="?OLD","!!!","")</f>
        <v/>
      </c>
      <c r="F965" s="23" t="str">
        <f>IF(OR(E965="",E965="!!!"),"",IF(NOT(ISNA(VLOOKUP(E965,E$1:E964,1,FALSE()))),"OLD",IF(AND(E965&lt;&gt;"",E965&lt;&gt;"!!!"),"NEW","")))</f>
        <v> </v>
      </c>
      <c r="G965" s="24" t="str">
        <f>IF(OR(E965="",E965="!!!"),"",IF(OR(J965=0,AND(J965=1,K965=1),AND(J965=1,I965="SBJ"),AND(J965=1,I965=0)),"?IN_FOCUS",IF(J965&lt;=2,"?ACTIVATED",IF(J965&lt;&gt;"","?FAMILIAR",IF(F965="NEW",IF(ISNA(VLOOKUP(E965,#REF!,1,FALSE())),"?TYPE_IDENTIFIABLE","?REFERENTIAL"),"_")))))</f>
        <v> </v>
      </c>
      <c r="H965" s="25" t="str">
        <f>IF(J965&lt;&gt;1,"",IF(I965="SBJ","CB","?"))</f>
        <v> </v>
      </c>
      <c r="I965" s="26" t="str">
        <f>IF(OR(E965="",E965="!!!",F965="NEW"),"",INDEX(B964:B$2,-1+SUMPRODUCT(MAX(ROW(E964:E$2)*(E965=E964:E$2)))))</f>
        <v> </v>
      </c>
      <c r="J965" s="26" t="str">
        <f>IF(OR(E965="",E965="!!!",F965="NEW"),"",COUNTBLANK(OFFSET(A$1,,,SUMPRODUCT(MAX(ROW(E$2:E965)*(E965=E$2:E965)))))-COUNTBLANK(OFFSET(A$1,,,SUMPRODUCT(MAX(ROW(E$1:E964)*(E2=E$1:E964))))))</f>
        <v> </v>
      </c>
      <c r="K965" s="26" t="str">
        <f>IF(OR(E965="",E965="!!!",F965="NEW"),"",INDEX(J$1:J964,SUMPRODUCT(MAX(ROW(E$1:E964)*(E965=E$1:E964)))))</f>
        <v> </v>
      </c>
      <c r="L965" s="27"/>
    </row>
    <row r="966" spans="1:12">
      <c r="A966" s="20" t="s">
        <v>389</v>
      </c>
      <c r="E966" s="22">
        <f>IF(D966="?OLD","!!!","")</f>
        <v/>
      </c>
      <c r="F966" s="23" t="str">
        <f>IF(OR(E966="",E966="!!!"),"",IF(NOT(ISNA(VLOOKUP(E966,E$1:E965,1,FALSE()))),"OLD",IF(AND(E966&lt;&gt;"",E966&lt;&gt;"!!!"),"NEW","")))</f>
        <v> </v>
      </c>
      <c r="G966" s="24" t="str">
        <f>IF(OR(E966="",E966="!!!"),"",IF(OR(J966=0,AND(J966=1,K966=1),AND(J966=1,I966="SBJ"),AND(J966=1,I966=0)),"?IN_FOCUS",IF(J966&lt;=2,"?ACTIVATED",IF(J966&lt;&gt;"","?FAMILIAR",IF(F966="NEW",IF(ISNA(VLOOKUP(E966,#REF!,1,FALSE())),"?TYPE_IDENTIFIABLE","?REFERENTIAL"),"_")))))</f>
        <v> </v>
      </c>
      <c r="H966" s="25" t="str">
        <f>IF(J966&lt;&gt;1,"",IF(I966="SBJ","CB","?"))</f>
        <v> </v>
      </c>
      <c r="I966" s="26" t="str">
        <f>IF(OR(E966="",E966="!!!",F966="NEW"),"",INDEX(B965:B$2,-1+SUMPRODUCT(MAX(ROW(E965:E$2)*(E966=E965:E$2)))))</f>
        <v> </v>
      </c>
      <c r="J966" s="26" t="str">
        <f>IF(OR(E966="",E966="!!!",F966="NEW"),"",COUNTBLANK(OFFSET(A$1,,,SUMPRODUCT(MAX(ROW(E$2:E966)*(E966=E$2:E966)))))-COUNTBLANK(OFFSET(A$1,,,SUMPRODUCT(MAX(ROW(E$1:E965)*(E2=E$1:E965))))))</f>
        <v> </v>
      </c>
      <c r="K966" s="26" t="str">
        <f>IF(OR(E966="",E966="!!!",F966="NEW"),"",INDEX(J$1:J965,SUMPRODUCT(MAX(ROW(E$1:E965)*(E966=E$1:E965)))))</f>
        <v> </v>
      </c>
      <c r="L966" s="27"/>
    </row>
    <row r="967" spans="1:12">
      <c r="A967" s="20"/>
    </row>
    <row r="968" spans="1:12">
      <c r="A968" s="20" t="s">
        <v>749</v>
      </c>
    </row>
    <row r="969" spans="1:12">
      <c r="A969" s="20" t="s">
        <v>750</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615</v>
      </c>
      <c r="B970" s="21" t="s">
        <v>429</v>
      </c>
      <c r="C970" s="21" t="s">
        <v>361</v>
      </c>
      <c r="D970" s="21" t="s">
        <v>358</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751</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414</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752</v>
      </c>
      <c r="B973" s="21" t="s">
        <v>409</v>
      </c>
      <c r="C973" s="21" t="s">
        <v>379</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753</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t="s">
        <v>369</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t="s">
        <v>384</v>
      </c>
      <c r="E976" s="22">
        <f>IF(D976="?OLD","!!!","")</f>
        <v/>
      </c>
      <c r="F976" s="23" t="str">
        <f>IF(OR(E976="",E976="!!!"),"",IF(NOT(ISNA(VLOOKUP(E976,E$1:E975,1,FALSE()))),"OLD",IF(AND(E976&lt;&gt;"",E976&lt;&gt;"!!!"),"NEW","")))</f>
        <v> </v>
      </c>
      <c r="G976" s="24" t="str">
        <f>IF(OR(E976="",E976="!!!"),"",IF(OR(J976=0,AND(J976=1,K976=1),AND(J976=1,I976="SBJ"),AND(J976=1,I976=0)),"?IN_FOCUS",IF(J976&lt;=2,"?ACTIVATED",IF(J976&lt;&gt;"","?FAMILIAR",IF(F976="NEW",IF(ISNA(VLOOKUP(E976,#REF!,1,FALSE())),"?TYPE_IDENTIFIABLE","?REFERENTIAL"),"_")))))</f>
        <v> </v>
      </c>
      <c r="H976" s="25" t="str">
        <f>IF(J976&lt;&gt;1,"",IF(I976="SBJ","CB","?"))</f>
        <v> </v>
      </c>
      <c r="I976" s="26" t="str">
        <f>IF(OR(E976="",E976="!!!",F976="NEW"),"",INDEX(B975:B$2,-1+SUMPRODUCT(MAX(ROW(E975:E$2)*(E976=E975:E$2)))))</f>
        <v> </v>
      </c>
      <c r="J976" s="26" t="str">
        <f>IF(OR(E976="",E976="!!!",F976="NEW"),"",COUNTBLANK(OFFSET(A$1,,,SUMPRODUCT(MAX(ROW(E$2:E976)*(E976=E$2:E976)))))-COUNTBLANK(OFFSET(A$1,,,SUMPRODUCT(MAX(ROW(E$1:E975)*(E2=E$1:E975))))))</f>
        <v> </v>
      </c>
      <c r="K976" s="26" t="str">
        <f>IF(OR(E976="",E976="!!!",F976="NEW"),"",INDEX(J$1:J975,SUMPRODUCT(MAX(ROW(E$1:E975)*(E976=E$1:E975)))))</f>
        <v> </v>
      </c>
      <c r="L976" s="27"/>
    </row>
    <row r="977" spans="1:12">
      <c r="A977" s="20" t="s">
        <v>754</v>
      </c>
      <c r="B977" s="21" t="s">
        <v>356</v>
      </c>
      <c r="C977" s="21" t="s">
        <v>385</v>
      </c>
      <c r="D977" s="21" t="s">
        <v>358</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t="s">
        <v>367</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t="s">
        <v>398</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t="s">
        <v>707</v>
      </c>
      <c r="B980" s="21" t="s">
        <v>373</v>
      </c>
      <c r="C980" s="21" t="s">
        <v>385</v>
      </c>
      <c r="D980" s="21" t="s">
        <v>358</v>
      </c>
      <c r="E980" s="22">
        <f>IF(D980="?OLD","!!!","")</f>
        <v/>
      </c>
      <c r="F980" s="23" t="str">
        <f>IF(OR(E980="",E980="!!!"),"",IF(NOT(ISNA(VLOOKUP(E980,E$1:E979,1,FALSE()))),"OLD",IF(AND(E980&lt;&gt;"",E980&lt;&gt;"!!!"),"NEW","")))</f>
        <v> </v>
      </c>
      <c r="G980" s="24" t="str">
        <f>IF(OR(E980="",E980="!!!"),"",IF(OR(J980=0,AND(J980=1,K980=1),AND(J980=1,I980="SBJ"),AND(J980=1,I980=0)),"?IN_FOCUS",IF(J980&lt;=2,"?ACTIVATED",IF(J980&lt;&gt;"","?FAMILIAR",IF(F980="NEW",IF(ISNA(VLOOKUP(E980,#REF!,1,FALSE())),"?TYPE_IDENTIFIABLE","?REFERENTIAL"),"_")))))</f>
        <v> </v>
      </c>
      <c r="H980" s="25" t="str">
        <f>IF(J980&lt;&gt;1,"",IF(I980="SBJ","CB","?"))</f>
        <v> </v>
      </c>
      <c r="I980" s="26" t="str">
        <f>IF(OR(E980="",E980="!!!",F980="NEW"),"",INDEX(B979:B$2,-1+SUMPRODUCT(MAX(ROW(E979:E$2)*(E980=E979:E$2)))))</f>
        <v> </v>
      </c>
      <c r="J980" s="26" t="str">
        <f>IF(OR(E980="",E980="!!!",F980="NEW"),"",COUNTBLANK(OFFSET(A$1,,,SUMPRODUCT(MAX(ROW(E$2:E980)*(E980=E$2:E980)))))-COUNTBLANK(OFFSET(A$1,,,SUMPRODUCT(MAX(ROW(E$1:E979)*(E2=E$1:E979))))))</f>
        <v> </v>
      </c>
      <c r="K980" s="26" t="str">
        <f>IF(OR(E980="",E980="!!!",F980="NEW"),"",INDEX(J$1:J979,SUMPRODUCT(MAX(ROW(E$1:E979)*(E980=E$1:E979)))))</f>
        <v> </v>
      </c>
      <c r="L980" s="27"/>
    </row>
    <row r="981" spans="1:12">
      <c r="A981" s="20" t="s">
        <v>755</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t="s">
        <v>380</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756</v>
      </c>
      <c r="B983" s="21" t="s">
        <v>365</v>
      </c>
      <c r="C983" s="21" t="s">
        <v>382</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t="s">
        <v>757</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t="s">
        <v>389</v>
      </c>
      <c r="E985" s="22">
        <f>IF(D985="?OLD","!!!","")</f>
        <v/>
      </c>
      <c r="F985" s="23" t="str">
        <f>IF(OR(E985="",E985="!!!"),"",IF(NOT(ISNA(VLOOKUP(E985,E$1:E984,1,FALSE()))),"OLD",IF(AND(E985&lt;&gt;"",E985&lt;&gt;"!!!"),"NEW","")))</f>
        <v> </v>
      </c>
      <c r="G985" s="24" t="str">
        <f>IF(OR(E985="",E985="!!!"),"",IF(OR(J985=0,AND(J985=1,K985=1),AND(J985=1,I985="SBJ"),AND(J985=1,I985=0)),"?IN_FOCUS",IF(J985&lt;=2,"?ACTIVATED",IF(J985&lt;&gt;"","?FAMILIAR",IF(F985="NEW",IF(ISNA(VLOOKUP(E985,#REF!,1,FALSE())),"?TYPE_IDENTIFIABLE","?REFERENTIAL"),"_")))))</f>
        <v> </v>
      </c>
      <c r="H985" s="25" t="str">
        <f>IF(J985&lt;&gt;1,"",IF(I985="SBJ","CB","?"))</f>
        <v> </v>
      </c>
      <c r="I985" s="26" t="str">
        <f>IF(OR(E985="",E985="!!!",F985="NEW"),"",INDEX(B984:B$2,-1+SUMPRODUCT(MAX(ROW(E984:E$2)*(E985=E984:E$2)))))</f>
        <v> </v>
      </c>
      <c r="J985" s="26" t="str">
        <f>IF(OR(E985="",E985="!!!",F985="NEW"),"",COUNTBLANK(OFFSET(A$1,,,SUMPRODUCT(MAX(ROW(E$2:E985)*(E985=E$2:E985)))))-COUNTBLANK(OFFSET(A$1,,,SUMPRODUCT(MAX(ROW(E$1:E984)*(E2=E$1:E984))))))</f>
        <v> </v>
      </c>
      <c r="K985" s="26" t="str">
        <f>IF(OR(E985="",E985="!!!",F985="NEW"),"",INDEX(J$1:J984,SUMPRODUCT(MAX(ROW(E$1:E984)*(E985=E$1:E984)))))</f>
        <v> </v>
      </c>
      <c r="L985" s="27"/>
    </row>
    <row r="986" spans="1:12">
      <c r="A986" s="20"/>
    </row>
    <row r="987" spans="1:12">
      <c r="A987" s="20" t="s">
        <v>758</v>
      </c>
    </row>
    <row r="988" spans="1:12">
      <c r="A988" s="20" t="s">
        <v>640</v>
      </c>
      <c r="B988" s="21" t="s">
        <v>373</v>
      </c>
      <c r="C988" s="21" t="s">
        <v>430</v>
      </c>
      <c r="D988" s="21" t="s">
        <v>358</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393</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759</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389</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row>
    <row r="993" spans="1:12">
      <c r="A993" s="20" t="s">
        <v>555</v>
      </c>
      <c r="E993" s="22">
        <f>IF(D993="?OLD","!!!","")</f>
        <v/>
      </c>
      <c r="F993" s="23" t="str">
        <f>IF(OR(E993="",E993="!!!"),"",IF(NOT(ISNA(VLOOKUP(E993,E$1:E992,1,FALSE()))),"OLD",IF(AND(E993&lt;&gt;"",E993&lt;&gt;"!!!"),"NEW","")))</f>
        <v> </v>
      </c>
      <c r="G993" s="24" t="str">
        <f>IF(OR(E993="",E993="!!!"),"",IF(OR(J993=0,AND(J993=1,K993=1),AND(J993=1,I993="SBJ"),AND(J993=1,I993=0)),"?IN_FOCUS",IF(J993&lt;=2,"?ACTIVATED",IF(J993&lt;&gt;"","?FAMILIAR",IF(F993="NEW",IF(ISNA(VLOOKUP(E993,#REF!,1,FALSE())),"?TYPE_IDENTIFIABLE","?REFERENTIAL"),"_")))))</f>
        <v> </v>
      </c>
      <c r="H993" s="25" t="str">
        <f>IF(J993&lt;&gt;1,"",IF(I993="SBJ","CB","?"))</f>
        <v> </v>
      </c>
      <c r="I993" s="26" t="str">
        <f>IF(OR(E993="",E993="!!!",F993="NEW"),"",INDEX(B992:B$2,-1+SUMPRODUCT(MAX(ROW(E992:E$2)*(E993=E992:E$2)))))</f>
        <v> </v>
      </c>
      <c r="J993" s="26" t="str">
        <f>IF(OR(E993="",E993="!!!",F993="NEW"),"",COUNTBLANK(OFFSET(A$1,,,SUMPRODUCT(MAX(ROW(E$2:E993)*(E993=E$2:E993)))))-COUNTBLANK(OFFSET(A$1,,,SUMPRODUCT(MAX(ROW(E$1:E992)*(E2=E$1:E992))))))</f>
        <v> </v>
      </c>
      <c r="K993" s="26" t="str">
        <f>IF(OR(E993="",E993="!!!",F993="NEW"),"",INDEX(J$1:J992,SUMPRODUCT(MAX(ROW(E$1:E992)*(E993=E$1:E992)))))</f>
        <v> </v>
      </c>
      <c r="L993" s="27"/>
    </row>
    <row r="994" spans="1:12">
      <c r="A994" s="20" t="s">
        <v>760</v>
      </c>
    </row>
    <row r="995" spans="1:12">
      <c r="A995" s="20" t="s">
        <v>761</v>
      </c>
      <c r="B995" s="21" t="s">
        <v>429</v>
      </c>
      <c r="C995" s="21" t="s">
        <v>357</v>
      </c>
      <c r="D995" s="21" t="s">
        <v>358</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t="s">
        <v>762</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367</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t="s">
        <v>497</v>
      </c>
      <c r="B998" s="21" t="s">
        <v>373</v>
      </c>
      <c r="C998" s="21" t="s">
        <v>357</v>
      </c>
      <c r="D998" s="21" t="s">
        <v>358</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t="s">
        <v>763</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764</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t="s">
        <v>380</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497</v>
      </c>
      <c r="B1002" s="21" t="s">
        <v>356</v>
      </c>
      <c r="C1002" s="21" t="s">
        <v>357</v>
      </c>
      <c r="D1002" s="21" t="s">
        <v>358</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367</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t="s">
        <v>211</v>
      </c>
      <c r="E1004" s="22">
        <f>IF(D1004="?OLD","!!!","")</f>
        <v/>
      </c>
      <c r="F1004" s="23" t="str">
        <f>IF(OR(E1004="",E1004="!!!"),"",IF(NOT(ISNA(VLOOKUP(E1004,E$1:E1003,1,FALSE()))),"OLD",IF(AND(E1004&lt;&gt;"",E1004&lt;&gt;"!!!"),"NEW","")))</f>
        <v> </v>
      </c>
      <c r="G1004" s="24" t="str">
        <f>IF(OR(E1004="",E1004="!!!"),"",IF(OR(J1004=0,AND(J1004=1,K1004=1),AND(J1004=1,I1004="SBJ"),AND(J1004=1,I1004=0)),"?IN_FOCUS",IF(J1004&lt;=2,"?ACTIVATED",IF(J1004&lt;&gt;"","?FAMILIAR",IF(F1004="NEW",IF(ISNA(VLOOKUP(E1004,#REF!,1,FALSE())),"?TYPE_IDENTIFIABLE","?REFERENTIAL"),"_")))))</f>
        <v> </v>
      </c>
      <c r="H1004" s="25" t="str">
        <f>IF(J1004&lt;&gt;1,"",IF(I1004="SBJ","CB","?"))</f>
        <v> </v>
      </c>
      <c r="I1004" s="26" t="str">
        <f>IF(OR(E1004="",E1004="!!!",F1004="NEW"),"",INDEX(B1003:B$2,-1+SUMPRODUCT(MAX(ROW(E1003:E$2)*(E1004=E1003:E$2)))))</f>
        <v> </v>
      </c>
      <c r="J1004" s="26" t="str">
        <f>IF(OR(E1004="",E1004="!!!",F1004="NEW"),"",COUNTBLANK(OFFSET(A$1,,,SUMPRODUCT(MAX(ROW(E$2:E1004)*(E1004=E$2:E1004)))))-COUNTBLANK(OFFSET(A$1,,,SUMPRODUCT(MAX(ROW(E$1:E1003)*(E2=E$1:E1003))))))</f>
        <v> </v>
      </c>
      <c r="K1004" s="26" t="str">
        <f>IF(OR(E1004="",E1004="!!!",F1004="NEW"),"",INDEX(J$1:J1003,SUMPRODUCT(MAX(ROW(E$1:E1003)*(E1004=E$1:E1003)))))</f>
        <v> </v>
      </c>
      <c r="L1004" s="27"/>
    </row>
    <row r="1005" spans="1:12">
      <c r="A1005" s="20" t="s">
        <v>497</v>
      </c>
      <c r="B1005" s="21" t="s">
        <v>409</v>
      </c>
      <c r="C1005" s="21" t="s">
        <v>357</v>
      </c>
      <c r="D1005" s="21" t="s">
        <v>358</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497</v>
      </c>
      <c r="B1006" s="21" t="s">
        <v>356</v>
      </c>
      <c r="C1006" s="21" t="s">
        <v>357</v>
      </c>
      <c r="D1006" s="21" t="s">
        <v>358</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765</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560</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t="s">
        <v>766</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t="s">
        <v>367</v>
      </c>
      <c r="E1010" s="22">
        <f>IF(D1010="?OLD","!!!","")</f>
        <v/>
      </c>
      <c r="F1010" s="23" t="str">
        <f>IF(OR(E1010="",E1010="!!!"),"",IF(NOT(ISNA(VLOOKUP(E1010,E$1:E1009,1,FALSE()))),"OLD",IF(AND(E1010&lt;&gt;"",E1010&lt;&gt;"!!!"),"NEW","")))</f>
        <v> </v>
      </c>
      <c r="G1010" s="24" t="str">
        <f>IF(OR(E1010="",E1010="!!!"),"",IF(OR(J1010=0,AND(J1010=1,K1010=1),AND(J1010=1,I1010="SBJ"),AND(J1010=1,I1010=0)),"?IN_FOCUS",IF(J1010&lt;=2,"?ACTIVATED",IF(J1010&lt;&gt;"","?FAMILIAR",IF(F1010="NEW",IF(ISNA(VLOOKUP(E1010,#REF!,1,FALSE())),"?TYPE_IDENTIFIABLE","?REFERENTIAL"),"_")))))</f>
        <v> </v>
      </c>
      <c r="H1010" s="25" t="str">
        <f>IF(J1010&lt;&gt;1,"",IF(I1010="SBJ","CB","?"))</f>
        <v> </v>
      </c>
      <c r="I1010" s="26" t="str">
        <f>IF(OR(E1010="",E1010="!!!",F1010="NEW"),"",INDEX(B1009:B$2,-1+SUMPRODUCT(MAX(ROW(E1009:E$2)*(E1010=E1009:E$2)))))</f>
        <v> </v>
      </c>
      <c r="J1010" s="26" t="str">
        <f>IF(OR(E1010="",E1010="!!!",F1010="NEW"),"",COUNTBLANK(OFFSET(A$1,,,SUMPRODUCT(MAX(ROW(E$2:E1010)*(E1010=E$2:E1010)))))-COUNTBLANK(OFFSET(A$1,,,SUMPRODUCT(MAX(ROW(E$1:E1009)*(E2=E$1:E1009))))))</f>
        <v> </v>
      </c>
      <c r="K1010" s="26" t="str">
        <f>IF(OR(E1010="",E1010="!!!",F1010="NEW"),"",INDEX(J$1:J1009,SUMPRODUCT(MAX(ROW(E$1:E1009)*(E1010=E$1:E1009)))))</f>
        <v> </v>
      </c>
      <c r="L1010" s="27"/>
    </row>
    <row r="1011" spans="1:12">
      <c r="A1011" s="20" t="s">
        <v>433</v>
      </c>
      <c r="B1011" s="21" t="s">
        <v>429</v>
      </c>
      <c r="C1011" s="21" t="s">
        <v>430</v>
      </c>
      <c r="D1011" s="21" t="s">
        <v>358</v>
      </c>
      <c r="E1011" s="22">
        <f>IF(D1011="?OLD","!!!","")</f>
        <v/>
      </c>
      <c r="F1011" s="23" t="str">
        <f>IF(OR(E1011="",E1011="!!!"),"",IF(NOT(ISNA(VLOOKUP(E1011,E$1:E1010,1,FALSE()))),"OLD",IF(AND(E1011&lt;&gt;"",E1011&lt;&gt;"!!!"),"NEW","")))</f>
        <v> </v>
      </c>
      <c r="G1011" s="24" t="str">
        <f>IF(OR(E1011="",E1011="!!!"),"",IF(OR(J1011=0,AND(J1011=1,K1011=1),AND(J1011=1,I1011="SBJ"),AND(J1011=1,I1011=0)),"?IN_FOCUS",IF(J1011&lt;=2,"?ACTIVATED",IF(J1011&lt;&gt;"","?FAMILIAR",IF(F1011="NEW",IF(ISNA(VLOOKUP(E1011,#REF!,1,FALSE())),"?TYPE_IDENTIFIABLE","?REFERENTIAL"),"_")))))</f>
        <v> </v>
      </c>
      <c r="H1011" s="25" t="str">
        <f>IF(J1011&lt;&gt;1,"",IF(I1011="SBJ","CB","?"))</f>
        <v> </v>
      </c>
      <c r="I1011" s="26" t="str">
        <f>IF(OR(E1011="",E1011="!!!",F1011="NEW"),"",INDEX(B1010:B$2,-1+SUMPRODUCT(MAX(ROW(E1010:E$2)*(E1011=E1010:E$2)))))</f>
        <v> </v>
      </c>
      <c r="J1011" s="26" t="str">
        <f>IF(OR(E1011="",E1011="!!!",F1011="NEW"),"",COUNTBLANK(OFFSET(A$1,,,SUMPRODUCT(MAX(ROW(E$2:E1011)*(E1011=E$2:E1011)))))-COUNTBLANK(OFFSET(A$1,,,SUMPRODUCT(MAX(ROW(E$1:E1010)*(E2=E$1:E1010))))))</f>
        <v> </v>
      </c>
      <c r="K1011" s="26" t="str">
        <f>IF(OR(E1011="",E1011="!!!",F1011="NEW"),"",INDEX(J$1:J1010,SUMPRODUCT(MAX(ROW(E$1:E1010)*(E1011=E$1:E1010)))))</f>
        <v> </v>
      </c>
      <c r="L1011" s="27"/>
    </row>
    <row r="1012" spans="1:12">
      <c r="A1012" s="20" t="s">
        <v>393</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767</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754</v>
      </c>
      <c r="B1014" s="21" t="s">
        <v>365</v>
      </c>
      <c r="C1014" s="21" t="s">
        <v>483</v>
      </c>
      <c r="D1014" s="21" t="s">
        <v>358</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484</v>
      </c>
      <c r="B1015" s="21" t="s">
        <v>451</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516</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768</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t="s">
        <v>389</v>
      </c>
      <c r="E1018" s="22">
        <f>IF(D1018="?OLD","!!!","")</f>
        <v/>
      </c>
      <c r="F1018" s="23" t="str">
        <f>IF(OR(E1018="",E1018="!!!"),"",IF(NOT(ISNA(VLOOKUP(E1018,E$1:E1017,1,FALSE()))),"OLD",IF(AND(E1018&lt;&gt;"",E1018&lt;&gt;"!!!"),"NEW","")))</f>
        <v> </v>
      </c>
      <c r="G1018" s="24" t="str">
        <f>IF(OR(E1018="",E1018="!!!"),"",IF(OR(J1018=0,AND(J1018=1,K1018=1),AND(J1018=1,I1018="SBJ"),AND(J1018=1,I1018=0)),"?IN_FOCUS",IF(J1018&lt;=2,"?ACTIVATED",IF(J1018&lt;&gt;"","?FAMILIAR",IF(F1018="NEW",IF(ISNA(VLOOKUP(E1018,#REF!,1,FALSE())),"?TYPE_IDENTIFIABLE","?REFERENTIAL"),"_")))))</f>
        <v> </v>
      </c>
      <c r="H1018" s="25" t="str">
        <f>IF(J1018&lt;&gt;1,"",IF(I1018="SBJ","CB","?"))</f>
        <v> </v>
      </c>
      <c r="I1018" s="26" t="str">
        <f>IF(OR(E1018="",E1018="!!!",F1018="NEW"),"",INDEX(B1017:B$2,-1+SUMPRODUCT(MAX(ROW(E1017:E$2)*(E1018=E1017:E$2)))))</f>
        <v> </v>
      </c>
      <c r="J1018" s="26" t="str">
        <f>IF(OR(E1018="",E1018="!!!",F1018="NEW"),"",COUNTBLANK(OFFSET(A$1,,,SUMPRODUCT(MAX(ROW(E$2:E1018)*(E1018=E$2:E1018)))))-COUNTBLANK(OFFSET(A$1,,,SUMPRODUCT(MAX(ROW(E$1:E1017)*(E2=E$1:E1017))))))</f>
        <v> </v>
      </c>
      <c r="K1018" s="26" t="str">
        <f>IF(OR(E1018="",E1018="!!!",F1018="NEW"),"",INDEX(J$1:J1017,SUMPRODUCT(MAX(ROW(E$1:E1017)*(E1018=E$1:E1017)))))</f>
        <v> </v>
      </c>
      <c r="L1018" s="27"/>
    </row>
    <row r="1019" spans="1:12">
      <c r="A1019" s="20" t="s">
        <v>560</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row>
    <row r="1021" spans="1:12">
      <c r="A1021" s="20" t="s">
        <v>769</v>
      </c>
    </row>
    <row r="1022" spans="1:12">
      <c r="A1022" s="20" t="s">
        <v>770</v>
      </c>
      <c r="B1022" s="21" t="s">
        <v>373</v>
      </c>
      <c r="C1022" s="21" t="s">
        <v>361</v>
      </c>
      <c r="D1022" s="21" t="s">
        <v>358</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771</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t="s">
        <v>386</v>
      </c>
      <c r="B1024" s="21" t="s">
        <v>409</v>
      </c>
      <c r="C1024" s="21" t="s">
        <v>357</v>
      </c>
      <c r="D1024" s="21" t="s">
        <v>358</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258</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369</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384</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772</v>
      </c>
      <c r="B1028" s="21" t="s">
        <v>356</v>
      </c>
      <c r="C1028" s="21" t="s">
        <v>385</v>
      </c>
      <c r="D1028" s="21" t="s">
        <v>358</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389</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row>
    <row r="1031" spans="1:12">
      <c r="A1031" s="20" t="s">
        <v>773</v>
      </c>
    </row>
    <row r="1032" spans="1:12">
      <c r="A1032" s="20" t="s">
        <v>391</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t="s">
        <v>98</v>
      </c>
      <c r="E1033" s="22">
        <f>IF(D1033="?OLD","!!!","")</f>
        <v/>
      </c>
      <c r="F1033" s="23" t="str">
        <f>IF(OR(E1033="",E1033="!!!"),"",IF(NOT(ISNA(VLOOKUP(E1033,E$1:E1032,1,FALSE()))),"OLD",IF(AND(E1033&lt;&gt;"",E1033&lt;&gt;"!!!"),"NEW","")))</f>
        <v> </v>
      </c>
      <c r="G1033" s="24" t="str">
        <f>IF(OR(E1033="",E1033="!!!"),"",IF(OR(J1033=0,AND(J1033=1,K1033=1),AND(J1033=1,I1033="SBJ"),AND(J1033=1,I1033=0)),"?IN_FOCUS",IF(J1033&lt;=2,"?ACTIVATED",IF(J1033&lt;&gt;"","?FAMILIAR",IF(F1033="NEW",IF(ISNA(VLOOKUP(E1033,#REF!,1,FALSE())),"?TYPE_IDENTIFIABLE","?REFERENTIAL"),"_")))))</f>
        <v> </v>
      </c>
      <c r="H1033" s="25" t="str">
        <f>IF(J1033&lt;&gt;1,"",IF(I1033="SBJ","CB","?"))</f>
        <v> </v>
      </c>
      <c r="I1033" s="26" t="str">
        <f>IF(OR(E1033="",E1033="!!!",F1033="NEW"),"",INDEX(B1032:B$2,-1+SUMPRODUCT(MAX(ROW(E1032:E$2)*(E1033=E1032:E$2)))))</f>
        <v> </v>
      </c>
      <c r="J1033" s="26" t="str">
        <f>IF(OR(E1033="",E1033="!!!",F1033="NEW"),"",COUNTBLANK(OFFSET(A$1,,,SUMPRODUCT(MAX(ROW(E$2:E1033)*(E1033=E$2:E1033)))))-COUNTBLANK(OFFSET(A$1,,,SUMPRODUCT(MAX(ROW(E$1:E1032)*(E2=E$1:E1032))))))</f>
        <v> </v>
      </c>
      <c r="K1033" s="26" t="str">
        <f>IF(OR(E1033="",E1033="!!!",F1033="NEW"),"",INDEX(J$1:J1032,SUMPRODUCT(MAX(ROW(E$1:E1032)*(E1033=E$1:E1032)))))</f>
        <v> </v>
      </c>
      <c r="L1033" s="27"/>
    </row>
    <row r="1034" spans="1:12">
      <c r="A1034" s="20" t="s">
        <v>618</v>
      </c>
      <c r="E1034" s="22">
        <f>IF(D1034="?OLD","!!!","")</f>
        <v/>
      </c>
      <c r="F1034" s="23" t="str">
        <f>IF(OR(E1034="",E1034="!!!"),"",IF(NOT(ISNA(VLOOKUP(E1034,E$1:E1033,1,FALSE()))),"OLD",IF(AND(E1034&lt;&gt;"",E1034&lt;&gt;"!!!"),"NEW","")))</f>
        <v> </v>
      </c>
      <c r="G1034" s="24" t="str">
        <f>IF(OR(E1034="",E1034="!!!"),"",IF(OR(J1034=0,AND(J1034=1,K1034=1),AND(J1034=1,I1034="SBJ"),AND(J1034=1,I1034=0)),"?IN_FOCUS",IF(J1034&lt;=2,"?ACTIVATED",IF(J1034&lt;&gt;"","?FAMILIAR",IF(F1034="NEW",IF(ISNA(VLOOKUP(E1034,#REF!,1,FALSE())),"?TYPE_IDENTIFIABLE","?REFERENTIAL"),"_")))))</f>
        <v> </v>
      </c>
      <c r="H1034" s="25" t="str">
        <f>IF(J1034&lt;&gt;1,"",IF(I1034="SBJ","CB","?"))</f>
        <v> </v>
      </c>
      <c r="I1034" s="26" t="str">
        <f>IF(OR(E1034="",E1034="!!!",F1034="NEW"),"",INDEX(B1033:B$2,-1+SUMPRODUCT(MAX(ROW(E1033:E$2)*(E1034=E1033:E$2)))))</f>
        <v> </v>
      </c>
      <c r="J1034" s="26" t="str">
        <f>IF(OR(E1034="",E1034="!!!",F1034="NEW"),"",COUNTBLANK(OFFSET(A$1,,,SUMPRODUCT(MAX(ROW(E$2:E1034)*(E1034=E$2:E1034)))))-COUNTBLANK(OFFSET(A$1,,,SUMPRODUCT(MAX(ROW(E$1:E1033)*(E2=E$1:E1033))))))</f>
        <v> </v>
      </c>
      <c r="K1034" s="26" t="str">
        <f>IF(OR(E1034="",E1034="!!!",F1034="NEW"),"",INDEX(J$1:J1033,SUMPRODUCT(MAX(ROW(E$1:E1033)*(E1034=E$1:E1033)))))</f>
        <v> </v>
      </c>
      <c r="L1034" s="27"/>
    </row>
    <row r="1035" spans="1:12">
      <c r="A1035" s="20"/>
    </row>
    <row r="1036" spans="1:12">
      <c r="A1036" s="20" t="s">
        <v>774</v>
      </c>
    </row>
    <row r="1037" spans="1:12">
      <c r="A1037" s="20" t="s">
        <v>733</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594</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t="s">
        <v>513</v>
      </c>
      <c r="B1039" s="21" t="s">
        <v>373</v>
      </c>
      <c r="C1039" s="21" t="s">
        <v>357</v>
      </c>
      <c r="D1039" s="21" t="s">
        <v>358</v>
      </c>
      <c r="E1039" s="22">
        <f>IF(D1039="?OLD","!!!","")</f>
        <v/>
      </c>
      <c r="F1039" s="23" t="str">
        <f>IF(OR(E1039="",E1039="!!!"),"",IF(NOT(ISNA(VLOOKUP(E1039,E$1:E1038,1,FALSE()))),"OLD",IF(AND(E1039&lt;&gt;"",E1039&lt;&gt;"!!!"),"NEW","")))</f>
        <v> </v>
      </c>
      <c r="G1039" s="24" t="str">
        <f>IF(OR(E1039="",E1039="!!!"),"",IF(OR(J1039=0,AND(J1039=1,K1039=1),AND(J1039=1,I1039="SBJ"),AND(J1039=1,I1039=0)),"?IN_FOCUS",IF(J1039&lt;=2,"?ACTIVATED",IF(J1039&lt;&gt;"","?FAMILIAR",IF(F1039="NEW",IF(ISNA(VLOOKUP(E1039,#REF!,1,FALSE())),"?TYPE_IDENTIFIABLE","?REFERENTIAL"),"_")))))</f>
        <v> </v>
      </c>
      <c r="H1039" s="25" t="str">
        <f>IF(J1039&lt;&gt;1,"",IF(I1039="SBJ","CB","?"))</f>
        <v> </v>
      </c>
      <c r="I1039" s="26" t="str">
        <f>IF(OR(E1039="",E1039="!!!",F1039="NEW"),"",INDEX(B1038:B$2,-1+SUMPRODUCT(MAX(ROW(E1038:E$2)*(E1039=E1038:E$2)))))</f>
        <v> </v>
      </c>
      <c r="J1039" s="26" t="str">
        <f>IF(OR(E1039="",E1039="!!!",F1039="NEW"),"",COUNTBLANK(OFFSET(A$1,,,SUMPRODUCT(MAX(ROW(E$2:E1039)*(E1039=E$2:E1039)))))-COUNTBLANK(OFFSET(A$1,,,SUMPRODUCT(MAX(ROW(E$1:E1038)*(E2=E$1:E1038))))))</f>
        <v> </v>
      </c>
      <c r="K1039" s="26" t="str">
        <f>IF(OR(E1039="",E1039="!!!",F1039="NEW"),"",INDEX(J$1:J1038,SUMPRODUCT(MAX(ROW(E$1:E1038)*(E1039=E$1:E1038)))))</f>
        <v> </v>
      </c>
      <c r="L1039" s="27"/>
    </row>
    <row r="1040" spans="1:12">
      <c r="A1040" s="20" t="s">
        <v>775</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t="s">
        <v>776</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777</v>
      </c>
      <c r="B1042" s="21" t="s">
        <v>378</v>
      </c>
      <c r="C1042" s="21" t="s">
        <v>483</v>
      </c>
      <c r="D1042" s="21" t="s">
        <v>358</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778</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380</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779</v>
      </c>
      <c r="B1045" s="21" t="s">
        <v>356</v>
      </c>
      <c r="C1045" s="21" t="s">
        <v>382</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389</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row>
    <row r="1048" spans="1:12">
      <c r="A1048" s="20" t="s">
        <v>780</v>
      </c>
    </row>
    <row r="1049" spans="1:12">
      <c r="A1049" s="20" t="s">
        <v>511</v>
      </c>
      <c r="B1049" s="21" t="s">
        <v>373</v>
      </c>
      <c r="C1049" s="21" t="s">
        <v>357</v>
      </c>
      <c r="D1049" s="21" t="s">
        <v>358</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781</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t="s">
        <v>386</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t="s">
        <v>690</v>
      </c>
      <c r="B1052" s="21" t="s">
        <v>378</v>
      </c>
      <c r="C1052" s="21" t="s">
        <v>385</v>
      </c>
      <c r="D1052" s="21" t="s">
        <v>358</v>
      </c>
      <c r="E1052" s="22">
        <f>IF(D1052="?OLD","!!!","")</f>
        <v/>
      </c>
      <c r="F1052" s="23" t="str">
        <f>IF(OR(E1052="",E1052="!!!"),"",IF(NOT(ISNA(VLOOKUP(E1052,E$1:E1051,1,FALSE()))),"OLD",IF(AND(E1052&lt;&gt;"",E1052&lt;&gt;"!!!"),"NEW","")))</f>
        <v> </v>
      </c>
      <c r="G1052" s="24" t="str">
        <f>IF(OR(E1052="",E1052="!!!"),"",IF(OR(J1052=0,AND(J1052=1,K1052=1),AND(J1052=1,I1052="SBJ"),AND(J1052=1,I1052=0)),"?IN_FOCUS",IF(J1052&lt;=2,"?ACTIVATED",IF(J1052&lt;&gt;"","?FAMILIAR",IF(F1052="NEW",IF(ISNA(VLOOKUP(E1052,#REF!,1,FALSE())),"?TYPE_IDENTIFIABLE","?REFERENTIAL"),"_")))))</f>
        <v> </v>
      </c>
      <c r="H1052" s="25" t="str">
        <f>IF(J1052&lt;&gt;1,"",IF(I1052="SBJ","CB","?"))</f>
        <v> </v>
      </c>
      <c r="I1052" s="26" t="str">
        <f>IF(OR(E1052="",E1052="!!!",F1052="NEW"),"",INDEX(B1051:B$2,-1+SUMPRODUCT(MAX(ROW(E1051:E$2)*(E1052=E1051:E$2)))))</f>
        <v> </v>
      </c>
      <c r="J1052" s="26" t="str">
        <f>IF(OR(E1052="",E1052="!!!",F1052="NEW"),"",COUNTBLANK(OFFSET(A$1,,,SUMPRODUCT(MAX(ROW(E$2:E1052)*(E1052=E$2:E1052)))))-COUNTBLANK(OFFSET(A$1,,,SUMPRODUCT(MAX(ROW(E$1:E1051)*(E2=E$1:E1051))))))</f>
        <v> </v>
      </c>
      <c r="K1052" s="26" t="str">
        <f>IF(OR(E1052="",E1052="!!!",F1052="NEW"),"",INDEX(J$1:J1051,SUMPRODUCT(MAX(ROW(E$1:E1051)*(E1052=E$1:E1051)))))</f>
        <v> </v>
      </c>
      <c r="L1052" s="27"/>
    </row>
    <row r="1053" spans="1:12">
      <c r="A1053" s="20" t="s">
        <v>367</v>
      </c>
      <c r="E1053" s="22">
        <f>IF(D1053="?OLD","!!!","")</f>
        <v/>
      </c>
      <c r="F1053" s="23" t="str">
        <f>IF(OR(E1053="",E1053="!!!"),"",IF(NOT(ISNA(VLOOKUP(E1053,E$1:E1052,1,FALSE()))),"OLD",IF(AND(E1053&lt;&gt;"",E1053&lt;&gt;"!!!"),"NEW","")))</f>
        <v> </v>
      </c>
      <c r="G1053" s="24" t="str">
        <f>IF(OR(E1053="",E1053="!!!"),"",IF(OR(J1053=0,AND(J1053=1,K1053=1),AND(J1053=1,I1053="SBJ"),AND(J1053=1,I1053=0)),"?IN_FOCUS",IF(J1053&lt;=2,"?ACTIVATED",IF(J1053&lt;&gt;"","?FAMILIAR",IF(F1053="NEW",IF(ISNA(VLOOKUP(E1053,#REF!,1,FALSE())),"?TYPE_IDENTIFIABLE","?REFERENTIAL"),"_")))))</f>
        <v> </v>
      </c>
      <c r="H1053" s="25" t="str">
        <f>IF(J1053&lt;&gt;1,"",IF(I1053="SBJ","CB","?"))</f>
        <v> </v>
      </c>
      <c r="I1053" s="26" t="str">
        <f>IF(OR(E1053="",E1053="!!!",F1053="NEW"),"",INDEX(B1052:B$2,-1+SUMPRODUCT(MAX(ROW(E1052:E$2)*(E1053=E1052:E$2)))))</f>
        <v> </v>
      </c>
      <c r="J1053" s="26" t="str">
        <f>IF(OR(E1053="",E1053="!!!",F1053="NEW"),"",COUNTBLANK(OFFSET(A$1,,,SUMPRODUCT(MAX(ROW(E$2:E1053)*(E1053=E$2:E1053)))))-COUNTBLANK(OFFSET(A$1,,,SUMPRODUCT(MAX(ROW(E$1:E1052)*(E2=E$1:E1052))))))</f>
        <v> </v>
      </c>
      <c r="K1053" s="26" t="str">
        <f>IF(OR(E1053="",E1053="!!!",F1053="NEW"),"",INDEX(J$1:J1052,SUMPRODUCT(MAX(ROW(E$1:E1052)*(E1053=E$1:E1052)))))</f>
        <v> </v>
      </c>
      <c r="L1053" s="27"/>
    </row>
    <row r="1054" spans="1:12">
      <c r="A1054" s="20" t="s">
        <v>513</v>
      </c>
      <c r="B1054" s="21" t="s">
        <v>429</v>
      </c>
      <c r="C1054" s="21" t="s">
        <v>357</v>
      </c>
      <c r="D1054" s="21" t="s">
        <v>358</v>
      </c>
      <c r="E1054" s="22">
        <f>IF(D1054="?OLD","!!!","")</f>
        <v/>
      </c>
      <c r="F1054" s="23" t="str">
        <f>IF(OR(E1054="",E1054="!!!"),"",IF(NOT(ISNA(VLOOKUP(E1054,E$1:E1053,1,FALSE()))),"OLD",IF(AND(E1054&lt;&gt;"",E1054&lt;&gt;"!!!"),"NEW","")))</f>
        <v> </v>
      </c>
      <c r="G1054" s="24" t="str">
        <f>IF(OR(E1054="",E1054="!!!"),"",IF(OR(J1054=0,AND(J1054=1,K1054=1),AND(J1054=1,I1054="SBJ"),AND(J1054=1,I1054=0)),"?IN_FOCUS",IF(J1054&lt;=2,"?ACTIVATED",IF(J1054&lt;&gt;"","?FAMILIAR",IF(F1054="NEW",IF(ISNA(VLOOKUP(E1054,#REF!,1,FALSE())),"?TYPE_IDENTIFIABLE","?REFERENTIAL"),"_")))))</f>
        <v> </v>
      </c>
      <c r="H1054" s="25" t="str">
        <f>IF(J1054&lt;&gt;1,"",IF(I1054="SBJ","CB","?"))</f>
        <v> </v>
      </c>
      <c r="I1054" s="26" t="str">
        <f>IF(OR(E1054="",E1054="!!!",F1054="NEW"),"",INDEX(B1053:B$2,-1+SUMPRODUCT(MAX(ROW(E1053:E$2)*(E1054=E1053:E$2)))))</f>
        <v> </v>
      </c>
      <c r="J1054" s="26" t="str">
        <f>IF(OR(E1054="",E1054="!!!",F1054="NEW"),"",COUNTBLANK(OFFSET(A$1,,,SUMPRODUCT(MAX(ROW(E$2:E1054)*(E1054=E$2:E1054)))))-COUNTBLANK(OFFSET(A$1,,,SUMPRODUCT(MAX(ROW(E$1:E1053)*(E2=E$1:E1053))))))</f>
        <v> </v>
      </c>
      <c r="K1054" s="26" t="str">
        <f>IF(OR(E1054="",E1054="!!!",F1054="NEW"),"",INDEX(J$1:J1053,SUMPRODUCT(MAX(ROW(E$1:E1053)*(E1054=E$1:E1053)))))</f>
        <v> </v>
      </c>
      <c r="L1054" s="27"/>
    </row>
    <row r="1055" spans="1:12">
      <c r="A1055" s="20" t="s">
        <v>734</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t="s">
        <v>386</v>
      </c>
      <c r="E1056" s="22">
        <f>IF(D1056="?OLD","!!!","")</f>
        <v/>
      </c>
      <c r="F1056" s="23" t="str">
        <f>IF(OR(E1056="",E1056="!!!"),"",IF(NOT(ISNA(VLOOKUP(E1056,E$1:E1055,1,FALSE()))),"OLD",IF(AND(E1056&lt;&gt;"",E1056&lt;&gt;"!!!"),"NEW","")))</f>
        <v> </v>
      </c>
      <c r="G1056" s="24" t="str">
        <f>IF(OR(E1056="",E1056="!!!"),"",IF(OR(J1056=0,AND(J1056=1,K1056=1),AND(J1056=1,I1056="SBJ"),AND(J1056=1,I1056=0)),"?IN_FOCUS",IF(J1056&lt;=2,"?ACTIVATED",IF(J1056&lt;&gt;"","?FAMILIAR",IF(F1056="NEW",IF(ISNA(VLOOKUP(E1056,#REF!,1,FALSE())),"?TYPE_IDENTIFIABLE","?REFERENTIAL"),"_")))))</f>
        <v> </v>
      </c>
      <c r="H1056" s="25" t="str">
        <f>IF(J1056&lt;&gt;1,"",IF(I1056="SBJ","CB","?"))</f>
        <v> </v>
      </c>
      <c r="I1056" s="26" t="str">
        <f>IF(OR(E1056="",E1056="!!!",F1056="NEW"),"",INDEX(B1055:B$2,-1+SUMPRODUCT(MAX(ROW(E1055:E$2)*(E1056=E1055:E$2)))))</f>
        <v> </v>
      </c>
      <c r="J1056" s="26" t="str">
        <f>IF(OR(E1056="",E1056="!!!",F1056="NEW"),"",COUNTBLANK(OFFSET(A$1,,,SUMPRODUCT(MAX(ROW(E$2:E1056)*(E1056=E$2:E1056)))))-COUNTBLANK(OFFSET(A$1,,,SUMPRODUCT(MAX(ROW(E$1:E1055)*(E2=E$1:E1055))))))</f>
        <v> </v>
      </c>
      <c r="K1056" s="26" t="str">
        <f>IF(OR(E1056="",E1056="!!!",F1056="NEW"),"",INDEX(J$1:J1055,SUMPRODUCT(MAX(ROW(E$1:E1055)*(E1056=E$1:E1055)))))</f>
        <v> </v>
      </c>
      <c r="L1056" s="27"/>
    </row>
    <row r="1057" spans="1:12">
      <c r="A1057" s="20" t="s">
        <v>782</v>
      </c>
      <c r="B1057" s="21" t="s">
        <v>409</v>
      </c>
      <c r="C1057" s="21" t="s">
        <v>385</v>
      </c>
      <c r="D1057" s="21" t="s">
        <v>358</v>
      </c>
      <c r="E1057" s="22">
        <f>IF(D1057="?OLD","!!!","")</f>
        <v/>
      </c>
      <c r="F1057" s="23" t="str">
        <f>IF(OR(E1057="",E1057="!!!"),"",IF(NOT(ISNA(VLOOKUP(E1057,E$1:E1056,1,FALSE()))),"OLD",IF(AND(E1057&lt;&gt;"",E1057&lt;&gt;"!!!"),"NEW","")))</f>
        <v> </v>
      </c>
      <c r="G1057" s="24" t="str">
        <f>IF(OR(E1057="",E1057="!!!"),"",IF(OR(J1057=0,AND(J1057=1,K1057=1),AND(J1057=1,I1057="SBJ"),AND(J1057=1,I1057=0)),"?IN_FOCUS",IF(J1057&lt;=2,"?ACTIVATED",IF(J1057&lt;&gt;"","?FAMILIAR",IF(F1057="NEW",IF(ISNA(VLOOKUP(E1057,#REF!,1,FALSE())),"?TYPE_IDENTIFIABLE","?REFERENTIAL"),"_")))))</f>
        <v> </v>
      </c>
      <c r="H1057" s="25" t="str">
        <f>IF(J1057&lt;&gt;1,"",IF(I1057="SBJ","CB","?"))</f>
        <v> </v>
      </c>
      <c r="I1057" s="26" t="str">
        <f>IF(OR(E1057="",E1057="!!!",F1057="NEW"),"",INDEX(B1056:B$2,-1+SUMPRODUCT(MAX(ROW(E1056:E$2)*(E1057=E1056:E$2)))))</f>
        <v> </v>
      </c>
      <c r="J1057" s="26" t="str">
        <f>IF(OR(E1057="",E1057="!!!",F1057="NEW"),"",COUNTBLANK(OFFSET(A$1,,,SUMPRODUCT(MAX(ROW(E$2:E1057)*(E1057=E$2:E1057)))))-COUNTBLANK(OFFSET(A$1,,,SUMPRODUCT(MAX(ROW(E$1:E1056)*(E2=E$1:E1056))))))</f>
        <v> </v>
      </c>
      <c r="K1057" s="26" t="str">
        <f>IF(OR(E1057="",E1057="!!!",F1057="NEW"),"",INDEX(J$1:J1056,SUMPRODUCT(MAX(ROW(E$1:E1056)*(E1057=E$1:E1056)))))</f>
        <v> </v>
      </c>
      <c r="L1057" s="27"/>
    </row>
    <row r="1058" spans="1:12">
      <c r="A1058" s="20" t="s">
        <v>389</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row>
    <row r="1060" spans="1:12">
      <c r="A1060" s="20" t="s">
        <v>783</v>
      </c>
    </row>
    <row r="1061" spans="1:12">
      <c r="A1061" s="20" t="s">
        <v>391</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566</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754</v>
      </c>
      <c r="B1063" s="21" t="s">
        <v>373</v>
      </c>
      <c r="C1063" s="21" t="s">
        <v>366</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484</v>
      </c>
      <c r="B1064" s="21" t="s">
        <v>451</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784</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t="s">
        <v>211</v>
      </c>
      <c r="E1066" s="22">
        <f>IF(D1066="?OLD","!!!","")</f>
        <v/>
      </c>
      <c r="F1066" s="23" t="str">
        <f>IF(OR(E1066="",E1066="!!!"),"",IF(NOT(ISNA(VLOOKUP(E1066,E$1:E1065,1,FALSE()))),"OLD",IF(AND(E1066&lt;&gt;"",E1066&lt;&gt;"!!!"),"NEW","")))</f>
        <v> </v>
      </c>
      <c r="G1066" s="24" t="str">
        <f>IF(OR(E1066="",E1066="!!!"),"",IF(OR(J1066=0,AND(J1066=1,K1066=1),AND(J1066=1,I1066="SBJ"),AND(J1066=1,I1066=0)),"?IN_FOCUS",IF(J1066&lt;=2,"?ACTIVATED",IF(J1066&lt;&gt;"","?FAMILIAR",IF(F1066="NEW",IF(ISNA(VLOOKUP(E1066,#REF!,1,FALSE())),"?TYPE_IDENTIFIABLE","?REFERENTIAL"),"_")))))</f>
        <v> </v>
      </c>
      <c r="H1066" s="25" t="str">
        <f>IF(J1066&lt;&gt;1,"",IF(I1066="SBJ","CB","?"))</f>
        <v> </v>
      </c>
      <c r="I1066" s="26" t="str">
        <f>IF(OR(E1066="",E1066="!!!",F1066="NEW"),"",INDEX(B1065:B$2,-1+SUMPRODUCT(MAX(ROW(E1065:E$2)*(E1066=E1065:E$2)))))</f>
        <v> </v>
      </c>
      <c r="J1066" s="26" t="str">
        <f>IF(OR(E1066="",E1066="!!!",F1066="NEW"),"",COUNTBLANK(OFFSET(A$1,,,SUMPRODUCT(MAX(ROW(E$2:E1066)*(E1066=E$2:E1066)))))-COUNTBLANK(OFFSET(A$1,,,SUMPRODUCT(MAX(ROW(E$1:E1065)*(E2=E$1:E1065))))))</f>
        <v> </v>
      </c>
      <c r="K1066" s="26" t="str">
        <f>IF(OR(E1066="",E1066="!!!",F1066="NEW"),"",INDEX(J$1:J1065,SUMPRODUCT(MAX(ROW(E$1:E1065)*(E1066=E$1:E1065)))))</f>
        <v> </v>
      </c>
      <c r="L1066" s="27"/>
    </row>
    <row r="1067" spans="1:12">
      <c r="A1067" s="20" t="s">
        <v>785</v>
      </c>
      <c r="E1067" s="22">
        <f>IF(D1067="?OLD","!!!","")</f>
        <v/>
      </c>
      <c r="F1067" s="23" t="str">
        <f>IF(OR(E1067="",E1067="!!!"),"",IF(NOT(ISNA(VLOOKUP(E1067,E$1:E1066,1,FALSE()))),"OLD",IF(AND(E1067&lt;&gt;"",E1067&lt;&gt;"!!!"),"NEW","")))</f>
        <v> </v>
      </c>
      <c r="G1067" s="24" t="str">
        <f>IF(OR(E1067="",E1067="!!!"),"",IF(OR(J1067=0,AND(J1067=1,K1067=1),AND(J1067=1,I1067="SBJ"),AND(J1067=1,I1067=0)),"?IN_FOCUS",IF(J1067&lt;=2,"?ACTIVATED",IF(J1067&lt;&gt;"","?FAMILIAR",IF(F1067="NEW",IF(ISNA(VLOOKUP(E1067,#REF!,1,FALSE())),"?TYPE_IDENTIFIABLE","?REFERENTIAL"),"_")))))</f>
        <v> </v>
      </c>
      <c r="H1067" s="25" t="str">
        <f>IF(J1067&lt;&gt;1,"",IF(I1067="SBJ","CB","?"))</f>
        <v> </v>
      </c>
      <c r="I1067" s="26" t="str">
        <f>IF(OR(E1067="",E1067="!!!",F1067="NEW"),"",INDEX(B1066:B$2,-1+SUMPRODUCT(MAX(ROW(E1066:E$2)*(E1067=E1066:E$2)))))</f>
        <v> </v>
      </c>
      <c r="J1067" s="26" t="str">
        <f>IF(OR(E1067="",E1067="!!!",F1067="NEW"),"",COUNTBLANK(OFFSET(A$1,,,SUMPRODUCT(MAX(ROW(E$2:E1067)*(E1067=E$2:E1067)))))-COUNTBLANK(OFFSET(A$1,,,SUMPRODUCT(MAX(ROW(E$1:E1066)*(E2=E$1:E1066))))))</f>
        <v> </v>
      </c>
      <c r="K1067" s="26" t="str">
        <f>IF(OR(E1067="",E1067="!!!",F1067="NEW"),"",INDEX(J$1:J1066,SUMPRODUCT(MAX(ROW(E$1:E1066)*(E1067=E$1:E1066)))))</f>
        <v> </v>
      </c>
      <c r="L1067" s="27"/>
    </row>
    <row r="1068" spans="1:12">
      <c r="A1068" s="20" t="s">
        <v>412</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376</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786</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787</v>
      </c>
      <c r="B1071" s="21" t="s">
        <v>360</v>
      </c>
      <c r="C1071" s="21" t="s">
        <v>379</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t="s">
        <v>386</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t="s">
        <v>788</v>
      </c>
      <c r="B1073" s="21" t="s">
        <v>388</v>
      </c>
      <c r="C1073" s="21" t="s">
        <v>385</v>
      </c>
      <c r="D1073" s="21" t="s">
        <v>358</v>
      </c>
      <c r="E1073" s="22">
        <f>IF(D1073="?OLD","!!!","")</f>
        <v/>
      </c>
      <c r="F1073" s="23" t="str">
        <f>IF(OR(E1073="",E1073="!!!"),"",IF(NOT(ISNA(VLOOKUP(E1073,E$1:E1072,1,FALSE()))),"OLD",IF(AND(E1073&lt;&gt;"",E1073&lt;&gt;"!!!"),"NEW","")))</f>
        <v> </v>
      </c>
      <c r="G1073" s="24" t="str">
        <f>IF(OR(E1073="",E1073="!!!"),"",IF(OR(J1073=0,AND(J1073=1,K1073=1),AND(J1073=1,I1073="SBJ"),AND(J1073=1,I1073=0)),"?IN_FOCUS",IF(J1073&lt;=2,"?ACTIVATED",IF(J1073&lt;&gt;"","?FAMILIAR",IF(F1073="NEW",IF(ISNA(VLOOKUP(E1073,#REF!,1,FALSE())),"?TYPE_IDENTIFIABLE","?REFERENTIAL"),"_")))))</f>
        <v> </v>
      </c>
      <c r="H1073" s="25" t="str">
        <f>IF(J1073&lt;&gt;1,"",IF(I1073="SBJ","CB","?"))</f>
        <v> </v>
      </c>
      <c r="I1073" s="26" t="str">
        <f>IF(OR(E1073="",E1073="!!!",F1073="NEW"),"",INDEX(B1072:B$2,-1+SUMPRODUCT(MAX(ROW(E1072:E$2)*(E1073=E1072:E$2)))))</f>
        <v> </v>
      </c>
      <c r="J1073" s="26" t="str">
        <f>IF(OR(E1073="",E1073="!!!",F1073="NEW"),"",COUNTBLANK(OFFSET(A$1,,,SUMPRODUCT(MAX(ROW(E$2:E1073)*(E1073=E$2:E1073)))))-COUNTBLANK(OFFSET(A$1,,,SUMPRODUCT(MAX(ROW(E$1:E1072)*(E2=E$1:E1072))))))</f>
        <v> </v>
      </c>
      <c r="K1073" s="26" t="str">
        <f>IF(OR(E1073="",E1073="!!!",F1073="NEW"),"",INDEX(J$1:J1072,SUMPRODUCT(MAX(ROW(E$1:E1072)*(E1073=E$1:E1072)))))</f>
        <v> </v>
      </c>
      <c r="L1073" s="27"/>
    </row>
    <row r="1074" spans="1:12">
      <c r="A1074" s="20" t="s">
        <v>380</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t="s">
        <v>386</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554</v>
      </c>
      <c r="B1076" s="21" t="s">
        <v>417</v>
      </c>
      <c r="C1076" s="21" t="s">
        <v>385</v>
      </c>
      <c r="D1076" s="21" t="s">
        <v>358</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t="s">
        <v>789</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380</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t="s">
        <v>756</v>
      </c>
      <c r="B1079" s="21" t="s">
        <v>365</v>
      </c>
      <c r="C1079" s="21" t="s">
        <v>382</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t="s">
        <v>757</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t="s">
        <v>790</v>
      </c>
      <c r="B1081" s="21" t="s">
        <v>356</v>
      </c>
      <c r="C1081" s="21" t="s">
        <v>506</v>
      </c>
      <c r="D1081" s="21" t="s">
        <v>358</v>
      </c>
      <c r="E1081" s="22">
        <f>IF(D1081="?OLD","!!!","")</f>
        <v/>
      </c>
      <c r="F1081" s="23" t="str">
        <f>IF(OR(E1081="",E1081="!!!"),"",IF(NOT(ISNA(VLOOKUP(E1081,E$1:E1080,1,FALSE()))),"OLD",IF(AND(E1081&lt;&gt;"",E1081&lt;&gt;"!!!"),"NEW","")))</f>
        <v> </v>
      </c>
      <c r="G1081" s="24" t="str">
        <f>IF(OR(E1081="",E1081="!!!"),"",IF(OR(J1081=0,AND(J1081=1,K1081=1),AND(J1081=1,I1081="SBJ"),AND(J1081=1,I1081=0)),"?IN_FOCUS",IF(J1081&lt;=2,"?ACTIVATED",IF(J1081&lt;&gt;"","?FAMILIAR",IF(F1081="NEW",IF(ISNA(VLOOKUP(E1081,#REF!,1,FALSE())),"?TYPE_IDENTIFIABLE","?REFERENTIAL"),"_")))))</f>
        <v> </v>
      </c>
      <c r="H1081" s="25" t="str">
        <f>IF(J1081&lt;&gt;1,"",IF(I1081="SBJ","CB","?"))</f>
        <v> </v>
      </c>
      <c r="I1081" s="26" t="str">
        <f>IF(OR(E1081="",E1081="!!!",F1081="NEW"),"",INDEX(B1080:B$2,-1+SUMPRODUCT(MAX(ROW(E1080:E$2)*(E1081=E1080:E$2)))))</f>
        <v> </v>
      </c>
      <c r="J1081" s="26" t="str">
        <f>IF(OR(E1081="",E1081="!!!",F1081="NEW"),"",COUNTBLANK(OFFSET(A$1,,,SUMPRODUCT(MAX(ROW(E$2:E1081)*(E1081=E$2:E1081)))))-COUNTBLANK(OFFSET(A$1,,,SUMPRODUCT(MAX(ROW(E$1:E1080)*(E2=E$1:E1080))))))</f>
        <v> </v>
      </c>
      <c r="K1081" s="26" t="str">
        <f>IF(OR(E1081="",E1081="!!!",F1081="NEW"),"",INDEX(J$1:J1080,SUMPRODUCT(MAX(ROW(E$1:E1080)*(E1081=E$1:E1080)))))</f>
        <v> </v>
      </c>
      <c r="L1081" s="27"/>
    </row>
    <row r="1082" spans="1:12">
      <c r="A1082" s="20" t="s">
        <v>791</v>
      </c>
      <c r="B1082" s="21" t="s">
        <v>378</v>
      </c>
      <c r="C1082" s="21" t="s">
        <v>476</v>
      </c>
      <c r="D1082" s="21" t="s">
        <v>358</v>
      </c>
      <c r="E1082" s="22">
        <f>IF(D1082="?OLD","!!!","")</f>
        <v/>
      </c>
      <c r="F1082" s="23" t="str">
        <f>IF(OR(E1082="",E1082="!!!"),"",IF(NOT(ISNA(VLOOKUP(E1082,E$1:E1081,1,FALSE()))),"OLD",IF(AND(E1082&lt;&gt;"",E1082&lt;&gt;"!!!"),"NEW","")))</f>
        <v> </v>
      </c>
      <c r="G1082" s="24" t="str">
        <f>IF(OR(E1082="",E1082="!!!"),"",IF(OR(J1082=0,AND(J1082=1,K1082=1),AND(J1082=1,I1082="SBJ"),AND(J1082=1,I1082=0)),"?IN_FOCUS",IF(J1082&lt;=2,"?ACTIVATED",IF(J1082&lt;&gt;"","?FAMILIAR",IF(F1082="NEW",IF(ISNA(VLOOKUP(E1082,#REF!,1,FALSE())),"?TYPE_IDENTIFIABLE","?REFERENTIAL"),"_")))))</f>
        <v> </v>
      </c>
      <c r="H1082" s="25" t="str">
        <f>IF(J1082&lt;&gt;1,"",IF(I1082="SBJ","CB","?"))</f>
        <v> </v>
      </c>
      <c r="I1082" s="26" t="str">
        <f>IF(OR(E1082="",E1082="!!!",F1082="NEW"),"",INDEX(B1081:B$2,-1+SUMPRODUCT(MAX(ROW(E1081:E$2)*(E1082=E1081:E$2)))))</f>
        <v> </v>
      </c>
      <c r="J1082" s="26" t="str">
        <f>IF(OR(E1082="",E1082="!!!",F1082="NEW"),"",COUNTBLANK(OFFSET(A$1,,,SUMPRODUCT(MAX(ROW(E$2:E1082)*(E1082=E$2:E1082)))))-COUNTBLANK(OFFSET(A$1,,,SUMPRODUCT(MAX(ROW(E$1:E1081)*(E2=E$1:E1081))))))</f>
        <v> </v>
      </c>
      <c r="K1082" s="26" t="str">
        <f>IF(OR(E1082="",E1082="!!!",F1082="NEW"),"",INDEX(J$1:J1081,SUMPRODUCT(MAX(ROW(E$1:E1081)*(E1082=E$1:E1081)))))</f>
        <v> </v>
      </c>
      <c r="L1082" s="27"/>
    </row>
    <row r="1083" spans="1:12">
      <c r="A1083" s="20" t="s">
        <v>389</v>
      </c>
      <c r="E1083" s="22">
        <f>IF(D1083="?OLD","!!!","")</f>
        <v/>
      </c>
      <c r="F1083" s="23" t="str">
        <f>IF(OR(E1083="",E1083="!!!"),"",IF(NOT(ISNA(VLOOKUP(E1083,E$1:E1082,1,FALSE()))),"OLD",IF(AND(E1083&lt;&gt;"",E1083&lt;&gt;"!!!"),"NEW","")))</f>
        <v> </v>
      </c>
      <c r="G1083" s="24" t="str">
        <f>IF(OR(E1083="",E1083="!!!"),"",IF(OR(J1083=0,AND(J1083=1,K1083=1),AND(J1083=1,I1083="SBJ"),AND(J1083=1,I1083=0)),"?IN_FOCUS",IF(J1083&lt;=2,"?ACTIVATED",IF(J1083&lt;&gt;"","?FAMILIAR",IF(F1083="NEW",IF(ISNA(VLOOKUP(E1083,#REF!,1,FALSE())),"?TYPE_IDENTIFIABLE","?REFERENTIAL"),"_")))))</f>
        <v> </v>
      </c>
      <c r="H1083" s="25" t="str">
        <f>IF(J1083&lt;&gt;1,"",IF(I1083="SBJ","CB","?"))</f>
        <v> </v>
      </c>
      <c r="I1083" s="26" t="str">
        <f>IF(OR(E1083="",E1083="!!!",F1083="NEW"),"",INDEX(B1082:B$2,-1+SUMPRODUCT(MAX(ROW(E1082:E$2)*(E1083=E1082:E$2)))))</f>
        <v> </v>
      </c>
      <c r="J1083" s="26" t="str">
        <f>IF(OR(E1083="",E1083="!!!",F1083="NEW"),"",COUNTBLANK(OFFSET(A$1,,,SUMPRODUCT(MAX(ROW(E$2:E1083)*(E1083=E$2:E1083)))))-COUNTBLANK(OFFSET(A$1,,,SUMPRODUCT(MAX(ROW(E$1:E1082)*(E2=E$1:E1082))))))</f>
        <v> </v>
      </c>
      <c r="K1083" s="26" t="str">
        <f>IF(OR(E1083="",E1083="!!!",F1083="NEW"),"",INDEX(J$1:J1082,SUMPRODUCT(MAX(ROW(E$1:E1082)*(E1083=E$1:E1082)))))</f>
        <v> </v>
      </c>
      <c r="L1083" s="27"/>
    </row>
    <row r="1084" spans="1:12">
      <c r="A1084" s="20"/>
    </row>
    <row r="1085" spans="1:12">
      <c r="A1085" s="20" t="s">
        <v>792</v>
      </c>
    </row>
    <row r="1086" spans="1:12">
      <c r="A1086" s="20" t="s">
        <v>397</v>
      </c>
      <c r="E1086" s="22">
        <f>IF(D1086="?OLD","!!!","")</f>
        <v/>
      </c>
      <c r="F1086" s="23" t="str">
        <f>IF(OR(E1086="",E1086="!!!"),"",IF(NOT(ISNA(VLOOKUP(E1086,E$1:E1085,1,FALSE()))),"OLD",IF(AND(E1086&lt;&gt;"",E1086&lt;&gt;"!!!"),"NEW","")))</f>
        <v> </v>
      </c>
      <c r="G1086" s="24" t="str">
        <f>IF(OR(E1086="",E1086="!!!"),"",IF(OR(J1086=0,AND(J1086=1,K1086=1),AND(J1086=1,I1086="SBJ"),AND(J1086=1,I1086=0)),"?IN_FOCUS",IF(J1086&lt;=2,"?ACTIVATED",IF(J1086&lt;&gt;"","?FAMILIAR",IF(F1086="NEW",IF(ISNA(VLOOKUP(E1086,#REF!,1,FALSE())),"?TYPE_IDENTIFIABLE","?REFERENTIAL"),"_")))))</f>
        <v> </v>
      </c>
      <c r="H1086" s="25" t="str">
        <f>IF(J1086&lt;&gt;1,"",IF(I1086="SBJ","CB","?"))</f>
        <v> </v>
      </c>
      <c r="I1086" s="26" t="str">
        <f>IF(OR(E1086="",E1086="!!!",F1086="NEW"),"",INDEX(B1085:B$2,-1+SUMPRODUCT(MAX(ROW(E1085:E$2)*(E1086=E1085:E$2)))))</f>
        <v> </v>
      </c>
      <c r="J1086" s="26" t="str">
        <f>IF(OR(E1086="",E1086="!!!",F1086="NEW"),"",COUNTBLANK(OFFSET(A$1,,,SUMPRODUCT(MAX(ROW(E$2:E1086)*(E1086=E$2:E1086)))))-COUNTBLANK(OFFSET(A$1,,,SUMPRODUCT(MAX(ROW(E$1:E1085)*(E2=E$1:E1085))))))</f>
        <v> </v>
      </c>
      <c r="K1086" s="26" t="str">
        <f>IF(OR(E1086="",E1086="!!!",F1086="NEW"),"",INDEX(J$1:J1085,SUMPRODUCT(MAX(ROW(E$1:E1085)*(E1086=E$1:E1085)))))</f>
        <v> </v>
      </c>
      <c r="L1086" s="27"/>
    </row>
    <row r="1087" spans="1:12">
      <c r="A1087" s="20" t="s">
        <v>398</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777</v>
      </c>
      <c r="B1088" s="21" t="s">
        <v>365</v>
      </c>
      <c r="C1088" s="21" t="s">
        <v>385</v>
      </c>
      <c r="D1088" s="21" t="s">
        <v>358</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793</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t="s">
        <v>211</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t="s">
        <v>380</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t="s">
        <v>398</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777</v>
      </c>
      <c r="B1093" s="21" t="s">
        <v>356</v>
      </c>
      <c r="C1093" s="21" t="s">
        <v>385</v>
      </c>
      <c r="D1093" s="21" t="s">
        <v>358</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t="s">
        <v>380</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779</v>
      </c>
      <c r="B1095" s="21" t="s">
        <v>360</v>
      </c>
      <c r="C1095" s="21" t="s">
        <v>382</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t="s">
        <v>367</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t="s">
        <v>533</v>
      </c>
      <c r="B1097" s="21" t="s">
        <v>356</v>
      </c>
      <c r="C1097" s="21" t="s">
        <v>506</v>
      </c>
      <c r="D1097" s="21" t="s">
        <v>358</v>
      </c>
      <c r="E1097" s="22">
        <f>IF(D1097="?OLD","!!!","")</f>
        <v/>
      </c>
      <c r="F1097" s="23" t="str">
        <f>IF(OR(E1097="",E1097="!!!"),"",IF(NOT(ISNA(VLOOKUP(E1097,E$1:E1096,1,FALSE()))),"OLD",IF(AND(E1097&lt;&gt;"",E1097&lt;&gt;"!!!"),"NEW","")))</f>
        <v> </v>
      </c>
      <c r="G1097" s="24" t="str">
        <f>IF(OR(E1097="",E1097="!!!"),"",IF(OR(J1097=0,AND(J1097=1,K1097=1),AND(J1097=1,I1097="SBJ"),AND(J1097=1,I1097=0)),"?IN_FOCUS",IF(J1097&lt;=2,"?ACTIVATED",IF(J1097&lt;&gt;"","?FAMILIAR",IF(F1097="NEW",IF(ISNA(VLOOKUP(E1097,#REF!,1,FALSE())),"?TYPE_IDENTIFIABLE","?REFERENTIAL"),"_")))))</f>
        <v> </v>
      </c>
      <c r="H1097" s="25" t="str">
        <f>IF(J1097&lt;&gt;1,"",IF(I1097="SBJ","CB","?"))</f>
        <v> </v>
      </c>
      <c r="I1097" s="26" t="str">
        <f>IF(OR(E1097="",E1097="!!!",F1097="NEW"),"",INDEX(B1096:B$2,-1+SUMPRODUCT(MAX(ROW(E1096:E$2)*(E1097=E1096:E$2)))))</f>
        <v> </v>
      </c>
      <c r="J1097" s="26" t="str">
        <f>IF(OR(E1097="",E1097="!!!",F1097="NEW"),"",COUNTBLANK(OFFSET(A$1,,,SUMPRODUCT(MAX(ROW(E$2:E1097)*(E1097=E$2:E1097)))))-COUNTBLANK(OFFSET(A$1,,,SUMPRODUCT(MAX(ROW(E$1:E1096)*(E2=E$1:E1096))))))</f>
        <v> </v>
      </c>
      <c r="K1097" s="26" t="str">
        <f>IF(OR(E1097="",E1097="!!!",F1097="NEW"),"",INDEX(J$1:J1096,SUMPRODUCT(MAX(ROW(E$1:E1096)*(E1097=E$1:E1096)))))</f>
        <v> </v>
      </c>
      <c r="L1097" s="27"/>
    </row>
    <row r="1098" spans="1:12">
      <c r="A1098" s="20" t="s">
        <v>794</v>
      </c>
      <c r="B1098" s="21" t="s">
        <v>373</v>
      </c>
      <c r="C1098" s="21" t="s">
        <v>476</v>
      </c>
      <c r="D1098" s="21" t="s">
        <v>358</v>
      </c>
      <c r="E1098" s="22">
        <f>IF(D1098="?OLD","!!!","")</f>
        <v/>
      </c>
      <c r="F1098" s="23" t="str">
        <f>IF(OR(E1098="",E1098="!!!"),"",IF(NOT(ISNA(VLOOKUP(E1098,E$1:E1097,1,FALSE()))),"OLD",IF(AND(E1098&lt;&gt;"",E1098&lt;&gt;"!!!"),"NEW","")))</f>
        <v> </v>
      </c>
      <c r="G1098" s="24" t="str">
        <f>IF(OR(E1098="",E1098="!!!"),"",IF(OR(J1098=0,AND(J1098=1,K1098=1),AND(J1098=1,I1098="SBJ"),AND(J1098=1,I1098=0)),"?IN_FOCUS",IF(J1098&lt;=2,"?ACTIVATED",IF(J1098&lt;&gt;"","?FAMILIAR",IF(F1098="NEW",IF(ISNA(VLOOKUP(E1098,#REF!,1,FALSE())),"?TYPE_IDENTIFIABLE","?REFERENTIAL"),"_")))))</f>
        <v> </v>
      </c>
      <c r="H1098" s="25" t="str">
        <f>IF(J1098&lt;&gt;1,"",IF(I1098="SBJ","CB","?"))</f>
        <v> </v>
      </c>
      <c r="I1098" s="26" t="str">
        <f>IF(OR(E1098="",E1098="!!!",F1098="NEW"),"",INDEX(B1097:B$2,-1+SUMPRODUCT(MAX(ROW(E1097:E$2)*(E1098=E1097:E$2)))))</f>
        <v> </v>
      </c>
      <c r="J1098" s="26" t="str">
        <f>IF(OR(E1098="",E1098="!!!",F1098="NEW"),"",COUNTBLANK(OFFSET(A$1,,,SUMPRODUCT(MAX(ROW(E$2:E1098)*(E1098=E$2:E1098)))))-COUNTBLANK(OFFSET(A$1,,,SUMPRODUCT(MAX(ROW(E$1:E1097)*(E2=E$1:E1097))))))</f>
        <v> </v>
      </c>
      <c r="K1098" s="26" t="str">
        <f>IF(OR(E1098="",E1098="!!!",F1098="NEW"),"",INDEX(J$1:J1097,SUMPRODUCT(MAX(ROW(E$1:E1097)*(E1098=E$1:E1097)))))</f>
        <v> </v>
      </c>
      <c r="L1098" s="27"/>
    </row>
    <row r="1099" spans="1:12">
      <c r="A1099" s="20" t="s">
        <v>795</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369</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t="s">
        <v>386</v>
      </c>
      <c r="E1101" s="22">
        <f>IF(D1101="?OLD","!!!","")</f>
        <v/>
      </c>
      <c r="F1101" s="23" t="str">
        <f>IF(OR(E1101="",E1101="!!!"),"",IF(NOT(ISNA(VLOOKUP(E1101,E$1:E1100,1,FALSE()))),"OLD",IF(AND(E1101&lt;&gt;"",E1101&lt;&gt;"!!!"),"NEW","")))</f>
        <v> </v>
      </c>
      <c r="G1101" s="24" t="str">
        <f>IF(OR(E1101="",E1101="!!!"),"",IF(OR(J1101=0,AND(J1101=1,K1101=1),AND(J1101=1,I1101="SBJ"),AND(J1101=1,I1101=0)),"?IN_FOCUS",IF(J1101&lt;=2,"?ACTIVATED",IF(J1101&lt;&gt;"","?FAMILIAR",IF(F1101="NEW",IF(ISNA(VLOOKUP(E1101,#REF!,1,FALSE())),"?TYPE_IDENTIFIABLE","?REFERENTIAL"),"_")))))</f>
        <v> </v>
      </c>
      <c r="H1101" s="25" t="str">
        <f>IF(J1101&lt;&gt;1,"",IF(I1101="SBJ","CB","?"))</f>
        <v> </v>
      </c>
      <c r="I1101" s="26" t="str">
        <f>IF(OR(E1101="",E1101="!!!",F1101="NEW"),"",INDEX(B1100:B$2,-1+SUMPRODUCT(MAX(ROW(E1100:E$2)*(E1101=E1100:E$2)))))</f>
        <v> </v>
      </c>
      <c r="J1101" s="26" t="str">
        <f>IF(OR(E1101="",E1101="!!!",F1101="NEW"),"",COUNTBLANK(OFFSET(A$1,,,SUMPRODUCT(MAX(ROW(E$2:E1101)*(E1101=E$2:E1101)))))-COUNTBLANK(OFFSET(A$1,,,SUMPRODUCT(MAX(ROW(E$1:E1100)*(E2=E$1:E1100))))))</f>
        <v> </v>
      </c>
      <c r="K1101" s="26" t="str">
        <f>IF(OR(E1101="",E1101="!!!",F1101="NEW"),"",INDEX(J$1:J1100,SUMPRODUCT(MAX(ROW(E$1:E1100)*(E1101=E$1:E1100)))))</f>
        <v> </v>
      </c>
      <c r="L1101" s="27"/>
    </row>
    <row r="1102" spans="1:12">
      <c r="A1102" s="20" t="s">
        <v>459</v>
      </c>
      <c r="B1102" s="21" t="s">
        <v>365</v>
      </c>
      <c r="C1102" s="21" t="s">
        <v>385</v>
      </c>
      <c r="D1102" s="21" t="s">
        <v>358</v>
      </c>
      <c r="E1102" s="22">
        <f>IF(D1102="?OLD","!!!","")</f>
        <v/>
      </c>
      <c r="F1102" s="23" t="str">
        <f>IF(OR(E1102="",E1102="!!!"),"",IF(NOT(ISNA(VLOOKUP(E1102,E$1:E1101,1,FALSE()))),"OLD",IF(AND(E1102&lt;&gt;"",E1102&lt;&gt;"!!!"),"NEW","")))</f>
        <v> </v>
      </c>
      <c r="G1102" s="24" t="str">
        <f>IF(OR(E1102="",E1102="!!!"),"",IF(OR(J1102=0,AND(J1102=1,K1102=1),AND(J1102=1,I1102="SBJ"),AND(J1102=1,I1102=0)),"?IN_FOCUS",IF(J1102&lt;=2,"?ACTIVATED",IF(J1102&lt;&gt;"","?FAMILIAR",IF(F1102="NEW",IF(ISNA(VLOOKUP(E1102,#REF!,1,FALSE())),"?TYPE_IDENTIFIABLE","?REFERENTIAL"),"_")))))</f>
        <v> </v>
      </c>
      <c r="H1102" s="25" t="str">
        <f>IF(J1102&lt;&gt;1,"",IF(I1102="SBJ","CB","?"))</f>
        <v> </v>
      </c>
      <c r="I1102" s="26" t="str">
        <f>IF(OR(E1102="",E1102="!!!",F1102="NEW"),"",INDEX(B1101:B$2,-1+SUMPRODUCT(MAX(ROW(E1101:E$2)*(E1102=E1101:E$2)))))</f>
        <v> </v>
      </c>
      <c r="J1102" s="26" t="str">
        <f>IF(OR(E1102="",E1102="!!!",F1102="NEW"),"",COUNTBLANK(OFFSET(A$1,,,SUMPRODUCT(MAX(ROW(E$2:E1102)*(E1102=E$2:E1102)))))-COUNTBLANK(OFFSET(A$1,,,SUMPRODUCT(MAX(ROW(E$1:E1101)*(E2=E$1:E1101))))))</f>
        <v> </v>
      </c>
      <c r="K1102" s="26" t="str">
        <f>IF(OR(E1102="",E1102="!!!",F1102="NEW"),"",INDEX(J$1:J1101,SUMPRODUCT(MAX(ROW(E$1:E1101)*(E1102=E$1:E1101)))))</f>
        <v> </v>
      </c>
      <c r="L1102" s="27"/>
    </row>
    <row r="1103" spans="1:12">
      <c r="A1103" s="20" t="s">
        <v>389</v>
      </c>
      <c r="E1103" s="22">
        <f>IF(D1103="?OLD","!!!","")</f>
        <v/>
      </c>
      <c r="F1103" s="23" t="str">
        <f>IF(OR(E1103="",E1103="!!!"),"",IF(NOT(ISNA(VLOOKUP(E1103,E$1:E1102,1,FALSE()))),"OLD",IF(AND(E1103&lt;&gt;"",E1103&lt;&gt;"!!!"),"NEW","")))</f>
        <v> </v>
      </c>
      <c r="G1103" s="24" t="str">
        <f>IF(OR(E1103="",E1103="!!!"),"",IF(OR(J1103=0,AND(J1103=1,K1103=1),AND(J1103=1,I1103="SBJ"),AND(J1103=1,I1103=0)),"?IN_FOCUS",IF(J1103&lt;=2,"?ACTIVATED",IF(J1103&lt;&gt;"","?FAMILIAR",IF(F1103="NEW",IF(ISNA(VLOOKUP(E1103,#REF!,1,FALSE())),"?TYPE_IDENTIFIABLE","?REFERENTIAL"),"_")))))</f>
        <v> </v>
      </c>
      <c r="H1103" s="25" t="str">
        <f>IF(J1103&lt;&gt;1,"",IF(I1103="SBJ","CB","?"))</f>
        <v> </v>
      </c>
      <c r="I1103" s="26" t="str">
        <f>IF(OR(E1103="",E1103="!!!",F1103="NEW"),"",INDEX(B1102:B$2,-1+SUMPRODUCT(MAX(ROW(E1102:E$2)*(E1103=E1102:E$2)))))</f>
        <v> </v>
      </c>
      <c r="J1103" s="26" t="str">
        <f>IF(OR(E1103="",E1103="!!!",F1103="NEW"),"",COUNTBLANK(OFFSET(A$1,,,SUMPRODUCT(MAX(ROW(E$2:E1103)*(E1103=E$2:E1103)))))-COUNTBLANK(OFFSET(A$1,,,SUMPRODUCT(MAX(ROW(E$1:E1102)*(E2=E$1:E1102))))))</f>
        <v> </v>
      </c>
      <c r="K1103" s="26" t="str">
        <f>IF(OR(E1103="",E1103="!!!",F1103="NEW"),"",INDEX(J$1:J1102,SUMPRODUCT(MAX(ROW(E$1:E1102)*(E1103=E$1:E1102)))))</f>
        <v> </v>
      </c>
      <c r="L1103" s="27"/>
    </row>
    <row r="1104" spans="1:12">
      <c r="A1104" s="20"/>
    </row>
    <row r="1105" spans="1:12">
      <c r="A1105" s="20" t="s">
        <v>796</v>
      </c>
    </row>
    <row r="1106" spans="1:12">
      <c r="A1106" s="20" t="s">
        <v>750</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t="s">
        <v>497</v>
      </c>
      <c r="B1107" s="21" t="s">
        <v>429</v>
      </c>
      <c r="C1107" s="21" t="s">
        <v>357</v>
      </c>
      <c r="D1107" s="21" t="s">
        <v>358</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797</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49</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399</v>
      </c>
      <c r="B1110" s="21" t="s">
        <v>409</v>
      </c>
      <c r="C1110" s="21" t="s">
        <v>402</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t="s">
        <v>434</v>
      </c>
      <c r="E1111" s="22">
        <f>IF(D1111="?OLD","!!!","")</f>
        <v/>
      </c>
      <c r="F1111" s="23" t="str">
        <f>IF(OR(E1111="",E1111="!!!"),"",IF(NOT(ISNA(VLOOKUP(E1111,E$1:E1110,1,FALSE()))),"OLD",IF(AND(E1111&lt;&gt;"",E1111&lt;&gt;"!!!"),"NEW","")))</f>
        <v> </v>
      </c>
      <c r="G1111" s="24" t="str">
        <f>IF(OR(E1111="",E1111="!!!"),"",IF(OR(J1111=0,AND(J1111=1,K1111=1),AND(J1111=1,I1111="SBJ"),AND(J1111=1,I1111=0)),"?IN_FOCUS",IF(J1111&lt;=2,"?ACTIVATED",IF(J1111&lt;&gt;"","?FAMILIAR",IF(F1111="NEW",IF(ISNA(VLOOKUP(E1111,#REF!,1,FALSE())),"?TYPE_IDENTIFIABLE","?REFERENTIAL"),"_")))))</f>
        <v> </v>
      </c>
      <c r="H1111" s="25" t="str">
        <f>IF(J1111&lt;&gt;1,"",IF(I1111="SBJ","CB","?"))</f>
        <v> </v>
      </c>
      <c r="I1111" s="26" t="str">
        <f>IF(OR(E1111="",E1111="!!!",F1111="NEW"),"",INDEX(B1110:B$2,-1+SUMPRODUCT(MAX(ROW(E1110:E$2)*(E1111=E1110:E$2)))))</f>
        <v> </v>
      </c>
      <c r="J1111" s="26" t="str">
        <f>IF(OR(E1111="",E1111="!!!",F1111="NEW"),"",COUNTBLANK(OFFSET(A$1,,,SUMPRODUCT(MAX(ROW(E$2:E1111)*(E1111=E$2:E1111)))))-COUNTBLANK(OFFSET(A$1,,,SUMPRODUCT(MAX(ROW(E$1:E1110)*(E2=E$1:E1110))))))</f>
        <v> </v>
      </c>
      <c r="K1111" s="26" t="str">
        <f>IF(OR(E1111="",E1111="!!!",F1111="NEW"),"",INDEX(J$1:J1110,SUMPRODUCT(MAX(ROW(E$1:E1110)*(E1111=E$1:E1110)))))</f>
        <v> </v>
      </c>
      <c r="L1111" s="27"/>
    </row>
    <row r="1112" spans="1:12">
      <c r="A1112" s="20" t="s">
        <v>798</v>
      </c>
      <c r="B1112" s="21" t="s">
        <v>360</v>
      </c>
      <c r="C1112" s="21" t="s">
        <v>382</v>
      </c>
      <c r="E1112" s="22">
        <f>IF(D1112="?OLD","!!!","")</f>
        <v/>
      </c>
      <c r="F1112" s="23" t="str">
        <f>IF(OR(E1112="",E1112="!!!"),"",IF(NOT(ISNA(VLOOKUP(E1112,E$1:E1111,1,FALSE()))),"OLD",IF(AND(E1112&lt;&gt;"",E1112&lt;&gt;"!!!"),"NEW","")))</f>
        <v> </v>
      </c>
      <c r="G1112" s="24" t="str">
        <f>IF(OR(E1112="",E1112="!!!"),"",IF(OR(J1112=0,AND(J1112=1,K1112=1),AND(J1112=1,I1112="SBJ"),AND(J1112=1,I1112=0)),"?IN_FOCUS",IF(J1112&lt;=2,"?ACTIVATED",IF(J1112&lt;&gt;"","?FAMILIAR",IF(F1112="NEW",IF(ISNA(VLOOKUP(E1112,#REF!,1,FALSE())),"?TYPE_IDENTIFIABLE","?REFERENTIAL"),"_")))))</f>
        <v> </v>
      </c>
      <c r="H1112" s="25" t="str">
        <f>IF(J1112&lt;&gt;1,"",IF(I1112="SBJ","CB","?"))</f>
        <v> </v>
      </c>
      <c r="I1112" s="26" t="str">
        <f>IF(OR(E1112="",E1112="!!!",F1112="NEW"),"",INDEX(B1111:B$2,-1+SUMPRODUCT(MAX(ROW(E1111:E$2)*(E1112=E1111:E$2)))))</f>
        <v> </v>
      </c>
      <c r="J1112" s="26" t="str">
        <f>IF(OR(E1112="",E1112="!!!",F1112="NEW"),"",COUNTBLANK(OFFSET(A$1,,,SUMPRODUCT(MAX(ROW(E$2:E1112)*(E1112=E$2:E1112)))))-COUNTBLANK(OFFSET(A$1,,,SUMPRODUCT(MAX(ROW(E$1:E1111)*(E2=E$1:E1111))))))</f>
        <v> </v>
      </c>
      <c r="K1112" s="26" t="str">
        <f>IF(OR(E1112="",E1112="!!!",F1112="NEW"),"",INDEX(J$1:J1111,SUMPRODUCT(MAX(ROW(E$1:E1111)*(E1112=E$1:E1111)))))</f>
        <v> </v>
      </c>
      <c r="L1112" s="27"/>
    </row>
    <row r="1113" spans="1:12">
      <c r="A1113" s="20" t="s">
        <v>380</v>
      </c>
      <c r="E1113" s="22">
        <f>IF(D1113="?OLD","!!!","")</f>
        <v/>
      </c>
      <c r="F1113" s="23" t="str">
        <f>IF(OR(E1113="",E1113="!!!"),"",IF(NOT(ISNA(VLOOKUP(E1113,E$1:E1112,1,FALSE()))),"OLD",IF(AND(E1113&lt;&gt;"",E1113&lt;&gt;"!!!"),"NEW","")))</f>
        <v> </v>
      </c>
      <c r="G1113" s="24" t="str">
        <f>IF(OR(E1113="",E1113="!!!"),"",IF(OR(J1113=0,AND(J1113=1,K1113=1),AND(J1113=1,I1113="SBJ"),AND(J1113=1,I1113=0)),"?IN_FOCUS",IF(J1113&lt;=2,"?ACTIVATED",IF(J1113&lt;&gt;"","?FAMILIAR",IF(F1113="NEW",IF(ISNA(VLOOKUP(E1113,#REF!,1,FALSE())),"?TYPE_IDENTIFIABLE","?REFERENTIAL"),"_")))))</f>
        <v> </v>
      </c>
      <c r="H1113" s="25" t="str">
        <f>IF(J1113&lt;&gt;1,"",IF(I1113="SBJ","CB","?"))</f>
        <v> </v>
      </c>
      <c r="I1113" s="26" t="str">
        <f>IF(OR(E1113="",E1113="!!!",F1113="NEW"),"",INDEX(B1112:B$2,-1+SUMPRODUCT(MAX(ROW(E1112:E$2)*(E1113=E1112:E$2)))))</f>
        <v> </v>
      </c>
      <c r="J1113" s="26" t="str">
        <f>IF(OR(E1113="",E1113="!!!",F1113="NEW"),"",COUNTBLANK(OFFSET(A$1,,,SUMPRODUCT(MAX(ROW(E$2:E1113)*(E1113=E$2:E1113)))))-COUNTBLANK(OFFSET(A$1,,,SUMPRODUCT(MAX(ROW(E$1:E1112)*(E2=E$1:E1112))))))</f>
        <v> </v>
      </c>
      <c r="K1113" s="26" t="str">
        <f>IF(OR(E1113="",E1113="!!!",F1113="NEW"),"",INDEX(J$1:J1112,SUMPRODUCT(MAX(ROW(E$1:E1112)*(E1113=E$1:E1112)))))</f>
        <v> </v>
      </c>
      <c r="L1113" s="27"/>
    </row>
    <row r="1114" spans="1:12">
      <c r="A1114" s="20" t="s">
        <v>799</v>
      </c>
      <c r="E1114" s="22">
        <f>IF(D1114="?OLD","!!!","")</f>
        <v/>
      </c>
      <c r="F1114" s="23" t="str">
        <f>IF(OR(E1114="",E1114="!!!"),"",IF(NOT(ISNA(VLOOKUP(E1114,E$1:E1113,1,FALSE()))),"OLD",IF(AND(E1114&lt;&gt;"",E1114&lt;&gt;"!!!"),"NEW","")))</f>
        <v> </v>
      </c>
      <c r="G1114" s="24" t="str">
        <f>IF(OR(E1114="",E1114="!!!"),"",IF(OR(J1114=0,AND(J1114=1,K1114=1),AND(J1114=1,I1114="SBJ"),AND(J1114=1,I1114=0)),"?IN_FOCUS",IF(J1114&lt;=2,"?ACTIVATED",IF(J1114&lt;&gt;"","?FAMILIAR",IF(F1114="NEW",IF(ISNA(VLOOKUP(E1114,#REF!,1,FALSE())),"?TYPE_IDENTIFIABLE","?REFERENTIAL"),"_")))))</f>
        <v> </v>
      </c>
      <c r="H1114" s="25" t="str">
        <f>IF(J1114&lt;&gt;1,"",IF(I1114="SBJ","CB","?"))</f>
        <v> </v>
      </c>
      <c r="I1114" s="26" t="str">
        <f>IF(OR(E1114="",E1114="!!!",F1114="NEW"),"",INDEX(B1113:B$2,-1+SUMPRODUCT(MAX(ROW(E1113:E$2)*(E1114=E1113:E$2)))))</f>
        <v> </v>
      </c>
      <c r="J1114" s="26" t="str">
        <f>IF(OR(E1114="",E1114="!!!",F1114="NEW"),"",COUNTBLANK(OFFSET(A$1,,,SUMPRODUCT(MAX(ROW(E$2:E1114)*(E1114=E$2:E1114)))))-COUNTBLANK(OFFSET(A$1,,,SUMPRODUCT(MAX(ROW(E$1:E1113)*(E2=E$1:E1113))))))</f>
        <v> </v>
      </c>
      <c r="K1114" s="26" t="str">
        <f>IF(OR(E1114="",E1114="!!!",F1114="NEW"),"",INDEX(J$1:J1113,SUMPRODUCT(MAX(ROW(E$1:E1113)*(E1114=E$1:E1113)))))</f>
        <v> </v>
      </c>
      <c r="L1114" s="27"/>
    </row>
    <row r="1115" spans="1:12">
      <c r="A1115" s="20" t="s">
        <v>367</v>
      </c>
      <c r="E1115" s="22">
        <f>IF(D1115="?OLD","!!!","")</f>
        <v/>
      </c>
      <c r="F1115" s="23" t="str">
        <f>IF(OR(E1115="",E1115="!!!"),"",IF(NOT(ISNA(VLOOKUP(E1115,E$1:E1114,1,FALSE()))),"OLD",IF(AND(E1115&lt;&gt;"",E1115&lt;&gt;"!!!"),"NEW","")))</f>
        <v> </v>
      </c>
      <c r="G1115" s="24" t="str">
        <f>IF(OR(E1115="",E1115="!!!"),"",IF(OR(J1115=0,AND(J1115=1,K1115=1),AND(J1115=1,I1115="SBJ"),AND(J1115=1,I1115=0)),"?IN_FOCUS",IF(J1115&lt;=2,"?ACTIVATED",IF(J1115&lt;&gt;"","?FAMILIAR",IF(F1115="NEW",IF(ISNA(VLOOKUP(E1115,#REF!,1,FALSE())),"?TYPE_IDENTIFIABLE","?REFERENTIAL"),"_")))))</f>
        <v> </v>
      </c>
      <c r="H1115" s="25" t="str">
        <f>IF(J1115&lt;&gt;1,"",IF(I1115="SBJ","CB","?"))</f>
        <v> </v>
      </c>
      <c r="I1115" s="26" t="str">
        <f>IF(OR(E1115="",E1115="!!!",F1115="NEW"),"",INDEX(B1114:B$2,-1+SUMPRODUCT(MAX(ROW(E1114:E$2)*(E1115=E1114:E$2)))))</f>
        <v> </v>
      </c>
      <c r="J1115" s="26" t="str">
        <f>IF(OR(E1115="",E1115="!!!",F1115="NEW"),"",COUNTBLANK(OFFSET(A$1,,,SUMPRODUCT(MAX(ROW(E$2:E1115)*(E1115=E$2:E1115)))))-COUNTBLANK(OFFSET(A$1,,,SUMPRODUCT(MAX(ROW(E$1:E1114)*(E2=E$1:E1114))))))</f>
        <v> </v>
      </c>
      <c r="K1115" s="26" t="str">
        <f>IF(OR(E1115="",E1115="!!!",F1115="NEW"),"",INDEX(J$1:J1114,SUMPRODUCT(MAX(ROW(E$1:E1114)*(E1115=E$1:E1114)))))</f>
        <v> </v>
      </c>
      <c r="L1115" s="27"/>
    </row>
    <row r="1116" spans="1:12">
      <c r="A1116" s="20" t="s">
        <v>800</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464</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367</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801</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367</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802</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t="s">
        <v>376</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t="s">
        <v>408</v>
      </c>
      <c r="B1123" s="21" t="s">
        <v>378</v>
      </c>
      <c r="C1123" s="21" t="s">
        <v>379</v>
      </c>
      <c r="E1123" s="22">
        <f>IF(D1123="?OLD","!!!","")</f>
        <v/>
      </c>
      <c r="F1123" s="23" t="str">
        <f>IF(OR(E1123="",E1123="!!!"),"",IF(NOT(ISNA(VLOOKUP(E1123,E$1:E1122,1,FALSE()))),"OLD",IF(AND(E1123&lt;&gt;"",E1123&lt;&gt;"!!!"),"NEW","")))</f>
        <v> </v>
      </c>
      <c r="G1123" s="24" t="str">
        <f>IF(OR(E1123="",E1123="!!!"),"",IF(OR(J1123=0,AND(J1123=1,K1123=1),AND(J1123=1,I1123="SBJ"),AND(J1123=1,I1123=0)),"?IN_FOCUS",IF(J1123&lt;=2,"?ACTIVATED",IF(J1123&lt;&gt;"","?FAMILIAR",IF(F1123="NEW",IF(ISNA(VLOOKUP(E1123,#REF!,1,FALSE())),"?TYPE_IDENTIFIABLE","?REFERENTIAL"),"_")))))</f>
        <v> </v>
      </c>
      <c r="H1123" s="25" t="str">
        <f>IF(J1123&lt;&gt;1,"",IF(I1123="SBJ","CB","?"))</f>
        <v> </v>
      </c>
      <c r="I1123" s="26" t="str">
        <f>IF(OR(E1123="",E1123="!!!",F1123="NEW"),"",INDEX(B1122:B$2,-1+SUMPRODUCT(MAX(ROW(E1122:E$2)*(E1123=E1122:E$2)))))</f>
        <v> </v>
      </c>
      <c r="J1123" s="26" t="str">
        <f>IF(OR(E1123="",E1123="!!!",F1123="NEW"),"",COUNTBLANK(OFFSET(A$1,,,SUMPRODUCT(MAX(ROW(E$2:E1123)*(E1123=E$2:E1123)))))-COUNTBLANK(OFFSET(A$1,,,SUMPRODUCT(MAX(ROW(E$1:E1122)*(E2=E$1:E1122))))))</f>
        <v> </v>
      </c>
      <c r="K1123" s="26" t="str">
        <f>IF(OR(E1123="",E1123="!!!",F1123="NEW"),"",INDEX(J$1:J1122,SUMPRODUCT(MAX(ROW(E$1:E1122)*(E1123=E$1:E1122)))))</f>
        <v> </v>
      </c>
      <c r="L1123" s="27"/>
    </row>
    <row r="1124" spans="1:12">
      <c r="A1124" s="20" t="s">
        <v>484</v>
      </c>
      <c r="B1124" s="21" t="s">
        <v>451</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803</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411</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389</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row>
    <row r="1129" spans="1:12">
      <c r="A1129" s="20" t="s">
        <v>804</v>
      </c>
    </row>
    <row r="1130" spans="1:12">
      <c r="A1130" s="20" t="s">
        <v>391</v>
      </c>
      <c r="E1130" s="22">
        <f>IF(D1130="?OLD","!!!","")</f>
        <v/>
      </c>
      <c r="F1130" s="23" t="str">
        <f>IF(OR(E1130="",E1130="!!!"),"",IF(NOT(ISNA(VLOOKUP(E1130,E$1:E1129,1,FALSE()))),"OLD",IF(AND(E1130&lt;&gt;"",E1130&lt;&gt;"!!!"),"NEW","")))</f>
        <v> </v>
      </c>
      <c r="G1130" s="24" t="str">
        <f>IF(OR(E1130="",E1130="!!!"),"",IF(OR(J1130=0,AND(J1130=1,K1130=1),AND(J1130=1,I1130="SBJ"),AND(J1130=1,I1130=0)),"?IN_FOCUS",IF(J1130&lt;=2,"?ACTIVATED",IF(J1130&lt;&gt;"","?FAMILIAR",IF(F1130="NEW",IF(ISNA(VLOOKUP(E1130,#REF!,1,FALSE())),"?TYPE_IDENTIFIABLE","?REFERENTIAL"),"_")))))</f>
        <v> </v>
      </c>
      <c r="H1130" s="25" t="str">
        <f>IF(J1130&lt;&gt;1,"",IF(I1130="SBJ","CB","?"))</f>
        <v> </v>
      </c>
      <c r="I1130" s="26" t="str">
        <f>IF(OR(E1130="",E1130="!!!",F1130="NEW"),"",INDEX(B1129:B$2,-1+SUMPRODUCT(MAX(ROW(E1129:E$2)*(E1130=E1129:E$2)))))</f>
        <v> </v>
      </c>
      <c r="J1130" s="26" t="str">
        <f>IF(OR(E1130="",E1130="!!!",F1130="NEW"),"",COUNTBLANK(OFFSET(A$1,,,SUMPRODUCT(MAX(ROW(E$2:E1130)*(E1130=E$2:E1130)))))-COUNTBLANK(OFFSET(A$1,,,SUMPRODUCT(MAX(ROW(E$1:E1129)*(E2=E$1:E1129))))))</f>
        <v> </v>
      </c>
      <c r="K1130" s="26" t="str">
        <f>IF(OR(E1130="",E1130="!!!",F1130="NEW"),"",INDEX(J$1:J1129,SUMPRODUCT(MAX(ROW(E$1:E1129)*(E1130=E$1:E1129)))))</f>
        <v> </v>
      </c>
      <c r="L1130" s="27"/>
    </row>
    <row r="1131" spans="1:12">
      <c r="A1131" s="20" t="s">
        <v>462</v>
      </c>
      <c r="B1131" s="21" t="s">
        <v>373</v>
      </c>
      <c r="C1131" s="21" t="s">
        <v>357</v>
      </c>
      <c r="D1131" s="21" t="s">
        <v>358</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445</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805</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479</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480</v>
      </c>
      <c r="B1135" s="21" t="s">
        <v>378</v>
      </c>
      <c r="C1135" s="21" t="s">
        <v>366</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474</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t="s">
        <v>748</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t="s">
        <v>389</v>
      </c>
      <c r="E1138" s="22">
        <f>IF(D1138="?OLD","!!!","")</f>
        <v/>
      </c>
      <c r="F1138" s="23" t="str">
        <f>IF(OR(E1138="",E1138="!!!"),"",IF(NOT(ISNA(VLOOKUP(E1138,E$1:E1137,1,FALSE()))),"OLD",IF(AND(E1138&lt;&gt;"",E1138&lt;&gt;"!!!"),"NEW","")))</f>
        <v> </v>
      </c>
      <c r="G1138" s="24" t="str">
        <f>IF(OR(E1138="",E1138="!!!"),"",IF(OR(J1138=0,AND(J1138=1,K1138=1),AND(J1138=1,I1138="SBJ"),AND(J1138=1,I1138=0)),"?IN_FOCUS",IF(J1138&lt;=2,"?ACTIVATED",IF(J1138&lt;&gt;"","?FAMILIAR",IF(F1138="NEW",IF(ISNA(VLOOKUP(E1138,#REF!,1,FALSE())),"?TYPE_IDENTIFIABLE","?REFERENTIAL"),"_")))))</f>
        <v> </v>
      </c>
      <c r="H1138" s="25" t="str">
        <f>IF(J1138&lt;&gt;1,"",IF(I1138="SBJ","CB","?"))</f>
        <v> </v>
      </c>
      <c r="I1138" s="26" t="str">
        <f>IF(OR(E1138="",E1138="!!!",F1138="NEW"),"",INDEX(B1137:B$2,-1+SUMPRODUCT(MAX(ROW(E1137:E$2)*(E1138=E1137:E$2)))))</f>
        <v> </v>
      </c>
      <c r="J1138" s="26" t="str">
        <f>IF(OR(E1138="",E1138="!!!",F1138="NEW"),"",COUNTBLANK(OFFSET(A$1,,,SUMPRODUCT(MAX(ROW(E$2:E1138)*(E1138=E$2:E1138)))))-COUNTBLANK(OFFSET(A$1,,,SUMPRODUCT(MAX(ROW(E$1:E1137)*(E2=E$1:E1137))))))</f>
        <v> </v>
      </c>
      <c r="K1138" s="26" t="str">
        <f>IF(OR(E1138="",E1138="!!!",F1138="NEW"),"",INDEX(J$1:J1137,SUMPRODUCT(MAX(ROW(E$1:E1137)*(E1138=E$1:E1137)))))</f>
        <v> </v>
      </c>
      <c r="L1138" s="27"/>
    </row>
    <row r="1139" spans="1:12">
      <c r="A1139" s="20"/>
    </row>
    <row r="1140" spans="1:12">
      <c r="A1140" s="20" t="s">
        <v>555</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806</v>
      </c>
    </row>
    <row r="1142" spans="1:12">
      <c r="A1142" s="20" t="s">
        <v>444</v>
      </c>
      <c r="B1142" s="21" t="s">
        <v>373</v>
      </c>
      <c r="C1142" s="21" t="s">
        <v>357</v>
      </c>
      <c r="D1142" s="21" t="s">
        <v>358</v>
      </c>
      <c r="E1142" s="22">
        <f>IF(D1142="?OLD","!!!","")</f>
        <v/>
      </c>
      <c r="F1142" s="23" t="str">
        <f>IF(OR(E1142="",E1142="!!!"),"",IF(NOT(ISNA(VLOOKUP(E1142,E$1:E1141,1,FALSE()))),"OLD",IF(AND(E1142&lt;&gt;"",E1142&lt;&gt;"!!!"),"NEW","")))</f>
        <v> </v>
      </c>
      <c r="G1142" s="24" t="str">
        <f>IF(OR(E1142="",E1142="!!!"),"",IF(OR(J1142=0,AND(J1142=1,K1142=1),AND(J1142=1,I1142="SBJ"),AND(J1142=1,I1142=0)),"?IN_FOCUS",IF(J1142&lt;=2,"?ACTIVATED",IF(J1142&lt;&gt;"","?FAMILIAR",IF(F1142="NEW",IF(ISNA(VLOOKUP(E1142,#REF!,1,FALSE())),"?TYPE_IDENTIFIABLE","?REFERENTIAL"),"_")))))</f>
        <v> </v>
      </c>
      <c r="H1142" s="25" t="str">
        <f>IF(J1142&lt;&gt;1,"",IF(I1142="SBJ","CB","?"))</f>
        <v> </v>
      </c>
      <c r="I1142" s="26" t="str">
        <f>IF(OR(E1142="",E1142="!!!",F1142="NEW"),"",INDEX(B1141:B$2,-1+SUMPRODUCT(MAX(ROW(E1141:E$2)*(E1142=E1141:E$2)))))</f>
        <v> </v>
      </c>
      <c r="J1142" s="26" t="str">
        <f>IF(OR(E1142="",E1142="!!!",F1142="NEW"),"",COUNTBLANK(OFFSET(A$1,,,SUMPRODUCT(MAX(ROW(E$2:E1142)*(E1142=E$2:E1142)))))-COUNTBLANK(OFFSET(A$1,,,SUMPRODUCT(MAX(ROW(E$1:E1141)*(E2=E$1:E1141))))))</f>
        <v> </v>
      </c>
      <c r="K1142" s="26" t="str">
        <f>IF(OR(E1142="",E1142="!!!",F1142="NEW"),"",INDEX(J$1:J1141,SUMPRODUCT(MAX(ROW(E$1:E1141)*(E1142=E$1:E1141)))))</f>
        <v> </v>
      </c>
      <c r="L1142" s="27"/>
    </row>
    <row r="1143" spans="1:12">
      <c r="A1143" s="20" t="s">
        <v>445</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t="s">
        <v>807</v>
      </c>
      <c r="E1144" s="22">
        <f>IF(D1144="?OLD","!!!","")</f>
        <v/>
      </c>
      <c r="F1144" s="23" t="str">
        <f>IF(OR(E1144="",E1144="!!!"),"",IF(NOT(ISNA(VLOOKUP(E1144,E$1:E1143,1,FALSE()))),"OLD",IF(AND(E1144&lt;&gt;"",E1144&lt;&gt;"!!!"),"NEW","")))</f>
        <v> </v>
      </c>
      <c r="G1144" s="24" t="str">
        <f>IF(OR(E1144="",E1144="!!!"),"",IF(OR(J1144=0,AND(J1144=1,K1144=1),AND(J1144=1,I1144="SBJ"),AND(J1144=1,I1144=0)),"?IN_FOCUS",IF(J1144&lt;=2,"?ACTIVATED",IF(J1144&lt;&gt;"","?FAMILIAR",IF(F1144="NEW",IF(ISNA(VLOOKUP(E1144,#REF!,1,FALSE())),"?TYPE_IDENTIFIABLE","?REFERENTIAL"),"_")))))</f>
        <v> </v>
      </c>
      <c r="H1144" s="25" t="str">
        <f>IF(J1144&lt;&gt;1,"",IF(I1144="SBJ","CB","?"))</f>
        <v> </v>
      </c>
      <c r="I1144" s="26" t="str">
        <f>IF(OR(E1144="",E1144="!!!",F1144="NEW"),"",INDEX(B1143:B$2,-1+SUMPRODUCT(MAX(ROW(E1143:E$2)*(E1144=E1143:E$2)))))</f>
        <v> </v>
      </c>
      <c r="J1144" s="26" t="str">
        <f>IF(OR(E1144="",E1144="!!!",F1144="NEW"),"",COUNTBLANK(OFFSET(A$1,,,SUMPRODUCT(MAX(ROW(E$2:E1144)*(E1144=E$2:E1144)))))-COUNTBLANK(OFFSET(A$1,,,SUMPRODUCT(MAX(ROW(E$1:E1143)*(E2=E$1:E1143))))))</f>
        <v> </v>
      </c>
      <c r="K1144" s="26" t="str">
        <f>IF(OR(E1144="",E1144="!!!",F1144="NEW"),"",INDEX(J$1:J1143,SUMPRODUCT(MAX(ROW(E$1:E1143)*(E1144=E$1:E1143)))))</f>
        <v> </v>
      </c>
      <c r="L1144" s="27"/>
    </row>
    <row r="1145" spans="1:12">
      <c r="A1145" s="20" t="s">
        <v>560</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808</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t="s">
        <v>809</v>
      </c>
      <c r="B1147" s="21" t="s">
        <v>365</v>
      </c>
      <c r="C1147" s="21" t="s">
        <v>483</v>
      </c>
      <c r="D1147" s="21" t="s">
        <v>358</v>
      </c>
      <c r="E1147" s="22">
        <f>IF(D1147="?OLD","!!!","")</f>
        <v/>
      </c>
      <c r="F1147" s="23" t="str">
        <f>IF(OR(E1147="",E1147="!!!"),"",IF(NOT(ISNA(VLOOKUP(E1147,E$1:E1146,1,FALSE()))),"OLD",IF(AND(E1147&lt;&gt;"",E1147&lt;&gt;"!!!"),"NEW","")))</f>
        <v> </v>
      </c>
      <c r="G1147" s="24" t="str">
        <f>IF(OR(E1147="",E1147="!!!"),"",IF(OR(J1147=0,AND(J1147=1,K1147=1),AND(J1147=1,I1147="SBJ"),AND(J1147=1,I1147=0)),"?IN_FOCUS",IF(J1147&lt;=2,"?ACTIVATED",IF(J1147&lt;&gt;"","?FAMILIAR",IF(F1147="NEW",IF(ISNA(VLOOKUP(E1147,#REF!,1,FALSE())),"?TYPE_IDENTIFIABLE","?REFERENTIAL"),"_")))))</f>
        <v> </v>
      </c>
      <c r="H1147" s="25" t="str">
        <f>IF(J1147&lt;&gt;1,"",IF(I1147="SBJ","CB","?"))</f>
        <v> </v>
      </c>
      <c r="I1147" s="26" t="str">
        <f>IF(OR(E1147="",E1147="!!!",F1147="NEW"),"",INDEX(B1146:B$2,-1+SUMPRODUCT(MAX(ROW(E1146:E$2)*(E1147=E1146:E$2)))))</f>
        <v> </v>
      </c>
      <c r="J1147" s="26" t="str">
        <f>IF(OR(E1147="",E1147="!!!",F1147="NEW"),"",COUNTBLANK(OFFSET(A$1,,,SUMPRODUCT(MAX(ROW(E$2:E1147)*(E1147=E$2:E1147)))))-COUNTBLANK(OFFSET(A$1,,,SUMPRODUCT(MAX(ROW(E$1:E1146)*(E2=E$1:E1146))))))</f>
        <v> </v>
      </c>
      <c r="K1147" s="26" t="str">
        <f>IF(OR(E1147="",E1147="!!!",F1147="NEW"),"",INDEX(J$1:J1146,SUMPRODUCT(MAX(ROW(E$1:E1146)*(E1147=E$1:E1146)))))</f>
        <v> </v>
      </c>
      <c r="L1147" s="27"/>
    </row>
    <row r="1148" spans="1:12">
      <c r="A1148" s="20" t="s">
        <v>810</v>
      </c>
      <c r="E1148" s="22">
        <f>IF(D1148="?OLD","!!!","")</f>
        <v/>
      </c>
      <c r="F1148" s="23" t="str">
        <f>IF(OR(E1148="",E1148="!!!"),"",IF(NOT(ISNA(VLOOKUP(E1148,E$1:E1147,1,FALSE()))),"OLD",IF(AND(E1148&lt;&gt;"",E1148&lt;&gt;"!!!"),"NEW","")))</f>
        <v> </v>
      </c>
      <c r="G1148" s="24" t="str">
        <f>IF(OR(E1148="",E1148="!!!"),"",IF(OR(J1148=0,AND(J1148=1,K1148=1),AND(J1148=1,I1148="SBJ"),AND(J1148=1,I1148=0)),"?IN_FOCUS",IF(J1148&lt;=2,"?ACTIVATED",IF(J1148&lt;&gt;"","?FAMILIAR",IF(F1148="NEW",IF(ISNA(VLOOKUP(E1148,#REF!,1,FALSE())),"?TYPE_IDENTIFIABLE","?REFERENTIAL"),"_")))))</f>
        <v> </v>
      </c>
      <c r="H1148" s="25" t="str">
        <f>IF(J1148&lt;&gt;1,"",IF(I1148="SBJ","CB","?"))</f>
        <v> </v>
      </c>
      <c r="I1148" s="26" t="str">
        <f>IF(OR(E1148="",E1148="!!!",F1148="NEW"),"",INDEX(B1147:B$2,-1+SUMPRODUCT(MAX(ROW(E1147:E$2)*(E1148=E1147:E$2)))))</f>
        <v> </v>
      </c>
      <c r="J1148" s="26" t="str">
        <f>IF(OR(E1148="",E1148="!!!",F1148="NEW"),"",COUNTBLANK(OFFSET(A$1,,,SUMPRODUCT(MAX(ROW(E$2:E1148)*(E1148=E$2:E1148)))))-COUNTBLANK(OFFSET(A$1,,,SUMPRODUCT(MAX(ROW(E$1:E1147)*(E2=E$1:E1147))))))</f>
        <v> </v>
      </c>
      <c r="K1148" s="26" t="str">
        <f>IF(OR(E1148="",E1148="!!!",F1148="NEW"),"",INDEX(J$1:J1147,SUMPRODUCT(MAX(ROW(E$1:E1147)*(E1148=E$1:E1147)))))</f>
        <v> </v>
      </c>
      <c r="L1148" s="27"/>
    </row>
    <row r="1149" spans="1:12">
      <c r="A1149" s="20" t="s">
        <v>367</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811</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t="s">
        <v>398</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t="s">
        <v>812</v>
      </c>
      <c r="B1152" s="21" t="s">
        <v>378</v>
      </c>
      <c r="C1152" s="21" t="s">
        <v>385</v>
      </c>
      <c r="D1152" s="21" t="s">
        <v>358</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560</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t="s">
        <v>389</v>
      </c>
      <c r="E1154" s="22">
        <f>IF(D1154="?OLD","!!!","")</f>
        <v/>
      </c>
      <c r="F1154" s="23" t="str">
        <f>IF(OR(E1154="",E1154="!!!"),"",IF(NOT(ISNA(VLOOKUP(E1154,E$1:E1153,1,FALSE()))),"OLD",IF(AND(E1154&lt;&gt;"",E1154&lt;&gt;"!!!"),"NEW","")))</f>
        <v> </v>
      </c>
      <c r="G1154" s="24" t="str">
        <f>IF(OR(E1154="",E1154="!!!"),"",IF(OR(J1154=0,AND(J1154=1,K1154=1),AND(J1154=1,I1154="SBJ"),AND(J1154=1,I1154=0)),"?IN_FOCUS",IF(J1154&lt;=2,"?ACTIVATED",IF(J1154&lt;&gt;"","?FAMILIAR",IF(F1154="NEW",IF(ISNA(VLOOKUP(E1154,#REF!,1,FALSE())),"?TYPE_IDENTIFIABLE","?REFERENTIAL"),"_")))))</f>
        <v> </v>
      </c>
      <c r="H1154" s="25" t="str">
        <f>IF(J1154&lt;&gt;1,"",IF(I1154="SBJ","CB","?"))</f>
        <v> </v>
      </c>
      <c r="I1154" s="26" t="str">
        <f>IF(OR(E1154="",E1154="!!!",F1154="NEW"),"",INDEX(B1153:B$2,-1+SUMPRODUCT(MAX(ROW(E1153:E$2)*(E1154=E1153:E$2)))))</f>
        <v> </v>
      </c>
      <c r="J1154" s="26" t="str">
        <f>IF(OR(E1154="",E1154="!!!",F1154="NEW"),"",COUNTBLANK(OFFSET(A$1,,,SUMPRODUCT(MAX(ROW(E$2:E1154)*(E1154=E$2:E1154)))))-COUNTBLANK(OFFSET(A$1,,,SUMPRODUCT(MAX(ROW(E$1:E1153)*(E2=E$1:E1153))))))</f>
        <v> </v>
      </c>
      <c r="K1154" s="26" t="str">
        <f>IF(OR(E1154="",E1154="!!!",F1154="NEW"),"",INDEX(J$1:J1153,SUMPRODUCT(MAX(ROW(E$1:E1153)*(E1154=E$1:E1153)))))</f>
        <v> </v>
      </c>
      <c r="L1154" s="27"/>
    </row>
    <row r="1155" spans="1:12">
      <c r="A1155" s="20"/>
    </row>
    <row r="1156" spans="1:12">
      <c r="A1156" s="20" t="s">
        <v>813</v>
      </c>
    </row>
    <row r="1157" spans="1:12">
      <c r="A1157" s="20" t="s">
        <v>613</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462</v>
      </c>
      <c r="B1158" s="21" t="s">
        <v>373</v>
      </c>
      <c r="C1158" s="21" t="s">
        <v>357</v>
      </c>
      <c r="D1158" s="21" t="s">
        <v>358</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t="s">
        <v>445</v>
      </c>
      <c r="E1159" s="22">
        <f>IF(D1159="?OLD","!!!","")</f>
        <v/>
      </c>
      <c r="F1159" s="23" t="str">
        <f>IF(OR(E1159="",E1159="!!!"),"",IF(NOT(ISNA(VLOOKUP(E1159,E$1:E1158,1,FALSE()))),"OLD",IF(AND(E1159&lt;&gt;"",E1159&lt;&gt;"!!!"),"NEW","")))</f>
        <v> </v>
      </c>
      <c r="G1159" s="24" t="str">
        <f>IF(OR(E1159="",E1159="!!!"),"",IF(OR(J1159=0,AND(J1159=1,K1159=1),AND(J1159=1,I1159="SBJ"),AND(J1159=1,I1159=0)),"?IN_FOCUS",IF(J1159&lt;=2,"?ACTIVATED",IF(J1159&lt;&gt;"","?FAMILIAR",IF(F1159="NEW",IF(ISNA(VLOOKUP(E1159,#REF!,1,FALSE())),"?TYPE_IDENTIFIABLE","?REFERENTIAL"),"_")))))</f>
        <v> </v>
      </c>
      <c r="H1159" s="25" t="str">
        <f>IF(J1159&lt;&gt;1,"",IF(I1159="SBJ","CB","?"))</f>
        <v> </v>
      </c>
      <c r="I1159" s="26" t="str">
        <f>IF(OR(E1159="",E1159="!!!",F1159="NEW"),"",INDEX(B1158:B$2,-1+SUMPRODUCT(MAX(ROW(E1158:E$2)*(E1159=E1158:E$2)))))</f>
        <v> </v>
      </c>
      <c r="J1159" s="26" t="str">
        <f>IF(OR(E1159="",E1159="!!!",F1159="NEW"),"",COUNTBLANK(OFFSET(A$1,,,SUMPRODUCT(MAX(ROW(E$2:E1159)*(E1159=E$2:E1159)))))-COUNTBLANK(OFFSET(A$1,,,SUMPRODUCT(MAX(ROW(E$1:E1158)*(E2=E$1:E1158))))))</f>
        <v> </v>
      </c>
      <c r="K1159" s="26" t="str">
        <f>IF(OR(E1159="",E1159="!!!",F1159="NEW"),"",INDEX(J$1:J1158,SUMPRODUCT(MAX(ROW(E$1:E1158)*(E1159=E$1:E1158)))))</f>
        <v> </v>
      </c>
      <c r="L1159" s="27"/>
    </row>
    <row r="1160" spans="1:12">
      <c r="A1160" s="20" t="s">
        <v>814</v>
      </c>
      <c r="E1160" s="22">
        <f>IF(D1160="?OLD","!!!","")</f>
        <v/>
      </c>
      <c r="F1160" s="23" t="str">
        <f>IF(OR(E1160="",E1160="!!!"),"",IF(NOT(ISNA(VLOOKUP(E1160,E$1:E1159,1,FALSE()))),"OLD",IF(AND(E1160&lt;&gt;"",E1160&lt;&gt;"!!!"),"NEW","")))</f>
        <v> </v>
      </c>
      <c r="G1160" s="24" t="str">
        <f>IF(OR(E1160="",E1160="!!!"),"",IF(OR(J1160=0,AND(J1160=1,K1160=1),AND(J1160=1,I1160="SBJ"),AND(J1160=1,I1160=0)),"?IN_FOCUS",IF(J1160&lt;=2,"?ACTIVATED",IF(J1160&lt;&gt;"","?FAMILIAR",IF(F1160="NEW",IF(ISNA(VLOOKUP(E1160,#REF!,1,FALSE())),"?TYPE_IDENTIFIABLE","?REFERENTIAL"),"_")))))</f>
        <v> </v>
      </c>
      <c r="H1160" s="25" t="str">
        <f>IF(J1160&lt;&gt;1,"",IF(I1160="SBJ","CB","?"))</f>
        <v> </v>
      </c>
      <c r="I1160" s="26" t="str">
        <f>IF(OR(E1160="",E1160="!!!",F1160="NEW"),"",INDEX(B1159:B$2,-1+SUMPRODUCT(MAX(ROW(E1159:E$2)*(E1160=E1159:E$2)))))</f>
        <v> </v>
      </c>
      <c r="J1160" s="26" t="str">
        <f>IF(OR(E1160="",E1160="!!!",F1160="NEW"),"",COUNTBLANK(OFFSET(A$1,,,SUMPRODUCT(MAX(ROW(E$2:E1160)*(E1160=E$2:E1160)))))-COUNTBLANK(OFFSET(A$1,,,SUMPRODUCT(MAX(ROW(E$1:E1159)*(E2=E$1:E1159))))))</f>
        <v> </v>
      </c>
      <c r="K1160" s="26" t="str">
        <f>IF(OR(E1160="",E1160="!!!",F1160="NEW"),"",INDEX(J$1:J1159,SUMPRODUCT(MAX(ROW(E$1:E1159)*(E1160=E$1:E1159)))))</f>
        <v> </v>
      </c>
      <c r="L1160" s="27"/>
    </row>
    <row r="1161" spans="1:12">
      <c r="A1161" s="20" t="s">
        <v>414</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t="s">
        <v>815</v>
      </c>
      <c r="B1162" s="21" t="s">
        <v>378</v>
      </c>
      <c r="C1162" s="21" t="s">
        <v>379</v>
      </c>
      <c r="E1162" s="22">
        <f>IF(D1162="?OLD","!!!","")</f>
        <v/>
      </c>
      <c r="F1162" s="23" t="str">
        <f>IF(OR(E1162="",E1162="!!!"),"",IF(NOT(ISNA(VLOOKUP(E1162,E$1:E1161,1,FALSE()))),"OLD",IF(AND(E1162&lt;&gt;"",E1162&lt;&gt;"!!!"),"NEW","")))</f>
        <v> </v>
      </c>
      <c r="G1162" s="24" t="str">
        <f>IF(OR(E1162="",E1162="!!!"),"",IF(OR(J1162=0,AND(J1162=1,K1162=1),AND(J1162=1,I1162="SBJ"),AND(J1162=1,I1162=0)),"?IN_FOCUS",IF(J1162&lt;=2,"?ACTIVATED",IF(J1162&lt;&gt;"","?FAMILIAR",IF(F1162="NEW",IF(ISNA(VLOOKUP(E1162,#REF!,1,FALSE())),"?TYPE_IDENTIFIABLE","?REFERENTIAL"),"_")))))</f>
        <v> </v>
      </c>
      <c r="H1162" s="25" t="str">
        <f>IF(J1162&lt;&gt;1,"",IF(I1162="SBJ","CB","?"))</f>
        <v> </v>
      </c>
      <c r="I1162" s="26" t="str">
        <f>IF(OR(E1162="",E1162="!!!",F1162="NEW"),"",INDEX(B1161:B$2,-1+SUMPRODUCT(MAX(ROW(E1161:E$2)*(E1162=E1161:E$2)))))</f>
        <v> </v>
      </c>
      <c r="J1162" s="26" t="str">
        <f>IF(OR(E1162="",E1162="!!!",F1162="NEW"),"",COUNTBLANK(OFFSET(A$1,,,SUMPRODUCT(MAX(ROW(E$2:E1162)*(E1162=E$2:E1162)))))-COUNTBLANK(OFFSET(A$1,,,SUMPRODUCT(MAX(ROW(E$1:E1161)*(E2=E$1:E1161))))))</f>
        <v> </v>
      </c>
      <c r="K1162" s="26" t="str">
        <f>IF(OR(E1162="",E1162="!!!",F1162="NEW"),"",INDEX(J$1:J1161,SUMPRODUCT(MAX(ROW(E$1:E1161)*(E1162=E$1:E1161)))))</f>
        <v> </v>
      </c>
      <c r="L1162" s="27"/>
    </row>
    <row r="1163" spans="1:12">
      <c r="A1163" s="20" t="s">
        <v>474</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t="s">
        <v>376</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816</v>
      </c>
      <c r="B1165" s="21" t="s">
        <v>356</v>
      </c>
      <c r="C1165" s="21" t="s">
        <v>379</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380</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t="s">
        <v>817</v>
      </c>
      <c r="E1167" s="22">
        <f>IF(D1167="?OLD","!!!","")</f>
        <v/>
      </c>
      <c r="F1167" s="23" t="str">
        <f>IF(OR(E1167="",E1167="!!!"),"",IF(NOT(ISNA(VLOOKUP(E1167,E$1:E1166,1,FALSE()))),"OLD",IF(AND(E1167&lt;&gt;"",E1167&lt;&gt;"!!!"),"NEW","")))</f>
        <v> </v>
      </c>
      <c r="G1167" s="24" t="str">
        <f>IF(OR(E1167="",E1167="!!!"),"",IF(OR(J1167=0,AND(J1167=1,K1167=1),AND(J1167=1,I1167="SBJ"),AND(J1167=1,I1167=0)),"?IN_FOCUS",IF(J1167&lt;=2,"?ACTIVATED",IF(J1167&lt;&gt;"","?FAMILIAR",IF(F1167="NEW",IF(ISNA(VLOOKUP(E1167,#REF!,1,FALSE())),"?TYPE_IDENTIFIABLE","?REFERENTIAL"),"_")))))</f>
        <v> </v>
      </c>
      <c r="H1167" s="25" t="str">
        <f>IF(J1167&lt;&gt;1,"",IF(I1167="SBJ","CB","?"))</f>
        <v> </v>
      </c>
      <c r="I1167" s="26" t="str">
        <f>IF(OR(E1167="",E1167="!!!",F1167="NEW"),"",INDEX(B1166:B$2,-1+SUMPRODUCT(MAX(ROW(E1166:E$2)*(E1167=E1166:E$2)))))</f>
        <v> </v>
      </c>
      <c r="J1167" s="26" t="str">
        <f>IF(OR(E1167="",E1167="!!!",F1167="NEW"),"",COUNTBLANK(OFFSET(A$1,,,SUMPRODUCT(MAX(ROW(E$2:E1167)*(E1167=E$2:E1167)))))-COUNTBLANK(OFFSET(A$1,,,SUMPRODUCT(MAX(ROW(E$1:E1166)*(E2=E$1:E1166))))))</f>
        <v> </v>
      </c>
      <c r="K1167" s="26" t="str">
        <f>IF(OR(E1167="",E1167="!!!",F1167="NEW"),"",INDEX(J$1:J1166,SUMPRODUCT(MAX(ROW(E$1:E1166)*(E1167=E$1:E1166)))))</f>
        <v> </v>
      </c>
      <c r="L1167" s="27"/>
    </row>
    <row r="1168" spans="1:12">
      <c r="A1168" s="20" t="s">
        <v>818</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t="s">
        <v>434</v>
      </c>
      <c r="E1169" s="22">
        <f>IF(D1169="?OLD","!!!","")</f>
        <v/>
      </c>
      <c r="F1169" s="23" t="str">
        <f>IF(OR(E1169="",E1169="!!!"),"",IF(NOT(ISNA(VLOOKUP(E1169,E$1:E1168,1,FALSE()))),"OLD",IF(AND(E1169&lt;&gt;"",E1169&lt;&gt;"!!!"),"NEW","")))</f>
        <v> </v>
      </c>
      <c r="G1169" s="24" t="str">
        <f>IF(OR(E1169="",E1169="!!!"),"",IF(OR(J1169=0,AND(J1169=1,K1169=1),AND(J1169=1,I1169="SBJ"),AND(J1169=1,I1169=0)),"?IN_FOCUS",IF(J1169&lt;=2,"?ACTIVATED",IF(J1169&lt;&gt;"","?FAMILIAR",IF(F1169="NEW",IF(ISNA(VLOOKUP(E1169,#REF!,1,FALSE())),"?TYPE_IDENTIFIABLE","?REFERENTIAL"),"_")))))</f>
        <v> </v>
      </c>
      <c r="H1169" s="25" t="str">
        <f>IF(J1169&lt;&gt;1,"",IF(I1169="SBJ","CB","?"))</f>
        <v> </v>
      </c>
      <c r="I1169" s="26" t="str">
        <f>IF(OR(E1169="",E1169="!!!",F1169="NEW"),"",INDEX(B1168:B$2,-1+SUMPRODUCT(MAX(ROW(E1168:E$2)*(E1169=E1168:E$2)))))</f>
        <v> </v>
      </c>
      <c r="J1169" s="26" t="str">
        <f>IF(OR(E1169="",E1169="!!!",F1169="NEW"),"",COUNTBLANK(OFFSET(A$1,,,SUMPRODUCT(MAX(ROW(E$2:E1169)*(E1169=E$2:E1169)))))-COUNTBLANK(OFFSET(A$1,,,SUMPRODUCT(MAX(ROW(E$1:E1168)*(E2=E$1:E1168))))))</f>
        <v> </v>
      </c>
      <c r="K1169" s="26" t="str">
        <f>IF(OR(E1169="",E1169="!!!",F1169="NEW"),"",INDEX(J$1:J1168,SUMPRODUCT(MAX(ROW(E$1:E1168)*(E1169=E$1:E1168)))))</f>
        <v> </v>
      </c>
      <c r="L1169" s="27"/>
    </row>
    <row r="1170" spans="1:12">
      <c r="A1170" s="20" t="s">
        <v>819</v>
      </c>
      <c r="B1170" s="21" t="s">
        <v>360</v>
      </c>
      <c r="C1170" s="21" t="s">
        <v>382</v>
      </c>
      <c r="E1170" s="22">
        <f>IF(D1170="?OLD","!!!","")</f>
        <v/>
      </c>
      <c r="F1170" s="23" t="str">
        <f>IF(OR(E1170="",E1170="!!!"),"",IF(NOT(ISNA(VLOOKUP(E1170,E$1:E1169,1,FALSE()))),"OLD",IF(AND(E1170&lt;&gt;"",E1170&lt;&gt;"!!!"),"NEW","")))</f>
        <v> </v>
      </c>
      <c r="G1170" s="24" t="str">
        <f>IF(OR(E1170="",E1170="!!!"),"",IF(OR(J1170=0,AND(J1170=1,K1170=1),AND(J1170=1,I1170="SBJ"),AND(J1170=1,I1170=0)),"?IN_FOCUS",IF(J1170&lt;=2,"?ACTIVATED",IF(J1170&lt;&gt;"","?FAMILIAR",IF(F1170="NEW",IF(ISNA(VLOOKUP(E1170,#REF!,1,FALSE())),"?TYPE_IDENTIFIABLE","?REFERENTIAL"),"_")))))</f>
        <v> </v>
      </c>
      <c r="H1170" s="25" t="str">
        <f>IF(J1170&lt;&gt;1,"",IF(I1170="SBJ","CB","?"))</f>
        <v> </v>
      </c>
      <c r="I1170" s="26" t="str">
        <f>IF(OR(E1170="",E1170="!!!",F1170="NEW"),"",INDEX(B1169:B$2,-1+SUMPRODUCT(MAX(ROW(E1169:E$2)*(E1170=E1169:E$2)))))</f>
        <v> </v>
      </c>
      <c r="J1170" s="26" t="str">
        <f>IF(OR(E1170="",E1170="!!!",F1170="NEW"),"",COUNTBLANK(OFFSET(A$1,,,SUMPRODUCT(MAX(ROW(E$2:E1170)*(E1170=E$2:E1170)))))-COUNTBLANK(OFFSET(A$1,,,SUMPRODUCT(MAX(ROW(E$1:E1169)*(E2=E$1:E1169))))))</f>
        <v> </v>
      </c>
      <c r="K1170" s="26" t="str">
        <f>IF(OR(E1170="",E1170="!!!",F1170="NEW"),"",INDEX(J$1:J1169,SUMPRODUCT(MAX(ROW(E$1:E1169)*(E1170=E$1:E1169)))))</f>
        <v> </v>
      </c>
      <c r="L1170" s="27"/>
    </row>
    <row r="1171" spans="1:12">
      <c r="A1171" s="20" t="s">
        <v>369</v>
      </c>
      <c r="E1171" s="22">
        <f>IF(D1171="?OLD","!!!","")</f>
        <v/>
      </c>
      <c r="F1171" s="23" t="str">
        <f>IF(OR(E1171="",E1171="!!!"),"",IF(NOT(ISNA(VLOOKUP(E1171,E$1:E1170,1,FALSE()))),"OLD",IF(AND(E1171&lt;&gt;"",E1171&lt;&gt;"!!!"),"NEW","")))</f>
        <v> </v>
      </c>
      <c r="G1171" s="24" t="str">
        <f>IF(OR(E1171="",E1171="!!!"),"",IF(OR(J1171=0,AND(J1171=1,K1171=1),AND(J1171=1,I1171="SBJ"),AND(J1171=1,I1171=0)),"?IN_FOCUS",IF(J1171&lt;=2,"?ACTIVATED",IF(J1171&lt;&gt;"","?FAMILIAR",IF(F1171="NEW",IF(ISNA(VLOOKUP(E1171,#REF!,1,FALSE())),"?TYPE_IDENTIFIABLE","?REFERENTIAL"),"_")))))</f>
        <v> </v>
      </c>
      <c r="H1171" s="25" t="str">
        <f>IF(J1171&lt;&gt;1,"",IF(I1171="SBJ","CB","?"))</f>
        <v> </v>
      </c>
      <c r="I1171" s="26" t="str">
        <f>IF(OR(E1171="",E1171="!!!",F1171="NEW"),"",INDEX(B1170:B$2,-1+SUMPRODUCT(MAX(ROW(E1170:E$2)*(E1171=E1170:E$2)))))</f>
        <v> </v>
      </c>
      <c r="J1171" s="26" t="str">
        <f>IF(OR(E1171="",E1171="!!!",F1171="NEW"),"",COUNTBLANK(OFFSET(A$1,,,SUMPRODUCT(MAX(ROW(E$2:E1171)*(E1171=E$2:E1171)))))-COUNTBLANK(OFFSET(A$1,,,SUMPRODUCT(MAX(ROW(E$1:E1170)*(E2=E$1:E1170))))))</f>
        <v> </v>
      </c>
      <c r="K1171" s="26" t="str">
        <f>IF(OR(E1171="",E1171="!!!",F1171="NEW"),"",INDEX(J$1:J1170,SUMPRODUCT(MAX(ROW(E$1:E1170)*(E1171=E$1:E1170)))))</f>
        <v> </v>
      </c>
      <c r="L1171" s="27"/>
    </row>
    <row r="1172" spans="1:12">
      <c r="A1172" s="20" t="s">
        <v>384</v>
      </c>
      <c r="E1172" s="22">
        <f>IF(D1172="?OLD","!!!","")</f>
        <v/>
      </c>
      <c r="F1172" s="23" t="str">
        <f>IF(OR(E1172="",E1172="!!!"),"",IF(NOT(ISNA(VLOOKUP(E1172,E$1:E1171,1,FALSE()))),"OLD",IF(AND(E1172&lt;&gt;"",E1172&lt;&gt;"!!!"),"NEW","")))</f>
        <v> </v>
      </c>
      <c r="G1172" s="24" t="str">
        <f>IF(OR(E1172="",E1172="!!!"),"",IF(OR(J1172=0,AND(J1172=1,K1172=1),AND(J1172=1,I1172="SBJ"),AND(J1172=1,I1172=0)),"?IN_FOCUS",IF(J1172&lt;=2,"?ACTIVATED",IF(J1172&lt;&gt;"","?FAMILIAR",IF(F1172="NEW",IF(ISNA(VLOOKUP(E1172,#REF!,1,FALSE())),"?TYPE_IDENTIFIABLE","?REFERENTIAL"),"_")))))</f>
        <v> </v>
      </c>
      <c r="H1172" s="25" t="str">
        <f>IF(J1172&lt;&gt;1,"",IF(I1172="SBJ","CB","?"))</f>
        <v> </v>
      </c>
      <c r="I1172" s="26" t="str">
        <f>IF(OR(E1172="",E1172="!!!",F1172="NEW"),"",INDEX(B1171:B$2,-1+SUMPRODUCT(MAX(ROW(E1171:E$2)*(E1172=E1171:E$2)))))</f>
        <v> </v>
      </c>
      <c r="J1172" s="26" t="str">
        <f>IF(OR(E1172="",E1172="!!!",F1172="NEW"),"",COUNTBLANK(OFFSET(A$1,,,SUMPRODUCT(MAX(ROW(E$2:E1172)*(E1172=E$2:E1172)))))-COUNTBLANK(OFFSET(A$1,,,SUMPRODUCT(MAX(ROW(E$1:E1171)*(E2=E$1:E1171))))))</f>
        <v> </v>
      </c>
      <c r="K1172" s="26" t="str">
        <f>IF(OR(E1172="",E1172="!!!",F1172="NEW"),"",INDEX(J$1:J1171,SUMPRODUCT(MAX(ROW(E$1:E1171)*(E1172=E$1:E1171)))))</f>
        <v> </v>
      </c>
      <c r="L1172" s="27"/>
    </row>
    <row r="1173" spans="1:12">
      <c r="A1173" s="20" t="s">
        <v>754</v>
      </c>
      <c r="B1173" s="21" t="s">
        <v>365</v>
      </c>
      <c r="C1173" s="21" t="s">
        <v>385</v>
      </c>
      <c r="D1173" s="21" t="s">
        <v>358</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t="s">
        <v>820</v>
      </c>
      <c r="E1174" s="22">
        <f>IF(D1174="?OLD","!!!","")</f>
        <v/>
      </c>
      <c r="F1174" s="23" t="str">
        <f>IF(OR(E1174="",E1174="!!!"),"",IF(NOT(ISNA(VLOOKUP(E1174,E$1:E1173,1,FALSE()))),"OLD",IF(AND(E1174&lt;&gt;"",E1174&lt;&gt;"!!!"),"NEW","")))</f>
        <v> </v>
      </c>
      <c r="G1174" s="24" t="str">
        <f>IF(OR(E1174="",E1174="!!!"),"",IF(OR(J1174=0,AND(J1174=1,K1174=1),AND(J1174=1,I1174="SBJ"),AND(J1174=1,I1174=0)),"?IN_FOCUS",IF(J1174&lt;=2,"?ACTIVATED",IF(J1174&lt;&gt;"","?FAMILIAR",IF(F1174="NEW",IF(ISNA(VLOOKUP(E1174,#REF!,1,FALSE())),"?TYPE_IDENTIFIABLE","?REFERENTIAL"),"_")))))</f>
        <v> </v>
      </c>
      <c r="H1174" s="25" t="str">
        <f>IF(J1174&lt;&gt;1,"",IF(I1174="SBJ","CB","?"))</f>
        <v> </v>
      </c>
      <c r="I1174" s="26" t="str">
        <f>IF(OR(E1174="",E1174="!!!",F1174="NEW"),"",INDEX(B1173:B$2,-1+SUMPRODUCT(MAX(ROW(E1173:E$2)*(E1174=E1173:E$2)))))</f>
        <v> </v>
      </c>
      <c r="J1174" s="26" t="str">
        <f>IF(OR(E1174="",E1174="!!!",F1174="NEW"),"",COUNTBLANK(OFFSET(A$1,,,SUMPRODUCT(MAX(ROW(E$2:E1174)*(E1174=E$2:E1174)))))-COUNTBLANK(OFFSET(A$1,,,SUMPRODUCT(MAX(ROW(E$1:E1173)*(E2=E$1:E1173))))))</f>
        <v> </v>
      </c>
      <c r="K1174" s="26" t="str">
        <f>IF(OR(E1174="",E1174="!!!",F1174="NEW"),"",INDEX(J$1:J1173,SUMPRODUCT(MAX(ROW(E$1:E1173)*(E1174=E$1:E1173)))))</f>
        <v> </v>
      </c>
      <c r="L1174" s="27"/>
    </row>
    <row r="1175" spans="1:12">
      <c r="A1175" s="20" t="s">
        <v>389</v>
      </c>
      <c r="E1175" s="22">
        <f>IF(D1175="?OLD","!!!","")</f>
        <v/>
      </c>
      <c r="F1175" s="23" t="str">
        <f>IF(OR(E1175="",E1175="!!!"),"",IF(NOT(ISNA(VLOOKUP(E1175,E$1:E1174,1,FALSE()))),"OLD",IF(AND(E1175&lt;&gt;"",E1175&lt;&gt;"!!!"),"NEW","")))</f>
        <v> </v>
      </c>
      <c r="G1175" s="24" t="str">
        <f>IF(OR(E1175="",E1175="!!!"),"",IF(OR(J1175=0,AND(J1175=1,K1175=1),AND(J1175=1,I1175="SBJ"),AND(J1175=1,I1175=0)),"?IN_FOCUS",IF(J1175&lt;=2,"?ACTIVATED",IF(J1175&lt;&gt;"","?FAMILIAR",IF(F1175="NEW",IF(ISNA(VLOOKUP(E1175,#REF!,1,FALSE())),"?TYPE_IDENTIFIABLE","?REFERENTIAL"),"_")))))</f>
        <v> </v>
      </c>
      <c r="H1175" s="25" t="str">
        <f>IF(J1175&lt;&gt;1,"",IF(I1175="SBJ","CB","?"))</f>
        <v> </v>
      </c>
      <c r="I1175" s="26" t="str">
        <f>IF(OR(E1175="",E1175="!!!",F1175="NEW"),"",INDEX(B1174:B$2,-1+SUMPRODUCT(MAX(ROW(E1174:E$2)*(E1175=E1174:E$2)))))</f>
        <v> </v>
      </c>
      <c r="J1175" s="26" t="str">
        <f>IF(OR(E1175="",E1175="!!!",F1175="NEW"),"",COUNTBLANK(OFFSET(A$1,,,SUMPRODUCT(MAX(ROW(E$2:E1175)*(E1175=E$2:E1175)))))-COUNTBLANK(OFFSET(A$1,,,SUMPRODUCT(MAX(ROW(E$1:E1174)*(E2=E$1:E1174))))))</f>
        <v> </v>
      </c>
      <c r="K1175" s="26" t="str">
        <f>IF(OR(E1175="",E1175="!!!",F1175="NEW"),"",INDEX(J$1:J1174,SUMPRODUCT(MAX(ROW(E$1:E1174)*(E1175=E$1:E1174)))))</f>
        <v> </v>
      </c>
      <c r="L1175" s="27"/>
    </row>
    <row r="1176" spans="1:12">
      <c r="A1176" s="20"/>
    </row>
    <row r="1177" spans="1:12">
      <c r="A1177" s="20" t="s">
        <v>821</v>
      </c>
    </row>
    <row r="1178" spans="1:12">
      <c r="A1178" s="20" t="s">
        <v>391</v>
      </c>
      <c r="E1178" s="22">
        <f>IF(D1178="?OLD","!!!","")</f>
        <v/>
      </c>
      <c r="F1178" s="23" t="str">
        <f>IF(OR(E1178="",E1178="!!!"),"",IF(NOT(ISNA(VLOOKUP(E1178,E$1:E1177,1,FALSE()))),"OLD",IF(AND(E1178&lt;&gt;"",E1178&lt;&gt;"!!!"),"NEW","")))</f>
        <v> </v>
      </c>
      <c r="G1178" s="24" t="str">
        <f>IF(OR(E1178="",E1178="!!!"),"",IF(OR(J1178=0,AND(J1178=1,K1178=1),AND(J1178=1,I1178="SBJ"),AND(J1178=1,I1178=0)),"?IN_FOCUS",IF(J1178&lt;=2,"?ACTIVATED",IF(J1178&lt;&gt;"","?FAMILIAR",IF(F1178="NEW",IF(ISNA(VLOOKUP(E1178,#REF!,1,FALSE())),"?TYPE_IDENTIFIABLE","?REFERENTIAL"),"_")))))</f>
        <v> </v>
      </c>
      <c r="H1178" s="25" t="str">
        <f>IF(J1178&lt;&gt;1,"",IF(I1178="SBJ","CB","?"))</f>
        <v> </v>
      </c>
      <c r="I1178" s="26" t="str">
        <f>IF(OR(E1178="",E1178="!!!",F1178="NEW"),"",INDEX(B1177:B$2,-1+SUMPRODUCT(MAX(ROW(E1177:E$2)*(E1178=E1177:E$2)))))</f>
        <v> </v>
      </c>
      <c r="J1178" s="26" t="str">
        <f>IF(OR(E1178="",E1178="!!!",F1178="NEW"),"",COUNTBLANK(OFFSET(A$1,,,SUMPRODUCT(MAX(ROW(E$2:E1178)*(E1178=E$2:E1178)))))-COUNTBLANK(OFFSET(A$1,,,SUMPRODUCT(MAX(ROW(E$1:E1177)*(E2=E$1:E1177))))))</f>
        <v> </v>
      </c>
      <c r="K1178" s="26" t="str">
        <f>IF(OR(E1178="",E1178="!!!",F1178="NEW"),"",INDEX(J$1:J1177,SUMPRODUCT(MAX(ROW(E$1:E1177)*(E1178=E$1:E1177)))))</f>
        <v> </v>
      </c>
      <c r="L1178" s="27"/>
    </row>
    <row r="1179" spans="1:12">
      <c r="A1179" s="20" t="s">
        <v>427</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t="s">
        <v>822</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823</v>
      </c>
      <c r="B1181" s="21" t="s">
        <v>373</v>
      </c>
      <c r="C1181" s="21" t="s">
        <v>357</v>
      </c>
      <c r="D1181" s="21" t="s">
        <v>358</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594</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t="s">
        <v>478</v>
      </c>
      <c r="B1183" s="21" t="s">
        <v>429</v>
      </c>
      <c r="C1183" s="21" t="s">
        <v>357</v>
      </c>
      <c r="D1183" s="21" t="s">
        <v>358</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t="s">
        <v>393</v>
      </c>
      <c r="E1184" s="22">
        <f>IF(D1184="?OLD","!!!","")</f>
        <v/>
      </c>
      <c r="F1184" s="23" t="str">
        <f>IF(OR(E1184="",E1184="!!!"),"",IF(NOT(ISNA(VLOOKUP(E1184,E$1:E1183,1,FALSE()))),"OLD",IF(AND(E1184&lt;&gt;"",E1184&lt;&gt;"!!!"),"NEW","")))</f>
        <v> </v>
      </c>
      <c r="G1184" s="24" t="str">
        <f>IF(OR(E1184="",E1184="!!!"),"",IF(OR(J1184=0,AND(J1184=1,K1184=1),AND(J1184=1,I1184="SBJ"),AND(J1184=1,I1184=0)),"?IN_FOCUS",IF(J1184&lt;=2,"?ACTIVATED",IF(J1184&lt;&gt;"","?FAMILIAR",IF(F1184="NEW",IF(ISNA(VLOOKUP(E1184,#REF!,1,FALSE())),"?TYPE_IDENTIFIABLE","?REFERENTIAL"),"_")))))</f>
        <v> </v>
      </c>
      <c r="H1184" s="25" t="str">
        <f>IF(J1184&lt;&gt;1,"",IF(I1184="SBJ","CB","?"))</f>
        <v> </v>
      </c>
      <c r="I1184" s="26" t="str">
        <f>IF(OR(E1184="",E1184="!!!",F1184="NEW"),"",INDEX(B1183:B$2,-1+SUMPRODUCT(MAX(ROW(E1183:E$2)*(E1184=E1183:E$2)))))</f>
        <v> </v>
      </c>
      <c r="J1184" s="26" t="str">
        <f>IF(OR(E1184="",E1184="!!!",F1184="NEW"),"",COUNTBLANK(OFFSET(A$1,,,SUMPRODUCT(MAX(ROW(E$2:E1184)*(E1184=E$2:E1184)))))-COUNTBLANK(OFFSET(A$1,,,SUMPRODUCT(MAX(ROW(E$1:E1183)*(E2=E$1:E1183))))))</f>
        <v> </v>
      </c>
      <c r="K1184" s="26" t="str">
        <f>IF(OR(E1184="",E1184="!!!",F1184="NEW"),"",INDEX(J$1:J1183,SUMPRODUCT(MAX(ROW(E$1:E1183)*(E1184=E$1:E1183)))))</f>
        <v> </v>
      </c>
      <c r="L1184" s="27"/>
    </row>
    <row r="1185" spans="1:12">
      <c r="A1185" s="20" t="s">
        <v>824</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369</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776</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468</v>
      </c>
      <c r="B1188" s="21" t="s">
        <v>356</v>
      </c>
      <c r="C1188" s="21" t="s">
        <v>483</v>
      </c>
      <c r="D1188" s="21" t="s">
        <v>358</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434</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825</v>
      </c>
      <c r="B1190" s="21" t="s">
        <v>356</v>
      </c>
      <c r="C1190" s="21" t="s">
        <v>382</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t="s">
        <v>618</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row>
    <row r="1193" spans="1:12">
      <c r="A1193" s="20" t="s">
        <v>826</v>
      </c>
    </row>
    <row r="1194" spans="1:12">
      <c r="A1194" s="20" t="s">
        <v>827</v>
      </c>
      <c r="B1194" s="21" t="s">
        <v>373</v>
      </c>
      <c r="C1194" s="21" t="s">
        <v>361</v>
      </c>
      <c r="D1194" s="21" t="s">
        <v>358</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t="s">
        <v>362</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457</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386</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828</v>
      </c>
      <c r="B1198" s="21" t="s">
        <v>365</v>
      </c>
      <c r="C1198" s="21" t="s">
        <v>385</v>
      </c>
      <c r="D1198" s="21" t="s">
        <v>358</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t="s">
        <v>618</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row>
    <row r="1201" spans="1:12">
      <c r="A1201" s="20" t="s">
        <v>829</v>
      </c>
    </row>
    <row r="1202" spans="1:12">
      <c r="A1202" s="20" t="s">
        <v>830</v>
      </c>
      <c r="E1202" s="22">
        <f>IF(D1202="?OLD","!!!","")</f>
        <v/>
      </c>
      <c r="F1202" s="23" t="str">
        <f>IF(OR(E1202="",E1202="!!!"),"",IF(NOT(ISNA(VLOOKUP(E1202,E$1:E1201,1,FALSE()))),"OLD",IF(AND(E1202&lt;&gt;"",E1202&lt;&gt;"!!!"),"NEW","")))</f>
        <v> </v>
      </c>
      <c r="G1202" s="24" t="str">
        <f>IF(OR(E1202="",E1202="!!!"),"",IF(OR(J1202=0,AND(J1202=1,K1202=1),AND(J1202=1,I1202="SBJ"),AND(J1202=1,I1202=0)),"?IN_FOCUS",IF(J1202&lt;=2,"?ACTIVATED",IF(J1202&lt;&gt;"","?FAMILIAR",IF(F1202="NEW",IF(ISNA(VLOOKUP(E1202,#REF!,1,FALSE())),"?TYPE_IDENTIFIABLE","?REFERENTIAL"),"_")))))</f>
        <v> </v>
      </c>
      <c r="H1202" s="25" t="str">
        <f>IF(J1202&lt;&gt;1,"",IF(I1202="SBJ","CB","?"))</f>
        <v> </v>
      </c>
      <c r="I1202" s="26" t="str">
        <f>IF(OR(E1202="",E1202="!!!",F1202="NEW"),"",INDEX(B1201:B$2,-1+SUMPRODUCT(MAX(ROW(E1201:E$2)*(E1202=E1201:E$2)))))</f>
        <v> </v>
      </c>
      <c r="J1202" s="26" t="str">
        <f>IF(OR(E1202="",E1202="!!!",F1202="NEW"),"",COUNTBLANK(OFFSET(A$1,,,SUMPRODUCT(MAX(ROW(E$2:E1202)*(E1202=E$2:E1202)))))-COUNTBLANK(OFFSET(A$1,,,SUMPRODUCT(MAX(ROW(E$1:E1201)*(E2=E$1:E1201))))))</f>
        <v> </v>
      </c>
      <c r="K1202" s="26" t="str">
        <f>IF(OR(E1202="",E1202="!!!",F1202="NEW"),"",INDEX(J$1:J1201,SUMPRODUCT(MAX(ROW(E$1:E1201)*(E1202=E$1:E1201)))))</f>
        <v> </v>
      </c>
      <c r="L1202" s="27"/>
    </row>
    <row r="1203" spans="1:12">
      <c r="A1203" s="20" t="s">
        <v>558</v>
      </c>
      <c r="B1203" s="21" t="s">
        <v>378</v>
      </c>
      <c r="C1203" s="21" t="s">
        <v>430</v>
      </c>
      <c r="D1203" s="21" t="s">
        <v>358</v>
      </c>
      <c r="E1203" s="22">
        <f>IF(D1203="?OLD","!!!","")</f>
        <v/>
      </c>
      <c r="F1203" s="23" t="str">
        <f>IF(OR(E1203="",E1203="!!!"),"",IF(NOT(ISNA(VLOOKUP(E1203,E$1:E1202,1,FALSE()))),"OLD",IF(AND(E1203&lt;&gt;"",E1203&lt;&gt;"!!!"),"NEW","")))</f>
        <v> </v>
      </c>
      <c r="G1203" s="24" t="str">
        <f>IF(OR(E1203="",E1203="!!!"),"",IF(OR(J1203=0,AND(J1203=1,K1203=1),AND(J1203=1,I1203="SBJ"),AND(J1203=1,I1203=0)),"?IN_FOCUS",IF(J1203&lt;=2,"?ACTIVATED",IF(J1203&lt;&gt;"","?FAMILIAR",IF(F1203="NEW",IF(ISNA(VLOOKUP(E1203,#REF!,1,FALSE())),"?TYPE_IDENTIFIABLE","?REFERENTIAL"),"_")))))</f>
        <v> </v>
      </c>
      <c r="H1203" s="25" t="str">
        <f>IF(J1203&lt;&gt;1,"",IF(I1203="SBJ","CB","?"))</f>
        <v> </v>
      </c>
      <c r="I1203" s="26" t="str">
        <f>IF(OR(E1203="",E1203="!!!",F1203="NEW"),"",INDEX(B1202:B$2,-1+SUMPRODUCT(MAX(ROW(E1202:E$2)*(E1203=E1202:E$2)))))</f>
        <v> </v>
      </c>
      <c r="J1203" s="26" t="str">
        <f>IF(OR(E1203="",E1203="!!!",F1203="NEW"),"",COUNTBLANK(OFFSET(A$1,,,SUMPRODUCT(MAX(ROW(E$2:E1203)*(E1203=E$2:E1203)))))-COUNTBLANK(OFFSET(A$1,,,SUMPRODUCT(MAX(ROW(E$1:E1202)*(E2=E$1:E1202))))))</f>
        <v> </v>
      </c>
      <c r="K1203" s="26" t="str">
        <f>IF(OR(E1203="",E1203="!!!",F1203="NEW"),"",INDEX(J$1:J1202,SUMPRODUCT(MAX(ROW(E$1:E1202)*(E1203=E$1:E1202)))))</f>
        <v> </v>
      </c>
      <c r="L1203" s="27"/>
    </row>
    <row r="1204" spans="1:12">
      <c r="A1204" s="20" t="s">
        <v>484</v>
      </c>
      <c r="B1204" s="21" t="s">
        <v>451</v>
      </c>
      <c r="E1204" s="22">
        <f>IF(D1204="?OLD","!!!","")</f>
        <v/>
      </c>
      <c r="F1204" s="23" t="str">
        <f>IF(OR(E1204="",E1204="!!!"),"",IF(NOT(ISNA(VLOOKUP(E1204,E$1:E1203,1,FALSE()))),"OLD",IF(AND(E1204&lt;&gt;"",E1204&lt;&gt;"!!!"),"NEW","")))</f>
        <v> </v>
      </c>
      <c r="G1204" s="24" t="str">
        <f>IF(OR(E1204="",E1204="!!!"),"",IF(OR(J1204=0,AND(J1204=1,K1204=1),AND(J1204=1,I1204="SBJ"),AND(J1204=1,I1204=0)),"?IN_FOCUS",IF(J1204&lt;=2,"?ACTIVATED",IF(J1204&lt;&gt;"","?FAMILIAR",IF(F1204="NEW",IF(ISNA(VLOOKUP(E1204,#REF!,1,FALSE())),"?TYPE_IDENTIFIABLE","?REFERENTIAL"),"_")))))</f>
        <v> </v>
      </c>
      <c r="H1204" s="25" t="str">
        <f>IF(J1204&lt;&gt;1,"",IF(I1204="SBJ","CB","?"))</f>
        <v> </v>
      </c>
      <c r="I1204" s="26" t="str">
        <f>IF(OR(E1204="",E1204="!!!",F1204="NEW"),"",INDEX(B1203:B$2,-1+SUMPRODUCT(MAX(ROW(E1203:E$2)*(E1204=E1203:E$2)))))</f>
        <v> </v>
      </c>
      <c r="J1204" s="26" t="str">
        <f>IF(OR(E1204="",E1204="!!!",F1204="NEW"),"",COUNTBLANK(OFFSET(A$1,,,SUMPRODUCT(MAX(ROW(E$2:E1204)*(E1204=E$2:E1204)))))-COUNTBLANK(OFFSET(A$1,,,SUMPRODUCT(MAX(ROW(E$1:E1203)*(E2=E$1:E1203))))))</f>
        <v> </v>
      </c>
      <c r="K1204" s="26" t="str">
        <f>IF(OR(E1204="",E1204="!!!",F1204="NEW"),"",INDEX(J$1:J1203,SUMPRODUCT(MAX(ROW(E$1:E1203)*(E1204=E$1:E1203)))))</f>
        <v> </v>
      </c>
      <c r="L1204" s="27"/>
    </row>
    <row r="1205" spans="1:12">
      <c r="A1205" s="20" t="s">
        <v>393</v>
      </c>
      <c r="E1205" s="22">
        <f>IF(D1205="?OLD","!!!","")</f>
        <v/>
      </c>
      <c r="F1205" s="23" t="str">
        <f>IF(OR(E1205="",E1205="!!!"),"",IF(NOT(ISNA(VLOOKUP(E1205,E$1:E1204,1,FALSE()))),"OLD",IF(AND(E1205&lt;&gt;"",E1205&lt;&gt;"!!!"),"NEW","")))</f>
        <v> </v>
      </c>
      <c r="G1205" s="24" t="str">
        <f>IF(OR(E1205="",E1205="!!!"),"",IF(OR(J1205=0,AND(J1205=1,K1205=1),AND(J1205=1,I1205="SBJ"),AND(J1205=1,I1205=0)),"?IN_FOCUS",IF(J1205&lt;=2,"?ACTIVATED",IF(J1205&lt;&gt;"","?FAMILIAR",IF(F1205="NEW",IF(ISNA(VLOOKUP(E1205,#REF!,1,FALSE())),"?TYPE_IDENTIFIABLE","?REFERENTIAL"),"_")))))</f>
        <v> </v>
      </c>
      <c r="H1205" s="25" t="str">
        <f>IF(J1205&lt;&gt;1,"",IF(I1205="SBJ","CB","?"))</f>
        <v> </v>
      </c>
      <c r="I1205" s="26" t="str">
        <f>IF(OR(E1205="",E1205="!!!",F1205="NEW"),"",INDEX(B1204:B$2,-1+SUMPRODUCT(MAX(ROW(E1204:E$2)*(E1205=E1204:E$2)))))</f>
        <v> </v>
      </c>
      <c r="J1205" s="26" t="str">
        <f>IF(OR(E1205="",E1205="!!!",F1205="NEW"),"",COUNTBLANK(OFFSET(A$1,,,SUMPRODUCT(MAX(ROW(E$2:E1205)*(E1205=E$2:E1205)))))-COUNTBLANK(OFFSET(A$1,,,SUMPRODUCT(MAX(ROW(E$1:E1204)*(E2=E$1:E1204))))))</f>
        <v> </v>
      </c>
      <c r="K1205" s="26" t="str">
        <f>IF(OR(E1205="",E1205="!!!",F1205="NEW"),"",INDEX(J$1:J1204,SUMPRODUCT(MAX(ROW(E$1:E1204)*(E1205=E$1:E1204)))))</f>
        <v> </v>
      </c>
      <c r="L1205" s="27"/>
    </row>
    <row r="1206" spans="1:12">
      <c r="A1206" s="20" t="s">
        <v>824</v>
      </c>
      <c r="E1206" s="22">
        <f>IF(D1206="?OLD","!!!","")</f>
        <v/>
      </c>
      <c r="F1206" s="23" t="str">
        <f>IF(OR(E1206="",E1206="!!!"),"",IF(NOT(ISNA(VLOOKUP(E1206,E$1:E1205,1,FALSE()))),"OLD",IF(AND(E1206&lt;&gt;"",E1206&lt;&gt;"!!!"),"NEW","")))</f>
        <v> </v>
      </c>
      <c r="G1206" s="24" t="str">
        <f>IF(OR(E1206="",E1206="!!!"),"",IF(OR(J1206=0,AND(J1206=1,K1206=1),AND(J1206=1,I1206="SBJ"),AND(J1206=1,I1206=0)),"?IN_FOCUS",IF(J1206&lt;=2,"?ACTIVATED",IF(J1206&lt;&gt;"","?FAMILIAR",IF(F1206="NEW",IF(ISNA(VLOOKUP(E1206,#REF!,1,FALSE())),"?TYPE_IDENTIFIABLE","?REFERENTIAL"),"_")))))</f>
        <v> </v>
      </c>
      <c r="H1206" s="25" t="str">
        <f>IF(J1206&lt;&gt;1,"",IF(I1206="SBJ","CB","?"))</f>
        <v> </v>
      </c>
      <c r="I1206" s="26" t="str">
        <f>IF(OR(E1206="",E1206="!!!",F1206="NEW"),"",INDEX(B1205:B$2,-1+SUMPRODUCT(MAX(ROW(E1205:E$2)*(E1206=E1205:E$2)))))</f>
        <v> </v>
      </c>
      <c r="J1206" s="26" t="str">
        <f>IF(OR(E1206="",E1206="!!!",F1206="NEW"),"",COUNTBLANK(OFFSET(A$1,,,SUMPRODUCT(MAX(ROW(E$2:E1206)*(E1206=E$2:E1206)))))-COUNTBLANK(OFFSET(A$1,,,SUMPRODUCT(MAX(ROW(E$1:E1205)*(E2=E$1:E1205))))))</f>
        <v> </v>
      </c>
      <c r="K1206" s="26" t="str">
        <f>IF(OR(E1206="",E1206="!!!",F1206="NEW"),"",INDEX(J$1:J1205,SUMPRODUCT(MAX(ROW(E$1:E1205)*(E1206=E$1:E1205)))))</f>
        <v> </v>
      </c>
      <c r="L1206" s="27"/>
    </row>
    <row r="1207" spans="1:12">
      <c r="A1207" s="20" t="s">
        <v>389</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row>
    <row r="1209" spans="1:12">
      <c r="A1209" s="20" t="s">
        <v>831</v>
      </c>
    </row>
    <row r="1210" spans="1:12">
      <c r="A1210" s="20" t="s">
        <v>832</v>
      </c>
      <c r="E1210" s="22">
        <f>IF(D1210="?OLD","!!!","")</f>
        <v/>
      </c>
      <c r="F1210" s="23" t="str">
        <f>IF(OR(E1210="",E1210="!!!"),"",IF(NOT(ISNA(VLOOKUP(E1210,E$1:E1209,1,FALSE()))),"OLD",IF(AND(E1210&lt;&gt;"",E1210&lt;&gt;"!!!"),"NEW","")))</f>
        <v> </v>
      </c>
      <c r="G1210" s="24" t="str">
        <f>IF(OR(E1210="",E1210="!!!"),"",IF(OR(J1210=0,AND(J1210=1,K1210=1),AND(J1210=1,I1210="SBJ"),AND(J1210=1,I1210=0)),"?IN_FOCUS",IF(J1210&lt;=2,"?ACTIVATED",IF(J1210&lt;&gt;"","?FAMILIAR",IF(F1210="NEW",IF(ISNA(VLOOKUP(E1210,#REF!,1,FALSE())),"?TYPE_IDENTIFIABLE","?REFERENTIAL"),"_")))))</f>
        <v> </v>
      </c>
      <c r="H1210" s="25" t="str">
        <f>IF(J1210&lt;&gt;1,"",IF(I1210="SBJ","CB","?"))</f>
        <v> </v>
      </c>
      <c r="I1210" s="26" t="str">
        <f>IF(OR(E1210="",E1210="!!!",F1210="NEW"),"",INDEX(B1209:B$2,-1+SUMPRODUCT(MAX(ROW(E1209:E$2)*(E1210=E1209:E$2)))))</f>
        <v> </v>
      </c>
      <c r="J1210" s="26" t="str">
        <f>IF(OR(E1210="",E1210="!!!",F1210="NEW"),"",COUNTBLANK(OFFSET(A$1,,,SUMPRODUCT(MAX(ROW(E$2:E1210)*(E1210=E$2:E1210)))))-COUNTBLANK(OFFSET(A$1,,,SUMPRODUCT(MAX(ROW(E$1:E1209)*(E2=E$1:E1209))))))</f>
        <v> </v>
      </c>
      <c r="K1210" s="26" t="str">
        <f>IF(OR(E1210="",E1210="!!!",F1210="NEW"),"",INDEX(J$1:J1209,SUMPRODUCT(MAX(ROW(E$1:E1209)*(E1210=E$1:E1209)))))</f>
        <v> </v>
      </c>
      <c r="L1210" s="27"/>
    </row>
    <row r="1211" spans="1:12">
      <c r="A1211" s="20" t="s">
        <v>376</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t="s">
        <v>632</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t="s">
        <v>754</v>
      </c>
      <c r="B1213" s="21" t="s">
        <v>373</v>
      </c>
      <c r="C1213" s="21" t="s">
        <v>379</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630</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833</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380</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408</v>
      </c>
      <c r="B1217" s="21" t="s">
        <v>378</v>
      </c>
      <c r="C1217" s="21" t="s">
        <v>379</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410</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411</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t="s">
        <v>389</v>
      </c>
      <c r="E1220" s="22">
        <f>IF(D1220="?OLD","!!!","")</f>
        <v/>
      </c>
      <c r="F1220" s="23" t="str">
        <f>IF(OR(E1220="",E1220="!!!"),"",IF(NOT(ISNA(VLOOKUP(E1220,E$1:E1219,1,FALSE()))),"OLD",IF(AND(E1220&lt;&gt;"",E1220&lt;&gt;"!!!"),"NEW","")))</f>
        <v> </v>
      </c>
      <c r="G1220" s="24" t="str">
        <f>IF(OR(E1220="",E1220="!!!"),"",IF(OR(J1220=0,AND(J1220=1,K1220=1),AND(J1220=1,I1220="SBJ"),AND(J1220=1,I1220=0)),"?IN_FOCUS",IF(J1220&lt;=2,"?ACTIVATED",IF(J1220&lt;&gt;"","?FAMILIAR",IF(F1220="NEW",IF(ISNA(VLOOKUP(E1220,#REF!,1,FALSE())),"?TYPE_IDENTIFIABLE","?REFERENTIAL"),"_")))))</f>
        <v> </v>
      </c>
      <c r="H1220" s="25" t="str">
        <f>IF(J1220&lt;&gt;1,"",IF(I1220="SBJ","CB","?"))</f>
        <v> </v>
      </c>
      <c r="I1220" s="26" t="str">
        <f>IF(OR(E1220="",E1220="!!!",F1220="NEW"),"",INDEX(B1219:B$2,-1+SUMPRODUCT(MAX(ROW(E1219:E$2)*(E1220=E1219:E$2)))))</f>
        <v> </v>
      </c>
      <c r="J1220" s="26" t="str">
        <f>IF(OR(E1220="",E1220="!!!",F1220="NEW"),"",COUNTBLANK(OFFSET(A$1,,,SUMPRODUCT(MAX(ROW(E$2:E1220)*(E1220=E$2:E1220)))))-COUNTBLANK(OFFSET(A$1,,,SUMPRODUCT(MAX(ROW(E$1:E1219)*(E2=E$1:E1219))))))</f>
        <v> </v>
      </c>
      <c r="K1220" s="26" t="str">
        <f>IF(OR(E1220="",E1220="!!!",F1220="NEW"),"",INDEX(J$1:J1219,SUMPRODUCT(MAX(ROW(E$1:E1219)*(E1220=E$1:E1219)))))</f>
        <v> </v>
      </c>
      <c r="L1220" s="27"/>
    </row>
    <row r="1221" spans="1:12">
      <c r="A1221" s="20"/>
    </row>
    <row r="1222" spans="1:12">
      <c r="A1222" s="20" t="s">
        <v>834</v>
      </c>
    </row>
    <row r="1223" spans="1:12">
      <c r="A1223" s="20" t="s">
        <v>750</v>
      </c>
      <c r="E1223" s="22">
        <f>IF(D1223="?OLD","!!!","")</f>
        <v/>
      </c>
      <c r="F1223" s="23" t="str">
        <f>IF(OR(E1223="",E1223="!!!"),"",IF(NOT(ISNA(VLOOKUP(E1223,E$1:E1222,1,FALSE()))),"OLD",IF(AND(E1223&lt;&gt;"",E1223&lt;&gt;"!!!"),"NEW","")))</f>
        <v> </v>
      </c>
      <c r="G1223" s="24" t="str">
        <f>IF(OR(E1223="",E1223="!!!"),"",IF(OR(J1223=0,AND(J1223=1,K1223=1),AND(J1223=1,I1223="SBJ"),AND(J1223=1,I1223=0)),"?IN_FOCUS",IF(J1223&lt;=2,"?ACTIVATED",IF(J1223&lt;&gt;"","?FAMILIAR",IF(F1223="NEW",IF(ISNA(VLOOKUP(E1223,#REF!,1,FALSE())),"?TYPE_IDENTIFIABLE","?REFERENTIAL"),"_")))))</f>
        <v> </v>
      </c>
      <c r="H1223" s="25" t="str">
        <f>IF(J1223&lt;&gt;1,"",IF(I1223="SBJ","CB","?"))</f>
        <v> </v>
      </c>
      <c r="I1223" s="26" t="str">
        <f>IF(OR(E1223="",E1223="!!!",F1223="NEW"),"",INDEX(B1222:B$2,-1+SUMPRODUCT(MAX(ROW(E1222:E$2)*(E1223=E1222:E$2)))))</f>
        <v> </v>
      </c>
      <c r="J1223" s="26" t="str">
        <f>IF(OR(E1223="",E1223="!!!",F1223="NEW"),"",COUNTBLANK(OFFSET(A$1,,,SUMPRODUCT(MAX(ROW(E$2:E1223)*(E1223=E$2:E1223)))))-COUNTBLANK(OFFSET(A$1,,,SUMPRODUCT(MAX(ROW(E$1:E1222)*(E2=E$1:E1222))))))</f>
        <v> </v>
      </c>
      <c r="K1223" s="26" t="str">
        <f>IF(OR(E1223="",E1223="!!!",F1223="NEW"),"",INDEX(J$1:J1222,SUMPRODUCT(MAX(ROW(E$1:E1222)*(E1223=E$1:E1222)))))</f>
        <v> </v>
      </c>
      <c r="L1223" s="27"/>
    </row>
    <row r="1224" spans="1:12">
      <c r="A1224" s="20" t="s">
        <v>376</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632</v>
      </c>
      <c r="B1225" s="21" t="s">
        <v>429</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833</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835</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367</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836</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t="s">
        <v>367</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376</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t="s">
        <v>408</v>
      </c>
      <c r="B1232" s="21" t="s">
        <v>365</v>
      </c>
      <c r="C1232" s="21" t="s">
        <v>379</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380</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t="s">
        <v>22</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t="s">
        <v>712</v>
      </c>
      <c r="B1235" s="21" t="s">
        <v>356</v>
      </c>
      <c r="C1235" s="21" t="s">
        <v>402</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t="s">
        <v>367</v>
      </c>
      <c r="E1236" s="22">
        <f>IF(D1236="?OLD","!!!","")</f>
        <v/>
      </c>
      <c r="F1236" s="23" t="str">
        <f>IF(OR(E1236="",E1236="!!!"),"",IF(NOT(ISNA(VLOOKUP(E1236,E$1:E1235,1,FALSE()))),"OLD",IF(AND(E1236&lt;&gt;"",E1236&lt;&gt;"!!!"),"NEW","")))</f>
        <v> </v>
      </c>
      <c r="G1236" s="24" t="str">
        <f>IF(OR(E1236="",E1236="!!!"),"",IF(OR(J1236=0,AND(J1236=1,K1236=1),AND(J1236=1,I1236="SBJ"),AND(J1236=1,I1236=0)),"?IN_FOCUS",IF(J1236&lt;=2,"?ACTIVATED",IF(J1236&lt;&gt;"","?FAMILIAR",IF(F1236="NEW",IF(ISNA(VLOOKUP(E1236,#REF!,1,FALSE())),"?TYPE_IDENTIFIABLE","?REFERENTIAL"),"_")))))</f>
        <v> </v>
      </c>
      <c r="H1236" s="25" t="str">
        <f>IF(J1236&lt;&gt;1,"",IF(I1236="SBJ","CB","?"))</f>
        <v> </v>
      </c>
      <c r="I1236" s="26" t="str">
        <f>IF(OR(E1236="",E1236="!!!",F1236="NEW"),"",INDEX(B1235:B$2,-1+SUMPRODUCT(MAX(ROW(E1235:E$2)*(E1236=E1235:E$2)))))</f>
        <v> </v>
      </c>
      <c r="J1236" s="26" t="str">
        <f>IF(OR(E1236="",E1236="!!!",F1236="NEW"),"",COUNTBLANK(OFFSET(A$1,,,SUMPRODUCT(MAX(ROW(E$2:E1236)*(E1236=E$2:E1236)))))-COUNTBLANK(OFFSET(A$1,,,SUMPRODUCT(MAX(ROW(E$1:E1235)*(E2=E$1:E1235))))))</f>
        <v> </v>
      </c>
      <c r="K1236" s="26" t="str">
        <f>IF(OR(E1236="",E1236="!!!",F1236="NEW"),"",INDEX(J$1:J1235,SUMPRODUCT(MAX(ROW(E$1:E1235)*(E1236=E$1:E1235)))))</f>
        <v> </v>
      </c>
      <c r="L1236" s="27"/>
    </row>
    <row r="1237" spans="1:12">
      <c r="A1237" s="20" t="s">
        <v>513</v>
      </c>
      <c r="B1237" s="21" t="s">
        <v>429</v>
      </c>
      <c r="C1237" s="21" t="s">
        <v>357</v>
      </c>
      <c r="D1237" s="21" t="s">
        <v>358</v>
      </c>
      <c r="E1237" s="22">
        <f>IF(D1237="?OLD","!!!","")</f>
        <v/>
      </c>
      <c r="F1237" s="23" t="str">
        <f>IF(OR(E1237="",E1237="!!!"),"",IF(NOT(ISNA(VLOOKUP(E1237,E$1:E1236,1,FALSE()))),"OLD",IF(AND(E1237&lt;&gt;"",E1237&lt;&gt;"!!!"),"NEW","")))</f>
        <v> </v>
      </c>
      <c r="G1237" s="24" t="str">
        <f>IF(OR(E1237="",E1237="!!!"),"",IF(OR(J1237=0,AND(J1237=1,K1237=1),AND(J1237=1,I1237="SBJ"),AND(J1237=1,I1237=0)),"?IN_FOCUS",IF(J1237&lt;=2,"?ACTIVATED",IF(J1237&lt;&gt;"","?FAMILIAR",IF(F1237="NEW",IF(ISNA(VLOOKUP(E1237,#REF!,1,FALSE())),"?TYPE_IDENTIFIABLE","?REFERENTIAL"),"_")))))</f>
        <v> </v>
      </c>
      <c r="H1237" s="25" t="str">
        <f>IF(J1237&lt;&gt;1,"",IF(I1237="SBJ","CB","?"))</f>
        <v> </v>
      </c>
      <c r="I1237" s="26" t="str">
        <f>IF(OR(E1237="",E1237="!!!",F1237="NEW"),"",INDEX(B1236:B$2,-1+SUMPRODUCT(MAX(ROW(E1236:E$2)*(E1237=E1236:E$2)))))</f>
        <v> </v>
      </c>
      <c r="J1237" s="26" t="str">
        <f>IF(OR(E1237="",E1237="!!!",F1237="NEW"),"",COUNTBLANK(OFFSET(A$1,,,SUMPRODUCT(MAX(ROW(E$2:E1237)*(E1237=E$2:E1237)))))-COUNTBLANK(OFFSET(A$1,,,SUMPRODUCT(MAX(ROW(E$1:E1236)*(E2=E$1:E1236))))))</f>
        <v> </v>
      </c>
      <c r="K1237" s="26" t="str">
        <f>IF(OR(E1237="",E1237="!!!",F1237="NEW"),"",INDEX(J$1:J1236,SUMPRODUCT(MAX(ROW(E$1:E1236)*(E1237=E$1:E1236)))))</f>
        <v> </v>
      </c>
      <c r="L1237" s="27"/>
    </row>
    <row r="1238" spans="1:12">
      <c r="A1238" s="20" t="s">
        <v>837</v>
      </c>
      <c r="E1238" s="22">
        <f>IF(D1238="?OLD","!!!","")</f>
        <v/>
      </c>
      <c r="F1238" s="23" t="str">
        <f>IF(OR(E1238="",E1238="!!!"),"",IF(NOT(ISNA(VLOOKUP(E1238,E$1:E1237,1,FALSE()))),"OLD",IF(AND(E1238&lt;&gt;"",E1238&lt;&gt;"!!!"),"NEW","")))</f>
        <v> </v>
      </c>
      <c r="G1238" s="24" t="str">
        <f>IF(OR(E1238="",E1238="!!!"),"",IF(OR(J1238=0,AND(J1238=1,K1238=1),AND(J1238=1,I1238="SBJ"),AND(J1238=1,I1238=0)),"?IN_FOCUS",IF(J1238&lt;=2,"?ACTIVATED",IF(J1238&lt;&gt;"","?FAMILIAR",IF(F1238="NEW",IF(ISNA(VLOOKUP(E1238,#REF!,1,FALSE())),"?TYPE_IDENTIFIABLE","?REFERENTIAL"),"_")))))</f>
        <v> </v>
      </c>
      <c r="H1238" s="25" t="str">
        <f>IF(J1238&lt;&gt;1,"",IF(I1238="SBJ","CB","?"))</f>
        <v> </v>
      </c>
      <c r="I1238" s="26" t="str">
        <f>IF(OR(E1238="",E1238="!!!",F1238="NEW"),"",INDEX(B1237:B$2,-1+SUMPRODUCT(MAX(ROW(E1237:E$2)*(E1238=E1237:E$2)))))</f>
        <v> </v>
      </c>
      <c r="J1238" s="26" t="str">
        <f>IF(OR(E1238="",E1238="!!!",F1238="NEW"),"",COUNTBLANK(OFFSET(A$1,,,SUMPRODUCT(MAX(ROW(E$2:E1238)*(E1238=E$2:E1238)))))-COUNTBLANK(OFFSET(A$1,,,SUMPRODUCT(MAX(ROW(E$1:E1237)*(E2=E$1:E1237))))))</f>
        <v> </v>
      </c>
      <c r="K1238" s="26" t="str">
        <f>IF(OR(E1238="",E1238="!!!",F1238="NEW"),"",INDEX(J$1:J1237,SUMPRODUCT(MAX(ROW(E$1:E1237)*(E1238=E$1:E1237)))))</f>
        <v> </v>
      </c>
      <c r="L1238" s="27"/>
    </row>
    <row r="1239" spans="1:12">
      <c r="A1239" s="20" t="s">
        <v>838</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t="s">
        <v>386</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815</v>
      </c>
      <c r="B1241" s="21" t="s">
        <v>409</v>
      </c>
      <c r="C1241" s="21" t="s">
        <v>385</v>
      </c>
      <c r="D1241" s="21" t="s">
        <v>358</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369</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405</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839</v>
      </c>
      <c r="B1244" s="21" t="s">
        <v>356</v>
      </c>
      <c r="C1244" s="21" t="s">
        <v>385</v>
      </c>
      <c r="D1244" s="21" t="s">
        <v>358</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551</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row>
    <row r="1247" spans="1:12">
      <c r="A1247" s="20" t="s">
        <v>840</v>
      </c>
    </row>
    <row r="1248" spans="1:12">
      <c r="A1248" s="20" t="s">
        <v>613</v>
      </c>
      <c r="E1248" s="22">
        <f>IF(D1248="?OLD","!!!","")</f>
        <v/>
      </c>
      <c r="F1248" s="23" t="str">
        <f>IF(OR(E1248="",E1248="!!!"),"",IF(NOT(ISNA(VLOOKUP(E1248,E$1:E1247,1,FALSE()))),"OLD",IF(AND(E1248&lt;&gt;"",E1248&lt;&gt;"!!!"),"NEW","")))</f>
        <v> </v>
      </c>
      <c r="G1248" s="24" t="str">
        <f>IF(OR(E1248="",E1248="!!!"),"",IF(OR(J1248=0,AND(J1248=1,K1248=1),AND(J1248=1,I1248="SBJ"),AND(J1248=1,I1248=0)),"?IN_FOCUS",IF(J1248&lt;=2,"?ACTIVATED",IF(J1248&lt;&gt;"","?FAMILIAR",IF(F1248="NEW",IF(ISNA(VLOOKUP(E1248,#REF!,1,FALSE())),"?TYPE_IDENTIFIABLE","?REFERENTIAL"),"_")))))</f>
        <v> </v>
      </c>
      <c r="H1248" s="25" t="str">
        <f>IF(J1248&lt;&gt;1,"",IF(I1248="SBJ","CB","?"))</f>
        <v> </v>
      </c>
      <c r="I1248" s="26" t="str">
        <f>IF(OR(E1248="",E1248="!!!",F1248="NEW"),"",INDEX(B1247:B$2,-1+SUMPRODUCT(MAX(ROW(E1247:E$2)*(E1248=E1247:E$2)))))</f>
        <v> </v>
      </c>
      <c r="J1248" s="26" t="str">
        <f>IF(OR(E1248="",E1248="!!!",F1248="NEW"),"",COUNTBLANK(OFFSET(A$1,,,SUMPRODUCT(MAX(ROW(E$2:E1248)*(E1248=E$2:E1248)))))-COUNTBLANK(OFFSET(A$1,,,SUMPRODUCT(MAX(ROW(E$1:E1247)*(E2=E$1:E1247))))))</f>
        <v> </v>
      </c>
      <c r="K1248" s="26" t="str">
        <f>IF(OR(E1248="",E1248="!!!",F1248="NEW"),"",INDEX(J$1:J1247,SUMPRODUCT(MAX(ROW(E$1:E1247)*(E1248=E$1:E1247)))))</f>
        <v> </v>
      </c>
      <c r="L1248" s="27"/>
    </row>
    <row r="1249" spans="1:12">
      <c r="A1249" s="20" t="s">
        <v>367</v>
      </c>
      <c r="E1249" s="22">
        <f>IF(D1249="?OLD","!!!","")</f>
        <v/>
      </c>
      <c r="F1249" s="23" t="str">
        <f>IF(OR(E1249="",E1249="!!!"),"",IF(NOT(ISNA(VLOOKUP(E1249,E$1:E1248,1,FALSE()))),"OLD",IF(AND(E1249&lt;&gt;"",E1249&lt;&gt;"!!!"),"NEW","")))</f>
        <v> </v>
      </c>
      <c r="G1249" s="24" t="str">
        <f>IF(OR(E1249="",E1249="!!!"),"",IF(OR(J1249=0,AND(J1249=1,K1249=1),AND(J1249=1,I1249="SBJ"),AND(J1249=1,I1249=0)),"?IN_FOCUS",IF(J1249&lt;=2,"?ACTIVATED",IF(J1249&lt;&gt;"","?FAMILIAR",IF(F1249="NEW",IF(ISNA(VLOOKUP(E1249,#REF!,1,FALSE())),"?TYPE_IDENTIFIABLE","?REFERENTIAL"),"_")))))</f>
        <v> </v>
      </c>
      <c r="H1249" s="25" t="str">
        <f>IF(J1249&lt;&gt;1,"",IF(I1249="SBJ","CB","?"))</f>
        <v> </v>
      </c>
      <c r="I1249" s="26" t="str">
        <f>IF(OR(E1249="",E1249="!!!",F1249="NEW"),"",INDEX(B1248:B$2,-1+SUMPRODUCT(MAX(ROW(E1248:E$2)*(E1249=E1248:E$2)))))</f>
        <v> </v>
      </c>
      <c r="J1249" s="26" t="str">
        <f>IF(OR(E1249="",E1249="!!!",F1249="NEW"),"",COUNTBLANK(OFFSET(A$1,,,SUMPRODUCT(MAX(ROW(E$2:E1249)*(E1249=E$2:E1249)))))-COUNTBLANK(OFFSET(A$1,,,SUMPRODUCT(MAX(ROW(E$1:E1248)*(E2=E$1:E1248))))))</f>
        <v> </v>
      </c>
      <c r="K1249" s="26" t="str">
        <f>IF(OR(E1249="",E1249="!!!",F1249="NEW"),"",INDEX(J$1:J1248,SUMPRODUCT(MAX(ROW(E$1:E1248)*(E1249=E$1:E1248)))))</f>
        <v> </v>
      </c>
      <c r="L1249" s="27"/>
    </row>
    <row r="1250" spans="1:12">
      <c r="A1250" s="20" t="s">
        <v>630</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393</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841</v>
      </c>
      <c r="B1252" s="21" t="s">
        <v>429</v>
      </c>
      <c r="C1252" s="21" t="s">
        <v>430</v>
      </c>
      <c r="D1252" s="21" t="s">
        <v>358</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643</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748</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367</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t="s">
        <v>427</v>
      </c>
      <c r="E1256" s="22">
        <f>IF(D1256="?OLD","!!!","")</f>
        <v/>
      </c>
      <c r="F1256" s="23" t="str">
        <f>IF(OR(E1256="",E1256="!!!"),"",IF(NOT(ISNA(VLOOKUP(E1256,E$1:E1255,1,FALSE()))),"OLD",IF(AND(E1256&lt;&gt;"",E1256&lt;&gt;"!!!"),"NEW","")))</f>
        <v> </v>
      </c>
      <c r="G1256" s="24" t="str">
        <f>IF(OR(E1256="",E1256="!!!"),"",IF(OR(J1256=0,AND(J1256=1,K1256=1),AND(J1256=1,I1256="SBJ"),AND(J1256=1,I1256=0)),"?IN_FOCUS",IF(J1256&lt;=2,"?ACTIVATED",IF(J1256&lt;&gt;"","?FAMILIAR",IF(F1256="NEW",IF(ISNA(VLOOKUP(E1256,#REF!,1,FALSE())),"?TYPE_IDENTIFIABLE","?REFERENTIAL"),"_")))))</f>
        <v> </v>
      </c>
      <c r="H1256" s="25" t="str">
        <f>IF(J1256&lt;&gt;1,"",IF(I1256="SBJ","CB","?"))</f>
        <v> </v>
      </c>
      <c r="I1256" s="26" t="str">
        <f>IF(OR(E1256="",E1256="!!!",F1256="NEW"),"",INDEX(B1255:B$2,-1+SUMPRODUCT(MAX(ROW(E1255:E$2)*(E1256=E1255:E$2)))))</f>
        <v> </v>
      </c>
      <c r="J1256" s="26" t="str">
        <f>IF(OR(E1256="",E1256="!!!",F1256="NEW"),"",COUNTBLANK(OFFSET(A$1,,,SUMPRODUCT(MAX(ROW(E$2:E1256)*(E1256=E$2:E1256)))))-COUNTBLANK(OFFSET(A$1,,,SUMPRODUCT(MAX(ROW(E$1:E1255)*(E2=E$1:E1255))))))</f>
        <v> </v>
      </c>
      <c r="K1256" s="26" t="str">
        <f>IF(OR(E1256="",E1256="!!!",F1256="NEW"),"",INDEX(J$1:J1255,SUMPRODUCT(MAX(ROW(E$1:E1255)*(E1256=E$1:E1255)))))</f>
        <v> </v>
      </c>
      <c r="L1256" s="27"/>
    </row>
    <row r="1257" spans="1:12">
      <c r="A1257" s="20" t="s">
        <v>380</v>
      </c>
      <c r="E1257" s="22">
        <f>IF(D1257="?OLD","!!!","")</f>
        <v/>
      </c>
      <c r="F1257" s="23" t="str">
        <f>IF(OR(E1257="",E1257="!!!"),"",IF(NOT(ISNA(VLOOKUP(E1257,E$1:E1256,1,FALSE()))),"OLD",IF(AND(E1257&lt;&gt;"",E1257&lt;&gt;"!!!"),"NEW","")))</f>
        <v> </v>
      </c>
      <c r="G1257" s="24" t="str">
        <f>IF(OR(E1257="",E1257="!!!"),"",IF(OR(J1257=0,AND(J1257=1,K1257=1),AND(J1257=1,I1257="SBJ"),AND(J1257=1,I1257=0)),"?IN_FOCUS",IF(J1257&lt;=2,"?ACTIVATED",IF(J1257&lt;&gt;"","?FAMILIAR",IF(F1257="NEW",IF(ISNA(VLOOKUP(E1257,#REF!,1,FALSE())),"?TYPE_IDENTIFIABLE","?REFERENTIAL"),"_")))))</f>
        <v> </v>
      </c>
      <c r="H1257" s="25" t="str">
        <f>IF(J1257&lt;&gt;1,"",IF(I1257="SBJ","CB","?"))</f>
        <v> </v>
      </c>
      <c r="I1257" s="26" t="str">
        <f>IF(OR(E1257="",E1257="!!!",F1257="NEW"),"",INDEX(B1256:B$2,-1+SUMPRODUCT(MAX(ROW(E1256:E$2)*(E1257=E1256:E$2)))))</f>
        <v> </v>
      </c>
      <c r="J1257" s="26" t="str">
        <f>IF(OR(E1257="",E1257="!!!",F1257="NEW"),"",COUNTBLANK(OFFSET(A$1,,,SUMPRODUCT(MAX(ROW(E$2:E1257)*(E1257=E$2:E1257)))))-COUNTBLANK(OFFSET(A$1,,,SUMPRODUCT(MAX(ROW(E$1:E1256)*(E2=E$1:E1256))))))</f>
        <v> </v>
      </c>
      <c r="K1257" s="26" t="str">
        <f>IF(OR(E1257="",E1257="!!!",F1257="NEW"),"",INDEX(J$1:J1256,SUMPRODUCT(MAX(ROW(E$1:E1256)*(E1257=E$1:E1256)))))</f>
        <v> </v>
      </c>
      <c r="L1257" s="27"/>
    </row>
    <row r="1258" spans="1:12">
      <c r="A1258" s="20" t="s">
        <v>398</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t="s">
        <v>812</v>
      </c>
      <c r="B1259" s="21" t="s">
        <v>356</v>
      </c>
      <c r="C1259" s="21" t="s">
        <v>385</v>
      </c>
      <c r="D1259" s="21" t="s">
        <v>358</v>
      </c>
      <c r="E1259" s="22">
        <f>IF(D1259="?OLD","!!!","")</f>
        <v/>
      </c>
      <c r="F1259" s="23" t="str">
        <f>IF(OR(E1259="",E1259="!!!"),"",IF(NOT(ISNA(VLOOKUP(E1259,E$1:E1258,1,FALSE()))),"OLD",IF(AND(E1259&lt;&gt;"",E1259&lt;&gt;"!!!"),"NEW","")))</f>
        <v> </v>
      </c>
      <c r="G1259" s="24" t="str">
        <f>IF(OR(E1259="",E1259="!!!"),"",IF(OR(J1259=0,AND(J1259=1,K1259=1),AND(J1259=1,I1259="SBJ"),AND(J1259=1,I1259=0)),"?IN_FOCUS",IF(J1259&lt;=2,"?ACTIVATED",IF(J1259&lt;&gt;"","?FAMILIAR",IF(F1259="NEW",IF(ISNA(VLOOKUP(E1259,#REF!,1,FALSE())),"?TYPE_IDENTIFIABLE","?REFERENTIAL"),"_")))))</f>
        <v> </v>
      </c>
      <c r="H1259" s="25" t="str">
        <f>IF(J1259&lt;&gt;1,"",IF(I1259="SBJ","CB","?"))</f>
        <v> </v>
      </c>
      <c r="I1259" s="26" t="str">
        <f>IF(OR(E1259="",E1259="!!!",F1259="NEW"),"",INDEX(B1258:B$2,-1+SUMPRODUCT(MAX(ROW(E1258:E$2)*(E1259=E1258:E$2)))))</f>
        <v> </v>
      </c>
      <c r="J1259" s="26" t="str">
        <f>IF(OR(E1259="",E1259="!!!",F1259="NEW"),"",COUNTBLANK(OFFSET(A$1,,,SUMPRODUCT(MAX(ROW(E$2:E1259)*(E1259=E$2:E1259)))))-COUNTBLANK(OFFSET(A$1,,,SUMPRODUCT(MAX(ROW(E$1:E1258)*(E2=E$1:E1258))))))</f>
        <v> </v>
      </c>
      <c r="K1259" s="26" t="str">
        <f>IF(OR(E1259="",E1259="!!!",F1259="NEW"),"",INDEX(J$1:J1258,SUMPRODUCT(MAX(ROW(E$1:E1258)*(E1259=E$1:E1258)))))</f>
        <v> </v>
      </c>
      <c r="L1259" s="27"/>
    </row>
    <row r="1260" spans="1:12">
      <c r="A1260" s="20" t="s">
        <v>842</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t="s">
        <v>843</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t="s">
        <v>414</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844</v>
      </c>
      <c r="B1263" s="21" t="s">
        <v>378</v>
      </c>
      <c r="C1263" s="21" t="s">
        <v>379</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845</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618</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row>
    <row r="1267" spans="1:12">
      <c r="A1267" s="20" t="s">
        <v>846</v>
      </c>
    </row>
    <row r="1268" spans="1:12">
      <c r="A1268" s="20" t="s">
        <v>847</v>
      </c>
      <c r="B1268" s="21" t="s">
        <v>373</v>
      </c>
      <c r="C1268" s="21" t="s">
        <v>357</v>
      </c>
      <c r="D1268" s="21" t="s">
        <v>358</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848</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849</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384</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t="s">
        <v>482</v>
      </c>
      <c r="B1272" s="21" t="s">
        <v>378</v>
      </c>
      <c r="C1272" s="21" t="s">
        <v>385</v>
      </c>
      <c r="D1272" s="21" t="s">
        <v>358</v>
      </c>
      <c r="E1272" s="22">
        <f>IF(D1272="?OLD","!!!","")</f>
        <v/>
      </c>
      <c r="F1272" s="23" t="str">
        <f>IF(OR(E1272="",E1272="!!!"),"",IF(NOT(ISNA(VLOOKUP(E1272,E$1:E1271,1,FALSE()))),"OLD",IF(AND(E1272&lt;&gt;"",E1272&lt;&gt;"!!!"),"NEW","")))</f>
        <v> </v>
      </c>
      <c r="G1272" s="24" t="str">
        <f>IF(OR(E1272="",E1272="!!!"),"",IF(OR(J1272=0,AND(J1272=1,K1272=1),AND(J1272=1,I1272="SBJ"),AND(J1272=1,I1272=0)),"?IN_FOCUS",IF(J1272&lt;=2,"?ACTIVATED",IF(J1272&lt;&gt;"","?FAMILIAR",IF(F1272="NEW",IF(ISNA(VLOOKUP(E1272,#REF!,1,FALSE())),"?TYPE_IDENTIFIABLE","?REFERENTIAL"),"_")))))</f>
        <v> </v>
      </c>
      <c r="H1272" s="25" t="str">
        <f>IF(J1272&lt;&gt;1,"",IF(I1272="SBJ","CB","?"))</f>
        <v> </v>
      </c>
      <c r="I1272" s="26" t="str">
        <f>IF(OR(E1272="",E1272="!!!",F1272="NEW"),"",INDEX(B1271:B$2,-1+SUMPRODUCT(MAX(ROW(E1271:E$2)*(E1272=E1271:E$2)))))</f>
        <v> </v>
      </c>
      <c r="J1272" s="26" t="str">
        <f>IF(OR(E1272="",E1272="!!!",F1272="NEW"),"",COUNTBLANK(OFFSET(A$1,,,SUMPRODUCT(MAX(ROW(E$2:E1272)*(E1272=E$2:E1272)))))-COUNTBLANK(OFFSET(A$1,,,SUMPRODUCT(MAX(ROW(E$1:E1271)*(E2=E$1:E1271))))))</f>
        <v> </v>
      </c>
      <c r="K1272" s="26" t="str">
        <f>IF(OR(E1272="",E1272="!!!",F1272="NEW"),"",INDEX(J$1:J1271,SUMPRODUCT(MAX(ROW(E$1:E1271)*(E1272=E$1:E1271)))))</f>
        <v> </v>
      </c>
      <c r="L1272" s="27"/>
    </row>
    <row r="1273" spans="1:12">
      <c r="A1273" s="20" t="s">
        <v>412</v>
      </c>
      <c r="E1273" s="22">
        <f>IF(D1273="?OLD","!!!","")</f>
        <v/>
      </c>
      <c r="F1273" s="23" t="str">
        <f>IF(OR(E1273="",E1273="!!!"),"",IF(NOT(ISNA(VLOOKUP(E1273,E$1:E1272,1,FALSE()))),"OLD",IF(AND(E1273&lt;&gt;"",E1273&lt;&gt;"!!!"),"NEW","")))</f>
        <v> </v>
      </c>
      <c r="G1273" s="24" t="str">
        <f>IF(OR(E1273="",E1273="!!!"),"",IF(OR(J1273=0,AND(J1273=1,K1273=1),AND(J1273=1,I1273="SBJ"),AND(J1273=1,I1273=0)),"?IN_FOCUS",IF(J1273&lt;=2,"?ACTIVATED",IF(J1273&lt;&gt;"","?FAMILIAR",IF(F1273="NEW",IF(ISNA(VLOOKUP(E1273,#REF!,1,FALSE())),"?TYPE_IDENTIFIABLE","?REFERENTIAL"),"_")))))</f>
        <v> </v>
      </c>
      <c r="H1273" s="25" t="str">
        <f>IF(J1273&lt;&gt;1,"",IF(I1273="SBJ","CB","?"))</f>
        <v> </v>
      </c>
      <c r="I1273" s="26" t="str">
        <f>IF(OR(E1273="",E1273="!!!",F1273="NEW"),"",INDEX(B1272:B$2,-1+SUMPRODUCT(MAX(ROW(E1272:E$2)*(E1273=E1272:E$2)))))</f>
        <v> </v>
      </c>
      <c r="J1273" s="26" t="str">
        <f>IF(OR(E1273="",E1273="!!!",F1273="NEW"),"",COUNTBLANK(OFFSET(A$1,,,SUMPRODUCT(MAX(ROW(E$2:E1273)*(E1273=E$2:E1273)))))-COUNTBLANK(OFFSET(A$1,,,SUMPRODUCT(MAX(ROW(E$1:E1272)*(E2=E$1:E1272))))))</f>
        <v> </v>
      </c>
      <c r="K1273" s="26" t="str">
        <f>IF(OR(E1273="",E1273="!!!",F1273="NEW"),"",INDEX(J$1:J1272,SUMPRODUCT(MAX(ROW(E$1:E1272)*(E1273=E$1:E1272)))))</f>
        <v> </v>
      </c>
      <c r="L1273" s="27"/>
    </row>
    <row r="1274" spans="1:12">
      <c r="A1274" s="20" t="s">
        <v>398</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850</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t="s">
        <v>468</v>
      </c>
      <c r="B1276" s="21" t="s">
        <v>365</v>
      </c>
      <c r="C1276" s="21" t="s">
        <v>385</v>
      </c>
      <c r="D1276" s="21" t="s">
        <v>358</v>
      </c>
      <c r="E1276" s="22">
        <f>IF(D1276="?OLD","!!!","")</f>
        <v/>
      </c>
      <c r="F1276" s="23" t="str">
        <f>IF(OR(E1276="",E1276="!!!"),"",IF(NOT(ISNA(VLOOKUP(E1276,E$1:E1275,1,FALSE()))),"OLD",IF(AND(E1276&lt;&gt;"",E1276&lt;&gt;"!!!"),"NEW","")))</f>
        <v> </v>
      </c>
      <c r="G1276" s="24" t="str">
        <f>IF(OR(E1276="",E1276="!!!"),"",IF(OR(J1276=0,AND(J1276=1,K1276=1),AND(J1276=1,I1276="SBJ"),AND(J1276=1,I1276=0)),"?IN_FOCUS",IF(J1276&lt;=2,"?ACTIVATED",IF(J1276&lt;&gt;"","?FAMILIAR",IF(F1276="NEW",IF(ISNA(VLOOKUP(E1276,#REF!,1,FALSE())),"?TYPE_IDENTIFIABLE","?REFERENTIAL"),"_")))))</f>
        <v> </v>
      </c>
      <c r="H1276" s="25" t="str">
        <f>IF(J1276&lt;&gt;1,"",IF(I1276="SBJ","CB","?"))</f>
        <v> </v>
      </c>
      <c r="I1276" s="26" t="str">
        <f>IF(OR(E1276="",E1276="!!!",F1276="NEW"),"",INDEX(B1275:B$2,-1+SUMPRODUCT(MAX(ROW(E1275:E$2)*(E1276=E1275:E$2)))))</f>
        <v> </v>
      </c>
      <c r="J1276" s="26" t="str">
        <f>IF(OR(E1276="",E1276="!!!",F1276="NEW"),"",COUNTBLANK(OFFSET(A$1,,,SUMPRODUCT(MAX(ROW(E$2:E1276)*(E1276=E$2:E1276)))))-COUNTBLANK(OFFSET(A$1,,,SUMPRODUCT(MAX(ROW(E$1:E1275)*(E2=E$1:E1275))))))</f>
        <v> </v>
      </c>
      <c r="K1276" s="26" t="str">
        <f>IF(OR(E1276="",E1276="!!!",F1276="NEW"),"",INDEX(J$1:J1275,SUMPRODUCT(MAX(ROW(E$1:E1275)*(E1276=E$1:E1275)))))</f>
        <v> </v>
      </c>
      <c r="L1276" s="27"/>
    </row>
    <row r="1277" spans="1:12">
      <c r="A1277" s="20" t="s">
        <v>389</v>
      </c>
      <c r="E1277" s="22">
        <f>IF(D1277="?OLD","!!!","")</f>
        <v/>
      </c>
      <c r="F1277" s="23" t="str">
        <f>IF(OR(E1277="",E1277="!!!"),"",IF(NOT(ISNA(VLOOKUP(E1277,E$1:E1276,1,FALSE()))),"OLD",IF(AND(E1277&lt;&gt;"",E1277&lt;&gt;"!!!"),"NEW","")))</f>
        <v> </v>
      </c>
      <c r="G1277" s="24" t="str">
        <f>IF(OR(E1277="",E1277="!!!"),"",IF(OR(J1277=0,AND(J1277=1,K1277=1),AND(J1277=1,I1277="SBJ"),AND(J1277=1,I1277=0)),"?IN_FOCUS",IF(J1277&lt;=2,"?ACTIVATED",IF(J1277&lt;&gt;"","?FAMILIAR",IF(F1277="NEW",IF(ISNA(VLOOKUP(E1277,#REF!,1,FALSE())),"?TYPE_IDENTIFIABLE","?REFERENTIAL"),"_")))))</f>
        <v> </v>
      </c>
      <c r="H1277" s="25" t="str">
        <f>IF(J1277&lt;&gt;1,"",IF(I1277="SBJ","CB","?"))</f>
        <v> </v>
      </c>
      <c r="I1277" s="26" t="str">
        <f>IF(OR(E1277="",E1277="!!!",F1277="NEW"),"",INDEX(B1276:B$2,-1+SUMPRODUCT(MAX(ROW(E1276:E$2)*(E1277=E1276:E$2)))))</f>
        <v> </v>
      </c>
      <c r="J1277" s="26" t="str">
        <f>IF(OR(E1277="",E1277="!!!",F1277="NEW"),"",COUNTBLANK(OFFSET(A$1,,,SUMPRODUCT(MAX(ROW(E$2:E1277)*(E1277=E$2:E1277)))))-COUNTBLANK(OFFSET(A$1,,,SUMPRODUCT(MAX(ROW(E$1:E1276)*(E2=E$1:E1276))))))</f>
        <v> </v>
      </c>
      <c r="K1277" s="26" t="str">
        <f>IF(OR(E1277="",E1277="!!!",F1277="NEW"),"",INDEX(J$1:J1276,SUMPRODUCT(MAX(ROW(E$1:E1276)*(E1277=E$1:E1276)))))</f>
        <v> </v>
      </c>
      <c r="L1277" s="27"/>
    </row>
    <row r="1278" spans="1:12">
      <c r="A1278" s="20"/>
    </row>
    <row r="1279" spans="1:12">
      <c r="A1279" s="20" t="s">
        <v>851</v>
      </c>
    </row>
    <row r="1280" spans="1:12">
      <c r="A1280" s="20" t="s">
        <v>852</v>
      </c>
      <c r="B1280" s="21" t="s">
        <v>378</v>
      </c>
      <c r="C1280" s="21" t="s">
        <v>722</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t="s">
        <v>822</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t="s">
        <v>823</v>
      </c>
      <c r="B1282" s="21" t="s">
        <v>373</v>
      </c>
      <c r="C1282" s="21" t="s">
        <v>357</v>
      </c>
      <c r="D1282" s="21" t="s">
        <v>358</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t="s">
        <v>594</v>
      </c>
      <c r="E1283" s="22">
        <f>IF(D1283="?OLD","!!!","")</f>
        <v/>
      </c>
      <c r="F1283" s="23" t="str">
        <f>IF(OR(E1283="",E1283="!!!"),"",IF(NOT(ISNA(VLOOKUP(E1283,E$1:E1282,1,FALSE()))),"OLD",IF(AND(E1283&lt;&gt;"",E1283&lt;&gt;"!!!"),"NEW","")))</f>
        <v> </v>
      </c>
      <c r="G1283" s="24" t="str">
        <f>IF(OR(E1283="",E1283="!!!"),"",IF(OR(J1283=0,AND(J1283=1,K1283=1),AND(J1283=1,I1283="SBJ"),AND(J1283=1,I1283=0)),"?IN_FOCUS",IF(J1283&lt;=2,"?ACTIVATED",IF(J1283&lt;&gt;"","?FAMILIAR",IF(F1283="NEW",IF(ISNA(VLOOKUP(E1283,#REF!,1,FALSE())),"?TYPE_IDENTIFIABLE","?REFERENTIAL"),"_")))))</f>
        <v> </v>
      </c>
      <c r="H1283" s="25" t="str">
        <f>IF(J1283&lt;&gt;1,"",IF(I1283="SBJ","CB","?"))</f>
        <v> </v>
      </c>
      <c r="I1283" s="26" t="str">
        <f>IF(OR(E1283="",E1283="!!!",F1283="NEW"),"",INDEX(B1282:B$2,-1+SUMPRODUCT(MAX(ROW(E1282:E$2)*(E1283=E1282:E$2)))))</f>
        <v> </v>
      </c>
      <c r="J1283" s="26" t="str">
        <f>IF(OR(E1283="",E1283="!!!",F1283="NEW"),"",COUNTBLANK(OFFSET(A$1,,,SUMPRODUCT(MAX(ROW(E$2:E1283)*(E1283=E$2:E1283)))))-COUNTBLANK(OFFSET(A$1,,,SUMPRODUCT(MAX(ROW(E$1:E1282)*(E2=E$1:E1282))))))</f>
        <v> </v>
      </c>
      <c r="K1283" s="26" t="str">
        <f>IF(OR(E1283="",E1283="!!!",F1283="NEW"),"",INDEX(J$1:J1282,SUMPRODUCT(MAX(ROW(E$1:E1282)*(E1283=E$1:E1282)))))</f>
        <v> </v>
      </c>
      <c r="L1283" s="27"/>
    </row>
    <row r="1284" spans="1:12">
      <c r="A1284" s="20" t="s">
        <v>478</v>
      </c>
      <c r="B1284" s="21" t="s">
        <v>429</v>
      </c>
      <c r="C1284" s="21" t="s">
        <v>357</v>
      </c>
      <c r="D1284" s="21" t="s">
        <v>358</v>
      </c>
      <c r="E1284" s="22">
        <f>IF(D1284="?OLD","!!!","")</f>
        <v/>
      </c>
      <c r="F1284" s="23" t="str">
        <f>IF(OR(E1284="",E1284="!!!"),"",IF(NOT(ISNA(VLOOKUP(E1284,E$1:E1283,1,FALSE()))),"OLD",IF(AND(E1284&lt;&gt;"",E1284&lt;&gt;"!!!"),"NEW","")))</f>
        <v> </v>
      </c>
      <c r="G1284" s="24" t="str">
        <f>IF(OR(E1284="",E1284="!!!"),"",IF(OR(J1284=0,AND(J1284=1,K1284=1),AND(J1284=1,I1284="SBJ"),AND(J1284=1,I1284=0)),"?IN_FOCUS",IF(J1284&lt;=2,"?ACTIVATED",IF(J1284&lt;&gt;"","?FAMILIAR",IF(F1284="NEW",IF(ISNA(VLOOKUP(E1284,#REF!,1,FALSE())),"?TYPE_IDENTIFIABLE","?REFERENTIAL"),"_")))))</f>
        <v> </v>
      </c>
      <c r="H1284" s="25" t="str">
        <f>IF(J1284&lt;&gt;1,"",IF(I1284="SBJ","CB","?"))</f>
        <v> </v>
      </c>
      <c r="I1284" s="26" t="str">
        <f>IF(OR(E1284="",E1284="!!!",F1284="NEW"),"",INDEX(B1283:B$2,-1+SUMPRODUCT(MAX(ROW(E1283:E$2)*(E1284=E1283:E$2)))))</f>
        <v> </v>
      </c>
      <c r="J1284" s="26" t="str">
        <f>IF(OR(E1284="",E1284="!!!",F1284="NEW"),"",COUNTBLANK(OFFSET(A$1,,,SUMPRODUCT(MAX(ROW(E$2:E1284)*(E1284=E$2:E1284)))))-COUNTBLANK(OFFSET(A$1,,,SUMPRODUCT(MAX(ROW(E$1:E1283)*(E2=E$1:E1283))))))</f>
        <v> </v>
      </c>
      <c r="K1284" s="26" t="str">
        <f>IF(OR(E1284="",E1284="!!!",F1284="NEW"),"",INDEX(J$1:J1283,SUMPRODUCT(MAX(ROW(E$1:E1283)*(E1284=E$1:E1283)))))</f>
        <v> </v>
      </c>
      <c r="L1284" s="27"/>
    </row>
    <row r="1285" spans="1:12">
      <c r="A1285" s="20" t="s">
        <v>393</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449</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t="s">
        <v>824</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618</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row>
    <row r="1290" spans="1:12">
      <c r="A1290" s="20" t="s">
        <v>853</v>
      </c>
    </row>
    <row r="1291" spans="1:12">
      <c r="A1291" s="20" t="s">
        <v>854</v>
      </c>
      <c r="E1291" s="22">
        <f>IF(D1291="?OLD","!!!","")</f>
        <v/>
      </c>
      <c r="F1291" s="23" t="str">
        <f>IF(OR(E1291="",E1291="!!!"),"",IF(NOT(ISNA(VLOOKUP(E1291,E$1:E1290,1,FALSE()))),"OLD",IF(AND(E1291&lt;&gt;"",E1291&lt;&gt;"!!!"),"NEW","")))</f>
        <v> </v>
      </c>
      <c r="G1291" s="24" t="str">
        <f>IF(OR(E1291="",E1291="!!!"),"",IF(OR(J1291=0,AND(J1291=1,K1291=1),AND(J1291=1,I1291="SBJ"),AND(J1291=1,I1291=0)),"?IN_FOCUS",IF(J1291&lt;=2,"?ACTIVATED",IF(J1291&lt;&gt;"","?FAMILIAR",IF(F1291="NEW",IF(ISNA(VLOOKUP(E1291,#REF!,1,FALSE())),"?TYPE_IDENTIFIABLE","?REFERENTIAL"),"_")))))</f>
        <v> </v>
      </c>
      <c r="H1291" s="25" t="str">
        <f>IF(J1291&lt;&gt;1,"",IF(I1291="SBJ","CB","?"))</f>
        <v> </v>
      </c>
      <c r="I1291" s="26" t="str">
        <f>IF(OR(E1291="",E1291="!!!",F1291="NEW"),"",INDEX(B1290:B$2,-1+SUMPRODUCT(MAX(ROW(E1290:E$2)*(E1291=E1290:E$2)))))</f>
        <v> </v>
      </c>
      <c r="J1291" s="26" t="str">
        <f>IF(OR(E1291="",E1291="!!!",F1291="NEW"),"",COUNTBLANK(OFFSET(A$1,,,SUMPRODUCT(MAX(ROW(E$2:E1291)*(E1291=E$2:E1291)))))-COUNTBLANK(OFFSET(A$1,,,SUMPRODUCT(MAX(ROW(E$1:E1290)*(E2=E$1:E1290))))))</f>
        <v> </v>
      </c>
      <c r="K1291" s="26" t="str">
        <f>IF(OR(E1291="",E1291="!!!",F1291="NEW"),"",INDEX(J$1:J1290,SUMPRODUCT(MAX(ROW(E$1:E1290)*(E1291=E$1:E1290)))))</f>
        <v> </v>
      </c>
      <c r="L1291" s="27"/>
    </row>
    <row r="1292" spans="1:12">
      <c r="A1292" s="20" t="s">
        <v>367</v>
      </c>
      <c r="E1292" s="22">
        <f>IF(D1292="?OLD","!!!","")</f>
        <v/>
      </c>
      <c r="F1292" s="23" t="str">
        <f>IF(OR(E1292="",E1292="!!!"),"",IF(NOT(ISNA(VLOOKUP(E1292,E$1:E1291,1,FALSE()))),"OLD",IF(AND(E1292&lt;&gt;"",E1292&lt;&gt;"!!!"),"NEW","")))</f>
        <v> </v>
      </c>
      <c r="G1292" s="24" t="str">
        <f>IF(OR(E1292="",E1292="!!!"),"",IF(OR(J1292=0,AND(J1292=1,K1292=1),AND(J1292=1,I1292="SBJ"),AND(J1292=1,I1292=0)),"?IN_FOCUS",IF(J1292&lt;=2,"?ACTIVATED",IF(J1292&lt;&gt;"","?FAMILIAR",IF(F1292="NEW",IF(ISNA(VLOOKUP(E1292,#REF!,1,FALSE())),"?TYPE_IDENTIFIABLE","?REFERENTIAL"),"_")))))</f>
        <v> </v>
      </c>
      <c r="H1292" s="25" t="str">
        <f>IF(J1292&lt;&gt;1,"",IF(I1292="SBJ","CB","?"))</f>
        <v> </v>
      </c>
      <c r="I1292" s="26" t="str">
        <f>IF(OR(E1292="",E1292="!!!",F1292="NEW"),"",INDEX(B1291:B$2,-1+SUMPRODUCT(MAX(ROW(E1291:E$2)*(E1292=E1291:E$2)))))</f>
        <v> </v>
      </c>
      <c r="J1292" s="26" t="str">
        <f>IF(OR(E1292="",E1292="!!!",F1292="NEW"),"",COUNTBLANK(OFFSET(A$1,,,SUMPRODUCT(MAX(ROW(E$2:E1292)*(E1292=E$2:E1292)))))-COUNTBLANK(OFFSET(A$1,,,SUMPRODUCT(MAX(ROW(E$1:E1291)*(E2=E$1:E1291))))))</f>
        <v> </v>
      </c>
      <c r="K1292" s="26" t="str">
        <f>IF(OR(E1292="",E1292="!!!",F1292="NEW"),"",INDEX(J$1:J1291,SUMPRODUCT(MAX(ROW(E$1:E1291)*(E1292=E$1:E1291)))))</f>
        <v> </v>
      </c>
      <c r="L1292" s="27"/>
    </row>
    <row r="1293" spans="1:12">
      <c r="A1293" s="20" t="s">
        <v>513</v>
      </c>
      <c r="B1293" s="21" t="s">
        <v>373</v>
      </c>
      <c r="C1293" s="21" t="s">
        <v>357</v>
      </c>
      <c r="D1293" s="21" t="s">
        <v>358</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855</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384</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856</v>
      </c>
      <c r="B1296" s="21" t="s">
        <v>378</v>
      </c>
      <c r="C1296" s="21" t="s">
        <v>385</v>
      </c>
      <c r="D1296" s="21" t="s">
        <v>358</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380</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386</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t="s">
        <v>857</v>
      </c>
      <c r="B1299" s="21" t="s">
        <v>356</v>
      </c>
      <c r="C1299" s="21" t="s">
        <v>385</v>
      </c>
      <c r="D1299" s="21" t="s">
        <v>358</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389</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row>
    <row r="1302" spans="1:12">
      <c r="A1302" s="20" t="s">
        <v>858</v>
      </c>
    </row>
    <row r="1303" spans="1:12">
      <c r="A1303" s="20" t="s">
        <v>391</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405</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t="s">
        <v>471</v>
      </c>
      <c r="E1305" s="22">
        <f>IF(D1305="?OLD","!!!","")</f>
        <v/>
      </c>
      <c r="F1305" s="23" t="str">
        <f>IF(OR(E1305="",E1305="!!!"),"",IF(NOT(ISNA(VLOOKUP(E1305,E$1:E1304,1,FALSE()))),"OLD",IF(AND(E1305&lt;&gt;"",E1305&lt;&gt;"!!!"),"NEW","")))</f>
        <v> </v>
      </c>
      <c r="G1305" s="24" t="str">
        <f>IF(OR(E1305="",E1305="!!!"),"",IF(OR(J1305=0,AND(J1305=1,K1305=1),AND(J1305=1,I1305="SBJ"),AND(J1305=1,I1305=0)),"?IN_FOCUS",IF(J1305&lt;=2,"?ACTIVATED",IF(J1305&lt;&gt;"","?FAMILIAR",IF(F1305="NEW",IF(ISNA(VLOOKUP(E1305,#REF!,1,FALSE())),"?TYPE_IDENTIFIABLE","?REFERENTIAL"),"_")))))</f>
        <v> </v>
      </c>
      <c r="H1305" s="25" t="str">
        <f>IF(J1305&lt;&gt;1,"",IF(I1305="SBJ","CB","?"))</f>
        <v> </v>
      </c>
      <c r="I1305" s="26" t="str">
        <f>IF(OR(E1305="",E1305="!!!",F1305="NEW"),"",INDEX(B1304:B$2,-1+SUMPRODUCT(MAX(ROW(E1304:E$2)*(E1305=E1304:E$2)))))</f>
        <v> </v>
      </c>
      <c r="J1305" s="26" t="str">
        <f>IF(OR(E1305="",E1305="!!!",F1305="NEW"),"",COUNTBLANK(OFFSET(A$1,,,SUMPRODUCT(MAX(ROW(E$2:E1305)*(E1305=E$2:E1305)))))-COUNTBLANK(OFFSET(A$1,,,SUMPRODUCT(MAX(ROW(E$1:E1304)*(E2=E$1:E1304))))))</f>
        <v> </v>
      </c>
      <c r="K1305" s="26" t="str">
        <f>IF(OR(E1305="",E1305="!!!",F1305="NEW"),"",INDEX(J$1:J1304,SUMPRODUCT(MAX(ROW(E$1:E1304)*(E1305=E$1:E1304)))))</f>
        <v> </v>
      </c>
      <c r="L1305" s="27"/>
    </row>
    <row r="1306" spans="1:12">
      <c r="A1306" s="20" t="s">
        <v>754</v>
      </c>
      <c r="B1306" s="21" t="s">
        <v>373</v>
      </c>
      <c r="C1306" s="21" t="s">
        <v>385</v>
      </c>
      <c r="D1306" s="21" t="s">
        <v>358</v>
      </c>
      <c r="E1306" s="22">
        <f>IF(D1306="?OLD","!!!","")</f>
        <v/>
      </c>
      <c r="F1306" s="23" t="str">
        <f>IF(OR(E1306="",E1306="!!!"),"",IF(NOT(ISNA(VLOOKUP(E1306,E$1:E1305,1,FALSE()))),"OLD",IF(AND(E1306&lt;&gt;"",E1306&lt;&gt;"!!!"),"NEW","")))</f>
        <v> </v>
      </c>
      <c r="G1306" s="24" t="str">
        <f>IF(OR(E1306="",E1306="!!!"),"",IF(OR(J1306=0,AND(J1306=1,K1306=1),AND(J1306=1,I1306="SBJ"),AND(J1306=1,I1306=0)),"?IN_FOCUS",IF(J1306&lt;=2,"?ACTIVATED",IF(J1306&lt;&gt;"","?FAMILIAR",IF(F1306="NEW",IF(ISNA(VLOOKUP(E1306,#REF!,1,FALSE())),"?TYPE_IDENTIFIABLE","?REFERENTIAL"),"_")))))</f>
        <v> </v>
      </c>
      <c r="H1306" s="25" t="str">
        <f>IF(J1306&lt;&gt;1,"",IF(I1306="SBJ","CB","?"))</f>
        <v> </v>
      </c>
      <c r="I1306" s="26" t="str">
        <f>IF(OR(E1306="",E1306="!!!",F1306="NEW"),"",INDEX(B1305:B$2,-1+SUMPRODUCT(MAX(ROW(E1305:E$2)*(E1306=E1305:E$2)))))</f>
        <v> </v>
      </c>
      <c r="J1306" s="26" t="str">
        <f>IF(OR(E1306="",E1306="!!!",F1306="NEW"),"",COUNTBLANK(OFFSET(A$1,,,SUMPRODUCT(MAX(ROW(E$2:E1306)*(E1306=E$2:E1306)))))-COUNTBLANK(OFFSET(A$1,,,SUMPRODUCT(MAX(ROW(E$1:E1305)*(E2=E$1:E1305))))))</f>
        <v> </v>
      </c>
      <c r="K1306" s="26" t="str">
        <f>IF(OR(E1306="",E1306="!!!",F1306="NEW"),"",INDEX(J$1:J1305,SUMPRODUCT(MAX(ROW(E$1:E1305)*(E1306=E$1:E1305)))))</f>
        <v> </v>
      </c>
      <c r="L1306" s="27"/>
    </row>
    <row r="1307" spans="1:12">
      <c r="A1307" s="20" t="s">
        <v>393</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t="s">
        <v>859</v>
      </c>
      <c r="E1308" s="22">
        <f>IF(D1308="?OLD","!!!","")</f>
        <v/>
      </c>
      <c r="F1308" s="23" t="str">
        <f>IF(OR(E1308="",E1308="!!!"),"",IF(NOT(ISNA(VLOOKUP(E1308,E$1:E1307,1,FALSE()))),"OLD",IF(AND(E1308&lt;&gt;"",E1308&lt;&gt;"!!!"),"NEW","")))</f>
        <v> </v>
      </c>
      <c r="G1308" s="24" t="str">
        <f>IF(OR(E1308="",E1308="!!!"),"",IF(OR(J1308=0,AND(J1308=1,K1308=1),AND(J1308=1,I1308="SBJ"),AND(J1308=1,I1308=0)),"?IN_FOCUS",IF(J1308&lt;=2,"?ACTIVATED",IF(J1308&lt;&gt;"","?FAMILIAR",IF(F1308="NEW",IF(ISNA(VLOOKUP(E1308,#REF!,1,FALSE())),"?TYPE_IDENTIFIABLE","?REFERENTIAL"),"_")))))</f>
        <v> </v>
      </c>
      <c r="H1308" s="25" t="str">
        <f>IF(J1308&lt;&gt;1,"",IF(I1308="SBJ","CB","?"))</f>
        <v> </v>
      </c>
      <c r="I1308" s="26" t="str">
        <f>IF(OR(E1308="",E1308="!!!",F1308="NEW"),"",INDEX(B1307:B$2,-1+SUMPRODUCT(MAX(ROW(E1307:E$2)*(E1308=E1307:E$2)))))</f>
        <v> </v>
      </c>
      <c r="J1308" s="26" t="str">
        <f>IF(OR(E1308="",E1308="!!!",F1308="NEW"),"",COUNTBLANK(OFFSET(A$1,,,SUMPRODUCT(MAX(ROW(E$2:E1308)*(E1308=E$2:E1308)))))-COUNTBLANK(OFFSET(A$1,,,SUMPRODUCT(MAX(ROW(E$1:E1307)*(E2=E$1:E1307))))))</f>
        <v> </v>
      </c>
      <c r="K1308" s="26" t="str">
        <f>IF(OR(E1308="",E1308="!!!",F1308="NEW"),"",INDEX(J$1:J1307,SUMPRODUCT(MAX(ROW(E$1:E1307)*(E1308=E$1:E1307)))))</f>
        <v> </v>
      </c>
      <c r="L1308" s="27"/>
    </row>
    <row r="1309" spans="1:12">
      <c r="A1309" s="20" t="s">
        <v>380</v>
      </c>
      <c r="E1309" s="22">
        <f>IF(D1309="?OLD","!!!","")</f>
        <v/>
      </c>
      <c r="F1309" s="23" t="str">
        <f>IF(OR(E1309="",E1309="!!!"),"",IF(NOT(ISNA(VLOOKUP(E1309,E$1:E1308,1,FALSE()))),"OLD",IF(AND(E1309&lt;&gt;"",E1309&lt;&gt;"!!!"),"NEW","")))</f>
        <v> </v>
      </c>
      <c r="G1309" s="24" t="str">
        <f>IF(OR(E1309="",E1309="!!!"),"",IF(OR(J1309=0,AND(J1309=1,K1309=1),AND(J1309=1,I1309="SBJ"),AND(J1309=1,I1309=0)),"?IN_FOCUS",IF(J1309&lt;=2,"?ACTIVATED",IF(J1309&lt;&gt;"","?FAMILIAR",IF(F1309="NEW",IF(ISNA(VLOOKUP(E1309,#REF!,1,FALSE())),"?TYPE_IDENTIFIABLE","?REFERENTIAL"),"_")))))</f>
        <v> </v>
      </c>
      <c r="H1309" s="25" t="str">
        <f>IF(J1309&lt;&gt;1,"",IF(I1309="SBJ","CB","?"))</f>
        <v> </v>
      </c>
      <c r="I1309" s="26" t="str">
        <f>IF(OR(E1309="",E1309="!!!",F1309="NEW"),"",INDEX(B1308:B$2,-1+SUMPRODUCT(MAX(ROW(E1308:E$2)*(E1309=E1308:E$2)))))</f>
        <v> </v>
      </c>
      <c r="J1309" s="26" t="str">
        <f>IF(OR(E1309="",E1309="!!!",F1309="NEW"),"",COUNTBLANK(OFFSET(A$1,,,SUMPRODUCT(MAX(ROW(E$2:E1309)*(E1309=E$2:E1309)))))-COUNTBLANK(OFFSET(A$1,,,SUMPRODUCT(MAX(ROW(E$1:E1308)*(E2=E$1:E1308))))))</f>
        <v> </v>
      </c>
      <c r="K1309" s="26" t="str">
        <f>IF(OR(E1309="",E1309="!!!",F1309="NEW"),"",INDEX(J$1:J1308,SUMPRODUCT(MAX(ROW(E$1:E1308)*(E1309=E$1:E1308)))))</f>
        <v> </v>
      </c>
      <c r="L1309" s="27"/>
    </row>
    <row r="1310" spans="1:12">
      <c r="A1310" s="20" t="s">
        <v>386</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860</v>
      </c>
      <c r="B1311" s="21" t="s">
        <v>365</v>
      </c>
      <c r="C1311" s="21" t="s">
        <v>385</v>
      </c>
      <c r="D1311" s="21" t="s">
        <v>358</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t="s">
        <v>380</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398</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579</v>
      </c>
      <c r="B1314" s="21" t="s">
        <v>356</v>
      </c>
      <c r="C1314" s="21" t="s">
        <v>385</v>
      </c>
      <c r="D1314" s="21" t="s">
        <v>358</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t="s">
        <v>369</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t="s">
        <v>861</v>
      </c>
      <c r="B1316" s="21" t="s">
        <v>356</v>
      </c>
      <c r="C1316" s="21" t="s">
        <v>430</v>
      </c>
      <c r="D1316" s="21" t="s">
        <v>358</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t="s">
        <v>380</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t="s">
        <v>398</v>
      </c>
      <c r="E1318" s="22">
        <f>IF(D1318="?OLD","!!!","")</f>
        <v/>
      </c>
      <c r="F1318" s="23" t="str">
        <f>IF(OR(E1318="",E1318="!!!"),"",IF(NOT(ISNA(VLOOKUP(E1318,E$1:E1317,1,FALSE()))),"OLD",IF(AND(E1318&lt;&gt;"",E1318&lt;&gt;"!!!"),"NEW","")))</f>
        <v> </v>
      </c>
      <c r="G1318" s="24" t="str">
        <f>IF(OR(E1318="",E1318="!!!"),"",IF(OR(J1318=0,AND(J1318=1,K1318=1),AND(J1318=1,I1318="SBJ"),AND(J1318=1,I1318=0)),"?IN_FOCUS",IF(J1318&lt;=2,"?ACTIVATED",IF(J1318&lt;&gt;"","?FAMILIAR",IF(F1318="NEW",IF(ISNA(VLOOKUP(E1318,#REF!,1,FALSE())),"?TYPE_IDENTIFIABLE","?REFERENTIAL"),"_")))))</f>
        <v> </v>
      </c>
      <c r="H1318" s="25" t="str">
        <f>IF(J1318&lt;&gt;1,"",IF(I1318="SBJ","CB","?"))</f>
        <v> </v>
      </c>
      <c r="I1318" s="26" t="str">
        <f>IF(OR(E1318="",E1318="!!!",F1318="NEW"),"",INDEX(B1317:B$2,-1+SUMPRODUCT(MAX(ROW(E1317:E$2)*(E1318=E1317:E$2)))))</f>
        <v> </v>
      </c>
      <c r="J1318" s="26" t="str">
        <f>IF(OR(E1318="",E1318="!!!",F1318="NEW"),"",COUNTBLANK(OFFSET(A$1,,,SUMPRODUCT(MAX(ROW(E$2:E1318)*(E1318=E$2:E1318)))))-COUNTBLANK(OFFSET(A$1,,,SUMPRODUCT(MAX(ROW(E$1:E1317)*(E2=E$1:E1317))))))</f>
        <v> </v>
      </c>
      <c r="K1318" s="26" t="str">
        <f>IF(OR(E1318="",E1318="!!!",F1318="NEW"),"",INDEX(J$1:J1317,SUMPRODUCT(MAX(ROW(E$1:E1317)*(E1318=E$1:E1317)))))</f>
        <v> </v>
      </c>
      <c r="L1318" s="27"/>
    </row>
    <row r="1319" spans="1:12">
      <c r="A1319" s="20" t="s">
        <v>723</v>
      </c>
      <c r="E1319" s="22">
        <f>IF(D1319="?OLD","!!!","")</f>
        <v/>
      </c>
      <c r="F1319" s="23" t="str">
        <f>IF(OR(E1319="",E1319="!!!"),"",IF(NOT(ISNA(VLOOKUP(E1319,E$1:E1318,1,FALSE()))),"OLD",IF(AND(E1319&lt;&gt;"",E1319&lt;&gt;"!!!"),"NEW","")))</f>
        <v> </v>
      </c>
      <c r="G1319" s="24" t="str">
        <f>IF(OR(E1319="",E1319="!!!"),"",IF(OR(J1319=0,AND(J1319=1,K1319=1),AND(J1319=1,I1319="SBJ"),AND(J1319=1,I1319=0)),"?IN_FOCUS",IF(J1319&lt;=2,"?ACTIVATED",IF(J1319&lt;&gt;"","?FAMILIAR",IF(F1319="NEW",IF(ISNA(VLOOKUP(E1319,#REF!,1,FALSE())),"?TYPE_IDENTIFIABLE","?REFERENTIAL"),"_")))))</f>
        <v> </v>
      </c>
      <c r="H1319" s="25" t="str">
        <f>IF(J1319&lt;&gt;1,"",IF(I1319="SBJ","CB","?"))</f>
        <v> </v>
      </c>
      <c r="I1319" s="26" t="str">
        <f>IF(OR(E1319="",E1319="!!!",F1319="NEW"),"",INDEX(B1318:B$2,-1+SUMPRODUCT(MAX(ROW(E1318:E$2)*(E1319=E1318:E$2)))))</f>
        <v> </v>
      </c>
      <c r="J1319" s="26" t="str">
        <f>IF(OR(E1319="",E1319="!!!",F1319="NEW"),"",COUNTBLANK(OFFSET(A$1,,,SUMPRODUCT(MAX(ROW(E$2:E1319)*(E1319=E$2:E1319)))))-COUNTBLANK(OFFSET(A$1,,,SUMPRODUCT(MAX(ROW(E$1:E1318)*(E2=E$1:E1318))))))</f>
        <v> </v>
      </c>
      <c r="K1319" s="26" t="str">
        <f>IF(OR(E1319="",E1319="!!!",F1319="NEW"),"",INDEX(J$1:J1318,SUMPRODUCT(MAX(ROW(E$1:E1318)*(E1319=E$1:E1318)))))</f>
        <v> </v>
      </c>
      <c r="L1319" s="27"/>
    </row>
    <row r="1320" spans="1:12">
      <c r="A1320" s="20" t="s">
        <v>389</v>
      </c>
      <c r="E1320" s="22">
        <f>IF(D1320="?OLD","!!!","")</f>
        <v/>
      </c>
      <c r="F1320" s="23" t="str">
        <f>IF(OR(E1320="",E1320="!!!"),"",IF(NOT(ISNA(VLOOKUP(E1320,E$1:E1319,1,FALSE()))),"OLD",IF(AND(E1320&lt;&gt;"",E1320&lt;&gt;"!!!"),"NEW","")))</f>
        <v> </v>
      </c>
      <c r="G1320" s="24" t="str">
        <f>IF(OR(E1320="",E1320="!!!"),"",IF(OR(J1320=0,AND(J1320=1,K1320=1),AND(J1320=1,I1320="SBJ"),AND(J1320=1,I1320=0)),"?IN_FOCUS",IF(J1320&lt;=2,"?ACTIVATED",IF(J1320&lt;&gt;"","?FAMILIAR",IF(F1320="NEW",IF(ISNA(VLOOKUP(E1320,#REF!,1,FALSE())),"?TYPE_IDENTIFIABLE","?REFERENTIAL"),"_")))))</f>
        <v> </v>
      </c>
      <c r="H1320" s="25" t="str">
        <f>IF(J1320&lt;&gt;1,"",IF(I1320="SBJ","CB","?"))</f>
        <v> </v>
      </c>
      <c r="I1320" s="26" t="str">
        <f>IF(OR(E1320="",E1320="!!!",F1320="NEW"),"",INDEX(B1319:B$2,-1+SUMPRODUCT(MAX(ROW(E1319:E$2)*(E1320=E1319:E$2)))))</f>
        <v> </v>
      </c>
      <c r="J1320" s="26" t="str">
        <f>IF(OR(E1320="",E1320="!!!",F1320="NEW"),"",COUNTBLANK(OFFSET(A$1,,,SUMPRODUCT(MAX(ROW(E$2:E1320)*(E1320=E$2:E1320)))))-COUNTBLANK(OFFSET(A$1,,,SUMPRODUCT(MAX(ROW(E$1:E1319)*(E2=E$1:E1319))))))</f>
        <v> </v>
      </c>
      <c r="K1320" s="26" t="str">
        <f>IF(OR(E1320="",E1320="!!!",F1320="NEW"),"",INDEX(J$1:J1319,SUMPRODUCT(MAX(ROW(E$1:E1319)*(E1320=E$1:E1319)))))</f>
        <v> </v>
      </c>
      <c r="L1320" s="27"/>
    </row>
    <row r="1321" spans="1:12">
      <c r="A1321" s="20"/>
    </row>
    <row r="1322" spans="1:12">
      <c r="A1322" s="20" t="s">
        <v>862</v>
      </c>
    </row>
    <row r="1323" spans="1:12">
      <c r="A1323" s="20" t="s">
        <v>511</v>
      </c>
      <c r="B1323" s="21" t="s">
        <v>373</v>
      </c>
      <c r="C1323" s="21" t="s">
        <v>357</v>
      </c>
      <c r="D1323" s="21" t="s">
        <v>358</v>
      </c>
      <c r="E1323" s="22">
        <f>IF(D1323="?OLD","!!!","")</f>
        <v/>
      </c>
      <c r="F1323" s="23" t="str">
        <f>IF(OR(E1323="",E1323="!!!"),"",IF(NOT(ISNA(VLOOKUP(E1323,E$1:E1322,1,FALSE()))),"OLD",IF(AND(E1323&lt;&gt;"",E1323&lt;&gt;"!!!"),"NEW","")))</f>
        <v> </v>
      </c>
      <c r="G1323" s="24" t="str">
        <f>IF(OR(E1323="",E1323="!!!"),"",IF(OR(J1323=0,AND(J1323=1,K1323=1),AND(J1323=1,I1323="SBJ"),AND(J1323=1,I1323=0)),"?IN_FOCUS",IF(J1323&lt;=2,"?ACTIVATED",IF(J1323&lt;&gt;"","?FAMILIAR",IF(F1323="NEW",IF(ISNA(VLOOKUP(E1323,#REF!,1,FALSE())),"?TYPE_IDENTIFIABLE","?REFERENTIAL"),"_")))))</f>
        <v> </v>
      </c>
      <c r="H1323" s="25" t="str">
        <f>IF(J1323&lt;&gt;1,"",IF(I1323="SBJ","CB","?"))</f>
        <v> </v>
      </c>
      <c r="I1323" s="26" t="str">
        <f>IF(OR(E1323="",E1323="!!!",F1323="NEW"),"",INDEX(B1322:B$2,-1+SUMPRODUCT(MAX(ROW(E1322:E$2)*(E1323=E1322:E$2)))))</f>
        <v> </v>
      </c>
      <c r="J1323" s="26" t="str">
        <f>IF(OR(E1323="",E1323="!!!",F1323="NEW"),"",COUNTBLANK(OFFSET(A$1,,,SUMPRODUCT(MAX(ROW(E$2:E1323)*(E1323=E$2:E1323)))))-COUNTBLANK(OFFSET(A$1,,,SUMPRODUCT(MAX(ROW(E$1:E1322)*(E2=E$1:E1322))))))</f>
        <v> </v>
      </c>
      <c r="K1323" s="26" t="str">
        <f>IF(OR(E1323="",E1323="!!!",F1323="NEW"),"",INDEX(J$1:J1322,SUMPRODUCT(MAX(ROW(E$1:E1322)*(E1323=E$1:E1322)))))</f>
        <v> </v>
      </c>
      <c r="L1323" s="27"/>
    </row>
    <row r="1324" spans="1:12">
      <c r="A1324" s="20" t="s">
        <v>575</v>
      </c>
      <c r="E1324" s="22">
        <f>IF(D1324="?OLD","!!!","")</f>
        <v/>
      </c>
      <c r="F1324" s="23" t="str">
        <f>IF(OR(E1324="",E1324="!!!"),"",IF(NOT(ISNA(VLOOKUP(E1324,E$1:E1323,1,FALSE()))),"OLD",IF(AND(E1324&lt;&gt;"",E1324&lt;&gt;"!!!"),"NEW","")))</f>
        <v> </v>
      </c>
      <c r="G1324" s="24" t="str">
        <f>IF(OR(E1324="",E1324="!!!"),"",IF(OR(J1324=0,AND(J1324=1,K1324=1),AND(J1324=1,I1324="SBJ"),AND(J1324=1,I1324=0)),"?IN_FOCUS",IF(J1324&lt;=2,"?ACTIVATED",IF(J1324&lt;&gt;"","?FAMILIAR",IF(F1324="NEW",IF(ISNA(VLOOKUP(E1324,#REF!,1,FALSE())),"?TYPE_IDENTIFIABLE","?REFERENTIAL"),"_")))))</f>
        <v> </v>
      </c>
      <c r="H1324" s="25" t="str">
        <f>IF(J1324&lt;&gt;1,"",IF(I1324="SBJ","CB","?"))</f>
        <v> </v>
      </c>
      <c r="I1324" s="26" t="str">
        <f>IF(OR(E1324="",E1324="!!!",F1324="NEW"),"",INDEX(B1323:B$2,-1+SUMPRODUCT(MAX(ROW(E1323:E$2)*(E1324=E1323:E$2)))))</f>
        <v> </v>
      </c>
      <c r="J1324" s="26" t="str">
        <f>IF(OR(E1324="",E1324="!!!",F1324="NEW"),"",COUNTBLANK(OFFSET(A$1,,,SUMPRODUCT(MAX(ROW(E$2:E1324)*(E1324=E$2:E1324)))))-COUNTBLANK(OFFSET(A$1,,,SUMPRODUCT(MAX(ROW(E$1:E1323)*(E2=E$1:E1323))))))</f>
        <v> </v>
      </c>
      <c r="K1324" s="26" t="str">
        <f>IF(OR(E1324="",E1324="!!!",F1324="NEW"),"",INDEX(J$1:J1323,SUMPRODUCT(MAX(ROW(E$1:E1323)*(E1324=E$1:E1323)))))</f>
        <v> </v>
      </c>
      <c r="L1324" s="27"/>
    </row>
    <row r="1325" spans="1:12">
      <c r="A1325" s="20" t="s">
        <v>863</v>
      </c>
      <c r="E1325" s="22">
        <f>IF(D1325="?OLD","!!!","")</f>
        <v/>
      </c>
      <c r="F1325" s="23" t="str">
        <f>IF(OR(E1325="",E1325="!!!"),"",IF(NOT(ISNA(VLOOKUP(E1325,E$1:E1324,1,FALSE()))),"OLD",IF(AND(E1325&lt;&gt;"",E1325&lt;&gt;"!!!"),"NEW","")))</f>
        <v> </v>
      </c>
      <c r="G1325" s="24" t="str">
        <f>IF(OR(E1325="",E1325="!!!"),"",IF(OR(J1325=0,AND(J1325=1,K1325=1),AND(J1325=1,I1325="SBJ"),AND(J1325=1,I1325=0)),"?IN_FOCUS",IF(J1325&lt;=2,"?ACTIVATED",IF(J1325&lt;&gt;"","?FAMILIAR",IF(F1325="NEW",IF(ISNA(VLOOKUP(E1325,#REF!,1,FALSE())),"?TYPE_IDENTIFIABLE","?REFERENTIAL"),"_")))))</f>
        <v> </v>
      </c>
      <c r="H1325" s="25" t="str">
        <f>IF(J1325&lt;&gt;1,"",IF(I1325="SBJ","CB","?"))</f>
        <v> </v>
      </c>
      <c r="I1325" s="26" t="str">
        <f>IF(OR(E1325="",E1325="!!!",F1325="NEW"),"",INDEX(B1324:B$2,-1+SUMPRODUCT(MAX(ROW(E1324:E$2)*(E1325=E1324:E$2)))))</f>
        <v> </v>
      </c>
      <c r="J1325" s="26" t="str">
        <f>IF(OR(E1325="",E1325="!!!",F1325="NEW"),"",COUNTBLANK(OFFSET(A$1,,,SUMPRODUCT(MAX(ROW(E$2:E1325)*(E1325=E$2:E1325)))))-COUNTBLANK(OFFSET(A$1,,,SUMPRODUCT(MAX(ROW(E$1:E1324)*(E2=E$1:E1324))))))</f>
        <v> </v>
      </c>
      <c r="K1325" s="26" t="str">
        <f>IF(OR(E1325="",E1325="!!!",F1325="NEW"),"",INDEX(J$1:J1324,SUMPRODUCT(MAX(ROW(E$1:E1324)*(E1325=E$1:E1324)))))</f>
        <v> </v>
      </c>
      <c r="L1325" s="27"/>
    </row>
    <row r="1326" spans="1:12">
      <c r="A1326" s="20" t="s">
        <v>405</v>
      </c>
      <c r="E1326" s="22">
        <f>IF(D1326="?OLD","!!!","")</f>
        <v/>
      </c>
      <c r="F1326" s="23" t="str">
        <f>IF(OR(E1326="",E1326="!!!"),"",IF(NOT(ISNA(VLOOKUP(E1326,E$1:E1325,1,FALSE()))),"OLD",IF(AND(E1326&lt;&gt;"",E1326&lt;&gt;"!!!"),"NEW","")))</f>
        <v> </v>
      </c>
      <c r="G1326" s="24" t="str">
        <f>IF(OR(E1326="",E1326="!!!"),"",IF(OR(J1326=0,AND(J1326=1,K1326=1),AND(J1326=1,I1326="SBJ"),AND(J1326=1,I1326=0)),"?IN_FOCUS",IF(J1326&lt;=2,"?ACTIVATED",IF(J1326&lt;&gt;"","?FAMILIAR",IF(F1326="NEW",IF(ISNA(VLOOKUP(E1326,#REF!,1,FALSE())),"?TYPE_IDENTIFIABLE","?REFERENTIAL"),"_")))))</f>
        <v> </v>
      </c>
      <c r="H1326" s="25" t="str">
        <f>IF(J1326&lt;&gt;1,"",IF(I1326="SBJ","CB","?"))</f>
        <v> </v>
      </c>
      <c r="I1326" s="26" t="str">
        <f>IF(OR(E1326="",E1326="!!!",F1326="NEW"),"",INDEX(B1325:B$2,-1+SUMPRODUCT(MAX(ROW(E1325:E$2)*(E1326=E1325:E$2)))))</f>
        <v> </v>
      </c>
      <c r="J1326" s="26" t="str">
        <f>IF(OR(E1326="",E1326="!!!",F1326="NEW"),"",COUNTBLANK(OFFSET(A$1,,,SUMPRODUCT(MAX(ROW(E$2:E1326)*(E1326=E$2:E1326)))))-COUNTBLANK(OFFSET(A$1,,,SUMPRODUCT(MAX(ROW(E$1:E1325)*(E2=E$1:E1325))))))</f>
        <v> </v>
      </c>
      <c r="K1326" s="26" t="str">
        <f>IF(OR(E1326="",E1326="!!!",F1326="NEW"),"",INDEX(J$1:J1325,SUMPRODUCT(MAX(ROW(E$1:E1325)*(E1326=E$1:E1325)))))</f>
        <v> </v>
      </c>
      <c r="L1326" s="27"/>
    </row>
    <row r="1327" spans="1:12">
      <c r="A1327" s="20" t="s">
        <v>406</v>
      </c>
      <c r="E1327" s="22">
        <f>IF(D1327="?OLD","!!!","")</f>
        <v/>
      </c>
      <c r="F1327" s="23" t="str">
        <f>IF(OR(E1327="",E1327="!!!"),"",IF(NOT(ISNA(VLOOKUP(E1327,E$1:E1326,1,FALSE()))),"OLD",IF(AND(E1327&lt;&gt;"",E1327&lt;&gt;"!!!"),"NEW","")))</f>
        <v> </v>
      </c>
      <c r="G1327" s="24" t="str">
        <f>IF(OR(E1327="",E1327="!!!"),"",IF(OR(J1327=0,AND(J1327=1,K1327=1),AND(J1327=1,I1327="SBJ"),AND(J1327=1,I1327=0)),"?IN_FOCUS",IF(J1327&lt;=2,"?ACTIVATED",IF(J1327&lt;&gt;"","?FAMILIAR",IF(F1327="NEW",IF(ISNA(VLOOKUP(E1327,#REF!,1,FALSE())),"?TYPE_IDENTIFIABLE","?REFERENTIAL"),"_")))))</f>
        <v> </v>
      </c>
      <c r="H1327" s="25" t="str">
        <f>IF(J1327&lt;&gt;1,"",IF(I1327="SBJ","CB","?"))</f>
        <v> </v>
      </c>
      <c r="I1327" s="26" t="str">
        <f>IF(OR(E1327="",E1327="!!!",F1327="NEW"),"",INDEX(B1326:B$2,-1+SUMPRODUCT(MAX(ROW(E1326:E$2)*(E1327=E1326:E$2)))))</f>
        <v> </v>
      </c>
      <c r="J1327" s="26" t="str">
        <f>IF(OR(E1327="",E1327="!!!",F1327="NEW"),"",COUNTBLANK(OFFSET(A$1,,,SUMPRODUCT(MAX(ROW(E$2:E1327)*(E1327=E$2:E1327)))))-COUNTBLANK(OFFSET(A$1,,,SUMPRODUCT(MAX(ROW(E$1:E1326)*(E2=E$1:E1326))))))</f>
        <v> </v>
      </c>
      <c r="K1327" s="26" t="str">
        <f>IF(OR(E1327="",E1327="!!!",F1327="NEW"),"",INDEX(J$1:J1326,SUMPRODUCT(MAX(ROW(E$1:E1326)*(E1327=E$1:E1326)))))</f>
        <v> </v>
      </c>
      <c r="L1327" s="27"/>
    </row>
    <row r="1328" spans="1:12">
      <c r="A1328" s="20" t="s">
        <v>407</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t="s">
        <v>408</v>
      </c>
      <c r="B1329" s="21" t="s">
        <v>378</v>
      </c>
      <c r="C1329" s="21" t="s">
        <v>385</v>
      </c>
      <c r="D1329" s="21" t="s">
        <v>358</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454</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t="s">
        <v>386</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523</v>
      </c>
      <c r="B1332" s="21" t="s">
        <v>365</v>
      </c>
      <c r="C1332" s="21" t="s">
        <v>385</v>
      </c>
      <c r="D1332" s="21" t="s">
        <v>358</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386</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t="s">
        <v>406</v>
      </c>
      <c r="E1334" s="22">
        <f>IF(D1334="?OLD","!!!","")</f>
        <v/>
      </c>
      <c r="F1334" s="23" t="str">
        <f>IF(OR(E1334="",E1334="!!!"),"",IF(NOT(ISNA(VLOOKUP(E1334,E$1:E1333,1,FALSE()))),"OLD",IF(AND(E1334&lt;&gt;"",E1334&lt;&gt;"!!!"),"NEW","")))</f>
        <v> </v>
      </c>
      <c r="G1334" s="24" t="str">
        <f>IF(OR(E1334="",E1334="!!!"),"",IF(OR(J1334=0,AND(J1334=1,K1334=1),AND(J1334=1,I1334="SBJ"),AND(J1334=1,I1334=0)),"?IN_FOCUS",IF(J1334&lt;=2,"?ACTIVATED",IF(J1334&lt;&gt;"","?FAMILIAR",IF(F1334="NEW",IF(ISNA(VLOOKUP(E1334,#REF!,1,FALSE())),"?TYPE_IDENTIFIABLE","?REFERENTIAL"),"_")))))</f>
        <v> </v>
      </c>
      <c r="H1334" s="25" t="str">
        <f>IF(J1334&lt;&gt;1,"",IF(I1334="SBJ","CB","?"))</f>
        <v> </v>
      </c>
      <c r="I1334" s="26" t="str">
        <f>IF(OR(E1334="",E1334="!!!",F1334="NEW"),"",INDEX(B1333:B$2,-1+SUMPRODUCT(MAX(ROW(E1333:E$2)*(E1334=E1333:E$2)))))</f>
        <v> </v>
      </c>
      <c r="J1334" s="26" t="str">
        <f>IF(OR(E1334="",E1334="!!!",F1334="NEW"),"",COUNTBLANK(OFFSET(A$1,,,SUMPRODUCT(MAX(ROW(E$2:E1334)*(E1334=E$2:E1334)))))-COUNTBLANK(OFFSET(A$1,,,SUMPRODUCT(MAX(ROW(E$1:E1333)*(E2=E$1:E1333))))))</f>
        <v> </v>
      </c>
      <c r="K1334" s="26" t="str">
        <f>IF(OR(E1334="",E1334="!!!",F1334="NEW"),"",INDEX(J$1:J1333,SUMPRODUCT(MAX(ROW(E$1:E1333)*(E1334=E$1:E1333)))))</f>
        <v> </v>
      </c>
      <c r="L1334" s="27"/>
    </row>
    <row r="1335" spans="1:12">
      <c r="A1335" s="20" t="s">
        <v>864</v>
      </c>
      <c r="E1335" s="22">
        <f>IF(D1335="?OLD","!!!","")</f>
        <v/>
      </c>
      <c r="F1335" s="23" t="str">
        <f>IF(OR(E1335="",E1335="!!!"),"",IF(NOT(ISNA(VLOOKUP(E1335,E$1:E1334,1,FALSE()))),"OLD",IF(AND(E1335&lt;&gt;"",E1335&lt;&gt;"!!!"),"NEW","")))</f>
        <v> </v>
      </c>
      <c r="G1335" s="24" t="str">
        <f>IF(OR(E1335="",E1335="!!!"),"",IF(OR(J1335=0,AND(J1335=1,K1335=1),AND(J1335=1,I1335="SBJ"),AND(J1335=1,I1335=0)),"?IN_FOCUS",IF(J1335&lt;=2,"?ACTIVATED",IF(J1335&lt;&gt;"","?FAMILIAR",IF(F1335="NEW",IF(ISNA(VLOOKUP(E1335,#REF!,1,FALSE())),"?TYPE_IDENTIFIABLE","?REFERENTIAL"),"_")))))</f>
        <v> </v>
      </c>
      <c r="H1335" s="25" t="str">
        <f>IF(J1335&lt;&gt;1,"",IF(I1335="SBJ","CB","?"))</f>
        <v> </v>
      </c>
      <c r="I1335" s="26" t="str">
        <f>IF(OR(E1335="",E1335="!!!",F1335="NEW"),"",INDEX(B1334:B$2,-1+SUMPRODUCT(MAX(ROW(E1334:E$2)*(E1335=E1334:E$2)))))</f>
        <v> </v>
      </c>
      <c r="J1335" s="26" t="str">
        <f>IF(OR(E1335="",E1335="!!!",F1335="NEW"),"",COUNTBLANK(OFFSET(A$1,,,SUMPRODUCT(MAX(ROW(E$2:E1335)*(E1335=E$2:E1335)))))-COUNTBLANK(OFFSET(A$1,,,SUMPRODUCT(MAX(ROW(E$1:E1334)*(E2=E$1:E1334))))))</f>
        <v> </v>
      </c>
      <c r="K1335" s="26" t="str">
        <f>IF(OR(E1335="",E1335="!!!",F1335="NEW"),"",INDEX(J$1:J1334,SUMPRODUCT(MAX(ROW(E$1:E1334)*(E1335=E$1:E1334)))))</f>
        <v> </v>
      </c>
      <c r="L1335" s="27"/>
    </row>
    <row r="1336" spans="1:12">
      <c r="A1336" s="20" t="s">
        <v>389</v>
      </c>
      <c r="E1336" s="22">
        <f>IF(D1336="?OLD","!!!","")</f>
        <v/>
      </c>
      <c r="F1336" s="23" t="str">
        <f>IF(OR(E1336="",E1336="!!!"),"",IF(NOT(ISNA(VLOOKUP(E1336,E$1:E1335,1,FALSE()))),"OLD",IF(AND(E1336&lt;&gt;"",E1336&lt;&gt;"!!!"),"NEW","")))</f>
        <v> </v>
      </c>
      <c r="G1336" s="24" t="str">
        <f>IF(OR(E1336="",E1336="!!!"),"",IF(OR(J1336=0,AND(J1336=1,K1336=1),AND(J1336=1,I1336="SBJ"),AND(J1336=1,I1336=0)),"?IN_FOCUS",IF(J1336&lt;=2,"?ACTIVATED",IF(J1336&lt;&gt;"","?FAMILIAR",IF(F1336="NEW",IF(ISNA(VLOOKUP(E1336,#REF!,1,FALSE())),"?TYPE_IDENTIFIABLE","?REFERENTIAL"),"_")))))</f>
        <v> </v>
      </c>
      <c r="H1336" s="25" t="str">
        <f>IF(J1336&lt;&gt;1,"",IF(I1336="SBJ","CB","?"))</f>
        <v> </v>
      </c>
      <c r="I1336" s="26" t="str">
        <f>IF(OR(E1336="",E1336="!!!",F1336="NEW"),"",INDEX(B1335:B$2,-1+SUMPRODUCT(MAX(ROW(E1335:E$2)*(E1336=E1335:E$2)))))</f>
        <v> </v>
      </c>
      <c r="J1336" s="26" t="str">
        <f>IF(OR(E1336="",E1336="!!!",F1336="NEW"),"",COUNTBLANK(OFFSET(A$1,,,SUMPRODUCT(MAX(ROW(E$2:E1336)*(E1336=E$2:E1336)))))-COUNTBLANK(OFFSET(A$1,,,SUMPRODUCT(MAX(ROW(E$1:E1335)*(E2=E$1:E1335))))))</f>
        <v> </v>
      </c>
      <c r="K1336" s="26" t="str">
        <f>IF(OR(E1336="",E1336="!!!",F1336="NEW"),"",INDEX(J$1:J1335,SUMPRODUCT(MAX(ROW(E$1:E1335)*(E1336=E$1:E1335)))))</f>
        <v> </v>
      </c>
      <c r="L1336" s="27"/>
    </row>
    <row r="1337" spans="1:12">
      <c r="A1337" s="20"/>
    </row>
    <row r="1338" spans="1:12">
      <c r="A1338" s="20" t="s">
        <v>865</v>
      </c>
    </row>
    <row r="1339" spans="1:12">
      <c r="A1339" s="20" t="s">
        <v>355</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t="s">
        <v>359</v>
      </c>
      <c r="E1340" s="22">
        <f>IF(D1340="?OLD","!!!","")</f>
        <v/>
      </c>
      <c r="F1340" s="23" t="str">
        <f>IF(OR(E1340="",E1340="!!!"),"",IF(NOT(ISNA(VLOOKUP(E1340,E$1:E1339,1,FALSE()))),"OLD",IF(AND(E1340&lt;&gt;"",E1340&lt;&gt;"!!!"),"NEW","")))</f>
        <v> </v>
      </c>
      <c r="G1340" s="24" t="str">
        <f>IF(OR(E1340="",E1340="!!!"),"",IF(OR(J1340=0,AND(J1340=1,K1340=1),AND(J1340=1,I1340="SBJ"),AND(J1340=1,I1340=0)),"?IN_FOCUS",IF(J1340&lt;=2,"?ACTIVATED",IF(J1340&lt;&gt;"","?FAMILIAR",IF(F1340="NEW",IF(ISNA(VLOOKUP(E1340,#REF!,1,FALSE())),"?TYPE_IDENTIFIABLE","?REFERENTIAL"),"_")))))</f>
        <v> </v>
      </c>
      <c r="H1340" s="25" t="str">
        <f>IF(J1340&lt;&gt;1,"",IF(I1340="SBJ","CB","?"))</f>
        <v> </v>
      </c>
      <c r="I1340" s="26" t="str">
        <f>IF(OR(E1340="",E1340="!!!",F1340="NEW"),"",INDEX(B1339:B$2,-1+SUMPRODUCT(MAX(ROW(E1339:E$2)*(E1340=E1339:E$2)))))</f>
        <v> </v>
      </c>
      <c r="J1340" s="26" t="str">
        <f>IF(OR(E1340="",E1340="!!!",F1340="NEW"),"",COUNTBLANK(OFFSET(A$1,,,SUMPRODUCT(MAX(ROW(E$2:E1340)*(E1340=E$2:E1340)))))-COUNTBLANK(OFFSET(A$1,,,SUMPRODUCT(MAX(ROW(E$1:E1339)*(E2=E$1:E1339))))))</f>
        <v> </v>
      </c>
      <c r="K1340" s="26" t="str">
        <f>IF(OR(E1340="",E1340="!!!",F1340="NEW"),"",INDEX(J$1:J1339,SUMPRODUCT(MAX(ROW(E$1:E1339)*(E1340=E$1:E1339)))))</f>
        <v> </v>
      </c>
      <c r="L1340" s="27"/>
    </row>
    <row r="1341" spans="1:12">
      <c r="A1341" s="20" t="s">
        <v>362</v>
      </c>
      <c r="E1341" s="22">
        <f>IF(D1341="?OLD","!!!","")</f>
        <v/>
      </c>
      <c r="F1341" s="23" t="str">
        <f>IF(OR(E1341="",E1341="!!!"),"",IF(NOT(ISNA(VLOOKUP(E1341,E$1:E1340,1,FALSE()))),"OLD",IF(AND(E1341&lt;&gt;"",E1341&lt;&gt;"!!!"),"NEW","")))</f>
        <v> </v>
      </c>
      <c r="G1341" s="24" t="str">
        <f>IF(OR(E1341="",E1341="!!!"),"",IF(OR(J1341=0,AND(J1341=1,K1341=1),AND(J1341=1,I1341="SBJ"),AND(J1341=1,I1341=0)),"?IN_FOCUS",IF(J1341&lt;=2,"?ACTIVATED",IF(J1341&lt;&gt;"","?FAMILIAR",IF(F1341="NEW",IF(ISNA(VLOOKUP(E1341,#REF!,1,FALSE())),"?TYPE_IDENTIFIABLE","?REFERENTIAL"),"_")))))</f>
        <v> </v>
      </c>
      <c r="H1341" s="25" t="str">
        <f>IF(J1341&lt;&gt;1,"",IF(I1341="SBJ","CB","?"))</f>
        <v> </v>
      </c>
      <c r="I1341" s="26" t="str">
        <f>IF(OR(E1341="",E1341="!!!",F1341="NEW"),"",INDEX(B1340:B$2,-1+SUMPRODUCT(MAX(ROW(E1340:E$2)*(E1341=E1340:E$2)))))</f>
        <v> </v>
      </c>
      <c r="J1341" s="26" t="str">
        <f>IF(OR(E1341="",E1341="!!!",F1341="NEW"),"",COUNTBLANK(OFFSET(A$1,,,SUMPRODUCT(MAX(ROW(E$2:E1341)*(E1341=E$2:E1341)))))-COUNTBLANK(OFFSET(A$1,,,SUMPRODUCT(MAX(ROW(E$1:E1340)*(E2=E$1:E1340))))))</f>
        <v> </v>
      </c>
      <c r="K1341" s="26" t="str">
        <f>IF(OR(E1341="",E1341="!!!",F1341="NEW"),"",INDEX(J$1:J1340,SUMPRODUCT(MAX(ROW(E$1:E1340)*(E1341=E$1:E1340)))))</f>
        <v> </v>
      </c>
      <c r="L1341" s="27"/>
    </row>
    <row r="1342" spans="1:12">
      <c r="A1342" s="20" t="s">
        <v>866</v>
      </c>
      <c r="E1342" s="22">
        <f>IF(D1342="?OLD","!!!","")</f>
        <v/>
      </c>
      <c r="F1342" s="23" t="str">
        <f>IF(OR(E1342="",E1342="!!!"),"",IF(NOT(ISNA(VLOOKUP(E1342,E$1:E1341,1,FALSE()))),"OLD",IF(AND(E1342&lt;&gt;"",E1342&lt;&gt;"!!!"),"NEW","")))</f>
        <v> </v>
      </c>
      <c r="G1342" s="24" t="str">
        <f>IF(OR(E1342="",E1342="!!!"),"",IF(OR(J1342=0,AND(J1342=1,K1342=1),AND(J1342=1,I1342="SBJ"),AND(J1342=1,I1342=0)),"?IN_FOCUS",IF(J1342&lt;=2,"?ACTIVATED",IF(J1342&lt;&gt;"","?FAMILIAR",IF(F1342="NEW",IF(ISNA(VLOOKUP(E1342,#REF!,1,FALSE())),"?TYPE_IDENTIFIABLE","?REFERENTIAL"),"_")))))</f>
        <v> </v>
      </c>
      <c r="H1342" s="25" t="str">
        <f>IF(J1342&lt;&gt;1,"",IF(I1342="SBJ","CB","?"))</f>
        <v> </v>
      </c>
      <c r="I1342" s="26" t="str">
        <f>IF(OR(E1342="",E1342="!!!",F1342="NEW"),"",INDEX(B1341:B$2,-1+SUMPRODUCT(MAX(ROW(E1341:E$2)*(E1342=E1341:E$2)))))</f>
        <v> </v>
      </c>
      <c r="J1342" s="26" t="str">
        <f>IF(OR(E1342="",E1342="!!!",F1342="NEW"),"",COUNTBLANK(OFFSET(A$1,,,SUMPRODUCT(MAX(ROW(E$2:E1342)*(E1342=E$2:E1342)))))-COUNTBLANK(OFFSET(A$1,,,SUMPRODUCT(MAX(ROW(E$1:E1341)*(E2=E$1:E1341))))))</f>
        <v> </v>
      </c>
      <c r="K1342" s="26" t="str">
        <f>IF(OR(E1342="",E1342="!!!",F1342="NEW"),"",INDEX(J$1:J1341,SUMPRODUCT(MAX(ROW(E$1:E1341)*(E1342=E$1:E1341)))))</f>
        <v> </v>
      </c>
      <c r="L1342" s="27"/>
    </row>
    <row r="1343" spans="1:12">
      <c r="A1343" s="20" t="s">
        <v>380</v>
      </c>
      <c r="E1343" s="22">
        <f>IF(D1343="?OLD","!!!","")</f>
        <v/>
      </c>
      <c r="F1343" s="23" t="str">
        <f>IF(OR(E1343="",E1343="!!!"),"",IF(NOT(ISNA(VLOOKUP(E1343,E$1:E1342,1,FALSE()))),"OLD",IF(AND(E1343&lt;&gt;"",E1343&lt;&gt;"!!!"),"NEW","")))</f>
        <v> </v>
      </c>
      <c r="G1343" s="24" t="str">
        <f>IF(OR(E1343="",E1343="!!!"),"",IF(OR(J1343=0,AND(J1343=1,K1343=1),AND(J1343=1,I1343="SBJ"),AND(J1343=1,I1343=0)),"?IN_FOCUS",IF(J1343&lt;=2,"?ACTIVATED",IF(J1343&lt;&gt;"","?FAMILIAR",IF(F1343="NEW",IF(ISNA(VLOOKUP(E1343,#REF!,1,FALSE())),"?TYPE_IDENTIFIABLE","?REFERENTIAL"),"_")))))</f>
        <v> </v>
      </c>
      <c r="H1343" s="25" t="str">
        <f>IF(J1343&lt;&gt;1,"",IF(I1343="SBJ","CB","?"))</f>
        <v> </v>
      </c>
      <c r="I1343" s="26" t="str">
        <f>IF(OR(E1343="",E1343="!!!",F1343="NEW"),"",INDEX(B1342:B$2,-1+SUMPRODUCT(MAX(ROW(E1342:E$2)*(E1343=E1342:E$2)))))</f>
        <v> </v>
      </c>
      <c r="J1343" s="26" t="str">
        <f>IF(OR(E1343="",E1343="!!!",F1343="NEW"),"",COUNTBLANK(OFFSET(A$1,,,SUMPRODUCT(MAX(ROW(E$2:E1343)*(E1343=E$2:E1343)))))-COUNTBLANK(OFFSET(A$1,,,SUMPRODUCT(MAX(ROW(E$1:E1342)*(E2=E$1:E1342))))))</f>
        <v> </v>
      </c>
      <c r="K1343" s="26" t="str">
        <f>IF(OR(E1343="",E1343="!!!",F1343="NEW"),"",INDEX(J$1:J1342,SUMPRODUCT(MAX(ROW(E$1:E1342)*(E1343=E$1:E1342)))))</f>
        <v> </v>
      </c>
      <c r="L1343" s="27"/>
    </row>
    <row r="1344" spans="1:12">
      <c r="A1344" s="20" t="s">
        <v>537</v>
      </c>
      <c r="E1344" s="22">
        <f>IF(D1344="?OLD","!!!","")</f>
        <v/>
      </c>
      <c r="F1344" s="23" t="str">
        <f>IF(OR(E1344="",E1344="!!!"),"",IF(NOT(ISNA(VLOOKUP(E1344,E$1:E1343,1,FALSE()))),"OLD",IF(AND(E1344&lt;&gt;"",E1344&lt;&gt;"!!!"),"NEW","")))</f>
        <v> </v>
      </c>
      <c r="G1344" s="24" t="str">
        <f>IF(OR(E1344="",E1344="!!!"),"",IF(OR(J1344=0,AND(J1344=1,K1344=1),AND(J1344=1,I1344="SBJ"),AND(J1344=1,I1344=0)),"?IN_FOCUS",IF(J1344&lt;=2,"?ACTIVATED",IF(J1344&lt;&gt;"","?FAMILIAR",IF(F1344="NEW",IF(ISNA(VLOOKUP(E1344,#REF!,1,FALSE())),"?TYPE_IDENTIFIABLE","?REFERENTIAL"),"_")))))</f>
        <v> </v>
      </c>
      <c r="H1344" s="25" t="str">
        <f>IF(J1344&lt;&gt;1,"",IF(I1344="SBJ","CB","?"))</f>
        <v> </v>
      </c>
      <c r="I1344" s="26" t="str">
        <f>IF(OR(E1344="",E1344="!!!",F1344="NEW"),"",INDEX(B1343:B$2,-1+SUMPRODUCT(MAX(ROW(E1343:E$2)*(E1344=E1343:E$2)))))</f>
        <v> </v>
      </c>
      <c r="J1344" s="26" t="str">
        <f>IF(OR(E1344="",E1344="!!!",F1344="NEW"),"",COUNTBLANK(OFFSET(A$1,,,SUMPRODUCT(MAX(ROW(E$2:E1344)*(E1344=E$2:E1344)))))-COUNTBLANK(OFFSET(A$1,,,SUMPRODUCT(MAX(ROW(E$1:E1343)*(E2=E$1:E1343))))))</f>
        <v> </v>
      </c>
      <c r="K1344" s="26" t="str">
        <f>IF(OR(E1344="",E1344="!!!",F1344="NEW"),"",INDEX(J$1:J1343,SUMPRODUCT(MAX(ROW(E$1:E1343)*(E1344=E$1:E1343)))))</f>
        <v> </v>
      </c>
      <c r="L1344" s="27"/>
    </row>
    <row r="1345" spans="1:12">
      <c r="A1345" s="20" t="s">
        <v>867</v>
      </c>
      <c r="B1345" s="21" t="s">
        <v>378</v>
      </c>
      <c r="C1345" s="21" t="s">
        <v>379</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t="s">
        <v>519</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t="s">
        <v>868</v>
      </c>
      <c r="B1347" s="21" t="s">
        <v>365</v>
      </c>
      <c r="C1347" s="21" t="s">
        <v>357</v>
      </c>
      <c r="D1347" s="21" t="s">
        <v>358</v>
      </c>
      <c r="E1347" s="22">
        <f>IF(D1347="?OLD","!!!","")</f>
        <v/>
      </c>
      <c r="F1347" s="23" t="str">
        <f>IF(OR(E1347="",E1347="!!!"),"",IF(NOT(ISNA(VLOOKUP(E1347,E$1:E1346,1,FALSE()))),"OLD",IF(AND(E1347&lt;&gt;"",E1347&lt;&gt;"!!!"),"NEW","")))</f>
        <v> </v>
      </c>
      <c r="G1347" s="24" t="str">
        <f>IF(OR(E1347="",E1347="!!!"),"",IF(OR(J1347=0,AND(J1347=1,K1347=1),AND(J1347=1,I1347="SBJ"),AND(J1347=1,I1347=0)),"?IN_FOCUS",IF(J1347&lt;=2,"?ACTIVATED",IF(J1347&lt;&gt;"","?FAMILIAR",IF(F1347="NEW",IF(ISNA(VLOOKUP(E1347,#REF!,1,FALSE())),"?TYPE_IDENTIFIABLE","?REFERENTIAL"),"_")))))</f>
        <v> </v>
      </c>
      <c r="H1347" s="25" t="str">
        <f>IF(J1347&lt;&gt;1,"",IF(I1347="SBJ","CB","?"))</f>
        <v> </v>
      </c>
      <c r="I1347" s="26" t="str">
        <f>IF(OR(E1347="",E1347="!!!",F1347="NEW"),"",INDEX(B1346:B$2,-1+SUMPRODUCT(MAX(ROW(E1346:E$2)*(E1347=E1346:E$2)))))</f>
        <v> </v>
      </c>
      <c r="J1347" s="26" t="str">
        <f>IF(OR(E1347="",E1347="!!!",F1347="NEW"),"",COUNTBLANK(OFFSET(A$1,,,SUMPRODUCT(MAX(ROW(E$2:E1347)*(E1347=E$2:E1347)))))-COUNTBLANK(OFFSET(A$1,,,SUMPRODUCT(MAX(ROW(E$1:E1346)*(E2=E$1:E1346))))))</f>
        <v> </v>
      </c>
      <c r="K1347" s="26" t="str">
        <f>IF(OR(E1347="",E1347="!!!",F1347="NEW"),"",INDEX(J$1:J1346,SUMPRODUCT(MAX(ROW(E$1:E1346)*(E1347=E$1:E1346)))))</f>
        <v> </v>
      </c>
      <c r="L1347" s="27"/>
    </row>
    <row r="1348" spans="1:12">
      <c r="A1348" s="20" t="s">
        <v>367</v>
      </c>
      <c r="E1348" s="22">
        <f>IF(D1348="?OLD","!!!","")</f>
        <v/>
      </c>
      <c r="F1348" s="23" t="str">
        <f>IF(OR(E1348="",E1348="!!!"),"",IF(NOT(ISNA(VLOOKUP(E1348,E$1:E1347,1,FALSE()))),"OLD",IF(AND(E1348&lt;&gt;"",E1348&lt;&gt;"!!!"),"NEW","")))</f>
        <v> </v>
      </c>
      <c r="G1348" s="24" t="str">
        <f>IF(OR(E1348="",E1348="!!!"),"",IF(OR(J1348=0,AND(J1348=1,K1348=1),AND(J1348=1,I1348="SBJ"),AND(J1348=1,I1348=0)),"?IN_FOCUS",IF(J1348&lt;=2,"?ACTIVATED",IF(J1348&lt;&gt;"","?FAMILIAR",IF(F1348="NEW",IF(ISNA(VLOOKUP(E1348,#REF!,1,FALSE())),"?TYPE_IDENTIFIABLE","?REFERENTIAL"),"_")))))</f>
        <v> </v>
      </c>
      <c r="H1348" s="25" t="str">
        <f>IF(J1348&lt;&gt;1,"",IF(I1348="SBJ","CB","?"))</f>
        <v> </v>
      </c>
      <c r="I1348" s="26" t="str">
        <f>IF(OR(E1348="",E1348="!!!",F1348="NEW"),"",INDEX(B1347:B$2,-1+SUMPRODUCT(MAX(ROW(E1347:E$2)*(E1348=E1347:E$2)))))</f>
        <v> </v>
      </c>
      <c r="J1348" s="26" t="str">
        <f>IF(OR(E1348="",E1348="!!!",F1348="NEW"),"",COUNTBLANK(OFFSET(A$1,,,SUMPRODUCT(MAX(ROW(E$2:E1348)*(E1348=E$2:E1348)))))-COUNTBLANK(OFFSET(A$1,,,SUMPRODUCT(MAX(ROW(E$1:E1347)*(E2=E$1:E1347))))))</f>
        <v> </v>
      </c>
      <c r="K1348" s="26" t="str">
        <f>IF(OR(E1348="",E1348="!!!",F1348="NEW"),"",INDEX(J$1:J1347,SUMPRODUCT(MAX(ROW(E$1:E1347)*(E1348=E$1:E1347)))))</f>
        <v> </v>
      </c>
      <c r="L1348" s="27"/>
    </row>
    <row r="1349" spans="1:12">
      <c r="A1349" s="20" t="s">
        <v>369</v>
      </c>
      <c r="E1349" s="22">
        <f>IF(D1349="?OLD","!!!","")</f>
        <v/>
      </c>
      <c r="F1349" s="23" t="str">
        <f>IF(OR(E1349="",E1349="!!!"),"",IF(NOT(ISNA(VLOOKUP(E1349,E$1:E1348,1,FALSE()))),"OLD",IF(AND(E1349&lt;&gt;"",E1349&lt;&gt;"!!!"),"NEW","")))</f>
        <v> </v>
      </c>
      <c r="G1349" s="24" t="str">
        <f>IF(OR(E1349="",E1349="!!!"),"",IF(OR(J1349=0,AND(J1349=1,K1349=1),AND(J1349=1,I1349="SBJ"),AND(J1349=1,I1349=0)),"?IN_FOCUS",IF(J1349&lt;=2,"?ACTIVATED",IF(J1349&lt;&gt;"","?FAMILIAR",IF(F1349="NEW",IF(ISNA(VLOOKUP(E1349,#REF!,1,FALSE())),"?TYPE_IDENTIFIABLE","?REFERENTIAL"),"_")))))</f>
        <v> </v>
      </c>
      <c r="H1349" s="25" t="str">
        <f>IF(J1349&lt;&gt;1,"",IF(I1349="SBJ","CB","?"))</f>
        <v> </v>
      </c>
      <c r="I1349" s="26" t="str">
        <f>IF(OR(E1349="",E1349="!!!",F1349="NEW"),"",INDEX(B1348:B$2,-1+SUMPRODUCT(MAX(ROW(E1348:E$2)*(E1349=E1348:E$2)))))</f>
        <v> </v>
      </c>
      <c r="J1349" s="26" t="str">
        <f>IF(OR(E1349="",E1349="!!!",F1349="NEW"),"",COUNTBLANK(OFFSET(A$1,,,SUMPRODUCT(MAX(ROW(E$2:E1349)*(E1349=E$2:E1349)))))-COUNTBLANK(OFFSET(A$1,,,SUMPRODUCT(MAX(ROW(E$1:E1348)*(E2=E$1:E1348))))))</f>
        <v> </v>
      </c>
      <c r="K1349" s="26" t="str">
        <f>IF(OR(E1349="",E1349="!!!",F1349="NEW"),"",INDEX(J$1:J1348,SUMPRODUCT(MAX(ROW(E$1:E1348)*(E1349=E$1:E1348)))))</f>
        <v> </v>
      </c>
      <c r="L1349" s="27"/>
    </row>
    <row r="1350" spans="1:12">
      <c r="A1350" s="20" t="s">
        <v>869</v>
      </c>
      <c r="B1350" s="21" t="s">
        <v>365</v>
      </c>
      <c r="C1350" s="21" t="s">
        <v>382</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t="s">
        <v>380</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t="s">
        <v>405</v>
      </c>
      <c r="E1352" s="22">
        <f>IF(D1352="?OLD","!!!","")</f>
        <v/>
      </c>
      <c r="F1352" s="23" t="str">
        <f>IF(OR(E1352="",E1352="!!!"),"",IF(NOT(ISNA(VLOOKUP(E1352,E$1:E1351,1,FALSE()))),"OLD",IF(AND(E1352&lt;&gt;"",E1352&lt;&gt;"!!!"),"NEW","")))</f>
        <v> </v>
      </c>
      <c r="G1352" s="24" t="str">
        <f>IF(OR(E1352="",E1352="!!!"),"",IF(OR(J1352=0,AND(J1352=1,K1352=1),AND(J1352=1,I1352="SBJ"),AND(J1352=1,I1352=0)),"?IN_FOCUS",IF(J1352&lt;=2,"?ACTIVATED",IF(J1352&lt;&gt;"","?FAMILIAR",IF(F1352="NEW",IF(ISNA(VLOOKUP(E1352,#REF!,1,FALSE())),"?TYPE_IDENTIFIABLE","?REFERENTIAL"),"_")))))</f>
        <v> </v>
      </c>
      <c r="H1352" s="25" t="str">
        <f>IF(J1352&lt;&gt;1,"",IF(I1352="SBJ","CB","?"))</f>
        <v> </v>
      </c>
      <c r="I1352" s="26" t="str">
        <f>IF(OR(E1352="",E1352="!!!",F1352="NEW"),"",INDEX(B1351:B$2,-1+SUMPRODUCT(MAX(ROW(E1351:E$2)*(E1352=E1351:E$2)))))</f>
        <v> </v>
      </c>
      <c r="J1352" s="26" t="str">
        <f>IF(OR(E1352="",E1352="!!!",F1352="NEW"),"",COUNTBLANK(OFFSET(A$1,,,SUMPRODUCT(MAX(ROW(E$2:E1352)*(E1352=E$2:E1352)))))-COUNTBLANK(OFFSET(A$1,,,SUMPRODUCT(MAX(ROW(E$1:E1351)*(E2=E$1:E1351))))))</f>
        <v> </v>
      </c>
      <c r="K1352" s="26" t="str">
        <f>IF(OR(E1352="",E1352="!!!",F1352="NEW"),"",INDEX(J$1:J1351,SUMPRODUCT(MAX(ROW(E$1:E1351)*(E1352=E$1:E1351)))))</f>
        <v> </v>
      </c>
      <c r="L1352" s="27"/>
    </row>
    <row r="1353" spans="1:12">
      <c r="A1353" s="20" t="s">
        <v>491</v>
      </c>
      <c r="B1353" s="21" t="s">
        <v>356</v>
      </c>
      <c r="C1353" s="21" t="s">
        <v>385</v>
      </c>
      <c r="D1353" s="21" t="s">
        <v>358</v>
      </c>
      <c r="E1353" s="22">
        <f>IF(D1353="?OLD","!!!","")</f>
        <v/>
      </c>
      <c r="F1353" s="23" t="str">
        <f>IF(OR(E1353="",E1353="!!!"),"",IF(NOT(ISNA(VLOOKUP(E1353,E$1:E1352,1,FALSE()))),"OLD",IF(AND(E1353&lt;&gt;"",E1353&lt;&gt;"!!!"),"NEW","")))</f>
        <v> </v>
      </c>
      <c r="G1353" s="24" t="str">
        <f>IF(OR(E1353="",E1353="!!!"),"",IF(OR(J1353=0,AND(J1353=1,K1353=1),AND(J1353=1,I1353="SBJ"),AND(J1353=1,I1353=0)),"?IN_FOCUS",IF(J1353&lt;=2,"?ACTIVATED",IF(J1353&lt;&gt;"","?FAMILIAR",IF(F1353="NEW",IF(ISNA(VLOOKUP(E1353,#REF!,1,FALSE())),"?TYPE_IDENTIFIABLE","?REFERENTIAL"),"_")))))</f>
        <v> </v>
      </c>
      <c r="H1353" s="25" t="str">
        <f>IF(J1353&lt;&gt;1,"",IF(I1353="SBJ","CB","?"))</f>
        <v> </v>
      </c>
      <c r="I1353" s="26" t="str">
        <f>IF(OR(E1353="",E1353="!!!",F1353="NEW"),"",INDEX(B1352:B$2,-1+SUMPRODUCT(MAX(ROW(E1352:E$2)*(E1353=E1352:E$2)))))</f>
        <v> </v>
      </c>
      <c r="J1353" s="26" t="str">
        <f>IF(OR(E1353="",E1353="!!!",F1353="NEW"),"",COUNTBLANK(OFFSET(A$1,,,SUMPRODUCT(MAX(ROW(E$2:E1353)*(E1353=E$2:E1353)))))-COUNTBLANK(OFFSET(A$1,,,SUMPRODUCT(MAX(ROW(E$1:E1352)*(E2=E$1:E1352))))))</f>
        <v> </v>
      </c>
      <c r="K1353" s="26" t="str">
        <f>IF(OR(E1353="",E1353="!!!",F1353="NEW"),"",INDEX(J$1:J1352,SUMPRODUCT(MAX(ROW(E$1:E1352)*(E1353=E$1:E1352)))))</f>
        <v> </v>
      </c>
      <c r="L1353" s="27"/>
    </row>
    <row r="1354" spans="1:12">
      <c r="A1354" s="20" t="s">
        <v>380</v>
      </c>
      <c r="E1354" s="22">
        <f>IF(D1354="?OLD","!!!","")</f>
        <v/>
      </c>
      <c r="F1354" s="23" t="str">
        <f>IF(OR(E1354="",E1354="!!!"),"",IF(NOT(ISNA(VLOOKUP(E1354,E$1:E1353,1,FALSE()))),"OLD",IF(AND(E1354&lt;&gt;"",E1354&lt;&gt;"!!!"),"NEW","")))</f>
        <v> </v>
      </c>
      <c r="G1354" s="24" t="str">
        <f>IF(OR(E1354="",E1354="!!!"),"",IF(OR(J1354=0,AND(J1354=1,K1354=1),AND(J1354=1,I1354="SBJ"),AND(J1354=1,I1354=0)),"?IN_FOCUS",IF(J1354&lt;=2,"?ACTIVATED",IF(J1354&lt;&gt;"","?FAMILIAR",IF(F1354="NEW",IF(ISNA(VLOOKUP(E1354,#REF!,1,FALSE())),"?TYPE_IDENTIFIABLE","?REFERENTIAL"),"_")))))</f>
        <v> </v>
      </c>
      <c r="H1354" s="25" t="str">
        <f>IF(J1354&lt;&gt;1,"",IF(I1354="SBJ","CB","?"))</f>
        <v> </v>
      </c>
      <c r="I1354" s="26" t="str">
        <f>IF(OR(E1354="",E1354="!!!",F1354="NEW"),"",INDEX(B1353:B$2,-1+SUMPRODUCT(MAX(ROW(E1353:E$2)*(E1354=E1353:E$2)))))</f>
        <v> </v>
      </c>
      <c r="J1354" s="26" t="str">
        <f>IF(OR(E1354="",E1354="!!!",F1354="NEW"),"",COUNTBLANK(OFFSET(A$1,,,SUMPRODUCT(MAX(ROW(E$2:E1354)*(E1354=E$2:E1354)))))-COUNTBLANK(OFFSET(A$1,,,SUMPRODUCT(MAX(ROW(E$1:E1353)*(E2=E$1:E1353))))))</f>
        <v> </v>
      </c>
      <c r="K1354" s="26" t="str">
        <f>IF(OR(E1354="",E1354="!!!",F1354="NEW"),"",INDEX(J$1:J1353,SUMPRODUCT(MAX(ROW(E$1:E1353)*(E1354=E$1:E1353)))))</f>
        <v> </v>
      </c>
      <c r="L1354" s="27"/>
    </row>
    <row r="1355" spans="1:12">
      <c r="A1355" s="20" t="s">
        <v>398</v>
      </c>
      <c r="E1355" s="22">
        <f>IF(D1355="?OLD","!!!","")</f>
        <v/>
      </c>
      <c r="F1355" s="23" t="str">
        <f>IF(OR(E1355="",E1355="!!!"),"",IF(NOT(ISNA(VLOOKUP(E1355,E$1:E1354,1,FALSE()))),"OLD",IF(AND(E1355&lt;&gt;"",E1355&lt;&gt;"!!!"),"NEW","")))</f>
        <v> </v>
      </c>
      <c r="G1355" s="24" t="str">
        <f>IF(OR(E1355="",E1355="!!!"),"",IF(OR(J1355=0,AND(J1355=1,K1355=1),AND(J1355=1,I1355="SBJ"),AND(J1355=1,I1355=0)),"?IN_FOCUS",IF(J1355&lt;=2,"?ACTIVATED",IF(J1355&lt;&gt;"","?FAMILIAR",IF(F1355="NEW",IF(ISNA(VLOOKUP(E1355,#REF!,1,FALSE())),"?TYPE_IDENTIFIABLE","?REFERENTIAL"),"_")))))</f>
        <v> </v>
      </c>
      <c r="H1355" s="25" t="str">
        <f>IF(J1355&lt;&gt;1,"",IF(I1355="SBJ","CB","?"))</f>
        <v> </v>
      </c>
      <c r="I1355" s="26" t="str">
        <f>IF(OR(E1355="",E1355="!!!",F1355="NEW"),"",INDEX(B1354:B$2,-1+SUMPRODUCT(MAX(ROW(E1354:E$2)*(E1355=E1354:E$2)))))</f>
        <v> </v>
      </c>
      <c r="J1355" s="26" t="str">
        <f>IF(OR(E1355="",E1355="!!!",F1355="NEW"),"",COUNTBLANK(OFFSET(A$1,,,SUMPRODUCT(MAX(ROW(E$2:E1355)*(E1355=E$2:E1355)))))-COUNTBLANK(OFFSET(A$1,,,SUMPRODUCT(MAX(ROW(E$1:E1354)*(E2=E$1:E1354))))))</f>
        <v> </v>
      </c>
      <c r="K1355" s="26" t="str">
        <f>IF(OR(E1355="",E1355="!!!",F1355="NEW"),"",INDEX(J$1:J1354,SUMPRODUCT(MAX(ROW(E$1:E1354)*(E1355=E$1:E1354)))))</f>
        <v> </v>
      </c>
      <c r="L1355" s="27"/>
    </row>
    <row r="1356" spans="1:12">
      <c r="A1356" s="20" t="s">
        <v>870</v>
      </c>
      <c r="B1356" s="21" t="s">
        <v>360</v>
      </c>
      <c r="C1356" s="21" t="s">
        <v>385</v>
      </c>
      <c r="D1356" s="21" t="s">
        <v>358</v>
      </c>
      <c r="E1356" s="22">
        <f>IF(D1356="?OLD","!!!","")</f>
        <v/>
      </c>
      <c r="F1356" s="23" t="str">
        <f>IF(OR(E1356="",E1356="!!!"),"",IF(NOT(ISNA(VLOOKUP(E1356,E$1:E1355,1,FALSE()))),"OLD",IF(AND(E1356&lt;&gt;"",E1356&lt;&gt;"!!!"),"NEW","")))</f>
        <v> </v>
      </c>
      <c r="G1356" s="24" t="str">
        <f>IF(OR(E1356="",E1356="!!!"),"",IF(OR(J1356=0,AND(J1356=1,K1356=1),AND(J1356=1,I1356="SBJ"),AND(J1356=1,I1356=0)),"?IN_FOCUS",IF(J1356&lt;=2,"?ACTIVATED",IF(J1356&lt;&gt;"","?FAMILIAR",IF(F1356="NEW",IF(ISNA(VLOOKUP(E1356,#REF!,1,FALSE())),"?TYPE_IDENTIFIABLE","?REFERENTIAL"),"_")))))</f>
        <v> </v>
      </c>
      <c r="H1356" s="25" t="str">
        <f>IF(J1356&lt;&gt;1,"",IF(I1356="SBJ","CB","?"))</f>
        <v> </v>
      </c>
      <c r="I1356" s="26" t="str">
        <f>IF(OR(E1356="",E1356="!!!",F1356="NEW"),"",INDEX(B1355:B$2,-1+SUMPRODUCT(MAX(ROW(E1355:E$2)*(E1356=E1355:E$2)))))</f>
        <v> </v>
      </c>
      <c r="J1356" s="26" t="str">
        <f>IF(OR(E1356="",E1356="!!!",F1356="NEW"),"",COUNTBLANK(OFFSET(A$1,,,SUMPRODUCT(MAX(ROW(E$2:E1356)*(E1356=E$2:E1356)))))-COUNTBLANK(OFFSET(A$1,,,SUMPRODUCT(MAX(ROW(E$1:E1355)*(E2=E$1:E1355))))))</f>
        <v> </v>
      </c>
      <c r="K1356" s="26" t="str">
        <f>IF(OR(E1356="",E1356="!!!",F1356="NEW"),"",INDEX(J$1:J1355,SUMPRODUCT(MAX(ROW(E$1:E1355)*(E1356=E$1:E1355)))))</f>
        <v> </v>
      </c>
      <c r="L1356" s="27"/>
    </row>
    <row r="1357" spans="1:12">
      <c r="A1357" s="20" t="s">
        <v>211</v>
      </c>
      <c r="E1357" s="22">
        <f>IF(D1357="?OLD","!!!","")</f>
        <v/>
      </c>
      <c r="F1357" s="23" t="str">
        <f>IF(OR(E1357="",E1357="!!!"),"",IF(NOT(ISNA(VLOOKUP(E1357,E$1:E1356,1,FALSE()))),"OLD",IF(AND(E1357&lt;&gt;"",E1357&lt;&gt;"!!!"),"NEW","")))</f>
        <v> </v>
      </c>
      <c r="G1357" s="24" t="str">
        <f>IF(OR(E1357="",E1357="!!!"),"",IF(OR(J1357=0,AND(J1357=1,K1357=1),AND(J1357=1,I1357="SBJ"),AND(J1357=1,I1357=0)),"?IN_FOCUS",IF(J1357&lt;=2,"?ACTIVATED",IF(J1357&lt;&gt;"","?FAMILIAR",IF(F1357="NEW",IF(ISNA(VLOOKUP(E1357,#REF!,1,FALSE())),"?TYPE_IDENTIFIABLE","?REFERENTIAL"),"_")))))</f>
        <v> </v>
      </c>
      <c r="H1357" s="25" t="str">
        <f>IF(J1357&lt;&gt;1,"",IF(I1357="SBJ","CB","?"))</f>
        <v> </v>
      </c>
      <c r="I1357" s="26" t="str">
        <f>IF(OR(E1357="",E1357="!!!",F1357="NEW"),"",INDEX(B1356:B$2,-1+SUMPRODUCT(MAX(ROW(E1356:E$2)*(E1357=E1356:E$2)))))</f>
        <v> </v>
      </c>
      <c r="J1357" s="26" t="str">
        <f>IF(OR(E1357="",E1357="!!!",F1357="NEW"),"",COUNTBLANK(OFFSET(A$1,,,SUMPRODUCT(MAX(ROW(E$2:E1357)*(E1357=E$2:E1357)))))-COUNTBLANK(OFFSET(A$1,,,SUMPRODUCT(MAX(ROW(E$1:E1356)*(E2=E$1:E1356))))))</f>
        <v> </v>
      </c>
      <c r="K1357" s="26" t="str">
        <f>IF(OR(E1357="",E1357="!!!",F1357="NEW"),"",INDEX(J$1:J1356,SUMPRODUCT(MAX(ROW(E$1:E1356)*(E1357=E$1:E1356)))))</f>
        <v> </v>
      </c>
      <c r="L1357" s="27"/>
    </row>
    <row r="1358" spans="1:12">
      <c r="A1358" s="20" t="s">
        <v>380</v>
      </c>
      <c r="E1358" s="22">
        <f>IF(D1358="?OLD","!!!","")</f>
        <v/>
      </c>
      <c r="F1358" s="23" t="str">
        <f>IF(OR(E1358="",E1358="!!!"),"",IF(NOT(ISNA(VLOOKUP(E1358,E$1:E1357,1,FALSE()))),"OLD",IF(AND(E1358&lt;&gt;"",E1358&lt;&gt;"!!!"),"NEW","")))</f>
        <v> </v>
      </c>
      <c r="G1358" s="24" t="str">
        <f>IF(OR(E1358="",E1358="!!!"),"",IF(OR(J1358=0,AND(J1358=1,K1358=1),AND(J1358=1,I1358="SBJ"),AND(J1358=1,I1358=0)),"?IN_FOCUS",IF(J1358&lt;=2,"?ACTIVATED",IF(J1358&lt;&gt;"","?FAMILIAR",IF(F1358="NEW",IF(ISNA(VLOOKUP(E1358,#REF!,1,FALSE())),"?TYPE_IDENTIFIABLE","?REFERENTIAL"),"_")))))</f>
        <v> </v>
      </c>
      <c r="H1358" s="25" t="str">
        <f>IF(J1358&lt;&gt;1,"",IF(I1358="SBJ","CB","?"))</f>
        <v> </v>
      </c>
      <c r="I1358" s="26" t="str">
        <f>IF(OR(E1358="",E1358="!!!",F1358="NEW"),"",INDEX(B1357:B$2,-1+SUMPRODUCT(MAX(ROW(E1357:E$2)*(E1358=E1357:E$2)))))</f>
        <v> </v>
      </c>
      <c r="J1358" s="26" t="str">
        <f>IF(OR(E1358="",E1358="!!!",F1358="NEW"),"",COUNTBLANK(OFFSET(A$1,,,SUMPRODUCT(MAX(ROW(E$2:E1358)*(E1358=E$2:E1358)))))-COUNTBLANK(OFFSET(A$1,,,SUMPRODUCT(MAX(ROW(E$1:E1357)*(E2=E$1:E1357))))))</f>
        <v> </v>
      </c>
      <c r="K1358" s="26" t="str">
        <f>IF(OR(E1358="",E1358="!!!",F1358="NEW"),"",INDEX(J$1:J1357,SUMPRODUCT(MAX(ROW(E$1:E1357)*(E1358=E$1:E1357)))))</f>
        <v> </v>
      </c>
      <c r="L1358" s="27"/>
    </row>
    <row r="1359" spans="1:12">
      <c r="A1359" s="20" t="s">
        <v>386</v>
      </c>
      <c r="E1359" s="22">
        <f>IF(D1359="?OLD","!!!","")</f>
        <v/>
      </c>
      <c r="F1359" s="23" t="str">
        <f>IF(OR(E1359="",E1359="!!!"),"",IF(NOT(ISNA(VLOOKUP(E1359,E$1:E1358,1,FALSE()))),"OLD",IF(AND(E1359&lt;&gt;"",E1359&lt;&gt;"!!!"),"NEW","")))</f>
        <v> </v>
      </c>
      <c r="G1359" s="24" t="str">
        <f>IF(OR(E1359="",E1359="!!!"),"",IF(OR(J1359=0,AND(J1359=1,K1359=1),AND(J1359=1,I1359="SBJ"),AND(J1359=1,I1359=0)),"?IN_FOCUS",IF(J1359&lt;=2,"?ACTIVATED",IF(J1359&lt;&gt;"","?FAMILIAR",IF(F1359="NEW",IF(ISNA(VLOOKUP(E1359,#REF!,1,FALSE())),"?TYPE_IDENTIFIABLE","?REFERENTIAL"),"_")))))</f>
        <v> </v>
      </c>
      <c r="H1359" s="25" t="str">
        <f>IF(J1359&lt;&gt;1,"",IF(I1359="SBJ","CB","?"))</f>
        <v> </v>
      </c>
      <c r="I1359" s="26" t="str">
        <f>IF(OR(E1359="",E1359="!!!",F1359="NEW"),"",INDEX(B1358:B$2,-1+SUMPRODUCT(MAX(ROW(E1358:E$2)*(E1359=E1358:E$2)))))</f>
        <v> </v>
      </c>
      <c r="J1359" s="26" t="str">
        <f>IF(OR(E1359="",E1359="!!!",F1359="NEW"),"",COUNTBLANK(OFFSET(A$1,,,SUMPRODUCT(MAX(ROW(E$2:E1359)*(E1359=E$2:E1359)))))-COUNTBLANK(OFFSET(A$1,,,SUMPRODUCT(MAX(ROW(E$1:E1358)*(E2=E$1:E1358))))))</f>
        <v> </v>
      </c>
      <c r="K1359" s="26" t="str">
        <f>IF(OR(E1359="",E1359="!!!",F1359="NEW"),"",INDEX(J$1:J1358,SUMPRODUCT(MAX(ROW(E$1:E1358)*(E1359=E$1:E1358)))))</f>
        <v> </v>
      </c>
      <c r="L1359" s="27"/>
    </row>
    <row r="1360" spans="1:12">
      <c r="A1360" s="20" t="s">
        <v>459</v>
      </c>
      <c r="B1360" s="21" t="s">
        <v>388</v>
      </c>
      <c r="C1360" s="21" t="s">
        <v>385</v>
      </c>
      <c r="D1360" s="21" t="s">
        <v>358</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t="s">
        <v>389</v>
      </c>
      <c r="E1361" s="22">
        <f>IF(D1361="?OLD","!!!","")</f>
        <v/>
      </c>
      <c r="F1361" s="23" t="str">
        <f>IF(OR(E1361="",E1361="!!!"),"",IF(NOT(ISNA(VLOOKUP(E1361,E$1:E1360,1,FALSE()))),"OLD",IF(AND(E1361&lt;&gt;"",E1361&lt;&gt;"!!!"),"NEW","")))</f>
        <v> </v>
      </c>
      <c r="G1361" s="24" t="str">
        <f>IF(OR(E1361="",E1361="!!!"),"",IF(OR(J1361=0,AND(J1361=1,K1361=1),AND(J1361=1,I1361="SBJ"),AND(J1361=1,I1361=0)),"?IN_FOCUS",IF(J1361&lt;=2,"?ACTIVATED",IF(J1361&lt;&gt;"","?FAMILIAR",IF(F1361="NEW",IF(ISNA(VLOOKUP(E1361,#REF!,1,FALSE())),"?TYPE_IDENTIFIABLE","?REFERENTIAL"),"_")))))</f>
        <v> </v>
      </c>
      <c r="H1361" s="25" t="str">
        <f>IF(J1361&lt;&gt;1,"",IF(I1361="SBJ","CB","?"))</f>
        <v> </v>
      </c>
      <c r="I1361" s="26" t="str">
        <f>IF(OR(E1361="",E1361="!!!",F1361="NEW"),"",INDEX(B1360:B$2,-1+SUMPRODUCT(MAX(ROW(E1360:E$2)*(E1361=E1360:E$2)))))</f>
        <v> </v>
      </c>
      <c r="J1361" s="26" t="str">
        <f>IF(OR(E1361="",E1361="!!!",F1361="NEW"),"",COUNTBLANK(OFFSET(A$1,,,SUMPRODUCT(MAX(ROW(E$2:E1361)*(E1361=E$2:E1361)))))-COUNTBLANK(OFFSET(A$1,,,SUMPRODUCT(MAX(ROW(E$1:E1360)*(E2=E$1:E1360))))))</f>
        <v> </v>
      </c>
      <c r="K1361" s="26" t="str">
        <f>IF(OR(E1361="",E1361="!!!",F1361="NEW"),"",INDEX(J$1:J1360,SUMPRODUCT(MAX(ROW(E$1:E1360)*(E1361=E$1:E1360)))))</f>
        <v> </v>
      </c>
      <c r="L1361" s="27"/>
    </row>
    <row r="1362" spans="1:12">
      <c r="A1362" s="20"/>
    </row>
    <row r="1363" spans="1:12">
      <c r="A1363" s="20" t="s">
        <v>555</v>
      </c>
      <c r="E1363" s="22">
        <f>IF(D1363="?OLD","!!!","")</f>
        <v/>
      </c>
      <c r="F1363" s="23" t="str">
        <f>IF(OR(E1363="",E1363="!!!"),"",IF(NOT(ISNA(VLOOKUP(E1363,E$1:E1362,1,FALSE()))),"OLD",IF(AND(E1363&lt;&gt;"",E1363&lt;&gt;"!!!"),"NEW","")))</f>
        <v> </v>
      </c>
      <c r="G1363" s="24" t="str">
        <f>IF(OR(E1363="",E1363="!!!"),"",IF(OR(J1363=0,AND(J1363=1,K1363=1),AND(J1363=1,I1363="SBJ"),AND(J1363=1,I1363=0)),"?IN_FOCUS",IF(J1363&lt;=2,"?ACTIVATED",IF(J1363&lt;&gt;"","?FAMILIAR",IF(F1363="NEW",IF(ISNA(VLOOKUP(E1363,#REF!,1,FALSE())),"?TYPE_IDENTIFIABLE","?REFERENTIAL"),"_")))))</f>
        <v> </v>
      </c>
      <c r="H1363" s="25" t="str">
        <f>IF(J1363&lt;&gt;1,"",IF(I1363="SBJ","CB","?"))</f>
        <v> </v>
      </c>
      <c r="I1363" s="26" t="str">
        <f>IF(OR(E1363="",E1363="!!!",F1363="NEW"),"",INDEX(B1362:B$2,-1+SUMPRODUCT(MAX(ROW(E1362:E$2)*(E1363=E1362:E$2)))))</f>
        <v> </v>
      </c>
      <c r="J1363" s="26" t="str">
        <f>IF(OR(E1363="",E1363="!!!",F1363="NEW"),"",COUNTBLANK(OFFSET(A$1,,,SUMPRODUCT(MAX(ROW(E$2:E1363)*(E1363=E$2:E1363)))))-COUNTBLANK(OFFSET(A$1,,,SUMPRODUCT(MAX(ROW(E$1:E1362)*(E2=E$1:E1362))))))</f>
        <v> </v>
      </c>
      <c r="K1363" s="26" t="str">
        <f>IF(OR(E1363="",E1363="!!!",F1363="NEW"),"",INDEX(J$1:J1362,SUMPRODUCT(MAX(ROW(E$1:E1362)*(E1363=E$1:E1362)))))</f>
        <v> </v>
      </c>
      <c r="L1363" s="27"/>
    </row>
    <row r="1364" spans="1:12">
      <c r="A1364" s="20" t="s">
        <v>871</v>
      </c>
    </row>
    <row r="1365" spans="1:12">
      <c r="A1365" s="20" t="s">
        <v>613</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t="s">
        <v>367</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497</v>
      </c>
      <c r="B1367" s="21" t="s">
        <v>373</v>
      </c>
      <c r="C1367" s="21" t="s">
        <v>357</v>
      </c>
      <c r="D1367" s="21" t="s">
        <v>358</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t="s">
        <v>872</v>
      </c>
      <c r="E1368" s="22">
        <f>IF(D1368="?OLD","!!!","")</f>
        <v/>
      </c>
      <c r="F1368" s="23" t="str">
        <f>IF(OR(E1368="",E1368="!!!"),"",IF(NOT(ISNA(VLOOKUP(E1368,E$1:E1367,1,FALSE()))),"OLD",IF(AND(E1368&lt;&gt;"",E1368&lt;&gt;"!!!"),"NEW","")))</f>
        <v> </v>
      </c>
      <c r="G1368" s="24" t="str">
        <f>IF(OR(E1368="",E1368="!!!"),"",IF(OR(J1368=0,AND(J1368=1,K1368=1),AND(J1368=1,I1368="SBJ"),AND(J1368=1,I1368=0)),"?IN_FOCUS",IF(J1368&lt;=2,"?ACTIVATED",IF(J1368&lt;&gt;"","?FAMILIAR",IF(F1368="NEW",IF(ISNA(VLOOKUP(E1368,#REF!,1,FALSE())),"?TYPE_IDENTIFIABLE","?REFERENTIAL"),"_")))))</f>
        <v> </v>
      </c>
      <c r="H1368" s="25" t="str">
        <f>IF(J1368&lt;&gt;1,"",IF(I1368="SBJ","CB","?"))</f>
        <v> </v>
      </c>
      <c r="I1368" s="26" t="str">
        <f>IF(OR(E1368="",E1368="!!!",F1368="NEW"),"",INDEX(B1367:B$2,-1+SUMPRODUCT(MAX(ROW(E1367:E$2)*(E1368=E1367:E$2)))))</f>
        <v> </v>
      </c>
      <c r="J1368" s="26" t="str">
        <f>IF(OR(E1368="",E1368="!!!",F1368="NEW"),"",COUNTBLANK(OFFSET(A$1,,,SUMPRODUCT(MAX(ROW(E$2:E1368)*(E1368=E$2:E1368)))))-COUNTBLANK(OFFSET(A$1,,,SUMPRODUCT(MAX(ROW(E$1:E1367)*(E2=E$1:E1367))))))</f>
        <v> </v>
      </c>
      <c r="K1368" s="26" t="str">
        <f>IF(OR(E1368="",E1368="!!!",F1368="NEW"),"",INDEX(J$1:J1367,SUMPRODUCT(MAX(ROW(E$1:E1367)*(E1368=E$1:E1367)))))</f>
        <v> </v>
      </c>
      <c r="L1368" s="27"/>
    </row>
    <row r="1369" spans="1:12">
      <c r="A1369" s="20" t="s">
        <v>497</v>
      </c>
      <c r="B1369" s="21" t="s">
        <v>409</v>
      </c>
      <c r="C1369" s="21" t="s">
        <v>357</v>
      </c>
      <c r="D1369" s="21" t="s">
        <v>358</v>
      </c>
      <c r="E1369" s="22">
        <f>IF(D1369="?OLD","!!!","")</f>
        <v/>
      </c>
      <c r="F1369" s="23" t="str">
        <f>IF(OR(E1369="",E1369="!!!"),"",IF(NOT(ISNA(VLOOKUP(E1369,E$1:E1368,1,FALSE()))),"OLD",IF(AND(E1369&lt;&gt;"",E1369&lt;&gt;"!!!"),"NEW","")))</f>
        <v> </v>
      </c>
      <c r="G1369" s="24" t="str">
        <f>IF(OR(E1369="",E1369="!!!"),"",IF(OR(J1369=0,AND(J1369=1,K1369=1),AND(J1369=1,I1369="SBJ"),AND(J1369=1,I1369=0)),"?IN_FOCUS",IF(J1369&lt;=2,"?ACTIVATED",IF(J1369&lt;&gt;"","?FAMILIAR",IF(F1369="NEW",IF(ISNA(VLOOKUP(E1369,#REF!,1,FALSE())),"?TYPE_IDENTIFIABLE","?REFERENTIAL"),"_")))))</f>
        <v> </v>
      </c>
      <c r="H1369" s="25" t="str">
        <f>IF(J1369&lt;&gt;1,"",IF(I1369="SBJ","CB","?"))</f>
        <v> </v>
      </c>
      <c r="I1369" s="26" t="str">
        <f>IF(OR(E1369="",E1369="!!!",F1369="NEW"),"",INDEX(B1368:B$2,-1+SUMPRODUCT(MAX(ROW(E1368:E$2)*(E1369=E1368:E$2)))))</f>
        <v> </v>
      </c>
      <c r="J1369" s="26" t="str">
        <f>IF(OR(E1369="",E1369="!!!",F1369="NEW"),"",COUNTBLANK(OFFSET(A$1,,,SUMPRODUCT(MAX(ROW(E$2:E1369)*(E1369=E$2:E1369)))))-COUNTBLANK(OFFSET(A$1,,,SUMPRODUCT(MAX(ROW(E$1:E1368)*(E2=E$1:E1368))))))</f>
        <v> </v>
      </c>
      <c r="K1369" s="26" t="str">
        <f>IF(OR(E1369="",E1369="!!!",F1369="NEW"),"",INDEX(J$1:J1368,SUMPRODUCT(MAX(ROW(E$1:E1368)*(E1369=E$1:E1368)))))</f>
        <v> </v>
      </c>
      <c r="L1369" s="27"/>
    </row>
    <row r="1370" spans="1:12">
      <c r="A1370" s="20" t="s">
        <v>873</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t="s">
        <v>616</v>
      </c>
      <c r="E1371" s="22">
        <f>IF(D1371="?OLD","!!!","")</f>
        <v/>
      </c>
      <c r="F1371" s="23" t="str">
        <f>IF(OR(E1371="",E1371="!!!"),"",IF(NOT(ISNA(VLOOKUP(E1371,E$1:E1370,1,FALSE()))),"OLD",IF(AND(E1371&lt;&gt;"",E1371&lt;&gt;"!!!"),"NEW","")))</f>
        <v> </v>
      </c>
      <c r="G1371" s="24" t="str">
        <f>IF(OR(E1371="",E1371="!!!"),"",IF(OR(J1371=0,AND(J1371=1,K1371=1),AND(J1371=1,I1371="SBJ"),AND(J1371=1,I1371=0)),"?IN_FOCUS",IF(J1371&lt;=2,"?ACTIVATED",IF(J1371&lt;&gt;"","?FAMILIAR",IF(F1371="NEW",IF(ISNA(VLOOKUP(E1371,#REF!,1,FALSE())),"?TYPE_IDENTIFIABLE","?REFERENTIAL"),"_")))))</f>
        <v> </v>
      </c>
      <c r="H1371" s="25" t="str">
        <f>IF(J1371&lt;&gt;1,"",IF(I1371="SBJ","CB","?"))</f>
        <v> </v>
      </c>
      <c r="I1371" s="26" t="str">
        <f>IF(OR(E1371="",E1371="!!!",F1371="NEW"),"",INDEX(B1370:B$2,-1+SUMPRODUCT(MAX(ROW(E1370:E$2)*(E1371=E1370:E$2)))))</f>
        <v> </v>
      </c>
      <c r="J1371" s="26" t="str">
        <f>IF(OR(E1371="",E1371="!!!",F1371="NEW"),"",COUNTBLANK(OFFSET(A$1,,,SUMPRODUCT(MAX(ROW(E$2:E1371)*(E1371=E$2:E1371)))))-COUNTBLANK(OFFSET(A$1,,,SUMPRODUCT(MAX(ROW(E$1:E1370)*(E2=E$1:E1370))))))</f>
        <v> </v>
      </c>
      <c r="K1371" s="26" t="str">
        <f>IF(OR(E1371="",E1371="!!!",F1371="NEW"),"",INDEX(J$1:J1370,SUMPRODUCT(MAX(ROW(E$1:E1370)*(E1371=E$1:E1370)))))</f>
        <v> </v>
      </c>
      <c r="L1371" s="27"/>
    </row>
    <row r="1372" spans="1:12">
      <c r="A1372" s="20" t="s">
        <v>560</v>
      </c>
      <c r="E1372" s="22">
        <f>IF(D1372="?OLD","!!!","")</f>
        <v/>
      </c>
      <c r="F1372" s="23" t="str">
        <f>IF(OR(E1372="",E1372="!!!"),"",IF(NOT(ISNA(VLOOKUP(E1372,E$1:E1371,1,FALSE()))),"OLD",IF(AND(E1372&lt;&gt;"",E1372&lt;&gt;"!!!"),"NEW","")))</f>
        <v> </v>
      </c>
      <c r="G1372" s="24" t="str">
        <f>IF(OR(E1372="",E1372="!!!"),"",IF(OR(J1372=0,AND(J1372=1,K1372=1),AND(J1372=1,I1372="SBJ"),AND(J1372=1,I1372=0)),"?IN_FOCUS",IF(J1372&lt;=2,"?ACTIVATED",IF(J1372&lt;&gt;"","?FAMILIAR",IF(F1372="NEW",IF(ISNA(VLOOKUP(E1372,#REF!,1,FALSE())),"?TYPE_IDENTIFIABLE","?REFERENTIAL"),"_")))))</f>
        <v> </v>
      </c>
      <c r="H1372" s="25" t="str">
        <f>IF(J1372&lt;&gt;1,"",IF(I1372="SBJ","CB","?"))</f>
        <v> </v>
      </c>
      <c r="I1372" s="26" t="str">
        <f>IF(OR(E1372="",E1372="!!!",F1372="NEW"),"",INDEX(B1371:B$2,-1+SUMPRODUCT(MAX(ROW(E1371:E$2)*(E1372=E1371:E$2)))))</f>
        <v> </v>
      </c>
      <c r="J1372" s="26" t="str">
        <f>IF(OR(E1372="",E1372="!!!",F1372="NEW"),"",COUNTBLANK(OFFSET(A$1,,,SUMPRODUCT(MAX(ROW(E$2:E1372)*(E1372=E$2:E1372)))))-COUNTBLANK(OFFSET(A$1,,,SUMPRODUCT(MAX(ROW(E$1:E1371)*(E2=E$1:E1371))))))</f>
        <v> </v>
      </c>
      <c r="K1372" s="26" t="str">
        <f>IF(OR(E1372="",E1372="!!!",F1372="NEW"),"",INDEX(J$1:J1371,SUMPRODUCT(MAX(ROW(E$1:E1371)*(E1372=E$1:E1371)))))</f>
        <v> </v>
      </c>
      <c r="L1372" s="27"/>
    </row>
    <row r="1373" spans="1:12">
      <c r="A1373" s="20" t="s">
        <v>620</v>
      </c>
      <c r="E1373" s="22">
        <f>IF(D1373="?OLD","!!!","")</f>
        <v/>
      </c>
      <c r="F1373" s="23" t="str">
        <f>IF(OR(E1373="",E1373="!!!"),"",IF(NOT(ISNA(VLOOKUP(E1373,E$1:E1372,1,FALSE()))),"OLD",IF(AND(E1373&lt;&gt;"",E1373&lt;&gt;"!!!"),"NEW","")))</f>
        <v> </v>
      </c>
      <c r="G1373" s="24" t="str">
        <f>IF(OR(E1373="",E1373="!!!"),"",IF(OR(J1373=0,AND(J1373=1,K1373=1),AND(J1373=1,I1373="SBJ"),AND(J1373=1,I1373=0)),"?IN_FOCUS",IF(J1373&lt;=2,"?ACTIVATED",IF(J1373&lt;&gt;"","?FAMILIAR",IF(F1373="NEW",IF(ISNA(VLOOKUP(E1373,#REF!,1,FALSE())),"?TYPE_IDENTIFIABLE","?REFERENTIAL"),"_")))))</f>
        <v> </v>
      </c>
      <c r="H1373" s="25" t="str">
        <f>IF(J1373&lt;&gt;1,"",IF(I1373="SBJ","CB","?"))</f>
        <v> </v>
      </c>
      <c r="I1373" s="26" t="str">
        <f>IF(OR(E1373="",E1373="!!!",F1373="NEW"),"",INDEX(B1372:B$2,-1+SUMPRODUCT(MAX(ROW(E1372:E$2)*(E1373=E1372:E$2)))))</f>
        <v> </v>
      </c>
      <c r="J1373" s="26" t="str">
        <f>IF(OR(E1373="",E1373="!!!",F1373="NEW"),"",COUNTBLANK(OFFSET(A$1,,,SUMPRODUCT(MAX(ROW(E$2:E1373)*(E1373=E$2:E1373)))))-COUNTBLANK(OFFSET(A$1,,,SUMPRODUCT(MAX(ROW(E$1:E1372)*(E2=E$1:E1372))))))</f>
        <v> </v>
      </c>
      <c r="K1373" s="26" t="str">
        <f>IF(OR(E1373="",E1373="!!!",F1373="NEW"),"",INDEX(J$1:J1372,SUMPRODUCT(MAX(ROW(E$1:E1372)*(E1373=E$1:E1372)))))</f>
        <v> </v>
      </c>
      <c r="L1373" s="27"/>
    </row>
    <row r="1374" spans="1:12">
      <c r="A1374" s="20" t="s">
        <v>544</v>
      </c>
      <c r="B1374" s="21" t="s">
        <v>452</v>
      </c>
      <c r="C1374" s="21" t="s">
        <v>361</v>
      </c>
      <c r="D1374" s="21" t="s">
        <v>358</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874</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875</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876</v>
      </c>
      <c r="B1377" s="21" t="s">
        <v>451</v>
      </c>
      <c r="C1377" s="21" t="s">
        <v>357</v>
      </c>
      <c r="D1377" s="21" t="s">
        <v>358</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t="s">
        <v>380</v>
      </c>
      <c r="E1378" s="22">
        <f>IF(D1378="?OLD","!!!","")</f>
        <v/>
      </c>
      <c r="F1378" s="23" t="str">
        <f>IF(OR(E1378="",E1378="!!!"),"",IF(NOT(ISNA(VLOOKUP(E1378,E$1:E1377,1,FALSE()))),"OLD",IF(AND(E1378&lt;&gt;"",E1378&lt;&gt;"!!!"),"NEW","")))</f>
        <v> </v>
      </c>
      <c r="G1378" s="24" t="str">
        <f>IF(OR(E1378="",E1378="!!!"),"",IF(OR(J1378=0,AND(J1378=1,K1378=1),AND(J1378=1,I1378="SBJ"),AND(J1378=1,I1378=0)),"?IN_FOCUS",IF(J1378&lt;=2,"?ACTIVATED",IF(J1378&lt;&gt;"","?FAMILIAR",IF(F1378="NEW",IF(ISNA(VLOOKUP(E1378,#REF!,1,FALSE())),"?TYPE_IDENTIFIABLE","?REFERENTIAL"),"_")))))</f>
        <v> </v>
      </c>
      <c r="H1378" s="25" t="str">
        <f>IF(J1378&lt;&gt;1,"",IF(I1378="SBJ","CB","?"))</f>
        <v> </v>
      </c>
      <c r="I1378" s="26" t="str">
        <f>IF(OR(E1378="",E1378="!!!",F1378="NEW"),"",INDEX(B1377:B$2,-1+SUMPRODUCT(MAX(ROW(E1377:E$2)*(E1378=E1377:E$2)))))</f>
        <v> </v>
      </c>
      <c r="J1378" s="26" t="str">
        <f>IF(OR(E1378="",E1378="!!!",F1378="NEW"),"",COUNTBLANK(OFFSET(A$1,,,SUMPRODUCT(MAX(ROW(E$2:E1378)*(E1378=E$2:E1378)))))-COUNTBLANK(OFFSET(A$1,,,SUMPRODUCT(MAX(ROW(E$1:E1377)*(E2=E$1:E1377))))))</f>
        <v> </v>
      </c>
      <c r="K1378" s="26" t="str">
        <f>IF(OR(E1378="",E1378="!!!",F1378="NEW"),"",INDEX(J$1:J1377,SUMPRODUCT(MAX(ROW(E$1:E1377)*(E1378=E$1:E1377)))))</f>
        <v> </v>
      </c>
      <c r="L1378" s="27"/>
    </row>
    <row r="1379" spans="1:12">
      <c r="A1379" s="20" t="s">
        <v>386</v>
      </c>
      <c r="E1379" s="22">
        <f>IF(D1379="?OLD","!!!","")</f>
        <v/>
      </c>
      <c r="F1379" s="23" t="str">
        <f>IF(OR(E1379="",E1379="!!!"),"",IF(NOT(ISNA(VLOOKUP(E1379,E$1:E1378,1,FALSE()))),"OLD",IF(AND(E1379&lt;&gt;"",E1379&lt;&gt;"!!!"),"NEW","")))</f>
        <v> </v>
      </c>
      <c r="G1379" s="24" t="str">
        <f>IF(OR(E1379="",E1379="!!!"),"",IF(OR(J1379=0,AND(J1379=1,K1379=1),AND(J1379=1,I1379="SBJ"),AND(J1379=1,I1379=0)),"?IN_FOCUS",IF(J1379&lt;=2,"?ACTIVATED",IF(J1379&lt;&gt;"","?FAMILIAR",IF(F1379="NEW",IF(ISNA(VLOOKUP(E1379,#REF!,1,FALSE())),"?TYPE_IDENTIFIABLE","?REFERENTIAL"),"_")))))</f>
        <v> </v>
      </c>
      <c r="H1379" s="25" t="str">
        <f>IF(J1379&lt;&gt;1,"",IF(I1379="SBJ","CB","?"))</f>
        <v> </v>
      </c>
      <c r="I1379" s="26" t="str">
        <f>IF(OR(E1379="",E1379="!!!",F1379="NEW"),"",INDEX(B1378:B$2,-1+SUMPRODUCT(MAX(ROW(E1378:E$2)*(E1379=E1378:E$2)))))</f>
        <v> </v>
      </c>
      <c r="J1379" s="26" t="str">
        <f>IF(OR(E1379="",E1379="!!!",F1379="NEW"),"",COUNTBLANK(OFFSET(A$1,,,SUMPRODUCT(MAX(ROW(E$2:E1379)*(E1379=E$2:E1379)))))-COUNTBLANK(OFFSET(A$1,,,SUMPRODUCT(MAX(ROW(E$1:E1378)*(E2=E$1:E1378))))))</f>
        <v> </v>
      </c>
      <c r="K1379" s="26" t="str">
        <f>IF(OR(E1379="",E1379="!!!",F1379="NEW"),"",INDEX(J$1:J1378,SUMPRODUCT(MAX(ROW(E$1:E1378)*(E1379=E$1:E1378)))))</f>
        <v> </v>
      </c>
      <c r="L1379" s="27"/>
    </row>
    <row r="1380" spans="1:12">
      <c r="A1380" s="20" t="s">
        <v>523</v>
      </c>
      <c r="B1380" s="21" t="s">
        <v>360</v>
      </c>
      <c r="C1380" s="21" t="s">
        <v>385</v>
      </c>
      <c r="D1380" s="21" t="s">
        <v>358</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t="s">
        <v>369</v>
      </c>
      <c r="E1381" s="22">
        <f>IF(D1381="?OLD","!!!","")</f>
        <v/>
      </c>
      <c r="F1381" s="23" t="str">
        <f>IF(OR(E1381="",E1381="!!!"),"",IF(NOT(ISNA(VLOOKUP(E1381,E$1:E1380,1,FALSE()))),"OLD",IF(AND(E1381&lt;&gt;"",E1381&lt;&gt;"!!!"),"NEW","")))</f>
        <v> </v>
      </c>
      <c r="G1381" s="24" t="str">
        <f>IF(OR(E1381="",E1381="!!!"),"",IF(OR(J1381=0,AND(J1381=1,K1381=1),AND(J1381=1,I1381="SBJ"),AND(J1381=1,I1381=0)),"?IN_FOCUS",IF(J1381&lt;=2,"?ACTIVATED",IF(J1381&lt;&gt;"","?FAMILIAR",IF(F1381="NEW",IF(ISNA(VLOOKUP(E1381,#REF!,1,FALSE())),"?TYPE_IDENTIFIABLE","?REFERENTIAL"),"_")))))</f>
        <v> </v>
      </c>
      <c r="H1381" s="25" t="str">
        <f>IF(J1381&lt;&gt;1,"",IF(I1381="SBJ","CB","?"))</f>
        <v> </v>
      </c>
      <c r="I1381" s="26" t="str">
        <f>IF(OR(E1381="",E1381="!!!",F1381="NEW"),"",INDEX(B1380:B$2,-1+SUMPRODUCT(MAX(ROW(E1380:E$2)*(E1381=E1380:E$2)))))</f>
        <v> </v>
      </c>
      <c r="J1381" s="26" t="str">
        <f>IF(OR(E1381="",E1381="!!!",F1381="NEW"),"",COUNTBLANK(OFFSET(A$1,,,SUMPRODUCT(MAX(ROW(E$2:E1381)*(E1381=E$2:E1381)))))-COUNTBLANK(OFFSET(A$1,,,SUMPRODUCT(MAX(ROW(E$1:E1380)*(E2=E$1:E1380))))))</f>
        <v> </v>
      </c>
      <c r="K1381" s="26" t="str">
        <f>IF(OR(E1381="",E1381="!!!",F1381="NEW"),"",INDEX(J$1:J1380,SUMPRODUCT(MAX(ROW(E$1:E1380)*(E1381=E$1:E1380)))))</f>
        <v> </v>
      </c>
      <c r="L1381" s="27"/>
    </row>
    <row r="1382" spans="1:12">
      <c r="A1382" s="20" t="s">
        <v>525</v>
      </c>
      <c r="E1382" s="22">
        <f>IF(D1382="?OLD","!!!","")</f>
        <v/>
      </c>
      <c r="F1382" s="23" t="str">
        <f>IF(OR(E1382="",E1382="!!!"),"",IF(NOT(ISNA(VLOOKUP(E1382,E$1:E1381,1,FALSE()))),"OLD",IF(AND(E1382&lt;&gt;"",E1382&lt;&gt;"!!!"),"NEW","")))</f>
        <v> </v>
      </c>
      <c r="G1382" s="24" t="str">
        <f>IF(OR(E1382="",E1382="!!!"),"",IF(OR(J1382=0,AND(J1382=1,K1382=1),AND(J1382=1,I1382="SBJ"),AND(J1382=1,I1382=0)),"?IN_FOCUS",IF(J1382&lt;=2,"?ACTIVATED",IF(J1382&lt;&gt;"","?FAMILIAR",IF(F1382="NEW",IF(ISNA(VLOOKUP(E1382,#REF!,1,FALSE())),"?TYPE_IDENTIFIABLE","?REFERENTIAL"),"_")))))</f>
        <v> </v>
      </c>
      <c r="H1382" s="25" t="str">
        <f>IF(J1382&lt;&gt;1,"",IF(I1382="SBJ","CB","?"))</f>
        <v> </v>
      </c>
      <c r="I1382" s="26" t="str">
        <f>IF(OR(E1382="",E1382="!!!",F1382="NEW"),"",INDEX(B1381:B$2,-1+SUMPRODUCT(MAX(ROW(E1381:E$2)*(E1382=E1381:E$2)))))</f>
        <v> </v>
      </c>
      <c r="J1382" s="26" t="str">
        <f>IF(OR(E1382="",E1382="!!!",F1382="NEW"),"",COUNTBLANK(OFFSET(A$1,,,SUMPRODUCT(MAX(ROW(E$2:E1382)*(E1382=E$2:E1382)))))-COUNTBLANK(OFFSET(A$1,,,SUMPRODUCT(MAX(ROW(E$1:E1381)*(E2=E$1:E1381))))))</f>
        <v> </v>
      </c>
      <c r="K1382" s="26" t="str">
        <f>IF(OR(E1382="",E1382="!!!",F1382="NEW"),"",INDEX(J$1:J1381,SUMPRODUCT(MAX(ROW(E$1:E1381)*(E1382=E$1:E1381)))))</f>
        <v> </v>
      </c>
      <c r="L1382" s="27"/>
    </row>
    <row r="1383" spans="1:12">
      <c r="A1383" s="20" t="s">
        <v>376</v>
      </c>
      <c r="E1383" s="22">
        <f>IF(D1383="?OLD","!!!","")</f>
        <v/>
      </c>
      <c r="F1383" s="23" t="str">
        <f>IF(OR(E1383="",E1383="!!!"),"",IF(NOT(ISNA(VLOOKUP(E1383,E$1:E1382,1,FALSE()))),"OLD",IF(AND(E1383&lt;&gt;"",E1383&lt;&gt;"!!!"),"NEW","")))</f>
        <v> </v>
      </c>
      <c r="G1383" s="24" t="str">
        <f>IF(OR(E1383="",E1383="!!!"),"",IF(OR(J1383=0,AND(J1383=1,K1383=1),AND(J1383=1,I1383="SBJ"),AND(J1383=1,I1383=0)),"?IN_FOCUS",IF(J1383&lt;=2,"?ACTIVATED",IF(J1383&lt;&gt;"","?FAMILIAR",IF(F1383="NEW",IF(ISNA(VLOOKUP(E1383,#REF!,1,FALSE())),"?TYPE_IDENTIFIABLE","?REFERENTIAL"),"_")))))</f>
        <v> </v>
      </c>
      <c r="H1383" s="25" t="str">
        <f>IF(J1383&lt;&gt;1,"",IF(I1383="SBJ","CB","?"))</f>
        <v> </v>
      </c>
      <c r="I1383" s="26" t="str">
        <f>IF(OR(E1383="",E1383="!!!",F1383="NEW"),"",INDEX(B1382:B$2,-1+SUMPRODUCT(MAX(ROW(E1382:E$2)*(E1383=E1382:E$2)))))</f>
        <v> </v>
      </c>
      <c r="J1383" s="26" t="str">
        <f>IF(OR(E1383="",E1383="!!!",F1383="NEW"),"",COUNTBLANK(OFFSET(A$1,,,SUMPRODUCT(MAX(ROW(E$2:E1383)*(E1383=E$2:E1383)))))-COUNTBLANK(OFFSET(A$1,,,SUMPRODUCT(MAX(ROW(E$1:E1382)*(E2=E$1:E1382))))))</f>
        <v> </v>
      </c>
      <c r="K1383" s="26" t="str">
        <f>IF(OR(E1383="",E1383="!!!",F1383="NEW"),"",INDEX(J$1:J1382,SUMPRODUCT(MAX(ROW(E$1:E1382)*(E1383=E$1:E1382)))))</f>
        <v> </v>
      </c>
      <c r="L1383" s="27"/>
    </row>
    <row r="1384" spans="1:12">
      <c r="A1384" s="20" t="s">
        <v>560</v>
      </c>
      <c r="E1384" s="22">
        <f>IF(D1384="?OLD","!!!","")</f>
        <v/>
      </c>
      <c r="F1384" s="23" t="str">
        <f>IF(OR(E1384="",E1384="!!!"),"",IF(NOT(ISNA(VLOOKUP(E1384,E$1:E1383,1,FALSE()))),"OLD",IF(AND(E1384&lt;&gt;"",E1384&lt;&gt;"!!!"),"NEW","")))</f>
        <v> </v>
      </c>
      <c r="G1384" s="24" t="str">
        <f>IF(OR(E1384="",E1384="!!!"),"",IF(OR(J1384=0,AND(J1384=1,K1384=1),AND(J1384=1,I1384="SBJ"),AND(J1384=1,I1384=0)),"?IN_FOCUS",IF(J1384&lt;=2,"?ACTIVATED",IF(J1384&lt;&gt;"","?FAMILIAR",IF(F1384="NEW",IF(ISNA(VLOOKUP(E1384,#REF!,1,FALSE())),"?TYPE_IDENTIFIABLE","?REFERENTIAL"),"_")))))</f>
        <v> </v>
      </c>
      <c r="H1384" s="25" t="str">
        <f>IF(J1384&lt;&gt;1,"",IF(I1384="SBJ","CB","?"))</f>
        <v> </v>
      </c>
      <c r="I1384" s="26" t="str">
        <f>IF(OR(E1384="",E1384="!!!",F1384="NEW"),"",INDEX(B1383:B$2,-1+SUMPRODUCT(MAX(ROW(E1383:E$2)*(E1384=E1383:E$2)))))</f>
        <v> </v>
      </c>
      <c r="J1384" s="26" t="str">
        <f>IF(OR(E1384="",E1384="!!!",F1384="NEW"),"",COUNTBLANK(OFFSET(A$1,,,SUMPRODUCT(MAX(ROW(E$2:E1384)*(E1384=E$2:E1384)))))-COUNTBLANK(OFFSET(A$1,,,SUMPRODUCT(MAX(ROW(E$1:E1383)*(E2=E$1:E1383))))))</f>
        <v> </v>
      </c>
      <c r="K1384" s="26" t="str">
        <f>IF(OR(E1384="",E1384="!!!",F1384="NEW"),"",INDEX(J$1:J1383,SUMPRODUCT(MAX(ROW(E$1:E1383)*(E1384=E$1:E1383)))))</f>
        <v> </v>
      </c>
      <c r="L1384" s="27"/>
    </row>
    <row r="1385" spans="1:12">
      <c r="A1385" s="20" t="s">
        <v>877</v>
      </c>
      <c r="B1385" s="21" t="s">
        <v>489</v>
      </c>
      <c r="C1385" s="21" t="s">
        <v>371</v>
      </c>
      <c r="D1385" s="21" t="s">
        <v>358</v>
      </c>
      <c r="E1385" s="22">
        <f>IF(D1385="?OLD","!!!","")</f>
        <v/>
      </c>
      <c r="F1385" s="23" t="str">
        <f>IF(OR(E1385="",E1385="!!!"),"",IF(NOT(ISNA(VLOOKUP(E1385,E$1:E1384,1,FALSE()))),"OLD",IF(AND(E1385&lt;&gt;"",E1385&lt;&gt;"!!!"),"NEW","")))</f>
        <v> </v>
      </c>
      <c r="G1385" s="24" t="str">
        <f>IF(OR(E1385="",E1385="!!!"),"",IF(OR(J1385=0,AND(J1385=1,K1385=1),AND(J1385=1,I1385="SBJ"),AND(J1385=1,I1385=0)),"?IN_FOCUS",IF(J1385&lt;=2,"?ACTIVATED",IF(J1385&lt;&gt;"","?FAMILIAR",IF(F1385="NEW",IF(ISNA(VLOOKUP(E1385,#REF!,1,FALSE())),"?TYPE_IDENTIFIABLE","?REFERENTIAL"),"_")))))</f>
        <v> </v>
      </c>
      <c r="H1385" s="25" t="str">
        <f>IF(J1385&lt;&gt;1,"",IF(I1385="SBJ","CB","?"))</f>
        <v> </v>
      </c>
      <c r="I1385" s="26" t="str">
        <f>IF(OR(E1385="",E1385="!!!",F1385="NEW"),"",INDEX(B1384:B$2,-1+SUMPRODUCT(MAX(ROW(E1384:E$2)*(E1385=E1384:E$2)))))</f>
        <v> </v>
      </c>
      <c r="J1385" s="26" t="str">
        <f>IF(OR(E1385="",E1385="!!!",F1385="NEW"),"",COUNTBLANK(OFFSET(A$1,,,SUMPRODUCT(MAX(ROW(E$2:E1385)*(E1385=E$2:E1385)))))-COUNTBLANK(OFFSET(A$1,,,SUMPRODUCT(MAX(ROW(E$1:E1384)*(E2=E$1:E1384))))))</f>
        <v> </v>
      </c>
      <c r="K1385" s="26" t="str">
        <f>IF(OR(E1385="",E1385="!!!",F1385="NEW"),"",INDEX(J$1:J1384,SUMPRODUCT(MAX(ROW(E$1:E1384)*(E1385=E$1:E1384)))))</f>
        <v> </v>
      </c>
      <c r="L1385" s="27"/>
    </row>
    <row r="1386" spans="1:12">
      <c r="A1386" s="20" t="s">
        <v>380</v>
      </c>
      <c r="E1386" s="22">
        <f>IF(D1386="?OLD","!!!","")</f>
        <v/>
      </c>
      <c r="F1386" s="23" t="str">
        <f>IF(OR(E1386="",E1386="!!!"),"",IF(NOT(ISNA(VLOOKUP(E1386,E$1:E1385,1,FALSE()))),"OLD",IF(AND(E1386&lt;&gt;"",E1386&lt;&gt;"!!!"),"NEW","")))</f>
        <v> </v>
      </c>
      <c r="G1386" s="24" t="str">
        <f>IF(OR(E1386="",E1386="!!!"),"",IF(OR(J1386=0,AND(J1386=1,K1386=1),AND(J1386=1,I1386="SBJ"),AND(J1386=1,I1386=0)),"?IN_FOCUS",IF(J1386&lt;=2,"?ACTIVATED",IF(J1386&lt;&gt;"","?FAMILIAR",IF(F1386="NEW",IF(ISNA(VLOOKUP(E1386,#REF!,1,FALSE())),"?TYPE_IDENTIFIABLE","?REFERENTIAL"),"_")))))</f>
        <v> </v>
      </c>
      <c r="H1386" s="25" t="str">
        <f>IF(J1386&lt;&gt;1,"",IF(I1386="SBJ","CB","?"))</f>
        <v> </v>
      </c>
      <c r="I1386" s="26" t="str">
        <f>IF(OR(E1386="",E1386="!!!",F1386="NEW"),"",INDEX(B1385:B$2,-1+SUMPRODUCT(MAX(ROW(E1385:E$2)*(E1386=E1385:E$2)))))</f>
        <v> </v>
      </c>
      <c r="J1386" s="26" t="str">
        <f>IF(OR(E1386="",E1386="!!!",F1386="NEW"),"",COUNTBLANK(OFFSET(A$1,,,SUMPRODUCT(MAX(ROW(E$2:E1386)*(E1386=E$2:E1386)))))-COUNTBLANK(OFFSET(A$1,,,SUMPRODUCT(MAX(ROW(E$1:E1385)*(E2=E$1:E1385))))))</f>
        <v> </v>
      </c>
      <c r="K1386" s="26" t="str">
        <f>IF(OR(E1386="",E1386="!!!",F1386="NEW"),"",INDEX(J$1:J1385,SUMPRODUCT(MAX(ROW(E$1:E1385)*(E1386=E$1:E1385)))))</f>
        <v> </v>
      </c>
      <c r="L1386" s="27"/>
    </row>
    <row r="1387" spans="1:12">
      <c r="A1387" s="20" t="s">
        <v>386</v>
      </c>
      <c r="E1387" s="22">
        <f>IF(D1387="?OLD","!!!","")</f>
        <v/>
      </c>
      <c r="F1387" s="23" t="str">
        <f>IF(OR(E1387="",E1387="!!!"),"",IF(NOT(ISNA(VLOOKUP(E1387,E$1:E1386,1,FALSE()))),"OLD",IF(AND(E1387&lt;&gt;"",E1387&lt;&gt;"!!!"),"NEW","")))</f>
        <v> </v>
      </c>
      <c r="G1387" s="24" t="str">
        <f>IF(OR(E1387="",E1387="!!!"),"",IF(OR(J1387=0,AND(J1387=1,K1387=1),AND(J1387=1,I1387="SBJ"),AND(J1387=1,I1387=0)),"?IN_FOCUS",IF(J1387&lt;=2,"?ACTIVATED",IF(J1387&lt;&gt;"","?FAMILIAR",IF(F1387="NEW",IF(ISNA(VLOOKUP(E1387,#REF!,1,FALSE())),"?TYPE_IDENTIFIABLE","?REFERENTIAL"),"_")))))</f>
        <v> </v>
      </c>
      <c r="H1387" s="25" t="str">
        <f>IF(J1387&lt;&gt;1,"",IF(I1387="SBJ","CB","?"))</f>
        <v> </v>
      </c>
      <c r="I1387" s="26" t="str">
        <f>IF(OR(E1387="",E1387="!!!",F1387="NEW"),"",INDEX(B1386:B$2,-1+SUMPRODUCT(MAX(ROW(E1386:E$2)*(E1387=E1386:E$2)))))</f>
        <v> </v>
      </c>
      <c r="J1387" s="26" t="str">
        <f>IF(OR(E1387="",E1387="!!!",F1387="NEW"),"",COUNTBLANK(OFFSET(A$1,,,SUMPRODUCT(MAX(ROW(E$2:E1387)*(E1387=E$2:E1387)))))-COUNTBLANK(OFFSET(A$1,,,SUMPRODUCT(MAX(ROW(E$1:E1386)*(E2=E$1:E1386))))))</f>
        <v> </v>
      </c>
      <c r="K1387" s="26" t="str">
        <f>IF(OR(E1387="",E1387="!!!",F1387="NEW"),"",INDEX(J$1:J1386,SUMPRODUCT(MAX(ROW(E$1:E1386)*(E1387=E$1:E1386)))))</f>
        <v> </v>
      </c>
      <c r="L1387" s="27"/>
    </row>
    <row r="1388" spans="1:12">
      <c r="A1388" s="20" t="s">
        <v>878</v>
      </c>
      <c r="B1388" s="21" t="s">
        <v>417</v>
      </c>
      <c r="C1388" s="21" t="s">
        <v>371</v>
      </c>
      <c r="D1388" s="21" t="s">
        <v>358</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t="s">
        <v>560</v>
      </c>
      <c r="E1389" s="22">
        <f>IF(D1389="?OLD","!!!","")</f>
        <v/>
      </c>
      <c r="F1389" s="23" t="str">
        <f>IF(OR(E1389="",E1389="!!!"),"",IF(NOT(ISNA(VLOOKUP(E1389,E$1:E1388,1,FALSE()))),"OLD",IF(AND(E1389&lt;&gt;"",E1389&lt;&gt;"!!!"),"NEW","")))</f>
        <v> </v>
      </c>
      <c r="G1389" s="24" t="str">
        <f>IF(OR(E1389="",E1389="!!!"),"",IF(OR(J1389=0,AND(J1389=1,K1389=1),AND(J1389=1,I1389="SBJ"),AND(J1389=1,I1389=0)),"?IN_FOCUS",IF(J1389&lt;=2,"?ACTIVATED",IF(J1389&lt;&gt;"","?FAMILIAR",IF(F1389="NEW",IF(ISNA(VLOOKUP(E1389,#REF!,1,FALSE())),"?TYPE_IDENTIFIABLE","?REFERENTIAL"),"_")))))</f>
        <v> </v>
      </c>
      <c r="H1389" s="25" t="str">
        <f>IF(J1389&lt;&gt;1,"",IF(I1389="SBJ","CB","?"))</f>
        <v> </v>
      </c>
      <c r="I1389" s="26" t="str">
        <f>IF(OR(E1389="",E1389="!!!",F1389="NEW"),"",INDEX(B1388:B$2,-1+SUMPRODUCT(MAX(ROW(E1388:E$2)*(E1389=E1388:E$2)))))</f>
        <v> </v>
      </c>
      <c r="J1389" s="26" t="str">
        <f>IF(OR(E1389="",E1389="!!!",F1389="NEW"),"",COUNTBLANK(OFFSET(A$1,,,SUMPRODUCT(MAX(ROW(E$2:E1389)*(E1389=E$2:E1389)))))-COUNTBLANK(OFFSET(A$1,,,SUMPRODUCT(MAX(ROW(E$1:E1388)*(E2=E$1:E1388))))))</f>
        <v> </v>
      </c>
      <c r="K1389" s="26" t="str">
        <f>IF(OR(E1389="",E1389="!!!",F1389="NEW"),"",INDEX(J$1:J1388,SUMPRODUCT(MAX(ROW(E$1:E1388)*(E1389=E$1:E1388)))))</f>
        <v> </v>
      </c>
      <c r="L1389" s="27"/>
    </row>
    <row r="1390" spans="1:12">
      <c r="A1390" s="20" t="s">
        <v>618</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row>
    <row r="1392" spans="1:12">
      <c r="A1392" s="20" t="s">
        <v>879</v>
      </c>
    </row>
    <row r="1393" spans="1:12">
      <c r="A1393" s="20" t="s">
        <v>710</v>
      </c>
      <c r="E1393" s="22">
        <f>IF(D1393="?OLD","!!!","")</f>
        <v/>
      </c>
      <c r="F1393" s="23" t="str">
        <f>IF(OR(E1393="",E1393="!!!"),"",IF(NOT(ISNA(VLOOKUP(E1393,E$1:E1392,1,FALSE()))),"OLD",IF(AND(E1393&lt;&gt;"",E1393&lt;&gt;"!!!"),"NEW","")))</f>
        <v> </v>
      </c>
      <c r="G1393" s="24" t="str">
        <f>IF(OR(E1393="",E1393="!!!"),"",IF(OR(J1393=0,AND(J1393=1,K1393=1),AND(J1393=1,I1393="SBJ"),AND(J1393=1,I1393=0)),"?IN_FOCUS",IF(J1393&lt;=2,"?ACTIVATED",IF(J1393&lt;&gt;"","?FAMILIAR",IF(F1393="NEW",IF(ISNA(VLOOKUP(E1393,#REF!,1,FALSE())),"?TYPE_IDENTIFIABLE","?REFERENTIAL"),"_")))))</f>
        <v> </v>
      </c>
      <c r="H1393" s="25" t="str">
        <f>IF(J1393&lt;&gt;1,"",IF(I1393="SBJ","CB","?"))</f>
        <v> </v>
      </c>
      <c r="I1393" s="26" t="str">
        <f>IF(OR(E1393="",E1393="!!!",F1393="NEW"),"",INDEX(B1392:B$2,-1+SUMPRODUCT(MAX(ROW(E1392:E$2)*(E1393=E1392:E$2)))))</f>
        <v> </v>
      </c>
      <c r="J1393" s="26" t="str">
        <f>IF(OR(E1393="",E1393="!!!",F1393="NEW"),"",COUNTBLANK(OFFSET(A$1,,,SUMPRODUCT(MAX(ROW(E$2:E1393)*(E1393=E$2:E1393)))))-COUNTBLANK(OFFSET(A$1,,,SUMPRODUCT(MAX(ROW(E$1:E1392)*(E2=E$1:E1392))))))</f>
        <v> </v>
      </c>
      <c r="K1393" s="26" t="str">
        <f>IF(OR(E1393="",E1393="!!!",F1393="NEW"),"",INDEX(J$1:J1392,SUMPRODUCT(MAX(ROW(E$1:E1392)*(E1393=E$1:E1392)))))</f>
        <v> </v>
      </c>
      <c r="L1393" s="27"/>
    </row>
    <row r="1394" spans="1:12">
      <c r="A1394" s="20" t="s">
        <v>647</v>
      </c>
      <c r="B1394" s="21" t="s">
        <v>373</v>
      </c>
      <c r="C1394" s="21" t="s">
        <v>385</v>
      </c>
      <c r="D1394" s="21" t="s">
        <v>358</v>
      </c>
      <c r="E1394" s="22">
        <f>IF(D1394="?OLD","!!!","")</f>
        <v/>
      </c>
      <c r="F1394" s="23" t="str">
        <f>IF(OR(E1394="",E1394="!!!"),"",IF(NOT(ISNA(VLOOKUP(E1394,E$1:E1393,1,FALSE()))),"OLD",IF(AND(E1394&lt;&gt;"",E1394&lt;&gt;"!!!"),"NEW","")))</f>
        <v> </v>
      </c>
      <c r="G1394" s="24" t="str">
        <f>IF(OR(E1394="",E1394="!!!"),"",IF(OR(J1394=0,AND(J1394=1,K1394=1),AND(J1394=1,I1394="SBJ"),AND(J1394=1,I1394=0)),"?IN_FOCUS",IF(J1394&lt;=2,"?ACTIVATED",IF(J1394&lt;&gt;"","?FAMILIAR",IF(F1394="NEW",IF(ISNA(VLOOKUP(E1394,#REF!,1,FALSE())),"?TYPE_IDENTIFIABLE","?REFERENTIAL"),"_")))))</f>
        <v> </v>
      </c>
      <c r="H1394" s="25" t="str">
        <f>IF(J1394&lt;&gt;1,"",IF(I1394="SBJ","CB","?"))</f>
        <v> </v>
      </c>
      <c r="I1394" s="26" t="str">
        <f>IF(OR(E1394="",E1394="!!!",F1394="NEW"),"",INDEX(B1393:B$2,-1+SUMPRODUCT(MAX(ROW(E1393:E$2)*(E1394=E1393:E$2)))))</f>
        <v> </v>
      </c>
      <c r="J1394" s="26" t="str">
        <f>IF(OR(E1394="",E1394="!!!",F1394="NEW"),"",COUNTBLANK(OFFSET(A$1,,,SUMPRODUCT(MAX(ROW(E$2:E1394)*(E1394=E$2:E1394)))))-COUNTBLANK(OFFSET(A$1,,,SUMPRODUCT(MAX(ROW(E$1:E1393)*(E2=E$1:E1393))))))</f>
        <v> </v>
      </c>
      <c r="K1394" s="26" t="str">
        <f>IF(OR(E1394="",E1394="!!!",F1394="NEW"),"",INDEX(J$1:J1393,SUMPRODUCT(MAX(ROW(E$1:E1393)*(E1394=E$1:E1393)))))</f>
        <v> </v>
      </c>
      <c r="L1394" s="27"/>
    </row>
    <row r="1395" spans="1:12">
      <c r="A1395" s="20" t="s">
        <v>393</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427</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462</v>
      </c>
      <c r="B1397" s="21" t="s">
        <v>429</v>
      </c>
      <c r="C1397" s="21" t="s">
        <v>357</v>
      </c>
      <c r="D1397" s="21" t="s">
        <v>358</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t="s">
        <v>880</v>
      </c>
      <c r="E1398" s="22">
        <f>IF(D1398="?OLD","!!!","")</f>
        <v/>
      </c>
      <c r="F1398" s="23" t="str">
        <f>IF(OR(E1398="",E1398="!!!"),"",IF(NOT(ISNA(VLOOKUP(E1398,E$1:E1397,1,FALSE()))),"OLD",IF(AND(E1398&lt;&gt;"",E1398&lt;&gt;"!!!"),"NEW","")))</f>
        <v> </v>
      </c>
      <c r="G1398" s="24" t="str">
        <f>IF(OR(E1398="",E1398="!!!"),"",IF(OR(J1398=0,AND(J1398=1,K1398=1),AND(J1398=1,I1398="SBJ"),AND(J1398=1,I1398=0)),"?IN_FOCUS",IF(J1398&lt;=2,"?ACTIVATED",IF(J1398&lt;&gt;"","?FAMILIAR",IF(F1398="NEW",IF(ISNA(VLOOKUP(E1398,#REF!,1,FALSE())),"?TYPE_IDENTIFIABLE","?REFERENTIAL"),"_")))))</f>
        <v> </v>
      </c>
      <c r="H1398" s="25" t="str">
        <f>IF(J1398&lt;&gt;1,"",IF(I1398="SBJ","CB","?"))</f>
        <v> </v>
      </c>
      <c r="I1398" s="26" t="str">
        <f>IF(OR(E1398="",E1398="!!!",F1398="NEW"),"",INDEX(B1397:B$2,-1+SUMPRODUCT(MAX(ROW(E1397:E$2)*(E1398=E1397:E$2)))))</f>
        <v> </v>
      </c>
      <c r="J1398" s="26" t="str">
        <f>IF(OR(E1398="",E1398="!!!",F1398="NEW"),"",COUNTBLANK(OFFSET(A$1,,,SUMPRODUCT(MAX(ROW(E$2:E1398)*(E1398=E$2:E1398)))))-COUNTBLANK(OFFSET(A$1,,,SUMPRODUCT(MAX(ROW(E$1:E1397)*(E2=E$1:E1397))))))</f>
        <v> </v>
      </c>
      <c r="K1398" s="26" t="str">
        <f>IF(OR(E1398="",E1398="!!!",F1398="NEW"),"",INDEX(J$1:J1397,SUMPRODUCT(MAX(ROW(E$1:E1397)*(E1398=E$1:E1397)))))</f>
        <v> </v>
      </c>
      <c r="L1398" s="27"/>
    </row>
    <row r="1399" spans="1:12">
      <c r="A1399" s="20" t="s">
        <v>369</v>
      </c>
      <c r="E1399" s="22">
        <f>IF(D1399="?OLD","!!!","")</f>
        <v/>
      </c>
      <c r="F1399" s="23" t="str">
        <f>IF(OR(E1399="",E1399="!!!"),"",IF(NOT(ISNA(VLOOKUP(E1399,E$1:E1398,1,FALSE()))),"OLD",IF(AND(E1399&lt;&gt;"",E1399&lt;&gt;"!!!"),"NEW","")))</f>
        <v> </v>
      </c>
      <c r="G1399" s="24" t="str">
        <f>IF(OR(E1399="",E1399="!!!"),"",IF(OR(J1399=0,AND(J1399=1,K1399=1),AND(J1399=1,I1399="SBJ"),AND(J1399=1,I1399=0)),"?IN_FOCUS",IF(J1399&lt;=2,"?ACTIVATED",IF(J1399&lt;&gt;"","?FAMILIAR",IF(F1399="NEW",IF(ISNA(VLOOKUP(E1399,#REF!,1,FALSE())),"?TYPE_IDENTIFIABLE","?REFERENTIAL"),"_")))))</f>
        <v> </v>
      </c>
      <c r="H1399" s="25" t="str">
        <f>IF(J1399&lt;&gt;1,"",IF(I1399="SBJ","CB","?"))</f>
        <v> </v>
      </c>
      <c r="I1399" s="26" t="str">
        <f>IF(OR(E1399="",E1399="!!!",F1399="NEW"),"",INDEX(B1398:B$2,-1+SUMPRODUCT(MAX(ROW(E1398:E$2)*(E1399=E1398:E$2)))))</f>
        <v> </v>
      </c>
      <c r="J1399" s="26" t="str">
        <f>IF(OR(E1399="",E1399="!!!",F1399="NEW"),"",COUNTBLANK(OFFSET(A$1,,,SUMPRODUCT(MAX(ROW(E$2:E1399)*(E1399=E$2:E1399)))))-COUNTBLANK(OFFSET(A$1,,,SUMPRODUCT(MAX(ROW(E$1:E1398)*(E2=E$1:E1398))))))</f>
        <v> </v>
      </c>
      <c r="K1399" s="26" t="str">
        <f>IF(OR(E1399="",E1399="!!!",F1399="NEW"),"",INDEX(J$1:J1398,SUMPRODUCT(MAX(ROW(E$1:E1398)*(E1399=E$1:E1398)))))</f>
        <v> </v>
      </c>
      <c r="L1399" s="27"/>
    </row>
    <row r="1400" spans="1:12">
      <c r="A1400" s="20" t="s">
        <v>881</v>
      </c>
      <c r="E1400" s="22">
        <f>IF(D1400="?OLD","!!!","")</f>
        <v/>
      </c>
      <c r="F1400" s="23" t="str">
        <f>IF(OR(E1400="",E1400="!!!"),"",IF(NOT(ISNA(VLOOKUP(E1400,E$1:E1399,1,FALSE()))),"OLD",IF(AND(E1400&lt;&gt;"",E1400&lt;&gt;"!!!"),"NEW","")))</f>
        <v> </v>
      </c>
      <c r="G1400" s="24" t="str">
        <f>IF(OR(E1400="",E1400="!!!"),"",IF(OR(J1400=0,AND(J1400=1,K1400=1),AND(J1400=1,I1400="SBJ"),AND(J1400=1,I1400=0)),"?IN_FOCUS",IF(J1400&lt;=2,"?ACTIVATED",IF(J1400&lt;&gt;"","?FAMILIAR",IF(F1400="NEW",IF(ISNA(VLOOKUP(E1400,#REF!,1,FALSE())),"?TYPE_IDENTIFIABLE","?REFERENTIAL"),"_")))))</f>
        <v> </v>
      </c>
      <c r="H1400" s="25" t="str">
        <f>IF(J1400&lt;&gt;1,"",IF(I1400="SBJ","CB","?"))</f>
        <v> </v>
      </c>
      <c r="I1400" s="26" t="str">
        <f>IF(OR(E1400="",E1400="!!!",F1400="NEW"),"",INDEX(B1399:B$2,-1+SUMPRODUCT(MAX(ROW(E1399:E$2)*(E1400=E1399:E$2)))))</f>
        <v> </v>
      </c>
      <c r="J1400" s="26" t="str">
        <f>IF(OR(E1400="",E1400="!!!",F1400="NEW"),"",COUNTBLANK(OFFSET(A$1,,,SUMPRODUCT(MAX(ROW(E$2:E1400)*(E1400=E$2:E1400)))))-COUNTBLANK(OFFSET(A$1,,,SUMPRODUCT(MAX(ROW(E$1:E1399)*(E2=E$1:E1399))))))</f>
        <v> </v>
      </c>
      <c r="K1400" s="26" t="str">
        <f>IF(OR(E1400="",E1400="!!!",F1400="NEW"),"",INDEX(J$1:J1399,SUMPRODUCT(MAX(ROW(E$1:E1399)*(E1400=E$1:E1399)))))</f>
        <v> </v>
      </c>
      <c r="L1400" s="27"/>
    </row>
    <row r="1401" spans="1:12">
      <c r="A1401" s="20" t="s">
        <v>380</v>
      </c>
      <c r="E1401" s="22">
        <f>IF(D1401="?OLD","!!!","")</f>
        <v/>
      </c>
      <c r="F1401" s="23" t="str">
        <f>IF(OR(E1401="",E1401="!!!"),"",IF(NOT(ISNA(VLOOKUP(E1401,E$1:E1400,1,FALSE()))),"OLD",IF(AND(E1401&lt;&gt;"",E1401&lt;&gt;"!!!"),"NEW","")))</f>
        <v> </v>
      </c>
      <c r="G1401" s="24" t="str">
        <f>IF(OR(E1401="",E1401="!!!"),"",IF(OR(J1401=0,AND(J1401=1,K1401=1),AND(J1401=1,I1401="SBJ"),AND(J1401=1,I1401=0)),"?IN_FOCUS",IF(J1401&lt;=2,"?ACTIVATED",IF(J1401&lt;&gt;"","?FAMILIAR",IF(F1401="NEW",IF(ISNA(VLOOKUP(E1401,#REF!,1,FALSE())),"?TYPE_IDENTIFIABLE","?REFERENTIAL"),"_")))))</f>
        <v> </v>
      </c>
      <c r="H1401" s="25" t="str">
        <f>IF(J1401&lt;&gt;1,"",IF(I1401="SBJ","CB","?"))</f>
        <v> </v>
      </c>
      <c r="I1401" s="26" t="str">
        <f>IF(OR(E1401="",E1401="!!!",F1401="NEW"),"",INDEX(B1400:B$2,-1+SUMPRODUCT(MAX(ROW(E1400:E$2)*(E1401=E1400:E$2)))))</f>
        <v> </v>
      </c>
      <c r="J1401" s="26" t="str">
        <f>IF(OR(E1401="",E1401="!!!",F1401="NEW"),"",COUNTBLANK(OFFSET(A$1,,,SUMPRODUCT(MAX(ROW(E$2:E1401)*(E1401=E$2:E1401)))))-COUNTBLANK(OFFSET(A$1,,,SUMPRODUCT(MAX(ROW(E$1:E1400)*(E2=E$1:E1400))))))</f>
        <v> </v>
      </c>
      <c r="K1401" s="26" t="str">
        <f>IF(OR(E1401="",E1401="!!!",F1401="NEW"),"",INDEX(J$1:J1400,SUMPRODUCT(MAX(ROW(E$1:E1400)*(E1401=E$1:E1400)))))</f>
        <v> </v>
      </c>
      <c r="L1401" s="27"/>
    </row>
    <row r="1402" spans="1:12">
      <c r="A1402" s="20" t="s">
        <v>398</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t="s">
        <v>882</v>
      </c>
      <c r="B1403" s="21" t="s">
        <v>360</v>
      </c>
      <c r="C1403" s="21" t="s">
        <v>385</v>
      </c>
      <c r="D1403" s="21" t="s">
        <v>358</v>
      </c>
      <c r="E1403" s="22">
        <f>IF(D1403="?OLD","!!!","")</f>
        <v/>
      </c>
      <c r="F1403" s="23" t="str">
        <f>IF(OR(E1403="",E1403="!!!"),"",IF(NOT(ISNA(VLOOKUP(E1403,E$1:E1402,1,FALSE()))),"OLD",IF(AND(E1403&lt;&gt;"",E1403&lt;&gt;"!!!"),"NEW","")))</f>
        <v> </v>
      </c>
      <c r="G1403" s="24" t="str">
        <f>IF(OR(E1403="",E1403="!!!"),"",IF(OR(J1403=0,AND(J1403=1,K1403=1),AND(J1403=1,I1403="SBJ"),AND(J1403=1,I1403=0)),"?IN_FOCUS",IF(J1403&lt;=2,"?ACTIVATED",IF(J1403&lt;&gt;"","?FAMILIAR",IF(F1403="NEW",IF(ISNA(VLOOKUP(E1403,#REF!,1,FALSE())),"?TYPE_IDENTIFIABLE","?REFERENTIAL"),"_")))))</f>
        <v> </v>
      </c>
      <c r="H1403" s="25" t="str">
        <f>IF(J1403&lt;&gt;1,"",IF(I1403="SBJ","CB","?"))</f>
        <v> </v>
      </c>
      <c r="I1403" s="26" t="str">
        <f>IF(OR(E1403="",E1403="!!!",F1403="NEW"),"",INDEX(B1402:B$2,-1+SUMPRODUCT(MAX(ROW(E1402:E$2)*(E1403=E1402:E$2)))))</f>
        <v> </v>
      </c>
      <c r="J1403" s="26" t="str">
        <f>IF(OR(E1403="",E1403="!!!",F1403="NEW"),"",COUNTBLANK(OFFSET(A$1,,,SUMPRODUCT(MAX(ROW(E$2:E1403)*(E1403=E$2:E1403)))))-COUNTBLANK(OFFSET(A$1,,,SUMPRODUCT(MAX(ROW(E$1:E1402)*(E2=E$1:E1402))))))</f>
        <v> </v>
      </c>
      <c r="K1403" s="26" t="str">
        <f>IF(OR(E1403="",E1403="!!!",F1403="NEW"),"",INDEX(J$1:J1402,SUMPRODUCT(MAX(ROW(E$1:E1402)*(E1403=E$1:E1402)))))</f>
        <v> </v>
      </c>
      <c r="L1403" s="27"/>
    </row>
    <row r="1404" spans="1:12">
      <c r="A1404" s="20" t="s">
        <v>883</v>
      </c>
      <c r="E1404" s="22">
        <f>IF(D1404="?OLD","!!!","")</f>
        <v/>
      </c>
      <c r="F1404" s="23" t="str">
        <f>IF(OR(E1404="",E1404="!!!"),"",IF(NOT(ISNA(VLOOKUP(E1404,E$1:E1403,1,FALSE()))),"OLD",IF(AND(E1404&lt;&gt;"",E1404&lt;&gt;"!!!"),"NEW","")))</f>
        <v> </v>
      </c>
      <c r="G1404" s="24" t="str">
        <f>IF(OR(E1404="",E1404="!!!"),"",IF(OR(J1404=0,AND(J1404=1,K1404=1),AND(J1404=1,I1404="SBJ"),AND(J1404=1,I1404=0)),"?IN_FOCUS",IF(J1404&lt;=2,"?ACTIVATED",IF(J1404&lt;&gt;"","?FAMILIAR",IF(F1404="NEW",IF(ISNA(VLOOKUP(E1404,#REF!,1,FALSE())),"?TYPE_IDENTIFIABLE","?REFERENTIAL"),"_")))))</f>
        <v> </v>
      </c>
      <c r="H1404" s="25" t="str">
        <f>IF(J1404&lt;&gt;1,"",IF(I1404="SBJ","CB","?"))</f>
        <v> </v>
      </c>
      <c r="I1404" s="26" t="str">
        <f>IF(OR(E1404="",E1404="!!!",F1404="NEW"),"",INDEX(B1403:B$2,-1+SUMPRODUCT(MAX(ROW(E1403:E$2)*(E1404=E1403:E$2)))))</f>
        <v> </v>
      </c>
      <c r="J1404" s="26" t="str">
        <f>IF(OR(E1404="",E1404="!!!",F1404="NEW"),"",COUNTBLANK(OFFSET(A$1,,,SUMPRODUCT(MAX(ROW(E$2:E1404)*(E1404=E$2:E1404)))))-COUNTBLANK(OFFSET(A$1,,,SUMPRODUCT(MAX(ROW(E$1:E1403)*(E2=E$1:E1403))))))</f>
        <v> </v>
      </c>
      <c r="K1404" s="26" t="str">
        <f>IF(OR(E1404="",E1404="!!!",F1404="NEW"),"",INDEX(J$1:J1403,SUMPRODUCT(MAX(ROW(E$1:E1403)*(E1404=E$1:E1403)))))</f>
        <v> </v>
      </c>
      <c r="L1404" s="27"/>
    </row>
    <row r="1405" spans="1:12">
      <c r="A1405" s="20" t="s">
        <v>211</v>
      </c>
      <c r="E1405" s="22">
        <f>IF(D1405="?OLD","!!!","")</f>
        <v/>
      </c>
      <c r="F1405" s="23" t="str">
        <f>IF(OR(E1405="",E1405="!!!"),"",IF(NOT(ISNA(VLOOKUP(E1405,E$1:E1404,1,FALSE()))),"OLD",IF(AND(E1405&lt;&gt;"",E1405&lt;&gt;"!!!"),"NEW","")))</f>
        <v> </v>
      </c>
      <c r="G1405" s="24" t="str">
        <f>IF(OR(E1405="",E1405="!!!"),"",IF(OR(J1405=0,AND(J1405=1,K1405=1),AND(J1405=1,I1405="SBJ"),AND(J1405=1,I1405=0)),"?IN_FOCUS",IF(J1405&lt;=2,"?ACTIVATED",IF(J1405&lt;&gt;"","?FAMILIAR",IF(F1405="NEW",IF(ISNA(VLOOKUP(E1405,#REF!,1,FALSE())),"?TYPE_IDENTIFIABLE","?REFERENTIAL"),"_")))))</f>
        <v> </v>
      </c>
      <c r="H1405" s="25" t="str">
        <f>IF(J1405&lt;&gt;1,"",IF(I1405="SBJ","CB","?"))</f>
        <v> </v>
      </c>
      <c r="I1405" s="26" t="str">
        <f>IF(OR(E1405="",E1405="!!!",F1405="NEW"),"",INDEX(B1404:B$2,-1+SUMPRODUCT(MAX(ROW(E1404:E$2)*(E1405=E1404:E$2)))))</f>
        <v> </v>
      </c>
      <c r="J1405" s="26" t="str">
        <f>IF(OR(E1405="",E1405="!!!",F1405="NEW"),"",COUNTBLANK(OFFSET(A$1,,,SUMPRODUCT(MAX(ROW(E$2:E1405)*(E1405=E$2:E1405)))))-COUNTBLANK(OFFSET(A$1,,,SUMPRODUCT(MAX(ROW(E$1:E1404)*(E2=E$1:E1404))))))</f>
        <v> </v>
      </c>
      <c r="K1405" s="26" t="str">
        <f>IF(OR(E1405="",E1405="!!!",F1405="NEW"),"",INDEX(J$1:J1404,SUMPRODUCT(MAX(ROW(E$1:E1404)*(E1405=E$1:E1404)))))</f>
        <v> </v>
      </c>
      <c r="L1405" s="27"/>
    </row>
    <row r="1406" spans="1:12">
      <c r="A1406" s="20" t="s">
        <v>380</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t="s">
        <v>398</v>
      </c>
      <c r="E1407" s="22">
        <f>IF(D1407="?OLD","!!!","")</f>
        <v/>
      </c>
      <c r="F1407" s="23" t="str">
        <f>IF(OR(E1407="",E1407="!!!"),"",IF(NOT(ISNA(VLOOKUP(E1407,E$1:E1406,1,FALSE()))),"OLD",IF(AND(E1407&lt;&gt;"",E1407&lt;&gt;"!!!"),"NEW","")))</f>
        <v> </v>
      </c>
      <c r="G1407" s="24" t="str">
        <f>IF(OR(E1407="",E1407="!!!"),"",IF(OR(J1407=0,AND(J1407=1,K1407=1),AND(J1407=1,I1407="SBJ"),AND(J1407=1,I1407=0)),"?IN_FOCUS",IF(J1407&lt;=2,"?ACTIVATED",IF(J1407&lt;&gt;"","?FAMILIAR",IF(F1407="NEW",IF(ISNA(VLOOKUP(E1407,#REF!,1,FALSE())),"?TYPE_IDENTIFIABLE","?REFERENTIAL"),"_")))))</f>
        <v> </v>
      </c>
      <c r="H1407" s="25" t="str">
        <f>IF(J1407&lt;&gt;1,"",IF(I1407="SBJ","CB","?"))</f>
        <v> </v>
      </c>
      <c r="I1407" s="26" t="str">
        <f>IF(OR(E1407="",E1407="!!!",F1407="NEW"),"",INDEX(B1406:B$2,-1+SUMPRODUCT(MAX(ROW(E1406:E$2)*(E1407=E1406:E$2)))))</f>
        <v> </v>
      </c>
      <c r="J1407" s="26" t="str">
        <f>IF(OR(E1407="",E1407="!!!",F1407="NEW"),"",COUNTBLANK(OFFSET(A$1,,,SUMPRODUCT(MAX(ROW(E$2:E1407)*(E1407=E$2:E1407)))))-COUNTBLANK(OFFSET(A$1,,,SUMPRODUCT(MAX(ROW(E$1:E1406)*(E2=E$1:E1406))))))</f>
        <v> </v>
      </c>
      <c r="K1407" s="26" t="str">
        <f>IF(OR(E1407="",E1407="!!!",F1407="NEW"),"",INDEX(J$1:J1406,SUMPRODUCT(MAX(ROW(E$1:E1406)*(E1407=E$1:E1406)))))</f>
        <v> </v>
      </c>
      <c r="L1407" s="27"/>
    </row>
    <row r="1408" spans="1:12">
      <c r="A1408" s="20" t="s">
        <v>690</v>
      </c>
      <c r="B1408" s="21" t="s">
        <v>388</v>
      </c>
      <c r="C1408" s="21" t="s">
        <v>385</v>
      </c>
      <c r="D1408" s="21" t="s">
        <v>358</v>
      </c>
      <c r="E1408" s="22">
        <f>IF(D1408="?OLD","!!!","")</f>
        <v/>
      </c>
      <c r="F1408" s="23" t="str">
        <f>IF(OR(E1408="",E1408="!!!"),"",IF(NOT(ISNA(VLOOKUP(E1408,E$1:E1407,1,FALSE()))),"OLD",IF(AND(E1408&lt;&gt;"",E1408&lt;&gt;"!!!"),"NEW","")))</f>
        <v> </v>
      </c>
      <c r="G1408" s="24" t="str">
        <f>IF(OR(E1408="",E1408="!!!"),"",IF(OR(J1408=0,AND(J1408=1,K1408=1),AND(J1408=1,I1408="SBJ"),AND(J1408=1,I1408=0)),"?IN_FOCUS",IF(J1408&lt;=2,"?ACTIVATED",IF(J1408&lt;&gt;"","?FAMILIAR",IF(F1408="NEW",IF(ISNA(VLOOKUP(E1408,#REF!,1,FALSE())),"?TYPE_IDENTIFIABLE","?REFERENTIAL"),"_")))))</f>
        <v> </v>
      </c>
      <c r="H1408" s="25" t="str">
        <f>IF(J1408&lt;&gt;1,"",IF(I1408="SBJ","CB","?"))</f>
        <v> </v>
      </c>
      <c r="I1408" s="26" t="str">
        <f>IF(OR(E1408="",E1408="!!!",F1408="NEW"),"",INDEX(B1407:B$2,-1+SUMPRODUCT(MAX(ROW(E1407:E$2)*(E1408=E1407:E$2)))))</f>
        <v> </v>
      </c>
      <c r="J1408" s="26" t="str">
        <f>IF(OR(E1408="",E1408="!!!",F1408="NEW"),"",COUNTBLANK(OFFSET(A$1,,,SUMPRODUCT(MAX(ROW(E$2:E1408)*(E1408=E$2:E1408)))))-COUNTBLANK(OFFSET(A$1,,,SUMPRODUCT(MAX(ROW(E$1:E1407)*(E2=E$1:E1407))))))</f>
        <v> </v>
      </c>
      <c r="K1408" s="26" t="str">
        <f>IF(OR(E1408="",E1408="!!!",F1408="NEW"),"",INDEX(J$1:J1407,SUMPRODUCT(MAX(ROW(E$1:E1407)*(E1408=E$1:E1407)))))</f>
        <v> </v>
      </c>
      <c r="L1408" s="27"/>
    </row>
    <row r="1409" spans="1:12">
      <c r="A1409" s="20" t="s">
        <v>484</v>
      </c>
      <c r="B1409" s="21" t="s">
        <v>884</v>
      </c>
      <c r="E1409" s="22">
        <f>IF(D1409="?OLD","!!!","")</f>
        <v/>
      </c>
      <c r="F1409" s="23" t="str">
        <f>IF(OR(E1409="",E1409="!!!"),"",IF(NOT(ISNA(VLOOKUP(E1409,E$1:E1408,1,FALSE()))),"OLD",IF(AND(E1409&lt;&gt;"",E1409&lt;&gt;"!!!"),"NEW","")))</f>
        <v> </v>
      </c>
      <c r="G1409" s="24" t="str">
        <f>IF(OR(E1409="",E1409="!!!"),"",IF(OR(J1409=0,AND(J1409=1,K1409=1),AND(J1409=1,I1409="SBJ"),AND(J1409=1,I1409=0)),"?IN_FOCUS",IF(J1409&lt;=2,"?ACTIVATED",IF(J1409&lt;&gt;"","?FAMILIAR",IF(F1409="NEW",IF(ISNA(VLOOKUP(E1409,#REF!,1,FALSE())),"?TYPE_IDENTIFIABLE","?REFERENTIAL"),"_")))))</f>
        <v> </v>
      </c>
      <c r="H1409" s="25" t="str">
        <f>IF(J1409&lt;&gt;1,"",IF(I1409="SBJ","CB","?"))</f>
        <v> </v>
      </c>
      <c r="I1409" s="26" t="str">
        <f>IF(OR(E1409="",E1409="!!!",F1409="NEW"),"",INDEX(B1408:B$2,-1+SUMPRODUCT(MAX(ROW(E1408:E$2)*(E1409=E1408:E$2)))))</f>
        <v> </v>
      </c>
      <c r="J1409" s="26" t="str">
        <f>IF(OR(E1409="",E1409="!!!",F1409="NEW"),"",COUNTBLANK(OFFSET(A$1,,,SUMPRODUCT(MAX(ROW(E$2:E1409)*(E1409=E$2:E1409)))))-COUNTBLANK(OFFSET(A$1,,,SUMPRODUCT(MAX(ROW(E$1:E1408)*(E2=E$1:E1408))))))</f>
        <v> </v>
      </c>
      <c r="K1409" s="26" t="str">
        <f>IF(OR(E1409="",E1409="!!!",F1409="NEW"),"",INDEX(J$1:J1408,SUMPRODUCT(MAX(ROW(E$1:E1408)*(E1409=E$1:E1408)))))</f>
        <v> </v>
      </c>
      <c r="L1409" s="27"/>
    </row>
    <row r="1410" spans="1:12">
      <c r="A1410" s="20" t="s">
        <v>885</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t="s">
        <v>380</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t="s">
        <v>398</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t="s">
        <v>399</v>
      </c>
      <c r="B1413" s="21" t="s">
        <v>493</v>
      </c>
      <c r="C1413" s="21" t="s">
        <v>385</v>
      </c>
      <c r="D1413" s="21" t="s">
        <v>358</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369</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t="s">
        <v>227</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380</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t="s">
        <v>398</v>
      </c>
      <c r="E1417" s="22">
        <f>IF(D1417="?OLD","!!!","")</f>
        <v/>
      </c>
      <c r="F1417" s="23" t="str">
        <f>IF(OR(E1417="",E1417="!!!"),"",IF(NOT(ISNA(VLOOKUP(E1417,E$1:E1416,1,FALSE()))),"OLD",IF(AND(E1417&lt;&gt;"",E1417&lt;&gt;"!!!"),"NEW","")))</f>
        <v> </v>
      </c>
      <c r="G1417" s="24" t="str">
        <f>IF(OR(E1417="",E1417="!!!"),"",IF(OR(J1417=0,AND(J1417=1,K1417=1),AND(J1417=1,I1417="SBJ"),AND(J1417=1,I1417=0)),"?IN_FOCUS",IF(J1417&lt;=2,"?ACTIVATED",IF(J1417&lt;&gt;"","?FAMILIAR",IF(F1417="NEW",IF(ISNA(VLOOKUP(E1417,#REF!,1,FALSE())),"?TYPE_IDENTIFIABLE","?REFERENTIAL"),"_")))))</f>
        <v> </v>
      </c>
      <c r="H1417" s="25" t="str">
        <f>IF(J1417&lt;&gt;1,"",IF(I1417="SBJ","CB","?"))</f>
        <v> </v>
      </c>
      <c r="I1417" s="26" t="str">
        <f>IF(OR(E1417="",E1417="!!!",F1417="NEW"),"",INDEX(B1416:B$2,-1+SUMPRODUCT(MAX(ROW(E1416:E$2)*(E1417=E1416:E$2)))))</f>
        <v> </v>
      </c>
      <c r="J1417" s="26" t="str">
        <f>IF(OR(E1417="",E1417="!!!",F1417="NEW"),"",COUNTBLANK(OFFSET(A$1,,,SUMPRODUCT(MAX(ROW(E$2:E1417)*(E1417=E$2:E1417)))))-COUNTBLANK(OFFSET(A$1,,,SUMPRODUCT(MAX(ROW(E$1:E1416)*(E2=E$1:E1416))))))</f>
        <v> </v>
      </c>
      <c r="K1417" s="26" t="str">
        <f>IF(OR(E1417="",E1417="!!!",F1417="NEW"),"",INDEX(J$1:J1416,SUMPRODUCT(MAX(ROW(E$1:E1416)*(E1417=E$1:E1416)))))</f>
        <v> </v>
      </c>
      <c r="L1417" s="27"/>
    </row>
    <row r="1418" spans="1:12">
      <c r="A1418" s="20" t="s">
        <v>886</v>
      </c>
      <c r="B1418" s="21" t="s">
        <v>580</v>
      </c>
      <c r="C1418" s="21" t="s">
        <v>385</v>
      </c>
      <c r="D1418" s="21" t="s">
        <v>358</v>
      </c>
      <c r="E1418" s="22">
        <f>IF(D1418="?OLD","!!!","")</f>
        <v/>
      </c>
      <c r="F1418" s="23" t="str">
        <f>IF(OR(E1418="",E1418="!!!"),"",IF(NOT(ISNA(VLOOKUP(E1418,E$1:E1417,1,FALSE()))),"OLD",IF(AND(E1418&lt;&gt;"",E1418&lt;&gt;"!!!"),"NEW","")))</f>
        <v> </v>
      </c>
      <c r="G1418" s="24" t="str">
        <f>IF(OR(E1418="",E1418="!!!"),"",IF(OR(J1418=0,AND(J1418=1,K1418=1),AND(J1418=1,I1418="SBJ"),AND(J1418=1,I1418=0)),"?IN_FOCUS",IF(J1418&lt;=2,"?ACTIVATED",IF(J1418&lt;&gt;"","?FAMILIAR",IF(F1418="NEW",IF(ISNA(VLOOKUP(E1418,#REF!,1,FALSE())),"?TYPE_IDENTIFIABLE","?REFERENTIAL"),"_")))))</f>
        <v> </v>
      </c>
      <c r="H1418" s="25" t="str">
        <f>IF(J1418&lt;&gt;1,"",IF(I1418="SBJ","CB","?"))</f>
        <v> </v>
      </c>
      <c r="I1418" s="26" t="str">
        <f>IF(OR(E1418="",E1418="!!!",F1418="NEW"),"",INDEX(B1417:B$2,-1+SUMPRODUCT(MAX(ROW(E1417:E$2)*(E1418=E1417:E$2)))))</f>
        <v> </v>
      </c>
      <c r="J1418" s="26" t="str">
        <f>IF(OR(E1418="",E1418="!!!",F1418="NEW"),"",COUNTBLANK(OFFSET(A$1,,,SUMPRODUCT(MAX(ROW(E$2:E1418)*(E1418=E$2:E1418)))))-COUNTBLANK(OFFSET(A$1,,,SUMPRODUCT(MAX(ROW(E$1:E1417)*(E2=E$1:E1417))))))</f>
        <v> </v>
      </c>
      <c r="K1418" s="26" t="str">
        <f>IF(OR(E1418="",E1418="!!!",F1418="NEW"),"",INDEX(J$1:J1417,SUMPRODUCT(MAX(ROW(E$1:E1417)*(E1418=E$1:E1417)))))</f>
        <v> </v>
      </c>
      <c r="L1418" s="27"/>
    </row>
    <row r="1419" spans="1:12">
      <c r="A1419" s="20" t="s">
        <v>367</v>
      </c>
      <c r="E1419" s="22">
        <f>IF(D1419="?OLD","!!!","")</f>
        <v/>
      </c>
      <c r="F1419" s="23" t="str">
        <f>IF(OR(E1419="",E1419="!!!"),"",IF(NOT(ISNA(VLOOKUP(E1419,E$1:E1418,1,FALSE()))),"OLD",IF(AND(E1419&lt;&gt;"",E1419&lt;&gt;"!!!"),"NEW","")))</f>
        <v> </v>
      </c>
      <c r="G1419" s="24" t="str">
        <f>IF(OR(E1419="",E1419="!!!"),"",IF(OR(J1419=0,AND(J1419=1,K1419=1),AND(J1419=1,I1419="SBJ"),AND(J1419=1,I1419=0)),"?IN_FOCUS",IF(J1419&lt;=2,"?ACTIVATED",IF(J1419&lt;&gt;"","?FAMILIAR",IF(F1419="NEW",IF(ISNA(VLOOKUP(E1419,#REF!,1,FALSE())),"?TYPE_IDENTIFIABLE","?REFERENTIAL"),"_")))))</f>
        <v> </v>
      </c>
      <c r="H1419" s="25" t="str">
        <f>IF(J1419&lt;&gt;1,"",IF(I1419="SBJ","CB","?"))</f>
        <v> </v>
      </c>
      <c r="I1419" s="26" t="str">
        <f>IF(OR(E1419="",E1419="!!!",F1419="NEW"),"",INDEX(B1418:B$2,-1+SUMPRODUCT(MAX(ROW(E1418:E$2)*(E1419=E1418:E$2)))))</f>
        <v> </v>
      </c>
      <c r="J1419" s="26" t="str">
        <f>IF(OR(E1419="",E1419="!!!",F1419="NEW"),"",COUNTBLANK(OFFSET(A$1,,,SUMPRODUCT(MAX(ROW(E$2:E1419)*(E1419=E$2:E1419)))))-COUNTBLANK(OFFSET(A$1,,,SUMPRODUCT(MAX(ROW(E$1:E1418)*(E2=E$1:E1418))))))</f>
        <v> </v>
      </c>
      <c r="K1419" s="26" t="str">
        <f>IF(OR(E1419="",E1419="!!!",F1419="NEW"),"",INDEX(J$1:J1418,SUMPRODUCT(MAX(ROW(E$1:E1418)*(E1419=E$1:E1418)))))</f>
        <v> </v>
      </c>
      <c r="L1419" s="27"/>
    </row>
    <row r="1420" spans="1:12">
      <c r="A1420" s="20" t="s">
        <v>380</v>
      </c>
      <c r="E1420" s="22">
        <f>IF(D1420="?OLD","!!!","")</f>
        <v/>
      </c>
      <c r="F1420" s="23" t="str">
        <f>IF(OR(E1420="",E1420="!!!"),"",IF(NOT(ISNA(VLOOKUP(E1420,E$1:E1419,1,FALSE()))),"OLD",IF(AND(E1420&lt;&gt;"",E1420&lt;&gt;"!!!"),"NEW","")))</f>
        <v> </v>
      </c>
      <c r="G1420" s="24" t="str">
        <f>IF(OR(E1420="",E1420="!!!"),"",IF(OR(J1420=0,AND(J1420=1,K1420=1),AND(J1420=1,I1420="SBJ"),AND(J1420=1,I1420=0)),"?IN_FOCUS",IF(J1420&lt;=2,"?ACTIVATED",IF(J1420&lt;&gt;"","?FAMILIAR",IF(F1420="NEW",IF(ISNA(VLOOKUP(E1420,#REF!,1,FALSE())),"?TYPE_IDENTIFIABLE","?REFERENTIAL"),"_")))))</f>
        <v> </v>
      </c>
      <c r="H1420" s="25" t="str">
        <f>IF(J1420&lt;&gt;1,"",IF(I1420="SBJ","CB","?"))</f>
        <v> </v>
      </c>
      <c r="I1420" s="26" t="str">
        <f>IF(OR(E1420="",E1420="!!!",F1420="NEW"),"",INDEX(B1419:B$2,-1+SUMPRODUCT(MAX(ROW(E1419:E$2)*(E1420=E1419:E$2)))))</f>
        <v> </v>
      </c>
      <c r="J1420" s="26" t="str">
        <f>IF(OR(E1420="",E1420="!!!",F1420="NEW"),"",COUNTBLANK(OFFSET(A$1,,,SUMPRODUCT(MAX(ROW(E$2:E1420)*(E1420=E$2:E1420)))))-COUNTBLANK(OFFSET(A$1,,,SUMPRODUCT(MAX(ROW(E$1:E1419)*(E2=E$1:E1419))))))</f>
        <v> </v>
      </c>
      <c r="K1420" s="26" t="str">
        <f>IF(OR(E1420="",E1420="!!!",F1420="NEW"),"",INDEX(J$1:J1419,SUMPRODUCT(MAX(ROW(E$1:E1419)*(E1420=E$1:E1419)))))</f>
        <v> </v>
      </c>
      <c r="L1420" s="27"/>
    </row>
    <row r="1421" spans="1:12">
      <c r="A1421" s="20" t="s">
        <v>398</v>
      </c>
      <c r="E1421" s="22">
        <f>IF(D1421="?OLD","!!!","")</f>
        <v/>
      </c>
      <c r="F1421" s="23" t="str">
        <f>IF(OR(E1421="",E1421="!!!"),"",IF(NOT(ISNA(VLOOKUP(E1421,E$1:E1420,1,FALSE()))),"OLD",IF(AND(E1421&lt;&gt;"",E1421&lt;&gt;"!!!"),"NEW","")))</f>
        <v> </v>
      </c>
      <c r="G1421" s="24" t="str">
        <f>IF(OR(E1421="",E1421="!!!"),"",IF(OR(J1421=0,AND(J1421=1,K1421=1),AND(J1421=1,I1421="SBJ"),AND(J1421=1,I1421=0)),"?IN_FOCUS",IF(J1421&lt;=2,"?ACTIVATED",IF(J1421&lt;&gt;"","?FAMILIAR",IF(F1421="NEW",IF(ISNA(VLOOKUP(E1421,#REF!,1,FALSE())),"?TYPE_IDENTIFIABLE","?REFERENTIAL"),"_")))))</f>
        <v> </v>
      </c>
      <c r="H1421" s="25" t="str">
        <f>IF(J1421&lt;&gt;1,"",IF(I1421="SBJ","CB","?"))</f>
        <v> </v>
      </c>
      <c r="I1421" s="26" t="str">
        <f>IF(OR(E1421="",E1421="!!!",F1421="NEW"),"",INDEX(B1420:B$2,-1+SUMPRODUCT(MAX(ROW(E1420:E$2)*(E1421=E1420:E$2)))))</f>
        <v> </v>
      </c>
      <c r="J1421" s="26" t="str">
        <f>IF(OR(E1421="",E1421="!!!",F1421="NEW"),"",COUNTBLANK(OFFSET(A$1,,,SUMPRODUCT(MAX(ROW(E$2:E1421)*(E1421=E$2:E1421)))))-COUNTBLANK(OFFSET(A$1,,,SUMPRODUCT(MAX(ROW(E$1:E1420)*(E2=E$1:E1420))))))</f>
        <v> </v>
      </c>
      <c r="K1421" s="26" t="str">
        <f>IF(OR(E1421="",E1421="!!!",F1421="NEW"),"",INDEX(J$1:J1420,SUMPRODUCT(MAX(ROW(E$1:E1420)*(E1421=E$1:E1420)))))</f>
        <v> </v>
      </c>
      <c r="L1421" s="27"/>
    </row>
    <row r="1422" spans="1:12">
      <c r="A1422" s="20" t="s">
        <v>887</v>
      </c>
      <c r="B1422" s="21" t="s">
        <v>585</v>
      </c>
      <c r="C1422" s="21" t="s">
        <v>385</v>
      </c>
      <c r="D1422" s="21" t="s">
        <v>358</v>
      </c>
      <c r="E1422" s="22">
        <f>IF(D1422="?OLD","!!!","")</f>
        <v/>
      </c>
      <c r="F1422" s="23" t="str">
        <f>IF(OR(E1422="",E1422="!!!"),"",IF(NOT(ISNA(VLOOKUP(E1422,E$1:E1421,1,FALSE()))),"OLD",IF(AND(E1422&lt;&gt;"",E1422&lt;&gt;"!!!"),"NEW","")))</f>
        <v> </v>
      </c>
      <c r="G1422" s="24" t="str">
        <f>IF(OR(E1422="",E1422="!!!"),"",IF(OR(J1422=0,AND(J1422=1,K1422=1),AND(J1422=1,I1422="SBJ"),AND(J1422=1,I1422=0)),"?IN_FOCUS",IF(J1422&lt;=2,"?ACTIVATED",IF(J1422&lt;&gt;"","?FAMILIAR",IF(F1422="NEW",IF(ISNA(VLOOKUP(E1422,#REF!,1,FALSE())),"?TYPE_IDENTIFIABLE","?REFERENTIAL"),"_")))))</f>
        <v> </v>
      </c>
      <c r="H1422" s="25" t="str">
        <f>IF(J1422&lt;&gt;1,"",IF(I1422="SBJ","CB","?"))</f>
        <v> </v>
      </c>
      <c r="I1422" s="26" t="str">
        <f>IF(OR(E1422="",E1422="!!!",F1422="NEW"),"",INDEX(B1421:B$2,-1+SUMPRODUCT(MAX(ROW(E1421:E$2)*(E1422=E1421:E$2)))))</f>
        <v> </v>
      </c>
      <c r="J1422" s="26" t="str">
        <f>IF(OR(E1422="",E1422="!!!",F1422="NEW"),"",COUNTBLANK(OFFSET(A$1,,,SUMPRODUCT(MAX(ROW(E$2:E1422)*(E1422=E$2:E1422)))))-COUNTBLANK(OFFSET(A$1,,,SUMPRODUCT(MAX(ROW(E$1:E1421)*(E2=E$1:E1421))))))</f>
        <v> </v>
      </c>
      <c r="K1422" s="26" t="str">
        <f>IF(OR(E1422="",E1422="!!!",F1422="NEW"),"",INDEX(J$1:J1421,SUMPRODUCT(MAX(ROW(E$1:E1421)*(E1422=E$1:E1421)))))</f>
        <v> </v>
      </c>
      <c r="L1422" s="27"/>
    </row>
    <row r="1423" spans="1:12">
      <c r="A1423" s="20" t="s">
        <v>888</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t="s">
        <v>367</v>
      </c>
      <c r="E1424" s="22">
        <f>IF(D1424="?OLD","!!!","")</f>
        <v/>
      </c>
      <c r="F1424" s="23" t="str">
        <f>IF(OR(E1424="",E1424="!!!"),"",IF(NOT(ISNA(VLOOKUP(E1424,E$1:E1423,1,FALSE()))),"OLD",IF(AND(E1424&lt;&gt;"",E1424&lt;&gt;"!!!"),"NEW","")))</f>
        <v> </v>
      </c>
      <c r="G1424" s="24" t="str">
        <f>IF(OR(E1424="",E1424="!!!"),"",IF(OR(J1424=0,AND(J1424=1,K1424=1),AND(J1424=1,I1424="SBJ"),AND(J1424=1,I1424=0)),"?IN_FOCUS",IF(J1424&lt;=2,"?ACTIVATED",IF(J1424&lt;&gt;"","?FAMILIAR",IF(F1424="NEW",IF(ISNA(VLOOKUP(E1424,#REF!,1,FALSE())),"?TYPE_IDENTIFIABLE","?REFERENTIAL"),"_")))))</f>
        <v> </v>
      </c>
      <c r="H1424" s="25" t="str">
        <f>IF(J1424&lt;&gt;1,"",IF(I1424="SBJ","CB","?"))</f>
        <v> </v>
      </c>
      <c r="I1424" s="26" t="str">
        <f>IF(OR(E1424="",E1424="!!!",F1424="NEW"),"",INDEX(B1423:B$2,-1+SUMPRODUCT(MAX(ROW(E1423:E$2)*(E1424=E1423:E$2)))))</f>
        <v> </v>
      </c>
      <c r="J1424" s="26" t="str">
        <f>IF(OR(E1424="",E1424="!!!",F1424="NEW"),"",COUNTBLANK(OFFSET(A$1,,,SUMPRODUCT(MAX(ROW(E$2:E1424)*(E1424=E$2:E1424)))))-COUNTBLANK(OFFSET(A$1,,,SUMPRODUCT(MAX(ROW(E$1:E1423)*(E2=E$1:E1423))))))</f>
        <v> </v>
      </c>
      <c r="K1424" s="26" t="str">
        <f>IF(OR(E1424="",E1424="!!!",F1424="NEW"),"",INDEX(J$1:J1423,SUMPRODUCT(MAX(ROW(E$1:E1423)*(E1424=E$1:E1423)))))</f>
        <v> </v>
      </c>
      <c r="L1424" s="27"/>
    </row>
    <row r="1425" spans="1:12">
      <c r="A1425" s="20" t="s">
        <v>211</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t="s">
        <v>380</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t="s">
        <v>398</v>
      </c>
      <c r="E1427" s="22">
        <f>IF(D1427="?OLD","!!!","")</f>
        <v/>
      </c>
      <c r="F1427" s="23" t="str">
        <f>IF(OR(E1427="",E1427="!!!"),"",IF(NOT(ISNA(VLOOKUP(E1427,E$1:E1426,1,FALSE()))),"OLD",IF(AND(E1427&lt;&gt;"",E1427&lt;&gt;"!!!"),"NEW","")))</f>
        <v> </v>
      </c>
      <c r="G1427" s="24" t="str">
        <f>IF(OR(E1427="",E1427="!!!"),"",IF(OR(J1427=0,AND(J1427=1,K1427=1),AND(J1427=1,I1427="SBJ"),AND(J1427=1,I1427=0)),"?IN_FOCUS",IF(J1427&lt;=2,"?ACTIVATED",IF(J1427&lt;&gt;"","?FAMILIAR",IF(F1427="NEW",IF(ISNA(VLOOKUP(E1427,#REF!,1,FALSE())),"?TYPE_IDENTIFIABLE","?REFERENTIAL"),"_")))))</f>
        <v> </v>
      </c>
      <c r="H1427" s="25" t="str">
        <f>IF(J1427&lt;&gt;1,"",IF(I1427="SBJ","CB","?"))</f>
        <v> </v>
      </c>
      <c r="I1427" s="26" t="str">
        <f>IF(OR(E1427="",E1427="!!!",F1427="NEW"),"",INDEX(B1426:B$2,-1+SUMPRODUCT(MAX(ROW(E1426:E$2)*(E1427=E1426:E$2)))))</f>
        <v> </v>
      </c>
      <c r="J1427" s="26" t="str">
        <f>IF(OR(E1427="",E1427="!!!",F1427="NEW"),"",COUNTBLANK(OFFSET(A$1,,,SUMPRODUCT(MAX(ROW(E$2:E1427)*(E1427=E$2:E1427)))))-COUNTBLANK(OFFSET(A$1,,,SUMPRODUCT(MAX(ROW(E$1:E1426)*(E2=E$1:E1426))))))</f>
        <v> </v>
      </c>
      <c r="K1427" s="26" t="str">
        <f>IF(OR(E1427="",E1427="!!!",F1427="NEW"),"",INDEX(J$1:J1426,SUMPRODUCT(MAX(ROW(E$1:E1426)*(E1427=E$1:E1426)))))</f>
        <v> </v>
      </c>
      <c r="L1427" s="27"/>
    </row>
    <row r="1428" spans="1:12">
      <c r="A1428" s="20" t="s">
        <v>889</v>
      </c>
      <c r="B1428" s="21" t="s">
        <v>388</v>
      </c>
      <c r="C1428" s="21" t="s">
        <v>385</v>
      </c>
      <c r="D1428" s="21" t="s">
        <v>358</v>
      </c>
      <c r="E1428" s="22">
        <f>IF(D1428="?OLD","!!!","")</f>
        <v/>
      </c>
      <c r="F1428" s="23" t="str">
        <f>IF(OR(E1428="",E1428="!!!"),"",IF(NOT(ISNA(VLOOKUP(E1428,E$1:E1427,1,FALSE()))),"OLD",IF(AND(E1428&lt;&gt;"",E1428&lt;&gt;"!!!"),"NEW","")))</f>
        <v> </v>
      </c>
      <c r="G1428" s="24" t="str">
        <f>IF(OR(E1428="",E1428="!!!"),"",IF(OR(J1428=0,AND(J1428=1,K1428=1),AND(J1428=1,I1428="SBJ"),AND(J1428=1,I1428=0)),"?IN_FOCUS",IF(J1428&lt;=2,"?ACTIVATED",IF(J1428&lt;&gt;"","?FAMILIAR",IF(F1428="NEW",IF(ISNA(VLOOKUP(E1428,#REF!,1,FALSE())),"?TYPE_IDENTIFIABLE","?REFERENTIAL"),"_")))))</f>
        <v> </v>
      </c>
      <c r="H1428" s="25" t="str">
        <f>IF(J1428&lt;&gt;1,"",IF(I1428="SBJ","CB","?"))</f>
        <v> </v>
      </c>
      <c r="I1428" s="26" t="str">
        <f>IF(OR(E1428="",E1428="!!!",F1428="NEW"),"",INDEX(B1427:B$2,-1+SUMPRODUCT(MAX(ROW(E1427:E$2)*(E1428=E1427:E$2)))))</f>
        <v> </v>
      </c>
      <c r="J1428" s="26" t="str">
        <f>IF(OR(E1428="",E1428="!!!",F1428="NEW"),"",COUNTBLANK(OFFSET(A$1,,,SUMPRODUCT(MAX(ROW(E$2:E1428)*(E1428=E$2:E1428)))))-COUNTBLANK(OFFSET(A$1,,,SUMPRODUCT(MAX(ROW(E$1:E1427)*(E2=E$1:E1427))))))</f>
        <v> </v>
      </c>
      <c r="K1428" s="26" t="str">
        <f>IF(OR(E1428="",E1428="!!!",F1428="NEW"),"",INDEX(J$1:J1427,SUMPRODUCT(MAX(ROW(E$1:E1427)*(E1428=E$1:E1427)))))</f>
        <v> </v>
      </c>
      <c r="L1428" s="27"/>
    </row>
    <row r="1429" spans="1:12">
      <c r="A1429" s="20" t="s">
        <v>890</v>
      </c>
      <c r="E1429" s="22">
        <f>IF(D1429="?OLD","!!!","")</f>
        <v/>
      </c>
      <c r="F1429" s="23" t="str">
        <f>IF(OR(E1429="",E1429="!!!"),"",IF(NOT(ISNA(VLOOKUP(E1429,E$1:E1428,1,FALSE()))),"OLD",IF(AND(E1429&lt;&gt;"",E1429&lt;&gt;"!!!"),"NEW","")))</f>
        <v> </v>
      </c>
      <c r="G1429" s="24" t="str">
        <f>IF(OR(E1429="",E1429="!!!"),"",IF(OR(J1429=0,AND(J1429=1,K1429=1),AND(J1429=1,I1429="SBJ"),AND(J1429=1,I1429=0)),"?IN_FOCUS",IF(J1429&lt;=2,"?ACTIVATED",IF(J1429&lt;&gt;"","?FAMILIAR",IF(F1429="NEW",IF(ISNA(VLOOKUP(E1429,#REF!,1,FALSE())),"?TYPE_IDENTIFIABLE","?REFERENTIAL"),"_")))))</f>
        <v> </v>
      </c>
      <c r="H1429" s="25" t="str">
        <f>IF(J1429&lt;&gt;1,"",IF(I1429="SBJ","CB","?"))</f>
        <v> </v>
      </c>
      <c r="I1429" s="26" t="str">
        <f>IF(OR(E1429="",E1429="!!!",F1429="NEW"),"",INDEX(B1428:B$2,-1+SUMPRODUCT(MAX(ROW(E1428:E$2)*(E1429=E1428:E$2)))))</f>
        <v> </v>
      </c>
      <c r="J1429" s="26" t="str">
        <f>IF(OR(E1429="",E1429="!!!",F1429="NEW"),"",COUNTBLANK(OFFSET(A$1,,,SUMPRODUCT(MAX(ROW(E$2:E1429)*(E1429=E$2:E1429)))))-COUNTBLANK(OFFSET(A$1,,,SUMPRODUCT(MAX(ROW(E$1:E1428)*(E2=E$1:E1428))))))</f>
        <v> </v>
      </c>
      <c r="K1429" s="26" t="str">
        <f>IF(OR(E1429="",E1429="!!!",F1429="NEW"),"",INDEX(J$1:J1428,SUMPRODUCT(MAX(ROW(E$1:E1428)*(E1429=E$1:E1428)))))</f>
        <v> </v>
      </c>
      <c r="L1429" s="27"/>
    </row>
    <row r="1430" spans="1:12">
      <c r="A1430" s="20" t="s">
        <v>389</v>
      </c>
      <c r="E1430" s="22">
        <f>IF(D1430="?OLD","!!!","")</f>
        <v/>
      </c>
      <c r="F1430" s="23" t="str">
        <f>IF(OR(E1430="",E1430="!!!"),"",IF(NOT(ISNA(VLOOKUP(E1430,E$1:E1429,1,FALSE()))),"OLD",IF(AND(E1430&lt;&gt;"",E1430&lt;&gt;"!!!"),"NEW","")))</f>
        <v> </v>
      </c>
      <c r="G1430" s="24" t="str">
        <f>IF(OR(E1430="",E1430="!!!"),"",IF(OR(J1430=0,AND(J1430=1,K1430=1),AND(J1430=1,I1430="SBJ"),AND(J1430=1,I1430=0)),"?IN_FOCUS",IF(J1430&lt;=2,"?ACTIVATED",IF(J1430&lt;&gt;"","?FAMILIAR",IF(F1430="NEW",IF(ISNA(VLOOKUP(E1430,#REF!,1,FALSE())),"?TYPE_IDENTIFIABLE","?REFERENTIAL"),"_")))))</f>
        <v> </v>
      </c>
      <c r="H1430" s="25" t="str">
        <f>IF(J1430&lt;&gt;1,"",IF(I1430="SBJ","CB","?"))</f>
        <v> </v>
      </c>
      <c r="I1430" s="26" t="str">
        <f>IF(OR(E1430="",E1430="!!!",F1430="NEW"),"",INDEX(B1429:B$2,-1+SUMPRODUCT(MAX(ROW(E1429:E$2)*(E1430=E1429:E$2)))))</f>
        <v> </v>
      </c>
      <c r="J1430" s="26" t="str">
        <f>IF(OR(E1430="",E1430="!!!",F1430="NEW"),"",COUNTBLANK(OFFSET(A$1,,,SUMPRODUCT(MAX(ROW(E$2:E1430)*(E1430=E$2:E1430)))))-COUNTBLANK(OFFSET(A$1,,,SUMPRODUCT(MAX(ROW(E$1:E1429)*(E2=E$1:E1429))))))</f>
        <v> </v>
      </c>
      <c r="K1430" s="26" t="str">
        <f>IF(OR(E1430="",E1430="!!!",F1430="NEW"),"",INDEX(J$1:J1429,SUMPRODUCT(MAX(ROW(E$1:E1429)*(E1430=E$1:E1429)))))</f>
        <v> </v>
      </c>
      <c r="L1430" s="27"/>
    </row>
    <row r="1431" spans="1:12">
      <c r="A1431" s="20"/>
    </row>
    <row r="1432" spans="1:12">
      <c r="A1432" s="20" t="s">
        <v>891</v>
      </c>
    </row>
    <row r="1433" spans="1:12">
      <c r="A1433" s="20" t="s">
        <v>391</v>
      </c>
      <c r="E1433" s="22">
        <f>IF(D1433="?OLD","!!!","")</f>
        <v/>
      </c>
      <c r="F1433" s="23" t="str">
        <f>IF(OR(E1433="",E1433="!!!"),"",IF(NOT(ISNA(VLOOKUP(E1433,E$1:E1432,1,FALSE()))),"OLD",IF(AND(E1433&lt;&gt;"",E1433&lt;&gt;"!!!"),"NEW","")))</f>
        <v> </v>
      </c>
      <c r="G1433" s="24" t="str">
        <f>IF(OR(E1433="",E1433="!!!"),"",IF(OR(J1433=0,AND(J1433=1,K1433=1),AND(J1433=1,I1433="SBJ"),AND(J1433=1,I1433=0)),"?IN_FOCUS",IF(J1433&lt;=2,"?ACTIVATED",IF(J1433&lt;&gt;"","?FAMILIAR",IF(F1433="NEW",IF(ISNA(VLOOKUP(E1433,#REF!,1,FALSE())),"?TYPE_IDENTIFIABLE","?REFERENTIAL"),"_")))))</f>
        <v> </v>
      </c>
      <c r="H1433" s="25" t="str">
        <f>IF(J1433&lt;&gt;1,"",IF(I1433="SBJ","CB","?"))</f>
        <v> </v>
      </c>
      <c r="I1433" s="26" t="str">
        <f>IF(OR(E1433="",E1433="!!!",F1433="NEW"),"",INDEX(B1432:B$2,-1+SUMPRODUCT(MAX(ROW(E1432:E$2)*(E1433=E1432:E$2)))))</f>
        <v> </v>
      </c>
      <c r="J1433" s="26" t="str">
        <f>IF(OR(E1433="",E1433="!!!",F1433="NEW"),"",COUNTBLANK(OFFSET(A$1,,,SUMPRODUCT(MAX(ROW(E$2:E1433)*(E1433=E$2:E1433)))))-COUNTBLANK(OFFSET(A$1,,,SUMPRODUCT(MAX(ROW(E$1:E1432)*(E2=E$1:E1432))))))</f>
        <v> </v>
      </c>
      <c r="K1433" s="26" t="str">
        <f>IF(OR(E1433="",E1433="!!!",F1433="NEW"),"",INDEX(J$1:J1432,SUMPRODUCT(MAX(ROW(E$1:E1432)*(E1433=E$1:E1432)))))</f>
        <v> </v>
      </c>
      <c r="L1433" s="27"/>
    </row>
    <row r="1434" spans="1:12">
      <c r="A1434" s="20" t="s">
        <v>558</v>
      </c>
      <c r="B1434" s="21" t="s">
        <v>365</v>
      </c>
      <c r="C1434" s="21" t="s">
        <v>430</v>
      </c>
      <c r="D1434" s="21" t="s">
        <v>358</v>
      </c>
      <c r="E1434" s="22">
        <f>IF(D1434="?OLD","!!!","")</f>
        <v/>
      </c>
      <c r="F1434" s="23" t="str">
        <f>IF(OR(E1434="",E1434="!!!"),"",IF(NOT(ISNA(VLOOKUP(E1434,E$1:E1433,1,FALSE()))),"OLD",IF(AND(E1434&lt;&gt;"",E1434&lt;&gt;"!!!"),"NEW","")))</f>
        <v> </v>
      </c>
      <c r="G1434" s="24" t="str">
        <f>IF(OR(E1434="",E1434="!!!"),"",IF(OR(J1434=0,AND(J1434=1,K1434=1),AND(J1434=1,I1434="SBJ"),AND(J1434=1,I1434=0)),"?IN_FOCUS",IF(J1434&lt;=2,"?ACTIVATED",IF(J1434&lt;&gt;"","?FAMILIAR",IF(F1434="NEW",IF(ISNA(VLOOKUP(E1434,#REF!,1,FALSE())),"?TYPE_IDENTIFIABLE","?REFERENTIAL"),"_")))))</f>
        <v> </v>
      </c>
      <c r="H1434" s="25" t="str">
        <f>IF(J1434&lt;&gt;1,"",IF(I1434="SBJ","CB","?"))</f>
        <v> </v>
      </c>
      <c r="I1434" s="26" t="str">
        <f>IF(OR(E1434="",E1434="!!!",F1434="NEW"),"",INDEX(B1433:B$2,-1+SUMPRODUCT(MAX(ROW(E1433:E$2)*(E1434=E1433:E$2)))))</f>
        <v> </v>
      </c>
      <c r="J1434" s="26" t="str">
        <f>IF(OR(E1434="",E1434="!!!",F1434="NEW"),"",COUNTBLANK(OFFSET(A$1,,,SUMPRODUCT(MAX(ROW(E$2:E1434)*(E1434=E$2:E1434)))))-COUNTBLANK(OFFSET(A$1,,,SUMPRODUCT(MAX(ROW(E$1:E1433)*(E2=E$1:E1433))))))</f>
        <v> </v>
      </c>
      <c r="K1434" s="26" t="str">
        <f>IF(OR(E1434="",E1434="!!!",F1434="NEW"),"",INDEX(J$1:J1433,SUMPRODUCT(MAX(ROW(E$1:E1433)*(E1434=E$1:E1433)))))</f>
        <v> </v>
      </c>
      <c r="L1434" s="27"/>
    </row>
    <row r="1435" spans="1:12">
      <c r="A1435" s="20" t="s">
        <v>427</v>
      </c>
      <c r="B1435" s="21" t="s">
        <v>452</v>
      </c>
      <c r="E1435" s="22">
        <f>IF(D1435="?OLD","!!!","")</f>
        <v/>
      </c>
      <c r="F1435" s="23" t="str">
        <f>IF(OR(E1435="",E1435="!!!"),"",IF(NOT(ISNA(VLOOKUP(E1435,E$1:E1434,1,FALSE()))),"OLD",IF(AND(E1435&lt;&gt;"",E1435&lt;&gt;"!!!"),"NEW","")))</f>
        <v> </v>
      </c>
      <c r="G1435" s="24" t="str">
        <f>IF(OR(E1435="",E1435="!!!"),"",IF(OR(J1435=0,AND(J1435=1,K1435=1),AND(J1435=1,I1435="SBJ"),AND(J1435=1,I1435=0)),"?IN_FOCUS",IF(J1435&lt;=2,"?ACTIVATED",IF(J1435&lt;&gt;"","?FAMILIAR",IF(F1435="NEW",IF(ISNA(VLOOKUP(E1435,#REF!,1,FALSE())),"?TYPE_IDENTIFIABLE","?REFERENTIAL"),"_")))))</f>
        <v> </v>
      </c>
      <c r="H1435" s="25" t="str">
        <f>IF(J1435&lt;&gt;1,"",IF(I1435="SBJ","CB","?"))</f>
        <v> </v>
      </c>
      <c r="I1435" s="26" t="str">
        <f>IF(OR(E1435="",E1435="!!!",F1435="NEW"),"",INDEX(B1434:B$2,-1+SUMPRODUCT(MAX(ROW(E1434:E$2)*(E1435=E1434:E$2)))))</f>
        <v> </v>
      </c>
      <c r="J1435" s="26" t="str">
        <f>IF(OR(E1435="",E1435="!!!",F1435="NEW"),"",COUNTBLANK(OFFSET(A$1,,,SUMPRODUCT(MAX(ROW(E$2:E1435)*(E1435=E$2:E1435)))))-COUNTBLANK(OFFSET(A$1,,,SUMPRODUCT(MAX(ROW(E$1:E1434)*(E2=E$1:E1434))))))</f>
        <v> </v>
      </c>
      <c r="K1435" s="26" t="str">
        <f>IF(OR(E1435="",E1435="!!!",F1435="NEW"),"",INDEX(J$1:J1434,SUMPRODUCT(MAX(ROW(E$1:E1434)*(E1435=E$1:E1434)))))</f>
        <v> </v>
      </c>
      <c r="L1435" s="27"/>
    </row>
    <row r="1436" spans="1:12">
      <c r="A1436" s="20" t="s">
        <v>435</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t="s">
        <v>384</v>
      </c>
      <c r="E1437" s="22">
        <f>IF(D1437="?OLD","!!!","")</f>
        <v/>
      </c>
      <c r="F1437" s="23" t="str">
        <f>IF(OR(E1437="",E1437="!!!"),"",IF(NOT(ISNA(VLOOKUP(E1437,E$1:E1436,1,FALSE()))),"OLD",IF(AND(E1437&lt;&gt;"",E1437&lt;&gt;"!!!"),"NEW","")))</f>
        <v> </v>
      </c>
      <c r="G1437" s="24" t="str">
        <f>IF(OR(E1437="",E1437="!!!"),"",IF(OR(J1437=0,AND(J1437=1,K1437=1),AND(J1437=1,I1437="SBJ"),AND(J1437=1,I1437=0)),"?IN_FOCUS",IF(J1437&lt;=2,"?ACTIVATED",IF(J1437&lt;&gt;"","?FAMILIAR",IF(F1437="NEW",IF(ISNA(VLOOKUP(E1437,#REF!,1,FALSE())),"?TYPE_IDENTIFIABLE","?REFERENTIAL"),"_")))))</f>
        <v> </v>
      </c>
      <c r="H1437" s="25" t="str">
        <f>IF(J1437&lt;&gt;1,"",IF(I1437="SBJ","CB","?"))</f>
        <v> </v>
      </c>
      <c r="I1437" s="26" t="str">
        <f>IF(OR(E1437="",E1437="!!!",F1437="NEW"),"",INDEX(B1436:B$2,-1+SUMPRODUCT(MAX(ROW(E1436:E$2)*(E1437=E1436:E$2)))))</f>
        <v> </v>
      </c>
      <c r="J1437" s="26" t="str">
        <f>IF(OR(E1437="",E1437="!!!",F1437="NEW"),"",COUNTBLANK(OFFSET(A$1,,,SUMPRODUCT(MAX(ROW(E$2:E1437)*(E1437=E$2:E1437)))))-COUNTBLANK(OFFSET(A$1,,,SUMPRODUCT(MAX(ROW(E$1:E1436)*(E2=E$1:E1436))))))</f>
        <v> </v>
      </c>
      <c r="K1437" s="26" t="str">
        <f>IF(OR(E1437="",E1437="!!!",F1437="NEW"),"",INDEX(J$1:J1436,SUMPRODUCT(MAX(ROW(E$1:E1436)*(E1437=E$1:E1436)))))</f>
        <v> </v>
      </c>
      <c r="L1437" s="27"/>
    </row>
    <row r="1438" spans="1:12">
      <c r="A1438" s="20" t="s">
        <v>877</v>
      </c>
      <c r="B1438" s="21" t="s">
        <v>451</v>
      </c>
      <c r="C1438" s="21" t="s">
        <v>476</v>
      </c>
      <c r="D1438" s="21" t="s">
        <v>358</v>
      </c>
      <c r="E1438" s="22">
        <f>IF(D1438="?OLD","!!!","")</f>
        <v/>
      </c>
      <c r="F1438" s="23" t="str">
        <f>IF(OR(E1438="",E1438="!!!"),"",IF(NOT(ISNA(VLOOKUP(E1438,E$1:E1437,1,FALSE()))),"OLD",IF(AND(E1438&lt;&gt;"",E1438&lt;&gt;"!!!"),"NEW","")))</f>
        <v> </v>
      </c>
      <c r="G1438" s="24" t="str">
        <f>IF(OR(E1438="",E1438="!!!"),"",IF(OR(J1438=0,AND(J1438=1,K1438=1),AND(J1438=1,I1438="SBJ"),AND(J1438=1,I1438=0)),"?IN_FOCUS",IF(J1438&lt;=2,"?ACTIVATED",IF(J1438&lt;&gt;"","?FAMILIAR",IF(F1438="NEW",IF(ISNA(VLOOKUP(E1438,#REF!,1,FALSE())),"?TYPE_IDENTIFIABLE","?REFERENTIAL"),"_")))))</f>
        <v> </v>
      </c>
      <c r="H1438" s="25" t="str">
        <f>IF(J1438&lt;&gt;1,"",IF(I1438="SBJ","CB","?"))</f>
        <v> </v>
      </c>
      <c r="I1438" s="26" t="str">
        <f>IF(OR(E1438="",E1438="!!!",F1438="NEW"),"",INDEX(B1437:B$2,-1+SUMPRODUCT(MAX(ROW(E1437:E$2)*(E1438=E1437:E$2)))))</f>
        <v> </v>
      </c>
      <c r="J1438" s="26" t="str">
        <f>IF(OR(E1438="",E1438="!!!",F1438="NEW"),"",COUNTBLANK(OFFSET(A$1,,,SUMPRODUCT(MAX(ROW(E$2:E1438)*(E1438=E$2:E1438)))))-COUNTBLANK(OFFSET(A$1,,,SUMPRODUCT(MAX(ROW(E$1:E1437)*(E2=E$1:E1437))))))</f>
        <v> </v>
      </c>
      <c r="K1438" s="26" t="str">
        <f>IF(OR(E1438="",E1438="!!!",F1438="NEW"),"",INDEX(J$1:J1437,SUMPRODUCT(MAX(ROW(E$1:E1437)*(E1438=E$1:E1437)))))</f>
        <v> </v>
      </c>
      <c r="L1438" s="27"/>
    </row>
    <row r="1439" spans="1:12">
      <c r="A1439" s="20" t="s">
        <v>380</v>
      </c>
      <c r="E1439" s="22">
        <f>IF(D1439="?OLD","!!!","")</f>
        <v/>
      </c>
      <c r="F1439" s="23" t="str">
        <f>IF(OR(E1439="",E1439="!!!"),"",IF(NOT(ISNA(VLOOKUP(E1439,E$1:E1438,1,FALSE()))),"OLD",IF(AND(E1439&lt;&gt;"",E1439&lt;&gt;"!!!"),"NEW","")))</f>
        <v> </v>
      </c>
      <c r="G1439" s="24" t="str">
        <f>IF(OR(E1439="",E1439="!!!"),"",IF(OR(J1439=0,AND(J1439=1,K1439=1),AND(J1439=1,I1439="SBJ"),AND(J1439=1,I1439=0)),"?IN_FOCUS",IF(J1439&lt;=2,"?ACTIVATED",IF(J1439&lt;&gt;"","?FAMILIAR",IF(F1439="NEW",IF(ISNA(VLOOKUP(E1439,#REF!,1,FALSE())),"?TYPE_IDENTIFIABLE","?REFERENTIAL"),"_")))))</f>
        <v> </v>
      </c>
      <c r="H1439" s="25" t="str">
        <f>IF(J1439&lt;&gt;1,"",IF(I1439="SBJ","CB","?"))</f>
        <v> </v>
      </c>
      <c r="I1439" s="26" t="str">
        <f>IF(OR(E1439="",E1439="!!!",F1439="NEW"),"",INDEX(B1438:B$2,-1+SUMPRODUCT(MAX(ROW(E1438:E$2)*(E1439=E1438:E$2)))))</f>
        <v> </v>
      </c>
      <c r="J1439" s="26" t="str">
        <f>IF(OR(E1439="",E1439="!!!",F1439="NEW"),"",COUNTBLANK(OFFSET(A$1,,,SUMPRODUCT(MAX(ROW(E$2:E1439)*(E1439=E$2:E1439)))))-COUNTBLANK(OFFSET(A$1,,,SUMPRODUCT(MAX(ROW(E$1:E1438)*(E2=E$1:E1438))))))</f>
        <v> </v>
      </c>
      <c r="K1439" s="26" t="str">
        <f>IF(OR(E1439="",E1439="!!!",F1439="NEW"),"",INDEX(J$1:J1438,SUMPRODUCT(MAX(ROW(E$1:E1438)*(E1439=E$1:E1438)))))</f>
        <v> </v>
      </c>
      <c r="L1439" s="27"/>
    </row>
    <row r="1440" spans="1:12">
      <c r="A1440" s="20" t="s">
        <v>386</v>
      </c>
      <c r="E1440" s="22">
        <f>IF(D1440="?OLD","!!!","")</f>
        <v/>
      </c>
      <c r="F1440" s="23" t="str">
        <f>IF(OR(E1440="",E1440="!!!"),"",IF(NOT(ISNA(VLOOKUP(E1440,E$1:E1439,1,FALSE()))),"OLD",IF(AND(E1440&lt;&gt;"",E1440&lt;&gt;"!!!"),"NEW","")))</f>
        <v> </v>
      </c>
      <c r="G1440" s="24" t="str">
        <f>IF(OR(E1440="",E1440="!!!"),"",IF(OR(J1440=0,AND(J1440=1,K1440=1),AND(J1440=1,I1440="SBJ"),AND(J1440=1,I1440=0)),"?IN_FOCUS",IF(J1440&lt;=2,"?ACTIVATED",IF(J1440&lt;&gt;"","?FAMILIAR",IF(F1440="NEW",IF(ISNA(VLOOKUP(E1440,#REF!,1,FALSE())),"?TYPE_IDENTIFIABLE","?REFERENTIAL"),"_")))))</f>
        <v> </v>
      </c>
      <c r="H1440" s="25" t="str">
        <f>IF(J1440&lt;&gt;1,"",IF(I1440="SBJ","CB","?"))</f>
        <v> </v>
      </c>
      <c r="I1440" s="26" t="str">
        <f>IF(OR(E1440="",E1440="!!!",F1440="NEW"),"",INDEX(B1439:B$2,-1+SUMPRODUCT(MAX(ROW(E1439:E$2)*(E1440=E1439:E$2)))))</f>
        <v> </v>
      </c>
      <c r="J1440" s="26" t="str">
        <f>IF(OR(E1440="",E1440="!!!",F1440="NEW"),"",COUNTBLANK(OFFSET(A$1,,,SUMPRODUCT(MAX(ROW(E$2:E1440)*(E1440=E$2:E1440)))))-COUNTBLANK(OFFSET(A$1,,,SUMPRODUCT(MAX(ROW(E$1:E1439)*(E2=E$1:E1439))))))</f>
        <v> </v>
      </c>
      <c r="K1440" s="26" t="str">
        <f>IF(OR(E1440="",E1440="!!!",F1440="NEW"),"",INDEX(J$1:J1439,SUMPRODUCT(MAX(ROW(E$1:E1439)*(E1440=E$1:E1439)))))</f>
        <v> </v>
      </c>
      <c r="L1440" s="27"/>
    </row>
    <row r="1441" spans="1:12">
      <c r="A1441" s="20" t="s">
        <v>878</v>
      </c>
      <c r="B1441" s="21" t="s">
        <v>388</v>
      </c>
      <c r="C1441" s="21" t="s">
        <v>371</v>
      </c>
      <c r="D1441" s="21" t="s">
        <v>358</v>
      </c>
      <c r="E1441" s="22">
        <f>IF(D1441="?OLD","!!!","")</f>
        <v/>
      </c>
      <c r="F1441" s="23" t="str">
        <f>IF(OR(E1441="",E1441="!!!"),"",IF(NOT(ISNA(VLOOKUP(E1441,E$1:E1440,1,FALSE()))),"OLD",IF(AND(E1441&lt;&gt;"",E1441&lt;&gt;"!!!"),"NEW","")))</f>
        <v> </v>
      </c>
      <c r="G1441" s="24" t="str">
        <f>IF(OR(E1441="",E1441="!!!"),"",IF(OR(J1441=0,AND(J1441=1,K1441=1),AND(J1441=1,I1441="SBJ"),AND(J1441=1,I1441=0)),"?IN_FOCUS",IF(J1441&lt;=2,"?ACTIVATED",IF(J1441&lt;&gt;"","?FAMILIAR",IF(F1441="NEW",IF(ISNA(VLOOKUP(E1441,#REF!,1,FALSE())),"?TYPE_IDENTIFIABLE","?REFERENTIAL"),"_")))))</f>
        <v> </v>
      </c>
      <c r="H1441" s="25" t="str">
        <f>IF(J1441&lt;&gt;1,"",IF(I1441="SBJ","CB","?"))</f>
        <v> </v>
      </c>
      <c r="I1441" s="26" t="str">
        <f>IF(OR(E1441="",E1441="!!!",F1441="NEW"),"",INDEX(B1440:B$2,-1+SUMPRODUCT(MAX(ROW(E1440:E$2)*(E1441=E1440:E$2)))))</f>
        <v> </v>
      </c>
      <c r="J1441" s="26" t="str">
        <f>IF(OR(E1441="",E1441="!!!",F1441="NEW"),"",COUNTBLANK(OFFSET(A$1,,,SUMPRODUCT(MAX(ROW(E$2:E1441)*(E1441=E$2:E1441)))))-COUNTBLANK(OFFSET(A$1,,,SUMPRODUCT(MAX(ROW(E$1:E1440)*(E2=E$1:E1440))))))</f>
        <v> </v>
      </c>
      <c r="K1441" s="26" t="str">
        <f>IF(OR(E1441="",E1441="!!!",F1441="NEW"),"",INDEX(J$1:J1440,SUMPRODUCT(MAX(ROW(E$1:E1440)*(E1441=E$1:E1440)))))</f>
        <v> </v>
      </c>
      <c r="L1441" s="27"/>
    </row>
    <row r="1442" spans="1:12">
      <c r="A1442" s="20" t="s">
        <v>367</v>
      </c>
      <c r="E1442" s="22">
        <f>IF(D1442="?OLD","!!!","")</f>
        <v/>
      </c>
      <c r="F1442" s="23" t="str">
        <f>IF(OR(E1442="",E1442="!!!"),"",IF(NOT(ISNA(VLOOKUP(E1442,E$1:E1441,1,FALSE()))),"OLD",IF(AND(E1442&lt;&gt;"",E1442&lt;&gt;"!!!"),"NEW","")))</f>
        <v> </v>
      </c>
      <c r="G1442" s="24" t="str">
        <f>IF(OR(E1442="",E1442="!!!"),"",IF(OR(J1442=0,AND(J1442=1,K1442=1),AND(J1442=1,I1442="SBJ"),AND(J1442=1,I1442=0)),"?IN_FOCUS",IF(J1442&lt;=2,"?ACTIVATED",IF(J1442&lt;&gt;"","?FAMILIAR",IF(F1442="NEW",IF(ISNA(VLOOKUP(E1442,#REF!,1,FALSE())),"?TYPE_IDENTIFIABLE","?REFERENTIAL"),"_")))))</f>
        <v> </v>
      </c>
      <c r="H1442" s="25" t="str">
        <f>IF(J1442&lt;&gt;1,"",IF(I1442="SBJ","CB","?"))</f>
        <v> </v>
      </c>
      <c r="I1442" s="26" t="str">
        <f>IF(OR(E1442="",E1442="!!!",F1442="NEW"),"",INDEX(B1441:B$2,-1+SUMPRODUCT(MAX(ROW(E1441:E$2)*(E1442=E1441:E$2)))))</f>
        <v> </v>
      </c>
      <c r="J1442" s="26" t="str">
        <f>IF(OR(E1442="",E1442="!!!",F1442="NEW"),"",COUNTBLANK(OFFSET(A$1,,,SUMPRODUCT(MAX(ROW(E$2:E1442)*(E1442=E$2:E1442)))))-COUNTBLANK(OFFSET(A$1,,,SUMPRODUCT(MAX(ROW(E$1:E1441)*(E2=E$1:E1441))))))</f>
        <v> </v>
      </c>
      <c r="K1442" s="26" t="str">
        <f>IF(OR(E1442="",E1442="!!!",F1442="NEW"),"",INDEX(J$1:J1441,SUMPRODUCT(MAX(ROW(E$1:E1441)*(E1442=E$1:E1441)))))</f>
        <v> </v>
      </c>
      <c r="L1442" s="27"/>
    </row>
    <row r="1443" spans="1:12">
      <c r="A1443" s="20" t="s">
        <v>433</v>
      </c>
      <c r="B1443" s="21" t="s">
        <v>373</v>
      </c>
      <c r="C1443" s="21" t="s">
        <v>430</v>
      </c>
      <c r="D1443" s="21" t="s">
        <v>358</v>
      </c>
      <c r="E1443" s="22">
        <f>IF(D1443="?OLD","!!!","")</f>
        <v/>
      </c>
      <c r="F1443" s="23" t="str">
        <f>IF(OR(E1443="",E1443="!!!"),"",IF(NOT(ISNA(VLOOKUP(E1443,E$1:E1442,1,FALSE()))),"OLD",IF(AND(E1443&lt;&gt;"",E1443&lt;&gt;"!!!"),"NEW","")))</f>
        <v> </v>
      </c>
      <c r="G1443" s="24" t="str">
        <f>IF(OR(E1443="",E1443="!!!"),"",IF(OR(J1443=0,AND(J1443=1,K1443=1),AND(J1443=1,I1443="SBJ"),AND(J1443=1,I1443=0)),"?IN_FOCUS",IF(J1443&lt;=2,"?ACTIVATED",IF(J1443&lt;&gt;"","?FAMILIAR",IF(F1443="NEW",IF(ISNA(VLOOKUP(E1443,#REF!,1,FALSE())),"?TYPE_IDENTIFIABLE","?REFERENTIAL"),"_")))))</f>
        <v> </v>
      </c>
      <c r="H1443" s="25" t="str">
        <f>IF(J1443&lt;&gt;1,"",IF(I1443="SBJ","CB","?"))</f>
        <v> </v>
      </c>
      <c r="I1443" s="26" t="str">
        <f>IF(OR(E1443="",E1443="!!!",F1443="NEW"),"",INDEX(B1442:B$2,-1+SUMPRODUCT(MAX(ROW(E1442:E$2)*(E1443=E1442:E$2)))))</f>
        <v> </v>
      </c>
      <c r="J1443" s="26" t="str">
        <f>IF(OR(E1443="",E1443="!!!",F1443="NEW"),"",COUNTBLANK(OFFSET(A$1,,,SUMPRODUCT(MAX(ROW(E$2:E1443)*(E1443=E$2:E1443)))))-COUNTBLANK(OFFSET(A$1,,,SUMPRODUCT(MAX(ROW(E$1:E1442)*(E2=E$1:E1442))))))</f>
        <v> </v>
      </c>
      <c r="K1443" s="26" t="str">
        <f>IF(OR(E1443="",E1443="!!!",F1443="NEW"),"",INDEX(J$1:J1442,SUMPRODUCT(MAX(ROW(E$1:E1442)*(E1443=E$1:E1442)))))</f>
        <v> </v>
      </c>
      <c r="L1443" s="27"/>
    </row>
    <row r="1444" spans="1:12">
      <c r="A1444" s="20" t="s">
        <v>393</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594</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t="s">
        <v>892</v>
      </c>
      <c r="B1446" s="21" t="s">
        <v>429</v>
      </c>
      <c r="C1446" s="21" t="s">
        <v>357</v>
      </c>
      <c r="D1446" s="21" t="s">
        <v>358</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t="s">
        <v>398</v>
      </c>
      <c r="B1447" s="21" t="s">
        <v>409</v>
      </c>
      <c r="C1447" s="21" t="s">
        <v>357</v>
      </c>
      <c r="D1447" s="21" t="s">
        <v>358</v>
      </c>
      <c r="E1447" s="22">
        <f>IF(D1447="?OLD","!!!","")</f>
        <v/>
      </c>
      <c r="F1447" s="23" t="str">
        <f>IF(OR(E1447="",E1447="!!!"),"",IF(NOT(ISNA(VLOOKUP(E1447,E$1:E1446,1,FALSE()))),"OLD",IF(AND(E1447&lt;&gt;"",E1447&lt;&gt;"!!!"),"NEW","")))</f>
        <v> </v>
      </c>
      <c r="G1447" s="24" t="str">
        <f>IF(OR(E1447="",E1447="!!!"),"",IF(OR(J1447=0,AND(J1447=1,K1447=1),AND(J1447=1,I1447="SBJ"),AND(J1447=1,I1447=0)),"?IN_FOCUS",IF(J1447&lt;=2,"?ACTIVATED",IF(J1447&lt;&gt;"","?FAMILIAR",IF(F1447="NEW",IF(ISNA(VLOOKUP(E1447,#REF!,1,FALSE())),"?TYPE_IDENTIFIABLE","?REFERENTIAL"),"_")))))</f>
        <v> </v>
      </c>
      <c r="H1447" s="25" t="str">
        <f>IF(J1447&lt;&gt;1,"",IF(I1447="SBJ","CB","?"))</f>
        <v> </v>
      </c>
      <c r="I1447" s="26" t="str">
        <f>IF(OR(E1447="",E1447="!!!",F1447="NEW"),"",INDEX(B1446:B$2,-1+SUMPRODUCT(MAX(ROW(E1446:E$2)*(E1447=E1446:E$2)))))</f>
        <v> </v>
      </c>
      <c r="J1447" s="26" t="str">
        <f>IF(OR(E1447="",E1447="!!!",F1447="NEW"),"",COUNTBLANK(OFFSET(A$1,,,SUMPRODUCT(MAX(ROW(E$2:E1447)*(E1447=E$2:E1447)))))-COUNTBLANK(OFFSET(A$1,,,SUMPRODUCT(MAX(ROW(E$1:E1446)*(E2=E$1:E1446))))))</f>
        <v> </v>
      </c>
      <c r="K1447" s="26" t="str">
        <f>IF(OR(E1447="",E1447="!!!",F1447="NEW"),"",INDEX(J$1:J1446,SUMPRODUCT(MAX(ROW(E$1:E1446)*(E1447=E$1:E1446)))))</f>
        <v> </v>
      </c>
      <c r="L1447" s="27"/>
    </row>
    <row r="1448" spans="1:12">
      <c r="A1448" s="20" t="s">
        <v>880</v>
      </c>
      <c r="E1448" s="22">
        <f>IF(D1448="?OLD","!!!","")</f>
        <v/>
      </c>
      <c r="F1448" s="23" t="str">
        <f>IF(OR(E1448="",E1448="!!!"),"",IF(NOT(ISNA(VLOOKUP(E1448,E$1:E1447,1,FALSE()))),"OLD",IF(AND(E1448&lt;&gt;"",E1448&lt;&gt;"!!!"),"NEW","")))</f>
        <v> </v>
      </c>
      <c r="G1448" s="24" t="str">
        <f>IF(OR(E1448="",E1448="!!!"),"",IF(OR(J1448=0,AND(J1448=1,K1448=1),AND(J1448=1,I1448="SBJ"),AND(J1448=1,I1448=0)),"?IN_FOCUS",IF(J1448&lt;=2,"?ACTIVATED",IF(J1448&lt;&gt;"","?FAMILIAR",IF(F1448="NEW",IF(ISNA(VLOOKUP(E1448,#REF!,1,FALSE())),"?TYPE_IDENTIFIABLE","?REFERENTIAL"),"_")))))</f>
        <v> </v>
      </c>
      <c r="H1448" s="25" t="str">
        <f>IF(J1448&lt;&gt;1,"",IF(I1448="SBJ","CB","?"))</f>
        <v> </v>
      </c>
      <c r="I1448" s="26" t="str">
        <f>IF(OR(E1448="",E1448="!!!",F1448="NEW"),"",INDEX(B1447:B$2,-1+SUMPRODUCT(MAX(ROW(E1447:E$2)*(E1448=E1447:E$2)))))</f>
        <v> </v>
      </c>
      <c r="J1448" s="26" t="str">
        <f>IF(OR(E1448="",E1448="!!!",F1448="NEW"),"",COUNTBLANK(OFFSET(A$1,,,SUMPRODUCT(MAX(ROW(E$2:E1448)*(E1448=E$2:E1448)))))-COUNTBLANK(OFFSET(A$1,,,SUMPRODUCT(MAX(ROW(E$1:E1447)*(E2=E$1:E1447))))))</f>
        <v> </v>
      </c>
      <c r="K1448" s="26" t="str">
        <f>IF(OR(E1448="",E1448="!!!",F1448="NEW"),"",INDEX(J$1:J1447,SUMPRODUCT(MAX(ROW(E$1:E1447)*(E1448=E$1:E1447)))))</f>
        <v> </v>
      </c>
      <c r="L1448" s="27"/>
    </row>
    <row r="1449" spans="1:12">
      <c r="A1449" s="20" t="s">
        <v>369</v>
      </c>
      <c r="E1449" s="22">
        <f>IF(D1449="?OLD","!!!","")</f>
        <v/>
      </c>
      <c r="F1449" s="23" t="str">
        <f>IF(OR(E1449="",E1449="!!!"),"",IF(NOT(ISNA(VLOOKUP(E1449,E$1:E1448,1,FALSE()))),"OLD",IF(AND(E1449&lt;&gt;"",E1449&lt;&gt;"!!!"),"NEW","")))</f>
        <v> </v>
      </c>
      <c r="G1449" s="24" t="str">
        <f>IF(OR(E1449="",E1449="!!!"),"",IF(OR(J1449=0,AND(J1449=1,K1449=1),AND(J1449=1,I1449="SBJ"),AND(J1449=1,I1449=0)),"?IN_FOCUS",IF(J1449&lt;=2,"?ACTIVATED",IF(J1449&lt;&gt;"","?FAMILIAR",IF(F1449="NEW",IF(ISNA(VLOOKUP(E1449,#REF!,1,FALSE())),"?TYPE_IDENTIFIABLE","?REFERENTIAL"),"_")))))</f>
        <v> </v>
      </c>
      <c r="H1449" s="25" t="str">
        <f>IF(J1449&lt;&gt;1,"",IF(I1449="SBJ","CB","?"))</f>
        <v> </v>
      </c>
      <c r="I1449" s="26" t="str">
        <f>IF(OR(E1449="",E1449="!!!",F1449="NEW"),"",INDEX(B1448:B$2,-1+SUMPRODUCT(MAX(ROW(E1448:E$2)*(E1449=E1448:E$2)))))</f>
        <v> </v>
      </c>
      <c r="J1449" s="26" t="str">
        <f>IF(OR(E1449="",E1449="!!!",F1449="NEW"),"",COUNTBLANK(OFFSET(A$1,,,SUMPRODUCT(MAX(ROW(E$2:E1449)*(E1449=E$2:E1449)))))-COUNTBLANK(OFFSET(A$1,,,SUMPRODUCT(MAX(ROW(E$1:E1448)*(E2=E$1:E1448))))))</f>
        <v> </v>
      </c>
      <c r="K1449" s="26" t="str">
        <f>IF(OR(E1449="",E1449="!!!",F1449="NEW"),"",INDEX(J$1:J1448,SUMPRODUCT(MAX(ROW(E$1:E1448)*(E1449=E$1:E1448)))))</f>
        <v> </v>
      </c>
      <c r="L1449" s="27"/>
    </row>
    <row r="1450" spans="1:12">
      <c r="A1450" s="20" t="s">
        <v>893</v>
      </c>
      <c r="E1450" s="22">
        <f>IF(D1450="?OLD","!!!","")</f>
        <v/>
      </c>
      <c r="F1450" s="23" t="str">
        <f>IF(OR(E1450="",E1450="!!!"),"",IF(NOT(ISNA(VLOOKUP(E1450,E$1:E1449,1,FALSE()))),"OLD",IF(AND(E1450&lt;&gt;"",E1450&lt;&gt;"!!!"),"NEW","")))</f>
        <v> </v>
      </c>
      <c r="G1450" s="24" t="str">
        <f>IF(OR(E1450="",E1450="!!!"),"",IF(OR(J1450=0,AND(J1450=1,K1450=1),AND(J1450=1,I1450="SBJ"),AND(J1450=1,I1450=0)),"?IN_FOCUS",IF(J1450&lt;=2,"?ACTIVATED",IF(J1450&lt;&gt;"","?FAMILIAR",IF(F1450="NEW",IF(ISNA(VLOOKUP(E1450,#REF!,1,FALSE())),"?TYPE_IDENTIFIABLE","?REFERENTIAL"),"_")))))</f>
        <v> </v>
      </c>
      <c r="H1450" s="25" t="str">
        <f>IF(J1450&lt;&gt;1,"",IF(I1450="SBJ","CB","?"))</f>
        <v> </v>
      </c>
      <c r="I1450" s="26" t="str">
        <f>IF(OR(E1450="",E1450="!!!",F1450="NEW"),"",INDEX(B1449:B$2,-1+SUMPRODUCT(MAX(ROW(E1449:E$2)*(E1450=E1449:E$2)))))</f>
        <v> </v>
      </c>
      <c r="J1450" s="26" t="str">
        <f>IF(OR(E1450="",E1450="!!!",F1450="NEW"),"",COUNTBLANK(OFFSET(A$1,,,SUMPRODUCT(MAX(ROW(E$2:E1450)*(E1450=E$2:E1450)))))-COUNTBLANK(OFFSET(A$1,,,SUMPRODUCT(MAX(ROW(E$1:E1449)*(E2=E$1:E1449))))))</f>
        <v> </v>
      </c>
      <c r="K1450" s="26" t="str">
        <f>IF(OR(E1450="",E1450="!!!",F1450="NEW"),"",INDEX(J$1:J1449,SUMPRODUCT(MAX(ROW(E$1:E1449)*(E1450=E$1:E1449)))))</f>
        <v> </v>
      </c>
      <c r="L1450" s="27"/>
    </row>
    <row r="1451" spans="1:12">
      <c r="A1451" s="20" t="s">
        <v>398</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t="s">
        <v>894</v>
      </c>
      <c r="B1452" s="21" t="s">
        <v>452</v>
      </c>
      <c r="C1452" s="21" t="s">
        <v>385</v>
      </c>
      <c r="D1452" s="21" t="s">
        <v>358</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895</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389</v>
      </c>
      <c r="E1454" s="22">
        <f>IF(D1454="?OLD","!!!","")</f>
        <v/>
      </c>
      <c r="F1454" s="23" t="str">
        <f>IF(OR(E1454="",E1454="!!!"),"",IF(NOT(ISNA(VLOOKUP(E1454,E$1:E1453,1,FALSE()))),"OLD",IF(AND(E1454&lt;&gt;"",E1454&lt;&gt;"!!!"),"NEW","")))</f>
        <v> </v>
      </c>
      <c r="G1454" s="24" t="str">
        <f>IF(OR(E1454="",E1454="!!!"),"",IF(OR(J1454=0,AND(J1454=1,K1454=1),AND(J1454=1,I1454="SBJ"),AND(J1454=1,I1454=0)),"?IN_FOCUS",IF(J1454&lt;=2,"?ACTIVATED",IF(J1454&lt;&gt;"","?FAMILIAR",IF(F1454="NEW",IF(ISNA(VLOOKUP(E1454,#REF!,1,FALSE())),"?TYPE_IDENTIFIABLE","?REFERENTIAL"),"_")))))</f>
        <v> </v>
      </c>
      <c r="H1454" s="25" t="str">
        <f>IF(J1454&lt;&gt;1,"",IF(I1454="SBJ","CB","?"))</f>
        <v> </v>
      </c>
      <c r="I1454" s="26" t="str">
        <f>IF(OR(E1454="",E1454="!!!",F1454="NEW"),"",INDEX(B1453:B$2,-1+SUMPRODUCT(MAX(ROW(E1453:E$2)*(E1454=E1453:E$2)))))</f>
        <v> </v>
      </c>
      <c r="J1454" s="26" t="str">
        <f>IF(OR(E1454="",E1454="!!!",F1454="NEW"),"",COUNTBLANK(OFFSET(A$1,,,SUMPRODUCT(MAX(ROW(E$2:E1454)*(E1454=E$2:E1454)))))-COUNTBLANK(OFFSET(A$1,,,SUMPRODUCT(MAX(ROW(E$1:E1453)*(E2=E$1:E1453))))))</f>
        <v> </v>
      </c>
      <c r="K1454" s="26" t="str">
        <f>IF(OR(E1454="",E1454="!!!",F1454="NEW"),"",INDEX(J$1:J1453,SUMPRODUCT(MAX(ROW(E$1:E1453)*(E1454=E$1:E1453)))))</f>
        <v> </v>
      </c>
      <c r="L1454" s="27"/>
    </row>
    <row r="1455" spans="1:12">
      <c r="A1455" s="20"/>
    </row>
    <row r="1456" spans="1:12">
      <c r="A1456" s="20" t="s">
        <v>896</v>
      </c>
    </row>
    <row r="1457" spans="1:12">
      <c r="A1457" s="20" t="s">
        <v>733</v>
      </c>
      <c r="E1457" s="22">
        <f>IF(D1457="?OLD","!!!","")</f>
        <v/>
      </c>
      <c r="F1457" s="23" t="str">
        <f>IF(OR(E1457="",E1457="!!!"),"",IF(NOT(ISNA(VLOOKUP(E1457,E$1:E1456,1,FALSE()))),"OLD",IF(AND(E1457&lt;&gt;"",E1457&lt;&gt;"!!!"),"NEW","")))</f>
        <v> </v>
      </c>
      <c r="G1457" s="24" t="str">
        <f>IF(OR(E1457="",E1457="!!!"),"",IF(OR(J1457=0,AND(J1457=1,K1457=1),AND(J1457=1,I1457="SBJ"),AND(J1457=1,I1457=0)),"?IN_FOCUS",IF(J1457&lt;=2,"?ACTIVATED",IF(J1457&lt;&gt;"","?FAMILIAR",IF(F1457="NEW",IF(ISNA(VLOOKUP(E1457,#REF!,1,FALSE())),"?TYPE_IDENTIFIABLE","?REFERENTIAL"),"_")))))</f>
        <v> </v>
      </c>
      <c r="H1457" s="25" t="str">
        <f>IF(J1457&lt;&gt;1,"",IF(I1457="SBJ","CB","?"))</f>
        <v> </v>
      </c>
      <c r="I1457" s="26" t="str">
        <f>IF(OR(E1457="",E1457="!!!",F1457="NEW"),"",INDEX(B1456:B$2,-1+SUMPRODUCT(MAX(ROW(E1456:E$2)*(E1457=E1456:E$2)))))</f>
        <v> </v>
      </c>
      <c r="J1457" s="26" t="str">
        <f>IF(OR(E1457="",E1457="!!!",F1457="NEW"),"",COUNTBLANK(OFFSET(A$1,,,SUMPRODUCT(MAX(ROW(E$2:E1457)*(E1457=E$2:E1457)))))-COUNTBLANK(OFFSET(A$1,,,SUMPRODUCT(MAX(ROW(E$1:E1456)*(E2=E$1:E1456))))))</f>
        <v> </v>
      </c>
      <c r="K1457" s="26" t="str">
        <f>IF(OR(E1457="",E1457="!!!",F1457="NEW"),"",INDEX(J$1:J1456,SUMPRODUCT(MAX(ROW(E$1:E1456)*(E1457=E$1:E1456)))))</f>
        <v> </v>
      </c>
      <c r="L1457" s="27"/>
    </row>
    <row r="1458" spans="1:12">
      <c r="A1458" s="20" t="s">
        <v>427</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t="s">
        <v>367</v>
      </c>
      <c r="E1459" s="22">
        <f>IF(D1459="?OLD","!!!","")</f>
        <v/>
      </c>
      <c r="F1459" s="23" t="str">
        <f>IF(OR(E1459="",E1459="!!!"),"",IF(NOT(ISNA(VLOOKUP(E1459,E$1:E1458,1,FALSE()))),"OLD",IF(AND(E1459&lt;&gt;"",E1459&lt;&gt;"!!!"),"NEW","")))</f>
        <v> </v>
      </c>
      <c r="G1459" s="24" t="str">
        <f>IF(OR(E1459="",E1459="!!!"),"",IF(OR(J1459=0,AND(J1459=1,K1459=1),AND(J1459=1,I1459="SBJ"),AND(J1459=1,I1459=0)),"?IN_FOCUS",IF(J1459&lt;=2,"?ACTIVATED",IF(J1459&lt;&gt;"","?FAMILIAR",IF(F1459="NEW",IF(ISNA(VLOOKUP(E1459,#REF!,1,FALSE())),"?TYPE_IDENTIFIABLE","?REFERENTIAL"),"_")))))</f>
        <v> </v>
      </c>
      <c r="H1459" s="25" t="str">
        <f>IF(J1459&lt;&gt;1,"",IF(I1459="SBJ","CB","?"))</f>
        <v> </v>
      </c>
      <c r="I1459" s="26" t="str">
        <f>IF(OR(E1459="",E1459="!!!",F1459="NEW"),"",INDEX(B1458:B$2,-1+SUMPRODUCT(MAX(ROW(E1458:E$2)*(E1459=E1458:E$2)))))</f>
        <v> </v>
      </c>
      <c r="J1459" s="26" t="str">
        <f>IF(OR(E1459="",E1459="!!!",F1459="NEW"),"",COUNTBLANK(OFFSET(A$1,,,SUMPRODUCT(MAX(ROW(E$2:E1459)*(E1459=E$2:E1459)))))-COUNTBLANK(OFFSET(A$1,,,SUMPRODUCT(MAX(ROW(E$1:E1458)*(E2=E$1:E1458))))))</f>
        <v> </v>
      </c>
      <c r="K1459" s="26" t="str">
        <f>IF(OR(E1459="",E1459="!!!",F1459="NEW"),"",INDEX(J$1:J1458,SUMPRODUCT(MAX(ROW(E$1:E1458)*(E1459=E$1:E1458)))))</f>
        <v> </v>
      </c>
      <c r="L1459" s="27"/>
    </row>
    <row r="1460" spans="1:12">
      <c r="A1460" s="20" t="s">
        <v>897</v>
      </c>
      <c r="E1460" s="22">
        <f>IF(D1460="?OLD","!!!","")</f>
        <v/>
      </c>
      <c r="F1460" s="23" t="str">
        <f>IF(OR(E1460="",E1460="!!!"),"",IF(NOT(ISNA(VLOOKUP(E1460,E$1:E1459,1,FALSE()))),"OLD",IF(AND(E1460&lt;&gt;"",E1460&lt;&gt;"!!!"),"NEW","")))</f>
        <v> </v>
      </c>
      <c r="G1460" s="24" t="str">
        <f>IF(OR(E1460="",E1460="!!!"),"",IF(OR(J1460=0,AND(J1460=1,K1460=1),AND(J1460=1,I1460="SBJ"),AND(J1460=1,I1460=0)),"?IN_FOCUS",IF(J1460&lt;=2,"?ACTIVATED",IF(J1460&lt;&gt;"","?FAMILIAR",IF(F1460="NEW",IF(ISNA(VLOOKUP(E1460,#REF!,1,FALSE())),"?TYPE_IDENTIFIABLE","?REFERENTIAL"),"_")))))</f>
        <v> </v>
      </c>
      <c r="H1460" s="25" t="str">
        <f>IF(J1460&lt;&gt;1,"",IF(I1460="SBJ","CB","?"))</f>
        <v> </v>
      </c>
      <c r="I1460" s="26" t="str">
        <f>IF(OR(E1460="",E1460="!!!",F1460="NEW"),"",INDEX(B1459:B$2,-1+SUMPRODUCT(MAX(ROW(E1459:E$2)*(E1460=E1459:E$2)))))</f>
        <v> </v>
      </c>
      <c r="J1460" s="26" t="str">
        <f>IF(OR(E1460="",E1460="!!!",F1460="NEW"),"",COUNTBLANK(OFFSET(A$1,,,SUMPRODUCT(MAX(ROW(E$2:E1460)*(E1460=E$2:E1460)))))-COUNTBLANK(OFFSET(A$1,,,SUMPRODUCT(MAX(ROW(E$1:E1459)*(E2=E$1:E1459))))))</f>
        <v> </v>
      </c>
      <c r="K1460" s="26" t="str">
        <f>IF(OR(E1460="",E1460="!!!",F1460="NEW"),"",INDEX(J$1:J1459,SUMPRODUCT(MAX(ROW(E$1:E1459)*(E1460=E$1:E1459)))))</f>
        <v> </v>
      </c>
      <c r="L1460" s="27"/>
    </row>
    <row r="1461" spans="1:12">
      <c r="A1461" s="20" t="s">
        <v>367</v>
      </c>
      <c r="E1461" s="22">
        <f>IF(D1461="?OLD","!!!","")</f>
        <v/>
      </c>
      <c r="F1461" s="23" t="str">
        <f>IF(OR(E1461="",E1461="!!!"),"",IF(NOT(ISNA(VLOOKUP(E1461,E$1:E1460,1,FALSE()))),"OLD",IF(AND(E1461&lt;&gt;"",E1461&lt;&gt;"!!!"),"NEW","")))</f>
        <v> </v>
      </c>
      <c r="G1461" s="24" t="str">
        <f>IF(OR(E1461="",E1461="!!!"),"",IF(OR(J1461=0,AND(J1461=1,K1461=1),AND(J1461=1,I1461="SBJ"),AND(J1461=1,I1461=0)),"?IN_FOCUS",IF(J1461&lt;=2,"?ACTIVATED",IF(J1461&lt;&gt;"","?FAMILIAR",IF(F1461="NEW",IF(ISNA(VLOOKUP(E1461,#REF!,1,FALSE())),"?TYPE_IDENTIFIABLE","?REFERENTIAL"),"_")))))</f>
        <v> </v>
      </c>
      <c r="H1461" s="25" t="str">
        <f>IF(J1461&lt;&gt;1,"",IF(I1461="SBJ","CB","?"))</f>
        <v> </v>
      </c>
      <c r="I1461" s="26" t="str">
        <f>IF(OR(E1461="",E1461="!!!",F1461="NEW"),"",INDEX(B1460:B$2,-1+SUMPRODUCT(MAX(ROW(E1460:E$2)*(E1461=E1460:E$2)))))</f>
        <v> </v>
      </c>
      <c r="J1461" s="26" t="str">
        <f>IF(OR(E1461="",E1461="!!!",F1461="NEW"),"",COUNTBLANK(OFFSET(A$1,,,SUMPRODUCT(MAX(ROW(E$2:E1461)*(E1461=E$2:E1461)))))-COUNTBLANK(OFFSET(A$1,,,SUMPRODUCT(MAX(ROW(E$1:E1460)*(E2=E$1:E1460))))))</f>
        <v> </v>
      </c>
      <c r="K1461" s="26" t="str">
        <f>IF(OR(E1461="",E1461="!!!",F1461="NEW"),"",INDEX(J$1:J1460,SUMPRODUCT(MAX(ROW(E$1:E1460)*(E1461=E$1:E1460)))))</f>
        <v> </v>
      </c>
      <c r="L1461" s="27"/>
    </row>
    <row r="1462" spans="1:12">
      <c r="A1462" s="20" t="s">
        <v>694</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898</v>
      </c>
      <c r="B1463" s="21" t="s">
        <v>429</v>
      </c>
      <c r="C1463" s="21" t="s">
        <v>366</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t="s">
        <v>899</v>
      </c>
      <c r="E1464" s="22">
        <f>IF(D1464="?OLD","!!!","")</f>
        <v/>
      </c>
      <c r="F1464" s="23" t="str">
        <f>IF(OR(E1464="",E1464="!!!"),"",IF(NOT(ISNA(VLOOKUP(E1464,E$1:E1463,1,FALSE()))),"OLD",IF(AND(E1464&lt;&gt;"",E1464&lt;&gt;"!!!"),"NEW","")))</f>
        <v> </v>
      </c>
      <c r="G1464" s="24" t="str">
        <f>IF(OR(E1464="",E1464="!!!"),"",IF(OR(J1464=0,AND(J1464=1,K1464=1),AND(J1464=1,I1464="SBJ"),AND(J1464=1,I1464=0)),"?IN_FOCUS",IF(J1464&lt;=2,"?ACTIVATED",IF(J1464&lt;&gt;"","?FAMILIAR",IF(F1464="NEW",IF(ISNA(VLOOKUP(E1464,#REF!,1,FALSE())),"?TYPE_IDENTIFIABLE","?REFERENTIAL"),"_")))))</f>
        <v> </v>
      </c>
      <c r="H1464" s="25" t="str">
        <f>IF(J1464&lt;&gt;1,"",IF(I1464="SBJ","CB","?"))</f>
        <v> </v>
      </c>
      <c r="I1464" s="26" t="str">
        <f>IF(OR(E1464="",E1464="!!!",F1464="NEW"),"",INDEX(B1463:B$2,-1+SUMPRODUCT(MAX(ROW(E1463:E$2)*(E1464=E1463:E$2)))))</f>
        <v> </v>
      </c>
      <c r="J1464" s="26" t="str">
        <f>IF(OR(E1464="",E1464="!!!",F1464="NEW"),"",COUNTBLANK(OFFSET(A$1,,,SUMPRODUCT(MAX(ROW(E$2:E1464)*(E1464=E$2:E1464)))))-COUNTBLANK(OFFSET(A$1,,,SUMPRODUCT(MAX(ROW(E$1:E1463)*(E2=E$1:E1463))))))</f>
        <v> </v>
      </c>
      <c r="K1464" s="26" t="str">
        <f>IF(OR(E1464="",E1464="!!!",F1464="NEW"),"",INDEX(J$1:J1463,SUMPRODUCT(MAX(ROW(E$1:E1463)*(E1464=E$1:E1463)))))</f>
        <v> </v>
      </c>
      <c r="L1464" s="27"/>
    </row>
    <row r="1465" spans="1:12">
      <c r="A1465" s="20" t="s">
        <v>900</v>
      </c>
      <c r="B1465" s="21" t="s">
        <v>360</v>
      </c>
      <c r="C1465" s="21" t="s">
        <v>506</v>
      </c>
      <c r="D1465" s="21" t="s">
        <v>358</v>
      </c>
      <c r="E1465" s="22">
        <f>IF(D1465="?OLD","!!!","")</f>
        <v/>
      </c>
      <c r="F1465" s="23" t="str">
        <f>IF(OR(E1465="",E1465="!!!"),"",IF(NOT(ISNA(VLOOKUP(E1465,E$1:E1464,1,FALSE()))),"OLD",IF(AND(E1465&lt;&gt;"",E1465&lt;&gt;"!!!"),"NEW","")))</f>
        <v> </v>
      </c>
      <c r="G1465" s="24" t="str">
        <f>IF(OR(E1465="",E1465="!!!"),"",IF(OR(J1465=0,AND(J1465=1,K1465=1),AND(J1465=1,I1465="SBJ"),AND(J1465=1,I1465=0)),"?IN_FOCUS",IF(J1465&lt;=2,"?ACTIVATED",IF(J1465&lt;&gt;"","?FAMILIAR",IF(F1465="NEW",IF(ISNA(VLOOKUP(E1465,#REF!,1,FALSE())),"?TYPE_IDENTIFIABLE","?REFERENTIAL"),"_")))))</f>
        <v> </v>
      </c>
      <c r="H1465" s="25" t="str">
        <f>IF(J1465&lt;&gt;1,"",IF(I1465="SBJ","CB","?"))</f>
        <v> </v>
      </c>
      <c r="I1465" s="26" t="str">
        <f>IF(OR(E1465="",E1465="!!!",F1465="NEW"),"",INDEX(B1464:B$2,-1+SUMPRODUCT(MAX(ROW(E1464:E$2)*(E1465=E1464:E$2)))))</f>
        <v> </v>
      </c>
      <c r="J1465" s="26" t="str">
        <f>IF(OR(E1465="",E1465="!!!",F1465="NEW"),"",COUNTBLANK(OFFSET(A$1,,,SUMPRODUCT(MAX(ROW(E$2:E1465)*(E1465=E$2:E1465)))))-COUNTBLANK(OFFSET(A$1,,,SUMPRODUCT(MAX(ROW(E$1:E1464)*(E2=E$1:E1464))))))</f>
        <v> </v>
      </c>
      <c r="K1465" s="26" t="str">
        <f>IF(OR(E1465="",E1465="!!!",F1465="NEW"),"",INDEX(J$1:J1464,SUMPRODUCT(MAX(ROW(E$1:E1464)*(E1465=E$1:E1464)))))</f>
        <v> </v>
      </c>
      <c r="L1465" s="27"/>
    </row>
    <row r="1466" spans="1:12">
      <c r="A1466" s="20" t="s">
        <v>901</v>
      </c>
      <c r="E1466" s="22">
        <f>IF(D1466="?OLD","!!!","")</f>
        <v/>
      </c>
      <c r="F1466" s="23" t="str">
        <f>IF(OR(E1466="",E1466="!!!"),"",IF(NOT(ISNA(VLOOKUP(E1466,E$1:E1465,1,FALSE()))),"OLD",IF(AND(E1466&lt;&gt;"",E1466&lt;&gt;"!!!"),"NEW","")))</f>
        <v> </v>
      </c>
      <c r="G1466" s="24" t="str">
        <f>IF(OR(E1466="",E1466="!!!"),"",IF(OR(J1466=0,AND(J1466=1,K1466=1),AND(J1466=1,I1466="SBJ"),AND(J1466=1,I1466=0)),"?IN_FOCUS",IF(J1466&lt;=2,"?ACTIVATED",IF(J1466&lt;&gt;"","?FAMILIAR",IF(F1466="NEW",IF(ISNA(VLOOKUP(E1466,#REF!,1,FALSE())),"?TYPE_IDENTIFIABLE","?REFERENTIAL"),"_")))))</f>
        <v> </v>
      </c>
      <c r="H1466" s="25" t="str">
        <f>IF(J1466&lt;&gt;1,"",IF(I1466="SBJ","CB","?"))</f>
        <v> </v>
      </c>
      <c r="I1466" s="26" t="str">
        <f>IF(OR(E1466="",E1466="!!!",F1466="NEW"),"",INDEX(B1465:B$2,-1+SUMPRODUCT(MAX(ROW(E1465:E$2)*(E1466=E1465:E$2)))))</f>
        <v> </v>
      </c>
      <c r="J1466" s="26" t="str">
        <f>IF(OR(E1466="",E1466="!!!",F1466="NEW"),"",COUNTBLANK(OFFSET(A$1,,,SUMPRODUCT(MAX(ROW(E$2:E1466)*(E1466=E$2:E1466)))))-COUNTBLANK(OFFSET(A$1,,,SUMPRODUCT(MAX(ROW(E$1:E1465)*(E2=E$1:E1465))))))</f>
        <v> </v>
      </c>
      <c r="K1466" s="26" t="str">
        <f>IF(OR(E1466="",E1466="!!!",F1466="NEW"),"",INDEX(J$1:J1465,SUMPRODUCT(MAX(ROW(E$1:E1465)*(E1466=E$1:E1465)))))</f>
        <v> </v>
      </c>
      <c r="L1466" s="27"/>
    </row>
    <row r="1467" spans="1:12">
      <c r="A1467" s="20" t="s">
        <v>387</v>
      </c>
      <c r="B1467" s="21" t="s">
        <v>409</v>
      </c>
      <c r="C1467" s="21" t="s">
        <v>476</v>
      </c>
      <c r="D1467" s="21" t="s">
        <v>358</v>
      </c>
      <c r="E1467" s="22">
        <f>IF(D1467="?OLD","!!!","")</f>
        <v/>
      </c>
      <c r="F1467" s="23" t="str">
        <f>IF(OR(E1467="",E1467="!!!"),"",IF(NOT(ISNA(VLOOKUP(E1467,E$1:E1466,1,FALSE()))),"OLD",IF(AND(E1467&lt;&gt;"",E1467&lt;&gt;"!!!"),"NEW","")))</f>
        <v> </v>
      </c>
      <c r="G1467" s="24" t="str">
        <f>IF(OR(E1467="",E1467="!!!"),"",IF(OR(J1467=0,AND(J1467=1,K1467=1),AND(J1467=1,I1467="SBJ"),AND(J1467=1,I1467=0)),"?IN_FOCUS",IF(J1467&lt;=2,"?ACTIVATED",IF(J1467&lt;&gt;"","?FAMILIAR",IF(F1467="NEW",IF(ISNA(VLOOKUP(E1467,#REF!,1,FALSE())),"?TYPE_IDENTIFIABLE","?REFERENTIAL"),"_")))))</f>
        <v> </v>
      </c>
      <c r="H1467" s="25" t="str">
        <f>IF(J1467&lt;&gt;1,"",IF(I1467="SBJ","CB","?"))</f>
        <v> </v>
      </c>
      <c r="I1467" s="26" t="str">
        <f>IF(OR(E1467="",E1467="!!!",F1467="NEW"),"",INDEX(B1466:B$2,-1+SUMPRODUCT(MAX(ROW(E1466:E$2)*(E1467=E1466:E$2)))))</f>
        <v> </v>
      </c>
      <c r="J1467" s="26" t="str">
        <f>IF(OR(E1467="",E1467="!!!",F1467="NEW"),"",COUNTBLANK(OFFSET(A$1,,,SUMPRODUCT(MAX(ROW(E$2:E1467)*(E1467=E$2:E1467)))))-COUNTBLANK(OFFSET(A$1,,,SUMPRODUCT(MAX(ROW(E$1:E1466)*(E2=E$1:E1466))))))</f>
        <v> </v>
      </c>
      <c r="K1467" s="26" t="str">
        <f>IF(OR(E1467="",E1467="!!!",F1467="NEW"),"",INDEX(J$1:J1466,SUMPRODUCT(MAX(ROW(E$1:E1466)*(E1467=E$1:E1466)))))</f>
        <v> </v>
      </c>
      <c r="L1467" s="27"/>
    </row>
    <row r="1468" spans="1:12">
      <c r="A1468" s="20" t="s">
        <v>367</v>
      </c>
      <c r="E1468" s="22">
        <f>IF(D1468="?OLD","!!!","")</f>
        <v/>
      </c>
      <c r="F1468" s="23" t="str">
        <f>IF(OR(E1468="",E1468="!!!"),"",IF(NOT(ISNA(VLOOKUP(E1468,E$1:E1467,1,FALSE()))),"OLD",IF(AND(E1468&lt;&gt;"",E1468&lt;&gt;"!!!"),"NEW","")))</f>
        <v> </v>
      </c>
      <c r="G1468" s="24" t="str">
        <f>IF(OR(E1468="",E1468="!!!"),"",IF(OR(J1468=0,AND(J1468=1,K1468=1),AND(J1468=1,I1468="SBJ"),AND(J1468=1,I1468=0)),"?IN_FOCUS",IF(J1468&lt;=2,"?ACTIVATED",IF(J1468&lt;&gt;"","?FAMILIAR",IF(F1468="NEW",IF(ISNA(VLOOKUP(E1468,#REF!,1,FALSE())),"?TYPE_IDENTIFIABLE","?REFERENTIAL"),"_")))))</f>
        <v> </v>
      </c>
      <c r="H1468" s="25" t="str">
        <f>IF(J1468&lt;&gt;1,"",IF(I1468="SBJ","CB","?"))</f>
        <v> </v>
      </c>
      <c r="I1468" s="26" t="str">
        <f>IF(OR(E1468="",E1468="!!!",F1468="NEW"),"",INDEX(B1467:B$2,-1+SUMPRODUCT(MAX(ROW(E1467:E$2)*(E1468=E1467:E$2)))))</f>
        <v> </v>
      </c>
      <c r="J1468" s="26" t="str">
        <f>IF(OR(E1468="",E1468="!!!",F1468="NEW"),"",COUNTBLANK(OFFSET(A$1,,,SUMPRODUCT(MAX(ROW(E$2:E1468)*(E1468=E$2:E1468)))))-COUNTBLANK(OFFSET(A$1,,,SUMPRODUCT(MAX(ROW(E$1:E1467)*(E2=E$1:E1467))))))</f>
        <v> </v>
      </c>
      <c r="K1468" s="26" t="str">
        <f>IF(OR(E1468="",E1468="!!!",F1468="NEW"),"",INDEX(J$1:J1467,SUMPRODUCT(MAX(ROW(E$1:E1467)*(E1468=E$1:E1467)))))</f>
        <v> </v>
      </c>
      <c r="L1468" s="27"/>
    </row>
    <row r="1469" spans="1:12">
      <c r="A1469" s="20" t="s">
        <v>630</v>
      </c>
      <c r="E1469" s="22">
        <f>IF(D1469="?OLD","!!!","")</f>
        <v/>
      </c>
      <c r="F1469" s="23" t="str">
        <f>IF(OR(E1469="",E1469="!!!"),"",IF(NOT(ISNA(VLOOKUP(E1469,E$1:E1468,1,FALSE()))),"OLD",IF(AND(E1469&lt;&gt;"",E1469&lt;&gt;"!!!"),"NEW","")))</f>
        <v> </v>
      </c>
      <c r="G1469" s="24" t="str">
        <f>IF(OR(E1469="",E1469="!!!"),"",IF(OR(J1469=0,AND(J1469=1,K1469=1),AND(J1469=1,I1469="SBJ"),AND(J1469=1,I1469=0)),"?IN_FOCUS",IF(J1469&lt;=2,"?ACTIVATED",IF(J1469&lt;&gt;"","?FAMILIAR",IF(F1469="NEW",IF(ISNA(VLOOKUP(E1469,#REF!,1,FALSE())),"?TYPE_IDENTIFIABLE","?REFERENTIAL"),"_")))))</f>
        <v> </v>
      </c>
      <c r="H1469" s="25" t="str">
        <f>IF(J1469&lt;&gt;1,"",IF(I1469="SBJ","CB","?"))</f>
        <v> </v>
      </c>
      <c r="I1469" s="26" t="str">
        <f>IF(OR(E1469="",E1469="!!!",F1469="NEW"),"",INDEX(B1468:B$2,-1+SUMPRODUCT(MAX(ROW(E1468:E$2)*(E1469=E1468:E$2)))))</f>
        <v> </v>
      </c>
      <c r="J1469" s="26" t="str">
        <f>IF(OR(E1469="",E1469="!!!",F1469="NEW"),"",COUNTBLANK(OFFSET(A$1,,,SUMPRODUCT(MAX(ROW(E$2:E1469)*(E1469=E$2:E1469)))))-COUNTBLANK(OFFSET(A$1,,,SUMPRODUCT(MAX(ROW(E$1:E1468)*(E2=E$1:E1468))))))</f>
        <v> </v>
      </c>
      <c r="K1469" s="26" t="str">
        <f>IF(OR(E1469="",E1469="!!!",F1469="NEW"),"",INDEX(J$1:J1468,SUMPRODUCT(MAX(ROW(E$1:E1468)*(E1469=E$1:E1468)))))</f>
        <v> </v>
      </c>
      <c r="L1469" s="27"/>
    </row>
    <row r="1470" spans="1:12">
      <c r="A1470" s="20" t="s">
        <v>393</v>
      </c>
      <c r="E1470" s="22">
        <f>IF(D1470="?OLD","!!!","")</f>
        <v/>
      </c>
      <c r="F1470" s="23" t="str">
        <f>IF(OR(E1470="",E1470="!!!"),"",IF(NOT(ISNA(VLOOKUP(E1470,E$1:E1469,1,FALSE()))),"OLD",IF(AND(E1470&lt;&gt;"",E1470&lt;&gt;"!!!"),"NEW","")))</f>
        <v> </v>
      </c>
      <c r="G1470" s="24" t="str">
        <f>IF(OR(E1470="",E1470="!!!"),"",IF(OR(J1470=0,AND(J1470=1,K1470=1),AND(J1470=1,I1470="SBJ"),AND(J1470=1,I1470=0)),"?IN_FOCUS",IF(J1470&lt;=2,"?ACTIVATED",IF(J1470&lt;&gt;"","?FAMILIAR",IF(F1470="NEW",IF(ISNA(VLOOKUP(E1470,#REF!,1,FALSE())),"?TYPE_IDENTIFIABLE","?REFERENTIAL"),"_")))))</f>
        <v> </v>
      </c>
      <c r="H1470" s="25" t="str">
        <f>IF(J1470&lt;&gt;1,"",IF(I1470="SBJ","CB","?"))</f>
        <v> </v>
      </c>
      <c r="I1470" s="26" t="str">
        <f>IF(OR(E1470="",E1470="!!!",F1470="NEW"),"",INDEX(B1469:B$2,-1+SUMPRODUCT(MAX(ROW(E1469:E$2)*(E1470=E1469:E$2)))))</f>
        <v> </v>
      </c>
      <c r="J1470" s="26" t="str">
        <f>IF(OR(E1470="",E1470="!!!",F1470="NEW"),"",COUNTBLANK(OFFSET(A$1,,,SUMPRODUCT(MAX(ROW(E$2:E1470)*(E1470=E$2:E1470)))))-COUNTBLANK(OFFSET(A$1,,,SUMPRODUCT(MAX(ROW(E$1:E1469)*(E2=E$1:E1469))))))</f>
        <v> </v>
      </c>
      <c r="K1470" s="26" t="str">
        <f>IF(OR(E1470="",E1470="!!!",F1470="NEW"),"",INDEX(J$1:J1469,SUMPRODUCT(MAX(ROW(E$1:E1469)*(E1470=E$1:E1469)))))</f>
        <v> </v>
      </c>
      <c r="L1470" s="27"/>
    </row>
    <row r="1471" spans="1:12">
      <c r="A1471" s="20" t="s">
        <v>841</v>
      </c>
      <c r="B1471" s="21" t="s">
        <v>365</v>
      </c>
      <c r="C1471" s="21" t="s">
        <v>430</v>
      </c>
      <c r="D1471" s="21" t="s">
        <v>358</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643</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t="s">
        <v>618</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row>
    <row r="1475" spans="1:12">
      <c r="A1475" s="20" t="s">
        <v>555</v>
      </c>
      <c r="E1475" s="22">
        <f>IF(D1475="?OLD","!!!","")</f>
        <v/>
      </c>
      <c r="F1475" s="23" t="str">
        <f>IF(OR(E1475="",E1475="!!!"),"",IF(NOT(ISNA(VLOOKUP(E1475,E$1:E1474,1,FALSE()))),"OLD",IF(AND(E1475&lt;&gt;"",E1475&lt;&gt;"!!!"),"NEW","")))</f>
        <v> </v>
      </c>
      <c r="G1475" s="24" t="str">
        <f>IF(OR(E1475="",E1475="!!!"),"",IF(OR(J1475=0,AND(J1475=1,K1475=1),AND(J1475=1,I1475="SBJ"),AND(J1475=1,I1475=0)),"?IN_FOCUS",IF(J1475&lt;=2,"?ACTIVATED",IF(J1475&lt;&gt;"","?FAMILIAR",IF(F1475="NEW",IF(ISNA(VLOOKUP(E1475,#REF!,1,FALSE())),"?TYPE_IDENTIFIABLE","?REFERENTIAL"),"_")))))</f>
        <v> </v>
      </c>
      <c r="H1475" s="25" t="str">
        <f>IF(J1475&lt;&gt;1,"",IF(I1475="SBJ","CB","?"))</f>
        <v> </v>
      </c>
      <c r="I1475" s="26" t="str">
        <f>IF(OR(E1475="",E1475="!!!",F1475="NEW"),"",INDEX(B1474:B$2,-1+SUMPRODUCT(MAX(ROW(E1474:E$2)*(E1475=E1474:E$2)))))</f>
        <v> </v>
      </c>
      <c r="J1475" s="26" t="str">
        <f>IF(OR(E1475="",E1475="!!!",F1475="NEW"),"",COUNTBLANK(OFFSET(A$1,,,SUMPRODUCT(MAX(ROW(E$2:E1475)*(E1475=E$2:E1475)))))-COUNTBLANK(OFFSET(A$1,,,SUMPRODUCT(MAX(ROW(E$1:E1474)*(E2=E$1:E1474))))))</f>
        <v> </v>
      </c>
      <c r="K1475" s="26" t="str">
        <f>IF(OR(E1475="",E1475="!!!",F1475="NEW"),"",INDEX(J$1:J1474,SUMPRODUCT(MAX(ROW(E$1:E1474)*(E1475=E$1:E1474)))))</f>
        <v> </v>
      </c>
      <c r="L1475" s="27"/>
    </row>
    <row r="1476" spans="1:12">
      <c r="A1476" s="20" t="s">
        <v>902</v>
      </c>
    </row>
    <row r="1477" spans="1:12">
      <c r="A1477" s="20" t="s">
        <v>710</v>
      </c>
      <c r="E1477" s="22">
        <f>IF(D1477="?OLD","!!!","")</f>
        <v/>
      </c>
      <c r="F1477" s="23" t="str">
        <f>IF(OR(E1477="",E1477="!!!"),"",IF(NOT(ISNA(VLOOKUP(E1477,E$1:E1476,1,FALSE()))),"OLD",IF(AND(E1477&lt;&gt;"",E1477&lt;&gt;"!!!"),"NEW","")))</f>
        <v> </v>
      </c>
      <c r="G1477" s="24" t="str">
        <f>IF(OR(E1477="",E1477="!!!"),"",IF(OR(J1477=0,AND(J1477=1,K1477=1),AND(J1477=1,I1477="SBJ"),AND(J1477=1,I1477=0)),"?IN_FOCUS",IF(J1477&lt;=2,"?ACTIVATED",IF(J1477&lt;&gt;"","?FAMILIAR",IF(F1477="NEW",IF(ISNA(VLOOKUP(E1477,#REF!,1,FALSE())),"?TYPE_IDENTIFIABLE","?REFERENTIAL"),"_")))))</f>
        <v> </v>
      </c>
      <c r="H1477" s="25" t="str">
        <f>IF(J1477&lt;&gt;1,"",IF(I1477="SBJ","CB","?"))</f>
        <v> </v>
      </c>
      <c r="I1477" s="26" t="str">
        <f>IF(OR(E1477="",E1477="!!!",F1477="NEW"),"",INDEX(B1476:B$2,-1+SUMPRODUCT(MAX(ROW(E1476:E$2)*(E1477=E1476:E$2)))))</f>
        <v> </v>
      </c>
      <c r="J1477" s="26" t="str">
        <f>IF(OR(E1477="",E1477="!!!",F1477="NEW"),"",COUNTBLANK(OFFSET(A$1,,,SUMPRODUCT(MAX(ROW(E$2:E1477)*(E1477=E$2:E1477)))))-COUNTBLANK(OFFSET(A$1,,,SUMPRODUCT(MAX(ROW(E$1:E1476)*(E2=E$1:E1476))))))</f>
        <v> </v>
      </c>
      <c r="K1477" s="26" t="str">
        <f>IF(OR(E1477="",E1477="!!!",F1477="NEW"),"",INDEX(J$1:J1476,SUMPRODUCT(MAX(ROW(E$1:E1476)*(E1477=E$1:E1476)))))</f>
        <v> </v>
      </c>
      <c r="L1477" s="27"/>
    </row>
    <row r="1478" spans="1:12">
      <c r="A1478" s="20" t="s">
        <v>903</v>
      </c>
      <c r="B1478" s="21" t="s">
        <v>373</v>
      </c>
      <c r="C1478" s="21" t="s">
        <v>385</v>
      </c>
      <c r="D1478" s="21" t="s">
        <v>358</v>
      </c>
      <c r="E1478" s="22">
        <f>IF(D1478="?OLD","!!!","")</f>
        <v/>
      </c>
      <c r="F1478" s="23" t="str">
        <f>IF(OR(E1478="",E1478="!!!"),"",IF(NOT(ISNA(VLOOKUP(E1478,E$1:E1477,1,FALSE()))),"OLD",IF(AND(E1478&lt;&gt;"",E1478&lt;&gt;"!!!"),"NEW","")))</f>
        <v> </v>
      </c>
      <c r="G1478" s="24" t="str">
        <f>IF(OR(E1478="",E1478="!!!"),"",IF(OR(J1478=0,AND(J1478=1,K1478=1),AND(J1478=1,I1478="SBJ"),AND(J1478=1,I1478=0)),"?IN_FOCUS",IF(J1478&lt;=2,"?ACTIVATED",IF(J1478&lt;&gt;"","?FAMILIAR",IF(F1478="NEW",IF(ISNA(VLOOKUP(E1478,#REF!,1,FALSE())),"?TYPE_IDENTIFIABLE","?REFERENTIAL"),"_")))))</f>
        <v> </v>
      </c>
      <c r="H1478" s="25" t="str">
        <f>IF(J1478&lt;&gt;1,"",IF(I1478="SBJ","CB","?"))</f>
        <v> </v>
      </c>
      <c r="I1478" s="26" t="str">
        <f>IF(OR(E1478="",E1478="!!!",F1478="NEW"),"",INDEX(B1477:B$2,-1+SUMPRODUCT(MAX(ROW(E1477:E$2)*(E1478=E1477:E$2)))))</f>
        <v> </v>
      </c>
      <c r="J1478" s="26" t="str">
        <f>IF(OR(E1478="",E1478="!!!",F1478="NEW"),"",COUNTBLANK(OFFSET(A$1,,,SUMPRODUCT(MAX(ROW(E$2:E1478)*(E1478=E$2:E1478)))))-COUNTBLANK(OFFSET(A$1,,,SUMPRODUCT(MAX(ROW(E$1:E1477)*(E2=E$1:E1477))))))</f>
        <v> </v>
      </c>
      <c r="K1478" s="26" t="str">
        <f>IF(OR(E1478="",E1478="!!!",F1478="NEW"),"",INDEX(J$1:J1477,SUMPRODUCT(MAX(ROW(E$1:E1477)*(E1478=E$1:E1477)))))</f>
        <v> </v>
      </c>
      <c r="L1478" s="27"/>
    </row>
    <row r="1479" spans="1:12">
      <c r="A1479" s="20" t="s">
        <v>904</v>
      </c>
      <c r="E1479" s="22">
        <f>IF(D1479="?OLD","!!!","")</f>
        <v/>
      </c>
      <c r="F1479" s="23" t="str">
        <f>IF(OR(E1479="",E1479="!!!"),"",IF(NOT(ISNA(VLOOKUP(E1479,E$1:E1478,1,FALSE()))),"OLD",IF(AND(E1479&lt;&gt;"",E1479&lt;&gt;"!!!"),"NEW","")))</f>
        <v> </v>
      </c>
      <c r="G1479" s="24" t="str">
        <f>IF(OR(E1479="",E1479="!!!"),"",IF(OR(J1479=0,AND(J1479=1,K1479=1),AND(J1479=1,I1479="SBJ"),AND(J1479=1,I1479=0)),"?IN_FOCUS",IF(J1479&lt;=2,"?ACTIVATED",IF(J1479&lt;&gt;"","?FAMILIAR",IF(F1479="NEW",IF(ISNA(VLOOKUP(E1479,#REF!,1,FALSE())),"?TYPE_IDENTIFIABLE","?REFERENTIAL"),"_")))))</f>
        <v> </v>
      </c>
      <c r="H1479" s="25" t="str">
        <f>IF(J1479&lt;&gt;1,"",IF(I1479="SBJ","CB","?"))</f>
        <v> </v>
      </c>
      <c r="I1479" s="26" t="str">
        <f>IF(OR(E1479="",E1479="!!!",F1479="NEW"),"",INDEX(B1478:B$2,-1+SUMPRODUCT(MAX(ROW(E1478:E$2)*(E1479=E1478:E$2)))))</f>
        <v> </v>
      </c>
      <c r="J1479" s="26" t="str">
        <f>IF(OR(E1479="",E1479="!!!",F1479="NEW"),"",COUNTBLANK(OFFSET(A$1,,,SUMPRODUCT(MAX(ROW(E$2:E1479)*(E1479=E$2:E1479)))))-COUNTBLANK(OFFSET(A$1,,,SUMPRODUCT(MAX(ROW(E$1:E1478)*(E2=E$1:E1478))))))</f>
        <v> </v>
      </c>
      <c r="K1479" s="26" t="str">
        <f>IF(OR(E1479="",E1479="!!!",F1479="NEW"),"",INDEX(J$1:J1478,SUMPRODUCT(MAX(ROW(E$1:E1478)*(E1479=E$1:E1478)))))</f>
        <v> </v>
      </c>
      <c r="L1479" s="27"/>
    </row>
    <row r="1480" spans="1:12">
      <c r="A1480" s="20" t="s">
        <v>376</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905</v>
      </c>
      <c r="B1481" s="21" t="s">
        <v>378</v>
      </c>
      <c r="C1481" s="21" t="s">
        <v>379</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906</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t="s">
        <v>367</v>
      </c>
      <c r="E1483" s="22">
        <f>IF(D1483="?OLD","!!!","")</f>
        <v/>
      </c>
      <c r="F1483" s="23" t="str">
        <f>IF(OR(E1483="",E1483="!!!"),"",IF(NOT(ISNA(VLOOKUP(E1483,E$1:E1482,1,FALSE()))),"OLD",IF(AND(E1483&lt;&gt;"",E1483&lt;&gt;"!!!"),"NEW","")))</f>
        <v> </v>
      </c>
      <c r="G1483" s="24" t="str">
        <f>IF(OR(E1483="",E1483="!!!"),"",IF(OR(J1483=0,AND(J1483=1,K1483=1),AND(J1483=1,I1483="SBJ"),AND(J1483=1,I1483=0)),"?IN_FOCUS",IF(J1483&lt;=2,"?ACTIVATED",IF(J1483&lt;&gt;"","?FAMILIAR",IF(F1483="NEW",IF(ISNA(VLOOKUP(E1483,#REF!,1,FALSE())),"?TYPE_IDENTIFIABLE","?REFERENTIAL"),"_")))))</f>
        <v> </v>
      </c>
      <c r="H1483" s="25" t="str">
        <f>IF(J1483&lt;&gt;1,"",IF(I1483="SBJ","CB","?"))</f>
        <v> </v>
      </c>
      <c r="I1483" s="26" t="str">
        <f>IF(OR(E1483="",E1483="!!!",F1483="NEW"),"",INDEX(B1482:B$2,-1+SUMPRODUCT(MAX(ROW(E1482:E$2)*(E1483=E1482:E$2)))))</f>
        <v> </v>
      </c>
      <c r="J1483" s="26" t="str">
        <f>IF(OR(E1483="",E1483="!!!",F1483="NEW"),"",COUNTBLANK(OFFSET(A$1,,,SUMPRODUCT(MAX(ROW(E$2:E1483)*(E1483=E$2:E1483)))))-COUNTBLANK(OFFSET(A$1,,,SUMPRODUCT(MAX(ROW(E$1:E1482)*(E2=E$1:E1482))))))</f>
        <v> </v>
      </c>
      <c r="K1483" s="26" t="str">
        <f>IF(OR(E1483="",E1483="!!!",F1483="NEW"),"",INDEX(J$1:J1482,SUMPRODUCT(MAX(ROW(E$1:E1482)*(E1483=E$1:E1482)))))</f>
        <v> </v>
      </c>
      <c r="L1483" s="27"/>
    </row>
    <row r="1484" spans="1:12">
      <c r="A1484" s="20" t="s">
        <v>414</v>
      </c>
      <c r="E1484" s="22">
        <f>IF(D1484="?OLD","!!!","")</f>
        <v/>
      </c>
      <c r="F1484" s="23" t="str">
        <f>IF(OR(E1484="",E1484="!!!"),"",IF(NOT(ISNA(VLOOKUP(E1484,E$1:E1483,1,FALSE()))),"OLD",IF(AND(E1484&lt;&gt;"",E1484&lt;&gt;"!!!"),"NEW","")))</f>
        <v> </v>
      </c>
      <c r="G1484" s="24" t="str">
        <f>IF(OR(E1484="",E1484="!!!"),"",IF(OR(J1484=0,AND(J1484=1,K1484=1),AND(J1484=1,I1484="SBJ"),AND(J1484=1,I1484=0)),"?IN_FOCUS",IF(J1484&lt;=2,"?ACTIVATED",IF(J1484&lt;&gt;"","?FAMILIAR",IF(F1484="NEW",IF(ISNA(VLOOKUP(E1484,#REF!,1,FALSE())),"?TYPE_IDENTIFIABLE","?REFERENTIAL"),"_")))))</f>
        <v> </v>
      </c>
      <c r="H1484" s="25" t="str">
        <f>IF(J1484&lt;&gt;1,"",IF(I1484="SBJ","CB","?"))</f>
        <v> </v>
      </c>
      <c r="I1484" s="26" t="str">
        <f>IF(OR(E1484="",E1484="!!!",F1484="NEW"),"",INDEX(B1483:B$2,-1+SUMPRODUCT(MAX(ROW(E1483:E$2)*(E1484=E1483:E$2)))))</f>
        <v> </v>
      </c>
      <c r="J1484" s="26" t="str">
        <f>IF(OR(E1484="",E1484="!!!",F1484="NEW"),"",COUNTBLANK(OFFSET(A$1,,,SUMPRODUCT(MAX(ROW(E$2:E1484)*(E1484=E$2:E1484)))))-COUNTBLANK(OFFSET(A$1,,,SUMPRODUCT(MAX(ROW(E$1:E1483)*(E2=E$1:E1483))))))</f>
        <v> </v>
      </c>
      <c r="K1484" s="26" t="str">
        <f>IF(OR(E1484="",E1484="!!!",F1484="NEW"),"",INDEX(J$1:J1483,SUMPRODUCT(MAX(ROW(E$1:E1483)*(E1484=E$1:E1483)))))</f>
        <v> </v>
      </c>
      <c r="L1484" s="27"/>
    </row>
    <row r="1485" spans="1:12">
      <c r="A1485" s="20" t="s">
        <v>907</v>
      </c>
      <c r="B1485" s="21" t="s">
        <v>356</v>
      </c>
      <c r="C1485" s="21" t="s">
        <v>379</v>
      </c>
      <c r="E1485" s="22">
        <f>IF(D1485="?OLD","!!!","")</f>
        <v/>
      </c>
      <c r="F1485" s="23" t="str">
        <f>IF(OR(E1485="",E1485="!!!"),"",IF(NOT(ISNA(VLOOKUP(E1485,E$1:E1484,1,FALSE()))),"OLD",IF(AND(E1485&lt;&gt;"",E1485&lt;&gt;"!!!"),"NEW","")))</f>
        <v> </v>
      </c>
      <c r="G1485" s="24" t="str">
        <f>IF(OR(E1485="",E1485="!!!"),"",IF(OR(J1485=0,AND(J1485=1,K1485=1),AND(J1485=1,I1485="SBJ"),AND(J1485=1,I1485=0)),"?IN_FOCUS",IF(J1485&lt;=2,"?ACTIVATED",IF(J1485&lt;&gt;"","?FAMILIAR",IF(F1485="NEW",IF(ISNA(VLOOKUP(E1485,#REF!,1,FALSE())),"?TYPE_IDENTIFIABLE","?REFERENTIAL"),"_")))))</f>
        <v> </v>
      </c>
      <c r="H1485" s="25" t="str">
        <f>IF(J1485&lt;&gt;1,"",IF(I1485="SBJ","CB","?"))</f>
        <v> </v>
      </c>
      <c r="I1485" s="26" t="str">
        <f>IF(OR(E1485="",E1485="!!!",F1485="NEW"),"",INDEX(B1484:B$2,-1+SUMPRODUCT(MAX(ROW(E1484:E$2)*(E1485=E1484:E$2)))))</f>
        <v> </v>
      </c>
      <c r="J1485" s="26" t="str">
        <f>IF(OR(E1485="",E1485="!!!",F1485="NEW"),"",COUNTBLANK(OFFSET(A$1,,,SUMPRODUCT(MAX(ROW(E$2:E1485)*(E1485=E$2:E1485)))))-COUNTBLANK(OFFSET(A$1,,,SUMPRODUCT(MAX(ROW(E$1:E1484)*(E2=E$1:E1484))))))</f>
        <v> </v>
      </c>
      <c r="K1485" s="26" t="str">
        <f>IF(OR(E1485="",E1485="!!!",F1485="NEW"),"",INDEX(J$1:J1484,SUMPRODUCT(MAX(ROW(E$1:E1484)*(E1485=E$1:E1484)))))</f>
        <v> </v>
      </c>
      <c r="L1485" s="27"/>
    </row>
    <row r="1486" spans="1:12">
      <c r="A1486" s="20" t="s">
        <v>908</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t="s">
        <v>367</v>
      </c>
      <c r="E1487" s="22">
        <f>IF(D1487="?OLD","!!!","")</f>
        <v/>
      </c>
      <c r="F1487" s="23" t="str">
        <f>IF(OR(E1487="",E1487="!!!"),"",IF(NOT(ISNA(VLOOKUP(E1487,E$1:E1486,1,FALSE()))),"OLD",IF(AND(E1487&lt;&gt;"",E1487&lt;&gt;"!!!"),"NEW","")))</f>
        <v> </v>
      </c>
      <c r="G1487" s="24" t="str">
        <f>IF(OR(E1487="",E1487="!!!"),"",IF(OR(J1487=0,AND(J1487=1,K1487=1),AND(J1487=1,I1487="SBJ"),AND(J1487=1,I1487=0)),"?IN_FOCUS",IF(J1487&lt;=2,"?ACTIVATED",IF(J1487&lt;&gt;"","?FAMILIAR",IF(F1487="NEW",IF(ISNA(VLOOKUP(E1487,#REF!,1,FALSE())),"?TYPE_IDENTIFIABLE","?REFERENTIAL"),"_")))))</f>
        <v> </v>
      </c>
      <c r="H1487" s="25" t="str">
        <f>IF(J1487&lt;&gt;1,"",IF(I1487="SBJ","CB","?"))</f>
        <v> </v>
      </c>
      <c r="I1487" s="26" t="str">
        <f>IF(OR(E1487="",E1487="!!!",F1487="NEW"),"",INDEX(B1486:B$2,-1+SUMPRODUCT(MAX(ROW(E1486:E$2)*(E1487=E1486:E$2)))))</f>
        <v> </v>
      </c>
      <c r="J1487" s="26" t="str">
        <f>IF(OR(E1487="",E1487="!!!",F1487="NEW"),"",COUNTBLANK(OFFSET(A$1,,,SUMPRODUCT(MAX(ROW(E$2:E1487)*(E1487=E$2:E1487)))))-COUNTBLANK(OFFSET(A$1,,,SUMPRODUCT(MAX(ROW(E$1:E1486)*(E2=E$1:E1486))))))</f>
        <v> </v>
      </c>
      <c r="K1487" s="26" t="str">
        <f>IF(OR(E1487="",E1487="!!!",F1487="NEW"),"",INDEX(J$1:J1486,SUMPRODUCT(MAX(ROW(E$1:E1486)*(E1487=E$1:E1486)))))</f>
        <v> </v>
      </c>
      <c r="L1487" s="27"/>
    </row>
    <row r="1488" spans="1:12">
      <c r="A1488" s="20" t="s">
        <v>376</v>
      </c>
      <c r="E1488" s="22">
        <f>IF(D1488="?OLD","!!!","")</f>
        <v/>
      </c>
      <c r="F1488" s="23" t="str">
        <f>IF(OR(E1488="",E1488="!!!"),"",IF(NOT(ISNA(VLOOKUP(E1488,E$1:E1487,1,FALSE()))),"OLD",IF(AND(E1488&lt;&gt;"",E1488&lt;&gt;"!!!"),"NEW","")))</f>
        <v> </v>
      </c>
      <c r="G1488" s="24" t="str">
        <f>IF(OR(E1488="",E1488="!!!"),"",IF(OR(J1488=0,AND(J1488=1,K1488=1),AND(J1488=1,I1488="SBJ"),AND(J1488=1,I1488=0)),"?IN_FOCUS",IF(J1488&lt;=2,"?ACTIVATED",IF(J1488&lt;&gt;"","?FAMILIAR",IF(F1488="NEW",IF(ISNA(VLOOKUP(E1488,#REF!,1,FALSE())),"?TYPE_IDENTIFIABLE","?REFERENTIAL"),"_")))))</f>
        <v> </v>
      </c>
      <c r="H1488" s="25" t="str">
        <f>IF(J1488&lt;&gt;1,"",IF(I1488="SBJ","CB","?"))</f>
        <v> </v>
      </c>
      <c r="I1488" s="26" t="str">
        <f>IF(OR(E1488="",E1488="!!!",F1488="NEW"),"",INDEX(B1487:B$2,-1+SUMPRODUCT(MAX(ROW(E1487:E$2)*(E1488=E1487:E$2)))))</f>
        <v> </v>
      </c>
      <c r="J1488" s="26" t="str">
        <f>IF(OR(E1488="",E1488="!!!",F1488="NEW"),"",COUNTBLANK(OFFSET(A$1,,,SUMPRODUCT(MAX(ROW(E$2:E1488)*(E1488=E$2:E1488)))))-COUNTBLANK(OFFSET(A$1,,,SUMPRODUCT(MAX(ROW(E$1:E1487)*(E2=E$1:E1487))))))</f>
        <v> </v>
      </c>
      <c r="K1488" s="26" t="str">
        <f>IF(OR(E1488="",E1488="!!!",F1488="NEW"),"",INDEX(J$1:J1487,SUMPRODUCT(MAX(ROW(E$1:E1487)*(E1488=E$1:E1487)))))</f>
        <v> </v>
      </c>
      <c r="L1488" s="27"/>
    </row>
    <row r="1489" spans="1:12">
      <c r="A1489" s="20" t="s">
        <v>909</v>
      </c>
      <c r="B1489" s="21" t="s">
        <v>356</v>
      </c>
      <c r="C1489" s="21" t="s">
        <v>379</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910</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519</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740</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386</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560</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t="s">
        <v>911</v>
      </c>
      <c r="E1495" s="22">
        <f>IF(D1495="?OLD","!!!","")</f>
        <v/>
      </c>
      <c r="F1495" s="23" t="str">
        <f>IF(OR(E1495="",E1495="!!!"),"",IF(NOT(ISNA(VLOOKUP(E1495,E$1:E1494,1,FALSE()))),"OLD",IF(AND(E1495&lt;&gt;"",E1495&lt;&gt;"!!!"),"NEW","")))</f>
        <v> </v>
      </c>
      <c r="G1495" s="24" t="str">
        <f>IF(OR(E1495="",E1495="!!!"),"",IF(OR(J1495=0,AND(J1495=1,K1495=1),AND(J1495=1,I1495="SBJ"),AND(J1495=1,I1495=0)),"?IN_FOCUS",IF(J1495&lt;=2,"?ACTIVATED",IF(J1495&lt;&gt;"","?FAMILIAR",IF(F1495="NEW",IF(ISNA(VLOOKUP(E1495,#REF!,1,FALSE())),"?TYPE_IDENTIFIABLE","?REFERENTIAL"),"_")))))</f>
        <v> </v>
      </c>
      <c r="H1495" s="25" t="str">
        <f>IF(J1495&lt;&gt;1,"",IF(I1495="SBJ","CB","?"))</f>
        <v> </v>
      </c>
      <c r="I1495" s="26" t="str">
        <f>IF(OR(E1495="",E1495="!!!",F1495="NEW"),"",INDEX(B1494:B$2,-1+SUMPRODUCT(MAX(ROW(E1494:E$2)*(E1495=E1494:E$2)))))</f>
        <v> </v>
      </c>
      <c r="J1495" s="26" t="str">
        <f>IF(OR(E1495="",E1495="!!!",F1495="NEW"),"",COUNTBLANK(OFFSET(A$1,,,SUMPRODUCT(MAX(ROW(E$2:E1495)*(E1495=E$2:E1495)))))-COUNTBLANK(OFFSET(A$1,,,SUMPRODUCT(MAX(ROW(E$1:E1494)*(E2=E$1:E1494))))))</f>
        <v> </v>
      </c>
      <c r="K1495" s="26" t="str">
        <f>IF(OR(E1495="",E1495="!!!",F1495="NEW"),"",INDEX(J$1:J1494,SUMPRODUCT(MAX(ROW(E$1:E1494)*(E1495=E$1:E1494)))))</f>
        <v> </v>
      </c>
      <c r="L1495" s="27"/>
    </row>
    <row r="1496" spans="1:12">
      <c r="A1496" s="20" t="s">
        <v>560</v>
      </c>
      <c r="E1496" s="22">
        <f>IF(D1496="?OLD","!!!","")</f>
        <v/>
      </c>
      <c r="F1496" s="23" t="str">
        <f>IF(OR(E1496="",E1496="!!!"),"",IF(NOT(ISNA(VLOOKUP(E1496,E$1:E1495,1,FALSE()))),"OLD",IF(AND(E1496&lt;&gt;"",E1496&lt;&gt;"!!!"),"NEW","")))</f>
        <v> </v>
      </c>
      <c r="G1496" s="24" t="str">
        <f>IF(OR(E1496="",E1496="!!!"),"",IF(OR(J1496=0,AND(J1496=1,K1496=1),AND(J1496=1,I1496="SBJ"),AND(J1496=1,I1496=0)),"?IN_FOCUS",IF(J1496&lt;=2,"?ACTIVATED",IF(J1496&lt;&gt;"","?FAMILIAR",IF(F1496="NEW",IF(ISNA(VLOOKUP(E1496,#REF!,1,FALSE())),"?TYPE_IDENTIFIABLE","?REFERENTIAL"),"_")))))</f>
        <v> </v>
      </c>
      <c r="H1496" s="25" t="str">
        <f>IF(J1496&lt;&gt;1,"",IF(I1496="SBJ","CB","?"))</f>
        <v> </v>
      </c>
      <c r="I1496" s="26" t="str">
        <f>IF(OR(E1496="",E1496="!!!",F1496="NEW"),"",INDEX(B1495:B$2,-1+SUMPRODUCT(MAX(ROW(E1495:E$2)*(E1496=E1495:E$2)))))</f>
        <v> </v>
      </c>
      <c r="J1496" s="26" t="str">
        <f>IF(OR(E1496="",E1496="!!!",F1496="NEW"),"",COUNTBLANK(OFFSET(A$1,,,SUMPRODUCT(MAX(ROW(E$2:E1496)*(E1496=E$2:E1496)))))-COUNTBLANK(OFFSET(A$1,,,SUMPRODUCT(MAX(ROW(E$1:E1495)*(E2=E$1:E1495))))))</f>
        <v> </v>
      </c>
      <c r="K1496" s="26" t="str">
        <f>IF(OR(E1496="",E1496="!!!",F1496="NEW"),"",INDEX(J$1:J1495,SUMPRODUCT(MAX(ROW(E$1:E1495)*(E1496=E$1:E1495)))))</f>
        <v> </v>
      </c>
      <c r="L1496" s="27"/>
    </row>
    <row r="1497" spans="1:12">
      <c r="A1497" s="20" t="s">
        <v>912</v>
      </c>
      <c r="B1497" s="21" t="s">
        <v>489</v>
      </c>
      <c r="C1497" s="21" t="s">
        <v>385</v>
      </c>
      <c r="D1497" s="21" t="s">
        <v>358</v>
      </c>
      <c r="E1497" s="22">
        <f>IF(D1497="?OLD","!!!","")</f>
        <v/>
      </c>
      <c r="F1497" s="23" t="str">
        <f>IF(OR(E1497="",E1497="!!!"),"",IF(NOT(ISNA(VLOOKUP(E1497,E$1:E1496,1,FALSE()))),"OLD",IF(AND(E1497&lt;&gt;"",E1497&lt;&gt;"!!!"),"NEW","")))</f>
        <v> </v>
      </c>
      <c r="G1497" s="24" t="str">
        <f>IF(OR(E1497="",E1497="!!!"),"",IF(OR(J1497=0,AND(J1497=1,K1497=1),AND(J1497=1,I1497="SBJ"),AND(J1497=1,I1497=0)),"?IN_FOCUS",IF(J1497&lt;=2,"?ACTIVATED",IF(J1497&lt;&gt;"","?FAMILIAR",IF(F1497="NEW",IF(ISNA(VLOOKUP(E1497,#REF!,1,FALSE())),"?TYPE_IDENTIFIABLE","?REFERENTIAL"),"_")))))</f>
        <v> </v>
      </c>
      <c r="H1497" s="25" t="str">
        <f>IF(J1497&lt;&gt;1,"",IF(I1497="SBJ","CB","?"))</f>
        <v> </v>
      </c>
      <c r="I1497" s="26" t="str">
        <f>IF(OR(E1497="",E1497="!!!",F1497="NEW"),"",INDEX(B1496:B$2,-1+SUMPRODUCT(MAX(ROW(E1496:E$2)*(E1497=E1496:E$2)))))</f>
        <v> </v>
      </c>
      <c r="J1497" s="26" t="str">
        <f>IF(OR(E1497="",E1497="!!!",F1497="NEW"),"",COUNTBLANK(OFFSET(A$1,,,SUMPRODUCT(MAX(ROW(E$2:E1497)*(E1497=E$2:E1497)))))-COUNTBLANK(OFFSET(A$1,,,SUMPRODUCT(MAX(ROW(E$1:E1496)*(E2=E$1:E1496))))))</f>
        <v> </v>
      </c>
      <c r="K1497" s="26" t="str">
        <f>IF(OR(E1497="",E1497="!!!",F1497="NEW"),"",INDEX(J$1:J1496,SUMPRODUCT(MAX(ROW(E$1:E1496)*(E1497=E$1:E1496)))))</f>
        <v> </v>
      </c>
      <c r="L1497" s="27"/>
    </row>
    <row r="1498" spans="1:12">
      <c r="A1498" s="20" t="s">
        <v>389</v>
      </c>
      <c r="E1498" s="22">
        <f>IF(D1498="?OLD","!!!","")</f>
        <v/>
      </c>
      <c r="F1498" s="23" t="str">
        <f>IF(OR(E1498="",E1498="!!!"),"",IF(NOT(ISNA(VLOOKUP(E1498,E$1:E1497,1,FALSE()))),"OLD",IF(AND(E1498&lt;&gt;"",E1498&lt;&gt;"!!!"),"NEW","")))</f>
        <v> </v>
      </c>
      <c r="G1498" s="24" t="str">
        <f>IF(OR(E1498="",E1498="!!!"),"",IF(OR(J1498=0,AND(J1498=1,K1498=1),AND(J1498=1,I1498="SBJ"),AND(J1498=1,I1498=0)),"?IN_FOCUS",IF(J1498&lt;=2,"?ACTIVATED",IF(J1498&lt;&gt;"","?FAMILIAR",IF(F1498="NEW",IF(ISNA(VLOOKUP(E1498,#REF!,1,FALSE())),"?TYPE_IDENTIFIABLE","?REFERENTIAL"),"_")))))</f>
        <v> </v>
      </c>
      <c r="H1498" s="25" t="str">
        <f>IF(J1498&lt;&gt;1,"",IF(I1498="SBJ","CB","?"))</f>
        <v> </v>
      </c>
      <c r="I1498" s="26" t="str">
        <f>IF(OR(E1498="",E1498="!!!",F1498="NEW"),"",INDEX(B1497:B$2,-1+SUMPRODUCT(MAX(ROW(E1497:E$2)*(E1498=E1497:E$2)))))</f>
        <v> </v>
      </c>
      <c r="J1498" s="26" t="str">
        <f>IF(OR(E1498="",E1498="!!!",F1498="NEW"),"",COUNTBLANK(OFFSET(A$1,,,SUMPRODUCT(MAX(ROW(E$2:E1498)*(E1498=E$2:E1498)))))-COUNTBLANK(OFFSET(A$1,,,SUMPRODUCT(MAX(ROW(E$1:E1497)*(E2=E$1:E1497))))))</f>
        <v> </v>
      </c>
      <c r="K1498" s="26" t="str">
        <f>IF(OR(E1498="",E1498="!!!",F1498="NEW"),"",INDEX(J$1:J1497,SUMPRODUCT(MAX(ROW(E$1:E1497)*(E1498=E$1:E1497)))))</f>
        <v> </v>
      </c>
      <c r="L1498" s="27"/>
    </row>
    <row r="1499" spans="1:12">
      <c r="A1499" s="20"/>
    </row>
    <row r="1500" spans="1:12">
      <c r="A1500" s="20" t="s">
        <v>913</v>
      </c>
    </row>
    <row r="1501" spans="1:12">
      <c r="A1501" s="20" t="s">
        <v>391</v>
      </c>
      <c r="E1501" s="22">
        <f>IF(D1501="?OLD","!!!","")</f>
        <v/>
      </c>
      <c r="F1501" s="23" t="str">
        <f>IF(OR(E1501="",E1501="!!!"),"",IF(NOT(ISNA(VLOOKUP(E1501,E$1:E1500,1,FALSE()))),"OLD",IF(AND(E1501&lt;&gt;"",E1501&lt;&gt;"!!!"),"NEW","")))</f>
        <v> </v>
      </c>
      <c r="G1501" s="24" t="str">
        <f>IF(OR(E1501="",E1501="!!!"),"",IF(OR(J1501=0,AND(J1501=1,K1501=1),AND(J1501=1,I1501="SBJ"),AND(J1501=1,I1501=0)),"?IN_FOCUS",IF(J1501&lt;=2,"?ACTIVATED",IF(J1501&lt;&gt;"","?FAMILIAR",IF(F1501="NEW",IF(ISNA(VLOOKUP(E1501,#REF!,1,FALSE())),"?TYPE_IDENTIFIABLE","?REFERENTIAL"),"_")))))</f>
        <v> </v>
      </c>
      <c r="H1501" s="25" t="str">
        <f>IF(J1501&lt;&gt;1,"",IF(I1501="SBJ","CB","?"))</f>
        <v> </v>
      </c>
      <c r="I1501" s="26" t="str">
        <f>IF(OR(E1501="",E1501="!!!",F1501="NEW"),"",INDEX(B1500:B$2,-1+SUMPRODUCT(MAX(ROW(E1500:E$2)*(E1501=E1500:E$2)))))</f>
        <v> </v>
      </c>
      <c r="J1501" s="26" t="str">
        <f>IF(OR(E1501="",E1501="!!!",F1501="NEW"),"",COUNTBLANK(OFFSET(A$1,,,SUMPRODUCT(MAX(ROW(E$2:E1501)*(E1501=E$2:E1501)))))-COUNTBLANK(OFFSET(A$1,,,SUMPRODUCT(MAX(ROW(E$1:E1500)*(E2=E$1:E1500))))))</f>
        <v> </v>
      </c>
      <c r="K1501" s="26" t="str">
        <f>IF(OR(E1501="",E1501="!!!",F1501="NEW"),"",INDEX(J$1:J1500,SUMPRODUCT(MAX(ROW(E$1:E1500)*(E1501=E$1:E1500)))))</f>
        <v> </v>
      </c>
      <c r="L1501" s="27"/>
    </row>
    <row r="1502" spans="1:12">
      <c r="A1502" s="20" t="s">
        <v>433</v>
      </c>
      <c r="B1502" s="21" t="s">
        <v>373</v>
      </c>
      <c r="C1502" s="21" t="s">
        <v>430</v>
      </c>
      <c r="D1502" s="21" t="s">
        <v>358</v>
      </c>
      <c r="E1502" s="22">
        <f>IF(D1502="?OLD","!!!","")</f>
        <v/>
      </c>
      <c r="F1502" s="23" t="str">
        <f>IF(OR(E1502="",E1502="!!!"),"",IF(NOT(ISNA(VLOOKUP(E1502,E$1:E1501,1,FALSE()))),"OLD",IF(AND(E1502&lt;&gt;"",E1502&lt;&gt;"!!!"),"NEW","")))</f>
        <v> </v>
      </c>
      <c r="G1502" s="24" t="str">
        <f>IF(OR(E1502="",E1502="!!!"),"",IF(OR(J1502=0,AND(J1502=1,K1502=1),AND(J1502=1,I1502="SBJ"),AND(J1502=1,I1502=0)),"?IN_FOCUS",IF(J1502&lt;=2,"?ACTIVATED",IF(J1502&lt;&gt;"","?FAMILIAR",IF(F1502="NEW",IF(ISNA(VLOOKUP(E1502,#REF!,1,FALSE())),"?TYPE_IDENTIFIABLE","?REFERENTIAL"),"_")))))</f>
        <v> </v>
      </c>
      <c r="H1502" s="25" t="str">
        <f>IF(J1502&lt;&gt;1,"",IF(I1502="SBJ","CB","?"))</f>
        <v> </v>
      </c>
      <c r="I1502" s="26" t="str">
        <f>IF(OR(E1502="",E1502="!!!",F1502="NEW"),"",INDEX(B1501:B$2,-1+SUMPRODUCT(MAX(ROW(E1501:E$2)*(E1502=E1501:E$2)))))</f>
        <v> </v>
      </c>
      <c r="J1502" s="26" t="str">
        <f>IF(OR(E1502="",E1502="!!!",F1502="NEW"),"",COUNTBLANK(OFFSET(A$1,,,SUMPRODUCT(MAX(ROW(E$2:E1502)*(E1502=E$2:E1502)))))-COUNTBLANK(OFFSET(A$1,,,SUMPRODUCT(MAX(ROW(E$1:E1501)*(E2=E$1:E1501))))))</f>
        <v> </v>
      </c>
      <c r="K1502" s="26" t="str">
        <f>IF(OR(E1502="",E1502="!!!",F1502="NEW"),"",INDEX(J$1:J1501,SUMPRODUCT(MAX(ROW(E$1:E1501)*(E1502=E$1:E1501)))))</f>
        <v> </v>
      </c>
      <c r="L1502" s="27"/>
    </row>
    <row r="1503" spans="1:12">
      <c r="A1503" s="20" t="s">
        <v>393</v>
      </c>
      <c r="E1503" s="22">
        <f>IF(D1503="?OLD","!!!","")</f>
        <v/>
      </c>
      <c r="F1503" s="23" t="str">
        <f>IF(OR(E1503="",E1503="!!!"),"",IF(NOT(ISNA(VLOOKUP(E1503,E$1:E1502,1,FALSE()))),"OLD",IF(AND(E1503&lt;&gt;"",E1503&lt;&gt;"!!!"),"NEW","")))</f>
        <v> </v>
      </c>
      <c r="G1503" s="24" t="str">
        <f>IF(OR(E1503="",E1503="!!!"),"",IF(OR(J1503=0,AND(J1503=1,K1503=1),AND(J1503=1,I1503="SBJ"),AND(J1503=1,I1503=0)),"?IN_FOCUS",IF(J1503&lt;=2,"?ACTIVATED",IF(J1503&lt;&gt;"","?FAMILIAR",IF(F1503="NEW",IF(ISNA(VLOOKUP(E1503,#REF!,1,FALSE())),"?TYPE_IDENTIFIABLE","?REFERENTIAL"),"_")))))</f>
        <v> </v>
      </c>
      <c r="H1503" s="25" t="str">
        <f>IF(J1503&lt;&gt;1,"",IF(I1503="SBJ","CB","?"))</f>
        <v> </v>
      </c>
      <c r="I1503" s="26" t="str">
        <f>IF(OR(E1503="",E1503="!!!",F1503="NEW"),"",INDEX(B1502:B$2,-1+SUMPRODUCT(MAX(ROW(E1502:E$2)*(E1503=E1502:E$2)))))</f>
        <v> </v>
      </c>
      <c r="J1503" s="26" t="str">
        <f>IF(OR(E1503="",E1503="!!!",F1503="NEW"),"",COUNTBLANK(OFFSET(A$1,,,SUMPRODUCT(MAX(ROW(E$2:E1503)*(E1503=E$2:E1503)))))-COUNTBLANK(OFFSET(A$1,,,SUMPRODUCT(MAX(ROW(E$1:E1502)*(E2=E$1:E1502))))))</f>
        <v> </v>
      </c>
      <c r="K1503" s="26" t="str">
        <f>IF(OR(E1503="",E1503="!!!",F1503="NEW"),"",INDEX(J$1:J1502,SUMPRODUCT(MAX(ROW(E$1:E1502)*(E1503=E$1:E1502)))))</f>
        <v> </v>
      </c>
      <c r="L1503" s="27"/>
    </row>
    <row r="1504" spans="1:12">
      <c r="A1504" s="20" t="s">
        <v>428</v>
      </c>
      <c r="B1504" s="21" t="s">
        <v>365</v>
      </c>
      <c r="C1504" s="21" t="s">
        <v>430</v>
      </c>
      <c r="D1504" s="21" t="s">
        <v>358</v>
      </c>
      <c r="E1504" s="22">
        <f>IF(D1504="?OLD","!!!","")</f>
        <v/>
      </c>
      <c r="F1504" s="23" t="str">
        <f>IF(OR(E1504="",E1504="!!!"),"",IF(NOT(ISNA(VLOOKUP(E1504,E$1:E1503,1,FALSE()))),"OLD",IF(AND(E1504&lt;&gt;"",E1504&lt;&gt;"!!!"),"NEW","")))</f>
        <v> </v>
      </c>
      <c r="G1504" s="24" t="str">
        <f>IF(OR(E1504="",E1504="!!!"),"",IF(OR(J1504=0,AND(J1504=1,K1504=1),AND(J1504=1,I1504="SBJ"),AND(J1504=1,I1504=0)),"?IN_FOCUS",IF(J1504&lt;=2,"?ACTIVATED",IF(J1504&lt;&gt;"","?FAMILIAR",IF(F1504="NEW",IF(ISNA(VLOOKUP(E1504,#REF!,1,FALSE())),"?TYPE_IDENTIFIABLE","?REFERENTIAL"),"_")))))</f>
        <v> </v>
      </c>
      <c r="H1504" s="25" t="str">
        <f>IF(J1504&lt;&gt;1,"",IF(I1504="SBJ","CB","?"))</f>
        <v> </v>
      </c>
      <c r="I1504" s="26" t="str">
        <f>IF(OR(E1504="",E1504="!!!",F1504="NEW"),"",INDEX(B1503:B$2,-1+SUMPRODUCT(MAX(ROW(E1503:E$2)*(E1504=E1503:E$2)))))</f>
        <v> </v>
      </c>
      <c r="J1504" s="26" t="str">
        <f>IF(OR(E1504="",E1504="!!!",F1504="NEW"),"",COUNTBLANK(OFFSET(A$1,,,SUMPRODUCT(MAX(ROW(E$2:E1504)*(E1504=E$2:E1504)))))-COUNTBLANK(OFFSET(A$1,,,SUMPRODUCT(MAX(ROW(E$1:E1503)*(E2=E$1:E1503))))))</f>
        <v> </v>
      </c>
      <c r="K1504" s="26" t="str">
        <f>IF(OR(E1504="",E1504="!!!",F1504="NEW"),"",INDEX(J$1:J1503,SUMPRODUCT(MAX(ROW(E$1:E1503)*(E1504=E$1:E1503)))))</f>
        <v> </v>
      </c>
      <c r="L1504" s="27"/>
    </row>
    <row r="1505" spans="1:12">
      <c r="A1505" s="20" t="s">
        <v>367</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t="s">
        <v>405</v>
      </c>
      <c r="E1506" s="22">
        <f>IF(D1506="?OLD","!!!","")</f>
        <v/>
      </c>
      <c r="F1506" s="23" t="str">
        <f>IF(OR(E1506="",E1506="!!!"),"",IF(NOT(ISNA(VLOOKUP(E1506,E$1:E1505,1,FALSE()))),"OLD",IF(AND(E1506&lt;&gt;"",E1506&lt;&gt;"!!!"),"NEW","")))</f>
        <v> </v>
      </c>
      <c r="G1506" s="24" t="str">
        <f>IF(OR(E1506="",E1506="!!!"),"",IF(OR(J1506=0,AND(J1506=1,K1506=1),AND(J1506=1,I1506="SBJ"),AND(J1506=1,I1506=0)),"?IN_FOCUS",IF(J1506&lt;=2,"?ACTIVATED",IF(J1506&lt;&gt;"","?FAMILIAR",IF(F1506="NEW",IF(ISNA(VLOOKUP(E1506,#REF!,1,FALSE())),"?TYPE_IDENTIFIABLE","?REFERENTIAL"),"_")))))</f>
        <v> </v>
      </c>
      <c r="H1506" s="25" t="str">
        <f>IF(J1506&lt;&gt;1,"",IF(I1506="SBJ","CB","?"))</f>
        <v> </v>
      </c>
      <c r="I1506" s="26" t="str">
        <f>IF(OR(E1506="",E1506="!!!",F1506="NEW"),"",INDEX(B1505:B$2,-1+SUMPRODUCT(MAX(ROW(E1505:E$2)*(E1506=E1505:E$2)))))</f>
        <v> </v>
      </c>
      <c r="J1506" s="26" t="str">
        <f>IF(OR(E1506="",E1506="!!!",F1506="NEW"),"",COUNTBLANK(OFFSET(A$1,,,SUMPRODUCT(MAX(ROW(E$2:E1506)*(E1506=E$2:E1506)))))-COUNTBLANK(OFFSET(A$1,,,SUMPRODUCT(MAX(ROW(E$1:E1505)*(E2=E$1:E1505))))))</f>
        <v> </v>
      </c>
      <c r="K1506" s="26" t="str">
        <f>IF(OR(E1506="",E1506="!!!",F1506="NEW"),"",INDEX(J$1:J1505,SUMPRODUCT(MAX(ROW(E$1:E1505)*(E1506=E$1:E1505)))))</f>
        <v> </v>
      </c>
      <c r="L1506" s="27"/>
    </row>
    <row r="1507" spans="1:12">
      <c r="A1507" s="20" t="s">
        <v>816</v>
      </c>
      <c r="B1507" s="21" t="s">
        <v>365</v>
      </c>
      <c r="C1507" s="21" t="s">
        <v>476</v>
      </c>
      <c r="D1507" s="21" t="s">
        <v>358</v>
      </c>
      <c r="E1507" s="22">
        <f>IF(D1507="?OLD","!!!","")</f>
        <v/>
      </c>
      <c r="F1507" s="23" t="str">
        <f>IF(OR(E1507="",E1507="!!!"),"",IF(NOT(ISNA(VLOOKUP(E1507,E$1:E1506,1,FALSE()))),"OLD",IF(AND(E1507&lt;&gt;"",E1507&lt;&gt;"!!!"),"NEW","")))</f>
        <v> </v>
      </c>
      <c r="G1507" s="24" t="str">
        <f>IF(OR(E1507="",E1507="!!!"),"",IF(OR(J1507=0,AND(J1507=1,K1507=1),AND(J1507=1,I1507="SBJ"),AND(J1507=1,I1507=0)),"?IN_FOCUS",IF(J1507&lt;=2,"?ACTIVATED",IF(J1507&lt;&gt;"","?FAMILIAR",IF(F1507="NEW",IF(ISNA(VLOOKUP(E1507,#REF!,1,FALSE())),"?TYPE_IDENTIFIABLE","?REFERENTIAL"),"_")))))</f>
        <v> </v>
      </c>
      <c r="H1507" s="25" t="str">
        <f>IF(J1507&lt;&gt;1,"",IF(I1507="SBJ","CB","?"))</f>
        <v> </v>
      </c>
      <c r="I1507" s="26" t="str">
        <f>IF(OR(E1507="",E1507="!!!",F1507="NEW"),"",INDEX(B1506:B$2,-1+SUMPRODUCT(MAX(ROW(E1506:E$2)*(E1507=E1506:E$2)))))</f>
        <v> </v>
      </c>
      <c r="J1507" s="26" t="str">
        <f>IF(OR(E1507="",E1507="!!!",F1507="NEW"),"",COUNTBLANK(OFFSET(A$1,,,SUMPRODUCT(MAX(ROW(E$2:E1507)*(E1507=E$2:E1507)))))-COUNTBLANK(OFFSET(A$1,,,SUMPRODUCT(MAX(ROW(E$1:E1506)*(E2=E$1:E1506))))))</f>
        <v> </v>
      </c>
      <c r="K1507" s="26" t="str">
        <f>IF(OR(E1507="",E1507="!!!",F1507="NEW"),"",INDEX(J$1:J1506,SUMPRODUCT(MAX(ROW(E$1:E1506)*(E1507=E$1:E1506)))))</f>
        <v> </v>
      </c>
      <c r="L1507" s="27"/>
    </row>
    <row r="1508" spans="1:12">
      <c r="A1508" s="20" t="s">
        <v>380</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t="s">
        <v>914</v>
      </c>
      <c r="E1509" s="22">
        <f>IF(D1509="?OLD","!!!","")</f>
        <v/>
      </c>
      <c r="F1509" s="23" t="str">
        <f>IF(OR(E1509="",E1509="!!!"),"",IF(NOT(ISNA(VLOOKUP(E1509,E$1:E1508,1,FALSE()))),"OLD",IF(AND(E1509&lt;&gt;"",E1509&lt;&gt;"!!!"),"NEW","")))</f>
        <v> </v>
      </c>
      <c r="G1509" s="24" t="str">
        <f>IF(OR(E1509="",E1509="!!!"),"",IF(OR(J1509=0,AND(J1509=1,K1509=1),AND(J1509=1,I1509="SBJ"),AND(J1509=1,I1509=0)),"?IN_FOCUS",IF(J1509&lt;=2,"?ACTIVATED",IF(J1509&lt;&gt;"","?FAMILIAR",IF(F1509="NEW",IF(ISNA(VLOOKUP(E1509,#REF!,1,FALSE())),"?TYPE_IDENTIFIABLE","?REFERENTIAL"),"_")))))</f>
        <v> </v>
      </c>
      <c r="H1509" s="25" t="str">
        <f>IF(J1509&lt;&gt;1,"",IF(I1509="SBJ","CB","?"))</f>
        <v> </v>
      </c>
      <c r="I1509" s="26" t="str">
        <f>IF(OR(E1509="",E1509="!!!",F1509="NEW"),"",INDEX(B1508:B$2,-1+SUMPRODUCT(MAX(ROW(E1508:E$2)*(E1509=E1508:E$2)))))</f>
        <v> </v>
      </c>
      <c r="J1509" s="26" t="str">
        <f>IF(OR(E1509="",E1509="!!!",F1509="NEW"),"",COUNTBLANK(OFFSET(A$1,,,SUMPRODUCT(MAX(ROW(E$2:E1509)*(E1509=E$2:E1509)))))-COUNTBLANK(OFFSET(A$1,,,SUMPRODUCT(MAX(ROW(E$1:E1508)*(E2=E$1:E1508))))))</f>
        <v> </v>
      </c>
      <c r="K1509" s="26" t="str">
        <f>IF(OR(E1509="",E1509="!!!",F1509="NEW"),"",INDEX(J$1:J1508,SUMPRODUCT(MAX(ROW(E$1:E1508)*(E1509=E$1:E1508)))))</f>
        <v> </v>
      </c>
      <c r="L1509" s="27"/>
    </row>
    <row r="1510" spans="1:12">
      <c r="A1510" s="20" t="s">
        <v>905</v>
      </c>
      <c r="B1510" s="21" t="s">
        <v>356</v>
      </c>
      <c r="C1510" s="21" t="s">
        <v>483</v>
      </c>
      <c r="D1510" s="21" t="s">
        <v>358</v>
      </c>
      <c r="E1510" s="22">
        <f>IF(D1510="?OLD","!!!","")</f>
        <v/>
      </c>
      <c r="F1510" s="23" t="str">
        <f>IF(OR(E1510="",E1510="!!!"),"",IF(NOT(ISNA(VLOOKUP(E1510,E$1:E1509,1,FALSE()))),"OLD",IF(AND(E1510&lt;&gt;"",E1510&lt;&gt;"!!!"),"NEW","")))</f>
        <v> </v>
      </c>
      <c r="G1510" s="24" t="str">
        <f>IF(OR(E1510="",E1510="!!!"),"",IF(OR(J1510=0,AND(J1510=1,K1510=1),AND(J1510=1,I1510="SBJ"),AND(J1510=1,I1510=0)),"?IN_FOCUS",IF(J1510&lt;=2,"?ACTIVATED",IF(J1510&lt;&gt;"","?FAMILIAR",IF(F1510="NEW",IF(ISNA(VLOOKUP(E1510,#REF!,1,FALSE())),"?TYPE_IDENTIFIABLE","?REFERENTIAL"),"_")))))</f>
        <v> </v>
      </c>
      <c r="H1510" s="25" t="str">
        <f>IF(J1510&lt;&gt;1,"",IF(I1510="SBJ","CB","?"))</f>
        <v> </v>
      </c>
      <c r="I1510" s="26" t="str">
        <f>IF(OR(E1510="",E1510="!!!",F1510="NEW"),"",INDEX(B1509:B$2,-1+SUMPRODUCT(MAX(ROW(E1509:E$2)*(E1510=E1509:E$2)))))</f>
        <v> </v>
      </c>
      <c r="J1510" s="26" t="str">
        <f>IF(OR(E1510="",E1510="!!!",F1510="NEW"),"",COUNTBLANK(OFFSET(A$1,,,SUMPRODUCT(MAX(ROW(E$2:E1510)*(E1510=E$2:E1510)))))-COUNTBLANK(OFFSET(A$1,,,SUMPRODUCT(MAX(ROW(E$1:E1509)*(E2=E$1:E1509))))))</f>
        <v> </v>
      </c>
      <c r="K1510" s="26" t="str">
        <f>IF(OR(E1510="",E1510="!!!",F1510="NEW"),"",INDEX(J$1:J1509,SUMPRODUCT(MAX(ROW(E$1:E1509)*(E1510=E$1:E1509)))))</f>
        <v> </v>
      </c>
      <c r="L1510" s="27"/>
    </row>
    <row r="1511" spans="1:12">
      <c r="A1511" s="20" t="s">
        <v>367</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t="s">
        <v>380</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t="s">
        <v>481</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t="s">
        <v>482</v>
      </c>
      <c r="B1514" s="21" t="s">
        <v>356</v>
      </c>
      <c r="C1514" s="21" t="s">
        <v>483</v>
      </c>
      <c r="D1514" s="21" t="s">
        <v>358</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t="s">
        <v>915</v>
      </c>
      <c r="E1515" s="22">
        <f>IF(D1515="?OLD","!!!","")</f>
        <v/>
      </c>
      <c r="F1515" s="23" t="str">
        <f>IF(OR(E1515="",E1515="!!!"),"",IF(NOT(ISNA(VLOOKUP(E1515,E$1:E1514,1,FALSE()))),"OLD",IF(AND(E1515&lt;&gt;"",E1515&lt;&gt;"!!!"),"NEW","")))</f>
        <v> </v>
      </c>
      <c r="G1515" s="24" t="str">
        <f>IF(OR(E1515="",E1515="!!!"),"",IF(OR(J1515=0,AND(J1515=1,K1515=1),AND(J1515=1,I1515="SBJ"),AND(J1515=1,I1515=0)),"?IN_FOCUS",IF(J1515&lt;=2,"?ACTIVATED",IF(J1515&lt;&gt;"","?FAMILIAR",IF(F1515="NEW",IF(ISNA(VLOOKUP(E1515,#REF!,1,FALSE())),"?TYPE_IDENTIFIABLE","?REFERENTIAL"),"_")))))</f>
        <v> </v>
      </c>
      <c r="H1515" s="25" t="str">
        <f>IF(J1515&lt;&gt;1,"",IF(I1515="SBJ","CB","?"))</f>
        <v> </v>
      </c>
      <c r="I1515" s="26" t="str">
        <f>IF(OR(E1515="",E1515="!!!",F1515="NEW"),"",INDEX(B1514:B$2,-1+SUMPRODUCT(MAX(ROW(E1514:E$2)*(E1515=E1514:E$2)))))</f>
        <v> </v>
      </c>
      <c r="J1515" s="26" t="str">
        <f>IF(OR(E1515="",E1515="!!!",F1515="NEW"),"",COUNTBLANK(OFFSET(A$1,,,SUMPRODUCT(MAX(ROW(E$2:E1515)*(E1515=E$2:E1515)))))-COUNTBLANK(OFFSET(A$1,,,SUMPRODUCT(MAX(ROW(E$1:E1514)*(E2=E$1:E1514))))))</f>
        <v> </v>
      </c>
      <c r="K1515" s="26" t="str">
        <f>IF(OR(E1515="",E1515="!!!",F1515="NEW"),"",INDEX(J$1:J1514,SUMPRODUCT(MAX(ROW(E$1:E1514)*(E1515=E$1:E1514)))))</f>
        <v> </v>
      </c>
      <c r="L1515" s="27"/>
    </row>
    <row r="1516" spans="1:12">
      <c r="A1516" s="20" t="s">
        <v>395</v>
      </c>
      <c r="E1516" s="22">
        <f>IF(D1516="?OLD","!!!","")</f>
        <v/>
      </c>
      <c r="F1516" s="23" t="str">
        <f>IF(OR(E1516="",E1516="!!!"),"",IF(NOT(ISNA(VLOOKUP(E1516,E$1:E1515,1,FALSE()))),"OLD",IF(AND(E1516&lt;&gt;"",E1516&lt;&gt;"!!!"),"NEW","")))</f>
        <v> </v>
      </c>
      <c r="G1516" s="24" t="str">
        <f>IF(OR(E1516="",E1516="!!!"),"",IF(OR(J1516=0,AND(J1516=1,K1516=1),AND(J1516=1,I1516="SBJ"),AND(J1516=1,I1516=0)),"?IN_FOCUS",IF(J1516&lt;=2,"?ACTIVATED",IF(J1516&lt;&gt;"","?FAMILIAR",IF(F1516="NEW",IF(ISNA(VLOOKUP(E1516,#REF!,1,FALSE())),"?TYPE_IDENTIFIABLE","?REFERENTIAL"),"_")))))</f>
        <v> </v>
      </c>
      <c r="H1516" s="25" t="str">
        <f>IF(J1516&lt;&gt;1,"",IF(I1516="SBJ","CB","?"))</f>
        <v> </v>
      </c>
      <c r="I1516" s="26" t="str">
        <f>IF(OR(E1516="",E1516="!!!",F1516="NEW"),"",INDEX(B1515:B$2,-1+SUMPRODUCT(MAX(ROW(E1515:E$2)*(E1516=E1515:E$2)))))</f>
        <v> </v>
      </c>
      <c r="J1516" s="26" t="str">
        <f>IF(OR(E1516="",E1516="!!!",F1516="NEW"),"",COUNTBLANK(OFFSET(A$1,,,SUMPRODUCT(MAX(ROW(E$2:E1516)*(E1516=E$2:E1516)))))-COUNTBLANK(OFFSET(A$1,,,SUMPRODUCT(MAX(ROW(E$1:E1515)*(E2=E$1:E1515))))))</f>
        <v> </v>
      </c>
      <c r="K1516" s="26" t="str">
        <f>IF(OR(E1516="",E1516="!!!",F1516="NEW"),"",INDEX(J$1:J1515,SUMPRODUCT(MAX(ROW(E$1:E1515)*(E1516=E$1:E1515)))))</f>
        <v> </v>
      </c>
      <c r="L1516" s="27"/>
    </row>
    <row r="1517" spans="1:12">
      <c r="A1517" s="20" t="s">
        <v>389</v>
      </c>
      <c r="E1517" s="22">
        <f>IF(D1517="?OLD","!!!","")</f>
        <v/>
      </c>
      <c r="F1517" s="23" t="str">
        <f>IF(OR(E1517="",E1517="!!!"),"",IF(NOT(ISNA(VLOOKUP(E1517,E$1:E1516,1,FALSE()))),"OLD",IF(AND(E1517&lt;&gt;"",E1517&lt;&gt;"!!!"),"NEW","")))</f>
        <v> </v>
      </c>
      <c r="G1517" s="24" t="str">
        <f>IF(OR(E1517="",E1517="!!!"),"",IF(OR(J1517=0,AND(J1517=1,K1517=1),AND(J1517=1,I1517="SBJ"),AND(J1517=1,I1517=0)),"?IN_FOCUS",IF(J1517&lt;=2,"?ACTIVATED",IF(J1517&lt;&gt;"","?FAMILIAR",IF(F1517="NEW",IF(ISNA(VLOOKUP(E1517,#REF!,1,FALSE())),"?TYPE_IDENTIFIABLE","?REFERENTIAL"),"_")))))</f>
        <v> </v>
      </c>
      <c r="H1517" s="25" t="str">
        <f>IF(J1517&lt;&gt;1,"",IF(I1517="SBJ","CB","?"))</f>
        <v> </v>
      </c>
      <c r="I1517" s="26" t="str">
        <f>IF(OR(E1517="",E1517="!!!",F1517="NEW"),"",INDEX(B1516:B$2,-1+SUMPRODUCT(MAX(ROW(E1516:E$2)*(E1517=E1516:E$2)))))</f>
        <v> </v>
      </c>
      <c r="J1517" s="26" t="str">
        <f>IF(OR(E1517="",E1517="!!!",F1517="NEW"),"",COUNTBLANK(OFFSET(A$1,,,SUMPRODUCT(MAX(ROW(E$2:E1517)*(E1517=E$2:E1517)))))-COUNTBLANK(OFFSET(A$1,,,SUMPRODUCT(MAX(ROW(E$1:E1516)*(E2=E$1:E1516))))))</f>
        <v> </v>
      </c>
      <c r="K1517" s="26" t="str">
        <f>IF(OR(E1517="",E1517="!!!",F1517="NEW"),"",INDEX(J$1:J1516,SUMPRODUCT(MAX(ROW(E$1:E1516)*(E1517=E$1:E1516)))))</f>
        <v> </v>
      </c>
      <c r="L1517" s="27"/>
    </row>
    <row r="1518" spans="1:12">
      <c r="A1518" s="20"/>
    </row>
    <row r="1519" spans="1:12">
      <c r="A1519" s="20" t="s">
        <v>916</v>
      </c>
    </row>
    <row r="1520" spans="1:12">
      <c r="A1520" s="20" t="s">
        <v>391</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917</v>
      </c>
      <c r="B1521" s="21" t="s">
        <v>373</v>
      </c>
      <c r="C1521" s="21" t="s">
        <v>430</v>
      </c>
      <c r="D1521" s="21" t="s">
        <v>358</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t="s">
        <v>427</v>
      </c>
      <c r="B1522" s="21" t="s">
        <v>452</v>
      </c>
      <c r="E1522" s="22">
        <f>IF(D1522="?OLD","!!!","")</f>
        <v/>
      </c>
      <c r="F1522" s="23" t="str">
        <f>IF(OR(E1522="",E1522="!!!"),"",IF(NOT(ISNA(VLOOKUP(E1522,E$1:E1521,1,FALSE()))),"OLD",IF(AND(E1522&lt;&gt;"",E1522&lt;&gt;"!!!"),"NEW","")))</f>
        <v> </v>
      </c>
      <c r="G1522" s="24" t="str">
        <f>IF(OR(E1522="",E1522="!!!"),"",IF(OR(J1522=0,AND(J1522=1,K1522=1),AND(J1522=1,I1522="SBJ"),AND(J1522=1,I1522=0)),"?IN_FOCUS",IF(J1522&lt;=2,"?ACTIVATED",IF(J1522&lt;&gt;"","?FAMILIAR",IF(F1522="NEW",IF(ISNA(VLOOKUP(E1522,#REF!,1,FALSE())),"?TYPE_IDENTIFIABLE","?REFERENTIAL"),"_")))))</f>
        <v> </v>
      </c>
      <c r="H1522" s="25" t="str">
        <f>IF(J1522&lt;&gt;1,"",IF(I1522="SBJ","CB","?"))</f>
        <v> </v>
      </c>
      <c r="I1522" s="26" t="str">
        <f>IF(OR(E1522="",E1522="!!!",F1522="NEW"),"",INDEX(B1521:B$2,-1+SUMPRODUCT(MAX(ROW(E1521:E$2)*(E1522=E1521:E$2)))))</f>
        <v> </v>
      </c>
      <c r="J1522" s="26" t="str">
        <f>IF(OR(E1522="",E1522="!!!",F1522="NEW"),"",COUNTBLANK(OFFSET(A$1,,,SUMPRODUCT(MAX(ROW(E$2:E1522)*(E1522=E$2:E1522)))))-COUNTBLANK(OFFSET(A$1,,,SUMPRODUCT(MAX(ROW(E$1:E1521)*(E2=E$1:E1521))))))</f>
        <v> </v>
      </c>
      <c r="K1522" s="26" t="str">
        <f>IF(OR(E1522="",E1522="!!!",F1522="NEW"),"",INDEX(J$1:J1521,SUMPRODUCT(MAX(ROW(E$1:E1521)*(E1522=E$1:E1521)))))</f>
        <v> </v>
      </c>
      <c r="L1522" s="27"/>
    </row>
    <row r="1523" spans="1:12">
      <c r="A1523" s="20" t="s">
        <v>428</v>
      </c>
      <c r="B1523" s="21" t="s">
        <v>451</v>
      </c>
      <c r="C1523" s="21" t="s">
        <v>430</v>
      </c>
      <c r="D1523" s="21" t="s">
        <v>358</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918</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t="s">
        <v>919</v>
      </c>
      <c r="E1525" s="22">
        <f>IF(D1525="?OLD","!!!","")</f>
        <v/>
      </c>
      <c r="F1525" s="23" t="str">
        <f>IF(OR(E1525="",E1525="!!!"),"",IF(NOT(ISNA(VLOOKUP(E1525,E$1:E1524,1,FALSE()))),"OLD",IF(AND(E1525&lt;&gt;"",E1525&lt;&gt;"!!!"),"NEW","")))</f>
        <v> </v>
      </c>
      <c r="G1525" s="24" t="str">
        <f>IF(OR(E1525="",E1525="!!!"),"",IF(OR(J1525=0,AND(J1525=1,K1525=1),AND(J1525=1,I1525="SBJ"),AND(J1525=1,I1525=0)),"?IN_FOCUS",IF(J1525&lt;=2,"?ACTIVATED",IF(J1525&lt;&gt;"","?FAMILIAR",IF(F1525="NEW",IF(ISNA(VLOOKUP(E1525,#REF!,1,FALSE())),"?TYPE_IDENTIFIABLE","?REFERENTIAL"),"_")))))</f>
        <v> </v>
      </c>
      <c r="H1525" s="25" t="str">
        <f>IF(J1525&lt;&gt;1,"",IF(I1525="SBJ","CB","?"))</f>
        <v> </v>
      </c>
      <c r="I1525" s="26" t="str">
        <f>IF(OR(E1525="",E1525="!!!",F1525="NEW"),"",INDEX(B1524:B$2,-1+SUMPRODUCT(MAX(ROW(E1524:E$2)*(E1525=E1524:E$2)))))</f>
        <v> </v>
      </c>
      <c r="J1525" s="26" t="str">
        <f>IF(OR(E1525="",E1525="!!!",F1525="NEW"),"",COUNTBLANK(OFFSET(A$1,,,SUMPRODUCT(MAX(ROW(E$2:E1525)*(E1525=E$2:E1525)))))-COUNTBLANK(OFFSET(A$1,,,SUMPRODUCT(MAX(ROW(E$1:E1524)*(E2=E$1:E1524))))))</f>
        <v> </v>
      </c>
      <c r="K1525" s="26" t="str">
        <f>IF(OR(E1525="",E1525="!!!",F1525="NEW"),"",INDEX(J$1:J1524,SUMPRODUCT(MAX(ROW(E$1:E1524)*(E1525=E$1:E1524)))))</f>
        <v> </v>
      </c>
      <c r="L1525" s="27"/>
    </row>
    <row r="1526" spans="1:12">
      <c r="A1526" s="20" t="s">
        <v>920</v>
      </c>
      <c r="E1526" s="22">
        <f>IF(D1526="?OLD","!!!","")</f>
        <v/>
      </c>
      <c r="F1526" s="23" t="str">
        <f>IF(OR(E1526="",E1526="!!!"),"",IF(NOT(ISNA(VLOOKUP(E1526,E$1:E1525,1,FALSE()))),"OLD",IF(AND(E1526&lt;&gt;"",E1526&lt;&gt;"!!!"),"NEW","")))</f>
        <v> </v>
      </c>
      <c r="G1526" s="24" t="str">
        <f>IF(OR(E1526="",E1526="!!!"),"",IF(OR(J1526=0,AND(J1526=1,K1526=1),AND(J1526=1,I1526="SBJ"),AND(J1526=1,I1526=0)),"?IN_FOCUS",IF(J1526&lt;=2,"?ACTIVATED",IF(J1526&lt;&gt;"","?FAMILIAR",IF(F1526="NEW",IF(ISNA(VLOOKUP(E1526,#REF!,1,FALSE())),"?TYPE_IDENTIFIABLE","?REFERENTIAL"),"_")))))</f>
        <v> </v>
      </c>
      <c r="H1526" s="25" t="str">
        <f>IF(J1526&lt;&gt;1,"",IF(I1526="SBJ","CB","?"))</f>
        <v> </v>
      </c>
      <c r="I1526" s="26" t="str">
        <f>IF(OR(E1526="",E1526="!!!",F1526="NEW"),"",INDEX(B1525:B$2,-1+SUMPRODUCT(MAX(ROW(E1525:E$2)*(E1526=E1525:E$2)))))</f>
        <v> </v>
      </c>
      <c r="J1526" s="26" t="str">
        <f>IF(OR(E1526="",E1526="!!!",F1526="NEW"),"",COUNTBLANK(OFFSET(A$1,,,SUMPRODUCT(MAX(ROW(E$2:E1526)*(E1526=E$2:E1526)))))-COUNTBLANK(OFFSET(A$1,,,SUMPRODUCT(MAX(ROW(E$1:E1525)*(E2=E$1:E1525))))))</f>
        <v> </v>
      </c>
      <c r="K1526" s="26" t="str">
        <f>IF(OR(E1526="",E1526="!!!",F1526="NEW"),"",INDEX(J$1:J1525,SUMPRODUCT(MAX(ROW(E$1:E1525)*(E1526=E$1:E1525)))))</f>
        <v> </v>
      </c>
      <c r="L1526" s="27"/>
    </row>
    <row r="1527" spans="1:12">
      <c r="A1527" s="20" t="s">
        <v>490</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t="s">
        <v>921</v>
      </c>
      <c r="B1528" s="21" t="s">
        <v>356</v>
      </c>
      <c r="C1528" s="21" t="s">
        <v>382</v>
      </c>
      <c r="E1528" s="22">
        <f>IF(D1528="?OLD","!!!","")</f>
        <v/>
      </c>
      <c r="F1528" s="23" t="str">
        <f>IF(OR(E1528="",E1528="!!!"),"",IF(NOT(ISNA(VLOOKUP(E1528,E$1:E1527,1,FALSE()))),"OLD",IF(AND(E1528&lt;&gt;"",E1528&lt;&gt;"!!!"),"NEW","")))</f>
        <v> </v>
      </c>
      <c r="G1528" s="24" t="str">
        <f>IF(OR(E1528="",E1528="!!!"),"",IF(OR(J1528=0,AND(J1528=1,K1528=1),AND(J1528=1,I1528="SBJ"),AND(J1528=1,I1528=0)),"?IN_FOCUS",IF(J1528&lt;=2,"?ACTIVATED",IF(J1528&lt;&gt;"","?FAMILIAR",IF(F1528="NEW",IF(ISNA(VLOOKUP(E1528,#REF!,1,FALSE())),"?TYPE_IDENTIFIABLE","?REFERENTIAL"),"_")))))</f>
        <v> </v>
      </c>
      <c r="H1528" s="25" t="str">
        <f>IF(J1528&lt;&gt;1,"",IF(I1528="SBJ","CB","?"))</f>
        <v> </v>
      </c>
      <c r="I1528" s="26" t="str">
        <f>IF(OR(E1528="",E1528="!!!",F1528="NEW"),"",INDEX(B1527:B$2,-1+SUMPRODUCT(MAX(ROW(E1527:E$2)*(E1528=E1527:E$2)))))</f>
        <v> </v>
      </c>
      <c r="J1528" s="26" t="str">
        <f>IF(OR(E1528="",E1528="!!!",F1528="NEW"),"",COUNTBLANK(OFFSET(A$1,,,SUMPRODUCT(MAX(ROW(E$2:E1528)*(E1528=E$2:E1528)))))-COUNTBLANK(OFFSET(A$1,,,SUMPRODUCT(MAX(ROW(E$1:E1527)*(E2=E$1:E1527))))))</f>
        <v> </v>
      </c>
      <c r="K1528" s="26" t="str">
        <f>IF(OR(E1528="",E1528="!!!",F1528="NEW"),"",INDEX(J$1:J1527,SUMPRODUCT(MAX(ROW(E$1:E1527)*(E1528=E$1:E1527)))))</f>
        <v> </v>
      </c>
      <c r="L1528" s="27"/>
    </row>
    <row r="1529" spans="1:12">
      <c r="A1529" s="20" t="s">
        <v>389</v>
      </c>
      <c r="E1529" s="22">
        <f>IF(D1529="?OLD","!!!","")</f>
        <v/>
      </c>
      <c r="F1529" s="23" t="str">
        <f>IF(OR(E1529="",E1529="!!!"),"",IF(NOT(ISNA(VLOOKUP(E1529,E$1:E1528,1,FALSE()))),"OLD",IF(AND(E1529&lt;&gt;"",E1529&lt;&gt;"!!!"),"NEW","")))</f>
        <v> </v>
      </c>
      <c r="G1529" s="24" t="str">
        <f>IF(OR(E1529="",E1529="!!!"),"",IF(OR(J1529=0,AND(J1529=1,K1529=1),AND(J1529=1,I1529="SBJ"),AND(J1529=1,I1529=0)),"?IN_FOCUS",IF(J1529&lt;=2,"?ACTIVATED",IF(J1529&lt;&gt;"","?FAMILIAR",IF(F1529="NEW",IF(ISNA(VLOOKUP(E1529,#REF!,1,FALSE())),"?TYPE_IDENTIFIABLE","?REFERENTIAL"),"_")))))</f>
        <v> </v>
      </c>
      <c r="H1529" s="25" t="str">
        <f>IF(J1529&lt;&gt;1,"",IF(I1529="SBJ","CB","?"))</f>
        <v> </v>
      </c>
      <c r="I1529" s="26" t="str">
        <f>IF(OR(E1529="",E1529="!!!",F1529="NEW"),"",INDEX(B1528:B$2,-1+SUMPRODUCT(MAX(ROW(E1528:E$2)*(E1529=E1528:E$2)))))</f>
        <v> </v>
      </c>
      <c r="J1529" s="26" t="str">
        <f>IF(OR(E1529="",E1529="!!!",F1529="NEW"),"",COUNTBLANK(OFFSET(A$1,,,SUMPRODUCT(MAX(ROW(E$2:E1529)*(E1529=E$2:E1529)))))-COUNTBLANK(OFFSET(A$1,,,SUMPRODUCT(MAX(ROW(E$1:E1528)*(E2=E$1:E1528))))))</f>
        <v> </v>
      </c>
      <c r="K1529" s="26" t="str">
        <f>IF(OR(E1529="",E1529="!!!",F1529="NEW"),"",INDEX(J$1:J1528,SUMPRODUCT(MAX(ROW(E$1:E1528)*(E1529=E$1:E1528)))))</f>
        <v> </v>
      </c>
      <c r="L1529" s="27"/>
    </row>
    <row r="1530" spans="1:12">
      <c r="A1530" s="20"/>
    </row>
    <row r="1531" spans="1:12">
      <c r="A1531" s="20" t="s">
        <v>555</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t="s">
        <v>922</v>
      </c>
    </row>
    <row r="1533" spans="1:12">
      <c r="A1533" s="20" t="s">
        <v>640</v>
      </c>
      <c r="B1533" s="21" t="s">
        <v>373</v>
      </c>
      <c r="C1533" s="21" t="s">
        <v>430</v>
      </c>
      <c r="D1533" s="21" t="s">
        <v>358</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t="s">
        <v>393</v>
      </c>
      <c r="E1534" s="22">
        <f>IF(D1534="?OLD","!!!","")</f>
        <v/>
      </c>
      <c r="F1534" s="23" t="str">
        <f>IF(OR(E1534="",E1534="!!!"),"",IF(NOT(ISNA(VLOOKUP(E1534,E$1:E1533,1,FALSE()))),"OLD",IF(AND(E1534&lt;&gt;"",E1534&lt;&gt;"!!!"),"NEW","")))</f>
        <v> </v>
      </c>
      <c r="G1534" s="24" t="str">
        <f>IF(OR(E1534="",E1534="!!!"),"",IF(OR(J1534=0,AND(J1534=1,K1534=1),AND(J1534=1,I1534="SBJ"),AND(J1534=1,I1534=0)),"?IN_FOCUS",IF(J1534&lt;=2,"?ACTIVATED",IF(J1534&lt;&gt;"","?FAMILIAR",IF(F1534="NEW",IF(ISNA(VLOOKUP(E1534,#REF!,1,FALSE())),"?TYPE_IDENTIFIABLE","?REFERENTIAL"),"_")))))</f>
        <v> </v>
      </c>
      <c r="H1534" s="25" t="str">
        <f>IF(J1534&lt;&gt;1,"",IF(I1534="SBJ","CB","?"))</f>
        <v> </v>
      </c>
      <c r="I1534" s="26" t="str">
        <f>IF(OR(E1534="",E1534="!!!",F1534="NEW"),"",INDEX(B1533:B$2,-1+SUMPRODUCT(MAX(ROW(E1533:E$2)*(E1534=E1533:E$2)))))</f>
        <v> </v>
      </c>
      <c r="J1534" s="26" t="str">
        <f>IF(OR(E1534="",E1534="!!!",F1534="NEW"),"",COUNTBLANK(OFFSET(A$1,,,SUMPRODUCT(MAX(ROW(E$2:E1534)*(E1534=E$2:E1534)))))-COUNTBLANK(OFFSET(A$1,,,SUMPRODUCT(MAX(ROW(E$1:E1533)*(E2=E$1:E1533))))))</f>
        <v> </v>
      </c>
      <c r="K1534" s="26" t="str">
        <f>IF(OR(E1534="",E1534="!!!",F1534="NEW"),"",INDEX(J$1:J1533,SUMPRODUCT(MAX(ROW(E$1:E1533)*(E1534=E$1:E1533)))))</f>
        <v> </v>
      </c>
      <c r="L1534" s="27"/>
    </row>
    <row r="1535" spans="1:12">
      <c r="A1535" s="20" t="s">
        <v>414</v>
      </c>
      <c r="E1535" s="22">
        <f>IF(D1535="?OLD","!!!","")</f>
        <v/>
      </c>
      <c r="F1535" s="23" t="str">
        <f>IF(OR(E1535="",E1535="!!!"),"",IF(NOT(ISNA(VLOOKUP(E1535,E$1:E1534,1,FALSE()))),"OLD",IF(AND(E1535&lt;&gt;"",E1535&lt;&gt;"!!!"),"NEW","")))</f>
        <v> </v>
      </c>
      <c r="G1535" s="24" t="str">
        <f>IF(OR(E1535="",E1535="!!!"),"",IF(OR(J1535=0,AND(J1535=1,K1535=1),AND(J1535=1,I1535="SBJ"),AND(J1535=1,I1535=0)),"?IN_FOCUS",IF(J1535&lt;=2,"?ACTIVATED",IF(J1535&lt;&gt;"","?FAMILIAR",IF(F1535="NEW",IF(ISNA(VLOOKUP(E1535,#REF!,1,FALSE())),"?TYPE_IDENTIFIABLE","?REFERENTIAL"),"_")))))</f>
        <v> </v>
      </c>
      <c r="H1535" s="25" t="str">
        <f>IF(J1535&lt;&gt;1,"",IF(I1535="SBJ","CB","?"))</f>
        <v> </v>
      </c>
      <c r="I1535" s="26" t="str">
        <f>IF(OR(E1535="",E1535="!!!",F1535="NEW"),"",INDEX(B1534:B$2,-1+SUMPRODUCT(MAX(ROW(E1534:E$2)*(E1535=E1534:E$2)))))</f>
        <v> </v>
      </c>
      <c r="J1535" s="26" t="str">
        <f>IF(OR(E1535="",E1535="!!!",F1535="NEW"),"",COUNTBLANK(OFFSET(A$1,,,SUMPRODUCT(MAX(ROW(E$2:E1535)*(E1535=E$2:E1535)))))-COUNTBLANK(OFFSET(A$1,,,SUMPRODUCT(MAX(ROW(E$1:E1534)*(E2=E$1:E1534))))))</f>
        <v> </v>
      </c>
      <c r="K1535" s="26" t="str">
        <f>IF(OR(E1535="",E1535="!!!",F1535="NEW"),"",INDEX(J$1:J1534,SUMPRODUCT(MAX(ROW(E$1:E1534)*(E1535=E$1:E1534)))))</f>
        <v> </v>
      </c>
      <c r="L1535" s="27"/>
    </row>
    <row r="1536" spans="1:12">
      <c r="A1536" s="20" t="s">
        <v>923</v>
      </c>
      <c r="B1536" s="21" t="s">
        <v>365</v>
      </c>
      <c r="C1536" s="21" t="s">
        <v>379</v>
      </c>
      <c r="E1536" s="22">
        <f>IF(D1536="?OLD","!!!","")</f>
        <v/>
      </c>
      <c r="F1536" s="23" t="str">
        <f>IF(OR(E1536="",E1536="!!!"),"",IF(NOT(ISNA(VLOOKUP(E1536,E$1:E1535,1,FALSE()))),"OLD",IF(AND(E1536&lt;&gt;"",E1536&lt;&gt;"!!!"),"NEW","")))</f>
        <v> </v>
      </c>
      <c r="G1536" s="24" t="str">
        <f>IF(OR(E1536="",E1536="!!!"),"",IF(OR(J1536=0,AND(J1536=1,K1536=1),AND(J1536=1,I1536="SBJ"),AND(J1536=1,I1536=0)),"?IN_FOCUS",IF(J1536&lt;=2,"?ACTIVATED",IF(J1536&lt;&gt;"","?FAMILIAR",IF(F1536="NEW",IF(ISNA(VLOOKUP(E1536,#REF!,1,FALSE())),"?TYPE_IDENTIFIABLE","?REFERENTIAL"),"_")))))</f>
        <v> </v>
      </c>
      <c r="H1536" s="25" t="str">
        <f>IF(J1536&lt;&gt;1,"",IF(I1536="SBJ","CB","?"))</f>
        <v> </v>
      </c>
      <c r="I1536" s="26" t="str">
        <f>IF(OR(E1536="",E1536="!!!",F1536="NEW"),"",INDEX(B1535:B$2,-1+SUMPRODUCT(MAX(ROW(E1535:E$2)*(E1536=E1535:E$2)))))</f>
        <v> </v>
      </c>
      <c r="J1536" s="26" t="str">
        <f>IF(OR(E1536="",E1536="!!!",F1536="NEW"),"",COUNTBLANK(OFFSET(A$1,,,SUMPRODUCT(MAX(ROW(E$2:E1536)*(E1536=E$2:E1536)))))-COUNTBLANK(OFFSET(A$1,,,SUMPRODUCT(MAX(ROW(E$1:E1535)*(E2=E$1:E1535))))))</f>
        <v> </v>
      </c>
      <c r="K1536" s="26" t="str">
        <f>IF(OR(E1536="",E1536="!!!",F1536="NEW"),"",INDEX(J$1:J1535,SUMPRODUCT(MAX(ROW(E$1:E1535)*(E1536=E$1:E1535)))))</f>
        <v> </v>
      </c>
      <c r="L1536" s="27"/>
    </row>
    <row r="1537" spans="1:12">
      <c r="A1537" s="20" t="s">
        <v>427</v>
      </c>
      <c r="B1537" s="21" t="s">
        <v>409</v>
      </c>
      <c r="E1537" s="22">
        <f>IF(D1537="?OLD","!!!","")</f>
        <v/>
      </c>
      <c r="F1537" s="23" t="str">
        <f>IF(OR(E1537="",E1537="!!!"),"",IF(NOT(ISNA(VLOOKUP(E1537,E$1:E1536,1,FALSE()))),"OLD",IF(AND(E1537&lt;&gt;"",E1537&lt;&gt;"!!!"),"NEW","")))</f>
        <v> </v>
      </c>
      <c r="G1537" s="24" t="str">
        <f>IF(OR(E1537="",E1537="!!!"),"",IF(OR(J1537=0,AND(J1537=1,K1537=1),AND(J1537=1,I1537="SBJ"),AND(J1537=1,I1537=0)),"?IN_FOCUS",IF(J1537&lt;=2,"?ACTIVATED",IF(J1537&lt;&gt;"","?FAMILIAR",IF(F1537="NEW",IF(ISNA(VLOOKUP(E1537,#REF!,1,FALSE())),"?TYPE_IDENTIFIABLE","?REFERENTIAL"),"_")))))</f>
        <v> </v>
      </c>
      <c r="H1537" s="25" t="str">
        <f>IF(J1537&lt;&gt;1,"",IF(I1537="SBJ","CB","?"))</f>
        <v> </v>
      </c>
      <c r="I1537" s="26" t="str">
        <f>IF(OR(E1537="",E1537="!!!",F1537="NEW"),"",INDEX(B1536:B$2,-1+SUMPRODUCT(MAX(ROW(E1536:E$2)*(E1537=E1536:E$2)))))</f>
        <v> </v>
      </c>
      <c r="J1537" s="26" t="str">
        <f>IF(OR(E1537="",E1537="!!!",F1537="NEW"),"",COUNTBLANK(OFFSET(A$1,,,SUMPRODUCT(MAX(ROW(E$2:E1537)*(E1537=E$2:E1537)))))-COUNTBLANK(OFFSET(A$1,,,SUMPRODUCT(MAX(ROW(E$1:E1536)*(E2=E$1:E1536))))))</f>
        <v> </v>
      </c>
      <c r="K1537" s="26" t="str">
        <f>IF(OR(E1537="",E1537="!!!",F1537="NEW"),"",INDEX(J$1:J1536,SUMPRODUCT(MAX(ROW(E$1:E1536)*(E1537=E$1:E1536)))))</f>
        <v> </v>
      </c>
      <c r="L1537" s="27"/>
    </row>
    <row r="1538" spans="1:12">
      <c r="A1538" s="20" t="s">
        <v>497</v>
      </c>
      <c r="B1538" s="21" t="s">
        <v>429</v>
      </c>
      <c r="C1538" s="21" t="s">
        <v>357</v>
      </c>
      <c r="D1538" s="21" t="s">
        <v>358</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t="s">
        <v>924</v>
      </c>
      <c r="E1539" s="22">
        <f>IF(D1539="?OLD","!!!","")</f>
        <v/>
      </c>
      <c r="F1539" s="23" t="str">
        <f>IF(OR(E1539="",E1539="!!!"),"",IF(NOT(ISNA(VLOOKUP(E1539,E$1:E1538,1,FALSE()))),"OLD",IF(AND(E1539&lt;&gt;"",E1539&lt;&gt;"!!!"),"NEW","")))</f>
        <v> </v>
      </c>
      <c r="G1539" s="24" t="str">
        <f>IF(OR(E1539="",E1539="!!!"),"",IF(OR(J1539=0,AND(J1539=1,K1539=1),AND(J1539=1,I1539="SBJ"),AND(J1539=1,I1539=0)),"?IN_FOCUS",IF(J1539&lt;=2,"?ACTIVATED",IF(J1539&lt;&gt;"","?FAMILIAR",IF(F1539="NEW",IF(ISNA(VLOOKUP(E1539,#REF!,1,FALSE())),"?TYPE_IDENTIFIABLE","?REFERENTIAL"),"_")))))</f>
        <v> </v>
      </c>
      <c r="H1539" s="25" t="str">
        <f>IF(J1539&lt;&gt;1,"",IF(I1539="SBJ","CB","?"))</f>
        <v> </v>
      </c>
      <c r="I1539" s="26" t="str">
        <f>IF(OR(E1539="",E1539="!!!",F1539="NEW"),"",INDEX(B1538:B$2,-1+SUMPRODUCT(MAX(ROW(E1538:E$2)*(E1539=E1538:E$2)))))</f>
        <v> </v>
      </c>
      <c r="J1539" s="26" t="str">
        <f>IF(OR(E1539="",E1539="!!!",F1539="NEW"),"",COUNTBLANK(OFFSET(A$1,,,SUMPRODUCT(MAX(ROW(E$2:E1539)*(E1539=E$2:E1539)))))-COUNTBLANK(OFFSET(A$1,,,SUMPRODUCT(MAX(ROW(E$1:E1538)*(E2=E$1:E1538))))))</f>
        <v> </v>
      </c>
      <c r="K1539" s="26" t="str">
        <f>IF(OR(E1539="",E1539="!!!",F1539="NEW"),"",INDEX(J$1:J1538,SUMPRODUCT(MAX(ROW(E$1:E1538)*(E1539=E$1:E1538)))))</f>
        <v> </v>
      </c>
      <c r="L1539" s="27"/>
    </row>
    <row r="1540" spans="1:12">
      <c r="A1540" s="20" t="s">
        <v>925</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t="s">
        <v>490</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t="s">
        <v>405</v>
      </c>
      <c r="E1542" s="22">
        <f>IF(D1542="?OLD","!!!","")</f>
        <v/>
      </c>
      <c r="F1542" s="23" t="str">
        <f>IF(OR(E1542="",E1542="!!!"),"",IF(NOT(ISNA(VLOOKUP(E1542,E$1:E1541,1,FALSE()))),"OLD",IF(AND(E1542&lt;&gt;"",E1542&lt;&gt;"!!!"),"NEW","")))</f>
        <v> </v>
      </c>
      <c r="G1542" s="24" t="str">
        <f>IF(OR(E1542="",E1542="!!!"),"",IF(OR(J1542=0,AND(J1542=1,K1542=1),AND(J1542=1,I1542="SBJ"),AND(J1542=1,I1542=0)),"?IN_FOCUS",IF(J1542&lt;=2,"?ACTIVATED",IF(J1542&lt;&gt;"","?FAMILIAR",IF(F1542="NEW",IF(ISNA(VLOOKUP(E1542,#REF!,1,FALSE())),"?TYPE_IDENTIFIABLE","?REFERENTIAL"),"_")))))</f>
        <v> </v>
      </c>
      <c r="H1542" s="25" t="str">
        <f>IF(J1542&lt;&gt;1,"",IF(I1542="SBJ","CB","?"))</f>
        <v> </v>
      </c>
      <c r="I1542" s="26" t="str">
        <f>IF(OR(E1542="",E1542="!!!",F1542="NEW"),"",INDEX(B1541:B$2,-1+SUMPRODUCT(MAX(ROW(E1541:E$2)*(E1542=E1541:E$2)))))</f>
        <v> </v>
      </c>
      <c r="J1542" s="26" t="str">
        <f>IF(OR(E1542="",E1542="!!!",F1542="NEW"),"",COUNTBLANK(OFFSET(A$1,,,SUMPRODUCT(MAX(ROW(E$2:E1542)*(E1542=E$2:E1542)))))-COUNTBLANK(OFFSET(A$1,,,SUMPRODUCT(MAX(ROW(E$1:E1541)*(E2=E$1:E1541))))))</f>
        <v> </v>
      </c>
      <c r="K1542" s="26" t="str">
        <f>IF(OR(E1542="",E1542="!!!",F1542="NEW"),"",INDEX(J$1:J1541,SUMPRODUCT(MAX(ROW(E$1:E1541)*(E1542=E$1:E1541)))))</f>
        <v> </v>
      </c>
      <c r="L1542" s="27"/>
    </row>
    <row r="1543" spans="1:12">
      <c r="A1543" s="20" t="s">
        <v>756</v>
      </c>
      <c r="B1543" s="21" t="s">
        <v>360</v>
      </c>
      <c r="C1543" s="21" t="s">
        <v>385</v>
      </c>
      <c r="D1543" s="21" t="s">
        <v>358</v>
      </c>
      <c r="E1543" s="22">
        <f>IF(D1543="?OLD","!!!","")</f>
        <v/>
      </c>
      <c r="F1543" s="23" t="str">
        <f>IF(OR(E1543="",E1543="!!!"),"",IF(NOT(ISNA(VLOOKUP(E1543,E$1:E1542,1,FALSE()))),"OLD",IF(AND(E1543&lt;&gt;"",E1543&lt;&gt;"!!!"),"NEW","")))</f>
        <v> </v>
      </c>
      <c r="G1543" s="24" t="str">
        <f>IF(OR(E1543="",E1543="!!!"),"",IF(OR(J1543=0,AND(J1543=1,K1543=1),AND(J1543=1,I1543="SBJ"),AND(J1543=1,I1543=0)),"?IN_FOCUS",IF(J1543&lt;=2,"?ACTIVATED",IF(J1543&lt;&gt;"","?FAMILIAR",IF(F1543="NEW",IF(ISNA(VLOOKUP(E1543,#REF!,1,FALSE())),"?TYPE_IDENTIFIABLE","?REFERENTIAL"),"_")))))</f>
        <v> </v>
      </c>
      <c r="H1543" s="25" t="str">
        <f>IF(J1543&lt;&gt;1,"",IF(I1543="SBJ","CB","?"))</f>
        <v> </v>
      </c>
      <c r="I1543" s="26" t="str">
        <f>IF(OR(E1543="",E1543="!!!",F1543="NEW"),"",INDEX(B1542:B$2,-1+SUMPRODUCT(MAX(ROW(E1542:E$2)*(E1543=E1542:E$2)))))</f>
        <v> </v>
      </c>
      <c r="J1543" s="26" t="str">
        <f>IF(OR(E1543="",E1543="!!!",F1543="NEW"),"",COUNTBLANK(OFFSET(A$1,,,SUMPRODUCT(MAX(ROW(E$2:E1543)*(E1543=E$2:E1543)))))-COUNTBLANK(OFFSET(A$1,,,SUMPRODUCT(MAX(ROW(E$1:E1542)*(E2=E$1:E1542))))))</f>
        <v> </v>
      </c>
      <c r="K1543" s="26" t="str">
        <f>IF(OR(E1543="",E1543="!!!",F1543="NEW"),"",INDEX(J$1:J1542,SUMPRODUCT(MAX(ROW(E$1:E1542)*(E1543=E$1:E1542)))))</f>
        <v> </v>
      </c>
      <c r="L1543" s="27"/>
    </row>
    <row r="1544" spans="1:12">
      <c r="A1544" s="20" t="s">
        <v>380</v>
      </c>
      <c r="E1544" s="22">
        <f>IF(D1544="?OLD","!!!","")</f>
        <v/>
      </c>
      <c r="F1544" s="23" t="str">
        <f>IF(OR(E1544="",E1544="!!!"),"",IF(NOT(ISNA(VLOOKUP(E1544,E$1:E1543,1,FALSE()))),"OLD",IF(AND(E1544&lt;&gt;"",E1544&lt;&gt;"!!!"),"NEW","")))</f>
        <v> </v>
      </c>
      <c r="G1544" s="24" t="str">
        <f>IF(OR(E1544="",E1544="!!!"),"",IF(OR(J1544=0,AND(J1544=1,K1544=1),AND(J1544=1,I1544="SBJ"),AND(J1544=1,I1544=0)),"?IN_FOCUS",IF(J1544&lt;=2,"?ACTIVATED",IF(J1544&lt;&gt;"","?FAMILIAR",IF(F1544="NEW",IF(ISNA(VLOOKUP(E1544,#REF!,1,FALSE())),"?TYPE_IDENTIFIABLE","?REFERENTIAL"),"_")))))</f>
        <v> </v>
      </c>
      <c r="H1544" s="25" t="str">
        <f>IF(J1544&lt;&gt;1,"",IF(I1544="SBJ","CB","?"))</f>
        <v> </v>
      </c>
      <c r="I1544" s="26" t="str">
        <f>IF(OR(E1544="",E1544="!!!",F1544="NEW"),"",INDEX(B1543:B$2,-1+SUMPRODUCT(MAX(ROW(E1543:E$2)*(E1544=E1543:E$2)))))</f>
        <v> </v>
      </c>
      <c r="J1544" s="26" t="str">
        <f>IF(OR(E1544="",E1544="!!!",F1544="NEW"),"",COUNTBLANK(OFFSET(A$1,,,SUMPRODUCT(MAX(ROW(E$2:E1544)*(E1544=E$2:E1544)))))-COUNTBLANK(OFFSET(A$1,,,SUMPRODUCT(MAX(ROW(E$1:E1543)*(E2=E$1:E1543))))))</f>
        <v> </v>
      </c>
      <c r="K1544" s="26" t="str">
        <f>IF(OR(E1544="",E1544="!!!",F1544="NEW"),"",INDEX(J$1:J1543,SUMPRODUCT(MAX(ROW(E$1:E1543)*(E1544=E$1:E1543)))))</f>
        <v> </v>
      </c>
      <c r="L1544" s="27"/>
    </row>
    <row r="1545" spans="1:12">
      <c r="A1545" s="20" t="s">
        <v>926</v>
      </c>
      <c r="E1545" s="22">
        <f>IF(D1545="?OLD","!!!","")</f>
        <v/>
      </c>
      <c r="F1545" s="23" t="str">
        <f>IF(OR(E1545="",E1545="!!!"),"",IF(NOT(ISNA(VLOOKUP(E1545,E$1:E1544,1,FALSE()))),"OLD",IF(AND(E1545&lt;&gt;"",E1545&lt;&gt;"!!!"),"NEW","")))</f>
        <v> </v>
      </c>
      <c r="G1545" s="24" t="str">
        <f>IF(OR(E1545="",E1545="!!!"),"",IF(OR(J1545=0,AND(J1545=1,K1545=1),AND(J1545=1,I1545="SBJ"),AND(J1545=1,I1545=0)),"?IN_FOCUS",IF(J1545&lt;=2,"?ACTIVATED",IF(J1545&lt;&gt;"","?FAMILIAR",IF(F1545="NEW",IF(ISNA(VLOOKUP(E1545,#REF!,1,FALSE())),"?TYPE_IDENTIFIABLE","?REFERENTIAL"),"_")))))</f>
        <v> </v>
      </c>
      <c r="H1545" s="25" t="str">
        <f>IF(J1545&lt;&gt;1,"",IF(I1545="SBJ","CB","?"))</f>
        <v> </v>
      </c>
      <c r="I1545" s="26" t="str">
        <f>IF(OR(E1545="",E1545="!!!",F1545="NEW"),"",INDEX(B1544:B$2,-1+SUMPRODUCT(MAX(ROW(E1544:E$2)*(E1545=E1544:E$2)))))</f>
        <v> </v>
      </c>
      <c r="J1545" s="26" t="str">
        <f>IF(OR(E1545="",E1545="!!!",F1545="NEW"),"",COUNTBLANK(OFFSET(A$1,,,SUMPRODUCT(MAX(ROW(E$2:E1545)*(E1545=E$2:E1545)))))-COUNTBLANK(OFFSET(A$1,,,SUMPRODUCT(MAX(ROW(E$1:E1544)*(E2=E$1:E1544))))))</f>
        <v> </v>
      </c>
      <c r="K1545" s="26" t="str">
        <f>IF(OR(E1545="",E1545="!!!",F1545="NEW"),"",INDEX(J$1:J1544,SUMPRODUCT(MAX(ROW(E$1:E1544)*(E1545=E$1:E1544)))))</f>
        <v> </v>
      </c>
      <c r="L1545" s="27"/>
    </row>
    <row r="1546" spans="1:12">
      <c r="A1546" s="20" t="s">
        <v>398</v>
      </c>
      <c r="E1546" s="22">
        <f>IF(D1546="?OLD","!!!","")</f>
        <v/>
      </c>
      <c r="F1546" s="23" t="str">
        <f>IF(OR(E1546="",E1546="!!!"),"",IF(NOT(ISNA(VLOOKUP(E1546,E$1:E1545,1,FALSE()))),"OLD",IF(AND(E1546&lt;&gt;"",E1546&lt;&gt;"!!!"),"NEW","")))</f>
        <v> </v>
      </c>
      <c r="G1546" s="24" t="str">
        <f>IF(OR(E1546="",E1546="!!!"),"",IF(OR(J1546=0,AND(J1546=1,K1546=1),AND(J1546=1,I1546="SBJ"),AND(J1546=1,I1546=0)),"?IN_FOCUS",IF(J1546&lt;=2,"?ACTIVATED",IF(J1546&lt;&gt;"","?FAMILIAR",IF(F1546="NEW",IF(ISNA(VLOOKUP(E1546,#REF!,1,FALSE())),"?TYPE_IDENTIFIABLE","?REFERENTIAL"),"_")))))</f>
        <v> </v>
      </c>
      <c r="H1546" s="25" t="str">
        <f>IF(J1546&lt;&gt;1,"",IF(I1546="SBJ","CB","?"))</f>
        <v> </v>
      </c>
      <c r="I1546" s="26" t="str">
        <f>IF(OR(E1546="",E1546="!!!",F1546="NEW"),"",INDEX(B1545:B$2,-1+SUMPRODUCT(MAX(ROW(E1545:E$2)*(E1546=E1545:E$2)))))</f>
        <v> </v>
      </c>
      <c r="J1546" s="26" t="str">
        <f>IF(OR(E1546="",E1546="!!!",F1546="NEW"),"",COUNTBLANK(OFFSET(A$1,,,SUMPRODUCT(MAX(ROW(E$2:E1546)*(E1546=E$2:E1546)))))-COUNTBLANK(OFFSET(A$1,,,SUMPRODUCT(MAX(ROW(E$1:E1545)*(E2=E$1:E1545))))))</f>
        <v> </v>
      </c>
      <c r="K1546" s="26" t="str">
        <f>IF(OR(E1546="",E1546="!!!",F1546="NEW"),"",INDEX(J$1:J1545,SUMPRODUCT(MAX(ROW(E$1:E1545)*(E1546=E$1:E1545)))))</f>
        <v> </v>
      </c>
      <c r="L1546" s="27"/>
    </row>
    <row r="1547" spans="1:12">
      <c r="A1547" s="20" t="s">
        <v>560</v>
      </c>
      <c r="E1547" s="22">
        <f>IF(D1547="?OLD","!!!","")</f>
        <v/>
      </c>
      <c r="F1547" s="23" t="str">
        <f>IF(OR(E1547="",E1547="!!!"),"",IF(NOT(ISNA(VLOOKUP(E1547,E$1:E1546,1,FALSE()))),"OLD",IF(AND(E1547&lt;&gt;"",E1547&lt;&gt;"!!!"),"NEW","")))</f>
        <v> </v>
      </c>
      <c r="G1547" s="24" t="str">
        <f>IF(OR(E1547="",E1547="!!!"),"",IF(OR(J1547=0,AND(J1547=1,K1547=1),AND(J1547=1,I1547="SBJ"),AND(J1547=1,I1547=0)),"?IN_FOCUS",IF(J1547&lt;=2,"?ACTIVATED",IF(J1547&lt;&gt;"","?FAMILIAR",IF(F1547="NEW",IF(ISNA(VLOOKUP(E1547,#REF!,1,FALSE())),"?TYPE_IDENTIFIABLE","?REFERENTIAL"),"_")))))</f>
        <v> </v>
      </c>
      <c r="H1547" s="25" t="str">
        <f>IF(J1547&lt;&gt;1,"",IF(I1547="SBJ","CB","?"))</f>
        <v> </v>
      </c>
      <c r="I1547" s="26" t="str">
        <f>IF(OR(E1547="",E1547="!!!",F1547="NEW"),"",INDEX(B1546:B$2,-1+SUMPRODUCT(MAX(ROW(E1546:E$2)*(E1547=E1546:E$2)))))</f>
        <v> </v>
      </c>
      <c r="J1547" s="26" t="str">
        <f>IF(OR(E1547="",E1547="!!!",F1547="NEW"),"",COUNTBLANK(OFFSET(A$1,,,SUMPRODUCT(MAX(ROW(E$2:E1547)*(E1547=E$2:E1547)))))-COUNTBLANK(OFFSET(A$1,,,SUMPRODUCT(MAX(ROW(E$1:E1546)*(E2=E$1:E1546))))))</f>
        <v> </v>
      </c>
      <c r="K1547" s="26" t="str">
        <f>IF(OR(E1547="",E1547="!!!",F1547="NEW"),"",INDEX(J$1:J1546,SUMPRODUCT(MAX(ROW(E$1:E1546)*(E1547=E$1:E1546)))))</f>
        <v> </v>
      </c>
      <c r="L1547" s="27"/>
    </row>
    <row r="1548" spans="1:12">
      <c r="A1548" s="20" t="s">
        <v>927</v>
      </c>
      <c r="B1548" s="21" t="s">
        <v>679</v>
      </c>
      <c r="C1548" s="21" t="s">
        <v>371</v>
      </c>
      <c r="D1548" s="21" t="s">
        <v>358</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t="s">
        <v>380</v>
      </c>
      <c r="E1549" s="22">
        <f>IF(D1549="?OLD","!!!","")</f>
        <v/>
      </c>
      <c r="F1549" s="23" t="str">
        <f>IF(OR(E1549="",E1549="!!!"),"",IF(NOT(ISNA(VLOOKUP(E1549,E$1:E1548,1,FALSE()))),"OLD",IF(AND(E1549&lt;&gt;"",E1549&lt;&gt;"!!!"),"NEW","")))</f>
        <v> </v>
      </c>
      <c r="G1549" s="24" t="str">
        <f>IF(OR(E1549="",E1549="!!!"),"",IF(OR(J1549=0,AND(J1549=1,K1549=1),AND(J1549=1,I1549="SBJ"),AND(J1549=1,I1549=0)),"?IN_FOCUS",IF(J1549&lt;=2,"?ACTIVATED",IF(J1549&lt;&gt;"","?FAMILIAR",IF(F1549="NEW",IF(ISNA(VLOOKUP(E1549,#REF!,1,FALSE())),"?TYPE_IDENTIFIABLE","?REFERENTIAL"),"_")))))</f>
        <v> </v>
      </c>
      <c r="H1549" s="25" t="str">
        <f>IF(J1549&lt;&gt;1,"",IF(I1549="SBJ","CB","?"))</f>
        <v> </v>
      </c>
      <c r="I1549" s="26" t="str">
        <f>IF(OR(E1549="",E1549="!!!",F1549="NEW"),"",INDEX(B1548:B$2,-1+SUMPRODUCT(MAX(ROW(E1548:E$2)*(E1549=E1548:E$2)))))</f>
        <v> </v>
      </c>
      <c r="J1549" s="26" t="str">
        <f>IF(OR(E1549="",E1549="!!!",F1549="NEW"),"",COUNTBLANK(OFFSET(A$1,,,SUMPRODUCT(MAX(ROW(E$2:E1549)*(E1549=E$2:E1549)))))-COUNTBLANK(OFFSET(A$1,,,SUMPRODUCT(MAX(ROW(E$1:E1548)*(E2=E$1:E1548))))))</f>
        <v> </v>
      </c>
      <c r="K1549" s="26" t="str">
        <f>IF(OR(E1549="",E1549="!!!",F1549="NEW"),"",INDEX(J$1:J1548,SUMPRODUCT(MAX(ROW(E$1:E1548)*(E1549=E$1:E1548)))))</f>
        <v> </v>
      </c>
      <c r="L1549" s="27"/>
    </row>
    <row r="1550" spans="1:12">
      <c r="A1550" s="20" t="s">
        <v>386</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t="s">
        <v>878</v>
      </c>
      <c r="B1551" s="21" t="s">
        <v>493</v>
      </c>
      <c r="C1551" s="21" t="s">
        <v>371</v>
      </c>
      <c r="D1551" s="21" t="s">
        <v>358</v>
      </c>
      <c r="E1551" s="22">
        <f>IF(D1551="?OLD","!!!","")</f>
        <v/>
      </c>
      <c r="F1551" s="23" t="str">
        <f>IF(OR(E1551="",E1551="!!!"),"",IF(NOT(ISNA(VLOOKUP(E1551,E$1:E1550,1,FALSE()))),"OLD",IF(AND(E1551&lt;&gt;"",E1551&lt;&gt;"!!!"),"NEW","")))</f>
        <v> </v>
      </c>
      <c r="G1551" s="24" t="str">
        <f>IF(OR(E1551="",E1551="!!!"),"",IF(OR(J1551=0,AND(J1551=1,K1551=1),AND(J1551=1,I1551="SBJ"),AND(J1551=1,I1551=0)),"?IN_FOCUS",IF(J1551&lt;=2,"?ACTIVATED",IF(J1551&lt;&gt;"","?FAMILIAR",IF(F1551="NEW",IF(ISNA(VLOOKUP(E1551,#REF!,1,FALSE())),"?TYPE_IDENTIFIABLE","?REFERENTIAL"),"_")))))</f>
        <v> </v>
      </c>
      <c r="H1551" s="25" t="str">
        <f>IF(J1551&lt;&gt;1,"",IF(I1551="SBJ","CB","?"))</f>
        <v> </v>
      </c>
      <c r="I1551" s="26" t="str">
        <f>IF(OR(E1551="",E1551="!!!",F1551="NEW"),"",INDEX(B1550:B$2,-1+SUMPRODUCT(MAX(ROW(E1550:E$2)*(E1551=E1550:E$2)))))</f>
        <v> </v>
      </c>
      <c r="J1551" s="26" t="str">
        <f>IF(OR(E1551="",E1551="!!!",F1551="NEW"),"",COUNTBLANK(OFFSET(A$1,,,SUMPRODUCT(MAX(ROW(E$2:E1551)*(E1551=E$2:E1551)))))-COUNTBLANK(OFFSET(A$1,,,SUMPRODUCT(MAX(ROW(E$1:E1550)*(E2=E$1:E1550))))))</f>
        <v> </v>
      </c>
      <c r="K1551" s="26" t="str">
        <f>IF(OR(E1551="",E1551="!!!",F1551="NEW"),"",INDEX(J$1:J1550,SUMPRODUCT(MAX(ROW(E$1:E1550)*(E1551=E$1:E1550)))))</f>
        <v> </v>
      </c>
      <c r="L1551" s="27"/>
    </row>
    <row r="1552" spans="1:12">
      <c r="A1552" s="20" t="s">
        <v>560</v>
      </c>
      <c r="E1552" s="22">
        <f>IF(D1552="?OLD","!!!","")</f>
        <v/>
      </c>
      <c r="F1552" s="23" t="str">
        <f>IF(OR(E1552="",E1552="!!!"),"",IF(NOT(ISNA(VLOOKUP(E1552,E$1:E1551,1,FALSE()))),"OLD",IF(AND(E1552&lt;&gt;"",E1552&lt;&gt;"!!!"),"NEW","")))</f>
        <v> </v>
      </c>
      <c r="G1552" s="24" t="str">
        <f>IF(OR(E1552="",E1552="!!!"),"",IF(OR(J1552=0,AND(J1552=1,K1552=1),AND(J1552=1,I1552="SBJ"),AND(J1552=1,I1552=0)),"?IN_FOCUS",IF(J1552&lt;=2,"?ACTIVATED",IF(J1552&lt;&gt;"","?FAMILIAR",IF(F1552="NEW",IF(ISNA(VLOOKUP(E1552,#REF!,1,FALSE())),"?TYPE_IDENTIFIABLE","?REFERENTIAL"),"_")))))</f>
        <v> </v>
      </c>
      <c r="H1552" s="25" t="str">
        <f>IF(J1552&lt;&gt;1,"",IF(I1552="SBJ","CB","?"))</f>
        <v> </v>
      </c>
      <c r="I1552" s="26" t="str">
        <f>IF(OR(E1552="",E1552="!!!",F1552="NEW"),"",INDEX(B1551:B$2,-1+SUMPRODUCT(MAX(ROW(E1551:E$2)*(E1552=E1551:E$2)))))</f>
        <v> </v>
      </c>
      <c r="J1552" s="26" t="str">
        <f>IF(OR(E1552="",E1552="!!!",F1552="NEW"),"",COUNTBLANK(OFFSET(A$1,,,SUMPRODUCT(MAX(ROW(E$2:E1552)*(E1552=E$2:E1552)))))-COUNTBLANK(OFFSET(A$1,,,SUMPRODUCT(MAX(ROW(E$1:E1551)*(E2=E$1:E1551))))))</f>
        <v> </v>
      </c>
      <c r="K1552" s="26" t="str">
        <f>IF(OR(E1552="",E1552="!!!",F1552="NEW"),"",INDEX(J$1:J1551,SUMPRODUCT(MAX(ROW(E$1:E1551)*(E1552=E$1:E1551)))))</f>
        <v> </v>
      </c>
      <c r="L1552" s="27"/>
    </row>
    <row r="1553" spans="1:12">
      <c r="A1553" s="20" t="s">
        <v>389</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row>
    <row r="1555" spans="1:12">
      <c r="A1555" s="20" t="s">
        <v>928</v>
      </c>
    </row>
    <row r="1556" spans="1:12">
      <c r="A1556" s="20" t="s">
        <v>355</v>
      </c>
      <c r="E1556" s="22">
        <f>IF(D1556="?OLD","!!!","")</f>
        <v/>
      </c>
      <c r="F1556" s="23" t="str">
        <f>IF(OR(E1556="",E1556="!!!"),"",IF(NOT(ISNA(VLOOKUP(E1556,E$1:E1555,1,FALSE()))),"OLD",IF(AND(E1556&lt;&gt;"",E1556&lt;&gt;"!!!"),"NEW","")))</f>
        <v> </v>
      </c>
      <c r="G1556" s="24" t="str">
        <f>IF(OR(E1556="",E1556="!!!"),"",IF(OR(J1556=0,AND(J1556=1,K1556=1),AND(J1556=1,I1556="SBJ"),AND(J1556=1,I1556=0)),"?IN_FOCUS",IF(J1556&lt;=2,"?ACTIVATED",IF(J1556&lt;&gt;"","?FAMILIAR",IF(F1556="NEW",IF(ISNA(VLOOKUP(E1556,#REF!,1,FALSE())),"?TYPE_IDENTIFIABLE","?REFERENTIAL"),"_")))))</f>
        <v> </v>
      </c>
      <c r="H1556" s="25" t="str">
        <f>IF(J1556&lt;&gt;1,"",IF(I1556="SBJ","CB","?"))</f>
        <v> </v>
      </c>
      <c r="I1556" s="26" t="str">
        <f>IF(OR(E1556="",E1556="!!!",F1556="NEW"),"",INDEX(B1555:B$2,-1+SUMPRODUCT(MAX(ROW(E1555:E$2)*(E1556=E1555:E$2)))))</f>
        <v> </v>
      </c>
      <c r="J1556" s="26" t="str">
        <f>IF(OR(E1556="",E1556="!!!",F1556="NEW"),"",COUNTBLANK(OFFSET(A$1,,,SUMPRODUCT(MAX(ROW(E$2:E1556)*(E1556=E$2:E1556)))))-COUNTBLANK(OFFSET(A$1,,,SUMPRODUCT(MAX(ROW(E$1:E1555)*(E2=E$1:E1555))))))</f>
        <v> </v>
      </c>
      <c r="K1556" s="26" t="str">
        <f>IF(OR(E1556="",E1556="!!!",F1556="NEW"),"",INDEX(J$1:J1555,SUMPRODUCT(MAX(ROW(E$1:E1555)*(E1556=E$1:E1555)))))</f>
        <v> </v>
      </c>
      <c r="L1556" s="27"/>
    </row>
    <row r="1557" spans="1:12">
      <c r="A1557" s="20" t="s">
        <v>359</v>
      </c>
      <c r="E1557" s="22">
        <f>IF(D1557="?OLD","!!!","")</f>
        <v/>
      </c>
      <c r="F1557" s="23" t="str">
        <f>IF(OR(E1557="",E1557="!!!"),"",IF(NOT(ISNA(VLOOKUP(E1557,E$1:E1556,1,FALSE()))),"OLD",IF(AND(E1557&lt;&gt;"",E1557&lt;&gt;"!!!"),"NEW","")))</f>
        <v> </v>
      </c>
      <c r="G1557" s="24" t="str">
        <f>IF(OR(E1557="",E1557="!!!"),"",IF(OR(J1557=0,AND(J1557=1,K1557=1),AND(J1557=1,I1557="SBJ"),AND(J1557=1,I1557=0)),"?IN_FOCUS",IF(J1557&lt;=2,"?ACTIVATED",IF(J1557&lt;&gt;"","?FAMILIAR",IF(F1557="NEW",IF(ISNA(VLOOKUP(E1557,#REF!,1,FALSE())),"?TYPE_IDENTIFIABLE","?REFERENTIAL"),"_")))))</f>
        <v> </v>
      </c>
      <c r="H1557" s="25" t="str">
        <f>IF(J1557&lt;&gt;1,"",IF(I1557="SBJ","CB","?"))</f>
        <v> </v>
      </c>
      <c r="I1557" s="26" t="str">
        <f>IF(OR(E1557="",E1557="!!!",F1557="NEW"),"",INDEX(B1556:B$2,-1+SUMPRODUCT(MAX(ROW(E1556:E$2)*(E1557=E1556:E$2)))))</f>
        <v> </v>
      </c>
      <c r="J1557" s="26" t="str">
        <f>IF(OR(E1557="",E1557="!!!",F1557="NEW"),"",COUNTBLANK(OFFSET(A$1,,,SUMPRODUCT(MAX(ROW(E$2:E1557)*(E1557=E$2:E1557)))))-COUNTBLANK(OFFSET(A$1,,,SUMPRODUCT(MAX(ROW(E$1:E1556)*(E2=E$1:E1556))))))</f>
        <v> </v>
      </c>
      <c r="K1557" s="26" t="str">
        <f>IF(OR(E1557="",E1557="!!!",F1557="NEW"),"",INDEX(J$1:J1556,SUMPRODUCT(MAX(ROW(E$1:E1556)*(E1557=E$1:E1556)))))</f>
        <v> </v>
      </c>
      <c r="L1557" s="27"/>
    </row>
    <row r="1558" spans="1:12">
      <c r="A1558" s="20" t="s">
        <v>362</v>
      </c>
      <c r="E1558" s="22">
        <f>IF(D1558="?OLD","!!!","")</f>
        <v/>
      </c>
      <c r="F1558" s="23" t="str">
        <f>IF(OR(E1558="",E1558="!!!"),"",IF(NOT(ISNA(VLOOKUP(E1558,E$1:E1557,1,FALSE()))),"OLD",IF(AND(E1558&lt;&gt;"",E1558&lt;&gt;"!!!"),"NEW","")))</f>
        <v> </v>
      </c>
      <c r="G1558" s="24" t="str">
        <f>IF(OR(E1558="",E1558="!!!"),"",IF(OR(J1558=0,AND(J1558=1,K1558=1),AND(J1558=1,I1558="SBJ"),AND(J1558=1,I1558=0)),"?IN_FOCUS",IF(J1558&lt;=2,"?ACTIVATED",IF(J1558&lt;&gt;"","?FAMILIAR",IF(F1558="NEW",IF(ISNA(VLOOKUP(E1558,#REF!,1,FALSE())),"?TYPE_IDENTIFIABLE","?REFERENTIAL"),"_")))))</f>
        <v> </v>
      </c>
      <c r="H1558" s="25" t="str">
        <f>IF(J1558&lt;&gt;1,"",IF(I1558="SBJ","CB","?"))</f>
        <v> </v>
      </c>
      <c r="I1558" s="26" t="str">
        <f>IF(OR(E1558="",E1558="!!!",F1558="NEW"),"",INDEX(B1557:B$2,-1+SUMPRODUCT(MAX(ROW(E1557:E$2)*(E1558=E1557:E$2)))))</f>
        <v> </v>
      </c>
      <c r="J1558" s="26" t="str">
        <f>IF(OR(E1558="",E1558="!!!",F1558="NEW"),"",COUNTBLANK(OFFSET(A$1,,,SUMPRODUCT(MAX(ROW(E$2:E1558)*(E1558=E$2:E1558)))))-COUNTBLANK(OFFSET(A$1,,,SUMPRODUCT(MAX(ROW(E$1:E1557)*(E2=E$1:E1557))))))</f>
        <v> </v>
      </c>
      <c r="K1558" s="26" t="str">
        <f>IF(OR(E1558="",E1558="!!!",F1558="NEW"),"",INDEX(J$1:J1557,SUMPRODUCT(MAX(ROW(E$1:E1557)*(E1558=E$1:E1557)))))</f>
        <v> </v>
      </c>
      <c r="L1558" s="27"/>
    </row>
    <row r="1559" spans="1:12">
      <c r="A1559" s="20" t="s">
        <v>380</v>
      </c>
      <c r="E1559" s="22">
        <f>IF(D1559="?OLD","!!!","")</f>
        <v/>
      </c>
      <c r="F1559" s="23" t="str">
        <f>IF(OR(E1559="",E1559="!!!"),"",IF(NOT(ISNA(VLOOKUP(E1559,E$1:E1558,1,FALSE()))),"OLD",IF(AND(E1559&lt;&gt;"",E1559&lt;&gt;"!!!"),"NEW","")))</f>
        <v> </v>
      </c>
      <c r="G1559" s="24" t="str">
        <f>IF(OR(E1559="",E1559="!!!"),"",IF(OR(J1559=0,AND(J1559=1,K1559=1),AND(J1559=1,I1559="SBJ"),AND(J1559=1,I1559=0)),"?IN_FOCUS",IF(J1559&lt;=2,"?ACTIVATED",IF(J1559&lt;&gt;"","?FAMILIAR",IF(F1559="NEW",IF(ISNA(VLOOKUP(E1559,#REF!,1,FALSE())),"?TYPE_IDENTIFIABLE","?REFERENTIAL"),"_")))))</f>
        <v> </v>
      </c>
      <c r="H1559" s="25" t="str">
        <f>IF(J1559&lt;&gt;1,"",IF(I1559="SBJ","CB","?"))</f>
        <v> </v>
      </c>
      <c r="I1559" s="26" t="str">
        <f>IF(OR(E1559="",E1559="!!!",F1559="NEW"),"",INDEX(B1558:B$2,-1+SUMPRODUCT(MAX(ROW(E1558:E$2)*(E1559=E1558:E$2)))))</f>
        <v> </v>
      </c>
      <c r="J1559" s="26" t="str">
        <f>IF(OR(E1559="",E1559="!!!",F1559="NEW"),"",COUNTBLANK(OFFSET(A$1,,,SUMPRODUCT(MAX(ROW(E$2:E1559)*(E1559=E$2:E1559)))))-COUNTBLANK(OFFSET(A$1,,,SUMPRODUCT(MAX(ROW(E$1:E1558)*(E2=E$1:E1558))))))</f>
        <v> </v>
      </c>
      <c r="K1559" s="26" t="str">
        <f>IF(OR(E1559="",E1559="!!!",F1559="NEW"),"",INDEX(J$1:J1558,SUMPRODUCT(MAX(ROW(E$1:E1558)*(E1559=E$1:E1558)))))</f>
        <v> </v>
      </c>
      <c r="L1559" s="27"/>
    </row>
    <row r="1560" spans="1:12">
      <c r="A1560" s="20" t="s">
        <v>398</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t="s">
        <v>929</v>
      </c>
      <c r="B1561" s="21" t="s">
        <v>365</v>
      </c>
      <c r="C1561" s="21" t="s">
        <v>385</v>
      </c>
      <c r="D1561" s="21" t="s">
        <v>358</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t="s">
        <v>643</v>
      </c>
      <c r="E1562" s="22">
        <f>IF(D1562="?OLD","!!!","")</f>
        <v/>
      </c>
      <c r="F1562" s="23" t="str">
        <f>IF(OR(E1562="",E1562="!!!"),"",IF(NOT(ISNA(VLOOKUP(E1562,E$1:E1561,1,FALSE()))),"OLD",IF(AND(E1562&lt;&gt;"",E1562&lt;&gt;"!!!"),"NEW","")))</f>
        <v> </v>
      </c>
      <c r="G1562" s="24" t="str">
        <f>IF(OR(E1562="",E1562="!!!"),"",IF(OR(J1562=0,AND(J1562=1,K1562=1),AND(J1562=1,I1562="SBJ"),AND(J1562=1,I1562=0)),"?IN_FOCUS",IF(J1562&lt;=2,"?ACTIVATED",IF(J1562&lt;&gt;"","?FAMILIAR",IF(F1562="NEW",IF(ISNA(VLOOKUP(E1562,#REF!,1,FALSE())),"?TYPE_IDENTIFIABLE","?REFERENTIAL"),"_")))))</f>
        <v> </v>
      </c>
      <c r="H1562" s="25" t="str">
        <f>IF(J1562&lt;&gt;1,"",IF(I1562="SBJ","CB","?"))</f>
        <v> </v>
      </c>
      <c r="I1562" s="26" t="str">
        <f>IF(OR(E1562="",E1562="!!!",F1562="NEW"),"",INDEX(B1561:B$2,-1+SUMPRODUCT(MAX(ROW(E1561:E$2)*(E1562=E1561:E$2)))))</f>
        <v> </v>
      </c>
      <c r="J1562" s="26" t="str">
        <f>IF(OR(E1562="",E1562="!!!",F1562="NEW"),"",COUNTBLANK(OFFSET(A$1,,,SUMPRODUCT(MAX(ROW(E$2:E1562)*(E1562=E$2:E1562)))))-COUNTBLANK(OFFSET(A$1,,,SUMPRODUCT(MAX(ROW(E$1:E1561)*(E2=E$1:E1561))))))</f>
        <v> </v>
      </c>
      <c r="K1562" s="26" t="str">
        <f>IF(OR(E1562="",E1562="!!!",F1562="NEW"),"",INDEX(J$1:J1561,SUMPRODUCT(MAX(ROW(E$1:E1561)*(E1562=E$1:E1561)))))</f>
        <v> </v>
      </c>
      <c r="L1562" s="27"/>
    </row>
    <row r="1563" spans="1:12">
      <c r="A1563" s="20" t="s">
        <v>369</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t="s">
        <v>643</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t="s">
        <v>389</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row>
    <row r="1567" spans="1:12">
      <c r="A1567" s="20" t="s">
        <v>930</v>
      </c>
    </row>
    <row r="1568" spans="1:12">
      <c r="A1568" s="20" t="s">
        <v>355</v>
      </c>
      <c r="E1568" s="22">
        <f>IF(D1568="?OLD","!!!","")</f>
        <v/>
      </c>
      <c r="F1568" s="23" t="str">
        <f>IF(OR(E1568="",E1568="!!!"),"",IF(NOT(ISNA(VLOOKUP(E1568,E$1:E1567,1,FALSE()))),"OLD",IF(AND(E1568&lt;&gt;"",E1568&lt;&gt;"!!!"),"NEW","")))</f>
        <v> </v>
      </c>
      <c r="G1568" s="24" t="str">
        <f>IF(OR(E1568="",E1568="!!!"),"",IF(OR(J1568=0,AND(J1568=1,K1568=1),AND(J1568=1,I1568="SBJ"),AND(J1568=1,I1568=0)),"?IN_FOCUS",IF(J1568&lt;=2,"?ACTIVATED",IF(J1568&lt;&gt;"","?FAMILIAR",IF(F1568="NEW",IF(ISNA(VLOOKUP(E1568,#REF!,1,FALSE())),"?TYPE_IDENTIFIABLE","?REFERENTIAL"),"_")))))</f>
        <v> </v>
      </c>
      <c r="H1568" s="25" t="str">
        <f>IF(J1568&lt;&gt;1,"",IF(I1568="SBJ","CB","?"))</f>
        <v> </v>
      </c>
      <c r="I1568" s="26" t="str">
        <f>IF(OR(E1568="",E1568="!!!",F1568="NEW"),"",INDEX(B1567:B$2,-1+SUMPRODUCT(MAX(ROW(E1567:E$2)*(E1568=E1567:E$2)))))</f>
        <v> </v>
      </c>
      <c r="J1568" s="26" t="str">
        <f>IF(OR(E1568="",E1568="!!!",F1568="NEW"),"",COUNTBLANK(OFFSET(A$1,,,SUMPRODUCT(MAX(ROW(E$2:E1568)*(E1568=E$2:E1568)))))-COUNTBLANK(OFFSET(A$1,,,SUMPRODUCT(MAX(ROW(E$1:E1567)*(E2=E$1:E1567))))))</f>
        <v> </v>
      </c>
      <c r="K1568" s="26" t="str">
        <f>IF(OR(E1568="",E1568="!!!",F1568="NEW"),"",INDEX(J$1:J1567,SUMPRODUCT(MAX(ROW(E$1:E1567)*(E1568=E$1:E1567)))))</f>
        <v> </v>
      </c>
      <c r="L1568" s="27"/>
    </row>
    <row r="1569" spans="1:12">
      <c r="A1569" s="20" t="s">
        <v>359</v>
      </c>
      <c r="E1569" s="22">
        <f>IF(D1569="?OLD","!!!","")</f>
        <v/>
      </c>
      <c r="F1569" s="23" t="str">
        <f>IF(OR(E1569="",E1569="!!!"),"",IF(NOT(ISNA(VLOOKUP(E1569,E$1:E1568,1,FALSE()))),"OLD",IF(AND(E1569&lt;&gt;"",E1569&lt;&gt;"!!!"),"NEW","")))</f>
        <v> </v>
      </c>
      <c r="G1569" s="24" t="str">
        <f>IF(OR(E1569="",E1569="!!!"),"",IF(OR(J1569=0,AND(J1569=1,K1569=1),AND(J1569=1,I1569="SBJ"),AND(J1569=1,I1569=0)),"?IN_FOCUS",IF(J1569&lt;=2,"?ACTIVATED",IF(J1569&lt;&gt;"","?FAMILIAR",IF(F1569="NEW",IF(ISNA(VLOOKUP(E1569,#REF!,1,FALSE())),"?TYPE_IDENTIFIABLE","?REFERENTIAL"),"_")))))</f>
        <v> </v>
      </c>
      <c r="H1569" s="25" t="str">
        <f>IF(J1569&lt;&gt;1,"",IF(I1569="SBJ","CB","?"))</f>
        <v> </v>
      </c>
      <c r="I1569" s="26" t="str">
        <f>IF(OR(E1569="",E1569="!!!",F1569="NEW"),"",INDEX(B1568:B$2,-1+SUMPRODUCT(MAX(ROW(E1568:E$2)*(E1569=E1568:E$2)))))</f>
        <v> </v>
      </c>
      <c r="J1569" s="26" t="str">
        <f>IF(OR(E1569="",E1569="!!!",F1569="NEW"),"",COUNTBLANK(OFFSET(A$1,,,SUMPRODUCT(MAX(ROW(E$2:E1569)*(E1569=E$2:E1569)))))-COUNTBLANK(OFFSET(A$1,,,SUMPRODUCT(MAX(ROW(E$1:E1568)*(E2=E$1:E1568))))))</f>
        <v> </v>
      </c>
      <c r="K1569" s="26" t="str">
        <f>IF(OR(E1569="",E1569="!!!",F1569="NEW"),"",INDEX(J$1:J1568,SUMPRODUCT(MAX(ROW(E$1:E1568)*(E1569=E$1:E1568)))))</f>
        <v> </v>
      </c>
      <c r="L1569" s="27"/>
    </row>
    <row r="1570" spans="1:12">
      <c r="A1570" s="20" t="s">
        <v>362</v>
      </c>
      <c r="E1570" s="22">
        <f>IF(D1570="?OLD","!!!","")</f>
        <v/>
      </c>
      <c r="F1570" s="23" t="str">
        <f>IF(OR(E1570="",E1570="!!!"),"",IF(NOT(ISNA(VLOOKUP(E1570,E$1:E1569,1,FALSE()))),"OLD",IF(AND(E1570&lt;&gt;"",E1570&lt;&gt;"!!!"),"NEW","")))</f>
        <v> </v>
      </c>
      <c r="G1570" s="24" t="str">
        <f>IF(OR(E1570="",E1570="!!!"),"",IF(OR(J1570=0,AND(J1570=1,K1570=1),AND(J1570=1,I1570="SBJ"),AND(J1570=1,I1570=0)),"?IN_FOCUS",IF(J1570&lt;=2,"?ACTIVATED",IF(J1570&lt;&gt;"","?FAMILIAR",IF(F1570="NEW",IF(ISNA(VLOOKUP(E1570,#REF!,1,FALSE())),"?TYPE_IDENTIFIABLE","?REFERENTIAL"),"_")))))</f>
        <v> </v>
      </c>
      <c r="H1570" s="25" t="str">
        <f>IF(J1570&lt;&gt;1,"",IF(I1570="SBJ","CB","?"))</f>
        <v> </v>
      </c>
      <c r="I1570" s="26" t="str">
        <f>IF(OR(E1570="",E1570="!!!",F1570="NEW"),"",INDEX(B1569:B$2,-1+SUMPRODUCT(MAX(ROW(E1569:E$2)*(E1570=E1569:E$2)))))</f>
        <v> </v>
      </c>
      <c r="J1570" s="26" t="str">
        <f>IF(OR(E1570="",E1570="!!!",F1570="NEW"),"",COUNTBLANK(OFFSET(A$1,,,SUMPRODUCT(MAX(ROW(E$2:E1570)*(E1570=E$2:E1570)))))-COUNTBLANK(OFFSET(A$1,,,SUMPRODUCT(MAX(ROW(E$1:E1569)*(E2=E$1:E1569))))))</f>
        <v> </v>
      </c>
      <c r="K1570" s="26" t="str">
        <f>IF(OR(E1570="",E1570="!!!",F1570="NEW"),"",INDEX(J$1:J1569,SUMPRODUCT(MAX(ROW(E$1:E1569)*(E1570=E$1:E1569)))))</f>
        <v> </v>
      </c>
      <c r="L1570" s="27"/>
    </row>
    <row r="1571" spans="1:12">
      <c r="A1571" s="20" t="s">
        <v>380</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398</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931</v>
      </c>
      <c r="B1573" s="21" t="s">
        <v>365</v>
      </c>
      <c r="C1573" s="21" t="s">
        <v>385</v>
      </c>
      <c r="D1573" s="21" t="s">
        <v>358</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932</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t="s">
        <v>933</v>
      </c>
      <c r="E1575" s="22">
        <f>IF(D1575="?OLD","!!!","")</f>
        <v/>
      </c>
      <c r="F1575" s="23" t="str">
        <f>IF(OR(E1575="",E1575="!!!"),"",IF(NOT(ISNA(VLOOKUP(E1575,E$1:E1574,1,FALSE()))),"OLD",IF(AND(E1575&lt;&gt;"",E1575&lt;&gt;"!!!"),"NEW","")))</f>
        <v> </v>
      </c>
      <c r="G1575" s="24" t="str">
        <f>IF(OR(E1575="",E1575="!!!"),"",IF(OR(J1575=0,AND(J1575=1,K1575=1),AND(J1575=1,I1575="SBJ"),AND(J1575=1,I1575=0)),"?IN_FOCUS",IF(J1575&lt;=2,"?ACTIVATED",IF(J1575&lt;&gt;"","?FAMILIAR",IF(F1575="NEW",IF(ISNA(VLOOKUP(E1575,#REF!,1,FALSE())),"?TYPE_IDENTIFIABLE","?REFERENTIAL"),"_")))))</f>
        <v> </v>
      </c>
      <c r="H1575" s="25" t="str">
        <f>IF(J1575&lt;&gt;1,"",IF(I1575="SBJ","CB","?"))</f>
        <v> </v>
      </c>
      <c r="I1575" s="26" t="str">
        <f>IF(OR(E1575="",E1575="!!!",F1575="NEW"),"",INDEX(B1574:B$2,-1+SUMPRODUCT(MAX(ROW(E1574:E$2)*(E1575=E1574:E$2)))))</f>
        <v> </v>
      </c>
      <c r="J1575" s="26" t="str">
        <f>IF(OR(E1575="",E1575="!!!",F1575="NEW"),"",COUNTBLANK(OFFSET(A$1,,,SUMPRODUCT(MAX(ROW(E$2:E1575)*(E1575=E$2:E1575)))))-COUNTBLANK(OFFSET(A$1,,,SUMPRODUCT(MAX(ROW(E$1:E1574)*(E2=E$1:E1574))))))</f>
        <v> </v>
      </c>
      <c r="K1575" s="26" t="str">
        <f>IF(OR(E1575="",E1575="!!!",F1575="NEW"),"",INDEX(J$1:J1574,SUMPRODUCT(MAX(ROW(E$1:E1574)*(E1575=E$1:E1574)))))</f>
        <v> </v>
      </c>
      <c r="L1575" s="27"/>
    </row>
    <row r="1576" spans="1:12">
      <c r="A1576" s="20" t="s">
        <v>380</v>
      </c>
      <c r="E1576" s="22">
        <f>IF(D1576="?OLD","!!!","")</f>
        <v/>
      </c>
      <c r="F1576" s="23" t="str">
        <f>IF(OR(E1576="",E1576="!!!"),"",IF(NOT(ISNA(VLOOKUP(E1576,E$1:E1575,1,FALSE()))),"OLD",IF(AND(E1576&lt;&gt;"",E1576&lt;&gt;"!!!"),"NEW","")))</f>
        <v> </v>
      </c>
      <c r="G1576" s="24" t="str">
        <f>IF(OR(E1576="",E1576="!!!"),"",IF(OR(J1576=0,AND(J1576=1,K1576=1),AND(J1576=1,I1576="SBJ"),AND(J1576=1,I1576=0)),"?IN_FOCUS",IF(J1576&lt;=2,"?ACTIVATED",IF(J1576&lt;&gt;"","?FAMILIAR",IF(F1576="NEW",IF(ISNA(VLOOKUP(E1576,#REF!,1,FALSE())),"?TYPE_IDENTIFIABLE","?REFERENTIAL"),"_")))))</f>
        <v> </v>
      </c>
      <c r="H1576" s="25" t="str">
        <f>IF(J1576&lt;&gt;1,"",IF(I1576="SBJ","CB","?"))</f>
        <v> </v>
      </c>
      <c r="I1576" s="26" t="str">
        <f>IF(OR(E1576="",E1576="!!!",F1576="NEW"),"",INDEX(B1575:B$2,-1+SUMPRODUCT(MAX(ROW(E1575:E$2)*(E1576=E1575:E$2)))))</f>
        <v> </v>
      </c>
      <c r="J1576" s="26" t="str">
        <f>IF(OR(E1576="",E1576="!!!",F1576="NEW"),"",COUNTBLANK(OFFSET(A$1,,,SUMPRODUCT(MAX(ROW(E$2:E1576)*(E1576=E$2:E1576)))))-COUNTBLANK(OFFSET(A$1,,,SUMPRODUCT(MAX(ROW(E$1:E1575)*(E2=E$1:E1575))))))</f>
        <v> </v>
      </c>
      <c r="K1576" s="26" t="str">
        <f>IF(OR(E1576="",E1576="!!!",F1576="NEW"),"",INDEX(J$1:J1575,SUMPRODUCT(MAX(ROW(E$1:E1575)*(E1576=E$1:E1575)))))</f>
        <v> </v>
      </c>
      <c r="L1576" s="27"/>
    </row>
    <row r="1577" spans="1:12">
      <c r="A1577" s="20" t="s">
        <v>386</v>
      </c>
      <c r="E1577" s="22">
        <f>IF(D1577="?OLD","!!!","")</f>
        <v/>
      </c>
      <c r="F1577" s="23" t="str">
        <f>IF(OR(E1577="",E1577="!!!"),"",IF(NOT(ISNA(VLOOKUP(E1577,E$1:E1576,1,FALSE()))),"OLD",IF(AND(E1577&lt;&gt;"",E1577&lt;&gt;"!!!"),"NEW","")))</f>
        <v> </v>
      </c>
      <c r="G1577" s="24" t="str">
        <f>IF(OR(E1577="",E1577="!!!"),"",IF(OR(J1577=0,AND(J1577=1,K1577=1),AND(J1577=1,I1577="SBJ"),AND(J1577=1,I1577=0)),"?IN_FOCUS",IF(J1577&lt;=2,"?ACTIVATED",IF(J1577&lt;&gt;"","?FAMILIAR",IF(F1577="NEW",IF(ISNA(VLOOKUP(E1577,#REF!,1,FALSE())),"?TYPE_IDENTIFIABLE","?REFERENTIAL"),"_")))))</f>
        <v> </v>
      </c>
      <c r="H1577" s="25" t="str">
        <f>IF(J1577&lt;&gt;1,"",IF(I1577="SBJ","CB","?"))</f>
        <v> </v>
      </c>
      <c r="I1577" s="26" t="str">
        <f>IF(OR(E1577="",E1577="!!!",F1577="NEW"),"",INDEX(B1576:B$2,-1+SUMPRODUCT(MAX(ROW(E1576:E$2)*(E1577=E1576:E$2)))))</f>
        <v> </v>
      </c>
      <c r="J1577" s="26" t="str">
        <f>IF(OR(E1577="",E1577="!!!",F1577="NEW"),"",COUNTBLANK(OFFSET(A$1,,,SUMPRODUCT(MAX(ROW(E$2:E1577)*(E1577=E$2:E1577)))))-COUNTBLANK(OFFSET(A$1,,,SUMPRODUCT(MAX(ROW(E$1:E1576)*(E2=E$1:E1576))))))</f>
        <v> </v>
      </c>
      <c r="K1577" s="26" t="str">
        <f>IF(OR(E1577="",E1577="!!!",F1577="NEW"),"",INDEX(J$1:J1576,SUMPRODUCT(MAX(ROW(E$1:E1576)*(E1577=E$1:E1576)))))</f>
        <v> </v>
      </c>
      <c r="L1577" s="27"/>
    </row>
    <row r="1578" spans="1:12">
      <c r="A1578" s="20" t="s">
        <v>466</v>
      </c>
      <c r="B1578" s="21" t="s">
        <v>360</v>
      </c>
      <c r="C1578" s="21" t="s">
        <v>385</v>
      </c>
      <c r="D1578" s="21" t="s">
        <v>358</v>
      </c>
      <c r="E1578" s="22">
        <f>IF(D1578="?OLD","!!!","")</f>
        <v/>
      </c>
      <c r="F1578" s="23" t="str">
        <f>IF(OR(E1578="",E1578="!!!"),"",IF(NOT(ISNA(VLOOKUP(E1578,E$1:E1577,1,FALSE()))),"OLD",IF(AND(E1578&lt;&gt;"",E1578&lt;&gt;"!!!"),"NEW","")))</f>
        <v> </v>
      </c>
      <c r="G1578" s="24" t="str">
        <f>IF(OR(E1578="",E1578="!!!"),"",IF(OR(J1578=0,AND(J1578=1,K1578=1),AND(J1578=1,I1578="SBJ"),AND(J1578=1,I1578=0)),"?IN_FOCUS",IF(J1578&lt;=2,"?ACTIVATED",IF(J1578&lt;&gt;"","?FAMILIAR",IF(F1578="NEW",IF(ISNA(VLOOKUP(E1578,#REF!,1,FALSE())),"?TYPE_IDENTIFIABLE","?REFERENTIAL"),"_")))))</f>
        <v> </v>
      </c>
      <c r="H1578" s="25" t="str">
        <f>IF(J1578&lt;&gt;1,"",IF(I1578="SBJ","CB","?"))</f>
        <v> </v>
      </c>
      <c r="I1578" s="26" t="str">
        <f>IF(OR(E1578="",E1578="!!!",F1578="NEW"),"",INDEX(B1577:B$2,-1+SUMPRODUCT(MAX(ROW(E1577:E$2)*(E1578=E1577:E$2)))))</f>
        <v> </v>
      </c>
      <c r="J1578" s="26" t="str">
        <f>IF(OR(E1578="",E1578="!!!",F1578="NEW"),"",COUNTBLANK(OFFSET(A$1,,,SUMPRODUCT(MAX(ROW(E$2:E1578)*(E1578=E$2:E1578)))))-COUNTBLANK(OFFSET(A$1,,,SUMPRODUCT(MAX(ROW(E$1:E1577)*(E2=E$1:E1577))))))</f>
        <v> </v>
      </c>
      <c r="K1578" s="26" t="str">
        <f>IF(OR(E1578="",E1578="!!!",F1578="NEW"),"",INDEX(J$1:J1577,SUMPRODUCT(MAX(ROW(E$1:E1577)*(E1578=E$1:E1577)))))</f>
        <v> </v>
      </c>
      <c r="L1578" s="27"/>
    </row>
    <row r="1579" spans="1:12">
      <c r="A1579" s="20" t="s">
        <v>467</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t="s">
        <v>367</v>
      </c>
      <c r="E1580" s="22">
        <f>IF(D1580="?OLD","!!!","")</f>
        <v/>
      </c>
      <c r="F1580" s="23" t="str">
        <f>IF(OR(E1580="",E1580="!!!"),"",IF(NOT(ISNA(VLOOKUP(E1580,E$1:E1579,1,FALSE()))),"OLD",IF(AND(E1580&lt;&gt;"",E1580&lt;&gt;"!!!"),"NEW","")))</f>
        <v> </v>
      </c>
      <c r="G1580" s="24" t="str">
        <f>IF(OR(E1580="",E1580="!!!"),"",IF(OR(J1580=0,AND(J1580=1,K1580=1),AND(J1580=1,I1580="SBJ"),AND(J1580=1,I1580=0)),"?IN_FOCUS",IF(J1580&lt;=2,"?ACTIVATED",IF(J1580&lt;&gt;"","?FAMILIAR",IF(F1580="NEW",IF(ISNA(VLOOKUP(E1580,#REF!,1,FALSE())),"?TYPE_IDENTIFIABLE","?REFERENTIAL"),"_")))))</f>
        <v> </v>
      </c>
      <c r="H1580" s="25" t="str">
        <f>IF(J1580&lt;&gt;1,"",IF(I1580="SBJ","CB","?"))</f>
        <v> </v>
      </c>
      <c r="I1580" s="26" t="str">
        <f>IF(OR(E1580="",E1580="!!!",F1580="NEW"),"",INDEX(B1579:B$2,-1+SUMPRODUCT(MAX(ROW(E1579:E$2)*(E1580=E1579:E$2)))))</f>
        <v> </v>
      </c>
      <c r="J1580" s="26" t="str">
        <f>IF(OR(E1580="",E1580="!!!",F1580="NEW"),"",COUNTBLANK(OFFSET(A$1,,,SUMPRODUCT(MAX(ROW(E$2:E1580)*(E1580=E$2:E1580)))))-COUNTBLANK(OFFSET(A$1,,,SUMPRODUCT(MAX(ROW(E$1:E1579)*(E2=E$1:E1579))))))</f>
        <v> </v>
      </c>
      <c r="K1580" s="26" t="str">
        <f>IF(OR(E1580="",E1580="!!!",F1580="NEW"),"",INDEX(J$1:J1579,SUMPRODUCT(MAX(ROW(E$1:E1579)*(E1580=E$1:E1579)))))</f>
        <v> </v>
      </c>
      <c r="L1580" s="27"/>
    </row>
    <row r="1581" spans="1:12">
      <c r="A1581" s="20" t="s">
        <v>380</v>
      </c>
      <c r="E1581" s="22">
        <f>IF(D1581="?OLD","!!!","")</f>
        <v/>
      </c>
      <c r="F1581" s="23" t="str">
        <f>IF(OR(E1581="",E1581="!!!"),"",IF(NOT(ISNA(VLOOKUP(E1581,E$1:E1580,1,FALSE()))),"OLD",IF(AND(E1581&lt;&gt;"",E1581&lt;&gt;"!!!"),"NEW","")))</f>
        <v> </v>
      </c>
      <c r="G1581" s="24" t="str">
        <f>IF(OR(E1581="",E1581="!!!"),"",IF(OR(J1581=0,AND(J1581=1,K1581=1),AND(J1581=1,I1581="SBJ"),AND(J1581=1,I1581=0)),"?IN_FOCUS",IF(J1581&lt;=2,"?ACTIVATED",IF(J1581&lt;&gt;"","?FAMILIAR",IF(F1581="NEW",IF(ISNA(VLOOKUP(E1581,#REF!,1,FALSE())),"?TYPE_IDENTIFIABLE","?REFERENTIAL"),"_")))))</f>
        <v> </v>
      </c>
      <c r="H1581" s="25" t="str">
        <f>IF(J1581&lt;&gt;1,"",IF(I1581="SBJ","CB","?"))</f>
        <v> </v>
      </c>
      <c r="I1581" s="26" t="str">
        <f>IF(OR(E1581="",E1581="!!!",F1581="NEW"),"",INDEX(B1580:B$2,-1+SUMPRODUCT(MAX(ROW(E1580:E$2)*(E1581=E1580:E$2)))))</f>
        <v> </v>
      </c>
      <c r="J1581" s="26" t="str">
        <f>IF(OR(E1581="",E1581="!!!",F1581="NEW"),"",COUNTBLANK(OFFSET(A$1,,,SUMPRODUCT(MAX(ROW(E$2:E1581)*(E1581=E$2:E1581)))))-COUNTBLANK(OFFSET(A$1,,,SUMPRODUCT(MAX(ROW(E$1:E1580)*(E2=E$1:E1580))))))</f>
        <v> </v>
      </c>
      <c r="K1581" s="26" t="str">
        <f>IF(OR(E1581="",E1581="!!!",F1581="NEW"),"",INDEX(J$1:J1580,SUMPRODUCT(MAX(ROW(E$1:E1580)*(E1581=E$1:E1580)))))</f>
        <v> </v>
      </c>
      <c r="L1581" s="27"/>
    </row>
    <row r="1582" spans="1:12">
      <c r="A1582" s="20" t="s">
        <v>934</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t="s">
        <v>398</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t="s">
        <v>440</v>
      </c>
      <c r="B1584" s="21" t="s">
        <v>429</v>
      </c>
      <c r="C1584" s="21" t="s">
        <v>385</v>
      </c>
      <c r="D1584" s="21" t="s">
        <v>358</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935</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211</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t="s">
        <v>936</v>
      </c>
      <c r="E1587" s="22">
        <f>IF(D1587="?OLD","!!!","")</f>
        <v/>
      </c>
      <c r="F1587" s="23" t="str">
        <f>IF(OR(E1587="",E1587="!!!"),"",IF(NOT(ISNA(VLOOKUP(E1587,E$1:E1586,1,FALSE()))),"OLD",IF(AND(E1587&lt;&gt;"",E1587&lt;&gt;"!!!"),"NEW","")))</f>
        <v> </v>
      </c>
      <c r="G1587" s="24" t="str">
        <f>IF(OR(E1587="",E1587="!!!"),"",IF(OR(J1587=0,AND(J1587=1,K1587=1),AND(J1587=1,I1587="SBJ"),AND(J1587=1,I1587=0)),"?IN_FOCUS",IF(J1587&lt;=2,"?ACTIVATED",IF(J1587&lt;&gt;"","?FAMILIAR",IF(F1587="NEW",IF(ISNA(VLOOKUP(E1587,#REF!,1,FALSE())),"?TYPE_IDENTIFIABLE","?REFERENTIAL"),"_")))))</f>
        <v> </v>
      </c>
      <c r="H1587" s="25" t="str">
        <f>IF(J1587&lt;&gt;1,"",IF(I1587="SBJ","CB","?"))</f>
        <v> </v>
      </c>
      <c r="I1587" s="26" t="str">
        <f>IF(OR(E1587="",E1587="!!!",F1587="NEW"),"",INDEX(B1586:B$2,-1+SUMPRODUCT(MAX(ROW(E1586:E$2)*(E1587=E1586:E$2)))))</f>
        <v> </v>
      </c>
      <c r="J1587" s="26" t="str">
        <f>IF(OR(E1587="",E1587="!!!",F1587="NEW"),"",COUNTBLANK(OFFSET(A$1,,,SUMPRODUCT(MAX(ROW(E$2:E1587)*(E1587=E$2:E1587)))))-COUNTBLANK(OFFSET(A$1,,,SUMPRODUCT(MAX(ROW(E$1:E1586)*(E2=E$1:E1586))))))</f>
        <v> </v>
      </c>
      <c r="K1587" s="26" t="str">
        <f>IF(OR(E1587="",E1587="!!!",F1587="NEW"),"",INDEX(J$1:J1586,SUMPRODUCT(MAX(ROW(E$1:E1586)*(E1587=E$1:E1586)))))</f>
        <v> </v>
      </c>
      <c r="L1587" s="27"/>
    </row>
    <row r="1588" spans="1:12">
      <c r="A1588" s="20" t="s">
        <v>386</v>
      </c>
      <c r="E1588" s="22">
        <f>IF(D1588="?OLD","!!!","")</f>
        <v/>
      </c>
      <c r="F1588" s="23" t="str">
        <f>IF(OR(E1588="",E1588="!!!"),"",IF(NOT(ISNA(VLOOKUP(E1588,E$1:E1587,1,FALSE()))),"OLD",IF(AND(E1588&lt;&gt;"",E1588&lt;&gt;"!!!"),"NEW","")))</f>
        <v> </v>
      </c>
      <c r="G1588" s="24" t="str">
        <f>IF(OR(E1588="",E1588="!!!"),"",IF(OR(J1588=0,AND(J1588=1,K1588=1),AND(J1588=1,I1588="SBJ"),AND(J1588=1,I1588=0)),"?IN_FOCUS",IF(J1588&lt;=2,"?ACTIVATED",IF(J1588&lt;&gt;"","?FAMILIAR",IF(F1588="NEW",IF(ISNA(VLOOKUP(E1588,#REF!,1,FALSE())),"?TYPE_IDENTIFIABLE","?REFERENTIAL"),"_")))))</f>
        <v> </v>
      </c>
      <c r="H1588" s="25" t="str">
        <f>IF(J1588&lt;&gt;1,"",IF(I1588="SBJ","CB","?"))</f>
        <v> </v>
      </c>
      <c r="I1588" s="26" t="str">
        <f>IF(OR(E1588="",E1588="!!!",F1588="NEW"),"",INDEX(B1587:B$2,-1+SUMPRODUCT(MAX(ROW(E1587:E$2)*(E1588=E1587:E$2)))))</f>
        <v> </v>
      </c>
      <c r="J1588" s="26" t="str">
        <f>IF(OR(E1588="",E1588="!!!",F1588="NEW"),"",COUNTBLANK(OFFSET(A$1,,,SUMPRODUCT(MAX(ROW(E$2:E1588)*(E1588=E$2:E1588)))))-COUNTBLANK(OFFSET(A$1,,,SUMPRODUCT(MAX(ROW(E$1:E1587)*(E2=E$1:E1587))))))</f>
        <v> </v>
      </c>
      <c r="K1588" s="26" t="str">
        <f>IF(OR(E1588="",E1588="!!!",F1588="NEW"),"",INDEX(J$1:J1587,SUMPRODUCT(MAX(ROW(E$1:E1587)*(E1588=E$1:E1587)))))</f>
        <v> </v>
      </c>
      <c r="L1588" s="27"/>
    </row>
    <row r="1589" spans="1:12">
      <c r="A1589" s="20" t="s">
        <v>937</v>
      </c>
      <c r="B1589" s="21" t="s">
        <v>409</v>
      </c>
      <c r="C1589" s="21" t="s">
        <v>385</v>
      </c>
      <c r="D1589" s="21" t="s">
        <v>358</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t="s">
        <v>389</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row>
    <row r="1592" spans="1:12">
      <c r="A1592" s="20" t="s">
        <v>938</v>
      </c>
    </row>
    <row r="1593" spans="1:12">
      <c r="A1593" s="20" t="s">
        <v>355</v>
      </c>
      <c r="E1593" s="22">
        <f>IF(D1593="?OLD","!!!","")</f>
        <v/>
      </c>
      <c r="F1593" s="23" t="str">
        <f>IF(OR(E1593="",E1593="!!!"),"",IF(NOT(ISNA(VLOOKUP(E1593,E$1:E1592,1,FALSE()))),"OLD",IF(AND(E1593&lt;&gt;"",E1593&lt;&gt;"!!!"),"NEW","")))</f>
        <v> </v>
      </c>
      <c r="G1593" s="24" t="str">
        <f>IF(OR(E1593="",E1593="!!!"),"",IF(OR(J1593=0,AND(J1593=1,K1593=1),AND(J1593=1,I1593="SBJ"),AND(J1593=1,I1593=0)),"?IN_FOCUS",IF(J1593&lt;=2,"?ACTIVATED",IF(J1593&lt;&gt;"","?FAMILIAR",IF(F1593="NEW",IF(ISNA(VLOOKUP(E1593,#REF!,1,FALSE())),"?TYPE_IDENTIFIABLE","?REFERENTIAL"),"_")))))</f>
        <v> </v>
      </c>
      <c r="H1593" s="25" t="str">
        <f>IF(J1593&lt;&gt;1,"",IF(I1593="SBJ","CB","?"))</f>
        <v> </v>
      </c>
      <c r="I1593" s="26" t="str">
        <f>IF(OR(E1593="",E1593="!!!",F1593="NEW"),"",INDEX(B1592:B$2,-1+SUMPRODUCT(MAX(ROW(E1592:E$2)*(E1593=E1592:E$2)))))</f>
        <v> </v>
      </c>
      <c r="J1593" s="26" t="str">
        <f>IF(OR(E1593="",E1593="!!!",F1593="NEW"),"",COUNTBLANK(OFFSET(A$1,,,SUMPRODUCT(MAX(ROW(E$2:E1593)*(E1593=E$2:E1593)))))-COUNTBLANK(OFFSET(A$1,,,SUMPRODUCT(MAX(ROW(E$1:E1592)*(E2=E$1:E1592))))))</f>
        <v> </v>
      </c>
      <c r="K1593" s="26" t="str">
        <f>IF(OR(E1593="",E1593="!!!",F1593="NEW"),"",INDEX(J$1:J1592,SUMPRODUCT(MAX(ROW(E$1:E1592)*(E1593=E$1:E1592)))))</f>
        <v> </v>
      </c>
      <c r="L1593" s="27"/>
    </row>
    <row r="1594" spans="1:12">
      <c r="A1594" s="20" t="s">
        <v>359</v>
      </c>
      <c r="E1594" s="22">
        <f>IF(D1594="?OLD","!!!","")</f>
        <v/>
      </c>
      <c r="F1594" s="23" t="str">
        <f>IF(OR(E1594="",E1594="!!!"),"",IF(NOT(ISNA(VLOOKUP(E1594,E$1:E1593,1,FALSE()))),"OLD",IF(AND(E1594&lt;&gt;"",E1594&lt;&gt;"!!!"),"NEW","")))</f>
        <v> </v>
      </c>
      <c r="G1594" s="24" t="str">
        <f>IF(OR(E1594="",E1594="!!!"),"",IF(OR(J1594=0,AND(J1594=1,K1594=1),AND(J1594=1,I1594="SBJ"),AND(J1594=1,I1594=0)),"?IN_FOCUS",IF(J1594&lt;=2,"?ACTIVATED",IF(J1594&lt;&gt;"","?FAMILIAR",IF(F1594="NEW",IF(ISNA(VLOOKUP(E1594,#REF!,1,FALSE())),"?TYPE_IDENTIFIABLE","?REFERENTIAL"),"_")))))</f>
        <v> </v>
      </c>
      <c r="H1594" s="25" t="str">
        <f>IF(J1594&lt;&gt;1,"",IF(I1594="SBJ","CB","?"))</f>
        <v> </v>
      </c>
      <c r="I1594" s="26" t="str">
        <f>IF(OR(E1594="",E1594="!!!",F1594="NEW"),"",INDEX(B1593:B$2,-1+SUMPRODUCT(MAX(ROW(E1593:E$2)*(E1594=E1593:E$2)))))</f>
        <v> </v>
      </c>
      <c r="J1594" s="26" t="str">
        <f>IF(OR(E1594="",E1594="!!!",F1594="NEW"),"",COUNTBLANK(OFFSET(A$1,,,SUMPRODUCT(MAX(ROW(E$2:E1594)*(E1594=E$2:E1594)))))-COUNTBLANK(OFFSET(A$1,,,SUMPRODUCT(MAX(ROW(E$1:E1593)*(E2=E$1:E1593))))))</f>
        <v> </v>
      </c>
      <c r="K1594" s="26" t="str">
        <f>IF(OR(E1594="",E1594="!!!",F1594="NEW"),"",INDEX(J$1:J1593,SUMPRODUCT(MAX(ROW(E$1:E1593)*(E1594=E$1:E1593)))))</f>
        <v> </v>
      </c>
      <c r="L1594" s="27"/>
    </row>
    <row r="1595" spans="1:12">
      <c r="A1595" s="20" t="s">
        <v>362</v>
      </c>
      <c r="E1595" s="22">
        <f>IF(D1595="?OLD","!!!","")</f>
        <v/>
      </c>
      <c r="F1595" s="23" t="str">
        <f>IF(OR(E1595="",E1595="!!!"),"",IF(NOT(ISNA(VLOOKUP(E1595,E$1:E1594,1,FALSE()))),"OLD",IF(AND(E1595&lt;&gt;"",E1595&lt;&gt;"!!!"),"NEW","")))</f>
        <v> </v>
      </c>
      <c r="G1595" s="24" t="str">
        <f>IF(OR(E1595="",E1595="!!!"),"",IF(OR(J1595=0,AND(J1595=1,K1595=1),AND(J1595=1,I1595="SBJ"),AND(J1595=1,I1595=0)),"?IN_FOCUS",IF(J1595&lt;=2,"?ACTIVATED",IF(J1595&lt;&gt;"","?FAMILIAR",IF(F1595="NEW",IF(ISNA(VLOOKUP(E1595,#REF!,1,FALSE())),"?TYPE_IDENTIFIABLE","?REFERENTIAL"),"_")))))</f>
        <v> </v>
      </c>
      <c r="H1595" s="25" t="str">
        <f>IF(J1595&lt;&gt;1,"",IF(I1595="SBJ","CB","?"))</f>
        <v> </v>
      </c>
      <c r="I1595" s="26" t="str">
        <f>IF(OR(E1595="",E1595="!!!",F1595="NEW"),"",INDEX(B1594:B$2,-1+SUMPRODUCT(MAX(ROW(E1594:E$2)*(E1595=E1594:E$2)))))</f>
        <v> </v>
      </c>
      <c r="J1595" s="26" t="str">
        <f>IF(OR(E1595="",E1595="!!!",F1595="NEW"),"",COUNTBLANK(OFFSET(A$1,,,SUMPRODUCT(MAX(ROW(E$2:E1595)*(E1595=E$2:E1595)))))-COUNTBLANK(OFFSET(A$1,,,SUMPRODUCT(MAX(ROW(E$1:E1594)*(E2=E$1:E1594))))))</f>
        <v> </v>
      </c>
      <c r="K1595" s="26" t="str">
        <f>IF(OR(E1595="",E1595="!!!",F1595="NEW"),"",INDEX(J$1:J1594,SUMPRODUCT(MAX(ROW(E$1:E1594)*(E1595=E$1:E1594)))))</f>
        <v> </v>
      </c>
      <c r="L1595" s="27"/>
    </row>
    <row r="1596" spans="1:12">
      <c r="A1596" s="20" t="s">
        <v>610</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t="s">
        <v>398</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t="s">
        <v>939</v>
      </c>
      <c r="B1598" s="21" t="s">
        <v>378</v>
      </c>
      <c r="C1598" s="21" t="s">
        <v>385</v>
      </c>
      <c r="D1598" s="21" t="s">
        <v>358</v>
      </c>
      <c r="E1598" s="22">
        <f>IF(D1598="?OLD","!!!","")</f>
        <v/>
      </c>
      <c r="F1598" s="23" t="str">
        <f>IF(OR(E1598="",E1598="!!!"),"",IF(NOT(ISNA(VLOOKUP(E1598,E$1:E1597,1,FALSE()))),"OLD",IF(AND(E1598&lt;&gt;"",E1598&lt;&gt;"!!!"),"NEW","")))</f>
        <v> </v>
      </c>
      <c r="G1598" s="24" t="str">
        <f>IF(OR(E1598="",E1598="!!!"),"",IF(OR(J1598=0,AND(J1598=1,K1598=1),AND(J1598=1,I1598="SBJ"),AND(J1598=1,I1598=0)),"?IN_FOCUS",IF(J1598&lt;=2,"?ACTIVATED",IF(J1598&lt;&gt;"","?FAMILIAR",IF(F1598="NEW",IF(ISNA(VLOOKUP(E1598,#REF!,1,FALSE())),"?TYPE_IDENTIFIABLE","?REFERENTIAL"),"_")))))</f>
        <v> </v>
      </c>
      <c r="H1598" s="25" t="str">
        <f>IF(J1598&lt;&gt;1,"",IF(I1598="SBJ","CB","?"))</f>
        <v> </v>
      </c>
      <c r="I1598" s="26" t="str">
        <f>IF(OR(E1598="",E1598="!!!",F1598="NEW"),"",INDEX(B1597:B$2,-1+SUMPRODUCT(MAX(ROW(E1597:E$2)*(E1598=E1597:E$2)))))</f>
        <v> </v>
      </c>
      <c r="J1598" s="26" t="str">
        <f>IF(OR(E1598="",E1598="!!!",F1598="NEW"),"",COUNTBLANK(OFFSET(A$1,,,SUMPRODUCT(MAX(ROW(E$2:E1598)*(E1598=E$2:E1598)))))-COUNTBLANK(OFFSET(A$1,,,SUMPRODUCT(MAX(ROW(E$1:E1597)*(E2=E$1:E1597))))))</f>
        <v> </v>
      </c>
      <c r="K1598" s="26" t="str">
        <f>IF(OR(E1598="",E1598="!!!",F1598="NEW"),"",INDEX(J$1:J1597,SUMPRODUCT(MAX(ROW(E$1:E1597)*(E1598=E$1:E1597)))))</f>
        <v> </v>
      </c>
      <c r="L1598" s="27"/>
    </row>
    <row r="1599" spans="1:12">
      <c r="A1599" s="20" t="s">
        <v>380</v>
      </c>
      <c r="E1599" s="22">
        <f>IF(D1599="?OLD","!!!","")</f>
        <v/>
      </c>
      <c r="F1599" s="23" t="str">
        <f>IF(OR(E1599="",E1599="!!!"),"",IF(NOT(ISNA(VLOOKUP(E1599,E$1:E1598,1,FALSE()))),"OLD",IF(AND(E1599&lt;&gt;"",E1599&lt;&gt;"!!!"),"NEW","")))</f>
        <v> </v>
      </c>
      <c r="G1599" s="24" t="str">
        <f>IF(OR(E1599="",E1599="!!!"),"",IF(OR(J1599=0,AND(J1599=1,K1599=1),AND(J1599=1,I1599="SBJ"),AND(J1599=1,I1599=0)),"?IN_FOCUS",IF(J1599&lt;=2,"?ACTIVATED",IF(J1599&lt;&gt;"","?FAMILIAR",IF(F1599="NEW",IF(ISNA(VLOOKUP(E1599,#REF!,1,FALSE())),"?TYPE_IDENTIFIABLE","?REFERENTIAL"),"_")))))</f>
        <v> </v>
      </c>
      <c r="H1599" s="25" t="str">
        <f>IF(J1599&lt;&gt;1,"",IF(I1599="SBJ","CB","?"))</f>
        <v> </v>
      </c>
      <c r="I1599" s="26" t="str">
        <f>IF(OR(E1599="",E1599="!!!",F1599="NEW"),"",INDEX(B1598:B$2,-1+SUMPRODUCT(MAX(ROW(E1598:E$2)*(E1599=E1598:E$2)))))</f>
        <v> </v>
      </c>
      <c r="J1599" s="26" t="str">
        <f>IF(OR(E1599="",E1599="!!!",F1599="NEW"),"",COUNTBLANK(OFFSET(A$1,,,SUMPRODUCT(MAX(ROW(E$2:E1599)*(E1599=E$2:E1599)))))-COUNTBLANK(OFFSET(A$1,,,SUMPRODUCT(MAX(ROW(E$1:E1598)*(E2=E$1:E1598))))))</f>
        <v> </v>
      </c>
      <c r="K1599" s="26" t="str">
        <f>IF(OR(E1599="",E1599="!!!",F1599="NEW"),"",INDEX(J$1:J1598,SUMPRODUCT(MAX(ROW(E$1:E1598)*(E1599=E$1:E1598)))))</f>
        <v> </v>
      </c>
      <c r="L1599" s="27"/>
    </row>
    <row r="1600" spans="1:12">
      <c r="A1600" s="20" t="s">
        <v>386</v>
      </c>
      <c r="E1600" s="22">
        <f>IF(D1600="?OLD","!!!","")</f>
        <v/>
      </c>
      <c r="F1600" s="23" t="str">
        <f>IF(OR(E1600="",E1600="!!!"),"",IF(NOT(ISNA(VLOOKUP(E1600,E$1:E1599,1,FALSE()))),"OLD",IF(AND(E1600&lt;&gt;"",E1600&lt;&gt;"!!!"),"NEW","")))</f>
        <v> </v>
      </c>
      <c r="G1600" s="24" t="str">
        <f>IF(OR(E1600="",E1600="!!!"),"",IF(OR(J1600=0,AND(J1600=1,K1600=1),AND(J1600=1,I1600="SBJ"),AND(J1600=1,I1600=0)),"?IN_FOCUS",IF(J1600&lt;=2,"?ACTIVATED",IF(J1600&lt;&gt;"","?FAMILIAR",IF(F1600="NEW",IF(ISNA(VLOOKUP(E1600,#REF!,1,FALSE())),"?TYPE_IDENTIFIABLE","?REFERENTIAL"),"_")))))</f>
        <v> </v>
      </c>
      <c r="H1600" s="25" t="str">
        <f>IF(J1600&lt;&gt;1,"",IF(I1600="SBJ","CB","?"))</f>
        <v> </v>
      </c>
      <c r="I1600" s="26" t="str">
        <f>IF(OR(E1600="",E1600="!!!",F1600="NEW"),"",INDEX(B1599:B$2,-1+SUMPRODUCT(MAX(ROW(E1599:E$2)*(E1600=E1599:E$2)))))</f>
        <v> </v>
      </c>
      <c r="J1600" s="26" t="str">
        <f>IF(OR(E1600="",E1600="!!!",F1600="NEW"),"",COUNTBLANK(OFFSET(A$1,,,SUMPRODUCT(MAX(ROW(E$2:E1600)*(E1600=E$2:E1600)))))-COUNTBLANK(OFFSET(A$1,,,SUMPRODUCT(MAX(ROW(E$1:E1599)*(E2=E$1:E1599))))))</f>
        <v> </v>
      </c>
      <c r="K1600" s="26" t="str">
        <f>IF(OR(E1600="",E1600="!!!",F1600="NEW"),"",INDEX(J$1:J1599,SUMPRODUCT(MAX(ROW(E$1:E1599)*(E1600=E$1:E1599)))))</f>
        <v> </v>
      </c>
      <c r="L1600" s="27"/>
    </row>
    <row r="1601" spans="1:12">
      <c r="A1601" s="20" t="s">
        <v>466</v>
      </c>
      <c r="B1601" s="21" t="s">
        <v>356</v>
      </c>
      <c r="C1601" s="21" t="s">
        <v>385</v>
      </c>
      <c r="D1601" s="21" t="s">
        <v>358</v>
      </c>
      <c r="E1601" s="22">
        <f>IF(D1601="?OLD","!!!","")</f>
        <v/>
      </c>
      <c r="F1601" s="23" t="str">
        <f>IF(OR(E1601="",E1601="!!!"),"",IF(NOT(ISNA(VLOOKUP(E1601,E$1:E1600,1,FALSE()))),"OLD",IF(AND(E1601&lt;&gt;"",E1601&lt;&gt;"!!!"),"NEW","")))</f>
        <v> </v>
      </c>
      <c r="G1601" s="24" t="str">
        <f>IF(OR(E1601="",E1601="!!!"),"",IF(OR(J1601=0,AND(J1601=1,K1601=1),AND(J1601=1,I1601="SBJ"),AND(J1601=1,I1601=0)),"?IN_FOCUS",IF(J1601&lt;=2,"?ACTIVATED",IF(J1601&lt;&gt;"","?FAMILIAR",IF(F1601="NEW",IF(ISNA(VLOOKUP(E1601,#REF!,1,FALSE())),"?TYPE_IDENTIFIABLE","?REFERENTIAL"),"_")))))</f>
        <v> </v>
      </c>
      <c r="H1601" s="25" t="str">
        <f>IF(J1601&lt;&gt;1,"",IF(I1601="SBJ","CB","?"))</f>
        <v> </v>
      </c>
      <c r="I1601" s="26" t="str">
        <f>IF(OR(E1601="",E1601="!!!",F1601="NEW"),"",INDEX(B1600:B$2,-1+SUMPRODUCT(MAX(ROW(E1600:E$2)*(E1601=E1600:E$2)))))</f>
        <v> </v>
      </c>
      <c r="J1601" s="26" t="str">
        <f>IF(OR(E1601="",E1601="!!!",F1601="NEW"),"",COUNTBLANK(OFFSET(A$1,,,SUMPRODUCT(MAX(ROW(E$2:E1601)*(E1601=E$2:E1601)))))-COUNTBLANK(OFFSET(A$1,,,SUMPRODUCT(MAX(ROW(E$1:E1600)*(E2=E$1:E1600))))))</f>
        <v> </v>
      </c>
      <c r="K1601" s="26" t="str">
        <f>IF(OR(E1601="",E1601="!!!",F1601="NEW"),"",INDEX(J$1:J1600,SUMPRODUCT(MAX(ROW(E$1:E1600)*(E1601=E$1:E1600)))))</f>
        <v> </v>
      </c>
      <c r="L1601" s="27"/>
    </row>
    <row r="1602" spans="1:12">
      <c r="A1602" s="20" t="s">
        <v>389</v>
      </c>
      <c r="E1602" s="22">
        <f>IF(D1602="?OLD","!!!","")</f>
        <v/>
      </c>
      <c r="F1602" s="23" t="str">
        <f>IF(OR(E1602="",E1602="!!!"),"",IF(NOT(ISNA(VLOOKUP(E1602,E$1:E1601,1,FALSE()))),"OLD",IF(AND(E1602&lt;&gt;"",E1602&lt;&gt;"!!!"),"NEW","")))</f>
        <v> </v>
      </c>
      <c r="G1602" s="24" t="str">
        <f>IF(OR(E1602="",E1602="!!!"),"",IF(OR(J1602=0,AND(J1602=1,K1602=1),AND(J1602=1,I1602="SBJ"),AND(J1602=1,I1602=0)),"?IN_FOCUS",IF(J1602&lt;=2,"?ACTIVATED",IF(J1602&lt;&gt;"","?FAMILIAR",IF(F1602="NEW",IF(ISNA(VLOOKUP(E1602,#REF!,1,FALSE())),"?TYPE_IDENTIFIABLE","?REFERENTIAL"),"_")))))</f>
        <v> </v>
      </c>
      <c r="H1602" s="25" t="str">
        <f>IF(J1602&lt;&gt;1,"",IF(I1602="SBJ","CB","?"))</f>
        <v> </v>
      </c>
      <c r="I1602" s="26" t="str">
        <f>IF(OR(E1602="",E1602="!!!",F1602="NEW"),"",INDEX(B1601:B$2,-1+SUMPRODUCT(MAX(ROW(E1601:E$2)*(E1602=E1601:E$2)))))</f>
        <v> </v>
      </c>
      <c r="J1602" s="26" t="str">
        <f>IF(OR(E1602="",E1602="!!!",F1602="NEW"),"",COUNTBLANK(OFFSET(A$1,,,SUMPRODUCT(MAX(ROW(E$2:E1602)*(E1602=E$2:E1602)))))-COUNTBLANK(OFFSET(A$1,,,SUMPRODUCT(MAX(ROW(E$1:E1601)*(E2=E$1:E1601))))))</f>
        <v> </v>
      </c>
      <c r="K1602" s="26" t="str">
        <f>IF(OR(E1602="",E1602="!!!",F1602="NEW"),"",INDEX(J$1:J1601,SUMPRODUCT(MAX(ROW(E$1:E1601)*(E1602=E$1:E1601)))))</f>
        <v> </v>
      </c>
      <c r="L1602" s="27"/>
    </row>
    <row r="1603" spans="1:12">
      <c r="A1603" s="20"/>
    </row>
    <row r="1604" spans="1:12">
      <c r="A1604" s="20" t="s">
        <v>940</v>
      </c>
    </row>
    <row r="1605" spans="1:12">
      <c r="A1605" s="20" t="s">
        <v>391</v>
      </c>
      <c r="E1605" s="22">
        <f>IF(D1605="?OLD","!!!","")</f>
        <v/>
      </c>
      <c r="F1605" s="23" t="str">
        <f>IF(OR(E1605="",E1605="!!!"),"",IF(NOT(ISNA(VLOOKUP(E1605,E$1:E1604,1,FALSE()))),"OLD",IF(AND(E1605&lt;&gt;"",E1605&lt;&gt;"!!!"),"NEW","")))</f>
        <v> </v>
      </c>
      <c r="G1605" s="24" t="str">
        <f>IF(OR(E1605="",E1605="!!!"),"",IF(OR(J1605=0,AND(J1605=1,K1605=1),AND(J1605=1,I1605="SBJ"),AND(J1605=1,I1605=0)),"?IN_FOCUS",IF(J1605&lt;=2,"?ACTIVATED",IF(J1605&lt;&gt;"","?FAMILIAR",IF(F1605="NEW",IF(ISNA(VLOOKUP(E1605,#REF!,1,FALSE())),"?TYPE_IDENTIFIABLE","?REFERENTIAL"),"_")))))</f>
        <v> </v>
      </c>
      <c r="H1605" s="25" t="str">
        <f>IF(J1605&lt;&gt;1,"",IF(I1605="SBJ","CB","?"))</f>
        <v> </v>
      </c>
      <c r="I1605" s="26" t="str">
        <f>IF(OR(E1605="",E1605="!!!",F1605="NEW"),"",INDEX(B1604:B$2,-1+SUMPRODUCT(MAX(ROW(E1604:E$2)*(E1605=E1604:E$2)))))</f>
        <v> </v>
      </c>
      <c r="J1605" s="26" t="str">
        <f>IF(OR(E1605="",E1605="!!!",F1605="NEW"),"",COUNTBLANK(OFFSET(A$1,,,SUMPRODUCT(MAX(ROW(E$2:E1605)*(E1605=E$2:E1605)))))-COUNTBLANK(OFFSET(A$1,,,SUMPRODUCT(MAX(ROW(E$1:E1604)*(E2=E$1:E1604))))))</f>
        <v> </v>
      </c>
      <c r="K1605" s="26" t="str">
        <f>IF(OR(E1605="",E1605="!!!",F1605="NEW"),"",INDEX(J$1:J1604,SUMPRODUCT(MAX(ROW(E$1:E1604)*(E1605=E$1:E1604)))))</f>
        <v> </v>
      </c>
      <c r="L1605" s="27"/>
    </row>
    <row r="1606" spans="1:12">
      <c r="A1606" s="20" t="s">
        <v>405</v>
      </c>
      <c r="E1606" s="22">
        <f>IF(D1606="?OLD","!!!","")</f>
        <v/>
      </c>
      <c r="F1606" s="23" t="str">
        <f>IF(OR(E1606="",E1606="!!!"),"",IF(NOT(ISNA(VLOOKUP(E1606,E$1:E1605,1,FALSE()))),"OLD",IF(AND(E1606&lt;&gt;"",E1606&lt;&gt;"!!!"),"NEW","")))</f>
        <v> </v>
      </c>
      <c r="G1606" s="24" t="str">
        <f>IF(OR(E1606="",E1606="!!!"),"",IF(OR(J1606=0,AND(J1606=1,K1606=1),AND(J1606=1,I1606="SBJ"),AND(J1606=1,I1606=0)),"?IN_FOCUS",IF(J1606&lt;=2,"?ACTIVATED",IF(J1606&lt;&gt;"","?FAMILIAR",IF(F1606="NEW",IF(ISNA(VLOOKUP(E1606,#REF!,1,FALSE())),"?TYPE_IDENTIFIABLE","?REFERENTIAL"),"_")))))</f>
        <v> </v>
      </c>
      <c r="H1606" s="25" t="str">
        <f>IF(J1606&lt;&gt;1,"",IF(I1606="SBJ","CB","?"))</f>
        <v> </v>
      </c>
      <c r="I1606" s="26" t="str">
        <f>IF(OR(E1606="",E1606="!!!",F1606="NEW"),"",INDEX(B1605:B$2,-1+SUMPRODUCT(MAX(ROW(E1605:E$2)*(E1606=E1605:E$2)))))</f>
        <v> </v>
      </c>
      <c r="J1606" s="26" t="str">
        <f>IF(OR(E1606="",E1606="!!!",F1606="NEW"),"",COUNTBLANK(OFFSET(A$1,,,SUMPRODUCT(MAX(ROW(E$2:E1606)*(E1606=E$2:E1606)))))-COUNTBLANK(OFFSET(A$1,,,SUMPRODUCT(MAX(ROW(E$1:E1605)*(E2=E$1:E1605))))))</f>
        <v> </v>
      </c>
      <c r="K1606" s="26" t="str">
        <f>IF(OR(E1606="",E1606="!!!",F1606="NEW"),"",INDEX(J$1:J1605,SUMPRODUCT(MAX(ROW(E$1:E1605)*(E1606=E$1:E1605)))))</f>
        <v> </v>
      </c>
      <c r="L1606" s="27"/>
    </row>
    <row r="1607" spans="1:12">
      <c r="A1607" s="20" t="s">
        <v>941</v>
      </c>
      <c r="B1607" s="21" t="s">
        <v>373</v>
      </c>
      <c r="C1607" s="21" t="s">
        <v>385</v>
      </c>
      <c r="D1607" s="21" t="s">
        <v>358</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t="s">
        <v>942</v>
      </c>
      <c r="E1608" s="22">
        <f>IF(D1608="?OLD","!!!","")</f>
        <v/>
      </c>
      <c r="F1608" s="23" t="str">
        <f>IF(OR(E1608="",E1608="!!!"),"",IF(NOT(ISNA(VLOOKUP(E1608,E$1:E1607,1,FALSE()))),"OLD",IF(AND(E1608&lt;&gt;"",E1608&lt;&gt;"!!!"),"NEW","")))</f>
        <v> </v>
      </c>
      <c r="G1608" s="24" t="str">
        <f>IF(OR(E1608="",E1608="!!!"),"",IF(OR(J1608=0,AND(J1608=1,K1608=1),AND(J1608=1,I1608="SBJ"),AND(J1608=1,I1608=0)),"?IN_FOCUS",IF(J1608&lt;=2,"?ACTIVATED",IF(J1608&lt;&gt;"","?FAMILIAR",IF(F1608="NEW",IF(ISNA(VLOOKUP(E1608,#REF!,1,FALSE())),"?TYPE_IDENTIFIABLE","?REFERENTIAL"),"_")))))</f>
        <v> </v>
      </c>
      <c r="H1608" s="25" t="str">
        <f>IF(J1608&lt;&gt;1,"",IF(I1608="SBJ","CB","?"))</f>
        <v> </v>
      </c>
      <c r="I1608" s="26" t="str">
        <f>IF(OR(E1608="",E1608="!!!",F1608="NEW"),"",INDEX(B1607:B$2,-1+SUMPRODUCT(MAX(ROW(E1607:E$2)*(E1608=E1607:E$2)))))</f>
        <v> </v>
      </c>
      <c r="J1608" s="26" t="str">
        <f>IF(OR(E1608="",E1608="!!!",F1608="NEW"),"",COUNTBLANK(OFFSET(A$1,,,SUMPRODUCT(MAX(ROW(E$2:E1608)*(E1608=E$2:E1608)))))-COUNTBLANK(OFFSET(A$1,,,SUMPRODUCT(MAX(ROW(E$1:E1607)*(E2=E$1:E1607))))))</f>
        <v> </v>
      </c>
      <c r="K1608" s="26" t="str">
        <f>IF(OR(E1608="",E1608="!!!",F1608="NEW"),"",INDEX(J$1:J1607,SUMPRODUCT(MAX(ROW(E$1:E1607)*(E1608=E$1:E1607)))))</f>
        <v> </v>
      </c>
      <c r="L1608" s="27"/>
    </row>
    <row r="1609" spans="1:12">
      <c r="A1609" s="20" t="s">
        <v>367</v>
      </c>
      <c r="E1609" s="22">
        <f>IF(D1609="?OLD","!!!","")</f>
        <v/>
      </c>
      <c r="F1609" s="23" t="str">
        <f>IF(OR(E1609="",E1609="!!!"),"",IF(NOT(ISNA(VLOOKUP(E1609,E$1:E1608,1,FALSE()))),"OLD",IF(AND(E1609&lt;&gt;"",E1609&lt;&gt;"!!!"),"NEW","")))</f>
        <v> </v>
      </c>
      <c r="G1609" s="24" t="str">
        <f>IF(OR(E1609="",E1609="!!!"),"",IF(OR(J1609=0,AND(J1609=1,K1609=1),AND(J1609=1,I1609="SBJ"),AND(J1609=1,I1609=0)),"?IN_FOCUS",IF(J1609&lt;=2,"?ACTIVATED",IF(J1609&lt;&gt;"","?FAMILIAR",IF(F1609="NEW",IF(ISNA(VLOOKUP(E1609,#REF!,1,FALSE())),"?TYPE_IDENTIFIABLE","?REFERENTIAL"),"_")))))</f>
        <v> </v>
      </c>
      <c r="H1609" s="25" t="str">
        <f>IF(J1609&lt;&gt;1,"",IF(I1609="SBJ","CB","?"))</f>
        <v> </v>
      </c>
      <c r="I1609" s="26" t="str">
        <f>IF(OR(E1609="",E1609="!!!",F1609="NEW"),"",INDEX(B1608:B$2,-1+SUMPRODUCT(MAX(ROW(E1608:E$2)*(E1609=E1608:E$2)))))</f>
        <v> </v>
      </c>
      <c r="J1609" s="26" t="str">
        <f>IF(OR(E1609="",E1609="!!!",F1609="NEW"),"",COUNTBLANK(OFFSET(A$1,,,SUMPRODUCT(MAX(ROW(E$2:E1609)*(E1609=E$2:E1609)))))-COUNTBLANK(OFFSET(A$1,,,SUMPRODUCT(MAX(ROW(E$1:E1608)*(E2=E$1:E1608))))))</f>
        <v> </v>
      </c>
      <c r="K1609" s="26" t="str">
        <f>IF(OR(E1609="",E1609="!!!",F1609="NEW"),"",INDEX(J$1:J1608,SUMPRODUCT(MAX(ROW(E$1:E1608)*(E1609=E$1:E1608)))))</f>
        <v> </v>
      </c>
      <c r="L1609" s="27"/>
    </row>
    <row r="1610" spans="1:12">
      <c r="A1610" s="20" t="s">
        <v>450</v>
      </c>
      <c r="B1610" s="21" t="s">
        <v>373</v>
      </c>
      <c r="C1610" s="21" t="s">
        <v>357</v>
      </c>
      <c r="D1610" s="21" t="s">
        <v>358</v>
      </c>
      <c r="E1610" s="22">
        <f>IF(D1610="?OLD","!!!","")</f>
        <v/>
      </c>
      <c r="F1610" s="23" t="str">
        <f>IF(OR(E1610="",E1610="!!!"),"",IF(NOT(ISNA(VLOOKUP(E1610,E$1:E1609,1,FALSE()))),"OLD",IF(AND(E1610&lt;&gt;"",E1610&lt;&gt;"!!!"),"NEW","")))</f>
        <v> </v>
      </c>
      <c r="G1610" s="24" t="str">
        <f>IF(OR(E1610="",E1610="!!!"),"",IF(OR(J1610=0,AND(J1610=1,K1610=1),AND(J1610=1,I1610="SBJ"),AND(J1610=1,I1610=0)),"?IN_FOCUS",IF(J1610&lt;=2,"?ACTIVATED",IF(J1610&lt;&gt;"","?FAMILIAR",IF(F1610="NEW",IF(ISNA(VLOOKUP(E1610,#REF!,1,FALSE())),"?TYPE_IDENTIFIABLE","?REFERENTIAL"),"_")))))</f>
        <v> </v>
      </c>
      <c r="H1610" s="25" t="str">
        <f>IF(J1610&lt;&gt;1,"",IF(I1610="SBJ","CB","?"))</f>
        <v> </v>
      </c>
      <c r="I1610" s="26" t="str">
        <f>IF(OR(E1610="",E1610="!!!",F1610="NEW"),"",INDEX(B1609:B$2,-1+SUMPRODUCT(MAX(ROW(E1609:E$2)*(E1610=E1609:E$2)))))</f>
        <v> </v>
      </c>
      <c r="J1610" s="26" t="str">
        <f>IF(OR(E1610="",E1610="!!!",F1610="NEW"),"",COUNTBLANK(OFFSET(A$1,,,SUMPRODUCT(MAX(ROW(E$2:E1610)*(E1610=E$2:E1610)))))-COUNTBLANK(OFFSET(A$1,,,SUMPRODUCT(MAX(ROW(E$1:E1609)*(E2=E$1:E1609))))))</f>
        <v> </v>
      </c>
      <c r="K1610" s="26" t="str">
        <f>IF(OR(E1610="",E1610="!!!",F1610="NEW"),"",INDEX(J$1:J1609,SUMPRODUCT(MAX(ROW(E$1:E1609)*(E1610=E$1:E1609)))))</f>
        <v> </v>
      </c>
      <c r="L1610" s="27"/>
    </row>
    <row r="1611" spans="1:12">
      <c r="A1611" s="20" t="s">
        <v>943</v>
      </c>
      <c r="E1611" s="22">
        <f>IF(D1611="?OLD","!!!","")</f>
        <v/>
      </c>
      <c r="F1611" s="23" t="str">
        <f>IF(OR(E1611="",E1611="!!!"),"",IF(NOT(ISNA(VLOOKUP(E1611,E$1:E1610,1,FALSE()))),"OLD",IF(AND(E1611&lt;&gt;"",E1611&lt;&gt;"!!!"),"NEW","")))</f>
        <v> </v>
      </c>
      <c r="G1611" s="24" t="str">
        <f>IF(OR(E1611="",E1611="!!!"),"",IF(OR(J1611=0,AND(J1611=1,K1611=1),AND(J1611=1,I1611="SBJ"),AND(J1611=1,I1611=0)),"?IN_FOCUS",IF(J1611&lt;=2,"?ACTIVATED",IF(J1611&lt;&gt;"","?FAMILIAR",IF(F1611="NEW",IF(ISNA(VLOOKUP(E1611,#REF!,1,FALSE())),"?TYPE_IDENTIFIABLE","?REFERENTIAL"),"_")))))</f>
        <v> </v>
      </c>
      <c r="H1611" s="25" t="str">
        <f>IF(J1611&lt;&gt;1,"",IF(I1611="SBJ","CB","?"))</f>
        <v> </v>
      </c>
      <c r="I1611" s="26" t="str">
        <f>IF(OR(E1611="",E1611="!!!",F1611="NEW"),"",INDEX(B1610:B$2,-1+SUMPRODUCT(MAX(ROW(E1610:E$2)*(E1611=E1610:E$2)))))</f>
        <v> </v>
      </c>
      <c r="J1611" s="26" t="str">
        <f>IF(OR(E1611="",E1611="!!!",F1611="NEW"),"",COUNTBLANK(OFFSET(A$1,,,SUMPRODUCT(MAX(ROW(E$2:E1611)*(E1611=E$2:E1611)))))-COUNTBLANK(OFFSET(A$1,,,SUMPRODUCT(MAX(ROW(E$1:E1610)*(E2=E$1:E1610))))))</f>
        <v> </v>
      </c>
      <c r="K1611" s="26" t="str">
        <f>IF(OR(E1611="",E1611="!!!",F1611="NEW"),"",INDEX(J$1:J1610,SUMPRODUCT(MAX(ROW(E$1:E1610)*(E1611=E$1:E1610)))))</f>
        <v> </v>
      </c>
      <c r="L1611" s="27"/>
    </row>
    <row r="1612" spans="1:12">
      <c r="A1612" s="20" t="s">
        <v>367</v>
      </c>
      <c r="E1612" s="22">
        <f>IF(D1612="?OLD","!!!","")</f>
        <v/>
      </c>
      <c r="F1612" s="23" t="str">
        <f>IF(OR(E1612="",E1612="!!!"),"",IF(NOT(ISNA(VLOOKUP(E1612,E$1:E1611,1,FALSE()))),"OLD",IF(AND(E1612&lt;&gt;"",E1612&lt;&gt;"!!!"),"NEW","")))</f>
        <v> </v>
      </c>
      <c r="G1612" s="24" t="str">
        <f>IF(OR(E1612="",E1612="!!!"),"",IF(OR(J1612=0,AND(J1612=1,K1612=1),AND(J1612=1,I1612="SBJ"),AND(J1612=1,I1612=0)),"?IN_FOCUS",IF(J1612&lt;=2,"?ACTIVATED",IF(J1612&lt;&gt;"","?FAMILIAR",IF(F1612="NEW",IF(ISNA(VLOOKUP(E1612,#REF!,1,FALSE())),"?TYPE_IDENTIFIABLE","?REFERENTIAL"),"_")))))</f>
        <v> </v>
      </c>
      <c r="H1612" s="25" t="str">
        <f>IF(J1612&lt;&gt;1,"",IF(I1612="SBJ","CB","?"))</f>
        <v> </v>
      </c>
      <c r="I1612" s="26" t="str">
        <f>IF(OR(E1612="",E1612="!!!",F1612="NEW"),"",INDEX(B1611:B$2,-1+SUMPRODUCT(MAX(ROW(E1611:E$2)*(E1612=E1611:E$2)))))</f>
        <v> </v>
      </c>
      <c r="J1612" s="26" t="str">
        <f>IF(OR(E1612="",E1612="!!!",F1612="NEW"),"",COUNTBLANK(OFFSET(A$1,,,SUMPRODUCT(MAX(ROW(E$2:E1612)*(E1612=E$2:E1612)))))-COUNTBLANK(OFFSET(A$1,,,SUMPRODUCT(MAX(ROW(E$1:E1611)*(E2=E$1:E1611))))))</f>
        <v> </v>
      </c>
      <c r="K1612" s="26" t="str">
        <f>IF(OR(E1612="",E1612="!!!",F1612="NEW"),"",INDEX(J$1:J1611,SUMPRODUCT(MAX(ROW(E$1:E1611)*(E1612=E$1:E1611)))))</f>
        <v> </v>
      </c>
      <c r="L1612" s="27"/>
    </row>
    <row r="1613" spans="1:12">
      <c r="A1613" s="20" t="s">
        <v>393</v>
      </c>
      <c r="E1613" s="22">
        <f>IF(D1613="?OLD","!!!","")</f>
        <v/>
      </c>
      <c r="F1613" s="23" t="str">
        <f>IF(OR(E1613="",E1613="!!!"),"",IF(NOT(ISNA(VLOOKUP(E1613,E$1:E1612,1,FALSE()))),"OLD",IF(AND(E1613&lt;&gt;"",E1613&lt;&gt;"!!!"),"NEW","")))</f>
        <v> </v>
      </c>
      <c r="G1613" s="24" t="str">
        <f>IF(OR(E1613="",E1613="!!!"),"",IF(OR(J1613=0,AND(J1613=1,K1613=1),AND(J1613=1,I1613="SBJ"),AND(J1613=1,I1613=0)),"?IN_FOCUS",IF(J1613&lt;=2,"?ACTIVATED",IF(J1613&lt;&gt;"","?FAMILIAR",IF(F1613="NEW",IF(ISNA(VLOOKUP(E1613,#REF!,1,FALSE())),"?TYPE_IDENTIFIABLE","?REFERENTIAL"),"_")))))</f>
        <v> </v>
      </c>
      <c r="H1613" s="25" t="str">
        <f>IF(J1613&lt;&gt;1,"",IF(I1613="SBJ","CB","?"))</f>
        <v> </v>
      </c>
      <c r="I1613" s="26" t="str">
        <f>IF(OR(E1613="",E1613="!!!",F1613="NEW"),"",INDEX(B1612:B$2,-1+SUMPRODUCT(MAX(ROW(E1612:E$2)*(E1613=E1612:E$2)))))</f>
        <v> </v>
      </c>
      <c r="J1613" s="26" t="str">
        <f>IF(OR(E1613="",E1613="!!!",F1613="NEW"),"",COUNTBLANK(OFFSET(A$1,,,SUMPRODUCT(MAX(ROW(E$2:E1613)*(E1613=E$2:E1613)))))-COUNTBLANK(OFFSET(A$1,,,SUMPRODUCT(MAX(ROW(E$1:E1612)*(E2=E$1:E1612))))))</f>
        <v> </v>
      </c>
      <c r="K1613" s="26" t="str">
        <f>IF(OR(E1613="",E1613="!!!",F1613="NEW"),"",INDEX(J$1:J1612,SUMPRODUCT(MAX(ROW(E$1:E1612)*(E1613=E$1:E1612)))))</f>
        <v> </v>
      </c>
      <c r="L1613" s="27"/>
    </row>
    <row r="1614" spans="1:12">
      <c r="A1614" s="20" t="s">
        <v>427</v>
      </c>
      <c r="E1614" s="22">
        <f>IF(D1614="?OLD","!!!","")</f>
        <v/>
      </c>
      <c r="F1614" s="23" t="str">
        <f>IF(OR(E1614="",E1614="!!!"),"",IF(NOT(ISNA(VLOOKUP(E1614,E$1:E1613,1,FALSE()))),"OLD",IF(AND(E1614&lt;&gt;"",E1614&lt;&gt;"!!!"),"NEW","")))</f>
        <v> </v>
      </c>
      <c r="G1614" s="24" t="str">
        <f>IF(OR(E1614="",E1614="!!!"),"",IF(OR(J1614=0,AND(J1614=1,K1614=1),AND(J1614=1,I1614="SBJ"),AND(J1614=1,I1614=0)),"?IN_FOCUS",IF(J1614&lt;=2,"?ACTIVATED",IF(J1614&lt;&gt;"","?FAMILIAR",IF(F1614="NEW",IF(ISNA(VLOOKUP(E1614,#REF!,1,FALSE())),"?TYPE_IDENTIFIABLE","?REFERENTIAL"),"_")))))</f>
        <v> </v>
      </c>
      <c r="H1614" s="25" t="str">
        <f>IF(J1614&lt;&gt;1,"",IF(I1614="SBJ","CB","?"))</f>
        <v> </v>
      </c>
      <c r="I1614" s="26" t="str">
        <f>IF(OR(E1614="",E1614="!!!",F1614="NEW"),"",INDEX(B1613:B$2,-1+SUMPRODUCT(MAX(ROW(E1613:E$2)*(E1614=E1613:E$2)))))</f>
        <v> </v>
      </c>
      <c r="J1614" s="26" t="str">
        <f>IF(OR(E1614="",E1614="!!!",F1614="NEW"),"",COUNTBLANK(OFFSET(A$1,,,SUMPRODUCT(MAX(ROW(E$2:E1614)*(E1614=E$2:E1614)))))-COUNTBLANK(OFFSET(A$1,,,SUMPRODUCT(MAX(ROW(E$1:E1613)*(E2=E$1:E1613))))))</f>
        <v> </v>
      </c>
      <c r="K1614" s="26" t="str">
        <f>IF(OR(E1614="",E1614="!!!",F1614="NEW"),"",INDEX(J$1:J1613,SUMPRODUCT(MAX(ROW(E$1:E1613)*(E1614=E$1:E1613)))))</f>
        <v> </v>
      </c>
      <c r="L1614" s="27"/>
    </row>
    <row r="1615" spans="1:12">
      <c r="A1615" s="20" t="s">
        <v>386</v>
      </c>
      <c r="E1615" s="22">
        <f>IF(D1615="?OLD","!!!","")</f>
        <v/>
      </c>
      <c r="F1615" s="23" t="str">
        <f>IF(OR(E1615="",E1615="!!!"),"",IF(NOT(ISNA(VLOOKUP(E1615,E$1:E1614,1,FALSE()))),"OLD",IF(AND(E1615&lt;&gt;"",E1615&lt;&gt;"!!!"),"NEW","")))</f>
        <v> </v>
      </c>
      <c r="G1615" s="24" t="str">
        <f>IF(OR(E1615="",E1615="!!!"),"",IF(OR(J1615=0,AND(J1615=1,K1615=1),AND(J1615=1,I1615="SBJ"),AND(J1615=1,I1615=0)),"?IN_FOCUS",IF(J1615&lt;=2,"?ACTIVATED",IF(J1615&lt;&gt;"","?FAMILIAR",IF(F1615="NEW",IF(ISNA(VLOOKUP(E1615,#REF!,1,FALSE())),"?TYPE_IDENTIFIABLE","?REFERENTIAL"),"_")))))</f>
        <v> </v>
      </c>
      <c r="H1615" s="25" t="str">
        <f>IF(J1615&lt;&gt;1,"",IF(I1615="SBJ","CB","?"))</f>
        <v> </v>
      </c>
      <c r="I1615" s="26" t="str">
        <f>IF(OR(E1615="",E1615="!!!",F1615="NEW"),"",INDEX(B1614:B$2,-1+SUMPRODUCT(MAX(ROW(E1614:E$2)*(E1615=E1614:E$2)))))</f>
        <v> </v>
      </c>
      <c r="J1615" s="26" t="str">
        <f>IF(OR(E1615="",E1615="!!!",F1615="NEW"),"",COUNTBLANK(OFFSET(A$1,,,SUMPRODUCT(MAX(ROW(E$2:E1615)*(E1615=E$2:E1615)))))-COUNTBLANK(OFFSET(A$1,,,SUMPRODUCT(MAX(ROW(E$1:E1614)*(E2=E$1:E1614))))))</f>
        <v> </v>
      </c>
      <c r="K1615" s="26" t="str">
        <f>IF(OR(E1615="",E1615="!!!",F1615="NEW"),"",INDEX(J$1:J1614,SUMPRODUCT(MAX(ROW(E$1:E1614)*(E1615=E$1:E1614)))))</f>
        <v> </v>
      </c>
      <c r="L1615" s="27"/>
    </row>
    <row r="1616" spans="1:12">
      <c r="A1616" s="20" t="s">
        <v>825</v>
      </c>
      <c r="B1616" s="21" t="s">
        <v>429</v>
      </c>
      <c r="C1616" s="21" t="s">
        <v>385</v>
      </c>
      <c r="D1616" s="21" t="s">
        <v>358</v>
      </c>
      <c r="E1616" s="22">
        <f>IF(D1616="?OLD","!!!","")</f>
        <v/>
      </c>
      <c r="F1616" s="23" t="str">
        <f>IF(OR(E1616="",E1616="!!!"),"",IF(NOT(ISNA(VLOOKUP(E1616,E$1:E1615,1,FALSE()))),"OLD",IF(AND(E1616&lt;&gt;"",E1616&lt;&gt;"!!!"),"NEW","")))</f>
        <v> </v>
      </c>
      <c r="G1616" s="24" t="str">
        <f>IF(OR(E1616="",E1616="!!!"),"",IF(OR(J1616=0,AND(J1616=1,K1616=1),AND(J1616=1,I1616="SBJ"),AND(J1616=1,I1616=0)),"?IN_FOCUS",IF(J1616&lt;=2,"?ACTIVATED",IF(J1616&lt;&gt;"","?FAMILIAR",IF(F1616="NEW",IF(ISNA(VLOOKUP(E1616,#REF!,1,FALSE())),"?TYPE_IDENTIFIABLE","?REFERENTIAL"),"_")))))</f>
        <v> </v>
      </c>
      <c r="H1616" s="25" t="str">
        <f>IF(J1616&lt;&gt;1,"",IF(I1616="SBJ","CB","?"))</f>
        <v> </v>
      </c>
      <c r="I1616" s="26" t="str">
        <f>IF(OR(E1616="",E1616="!!!",F1616="NEW"),"",INDEX(B1615:B$2,-1+SUMPRODUCT(MAX(ROW(E1615:E$2)*(E1616=E1615:E$2)))))</f>
        <v> </v>
      </c>
      <c r="J1616" s="26" t="str">
        <f>IF(OR(E1616="",E1616="!!!",F1616="NEW"),"",COUNTBLANK(OFFSET(A$1,,,SUMPRODUCT(MAX(ROW(E$2:E1616)*(E1616=E$2:E1616)))))-COUNTBLANK(OFFSET(A$1,,,SUMPRODUCT(MAX(ROW(E$1:E1615)*(E2=E$1:E1615))))))</f>
        <v> </v>
      </c>
      <c r="K1616" s="26" t="str">
        <f>IF(OR(E1616="",E1616="!!!",F1616="NEW"),"",INDEX(J$1:J1615,SUMPRODUCT(MAX(ROW(E$1:E1615)*(E1616=E$1:E1615)))))</f>
        <v> </v>
      </c>
      <c r="L1616" s="27"/>
    </row>
    <row r="1617" spans="1:12">
      <c r="A1617" s="20" t="s">
        <v>393</v>
      </c>
      <c r="E1617" s="22">
        <f>IF(D1617="?OLD","!!!","")</f>
        <v/>
      </c>
      <c r="F1617" s="23" t="str">
        <f>IF(OR(E1617="",E1617="!!!"),"",IF(NOT(ISNA(VLOOKUP(E1617,E$1:E1616,1,FALSE()))),"OLD",IF(AND(E1617&lt;&gt;"",E1617&lt;&gt;"!!!"),"NEW","")))</f>
        <v> </v>
      </c>
      <c r="G1617" s="24" t="str">
        <f>IF(OR(E1617="",E1617="!!!"),"",IF(OR(J1617=0,AND(J1617=1,K1617=1),AND(J1617=1,I1617="SBJ"),AND(J1617=1,I1617=0)),"?IN_FOCUS",IF(J1617&lt;=2,"?ACTIVATED",IF(J1617&lt;&gt;"","?FAMILIAR",IF(F1617="NEW",IF(ISNA(VLOOKUP(E1617,#REF!,1,FALSE())),"?TYPE_IDENTIFIABLE","?REFERENTIAL"),"_")))))</f>
        <v> </v>
      </c>
      <c r="H1617" s="25" t="str">
        <f>IF(J1617&lt;&gt;1,"",IF(I1617="SBJ","CB","?"))</f>
        <v> </v>
      </c>
      <c r="I1617" s="26" t="str">
        <f>IF(OR(E1617="",E1617="!!!",F1617="NEW"),"",INDEX(B1616:B$2,-1+SUMPRODUCT(MAX(ROW(E1616:E$2)*(E1617=E1616:E$2)))))</f>
        <v> </v>
      </c>
      <c r="J1617" s="26" t="str">
        <f>IF(OR(E1617="",E1617="!!!",F1617="NEW"),"",COUNTBLANK(OFFSET(A$1,,,SUMPRODUCT(MAX(ROW(E$2:E1617)*(E1617=E$2:E1617)))))-COUNTBLANK(OFFSET(A$1,,,SUMPRODUCT(MAX(ROW(E$1:E1616)*(E2=E$1:E1616))))))</f>
        <v> </v>
      </c>
      <c r="K1617" s="26" t="str">
        <f>IF(OR(E1617="",E1617="!!!",F1617="NEW"),"",INDEX(J$1:J1616,SUMPRODUCT(MAX(ROW(E$1:E1616)*(E1617=E$1:E1616)))))</f>
        <v> </v>
      </c>
      <c r="L1617" s="27"/>
    </row>
    <row r="1618" spans="1:12">
      <c r="A1618" s="20" t="s">
        <v>944</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414</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945</v>
      </c>
      <c r="B1620" s="21" t="s">
        <v>365</v>
      </c>
      <c r="C1620" s="21" t="s">
        <v>379</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t="s">
        <v>380</v>
      </c>
      <c r="E1621" s="22">
        <f>IF(D1621="?OLD","!!!","")</f>
        <v/>
      </c>
      <c r="F1621" s="23" t="str">
        <f>IF(OR(E1621="",E1621="!!!"),"",IF(NOT(ISNA(VLOOKUP(E1621,E$1:E1620,1,FALSE()))),"OLD",IF(AND(E1621&lt;&gt;"",E1621&lt;&gt;"!!!"),"NEW","")))</f>
        <v> </v>
      </c>
      <c r="G1621" s="24" t="str">
        <f>IF(OR(E1621="",E1621="!!!"),"",IF(OR(J1621=0,AND(J1621=1,K1621=1),AND(J1621=1,I1621="SBJ"),AND(J1621=1,I1621=0)),"?IN_FOCUS",IF(J1621&lt;=2,"?ACTIVATED",IF(J1621&lt;&gt;"","?FAMILIAR",IF(F1621="NEW",IF(ISNA(VLOOKUP(E1621,#REF!,1,FALSE())),"?TYPE_IDENTIFIABLE","?REFERENTIAL"),"_")))))</f>
        <v> </v>
      </c>
      <c r="H1621" s="25" t="str">
        <f>IF(J1621&lt;&gt;1,"",IF(I1621="SBJ","CB","?"))</f>
        <v> </v>
      </c>
      <c r="I1621" s="26" t="str">
        <f>IF(OR(E1621="",E1621="!!!",F1621="NEW"),"",INDEX(B1620:B$2,-1+SUMPRODUCT(MAX(ROW(E1620:E$2)*(E1621=E1620:E$2)))))</f>
        <v> </v>
      </c>
      <c r="J1621" s="26" t="str">
        <f>IF(OR(E1621="",E1621="!!!",F1621="NEW"),"",COUNTBLANK(OFFSET(A$1,,,SUMPRODUCT(MAX(ROW(E$2:E1621)*(E1621=E$2:E1621)))))-COUNTBLANK(OFFSET(A$1,,,SUMPRODUCT(MAX(ROW(E$1:E1620)*(E2=E$1:E1620))))))</f>
        <v> </v>
      </c>
      <c r="K1621" s="26" t="str">
        <f>IF(OR(E1621="",E1621="!!!",F1621="NEW"),"",INDEX(J$1:J1620,SUMPRODUCT(MAX(ROW(E$1:E1620)*(E1621=E$1:E1620)))))</f>
        <v> </v>
      </c>
      <c r="L1621" s="27"/>
    </row>
    <row r="1622" spans="1:12">
      <c r="A1622" s="20" t="s">
        <v>946</v>
      </c>
      <c r="B1622" s="21" t="s">
        <v>356</v>
      </c>
      <c r="C1622" s="21" t="s">
        <v>382</v>
      </c>
      <c r="E1622" s="22">
        <f>IF(D1622="?OLD","!!!","")</f>
        <v/>
      </c>
      <c r="F1622" s="23" t="str">
        <f>IF(OR(E1622="",E1622="!!!"),"",IF(NOT(ISNA(VLOOKUP(E1622,E$1:E1621,1,FALSE()))),"OLD",IF(AND(E1622&lt;&gt;"",E1622&lt;&gt;"!!!"),"NEW","")))</f>
        <v> </v>
      </c>
      <c r="G1622" s="24" t="str">
        <f>IF(OR(E1622="",E1622="!!!"),"",IF(OR(J1622=0,AND(J1622=1,K1622=1),AND(J1622=1,I1622="SBJ"),AND(J1622=1,I1622=0)),"?IN_FOCUS",IF(J1622&lt;=2,"?ACTIVATED",IF(J1622&lt;&gt;"","?FAMILIAR",IF(F1622="NEW",IF(ISNA(VLOOKUP(E1622,#REF!,1,FALSE())),"?TYPE_IDENTIFIABLE","?REFERENTIAL"),"_")))))</f>
        <v> </v>
      </c>
      <c r="H1622" s="25" t="str">
        <f>IF(J1622&lt;&gt;1,"",IF(I1622="SBJ","CB","?"))</f>
        <v> </v>
      </c>
      <c r="I1622" s="26" t="str">
        <f>IF(OR(E1622="",E1622="!!!",F1622="NEW"),"",INDEX(B1621:B$2,-1+SUMPRODUCT(MAX(ROW(E1621:E$2)*(E1622=E1621:E$2)))))</f>
        <v> </v>
      </c>
      <c r="J1622" s="26" t="str">
        <f>IF(OR(E1622="",E1622="!!!",F1622="NEW"),"",COUNTBLANK(OFFSET(A$1,,,SUMPRODUCT(MAX(ROW(E$2:E1622)*(E1622=E$2:E1622)))))-COUNTBLANK(OFFSET(A$1,,,SUMPRODUCT(MAX(ROW(E$1:E1621)*(E2=E$1:E1621))))))</f>
        <v> </v>
      </c>
      <c r="K1622" s="26" t="str">
        <f>IF(OR(E1622="",E1622="!!!",F1622="NEW"),"",INDEX(J$1:J1621,SUMPRODUCT(MAX(ROW(E$1:E1621)*(E1622=E$1:E1621)))))</f>
        <v> </v>
      </c>
      <c r="L1622" s="27"/>
    </row>
    <row r="1623" spans="1:12">
      <c r="A1623" s="20" t="s">
        <v>389</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row>
    <row r="1625" spans="1:12">
      <c r="A1625" s="20" t="s">
        <v>947</v>
      </c>
    </row>
    <row r="1626" spans="1:12">
      <c r="A1626" s="20" t="s">
        <v>355</v>
      </c>
      <c r="B1626" s="21" t="s">
        <v>373</v>
      </c>
      <c r="C1626" s="21" t="s">
        <v>357</v>
      </c>
      <c r="D1626" s="21" t="s">
        <v>358</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t="s">
        <v>948</v>
      </c>
      <c r="E1627" s="22">
        <f>IF(D1627="?OLD","!!!","")</f>
        <v/>
      </c>
      <c r="F1627" s="23" t="str">
        <f>IF(OR(E1627="",E1627="!!!"),"",IF(NOT(ISNA(VLOOKUP(E1627,E$1:E1626,1,FALSE()))),"OLD",IF(AND(E1627&lt;&gt;"",E1627&lt;&gt;"!!!"),"NEW","")))</f>
        <v> </v>
      </c>
      <c r="G1627" s="24" t="str">
        <f>IF(OR(E1627="",E1627="!!!"),"",IF(OR(J1627=0,AND(J1627=1,K1627=1),AND(J1627=1,I1627="SBJ"),AND(J1627=1,I1627=0)),"?IN_FOCUS",IF(J1627&lt;=2,"?ACTIVATED",IF(J1627&lt;&gt;"","?FAMILIAR",IF(F1627="NEW",IF(ISNA(VLOOKUP(E1627,#REF!,1,FALSE())),"?TYPE_IDENTIFIABLE","?REFERENTIAL"),"_")))))</f>
        <v> </v>
      </c>
      <c r="H1627" s="25" t="str">
        <f>IF(J1627&lt;&gt;1,"",IF(I1627="SBJ","CB","?"))</f>
        <v> </v>
      </c>
      <c r="I1627" s="26" t="str">
        <f>IF(OR(E1627="",E1627="!!!",F1627="NEW"),"",INDEX(B1626:B$2,-1+SUMPRODUCT(MAX(ROW(E1626:E$2)*(E1627=E1626:E$2)))))</f>
        <v> </v>
      </c>
      <c r="J1627" s="26" t="str">
        <f>IF(OR(E1627="",E1627="!!!",F1627="NEW"),"",COUNTBLANK(OFFSET(A$1,,,SUMPRODUCT(MAX(ROW(E$2:E1627)*(E1627=E$2:E1627)))))-COUNTBLANK(OFFSET(A$1,,,SUMPRODUCT(MAX(ROW(E$1:E1626)*(E2=E$1:E1626))))))</f>
        <v> </v>
      </c>
      <c r="K1627" s="26" t="str">
        <f>IF(OR(E1627="",E1627="!!!",F1627="NEW"),"",INDEX(J$1:J1626,SUMPRODUCT(MAX(ROW(E$1:E1626)*(E1627=E$1:E1626)))))</f>
        <v> </v>
      </c>
      <c r="L1627" s="27"/>
    </row>
    <row r="1628" spans="1:12">
      <c r="A1628" s="20" t="s">
        <v>427</v>
      </c>
      <c r="E1628" s="22">
        <f>IF(D1628="?OLD","!!!","")</f>
        <v/>
      </c>
      <c r="F1628" s="23" t="str">
        <f>IF(OR(E1628="",E1628="!!!"),"",IF(NOT(ISNA(VLOOKUP(E1628,E$1:E1627,1,FALSE()))),"OLD",IF(AND(E1628&lt;&gt;"",E1628&lt;&gt;"!!!"),"NEW","")))</f>
        <v> </v>
      </c>
      <c r="G1628" s="24" t="str">
        <f>IF(OR(E1628="",E1628="!!!"),"",IF(OR(J1628=0,AND(J1628=1,K1628=1),AND(J1628=1,I1628="SBJ"),AND(J1628=1,I1628=0)),"?IN_FOCUS",IF(J1628&lt;=2,"?ACTIVATED",IF(J1628&lt;&gt;"","?FAMILIAR",IF(F1628="NEW",IF(ISNA(VLOOKUP(E1628,#REF!,1,FALSE())),"?TYPE_IDENTIFIABLE","?REFERENTIAL"),"_")))))</f>
        <v> </v>
      </c>
      <c r="H1628" s="25" t="str">
        <f>IF(J1628&lt;&gt;1,"",IF(I1628="SBJ","CB","?"))</f>
        <v> </v>
      </c>
      <c r="I1628" s="26" t="str">
        <f>IF(OR(E1628="",E1628="!!!",F1628="NEW"),"",INDEX(B1627:B$2,-1+SUMPRODUCT(MAX(ROW(E1627:E$2)*(E1628=E1627:E$2)))))</f>
        <v> </v>
      </c>
      <c r="J1628" s="26" t="str">
        <f>IF(OR(E1628="",E1628="!!!",F1628="NEW"),"",COUNTBLANK(OFFSET(A$1,,,SUMPRODUCT(MAX(ROW(E$2:E1628)*(E1628=E$2:E1628)))))-COUNTBLANK(OFFSET(A$1,,,SUMPRODUCT(MAX(ROW(E$1:E1627)*(E2=E$1:E1627))))))</f>
        <v> </v>
      </c>
      <c r="K1628" s="26" t="str">
        <f>IF(OR(E1628="",E1628="!!!",F1628="NEW"),"",INDEX(J$1:J1627,SUMPRODUCT(MAX(ROW(E$1:E1627)*(E1628=E$1:E1627)))))</f>
        <v> </v>
      </c>
      <c r="L1628" s="27"/>
    </row>
    <row r="1629" spans="1:12">
      <c r="A1629" s="20" t="s">
        <v>868</v>
      </c>
      <c r="B1629" s="21" t="s">
        <v>429</v>
      </c>
      <c r="C1629" s="21" t="s">
        <v>357</v>
      </c>
      <c r="D1629" s="21" t="s">
        <v>358</v>
      </c>
      <c r="E1629" s="22">
        <f>IF(D1629="?OLD","!!!","")</f>
        <v/>
      </c>
      <c r="F1629" s="23" t="str">
        <f>IF(OR(E1629="",E1629="!!!"),"",IF(NOT(ISNA(VLOOKUP(E1629,E$1:E1628,1,FALSE()))),"OLD",IF(AND(E1629&lt;&gt;"",E1629&lt;&gt;"!!!"),"NEW","")))</f>
        <v> </v>
      </c>
      <c r="G1629" s="24" t="str">
        <f>IF(OR(E1629="",E1629="!!!"),"",IF(OR(J1629=0,AND(J1629=1,K1629=1),AND(J1629=1,I1629="SBJ"),AND(J1629=1,I1629=0)),"?IN_FOCUS",IF(J1629&lt;=2,"?ACTIVATED",IF(J1629&lt;&gt;"","?FAMILIAR",IF(F1629="NEW",IF(ISNA(VLOOKUP(E1629,#REF!,1,FALSE())),"?TYPE_IDENTIFIABLE","?REFERENTIAL"),"_")))))</f>
        <v> </v>
      </c>
      <c r="H1629" s="25" t="str">
        <f>IF(J1629&lt;&gt;1,"",IF(I1629="SBJ","CB","?"))</f>
        <v> </v>
      </c>
      <c r="I1629" s="26" t="str">
        <f>IF(OR(E1629="",E1629="!!!",F1629="NEW"),"",INDEX(B1628:B$2,-1+SUMPRODUCT(MAX(ROW(E1628:E$2)*(E1629=E1628:E$2)))))</f>
        <v> </v>
      </c>
      <c r="J1629" s="26" t="str">
        <f>IF(OR(E1629="",E1629="!!!",F1629="NEW"),"",COUNTBLANK(OFFSET(A$1,,,SUMPRODUCT(MAX(ROW(E$2:E1629)*(E1629=E$2:E1629)))))-COUNTBLANK(OFFSET(A$1,,,SUMPRODUCT(MAX(ROW(E$1:E1628)*(E2=E$1:E1628))))))</f>
        <v> </v>
      </c>
      <c r="K1629" s="26" t="str">
        <f>IF(OR(E1629="",E1629="!!!",F1629="NEW"),"",INDEX(J$1:J1628,SUMPRODUCT(MAX(ROW(E$1:E1628)*(E1629=E$1:E1628)))))</f>
        <v> </v>
      </c>
      <c r="L1629" s="27"/>
    </row>
    <row r="1630" spans="1:12">
      <c r="A1630" s="20" t="s">
        <v>949</v>
      </c>
      <c r="E1630" s="22">
        <f>IF(D1630="?OLD","!!!","")</f>
        <v/>
      </c>
      <c r="F1630" s="23" t="str">
        <f>IF(OR(E1630="",E1630="!!!"),"",IF(NOT(ISNA(VLOOKUP(E1630,E$1:E1629,1,FALSE()))),"OLD",IF(AND(E1630&lt;&gt;"",E1630&lt;&gt;"!!!"),"NEW","")))</f>
        <v> </v>
      </c>
      <c r="G1630" s="24" t="str">
        <f>IF(OR(E1630="",E1630="!!!"),"",IF(OR(J1630=0,AND(J1630=1,K1630=1),AND(J1630=1,I1630="SBJ"),AND(J1630=1,I1630=0)),"?IN_FOCUS",IF(J1630&lt;=2,"?ACTIVATED",IF(J1630&lt;&gt;"","?FAMILIAR",IF(F1630="NEW",IF(ISNA(VLOOKUP(E1630,#REF!,1,FALSE())),"?TYPE_IDENTIFIABLE","?REFERENTIAL"),"_")))))</f>
        <v> </v>
      </c>
      <c r="H1630" s="25" t="str">
        <f>IF(J1630&lt;&gt;1,"",IF(I1630="SBJ","CB","?"))</f>
        <v> </v>
      </c>
      <c r="I1630" s="26" t="str">
        <f>IF(OR(E1630="",E1630="!!!",F1630="NEW"),"",INDEX(B1629:B$2,-1+SUMPRODUCT(MAX(ROW(E1629:E$2)*(E1630=E1629:E$2)))))</f>
        <v> </v>
      </c>
      <c r="J1630" s="26" t="str">
        <f>IF(OR(E1630="",E1630="!!!",F1630="NEW"),"",COUNTBLANK(OFFSET(A$1,,,SUMPRODUCT(MAX(ROW(E$2:E1630)*(E1630=E$2:E1630)))))-COUNTBLANK(OFFSET(A$1,,,SUMPRODUCT(MAX(ROW(E$1:E1629)*(E2=E$1:E1629))))))</f>
        <v> </v>
      </c>
      <c r="K1630" s="26" t="str">
        <f>IF(OR(E1630="",E1630="!!!",F1630="NEW"),"",INDEX(J$1:J1629,SUMPRODUCT(MAX(ROW(E$1:E1629)*(E1630=E$1:E1629)))))</f>
        <v> </v>
      </c>
      <c r="L1630" s="27"/>
    </row>
    <row r="1631" spans="1:12">
      <c r="A1631" s="20" t="s">
        <v>950</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t="s">
        <v>951</v>
      </c>
      <c r="B1632" s="21" t="s">
        <v>360</v>
      </c>
      <c r="C1632" s="21" t="s">
        <v>506</v>
      </c>
      <c r="D1632" s="21" t="s">
        <v>358</v>
      </c>
      <c r="E1632" s="22">
        <f>IF(D1632="?OLD","!!!","")</f>
        <v/>
      </c>
      <c r="F1632" s="23" t="str">
        <f>IF(OR(E1632="",E1632="!!!"),"",IF(NOT(ISNA(VLOOKUP(E1632,E$1:E1631,1,FALSE()))),"OLD",IF(AND(E1632&lt;&gt;"",E1632&lt;&gt;"!!!"),"NEW","")))</f>
        <v> </v>
      </c>
      <c r="G1632" s="24" t="str">
        <f>IF(OR(E1632="",E1632="!!!"),"",IF(OR(J1632=0,AND(J1632=1,K1632=1),AND(J1632=1,I1632="SBJ"),AND(J1632=1,I1632=0)),"?IN_FOCUS",IF(J1632&lt;=2,"?ACTIVATED",IF(J1632&lt;&gt;"","?FAMILIAR",IF(F1632="NEW",IF(ISNA(VLOOKUP(E1632,#REF!,1,FALSE())),"?TYPE_IDENTIFIABLE","?REFERENTIAL"),"_")))))</f>
        <v> </v>
      </c>
      <c r="H1632" s="25" t="str">
        <f>IF(J1632&lt;&gt;1,"",IF(I1632="SBJ","CB","?"))</f>
        <v> </v>
      </c>
      <c r="I1632" s="26" t="str">
        <f>IF(OR(E1632="",E1632="!!!",F1632="NEW"),"",INDEX(B1631:B$2,-1+SUMPRODUCT(MAX(ROW(E1631:E$2)*(E1632=E1631:E$2)))))</f>
        <v> </v>
      </c>
      <c r="J1632" s="26" t="str">
        <f>IF(OR(E1632="",E1632="!!!",F1632="NEW"),"",COUNTBLANK(OFFSET(A$1,,,SUMPRODUCT(MAX(ROW(E$2:E1632)*(E1632=E$2:E1632)))))-COUNTBLANK(OFFSET(A$1,,,SUMPRODUCT(MAX(ROW(E$1:E1631)*(E2=E$1:E1631))))))</f>
        <v> </v>
      </c>
      <c r="K1632" s="26" t="str">
        <f>IF(OR(E1632="",E1632="!!!",F1632="NEW"),"",INDEX(J$1:J1631,SUMPRODUCT(MAX(ROW(E$1:E1631)*(E1632=E$1:E1631)))))</f>
        <v> </v>
      </c>
      <c r="L1632" s="27"/>
    </row>
    <row r="1633" spans="1:12">
      <c r="A1633" s="20" t="s">
        <v>952</v>
      </c>
      <c r="B1633" s="21" t="s">
        <v>409</v>
      </c>
      <c r="C1633" s="21" t="s">
        <v>476</v>
      </c>
      <c r="D1633" s="21" t="s">
        <v>358</v>
      </c>
      <c r="E1633" s="22">
        <f>IF(D1633="?OLD","!!!","")</f>
        <v/>
      </c>
      <c r="F1633" s="23" t="str">
        <f>IF(OR(E1633="",E1633="!!!"),"",IF(NOT(ISNA(VLOOKUP(E1633,E$1:E1632,1,FALSE()))),"OLD",IF(AND(E1633&lt;&gt;"",E1633&lt;&gt;"!!!"),"NEW","")))</f>
        <v> </v>
      </c>
      <c r="G1633" s="24" t="str">
        <f>IF(OR(E1633="",E1633="!!!"),"",IF(OR(J1633=0,AND(J1633=1,K1633=1),AND(J1633=1,I1633="SBJ"),AND(J1633=1,I1633=0)),"?IN_FOCUS",IF(J1633&lt;=2,"?ACTIVATED",IF(J1633&lt;&gt;"","?FAMILIAR",IF(F1633="NEW",IF(ISNA(VLOOKUP(E1633,#REF!,1,FALSE())),"?TYPE_IDENTIFIABLE","?REFERENTIAL"),"_")))))</f>
        <v> </v>
      </c>
      <c r="H1633" s="25" t="str">
        <f>IF(J1633&lt;&gt;1,"",IF(I1633="SBJ","CB","?"))</f>
        <v> </v>
      </c>
      <c r="I1633" s="26" t="str">
        <f>IF(OR(E1633="",E1633="!!!",F1633="NEW"),"",INDEX(B1632:B$2,-1+SUMPRODUCT(MAX(ROW(E1632:E$2)*(E1633=E1632:E$2)))))</f>
        <v> </v>
      </c>
      <c r="J1633" s="26" t="str">
        <f>IF(OR(E1633="",E1633="!!!",F1633="NEW"),"",COUNTBLANK(OFFSET(A$1,,,SUMPRODUCT(MAX(ROW(E$2:E1633)*(E1633=E$2:E1633)))))-COUNTBLANK(OFFSET(A$1,,,SUMPRODUCT(MAX(ROW(E$1:E1632)*(E2=E$1:E1632))))))</f>
        <v> </v>
      </c>
      <c r="K1633" s="26" t="str">
        <f>IF(OR(E1633="",E1633="!!!",F1633="NEW"),"",INDEX(J$1:J1632,SUMPRODUCT(MAX(ROW(E$1:E1632)*(E1633=E$1:E1632)))))</f>
        <v> </v>
      </c>
      <c r="L1633" s="27"/>
    </row>
    <row r="1634" spans="1:12">
      <c r="A1634" s="20" t="s">
        <v>369</v>
      </c>
      <c r="E1634" s="22">
        <f>IF(D1634="?OLD","!!!","")</f>
        <v/>
      </c>
      <c r="F1634" s="23" t="str">
        <f>IF(OR(E1634="",E1634="!!!"),"",IF(NOT(ISNA(VLOOKUP(E1634,E$1:E1633,1,FALSE()))),"OLD",IF(AND(E1634&lt;&gt;"",E1634&lt;&gt;"!!!"),"NEW","")))</f>
        <v> </v>
      </c>
      <c r="G1634" s="24" t="str">
        <f>IF(OR(E1634="",E1634="!!!"),"",IF(OR(J1634=0,AND(J1634=1,K1634=1),AND(J1634=1,I1634="SBJ"),AND(J1634=1,I1634=0)),"?IN_FOCUS",IF(J1634&lt;=2,"?ACTIVATED",IF(J1634&lt;&gt;"","?FAMILIAR",IF(F1634="NEW",IF(ISNA(VLOOKUP(E1634,#REF!,1,FALSE())),"?TYPE_IDENTIFIABLE","?REFERENTIAL"),"_")))))</f>
        <v> </v>
      </c>
      <c r="H1634" s="25" t="str">
        <f>IF(J1634&lt;&gt;1,"",IF(I1634="SBJ","CB","?"))</f>
        <v> </v>
      </c>
      <c r="I1634" s="26" t="str">
        <f>IF(OR(E1634="",E1634="!!!",F1634="NEW"),"",INDEX(B1633:B$2,-1+SUMPRODUCT(MAX(ROW(E1633:E$2)*(E1634=E1633:E$2)))))</f>
        <v> </v>
      </c>
      <c r="J1634" s="26" t="str">
        <f>IF(OR(E1634="",E1634="!!!",F1634="NEW"),"",COUNTBLANK(OFFSET(A$1,,,SUMPRODUCT(MAX(ROW(E$2:E1634)*(E1634=E$2:E1634)))))-COUNTBLANK(OFFSET(A$1,,,SUMPRODUCT(MAX(ROW(E$1:E1633)*(E2=E$1:E1633))))))</f>
        <v> </v>
      </c>
      <c r="K1634" s="26" t="str">
        <f>IF(OR(E1634="",E1634="!!!",F1634="NEW"),"",INDEX(J$1:J1633,SUMPRODUCT(MAX(ROW(E$1:E1633)*(E1634=E$1:E1633)))))</f>
        <v> </v>
      </c>
      <c r="L1634" s="27"/>
    </row>
    <row r="1635" spans="1:12">
      <c r="A1635" s="20" t="s">
        <v>405</v>
      </c>
      <c r="E1635" s="22">
        <f>IF(D1635="?OLD","!!!","")</f>
        <v/>
      </c>
      <c r="F1635" s="23" t="str">
        <f>IF(OR(E1635="",E1635="!!!"),"",IF(NOT(ISNA(VLOOKUP(E1635,E$1:E1634,1,FALSE()))),"OLD",IF(AND(E1635&lt;&gt;"",E1635&lt;&gt;"!!!"),"NEW","")))</f>
        <v> </v>
      </c>
      <c r="G1635" s="24" t="str">
        <f>IF(OR(E1635="",E1635="!!!"),"",IF(OR(J1635=0,AND(J1635=1,K1635=1),AND(J1635=1,I1635="SBJ"),AND(J1635=1,I1635=0)),"?IN_FOCUS",IF(J1635&lt;=2,"?ACTIVATED",IF(J1635&lt;&gt;"","?FAMILIAR",IF(F1635="NEW",IF(ISNA(VLOOKUP(E1635,#REF!,1,FALSE())),"?TYPE_IDENTIFIABLE","?REFERENTIAL"),"_")))))</f>
        <v> </v>
      </c>
      <c r="H1635" s="25" t="str">
        <f>IF(J1635&lt;&gt;1,"",IF(I1635="SBJ","CB","?"))</f>
        <v> </v>
      </c>
      <c r="I1635" s="26" t="str">
        <f>IF(OR(E1635="",E1635="!!!",F1635="NEW"),"",INDEX(B1634:B$2,-1+SUMPRODUCT(MAX(ROW(E1634:E$2)*(E1635=E1634:E$2)))))</f>
        <v> </v>
      </c>
      <c r="J1635" s="26" t="str">
        <f>IF(OR(E1635="",E1635="!!!",F1635="NEW"),"",COUNTBLANK(OFFSET(A$1,,,SUMPRODUCT(MAX(ROW(E$2:E1635)*(E1635=E$2:E1635)))))-COUNTBLANK(OFFSET(A$1,,,SUMPRODUCT(MAX(ROW(E$1:E1634)*(E2=E$1:E1634))))))</f>
        <v> </v>
      </c>
      <c r="K1635" s="26" t="str">
        <f>IF(OR(E1635="",E1635="!!!",F1635="NEW"),"",INDEX(J$1:J1634,SUMPRODUCT(MAX(ROW(E$1:E1634)*(E1635=E$1:E1634)))))</f>
        <v> </v>
      </c>
      <c r="L1635" s="27"/>
    </row>
    <row r="1636" spans="1:12">
      <c r="A1636" s="20" t="s">
        <v>509</v>
      </c>
      <c r="B1636" s="21" t="s">
        <v>356</v>
      </c>
      <c r="C1636" s="21" t="s">
        <v>385</v>
      </c>
      <c r="D1636" s="21" t="s">
        <v>358</v>
      </c>
      <c r="E1636" s="22">
        <f>IF(D1636="?OLD","!!!","")</f>
        <v/>
      </c>
      <c r="F1636" s="23" t="str">
        <f>IF(OR(E1636="",E1636="!!!"),"",IF(NOT(ISNA(VLOOKUP(E1636,E$1:E1635,1,FALSE()))),"OLD",IF(AND(E1636&lt;&gt;"",E1636&lt;&gt;"!!!"),"NEW","")))</f>
        <v> </v>
      </c>
      <c r="G1636" s="24" t="str">
        <f>IF(OR(E1636="",E1636="!!!"),"",IF(OR(J1636=0,AND(J1636=1,K1636=1),AND(J1636=1,I1636="SBJ"),AND(J1636=1,I1636=0)),"?IN_FOCUS",IF(J1636&lt;=2,"?ACTIVATED",IF(J1636&lt;&gt;"","?FAMILIAR",IF(F1636="NEW",IF(ISNA(VLOOKUP(E1636,#REF!,1,FALSE())),"?TYPE_IDENTIFIABLE","?REFERENTIAL"),"_")))))</f>
        <v> </v>
      </c>
      <c r="H1636" s="25" t="str">
        <f>IF(J1636&lt;&gt;1,"",IF(I1636="SBJ","CB","?"))</f>
        <v> </v>
      </c>
      <c r="I1636" s="26" t="str">
        <f>IF(OR(E1636="",E1636="!!!",F1636="NEW"),"",INDEX(B1635:B$2,-1+SUMPRODUCT(MAX(ROW(E1635:E$2)*(E1636=E1635:E$2)))))</f>
        <v> </v>
      </c>
      <c r="J1636" s="26" t="str">
        <f>IF(OR(E1636="",E1636="!!!",F1636="NEW"),"",COUNTBLANK(OFFSET(A$1,,,SUMPRODUCT(MAX(ROW(E$2:E1636)*(E1636=E$2:E1636)))))-COUNTBLANK(OFFSET(A$1,,,SUMPRODUCT(MAX(ROW(E$1:E1635)*(E2=E$1:E1635))))))</f>
        <v> </v>
      </c>
      <c r="K1636" s="26" t="str">
        <f>IF(OR(E1636="",E1636="!!!",F1636="NEW"),"",INDEX(J$1:J1635,SUMPRODUCT(MAX(ROW(E$1:E1635)*(E1636=E$1:E1635)))))</f>
        <v> </v>
      </c>
      <c r="L1636" s="27"/>
    </row>
    <row r="1637" spans="1:12">
      <c r="A1637" s="20" t="s">
        <v>367</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t="s">
        <v>211</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t="s">
        <v>427</v>
      </c>
      <c r="E1639" s="22">
        <f>IF(D1639="?OLD","!!!","")</f>
        <v/>
      </c>
      <c r="F1639" s="23" t="str">
        <f>IF(OR(E1639="",E1639="!!!"),"",IF(NOT(ISNA(VLOOKUP(E1639,E$1:E1638,1,FALSE()))),"OLD",IF(AND(E1639&lt;&gt;"",E1639&lt;&gt;"!!!"),"NEW","")))</f>
        <v> </v>
      </c>
      <c r="G1639" s="24" t="str">
        <f>IF(OR(E1639="",E1639="!!!"),"",IF(OR(J1639=0,AND(J1639=1,K1639=1),AND(J1639=1,I1639="SBJ"),AND(J1639=1,I1639=0)),"?IN_FOCUS",IF(J1639&lt;=2,"?ACTIVATED",IF(J1639&lt;&gt;"","?FAMILIAR",IF(F1639="NEW",IF(ISNA(VLOOKUP(E1639,#REF!,1,FALSE())),"?TYPE_IDENTIFIABLE","?REFERENTIAL"),"_")))))</f>
        <v> </v>
      </c>
      <c r="H1639" s="25" t="str">
        <f>IF(J1639&lt;&gt;1,"",IF(I1639="SBJ","CB","?"))</f>
        <v> </v>
      </c>
      <c r="I1639" s="26" t="str">
        <f>IF(OR(E1639="",E1639="!!!",F1639="NEW"),"",INDEX(B1638:B$2,-1+SUMPRODUCT(MAX(ROW(E1638:E$2)*(E1639=E1638:E$2)))))</f>
        <v> </v>
      </c>
      <c r="J1639" s="26" t="str">
        <f>IF(OR(E1639="",E1639="!!!",F1639="NEW"),"",COUNTBLANK(OFFSET(A$1,,,SUMPRODUCT(MAX(ROW(E$2:E1639)*(E1639=E$2:E1639)))))-COUNTBLANK(OFFSET(A$1,,,SUMPRODUCT(MAX(ROW(E$1:E1638)*(E2=E$1:E1638))))))</f>
        <v> </v>
      </c>
      <c r="K1639" s="26" t="str">
        <f>IF(OR(E1639="",E1639="!!!",F1639="NEW"),"",INDEX(J$1:J1638,SUMPRODUCT(MAX(ROW(E$1:E1638)*(E1639=E$1:E1638)))))</f>
        <v> </v>
      </c>
      <c r="L1639" s="27"/>
    </row>
    <row r="1640" spans="1:12">
      <c r="A1640" s="20" t="s">
        <v>868</v>
      </c>
      <c r="B1640" s="21" t="s">
        <v>451</v>
      </c>
      <c r="C1640" s="21" t="s">
        <v>357</v>
      </c>
      <c r="D1640" s="21" t="s">
        <v>358</v>
      </c>
      <c r="E1640" s="22">
        <f>IF(D1640="?OLD","!!!","")</f>
        <v/>
      </c>
      <c r="F1640" s="23" t="str">
        <f>IF(OR(E1640="",E1640="!!!"),"",IF(NOT(ISNA(VLOOKUP(E1640,E$1:E1639,1,FALSE()))),"OLD",IF(AND(E1640&lt;&gt;"",E1640&lt;&gt;"!!!"),"NEW","")))</f>
        <v> </v>
      </c>
      <c r="G1640" s="24" t="str">
        <f>IF(OR(E1640="",E1640="!!!"),"",IF(OR(J1640=0,AND(J1640=1,K1640=1),AND(J1640=1,I1640="SBJ"),AND(J1640=1,I1640=0)),"?IN_FOCUS",IF(J1640&lt;=2,"?ACTIVATED",IF(J1640&lt;&gt;"","?FAMILIAR",IF(F1640="NEW",IF(ISNA(VLOOKUP(E1640,#REF!,1,FALSE())),"?TYPE_IDENTIFIABLE","?REFERENTIAL"),"_")))))</f>
        <v> </v>
      </c>
      <c r="H1640" s="25" t="str">
        <f>IF(J1640&lt;&gt;1,"",IF(I1640="SBJ","CB","?"))</f>
        <v> </v>
      </c>
      <c r="I1640" s="26" t="str">
        <f>IF(OR(E1640="",E1640="!!!",F1640="NEW"),"",INDEX(B1639:B$2,-1+SUMPRODUCT(MAX(ROW(E1639:E$2)*(E1640=E1639:E$2)))))</f>
        <v> </v>
      </c>
      <c r="J1640" s="26" t="str">
        <f>IF(OR(E1640="",E1640="!!!",F1640="NEW"),"",COUNTBLANK(OFFSET(A$1,,,SUMPRODUCT(MAX(ROW(E$2:E1640)*(E1640=E$2:E1640)))))-COUNTBLANK(OFFSET(A$1,,,SUMPRODUCT(MAX(ROW(E$1:E1639)*(E2=E$1:E1639))))))</f>
        <v> </v>
      </c>
      <c r="K1640" s="26" t="str">
        <f>IF(OR(E1640="",E1640="!!!",F1640="NEW"),"",INDEX(J$1:J1639,SUMPRODUCT(MAX(ROW(E$1:E1639)*(E1640=E$1:E1639)))))</f>
        <v> </v>
      </c>
      <c r="L1640" s="27"/>
    </row>
    <row r="1641" spans="1:12">
      <c r="A1641" s="20" t="s">
        <v>953</v>
      </c>
      <c r="E1641" s="22">
        <f>IF(D1641="?OLD","!!!","")</f>
        <v/>
      </c>
      <c r="F1641" s="23" t="str">
        <f>IF(OR(E1641="",E1641="!!!"),"",IF(NOT(ISNA(VLOOKUP(E1641,E$1:E1640,1,FALSE()))),"OLD",IF(AND(E1641&lt;&gt;"",E1641&lt;&gt;"!!!"),"NEW","")))</f>
        <v> </v>
      </c>
      <c r="G1641" s="24" t="str">
        <f>IF(OR(E1641="",E1641="!!!"),"",IF(OR(J1641=0,AND(J1641=1,K1641=1),AND(J1641=1,I1641="SBJ"),AND(J1641=1,I1641=0)),"?IN_FOCUS",IF(J1641&lt;=2,"?ACTIVATED",IF(J1641&lt;&gt;"","?FAMILIAR",IF(F1641="NEW",IF(ISNA(VLOOKUP(E1641,#REF!,1,FALSE())),"?TYPE_IDENTIFIABLE","?REFERENTIAL"),"_")))))</f>
        <v> </v>
      </c>
      <c r="H1641" s="25" t="str">
        <f>IF(J1641&lt;&gt;1,"",IF(I1641="SBJ","CB","?"))</f>
        <v> </v>
      </c>
      <c r="I1641" s="26" t="str">
        <f>IF(OR(E1641="",E1641="!!!",F1641="NEW"),"",INDEX(B1640:B$2,-1+SUMPRODUCT(MAX(ROW(E1640:E$2)*(E1641=E1640:E$2)))))</f>
        <v> </v>
      </c>
      <c r="J1641" s="26" t="str">
        <f>IF(OR(E1641="",E1641="!!!",F1641="NEW"),"",COUNTBLANK(OFFSET(A$1,,,SUMPRODUCT(MAX(ROW(E$2:E1641)*(E1641=E$2:E1641)))))-COUNTBLANK(OFFSET(A$1,,,SUMPRODUCT(MAX(ROW(E$1:E1640)*(E2=E$1:E1640))))))</f>
        <v> </v>
      </c>
      <c r="K1641" s="26" t="str">
        <f>IF(OR(E1641="",E1641="!!!",F1641="NEW"),"",INDEX(J$1:J1640,SUMPRODUCT(MAX(ROW(E$1:E1640)*(E1641=E$1:E1640)))))</f>
        <v> </v>
      </c>
      <c r="L1641" s="27"/>
    </row>
    <row r="1642" spans="1:12">
      <c r="A1642" s="20" t="s">
        <v>386</v>
      </c>
      <c r="E1642" s="22">
        <f>IF(D1642="?OLD","!!!","")</f>
        <v/>
      </c>
      <c r="F1642" s="23" t="str">
        <f>IF(OR(E1642="",E1642="!!!"),"",IF(NOT(ISNA(VLOOKUP(E1642,E$1:E1641,1,FALSE()))),"OLD",IF(AND(E1642&lt;&gt;"",E1642&lt;&gt;"!!!"),"NEW","")))</f>
        <v> </v>
      </c>
      <c r="G1642" s="24" t="str">
        <f>IF(OR(E1642="",E1642="!!!"),"",IF(OR(J1642=0,AND(J1642=1,K1642=1),AND(J1642=1,I1642="SBJ"),AND(J1642=1,I1642=0)),"?IN_FOCUS",IF(J1642&lt;=2,"?ACTIVATED",IF(J1642&lt;&gt;"","?FAMILIAR",IF(F1642="NEW",IF(ISNA(VLOOKUP(E1642,#REF!,1,FALSE())),"?TYPE_IDENTIFIABLE","?REFERENTIAL"),"_")))))</f>
        <v> </v>
      </c>
      <c r="H1642" s="25" t="str">
        <f>IF(J1642&lt;&gt;1,"",IF(I1642="SBJ","CB","?"))</f>
        <v> </v>
      </c>
      <c r="I1642" s="26" t="str">
        <f>IF(OR(E1642="",E1642="!!!",F1642="NEW"),"",INDEX(B1641:B$2,-1+SUMPRODUCT(MAX(ROW(E1641:E$2)*(E1642=E1641:E$2)))))</f>
        <v> </v>
      </c>
      <c r="J1642" s="26" t="str">
        <f>IF(OR(E1642="",E1642="!!!",F1642="NEW"),"",COUNTBLANK(OFFSET(A$1,,,SUMPRODUCT(MAX(ROW(E$2:E1642)*(E1642=E$2:E1642)))))-COUNTBLANK(OFFSET(A$1,,,SUMPRODUCT(MAX(ROW(E$1:E1641)*(E2=E$1:E1641))))))</f>
        <v> </v>
      </c>
      <c r="K1642" s="26" t="str">
        <f>IF(OR(E1642="",E1642="!!!",F1642="NEW"),"",INDEX(J$1:J1641,SUMPRODUCT(MAX(ROW(E$1:E1641)*(E1642=E$1:E1641)))))</f>
        <v> </v>
      </c>
      <c r="L1642" s="27"/>
    </row>
    <row r="1643" spans="1:12">
      <c r="A1643" s="20" t="s">
        <v>954</v>
      </c>
      <c r="B1643" s="21" t="s">
        <v>452</v>
      </c>
      <c r="C1643" s="21" t="s">
        <v>476</v>
      </c>
      <c r="D1643" s="21" t="s">
        <v>358</v>
      </c>
      <c r="E1643" s="22">
        <f>IF(D1643="?OLD","!!!","")</f>
        <v/>
      </c>
      <c r="F1643" s="23" t="str">
        <f>IF(OR(E1643="",E1643="!!!"),"",IF(NOT(ISNA(VLOOKUP(E1643,E$1:E1642,1,FALSE()))),"OLD",IF(AND(E1643&lt;&gt;"",E1643&lt;&gt;"!!!"),"NEW","")))</f>
        <v> </v>
      </c>
      <c r="G1643" s="24" t="str">
        <f>IF(OR(E1643="",E1643="!!!"),"",IF(OR(J1643=0,AND(J1643=1,K1643=1),AND(J1643=1,I1643="SBJ"),AND(J1643=1,I1643=0)),"?IN_FOCUS",IF(J1643&lt;=2,"?ACTIVATED",IF(J1643&lt;&gt;"","?FAMILIAR",IF(F1643="NEW",IF(ISNA(VLOOKUP(E1643,#REF!,1,FALSE())),"?TYPE_IDENTIFIABLE","?REFERENTIAL"),"_")))))</f>
        <v> </v>
      </c>
      <c r="H1643" s="25" t="str">
        <f>IF(J1643&lt;&gt;1,"",IF(I1643="SBJ","CB","?"))</f>
        <v> </v>
      </c>
      <c r="I1643" s="26" t="str">
        <f>IF(OR(E1643="",E1643="!!!",F1643="NEW"),"",INDEX(B1642:B$2,-1+SUMPRODUCT(MAX(ROW(E1642:E$2)*(E1643=E1642:E$2)))))</f>
        <v> </v>
      </c>
      <c r="J1643" s="26" t="str">
        <f>IF(OR(E1643="",E1643="!!!",F1643="NEW"),"",COUNTBLANK(OFFSET(A$1,,,SUMPRODUCT(MAX(ROW(E$2:E1643)*(E1643=E$2:E1643)))))-COUNTBLANK(OFFSET(A$1,,,SUMPRODUCT(MAX(ROW(E$1:E1642)*(E2=E$1:E1642))))))</f>
        <v> </v>
      </c>
      <c r="K1643" s="26" t="str">
        <f>IF(OR(E1643="",E1643="!!!",F1643="NEW"),"",INDEX(J$1:J1642,SUMPRODUCT(MAX(ROW(E$1:E1642)*(E1643=E$1:E1642)))))</f>
        <v> </v>
      </c>
      <c r="L1643" s="27"/>
    </row>
    <row r="1644" spans="1:12">
      <c r="A1644" s="20" t="s">
        <v>380</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955</v>
      </c>
      <c r="B1645" s="21" t="s">
        <v>417</v>
      </c>
      <c r="C1645" s="21" t="s">
        <v>506</v>
      </c>
      <c r="D1645" s="21" t="s">
        <v>358</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t="s">
        <v>956</v>
      </c>
      <c r="B1646" s="21" t="s">
        <v>388</v>
      </c>
      <c r="C1646" s="21" t="s">
        <v>476</v>
      </c>
      <c r="D1646" s="21" t="s">
        <v>358</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367</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t="s">
        <v>380</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955</v>
      </c>
      <c r="B1649" s="21" t="s">
        <v>493</v>
      </c>
      <c r="C1649" s="21" t="s">
        <v>506</v>
      </c>
      <c r="D1649" s="21" t="s">
        <v>358</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957</v>
      </c>
      <c r="B1650" s="21" t="s">
        <v>417</v>
      </c>
      <c r="C1650" s="21" t="s">
        <v>476</v>
      </c>
      <c r="D1650" s="21" t="s">
        <v>358</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t="s">
        <v>211</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t="s">
        <v>380</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t="s">
        <v>955</v>
      </c>
      <c r="B1653" s="21" t="s">
        <v>493</v>
      </c>
      <c r="C1653" s="21" t="s">
        <v>506</v>
      </c>
      <c r="D1653" s="21" t="s">
        <v>358</v>
      </c>
      <c r="E1653" s="22">
        <f>IF(D1653="?OLD","!!!","")</f>
        <v/>
      </c>
      <c r="F1653" s="23" t="str">
        <f>IF(OR(E1653="",E1653="!!!"),"",IF(NOT(ISNA(VLOOKUP(E1653,E$1:E1652,1,FALSE()))),"OLD",IF(AND(E1653&lt;&gt;"",E1653&lt;&gt;"!!!"),"NEW","")))</f>
        <v> </v>
      </c>
      <c r="G1653" s="24" t="str">
        <f>IF(OR(E1653="",E1653="!!!"),"",IF(OR(J1653=0,AND(J1653=1,K1653=1),AND(J1653=1,I1653="SBJ"),AND(J1653=1,I1653=0)),"?IN_FOCUS",IF(J1653&lt;=2,"?ACTIVATED",IF(J1653&lt;&gt;"","?FAMILIAR",IF(F1653="NEW",IF(ISNA(VLOOKUP(E1653,#REF!,1,FALSE())),"?TYPE_IDENTIFIABLE","?REFERENTIAL"),"_")))))</f>
        <v> </v>
      </c>
      <c r="H1653" s="25" t="str">
        <f>IF(J1653&lt;&gt;1,"",IF(I1653="SBJ","CB","?"))</f>
        <v> </v>
      </c>
      <c r="I1653" s="26" t="str">
        <f>IF(OR(E1653="",E1653="!!!",F1653="NEW"),"",INDEX(B1652:B$2,-1+SUMPRODUCT(MAX(ROW(E1652:E$2)*(E1653=E1652:E$2)))))</f>
        <v> </v>
      </c>
      <c r="J1653" s="26" t="str">
        <f>IF(OR(E1653="",E1653="!!!",F1653="NEW"),"",COUNTBLANK(OFFSET(A$1,,,SUMPRODUCT(MAX(ROW(E$2:E1653)*(E1653=E$2:E1653)))))-COUNTBLANK(OFFSET(A$1,,,SUMPRODUCT(MAX(ROW(E$1:E1652)*(E2=E$1:E1652))))))</f>
        <v> </v>
      </c>
      <c r="K1653" s="26" t="str">
        <f>IF(OR(E1653="",E1653="!!!",F1653="NEW"),"",INDEX(J$1:J1652,SUMPRODUCT(MAX(ROW(E$1:E1652)*(E1653=E$1:E1652)))))</f>
        <v> </v>
      </c>
      <c r="L1653" s="27"/>
    </row>
    <row r="1654" spans="1:12">
      <c r="A1654" s="20" t="s">
        <v>958</v>
      </c>
      <c r="B1654" s="21" t="s">
        <v>417</v>
      </c>
      <c r="C1654" s="21" t="s">
        <v>476</v>
      </c>
      <c r="D1654" s="21" t="s">
        <v>358</v>
      </c>
      <c r="E1654" s="22">
        <f>IF(D1654="?OLD","!!!","")</f>
        <v/>
      </c>
      <c r="F1654" s="23" t="str">
        <f>IF(OR(E1654="",E1654="!!!"),"",IF(NOT(ISNA(VLOOKUP(E1654,E$1:E1653,1,FALSE()))),"OLD",IF(AND(E1654&lt;&gt;"",E1654&lt;&gt;"!!!"),"NEW","")))</f>
        <v> </v>
      </c>
      <c r="G1654" s="24" t="str">
        <f>IF(OR(E1654="",E1654="!!!"),"",IF(OR(J1654=0,AND(J1654=1,K1654=1),AND(J1654=1,I1654="SBJ"),AND(J1654=1,I1654=0)),"?IN_FOCUS",IF(J1654&lt;=2,"?ACTIVATED",IF(J1654&lt;&gt;"","?FAMILIAR",IF(F1654="NEW",IF(ISNA(VLOOKUP(E1654,#REF!,1,FALSE())),"?TYPE_IDENTIFIABLE","?REFERENTIAL"),"_")))))</f>
        <v> </v>
      </c>
      <c r="H1654" s="25" t="str">
        <f>IF(J1654&lt;&gt;1,"",IF(I1654="SBJ","CB","?"))</f>
        <v> </v>
      </c>
      <c r="I1654" s="26" t="str">
        <f>IF(OR(E1654="",E1654="!!!",F1654="NEW"),"",INDEX(B1653:B$2,-1+SUMPRODUCT(MAX(ROW(E1653:E$2)*(E1654=E1653:E$2)))))</f>
        <v> </v>
      </c>
      <c r="J1654" s="26" t="str">
        <f>IF(OR(E1654="",E1654="!!!",F1654="NEW"),"",COUNTBLANK(OFFSET(A$1,,,SUMPRODUCT(MAX(ROW(E$2:E1654)*(E1654=E$2:E1654)))))-COUNTBLANK(OFFSET(A$1,,,SUMPRODUCT(MAX(ROW(E$1:E1653)*(E2=E$1:E1653))))))</f>
        <v> </v>
      </c>
      <c r="K1654" s="26" t="str">
        <f>IF(OR(E1654="",E1654="!!!",F1654="NEW"),"",INDEX(J$1:J1653,SUMPRODUCT(MAX(ROW(E$1:E1653)*(E1654=E$1:E1653)))))</f>
        <v> </v>
      </c>
      <c r="L1654" s="27"/>
    </row>
    <row r="1655" spans="1:12">
      <c r="A1655" s="20" t="s">
        <v>369</v>
      </c>
      <c r="E1655" s="22">
        <f>IF(D1655="?OLD","!!!","")</f>
        <v/>
      </c>
      <c r="F1655" s="23" t="str">
        <f>IF(OR(E1655="",E1655="!!!"),"",IF(NOT(ISNA(VLOOKUP(E1655,E$1:E1654,1,FALSE()))),"OLD",IF(AND(E1655&lt;&gt;"",E1655&lt;&gt;"!!!"),"NEW","")))</f>
        <v> </v>
      </c>
      <c r="G1655" s="24" t="str">
        <f>IF(OR(E1655="",E1655="!!!"),"",IF(OR(J1655=0,AND(J1655=1,K1655=1),AND(J1655=1,I1655="SBJ"),AND(J1655=1,I1655=0)),"?IN_FOCUS",IF(J1655&lt;=2,"?ACTIVATED",IF(J1655&lt;&gt;"","?FAMILIAR",IF(F1655="NEW",IF(ISNA(VLOOKUP(E1655,#REF!,1,FALSE())),"?TYPE_IDENTIFIABLE","?REFERENTIAL"),"_")))))</f>
        <v> </v>
      </c>
      <c r="H1655" s="25" t="str">
        <f>IF(J1655&lt;&gt;1,"",IF(I1655="SBJ","CB","?"))</f>
        <v> </v>
      </c>
      <c r="I1655" s="26" t="str">
        <f>IF(OR(E1655="",E1655="!!!",F1655="NEW"),"",INDEX(B1654:B$2,-1+SUMPRODUCT(MAX(ROW(E1654:E$2)*(E1655=E1654:E$2)))))</f>
        <v> </v>
      </c>
      <c r="J1655" s="26" t="str">
        <f>IF(OR(E1655="",E1655="!!!",F1655="NEW"),"",COUNTBLANK(OFFSET(A$1,,,SUMPRODUCT(MAX(ROW(E$2:E1655)*(E1655=E$2:E1655)))))-COUNTBLANK(OFFSET(A$1,,,SUMPRODUCT(MAX(ROW(E$1:E1654)*(E2=E$1:E1654))))))</f>
        <v> </v>
      </c>
      <c r="K1655" s="26" t="str">
        <f>IF(OR(E1655="",E1655="!!!",F1655="NEW"),"",INDEX(J$1:J1654,SUMPRODUCT(MAX(ROW(E$1:E1654)*(E1655=E$1:E1654)))))</f>
        <v> </v>
      </c>
      <c r="L1655" s="27"/>
    </row>
    <row r="1656" spans="1:12">
      <c r="A1656" s="20" t="s">
        <v>386</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t="s">
        <v>959</v>
      </c>
      <c r="B1657" s="21" t="s">
        <v>493</v>
      </c>
      <c r="C1657" s="21" t="s">
        <v>385</v>
      </c>
      <c r="D1657" s="21" t="s">
        <v>358</v>
      </c>
      <c r="E1657" s="22">
        <f>IF(D1657="?OLD","!!!","")</f>
        <v/>
      </c>
      <c r="F1657" s="23" t="str">
        <f>IF(OR(E1657="",E1657="!!!"),"",IF(NOT(ISNA(VLOOKUP(E1657,E$1:E1656,1,FALSE()))),"OLD",IF(AND(E1657&lt;&gt;"",E1657&lt;&gt;"!!!"),"NEW","")))</f>
        <v> </v>
      </c>
      <c r="G1657" s="24" t="str">
        <f>IF(OR(E1657="",E1657="!!!"),"",IF(OR(J1657=0,AND(J1657=1,K1657=1),AND(J1657=1,I1657="SBJ"),AND(J1657=1,I1657=0)),"?IN_FOCUS",IF(J1657&lt;=2,"?ACTIVATED",IF(J1657&lt;&gt;"","?FAMILIAR",IF(F1657="NEW",IF(ISNA(VLOOKUP(E1657,#REF!,1,FALSE())),"?TYPE_IDENTIFIABLE","?REFERENTIAL"),"_")))))</f>
        <v> </v>
      </c>
      <c r="H1657" s="25" t="str">
        <f>IF(J1657&lt;&gt;1,"",IF(I1657="SBJ","CB","?"))</f>
        <v> </v>
      </c>
      <c r="I1657" s="26" t="str">
        <f>IF(OR(E1657="",E1657="!!!",F1657="NEW"),"",INDEX(B1656:B$2,-1+SUMPRODUCT(MAX(ROW(E1656:E$2)*(E1657=E1656:E$2)))))</f>
        <v> </v>
      </c>
      <c r="J1657" s="26" t="str">
        <f>IF(OR(E1657="",E1657="!!!",F1657="NEW"),"",COUNTBLANK(OFFSET(A$1,,,SUMPRODUCT(MAX(ROW(E$2:E1657)*(E1657=E$2:E1657)))))-COUNTBLANK(OFFSET(A$1,,,SUMPRODUCT(MAX(ROW(E$1:E1656)*(E2=E$1:E1656))))))</f>
        <v> </v>
      </c>
      <c r="K1657" s="26" t="str">
        <f>IF(OR(E1657="",E1657="!!!",F1657="NEW"),"",INDEX(J$1:J1656,SUMPRODUCT(MAX(ROW(E$1:E1656)*(E1657=E$1:E1656)))))</f>
        <v> </v>
      </c>
      <c r="L1657" s="27"/>
    </row>
    <row r="1658" spans="1:12">
      <c r="A1658" s="20" t="s">
        <v>427</v>
      </c>
      <c r="B1658" s="21" t="s">
        <v>960</v>
      </c>
      <c r="E1658" s="22">
        <f>IF(D1658="?OLD","!!!","")</f>
        <v/>
      </c>
      <c r="F1658" s="23" t="str">
        <f>IF(OR(E1658="",E1658="!!!"),"",IF(NOT(ISNA(VLOOKUP(E1658,E$1:E1657,1,FALSE()))),"OLD",IF(AND(E1658&lt;&gt;"",E1658&lt;&gt;"!!!"),"NEW","")))</f>
        <v> </v>
      </c>
      <c r="G1658" s="24" t="str">
        <f>IF(OR(E1658="",E1658="!!!"),"",IF(OR(J1658=0,AND(J1658=1,K1658=1),AND(J1658=1,I1658="SBJ"),AND(J1658=1,I1658=0)),"?IN_FOCUS",IF(J1658&lt;=2,"?ACTIVATED",IF(J1658&lt;&gt;"","?FAMILIAR",IF(F1658="NEW",IF(ISNA(VLOOKUP(E1658,#REF!,1,FALSE())),"?TYPE_IDENTIFIABLE","?REFERENTIAL"),"_")))))</f>
        <v> </v>
      </c>
      <c r="H1658" s="25" t="str">
        <f>IF(J1658&lt;&gt;1,"",IF(I1658="SBJ","CB","?"))</f>
        <v> </v>
      </c>
      <c r="I1658" s="26" t="str">
        <f>IF(OR(E1658="",E1658="!!!",F1658="NEW"),"",INDEX(B1657:B$2,-1+SUMPRODUCT(MAX(ROW(E1657:E$2)*(E1658=E1657:E$2)))))</f>
        <v> </v>
      </c>
      <c r="J1658" s="26" t="str">
        <f>IF(OR(E1658="",E1658="!!!",F1658="NEW"),"",COUNTBLANK(OFFSET(A$1,,,SUMPRODUCT(MAX(ROW(E$2:E1658)*(E1658=E$2:E1658)))))-COUNTBLANK(OFFSET(A$1,,,SUMPRODUCT(MAX(ROW(E$1:E1657)*(E2=E$1:E1657))))))</f>
        <v> </v>
      </c>
      <c r="K1658" s="26" t="str">
        <f>IF(OR(E1658="",E1658="!!!",F1658="NEW"),"",INDEX(J$1:J1657,SUMPRODUCT(MAX(ROW(E$1:E1657)*(E1658=E$1:E1657)))))</f>
        <v> </v>
      </c>
      <c r="L1658" s="27"/>
    </row>
    <row r="1659" spans="1:12">
      <c r="A1659" s="20" t="s">
        <v>868</v>
      </c>
      <c r="B1659" s="21" t="s">
        <v>961</v>
      </c>
      <c r="C1659" s="21" t="s">
        <v>357</v>
      </c>
      <c r="D1659" s="21" t="s">
        <v>358</v>
      </c>
      <c r="E1659" s="22">
        <f>IF(D1659="?OLD","!!!","")</f>
        <v/>
      </c>
      <c r="F1659" s="23" t="str">
        <f>IF(OR(E1659="",E1659="!!!"),"",IF(NOT(ISNA(VLOOKUP(E1659,E$1:E1658,1,FALSE()))),"OLD",IF(AND(E1659&lt;&gt;"",E1659&lt;&gt;"!!!"),"NEW","")))</f>
        <v> </v>
      </c>
      <c r="G1659" s="24" t="str">
        <f>IF(OR(E1659="",E1659="!!!"),"",IF(OR(J1659=0,AND(J1659=1,K1659=1),AND(J1659=1,I1659="SBJ"),AND(J1659=1,I1659=0)),"?IN_FOCUS",IF(J1659&lt;=2,"?ACTIVATED",IF(J1659&lt;&gt;"","?FAMILIAR",IF(F1659="NEW",IF(ISNA(VLOOKUP(E1659,#REF!,1,FALSE())),"?TYPE_IDENTIFIABLE","?REFERENTIAL"),"_")))))</f>
        <v> </v>
      </c>
      <c r="H1659" s="25" t="str">
        <f>IF(J1659&lt;&gt;1,"",IF(I1659="SBJ","CB","?"))</f>
        <v> </v>
      </c>
      <c r="I1659" s="26" t="str">
        <f>IF(OR(E1659="",E1659="!!!",F1659="NEW"),"",INDEX(B1658:B$2,-1+SUMPRODUCT(MAX(ROW(E1658:E$2)*(E1659=E1658:E$2)))))</f>
        <v> </v>
      </c>
      <c r="J1659" s="26" t="str">
        <f>IF(OR(E1659="",E1659="!!!",F1659="NEW"),"",COUNTBLANK(OFFSET(A$1,,,SUMPRODUCT(MAX(ROW(E$2:E1659)*(E1659=E$2:E1659)))))-COUNTBLANK(OFFSET(A$1,,,SUMPRODUCT(MAX(ROW(E$1:E1658)*(E2=E$1:E1658))))))</f>
        <v> </v>
      </c>
      <c r="K1659" s="26" t="str">
        <f>IF(OR(E1659="",E1659="!!!",F1659="NEW"),"",INDEX(J$1:J1658,SUMPRODUCT(MAX(ROW(E$1:E1658)*(E1659=E$1:E1658)))))</f>
        <v> </v>
      </c>
      <c r="L1659" s="27"/>
    </row>
    <row r="1660" spans="1:12">
      <c r="A1660" s="20" t="s">
        <v>848</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962</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868</v>
      </c>
      <c r="B1662" s="21" t="s">
        <v>580</v>
      </c>
      <c r="C1662" s="21" t="s">
        <v>357</v>
      </c>
      <c r="D1662" s="21" t="s">
        <v>358</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389</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row>
    <row r="1665" spans="1:12">
      <c r="A1665" s="20" t="s">
        <v>555</v>
      </c>
      <c r="E1665" s="22">
        <f>IF(D1665="?OLD","!!!","")</f>
        <v/>
      </c>
      <c r="F1665" s="23" t="str">
        <f>IF(OR(E1665="",E1665="!!!"),"",IF(NOT(ISNA(VLOOKUP(E1665,E$1:E1664,1,FALSE()))),"OLD",IF(AND(E1665&lt;&gt;"",E1665&lt;&gt;"!!!"),"NEW","")))</f>
        <v> </v>
      </c>
      <c r="G1665" s="24" t="str">
        <f>IF(OR(E1665="",E1665="!!!"),"",IF(OR(J1665=0,AND(J1665=1,K1665=1),AND(J1665=1,I1665="SBJ"),AND(J1665=1,I1665=0)),"?IN_FOCUS",IF(J1665&lt;=2,"?ACTIVATED",IF(J1665&lt;&gt;"","?FAMILIAR",IF(F1665="NEW",IF(ISNA(VLOOKUP(E1665,#REF!,1,FALSE())),"?TYPE_IDENTIFIABLE","?REFERENTIAL"),"_")))))</f>
        <v> </v>
      </c>
      <c r="H1665" s="25" t="str">
        <f>IF(J1665&lt;&gt;1,"",IF(I1665="SBJ","CB","?"))</f>
        <v> </v>
      </c>
      <c r="I1665" s="26" t="str">
        <f>IF(OR(E1665="",E1665="!!!",F1665="NEW"),"",INDEX(B1664:B$2,-1+SUMPRODUCT(MAX(ROW(E1664:E$2)*(E1665=E1664:E$2)))))</f>
        <v> </v>
      </c>
      <c r="J1665" s="26" t="str">
        <f>IF(OR(E1665="",E1665="!!!",F1665="NEW"),"",COUNTBLANK(OFFSET(A$1,,,SUMPRODUCT(MAX(ROW(E$2:E1665)*(E1665=E$2:E1665)))))-COUNTBLANK(OFFSET(A$1,,,SUMPRODUCT(MAX(ROW(E$1:E1664)*(E2=E$1:E1664))))))</f>
        <v> </v>
      </c>
      <c r="K1665" s="26" t="str">
        <f>IF(OR(E1665="",E1665="!!!",F1665="NEW"),"",INDEX(J$1:J1664,SUMPRODUCT(MAX(ROW(E$1:E1664)*(E1665=E$1:E1664)))))</f>
        <v> </v>
      </c>
      <c r="L1665" s="27"/>
    </row>
    <row r="1666" spans="1:12">
      <c r="A1666" s="20" t="s">
        <v>963</v>
      </c>
    </row>
    <row r="1667" spans="1:12">
      <c r="A1667" s="20" t="s">
        <v>391</v>
      </c>
      <c r="E1667" s="22">
        <f>IF(D1667="?OLD","!!!","")</f>
        <v/>
      </c>
      <c r="F1667" s="23" t="str">
        <f>IF(OR(E1667="",E1667="!!!"),"",IF(NOT(ISNA(VLOOKUP(E1667,E$1:E1666,1,FALSE()))),"OLD",IF(AND(E1667&lt;&gt;"",E1667&lt;&gt;"!!!"),"NEW","")))</f>
        <v> </v>
      </c>
      <c r="G1667" s="24" t="str">
        <f>IF(OR(E1667="",E1667="!!!"),"",IF(OR(J1667=0,AND(J1667=1,K1667=1),AND(J1667=1,I1667="SBJ"),AND(J1667=1,I1667=0)),"?IN_FOCUS",IF(J1667&lt;=2,"?ACTIVATED",IF(J1667&lt;&gt;"","?FAMILIAR",IF(F1667="NEW",IF(ISNA(VLOOKUP(E1667,#REF!,1,FALSE())),"?TYPE_IDENTIFIABLE","?REFERENTIAL"),"_")))))</f>
        <v> </v>
      </c>
      <c r="H1667" s="25" t="str">
        <f>IF(J1667&lt;&gt;1,"",IF(I1667="SBJ","CB","?"))</f>
        <v> </v>
      </c>
      <c r="I1667" s="26" t="str">
        <f>IF(OR(E1667="",E1667="!!!",F1667="NEW"),"",INDEX(B1666:B$2,-1+SUMPRODUCT(MAX(ROW(E1666:E$2)*(E1667=E1666:E$2)))))</f>
        <v> </v>
      </c>
      <c r="J1667" s="26" t="str">
        <f>IF(OR(E1667="",E1667="!!!",F1667="NEW"),"",COUNTBLANK(OFFSET(A$1,,,SUMPRODUCT(MAX(ROW(E$2:E1667)*(E1667=E$2:E1667)))))-COUNTBLANK(OFFSET(A$1,,,SUMPRODUCT(MAX(ROW(E$1:E1666)*(E2=E$1:E1666))))))</f>
        <v> </v>
      </c>
      <c r="K1667" s="26" t="str">
        <f>IF(OR(E1667="",E1667="!!!",F1667="NEW"),"",INDEX(J$1:J1666,SUMPRODUCT(MAX(ROW(E$1:E1666)*(E1667=E$1:E1666)))))</f>
        <v> </v>
      </c>
      <c r="L1667" s="27"/>
    </row>
    <row r="1668" spans="1:12">
      <c r="A1668" s="20" t="s">
        <v>367</v>
      </c>
      <c r="E1668" s="22">
        <f>IF(D1668="?OLD","!!!","")</f>
        <v/>
      </c>
      <c r="F1668" s="23" t="str">
        <f>IF(OR(E1668="",E1668="!!!"),"",IF(NOT(ISNA(VLOOKUP(E1668,E$1:E1667,1,FALSE()))),"OLD",IF(AND(E1668&lt;&gt;"",E1668&lt;&gt;"!!!"),"NEW","")))</f>
        <v> </v>
      </c>
      <c r="G1668" s="24" t="str">
        <f>IF(OR(E1668="",E1668="!!!"),"",IF(OR(J1668=0,AND(J1668=1,K1668=1),AND(J1668=1,I1668="SBJ"),AND(J1668=1,I1668=0)),"?IN_FOCUS",IF(J1668&lt;=2,"?ACTIVATED",IF(J1668&lt;&gt;"","?FAMILIAR",IF(F1668="NEW",IF(ISNA(VLOOKUP(E1668,#REF!,1,FALSE())),"?TYPE_IDENTIFIABLE","?REFERENTIAL"),"_")))))</f>
        <v> </v>
      </c>
      <c r="H1668" s="25" t="str">
        <f>IF(J1668&lt;&gt;1,"",IF(I1668="SBJ","CB","?"))</f>
        <v> </v>
      </c>
      <c r="I1668" s="26" t="str">
        <f>IF(OR(E1668="",E1668="!!!",F1668="NEW"),"",INDEX(B1667:B$2,-1+SUMPRODUCT(MAX(ROW(E1667:E$2)*(E1668=E1667:E$2)))))</f>
        <v> </v>
      </c>
      <c r="J1668" s="26" t="str">
        <f>IF(OR(E1668="",E1668="!!!",F1668="NEW"),"",COUNTBLANK(OFFSET(A$1,,,SUMPRODUCT(MAX(ROW(E$2:E1668)*(E1668=E$2:E1668)))))-COUNTBLANK(OFFSET(A$1,,,SUMPRODUCT(MAX(ROW(E$1:E1667)*(E2=E$1:E1667))))))</f>
        <v> </v>
      </c>
      <c r="K1668" s="26" t="str">
        <f>IF(OR(E1668="",E1668="!!!",F1668="NEW"),"",INDEX(J$1:J1667,SUMPRODUCT(MAX(ROW(E$1:E1667)*(E1668=E$1:E1667)))))</f>
        <v> </v>
      </c>
      <c r="L1668" s="27"/>
    </row>
    <row r="1669" spans="1:12">
      <c r="A1669" s="20" t="s">
        <v>964</v>
      </c>
      <c r="E1669" s="22">
        <f>IF(D1669="?OLD","!!!","")</f>
        <v/>
      </c>
      <c r="F1669" s="23" t="str">
        <f>IF(OR(E1669="",E1669="!!!"),"",IF(NOT(ISNA(VLOOKUP(E1669,E$1:E1668,1,FALSE()))),"OLD",IF(AND(E1669&lt;&gt;"",E1669&lt;&gt;"!!!"),"NEW","")))</f>
        <v> </v>
      </c>
      <c r="G1669" s="24" t="str">
        <f>IF(OR(E1669="",E1669="!!!"),"",IF(OR(J1669=0,AND(J1669=1,K1669=1),AND(J1669=1,I1669="SBJ"),AND(J1669=1,I1669=0)),"?IN_FOCUS",IF(J1669&lt;=2,"?ACTIVATED",IF(J1669&lt;&gt;"","?FAMILIAR",IF(F1669="NEW",IF(ISNA(VLOOKUP(E1669,#REF!,1,FALSE())),"?TYPE_IDENTIFIABLE","?REFERENTIAL"),"_")))))</f>
        <v> </v>
      </c>
      <c r="H1669" s="25" t="str">
        <f>IF(J1669&lt;&gt;1,"",IF(I1669="SBJ","CB","?"))</f>
        <v> </v>
      </c>
      <c r="I1669" s="26" t="str">
        <f>IF(OR(E1669="",E1669="!!!",F1669="NEW"),"",INDEX(B1668:B$2,-1+SUMPRODUCT(MAX(ROW(E1668:E$2)*(E1669=E1668:E$2)))))</f>
        <v> </v>
      </c>
      <c r="J1669" s="26" t="str">
        <f>IF(OR(E1669="",E1669="!!!",F1669="NEW"),"",COUNTBLANK(OFFSET(A$1,,,SUMPRODUCT(MAX(ROW(E$2:E1669)*(E1669=E$2:E1669)))))-COUNTBLANK(OFFSET(A$1,,,SUMPRODUCT(MAX(ROW(E$1:E1668)*(E2=E$1:E1668))))))</f>
        <v> </v>
      </c>
      <c r="K1669" s="26" t="str">
        <f>IF(OR(E1669="",E1669="!!!",F1669="NEW"),"",INDEX(J$1:J1668,SUMPRODUCT(MAX(ROW(E$1:E1668)*(E1669=E$1:E1668)))))</f>
        <v> </v>
      </c>
      <c r="L1669" s="27"/>
    </row>
    <row r="1670" spans="1:12">
      <c r="A1670" s="20" t="s">
        <v>367</v>
      </c>
      <c r="E1670" s="22">
        <f>IF(D1670="?OLD","!!!","")</f>
        <v/>
      </c>
      <c r="F1670" s="23" t="str">
        <f>IF(OR(E1670="",E1670="!!!"),"",IF(NOT(ISNA(VLOOKUP(E1670,E$1:E1669,1,FALSE()))),"OLD",IF(AND(E1670&lt;&gt;"",E1670&lt;&gt;"!!!"),"NEW","")))</f>
        <v> </v>
      </c>
      <c r="G1670" s="24" t="str">
        <f>IF(OR(E1670="",E1670="!!!"),"",IF(OR(J1670=0,AND(J1670=1,K1670=1),AND(J1670=1,I1670="SBJ"),AND(J1670=1,I1670=0)),"?IN_FOCUS",IF(J1670&lt;=2,"?ACTIVATED",IF(J1670&lt;&gt;"","?FAMILIAR",IF(F1670="NEW",IF(ISNA(VLOOKUP(E1670,#REF!,1,FALSE())),"?TYPE_IDENTIFIABLE","?REFERENTIAL"),"_")))))</f>
        <v> </v>
      </c>
      <c r="H1670" s="25" t="str">
        <f>IF(J1670&lt;&gt;1,"",IF(I1670="SBJ","CB","?"))</f>
        <v> </v>
      </c>
      <c r="I1670" s="26" t="str">
        <f>IF(OR(E1670="",E1670="!!!",F1670="NEW"),"",INDEX(B1669:B$2,-1+SUMPRODUCT(MAX(ROW(E1669:E$2)*(E1670=E1669:E$2)))))</f>
        <v> </v>
      </c>
      <c r="J1670" s="26" t="str">
        <f>IF(OR(E1670="",E1670="!!!",F1670="NEW"),"",COUNTBLANK(OFFSET(A$1,,,SUMPRODUCT(MAX(ROW(E$2:E1670)*(E1670=E$2:E1670)))))-COUNTBLANK(OFFSET(A$1,,,SUMPRODUCT(MAX(ROW(E$1:E1669)*(E2=E$1:E1669))))))</f>
        <v> </v>
      </c>
      <c r="K1670" s="26" t="str">
        <f>IF(OR(E1670="",E1670="!!!",F1670="NEW"),"",INDEX(J$1:J1669,SUMPRODUCT(MAX(ROW(E$1:E1669)*(E1670=E$1:E1669)))))</f>
        <v> </v>
      </c>
      <c r="L1670" s="27"/>
    </row>
    <row r="1671" spans="1:12">
      <c r="A1671" s="20" t="s">
        <v>414</v>
      </c>
      <c r="E1671" s="22">
        <f>IF(D1671="?OLD","!!!","")</f>
        <v/>
      </c>
      <c r="F1671" s="23" t="str">
        <f>IF(OR(E1671="",E1671="!!!"),"",IF(NOT(ISNA(VLOOKUP(E1671,E$1:E1670,1,FALSE()))),"OLD",IF(AND(E1671&lt;&gt;"",E1671&lt;&gt;"!!!"),"NEW","")))</f>
        <v> </v>
      </c>
      <c r="G1671" s="24" t="str">
        <f>IF(OR(E1671="",E1671="!!!"),"",IF(OR(J1671=0,AND(J1671=1,K1671=1),AND(J1671=1,I1671="SBJ"),AND(J1671=1,I1671=0)),"?IN_FOCUS",IF(J1671&lt;=2,"?ACTIVATED",IF(J1671&lt;&gt;"","?FAMILIAR",IF(F1671="NEW",IF(ISNA(VLOOKUP(E1671,#REF!,1,FALSE())),"?TYPE_IDENTIFIABLE","?REFERENTIAL"),"_")))))</f>
        <v> </v>
      </c>
      <c r="H1671" s="25" t="str">
        <f>IF(J1671&lt;&gt;1,"",IF(I1671="SBJ","CB","?"))</f>
        <v> </v>
      </c>
      <c r="I1671" s="26" t="str">
        <f>IF(OR(E1671="",E1671="!!!",F1671="NEW"),"",INDEX(B1670:B$2,-1+SUMPRODUCT(MAX(ROW(E1670:E$2)*(E1671=E1670:E$2)))))</f>
        <v> </v>
      </c>
      <c r="J1671" s="26" t="str">
        <f>IF(OR(E1671="",E1671="!!!",F1671="NEW"),"",COUNTBLANK(OFFSET(A$1,,,SUMPRODUCT(MAX(ROW(E$2:E1671)*(E1671=E$2:E1671)))))-COUNTBLANK(OFFSET(A$1,,,SUMPRODUCT(MAX(ROW(E$1:E1670)*(E2=E$1:E1670))))))</f>
        <v> </v>
      </c>
      <c r="K1671" s="26" t="str">
        <f>IF(OR(E1671="",E1671="!!!",F1671="NEW"),"",INDEX(J$1:J1670,SUMPRODUCT(MAX(ROW(E$1:E1670)*(E1671=E$1:E1670)))))</f>
        <v> </v>
      </c>
      <c r="L1671" s="27"/>
    </row>
    <row r="1672" spans="1:12">
      <c r="A1672" s="20" t="s">
        <v>965</v>
      </c>
      <c r="E1672" s="22">
        <f>IF(D1672="?OLD","!!!","")</f>
        <v/>
      </c>
      <c r="F1672" s="23" t="str">
        <f>IF(OR(E1672="",E1672="!!!"),"",IF(NOT(ISNA(VLOOKUP(E1672,E$1:E1671,1,FALSE()))),"OLD",IF(AND(E1672&lt;&gt;"",E1672&lt;&gt;"!!!"),"NEW","")))</f>
        <v> </v>
      </c>
      <c r="G1672" s="24" t="str">
        <f>IF(OR(E1672="",E1672="!!!"),"",IF(OR(J1672=0,AND(J1672=1,K1672=1),AND(J1672=1,I1672="SBJ"),AND(J1672=1,I1672=0)),"?IN_FOCUS",IF(J1672&lt;=2,"?ACTIVATED",IF(J1672&lt;&gt;"","?FAMILIAR",IF(F1672="NEW",IF(ISNA(VLOOKUP(E1672,#REF!,1,FALSE())),"?TYPE_IDENTIFIABLE","?REFERENTIAL"),"_")))))</f>
        <v> </v>
      </c>
      <c r="H1672" s="25" t="str">
        <f>IF(J1672&lt;&gt;1,"",IF(I1672="SBJ","CB","?"))</f>
        <v> </v>
      </c>
      <c r="I1672" s="26" t="str">
        <f>IF(OR(E1672="",E1672="!!!",F1672="NEW"),"",INDEX(B1671:B$2,-1+SUMPRODUCT(MAX(ROW(E1671:E$2)*(E1672=E1671:E$2)))))</f>
        <v> </v>
      </c>
      <c r="J1672" s="26" t="str">
        <f>IF(OR(E1672="",E1672="!!!",F1672="NEW"),"",COUNTBLANK(OFFSET(A$1,,,SUMPRODUCT(MAX(ROW(E$2:E1672)*(E1672=E$2:E1672)))))-COUNTBLANK(OFFSET(A$1,,,SUMPRODUCT(MAX(ROW(E$1:E1671)*(E2=E$1:E1671))))))</f>
        <v> </v>
      </c>
      <c r="K1672" s="26" t="str">
        <f>IF(OR(E1672="",E1672="!!!",F1672="NEW"),"",INDEX(J$1:J1671,SUMPRODUCT(MAX(ROW(E$1:E1671)*(E1672=E$1:E1671)))))</f>
        <v> </v>
      </c>
      <c r="L1672" s="27"/>
    </row>
    <row r="1673" spans="1:12">
      <c r="A1673" s="20" t="s">
        <v>912</v>
      </c>
      <c r="B1673" s="21" t="s">
        <v>373</v>
      </c>
      <c r="C1673" s="21" t="s">
        <v>476</v>
      </c>
      <c r="D1673" s="21" t="s">
        <v>358</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t="s">
        <v>380</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t="s">
        <v>914</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t="s">
        <v>905</v>
      </c>
      <c r="B1676" s="21" t="s">
        <v>356</v>
      </c>
      <c r="C1676" s="21" t="s">
        <v>483</v>
      </c>
      <c r="D1676" s="21" t="s">
        <v>358</v>
      </c>
      <c r="E1676" s="22">
        <f>IF(D1676="?OLD","!!!","")</f>
        <v/>
      </c>
      <c r="F1676" s="23" t="str">
        <f>IF(OR(E1676="",E1676="!!!"),"",IF(NOT(ISNA(VLOOKUP(E1676,E$1:E1675,1,FALSE()))),"OLD",IF(AND(E1676&lt;&gt;"",E1676&lt;&gt;"!!!"),"NEW","")))</f>
        <v> </v>
      </c>
      <c r="G1676" s="24" t="str">
        <f>IF(OR(E1676="",E1676="!!!"),"",IF(OR(J1676=0,AND(J1676=1,K1676=1),AND(J1676=1,I1676="SBJ"),AND(J1676=1,I1676=0)),"?IN_FOCUS",IF(J1676&lt;=2,"?ACTIVATED",IF(J1676&lt;&gt;"","?FAMILIAR",IF(F1676="NEW",IF(ISNA(VLOOKUP(E1676,#REF!,1,FALSE())),"?TYPE_IDENTIFIABLE","?REFERENTIAL"),"_")))))</f>
        <v> </v>
      </c>
      <c r="H1676" s="25" t="str">
        <f>IF(J1676&lt;&gt;1,"",IF(I1676="SBJ","CB","?"))</f>
        <v> </v>
      </c>
      <c r="I1676" s="26" t="str">
        <f>IF(OR(E1676="",E1676="!!!",F1676="NEW"),"",INDEX(B1675:B$2,-1+SUMPRODUCT(MAX(ROW(E1675:E$2)*(E1676=E1675:E$2)))))</f>
        <v> </v>
      </c>
      <c r="J1676" s="26" t="str">
        <f>IF(OR(E1676="",E1676="!!!",F1676="NEW"),"",COUNTBLANK(OFFSET(A$1,,,SUMPRODUCT(MAX(ROW(E$2:E1676)*(E1676=E$2:E1676)))))-COUNTBLANK(OFFSET(A$1,,,SUMPRODUCT(MAX(ROW(E$1:E1675)*(E2=E$1:E1675))))))</f>
        <v> </v>
      </c>
      <c r="K1676" s="26" t="str">
        <f>IF(OR(E1676="",E1676="!!!",F1676="NEW"),"",INDEX(J$1:J1675,SUMPRODUCT(MAX(ROW(E$1:E1675)*(E1676=E$1:E1675)))))</f>
        <v> </v>
      </c>
      <c r="L1676" s="27"/>
    </row>
    <row r="1677" spans="1:12">
      <c r="A1677" s="20" t="s">
        <v>966</v>
      </c>
      <c r="E1677" s="22">
        <f>IF(D1677="?OLD","!!!","")</f>
        <v/>
      </c>
      <c r="F1677" s="23" t="str">
        <f>IF(OR(E1677="",E1677="!!!"),"",IF(NOT(ISNA(VLOOKUP(E1677,E$1:E1676,1,FALSE()))),"OLD",IF(AND(E1677&lt;&gt;"",E1677&lt;&gt;"!!!"),"NEW","")))</f>
        <v> </v>
      </c>
      <c r="G1677" s="24" t="str">
        <f>IF(OR(E1677="",E1677="!!!"),"",IF(OR(J1677=0,AND(J1677=1,K1677=1),AND(J1677=1,I1677="SBJ"),AND(J1677=1,I1677=0)),"?IN_FOCUS",IF(J1677&lt;=2,"?ACTIVATED",IF(J1677&lt;&gt;"","?FAMILIAR",IF(F1677="NEW",IF(ISNA(VLOOKUP(E1677,#REF!,1,FALSE())),"?TYPE_IDENTIFIABLE","?REFERENTIAL"),"_")))))</f>
        <v> </v>
      </c>
      <c r="H1677" s="25" t="str">
        <f>IF(J1677&lt;&gt;1,"",IF(I1677="SBJ","CB","?"))</f>
        <v> </v>
      </c>
      <c r="I1677" s="26" t="str">
        <f>IF(OR(E1677="",E1677="!!!",F1677="NEW"),"",INDEX(B1676:B$2,-1+SUMPRODUCT(MAX(ROW(E1676:E$2)*(E1677=E1676:E$2)))))</f>
        <v> </v>
      </c>
      <c r="J1677" s="26" t="str">
        <f>IF(OR(E1677="",E1677="!!!",F1677="NEW"),"",COUNTBLANK(OFFSET(A$1,,,SUMPRODUCT(MAX(ROW(E$2:E1677)*(E1677=E$2:E1677)))))-COUNTBLANK(OFFSET(A$1,,,SUMPRODUCT(MAX(ROW(E$1:E1676)*(E2=E$1:E1676))))))</f>
        <v> </v>
      </c>
      <c r="K1677" s="26" t="str">
        <f>IF(OR(E1677="",E1677="!!!",F1677="NEW"),"",INDEX(J$1:J1676,SUMPRODUCT(MAX(ROW(E$1:E1676)*(E1677=E$1:E1676)))))</f>
        <v> </v>
      </c>
      <c r="L1677" s="27"/>
    </row>
    <row r="1678" spans="1:12">
      <c r="A1678" s="20" t="s">
        <v>405</v>
      </c>
      <c r="E1678" s="22">
        <f>IF(D1678="?OLD","!!!","")</f>
        <v/>
      </c>
      <c r="F1678" s="23" t="str">
        <f>IF(OR(E1678="",E1678="!!!"),"",IF(NOT(ISNA(VLOOKUP(E1678,E$1:E1677,1,FALSE()))),"OLD",IF(AND(E1678&lt;&gt;"",E1678&lt;&gt;"!!!"),"NEW","")))</f>
        <v> </v>
      </c>
      <c r="G1678" s="24" t="str">
        <f>IF(OR(E1678="",E1678="!!!"),"",IF(OR(J1678=0,AND(J1678=1,K1678=1),AND(J1678=1,I1678="SBJ"),AND(J1678=1,I1678=0)),"?IN_FOCUS",IF(J1678&lt;=2,"?ACTIVATED",IF(J1678&lt;&gt;"","?FAMILIAR",IF(F1678="NEW",IF(ISNA(VLOOKUP(E1678,#REF!,1,FALSE())),"?TYPE_IDENTIFIABLE","?REFERENTIAL"),"_")))))</f>
        <v> </v>
      </c>
      <c r="H1678" s="25" t="str">
        <f>IF(J1678&lt;&gt;1,"",IF(I1678="SBJ","CB","?"))</f>
        <v> </v>
      </c>
      <c r="I1678" s="26" t="str">
        <f>IF(OR(E1678="",E1678="!!!",F1678="NEW"),"",INDEX(B1677:B$2,-1+SUMPRODUCT(MAX(ROW(E1677:E$2)*(E1678=E1677:E$2)))))</f>
        <v> </v>
      </c>
      <c r="J1678" s="26" t="str">
        <f>IF(OR(E1678="",E1678="!!!",F1678="NEW"),"",COUNTBLANK(OFFSET(A$1,,,SUMPRODUCT(MAX(ROW(E$2:E1678)*(E1678=E$2:E1678)))))-COUNTBLANK(OFFSET(A$1,,,SUMPRODUCT(MAX(ROW(E$1:E1677)*(E2=E$1:E1677))))))</f>
        <v> </v>
      </c>
      <c r="K1678" s="26" t="str">
        <f>IF(OR(E1678="",E1678="!!!",F1678="NEW"),"",INDEX(J$1:J1677,SUMPRODUCT(MAX(ROW(E$1:E1677)*(E1678=E$1:E1677)))))</f>
        <v> </v>
      </c>
      <c r="L1678" s="27"/>
    </row>
    <row r="1679" spans="1:12">
      <c r="A1679" s="20" t="s">
        <v>632</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t="s">
        <v>480</v>
      </c>
      <c r="B1680" s="21" t="s">
        <v>365</v>
      </c>
      <c r="C1680" s="21" t="s">
        <v>385</v>
      </c>
      <c r="D1680" s="21" t="s">
        <v>358</v>
      </c>
      <c r="E1680" s="22">
        <f>IF(D1680="?OLD","!!!","")</f>
        <v/>
      </c>
      <c r="F1680" s="23" t="str">
        <f>IF(OR(E1680="",E1680="!!!"),"",IF(NOT(ISNA(VLOOKUP(E1680,E$1:E1679,1,FALSE()))),"OLD",IF(AND(E1680&lt;&gt;"",E1680&lt;&gt;"!!!"),"NEW","")))</f>
        <v> </v>
      </c>
      <c r="G1680" s="24" t="str">
        <f>IF(OR(E1680="",E1680="!!!"),"",IF(OR(J1680=0,AND(J1680=1,K1680=1),AND(J1680=1,I1680="SBJ"),AND(J1680=1,I1680=0)),"?IN_FOCUS",IF(J1680&lt;=2,"?ACTIVATED",IF(J1680&lt;&gt;"","?FAMILIAR",IF(F1680="NEW",IF(ISNA(VLOOKUP(E1680,#REF!,1,FALSE())),"?TYPE_IDENTIFIABLE","?REFERENTIAL"),"_")))))</f>
        <v> </v>
      </c>
      <c r="H1680" s="25" t="str">
        <f>IF(J1680&lt;&gt;1,"",IF(I1680="SBJ","CB","?"))</f>
        <v> </v>
      </c>
      <c r="I1680" s="26" t="str">
        <f>IF(OR(E1680="",E1680="!!!",F1680="NEW"),"",INDEX(B1679:B$2,-1+SUMPRODUCT(MAX(ROW(E1679:E$2)*(E1680=E1679:E$2)))))</f>
        <v> </v>
      </c>
      <c r="J1680" s="26" t="str">
        <f>IF(OR(E1680="",E1680="!!!",F1680="NEW"),"",COUNTBLANK(OFFSET(A$1,,,SUMPRODUCT(MAX(ROW(E$2:E1680)*(E1680=E$2:E1680)))))-COUNTBLANK(OFFSET(A$1,,,SUMPRODUCT(MAX(ROW(E$1:E1679)*(E2=E$1:E1679))))))</f>
        <v> </v>
      </c>
      <c r="K1680" s="26" t="str">
        <f>IF(OR(E1680="",E1680="!!!",F1680="NEW"),"",INDEX(J$1:J1679,SUMPRODUCT(MAX(ROW(E$1:E1679)*(E1680=E$1:E1679)))))</f>
        <v> </v>
      </c>
      <c r="L1680" s="27"/>
    </row>
    <row r="1681" spans="1:12">
      <c r="A1681" s="20" t="s">
        <v>484</v>
      </c>
      <c r="E1681" s="22">
        <f>IF(D1681="?OLD","!!!","")</f>
        <v/>
      </c>
      <c r="F1681" s="23" t="str">
        <f>IF(OR(E1681="",E1681="!!!"),"",IF(NOT(ISNA(VLOOKUP(E1681,E$1:E1680,1,FALSE()))),"OLD",IF(AND(E1681&lt;&gt;"",E1681&lt;&gt;"!!!"),"NEW","")))</f>
        <v> </v>
      </c>
      <c r="G1681" s="24" t="str">
        <f>IF(OR(E1681="",E1681="!!!"),"",IF(OR(J1681=0,AND(J1681=1,K1681=1),AND(J1681=1,I1681="SBJ"),AND(J1681=1,I1681=0)),"?IN_FOCUS",IF(J1681&lt;=2,"?ACTIVATED",IF(J1681&lt;&gt;"","?FAMILIAR",IF(F1681="NEW",IF(ISNA(VLOOKUP(E1681,#REF!,1,FALSE())),"?TYPE_IDENTIFIABLE","?REFERENTIAL"),"_")))))</f>
        <v> </v>
      </c>
      <c r="H1681" s="25" t="str">
        <f>IF(J1681&lt;&gt;1,"",IF(I1681="SBJ","CB","?"))</f>
        <v> </v>
      </c>
      <c r="I1681" s="26" t="str">
        <f>IF(OR(E1681="",E1681="!!!",F1681="NEW"),"",INDEX(B1680:B$2,-1+SUMPRODUCT(MAX(ROW(E1680:E$2)*(E1681=E1680:E$2)))))</f>
        <v> </v>
      </c>
      <c r="J1681" s="26" t="str">
        <f>IF(OR(E1681="",E1681="!!!",F1681="NEW"),"",COUNTBLANK(OFFSET(A$1,,,SUMPRODUCT(MAX(ROW(E$2:E1681)*(E1681=E$2:E1681)))))-COUNTBLANK(OFFSET(A$1,,,SUMPRODUCT(MAX(ROW(E$1:E1680)*(E2=E$1:E1680))))))</f>
        <v> </v>
      </c>
      <c r="K1681" s="26" t="str">
        <f>IF(OR(E1681="",E1681="!!!",F1681="NEW"),"",INDEX(J$1:J1680,SUMPRODUCT(MAX(ROW(E$1:E1680)*(E1681=E$1:E1680)))))</f>
        <v> </v>
      </c>
      <c r="L1681" s="27"/>
    </row>
    <row r="1682" spans="1:12">
      <c r="A1682" s="20" t="s">
        <v>484</v>
      </c>
      <c r="B1682" s="21" t="s">
        <v>451</v>
      </c>
      <c r="E1682" s="22">
        <f>IF(D1682="?OLD","!!!","")</f>
        <v/>
      </c>
      <c r="F1682" s="23" t="str">
        <f>IF(OR(E1682="",E1682="!!!"),"",IF(NOT(ISNA(VLOOKUP(E1682,E$1:E1681,1,FALSE()))),"OLD",IF(AND(E1682&lt;&gt;"",E1682&lt;&gt;"!!!"),"NEW","")))</f>
        <v> </v>
      </c>
      <c r="G1682" s="24" t="str">
        <f>IF(OR(E1682="",E1682="!!!"),"",IF(OR(J1682=0,AND(J1682=1,K1682=1),AND(J1682=1,I1682="SBJ"),AND(J1682=1,I1682=0)),"?IN_FOCUS",IF(J1682&lt;=2,"?ACTIVATED",IF(J1682&lt;&gt;"","?FAMILIAR",IF(F1682="NEW",IF(ISNA(VLOOKUP(E1682,#REF!,1,FALSE())),"?TYPE_IDENTIFIABLE","?REFERENTIAL"),"_")))))</f>
        <v> </v>
      </c>
      <c r="H1682" s="25" t="str">
        <f>IF(J1682&lt;&gt;1,"",IF(I1682="SBJ","CB","?"))</f>
        <v> </v>
      </c>
      <c r="I1682" s="26" t="str">
        <f>IF(OR(E1682="",E1682="!!!",F1682="NEW"),"",INDEX(B1681:B$2,-1+SUMPRODUCT(MAX(ROW(E1681:E$2)*(E1682=E1681:E$2)))))</f>
        <v> </v>
      </c>
      <c r="J1682" s="26" t="str">
        <f>IF(OR(E1682="",E1682="!!!",F1682="NEW"),"",COUNTBLANK(OFFSET(A$1,,,SUMPRODUCT(MAX(ROW(E$2:E1682)*(E1682=E$2:E1682)))))-COUNTBLANK(OFFSET(A$1,,,SUMPRODUCT(MAX(ROW(E$1:E1681)*(E2=E$1:E1681))))))</f>
        <v> </v>
      </c>
      <c r="K1682" s="26" t="str">
        <f>IF(OR(E1682="",E1682="!!!",F1682="NEW"),"",INDEX(J$1:J1681,SUMPRODUCT(MAX(ROW(E$1:E1681)*(E1682=E$1:E1681)))))</f>
        <v> </v>
      </c>
      <c r="L1682" s="27"/>
    </row>
    <row r="1683" spans="1:12">
      <c r="A1683" s="20" t="s">
        <v>868</v>
      </c>
      <c r="B1683" s="21" t="s">
        <v>452</v>
      </c>
      <c r="C1683" s="21" t="s">
        <v>357</v>
      </c>
      <c r="D1683" s="21" t="s">
        <v>358</v>
      </c>
      <c r="E1683" s="22">
        <f>IF(D1683="?OLD","!!!","")</f>
        <v/>
      </c>
      <c r="F1683" s="23" t="str">
        <f>IF(OR(E1683="",E1683="!!!"),"",IF(NOT(ISNA(VLOOKUP(E1683,E$1:E1682,1,FALSE()))),"OLD",IF(AND(E1683&lt;&gt;"",E1683&lt;&gt;"!!!"),"NEW","")))</f>
        <v> </v>
      </c>
      <c r="G1683" s="24" t="str">
        <f>IF(OR(E1683="",E1683="!!!"),"",IF(OR(J1683=0,AND(J1683=1,K1683=1),AND(J1683=1,I1683="SBJ"),AND(J1683=1,I1683=0)),"?IN_FOCUS",IF(J1683&lt;=2,"?ACTIVATED",IF(J1683&lt;&gt;"","?FAMILIAR",IF(F1683="NEW",IF(ISNA(VLOOKUP(E1683,#REF!,1,FALSE())),"?TYPE_IDENTIFIABLE","?REFERENTIAL"),"_")))))</f>
        <v> </v>
      </c>
      <c r="H1683" s="25" t="str">
        <f>IF(J1683&lt;&gt;1,"",IF(I1683="SBJ","CB","?"))</f>
        <v> </v>
      </c>
      <c r="I1683" s="26" t="str">
        <f>IF(OR(E1683="",E1683="!!!",F1683="NEW"),"",INDEX(B1682:B$2,-1+SUMPRODUCT(MAX(ROW(E1682:E$2)*(E1683=E1682:E$2)))))</f>
        <v> </v>
      </c>
      <c r="J1683" s="26" t="str">
        <f>IF(OR(E1683="",E1683="!!!",F1683="NEW"),"",COUNTBLANK(OFFSET(A$1,,,SUMPRODUCT(MAX(ROW(E$2:E1683)*(E1683=E$2:E1683)))))-COUNTBLANK(OFFSET(A$1,,,SUMPRODUCT(MAX(ROW(E$1:E1682)*(E2=E$1:E1682))))))</f>
        <v> </v>
      </c>
      <c r="K1683" s="26" t="str">
        <f>IF(OR(E1683="",E1683="!!!",F1683="NEW"),"",INDEX(J$1:J1682,SUMPRODUCT(MAX(ROW(E$1:E1682)*(E1683=E$1:E1682)))))</f>
        <v> </v>
      </c>
      <c r="L1683" s="27"/>
    </row>
    <row r="1684" spans="1:12">
      <c r="A1684" s="20" t="s">
        <v>967</v>
      </c>
      <c r="E1684" s="22">
        <f>IF(D1684="?OLD","!!!","")</f>
        <v/>
      </c>
      <c r="F1684" s="23" t="str">
        <f>IF(OR(E1684="",E1684="!!!"),"",IF(NOT(ISNA(VLOOKUP(E1684,E$1:E1683,1,FALSE()))),"OLD",IF(AND(E1684&lt;&gt;"",E1684&lt;&gt;"!!!"),"NEW","")))</f>
        <v> </v>
      </c>
      <c r="G1684" s="24" t="str">
        <f>IF(OR(E1684="",E1684="!!!"),"",IF(OR(J1684=0,AND(J1684=1,K1684=1),AND(J1684=1,I1684="SBJ"),AND(J1684=1,I1684=0)),"?IN_FOCUS",IF(J1684&lt;=2,"?ACTIVATED",IF(J1684&lt;&gt;"","?FAMILIAR",IF(F1684="NEW",IF(ISNA(VLOOKUP(E1684,#REF!,1,FALSE())),"?TYPE_IDENTIFIABLE","?REFERENTIAL"),"_")))))</f>
        <v> </v>
      </c>
      <c r="H1684" s="25" t="str">
        <f>IF(J1684&lt;&gt;1,"",IF(I1684="SBJ","CB","?"))</f>
        <v> </v>
      </c>
      <c r="I1684" s="26" t="str">
        <f>IF(OR(E1684="",E1684="!!!",F1684="NEW"),"",INDEX(B1683:B$2,-1+SUMPRODUCT(MAX(ROW(E1683:E$2)*(E1684=E1683:E$2)))))</f>
        <v> </v>
      </c>
      <c r="J1684" s="26" t="str">
        <f>IF(OR(E1684="",E1684="!!!",F1684="NEW"),"",COUNTBLANK(OFFSET(A$1,,,SUMPRODUCT(MAX(ROW(E$2:E1684)*(E1684=E$2:E1684)))))-COUNTBLANK(OFFSET(A$1,,,SUMPRODUCT(MAX(ROW(E$1:E1683)*(E2=E$1:E1683))))))</f>
        <v> </v>
      </c>
      <c r="K1684" s="26" t="str">
        <f>IF(OR(E1684="",E1684="!!!",F1684="NEW"),"",INDEX(J$1:J1683,SUMPRODUCT(MAX(ROW(E$1:E1683)*(E1684=E$1:E1683)))))</f>
        <v> </v>
      </c>
      <c r="L1684" s="27"/>
    </row>
    <row r="1685" spans="1:12">
      <c r="A1685" s="20" t="s">
        <v>380</v>
      </c>
      <c r="E1685" s="22">
        <f>IF(D1685="?OLD","!!!","")</f>
        <v/>
      </c>
      <c r="F1685" s="23" t="str">
        <f>IF(OR(E1685="",E1685="!!!"),"",IF(NOT(ISNA(VLOOKUP(E1685,E$1:E1684,1,FALSE()))),"OLD",IF(AND(E1685&lt;&gt;"",E1685&lt;&gt;"!!!"),"NEW","")))</f>
        <v> </v>
      </c>
      <c r="G1685" s="24" t="str">
        <f>IF(OR(E1685="",E1685="!!!"),"",IF(OR(J1685=0,AND(J1685=1,K1685=1),AND(J1685=1,I1685="SBJ"),AND(J1685=1,I1685=0)),"?IN_FOCUS",IF(J1685&lt;=2,"?ACTIVATED",IF(J1685&lt;&gt;"","?FAMILIAR",IF(F1685="NEW",IF(ISNA(VLOOKUP(E1685,#REF!,1,FALSE())),"?TYPE_IDENTIFIABLE","?REFERENTIAL"),"_")))))</f>
        <v> </v>
      </c>
      <c r="H1685" s="25" t="str">
        <f>IF(J1685&lt;&gt;1,"",IF(I1685="SBJ","CB","?"))</f>
        <v> </v>
      </c>
      <c r="I1685" s="26" t="str">
        <f>IF(OR(E1685="",E1685="!!!",F1685="NEW"),"",INDEX(B1684:B$2,-1+SUMPRODUCT(MAX(ROW(E1684:E$2)*(E1685=E1684:E$2)))))</f>
        <v> </v>
      </c>
      <c r="J1685" s="26" t="str">
        <f>IF(OR(E1685="",E1685="!!!",F1685="NEW"),"",COUNTBLANK(OFFSET(A$1,,,SUMPRODUCT(MAX(ROW(E$2:E1685)*(E1685=E$2:E1685)))))-COUNTBLANK(OFFSET(A$1,,,SUMPRODUCT(MAX(ROW(E$1:E1684)*(E2=E$1:E1684))))))</f>
        <v> </v>
      </c>
      <c r="K1685" s="26" t="str">
        <f>IF(OR(E1685="",E1685="!!!",F1685="NEW"),"",INDEX(J$1:J1684,SUMPRODUCT(MAX(ROW(E$1:E1684)*(E1685=E$1:E1684)))))</f>
        <v> </v>
      </c>
      <c r="L1685" s="27"/>
    </row>
    <row r="1686" spans="1:12">
      <c r="A1686" s="20" t="s">
        <v>55</v>
      </c>
      <c r="E1686" s="22">
        <f>IF(D1686="?OLD","!!!","")</f>
        <v/>
      </c>
      <c r="F1686" s="23" t="str">
        <f>IF(OR(E1686="",E1686="!!!"),"",IF(NOT(ISNA(VLOOKUP(E1686,E$1:E1685,1,FALSE()))),"OLD",IF(AND(E1686&lt;&gt;"",E1686&lt;&gt;"!!!"),"NEW","")))</f>
        <v> </v>
      </c>
      <c r="G1686" s="24" t="str">
        <f>IF(OR(E1686="",E1686="!!!"),"",IF(OR(J1686=0,AND(J1686=1,K1686=1),AND(J1686=1,I1686="SBJ"),AND(J1686=1,I1686=0)),"?IN_FOCUS",IF(J1686&lt;=2,"?ACTIVATED",IF(J1686&lt;&gt;"","?FAMILIAR",IF(F1686="NEW",IF(ISNA(VLOOKUP(E1686,#REF!,1,FALSE())),"?TYPE_IDENTIFIABLE","?REFERENTIAL"),"_")))))</f>
        <v> </v>
      </c>
      <c r="H1686" s="25" t="str">
        <f>IF(J1686&lt;&gt;1,"",IF(I1686="SBJ","CB","?"))</f>
        <v> </v>
      </c>
      <c r="I1686" s="26" t="str">
        <f>IF(OR(E1686="",E1686="!!!",F1686="NEW"),"",INDEX(B1685:B$2,-1+SUMPRODUCT(MAX(ROW(E1685:E$2)*(E1686=E1685:E$2)))))</f>
        <v> </v>
      </c>
      <c r="J1686" s="26" t="str">
        <f>IF(OR(E1686="",E1686="!!!",F1686="NEW"),"",COUNTBLANK(OFFSET(A$1,,,SUMPRODUCT(MAX(ROW(E$2:E1686)*(E1686=E$2:E1686)))))-COUNTBLANK(OFFSET(A$1,,,SUMPRODUCT(MAX(ROW(E$1:E1685)*(E2=E$1:E1685))))))</f>
        <v> </v>
      </c>
      <c r="K1686" s="26" t="str">
        <f>IF(OR(E1686="",E1686="!!!",F1686="NEW"),"",INDEX(J$1:J1685,SUMPRODUCT(MAX(ROW(E$1:E1685)*(E1686=E$1:E1685)))))</f>
        <v> </v>
      </c>
      <c r="L1686" s="27"/>
    </row>
    <row r="1687" spans="1:12">
      <c r="A1687" s="20" t="s">
        <v>474</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t="s">
        <v>414</v>
      </c>
      <c r="E1688" s="22">
        <f>IF(D1688="?OLD","!!!","")</f>
        <v/>
      </c>
      <c r="F1688" s="23" t="str">
        <f>IF(OR(E1688="",E1688="!!!"),"",IF(NOT(ISNA(VLOOKUP(E1688,E$1:E1687,1,FALSE()))),"OLD",IF(AND(E1688&lt;&gt;"",E1688&lt;&gt;"!!!"),"NEW","")))</f>
        <v> </v>
      </c>
      <c r="G1688" s="24" t="str">
        <f>IF(OR(E1688="",E1688="!!!"),"",IF(OR(J1688=0,AND(J1688=1,K1688=1),AND(J1688=1,I1688="SBJ"),AND(J1688=1,I1688=0)),"?IN_FOCUS",IF(J1688&lt;=2,"?ACTIVATED",IF(J1688&lt;&gt;"","?FAMILIAR",IF(F1688="NEW",IF(ISNA(VLOOKUP(E1688,#REF!,1,FALSE())),"?TYPE_IDENTIFIABLE","?REFERENTIAL"),"_")))))</f>
        <v> </v>
      </c>
      <c r="H1688" s="25" t="str">
        <f>IF(J1688&lt;&gt;1,"",IF(I1688="SBJ","CB","?"))</f>
        <v> </v>
      </c>
      <c r="I1688" s="26" t="str">
        <f>IF(OR(E1688="",E1688="!!!",F1688="NEW"),"",INDEX(B1687:B$2,-1+SUMPRODUCT(MAX(ROW(E1687:E$2)*(E1688=E1687:E$2)))))</f>
        <v> </v>
      </c>
      <c r="J1688" s="26" t="str">
        <f>IF(OR(E1688="",E1688="!!!",F1688="NEW"),"",COUNTBLANK(OFFSET(A$1,,,SUMPRODUCT(MAX(ROW(E$2:E1688)*(E1688=E$2:E1688)))))-COUNTBLANK(OFFSET(A$1,,,SUMPRODUCT(MAX(ROW(E$1:E1687)*(E2=E$1:E1687))))))</f>
        <v> </v>
      </c>
      <c r="K1688" s="26" t="str">
        <f>IF(OR(E1688="",E1688="!!!",F1688="NEW"),"",INDEX(J$1:J1687,SUMPRODUCT(MAX(ROW(E$1:E1687)*(E1688=E$1:E1687)))))</f>
        <v> </v>
      </c>
      <c r="L1688" s="27"/>
    </row>
    <row r="1689" spans="1:12">
      <c r="A1689" s="20" t="s">
        <v>560</v>
      </c>
      <c r="E1689" s="22">
        <f>IF(D1689="?OLD","!!!","")</f>
        <v/>
      </c>
      <c r="F1689" s="23" t="str">
        <f>IF(OR(E1689="",E1689="!!!"),"",IF(NOT(ISNA(VLOOKUP(E1689,E$1:E1688,1,FALSE()))),"OLD",IF(AND(E1689&lt;&gt;"",E1689&lt;&gt;"!!!"),"NEW","")))</f>
        <v> </v>
      </c>
      <c r="G1689" s="24" t="str">
        <f>IF(OR(E1689="",E1689="!!!"),"",IF(OR(J1689=0,AND(J1689=1,K1689=1),AND(J1689=1,I1689="SBJ"),AND(J1689=1,I1689=0)),"?IN_FOCUS",IF(J1689&lt;=2,"?ACTIVATED",IF(J1689&lt;&gt;"","?FAMILIAR",IF(F1689="NEW",IF(ISNA(VLOOKUP(E1689,#REF!,1,FALSE())),"?TYPE_IDENTIFIABLE","?REFERENTIAL"),"_")))))</f>
        <v> </v>
      </c>
      <c r="H1689" s="25" t="str">
        <f>IF(J1689&lt;&gt;1,"",IF(I1689="SBJ","CB","?"))</f>
        <v> </v>
      </c>
      <c r="I1689" s="26" t="str">
        <f>IF(OR(E1689="",E1689="!!!",F1689="NEW"),"",INDEX(B1688:B$2,-1+SUMPRODUCT(MAX(ROW(E1688:E$2)*(E1689=E1688:E$2)))))</f>
        <v> </v>
      </c>
      <c r="J1689" s="26" t="str">
        <f>IF(OR(E1689="",E1689="!!!",F1689="NEW"),"",COUNTBLANK(OFFSET(A$1,,,SUMPRODUCT(MAX(ROW(E$2:E1689)*(E1689=E$2:E1689)))))-COUNTBLANK(OFFSET(A$1,,,SUMPRODUCT(MAX(ROW(E$1:E1688)*(E2=E$1:E1688))))))</f>
        <v> </v>
      </c>
      <c r="K1689" s="26" t="str">
        <f>IF(OR(E1689="",E1689="!!!",F1689="NEW"),"",INDEX(J$1:J1688,SUMPRODUCT(MAX(ROW(E$1:E1688)*(E1689=E$1:E1688)))))</f>
        <v> </v>
      </c>
      <c r="L1689" s="27"/>
    </row>
    <row r="1690" spans="1:12">
      <c r="A1690" s="20" t="s">
        <v>563</v>
      </c>
      <c r="E1690" s="22">
        <f>IF(D1690="?OLD","!!!","")</f>
        <v/>
      </c>
      <c r="F1690" s="23" t="str">
        <f>IF(OR(E1690="",E1690="!!!"),"",IF(NOT(ISNA(VLOOKUP(E1690,E$1:E1689,1,FALSE()))),"OLD",IF(AND(E1690&lt;&gt;"",E1690&lt;&gt;"!!!"),"NEW","")))</f>
        <v> </v>
      </c>
      <c r="G1690" s="24" t="str">
        <f>IF(OR(E1690="",E1690="!!!"),"",IF(OR(J1690=0,AND(J1690=1,K1690=1),AND(J1690=1,I1690="SBJ"),AND(J1690=1,I1690=0)),"?IN_FOCUS",IF(J1690&lt;=2,"?ACTIVATED",IF(J1690&lt;&gt;"","?FAMILIAR",IF(F1690="NEW",IF(ISNA(VLOOKUP(E1690,#REF!,1,FALSE())),"?TYPE_IDENTIFIABLE","?REFERENTIAL"),"_")))))</f>
        <v> </v>
      </c>
      <c r="H1690" s="25" t="str">
        <f>IF(J1690&lt;&gt;1,"",IF(I1690="SBJ","CB","?"))</f>
        <v> </v>
      </c>
      <c r="I1690" s="26" t="str">
        <f>IF(OR(E1690="",E1690="!!!",F1690="NEW"),"",INDEX(B1689:B$2,-1+SUMPRODUCT(MAX(ROW(E1689:E$2)*(E1690=E1689:E$2)))))</f>
        <v> </v>
      </c>
      <c r="J1690" s="26" t="str">
        <f>IF(OR(E1690="",E1690="!!!",F1690="NEW"),"",COUNTBLANK(OFFSET(A$1,,,SUMPRODUCT(MAX(ROW(E$2:E1690)*(E1690=E$2:E1690)))))-COUNTBLANK(OFFSET(A$1,,,SUMPRODUCT(MAX(ROW(E$1:E1689)*(E2=E$1:E1689))))))</f>
        <v> </v>
      </c>
      <c r="K1690" s="26" t="str">
        <f>IF(OR(E1690="",E1690="!!!",F1690="NEW"),"",INDEX(J$1:J1689,SUMPRODUCT(MAX(ROW(E$1:E1689)*(E1690=E$1:E1689)))))</f>
        <v> </v>
      </c>
      <c r="L1690" s="27"/>
    </row>
    <row r="1691" spans="1:12">
      <c r="A1691" s="20" t="s">
        <v>564</v>
      </c>
      <c r="E1691" s="22">
        <f>IF(D1691="?OLD","!!!","")</f>
        <v/>
      </c>
      <c r="F1691" s="23" t="str">
        <f>IF(OR(E1691="",E1691="!!!"),"",IF(NOT(ISNA(VLOOKUP(E1691,E$1:E1690,1,FALSE()))),"OLD",IF(AND(E1691&lt;&gt;"",E1691&lt;&gt;"!!!"),"NEW","")))</f>
        <v> </v>
      </c>
      <c r="G1691" s="24" t="str">
        <f>IF(OR(E1691="",E1691="!!!"),"",IF(OR(J1691=0,AND(J1691=1,K1691=1),AND(J1691=1,I1691="SBJ"),AND(J1691=1,I1691=0)),"?IN_FOCUS",IF(J1691&lt;=2,"?ACTIVATED",IF(J1691&lt;&gt;"","?FAMILIAR",IF(F1691="NEW",IF(ISNA(VLOOKUP(E1691,#REF!,1,FALSE())),"?TYPE_IDENTIFIABLE","?REFERENTIAL"),"_")))))</f>
        <v> </v>
      </c>
      <c r="H1691" s="25" t="str">
        <f>IF(J1691&lt;&gt;1,"",IF(I1691="SBJ","CB","?"))</f>
        <v> </v>
      </c>
      <c r="I1691" s="26" t="str">
        <f>IF(OR(E1691="",E1691="!!!",F1691="NEW"),"",INDEX(B1690:B$2,-1+SUMPRODUCT(MAX(ROW(E1690:E$2)*(E1691=E1690:E$2)))))</f>
        <v> </v>
      </c>
      <c r="J1691" s="26" t="str">
        <f>IF(OR(E1691="",E1691="!!!",F1691="NEW"),"",COUNTBLANK(OFFSET(A$1,,,SUMPRODUCT(MAX(ROW(E$2:E1691)*(E1691=E$2:E1691)))))-COUNTBLANK(OFFSET(A$1,,,SUMPRODUCT(MAX(ROW(E$1:E1690)*(E2=E$1:E1690))))))</f>
        <v> </v>
      </c>
      <c r="K1691" s="26" t="str">
        <f>IF(OR(E1691="",E1691="!!!",F1691="NEW"),"",INDEX(J$1:J1690,SUMPRODUCT(MAX(ROW(E$1:E1690)*(E1691=E$1:E1690)))))</f>
        <v> </v>
      </c>
      <c r="L1691" s="27"/>
    </row>
    <row r="1692" spans="1:12">
      <c r="A1692" s="20" t="s">
        <v>560</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414</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560</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561</v>
      </c>
      <c r="B1695" s="21" t="s">
        <v>489</v>
      </c>
      <c r="C1695" s="21" t="s">
        <v>379</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t="s">
        <v>560</v>
      </c>
      <c r="E1696" s="22">
        <f>IF(D1696="?OLD","!!!","")</f>
        <v/>
      </c>
      <c r="F1696" s="23" t="str">
        <f>IF(OR(E1696="",E1696="!!!"),"",IF(NOT(ISNA(VLOOKUP(E1696,E$1:E1695,1,FALSE()))),"OLD",IF(AND(E1696&lt;&gt;"",E1696&lt;&gt;"!!!"),"NEW","")))</f>
        <v> </v>
      </c>
      <c r="G1696" s="24" t="str">
        <f>IF(OR(E1696="",E1696="!!!"),"",IF(OR(J1696=0,AND(J1696=1,K1696=1),AND(J1696=1,I1696="SBJ"),AND(J1696=1,I1696=0)),"?IN_FOCUS",IF(J1696&lt;=2,"?ACTIVATED",IF(J1696&lt;&gt;"","?FAMILIAR",IF(F1696="NEW",IF(ISNA(VLOOKUP(E1696,#REF!,1,FALSE())),"?TYPE_IDENTIFIABLE","?REFERENTIAL"),"_")))))</f>
        <v> </v>
      </c>
      <c r="H1696" s="25" t="str">
        <f>IF(J1696&lt;&gt;1,"",IF(I1696="SBJ","CB","?"))</f>
        <v> </v>
      </c>
      <c r="I1696" s="26" t="str">
        <f>IF(OR(E1696="",E1696="!!!",F1696="NEW"),"",INDEX(B1695:B$2,-1+SUMPRODUCT(MAX(ROW(E1695:E$2)*(E1696=E1695:E$2)))))</f>
        <v> </v>
      </c>
      <c r="J1696" s="26" t="str">
        <f>IF(OR(E1696="",E1696="!!!",F1696="NEW"),"",COUNTBLANK(OFFSET(A$1,,,SUMPRODUCT(MAX(ROW(E$2:E1696)*(E1696=E$2:E1696)))))-COUNTBLANK(OFFSET(A$1,,,SUMPRODUCT(MAX(ROW(E$1:E1695)*(E2=E$1:E1695))))))</f>
        <v> </v>
      </c>
      <c r="K1696" s="26" t="str">
        <f>IF(OR(E1696="",E1696="!!!",F1696="NEW"),"",INDEX(J$1:J1695,SUMPRODUCT(MAX(ROW(E$1:E1695)*(E1696=E$1:E1695)))))</f>
        <v> </v>
      </c>
      <c r="L1696" s="27"/>
    </row>
    <row r="1697" spans="1:12">
      <c r="A1697" s="20" t="s">
        <v>389</v>
      </c>
      <c r="E1697" s="22">
        <f>IF(D1697="?OLD","!!!","")</f>
        <v/>
      </c>
      <c r="F1697" s="23" t="str">
        <f>IF(OR(E1697="",E1697="!!!"),"",IF(NOT(ISNA(VLOOKUP(E1697,E$1:E1696,1,FALSE()))),"OLD",IF(AND(E1697&lt;&gt;"",E1697&lt;&gt;"!!!"),"NEW","")))</f>
        <v> </v>
      </c>
      <c r="G1697" s="24" t="str">
        <f>IF(OR(E1697="",E1697="!!!"),"",IF(OR(J1697=0,AND(J1697=1,K1697=1),AND(J1697=1,I1697="SBJ"),AND(J1697=1,I1697=0)),"?IN_FOCUS",IF(J1697&lt;=2,"?ACTIVATED",IF(J1697&lt;&gt;"","?FAMILIAR",IF(F1697="NEW",IF(ISNA(VLOOKUP(E1697,#REF!,1,FALSE())),"?TYPE_IDENTIFIABLE","?REFERENTIAL"),"_")))))</f>
        <v> </v>
      </c>
      <c r="H1697" s="25" t="str">
        <f>IF(J1697&lt;&gt;1,"",IF(I1697="SBJ","CB","?"))</f>
        <v> </v>
      </c>
      <c r="I1697" s="26" t="str">
        <f>IF(OR(E1697="",E1697="!!!",F1697="NEW"),"",INDEX(B1696:B$2,-1+SUMPRODUCT(MAX(ROW(E1696:E$2)*(E1697=E1696:E$2)))))</f>
        <v> </v>
      </c>
      <c r="J1697" s="26" t="str">
        <f>IF(OR(E1697="",E1697="!!!",F1697="NEW"),"",COUNTBLANK(OFFSET(A$1,,,SUMPRODUCT(MAX(ROW(E$2:E1697)*(E1697=E$2:E1697)))))-COUNTBLANK(OFFSET(A$1,,,SUMPRODUCT(MAX(ROW(E$1:E1696)*(E2=E$1:E1696))))))</f>
        <v> </v>
      </c>
      <c r="K1697" s="26" t="str">
        <f>IF(OR(E1697="",E1697="!!!",F1697="NEW"),"",INDEX(J$1:J1696,SUMPRODUCT(MAX(ROW(E$1:E1696)*(E1697=E$1:E1696)))))</f>
        <v> </v>
      </c>
      <c r="L1697" s="27"/>
    </row>
    <row r="1698" spans="1:12">
      <c r="A1698" s="20"/>
    </row>
    <row r="1699" spans="1:12">
      <c r="A1699" s="20" t="s">
        <v>968</v>
      </c>
    </row>
    <row r="1700" spans="1:12">
      <c r="A1700" s="20" t="s">
        <v>391</v>
      </c>
      <c r="E1700" s="22">
        <f>IF(D1700="?OLD","!!!","")</f>
        <v/>
      </c>
      <c r="F1700" s="23" t="str">
        <f>IF(OR(E1700="",E1700="!!!"),"",IF(NOT(ISNA(VLOOKUP(E1700,E$1:E1699,1,FALSE()))),"OLD",IF(AND(E1700&lt;&gt;"",E1700&lt;&gt;"!!!"),"NEW","")))</f>
        <v> </v>
      </c>
      <c r="G1700" s="24" t="str">
        <f>IF(OR(E1700="",E1700="!!!"),"",IF(OR(J1700=0,AND(J1700=1,K1700=1),AND(J1700=1,I1700="SBJ"),AND(J1700=1,I1700=0)),"?IN_FOCUS",IF(J1700&lt;=2,"?ACTIVATED",IF(J1700&lt;&gt;"","?FAMILIAR",IF(F1700="NEW",IF(ISNA(VLOOKUP(E1700,#REF!,1,FALSE())),"?TYPE_IDENTIFIABLE","?REFERENTIAL"),"_")))))</f>
        <v> </v>
      </c>
      <c r="H1700" s="25" t="str">
        <f>IF(J1700&lt;&gt;1,"",IF(I1700="SBJ","CB","?"))</f>
        <v> </v>
      </c>
      <c r="I1700" s="26" t="str">
        <f>IF(OR(E1700="",E1700="!!!",F1700="NEW"),"",INDEX(B1699:B$2,-1+SUMPRODUCT(MAX(ROW(E1699:E$2)*(E1700=E1699:E$2)))))</f>
        <v> </v>
      </c>
      <c r="J1700" s="26" t="str">
        <f>IF(OR(E1700="",E1700="!!!",F1700="NEW"),"",COUNTBLANK(OFFSET(A$1,,,SUMPRODUCT(MAX(ROW(E$2:E1700)*(E1700=E$2:E1700)))))-COUNTBLANK(OFFSET(A$1,,,SUMPRODUCT(MAX(ROW(E$1:E1699)*(E2=E$1:E1699))))))</f>
        <v> </v>
      </c>
      <c r="K1700" s="26" t="str">
        <f>IF(OR(E1700="",E1700="!!!",F1700="NEW"),"",INDEX(J$1:J1699,SUMPRODUCT(MAX(ROW(E$1:E1699)*(E1700=E$1:E1699)))))</f>
        <v> </v>
      </c>
      <c r="L1700" s="27"/>
    </row>
    <row r="1701" spans="1:12">
      <c r="A1701" s="20" t="s">
        <v>438</v>
      </c>
      <c r="B1701" s="21" t="s">
        <v>373</v>
      </c>
      <c r="C1701" s="21" t="s">
        <v>430</v>
      </c>
      <c r="D1701" s="21" t="s">
        <v>358</v>
      </c>
      <c r="E1701" s="22">
        <f>IF(D1701="?OLD","!!!","")</f>
        <v/>
      </c>
      <c r="F1701" s="23" t="str">
        <f>IF(OR(E1701="",E1701="!!!"),"",IF(NOT(ISNA(VLOOKUP(E1701,E$1:E1700,1,FALSE()))),"OLD",IF(AND(E1701&lt;&gt;"",E1701&lt;&gt;"!!!"),"NEW","")))</f>
        <v> </v>
      </c>
      <c r="G1701" s="24" t="str">
        <f>IF(OR(E1701="",E1701="!!!"),"",IF(OR(J1701=0,AND(J1701=1,K1701=1),AND(J1701=1,I1701="SBJ"),AND(J1701=1,I1701=0)),"?IN_FOCUS",IF(J1701&lt;=2,"?ACTIVATED",IF(J1701&lt;&gt;"","?FAMILIAR",IF(F1701="NEW",IF(ISNA(VLOOKUP(E1701,#REF!,1,FALSE())),"?TYPE_IDENTIFIABLE","?REFERENTIAL"),"_")))))</f>
        <v> </v>
      </c>
      <c r="H1701" s="25" t="str">
        <f>IF(J1701&lt;&gt;1,"",IF(I1701="SBJ","CB","?"))</f>
        <v> </v>
      </c>
      <c r="I1701" s="26" t="str">
        <f>IF(OR(E1701="",E1701="!!!",F1701="NEW"),"",INDEX(B1700:B$2,-1+SUMPRODUCT(MAX(ROW(E1700:E$2)*(E1701=E1700:E$2)))))</f>
        <v> </v>
      </c>
      <c r="J1701" s="26" t="str">
        <f>IF(OR(E1701="",E1701="!!!",F1701="NEW"),"",COUNTBLANK(OFFSET(A$1,,,SUMPRODUCT(MAX(ROW(E$2:E1701)*(E1701=E$2:E1701)))))-COUNTBLANK(OFFSET(A$1,,,SUMPRODUCT(MAX(ROW(E$1:E1700)*(E2=E$1:E1700))))))</f>
        <v> </v>
      </c>
      <c r="K1701" s="26" t="str">
        <f>IF(OR(E1701="",E1701="!!!",F1701="NEW"),"",INDEX(J$1:J1700,SUMPRODUCT(MAX(ROW(E$1:E1700)*(E1701=E$1:E1700)))))</f>
        <v> </v>
      </c>
      <c r="L1701" s="27"/>
    </row>
    <row r="1702" spans="1:12">
      <c r="A1702" s="20" t="s">
        <v>771</v>
      </c>
      <c r="E1702" s="22">
        <f>IF(D1702="?OLD","!!!","")</f>
        <v/>
      </c>
      <c r="F1702" s="23" t="str">
        <f>IF(OR(E1702="",E1702="!!!"),"",IF(NOT(ISNA(VLOOKUP(E1702,E$1:E1701,1,FALSE()))),"OLD",IF(AND(E1702&lt;&gt;"",E1702&lt;&gt;"!!!"),"NEW","")))</f>
        <v> </v>
      </c>
      <c r="G1702" s="24" t="str">
        <f>IF(OR(E1702="",E1702="!!!"),"",IF(OR(J1702=0,AND(J1702=1,K1702=1),AND(J1702=1,I1702="SBJ"),AND(J1702=1,I1702=0)),"?IN_FOCUS",IF(J1702&lt;=2,"?ACTIVATED",IF(J1702&lt;&gt;"","?FAMILIAR",IF(F1702="NEW",IF(ISNA(VLOOKUP(E1702,#REF!,1,FALSE())),"?TYPE_IDENTIFIABLE","?REFERENTIAL"),"_")))))</f>
        <v> </v>
      </c>
      <c r="H1702" s="25" t="str">
        <f>IF(J1702&lt;&gt;1,"",IF(I1702="SBJ","CB","?"))</f>
        <v> </v>
      </c>
      <c r="I1702" s="26" t="str">
        <f>IF(OR(E1702="",E1702="!!!",F1702="NEW"),"",INDEX(B1701:B$2,-1+SUMPRODUCT(MAX(ROW(E1701:E$2)*(E1702=E1701:E$2)))))</f>
        <v> </v>
      </c>
      <c r="J1702" s="26" t="str">
        <f>IF(OR(E1702="",E1702="!!!",F1702="NEW"),"",COUNTBLANK(OFFSET(A$1,,,SUMPRODUCT(MAX(ROW(E$2:E1702)*(E1702=E$2:E1702)))))-COUNTBLANK(OFFSET(A$1,,,SUMPRODUCT(MAX(ROW(E$1:E1701)*(E2=E$1:E1701))))))</f>
        <v> </v>
      </c>
      <c r="K1702" s="26" t="str">
        <f>IF(OR(E1702="",E1702="!!!",F1702="NEW"),"",INDEX(J$1:J1701,SUMPRODUCT(MAX(ROW(E$1:E1701)*(E1702=E$1:E1701)))))</f>
        <v> </v>
      </c>
      <c r="L1702" s="27"/>
    </row>
    <row r="1703" spans="1:12">
      <c r="A1703" s="20" t="s">
        <v>55</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t="s">
        <v>376</v>
      </c>
      <c r="E1704" s="22">
        <f>IF(D1704="?OLD","!!!","")</f>
        <v/>
      </c>
      <c r="F1704" s="23" t="str">
        <f>IF(OR(E1704="",E1704="!!!"),"",IF(NOT(ISNA(VLOOKUP(E1704,E$1:E1703,1,FALSE()))),"OLD",IF(AND(E1704&lt;&gt;"",E1704&lt;&gt;"!!!"),"NEW","")))</f>
        <v> </v>
      </c>
      <c r="G1704" s="24" t="str">
        <f>IF(OR(E1704="",E1704="!!!"),"",IF(OR(J1704=0,AND(J1704=1,K1704=1),AND(J1704=1,I1704="SBJ"),AND(J1704=1,I1704=0)),"?IN_FOCUS",IF(J1704&lt;=2,"?ACTIVATED",IF(J1704&lt;&gt;"","?FAMILIAR",IF(F1704="NEW",IF(ISNA(VLOOKUP(E1704,#REF!,1,FALSE())),"?TYPE_IDENTIFIABLE","?REFERENTIAL"),"_")))))</f>
        <v> </v>
      </c>
      <c r="H1704" s="25" t="str">
        <f>IF(J1704&lt;&gt;1,"",IF(I1704="SBJ","CB","?"))</f>
        <v> </v>
      </c>
      <c r="I1704" s="26" t="str">
        <f>IF(OR(E1704="",E1704="!!!",F1704="NEW"),"",INDEX(B1703:B$2,-1+SUMPRODUCT(MAX(ROW(E1703:E$2)*(E1704=E1703:E$2)))))</f>
        <v> </v>
      </c>
      <c r="J1704" s="26" t="str">
        <f>IF(OR(E1704="",E1704="!!!",F1704="NEW"),"",COUNTBLANK(OFFSET(A$1,,,SUMPRODUCT(MAX(ROW(E$2:E1704)*(E1704=E$2:E1704)))))-COUNTBLANK(OFFSET(A$1,,,SUMPRODUCT(MAX(ROW(E$1:E1703)*(E2=E$1:E1703))))))</f>
        <v> </v>
      </c>
      <c r="K1704" s="26" t="str">
        <f>IF(OR(E1704="",E1704="!!!",F1704="NEW"),"",INDEX(J$1:J1703,SUMPRODUCT(MAX(ROW(E$1:E1703)*(E1704=E$1:E1703)))))</f>
        <v> </v>
      </c>
      <c r="L1704" s="27"/>
    </row>
    <row r="1705" spans="1:12">
      <c r="A1705" s="20" t="s">
        <v>786</v>
      </c>
      <c r="E1705" s="22">
        <f>IF(D1705="?OLD","!!!","")</f>
        <v/>
      </c>
      <c r="F1705" s="23" t="str">
        <f>IF(OR(E1705="",E1705="!!!"),"",IF(NOT(ISNA(VLOOKUP(E1705,E$1:E1704,1,FALSE()))),"OLD",IF(AND(E1705&lt;&gt;"",E1705&lt;&gt;"!!!"),"NEW","")))</f>
        <v> </v>
      </c>
      <c r="G1705" s="24" t="str">
        <f>IF(OR(E1705="",E1705="!!!"),"",IF(OR(J1705=0,AND(J1705=1,K1705=1),AND(J1705=1,I1705="SBJ"),AND(J1705=1,I1705=0)),"?IN_FOCUS",IF(J1705&lt;=2,"?ACTIVATED",IF(J1705&lt;&gt;"","?FAMILIAR",IF(F1705="NEW",IF(ISNA(VLOOKUP(E1705,#REF!,1,FALSE())),"?TYPE_IDENTIFIABLE","?REFERENTIAL"),"_")))))</f>
        <v> </v>
      </c>
      <c r="H1705" s="25" t="str">
        <f>IF(J1705&lt;&gt;1,"",IF(I1705="SBJ","CB","?"))</f>
        <v> </v>
      </c>
      <c r="I1705" s="26" t="str">
        <f>IF(OR(E1705="",E1705="!!!",F1705="NEW"),"",INDEX(B1704:B$2,-1+SUMPRODUCT(MAX(ROW(E1704:E$2)*(E1705=E1704:E$2)))))</f>
        <v> </v>
      </c>
      <c r="J1705" s="26" t="str">
        <f>IF(OR(E1705="",E1705="!!!",F1705="NEW"),"",COUNTBLANK(OFFSET(A$1,,,SUMPRODUCT(MAX(ROW(E$2:E1705)*(E1705=E$2:E1705)))))-COUNTBLANK(OFFSET(A$1,,,SUMPRODUCT(MAX(ROW(E$1:E1704)*(E2=E$1:E1704))))))</f>
        <v> </v>
      </c>
      <c r="K1705" s="26" t="str">
        <f>IF(OR(E1705="",E1705="!!!",F1705="NEW"),"",INDEX(J$1:J1704,SUMPRODUCT(MAX(ROW(E$1:E1704)*(E1705=E$1:E1704)))))</f>
        <v> </v>
      </c>
      <c r="L1705" s="27"/>
    </row>
    <row r="1706" spans="1:12">
      <c r="A1706" s="20" t="s">
        <v>969</v>
      </c>
      <c r="B1706" s="21" t="s">
        <v>409</v>
      </c>
      <c r="C1706" s="21" t="s">
        <v>379</v>
      </c>
      <c r="E1706" s="22">
        <f>IF(D1706="?OLD","!!!","")</f>
        <v/>
      </c>
      <c r="F1706" s="23" t="str">
        <f>IF(OR(E1706="",E1706="!!!"),"",IF(NOT(ISNA(VLOOKUP(E1706,E$1:E1705,1,FALSE()))),"OLD",IF(AND(E1706&lt;&gt;"",E1706&lt;&gt;"!!!"),"NEW","")))</f>
        <v> </v>
      </c>
      <c r="G1706" s="24" t="str">
        <f>IF(OR(E1706="",E1706="!!!"),"",IF(OR(J1706=0,AND(J1706=1,K1706=1),AND(J1706=1,I1706="SBJ"),AND(J1706=1,I1706=0)),"?IN_FOCUS",IF(J1706&lt;=2,"?ACTIVATED",IF(J1706&lt;&gt;"","?FAMILIAR",IF(F1706="NEW",IF(ISNA(VLOOKUP(E1706,#REF!,1,FALSE())),"?TYPE_IDENTIFIABLE","?REFERENTIAL"),"_")))))</f>
        <v> </v>
      </c>
      <c r="H1706" s="25" t="str">
        <f>IF(J1706&lt;&gt;1,"",IF(I1706="SBJ","CB","?"))</f>
        <v> </v>
      </c>
      <c r="I1706" s="26" t="str">
        <f>IF(OR(E1706="",E1706="!!!",F1706="NEW"),"",INDEX(B1705:B$2,-1+SUMPRODUCT(MAX(ROW(E1705:E$2)*(E1706=E1705:E$2)))))</f>
        <v> </v>
      </c>
      <c r="J1706" s="26" t="str">
        <f>IF(OR(E1706="",E1706="!!!",F1706="NEW"),"",COUNTBLANK(OFFSET(A$1,,,SUMPRODUCT(MAX(ROW(E$2:E1706)*(E1706=E$2:E1706)))))-COUNTBLANK(OFFSET(A$1,,,SUMPRODUCT(MAX(ROW(E$1:E1705)*(E2=E$1:E1705))))))</f>
        <v> </v>
      </c>
      <c r="K1706" s="26" t="str">
        <f>IF(OR(E1706="",E1706="!!!",F1706="NEW"),"",INDEX(J$1:J1705,SUMPRODUCT(MAX(ROW(E$1:E1705)*(E1706=E$1:E1705)))))</f>
        <v> </v>
      </c>
      <c r="L1706" s="27"/>
    </row>
    <row r="1707" spans="1:12">
      <c r="A1707" s="20" t="s">
        <v>389</v>
      </c>
      <c r="E1707" s="22">
        <f>IF(D1707="?OLD","!!!","")</f>
        <v/>
      </c>
      <c r="F1707" s="23" t="str">
        <f>IF(OR(E1707="",E1707="!!!"),"",IF(NOT(ISNA(VLOOKUP(E1707,E$1:E1706,1,FALSE()))),"OLD",IF(AND(E1707&lt;&gt;"",E1707&lt;&gt;"!!!"),"NEW","")))</f>
        <v> </v>
      </c>
      <c r="G1707" s="24" t="str">
        <f>IF(OR(E1707="",E1707="!!!"),"",IF(OR(J1707=0,AND(J1707=1,K1707=1),AND(J1707=1,I1707="SBJ"),AND(J1707=1,I1707=0)),"?IN_FOCUS",IF(J1707&lt;=2,"?ACTIVATED",IF(J1707&lt;&gt;"","?FAMILIAR",IF(F1707="NEW",IF(ISNA(VLOOKUP(E1707,#REF!,1,FALSE())),"?TYPE_IDENTIFIABLE","?REFERENTIAL"),"_")))))</f>
        <v> </v>
      </c>
      <c r="H1707" s="25" t="str">
        <f>IF(J1707&lt;&gt;1,"",IF(I1707="SBJ","CB","?"))</f>
        <v> </v>
      </c>
      <c r="I1707" s="26" t="str">
        <f>IF(OR(E1707="",E1707="!!!",F1707="NEW"),"",INDEX(B1706:B$2,-1+SUMPRODUCT(MAX(ROW(E1706:E$2)*(E1707=E1706:E$2)))))</f>
        <v> </v>
      </c>
      <c r="J1707" s="26" t="str">
        <f>IF(OR(E1707="",E1707="!!!",F1707="NEW"),"",COUNTBLANK(OFFSET(A$1,,,SUMPRODUCT(MAX(ROW(E$2:E1707)*(E1707=E$2:E1707)))))-COUNTBLANK(OFFSET(A$1,,,SUMPRODUCT(MAX(ROW(E$1:E1706)*(E2=E$1:E1706))))))</f>
        <v> </v>
      </c>
      <c r="K1707" s="26" t="str">
        <f>IF(OR(E1707="",E1707="!!!",F1707="NEW"),"",INDEX(J$1:J1706,SUMPRODUCT(MAX(ROW(E$1:E1706)*(E1707=E$1:E1706)))))</f>
        <v> </v>
      </c>
      <c r="L1707" s="27"/>
    </row>
    <row r="1708" spans="1:12">
      <c r="A1708" s="20"/>
    </row>
    <row r="1709" spans="1:12">
      <c r="A1709" s="20" t="s">
        <v>970</v>
      </c>
    </row>
    <row r="1710" spans="1:12">
      <c r="A1710" s="20" t="s">
        <v>971</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t="s">
        <v>717</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t="s">
        <v>587</v>
      </c>
      <c r="E1712" s="22">
        <f>IF(D1712="?OLD","!!!","")</f>
        <v/>
      </c>
      <c r="F1712" s="23" t="str">
        <f>IF(OR(E1712="",E1712="!!!"),"",IF(NOT(ISNA(VLOOKUP(E1712,E$1:E1711,1,FALSE()))),"OLD",IF(AND(E1712&lt;&gt;"",E1712&lt;&gt;"!!!"),"NEW","")))</f>
        <v> </v>
      </c>
      <c r="G1712" s="24" t="str">
        <f>IF(OR(E1712="",E1712="!!!"),"",IF(OR(J1712=0,AND(J1712=1,K1712=1),AND(J1712=1,I1712="SBJ"),AND(J1712=1,I1712=0)),"?IN_FOCUS",IF(J1712&lt;=2,"?ACTIVATED",IF(J1712&lt;&gt;"","?FAMILIAR",IF(F1712="NEW",IF(ISNA(VLOOKUP(E1712,#REF!,1,FALSE())),"?TYPE_IDENTIFIABLE","?REFERENTIAL"),"_")))))</f>
        <v> </v>
      </c>
      <c r="H1712" s="25" t="str">
        <f>IF(J1712&lt;&gt;1,"",IF(I1712="SBJ","CB","?"))</f>
        <v> </v>
      </c>
      <c r="I1712" s="26" t="str">
        <f>IF(OR(E1712="",E1712="!!!",F1712="NEW"),"",INDEX(B1711:B$2,-1+SUMPRODUCT(MAX(ROW(E1711:E$2)*(E1712=E1711:E$2)))))</f>
        <v> </v>
      </c>
      <c r="J1712" s="26" t="str">
        <f>IF(OR(E1712="",E1712="!!!",F1712="NEW"),"",COUNTBLANK(OFFSET(A$1,,,SUMPRODUCT(MAX(ROW(E$2:E1712)*(E1712=E$2:E1712)))))-COUNTBLANK(OFFSET(A$1,,,SUMPRODUCT(MAX(ROW(E$1:E1711)*(E2=E$1:E1711))))))</f>
        <v> </v>
      </c>
      <c r="K1712" s="26" t="str">
        <f>IF(OR(E1712="",E1712="!!!",F1712="NEW"),"",INDEX(J$1:J1711,SUMPRODUCT(MAX(ROW(E$1:E1711)*(E1712=E$1:E1711)))))</f>
        <v> </v>
      </c>
      <c r="L1712" s="27"/>
    </row>
    <row r="1713" spans="1:12">
      <c r="A1713" s="20" t="s">
        <v>972</v>
      </c>
      <c r="B1713" s="21" t="s">
        <v>365</v>
      </c>
      <c r="C1713" s="21" t="s">
        <v>371</v>
      </c>
      <c r="D1713" s="21" t="s">
        <v>358</v>
      </c>
      <c r="E1713" s="22">
        <f>IF(D1713="?OLD","!!!","")</f>
        <v/>
      </c>
      <c r="F1713" s="23" t="str">
        <f>IF(OR(E1713="",E1713="!!!"),"",IF(NOT(ISNA(VLOOKUP(E1713,E$1:E1712,1,FALSE()))),"OLD",IF(AND(E1713&lt;&gt;"",E1713&lt;&gt;"!!!"),"NEW","")))</f>
        <v> </v>
      </c>
      <c r="G1713" s="24" t="str">
        <f>IF(OR(E1713="",E1713="!!!"),"",IF(OR(J1713=0,AND(J1713=1,K1713=1),AND(J1713=1,I1713="SBJ"),AND(J1713=1,I1713=0)),"?IN_FOCUS",IF(J1713&lt;=2,"?ACTIVATED",IF(J1713&lt;&gt;"","?FAMILIAR",IF(F1713="NEW",IF(ISNA(VLOOKUP(E1713,#REF!,1,FALSE())),"?TYPE_IDENTIFIABLE","?REFERENTIAL"),"_")))))</f>
        <v> </v>
      </c>
      <c r="H1713" s="25" t="str">
        <f>IF(J1713&lt;&gt;1,"",IF(I1713="SBJ","CB","?"))</f>
        <v> </v>
      </c>
      <c r="I1713" s="26" t="str">
        <f>IF(OR(E1713="",E1713="!!!",F1713="NEW"),"",INDEX(B1712:B$2,-1+SUMPRODUCT(MAX(ROW(E1712:E$2)*(E1713=E1712:E$2)))))</f>
        <v> </v>
      </c>
      <c r="J1713" s="26" t="str">
        <f>IF(OR(E1713="",E1713="!!!",F1713="NEW"),"",COUNTBLANK(OFFSET(A$1,,,SUMPRODUCT(MAX(ROW(E$2:E1713)*(E1713=E$2:E1713)))))-COUNTBLANK(OFFSET(A$1,,,SUMPRODUCT(MAX(ROW(E$1:E1712)*(E2=E$1:E1712))))))</f>
        <v> </v>
      </c>
      <c r="K1713" s="26" t="str">
        <f>IF(OR(E1713="",E1713="!!!",F1713="NEW"),"",INDEX(J$1:J1712,SUMPRODUCT(MAX(ROW(E$1:E1712)*(E1713=E$1:E1712)))))</f>
        <v> </v>
      </c>
      <c r="L1713" s="27"/>
    </row>
    <row r="1714" spans="1:12">
      <c r="A1714" s="20" t="s">
        <v>588</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2025-07-10T18:07:45Z</dcterms:created>
  <dcterms:modified xsi:type="dcterms:W3CDTF">2025-07-10T18:07:45Z</dcterms:modified>
</cp:coreProperties>
</file>