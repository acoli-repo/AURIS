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<sst xmlns="http://schemas.openxmlformats.org/spreadsheetml/2006/main" count="10403" uniqueCount="2101">
  <si>
    <t>ID</t>
  </si>
  <si>
    <t>PRED_ID</t>
  </si>
  <si>
    <t>MARKER_AUTO</t>
  </si>
  <si>
    <t>PREDICATE</t>
  </si>
  <si>
    <t>TEXT</t>
  </si>
  <si>
    <t>SENTENCE</t>
  </si>
  <si>
    <t>MARKER</t>
  </si>
  <si>
    <t>TARGET</t>
  </si>
  <si>
    <t>RELATION</t>
  </si>
  <si>
    <t>COMMENT</t>
  </si>
  <si>
    <t>1</t>
  </si>
  <si>
    <t>10</t>
  </si>
  <si>
    <t>même?</t>
  </si>
  <si>
    <t>représenter</t>
  </si>
  <si>
    <t>« Même en termes purement non-religieux , l' homosexualité représente une mauvaise utilisation de la faculté sexuelle .</t>
  </si>
  <si>
    <t>file://conllu/fr/teddy-1322.conllu#s1_0</t>
  </si>
  <si>
    <t>_</t>
  </si>
  <si>
    <t>2</t>
  </si>
  <si>
    <t>à?</t>
  </si>
  <si>
    <t>être (être substitut)</t>
  </si>
  <si>
    <t>C' est un petit substitut ridicule de second ordre à la réalité , une fuite pitoyable de la vie .</t>
  </si>
  <si>
    <t>file://conllu/fr/teddy-1322.conllu#s2_0</t>
  </si>
  <si>
    <t>3</t>
  </si>
  <si>
    <t>13</t>
  </si>
  <si>
    <t>en?</t>
  </si>
  <si>
    <t>mériter</t>
  </si>
  <si>
    <t>En tant que telle , elle ne mérite aucune compassion , ne mérite pas d' être traitée en tant que comme un martyre minoritaire , et mérite de n' être jugée autrement que comme une maladie pernicieuse .</t>
  </si>
  <si>
    <t>file://conllu/fr/teddy-1322.conllu#s3_0</t>
  </si>
  <si>
    <t>4</t>
  </si>
  <si>
    <t>lorsque?</t>
  </si>
  <si>
    <t>tirer</t>
  </si>
  <si>
    <t>» Ceci est tiré du de le magazine Time de 1966 , lorsque j' avais trois ans .</t>
  </si>
  <si>
    <t>file://conllu/fr/teddy-1322.conllu#s4_0</t>
  </si>
  <si>
    <t>5</t>
  </si>
  <si>
    <t>s'?</t>
  </si>
  <si>
    <t>prononcer</t>
  </si>
  <si>
    <t>Et l' année dernière , le président des de les Etats-Unis s' est prononcé en faveur du de le mariage gay.</t>
  </si>
  <si>
    <t>file://conllu/fr/teddy-1322.conllu#s5_0</t>
  </si>
  <si>
    <t>6</t>
  </si>
  <si>
    <t>Applaudissement</t>
  </si>
  <si>
    <t>( Applaudissements )</t>
  </si>
  <si>
    <t>file://conllu/fr/teddy-1322.conllu#s6_0</t>
  </si>
  <si>
    <t>7</t>
  </si>
  <si>
    <t>être (être suivant)</t>
  </si>
  <si>
    <t>Ma question est la suivante : comment en est -on arrivé là ?</t>
  </si>
  <si>
    <t>file://conllu/fr/teddy-1322.conllu#s7_0</t>
  </si>
  <si>
    <t>8</t>
  </si>
  <si>
    <t>devenir</t>
  </si>
  <si>
    <t>Comment une maladie est -elle devenue une identité ?</t>
  </si>
  <si>
    <t>file://conllu/fr/teddy-1322.conllu#s8_0</t>
  </si>
  <si>
    <t>9</t>
  </si>
  <si>
    <t>aller</t>
  </si>
  <si>
    <t>Lorsque j' avais peut-être six ans , je suis allé dans un magasin de chaussures avec ma mère et mon frère .</t>
  </si>
  <si>
    <t>file://conllu/fr/teddy-1322.conllu#s9_0</t>
  </si>
  <si>
    <t>12</t>
  </si>
  <si>
    <t>après?</t>
  </si>
  <si>
    <t>dire</t>
  </si>
  <si>
    <t>Et après avoir acheté nos chaussures , le vendeur nous a dit qu' on pouvait avoir chacun un ballon .</t>
  </si>
  <si>
    <t>file://conllu/fr/teddy-1322.conllu#s10_0</t>
  </si>
  <si>
    <t>11</t>
  </si>
  <si>
    <t>vouloir</t>
  </si>
  <si>
    <t>Mon frère voulait un ballon rouge et moi un ballon rose .</t>
  </si>
  <si>
    <t>file://conllu/fr/teddy-1322.conllu#s11_0</t>
  </si>
  <si>
    <t>plutôt?</t>
  </si>
  <si>
    <t>Ma mère m' a dit que je devrais plutôt prendre un ballon bleu .</t>
  </si>
  <si>
    <t>file://conllu/fr/teddy-1322.conllu#s12_0</t>
  </si>
  <si>
    <t>mais?</t>
  </si>
  <si>
    <t>Mais j' ai dit que je voulais vraiment le rose .</t>
  </si>
  <si>
    <t>file://conllu/fr/teddy-1322.conllu#s13_0</t>
  </si>
  <si>
    <t>14</t>
  </si>
  <si>
    <t>et?</t>
  </si>
  <si>
    <t>rappeler</t>
  </si>
  <si>
    <t>Et elle m' a rappelé que ma couleur favorite était le bleu .</t>
  </si>
  <si>
    <t>file://conllu/fr/teddy-1322.conllu#s14_0</t>
  </si>
  <si>
    <t>15</t>
  </si>
  <si>
    <t>la preuve?</t>
  </si>
  <si>
    <t>être (être bleu)</t>
  </si>
  <si>
    <t>Le fait qu' aujourd'hui ma couleur favorite soit le bleu mais que je sois toujours gay ... ( Rires ) est la preuve à la fois de l' influence de ma mère , mais aussi de ses limites .</t>
  </si>
  <si>
    <t>file://conllu/fr/teddy-1322.conllu#s15_0</t>
  </si>
  <si>
    <t>16</t>
  </si>
  <si>
    <t>quand?</t>
  </si>
  <si>
    <t>Quand j' étais petit , ma mère disait souvent , « L' amour qu' on a pour ses enfants ne ressemble à aucun autre sentiment au à le monde .</t>
  </si>
  <si>
    <t>file://conllu/fr/teddy-1322.conllu#s16_0</t>
  </si>
  <si>
    <t>17</t>
  </si>
  <si>
    <t>savoir</t>
  </si>
  <si>
    <t>Et tant que tu n' as pas d' enfant , tu ne sais pas ce que c' est .</t>
  </si>
  <si>
    <t>file://conllu/fr/teddy-1322.conllu#s17_0</t>
  </si>
  <si>
    <t>18</t>
  </si>
  <si>
    <t>prenaître</t>
  </si>
  <si>
    <t>» Lorsque j' étais petit , je prenais ça pour le plus beau compliment du de le monde , qu' elle dise ça à propos d' être notre mère .</t>
  </si>
  <si>
    <t>file://conllu/fr/teddy-1322.conllu#s18_0</t>
  </si>
  <si>
    <t>19</t>
  </si>
  <si>
    <t>penser</t>
  </si>
  <si>
    <t>Quand j' étais adolescent , je pensais que j' étais gay , et que donc je ne pouvais probablement pas avoir de famille .</t>
  </si>
  <si>
    <t>file://conllu/fr/teddy-1322.conllu#s19_0</t>
  </si>
  <si>
    <t>20</t>
  </si>
  <si>
    <t>rendre</t>
  </si>
  <si>
    <t>Et quand elle disait ça , ça me rendait nerveux .</t>
  </si>
  <si>
    <t>file://conllu/fr/teddy-1322.conllu#s20_0</t>
  </si>
  <si>
    <t>21</t>
  </si>
  <si>
    <t>être (être furieux)</t>
  </si>
  <si>
    <t>Et après avoir fait mon coming-out , quand elle a continué à le dire , j' étais furieux .</t>
  </si>
  <si>
    <t>file://conllu/fr/teddy-1322.conllu#s21_0</t>
  </si>
  <si>
    <t>22</t>
  </si>
  <si>
    <t>Je lui disais , « Je suis gay .</t>
  </si>
  <si>
    <t>file://conllu/fr/teddy-1322.conllu#s22_0</t>
  </si>
  <si>
    <t>23</t>
  </si>
  <si>
    <t>être (être direction)</t>
  </si>
  <si>
    <t>Ce n' est pas la direction dans laquelle je vais .</t>
  </si>
  <si>
    <t>file://conllu/fr/teddy-1322.conllu#s23_0</t>
  </si>
  <si>
    <t>24</t>
  </si>
  <si>
    <t>Et je veux que tu arrêtes de dire ça .</t>
  </si>
  <si>
    <t>file://conllu/fr/teddy-1322.conllu#s24_0</t>
  </si>
  <si>
    <t>25</t>
  </si>
  <si>
    <t>écrire (écrire demander)</t>
  </si>
  <si>
    <t>» Il y a environ 20 ans , mes éditeurs au à le New York Times Magazine m' ont demandé d' écrire un article sur la culture sourde .</t>
  </si>
  <si>
    <t>file://conllu/fr/teddy-1322.conllu#s25_0</t>
  </si>
  <si>
    <t>26</t>
  </si>
  <si>
    <t>rester</t>
  </si>
  <si>
    <t>Et j' en suis resté déconcerté .</t>
  </si>
  <si>
    <t>file://conllu/fr/teddy-1322.conllu#s26_0</t>
  </si>
  <si>
    <t>27</t>
  </si>
  <si>
    <t>Je n' avais pensé à la surdité qu' en tant que maladie .</t>
  </si>
  <si>
    <t>file://conllu/fr/teddy-1322.conllu#s27_0</t>
  </si>
  <si>
    <t>28</t>
  </si>
  <si>
    <t>gens</t>
  </si>
  <si>
    <t>Ces pauvres gens qui ne pouvaient pas entendre .</t>
  </si>
  <si>
    <t>file://conllu/fr/teddy-1322.conllu#s28_0</t>
  </si>
  <si>
    <t>29</t>
  </si>
  <si>
    <t>avoir</t>
  </si>
  <si>
    <t>Ils avaient cette surdité , que pouvions -nous faire pour eux ?</t>
  </si>
  <si>
    <t>file://conllu/fr/teddy-1322.conllu#s29_0</t>
  </si>
  <si>
    <t>30</t>
  </si>
  <si>
    <t>alors?</t>
  </si>
  <si>
    <t>entrer</t>
  </si>
  <si>
    <t>Je suis alors entré dans le monde des de les sourds .</t>
  </si>
  <si>
    <t>file://conllu/fr/teddy-1322.conllu#s30_0</t>
  </si>
  <si>
    <t>31</t>
  </si>
  <si>
    <t>pour?</t>
  </si>
  <si>
    <t>Je suis allé dans des de les clubs pour sourds .</t>
  </si>
  <si>
    <t>file://conllu/fr/teddy-1322.conllu#s31_0</t>
  </si>
  <si>
    <t>32</t>
  </si>
  <si>
    <t>assister</t>
  </si>
  <si>
    <t>J' ai assisté à du de le théâtre sourd et à de la poésie sourde .</t>
  </si>
  <si>
    <t>file://conllu/fr/teddy-1322.conllu#s32_0</t>
  </si>
  <si>
    <t>33</t>
  </si>
  <si>
    <t>Je suis même allé au à le concours de Miss Amérique Sourde à Nashville dans le Tennessee où les gens se plaignaient de cette langue des de les signes à l' accent du de le sud .</t>
  </si>
  <si>
    <t>file://conllu/fr/teddy-1322.conllu#s33_0</t>
  </si>
  <si>
    <t>34</t>
  </si>
  <si>
    <t>Alors que je me plongeais de plus en plus dans le monde des de les sourds , je suis devenu convaincu que la surdité était une culture et que les gens du de le monde des de les sourds qui disaient , « Nous ne sommes pas malentendants , nous sommes membres d' une culture , » disaient quelque chose de viable .</t>
  </si>
  <si>
    <t>file://conllu/fr/teddy-1322.conllu#s34_0</t>
  </si>
  <si>
    <t>35</t>
  </si>
  <si>
    <t>être (être culture)</t>
  </si>
  <si>
    <t>Ce n' était pas ma culture , et je n' avais pas particulièrement envie de me précipiter pour les rejoindre , mais j' appréciais que ce soit une culture et que pour ceux qui en étaient membres , elle paraissait aussi précieuse que la culture latine , gay ou juive .</t>
  </si>
  <si>
    <t>file://conllu/fr/teddy-1322.conllu#s35_0</t>
  </si>
  <si>
    <t>36</t>
  </si>
  <si>
    <t>aussi?</t>
  </si>
  <si>
    <t>paraître</t>
  </si>
  <si>
    <t>Elle paraissait peut-être même aussi valable que la culture américaine .</t>
  </si>
  <si>
    <t>file://conllu/fr/teddy-1322.conllu#s36_0</t>
  </si>
  <si>
    <t>37</t>
  </si>
  <si>
    <t>puis?</t>
  </si>
  <si>
    <t>Puis une amie d' un de mes amis a eu une fille naine .</t>
  </si>
  <si>
    <t>file://conllu/fr/teddy-1322.conllu#s37_0</t>
  </si>
  <si>
    <t>38</t>
  </si>
  <si>
    <t>soudain?</t>
  </si>
  <si>
    <t>retrouver</t>
  </si>
  <si>
    <t>Quand sa fille est née , elle s' est soudain retrouvée face à des de les questions qui maintenant me semblent pleines de sens .</t>
  </si>
  <si>
    <t>file://conllu/fr/teddy-1322.conllu#s38_0</t>
  </si>
  <si>
    <t>39</t>
  </si>
  <si>
    <t>être (être question)</t>
  </si>
  <si>
    <t>Elle était face à la question de quoi faire avec cette enfant .</t>
  </si>
  <si>
    <t>file://conllu/fr/teddy-1322.conllu#s39_0</t>
  </si>
  <si>
    <t>40</t>
  </si>
  <si>
    <t>comme?</t>
  </si>
  <si>
    <t>devoir</t>
  </si>
  <si>
    <t>Devrait -elle dire : « Tu es comme tout le monde , mais un peu plus petite » ?</t>
  </si>
  <si>
    <t>file://conllu/fr/teddy-1322.conllu#s40_0</t>
  </si>
  <si>
    <t>41</t>
  </si>
  <si>
    <t>ou bien?</t>
  </si>
  <si>
    <t>Ou bien devrait -elle essayer de construire une sorte d' identité naine , de s' investir dans l' association des de les personnes de petite taille d' Amérique , se renseigner sur ce qui arrivait aux à les nains ?</t>
  </si>
  <si>
    <t>file://conllu/fr/teddy-1322.conllu#s41_0</t>
  </si>
  <si>
    <t>42</t>
  </si>
  <si>
    <t>J' ai soudain pensé , la plupart des de les enfants sourds naissent de parents entendants .</t>
  </si>
  <si>
    <t>file://conllu/fr/teddy-1322.conllu#s42_0</t>
  </si>
  <si>
    <t>43</t>
  </si>
  <si>
    <t>Ces parents entendants ont tendance à essayer de les soigner .</t>
  </si>
  <si>
    <t>file://conllu/fr/teddy-1322.conllu#s43_0</t>
  </si>
  <si>
    <t>44</t>
  </si>
  <si>
    <t>découvrir</t>
  </si>
  <si>
    <t>Ces sourds découvrent la communauté d' une façon ou d' une autre à l' adolescence .</t>
  </si>
  <si>
    <t>file://conllu/fr/teddy-1322.conllu#s44_0</t>
  </si>
  <si>
    <t>45</t>
  </si>
  <si>
    <t>naître</t>
  </si>
  <si>
    <t>La plupart des de les gays naissent de parents hétéros .</t>
  </si>
  <si>
    <t>file://conllu/fr/teddy-1322.conllu#s45_0</t>
  </si>
  <si>
    <t>46</t>
  </si>
  <si>
    <t>Ces parents hétéros veulent souvent qu' ils fonctionnent dans ce qu' ils pensent être le monde ordinaire , et ces gays doivent découvrir leur identité plus tard .</t>
  </si>
  <si>
    <t>file://conllu/fr/teddy-1322.conllu#s46_0</t>
  </si>
  <si>
    <t>47</t>
  </si>
  <si>
    <t>Et là , il y avait cette amie qui réfléchissait à ces questions d' identité avec sa fille naine .</t>
  </si>
  <si>
    <t>file://conllu/fr/teddy-1322.conllu#s47_0</t>
  </si>
  <si>
    <t>48</t>
  </si>
  <si>
    <t>encore?</t>
  </si>
  <si>
    <t>Et je me suis dit , c' est encore la même chose : Une famille qui se perçoit comme étant normale avec un enfant qui semble extraordinaire .</t>
  </si>
  <si>
    <t>file://conllu/fr/teddy-1322.conllu#s48_0</t>
  </si>
  <si>
    <t>49</t>
  </si>
  <si>
    <t>couver</t>
  </si>
  <si>
    <t>Et j' ai couvé l' idée qu' il y a vraiment deux types d' identité .</t>
  </si>
  <si>
    <t>file://conllu/fr/teddy-1322.conllu#s49_0</t>
  </si>
  <si>
    <t>50</t>
  </si>
  <si>
    <t>Il y a des de les identités verticales , qui sont transmises de génération en génération des de les parents aux à les enfants .</t>
  </si>
  <si>
    <t>file://conllu/fr/teddy-1322.conllu#s50_0</t>
  </si>
  <si>
    <t>51</t>
  </si>
  <si>
    <t>être (être chose)</t>
  </si>
  <si>
    <t>Ce sont les choses comme l' ethnicité , souvent la nationalité , la langue , souvent la religion .</t>
  </si>
  <si>
    <t>file://conllu/fr/teddy-1322.conllu#s51_0</t>
  </si>
  <si>
    <t>52</t>
  </si>
  <si>
    <t>Ce sont les choses que l' on a en commun avec ses parents et ses enfants .</t>
  </si>
  <si>
    <t>file://conllu/fr/teddy-1322.conllu#s52_0</t>
  </si>
  <si>
    <t>53</t>
  </si>
  <si>
    <t>essayer</t>
  </si>
  <si>
    <t>Et alors que certaines d' entre elles peuvent être difficiles , on n' essaye pas de les soigner .</t>
  </si>
  <si>
    <t>file://conllu/fr/teddy-1322.conllu#s53_0</t>
  </si>
  <si>
    <t>54</t>
  </si>
  <si>
    <t>pouvoir</t>
  </si>
  <si>
    <t>On peut affirmer qu' il est plus difficile aux à les États-Unis , notre président actuel excepté , d' être une personne de couleur .</t>
  </si>
  <si>
    <t>file://conllu/fr/teddy-1322.conllu#s54_0</t>
  </si>
  <si>
    <t>55</t>
  </si>
  <si>
    <t>pourtant?</t>
  </si>
  <si>
    <t>Et pourtant , il n' y a personne qui soit en train d' essayer de s' assurer que la prochaine génération d' enfants nés de parents afro-américains et asiatiques arrivent avec une peau crème et des de les cheveux jaunes .</t>
  </si>
  <si>
    <t>file://conllu/fr/teddy-1322.conllu#s55_0</t>
  </si>
  <si>
    <t>56</t>
  </si>
  <si>
    <t>Et il y a ces autres identités que l' on doit apprendre d' un groupe de pairs .</t>
  </si>
  <si>
    <t>file://conllu/fr/teddy-1322.conllu#s56_0</t>
  </si>
  <si>
    <t>57</t>
  </si>
  <si>
    <t>appeler</t>
  </si>
  <si>
    <t>Je les appelle les identités horizontales , parce que le groupe de pairs est l' expérience horizontale .</t>
  </si>
  <si>
    <t>file://conllu/fr/teddy-1322.conllu#s57_0</t>
  </si>
  <si>
    <t>58</t>
  </si>
  <si>
    <t>être (être identité)</t>
  </si>
  <si>
    <t>Ce sont des de les identités qui sont étrangères aux à les parents et que l' on doit découvrir lorsqu' on les voit chez ses pairs .</t>
  </si>
  <si>
    <t>file://conllu/fr/teddy-1322.conllu#s58_0</t>
  </si>
  <si>
    <t>59</t>
  </si>
  <si>
    <t>Ces identités , ces identités horizontales , les gens ont presque toujours essayé de les guérir .</t>
  </si>
  <si>
    <t>file://conllu/fr/teddy-1322.conllu#s59_0</t>
  </si>
  <si>
    <t>60</t>
  </si>
  <si>
    <t>être (être processus)</t>
  </si>
  <si>
    <t>Je voulais voir quel était le processus à travers lequel les personnes qui ont ces identités arrivent à une bonne relation avec elles .</t>
  </si>
  <si>
    <t>file://conllu/fr/teddy-1322.conllu#s60_0</t>
  </si>
  <si>
    <t>61</t>
  </si>
  <si>
    <t>sembler</t>
  </si>
  <si>
    <t>Et il m' a semblé que trois niveaux d' acceptation devaient se produire ..</t>
  </si>
  <si>
    <t>file://conllu/fr/teddy-1322.conllu#s61_0</t>
  </si>
  <si>
    <t>62</t>
  </si>
  <si>
    <t>Il y a l' acceptation de soi , l' acceptation par sa famille et l' acceptation sociale .</t>
  </si>
  <si>
    <t>file://conllu/fr/teddy-1322.conllu#s62_0</t>
  </si>
  <si>
    <t>63</t>
  </si>
  <si>
    <t>coïncidre</t>
  </si>
  <si>
    <t>Elles ne coïncident pas toujours .</t>
  </si>
  <si>
    <t>file://conllu/fr/teddy-1322.conllu#s63_0</t>
  </si>
  <si>
    <t>64</t>
  </si>
  <si>
    <t>personne</t>
  </si>
  <si>
    <t>La plupart du de le temps , les personnes qui ont ces problèmes sont très en colère parce qu' elles ont l' impression que leurs parents ne les aiment pas , alors que ce qui se passe en réalité , c' est que leurs parents ne les acceptent pas .</t>
  </si>
  <si>
    <t>file://conllu/fr/teddy-1322.conllu#s64_0</t>
  </si>
  <si>
    <t>65</t>
  </si>
  <si>
    <t>L' amour est une chose qui , idéalement , est là de façon inconditionnelle dans tous les aspects de la relation entre un parent et un enfant .</t>
  </si>
  <si>
    <t>file://conllu/fr/teddy-1322.conllu#s65_0</t>
  </si>
  <si>
    <t>66</t>
  </si>
  <si>
    <t>Mais l' acceptation est une chose qui prend du de le temps .</t>
  </si>
  <si>
    <t>file://conllu/fr/teddy-1322.conllu#s66_0</t>
  </si>
  <si>
    <t>67</t>
  </si>
  <si>
    <t>prendre</t>
  </si>
  <si>
    <t>Ca prend toujours du de le temps .</t>
  </si>
  <si>
    <t>file://conllu/fr/teddy-1322.conllu#s67_0</t>
  </si>
  <si>
    <t>68</t>
  </si>
  <si>
    <t>être (être gars)</t>
  </si>
  <si>
    <t>Un des de les nains dont j' ai fait la connaissance était un gars du de le nom de Clinton Brown .</t>
  </si>
  <si>
    <t>file://conllu/fr/teddy-1322.conllu#s68_0</t>
  </si>
  <si>
    <t>69</t>
  </si>
  <si>
    <t>lorsqu'?</t>
  </si>
  <si>
    <t>diagnostiquer</t>
  </si>
  <si>
    <t>Lorsqu' il est né , on lui a diagnostiqué un nanisme diastrophique , une maladie très handicapante , et on a dit à ses parents qu' il ne marcherait jamais , ne parlerait jamais , qu' il n' aurait aucune capacité intellectuelle , et qu' il ne les reconnaîtrait probablement pas .</t>
  </si>
  <si>
    <t>file://conllu/fr/teddy-1322.conllu#s69_0</t>
  </si>
  <si>
    <t>70</t>
  </si>
  <si>
    <t>pour qu'?</t>
  </si>
  <si>
    <t>suggérer</t>
  </si>
  <si>
    <t>On leur a suggéré de le laisser à l' hôpital pour qu' il puisse y mourir en paix .</t>
  </si>
  <si>
    <t>file://conllu/fr/teddy-1322.conllu#s70_0</t>
  </si>
  <si>
    <t>71</t>
  </si>
  <si>
    <t>répondre</t>
  </si>
  <si>
    <t>Sa mère a répondu qu' elle ne ferait pas ça .</t>
  </si>
  <si>
    <t>file://conllu/fr/teddy-1322.conllu#s71_0</t>
  </si>
  <si>
    <t>72</t>
  </si>
  <si>
    <t>ramener</t>
  </si>
  <si>
    <t>Elle a ramené son fils chez elle .</t>
  </si>
  <si>
    <t>file://conllu/fr/teddy-1322.conllu#s72_0</t>
  </si>
  <si>
    <t>73</t>
  </si>
  <si>
    <t>même si?</t>
  </si>
  <si>
    <t>trouver</t>
  </si>
  <si>
    <t>Même si elle n' avait pas beaucoup de ressources , éducatives ou financières , elle a trouvé le meilleur docteur du de le pays en matière de nanisme diastrophique et elle a inscrit Clinton auprès de lui .</t>
  </si>
  <si>
    <t>file://conllu/fr/teddy-1322.conllu#s73_0</t>
  </si>
  <si>
    <t>74</t>
  </si>
  <si>
    <t>subir</t>
  </si>
  <si>
    <t>Durant son enfance , il a subi 30 opérations chirurgicales majeures .</t>
  </si>
  <si>
    <t>file://conllu/fr/teddy-1322.conllu#s74_0</t>
  </si>
  <si>
    <t>75</t>
  </si>
  <si>
    <t>pendant qu'?</t>
  </si>
  <si>
    <t>passer</t>
  </si>
  <si>
    <t>Il a passé tout ce temps bloqué à l' hôpital pendant qu' il subissait ces opérations , grâce auxquelles à lesquelles il peut maintenant marcher .</t>
  </si>
  <si>
    <t>file://conllu/fr/teddy-1322.conllu#s75_0</t>
  </si>
  <si>
    <t>76</t>
  </si>
  <si>
    <t>envoyer</t>
  </si>
  <si>
    <t>Pendant qu' il était là-bas , on a envoyé des de les tuteurs pour l' aider pour ses devoirs .</t>
  </si>
  <si>
    <t>file://conllu/fr/teddy-1322.conllu#s76_0</t>
  </si>
  <si>
    <t>77</t>
  </si>
  <si>
    <t>travailler</t>
  </si>
  <si>
    <t>Il a travaillé très dur parce qu' il n' avait rien d' autre à faire .</t>
  </si>
  <si>
    <t>file://conllu/fr/teddy-1322.conllu#s77_0</t>
  </si>
  <si>
    <t>78</t>
  </si>
  <si>
    <t>finir</t>
  </si>
  <si>
    <t>Il a fini par atteindre un niveau qui n' avait jamais été envisagé par aucun membre de sa famille .</t>
  </si>
  <si>
    <t>file://conllu/fr/teddy-1322.conllu#s78_0</t>
  </si>
  <si>
    <t>79</t>
  </si>
  <si>
    <t>en fait?</t>
  </si>
  <si>
    <t>être (être premier)</t>
  </si>
  <si>
    <t>En fait , il était le premier de sa famille à aller à l' université , où il habitait sur le campus et conduisait une voiture aménagée adaptée à son corps insolite .</t>
  </si>
  <si>
    <t>file://conllu/fr/teddy-1322.conllu#s79_0</t>
  </si>
  <si>
    <t>80</t>
  </si>
  <si>
    <t>dire (dire raconter)</t>
  </si>
  <si>
    <t>Sa mère m' a raconté l' histoire d' un jour où elle rentrait à la maison il allait dans une université proche elle m' a dit , « J' ai vu sa voiture , qu' on reconnaît toujours , sur le parking d' un bar , » « Et je me suis dit , ils font 1,80 m , il fait 90 cm .</t>
  </si>
  <si>
    <t>file://conllu/fr/teddy-1322.conllu#s80_0</t>
  </si>
  <si>
    <t>81</t>
  </si>
  <si>
    <t>faire</t>
  </si>
  <si>
    <t>Deux bières pour eux , ça fait quatre pour lui .</t>
  </si>
  <si>
    <t>file://conllu/fr/teddy-1322.conllu#s81_0</t>
  </si>
  <si>
    <t>82</t>
  </si>
  <si>
    <t>savoir (savoir dire)</t>
  </si>
  <si>
    <t>» Elle m' a dit , « Je savais que je ne pouvais pas entrer et l' interrompre mais je suis rentrée à la maison et je lui ai laissé huit messages sur son portable .</t>
  </si>
  <si>
    <t>file://conllu/fr/teddy-1322.conllu#s82_0</t>
  </si>
  <si>
    <t>83</t>
  </si>
  <si>
    <t>ensuite?</t>
  </si>
  <si>
    <t>dire (dire penser dire)</t>
  </si>
  <si>
    <t>» Elle m' a dit , « Ensuite j' ai pensé , si quelqu'un m' avait dit quand il est né que mon souci futur serait qu' il irait boire et conduire avec ses potes de fac ... » Et je lui ai dit , « Qu' est -ce que tu penses avoir fait qui l' a aidé à devenir quelqu'un de charmant , d' accompli et de merveilleux ?</t>
  </si>
  <si>
    <t>file://conllu/fr/teddy-1322.conllu#s83_0</t>
  </si>
  <si>
    <t>84</t>
  </si>
  <si>
    <t>Elle m' a dit , « Qu' est -ce que j' ai fait ?</t>
  </si>
  <si>
    <t>file://conllu/fr/teddy-1322.conllu#s84_0</t>
  </si>
  <si>
    <t>85</t>
  </si>
  <si>
    <t>aimer</t>
  </si>
  <si>
    <t>Je l' ai aimé , c' est tout .</t>
  </si>
  <si>
    <t>file://conllu/fr/teddy-1322.conllu#s85_0</t>
  </si>
  <si>
    <t>86</t>
  </si>
  <si>
    <t>Clinton a simplement toujours porté une certaine lumière en lui .</t>
  </si>
  <si>
    <t>file://conllu/fr/teddy-1322.conllu#s86_0</t>
  </si>
  <si>
    <t>87</t>
  </si>
  <si>
    <t>Son père et moi avons eu assez de chance pour être les premiers à le voir .</t>
  </si>
  <si>
    <t>file://conllu/fr/teddy-1322.conllu#s87_0</t>
  </si>
  <si>
    <t>88</t>
  </si>
  <si>
    <t>» Je vais citer un autre magazine des de les années 60 .</t>
  </si>
  <si>
    <t>file://conllu/fr/teddy-1322.conllu#s88_0</t>
  </si>
  <si>
    <t>89</t>
  </si>
  <si>
    <t>être (être 1968)</t>
  </si>
  <si>
    <t>Celui-ci est de 1968 The Atlantic Monthly , la voix de l' Amérique libérale écrit par un important bioéthicien .</t>
  </si>
  <si>
    <t>file://conllu/fr/teddy-1322.conllu#s89_0</t>
  </si>
  <si>
    <t>90</t>
  </si>
  <si>
    <t>Il disait , « Il n' y a aucune raison de se sentir coupable de mettre à l' écart les enfants trisomiques , que ce soit pour les cacher dans un sanatorium ou au à le sens figuré plus responsable et léthal .</t>
  </si>
  <si>
    <t>file://conllu/fr/teddy-1322.conllu#s90_0</t>
  </si>
  <si>
    <t>91</t>
  </si>
  <si>
    <t>être (être triste)</t>
  </si>
  <si>
    <t>C' est triste , oui épouvantable .</t>
  </si>
  <si>
    <t>file://conllu/fr/teddy-1322.conllu#s91_0</t>
  </si>
  <si>
    <t>92</t>
  </si>
  <si>
    <t>amener</t>
  </si>
  <si>
    <t>Mais ça n' amène aucune culpabilité .</t>
  </si>
  <si>
    <t>file://conllu/fr/teddy-1322.conllu#s92_0</t>
  </si>
  <si>
    <t>93</t>
  </si>
  <si>
    <t>apparaître</t>
  </si>
  <si>
    <t>La vraie culpabilité n' apparaît que lorsqu' on s' attaque à une personne , un trisomique n' est pas une personne .</t>
  </si>
  <si>
    <t>file://conllu/fr/teddy-1322.conllu#s93_0</t>
  </si>
  <si>
    <t>94</t>
  </si>
  <si>
    <t>à propos?</t>
  </si>
  <si>
    <t>écrire</t>
  </si>
  <si>
    <t>» On a beaucoup écrit à propos des de les énormes progrès que nous avons fait dans le traitement des de les homosexuels .</t>
  </si>
  <si>
    <t>file://conllu/fr/teddy-1322.conllu#s94_0</t>
  </si>
  <si>
    <t>95</t>
  </si>
  <si>
    <t>Le fait que notre attitude ait changé fait les gros titres chaque jour .</t>
  </si>
  <si>
    <t>file://conllu/fr/teddy-1322.conllu#s95_0</t>
  </si>
  <si>
    <t>96</t>
  </si>
  <si>
    <t>oublier</t>
  </si>
  <si>
    <t>Mais on oublie comment , dans le temps , on voyait les gens qui avaient d' autres différences , comment on voyait les personnes handicapées , à quel point on considérait que ces gens n' étaient pas humains .</t>
  </si>
  <si>
    <t>file://conllu/fr/teddy-1322.conllu#s96_0</t>
  </si>
  <si>
    <t>97</t>
  </si>
  <si>
    <t>être (être celui)</t>
  </si>
  <si>
    <t>Le changement qui a été accompli ici , qui est presque aussi radical , est celui auquel à lequel nous ne prêtons pas beaucoup attention .</t>
  </si>
  <si>
    <t>file://conllu/fr/teddy-1322.conllu#s97_0</t>
  </si>
  <si>
    <t>98</t>
  </si>
  <si>
    <t>stupéfaire</t>
  </si>
  <si>
    <t>Une des de les familles que j' ai interviewées , Tom et Karen Robards , ont été stupéfaits , lorsque , eux , de jeunes et brillants New Yorkais , on appris que leur premier enfant était trisomique .</t>
  </si>
  <si>
    <t>file://conllu/fr/teddy-1322.conllu#s98_0</t>
  </si>
  <si>
    <t>99</t>
  </si>
  <si>
    <t>Ils pensaient que les opportunités éducatives pour lui n' étaient pas ce qu' elles devraient être , ils ont alors décidé qu' ils construiraient un petit centre deux salles de classes qu' ils ont créées avec quelques autres parents pour éduquer les enfants trisomiques .</t>
  </si>
  <si>
    <t>file://conllu/fr/teddy-1322.conllu#s99_0</t>
  </si>
  <si>
    <t>101</t>
  </si>
  <si>
    <t>depuis?</t>
  </si>
  <si>
    <t>triplé</t>
  </si>
  <si>
    <t>Depuis la publication de cette histoire dans l' Atlantic Monthly , la durée de vie des de les personnes trisomiques a triplé .</t>
  </si>
  <si>
    <t>file://conllu/fr/teddy-1322.conllu#s101_0</t>
  </si>
  <si>
    <t>102</t>
  </si>
  <si>
    <t>inclure</t>
  </si>
  <si>
    <t>L' expérience des de les personnes trisomiques inclue ceux qui sont acteurs , ceux qui sont écrivains , ceux qui peuvent vivre totalement indépendant leur vie d' adulte .</t>
  </si>
  <si>
    <t>file://conllu/fr/teddy-1322.conllu#s102_0</t>
  </si>
  <si>
    <t>103</t>
  </si>
  <si>
    <t>être (être beaucoup)</t>
  </si>
  <si>
    <t>Les Robards y sont pour beaucoup .</t>
  </si>
  <si>
    <t>file://conllu/fr/teddy-1322.conllu#s103_0</t>
  </si>
  <si>
    <t>104</t>
  </si>
  <si>
    <t>demander</t>
  </si>
  <si>
    <t>Je leur ai demandé « Est -ce que vous avez des de les regrets ?</t>
  </si>
  <si>
    <t>file://conllu/fr/teddy-1322.conllu#s104_0</t>
  </si>
  <si>
    <t>105</t>
  </si>
  <si>
    <t>être</t>
  </si>
  <si>
    <t>Est -ce que vous auriez souhaité que votre enfant n' ait pas été trisomique ?</t>
  </si>
  <si>
    <t>file://conllu/fr/teddy-1322.conllu#s105_0</t>
  </si>
  <si>
    <t>106</t>
  </si>
  <si>
    <t>Est -ce que vous auriez préféré ne jamais en avoir entendu parlé ?</t>
  </si>
  <si>
    <t>file://conllu/fr/teddy-1322.conllu#s106_0</t>
  </si>
  <si>
    <t>107</t>
  </si>
  <si>
    <t>regretter (regretter dire)</t>
  </si>
  <si>
    <t>» Son père a dit quelque chose d' intéressant , « Et bien , pour David , notre fils , je le regrette , parce que pour David , c' est une façon difficile de faire partie du de le monde , et j' aimerais donner à David une vie plus facile .</t>
  </si>
  <si>
    <t>file://conllu/fr/teddy-1322.conllu#s107_0</t>
  </si>
  <si>
    <t>108</t>
  </si>
  <si>
    <t>dire (dire penser)</t>
  </si>
  <si>
    <t>Mais je pense que si nous perdions tous les trisomiques , ce serait une perte catastrophique » Karen Robards m' a dit , « Je suis d' accord avec Tom .</t>
  </si>
  <si>
    <t>file://conllu/fr/teddy-1322.conllu#s108_0</t>
  </si>
  <si>
    <t>109</t>
  </si>
  <si>
    <t>êtroigne (êtroigne maladie)</t>
  </si>
  <si>
    <t>Pour David , je soignerais sa maladie en un instant pour lui donner une vie meilleure .</t>
  </si>
  <si>
    <t>file://conllu/fr/teddy-1322.conllu#s109_0</t>
  </si>
  <si>
    <t>110</t>
  </si>
  <si>
    <t>vouloir (vouloir parler)</t>
  </si>
  <si>
    <t>Mais , je parle pour moi et bien , je n' aurais jamais cru il y a 23 ans , lorsqu' il est né que je pourrais arriver à ce point en ce qui me concerne , ça m' a rendu tellement meilleure , tellement plus gentille et tellement plus déterminée dans ma vie , que , en parlant pour moi , je ne voudrais arrêter pour rien au à le monde .</t>
  </si>
  <si>
    <t>file://conllu/fr/teddy-1322.conllu#s110_0</t>
  </si>
  <si>
    <t>111</t>
  </si>
  <si>
    <t>» Nous sommes à un moment où l' acceptation sociale pour cette maladie et bien d' autres s' améliore .</t>
  </si>
  <si>
    <t>file://conllu/fr/teddy-1322.conllu#s111_0</t>
  </si>
  <si>
    <t>112</t>
  </si>
  <si>
    <t>également?</t>
  </si>
  <si>
    <t>Pourtant nous en sommes également au à le moment où notre capacité à éliminer ces maladies a atteint un niveau que nous n' avions jamais imaginé auparavant .</t>
  </si>
  <si>
    <t>file://conllu/fr/teddy-1322.conllu#s112_0</t>
  </si>
  <si>
    <t>113</t>
  </si>
  <si>
    <t>recevoir</t>
  </si>
  <si>
    <t>La plupart des de les enfants sourds nés aux à les Etats-unis aujourd'hui recevra des de les implants cochléaires , qui sont posés dans le cerveau et connectés à un récepteur , ce qui leur permet d' acquérir un facsimile d' écoute et d' utiliser un langage oral Un composé qui a été testé chez la souris , le BMN-111 , est utilisé pour prévenir l' action du de le gène achondroplasique .</t>
  </si>
  <si>
    <t>file://conllu/fr/teddy-1322.conllu#s113_0</t>
  </si>
  <si>
    <t>114</t>
  </si>
  <si>
    <t>être (être forme)</t>
  </si>
  <si>
    <t>L' achondroplasie est la forme la plus commune de nanisme , les souris qui ont reçu ce produit et qui avaient le gène d' achondroplasie , ont grandi jusqu' à une taille normale .</t>
  </si>
  <si>
    <t>file://conllu/fr/teddy-1322.conllu#s114_0</t>
  </si>
  <si>
    <t>115</t>
  </si>
  <si>
    <t>bientôt?</t>
  </si>
  <si>
    <t>être (être bientôt)</t>
  </si>
  <si>
    <t>Les tests sur les humains sont pour bientôt .</t>
  </si>
  <si>
    <t>file://conllu/fr/teddy-1322.conllu#s115_0</t>
  </si>
  <si>
    <t>116</t>
  </si>
  <si>
    <t>améliorer</t>
  </si>
  <si>
    <t>Les tests sanguins s' améliorent et permettront de détecter le Syndrome de Down de façon plus claire et plus précoce lors des de les grossesses que jamais auparavant , permettant plus facilement aux à les gens d' éviter ces grossesses , ou d' y mettre un terme .</t>
  </si>
  <si>
    <t>file://conllu/fr/teddy-1322.conllu#s116_0</t>
  </si>
  <si>
    <t>117</t>
  </si>
  <si>
    <t>donc?</t>
  </si>
  <si>
    <t>avoir (avoir progrès)</t>
  </si>
  <si>
    <t>Nous avons donc un progrès social et médical .</t>
  </si>
  <si>
    <t>file://conllu/fr/teddy-1322.conllu#s117_0</t>
  </si>
  <si>
    <t>118</t>
  </si>
  <si>
    <t>croire</t>
  </si>
  <si>
    <t>Et je crois en les deux .</t>
  </si>
  <si>
    <t>file://conllu/fr/teddy-1322.conllu#s118_0</t>
  </si>
  <si>
    <t>119</t>
  </si>
  <si>
    <t>penser (penser croire)</t>
  </si>
  <si>
    <t>Je crois que le progrès social est fantastique , significatif et magnifique , et je pense la même chose du de le progrès médical .</t>
  </si>
  <si>
    <t>file://conllu/fr/teddy-1322.conllu#s119_0</t>
  </si>
  <si>
    <t>120</t>
  </si>
  <si>
    <t>Mais je pense que c' est une tragédie lorsque l' un ne voit pas l' autre .</t>
  </si>
  <si>
    <t>file://conllu/fr/teddy-1322.conllu#s120_0</t>
  </si>
  <si>
    <t>121</t>
  </si>
  <si>
    <t>penser (penser réaliser)</t>
  </si>
  <si>
    <t>Quand je vois comment ils se recoupent dans des de les maladies comme les trois exemples que je viens de décrire , je pense parfois que c' est comme pendant ces grands moments d' opéra ou le héros réalise qu' il aime l' héroine au à le moment même où elle est étendue morte sur le divan .</t>
  </si>
  <si>
    <t>file://conllu/fr/teddy-1322.conllu#s121_0</t>
  </si>
  <si>
    <t>122</t>
  </si>
  <si>
    <t>Nous devons réfléchir à la façon dont nous percevons les traitements .</t>
  </si>
  <si>
    <t>file://conllu/fr/teddy-1322.conllu#s122_0</t>
  </si>
  <si>
    <t>123</t>
  </si>
  <si>
    <t>être (être que)</t>
  </si>
  <si>
    <t>Souvent , les questions sur la parentalité est : qu' est -ce qu' on valide chez nos enfants , qu' est -ce qu' on soigne chez eux ?</t>
  </si>
  <si>
    <t>file://conllu/fr/teddy-1322.conllu#s123_0</t>
  </si>
  <si>
    <t>124</t>
  </si>
  <si>
    <t>exister</t>
  </si>
  <si>
    <t>Jim Sinclair , un militant majeur de l' autisme , a dit , « Lorsque les parents disent , « j' aurai voulu que mon enfant ne soit pas autiste , » ce qu' ils disent vraiment c' est « j' aurais voulu que l' enfant que j' ai n' ait jamais existé et que j' aie un enfant différent non autiste à la place .</t>
  </si>
  <si>
    <t>file://conllu/fr/teddy-1322.conllu#s124_0</t>
  </si>
  <si>
    <t>125</t>
  </si>
  <si>
    <t>Repenser</t>
  </si>
  <si>
    <t>» Repensez à ça .</t>
  </si>
  <si>
    <t>file://conllu/fr/teddy-1322.conllu#s125_0</t>
  </si>
  <si>
    <t>126</t>
  </si>
  <si>
    <t>être (être ce)</t>
  </si>
  <si>
    <t>C' est ce qu' on entend l orsqu' on se plaint de notre existence .</t>
  </si>
  <si>
    <t>file://conllu/fr/teddy-1322.conllu#s126_0</t>
  </si>
  <si>
    <t>127</t>
  </si>
  <si>
    <t>C' est ce qu' on entend quand vous priez pour un traitement que votre souhait le plus profond pour nous est qu' un jour nous cessions d' exister et que des de les étrangers que vous pouvez aimez viendront prendre place derrières nos visages .</t>
  </si>
  <si>
    <t>file://conllu/fr/teddy-1322.conllu#s127_0</t>
  </si>
  <si>
    <t>128</t>
  </si>
  <si>
    <t>être (être point)</t>
  </si>
  <si>
    <t>» C' est un point de vue vraiment extrême , mais il souligne le fait que les gens font avec la vie qu' ils ont et qu' ils ne veulent pas être soignés , changés ou éliminés .</t>
  </si>
  <si>
    <t>file://conllu/fr/teddy-1322.conllu#s128_0</t>
  </si>
  <si>
    <t>129</t>
  </si>
  <si>
    <t>Ils veulent exister quelque soit la personne qu' ils sont devenus .</t>
  </si>
  <si>
    <t>file://conllu/fr/teddy-1322.conllu#s129_0</t>
  </si>
  <si>
    <t>130</t>
  </si>
  <si>
    <t>être (être famille)</t>
  </si>
  <si>
    <t>Une des de les familles que j' ai interviewée pour ce projet était la famille de Dylan Klebold qui était un des de les responsables du de le massacre de Columbine .</t>
  </si>
  <si>
    <t>file://conllu/fr/teddy-1322.conllu#s130_0</t>
  </si>
  <si>
    <t>131</t>
  </si>
  <si>
    <t>Ça a pris beaucoup de temps pour les persuader de me parler , une fois qu' ils ont accepté , ils étaient tellement à fond dans leur histoire qu' ils ne pouvaient s' arrêter de la raconter .</t>
  </si>
  <si>
    <t>file://conllu/fr/teddy-1322.conllu#s131_0</t>
  </si>
  <si>
    <t>132</t>
  </si>
  <si>
    <t>week-end</t>
  </si>
  <si>
    <t>Le premier week-end que j' ai passé avec eux le premier de nombreux autres j' ai enregistré plus de 20 heures de conversation .</t>
  </si>
  <si>
    <t>file://conllu/fr/teddy-1322.conllu#s132_0</t>
  </si>
  <si>
    <t>133</t>
  </si>
  <si>
    <t>épuiser</t>
  </si>
  <si>
    <t>Le dimanche soir , nous étions tous épuisés .</t>
  </si>
  <si>
    <t>file://conllu/fr/teddy-1322.conllu#s133_0</t>
  </si>
  <si>
    <t>134</t>
  </si>
  <si>
    <t>assir</t>
  </si>
  <si>
    <t>Nous étions assis dans la cuisine .</t>
  </si>
  <si>
    <t>file://conllu/fr/teddy-1322.conllu#s134_0</t>
  </si>
  <si>
    <t>135</t>
  </si>
  <si>
    <t>être (être en)</t>
  </si>
  <si>
    <t>Sue Klebold était en train de préparer le dîner .</t>
  </si>
  <si>
    <t>file://conllu/fr/teddy-1322.conllu#s135_0</t>
  </si>
  <si>
    <t>136</t>
  </si>
  <si>
    <t>maintenant?</t>
  </si>
  <si>
    <t>Et j' ai dit , « Si Dylan était ici maintenant , avez -vous une idée de ce que vous voudriez lui demander ?</t>
  </si>
  <si>
    <t>file://conllu/fr/teddy-1322.conllu#s136_0</t>
  </si>
  <si>
    <t>137</t>
  </si>
  <si>
    <t>» Son père a répondu , « Oui , évidemment .</t>
  </si>
  <si>
    <t>file://conllu/fr/teddy-1322.conllu#s137_0</t>
  </si>
  <si>
    <t>138</t>
  </si>
  <si>
    <t>demanderais</t>
  </si>
  <si>
    <t>Je lui demanderais est -ce qu' il pensait à ce qu' il était en train de faire ?</t>
  </si>
  <si>
    <t>file://conllu/fr/teddy-1322.conllu#s138_0</t>
  </si>
  <si>
    <t>139</t>
  </si>
  <si>
    <t>réfléchir</t>
  </si>
  <si>
    <t>Sue a regardé le sol , a réfléchi une minute .</t>
  </si>
  <si>
    <t>file://conllu/fr/teddy-1322.conllu#s139_0</t>
  </si>
  <si>
    <t>140</t>
  </si>
  <si>
    <t>demander (demander dire regarder)</t>
  </si>
  <si>
    <t>Elle nous a regardé de nouveau et a dit , « Je lui demanderais de me pardonner d' avoir été sa mère et de n' avoir jamais su ce qui se passait dans sa tête .</t>
  </si>
  <si>
    <t>file://conllu/fr/teddy-1322.conllu#s140_0</t>
  </si>
  <si>
    <t>141</t>
  </si>
  <si>
    <t>» Lorsque j' ai dîné avec elle quelques années plus tard un des de les nombreux dîners que nous avons pris ensemble elle m' a dit , « Vous savez , lorsque c' est arrivé au à le début , je souhaitais souvent n' avoir jamais été mariée , n' avoir jamais eu d' enfant .</t>
  </si>
  <si>
    <t>file://conllu/fr/teddy-1322.conllu#s141_0</t>
  </si>
  <si>
    <t>142</t>
  </si>
  <si>
    <t>si?</t>
  </si>
  <si>
    <t>Si je n' avais pas été dans l' Ohio et croisé le chemin de Tom , cet enfant n' aurait jamais existé et cette chose terrible n' aurait jamais eu lieu .</t>
  </si>
  <si>
    <t>file://conllu/fr/teddy-1322.conllu#s142_0</t>
  </si>
  <si>
    <t>143</t>
  </si>
  <si>
    <t>arriver</t>
  </si>
  <si>
    <t>Mais j' en suis arrivée à penser que j' aime tellement les enfant que j' ai eus que je ne veux pas imaginer une vie sans eux .</t>
  </si>
  <si>
    <t>file://conllu/fr/teddy-1322.conllu#s143_0</t>
  </si>
  <si>
    <t>144</t>
  </si>
  <si>
    <t>dire (dire reconnaître)</t>
  </si>
  <si>
    <t>Je reconnais la souffrance qu' ils ont causée aux à les autres , qui est impardonnable , mais la souffrance qu' ils m' ont causée peut être pardonnée » m' a -t -elle dit .</t>
  </si>
  <si>
    <t>file://conllu/fr/teddy-1322.conllu#s144_0</t>
  </si>
  <si>
    <t>145</t>
  </si>
  <si>
    <t>mieux?</t>
  </si>
  <si>
    <t>reconnaître (reconnaître décider)</t>
  </si>
  <si>
    <t>« Alors autant je reconnais que ça aurait été mieux pour le monde si Dylan n' était jamais né , j' ai décidé que ça n' aurait pas été mieux pour moi .</t>
  </si>
  <si>
    <t>file://conllu/fr/teddy-1322.conllu#s145_0</t>
  </si>
  <si>
    <t>146</t>
  </si>
  <si>
    <t>trouvoir</t>
  </si>
  <si>
    <t>» Je trouvais ça surprenant comment toutes ces familles qui avaient eu tous ces enfants avec tous ces problèmes , des de les problèmes qu' ils auraient tout fait pour éviter , comment pouvaient -ils tous trouver autant de sens dans leur expérience de parentalité .</t>
  </si>
  <si>
    <t>file://conllu/fr/teddy-1322.conllu#s146_0</t>
  </si>
  <si>
    <t>147</t>
  </si>
  <si>
    <t>Ensuite je me suis dit , tous ceux d' entre nous qui avons des de les enfants aimons les enfants que nous avons , avec leurs défauts .</t>
  </si>
  <si>
    <t>file://conllu/fr/teddy-1322.conllu#s147_0</t>
  </si>
  <si>
    <t>148</t>
  </si>
  <si>
    <t>donner</t>
  </si>
  <si>
    <t>Si un ange glorieux descendait soudain à travers le plafond de mon salon et me proposait d' emporter les enfants que j' ai et de m' en donner un autre , de meilleurs enfants plus polis , plus drôles , plus gentils , plus intelligents je m' accrocherais aux à les enfants que j' ai et prierais pour que cesse cet atroce spectacle .</t>
  </si>
  <si>
    <t>file://conllu/fr/teddy-1322.conllu#s148_0</t>
  </si>
  <si>
    <t>149</t>
  </si>
  <si>
    <t>finalement?</t>
  </si>
  <si>
    <t>refléter</t>
  </si>
  <si>
    <t>Et finalement i' ai l' impression que de la même manière que lorsqu' on teste des de les pyjamas inifugés dans un brasier pour s' assurer qu' ils ne prendront pas feu lorsque nos enfants s' avancent vers la cuisinière , ces histoires de familles qui s' arrangent avec ces différences extrêmes reflètent l' expérience universelle de la parentalité , qui est que , parfois , vous regardez vos enfants et vous vous dites , d' où est -ce que tu viens ?</t>
  </si>
  <si>
    <t>file://conllu/fr/teddy-1322.conllu#s149_0</t>
  </si>
  <si>
    <t>150</t>
  </si>
  <si>
    <t>avérer</t>
  </si>
  <si>
    <t>Il s' avère qu' alors que chacune de ces différences individuelles est cloisonnée il n' existe qu' un nombre limité de familles aux à les prises avec la schizophrénie , d' enfants qui sont transgenres , il n' existe qu' un nombre limité de familles de prodiges qui font également face à des de les défis similaires de bien des de les manières il n' existe qu' un nombre limité de famille dans chacune de ces catégories mais si vous commencer à penser que s' arranger avec des de les différences au à le sein de votre famille est ce sur quoi les gens se penchent , alors vous découvrirez que c' est un phénomène quasi universel .</t>
  </si>
  <si>
    <t>file://conllu/fr/teddy-1322.conllu#s150_0</t>
  </si>
  <si>
    <t>151</t>
  </si>
  <si>
    <t>Ironiquement , il s' avère que , ce sont nos différences et notre gestion de la différence , qui nous uni .</t>
  </si>
  <si>
    <t>file://conllu/fr/teddy-1322.conllu#s151_0</t>
  </si>
  <si>
    <t>152</t>
  </si>
  <si>
    <t>décider</t>
  </si>
  <si>
    <t>J' ai décidé d' avoir des de les enfants lorsque je travaillais sur ce projet .</t>
  </si>
  <si>
    <t>file://conllu/fr/teddy-1322.conllu#s152_0</t>
  </si>
  <si>
    <t>153</t>
  </si>
  <si>
    <t>étonner</t>
  </si>
  <si>
    <t>Beaucoup de gens s' étonnaient et disaient , « Mais comment peux -tu décider d' avoir des de les enfants alors que tu es en train d' étudier tout ce qui peut mal se passer ? » J' ai répondu , « Je n' étudie pas tout ce qui peut mal se passer .</t>
  </si>
  <si>
    <t>file://conllu/fr/teddy-1322.conllu#s153_0</t>
  </si>
  <si>
    <t>154</t>
  </si>
  <si>
    <t>Ce que j' étudie c' est , combien d' amour il peut y avoir , même lorsque tout semble mal se passer .</t>
  </si>
  <si>
    <t>file://conllu/fr/teddy-1322.conllu#s154_0</t>
  </si>
  <si>
    <t>155</t>
  </si>
  <si>
    <t>» J' ai beaucoup pensé à la mère d' un enfant handicapé que j' avais vu , un enfant gravement handicapé qui est décédé par suite de négligence du de le personnel soignant .</t>
  </si>
  <si>
    <t>file://conllu/fr/teddy-1322.conllu#s155_0</t>
  </si>
  <si>
    <t>156</t>
  </si>
  <si>
    <t>prier (prier dire)</t>
  </si>
  <si>
    <t>Lorsque ses cendres ont été inhumées , sa mère a dit , « Je prie ici pour le pardon d' avoir été volée deux fois , une fois de l' enfant que je voulais et une fois du de le fils que j' aimais .</t>
  </si>
  <si>
    <t>file://conllu/fr/teddy-1322.conllu#s156_0</t>
  </si>
  <si>
    <t>157</t>
  </si>
  <si>
    <t>comprendre</t>
  </si>
  <si>
    <t>» J' ai alors compris qu' il était possible pour n' importe qui d' aimer n' importe quel enfant si on avait la volonté de le faire .</t>
  </si>
  <si>
    <t>file://conllu/fr/teddy-1322.conllu#s157_0</t>
  </si>
  <si>
    <t>158</t>
  </si>
  <si>
    <t>être (être père)</t>
  </si>
  <si>
    <t>Donc mon mari est le père biologique de deux enfants avec des de les amies lesbiennes de Minneapolis .</t>
  </si>
  <si>
    <t>file://conllu/fr/teddy-1322.conllu#s158_0</t>
  </si>
  <si>
    <t>159</t>
  </si>
  <si>
    <t>J' ai une bonne amie de fac qui , après un divorce , voulait un enfant .</t>
  </si>
  <si>
    <t>file://conllu/fr/teddy-1322.conllu#s159_0</t>
  </si>
  <si>
    <t>160</t>
  </si>
  <si>
    <t>Donc elle et moi avons eu une fille , et la mère et la fille vivent au à le Texas .</t>
  </si>
  <si>
    <t>file://conllu/fr/teddy-1322.conllu#s160_0</t>
  </si>
  <si>
    <t>161</t>
  </si>
  <si>
    <t>avoir (avoir fils)</t>
  </si>
  <si>
    <t>Mon mari et moi avons un fils qui vit avec nous à temps plein , dont je suis son père biologique , et notre mère porteuse est Laura , la mère lesbienne d' Oliver et Lucy à Minneapolis .</t>
  </si>
  <si>
    <t>file://conllu/fr/teddy-1322.conllu#s161_0</t>
  </si>
  <si>
    <t>162</t>
  </si>
  <si>
    <t>parent</t>
  </si>
  <si>
    <t>En clair , il y a 5 parents pour 4 enfants dans 3 états différents .</t>
  </si>
  <si>
    <t>file://conllu/fr/teddy-1322.conllu#s162_0</t>
  </si>
  <si>
    <t>163</t>
  </si>
  <si>
    <t>Il y a des de les gens qui pensent que l' existence même de ma famille ébranle ou affaiblit leur famille d' une certaine manière .</t>
  </si>
  <si>
    <t>file://conllu/fr/teddy-1322.conllu#s163_0</t>
  </si>
  <si>
    <t>164</t>
  </si>
  <si>
    <t>Il y a des de les gens qui pensent que des de les familles comme la mienne ne devraient pas être autorisées à exister .</t>
  </si>
  <si>
    <t>file://conllu/fr/teddy-1322.conllu#s164_0</t>
  </si>
  <si>
    <t>165</t>
  </si>
  <si>
    <t>accepter</t>
  </si>
  <si>
    <t>Je n' accepte pas de modèles d' amour soustractifs , uniquement des de les modèles additifs .</t>
  </si>
  <si>
    <t>file://conllu/fr/teddy-1322.conllu#s165_0</t>
  </si>
  <si>
    <t>166</t>
  </si>
  <si>
    <t>Je crois que de la même manière dont on a besoin de la diversité des de les espèces pour s' assurer que la planète continue à exister , nous avons besoin de cette diversité d' affection et de familles pour renforcer l' écosphère de bonté .</t>
  </si>
  <si>
    <t>file://conllu/fr/teddy-1322.conllu#s166_0</t>
  </si>
  <si>
    <t>167</t>
  </si>
  <si>
    <t>lendemain</t>
  </si>
  <si>
    <t>Le lendemain du de le jour où notre fils est né , la pédiatre est venue dans la chambre d' hopital et nous a dit qu' elle était préoccupée .</t>
  </si>
  <si>
    <t>file://conllu/fr/teddy-1322.conllu#s167_0</t>
  </si>
  <si>
    <t>168</t>
  </si>
  <si>
    <t>Il ne pouvait étendre ses jambes correctement .</t>
  </si>
  <si>
    <t>file://conllu/fr/teddy-1322.conllu#s168_0</t>
  </si>
  <si>
    <t>169</t>
  </si>
  <si>
    <t>Elle disait que ça pouvait être le signe d' une lésion cérébrale .</t>
  </si>
  <si>
    <t>file://conllu/fr/teddy-1322.conllu#s169_0</t>
  </si>
  <si>
    <t>170</t>
  </si>
  <si>
    <t>Même s' il pouvait les tendre , il le faisait de manière asymétrique , ce qui , d' après elle , pouvait signifier la présence d' une tumeur quelque part .</t>
  </si>
  <si>
    <t>file://conllu/fr/teddy-1322.conllu#s170_0</t>
  </si>
  <si>
    <t>171</t>
  </si>
  <si>
    <t>Il avait aussi une grosse tête , ce qu' elle pensait être le signe d' un hydrocéphale .</t>
  </si>
  <si>
    <t>file://conllu/fr/teddy-1322.conllu#s171_0</t>
  </si>
  <si>
    <t>172</t>
  </si>
  <si>
    <t>senter</t>
  </si>
  <si>
    <t>Alors qu' elle me disait tout ça , je sentais mon corps se liquéfier sur le sol .</t>
  </si>
  <si>
    <t>file://conllu/fr/teddy-1322.conllu#s172_0</t>
  </si>
  <si>
    <t>173</t>
  </si>
  <si>
    <t>Je pensais , voilà j' ai travaillé pendant des de les années sur un livre sur le sens que les gens avaient donné à ces expériences de parentalité d' enfants handicapés , et je ne voulais pas les rejoindre .</t>
  </si>
  <si>
    <t>file://conllu/fr/teddy-1322.conllu#s173_0</t>
  </si>
  <si>
    <t>174</t>
  </si>
  <si>
    <t>parce que?</t>
  </si>
  <si>
    <t>être (être idée)</t>
  </si>
  <si>
    <t>Parce que , ce que je rencontrais était une idée de maladie .</t>
  </si>
  <si>
    <t>file://conllu/fr/teddy-1322.conllu#s174_0</t>
  </si>
  <si>
    <t>175</t>
  </si>
  <si>
    <t>voulais</t>
  </si>
  <si>
    <t>Et comme tous les parents depuis la nuit des de les temps , je voulais protéger mon enfant de la maladie .</t>
  </si>
  <si>
    <t>file://conllu/fr/teddy-1322.conllu#s175_0</t>
  </si>
  <si>
    <t>176</t>
  </si>
  <si>
    <t>Je voulais également me protéger de la maladie .</t>
  </si>
  <si>
    <t>file://conllu/fr/teddy-1322.conllu#s176_0</t>
  </si>
  <si>
    <t>177</t>
  </si>
  <si>
    <t>Et maintenant , je savais grâce au à le travail que j' avais fait que s' il avait n' importe laquelle des de les maladies qu' on allait tester , alors elle deviendrait son identité , et si elle devenait son identité , elle deviendrait la mienne , que cette maladie allait prendre une forme différente alors qu' elle s' étendait .</t>
  </si>
  <si>
    <t>file://conllu/fr/teddy-1322.conllu#s177_0</t>
  </si>
  <si>
    <t>178</t>
  </si>
  <si>
    <t>emmenaître</t>
  </si>
  <si>
    <t>On l' a emmené faire un IRM , on l' a emmené au à le tomodensitomètre , on a pris cet enfant âgé d' un jour et on lui a fait un prélèvement de sang artériel .</t>
  </si>
  <si>
    <t>file://conllu/fr/teddy-1322.conllu#s178_0</t>
  </si>
  <si>
    <t>179</t>
  </si>
  <si>
    <t>il</t>
  </si>
  <si>
    <t>Nous sous sentions impuissants .</t>
  </si>
  <si>
    <t>file://conllu/fr/teddy-1322.conllu#s179_0</t>
  </si>
  <si>
    <t>181</t>
  </si>
  <si>
    <t>demander (demander dire)</t>
  </si>
  <si>
    <t>Lorsque j' ai demandé à la pédiatre ce qui s' était passé , elle a dit qu' elle pensait qu' il avait probablement eu une crampe ce matin .</t>
  </si>
  <si>
    <t>file://conllu/fr/teddy-1322.conllu#s181_0</t>
  </si>
  <si>
    <t>182</t>
  </si>
  <si>
    <t>Mais j' ai pensé à quel point ma mère avait raison .</t>
  </si>
  <si>
    <t>file://conllu/fr/teddy-1322.conllu#s182_0</t>
  </si>
  <si>
    <t>183</t>
  </si>
  <si>
    <t>J' ai pensé , l' amour que l' on porte à ses enfants ne ressemble à aucun autre sentiment au à le monde , et jusqu' à ce qu' on ait des de les enfants , on ne sait pas ce que ça fait .</t>
  </si>
  <si>
    <t>file://conllu/fr/teddy-1322.conllu#s183_0</t>
  </si>
  <si>
    <t>184</t>
  </si>
  <si>
    <t>Je pense que les enfants m' ont pris au à le piège au à le moment où j' ai associé la paternité avec la perte .</t>
  </si>
  <si>
    <t>file://conllu/fr/teddy-1322.conllu#s184_0</t>
  </si>
  <si>
    <t>185</t>
  </si>
  <si>
    <t>être (être sûr)</t>
  </si>
  <si>
    <t>Mais je ne suis pas sûr que j' aurais remarqué ça si je n' avais pas été si impliqué dans mon projet de recherche .</t>
  </si>
  <si>
    <t>file://conllu/fr/teddy-1322.conllu#s185_0</t>
  </si>
  <si>
    <t>186</t>
  </si>
  <si>
    <t>rencontrer</t>
  </si>
  <si>
    <t>J' ai rencontré tant d' amour étrange , que je suis tombé naturellement dans ses schémas envoûtants .</t>
  </si>
  <si>
    <t>file://conllu/fr/teddy-1322.conllu#s186_0</t>
  </si>
  <si>
    <t>187</t>
  </si>
  <si>
    <t>voir</t>
  </si>
  <si>
    <t>J' ai vu comment la magnificence peut illuminer la plus abjecte des de les vulnérabilités .</t>
  </si>
  <si>
    <t>file://conllu/fr/teddy-1322.conllu#s187_0</t>
  </si>
  <si>
    <t>188</t>
  </si>
  <si>
    <t>Pendant ces 10 années , j' ai découvert et j' ai été témoin de la joie terrifiante de cette insupportable responsabilité , je devais m' y jeter et voir comment ça peut battre tout le reste .</t>
  </si>
  <si>
    <t>file://conllu/fr/teddy-1322.conllu#s188_0</t>
  </si>
  <si>
    <t>189</t>
  </si>
  <si>
    <t>alors que?</t>
  </si>
  <si>
    <t>penser (penser comprendre)</t>
  </si>
  <si>
    <t>Alors que , parfois , je pensais que les parents que j' avais interviewés étaient des de les fous , devenant des de les esclaves à vie auprès de leurs enfants ingrats , essayant de faire naître une identité dans la souffrance , j' ai compris ce jour -là que mes recherches m' avaient construit une planche et que j' étais prêt à les rejoindre dans leur bateau .</t>
  </si>
  <si>
    <t>file://conllu/fr/teddy-1322.conllu#s189_0</t>
  </si>
  <si>
    <t>190</t>
  </si>
  <si>
    <t>merci</t>
  </si>
  <si>
    <t>Merci .</t>
  </si>
  <si>
    <t>file://conllu/fr/teddy-1322.conllu#s190_0</t>
  </si>
  <si>
    <t>WORD</t>
  </si>
  <si>
    <t>GR</t>
  </si>
  <si>
    <t>NP_TYPE</t>
  </si>
  <si>
    <t>REF_AUTO</t>
  </si>
  <si>
    <t>COREF</t>
  </si>
  <si>
    <t>REF</t>
  </si>
  <si>
    <t>IS</t>
  </si>
  <si>
    <t>CB</t>
  </si>
  <si>
    <t>GR_ANTE</t>
  </si>
  <si>
    <t>REF_DIST</t>
  </si>
  <si>
    <t>REF_DIST_ANTE</t>
  </si>
  <si>
    <t># text = « Même en termes purement non-religieux, l'homosexualité représente une mauvaise utilisation de la faculté sexuelle.</t>
  </si>
  <si>
    <t>«</t>
  </si>
  <si>
    <t>Même</t>
  </si>
  <si>
    <t>en</t>
  </si>
  <si>
    <t>termes</t>
  </si>
  <si>
    <t>other</t>
  </si>
  <si>
    <t>indef-np.bare</t>
  </si>
  <si>
    <t>purement</t>
  </si>
  <si>
    <t>non-religieux</t>
  </si>
  <si>
    <t>,</t>
  </si>
  <si>
    <t>l'</t>
  </si>
  <si>
    <t>homosexualité</t>
  </si>
  <si>
    <t>SBJ</t>
  </si>
  <si>
    <t>def-np.the</t>
  </si>
  <si>
    <t>?OLD</t>
  </si>
  <si>
    <t>représente</t>
  </si>
  <si>
    <t>une</t>
  </si>
  <si>
    <t>mauvaise</t>
  </si>
  <si>
    <t>utilisation</t>
  </si>
  <si>
    <t>OBJ</t>
  </si>
  <si>
    <t>indef-np.a</t>
  </si>
  <si>
    <t>de</t>
  </si>
  <si>
    <t>la</t>
  </si>
  <si>
    <t>faculté</t>
  </si>
  <si>
    <t>other_2</t>
  </si>
  <si>
    <t>sexuelle</t>
  </si>
  <si>
    <t>.</t>
  </si>
  <si>
    <t># text = C'est un petit substitut ridicule de second ordre à la réalité, une fuite pitoyable de la vie.</t>
  </si>
  <si>
    <t>C'</t>
  </si>
  <si>
    <t>pron.pds</t>
  </si>
  <si>
    <t>est</t>
  </si>
  <si>
    <t>un</t>
  </si>
  <si>
    <t>petit</t>
  </si>
  <si>
    <t>substitut</t>
  </si>
  <si>
    <t>ridicule</t>
  </si>
  <si>
    <t>second</t>
  </si>
  <si>
    <t>ordre</t>
  </si>
  <si>
    <t>à</t>
  </si>
  <si>
    <t>réalité</t>
  </si>
  <si>
    <t>fuite</t>
  </si>
  <si>
    <t>pitoyable</t>
  </si>
  <si>
    <t>vie</t>
  </si>
  <si>
    <t># text = En tant que telle, elle ne mérite aucune compassion, ne mérite pas d'être traitée en tant que comme un martyre minoritaire, et mérite de n'être jugée autrement que comme une maladie pernicieuse.</t>
  </si>
  <si>
    <t>En</t>
  </si>
  <si>
    <t>tant</t>
  </si>
  <si>
    <t>que</t>
  </si>
  <si>
    <t>telle</t>
  </si>
  <si>
    <t>elle</t>
  </si>
  <si>
    <t>SBJ_2</t>
  </si>
  <si>
    <t>pron.pper</t>
  </si>
  <si>
    <t>ne</t>
  </si>
  <si>
    <t>mérite</t>
  </si>
  <si>
    <t>aucune</t>
  </si>
  <si>
    <t>compassion</t>
  </si>
  <si>
    <t>OBJ_2</t>
  </si>
  <si>
    <t>indef-np</t>
  </si>
  <si>
    <t>pas</t>
  </si>
  <si>
    <t>d'</t>
  </si>
  <si>
    <t>traitée</t>
  </si>
  <si>
    <t>comme</t>
  </si>
  <si>
    <t>martyre</t>
  </si>
  <si>
    <t>minoritaire</t>
  </si>
  <si>
    <t>et</t>
  </si>
  <si>
    <t>n'</t>
  </si>
  <si>
    <t>jugée</t>
  </si>
  <si>
    <t>autrement</t>
  </si>
  <si>
    <t>maladie</t>
  </si>
  <si>
    <t>other_5</t>
  </si>
  <si>
    <t>pernicieuse</t>
  </si>
  <si>
    <t># text = » Ceci est tiré du magazine Time de 1966, lorsque j'avais trois ans.</t>
  </si>
  <si>
    <t>»</t>
  </si>
  <si>
    <t>Ceci</t>
  </si>
  <si>
    <t>pron</t>
  </si>
  <si>
    <t>tiré</t>
  </si>
  <si>
    <t>le</t>
  </si>
  <si>
    <t>magazine</t>
  </si>
  <si>
    <t>Time</t>
  </si>
  <si>
    <t>1966</t>
  </si>
  <si>
    <t>lorsque</t>
  </si>
  <si>
    <t>j'</t>
  </si>
  <si>
    <t>avais</t>
  </si>
  <si>
    <t>trois</t>
  </si>
  <si>
    <t>ans</t>
  </si>
  <si>
    <t>indef-np.quant</t>
  </si>
  <si>
    <t># text = Et l'année dernière, le président des Etats-Unis s'est prononcé en faveur du mariage gay.</t>
  </si>
  <si>
    <t>Et</t>
  </si>
  <si>
    <t>année</t>
  </si>
  <si>
    <t>dernière</t>
  </si>
  <si>
    <t>président</t>
  </si>
  <si>
    <t>def-np.poss</t>
  </si>
  <si>
    <t>les</t>
  </si>
  <si>
    <t>Etats-Unis</t>
  </si>
  <si>
    <t>s'</t>
  </si>
  <si>
    <t>prononcé</t>
  </si>
  <si>
    <t>faveur</t>
  </si>
  <si>
    <t>mariage</t>
  </si>
  <si>
    <t>gay.</t>
  </si>
  <si>
    <t># text = (Applaudissements)</t>
  </si>
  <si>
    <t>(</t>
  </si>
  <si>
    <t>Applaudissements</t>
  </si>
  <si>
    <t>)</t>
  </si>
  <si>
    <t># text = Ma question est la suivante : comment en est-on arrivé là ?</t>
  </si>
  <si>
    <t>Ma</t>
  </si>
  <si>
    <t>pron.ppos</t>
  </si>
  <si>
    <t>question</t>
  </si>
  <si>
    <t>suivante</t>
  </si>
  <si>
    <t>:</t>
  </si>
  <si>
    <t>comment</t>
  </si>
  <si>
    <t>-on</t>
  </si>
  <si>
    <t>arrivé</t>
  </si>
  <si>
    <t>là</t>
  </si>
  <si>
    <t>?</t>
  </si>
  <si>
    <t># text = Comment une maladie est-elle devenue une identité ?</t>
  </si>
  <si>
    <t>Comment</t>
  </si>
  <si>
    <t>-elle</t>
  </si>
  <si>
    <t>devenue</t>
  </si>
  <si>
    <t>identité</t>
  </si>
  <si>
    <t># text = Lorsque j'avais peut-être six ans, je suis allé dans un magasin de chaussures avec ma mère et mon frère.</t>
  </si>
  <si>
    <t>Lorsque</t>
  </si>
  <si>
    <t>peut-être</t>
  </si>
  <si>
    <t>six</t>
  </si>
  <si>
    <t>je</t>
  </si>
  <si>
    <t>suis</t>
  </si>
  <si>
    <t>allé</t>
  </si>
  <si>
    <t>dans</t>
  </si>
  <si>
    <t>magasin</t>
  </si>
  <si>
    <t>chaussures</t>
  </si>
  <si>
    <t>avec</t>
  </si>
  <si>
    <t>ma</t>
  </si>
  <si>
    <t>mère</t>
  </si>
  <si>
    <t>mon</t>
  </si>
  <si>
    <t>other_3</t>
  </si>
  <si>
    <t>frère</t>
  </si>
  <si>
    <t># text = Et après avoir acheté nos chaussures, le vendeur nous a dit qu'on pouvait avoir chacun un ballon.</t>
  </si>
  <si>
    <t>après</t>
  </si>
  <si>
    <t>acheté</t>
  </si>
  <si>
    <t>nos</t>
  </si>
  <si>
    <t>vendeur</t>
  </si>
  <si>
    <t>nous</t>
  </si>
  <si>
    <t>a</t>
  </si>
  <si>
    <t>dit</t>
  </si>
  <si>
    <t>qu'</t>
  </si>
  <si>
    <t>on</t>
  </si>
  <si>
    <t>pouvait</t>
  </si>
  <si>
    <t>chacun</t>
  </si>
  <si>
    <t>ballon</t>
  </si>
  <si>
    <t>OBJ_3</t>
  </si>
  <si>
    <t># text = Mon frère voulait un ballon rouge et moi un ballon rose.</t>
  </si>
  <si>
    <t>Mon</t>
  </si>
  <si>
    <t>voulait</t>
  </si>
  <si>
    <t>rouge</t>
  </si>
  <si>
    <t>moi</t>
  </si>
  <si>
    <t>rose</t>
  </si>
  <si>
    <t>other_4</t>
  </si>
  <si>
    <t># text = Ma mère m'a dit que je devrais plutôt prendre un ballon bleu.</t>
  </si>
  <si>
    <t>m'</t>
  </si>
  <si>
    <t>devrais</t>
  </si>
  <si>
    <t>plutôt</t>
  </si>
  <si>
    <t>bleu</t>
  </si>
  <si>
    <t># text = Mais j'ai dit que je voulais vraiment le rose.</t>
  </si>
  <si>
    <t>Mais</t>
  </si>
  <si>
    <t>ai</t>
  </si>
  <si>
    <t>vraiment</t>
  </si>
  <si>
    <t># text = Et elle m'a rappelé que ma couleur favorite était le bleu.</t>
  </si>
  <si>
    <t>rappelé</t>
  </si>
  <si>
    <t>couleur</t>
  </si>
  <si>
    <t>favorite</t>
  </si>
  <si>
    <t>était</t>
  </si>
  <si>
    <t># text = Le fait qu'aujourd'hui ma couleur favorite soit le bleu mais que je sois toujours gay... (Rires) est la preuve à la fois de l'influence de ma mère, mais aussi de ses limites.</t>
  </si>
  <si>
    <t>Le</t>
  </si>
  <si>
    <t>fait</t>
  </si>
  <si>
    <t>aujourd'hui</t>
  </si>
  <si>
    <t>soit</t>
  </si>
  <si>
    <t>mais</t>
  </si>
  <si>
    <t>sois</t>
  </si>
  <si>
    <t>toujours</t>
  </si>
  <si>
    <t>gay</t>
  </si>
  <si>
    <t>...</t>
  </si>
  <si>
    <t>Rires</t>
  </si>
  <si>
    <t>preuve</t>
  </si>
  <si>
    <t>fois</t>
  </si>
  <si>
    <t>influence</t>
  </si>
  <si>
    <t>aussi</t>
  </si>
  <si>
    <t>ses</t>
  </si>
  <si>
    <t>limites</t>
  </si>
  <si>
    <t># text = Quand j'étais petit, ma mère disait souvent, « L'amour qu'on a pour ses enfants ne ressemble à aucun autre sentiment au monde.</t>
  </si>
  <si>
    <t>Quand</t>
  </si>
  <si>
    <t>étais</t>
  </si>
  <si>
    <t>disait</t>
  </si>
  <si>
    <t>souvent</t>
  </si>
  <si>
    <t>L'</t>
  </si>
  <si>
    <t>amour</t>
  </si>
  <si>
    <t>OBJ_4</t>
  </si>
  <si>
    <t>SBJ_4</t>
  </si>
  <si>
    <t>pour</t>
  </si>
  <si>
    <t>enfants</t>
  </si>
  <si>
    <t>ressemble</t>
  </si>
  <si>
    <t>aucun</t>
  </si>
  <si>
    <t>autre</t>
  </si>
  <si>
    <t>sentiment</t>
  </si>
  <si>
    <t>monde</t>
  </si>
  <si>
    <t># text = Et tant que tu n'as pas d'enfant, tu ne sais pas ce que c'est.</t>
  </si>
  <si>
    <t>tu</t>
  </si>
  <si>
    <t>as</t>
  </si>
  <si>
    <t>enfant</t>
  </si>
  <si>
    <t>sais</t>
  </si>
  <si>
    <t>ce</t>
  </si>
  <si>
    <t>c'</t>
  </si>
  <si>
    <t>SBJ_3</t>
  </si>
  <si>
    <t># text = » Lorsque j'étais petit, je prenais ça pour le plus beau compliment du monde, qu'elle dise ça à propos d'être notre mère.</t>
  </si>
  <si>
    <t>prenais</t>
  </si>
  <si>
    <t>ça</t>
  </si>
  <si>
    <t>plus</t>
  </si>
  <si>
    <t>beau</t>
  </si>
  <si>
    <t>compliment</t>
  </si>
  <si>
    <t>dise</t>
  </si>
  <si>
    <t>propos</t>
  </si>
  <si>
    <t>notre</t>
  </si>
  <si>
    <t># text = Quand j'étais adolescent, je pensais que j'étais gay, et que donc je ne pouvais probablement pas avoir de famille.</t>
  </si>
  <si>
    <t>adolescent</t>
  </si>
  <si>
    <t>pensais</t>
  </si>
  <si>
    <t>donc</t>
  </si>
  <si>
    <t>pouvais</t>
  </si>
  <si>
    <t>probablement</t>
  </si>
  <si>
    <t>famille</t>
  </si>
  <si>
    <t># text = Et quand elle disait ça, ça me rendait nerveux.</t>
  </si>
  <si>
    <t>quand</t>
  </si>
  <si>
    <t>me</t>
  </si>
  <si>
    <t>rendait</t>
  </si>
  <si>
    <t>nerveux</t>
  </si>
  <si>
    <t># text = Et après avoir fait mon coming-out, quand elle a continué à le dire, j'étais furieux.</t>
  </si>
  <si>
    <t>coming-out</t>
  </si>
  <si>
    <t>continué</t>
  </si>
  <si>
    <t>furieux</t>
  </si>
  <si>
    <t># text = Je lui disais, « Je suis gay.</t>
  </si>
  <si>
    <t>Je</t>
  </si>
  <si>
    <t>lui</t>
  </si>
  <si>
    <t>disais</t>
  </si>
  <si>
    <t># text = Ce n'est pas la direction dans laquelle je vais.</t>
  </si>
  <si>
    <t>Ce</t>
  </si>
  <si>
    <t>direction</t>
  </si>
  <si>
    <t>laquelle</t>
  </si>
  <si>
    <t>vais</t>
  </si>
  <si>
    <t># text = Et je veux que tu arrêtes de dire ça.</t>
  </si>
  <si>
    <t>veux</t>
  </si>
  <si>
    <t>arrêtes</t>
  </si>
  <si>
    <t># text = » Il y a environ 20 ans, mes éditeurs au New York Times Magazine m'ont demandé d'écrire un article sur la culture sourde.</t>
  </si>
  <si>
    <t>Il</t>
  </si>
  <si>
    <t>y</t>
  </si>
  <si>
    <t>environ</t>
  </si>
  <si>
    <t>mes</t>
  </si>
  <si>
    <t>éditeurs</t>
  </si>
  <si>
    <t>New</t>
  </si>
  <si>
    <t>York</t>
  </si>
  <si>
    <t>Times</t>
  </si>
  <si>
    <t>Magazine</t>
  </si>
  <si>
    <t>ont</t>
  </si>
  <si>
    <t>demandé</t>
  </si>
  <si>
    <t>article</t>
  </si>
  <si>
    <t>sur</t>
  </si>
  <si>
    <t>culture</t>
  </si>
  <si>
    <t>sourde</t>
  </si>
  <si>
    <t># text = Et j'en suis resté déconcerté.</t>
  </si>
  <si>
    <t>resté</t>
  </si>
  <si>
    <t>déconcerté</t>
  </si>
  <si>
    <t># text = Je n'avais pensé à la surdité qu'en tant que maladie.</t>
  </si>
  <si>
    <t>pensé</t>
  </si>
  <si>
    <t>surdité</t>
  </si>
  <si>
    <t># text = Ces pauvres gens qui ne pouvaient pas entendre.</t>
  </si>
  <si>
    <t>Ces</t>
  </si>
  <si>
    <t>pauvres</t>
  </si>
  <si>
    <t>def-np.dem</t>
  </si>
  <si>
    <t>qui</t>
  </si>
  <si>
    <t>pouvaient</t>
  </si>
  <si>
    <t>entendre</t>
  </si>
  <si>
    <t># text = Ils avaient cette surdité, que pouvions-nous faire pour eux ?</t>
  </si>
  <si>
    <t>Ils</t>
  </si>
  <si>
    <t>avaient</t>
  </si>
  <si>
    <t>cette</t>
  </si>
  <si>
    <t>pouvions</t>
  </si>
  <si>
    <t>-nous</t>
  </si>
  <si>
    <t>eux</t>
  </si>
  <si>
    <t># text = Je suis alors entré dans le monde des sourds.</t>
  </si>
  <si>
    <t>alors</t>
  </si>
  <si>
    <t>entré</t>
  </si>
  <si>
    <t>sourds</t>
  </si>
  <si>
    <t># text = Je suis allé dans des clubs pour sourds.</t>
  </si>
  <si>
    <t>clubs</t>
  </si>
  <si>
    <t># text = J'ai assisté à du théâtre sourd et à de la poésie sourde.</t>
  </si>
  <si>
    <t>J'</t>
  </si>
  <si>
    <t>assisté</t>
  </si>
  <si>
    <t>théâtre</t>
  </si>
  <si>
    <t>sourd</t>
  </si>
  <si>
    <t>poésie</t>
  </si>
  <si>
    <t># text = Je suis même allé au concours de Miss Amérique Sourde à Nashville dans le Tennessee où les gens se plaignaient de cette langue des signes à l'accent du sud.</t>
  </si>
  <si>
    <t>même</t>
  </si>
  <si>
    <t>concours</t>
  </si>
  <si>
    <t>Miss</t>
  </si>
  <si>
    <t>Amérique</t>
  </si>
  <si>
    <t>Sourde</t>
  </si>
  <si>
    <t>Nashville</t>
  </si>
  <si>
    <t>Tennessee</t>
  </si>
  <si>
    <t>où</t>
  </si>
  <si>
    <t>se</t>
  </si>
  <si>
    <t>plaignaient</t>
  </si>
  <si>
    <t>langue</t>
  </si>
  <si>
    <t>signes</t>
  </si>
  <si>
    <t>accent</t>
  </si>
  <si>
    <t>sud</t>
  </si>
  <si>
    <t># text = Alors que je me plongeais de plus en plus dans le monde des sourds, je suis devenu convaincu que la surdité était une culture et que les gens du monde des sourds qui disaient, « Nous ne sommes pas malentendants, nous sommes membres d'une culture, » disaient quelque chose de viable.</t>
  </si>
  <si>
    <t>Alors</t>
  </si>
  <si>
    <t>plongeais</t>
  </si>
  <si>
    <t>devenu</t>
  </si>
  <si>
    <t>convaincu</t>
  </si>
  <si>
    <t>other_6</t>
  </si>
  <si>
    <t>SBJ_8</t>
  </si>
  <si>
    <t>disaient</t>
  </si>
  <si>
    <t>Nous</t>
  </si>
  <si>
    <t>sommes</t>
  </si>
  <si>
    <t>malentendants</t>
  </si>
  <si>
    <t>membres</t>
  </si>
  <si>
    <t>quelque</t>
  </si>
  <si>
    <t>chose</t>
  </si>
  <si>
    <t>viable</t>
  </si>
  <si>
    <t># text = Ce n'était pas ma culture, et je n'avais pas particulièrement envie de me précipiter pour les rejoindre, mais j'appréciais que ce soit une culture et que pour ceux qui en étaient membres, elle paraissait aussi précieuse que la culture latine, gay ou juive.</t>
  </si>
  <si>
    <t>particulièrement</t>
  </si>
  <si>
    <t>envie</t>
  </si>
  <si>
    <t>précipiter</t>
  </si>
  <si>
    <t>OBJ_5</t>
  </si>
  <si>
    <t>rejoindre</t>
  </si>
  <si>
    <t>appréciais</t>
  </si>
  <si>
    <t>ceux</t>
  </si>
  <si>
    <t>SBJ_6</t>
  </si>
  <si>
    <t>étaient</t>
  </si>
  <si>
    <t>paraissait</t>
  </si>
  <si>
    <t>précieuse</t>
  </si>
  <si>
    <t>latine</t>
  </si>
  <si>
    <t>ou</t>
  </si>
  <si>
    <t>juive</t>
  </si>
  <si>
    <t># text = Elle paraissait peut-être même aussi valable que la culture américaine.</t>
  </si>
  <si>
    <t>Elle</t>
  </si>
  <si>
    <t>valable</t>
  </si>
  <si>
    <t>américaine</t>
  </si>
  <si>
    <t># text = Puis une amie d'un de mes amis a eu une fille naine.</t>
  </si>
  <si>
    <t>Puis</t>
  </si>
  <si>
    <t>amie</t>
  </si>
  <si>
    <t>amis</t>
  </si>
  <si>
    <t>eu</t>
  </si>
  <si>
    <t>fille</t>
  </si>
  <si>
    <t>naine</t>
  </si>
  <si>
    <t># text = Quand sa fille est née, elle s'est soudain retrouvée face à des questions qui maintenant me semblent pleines de sens.</t>
  </si>
  <si>
    <t>sa</t>
  </si>
  <si>
    <t>née</t>
  </si>
  <si>
    <t>soudain</t>
  </si>
  <si>
    <t>retrouvée</t>
  </si>
  <si>
    <t>face</t>
  </si>
  <si>
    <t>questions</t>
  </si>
  <si>
    <t>maintenant</t>
  </si>
  <si>
    <t>semblent</t>
  </si>
  <si>
    <t>pleines</t>
  </si>
  <si>
    <t>sens</t>
  </si>
  <si>
    <t># text = Elle était face à la question de quoi faire avec cette enfant.</t>
  </si>
  <si>
    <t>quoi</t>
  </si>
  <si>
    <t># text = Devrait-elle dire : « Tu es comme tout le monde, mais un peu plus petite » ?</t>
  </si>
  <si>
    <t>Devrait</t>
  </si>
  <si>
    <t>Tu</t>
  </si>
  <si>
    <t>es</t>
  </si>
  <si>
    <t>tout</t>
  </si>
  <si>
    <t>peu</t>
  </si>
  <si>
    <t>petite</t>
  </si>
  <si>
    <t># text = Ou bien devrait-elle essayer de construire une sorte d'identité naine, de s'investir dans l'association des personnes de petite taille d'Amérique, se renseigner sur ce qui arrivait aux nains ?</t>
  </si>
  <si>
    <t>Ou</t>
  </si>
  <si>
    <t>bien</t>
  </si>
  <si>
    <t>devrait</t>
  </si>
  <si>
    <t>construire</t>
  </si>
  <si>
    <t>sorte</t>
  </si>
  <si>
    <t>investir</t>
  </si>
  <si>
    <t>association</t>
  </si>
  <si>
    <t>personnes</t>
  </si>
  <si>
    <t>other_7</t>
  </si>
  <si>
    <t>taille</t>
  </si>
  <si>
    <t>other_8</t>
  </si>
  <si>
    <t>other_9</t>
  </si>
  <si>
    <t>OBJ_7</t>
  </si>
  <si>
    <t>renseigner</t>
  </si>
  <si>
    <t>SBJ_9</t>
  </si>
  <si>
    <t>arrivait</t>
  </si>
  <si>
    <t>nains</t>
  </si>
  <si>
    <t># text = J'ai soudain pensé, la plupart des enfants sourds naissent de parents entendants.</t>
  </si>
  <si>
    <t>plupart</t>
  </si>
  <si>
    <t>naissent</t>
  </si>
  <si>
    <t>parents</t>
  </si>
  <si>
    <t>entendants</t>
  </si>
  <si>
    <t># text = Ces parents entendants ont tendance à essayer de les soigner.</t>
  </si>
  <si>
    <t>tendance</t>
  </si>
  <si>
    <t>soigner</t>
  </si>
  <si>
    <t># text = Ces sourds découvrent la communauté d'une façon ou d'une autre à l'adolescence.</t>
  </si>
  <si>
    <t>découvrent</t>
  </si>
  <si>
    <t>communauté</t>
  </si>
  <si>
    <t>façon</t>
  </si>
  <si>
    <t>adolescence</t>
  </si>
  <si>
    <t># text = La plupart des gays naissent de parents hétéros.</t>
  </si>
  <si>
    <t>La</t>
  </si>
  <si>
    <t>gays</t>
  </si>
  <si>
    <t>hétéros</t>
  </si>
  <si>
    <t># text = Ces parents hétéros veulent souvent qu'ils fonctionnent dans ce qu'ils pensent être le monde ordinaire, et ces gays doivent découvrir leur identité plus tard.</t>
  </si>
  <si>
    <t>veulent</t>
  </si>
  <si>
    <t>ils</t>
  </si>
  <si>
    <t>fonctionnent</t>
  </si>
  <si>
    <t>pensent</t>
  </si>
  <si>
    <t>ordinaire</t>
  </si>
  <si>
    <t>ces</t>
  </si>
  <si>
    <t>doivent</t>
  </si>
  <si>
    <t>leur</t>
  </si>
  <si>
    <t>tard</t>
  </si>
  <si>
    <t># text = Et là, il y avait cette amie qui réfléchissait à ces questions d'identité avec sa fille naine.</t>
  </si>
  <si>
    <t>avait</t>
  </si>
  <si>
    <t>réfléchissait</t>
  </si>
  <si>
    <t># text = Et je me suis dit, c'est encore la même chose : Une famille qui se perçoit comme étant normale avec un enfant qui semble extraordinaire.</t>
  </si>
  <si>
    <t>encore</t>
  </si>
  <si>
    <t>Une</t>
  </si>
  <si>
    <t>perçoit</t>
  </si>
  <si>
    <t>étant</t>
  </si>
  <si>
    <t>normale</t>
  </si>
  <si>
    <t>SBJ_7</t>
  </si>
  <si>
    <t>semble</t>
  </si>
  <si>
    <t>extraordinaire</t>
  </si>
  <si>
    <t># text = Et j'ai couvé l'idée qu'il y a vraiment deux types d'identité.</t>
  </si>
  <si>
    <t>couvé</t>
  </si>
  <si>
    <t>idée</t>
  </si>
  <si>
    <t>deux</t>
  </si>
  <si>
    <t>types</t>
  </si>
  <si>
    <t># text = Il y a des identités verticales, qui sont transmises de génération en génération des parents aux enfants.</t>
  </si>
  <si>
    <t>identités</t>
  </si>
  <si>
    <t>verticales</t>
  </si>
  <si>
    <t>sont</t>
  </si>
  <si>
    <t>transmises</t>
  </si>
  <si>
    <t>génération</t>
  </si>
  <si>
    <t># text = Ce sont les choses comme l'ethnicité, souvent la nationalité, la langue, souvent la religion.</t>
  </si>
  <si>
    <t>choses</t>
  </si>
  <si>
    <t>ethnicité</t>
  </si>
  <si>
    <t>nationalité</t>
  </si>
  <si>
    <t>religion</t>
  </si>
  <si>
    <t># text = Ce sont les choses que l'on a en commun avec ses parents et ses enfants.</t>
  </si>
  <si>
    <t>commun</t>
  </si>
  <si>
    <t># text = Et alors que certaines d'entre elles peuvent être difficiles, on n'essaye pas de les soigner.</t>
  </si>
  <si>
    <t>certaines</t>
  </si>
  <si>
    <t>entre</t>
  </si>
  <si>
    <t>elles</t>
  </si>
  <si>
    <t>peuvent</t>
  </si>
  <si>
    <t>difficiles</t>
  </si>
  <si>
    <t>essaye</t>
  </si>
  <si>
    <t># text = On peut affirmer qu'il est plus difficile aux États-Unis, notre président actuel excepté, d'être une personne de couleur.</t>
  </si>
  <si>
    <t>On</t>
  </si>
  <si>
    <t>peut</t>
  </si>
  <si>
    <t>affirmer</t>
  </si>
  <si>
    <t>difficile</t>
  </si>
  <si>
    <t>États-Unis</t>
  </si>
  <si>
    <t>actuel</t>
  </si>
  <si>
    <t>excepté</t>
  </si>
  <si>
    <t># text = Et pourtant, il n'y a personne qui soit en train d'essayer de s'assurer que la prochaine génération d'enfants nés de parents afro-américains et asiatiques arrivent avec une peau crème et des cheveux jaunes.</t>
  </si>
  <si>
    <t>pourtant</t>
  </si>
  <si>
    <t>train</t>
  </si>
  <si>
    <t>assurer</t>
  </si>
  <si>
    <t>prochaine</t>
  </si>
  <si>
    <t>nés</t>
  </si>
  <si>
    <t>afro-américains</t>
  </si>
  <si>
    <t>asiatiques</t>
  </si>
  <si>
    <t>arrivent</t>
  </si>
  <si>
    <t>peau</t>
  </si>
  <si>
    <t>crème</t>
  </si>
  <si>
    <t>cheveux</t>
  </si>
  <si>
    <t>jaunes</t>
  </si>
  <si>
    <t># text = Et il y a ces autres identités que l'on doit apprendre d'un groupe de pairs.</t>
  </si>
  <si>
    <t>autres</t>
  </si>
  <si>
    <t>doit</t>
  </si>
  <si>
    <t>apprendre</t>
  </si>
  <si>
    <t>groupe</t>
  </si>
  <si>
    <t>pairs</t>
  </si>
  <si>
    <t># text = Je les appelle les identités horizontales, parce que le groupe de pairs est l'expérience horizontale.</t>
  </si>
  <si>
    <t>appelle</t>
  </si>
  <si>
    <t>horizontales</t>
  </si>
  <si>
    <t>parce</t>
  </si>
  <si>
    <t>expérience</t>
  </si>
  <si>
    <t>horizontale</t>
  </si>
  <si>
    <t># text = Ce sont des identités qui sont étrangères aux parents et que l'on doit découvrir lorsqu'on les voit chez ses pairs.</t>
  </si>
  <si>
    <t>étrangères</t>
  </si>
  <si>
    <t>lorsqu'</t>
  </si>
  <si>
    <t>OBJ_6</t>
  </si>
  <si>
    <t>voit</t>
  </si>
  <si>
    <t>chez</t>
  </si>
  <si>
    <t># text = Ces identités, ces identités horizontales, les gens ont presque toujours essayé de les guérir.</t>
  </si>
  <si>
    <t>presque</t>
  </si>
  <si>
    <t>essayé</t>
  </si>
  <si>
    <t>guérir</t>
  </si>
  <si>
    <t># text = Je voulais voir quel était le processus à travers lequel les personnes qui ont ces identités arrivent à une bonne relation avec elles.</t>
  </si>
  <si>
    <t>quel</t>
  </si>
  <si>
    <t>processus</t>
  </si>
  <si>
    <t>travers</t>
  </si>
  <si>
    <t>lequel</t>
  </si>
  <si>
    <t>bonne</t>
  </si>
  <si>
    <t>relation</t>
  </si>
  <si>
    <t># text = Et il m'a semblé que trois niveaux d'acceptation devaient se produire..</t>
  </si>
  <si>
    <t>semblé</t>
  </si>
  <si>
    <t>niveaux</t>
  </si>
  <si>
    <t>acceptation</t>
  </si>
  <si>
    <t>devaient</t>
  </si>
  <si>
    <t>produire</t>
  </si>
  <si>
    <t>..</t>
  </si>
  <si>
    <t># text = Il y a l'acceptation de soi, l'acceptation par sa famille et l'acceptation sociale.</t>
  </si>
  <si>
    <t>soi</t>
  </si>
  <si>
    <t>par</t>
  </si>
  <si>
    <t>sociale</t>
  </si>
  <si>
    <t># text = Elles ne coïncident pas toujours.</t>
  </si>
  <si>
    <t>Elles</t>
  </si>
  <si>
    <t>coïncident</t>
  </si>
  <si>
    <t># text = La plupart du temps, les personnes qui ont ces problèmes sont très en colère parce qu'elles ont l'impression que leurs parents ne les aiment pas, alors que ce qui se passe en réalité, c'est que leurs parents ne les acceptent pas.</t>
  </si>
  <si>
    <t>temps</t>
  </si>
  <si>
    <t>problèmes</t>
  </si>
  <si>
    <t>très</t>
  </si>
  <si>
    <t>colère</t>
  </si>
  <si>
    <t>impression</t>
  </si>
  <si>
    <t>leurs</t>
  </si>
  <si>
    <t>aiment</t>
  </si>
  <si>
    <t>SBJ_5</t>
  </si>
  <si>
    <t>passe</t>
  </si>
  <si>
    <t>acceptent</t>
  </si>
  <si>
    <t># text = L'amour est une chose qui, idéalement, est là de façon inconditionnelle dans tous les aspects de la relation entre un parent et un enfant.</t>
  </si>
  <si>
    <t>idéalement</t>
  </si>
  <si>
    <t>inconditionnelle</t>
  </si>
  <si>
    <t>tous</t>
  </si>
  <si>
    <t>aspects</t>
  </si>
  <si>
    <t># text = Mais l'acceptation est une chose qui prend du temps.</t>
  </si>
  <si>
    <t>prend</t>
  </si>
  <si>
    <t># text = Ca prend toujours du temps.</t>
  </si>
  <si>
    <t>Ca</t>
  </si>
  <si>
    <t># text = Un des nains dont j'ai fait la connaissance était un gars du nom de Clinton Brown.</t>
  </si>
  <si>
    <t>Un</t>
  </si>
  <si>
    <t>dont</t>
  </si>
  <si>
    <t>connaissance</t>
  </si>
  <si>
    <t>gars</t>
  </si>
  <si>
    <t>nom</t>
  </si>
  <si>
    <t>Clinton</t>
  </si>
  <si>
    <t>Brown</t>
  </si>
  <si>
    <t># text = Lorsqu'il est né, on lui a diagnostiqué un nanisme diastrophique, une maladie très handicapante, et on a dit à ses parents qu'il ne marcherait jamais, ne parlerait jamais, qu'il n'aurait aucune capacité intellectuelle, et qu'il ne les reconnaîtrait probablement pas.</t>
  </si>
  <si>
    <t>Lorsqu'</t>
  </si>
  <si>
    <t>né</t>
  </si>
  <si>
    <t>diagnostiqué</t>
  </si>
  <si>
    <t>nanisme</t>
  </si>
  <si>
    <t>diastrophique</t>
  </si>
  <si>
    <t>handicapante</t>
  </si>
  <si>
    <t>marcherait</t>
  </si>
  <si>
    <t>jamais</t>
  </si>
  <si>
    <t>parlerait</t>
  </si>
  <si>
    <t>aurait</t>
  </si>
  <si>
    <t>capacité</t>
  </si>
  <si>
    <t>intellectuelle</t>
  </si>
  <si>
    <t>reconnaîtrait</t>
  </si>
  <si>
    <t># text = On leur a suggéré de le laisser à l'hôpital pour qu'il puisse y mourir en paix.</t>
  </si>
  <si>
    <t>suggéré</t>
  </si>
  <si>
    <t>laisser</t>
  </si>
  <si>
    <t>hôpital</t>
  </si>
  <si>
    <t>puisse</t>
  </si>
  <si>
    <t>mourir</t>
  </si>
  <si>
    <t>paix</t>
  </si>
  <si>
    <t># text = Sa mère a répondu qu'elle ne ferait pas ça.</t>
  </si>
  <si>
    <t>Sa</t>
  </si>
  <si>
    <t>répondu</t>
  </si>
  <si>
    <t>ferait</t>
  </si>
  <si>
    <t># text = Elle a ramené son fils chez elle.</t>
  </si>
  <si>
    <t>ramené</t>
  </si>
  <si>
    <t>son</t>
  </si>
  <si>
    <t>fils</t>
  </si>
  <si>
    <t># text = Même si elle n'avait pas beaucoup de ressources, éducatives ou financières, elle a trouvé le meilleur docteur du pays en matière de nanisme diastrophique et elle a inscrit Clinton auprès de lui.</t>
  </si>
  <si>
    <t>si</t>
  </si>
  <si>
    <t>beaucoup</t>
  </si>
  <si>
    <t>ressources</t>
  </si>
  <si>
    <t>éducatives</t>
  </si>
  <si>
    <t>financières</t>
  </si>
  <si>
    <t>trouvé</t>
  </si>
  <si>
    <t>meilleur</t>
  </si>
  <si>
    <t>docteur</t>
  </si>
  <si>
    <t>pays</t>
  </si>
  <si>
    <t>matière</t>
  </si>
  <si>
    <t>inscrit</t>
  </si>
  <si>
    <t>auprès</t>
  </si>
  <si>
    <t># text = Durant son enfance, il a subi 30 opérations chirurgicales majeures.</t>
  </si>
  <si>
    <t>Durant</t>
  </si>
  <si>
    <t>enfance</t>
  </si>
  <si>
    <t>subi</t>
  </si>
  <si>
    <t>opérations</t>
  </si>
  <si>
    <t>chirurgicales</t>
  </si>
  <si>
    <t>majeures</t>
  </si>
  <si>
    <t># text = Il a passé tout ce temps bloqué à l'hôpital pendant qu'il subissait ces opérations, grâce auxquelles il peut maintenant marcher.</t>
  </si>
  <si>
    <t>passé</t>
  </si>
  <si>
    <t>bloqué</t>
  </si>
  <si>
    <t>pendant</t>
  </si>
  <si>
    <t>subissait</t>
  </si>
  <si>
    <t>grâce</t>
  </si>
  <si>
    <t>lesquelles</t>
  </si>
  <si>
    <t>marcher</t>
  </si>
  <si>
    <t># text = Pendant qu'il était là-bas, on a envoyé des tuteurs pour l'aider pour ses devoirs.</t>
  </si>
  <si>
    <t>Pendant</t>
  </si>
  <si>
    <t>là-bas</t>
  </si>
  <si>
    <t>envoyé</t>
  </si>
  <si>
    <t>tuteurs</t>
  </si>
  <si>
    <t>aider</t>
  </si>
  <si>
    <t>devoirs</t>
  </si>
  <si>
    <t># text = Il a travaillé très dur parce qu'il n'avait rien d'autre à faire.</t>
  </si>
  <si>
    <t>travaillé</t>
  </si>
  <si>
    <t>dur</t>
  </si>
  <si>
    <t>rien</t>
  </si>
  <si>
    <t># text = Il a fini par atteindre un niveau qui n'avait jamais été envisagé par aucun membre de sa famille.</t>
  </si>
  <si>
    <t>fini</t>
  </si>
  <si>
    <t>atteindre</t>
  </si>
  <si>
    <t>niveau</t>
  </si>
  <si>
    <t>été</t>
  </si>
  <si>
    <t>envisagé</t>
  </si>
  <si>
    <t>membre</t>
  </si>
  <si>
    <t># text = En fait, il était le premier de sa famille à aller à l'université, où il habitait sur le campus et conduisait une voiture aménagée adaptée à son corps insolite.</t>
  </si>
  <si>
    <t>premier</t>
  </si>
  <si>
    <t>université</t>
  </si>
  <si>
    <t>habitait</t>
  </si>
  <si>
    <t>campus</t>
  </si>
  <si>
    <t>conduisait</t>
  </si>
  <si>
    <t>voiture</t>
  </si>
  <si>
    <t>aménagée</t>
  </si>
  <si>
    <t>adaptée</t>
  </si>
  <si>
    <t>corps</t>
  </si>
  <si>
    <t>insolite</t>
  </si>
  <si>
    <t># text = Sa mère m'a raconté l'histoire d'un jour où elle rentrait à la maison -- il allait dans une université proche -- elle m'a dit, « J'ai vu sa voiture, qu'on reconnaît toujours, sur le parking d'un bar, » « Et je me suis dit, ils font 1,80 m, il fait 90 cm.</t>
  </si>
  <si>
    <t>raconté</t>
  </si>
  <si>
    <t>histoire</t>
  </si>
  <si>
    <t>jour</t>
  </si>
  <si>
    <t>rentrait</t>
  </si>
  <si>
    <t>maison</t>
  </si>
  <si>
    <t>allait</t>
  </si>
  <si>
    <t>proche</t>
  </si>
  <si>
    <t>vu</t>
  </si>
  <si>
    <t>reconnaît</t>
  </si>
  <si>
    <t>parking</t>
  </si>
  <si>
    <t>bar</t>
  </si>
  <si>
    <t>font</t>
  </si>
  <si>
    <t>1,80</t>
  </si>
  <si>
    <t>m</t>
  </si>
  <si>
    <t>cm</t>
  </si>
  <si>
    <t># text = Deux bières pour eux, ça fait quatre pour lui.</t>
  </si>
  <si>
    <t>Deux</t>
  </si>
  <si>
    <t>bières</t>
  </si>
  <si>
    <t>quatre</t>
  </si>
  <si>
    <t># text = » Elle m'a dit, « Je savais que je ne pouvais pas entrer et l'interrompre mais je suis rentrée à la maison et je lui ai laissé huit messages sur son portable.</t>
  </si>
  <si>
    <t>savais</t>
  </si>
  <si>
    <t>interrompre</t>
  </si>
  <si>
    <t>rentrée</t>
  </si>
  <si>
    <t>laissé</t>
  </si>
  <si>
    <t>huit</t>
  </si>
  <si>
    <t>messages</t>
  </si>
  <si>
    <t>portable</t>
  </si>
  <si>
    <t># text = » Elle m'a dit, « Ensuite j'ai pensé, si quelqu'un m'avait dit quand il est né que mon souci futur serait qu'il irait boire et conduire avec ses potes de fac... » Et je lui ai dit, « Qu'est-ce que tu penses avoir fait qui l'a aidé à devenir quelqu'un de charmant, d'accompli et de merveilleux ?</t>
  </si>
  <si>
    <t>Ensuite</t>
  </si>
  <si>
    <t>quelqu'un</t>
  </si>
  <si>
    <t>souci</t>
  </si>
  <si>
    <t>futur</t>
  </si>
  <si>
    <t>serait</t>
  </si>
  <si>
    <t>irait</t>
  </si>
  <si>
    <t>boire</t>
  </si>
  <si>
    <t>conduire</t>
  </si>
  <si>
    <t>potes</t>
  </si>
  <si>
    <t>fac</t>
  </si>
  <si>
    <t>Qu'</t>
  </si>
  <si>
    <t>pron.pint</t>
  </si>
  <si>
    <t>-ce</t>
  </si>
  <si>
    <t>penses</t>
  </si>
  <si>
    <t>OBJ_8</t>
  </si>
  <si>
    <t>aidé</t>
  </si>
  <si>
    <t>OBJ_9</t>
  </si>
  <si>
    <t>charmant</t>
  </si>
  <si>
    <t>accompli</t>
  </si>
  <si>
    <t>merveilleux</t>
  </si>
  <si>
    <t># text = Elle m'a dit, « Qu'est-ce que j'ai fait ?</t>
  </si>
  <si>
    <t># text = Je l'ai aimé, c'est tout.</t>
  </si>
  <si>
    <t>aimé</t>
  </si>
  <si>
    <t># text = Clinton a simplement toujours porté une certaine lumière en lui.</t>
  </si>
  <si>
    <t>simplement</t>
  </si>
  <si>
    <t>porté</t>
  </si>
  <si>
    <t>certaine</t>
  </si>
  <si>
    <t>lumière</t>
  </si>
  <si>
    <t># text = Son père et moi avons eu assez de chance pour être les premiers à le voir.</t>
  </si>
  <si>
    <t>Son</t>
  </si>
  <si>
    <t>père</t>
  </si>
  <si>
    <t>avons</t>
  </si>
  <si>
    <t>assez</t>
  </si>
  <si>
    <t>chance</t>
  </si>
  <si>
    <t>premiers</t>
  </si>
  <si>
    <t># text = » Je vais citer un autre magazine des années 60.</t>
  </si>
  <si>
    <t>citer</t>
  </si>
  <si>
    <t>années</t>
  </si>
  <si>
    <t># text = Celui-ci est de 1968 -- The Atlantic Monthly, la voix de l'Amérique libérale -- écrit par un important bioéthicien.</t>
  </si>
  <si>
    <t>Celui-ci</t>
  </si>
  <si>
    <t>1968</t>
  </si>
  <si>
    <t>The</t>
  </si>
  <si>
    <t>Atlantic</t>
  </si>
  <si>
    <t>Monthly</t>
  </si>
  <si>
    <t>voix</t>
  </si>
  <si>
    <t>libérale</t>
  </si>
  <si>
    <t>écrit</t>
  </si>
  <si>
    <t>important</t>
  </si>
  <si>
    <t>bioéthicien</t>
  </si>
  <si>
    <t># text = Il disait, « Il n'y a aucune raison de se sentir coupable de mettre à l'écart les enfants trisomiques, que ce soit pour les cacher dans un sanatorium ou au sens figuré plus responsable et léthal.</t>
  </si>
  <si>
    <t>raison</t>
  </si>
  <si>
    <t>sentir</t>
  </si>
  <si>
    <t>coupable</t>
  </si>
  <si>
    <t>mettre</t>
  </si>
  <si>
    <t>écart</t>
  </si>
  <si>
    <t>trisomiques</t>
  </si>
  <si>
    <t>cacher</t>
  </si>
  <si>
    <t>sanatorium</t>
  </si>
  <si>
    <t>figuré</t>
  </si>
  <si>
    <t>responsable</t>
  </si>
  <si>
    <t>léthal</t>
  </si>
  <si>
    <t># text = C'est triste, oui -- épouvantable.</t>
  </si>
  <si>
    <t>triste</t>
  </si>
  <si>
    <t>oui</t>
  </si>
  <si>
    <t>épouvantable</t>
  </si>
  <si>
    <t># text = Mais ça n'amène aucune culpabilité.</t>
  </si>
  <si>
    <t>amène</t>
  </si>
  <si>
    <t>culpabilité</t>
  </si>
  <si>
    <t># text = La vraie culpabilité n'apparaît que lorsqu'on s'attaque à une personne, un trisomique n'est pas une personne.</t>
  </si>
  <si>
    <t>vraie</t>
  </si>
  <si>
    <t>apparaît</t>
  </si>
  <si>
    <t>attaque</t>
  </si>
  <si>
    <t>trisomique</t>
  </si>
  <si>
    <t># text = » On a beaucoup écrit à propos des énormes progrès que nous avons fait dans le traitement des homosexuels.</t>
  </si>
  <si>
    <t>énormes</t>
  </si>
  <si>
    <t>progrès</t>
  </si>
  <si>
    <t>traitement</t>
  </si>
  <si>
    <t>homosexuels</t>
  </si>
  <si>
    <t># text = Le fait que notre attitude ait changé fait les gros titres chaque jour.</t>
  </si>
  <si>
    <t>attitude</t>
  </si>
  <si>
    <t>ait</t>
  </si>
  <si>
    <t>changé</t>
  </si>
  <si>
    <t>gros</t>
  </si>
  <si>
    <t>titres</t>
  </si>
  <si>
    <t>chaque</t>
  </si>
  <si>
    <t># text = Mais on oublie comment, dans le temps, on voyait les gens qui avaient d'autres différences, comment on voyait les personnes handicapées, à quel point on considérait que ces gens n'étaient pas humains.</t>
  </si>
  <si>
    <t>oublie</t>
  </si>
  <si>
    <t>voyait</t>
  </si>
  <si>
    <t>différences</t>
  </si>
  <si>
    <t>handicapées</t>
  </si>
  <si>
    <t>point</t>
  </si>
  <si>
    <t>considérait</t>
  </si>
  <si>
    <t>humains</t>
  </si>
  <si>
    <t># text = Le changement qui a été accompli ici, qui est presque aussi radical, est celui auquel nous ne prêtons pas beaucoup attention.</t>
  </si>
  <si>
    <t>changement</t>
  </si>
  <si>
    <t>ici</t>
  </si>
  <si>
    <t>radical</t>
  </si>
  <si>
    <t>celui</t>
  </si>
  <si>
    <t>prêtons</t>
  </si>
  <si>
    <t>attention</t>
  </si>
  <si>
    <t># text = Une des familles que j'ai interviewées, Tom et Karen Robards, ont été stupéfaits, lorsque, eux, de jeunes et brillants New Yorkais, on appris que leur premier enfant était trisomique.</t>
  </si>
  <si>
    <t>familles</t>
  </si>
  <si>
    <t>interviewées</t>
  </si>
  <si>
    <t>Tom</t>
  </si>
  <si>
    <t>Karen</t>
  </si>
  <si>
    <t>Robards</t>
  </si>
  <si>
    <t>stupéfaits</t>
  </si>
  <si>
    <t>jeunes</t>
  </si>
  <si>
    <t>brillants</t>
  </si>
  <si>
    <t>Yorkais</t>
  </si>
  <si>
    <t>appris</t>
  </si>
  <si>
    <t># text = Ils pensaient que les opportunités éducatives pour lui n'étaient pas ce qu'elles devraient être, ils ont alors décidé qu'ils construiraient un petit centre -- deux salles de classes qu'ils ont créées avec quelques autres parents -- pour éduquer les enfants trisomiques.</t>
  </si>
  <si>
    <t>pensaient</t>
  </si>
  <si>
    <t>opportunités</t>
  </si>
  <si>
    <t>devraient</t>
  </si>
  <si>
    <t>décidé</t>
  </si>
  <si>
    <t>construiraient</t>
  </si>
  <si>
    <t>centre</t>
  </si>
  <si>
    <t>salles</t>
  </si>
  <si>
    <t>classes</t>
  </si>
  <si>
    <t>créées</t>
  </si>
  <si>
    <t>quelques</t>
  </si>
  <si>
    <t>éduquer</t>
  </si>
  <si>
    <t># text = Au fil des années, ce centre s'est développé et est devenu le Cooke Center, où il y a maintenant des milliers et des milliers d'enfants atteints de déficience intellectuelle qui reçoivent un enseignement.</t>
  </si>
  <si>
    <t>À</t>
  </si>
  <si>
    <t>fil</t>
  </si>
  <si>
    <t>développé</t>
  </si>
  <si>
    <t>Cooke</t>
  </si>
  <si>
    <t>Center</t>
  </si>
  <si>
    <t>milliers</t>
  </si>
  <si>
    <t>atteints</t>
  </si>
  <si>
    <t>déficience</t>
  </si>
  <si>
    <t>reçoivent</t>
  </si>
  <si>
    <t>enseignement</t>
  </si>
  <si>
    <t># text = Depuis la publication de cette histoire dans l'Atlantic Monthly, la durée de vie des personnes trisomiques a triplé.</t>
  </si>
  <si>
    <t>Depuis</t>
  </si>
  <si>
    <t>publication</t>
  </si>
  <si>
    <t>durée</t>
  </si>
  <si>
    <t># text = L'expérience des personnes trisomiques inclue ceux qui sont acteurs, ceux qui sont écrivains, ceux qui peuvent vivre totalement indépendant leur vie d'adulte.</t>
  </si>
  <si>
    <t>inclue</t>
  </si>
  <si>
    <t>acteurs</t>
  </si>
  <si>
    <t>écrivains</t>
  </si>
  <si>
    <t>vivre</t>
  </si>
  <si>
    <t>totalement</t>
  </si>
  <si>
    <t>indépendant</t>
  </si>
  <si>
    <t>adulte</t>
  </si>
  <si>
    <t># text = Les Robards y sont pour beaucoup.</t>
  </si>
  <si>
    <t>Les</t>
  </si>
  <si>
    <t># text = Je leur ai demandé « Est-ce que vous avez des regrets ?</t>
  </si>
  <si>
    <t>Est</t>
  </si>
  <si>
    <t>vous</t>
  </si>
  <si>
    <t>avez</t>
  </si>
  <si>
    <t>regrets</t>
  </si>
  <si>
    <t># text = Est-ce que vous auriez souhaité que votre enfant n'ait pas été trisomique ?</t>
  </si>
  <si>
    <t>auriez</t>
  </si>
  <si>
    <t>souhaité</t>
  </si>
  <si>
    <t>votre</t>
  </si>
  <si>
    <t># text = Est-ce que vous auriez préféré ne jamais en avoir entendu parlé ?</t>
  </si>
  <si>
    <t>préféré</t>
  </si>
  <si>
    <t>entendu</t>
  </si>
  <si>
    <t>parlé</t>
  </si>
  <si>
    <t># text = » Son père a dit quelque chose d'intéressant, « Et bien, pour David, notre fils, je le regrette, parce que pour David, c'est une façon difficile de faire partie du monde, et j'aimerais donner à David une vie plus facile.</t>
  </si>
  <si>
    <t>intéressant</t>
  </si>
  <si>
    <t>David</t>
  </si>
  <si>
    <t>regrette</t>
  </si>
  <si>
    <t>partie</t>
  </si>
  <si>
    <t>aimerais</t>
  </si>
  <si>
    <t>facile</t>
  </si>
  <si>
    <t># text = Mais je pense que si nous perdions tous les trisomiques, ce serait une perte catastrophique » Karen Robards m'a dit, « Je suis d'accord avec Tom.</t>
  </si>
  <si>
    <t>pense</t>
  </si>
  <si>
    <t>perdions</t>
  </si>
  <si>
    <t>perte</t>
  </si>
  <si>
    <t>catastrophique</t>
  </si>
  <si>
    <t>accord</t>
  </si>
  <si>
    <t># text = Pour David, je soignerais sa maladie en un instant pour lui donner une vie meilleure.</t>
  </si>
  <si>
    <t>Pour</t>
  </si>
  <si>
    <t>soignerais</t>
  </si>
  <si>
    <t>instant</t>
  </si>
  <si>
    <t>meilleure</t>
  </si>
  <si>
    <t># text = Mais, je parle pour moi -- et bien, je n'aurais jamais cru il y a 23 ans, lorsqu'il est né que je pourrais arriver à ce point -- en ce qui me concerne, ça m'a rendu tellement meilleure, tellement plus gentille et tellement plus déterminée dans ma vie, que, en parlant pour moi, je ne voudrais arrêter pour rien au monde.</t>
  </si>
  <si>
    <t>parle</t>
  </si>
  <si>
    <t>aurais</t>
  </si>
  <si>
    <t>cru</t>
  </si>
  <si>
    <t>pourrais</t>
  </si>
  <si>
    <t>concerne</t>
  </si>
  <si>
    <t>rendu</t>
  </si>
  <si>
    <t>tellement</t>
  </si>
  <si>
    <t>gentille</t>
  </si>
  <si>
    <t>déterminée</t>
  </si>
  <si>
    <t>parlant</t>
  </si>
  <si>
    <t>voudrais</t>
  </si>
  <si>
    <t>arrêter</t>
  </si>
  <si>
    <t># text = » Nous sommes à un moment où l'acceptation sociale pour cette maladie et bien d'autres s'améliore.</t>
  </si>
  <si>
    <t>moment</t>
  </si>
  <si>
    <t>améliore</t>
  </si>
  <si>
    <t># text = Pourtant nous en sommes également au moment où notre capacité à éliminer ces maladies a atteint un niveau que nous n'avions jamais imaginé auparavant.</t>
  </si>
  <si>
    <t>Pourtant</t>
  </si>
  <si>
    <t>également</t>
  </si>
  <si>
    <t>éliminer</t>
  </si>
  <si>
    <t>maladies</t>
  </si>
  <si>
    <t>atteint</t>
  </si>
  <si>
    <t>avions</t>
  </si>
  <si>
    <t>imaginé</t>
  </si>
  <si>
    <t>auparavant</t>
  </si>
  <si>
    <t># text = La plupart des enfants sourds nés aux Etats-unis aujourd'hui recevra des implants cochléaires, qui sont posés dans le cerveau et connectés à un récepteur, ce qui leur permet d'acquérir un facsimile d'écoute et d'utiliser un langage oral Un composé qui a été testé chez la souris, le BMN-111, est utilisé pour prévenir l'action du gène achondroplasique.</t>
  </si>
  <si>
    <t>Etats-unis</t>
  </si>
  <si>
    <t>recevra</t>
  </si>
  <si>
    <t>implants</t>
  </si>
  <si>
    <t>cochléaires</t>
  </si>
  <si>
    <t>posés</t>
  </si>
  <si>
    <t>cerveau</t>
  </si>
  <si>
    <t>connectés</t>
  </si>
  <si>
    <t>récepteur</t>
  </si>
  <si>
    <t>permet</t>
  </si>
  <si>
    <t>acquérir</t>
  </si>
  <si>
    <t>facsimile</t>
  </si>
  <si>
    <t>écoute</t>
  </si>
  <si>
    <t>utiliser</t>
  </si>
  <si>
    <t>langage</t>
  </si>
  <si>
    <t>oral</t>
  </si>
  <si>
    <t>composé</t>
  </si>
  <si>
    <t>testé</t>
  </si>
  <si>
    <t>souris</t>
  </si>
  <si>
    <t>BMN-111</t>
  </si>
  <si>
    <t>utilisé</t>
  </si>
  <si>
    <t>prévenir</t>
  </si>
  <si>
    <t>action</t>
  </si>
  <si>
    <t>gène</t>
  </si>
  <si>
    <t>achondroplasique</t>
  </si>
  <si>
    <t># text = L'achondroplasie est la forme la plus commune de nanisme, les souris qui ont reçu ce produit et qui avaient le gène d'achondroplasie, ont grandi jusqu'à une taille normale.</t>
  </si>
  <si>
    <t>achondroplasie</t>
  </si>
  <si>
    <t>forme</t>
  </si>
  <si>
    <t>commune</t>
  </si>
  <si>
    <t>reçu</t>
  </si>
  <si>
    <t>produit</t>
  </si>
  <si>
    <t>grandi</t>
  </si>
  <si>
    <t>jusqu'</t>
  </si>
  <si>
    <t># text = Les tests sur les humains sont pour bientôt.</t>
  </si>
  <si>
    <t>tests</t>
  </si>
  <si>
    <t>bientôt</t>
  </si>
  <si>
    <t># text = Les tests sanguins s'améliorent et permettront de détecter le Syndrome de Down de façon plus claire et plus précoce lors des grossesses que jamais auparavant, permettant plus facilement aux gens d'éviter ces grossesses, ou d'y mettre un terme.</t>
  </si>
  <si>
    <t>sanguins</t>
  </si>
  <si>
    <t>améliorent</t>
  </si>
  <si>
    <t>permettront</t>
  </si>
  <si>
    <t>détecter</t>
  </si>
  <si>
    <t>Syndrome</t>
  </si>
  <si>
    <t>Down</t>
  </si>
  <si>
    <t>claire</t>
  </si>
  <si>
    <t>précoce</t>
  </si>
  <si>
    <t>lors</t>
  </si>
  <si>
    <t>grossesses</t>
  </si>
  <si>
    <t>permettant</t>
  </si>
  <si>
    <t>facilement</t>
  </si>
  <si>
    <t>éviter</t>
  </si>
  <si>
    <t>terme</t>
  </si>
  <si>
    <t># text = Nous avons donc un progrès social et médical.</t>
  </si>
  <si>
    <t>social</t>
  </si>
  <si>
    <t>médical</t>
  </si>
  <si>
    <t># text = Et je crois en les deux.</t>
  </si>
  <si>
    <t>crois</t>
  </si>
  <si>
    <t># text = Je crois que le progrès social est fantastique, significatif et magnifique, et je pense la même chose du progrès médical.</t>
  </si>
  <si>
    <t>fantastique</t>
  </si>
  <si>
    <t>significatif</t>
  </si>
  <si>
    <t>magnifique</t>
  </si>
  <si>
    <t># text = Mais je pense que c'est une tragédie lorsque l'un ne voit pas l'autre.</t>
  </si>
  <si>
    <t>tragédie</t>
  </si>
  <si>
    <t># text = Quand je vois comment ils se recoupent dans des maladies comme les trois exemples que je viens de décrire, je pense parfois que c'est comme pendant ces grands moments d'opéra ou le héros réalise qu'il aime l'héroine au moment même où elle est étendue morte sur le divan.</t>
  </si>
  <si>
    <t>vois</t>
  </si>
  <si>
    <t>recoupent</t>
  </si>
  <si>
    <t>exemples</t>
  </si>
  <si>
    <t>viens</t>
  </si>
  <si>
    <t>décrire</t>
  </si>
  <si>
    <t>parfois</t>
  </si>
  <si>
    <t>grands</t>
  </si>
  <si>
    <t>moments</t>
  </si>
  <si>
    <t>opéra</t>
  </si>
  <si>
    <t>héros</t>
  </si>
  <si>
    <t>réalise</t>
  </si>
  <si>
    <t>aime</t>
  </si>
  <si>
    <t>héroine</t>
  </si>
  <si>
    <t>étendue</t>
  </si>
  <si>
    <t>morte</t>
  </si>
  <si>
    <t>divan</t>
  </si>
  <si>
    <t># text = Nous devons réfléchir à la façon dont nous percevons les traitements.</t>
  </si>
  <si>
    <t>devons</t>
  </si>
  <si>
    <t>percevons</t>
  </si>
  <si>
    <t>traitements</t>
  </si>
  <si>
    <t># text = Souvent, les questions sur la parentalité est : qu'est-ce qu'on valide chez nos enfants, qu'est-ce qu'on soigne chez eux ?</t>
  </si>
  <si>
    <t>Souvent</t>
  </si>
  <si>
    <t>parentalité</t>
  </si>
  <si>
    <t>valide</t>
  </si>
  <si>
    <t>soigne</t>
  </si>
  <si>
    <t># text = Jim Sinclair, un militant majeur de l'autisme, a dit, « Lorsque les parents disent, « j'aurai voulu que mon enfant ne soit pas autiste, » ce qu'ils disent vraiment c'est « j'aurais voulu que l'enfant que j'ai n'ait jamais existé et que j'aie un enfant différent non autiste à la place.</t>
  </si>
  <si>
    <t>Jim</t>
  </si>
  <si>
    <t>Sinclair</t>
  </si>
  <si>
    <t>militant</t>
  </si>
  <si>
    <t>majeur</t>
  </si>
  <si>
    <t>autisme</t>
  </si>
  <si>
    <t>disent</t>
  </si>
  <si>
    <t>aurai</t>
  </si>
  <si>
    <t>voulu</t>
  </si>
  <si>
    <t>autiste</t>
  </si>
  <si>
    <t>existé</t>
  </si>
  <si>
    <t>aie</t>
  </si>
  <si>
    <t>différent</t>
  </si>
  <si>
    <t>non</t>
  </si>
  <si>
    <t>place</t>
  </si>
  <si>
    <t># text = » Repensez à ça.</t>
  </si>
  <si>
    <t>Repensez</t>
  </si>
  <si>
    <t># text = C'est ce qu'on entend l orsqu'on se plaint de notre existence.</t>
  </si>
  <si>
    <t>entend</t>
  </si>
  <si>
    <t>l</t>
  </si>
  <si>
    <t>orsqu'</t>
  </si>
  <si>
    <t>plaint</t>
  </si>
  <si>
    <t>existence</t>
  </si>
  <si>
    <t># text = C'est ce qu'on entend quand vous priez pour un traitement -- que votre souhait le plus profond pour nous est qu'un jour nous cessions d'exister et que des étrangers que vous pouvez aimez viendront prendre place derrières nos visages.</t>
  </si>
  <si>
    <t>priez</t>
  </si>
  <si>
    <t>souhait</t>
  </si>
  <si>
    <t>profond</t>
  </si>
  <si>
    <t>cessions</t>
  </si>
  <si>
    <t>étrangers</t>
  </si>
  <si>
    <t>pouvez</t>
  </si>
  <si>
    <t>aimez</t>
  </si>
  <si>
    <t>viendront</t>
  </si>
  <si>
    <t>derrières</t>
  </si>
  <si>
    <t>visages</t>
  </si>
  <si>
    <t># text = » C'est un point de vue vraiment extrême, mais il souligne le fait que les gens font avec la vie qu'ils ont et qu'ils ne veulent pas être soignés, changés ou éliminés.</t>
  </si>
  <si>
    <t>vue</t>
  </si>
  <si>
    <t>extrême</t>
  </si>
  <si>
    <t>souligne</t>
  </si>
  <si>
    <t>soignés</t>
  </si>
  <si>
    <t>changés</t>
  </si>
  <si>
    <t>éliminés</t>
  </si>
  <si>
    <t># text = Ils veulent exister quelque soit la personne qu'ils sont devenus.</t>
  </si>
  <si>
    <t>devenus</t>
  </si>
  <si>
    <t># text = Une des familles que j'ai interviewée pour ce projet était la famille de Dylan Klebold qui était un des responsables du massacre de Columbine.</t>
  </si>
  <si>
    <t>interviewée</t>
  </si>
  <si>
    <t>projet</t>
  </si>
  <si>
    <t>Dylan</t>
  </si>
  <si>
    <t>Klebold</t>
  </si>
  <si>
    <t>responsables</t>
  </si>
  <si>
    <t>massacre</t>
  </si>
  <si>
    <t>Columbine</t>
  </si>
  <si>
    <t># text = Ça a pris beaucoup de temps pour les persuader de me parler, une fois qu'ils ont accepté, ils étaient tellement à fond dans leur histoire qu'ils ne pouvaient s'arrêter de la raconter.</t>
  </si>
  <si>
    <t>Ça</t>
  </si>
  <si>
    <t>pris</t>
  </si>
  <si>
    <t>persuader</t>
  </si>
  <si>
    <t>parler</t>
  </si>
  <si>
    <t>accepté</t>
  </si>
  <si>
    <t>fond</t>
  </si>
  <si>
    <t>raconter</t>
  </si>
  <si>
    <t># text = Le premier week-end que j'ai passé avec eux -- le premier de nombreux autres -- j'ai enregistré plus de 20 heures de conversation.</t>
  </si>
  <si>
    <t>nombreux</t>
  </si>
  <si>
    <t>enregistré</t>
  </si>
  <si>
    <t>heures</t>
  </si>
  <si>
    <t>conversation</t>
  </si>
  <si>
    <t># text = Le dimanche soir, nous étions tous épuisés.</t>
  </si>
  <si>
    <t>dimanche</t>
  </si>
  <si>
    <t>soir</t>
  </si>
  <si>
    <t>étions</t>
  </si>
  <si>
    <t>épuisés</t>
  </si>
  <si>
    <t># text = Nous étions assis dans la cuisine.</t>
  </si>
  <si>
    <t>assis</t>
  </si>
  <si>
    <t>cuisine</t>
  </si>
  <si>
    <t># text = Sue Klebold était en train de préparer le dîner.</t>
  </si>
  <si>
    <t>Sue</t>
  </si>
  <si>
    <t>préparer</t>
  </si>
  <si>
    <t>dîner</t>
  </si>
  <si>
    <t># text = Et j'ai dit, « Si Dylan était ici maintenant, avez-vous une idée de ce que vous voudriez lui demander ?</t>
  </si>
  <si>
    <t>Si</t>
  </si>
  <si>
    <t>-vous</t>
  </si>
  <si>
    <t>voudriez</t>
  </si>
  <si>
    <t># text = » Son père a répondu, « Oui, évidemment.</t>
  </si>
  <si>
    <t>Oui</t>
  </si>
  <si>
    <t>évidemment</t>
  </si>
  <si>
    <t># text = Je lui demanderais est-ce qu'il pensait à ce qu'il était en train de faire ?</t>
  </si>
  <si>
    <t>pensait</t>
  </si>
  <si>
    <t># text = Sue a regardé le sol, a réfléchi une minute.</t>
  </si>
  <si>
    <t>regardé</t>
  </si>
  <si>
    <t>sol</t>
  </si>
  <si>
    <t>réfléchi</t>
  </si>
  <si>
    <t>minute</t>
  </si>
  <si>
    <t># text = Elle nous a regardé de nouveau et a dit, « Je lui demanderais de me pardonner d'avoir été sa mère et de n'avoir jamais su ce qui se passait dans sa tête.</t>
  </si>
  <si>
    <t>nouveau</t>
  </si>
  <si>
    <t>pardonner</t>
  </si>
  <si>
    <t>su</t>
  </si>
  <si>
    <t>passait</t>
  </si>
  <si>
    <t>tête</t>
  </si>
  <si>
    <t># text = » Lorsque j'ai dîné avec elle quelques années plus tard -- un des nombreux dîners que nous avons pris ensemble -- elle m'a dit, « Vous savez, lorsque c'est arrivé au début, je souhaitais souvent n'avoir jamais été mariée, n'avoir jamais eu d'enfant.</t>
  </si>
  <si>
    <t>dîné</t>
  </si>
  <si>
    <t>dîners</t>
  </si>
  <si>
    <t>ensemble</t>
  </si>
  <si>
    <t>Vous</t>
  </si>
  <si>
    <t>savez</t>
  </si>
  <si>
    <t>début</t>
  </si>
  <si>
    <t>souhaitais</t>
  </si>
  <si>
    <t>mariée</t>
  </si>
  <si>
    <t># text = Si je n'avais pas été dans l'Ohio et croisé le chemin de Tom, cet enfant n'aurait jamais existé et cette chose terrible n'aurait jamais eu lieu.</t>
  </si>
  <si>
    <t>Ohio</t>
  </si>
  <si>
    <t>croisé</t>
  </si>
  <si>
    <t>chemin</t>
  </si>
  <si>
    <t>cet</t>
  </si>
  <si>
    <t>terrible</t>
  </si>
  <si>
    <t>lieu</t>
  </si>
  <si>
    <t># text = Mais j'en suis arrivée à penser que j'aime tellement les enfant que j'ai eus que je ne veux pas imaginer une vie sans eux.</t>
  </si>
  <si>
    <t>arrivée</t>
  </si>
  <si>
    <t>eus</t>
  </si>
  <si>
    <t>imaginer</t>
  </si>
  <si>
    <t>sans</t>
  </si>
  <si>
    <t># text = Je reconnais la souffrance qu'ils ont causée aux autres, qui est impardonnable, mais la souffrance qu'ils m'ont causée peut être pardonnée » m'a-t-elle dit.</t>
  </si>
  <si>
    <t>reconnais</t>
  </si>
  <si>
    <t>souffrance</t>
  </si>
  <si>
    <t>causée</t>
  </si>
  <si>
    <t>impardonnable</t>
  </si>
  <si>
    <t>pardonnée</t>
  </si>
  <si>
    <t>-t</t>
  </si>
  <si>
    <t># text = « Alors autant je reconnais que ça aurait été mieux pour le monde si Dylan n'était jamais né, j'ai décidé que ça n'aurait pas été mieux pour moi.</t>
  </si>
  <si>
    <t>autant</t>
  </si>
  <si>
    <t>mieux</t>
  </si>
  <si>
    <t># text = » Je trouvais ça surprenant comment toutes ces familles qui avaient eu tous ces enfants avec tous ces problèmes, des problèmes qu'ils auraient tout fait pour éviter, comment pouvaient-ils tous trouver autant de sens dans leur expérience de parentalité.</t>
  </si>
  <si>
    <t>trouvais</t>
  </si>
  <si>
    <t>surprenant</t>
  </si>
  <si>
    <t>toutes</t>
  </si>
  <si>
    <t>auraient</t>
  </si>
  <si>
    <t>-ils</t>
  </si>
  <si>
    <t># text = Ensuite je me suis dit, tous ceux d'entre nous qui avons des enfants aimons les enfants que nous avons, avec leurs défauts.</t>
  </si>
  <si>
    <t>aimons</t>
  </si>
  <si>
    <t>défauts</t>
  </si>
  <si>
    <t># text = Si un ange glorieux descendait soudain à travers le plafond de mon salon et me proposait d'emporter les enfants que j'ai et de m'en donner un autre, de meilleurs enfants -- plus polis, plus drôles, plus gentils, plus intelligents -- je m'accrocherais aux enfants que j'ai et prierais pour que cesse cet atroce spectacle.</t>
  </si>
  <si>
    <t>ange</t>
  </si>
  <si>
    <t>glorieux</t>
  </si>
  <si>
    <t>descendait</t>
  </si>
  <si>
    <t>plafond</t>
  </si>
  <si>
    <t>salon</t>
  </si>
  <si>
    <t>proposait</t>
  </si>
  <si>
    <t>emporter</t>
  </si>
  <si>
    <t>meilleurs</t>
  </si>
  <si>
    <t>polis</t>
  </si>
  <si>
    <t>drôles</t>
  </si>
  <si>
    <t>gentils</t>
  </si>
  <si>
    <t>intelligents</t>
  </si>
  <si>
    <t>accrocherais</t>
  </si>
  <si>
    <t>prierais</t>
  </si>
  <si>
    <t>cesse</t>
  </si>
  <si>
    <t>atroce</t>
  </si>
  <si>
    <t>spectacle</t>
  </si>
  <si>
    <t># text = Et finalement i'ai l'impression que de la même manière que lorsqu'on teste des pyjamas inifugés dans un brasier pour s'assurer qu'ils ne prendront pas feu lorsque nos enfants s'avancent vers la cuisinière, ces histoires de familles qui s'arrangent avec ces différences extrêmes reflètent l'expérience universelle de la parentalité, qui est que, parfois, vous regardez vos enfants et vous vous dites, d'où est-ce que tu viens ?</t>
  </si>
  <si>
    <t>finalement</t>
  </si>
  <si>
    <t>i'</t>
  </si>
  <si>
    <t>manière</t>
  </si>
  <si>
    <t>teste</t>
  </si>
  <si>
    <t>pyjamas</t>
  </si>
  <si>
    <t>inifugés</t>
  </si>
  <si>
    <t>brasier</t>
  </si>
  <si>
    <t>prendront</t>
  </si>
  <si>
    <t>feu</t>
  </si>
  <si>
    <t>avancent</t>
  </si>
  <si>
    <t>vers</t>
  </si>
  <si>
    <t>cuisinière</t>
  </si>
  <si>
    <t>histoires</t>
  </si>
  <si>
    <t>arrangent</t>
  </si>
  <si>
    <t>extrêmes</t>
  </si>
  <si>
    <t>reflètent</t>
  </si>
  <si>
    <t>universelle</t>
  </si>
  <si>
    <t>regardez</t>
  </si>
  <si>
    <t>vos</t>
  </si>
  <si>
    <t>dites</t>
  </si>
  <si>
    <t># text = Il s'avère qu'alors que chacune de ces différences individuelles est cloisonnée -- il n'existe qu'un nombre limité de familles aux prises avec la schizophrénie, d'enfants qui sont transgenres, il n'existe qu'un nombre limité de familles de prodiges -- qui font également face à des défis similaires de bien des manières -- il n'existe qu'un nombre limité de famille dans chacune de ces catégories -- mais si vous commencer à penser que s'arranger avec des différences au sein de votre famille est ce sur quoi les gens se penchent, alors vous découvrirez que c'est un phénomène quasi universel.</t>
  </si>
  <si>
    <t>avère</t>
  </si>
  <si>
    <t>chacune</t>
  </si>
  <si>
    <t>individuelles</t>
  </si>
  <si>
    <t>cloisonnée</t>
  </si>
  <si>
    <t>existe</t>
  </si>
  <si>
    <t>nombre</t>
  </si>
  <si>
    <t>limité</t>
  </si>
  <si>
    <t>prises</t>
  </si>
  <si>
    <t>schizophrénie</t>
  </si>
  <si>
    <t>transgenres</t>
  </si>
  <si>
    <t>prodiges</t>
  </si>
  <si>
    <t>défis</t>
  </si>
  <si>
    <t>similaires</t>
  </si>
  <si>
    <t>manières</t>
  </si>
  <si>
    <t>catégories</t>
  </si>
  <si>
    <t>commencer</t>
  </si>
  <si>
    <t>arranger</t>
  </si>
  <si>
    <t>sein</t>
  </si>
  <si>
    <t>penchent</t>
  </si>
  <si>
    <t>découvrirez</t>
  </si>
  <si>
    <t>phénomène</t>
  </si>
  <si>
    <t>quasi</t>
  </si>
  <si>
    <t>universel</t>
  </si>
  <si>
    <t># text = Ironiquement, il s'avère que, ce sont nos différences et notre gestion de la différence, qui nous uni.</t>
  </si>
  <si>
    <t>Ironiquement</t>
  </si>
  <si>
    <t>gestion</t>
  </si>
  <si>
    <t>différence</t>
  </si>
  <si>
    <t>uni</t>
  </si>
  <si>
    <t># text = J'ai décidé d'avoir des enfants lorsque je travaillais sur ce projet.</t>
  </si>
  <si>
    <t>travaillais</t>
  </si>
  <si>
    <t># text = Beaucoup de gens s'étonnaient et disaient, « Mais comment peux-tu décider d'avoir des enfants alors que tu es en train d'étudier tout ce qui peut mal se passer ? » J'ai répondu, « Je n'étudie pas tout ce qui peut mal se passer.</t>
  </si>
  <si>
    <t>Beaucoup</t>
  </si>
  <si>
    <t>étonnaient</t>
  </si>
  <si>
    <t>peux</t>
  </si>
  <si>
    <t>-tu</t>
  </si>
  <si>
    <t>étudier</t>
  </si>
  <si>
    <t>mal</t>
  </si>
  <si>
    <t>étudie</t>
  </si>
  <si>
    <t># text = Ce que j'étudie c'est, combien d'amour il peut y avoir, même lorsque tout semble mal se passer.</t>
  </si>
  <si>
    <t>combien</t>
  </si>
  <si>
    <t># text = » J'ai beaucoup pensé à la mère d'un enfant handicapé que j'avais vu, un enfant gravement handicapé qui est décédé par suite de négligence du personnel soignant.</t>
  </si>
  <si>
    <t>handicapé</t>
  </si>
  <si>
    <t>gravement</t>
  </si>
  <si>
    <t>décédé</t>
  </si>
  <si>
    <t>suite</t>
  </si>
  <si>
    <t>négligence</t>
  </si>
  <si>
    <t>personnel</t>
  </si>
  <si>
    <t>soignant</t>
  </si>
  <si>
    <t># text = Lorsque ses cendres ont été inhumées, sa mère a dit, « Je prie ici pour le pardon d'avoir été volée deux fois, une fois de l'enfant que je voulais et une fois du fils que j'aimais.</t>
  </si>
  <si>
    <t>cendres</t>
  </si>
  <si>
    <t>inhumées</t>
  </si>
  <si>
    <t>prie</t>
  </si>
  <si>
    <t>pardon</t>
  </si>
  <si>
    <t>volée</t>
  </si>
  <si>
    <t>aimais</t>
  </si>
  <si>
    <t># text = » J'ai alors compris qu'il était possible pour n'importe qui d'aimer n'importe quel enfant si on avait la volonté de le faire.</t>
  </si>
  <si>
    <t>compris</t>
  </si>
  <si>
    <t>possible</t>
  </si>
  <si>
    <t>importe</t>
  </si>
  <si>
    <t>volonté</t>
  </si>
  <si>
    <t># text = Donc mon mari est le père biologique de deux enfants avec des amies lesbiennes de Minneapolis.</t>
  </si>
  <si>
    <t>Donc</t>
  </si>
  <si>
    <t>mari</t>
  </si>
  <si>
    <t>biologique</t>
  </si>
  <si>
    <t>amies</t>
  </si>
  <si>
    <t>lesbiennes</t>
  </si>
  <si>
    <t>Minneapolis</t>
  </si>
  <si>
    <t># text = J'ai une bonne amie de fac qui, après un divorce, voulait un enfant.</t>
  </si>
  <si>
    <t>divorce</t>
  </si>
  <si>
    <t># text = Donc elle et moi avons eu une fille, et la mère et la fille vivent au Texas.</t>
  </si>
  <si>
    <t>vivent</t>
  </si>
  <si>
    <t>Texas</t>
  </si>
  <si>
    <t># text = Mon mari et moi avons un fils qui vit avec nous à temps plein, dont je suis son père biologique, et notre mère porteuse est Laura, la mère lesbienne d'Oliver et Lucy à Minneapolis.</t>
  </si>
  <si>
    <t>vit</t>
  </si>
  <si>
    <t>plein</t>
  </si>
  <si>
    <t>porteuse</t>
  </si>
  <si>
    <t>Laura</t>
  </si>
  <si>
    <t>lesbienne</t>
  </si>
  <si>
    <t>Oliver</t>
  </si>
  <si>
    <t>Lucy</t>
  </si>
  <si>
    <t># text = En clair, il y a 5 parents pour 4 enfants dans 3 états différents.</t>
  </si>
  <si>
    <t>clair</t>
  </si>
  <si>
    <t>états</t>
  </si>
  <si>
    <t>différents</t>
  </si>
  <si>
    <t># text = Il y a des gens qui pensent que l'existence même de ma famille ébranle ou affaiblit leur famille d'une certaine manière.</t>
  </si>
  <si>
    <t>ébranle</t>
  </si>
  <si>
    <t>affaiblit</t>
  </si>
  <si>
    <t># text = Il y a des gens qui pensent que des familles comme la mienne ne devraient pas être autorisées à exister.</t>
  </si>
  <si>
    <t>mienne</t>
  </si>
  <si>
    <t>autorisées</t>
  </si>
  <si>
    <t># text = Je n'accepte pas de modèles d'amour soustractifs, uniquement des modèles additifs.</t>
  </si>
  <si>
    <t>accepte</t>
  </si>
  <si>
    <t>modèles</t>
  </si>
  <si>
    <t>soustractifs</t>
  </si>
  <si>
    <t>uniquement</t>
  </si>
  <si>
    <t>additifs</t>
  </si>
  <si>
    <t># text = Je crois que de la même manière dont on a besoin de la diversité des espèces pour s'assurer que la planète continue à exister, nous avons besoin de cette diversité d'affection et de familles pour renforcer l'écosphère de bonté.</t>
  </si>
  <si>
    <t>besoin</t>
  </si>
  <si>
    <t>diversité</t>
  </si>
  <si>
    <t>espèces</t>
  </si>
  <si>
    <t>planète</t>
  </si>
  <si>
    <t>continue</t>
  </si>
  <si>
    <t>affection</t>
  </si>
  <si>
    <t>renforcer</t>
  </si>
  <si>
    <t>écosphère</t>
  </si>
  <si>
    <t>bonté</t>
  </si>
  <si>
    <t># text = Le lendemain du jour où notre fils est né, la pédiatre est venue dans la chambre d'hopital et nous a dit qu'elle était préoccupée.</t>
  </si>
  <si>
    <t>pédiatre</t>
  </si>
  <si>
    <t>venue</t>
  </si>
  <si>
    <t>chambre</t>
  </si>
  <si>
    <t>hopital</t>
  </si>
  <si>
    <t>préoccupée</t>
  </si>
  <si>
    <t># text = Il ne pouvait étendre ses jambes correctement.</t>
  </si>
  <si>
    <t>étendre</t>
  </si>
  <si>
    <t>jambes</t>
  </si>
  <si>
    <t>correctement</t>
  </si>
  <si>
    <t># text = Elle disait que ça pouvait être le signe d'une lésion cérébrale.</t>
  </si>
  <si>
    <t>signe</t>
  </si>
  <si>
    <t>lésion</t>
  </si>
  <si>
    <t>cérébrale</t>
  </si>
  <si>
    <t># text = Même s'il pouvait les tendre, il le faisait de manière asymétrique, ce qui, d'après elle, pouvait signifier la présence d'une tumeur quelque part.</t>
  </si>
  <si>
    <t>tendre</t>
  </si>
  <si>
    <t>faisait</t>
  </si>
  <si>
    <t>asymétrique</t>
  </si>
  <si>
    <t>signifier</t>
  </si>
  <si>
    <t>présence</t>
  </si>
  <si>
    <t>tumeur</t>
  </si>
  <si>
    <t>part</t>
  </si>
  <si>
    <t># text = Il avait aussi une grosse tête, ce qu'elle pensait être le signe d'un hydrocéphale.</t>
  </si>
  <si>
    <t>grosse</t>
  </si>
  <si>
    <t>hydrocéphale</t>
  </si>
  <si>
    <t># text = Alors qu'elle me disait tout ça, je sentais mon corps se liquéfier sur le sol.</t>
  </si>
  <si>
    <t>sentais</t>
  </si>
  <si>
    <t>liquéfier</t>
  </si>
  <si>
    <t># text = Je pensais, voilà j'ai travaillé pendant des années sur un livre sur le sens que les gens avaient donné à ces expériences de parentalité d'enfants handicapés, et je ne voulais pas les rejoindre.</t>
  </si>
  <si>
    <t>voilà</t>
  </si>
  <si>
    <t>livre</t>
  </si>
  <si>
    <t>donné</t>
  </si>
  <si>
    <t>expériences</t>
  </si>
  <si>
    <t>handicapés</t>
  </si>
  <si>
    <t># text = Parce que, ce que je rencontrais était une idée de maladie.</t>
  </si>
  <si>
    <t>Parce</t>
  </si>
  <si>
    <t>rencontrais</t>
  </si>
  <si>
    <t># text = Et comme tous les parents depuis la nuit des temps, je voulais protéger mon enfant de la maladie.</t>
  </si>
  <si>
    <t>depuis</t>
  </si>
  <si>
    <t>nuit</t>
  </si>
  <si>
    <t>protéger</t>
  </si>
  <si>
    <t># text = Je voulais également me protéger de la maladie.</t>
  </si>
  <si>
    <t># text = Et maintenant, je savais grâce au travail que j'avais fait que s'il avait n'importe laquelle des maladies qu'on allait tester, alors elle deviendrait son identité, et si elle devenait son identité, elle deviendrait la mienne, que cette maladie allait prendre une forme différente alors qu'elle s'étendait.</t>
  </si>
  <si>
    <t>travail</t>
  </si>
  <si>
    <t>tester</t>
  </si>
  <si>
    <t>deviendrait</t>
  </si>
  <si>
    <t>devenait</t>
  </si>
  <si>
    <t>différente</t>
  </si>
  <si>
    <t>étendait</t>
  </si>
  <si>
    <t># text = On l'a emmené faire un IRM, on l'a emmené au tomodensitomètre, on a pris cet enfant âgé d'un jour et on lui a fait un prélèvement de sang artériel.</t>
  </si>
  <si>
    <t>emmené</t>
  </si>
  <si>
    <t>IRM</t>
  </si>
  <si>
    <t>tomodensitomètre</t>
  </si>
  <si>
    <t>âgé</t>
  </si>
  <si>
    <t>prélèvement</t>
  </si>
  <si>
    <t>sang</t>
  </si>
  <si>
    <t>artériel</t>
  </si>
  <si>
    <t># text = Nous sous sentions impuissants.</t>
  </si>
  <si>
    <t>sous</t>
  </si>
  <si>
    <t>sentions</t>
  </si>
  <si>
    <t>impuissants</t>
  </si>
  <si>
    <t># text = Au bout de cinq heures, ils ont dit que son cerveau était parfaitement normal et que, depuis, il étendait ses jambes correctement.</t>
  </si>
  <si>
    <t>bout</t>
  </si>
  <si>
    <t>cinq</t>
  </si>
  <si>
    <t>parfaitement</t>
  </si>
  <si>
    <t>normal</t>
  </si>
  <si>
    <t># text = Lorsque j'ai demandé à la pédiatre ce qui s'était passé, elle a dit qu'elle pensait qu'il avait probablement eu une crampe ce matin.</t>
  </si>
  <si>
    <t>crampe</t>
  </si>
  <si>
    <t>matin</t>
  </si>
  <si>
    <t># text = Mais j'ai pensé à quel point ma mère avait raison.</t>
  </si>
  <si>
    <t># text = J'ai pensé, l'amour que l'on porte à ses enfants ne ressemble à aucun autre sentiment au monde, et jusqu'à ce qu'on ait des enfants, on ne sait pas ce que ça fait.</t>
  </si>
  <si>
    <t>porte</t>
  </si>
  <si>
    <t>sait</t>
  </si>
  <si>
    <t># text = Je pense que les enfants m'ont pris au piège au moment où j'ai associé la paternité avec la perte.</t>
  </si>
  <si>
    <t>piège</t>
  </si>
  <si>
    <t>associé</t>
  </si>
  <si>
    <t>paternité</t>
  </si>
  <si>
    <t># text = Mais je ne suis pas sûr que j'aurais remarqué ça si je n'avais pas été si impliqué dans mon projet de recherche.</t>
  </si>
  <si>
    <t>sûr</t>
  </si>
  <si>
    <t>remarqué</t>
  </si>
  <si>
    <t>impliqué</t>
  </si>
  <si>
    <t>recherche</t>
  </si>
  <si>
    <t># text = J'ai rencontré tant d'amour étrange, que je suis tombé naturellement dans ses schémas envoûtants.</t>
  </si>
  <si>
    <t>rencontré</t>
  </si>
  <si>
    <t>étrange</t>
  </si>
  <si>
    <t>tombé</t>
  </si>
  <si>
    <t>naturellement</t>
  </si>
  <si>
    <t>schémas</t>
  </si>
  <si>
    <t>envoûtants</t>
  </si>
  <si>
    <t># text = J'ai vu comment la magnificence peut illuminer la plus abjecte des vulnérabilités.</t>
  </si>
  <si>
    <t>magnificence</t>
  </si>
  <si>
    <t>illuminer</t>
  </si>
  <si>
    <t>abjecte</t>
  </si>
  <si>
    <t>vulnérabilités</t>
  </si>
  <si>
    <t># text = Pendant ces 10 années, j'ai découvert et j'ai été témoin de la joie terrifiante de cette insupportable responsabilité, je devais m'y jeter et voir comment ça peut battre tout le reste.</t>
  </si>
  <si>
    <t>découvert</t>
  </si>
  <si>
    <t>témoin</t>
  </si>
  <si>
    <t>joie</t>
  </si>
  <si>
    <t>terrifiante</t>
  </si>
  <si>
    <t>insupportable</t>
  </si>
  <si>
    <t>responsabilité</t>
  </si>
  <si>
    <t>devais</t>
  </si>
  <si>
    <t>jeter</t>
  </si>
  <si>
    <t>battre</t>
  </si>
  <si>
    <t>reste</t>
  </si>
  <si>
    <t># text = Alors que, parfois, je pensais que les parents que j'avais interviewés étaient des fous, devenant des esclaves à vie auprès de leurs enfants ingrats, essayant de faire naître une identité dans la souffrance, j'ai compris ce jour-là que mes recherches m'avaient construit une planche et que j'étais prêt à les rejoindre dans leur bateau.</t>
  </si>
  <si>
    <t>interviewés</t>
  </si>
  <si>
    <t>fous</t>
  </si>
  <si>
    <t>devenant</t>
  </si>
  <si>
    <t>esclaves</t>
  </si>
  <si>
    <t>ingrats</t>
  </si>
  <si>
    <t>essayant</t>
  </si>
  <si>
    <t>-là</t>
  </si>
  <si>
    <t>recherches</t>
  </si>
  <si>
    <t>construit</t>
  </si>
  <si>
    <t>planche</t>
  </si>
  <si>
    <t>prêt</t>
  </si>
  <si>
    <t>bateau</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</si>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</sst>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17</v>
      </c>
      <c r="C3" s="6" t="s">
        <v>18</v>
      </c>
      <c r="D3" s="7" t="s">
        <v>19</v>
      </c>
      <c r="E3" s="8" t="s">
        <v>20</v>
      </c>
      <c r="F3" s="6" t="s">
        <v>21</v>
      </c>
      <c r="G3" s="9">
        <f>IF(A3=1,"_",IF(C3="_","???",C3))</f>
        <v/>
      </c>
      <c r="H3" s="10" t="s">
        <v>16</v>
      </c>
      <c r="I3" s="11" t="s">
        <v>16</v>
      </c>
      <c r="J3" s="12"/>
    </row>
    <row r="4" spans="1:10" ht="60" customHeight="1">
      <c r="A4" s="6" t="s">
        <v>22</v>
      </c>
      <c r="B4" s="6" t="s">
        <v>23</v>
      </c>
      <c r="C4" s="6" t="s">
        <v>24</v>
      </c>
      <c r="D4" s="7" t="s">
        <v>25</v>
      </c>
      <c r="E4" s="8" t="s">
        <v>26</v>
      </c>
      <c r="F4" s="6" t="s">
        <v>27</v>
      </c>
      <c r="G4" s="9">
        <f>IF(A4=1,"_",IF(C4="_","???",C4))</f>
        <v/>
      </c>
      <c r="H4" s="10" t="s">
        <v>16</v>
      </c>
      <c r="I4" s="11" t="s">
        <v>16</v>
      </c>
      <c r="J4" s="12"/>
    </row>
    <row r="5" spans="1:10" ht="60" customHeight="1">
      <c r="A5" s="6" t="s">
        <v>28</v>
      </c>
      <c r="B5" s="6" t="s">
        <v>28</v>
      </c>
      <c r="C5" s="6" t="s">
        <v>29</v>
      </c>
      <c r="D5" s="7" t="s">
        <v>30</v>
      </c>
      <c r="E5" s="8" t="s">
        <v>31</v>
      </c>
      <c r="F5" s="6" t="s">
        <v>32</v>
      </c>
      <c r="G5" s="9">
        <f>IF(A5=1,"_",IF(C5="_","???",C5))</f>
        <v/>
      </c>
      <c r="H5" s="10" t="s">
        <v>16</v>
      </c>
      <c r="I5" s="11" t="s">
        <v>16</v>
      </c>
      <c r="J5" s="12"/>
    </row>
    <row r="6" spans="1:10" ht="60" customHeight="1">
      <c r="A6" s="6" t="s">
        <v>33</v>
      </c>
      <c r="B6" s="6" t="s">
        <v>23</v>
      </c>
      <c r="C6" s="6" t="s">
        <v>34</v>
      </c>
      <c r="D6" s="7" t="s">
        <v>35</v>
      </c>
      <c r="E6" s="8" t="s">
        <v>36</v>
      </c>
      <c r="F6" s="6" t="s">
        <v>37</v>
      </c>
      <c r="G6" s="9">
        <f>IF(A6=1,"_",IF(C6="_","???",C6))</f>
        <v/>
      </c>
      <c r="H6" s="10" t="s">
        <v>16</v>
      </c>
      <c r="I6" s="11" t="s">
        <v>16</v>
      </c>
      <c r="J6" s="12"/>
    </row>
    <row r="7" spans="1:10" ht="60" customHeight="1">
      <c r="A7" s="6" t="s">
        <v>38</v>
      </c>
      <c r="B7" s="6" t="s">
        <v>17</v>
      </c>
      <c r="C7" s="6" t="s">
        <v>16</v>
      </c>
      <c r="D7" s="7" t="s">
        <v>39</v>
      </c>
      <c r="E7" s="8" t="s">
        <v>40</v>
      </c>
      <c r="F7" s="6" t="s">
        <v>41</v>
      </c>
      <c r="G7" s="9">
        <f>IF(A7=1,"_",IF(C7="_","???",C7))</f>
        <v/>
      </c>
      <c r="H7" s="10" t="s">
        <v>16</v>
      </c>
      <c r="I7" s="11" t="s">
        <v>16</v>
      </c>
      <c r="J7" s="12"/>
    </row>
    <row r="8" spans="1:10" ht="60" customHeight="1">
      <c r="A8" s="6" t="s">
        <v>42</v>
      </c>
      <c r="B8" s="6" t="s">
        <v>22</v>
      </c>
      <c r="C8" s="6" t="s">
        <v>24</v>
      </c>
      <c r="D8" s="7" t="s">
        <v>43</v>
      </c>
      <c r="E8" s="8" t="s">
        <v>44</v>
      </c>
      <c r="F8" s="6" t="s">
        <v>45</v>
      </c>
      <c r="G8" s="9">
        <f>IF(A8=1,"_",IF(C8="_","???",C8))</f>
        <v/>
      </c>
      <c r="H8" s="10" t="s">
        <v>16</v>
      </c>
      <c r="I8" s="11" t="s">
        <v>16</v>
      </c>
      <c r="J8" s="12"/>
    </row>
    <row r="9" spans="1:10" ht="60" customHeight="1">
      <c r="A9" s="6" t="s">
        <v>46</v>
      </c>
      <c r="B9" s="6" t="s">
        <v>38</v>
      </c>
      <c r="C9" s="6" t="s">
        <v>16</v>
      </c>
      <c r="D9" s="7" t="s">
        <v>47</v>
      </c>
      <c r="E9" s="8" t="s">
        <v>48</v>
      </c>
      <c r="F9" s="6" t="s">
        <v>49</v>
      </c>
      <c r="G9" s="9">
        <f>IF(A9=1,"_",IF(C9="_","???",C9))</f>
        <v/>
      </c>
      <c r="H9" s="10" t="s">
        <v>16</v>
      </c>
      <c r="I9" s="11" t="s">
        <v>16</v>
      </c>
      <c r="J9" s="12"/>
    </row>
    <row r="10" spans="1:10" ht="60" customHeight="1">
      <c r="A10" s="6" t="s">
        <v>50</v>
      </c>
      <c r="B10" s="6" t="s">
        <v>11</v>
      </c>
      <c r="C10" s="6" t="s">
        <v>29</v>
      </c>
      <c r="D10" s="7" t="s">
        <v>51</v>
      </c>
      <c r="E10" s="8" t="s">
        <v>52</v>
      </c>
      <c r="F10" s="6" t="s">
        <v>53</v>
      </c>
      <c r="G10" s="9">
        <f>IF(A10=1,"_",IF(C10="_","???",C10))</f>
        <v/>
      </c>
      <c r="H10" s="10" t="s">
        <v>16</v>
      </c>
      <c r="I10" s="11" t="s">
        <v>16</v>
      </c>
      <c r="J10" s="12"/>
    </row>
    <row r="11" spans="1:10" ht="60" customHeight="1">
      <c r="A11" s="6" t="s">
        <v>11</v>
      </c>
      <c r="B11" s="6" t="s">
        <v>54</v>
      </c>
      <c r="C11" s="6" t="s">
        <v>55</v>
      </c>
      <c r="D11" s="7" t="s">
        <v>56</v>
      </c>
      <c r="E11" s="8" t="s">
        <v>57</v>
      </c>
      <c r="F11" s="6" t="s">
        <v>58</v>
      </c>
      <c r="G11" s="9">
        <f>IF(A11=1,"_",IF(C11="_","???",C11))</f>
        <v/>
      </c>
      <c r="H11" s="10" t="s">
        <v>16</v>
      </c>
      <c r="I11" s="11" t="s">
        <v>16</v>
      </c>
      <c r="J11" s="12"/>
    </row>
    <row r="12" spans="1:10" ht="60" customHeight="1">
      <c r="A12" s="6" t="s">
        <v>59</v>
      </c>
      <c r="B12" s="6" t="s">
        <v>22</v>
      </c>
      <c r="C12" s="6" t="s">
        <v>16</v>
      </c>
      <c r="D12" s="7" t="s">
        <v>60</v>
      </c>
      <c r="E12" s="8" t="s">
        <v>61</v>
      </c>
      <c r="F12" s="6" t="s">
        <v>62</v>
      </c>
      <c r="G12" s="9">
        <f>IF(A12=1,"_",IF(C12="_","???",C12))</f>
        <v/>
      </c>
      <c r="H12" s="10" t="s">
        <v>16</v>
      </c>
      <c r="I12" s="11" t="s">
        <v>16</v>
      </c>
      <c r="J12" s="12"/>
    </row>
    <row r="13" spans="1:10" ht="60" customHeight="1">
      <c r="A13" s="6" t="s">
        <v>54</v>
      </c>
      <c r="B13" s="6" t="s">
        <v>33</v>
      </c>
      <c r="C13" s="6" t="s">
        <v>63</v>
      </c>
      <c r="D13" s="7" t="s">
        <v>56</v>
      </c>
      <c r="E13" s="8" t="s">
        <v>64</v>
      </c>
      <c r="F13" s="6" t="s">
        <v>65</v>
      </c>
      <c r="G13" s="9">
        <f>IF(A13=1,"_",IF(C13="_","???",C13))</f>
        <v/>
      </c>
      <c r="H13" s="10" t="s">
        <v>16</v>
      </c>
      <c r="I13" s="11" t="s">
        <v>16</v>
      </c>
      <c r="J13" s="12"/>
    </row>
    <row r="14" spans="1:10" ht="60" customHeight="1">
      <c r="A14" s="6" t="s">
        <v>23</v>
      </c>
      <c r="B14" s="6" t="s">
        <v>28</v>
      </c>
      <c r="C14" s="6" t="s">
        <v>66</v>
      </c>
      <c r="D14" s="7" t="s">
        <v>56</v>
      </c>
      <c r="E14" s="8" t="s">
        <v>67</v>
      </c>
      <c r="F14" s="6" t="s">
        <v>68</v>
      </c>
      <c r="G14" s="9">
        <f>IF(A14=1,"_",IF(C14="_","???",C14))</f>
        <v/>
      </c>
      <c r="H14" s="10" t="s">
        <v>16</v>
      </c>
      <c r="I14" s="11" t="s">
        <v>16</v>
      </c>
      <c r="J14" s="12"/>
    </row>
    <row r="15" spans="1:10" ht="60" customHeight="1">
      <c r="A15" s="6" t="s">
        <v>69</v>
      </c>
      <c r="B15" s="6" t="s">
        <v>33</v>
      </c>
      <c r="C15" s="6" t="s">
        <v>70</v>
      </c>
      <c r="D15" s="7" t="s">
        <v>71</v>
      </c>
      <c r="E15" s="8" t="s">
        <v>72</v>
      </c>
      <c r="F15" s="6" t="s">
        <v>73</v>
      </c>
      <c r="G15" s="9">
        <f>IF(A15=1,"_",IF(C15="_","???",C15))</f>
        <v/>
      </c>
      <c r="H15" s="10" t="s">
        <v>16</v>
      </c>
      <c r="I15" s="11" t="s">
        <v>16</v>
      </c>
      <c r="J15" s="12"/>
    </row>
    <row r="16" spans="1:10" ht="60" customHeight="1">
      <c r="A16" s="6" t="s">
        <v>74</v>
      </c>
      <c r="B16" s="6" t="s">
        <v>46</v>
      </c>
      <c r="C16" s="6" t="s">
        <v>75</v>
      </c>
      <c r="D16" s="7" t="s">
        <v>76</v>
      </c>
      <c r="E16" s="8" t="s">
        <v>77</v>
      </c>
      <c r="F16" s="6" t="s">
        <v>78</v>
      </c>
      <c r="G16" s="9">
        <f>IF(A16=1,"_",IF(C16="_","???",C16))</f>
        <v/>
      </c>
      <c r="H16" s="10" t="s">
        <v>16</v>
      </c>
      <c r="I16" s="11" t="s">
        <v>16</v>
      </c>
      <c r="J16" s="12"/>
    </row>
    <row r="17" spans="1:10" ht="60" customHeight="1">
      <c r="A17" s="6" t="s">
        <v>79</v>
      </c>
      <c r="B17" s="6" t="s">
        <v>46</v>
      </c>
      <c r="C17" s="6" t="s">
        <v>80</v>
      </c>
      <c r="D17" s="7" t="s">
        <v>56</v>
      </c>
      <c r="E17" s="8" t="s">
        <v>81</v>
      </c>
      <c r="F17" s="6" t="s">
        <v>82</v>
      </c>
      <c r="G17" s="9">
        <f>IF(A17=1,"_",IF(C17="_","???",C17))</f>
        <v/>
      </c>
      <c r="H17" s="10" t="s">
        <v>16</v>
      </c>
      <c r="I17" s="11" t="s">
        <v>16</v>
      </c>
      <c r="J17" s="12"/>
    </row>
    <row r="18" spans="1:10" ht="60" customHeight="1">
      <c r="A18" s="6" t="s">
        <v>83</v>
      </c>
      <c r="B18" s="6" t="s">
        <v>23</v>
      </c>
      <c r="C18" s="6" t="s">
        <v>70</v>
      </c>
      <c r="D18" s="7" t="s">
        <v>84</v>
      </c>
      <c r="E18" s="8" t="s">
        <v>85</v>
      </c>
      <c r="F18" s="6" t="s">
        <v>86</v>
      </c>
      <c r="G18" s="9">
        <f>IF(A18=1,"_",IF(C18="_","???",C18))</f>
        <v/>
      </c>
      <c r="H18" s="10" t="s">
        <v>16</v>
      </c>
      <c r="I18" s="11" t="s">
        <v>16</v>
      </c>
      <c r="J18" s="12"/>
    </row>
    <row r="19" spans="1:10" ht="60" customHeight="1">
      <c r="A19" s="6" t="s">
        <v>87</v>
      </c>
      <c r="B19" s="6" t="s">
        <v>46</v>
      </c>
      <c r="C19" s="6" t="s">
        <v>29</v>
      </c>
      <c r="D19" s="7" t="s">
        <v>88</v>
      </c>
      <c r="E19" s="8" t="s">
        <v>89</v>
      </c>
      <c r="F19" s="6" t="s">
        <v>90</v>
      </c>
      <c r="G19" s="9">
        <f>IF(A19=1,"_",IF(C19="_","???",C19))</f>
        <v/>
      </c>
      <c r="H19" s="10" t="s">
        <v>16</v>
      </c>
      <c r="I19" s="11" t="s">
        <v>16</v>
      </c>
      <c r="J19" s="12"/>
    </row>
    <row r="20" spans="1:10" ht="60" customHeight="1">
      <c r="A20" s="6" t="s">
        <v>91</v>
      </c>
      <c r="B20" s="6" t="s">
        <v>42</v>
      </c>
      <c r="C20" s="6" t="s">
        <v>80</v>
      </c>
      <c r="D20" s="7" t="s">
        <v>92</v>
      </c>
      <c r="E20" s="8" t="s">
        <v>93</v>
      </c>
      <c r="F20" s="6" t="s">
        <v>94</v>
      </c>
      <c r="G20" s="9">
        <f>IF(A20=1,"_",IF(C20="_","???",C20))</f>
        <v/>
      </c>
      <c r="H20" s="10" t="s">
        <v>16</v>
      </c>
      <c r="I20" s="11" t="s">
        <v>16</v>
      </c>
      <c r="J20" s="12"/>
    </row>
    <row r="21" spans="1:10" ht="60" customHeight="1">
      <c r="A21" s="6" t="s">
        <v>95</v>
      </c>
      <c r="B21" s="6" t="s">
        <v>50</v>
      </c>
      <c r="C21" s="6" t="s">
        <v>80</v>
      </c>
      <c r="D21" s="7" t="s">
        <v>96</v>
      </c>
      <c r="E21" s="8" t="s">
        <v>97</v>
      </c>
      <c r="F21" s="6" t="s">
        <v>98</v>
      </c>
      <c r="G21" s="9">
        <f>IF(A21=1,"_",IF(C21="_","???",C21))</f>
        <v/>
      </c>
      <c r="H21" s="10" t="s">
        <v>16</v>
      </c>
      <c r="I21" s="11" t="s">
        <v>16</v>
      </c>
      <c r="J21" s="12"/>
    </row>
    <row r="22" spans="1:10" ht="60" customHeight="1">
      <c r="A22" s="6" t="s">
        <v>99</v>
      </c>
      <c r="B22" s="6" t="s">
        <v>83</v>
      </c>
      <c r="C22" s="6" t="s">
        <v>55</v>
      </c>
      <c r="D22" s="7" t="s">
        <v>100</v>
      </c>
      <c r="E22" s="8" t="s">
        <v>101</v>
      </c>
      <c r="F22" s="6" t="s">
        <v>102</v>
      </c>
      <c r="G22" s="9">
        <f>IF(A22=1,"_",IF(C22="_","???",C22))</f>
        <v/>
      </c>
      <c r="H22" s="10" t="s">
        <v>16</v>
      </c>
      <c r="I22" s="11" t="s">
        <v>16</v>
      </c>
      <c r="J22" s="12"/>
    </row>
    <row r="23" spans="1:10" ht="60" customHeight="1">
      <c r="A23" s="6" t="s">
        <v>103</v>
      </c>
      <c r="B23" s="6" t="s">
        <v>22</v>
      </c>
      <c r="C23" s="6" t="s">
        <v>16</v>
      </c>
      <c r="D23" s="7" t="s">
        <v>56</v>
      </c>
      <c r="E23" s="8" t="s">
        <v>104</v>
      </c>
      <c r="F23" s="6" t="s">
        <v>105</v>
      </c>
      <c r="G23" s="9">
        <f>IF(A23=1,"_",IF(C23="_","???",C23))</f>
        <v/>
      </c>
      <c r="H23" s="10" t="s">
        <v>16</v>
      </c>
      <c r="I23" s="11" t="s">
        <v>16</v>
      </c>
      <c r="J23" s="12"/>
    </row>
    <row r="24" spans="1:10" ht="60" customHeight="1">
      <c r="A24" s="6" t="s">
        <v>106</v>
      </c>
      <c r="B24" s="6" t="s">
        <v>22</v>
      </c>
      <c r="C24" s="6" t="s">
        <v>16</v>
      </c>
      <c r="D24" s="7" t="s">
        <v>107</v>
      </c>
      <c r="E24" s="8" t="s">
        <v>108</v>
      </c>
      <c r="F24" s="6" t="s">
        <v>109</v>
      </c>
      <c r="G24" s="9">
        <f>IF(A24=1,"_",IF(C24="_","???",C24))</f>
        <v/>
      </c>
      <c r="H24" s="10" t="s">
        <v>16</v>
      </c>
      <c r="I24" s="11" t="s">
        <v>16</v>
      </c>
      <c r="J24" s="12"/>
    </row>
    <row r="25" spans="1:10" ht="60" customHeight="1">
      <c r="A25" s="6" t="s">
        <v>110</v>
      </c>
      <c r="B25" s="6" t="s">
        <v>22</v>
      </c>
      <c r="C25" s="6" t="s">
        <v>70</v>
      </c>
      <c r="D25" s="7" t="s">
        <v>60</v>
      </c>
      <c r="E25" s="8" t="s">
        <v>111</v>
      </c>
      <c r="F25" s="6" t="s">
        <v>112</v>
      </c>
      <c r="G25" s="9">
        <f>IF(A25=1,"_",IF(C25="_","???",C25))</f>
        <v/>
      </c>
      <c r="H25" s="10" t="s">
        <v>16</v>
      </c>
      <c r="I25" s="11" t="s">
        <v>16</v>
      </c>
      <c r="J25" s="12"/>
    </row>
    <row r="26" spans="1:10" ht="60" customHeight="1">
      <c r="A26" s="6" t="s">
        <v>113</v>
      </c>
      <c r="B26" s="6" t="s">
        <v>99</v>
      </c>
      <c r="C26" s="6" t="s">
        <v>16</v>
      </c>
      <c r="D26" s="7" t="s">
        <v>114</v>
      </c>
      <c r="E26" s="8" t="s">
        <v>115</v>
      </c>
      <c r="F26" s="6" t="s">
        <v>116</v>
      </c>
      <c r="G26" s="9">
        <f>IF(A26=1,"_",IF(C26="_","???",C26))</f>
        <v/>
      </c>
      <c r="H26" s="10" t="s">
        <v>16</v>
      </c>
      <c r="I26" s="11" t="s">
        <v>16</v>
      </c>
      <c r="J26" s="12"/>
    </row>
    <row r="27" spans="1:10" ht="60" customHeight="1">
      <c r="A27" s="6" t="s">
        <v>117</v>
      </c>
      <c r="B27" s="6" t="s">
        <v>33</v>
      </c>
      <c r="C27" s="6" t="s">
        <v>70</v>
      </c>
      <c r="D27" s="7" t="s">
        <v>118</v>
      </c>
      <c r="E27" s="8" t="s">
        <v>119</v>
      </c>
      <c r="F27" s="6" t="s">
        <v>120</v>
      </c>
      <c r="G27" s="9">
        <f>IF(A27=1,"_",IF(C27="_","???",C27))</f>
        <v/>
      </c>
      <c r="H27" s="10" t="s">
        <v>16</v>
      </c>
      <c r="I27" s="11" t="s">
        <v>16</v>
      </c>
      <c r="J27" s="12"/>
    </row>
    <row r="28" spans="1:10" ht="60" customHeight="1">
      <c r="A28" s="6" t="s">
        <v>121</v>
      </c>
      <c r="B28" s="6" t="s">
        <v>28</v>
      </c>
      <c r="C28" s="6" t="s">
        <v>24</v>
      </c>
      <c r="D28" s="7" t="s">
        <v>92</v>
      </c>
      <c r="E28" s="8" t="s">
        <v>122</v>
      </c>
      <c r="F28" s="6" t="s">
        <v>123</v>
      </c>
      <c r="G28" s="9">
        <f>IF(A28=1,"_",IF(C28="_","???",C28))</f>
        <v/>
      </c>
      <c r="H28" s="10" t="s">
        <v>16</v>
      </c>
      <c r="I28" s="11" t="s">
        <v>16</v>
      </c>
      <c r="J28" s="12"/>
    </row>
    <row r="29" spans="1:10" ht="60" customHeight="1">
      <c r="A29" s="6" t="s">
        <v>124</v>
      </c>
      <c r="B29" s="6" t="s">
        <v>22</v>
      </c>
      <c r="C29" s="6" t="s">
        <v>16</v>
      </c>
      <c r="D29" s="7" t="s">
        <v>125</v>
      </c>
      <c r="E29" s="8" t="s">
        <v>126</v>
      </c>
      <c r="F29" s="6" t="s">
        <v>127</v>
      </c>
      <c r="G29" s="9">
        <f>IF(A29=1,"_",IF(C29="_","???",C29))</f>
        <v/>
      </c>
      <c r="H29" s="10" t="s">
        <v>16</v>
      </c>
      <c r="I29" s="11" t="s">
        <v>16</v>
      </c>
      <c r="J29" s="12"/>
    </row>
    <row r="30" spans="1:10" ht="60" customHeight="1">
      <c r="A30" s="6" t="s">
        <v>128</v>
      </c>
      <c r="B30" s="6" t="s">
        <v>17</v>
      </c>
      <c r="C30" s="6" t="s">
        <v>16</v>
      </c>
      <c r="D30" s="7" t="s">
        <v>129</v>
      </c>
      <c r="E30" s="8" t="s">
        <v>130</v>
      </c>
      <c r="F30" s="6" t="s">
        <v>131</v>
      </c>
      <c r="G30" s="9">
        <f>IF(A30=1,"_",IF(C30="_","???",C30))</f>
        <v/>
      </c>
      <c r="H30" s="10" t="s">
        <v>16</v>
      </c>
      <c r="I30" s="11" t="s">
        <v>16</v>
      </c>
      <c r="J30" s="12"/>
    </row>
    <row r="31" spans="1:10" ht="60" customHeight="1">
      <c r="A31" s="6" t="s">
        <v>132</v>
      </c>
      <c r="B31" s="6" t="s">
        <v>28</v>
      </c>
      <c r="C31" s="6" t="s">
        <v>133</v>
      </c>
      <c r="D31" s="7" t="s">
        <v>134</v>
      </c>
      <c r="E31" s="8" t="s">
        <v>135</v>
      </c>
      <c r="F31" s="6" t="s">
        <v>136</v>
      </c>
      <c r="G31" s="9">
        <f>IF(A31=1,"_",IF(C31="_","???",C31))</f>
        <v/>
      </c>
      <c r="H31" s="10" t="s">
        <v>16</v>
      </c>
      <c r="I31" s="11" t="s">
        <v>16</v>
      </c>
      <c r="J31" s="12"/>
    </row>
    <row r="32" spans="1:10" ht="60" customHeight="1">
      <c r="A32" s="6" t="s">
        <v>137</v>
      </c>
      <c r="B32" s="6" t="s">
        <v>22</v>
      </c>
      <c r="C32" s="6" t="s">
        <v>138</v>
      </c>
      <c r="D32" s="7" t="s">
        <v>51</v>
      </c>
      <c r="E32" s="8" t="s">
        <v>139</v>
      </c>
      <c r="F32" s="6" t="s">
        <v>140</v>
      </c>
      <c r="G32" s="9">
        <f>IF(A32=1,"_",IF(C32="_","???",C32))</f>
        <v/>
      </c>
      <c r="H32" s="10" t="s">
        <v>16</v>
      </c>
      <c r="I32" s="11" t="s">
        <v>16</v>
      </c>
      <c r="J32" s="12"/>
    </row>
    <row r="33" spans="1:10" ht="60" customHeight="1">
      <c r="A33" s="6" t="s">
        <v>141</v>
      </c>
      <c r="B33" s="6" t="s">
        <v>22</v>
      </c>
      <c r="C33" s="6" t="s">
        <v>70</v>
      </c>
      <c r="D33" s="7" t="s">
        <v>142</v>
      </c>
      <c r="E33" s="8" t="s">
        <v>143</v>
      </c>
      <c r="F33" s="6" t="s">
        <v>144</v>
      </c>
      <c r="G33" s="9">
        <f>IF(A33=1,"_",IF(C33="_","???",C33))</f>
        <v/>
      </c>
      <c r="H33" s="10" t="s">
        <v>16</v>
      </c>
      <c r="I33" s="11" t="s">
        <v>16</v>
      </c>
      <c r="J33" s="12"/>
    </row>
    <row r="34" spans="1:10" ht="60" customHeight="1">
      <c r="A34" s="6" t="s">
        <v>145</v>
      </c>
      <c r="B34" s="6" t="s">
        <v>28</v>
      </c>
      <c r="C34" s="6" t="s">
        <v>12</v>
      </c>
      <c r="D34" s="7" t="s">
        <v>51</v>
      </c>
      <c r="E34" s="8" t="s">
        <v>146</v>
      </c>
      <c r="F34" s="6" t="s">
        <v>147</v>
      </c>
      <c r="G34" s="9">
        <f>IF(A34=1,"_",IF(C34="_","???",C34))</f>
        <v/>
      </c>
      <c r="H34" s="10" t="s">
        <v>16</v>
      </c>
      <c r="I34" s="11" t="s">
        <v>16</v>
      </c>
      <c r="J34" s="12"/>
    </row>
    <row r="35" spans="1:10" ht="60" customHeight="1">
      <c r="A35" s="6" t="s">
        <v>148</v>
      </c>
      <c r="B35" s="6" t="s">
        <v>91</v>
      </c>
      <c r="C35" s="6" t="s">
        <v>133</v>
      </c>
      <c r="D35" s="7" t="s">
        <v>47</v>
      </c>
      <c r="E35" s="8" t="s">
        <v>149</v>
      </c>
      <c r="F35" s="6" t="s">
        <v>150</v>
      </c>
      <c r="G35" s="9">
        <f>IF(A35=1,"_",IF(C35="_","???",C35))</f>
        <v/>
      </c>
      <c r="H35" s="10" t="s">
        <v>16</v>
      </c>
      <c r="I35" s="11" t="s">
        <v>16</v>
      </c>
      <c r="J35" s="12"/>
    </row>
    <row r="36" spans="1:10" ht="60" customHeight="1">
      <c r="A36" s="6" t="s">
        <v>151</v>
      </c>
      <c r="B36" s="6" t="s">
        <v>22</v>
      </c>
      <c r="C36" s="6" t="s">
        <v>66</v>
      </c>
      <c r="D36" s="7" t="s">
        <v>152</v>
      </c>
      <c r="E36" s="8" t="s">
        <v>153</v>
      </c>
      <c r="F36" s="6" t="s">
        <v>154</v>
      </c>
      <c r="G36" s="9">
        <f>IF(A36=1,"_",IF(C36="_","???",C36))</f>
        <v/>
      </c>
      <c r="H36" s="10" t="s">
        <v>16</v>
      </c>
      <c r="I36" s="11" t="s">
        <v>16</v>
      </c>
      <c r="J36" s="12"/>
    </row>
    <row r="37" spans="1:10" ht="60" customHeight="1">
      <c r="A37" s="6" t="s">
        <v>155</v>
      </c>
      <c r="B37" s="6" t="s">
        <v>17</v>
      </c>
      <c r="C37" s="6" t="s">
        <v>156</v>
      </c>
      <c r="D37" s="7" t="s">
        <v>157</v>
      </c>
      <c r="E37" s="8" t="s">
        <v>158</v>
      </c>
      <c r="F37" s="6" t="s">
        <v>159</v>
      </c>
      <c r="G37" s="9">
        <f>IF(A37=1,"_",IF(C37="_","???",C37))</f>
        <v/>
      </c>
      <c r="H37" s="10" t="s">
        <v>16</v>
      </c>
      <c r="I37" s="11" t="s">
        <v>16</v>
      </c>
      <c r="J37" s="12"/>
    </row>
    <row r="38" spans="1:10" ht="60" customHeight="1">
      <c r="A38" s="6" t="s">
        <v>160</v>
      </c>
      <c r="B38" s="6" t="s">
        <v>11</v>
      </c>
      <c r="C38" s="6" t="s">
        <v>161</v>
      </c>
      <c r="D38" s="7" t="s">
        <v>129</v>
      </c>
      <c r="E38" s="8" t="s">
        <v>162</v>
      </c>
      <c r="F38" s="6" t="s">
        <v>163</v>
      </c>
      <c r="G38" s="9">
        <f>IF(A38=1,"_",IF(C38="_","???",C38))</f>
        <v/>
      </c>
      <c r="H38" s="10" t="s">
        <v>16</v>
      </c>
      <c r="I38" s="11" t="s">
        <v>16</v>
      </c>
      <c r="J38" s="12"/>
    </row>
    <row r="39" spans="1:10" ht="60" customHeight="1">
      <c r="A39" s="6" t="s">
        <v>164</v>
      </c>
      <c r="B39" s="6" t="s">
        <v>59</v>
      </c>
      <c r="C39" s="6" t="s">
        <v>165</v>
      </c>
      <c r="D39" s="7" t="s">
        <v>166</v>
      </c>
      <c r="E39" s="8" t="s">
        <v>167</v>
      </c>
      <c r="F39" s="6" t="s">
        <v>168</v>
      </c>
      <c r="G39" s="9">
        <f>IF(A39=1,"_",IF(C39="_","???",C39))</f>
        <v/>
      </c>
      <c r="H39" s="10" t="s">
        <v>16</v>
      </c>
      <c r="I39" s="11" t="s">
        <v>16</v>
      </c>
      <c r="J39" s="12"/>
    </row>
    <row r="40" spans="1:10" ht="60" customHeight="1">
      <c r="A40" s="6" t="s">
        <v>169</v>
      </c>
      <c r="B40" s="6" t="s">
        <v>17</v>
      </c>
      <c r="C40" s="6" t="s">
        <v>18</v>
      </c>
      <c r="D40" s="7" t="s">
        <v>170</v>
      </c>
      <c r="E40" s="8" t="s">
        <v>171</v>
      </c>
      <c r="F40" s="6" t="s">
        <v>172</v>
      </c>
      <c r="G40" s="9">
        <f>IF(A40=1,"_",IF(C40="_","???",C40))</f>
        <v/>
      </c>
      <c r="H40" s="10" t="s">
        <v>16</v>
      </c>
      <c r="I40" s="11" t="s">
        <v>16</v>
      </c>
      <c r="J40" s="12"/>
    </row>
    <row r="41" spans="1:10" ht="60" customHeight="1">
      <c r="A41" s="6" t="s">
        <v>173</v>
      </c>
      <c r="B41" s="6" t="s">
        <v>10</v>
      </c>
      <c r="C41" s="6" t="s">
        <v>174</v>
      </c>
      <c r="D41" s="7" t="s">
        <v>175</v>
      </c>
      <c r="E41" s="8" t="s">
        <v>176</v>
      </c>
      <c r="F41" s="6" t="s">
        <v>177</v>
      </c>
      <c r="G41" s="9">
        <f>IF(A41=1,"_",IF(C41="_","???",C41))</f>
        <v/>
      </c>
      <c r="H41" s="10" t="s">
        <v>16</v>
      </c>
      <c r="I41" s="11" t="s">
        <v>16</v>
      </c>
      <c r="J41" s="12"/>
    </row>
    <row r="42" spans="1:10" ht="60" customHeight="1">
      <c r="A42" s="6" t="s">
        <v>178</v>
      </c>
      <c r="B42" s="6" t="s">
        <v>22</v>
      </c>
      <c r="C42" s="6" t="s">
        <v>179</v>
      </c>
      <c r="D42" s="7" t="s">
        <v>175</v>
      </c>
      <c r="E42" s="8" t="s">
        <v>180</v>
      </c>
      <c r="F42" s="6" t="s">
        <v>181</v>
      </c>
      <c r="G42" s="9">
        <f>IF(A42=1,"_",IF(C42="_","???",C42))</f>
        <v/>
      </c>
      <c r="H42" s="10" t="s">
        <v>16</v>
      </c>
      <c r="I42" s="11" t="s">
        <v>16</v>
      </c>
      <c r="J42" s="12"/>
    </row>
    <row r="43" spans="1:10" ht="60" customHeight="1">
      <c r="A43" s="6" t="s">
        <v>182</v>
      </c>
      <c r="B43" s="6" t="s">
        <v>28</v>
      </c>
      <c r="C43" s="6" t="s">
        <v>165</v>
      </c>
      <c r="D43" s="7" t="s">
        <v>92</v>
      </c>
      <c r="E43" s="8" t="s">
        <v>183</v>
      </c>
      <c r="F43" s="6" t="s">
        <v>184</v>
      </c>
      <c r="G43" s="9">
        <f>IF(A43=1,"_",IF(C43="_","???",C43))</f>
        <v/>
      </c>
      <c r="H43" s="10" t="s">
        <v>16</v>
      </c>
      <c r="I43" s="11" t="s">
        <v>16</v>
      </c>
      <c r="J43" s="12"/>
    </row>
    <row r="44" spans="1:10" ht="60" customHeight="1">
      <c r="A44" s="6" t="s">
        <v>185</v>
      </c>
      <c r="B44" s="6" t="s">
        <v>28</v>
      </c>
      <c r="C44" s="6" t="s">
        <v>18</v>
      </c>
      <c r="D44" s="7" t="s">
        <v>129</v>
      </c>
      <c r="E44" s="8" t="s">
        <v>186</v>
      </c>
      <c r="F44" s="6" t="s">
        <v>187</v>
      </c>
      <c r="G44" s="9">
        <f>IF(A44=1,"_",IF(C44="_","???",C44))</f>
        <v/>
      </c>
      <c r="H44" s="10" t="s">
        <v>16</v>
      </c>
      <c r="I44" s="11" t="s">
        <v>16</v>
      </c>
      <c r="J44" s="12"/>
    </row>
    <row r="45" spans="1:10" ht="60" customHeight="1">
      <c r="A45" s="6" t="s">
        <v>188</v>
      </c>
      <c r="B45" s="6" t="s">
        <v>22</v>
      </c>
      <c r="C45" s="6" t="s">
        <v>16</v>
      </c>
      <c r="D45" s="7" t="s">
        <v>189</v>
      </c>
      <c r="E45" s="8" t="s">
        <v>190</v>
      </c>
      <c r="F45" s="6" t="s">
        <v>191</v>
      </c>
      <c r="G45" s="9">
        <f>IF(A45=1,"_",IF(C45="_","???",C45))</f>
        <v/>
      </c>
      <c r="H45" s="10" t="s">
        <v>16</v>
      </c>
      <c r="I45" s="11" t="s">
        <v>16</v>
      </c>
      <c r="J45" s="12"/>
    </row>
    <row r="46" spans="1:10" ht="60" customHeight="1">
      <c r="A46" s="6" t="s">
        <v>192</v>
      </c>
      <c r="B46" s="6" t="s">
        <v>38</v>
      </c>
      <c r="C46" s="6" t="s">
        <v>16</v>
      </c>
      <c r="D46" s="7" t="s">
        <v>193</v>
      </c>
      <c r="E46" s="8" t="s">
        <v>194</v>
      </c>
      <c r="F46" s="6" t="s">
        <v>195</v>
      </c>
      <c r="G46" s="9">
        <f>IF(A46=1,"_",IF(C46="_","???",C46))</f>
        <v/>
      </c>
      <c r="H46" s="10" t="s">
        <v>16</v>
      </c>
      <c r="I46" s="11" t="s">
        <v>16</v>
      </c>
      <c r="J46" s="12"/>
    </row>
    <row r="47" spans="1:10" ht="60" customHeight="1">
      <c r="A47" s="6" t="s">
        <v>196</v>
      </c>
      <c r="B47" s="6" t="s">
        <v>28</v>
      </c>
      <c r="C47" s="6" t="s">
        <v>70</v>
      </c>
      <c r="D47" s="7" t="s">
        <v>60</v>
      </c>
      <c r="E47" s="8" t="s">
        <v>197</v>
      </c>
      <c r="F47" s="6" t="s">
        <v>198</v>
      </c>
      <c r="G47" s="9">
        <f>IF(A47=1,"_",IF(C47="_","???",C47))</f>
        <v/>
      </c>
      <c r="H47" s="10" t="s">
        <v>16</v>
      </c>
      <c r="I47" s="11" t="s">
        <v>16</v>
      </c>
      <c r="J47" s="12"/>
    </row>
    <row r="48" spans="1:10" ht="60" customHeight="1">
      <c r="A48" s="6" t="s">
        <v>199</v>
      </c>
      <c r="B48" s="6" t="s">
        <v>38</v>
      </c>
      <c r="C48" s="6" t="s">
        <v>70</v>
      </c>
      <c r="D48" s="7" t="s">
        <v>129</v>
      </c>
      <c r="E48" s="8" t="s">
        <v>200</v>
      </c>
      <c r="F48" s="6" t="s">
        <v>201</v>
      </c>
      <c r="G48" s="9">
        <f>IF(A48=1,"_",IF(C48="_","???",C48))</f>
        <v/>
      </c>
      <c r="H48" s="10" t="s">
        <v>16</v>
      </c>
      <c r="I48" s="11" t="s">
        <v>16</v>
      </c>
      <c r="J48" s="12"/>
    </row>
    <row r="49" spans="1:10" ht="60" customHeight="1">
      <c r="A49" s="6" t="s">
        <v>202</v>
      </c>
      <c r="B49" s="6" t="s">
        <v>33</v>
      </c>
      <c r="C49" s="6" t="s">
        <v>203</v>
      </c>
      <c r="D49" s="7" t="s">
        <v>56</v>
      </c>
      <c r="E49" s="8" t="s">
        <v>204</v>
      </c>
      <c r="F49" s="6" t="s">
        <v>205</v>
      </c>
      <c r="G49" s="9">
        <f>IF(A49=1,"_",IF(C49="_","???",C49))</f>
        <v/>
      </c>
      <c r="H49" s="10" t="s">
        <v>16</v>
      </c>
      <c r="I49" s="11" t="s">
        <v>16</v>
      </c>
      <c r="J49" s="12"/>
    </row>
    <row r="50" spans="1:10" ht="60" customHeight="1">
      <c r="A50" s="6" t="s">
        <v>206</v>
      </c>
      <c r="B50" s="6" t="s">
        <v>28</v>
      </c>
      <c r="C50" s="6" t="s">
        <v>70</v>
      </c>
      <c r="D50" s="7" t="s">
        <v>207</v>
      </c>
      <c r="E50" s="8" t="s">
        <v>208</v>
      </c>
      <c r="F50" s="6" t="s">
        <v>209</v>
      </c>
      <c r="G50" s="9">
        <f>IF(A50=1,"_",IF(C50="_","???",C50))</f>
        <v/>
      </c>
      <c r="H50" s="10" t="s">
        <v>16</v>
      </c>
      <c r="I50" s="11" t="s">
        <v>16</v>
      </c>
      <c r="J50" s="12"/>
    </row>
    <row r="51" spans="1:10" ht="60" customHeight="1">
      <c r="A51" s="6" t="s">
        <v>210</v>
      </c>
      <c r="B51" s="6" t="s">
        <v>22</v>
      </c>
      <c r="C51" s="6" t="s">
        <v>16</v>
      </c>
      <c r="D51" s="7" t="s">
        <v>129</v>
      </c>
      <c r="E51" s="8" t="s">
        <v>211</v>
      </c>
      <c r="F51" s="6" t="s">
        <v>212</v>
      </c>
      <c r="G51" s="9">
        <f>IF(A51=1,"_",IF(C51="_","???",C51))</f>
        <v/>
      </c>
      <c r="H51" s="10" t="s">
        <v>16</v>
      </c>
      <c r="I51" s="11" t="s">
        <v>16</v>
      </c>
      <c r="J51" s="12"/>
    </row>
    <row r="52" spans="1:10" ht="60" customHeight="1">
      <c r="A52" s="6" t="s">
        <v>213</v>
      </c>
      <c r="B52" s="6" t="s">
        <v>17</v>
      </c>
      <c r="C52" s="6" t="s">
        <v>174</v>
      </c>
      <c r="D52" s="7" t="s">
        <v>214</v>
      </c>
      <c r="E52" s="8" t="s">
        <v>215</v>
      </c>
      <c r="F52" s="6" t="s">
        <v>216</v>
      </c>
      <c r="G52" s="9">
        <f>IF(A52=1,"_",IF(C52="_","???",C52))</f>
        <v/>
      </c>
      <c r="H52" s="10" t="s">
        <v>16</v>
      </c>
      <c r="I52" s="11" t="s">
        <v>16</v>
      </c>
      <c r="J52" s="12"/>
    </row>
    <row r="53" spans="1:10" ht="60" customHeight="1">
      <c r="A53" s="6" t="s">
        <v>217</v>
      </c>
      <c r="B53" s="6" t="s">
        <v>17</v>
      </c>
      <c r="C53" s="6" t="s">
        <v>24</v>
      </c>
      <c r="D53" s="7" t="s">
        <v>214</v>
      </c>
      <c r="E53" s="8" t="s">
        <v>218</v>
      </c>
      <c r="F53" s="6" t="s">
        <v>219</v>
      </c>
      <c r="G53" s="9">
        <f>IF(A53=1,"_",IF(C53="_","???",C53))</f>
        <v/>
      </c>
      <c r="H53" s="10" t="s">
        <v>16</v>
      </c>
      <c r="I53" s="11" t="s">
        <v>16</v>
      </c>
      <c r="J53" s="12"/>
    </row>
    <row r="54" spans="1:10" ht="60" customHeight="1">
      <c r="A54" s="6" t="s">
        <v>220</v>
      </c>
      <c r="B54" s="6" t="s">
        <v>69</v>
      </c>
      <c r="C54" s="6" t="s">
        <v>133</v>
      </c>
      <c r="D54" s="7" t="s">
        <v>221</v>
      </c>
      <c r="E54" s="8" t="s">
        <v>222</v>
      </c>
      <c r="F54" s="6" t="s">
        <v>223</v>
      </c>
      <c r="G54" s="9">
        <f>IF(A54=1,"_",IF(C54="_","???",C54))</f>
        <v/>
      </c>
      <c r="H54" s="10" t="s">
        <v>16</v>
      </c>
      <c r="I54" s="11" t="s">
        <v>16</v>
      </c>
      <c r="J54" s="12"/>
    </row>
    <row r="55" spans="1:10" ht="60" customHeight="1">
      <c r="A55" s="6" t="s">
        <v>224</v>
      </c>
      <c r="B55" s="6" t="s">
        <v>17</v>
      </c>
      <c r="C55" s="6" t="s">
        <v>16</v>
      </c>
      <c r="D55" s="7" t="s">
        <v>225</v>
      </c>
      <c r="E55" s="8" t="s">
        <v>226</v>
      </c>
      <c r="F55" s="6" t="s">
        <v>227</v>
      </c>
      <c r="G55" s="9">
        <f>IF(A55=1,"_",IF(C55="_","???",C55))</f>
        <v/>
      </c>
      <c r="H55" s="10" t="s">
        <v>16</v>
      </c>
      <c r="I55" s="11" t="s">
        <v>16</v>
      </c>
      <c r="J55" s="12"/>
    </row>
    <row r="56" spans="1:10" ht="60" customHeight="1">
      <c r="A56" s="6" t="s">
        <v>228</v>
      </c>
      <c r="B56" s="6" t="s">
        <v>42</v>
      </c>
      <c r="C56" s="6" t="s">
        <v>229</v>
      </c>
      <c r="D56" s="7" t="s">
        <v>129</v>
      </c>
      <c r="E56" s="8" t="s">
        <v>230</v>
      </c>
      <c r="F56" s="6" t="s">
        <v>231</v>
      </c>
      <c r="G56" s="9">
        <f>IF(A56=1,"_",IF(C56="_","???",C56))</f>
        <v/>
      </c>
      <c r="H56" s="10" t="s">
        <v>16</v>
      </c>
      <c r="I56" s="11" t="s">
        <v>16</v>
      </c>
      <c r="J56" s="12"/>
    </row>
    <row r="57" spans="1:10" ht="60" customHeight="1">
      <c r="A57" s="6" t="s">
        <v>232</v>
      </c>
      <c r="B57" s="6" t="s">
        <v>28</v>
      </c>
      <c r="C57" s="6" t="s">
        <v>70</v>
      </c>
      <c r="D57" s="7" t="s">
        <v>129</v>
      </c>
      <c r="E57" s="8" t="s">
        <v>233</v>
      </c>
      <c r="F57" s="6" t="s">
        <v>234</v>
      </c>
      <c r="G57" s="9">
        <f>IF(A57=1,"_",IF(C57="_","???",C57))</f>
        <v/>
      </c>
      <c r="H57" s="10" t="s">
        <v>16</v>
      </c>
      <c r="I57" s="11" t="s">
        <v>16</v>
      </c>
      <c r="J57" s="12"/>
    </row>
    <row r="58" spans="1:10" ht="60" customHeight="1">
      <c r="A58" s="6" t="s">
        <v>235</v>
      </c>
      <c r="B58" s="6" t="s">
        <v>22</v>
      </c>
      <c r="C58" s="6" t="s">
        <v>16</v>
      </c>
      <c r="D58" s="7" t="s">
        <v>236</v>
      </c>
      <c r="E58" s="8" t="s">
        <v>237</v>
      </c>
      <c r="F58" s="6" t="s">
        <v>238</v>
      </c>
      <c r="G58" s="9">
        <f>IF(A58=1,"_",IF(C58="_","???",C58))</f>
        <v/>
      </c>
      <c r="H58" s="10" t="s">
        <v>16</v>
      </c>
      <c r="I58" s="11" t="s">
        <v>16</v>
      </c>
      <c r="J58" s="12"/>
    </row>
    <row r="59" spans="1:10" ht="60" customHeight="1">
      <c r="A59" s="6" t="s">
        <v>239</v>
      </c>
      <c r="B59" s="6" t="s">
        <v>17</v>
      </c>
      <c r="C59" s="6" t="s">
        <v>16</v>
      </c>
      <c r="D59" s="7" t="s">
        <v>240</v>
      </c>
      <c r="E59" s="8" t="s">
        <v>241</v>
      </c>
      <c r="F59" s="6" t="s">
        <v>242</v>
      </c>
      <c r="G59" s="9">
        <f>IF(A59=1,"_",IF(C59="_","???",C59))</f>
        <v/>
      </c>
      <c r="H59" s="10" t="s">
        <v>16</v>
      </c>
      <c r="I59" s="11" t="s">
        <v>16</v>
      </c>
      <c r="J59" s="12"/>
    </row>
    <row r="60" spans="1:10" ht="60" customHeight="1">
      <c r="A60" s="6" t="s">
        <v>243</v>
      </c>
      <c r="B60" s="6" t="s">
        <v>11</v>
      </c>
      <c r="C60" s="6" t="s">
        <v>16</v>
      </c>
      <c r="D60" s="7" t="s">
        <v>129</v>
      </c>
      <c r="E60" s="8" t="s">
        <v>244</v>
      </c>
      <c r="F60" s="6" t="s">
        <v>245</v>
      </c>
      <c r="G60" s="9">
        <f>IF(A60=1,"_",IF(C60="_","???",C60))</f>
        <v/>
      </c>
      <c r="H60" s="10" t="s">
        <v>16</v>
      </c>
      <c r="I60" s="11" t="s">
        <v>16</v>
      </c>
      <c r="J60" s="12"/>
    </row>
    <row r="61" spans="1:10" ht="60" customHeight="1">
      <c r="A61" s="6" t="s">
        <v>246</v>
      </c>
      <c r="B61" s="6" t="s">
        <v>33</v>
      </c>
      <c r="C61" s="6" t="s">
        <v>16</v>
      </c>
      <c r="D61" s="7" t="s">
        <v>247</v>
      </c>
      <c r="E61" s="8" t="s">
        <v>248</v>
      </c>
      <c r="F61" s="6" t="s">
        <v>249</v>
      </c>
      <c r="G61" s="9">
        <f>IF(A61=1,"_",IF(C61="_","???",C61))</f>
        <v/>
      </c>
      <c r="H61" s="10" t="s">
        <v>16</v>
      </c>
      <c r="I61" s="11" t="s">
        <v>16</v>
      </c>
      <c r="J61" s="12"/>
    </row>
    <row r="62" spans="1:10" ht="60" customHeight="1">
      <c r="A62" s="6" t="s">
        <v>250</v>
      </c>
      <c r="B62" s="6" t="s">
        <v>33</v>
      </c>
      <c r="C62" s="6" t="s">
        <v>70</v>
      </c>
      <c r="D62" s="7" t="s">
        <v>251</v>
      </c>
      <c r="E62" s="8" t="s">
        <v>252</v>
      </c>
      <c r="F62" s="6" t="s">
        <v>253</v>
      </c>
      <c r="G62" s="9">
        <f>IF(A62=1,"_",IF(C62="_","???",C62))</f>
        <v/>
      </c>
      <c r="H62" s="10" t="s">
        <v>16</v>
      </c>
      <c r="I62" s="11" t="s">
        <v>16</v>
      </c>
      <c r="J62" s="12"/>
    </row>
    <row r="63" spans="1:10" ht="60" customHeight="1">
      <c r="A63" s="6" t="s">
        <v>254</v>
      </c>
      <c r="B63" s="6" t="s">
        <v>22</v>
      </c>
      <c r="C63" s="6" t="s">
        <v>16</v>
      </c>
      <c r="D63" s="7" t="s">
        <v>129</v>
      </c>
      <c r="E63" s="8" t="s">
        <v>255</v>
      </c>
      <c r="F63" s="6" t="s">
        <v>256</v>
      </c>
      <c r="G63" s="9">
        <f>IF(A63=1,"_",IF(C63="_","???",C63))</f>
        <v/>
      </c>
      <c r="H63" s="10" t="s">
        <v>16</v>
      </c>
      <c r="I63" s="11" t="s">
        <v>16</v>
      </c>
      <c r="J63" s="12"/>
    </row>
    <row r="64" spans="1:10" ht="60" customHeight="1">
      <c r="A64" s="6" t="s">
        <v>257</v>
      </c>
      <c r="B64" s="6" t="s">
        <v>22</v>
      </c>
      <c r="C64" s="6" t="s">
        <v>16</v>
      </c>
      <c r="D64" s="7" t="s">
        <v>258</v>
      </c>
      <c r="E64" s="8" t="s">
        <v>259</v>
      </c>
      <c r="F64" s="6" t="s">
        <v>260</v>
      </c>
      <c r="G64" s="9">
        <f>IF(A64=1,"_",IF(C64="_","???",C64))</f>
        <v/>
      </c>
      <c r="H64" s="10" t="s">
        <v>16</v>
      </c>
      <c r="I64" s="11" t="s">
        <v>16</v>
      </c>
      <c r="J64" s="12"/>
    </row>
    <row r="65" spans="1:10" ht="60" customHeight="1">
      <c r="A65" s="6" t="s">
        <v>261</v>
      </c>
      <c r="B65" s="6" t="s">
        <v>46</v>
      </c>
      <c r="C65" s="6" t="s">
        <v>24</v>
      </c>
      <c r="D65" s="7" t="s">
        <v>262</v>
      </c>
      <c r="E65" s="8" t="s">
        <v>263</v>
      </c>
      <c r="F65" s="6" t="s">
        <v>264</v>
      </c>
      <c r="G65" s="9">
        <f>IF(A65=1,"_",IF(C65="_","???",C65))</f>
        <v/>
      </c>
      <c r="H65" s="10" t="s">
        <v>16</v>
      </c>
      <c r="I65" s="11" t="s">
        <v>16</v>
      </c>
      <c r="J65" s="12"/>
    </row>
    <row r="66" spans="1:10" ht="60" customHeight="1">
      <c r="A66" s="6" t="s">
        <v>265</v>
      </c>
      <c r="B66" s="6" t="s">
        <v>22</v>
      </c>
      <c r="C66" s="6" t="s">
        <v>16</v>
      </c>
      <c r="D66" s="7" t="s">
        <v>214</v>
      </c>
      <c r="E66" s="8" t="s">
        <v>266</v>
      </c>
      <c r="F66" s="6" t="s">
        <v>267</v>
      </c>
      <c r="G66" s="9">
        <f>IF(A66=1,"_",IF(C66="_","???",C66))</f>
        <v/>
      </c>
      <c r="H66" s="10" t="s">
        <v>16</v>
      </c>
      <c r="I66" s="11" t="s">
        <v>16</v>
      </c>
      <c r="J66" s="12"/>
    </row>
    <row r="67" spans="1:10" ht="60" customHeight="1">
      <c r="A67" s="6" t="s">
        <v>268</v>
      </c>
      <c r="B67" s="6" t="s">
        <v>28</v>
      </c>
      <c r="C67" s="6" t="s">
        <v>66</v>
      </c>
      <c r="D67" s="7" t="s">
        <v>214</v>
      </c>
      <c r="E67" s="8" t="s">
        <v>269</v>
      </c>
      <c r="F67" s="6" t="s">
        <v>270</v>
      </c>
      <c r="G67" s="9">
        <f>IF(A67=1,"_",IF(C67="_","???",C67))</f>
        <v/>
      </c>
      <c r="H67" s="10" t="s">
        <v>16</v>
      </c>
      <c r="I67" s="11" t="s">
        <v>16</v>
      </c>
      <c r="J67" s="12"/>
    </row>
    <row r="68" spans="1:10" ht="60" customHeight="1">
      <c r="A68" s="6" t="s">
        <v>271</v>
      </c>
      <c r="B68" s="6" t="s">
        <v>17</v>
      </c>
      <c r="C68" s="6" t="s">
        <v>16</v>
      </c>
      <c r="D68" s="7" t="s">
        <v>272</v>
      </c>
      <c r="E68" s="8" t="s">
        <v>273</v>
      </c>
      <c r="F68" s="6" t="s">
        <v>274</v>
      </c>
      <c r="G68" s="9">
        <f>IF(A68=1,"_",IF(C68="_","???",C68))</f>
        <v/>
      </c>
      <c r="H68" s="10" t="s">
        <v>16</v>
      </c>
      <c r="I68" s="11" t="s">
        <v>16</v>
      </c>
      <c r="J68" s="12"/>
    </row>
    <row r="69" spans="1:10" ht="60" customHeight="1">
      <c r="A69" s="6" t="s">
        <v>275</v>
      </c>
      <c r="B69" s="6" t="s">
        <v>59</v>
      </c>
      <c r="C69" s="6" t="s">
        <v>16</v>
      </c>
      <c r="D69" s="7" t="s">
        <v>276</v>
      </c>
      <c r="E69" s="8" t="s">
        <v>277</v>
      </c>
      <c r="F69" s="6" t="s">
        <v>278</v>
      </c>
      <c r="G69" s="9">
        <f>IF(A69=1,"_",IF(C69="_","???",C69))</f>
        <v/>
      </c>
      <c r="H69" s="10" t="s">
        <v>16</v>
      </c>
      <c r="I69" s="11" t="s">
        <v>16</v>
      </c>
      <c r="J69" s="12"/>
    </row>
    <row r="70" spans="1:10" ht="60" customHeight="1">
      <c r="A70" s="6" t="s">
        <v>279</v>
      </c>
      <c r="B70" s="6" t="s">
        <v>50</v>
      </c>
      <c r="C70" s="6" t="s">
        <v>280</v>
      </c>
      <c r="D70" s="7" t="s">
        <v>281</v>
      </c>
      <c r="E70" s="8" t="s">
        <v>282</v>
      </c>
      <c r="F70" s="6" t="s">
        <v>283</v>
      </c>
      <c r="G70" s="9">
        <f>IF(A70=1,"_",IF(C70="_","???",C70))</f>
        <v/>
      </c>
      <c r="H70" s="10" t="s">
        <v>16</v>
      </c>
      <c r="I70" s="11" t="s">
        <v>16</v>
      </c>
      <c r="J70" s="12"/>
    </row>
    <row r="71" spans="1:10" ht="60" customHeight="1">
      <c r="A71" s="6" t="s">
        <v>284</v>
      </c>
      <c r="B71" s="6" t="s">
        <v>28</v>
      </c>
      <c r="C71" s="6" t="s">
        <v>285</v>
      </c>
      <c r="D71" s="7" t="s">
        <v>286</v>
      </c>
      <c r="E71" s="8" t="s">
        <v>287</v>
      </c>
      <c r="F71" s="6" t="s">
        <v>288</v>
      </c>
      <c r="G71" s="9">
        <f>IF(A71=1,"_",IF(C71="_","???",C71))</f>
        <v/>
      </c>
      <c r="H71" s="10" t="s">
        <v>16</v>
      </c>
      <c r="I71" s="11" t="s">
        <v>16</v>
      </c>
      <c r="J71" s="12"/>
    </row>
    <row r="72" spans="1:10" ht="60" customHeight="1">
      <c r="A72" s="6" t="s">
        <v>289</v>
      </c>
      <c r="B72" s="6" t="s">
        <v>28</v>
      </c>
      <c r="C72" s="6" t="s">
        <v>16</v>
      </c>
      <c r="D72" s="7" t="s">
        <v>290</v>
      </c>
      <c r="E72" s="8" t="s">
        <v>291</v>
      </c>
      <c r="F72" s="6" t="s">
        <v>292</v>
      </c>
      <c r="G72" s="9">
        <f>IF(A72=1,"_",IF(C72="_","???",C72))</f>
        <v/>
      </c>
      <c r="H72" s="10" t="s">
        <v>16</v>
      </c>
      <c r="I72" s="11" t="s">
        <v>16</v>
      </c>
      <c r="J72" s="12"/>
    </row>
    <row r="73" spans="1:10" ht="60" customHeight="1">
      <c r="A73" s="6" t="s">
        <v>293</v>
      </c>
      <c r="B73" s="6" t="s">
        <v>22</v>
      </c>
      <c r="C73" s="6" t="s">
        <v>16</v>
      </c>
      <c r="D73" s="7" t="s">
        <v>294</v>
      </c>
      <c r="E73" s="8" t="s">
        <v>295</v>
      </c>
      <c r="F73" s="6" t="s">
        <v>296</v>
      </c>
      <c r="G73" s="9">
        <f>IF(A73=1,"_",IF(C73="_","???",C73))</f>
        <v/>
      </c>
      <c r="H73" s="10" t="s">
        <v>16</v>
      </c>
      <c r="I73" s="11" t="s">
        <v>16</v>
      </c>
      <c r="J73" s="12"/>
    </row>
    <row r="74" spans="1:10" ht="60" customHeight="1">
      <c r="A74" s="6" t="s">
        <v>297</v>
      </c>
      <c r="B74" s="6" t="s">
        <v>83</v>
      </c>
      <c r="C74" s="6" t="s">
        <v>298</v>
      </c>
      <c r="D74" s="7" t="s">
        <v>299</v>
      </c>
      <c r="E74" s="8" t="s">
        <v>300</v>
      </c>
      <c r="F74" s="6" t="s">
        <v>301</v>
      </c>
      <c r="G74" s="9">
        <f>IF(A74=1,"_",IF(C74="_","???",C74))</f>
        <v/>
      </c>
      <c r="H74" s="10" t="s">
        <v>16</v>
      </c>
      <c r="I74" s="11" t="s">
        <v>16</v>
      </c>
      <c r="J74" s="12"/>
    </row>
    <row r="75" spans="1:10" ht="60" customHeight="1">
      <c r="A75" s="6" t="s">
        <v>302</v>
      </c>
      <c r="B75" s="6" t="s">
        <v>42</v>
      </c>
      <c r="C75" s="6" t="s">
        <v>16</v>
      </c>
      <c r="D75" s="7" t="s">
        <v>303</v>
      </c>
      <c r="E75" s="8" t="s">
        <v>304</v>
      </c>
      <c r="F75" s="6" t="s">
        <v>305</v>
      </c>
      <c r="G75" s="9">
        <f>IF(A75=1,"_",IF(C75="_","???",C75))</f>
        <v/>
      </c>
      <c r="H75" s="10" t="s">
        <v>16</v>
      </c>
      <c r="I75" s="11" t="s">
        <v>16</v>
      </c>
      <c r="J75" s="12"/>
    </row>
    <row r="76" spans="1:10" ht="60" customHeight="1">
      <c r="A76" s="6" t="s">
        <v>306</v>
      </c>
      <c r="B76" s="6" t="s">
        <v>22</v>
      </c>
      <c r="C76" s="6" t="s">
        <v>307</v>
      </c>
      <c r="D76" s="7" t="s">
        <v>308</v>
      </c>
      <c r="E76" s="8" t="s">
        <v>309</v>
      </c>
      <c r="F76" s="6" t="s">
        <v>310</v>
      </c>
      <c r="G76" s="9">
        <f>IF(A76=1,"_",IF(C76="_","???",C76))</f>
        <v/>
      </c>
      <c r="H76" s="10" t="s">
        <v>16</v>
      </c>
      <c r="I76" s="11" t="s">
        <v>16</v>
      </c>
      <c r="J76" s="12"/>
    </row>
    <row r="77" spans="1:10" ht="60" customHeight="1">
      <c r="A77" s="6" t="s">
        <v>311</v>
      </c>
      <c r="B77" s="6" t="s">
        <v>50</v>
      </c>
      <c r="C77" s="6" t="s">
        <v>307</v>
      </c>
      <c r="D77" s="7" t="s">
        <v>312</v>
      </c>
      <c r="E77" s="8" t="s">
        <v>313</v>
      </c>
      <c r="F77" s="6" t="s">
        <v>314</v>
      </c>
      <c r="G77" s="9">
        <f>IF(A77=1,"_",IF(C77="_","???",C77))</f>
        <v/>
      </c>
      <c r="H77" s="10" t="s">
        <v>16</v>
      </c>
      <c r="I77" s="11" t="s">
        <v>16</v>
      </c>
      <c r="J77" s="12"/>
    </row>
    <row r="78" spans="1:10" ht="60" customHeight="1">
      <c r="A78" s="6" t="s">
        <v>315</v>
      </c>
      <c r="B78" s="6" t="s">
        <v>22</v>
      </c>
      <c r="C78" s="6" t="s">
        <v>16</v>
      </c>
      <c r="D78" s="7" t="s">
        <v>316</v>
      </c>
      <c r="E78" s="8" t="s">
        <v>317</v>
      </c>
      <c r="F78" s="6" t="s">
        <v>318</v>
      </c>
      <c r="G78" s="9">
        <f>IF(A78=1,"_",IF(C78="_","???",C78))</f>
        <v/>
      </c>
      <c r="H78" s="10" t="s">
        <v>16</v>
      </c>
      <c r="I78" s="11" t="s">
        <v>16</v>
      </c>
      <c r="J78" s="12"/>
    </row>
    <row r="79" spans="1:10" ht="60" customHeight="1">
      <c r="A79" s="6" t="s">
        <v>319</v>
      </c>
      <c r="B79" s="6" t="s">
        <v>22</v>
      </c>
      <c r="C79" s="6" t="s">
        <v>16</v>
      </c>
      <c r="D79" s="7" t="s">
        <v>320</v>
      </c>
      <c r="E79" s="8" t="s">
        <v>321</v>
      </c>
      <c r="F79" s="6" t="s">
        <v>322</v>
      </c>
      <c r="G79" s="9">
        <f>IF(A79=1,"_",IF(C79="_","???",C79))</f>
        <v/>
      </c>
      <c r="H79" s="10" t="s">
        <v>16</v>
      </c>
      <c r="I79" s="11" t="s">
        <v>16</v>
      </c>
      <c r="J79" s="12"/>
    </row>
    <row r="80" spans="1:10" ht="60" customHeight="1">
      <c r="A80" s="6" t="s">
        <v>323</v>
      </c>
      <c r="B80" s="6" t="s">
        <v>33</v>
      </c>
      <c r="C80" s="6" t="s">
        <v>324</v>
      </c>
      <c r="D80" s="7" t="s">
        <v>325</v>
      </c>
      <c r="E80" s="8" t="s">
        <v>326</v>
      </c>
      <c r="F80" s="6" t="s">
        <v>327</v>
      </c>
      <c r="G80" s="9">
        <f>IF(A80=1,"_",IF(C80="_","???",C80))</f>
        <v/>
      </c>
      <c r="H80" s="10" t="s">
        <v>16</v>
      </c>
      <c r="I80" s="11" t="s">
        <v>16</v>
      </c>
      <c r="J80" s="12"/>
    </row>
    <row r="81" spans="1:10" ht="60" customHeight="1">
      <c r="A81" s="6" t="s">
        <v>328</v>
      </c>
      <c r="B81" s="6" t="s">
        <v>128</v>
      </c>
      <c r="C81" s="6" t="s">
        <v>16</v>
      </c>
      <c r="D81" s="7" t="s">
        <v>329</v>
      </c>
      <c r="E81" s="8" t="s">
        <v>330</v>
      </c>
      <c r="F81" s="6" t="s">
        <v>331</v>
      </c>
      <c r="G81" s="9">
        <f>IF(A81=1,"_",IF(C81="_","???",C81))</f>
        <v/>
      </c>
      <c r="H81" s="10" t="s">
        <v>16</v>
      </c>
      <c r="I81" s="11" t="s">
        <v>16</v>
      </c>
      <c r="J81" s="12"/>
    </row>
    <row r="82" spans="1:10" ht="60" customHeight="1">
      <c r="A82" s="6" t="s">
        <v>332</v>
      </c>
      <c r="B82" s="6" t="s">
        <v>42</v>
      </c>
      <c r="C82" s="6" t="s">
        <v>138</v>
      </c>
      <c r="D82" s="7" t="s">
        <v>333</v>
      </c>
      <c r="E82" s="8" t="s">
        <v>334</v>
      </c>
      <c r="F82" s="6" t="s">
        <v>335</v>
      </c>
      <c r="G82" s="9">
        <f>IF(A82=1,"_",IF(C82="_","???",C82))</f>
        <v/>
      </c>
      <c r="H82" s="10" t="s">
        <v>16</v>
      </c>
      <c r="I82" s="11" t="s">
        <v>16</v>
      </c>
      <c r="J82" s="12"/>
    </row>
    <row r="83" spans="1:10" ht="60" customHeight="1">
      <c r="A83" s="6" t="s">
        <v>336</v>
      </c>
      <c r="B83" s="6" t="s">
        <v>50</v>
      </c>
      <c r="C83" s="6" t="s">
        <v>66</v>
      </c>
      <c r="D83" s="7" t="s">
        <v>337</v>
      </c>
      <c r="E83" s="8" t="s">
        <v>338</v>
      </c>
      <c r="F83" s="6" t="s">
        <v>339</v>
      </c>
      <c r="G83" s="9">
        <f>IF(A83=1,"_",IF(C83="_","???",C83))</f>
        <v/>
      </c>
      <c r="H83" s="10" t="s">
        <v>16</v>
      </c>
      <c r="I83" s="11" t="s">
        <v>16</v>
      </c>
      <c r="J83" s="12"/>
    </row>
    <row r="84" spans="1:10" ht="60" customHeight="1">
      <c r="A84" s="6" t="s">
        <v>340</v>
      </c>
      <c r="B84" s="6" t="s">
        <v>83</v>
      </c>
      <c r="C84" s="6" t="s">
        <v>341</v>
      </c>
      <c r="D84" s="7" t="s">
        <v>342</v>
      </c>
      <c r="E84" s="8" t="s">
        <v>343</v>
      </c>
      <c r="F84" s="6" t="s">
        <v>344</v>
      </c>
      <c r="G84" s="9">
        <f>IF(A84=1,"_",IF(C84="_","???",C84))</f>
        <v/>
      </c>
      <c r="H84" s="10" t="s">
        <v>16</v>
      </c>
      <c r="I84" s="11" t="s">
        <v>16</v>
      </c>
      <c r="J84" s="12"/>
    </row>
    <row r="85" spans="1:10" ht="60" customHeight="1">
      <c r="A85" s="6" t="s">
        <v>345</v>
      </c>
      <c r="B85" s="6" t="s">
        <v>28</v>
      </c>
      <c r="C85" s="6" t="s">
        <v>16</v>
      </c>
      <c r="D85" s="7" t="s">
        <v>56</v>
      </c>
      <c r="E85" s="8" t="s">
        <v>346</v>
      </c>
      <c r="F85" s="6" t="s">
        <v>347</v>
      </c>
      <c r="G85" s="9">
        <f>IF(A85=1,"_",IF(C85="_","???",C85))</f>
        <v/>
      </c>
      <c r="H85" s="10" t="s">
        <v>16</v>
      </c>
      <c r="I85" s="11" t="s">
        <v>16</v>
      </c>
      <c r="J85" s="12"/>
    </row>
    <row r="86" spans="1:10" ht="60" customHeight="1">
      <c r="A86" s="6" t="s">
        <v>348</v>
      </c>
      <c r="B86" s="6" t="s">
        <v>28</v>
      </c>
      <c r="C86" s="6" t="s">
        <v>16</v>
      </c>
      <c r="D86" s="7" t="s">
        <v>349</v>
      </c>
      <c r="E86" s="8" t="s">
        <v>350</v>
      </c>
      <c r="F86" s="6" t="s">
        <v>351</v>
      </c>
      <c r="G86" s="9">
        <f>IF(A86=1,"_",IF(C86="_","???",C86))</f>
        <v/>
      </c>
      <c r="H86" s="10" t="s">
        <v>16</v>
      </c>
      <c r="I86" s="11" t="s">
        <v>16</v>
      </c>
      <c r="J86" s="12"/>
    </row>
    <row r="87" spans="1:10" ht="60" customHeight="1">
      <c r="A87" s="6" t="s">
        <v>352</v>
      </c>
      <c r="B87" s="6" t="s">
        <v>17</v>
      </c>
      <c r="C87" s="6" t="s">
        <v>16</v>
      </c>
      <c r="D87" s="7" t="s">
        <v>129</v>
      </c>
      <c r="E87" s="8" t="s">
        <v>353</v>
      </c>
      <c r="F87" s="6" t="s">
        <v>354</v>
      </c>
      <c r="G87" s="9">
        <f>IF(A87=1,"_",IF(C87="_","???",C87))</f>
        <v/>
      </c>
      <c r="H87" s="10" t="s">
        <v>16</v>
      </c>
      <c r="I87" s="11" t="s">
        <v>16</v>
      </c>
      <c r="J87" s="12"/>
    </row>
    <row r="88" spans="1:10" ht="60" customHeight="1">
      <c r="A88" s="6" t="s">
        <v>355</v>
      </c>
      <c r="B88" s="6" t="s">
        <v>38</v>
      </c>
      <c r="C88" s="6" t="s">
        <v>138</v>
      </c>
      <c r="D88" s="7" t="s">
        <v>129</v>
      </c>
      <c r="E88" s="8" t="s">
        <v>356</v>
      </c>
      <c r="F88" s="6" t="s">
        <v>357</v>
      </c>
      <c r="G88" s="9">
        <f>IF(A88=1,"_",IF(C88="_","???",C88))</f>
        <v/>
      </c>
      <c r="H88" s="10" t="s">
        <v>16</v>
      </c>
      <c r="I88" s="11" t="s">
        <v>16</v>
      </c>
      <c r="J88" s="12"/>
    </row>
    <row r="89" spans="1:10" ht="60" customHeight="1">
      <c r="A89" s="6" t="s">
        <v>358</v>
      </c>
      <c r="B89" s="6" t="s">
        <v>22</v>
      </c>
      <c r="C89" s="6" t="s">
        <v>16</v>
      </c>
      <c r="D89" s="7" t="s">
        <v>51</v>
      </c>
      <c r="E89" s="8" t="s">
        <v>359</v>
      </c>
      <c r="F89" s="6" t="s">
        <v>360</v>
      </c>
      <c r="G89" s="9">
        <f>IF(A89=1,"_",IF(C89="_","???",C89))</f>
        <v/>
      </c>
      <c r="H89" s="10" t="s">
        <v>16</v>
      </c>
      <c r="I89" s="11" t="s">
        <v>16</v>
      </c>
      <c r="J89" s="12"/>
    </row>
    <row r="90" spans="1:10" ht="60" customHeight="1">
      <c r="A90" s="6" t="s">
        <v>361</v>
      </c>
      <c r="B90" s="6" t="s">
        <v>17</v>
      </c>
      <c r="C90" s="6" t="s">
        <v>16</v>
      </c>
      <c r="D90" s="7" t="s">
        <v>362</v>
      </c>
      <c r="E90" s="8" t="s">
        <v>363</v>
      </c>
      <c r="F90" s="6" t="s">
        <v>364</v>
      </c>
      <c r="G90" s="9">
        <f>IF(A90=1,"_",IF(C90="_","???",C90))</f>
        <v/>
      </c>
      <c r="H90" s="10" t="s">
        <v>16</v>
      </c>
      <c r="I90" s="11" t="s">
        <v>16</v>
      </c>
      <c r="J90" s="12"/>
    </row>
    <row r="91" spans="1:10" ht="60" customHeight="1">
      <c r="A91" s="6" t="s">
        <v>365</v>
      </c>
      <c r="B91" s="6" t="s">
        <v>17</v>
      </c>
      <c r="C91" s="6" t="s">
        <v>16</v>
      </c>
      <c r="D91" s="7" t="s">
        <v>56</v>
      </c>
      <c r="E91" s="8" t="s">
        <v>366</v>
      </c>
      <c r="F91" s="6" t="s">
        <v>367</v>
      </c>
      <c r="G91" s="9">
        <f>IF(A91=1,"_",IF(C91="_","???",C91))</f>
        <v/>
      </c>
      <c r="H91" s="10" t="s">
        <v>16</v>
      </c>
      <c r="I91" s="11" t="s">
        <v>16</v>
      </c>
      <c r="J91" s="12"/>
    </row>
    <row r="92" spans="1:10" ht="60" customHeight="1">
      <c r="A92" s="6" t="s">
        <v>368</v>
      </c>
      <c r="B92" s="6" t="s">
        <v>17</v>
      </c>
      <c r="C92" s="6" t="s">
        <v>16</v>
      </c>
      <c r="D92" s="7" t="s">
        <v>369</v>
      </c>
      <c r="E92" s="8" t="s">
        <v>370</v>
      </c>
      <c r="F92" s="6" t="s">
        <v>371</v>
      </c>
      <c r="G92" s="9">
        <f>IF(A92=1,"_",IF(C92="_","???",C92))</f>
        <v/>
      </c>
      <c r="H92" s="10" t="s">
        <v>16</v>
      </c>
      <c r="I92" s="11" t="s">
        <v>16</v>
      </c>
      <c r="J92" s="12"/>
    </row>
    <row r="93" spans="1:10" ht="60" customHeight="1">
      <c r="A93" s="6" t="s">
        <v>372</v>
      </c>
      <c r="B93" s="6" t="s">
        <v>28</v>
      </c>
      <c r="C93" s="6" t="s">
        <v>66</v>
      </c>
      <c r="D93" s="7" t="s">
        <v>373</v>
      </c>
      <c r="E93" s="8" t="s">
        <v>374</v>
      </c>
      <c r="F93" s="6" t="s">
        <v>375</v>
      </c>
      <c r="G93" s="9">
        <f>IF(A93=1,"_",IF(C93="_","???",C93))</f>
        <v/>
      </c>
      <c r="H93" s="10" t="s">
        <v>16</v>
      </c>
      <c r="I93" s="11" t="s">
        <v>16</v>
      </c>
      <c r="J93" s="12"/>
    </row>
    <row r="94" spans="1:10" ht="60" customHeight="1">
      <c r="A94" s="6" t="s">
        <v>376</v>
      </c>
      <c r="B94" s="6" t="s">
        <v>33</v>
      </c>
      <c r="C94" s="6" t="s">
        <v>280</v>
      </c>
      <c r="D94" s="7" t="s">
        <v>377</v>
      </c>
      <c r="E94" s="8" t="s">
        <v>378</v>
      </c>
      <c r="F94" s="6" t="s">
        <v>379</v>
      </c>
      <c r="G94" s="9">
        <f>IF(A94=1,"_",IF(C94="_","???",C94))</f>
        <v/>
      </c>
      <c r="H94" s="10" t="s">
        <v>16</v>
      </c>
      <c r="I94" s="11" t="s">
        <v>16</v>
      </c>
      <c r="J94" s="12"/>
    </row>
    <row r="95" spans="1:10" ht="60" customHeight="1">
      <c r="A95" s="6" t="s">
        <v>380</v>
      </c>
      <c r="B95" s="6" t="s">
        <v>33</v>
      </c>
      <c r="C95" s="6" t="s">
        <v>381</v>
      </c>
      <c r="D95" s="7" t="s">
        <v>382</v>
      </c>
      <c r="E95" s="8" t="s">
        <v>383</v>
      </c>
      <c r="F95" s="6" t="s">
        <v>384</v>
      </c>
      <c r="G95" s="9">
        <f>IF(A95=1,"_",IF(C95="_","???",C95))</f>
        <v/>
      </c>
      <c r="H95" s="10" t="s">
        <v>16</v>
      </c>
      <c r="I95" s="11" t="s">
        <v>16</v>
      </c>
      <c r="J95" s="12"/>
    </row>
    <row r="96" spans="1:10" ht="60" customHeight="1">
      <c r="A96" s="6" t="s">
        <v>385</v>
      </c>
      <c r="B96" s="6" t="s">
        <v>46</v>
      </c>
      <c r="C96" s="6" t="s">
        <v>16</v>
      </c>
      <c r="D96" s="7" t="s">
        <v>333</v>
      </c>
      <c r="E96" s="8" t="s">
        <v>386</v>
      </c>
      <c r="F96" s="6" t="s">
        <v>387</v>
      </c>
      <c r="G96" s="9">
        <f>IF(A96=1,"_",IF(C96="_","???",C96))</f>
        <v/>
      </c>
      <c r="H96" s="10" t="s">
        <v>16</v>
      </c>
      <c r="I96" s="11" t="s">
        <v>16</v>
      </c>
      <c r="J96" s="12"/>
    </row>
    <row r="97" spans="1:10" ht="60" customHeight="1">
      <c r="A97" s="6" t="s">
        <v>388</v>
      </c>
      <c r="B97" s="6" t="s">
        <v>22</v>
      </c>
      <c r="C97" s="6" t="s">
        <v>66</v>
      </c>
      <c r="D97" s="7" t="s">
        <v>389</v>
      </c>
      <c r="E97" s="8" t="s">
        <v>390</v>
      </c>
      <c r="F97" s="6" t="s">
        <v>391</v>
      </c>
      <c r="G97" s="9">
        <f>IF(A97=1,"_",IF(C97="_","???",C97))</f>
        <v/>
      </c>
      <c r="H97" s="10" t="s">
        <v>16</v>
      </c>
      <c r="I97" s="11" t="s">
        <v>16</v>
      </c>
      <c r="J97" s="12"/>
    </row>
    <row r="98" spans="1:10" ht="60" customHeight="1">
      <c r="A98" s="6" t="s">
        <v>392</v>
      </c>
      <c r="B98" s="6" t="s">
        <v>74</v>
      </c>
      <c r="C98" s="6" t="s">
        <v>16</v>
      </c>
      <c r="D98" s="7" t="s">
        <v>393</v>
      </c>
      <c r="E98" s="8" t="s">
        <v>394</v>
      </c>
      <c r="F98" s="6" t="s">
        <v>395</v>
      </c>
      <c r="G98" s="9">
        <f>IF(A98=1,"_",IF(C98="_","???",C98))</f>
        <v/>
      </c>
      <c r="H98" s="10" t="s">
        <v>16</v>
      </c>
      <c r="I98" s="11" t="s">
        <v>16</v>
      </c>
      <c r="J98" s="12"/>
    </row>
    <row r="99" spans="1:10" ht="60" customHeight="1">
      <c r="A99" s="6" t="s">
        <v>396</v>
      </c>
      <c r="B99" s="6" t="s">
        <v>83</v>
      </c>
      <c r="C99" s="6" t="s">
        <v>29</v>
      </c>
      <c r="D99" s="7" t="s">
        <v>397</v>
      </c>
      <c r="E99" s="8" t="s">
        <v>398</v>
      </c>
      <c r="F99" s="6" t="s">
        <v>399</v>
      </c>
      <c r="G99" s="9">
        <f>IF(A99=1,"_",IF(C99="_","???",C99))</f>
        <v/>
      </c>
      <c r="H99" s="10" t="s">
        <v>16</v>
      </c>
      <c r="I99" s="11" t="s">
        <v>16</v>
      </c>
      <c r="J99" s="12"/>
    </row>
    <row r="100" spans="1:10" ht="60" customHeight="1">
      <c r="A100" s="6" t="s">
        <v>400</v>
      </c>
      <c r="B100" s="6" t="s">
        <v>17</v>
      </c>
      <c r="C100" s="6" t="s">
        <v>16</v>
      </c>
      <c r="D100" s="7" t="s">
        <v>92</v>
      </c>
      <c r="E100" s="8" t="s">
        <v>401</v>
      </c>
      <c r="F100" s="6" t="s">
        <v>402</v>
      </c>
      <c r="G100" s="9">
        <f>IF(A100=1,"_",IF(C100="_","???",C100))</f>
        <v/>
      </c>
      <c r="H100" s="10" t="s">
        <v>16</v>
      </c>
      <c r="I100" s="11" t="s">
        <v>16</v>
      </c>
      <c r="J100" s="12"/>
    </row>
    <row r="101" spans="1:10" ht="60" customHeight="1">
      <c r="A101" s="6" t="s">
        <v>403</v>
      </c>
      <c r="B101" s="6" t="s">
        <v>99</v>
      </c>
      <c r="C101" s="6" t="s">
        <v>404</v>
      </c>
      <c r="D101" s="7" t="s">
        <v>405</v>
      </c>
      <c r="E101" s="8" t="s">
        <v>406</v>
      </c>
      <c r="F101" s="6" t="s">
        <v>407</v>
      </c>
      <c r="G101" s="9">
        <f>IF(A101=1,"_",IF(C101="_","???",C101))</f>
        <v/>
      </c>
      <c r="H101" s="10" t="s">
        <v>16</v>
      </c>
      <c r="I101" s="11" t="s">
        <v>16</v>
      </c>
      <c r="J101" s="12"/>
    </row>
    <row r="102" spans="1:10" ht="60" customHeight="1">
      <c r="A102" s="6" t="s">
        <v>408</v>
      </c>
      <c r="B102" s="6" t="s">
        <v>42</v>
      </c>
      <c r="C102" s="6" t="s">
        <v>16</v>
      </c>
      <c r="D102" s="7" t="s">
        <v>409</v>
      </c>
      <c r="E102" s="8" t="s">
        <v>410</v>
      </c>
      <c r="F102" s="6" t="s">
        <v>411</v>
      </c>
      <c r="G102" s="9">
        <f>IF(A102=1,"_",IF(C102="_","???",C102))</f>
        <v/>
      </c>
      <c r="H102" s="10" t="s">
        <v>16</v>
      </c>
      <c r="I102" s="11" t="s">
        <v>16</v>
      </c>
      <c r="J102" s="12"/>
    </row>
    <row r="103" spans="1:10" ht="60" customHeight="1">
      <c r="A103" s="6" t="s">
        <v>412</v>
      </c>
      <c r="B103" s="6" t="s">
        <v>28</v>
      </c>
      <c r="C103" s="6" t="s">
        <v>138</v>
      </c>
      <c r="D103" s="7" t="s">
        <v>413</v>
      </c>
      <c r="E103" s="8" t="s">
        <v>414</v>
      </c>
      <c r="F103" s="6" t="s">
        <v>415</v>
      </c>
      <c r="G103" s="9">
        <f>IF(A103=1,"_",IF(C103="_","???",C103))</f>
        <v/>
      </c>
      <c r="H103" s="10" t="s">
        <v>16</v>
      </c>
      <c r="I103" s="11" t="s">
        <v>16</v>
      </c>
      <c r="J103" s="12"/>
    </row>
    <row r="104" spans="1:10" ht="60" customHeight="1">
      <c r="A104" s="6" t="s">
        <v>416</v>
      </c>
      <c r="B104" s="6" t="s">
        <v>28</v>
      </c>
      <c r="C104" s="6" t="s">
        <v>16</v>
      </c>
      <c r="D104" s="7" t="s">
        <v>417</v>
      </c>
      <c r="E104" s="8" t="s">
        <v>418</v>
      </c>
      <c r="F104" s="6" t="s">
        <v>419</v>
      </c>
      <c r="G104" s="9">
        <f>IF(A104=1,"_",IF(C104="_","???",C104))</f>
        <v/>
      </c>
      <c r="H104" s="10" t="s">
        <v>16</v>
      </c>
      <c r="I104" s="11" t="s">
        <v>16</v>
      </c>
      <c r="J104" s="12"/>
    </row>
    <row r="105" spans="1:10" ht="60" customHeight="1">
      <c r="A105" s="6" t="s">
        <v>420</v>
      </c>
      <c r="B105" s="6" t="s">
        <v>10</v>
      </c>
      <c r="C105" s="6" t="s">
        <v>16</v>
      </c>
      <c r="D105" s="7" t="s">
        <v>421</v>
      </c>
      <c r="E105" s="8" t="s">
        <v>422</v>
      </c>
      <c r="F105" s="6" t="s">
        <v>423</v>
      </c>
      <c r="G105" s="9">
        <f>IF(A105=1,"_",IF(C105="_","???",C105))</f>
        <v/>
      </c>
      <c r="H105" s="10" t="s">
        <v>16</v>
      </c>
      <c r="I105" s="11" t="s">
        <v>16</v>
      </c>
      <c r="J105" s="12"/>
    </row>
    <row r="106" spans="1:10" ht="60" customHeight="1">
      <c r="A106" s="6" t="s">
        <v>424</v>
      </c>
      <c r="B106" s="6" t="s">
        <v>10</v>
      </c>
      <c r="C106" s="6" t="s">
        <v>16</v>
      </c>
      <c r="D106" s="7" t="s">
        <v>421</v>
      </c>
      <c r="E106" s="8" t="s">
        <v>425</v>
      </c>
      <c r="F106" s="6" t="s">
        <v>426</v>
      </c>
      <c r="G106" s="9">
        <f>IF(A106=1,"_",IF(C106="_","???",C106))</f>
        <v/>
      </c>
      <c r="H106" s="10" t="s">
        <v>16</v>
      </c>
      <c r="I106" s="11" t="s">
        <v>16</v>
      </c>
      <c r="J106" s="12"/>
    </row>
    <row r="107" spans="1:10" ht="60" customHeight="1">
      <c r="A107" s="6" t="s">
        <v>427</v>
      </c>
      <c r="B107" s="6" t="s">
        <v>106</v>
      </c>
      <c r="C107" s="6" t="s">
        <v>70</v>
      </c>
      <c r="D107" s="7" t="s">
        <v>428</v>
      </c>
      <c r="E107" s="8" t="s">
        <v>429</v>
      </c>
      <c r="F107" s="6" t="s">
        <v>430</v>
      </c>
      <c r="G107" s="9">
        <f>IF(A107=1,"_",IF(C107="_","???",C107))</f>
        <v/>
      </c>
      <c r="H107" s="10" t="s">
        <v>16</v>
      </c>
      <c r="I107" s="11" t="s">
        <v>16</v>
      </c>
      <c r="J107" s="12"/>
    </row>
    <row r="108" spans="1:10" ht="60" customHeight="1">
      <c r="A108" s="6" t="s">
        <v>431</v>
      </c>
      <c r="B108" s="6" t="s">
        <v>103</v>
      </c>
      <c r="C108" s="6" t="s">
        <v>66</v>
      </c>
      <c r="D108" s="7" t="s">
        <v>432</v>
      </c>
      <c r="E108" s="8" t="s">
        <v>433</v>
      </c>
      <c r="F108" s="6" t="s">
        <v>434</v>
      </c>
      <c r="G108" s="9">
        <f>IF(A108=1,"_",IF(C108="_","???",C108))</f>
        <v/>
      </c>
      <c r="H108" s="10" t="s">
        <v>16</v>
      </c>
      <c r="I108" s="11" t="s">
        <v>16</v>
      </c>
      <c r="J108" s="12"/>
    </row>
    <row r="109" spans="1:10" ht="60" customHeight="1">
      <c r="A109" s="6" t="s">
        <v>435</v>
      </c>
      <c r="B109" s="6" t="s">
        <v>33</v>
      </c>
      <c r="C109" s="6" t="s">
        <v>138</v>
      </c>
      <c r="D109" s="7" t="s">
        <v>436</v>
      </c>
      <c r="E109" s="8" t="s">
        <v>437</v>
      </c>
      <c r="F109" s="6" t="s">
        <v>438</v>
      </c>
      <c r="G109" s="9">
        <f>IF(A109=1,"_",IF(C109="_","???",C109))</f>
        <v/>
      </c>
      <c r="H109" s="10" t="s">
        <v>16</v>
      </c>
      <c r="I109" s="11" t="s">
        <v>16</v>
      </c>
      <c r="J109" s="12"/>
    </row>
    <row r="110" spans="1:10" ht="60" customHeight="1">
      <c r="A110" s="6" t="s">
        <v>439</v>
      </c>
      <c r="B110" s="6" t="s">
        <v>271</v>
      </c>
      <c r="C110" s="6" t="s">
        <v>138</v>
      </c>
      <c r="D110" s="7" t="s">
        <v>440</v>
      </c>
      <c r="E110" s="8" t="s">
        <v>441</v>
      </c>
      <c r="F110" s="6" t="s">
        <v>442</v>
      </c>
      <c r="G110" s="9">
        <f>IF(A110=1,"_",IF(C110="_","???",C110))</f>
        <v/>
      </c>
      <c r="H110" s="10" t="s">
        <v>16</v>
      </c>
      <c r="I110" s="11" t="s">
        <v>16</v>
      </c>
      <c r="J110" s="12"/>
    </row>
    <row r="111" spans="1:10" ht="60" customHeight="1">
      <c r="A111" s="6" t="s">
        <v>443</v>
      </c>
      <c r="B111" s="6" t="s">
        <v>22</v>
      </c>
      <c r="C111" s="6" t="s">
        <v>18</v>
      </c>
      <c r="D111" s="7" t="s">
        <v>421</v>
      </c>
      <c r="E111" s="8" t="s">
        <v>444</v>
      </c>
      <c r="F111" s="6" t="s">
        <v>445</v>
      </c>
      <c r="G111" s="9">
        <f>IF(A111=1,"_",IF(C111="_","???",C111))</f>
        <v/>
      </c>
      <c r="H111" s="10" t="s">
        <v>16</v>
      </c>
      <c r="I111" s="11" t="s">
        <v>16</v>
      </c>
      <c r="J111" s="12"/>
    </row>
    <row r="112" spans="1:10" ht="60" customHeight="1">
      <c r="A112" s="6" t="s">
        <v>446</v>
      </c>
      <c r="B112" s="6" t="s">
        <v>28</v>
      </c>
      <c r="C112" s="6" t="s">
        <v>447</v>
      </c>
      <c r="D112" s="7" t="s">
        <v>421</v>
      </c>
      <c r="E112" s="8" t="s">
        <v>448</v>
      </c>
      <c r="F112" s="6" t="s">
        <v>449</v>
      </c>
      <c r="G112" s="9">
        <f>IF(A112=1,"_",IF(C112="_","???",C112))</f>
        <v/>
      </c>
      <c r="H112" s="10" t="s">
        <v>16</v>
      </c>
      <c r="I112" s="11" t="s">
        <v>16</v>
      </c>
      <c r="J112" s="12"/>
    </row>
    <row r="113" spans="1:10" ht="60" customHeight="1">
      <c r="A113" s="6" t="s">
        <v>450</v>
      </c>
      <c r="B113" s="6" t="s">
        <v>54</v>
      </c>
      <c r="C113" s="6" t="s">
        <v>16</v>
      </c>
      <c r="D113" s="7" t="s">
        <v>451</v>
      </c>
      <c r="E113" s="8" t="s">
        <v>452</v>
      </c>
      <c r="F113" s="6" t="s">
        <v>453</v>
      </c>
      <c r="G113" s="9">
        <f>IF(A113=1,"_",IF(C113="_","???",C113))</f>
        <v/>
      </c>
      <c r="H113" s="10" t="s">
        <v>16</v>
      </c>
      <c r="I113" s="11" t="s">
        <v>16</v>
      </c>
      <c r="J113" s="12"/>
    </row>
    <row r="114" spans="1:10" ht="60" customHeight="1">
      <c r="A114" s="6" t="s">
        <v>454</v>
      </c>
      <c r="B114" s="6" t="s">
        <v>22</v>
      </c>
      <c r="C114" s="6" t="s">
        <v>70</v>
      </c>
      <c r="D114" s="7" t="s">
        <v>455</v>
      </c>
      <c r="E114" s="8" t="s">
        <v>456</v>
      </c>
      <c r="F114" s="6" t="s">
        <v>457</v>
      </c>
      <c r="G114" s="9">
        <f>IF(A114=1,"_",IF(C114="_","???",C114))</f>
        <v/>
      </c>
      <c r="H114" s="10" t="s">
        <v>16</v>
      </c>
      <c r="I114" s="11" t="s">
        <v>16</v>
      </c>
      <c r="J114" s="12"/>
    </row>
    <row r="115" spans="1:10" ht="60" customHeight="1">
      <c r="A115" s="6" t="s">
        <v>458</v>
      </c>
      <c r="B115" s="6" t="s">
        <v>38</v>
      </c>
      <c r="C115" s="6" t="s">
        <v>459</v>
      </c>
      <c r="D115" s="7" t="s">
        <v>460</v>
      </c>
      <c r="E115" s="8" t="s">
        <v>461</v>
      </c>
      <c r="F115" s="6" t="s">
        <v>462</v>
      </c>
      <c r="G115" s="9">
        <f>IF(A115=1,"_",IF(C115="_","???",C115))</f>
        <v/>
      </c>
      <c r="H115" s="10" t="s">
        <v>16</v>
      </c>
      <c r="I115" s="11" t="s">
        <v>16</v>
      </c>
      <c r="J115" s="12"/>
    </row>
    <row r="116" spans="1:10" ht="60" customHeight="1">
      <c r="A116" s="6" t="s">
        <v>463</v>
      </c>
      <c r="B116" s="6" t="s">
        <v>33</v>
      </c>
      <c r="C116" s="6" t="s">
        <v>34</v>
      </c>
      <c r="D116" s="7" t="s">
        <v>464</v>
      </c>
      <c r="E116" s="8" t="s">
        <v>465</v>
      </c>
      <c r="F116" s="6" t="s">
        <v>466</v>
      </c>
      <c r="G116" s="9">
        <f>IF(A116=1,"_",IF(C116="_","???",C116))</f>
        <v/>
      </c>
      <c r="H116" s="10" t="s">
        <v>16</v>
      </c>
      <c r="I116" s="11" t="s">
        <v>16</v>
      </c>
      <c r="J116" s="12"/>
    </row>
    <row r="117" spans="1:10" ht="60" customHeight="1">
      <c r="A117" s="6" t="s">
        <v>467</v>
      </c>
      <c r="B117" s="6" t="s">
        <v>17</v>
      </c>
      <c r="C117" s="6" t="s">
        <v>468</v>
      </c>
      <c r="D117" s="7" t="s">
        <v>469</v>
      </c>
      <c r="E117" s="8" t="s">
        <v>470</v>
      </c>
      <c r="F117" s="6" t="s">
        <v>471</v>
      </c>
      <c r="G117" s="9">
        <f>IF(A117=1,"_",IF(C117="_","???",C117))</f>
        <v/>
      </c>
      <c r="H117" s="10" t="s">
        <v>16</v>
      </c>
      <c r="I117" s="11" t="s">
        <v>16</v>
      </c>
      <c r="J117" s="12"/>
    </row>
    <row r="118" spans="1:10" ht="60" customHeight="1">
      <c r="A118" s="6" t="s">
        <v>472</v>
      </c>
      <c r="B118" s="6" t="s">
        <v>22</v>
      </c>
      <c r="C118" s="6" t="s">
        <v>70</v>
      </c>
      <c r="D118" s="7" t="s">
        <v>473</v>
      </c>
      <c r="E118" s="8" t="s">
        <v>474</v>
      </c>
      <c r="F118" s="6" t="s">
        <v>475</v>
      </c>
      <c r="G118" s="9">
        <f>IF(A118=1,"_",IF(C118="_","???",C118))</f>
        <v/>
      </c>
      <c r="H118" s="10" t="s">
        <v>16</v>
      </c>
      <c r="I118" s="11" t="s">
        <v>16</v>
      </c>
      <c r="J118" s="12"/>
    </row>
    <row r="119" spans="1:10" ht="60" customHeight="1">
      <c r="A119" s="6" t="s">
        <v>476</v>
      </c>
      <c r="B119" s="6" t="s">
        <v>79</v>
      </c>
      <c r="C119" s="6" t="s">
        <v>70</v>
      </c>
      <c r="D119" s="7" t="s">
        <v>477</v>
      </c>
      <c r="E119" s="8" t="s">
        <v>478</v>
      </c>
      <c r="F119" s="6" t="s">
        <v>479</v>
      </c>
      <c r="G119" s="9">
        <f>IF(A119=1,"_",IF(C119="_","???",C119))</f>
        <v/>
      </c>
      <c r="H119" s="10" t="s">
        <v>16</v>
      </c>
      <c r="I119" s="11" t="s">
        <v>16</v>
      </c>
      <c r="J119" s="12"/>
    </row>
    <row r="120" spans="1:10" ht="60" customHeight="1">
      <c r="A120" s="6" t="s">
        <v>480</v>
      </c>
      <c r="B120" s="6" t="s">
        <v>22</v>
      </c>
      <c r="C120" s="6" t="s">
        <v>66</v>
      </c>
      <c r="D120" s="7" t="s">
        <v>92</v>
      </c>
      <c r="E120" s="8" t="s">
        <v>481</v>
      </c>
      <c r="F120" s="6" t="s">
        <v>482</v>
      </c>
      <c r="G120" s="9">
        <f>IF(A120=1,"_",IF(C120="_","???",C120))</f>
        <v/>
      </c>
      <c r="H120" s="10" t="s">
        <v>16</v>
      </c>
      <c r="I120" s="11" t="s">
        <v>16</v>
      </c>
      <c r="J120" s="12"/>
    </row>
    <row r="121" spans="1:10" ht="60" customHeight="1">
      <c r="A121" s="6" t="s">
        <v>483</v>
      </c>
      <c r="B121" s="6" t="s">
        <v>106</v>
      </c>
      <c r="C121" s="6" t="s">
        <v>16</v>
      </c>
      <c r="D121" s="7" t="s">
        <v>484</v>
      </c>
      <c r="E121" s="8" t="s">
        <v>485</v>
      </c>
      <c r="F121" s="6" t="s">
        <v>486</v>
      </c>
      <c r="G121" s="9">
        <f>IF(A121=1,"_",IF(C121="_","???",C121))</f>
        <v/>
      </c>
      <c r="H121" s="10" t="s">
        <v>16</v>
      </c>
      <c r="I121" s="11" t="s">
        <v>16</v>
      </c>
      <c r="J121" s="12"/>
    </row>
    <row r="122" spans="1:10" ht="60" customHeight="1">
      <c r="A122" s="6" t="s">
        <v>487</v>
      </c>
      <c r="B122" s="6" t="s">
        <v>17</v>
      </c>
      <c r="C122" s="6" t="s">
        <v>16</v>
      </c>
      <c r="D122" s="7" t="s">
        <v>175</v>
      </c>
      <c r="E122" s="8" t="s">
        <v>488</v>
      </c>
      <c r="F122" s="6" t="s">
        <v>489</v>
      </c>
      <c r="G122" s="9">
        <f>IF(A122=1,"_",IF(C122="_","???",C122))</f>
        <v/>
      </c>
      <c r="H122" s="10" t="s">
        <v>16</v>
      </c>
      <c r="I122" s="11" t="s">
        <v>16</v>
      </c>
      <c r="J122" s="12"/>
    </row>
    <row r="123" spans="1:10" ht="60" customHeight="1">
      <c r="A123" s="6" t="s">
        <v>490</v>
      </c>
      <c r="B123" s="6" t="s">
        <v>46</v>
      </c>
      <c r="C123" s="6" t="s">
        <v>16</v>
      </c>
      <c r="D123" s="7" t="s">
        <v>491</v>
      </c>
      <c r="E123" s="8" t="s">
        <v>492</v>
      </c>
      <c r="F123" s="6" t="s">
        <v>493</v>
      </c>
      <c r="G123" s="9">
        <f>IF(A123=1,"_",IF(C123="_","???",C123))</f>
        <v/>
      </c>
      <c r="H123" s="10" t="s">
        <v>16</v>
      </c>
      <c r="I123" s="11" t="s">
        <v>16</v>
      </c>
      <c r="J123" s="12"/>
    </row>
    <row r="124" spans="1:10" ht="60" customHeight="1">
      <c r="A124" s="6" t="s">
        <v>494</v>
      </c>
      <c r="B124" s="6" t="s">
        <v>220</v>
      </c>
      <c r="C124" s="6" t="s">
        <v>70</v>
      </c>
      <c r="D124" s="7" t="s">
        <v>495</v>
      </c>
      <c r="E124" s="8" t="s">
        <v>496</v>
      </c>
      <c r="F124" s="6" t="s">
        <v>497</v>
      </c>
      <c r="G124" s="9">
        <f>IF(A124=1,"_",IF(C124="_","???",C124))</f>
        <v/>
      </c>
      <c r="H124" s="10" t="s">
        <v>16</v>
      </c>
      <c r="I124" s="11" t="s">
        <v>16</v>
      </c>
      <c r="J124" s="12"/>
    </row>
    <row r="125" spans="1:10" ht="60" customHeight="1">
      <c r="A125" s="6" t="s">
        <v>498</v>
      </c>
      <c r="B125" s="6" t="s">
        <v>17</v>
      </c>
      <c r="C125" s="6" t="s">
        <v>18</v>
      </c>
      <c r="D125" s="7" t="s">
        <v>499</v>
      </c>
      <c r="E125" s="8" t="s">
        <v>500</v>
      </c>
      <c r="F125" s="6" t="s">
        <v>501</v>
      </c>
      <c r="G125" s="9">
        <f>IF(A125=1,"_",IF(C125="_","???",C125))</f>
        <v/>
      </c>
      <c r="H125" s="10" t="s">
        <v>16</v>
      </c>
      <c r="I125" s="11" t="s">
        <v>16</v>
      </c>
      <c r="J125" s="12"/>
    </row>
    <row r="126" spans="1:10" ht="60" customHeight="1">
      <c r="A126" s="6" t="s">
        <v>502</v>
      </c>
      <c r="B126" s="6" t="s">
        <v>17</v>
      </c>
      <c r="C126" s="6" t="s">
        <v>16</v>
      </c>
      <c r="D126" s="7" t="s">
        <v>503</v>
      </c>
      <c r="E126" s="8" t="s">
        <v>504</v>
      </c>
      <c r="F126" s="6" t="s">
        <v>505</v>
      </c>
      <c r="G126" s="9">
        <f>IF(A126=1,"_",IF(C126="_","???",C126))</f>
        <v/>
      </c>
      <c r="H126" s="10" t="s">
        <v>16</v>
      </c>
      <c r="I126" s="11" t="s">
        <v>16</v>
      </c>
      <c r="J126" s="12"/>
    </row>
    <row r="127" spans="1:10" ht="60" customHeight="1">
      <c r="A127" s="6" t="s">
        <v>506</v>
      </c>
      <c r="B127" s="6" t="s">
        <v>17</v>
      </c>
      <c r="C127" s="6" t="s">
        <v>16</v>
      </c>
      <c r="D127" s="7" t="s">
        <v>503</v>
      </c>
      <c r="E127" s="8" t="s">
        <v>507</v>
      </c>
      <c r="F127" s="6" t="s">
        <v>508</v>
      </c>
      <c r="G127" s="9">
        <f>IF(A127=1,"_",IF(C127="_","???",C127))</f>
        <v/>
      </c>
      <c r="H127" s="10" t="s">
        <v>16</v>
      </c>
      <c r="I127" s="11" t="s">
        <v>16</v>
      </c>
      <c r="J127" s="12"/>
    </row>
    <row r="128" spans="1:10" ht="60" customHeight="1">
      <c r="A128" s="6" t="s">
        <v>509</v>
      </c>
      <c r="B128" s="6" t="s">
        <v>22</v>
      </c>
      <c r="C128" s="6" t="s">
        <v>66</v>
      </c>
      <c r="D128" s="7" t="s">
        <v>510</v>
      </c>
      <c r="E128" s="8" t="s">
        <v>511</v>
      </c>
      <c r="F128" s="6" t="s">
        <v>512</v>
      </c>
      <c r="G128" s="9">
        <f>IF(A128=1,"_",IF(C128="_","???",C128))</f>
        <v/>
      </c>
      <c r="H128" s="10" t="s">
        <v>16</v>
      </c>
      <c r="I128" s="11" t="s">
        <v>16</v>
      </c>
      <c r="J128" s="12"/>
    </row>
    <row r="129" spans="1:10" ht="60" customHeight="1">
      <c r="A129" s="6" t="s">
        <v>513</v>
      </c>
      <c r="B129" s="6" t="s">
        <v>17</v>
      </c>
      <c r="C129" s="6" t="s">
        <v>16</v>
      </c>
      <c r="D129" s="7" t="s">
        <v>60</v>
      </c>
      <c r="E129" s="8" t="s">
        <v>514</v>
      </c>
      <c r="F129" s="6" t="s">
        <v>515</v>
      </c>
      <c r="G129" s="9">
        <f>IF(A129=1,"_",IF(C129="_","???",C129))</f>
        <v/>
      </c>
      <c r="H129" s="10" t="s">
        <v>16</v>
      </c>
      <c r="I129" s="11" t="s">
        <v>16</v>
      </c>
      <c r="J129" s="12"/>
    </row>
    <row r="130" spans="1:10" ht="60" customHeight="1">
      <c r="A130" s="6" t="s">
        <v>516</v>
      </c>
      <c r="B130" s="6" t="s">
        <v>54</v>
      </c>
      <c r="C130" s="6" t="s">
        <v>16</v>
      </c>
      <c r="D130" s="7" t="s">
        <v>517</v>
      </c>
      <c r="E130" s="8" t="s">
        <v>518</v>
      </c>
      <c r="F130" s="6" t="s">
        <v>519</v>
      </c>
      <c r="G130" s="9">
        <f>IF(A130=1,"_",IF(C130="_","???",C130))</f>
        <v/>
      </c>
      <c r="H130" s="10" t="s">
        <v>16</v>
      </c>
      <c r="I130" s="11" t="s">
        <v>16</v>
      </c>
      <c r="J130" s="12"/>
    </row>
    <row r="131" spans="1:10" ht="60" customHeight="1">
      <c r="A131" s="6" t="s">
        <v>520</v>
      </c>
      <c r="B131" s="6" t="s">
        <v>22</v>
      </c>
      <c r="C131" s="6" t="s">
        <v>138</v>
      </c>
      <c r="D131" s="7" t="s">
        <v>272</v>
      </c>
      <c r="E131" s="8" t="s">
        <v>521</v>
      </c>
      <c r="F131" s="6" t="s">
        <v>522</v>
      </c>
      <c r="G131" s="9">
        <f>IF(A131=1,"_",IF(C131="_","???",C131))</f>
        <v/>
      </c>
      <c r="H131" s="10" t="s">
        <v>16</v>
      </c>
      <c r="I131" s="11" t="s">
        <v>16</v>
      </c>
      <c r="J131" s="12"/>
    </row>
    <row r="132" spans="1:10" ht="60" customHeight="1">
      <c r="A132" s="6" t="s">
        <v>523</v>
      </c>
      <c r="B132" s="6" t="s">
        <v>22</v>
      </c>
      <c r="C132" s="6" t="s">
        <v>16</v>
      </c>
      <c r="D132" s="7" t="s">
        <v>524</v>
      </c>
      <c r="E132" s="8" t="s">
        <v>525</v>
      </c>
      <c r="F132" s="6" t="s">
        <v>526</v>
      </c>
      <c r="G132" s="9">
        <f>IF(A132=1,"_",IF(C132="_","???",C132))</f>
        <v/>
      </c>
      <c r="H132" s="10" t="s">
        <v>16</v>
      </c>
      <c r="I132" s="11" t="s">
        <v>16</v>
      </c>
      <c r="J132" s="12"/>
    </row>
    <row r="133" spans="1:10" ht="60" customHeight="1">
      <c r="A133" s="6" t="s">
        <v>527</v>
      </c>
      <c r="B133" s="6" t="s">
        <v>46</v>
      </c>
      <c r="C133" s="6" t="s">
        <v>16</v>
      </c>
      <c r="D133" s="7" t="s">
        <v>528</v>
      </c>
      <c r="E133" s="8" t="s">
        <v>529</v>
      </c>
      <c r="F133" s="6" t="s">
        <v>530</v>
      </c>
      <c r="G133" s="9">
        <f>IF(A133=1,"_",IF(C133="_","???",C133))</f>
        <v/>
      </c>
      <c r="H133" s="10" t="s">
        <v>16</v>
      </c>
      <c r="I133" s="11" t="s">
        <v>16</v>
      </c>
      <c r="J133" s="12"/>
    </row>
    <row r="134" spans="1:10" ht="60" customHeight="1">
      <c r="A134" s="6" t="s">
        <v>531</v>
      </c>
      <c r="B134" s="6" t="s">
        <v>22</v>
      </c>
      <c r="C134" s="6" t="s">
        <v>16</v>
      </c>
      <c r="D134" s="7" t="s">
        <v>532</v>
      </c>
      <c r="E134" s="8" t="s">
        <v>533</v>
      </c>
      <c r="F134" s="6" t="s">
        <v>534</v>
      </c>
      <c r="G134" s="9">
        <f>IF(A134=1,"_",IF(C134="_","???",C134))</f>
        <v/>
      </c>
      <c r="H134" s="10" t="s">
        <v>16</v>
      </c>
      <c r="I134" s="11" t="s">
        <v>16</v>
      </c>
      <c r="J134" s="12"/>
    </row>
    <row r="135" spans="1:10" ht="60" customHeight="1">
      <c r="A135" s="6" t="s">
        <v>535</v>
      </c>
      <c r="B135" s="6" t="s">
        <v>22</v>
      </c>
      <c r="C135" s="6" t="s">
        <v>24</v>
      </c>
      <c r="D135" s="7" t="s">
        <v>536</v>
      </c>
      <c r="E135" s="8" t="s">
        <v>537</v>
      </c>
      <c r="F135" s="6" t="s">
        <v>538</v>
      </c>
      <c r="G135" s="9">
        <f>IF(A135=1,"_",IF(C135="_","???",C135))</f>
        <v/>
      </c>
      <c r="H135" s="10" t="s">
        <v>16</v>
      </c>
      <c r="I135" s="11" t="s">
        <v>16</v>
      </c>
      <c r="J135" s="12"/>
    </row>
    <row r="136" spans="1:10" ht="60" customHeight="1">
      <c r="A136" s="6" t="s">
        <v>539</v>
      </c>
      <c r="B136" s="6" t="s">
        <v>28</v>
      </c>
      <c r="C136" s="6" t="s">
        <v>540</v>
      </c>
      <c r="D136" s="7" t="s">
        <v>56</v>
      </c>
      <c r="E136" s="8" t="s">
        <v>541</v>
      </c>
      <c r="F136" s="6" t="s">
        <v>542</v>
      </c>
      <c r="G136" s="9">
        <f>IF(A136=1,"_",IF(C136="_","???",C136))</f>
        <v/>
      </c>
      <c r="H136" s="10" t="s">
        <v>16</v>
      </c>
      <c r="I136" s="11" t="s">
        <v>16</v>
      </c>
      <c r="J136" s="12"/>
    </row>
    <row r="137" spans="1:10" ht="60" customHeight="1">
      <c r="A137" s="6" t="s">
        <v>543</v>
      </c>
      <c r="B137" s="6" t="s">
        <v>33</v>
      </c>
      <c r="C137" s="6" t="s">
        <v>16</v>
      </c>
      <c r="D137" s="7" t="s">
        <v>290</v>
      </c>
      <c r="E137" s="8" t="s">
        <v>544</v>
      </c>
      <c r="F137" s="6" t="s">
        <v>545</v>
      </c>
      <c r="G137" s="9">
        <f>IF(A137=1,"_",IF(C137="_","???",C137))</f>
        <v/>
      </c>
      <c r="H137" s="10" t="s">
        <v>16</v>
      </c>
      <c r="I137" s="11" t="s">
        <v>16</v>
      </c>
      <c r="J137" s="12"/>
    </row>
    <row r="138" spans="1:10" ht="60" customHeight="1">
      <c r="A138" s="6" t="s">
        <v>546</v>
      </c>
      <c r="B138" s="6" t="s">
        <v>22</v>
      </c>
      <c r="C138" s="6" t="s">
        <v>16</v>
      </c>
      <c r="D138" s="7" t="s">
        <v>547</v>
      </c>
      <c r="E138" s="8" t="s">
        <v>548</v>
      </c>
      <c r="F138" s="6" t="s">
        <v>549</v>
      </c>
      <c r="G138" s="9">
        <f>IF(A138=1,"_",IF(C138="_","???",C138))</f>
        <v/>
      </c>
      <c r="H138" s="10" t="s">
        <v>16</v>
      </c>
      <c r="I138" s="11" t="s">
        <v>16</v>
      </c>
      <c r="J138" s="12"/>
    </row>
    <row r="139" spans="1:10" ht="60" customHeight="1">
      <c r="A139" s="6" t="s">
        <v>550</v>
      </c>
      <c r="B139" s="6" t="s">
        <v>46</v>
      </c>
      <c r="C139" s="6" t="s">
        <v>16</v>
      </c>
      <c r="D139" s="7" t="s">
        <v>551</v>
      </c>
      <c r="E139" s="8" t="s">
        <v>552</v>
      </c>
      <c r="F139" s="6" t="s">
        <v>553</v>
      </c>
      <c r="G139" s="9">
        <f>IF(A139=1,"_",IF(C139="_","???",C139))</f>
        <v/>
      </c>
      <c r="H139" s="10" t="s">
        <v>16</v>
      </c>
      <c r="I139" s="11" t="s">
        <v>16</v>
      </c>
      <c r="J139" s="12"/>
    </row>
    <row r="140" spans="1:10" ht="60" customHeight="1">
      <c r="A140" s="6" t="s">
        <v>554</v>
      </c>
      <c r="B140" s="6" t="s">
        <v>69</v>
      </c>
      <c r="C140" s="6" t="s">
        <v>70</v>
      </c>
      <c r="D140" s="7" t="s">
        <v>555</v>
      </c>
      <c r="E140" s="8" t="s">
        <v>556</v>
      </c>
      <c r="F140" s="6" t="s">
        <v>557</v>
      </c>
      <c r="G140" s="9">
        <f>IF(A140=1,"_",IF(C140="_","???",C140))</f>
        <v/>
      </c>
      <c r="H140" s="10" t="s">
        <v>16</v>
      </c>
      <c r="I140" s="11" t="s">
        <v>16</v>
      </c>
      <c r="J140" s="12"/>
    </row>
    <row r="141" spans="1:10" ht="60" customHeight="1">
      <c r="A141" s="6" t="s">
        <v>558</v>
      </c>
      <c r="B141" s="6" t="s">
        <v>137</v>
      </c>
      <c r="C141" s="6" t="s">
        <v>29</v>
      </c>
      <c r="D141" s="7" t="s">
        <v>337</v>
      </c>
      <c r="E141" s="8" t="s">
        <v>559</v>
      </c>
      <c r="F141" s="6" t="s">
        <v>560</v>
      </c>
      <c r="G141" s="9">
        <f>IF(A141=1,"_",IF(C141="_","???",C141))</f>
        <v/>
      </c>
      <c r="H141" s="10" t="s">
        <v>16</v>
      </c>
      <c r="I141" s="11" t="s">
        <v>16</v>
      </c>
      <c r="J141" s="12"/>
    </row>
    <row r="142" spans="1:10" ht="60" customHeight="1">
      <c r="A142" s="6" t="s">
        <v>561</v>
      </c>
      <c r="B142" s="6" t="s">
        <v>103</v>
      </c>
      <c r="C142" s="6" t="s">
        <v>562</v>
      </c>
      <c r="D142" s="7" t="s">
        <v>495</v>
      </c>
      <c r="E142" s="8" t="s">
        <v>563</v>
      </c>
      <c r="F142" s="6" t="s">
        <v>564</v>
      </c>
      <c r="G142" s="9">
        <f>IF(A142=1,"_",IF(C142="_","???",C142))</f>
        <v/>
      </c>
      <c r="H142" s="10" t="s">
        <v>16</v>
      </c>
      <c r="I142" s="11" t="s">
        <v>16</v>
      </c>
      <c r="J142" s="12"/>
    </row>
    <row r="143" spans="1:10" ht="60" customHeight="1">
      <c r="A143" s="6" t="s">
        <v>565</v>
      </c>
      <c r="B143" s="6" t="s">
        <v>33</v>
      </c>
      <c r="C143" s="6" t="s">
        <v>66</v>
      </c>
      <c r="D143" s="7" t="s">
        <v>566</v>
      </c>
      <c r="E143" s="8" t="s">
        <v>567</v>
      </c>
      <c r="F143" s="6" t="s">
        <v>568</v>
      </c>
      <c r="G143" s="9">
        <f>IF(A143=1,"_",IF(C143="_","???",C143))</f>
        <v/>
      </c>
      <c r="H143" s="10" t="s">
        <v>16</v>
      </c>
      <c r="I143" s="11" t="s">
        <v>16</v>
      </c>
      <c r="J143" s="12"/>
    </row>
    <row r="144" spans="1:10" ht="60" customHeight="1">
      <c r="A144" s="6" t="s">
        <v>569</v>
      </c>
      <c r="B144" s="6" t="s">
        <v>145</v>
      </c>
      <c r="C144" s="6" t="s">
        <v>16</v>
      </c>
      <c r="D144" s="7" t="s">
        <v>570</v>
      </c>
      <c r="E144" s="8" t="s">
        <v>571</v>
      </c>
      <c r="F144" s="6" t="s">
        <v>572</v>
      </c>
      <c r="G144" s="9">
        <f>IF(A144=1,"_",IF(C144="_","???",C144))</f>
        <v/>
      </c>
      <c r="H144" s="10" t="s">
        <v>16</v>
      </c>
      <c r="I144" s="11" t="s">
        <v>16</v>
      </c>
      <c r="J144" s="12"/>
    </row>
    <row r="145" spans="1:10" ht="60" customHeight="1">
      <c r="A145" s="6" t="s">
        <v>573</v>
      </c>
      <c r="B145" s="6" t="s">
        <v>33</v>
      </c>
      <c r="C145" s="6" t="s">
        <v>574</v>
      </c>
      <c r="D145" s="7" t="s">
        <v>575</v>
      </c>
      <c r="E145" s="8" t="s">
        <v>576</v>
      </c>
      <c r="F145" s="6" t="s">
        <v>577</v>
      </c>
      <c r="G145" s="9">
        <f>IF(A145=1,"_",IF(C145="_","???",C145))</f>
        <v/>
      </c>
      <c r="H145" s="10" t="s">
        <v>16</v>
      </c>
      <c r="I145" s="11" t="s">
        <v>16</v>
      </c>
      <c r="J145" s="12"/>
    </row>
    <row r="146" spans="1:10" ht="60" customHeight="1">
      <c r="A146" s="6" t="s">
        <v>578</v>
      </c>
      <c r="B146" s="6" t="s">
        <v>22</v>
      </c>
      <c r="C146" s="6" t="s">
        <v>16</v>
      </c>
      <c r="D146" s="7" t="s">
        <v>579</v>
      </c>
      <c r="E146" s="8" t="s">
        <v>580</v>
      </c>
      <c r="F146" s="6" t="s">
        <v>581</v>
      </c>
      <c r="G146" s="9">
        <f>IF(A146=1,"_",IF(C146="_","???",C146))</f>
        <v/>
      </c>
      <c r="H146" s="10" t="s">
        <v>16</v>
      </c>
      <c r="I146" s="11" t="s">
        <v>16</v>
      </c>
      <c r="J146" s="12"/>
    </row>
    <row r="147" spans="1:10" ht="60" customHeight="1">
      <c r="A147" s="6" t="s">
        <v>582</v>
      </c>
      <c r="B147" s="6" t="s">
        <v>33</v>
      </c>
      <c r="C147" s="6" t="s">
        <v>341</v>
      </c>
      <c r="D147" s="7" t="s">
        <v>56</v>
      </c>
      <c r="E147" s="8" t="s">
        <v>583</v>
      </c>
      <c r="F147" s="6" t="s">
        <v>584</v>
      </c>
      <c r="G147" s="9">
        <f>IF(A147=1,"_",IF(C147="_","???",C147))</f>
        <v/>
      </c>
      <c r="H147" s="10" t="s">
        <v>16</v>
      </c>
      <c r="I147" s="11" t="s">
        <v>16</v>
      </c>
      <c r="J147" s="12"/>
    </row>
    <row r="148" spans="1:10" ht="60" customHeight="1">
      <c r="A148" s="6" t="s">
        <v>585</v>
      </c>
      <c r="B148" s="6" t="s">
        <v>124</v>
      </c>
      <c r="C148" s="6" t="s">
        <v>165</v>
      </c>
      <c r="D148" s="7" t="s">
        <v>586</v>
      </c>
      <c r="E148" s="8" t="s">
        <v>587</v>
      </c>
      <c r="F148" s="6" t="s">
        <v>588</v>
      </c>
      <c r="G148" s="9">
        <f>IF(A148=1,"_",IF(C148="_","???",C148))</f>
        <v/>
      </c>
      <c r="H148" s="10" t="s">
        <v>16</v>
      </c>
      <c r="I148" s="11" t="s">
        <v>16</v>
      </c>
      <c r="J148" s="12"/>
    </row>
    <row r="149" spans="1:10" ht="60" customHeight="1">
      <c r="A149" s="6" t="s">
        <v>589</v>
      </c>
      <c r="B149" s="6" t="s">
        <v>217</v>
      </c>
      <c r="C149" s="6" t="s">
        <v>590</v>
      </c>
      <c r="D149" s="7" t="s">
        <v>591</v>
      </c>
      <c r="E149" s="8" t="s">
        <v>592</v>
      </c>
      <c r="F149" s="6" t="s">
        <v>593</v>
      </c>
      <c r="G149" s="9">
        <f>IF(A149=1,"_",IF(C149="_","???",C149))</f>
        <v/>
      </c>
      <c r="H149" s="10" t="s">
        <v>16</v>
      </c>
      <c r="I149" s="11" t="s">
        <v>16</v>
      </c>
      <c r="J149" s="12"/>
    </row>
    <row r="150" spans="1:10" ht="60" customHeight="1">
      <c r="A150" s="6" t="s">
        <v>594</v>
      </c>
      <c r="B150" s="6" t="s">
        <v>22</v>
      </c>
      <c r="C150" s="6" t="s">
        <v>133</v>
      </c>
      <c r="D150" s="7" t="s">
        <v>595</v>
      </c>
      <c r="E150" s="8" t="s">
        <v>596</v>
      </c>
      <c r="F150" s="6" t="s">
        <v>597</v>
      </c>
      <c r="G150" s="9">
        <f>IF(A150=1,"_",IF(C150="_","???",C150))</f>
        <v/>
      </c>
      <c r="H150" s="10" t="s">
        <v>16</v>
      </c>
      <c r="I150" s="11" t="s">
        <v>16</v>
      </c>
      <c r="J150" s="12"/>
    </row>
    <row r="151" spans="1:10" ht="60" customHeight="1">
      <c r="A151" s="6" t="s">
        <v>598</v>
      </c>
      <c r="B151" s="6" t="s">
        <v>33</v>
      </c>
      <c r="C151" s="6" t="s">
        <v>34</v>
      </c>
      <c r="D151" s="7" t="s">
        <v>595</v>
      </c>
      <c r="E151" s="8" t="s">
        <v>599</v>
      </c>
      <c r="F151" s="6" t="s">
        <v>600</v>
      </c>
      <c r="G151" s="9">
        <f>IF(A151=1,"_",IF(C151="_","???",C151))</f>
        <v/>
      </c>
      <c r="H151" s="10" t="s">
        <v>16</v>
      </c>
      <c r="I151" s="11" t="s">
        <v>16</v>
      </c>
      <c r="J151" s="12"/>
    </row>
    <row r="152" spans="1:10" ht="60" customHeight="1">
      <c r="A152" s="6" t="s">
        <v>601</v>
      </c>
      <c r="B152" s="6" t="s">
        <v>22</v>
      </c>
      <c r="C152" s="6" t="s">
        <v>16</v>
      </c>
      <c r="D152" s="7" t="s">
        <v>602</v>
      </c>
      <c r="E152" s="8" t="s">
        <v>603</v>
      </c>
      <c r="F152" s="6" t="s">
        <v>604</v>
      </c>
      <c r="G152" s="9">
        <f>IF(A152=1,"_",IF(C152="_","???",C152))</f>
        <v/>
      </c>
      <c r="H152" s="10" t="s">
        <v>16</v>
      </c>
      <c r="I152" s="11" t="s">
        <v>16</v>
      </c>
      <c r="J152" s="12"/>
    </row>
    <row r="153" spans="1:10" ht="60" customHeight="1">
      <c r="A153" s="6" t="s">
        <v>605</v>
      </c>
      <c r="B153" s="6" t="s">
        <v>33</v>
      </c>
      <c r="C153" s="6" t="s">
        <v>66</v>
      </c>
      <c r="D153" s="7" t="s">
        <v>606</v>
      </c>
      <c r="E153" s="8" t="s">
        <v>607</v>
      </c>
      <c r="F153" s="6" t="s">
        <v>608</v>
      </c>
      <c r="G153" s="9">
        <f>IF(A153=1,"_",IF(C153="_","???",C153))</f>
        <v/>
      </c>
      <c r="H153" s="10" t="s">
        <v>16</v>
      </c>
      <c r="I153" s="11" t="s">
        <v>16</v>
      </c>
      <c r="J153" s="12"/>
    </row>
    <row r="154" spans="1:10" ht="60" customHeight="1">
      <c r="A154" s="6" t="s">
        <v>609</v>
      </c>
      <c r="B154" s="6" t="s">
        <v>54</v>
      </c>
      <c r="C154" s="6" t="s">
        <v>16</v>
      </c>
      <c r="D154" s="7" t="s">
        <v>225</v>
      </c>
      <c r="E154" s="8" t="s">
        <v>610</v>
      </c>
      <c r="F154" s="6" t="s">
        <v>611</v>
      </c>
      <c r="G154" s="9">
        <f>IF(A154=1,"_",IF(C154="_","???",C154))</f>
        <v/>
      </c>
      <c r="H154" s="10" t="s">
        <v>16</v>
      </c>
      <c r="I154" s="11" t="s">
        <v>16</v>
      </c>
      <c r="J154" s="12"/>
    </row>
    <row r="155" spans="1:10" ht="60" customHeight="1">
      <c r="A155" s="6" t="s">
        <v>612</v>
      </c>
      <c r="B155" s="6" t="s">
        <v>33</v>
      </c>
      <c r="C155" s="6" t="s">
        <v>18</v>
      </c>
      <c r="D155" s="7" t="s">
        <v>92</v>
      </c>
      <c r="E155" s="8" t="s">
        <v>613</v>
      </c>
      <c r="F155" s="6" t="s">
        <v>614</v>
      </c>
      <c r="G155" s="9">
        <f>IF(A155=1,"_",IF(C155="_","???",C155))</f>
        <v/>
      </c>
      <c r="H155" s="10" t="s">
        <v>16</v>
      </c>
      <c r="I155" s="11" t="s">
        <v>16</v>
      </c>
      <c r="J155" s="12"/>
    </row>
    <row r="156" spans="1:10" ht="60" customHeight="1">
      <c r="A156" s="6" t="s">
        <v>615</v>
      </c>
      <c r="B156" s="6" t="s">
        <v>74</v>
      </c>
      <c r="C156" s="6" t="s">
        <v>29</v>
      </c>
      <c r="D156" s="7" t="s">
        <v>616</v>
      </c>
      <c r="E156" s="8" t="s">
        <v>617</v>
      </c>
      <c r="F156" s="6" t="s">
        <v>618</v>
      </c>
      <c r="G156" s="9">
        <f>IF(A156=1,"_",IF(C156="_","???",C156))</f>
        <v/>
      </c>
      <c r="H156" s="10" t="s">
        <v>16</v>
      </c>
      <c r="I156" s="11" t="s">
        <v>16</v>
      </c>
      <c r="J156" s="12"/>
    </row>
    <row r="157" spans="1:10" ht="60" customHeight="1">
      <c r="A157" s="6" t="s">
        <v>619</v>
      </c>
      <c r="B157" s="6" t="s">
        <v>33</v>
      </c>
      <c r="C157" s="6" t="s">
        <v>133</v>
      </c>
      <c r="D157" s="7" t="s">
        <v>620</v>
      </c>
      <c r="E157" s="8" t="s">
        <v>621</v>
      </c>
      <c r="F157" s="6" t="s">
        <v>622</v>
      </c>
      <c r="G157" s="9">
        <f>IF(A157=1,"_",IF(C157="_","???",C157))</f>
        <v/>
      </c>
      <c r="H157" s="10" t="s">
        <v>16</v>
      </c>
      <c r="I157" s="11" t="s">
        <v>16</v>
      </c>
      <c r="J157" s="12"/>
    </row>
    <row r="158" spans="1:10" ht="60" customHeight="1">
      <c r="A158" s="6" t="s">
        <v>623</v>
      </c>
      <c r="B158" s="6" t="s">
        <v>28</v>
      </c>
      <c r="C158" s="6" t="s">
        <v>468</v>
      </c>
      <c r="D158" s="7" t="s">
        <v>624</v>
      </c>
      <c r="E158" s="8" t="s">
        <v>625</v>
      </c>
      <c r="F158" s="6" t="s">
        <v>626</v>
      </c>
      <c r="G158" s="9">
        <f>IF(A158=1,"_",IF(C158="_","???",C158))</f>
        <v/>
      </c>
      <c r="H158" s="10" t="s">
        <v>16</v>
      </c>
      <c r="I158" s="11" t="s">
        <v>16</v>
      </c>
      <c r="J158" s="12"/>
    </row>
    <row r="159" spans="1:10" ht="60" customHeight="1">
      <c r="A159" s="6" t="s">
        <v>627</v>
      </c>
      <c r="B159" s="6" t="s">
        <v>17</v>
      </c>
      <c r="C159" s="6" t="s">
        <v>16</v>
      </c>
      <c r="D159" s="7" t="s">
        <v>129</v>
      </c>
      <c r="E159" s="8" t="s">
        <v>628</v>
      </c>
      <c r="F159" s="6" t="s">
        <v>629</v>
      </c>
      <c r="G159" s="9">
        <f>IF(A159=1,"_",IF(C159="_","???",C159))</f>
        <v/>
      </c>
      <c r="H159" s="10" t="s">
        <v>16</v>
      </c>
      <c r="I159" s="11" t="s">
        <v>16</v>
      </c>
      <c r="J159" s="12"/>
    </row>
    <row r="160" spans="1:10" ht="60" customHeight="1">
      <c r="A160" s="6" t="s">
        <v>630</v>
      </c>
      <c r="B160" s="6" t="s">
        <v>38</v>
      </c>
      <c r="C160" s="6" t="s">
        <v>468</v>
      </c>
      <c r="D160" s="7" t="s">
        <v>129</v>
      </c>
      <c r="E160" s="8" t="s">
        <v>631</v>
      </c>
      <c r="F160" s="6" t="s">
        <v>632</v>
      </c>
      <c r="G160" s="9">
        <f>IF(A160=1,"_",IF(C160="_","???",C160))</f>
        <v/>
      </c>
      <c r="H160" s="10" t="s">
        <v>16</v>
      </c>
      <c r="I160" s="11" t="s">
        <v>16</v>
      </c>
      <c r="J160" s="12"/>
    </row>
    <row r="161" spans="1:10" ht="60" customHeight="1">
      <c r="A161" s="6" t="s">
        <v>633</v>
      </c>
      <c r="B161" s="6" t="s">
        <v>33</v>
      </c>
      <c r="C161" s="6" t="s">
        <v>16</v>
      </c>
      <c r="D161" s="7" t="s">
        <v>634</v>
      </c>
      <c r="E161" s="8" t="s">
        <v>635</v>
      </c>
      <c r="F161" s="6" t="s">
        <v>636</v>
      </c>
      <c r="G161" s="9">
        <f>IF(A161=1,"_",IF(C161="_","???",C161))</f>
        <v/>
      </c>
      <c r="H161" s="10" t="s">
        <v>16</v>
      </c>
      <c r="I161" s="11" t="s">
        <v>16</v>
      </c>
      <c r="J161" s="12"/>
    </row>
    <row r="162" spans="1:10" ht="60" customHeight="1">
      <c r="A162" s="6" t="s">
        <v>637</v>
      </c>
      <c r="B162" s="6" t="s">
        <v>46</v>
      </c>
      <c r="C162" s="6" t="s">
        <v>138</v>
      </c>
      <c r="D162" s="7" t="s">
        <v>638</v>
      </c>
      <c r="E162" s="8" t="s">
        <v>639</v>
      </c>
      <c r="F162" s="6" t="s">
        <v>640</v>
      </c>
      <c r="G162" s="9">
        <f>IF(A162=1,"_",IF(C162="_","???",C162))</f>
        <v/>
      </c>
      <c r="H162" s="10" t="s">
        <v>16</v>
      </c>
      <c r="I162" s="11" t="s">
        <v>16</v>
      </c>
      <c r="J162" s="12"/>
    </row>
    <row r="163" spans="1:10" ht="60" customHeight="1">
      <c r="A163" s="6" t="s">
        <v>641</v>
      </c>
      <c r="B163" s="6" t="s">
        <v>22</v>
      </c>
      <c r="C163" s="6" t="s">
        <v>16</v>
      </c>
      <c r="D163" s="7" t="s">
        <v>129</v>
      </c>
      <c r="E163" s="8" t="s">
        <v>642</v>
      </c>
      <c r="F163" s="6" t="s">
        <v>643</v>
      </c>
      <c r="G163" s="9">
        <f>IF(A163=1,"_",IF(C163="_","???",C163))</f>
        <v/>
      </c>
      <c r="H163" s="10" t="s">
        <v>16</v>
      </c>
      <c r="I163" s="11" t="s">
        <v>16</v>
      </c>
      <c r="J163" s="12"/>
    </row>
    <row r="164" spans="1:10" ht="60" customHeight="1">
      <c r="A164" s="6" t="s">
        <v>644</v>
      </c>
      <c r="B164" s="6" t="s">
        <v>22</v>
      </c>
      <c r="C164" s="6" t="s">
        <v>16</v>
      </c>
      <c r="D164" s="7" t="s">
        <v>129</v>
      </c>
      <c r="E164" s="8" t="s">
        <v>645</v>
      </c>
      <c r="F164" s="6" t="s">
        <v>646</v>
      </c>
      <c r="G164" s="9">
        <f>IF(A164=1,"_",IF(C164="_","???",C164))</f>
        <v/>
      </c>
      <c r="H164" s="10" t="s">
        <v>16</v>
      </c>
      <c r="I164" s="11" t="s">
        <v>16</v>
      </c>
      <c r="J164" s="12"/>
    </row>
    <row r="165" spans="1:10" ht="60" customHeight="1">
      <c r="A165" s="6" t="s">
        <v>647</v>
      </c>
      <c r="B165" s="6" t="s">
        <v>22</v>
      </c>
      <c r="C165" s="6" t="s">
        <v>16</v>
      </c>
      <c r="D165" s="7" t="s">
        <v>648</v>
      </c>
      <c r="E165" s="8" t="s">
        <v>649</v>
      </c>
      <c r="F165" s="6" t="s">
        <v>650</v>
      </c>
      <c r="G165" s="9">
        <f>IF(A165=1,"_",IF(C165="_","???",C165))</f>
        <v/>
      </c>
      <c r="H165" s="10" t="s">
        <v>16</v>
      </c>
      <c r="I165" s="11" t="s">
        <v>16</v>
      </c>
      <c r="J165" s="12"/>
    </row>
    <row r="166" spans="1:10" ht="60" customHeight="1">
      <c r="A166" s="6" t="s">
        <v>651</v>
      </c>
      <c r="B166" s="6" t="s">
        <v>17</v>
      </c>
      <c r="C166" s="6" t="s">
        <v>16</v>
      </c>
      <c r="D166" s="7" t="s">
        <v>473</v>
      </c>
      <c r="E166" s="8" t="s">
        <v>652</v>
      </c>
      <c r="F166" s="6" t="s">
        <v>653</v>
      </c>
      <c r="G166" s="9">
        <f>IF(A166=1,"_",IF(C166="_","???",C166))</f>
        <v/>
      </c>
      <c r="H166" s="10" t="s">
        <v>16</v>
      </c>
      <c r="I166" s="11" t="s">
        <v>16</v>
      </c>
      <c r="J166" s="12"/>
    </row>
    <row r="167" spans="1:10" ht="60" customHeight="1">
      <c r="A167" s="6" t="s">
        <v>654</v>
      </c>
      <c r="B167" s="6" t="s">
        <v>17</v>
      </c>
      <c r="C167" s="6" t="s">
        <v>16</v>
      </c>
      <c r="D167" s="7" t="s">
        <v>655</v>
      </c>
      <c r="E167" s="8" t="s">
        <v>656</v>
      </c>
      <c r="F167" s="6" t="s">
        <v>657</v>
      </c>
      <c r="G167" s="9">
        <f>IF(A167=1,"_",IF(C167="_","???",C167))</f>
        <v/>
      </c>
      <c r="H167" s="10" t="s">
        <v>16</v>
      </c>
      <c r="I167" s="11" t="s">
        <v>16</v>
      </c>
      <c r="J167" s="12"/>
    </row>
    <row r="168" spans="1:10" ht="60" customHeight="1">
      <c r="A168" s="6" t="s">
        <v>658</v>
      </c>
      <c r="B168" s="6" t="s">
        <v>22</v>
      </c>
      <c r="C168" s="6" t="s">
        <v>16</v>
      </c>
      <c r="D168" s="7" t="s">
        <v>225</v>
      </c>
      <c r="E168" s="8" t="s">
        <v>659</v>
      </c>
      <c r="F168" s="6" t="s">
        <v>660</v>
      </c>
      <c r="G168" s="9">
        <f>IF(A168=1,"_",IF(C168="_","???",C168))</f>
        <v/>
      </c>
      <c r="H168" s="10" t="s">
        <v>16</v>
      </c>
      <c r="I168" s="11" t="s">
        <v>16</v>
      </c>
      <c r="J168" s="12"/>
    </row>
    <row r="169" spans="1:10" ht="60" customHeight="1">
      <c r="A169" s="6" t="s">
        <v>661</v>
      </c>
      <c r="B169" s="6" t="s">
        <v>17</v>
      </c>
      <c r="C169" s="6" t="s">
        <v>16</v>
      </c>
      <c r="D169" s="7" t="s">
        <v>56</v>
      </c>
      <c r="E169" s="8" t="s">
        <v>662</v>
      </c>
      <c r="F169" s="6" t="s">
        <v>663</v>
      </c>
      <c r="G169" s="9">
        <f>IF(A169=1,"_",IF(C169="_","???",C169))</f>
        <v/>
      </c>
      <c r="H169" s="10" t="s">
        <v>16</v>
      </c>
      <c r="I169" s="11" t="s">
        <v>16</v>
      </c>
      <c r="J169" s="12"/>
    </row>
    <row r="170" spans="1:10" ht="60" customHeight="1">
      <c r="A170" s="6" t="s">
        <v>664</v>
      </c>
      <c r="B170" s="6" t="s">
        <v>11</v>
      </c>
      <c r="C170" s="6" t="s">
        <v>12</v>
      </c>
      <c r="D170" s="7" t="s">
        <v>333</v>
      </c>
      <c r="E170" s="8" t="s">
        <v>665</v>
      </c>
      <c r="F170" s="6" t="s">
        <v>666</v>
      </c>
      <c r="G170" s="9">
        <f>IF(A170=1,"_",IF(C170="_","???",C170))</f>
        <v/>
      </c>
      <c r="H170" s="10" t="s">
        <v>16</v>
      </c>
      <c r="I170" s="11" t="s">
        <v>16</v>
      </c>
      <c r="J170" s="12"/>
    </row>
    <row r="171" spans="1:10" ht="60" customHeight="1">
      <c r="A171" s="6" t="s">
        <v>667</v>
      </c>
      <c r="B171" s="6" t="s">
        <v>17</v>
      </c>
      <c r="C171" s="6" t="s">
        <v>156</v>
      </c>
      <c r="D171" s="7" t="s">
        <v>129</v>
      </c>
      <c r="E171" s="8" t="s">
        <v>668</v>
      </c>
      <c r="F171" s="6" t="s">
        <v>669</v>
      </c>
      <c r="G171" s="9">
        <f>IF(A171=1,"_",IF(C171="_","???",C171))</f>
        <v/>
      </c>
      <c r="H171" s="10" t="s">
        <v>16</v>
      </c>
      <c r="I171" s="11" t="s">
        <v>16</v>
      </c>
      <c r="J171" s="12"/>
    </row>
    <row r="172" spans="1:10" ht="60" customHeight="1">
      <c r="A172" s="6" t="s">
        <v>670</v>
      </c>
      <c r="B172" s="6" t="s">
        <v>11</v>
      </c>
      <c r="C172" s="6" t="s">
        <v>133</v>
      </c>
      <c r="D172" s="7" t="s">
        <v>671</v>
      </c>
      <c r="E172" s="8" t="s">
        <v>672</v>
      </c>
      <c r="F172" s="6" t="s">
        <v>673</v>
      </c>
      <c r="G172" s="9">
        <f>IF(A172=1,"_",IF(C172="_","???",C172))</f>
        <v/>
      </c>
      <c r="H172" s="10" t="s">
        <v>16</v>
      </c>
      <c r="I172" s="11" t="s">
        <v>16</v>
      </c>
      <c r="J172" s="12"/>
    </row>
    <row r="173" spans="1:10" ht="60" customHeight="1">
      <c r="A173" s="6" t="s">
        <v>674</v>
      </c>
      <c r="B173" s="6" t="s">
        <v>17</v>
      </c>
      <c r="C173" s="6" t="s">
        <v>70</v>
      </c>
      <c r="D173" s="7" t="s">
        <v>92</v>
      </c>
      <c r="E173" s="8" t="s">
        <v>675</v>
      </c>
      <c r="F173" s="6" t="s">
        <v>676</v>
      </c>
      <c r="G173" s="9">
        <f>IF(A173=1,"_",IF(C173="_","???",C173))</f>
        <v/>
      </c>
      <c r="H173" s="10" t="s">
        <v>16</v>
      </c>
      <c r="I173" s="11" t="s">
        <v>16</v>
      </c>
      <c r="J173" s="12"/>
    </row>
    <row r="174" spans="1:10" ht="60" customHeight="1">
      <c r="A174" s="6" t="s">
        <v>677</v>
      </c>
      <c r="B174" s="6" t="s">
        <v>46</v>
      </c>
      <c r="C174" s="6" t="s">
        <v>678</v>
      </c>
      <c r="D174" s="7" t="s">
        <v>679</v>
      </c>
      <c r="E174" s="8" t="s">
        <v>680</v>
      </c>
      <c r="F174" s="6" t="s">
        <v>681</v>
      </c>
      <c r="G174" s="9">
        <f>IF(A174=1,"_",IF(C174="_","???",C174))</f>
        <v/>
      </c>
      <c r="H174" s="10" t="s">
        <v>16</v>
      </c>
      <c r="I174" s="11" t="s">
        <v>16</v>
      </c>
      <c r="J174" s="12"/>
    </row>
    <row r="175" spans="1:10" ht="60" customHeight="1">
      <c r="A175" s="6" t="s">
        <v>682</v>
      </c>
      <c r="B175" s="6" t="s">
        <v>69</v>
      </c>
      <c r="C175" s="6" t="s">
        <v>174</v>
      </c>
      <c r="D175" s="7" t="s">
        <v>683</v>
      </c>
      <c r="E175" s="8" t="s">
        <v>684</v>
      </c>
      <c r="F175" s="6" t="s">
        <v>685</v>
      </c>
      <c r="G175" s="9">
        <f>IF(A175=1,"_",IF(C175="_","???",C175))</f>
        <v/>
      </c>
      <c r="H175" s="10" t="s">
        <v>16</v>
      </c>
      <c r="I175" s="11" t="s">
        <v>16</v>
      </c>
      <c r="J175" s="12"/>
    </row>
    <row r="176" spans="1:10" ht="60" customHeight="1">
      <c r="A176" s="6" t="s">
        <v>686</v>
      </c>
      <c r="B176" s="6" t="s">
        <v>17</v>
      </c>
      <c r="C176" s="6" t="s">
        <v>447</v>
      </c>
      <c r="D176" s="7" t="s">
        <v>683</v>
      </c>
      <c r="E176" s="8" t="s">
        <v>687</v>
      </c>
      <c r="F176" s="6" t="s">
        <v>688</v>
      </c>
      <c r="G176" s="9">
        <f>IF(A176=1,"_",IF(C176="_","???",C176))</f>
        <v/>
      </c>
      <c r="H176" s="10" t="s">
        <v>16</v>
      </c>
      <c r="I176" s="11" t="s">
        <v>16</v>
      </c>
      <c r="J176" s="12"/>
    </row>
    <row r="177" spans="1:10" ht="60" customHeight="1">
      <c r="A177" s="6" t="s">
        <v>689</v>
      </c>
      <c r="B177" s="6" t="s">
        <v>33</v>
      </c>
      <c r="C177" s="6" t="s">
        <v>540</v>
      </c>
      <c r="D177" s="7" t="s">
        <v>84</v>
      </c>
      <c r="E177" s="8" t="s">
        <v>690</v>
      </c>
      <c r="F177" s="6" t="s">
        <v>691</v>
      </c>
      <c r="G177" s="9">
        <f>IF(A177=1,"_",IF(C177="_","???",C177))</f>
        <v/>
      </c>
      <c r="H177" s="10" t="s">
        <v>16</v>
      </c>
      <c r="I177" s="11" t="s">
        <v>16</v>
      </c>
      <c r="J177" s="12"/>
    </row>
    <row r="178" spans="1:10" ht="60" customHeight="1">
      <c r="A178" s="6" t="s">
        <v>692</v>
      </c>
      <c r="B178" s="6" t="s">
        <v>28</v>
      </c>
      <c r="C178" s="6" t="s">
        <v>16</v>
      </c>
      <c r="D178" s="7" t="s">
        <v>693</v>
      </c>
      <c r="E178" s="8" t="s">
        <v>694</v>
      </c>
      <c r="F178" s="6" t="s">
        <v>695</v>
      </c>
      <c r="G178" s="9">
        <f>IF(A178=1,"_",IF(C178="_","???",C178))</f>
        <v/>
      </c>
      <c r="H178" s="10" t="s">
        <v>16</v>
      </c>
      <c r="I178" s="11" t="s">
        <v>16</v>
      </c>
      <c r="J178" s="12"/>
    </row>
    <row r="179" spans="1:10" ht="60" customHeight="1">
      <c r="A179" s="6" t="s">
        <v>696</v>
      </c>
      <c r="B179" s="6" t="s">
        <v>10</v>
      </c>
      <c r="C179" s="6" t="s">
        <v>16</v>
      </c>
      <c r="D179" s="7" t="s">
        <v>697</v>
      </c>
      <c r="E179" s="8" t="s">
        <v>698</v>
      </c>
      <c r="F179" s="6" t="s">
        <v>699</v>
      </c>
      <c r="G179" s="9">
        <f>IF(A179=1,"_",IF(C179="_","???",C179))</f>
        <v/>
      </c>
      <c r="H179" s="10" t="s">
        <v>16</v>
      </c>
      <c r="I179" s="11" t="s">
        <v>16</v>
      </c>
      <c r="J179" s="12"/>
    </row>
    <row r="180" spans="1:10" ht="60" customHeight="1">
      <c r="A180" s="6" t="s">
        <v>700</v>
      </c>
      <c r="B180" s="6" t="s">
        <v>28</v>
      </c>
      <c r="C180" s="6" t="s">
        <v>29</v>
      </c>
      <c r="D180" s="7" t="s">
        <v>701</v>
      </c>
      <c r="E180" s="8" t="s">
        <v>702</v>
      </c>
      <c r="F180" s="6" t="s">
        <v>703</v>
      </c>
      <c r="G180" s="9">
        <f>IF(A180=1,"_",IF(C180="_","???",C180))</f>
        <v/>
      </c>
      <c r="H180" s="10" t="s">
        <v>16</v>
      </c>
      <c r="I180" s="11" t="s">
        <v>16</v>
      </c>
      <c r="J180" s="12"/>
    </row>
    <row r="181" spans="1:10" ht="60" customHeight="1">
      <c r="A181" s="6" t="s">
        <v>704</v>
      </c>
      <c r="B181" s="6" t="s">
        <v>28</v>
      </c>
      <c r="C181" s="6" t="s">
        <v>66</v>
      </c>
      <c r="D181" s="7" t="s">
        <v>92</v>
      </c>
      <c r="E181" s="8" t="s">
        <v>705</v>
      </c>
      <c r="F181" s="6" t="s">
        <v>706</v>
      </c>
      <c r="G181" s="9">
        <f>IF(A181=1,"_",IF(C181="_","???",C181))</f>
        <v/>
      </c>
      <c r="H181" s="10" t="s">
        <v>16</v>
      </c>
      <c r="I181" s="11" t="s">
        <v>16</v>
      </c>
      <c r="J181" s="12"/>
    </row>
    <row r="182" spans="1:10" ht="60" customHeight="1">
      <c r="A182" s="6" t="s">
        <v>707</v>
      </c>
      <c r="B182" s="6" t="s">
        <v>22</v>
      </c>
      <c r="C182" s="6" t="s">
        <v>16</v>
      </c>
      <c r="D182" s="7" t="s">
        <v>92</v>
      </c>
      <c r="E182" s="8" t="s">
        <v>708</v>
      </c>
      <c r="F182" s="6" t="s">
        <v>709</v>
      </c>
      <c r="G182" s="9">
        <f>IF(A182=1,"_",IF(C182="_","???",C182))</f>
        <v/>
      </c>
      <c r="H182" s="10" t="s">
        <v>16</v>
      </c>
      <c r="I182" s="11" t="s">
        <v>16</v>
      </c>
      <c r="J182" s="12"/>
    </row>
    <row r="183" spans="1:10" ht="60" customHeight="1">
      <c r="A183" s="6" t="s">
        <v>710</v>
      </c>
      <c r="B183" s="6" t="s">
        <v>17</v>
      </c>
      <c r="C183" s="6" t="s">
        <v>16</v>
      </c>
      <c r="D183" s="7" t="s">
        <v>92</v>
      </c>
      <c r="E183" s="8" t="s">
        <v>711</v>
      </c>
      <c r="F183" s="6" t="s">
        <v>712</v>
      </c>
      <c r="G183" s="9">
        <f>IF(A183=1,"_",IF(C183="_","???",C183))</f>
        <v/>
      </c>
      <c r="H183" s="10" t="s">
        <v>16</v>
      </c>
      <c r="I183" s="11" t="s">
        <v>16</v>
      </c>
      <c r="J183" s="12"/>
    </row>
    <row r="184" spans="1:10" ht="60" customHeight="1">
      <c r="A184" s="6" t="s">
        <v>713</v>
      </c>
      <c r="B184" s="6" t="s">
        <v>28</v>
      </c>
      <c r="C184" s="6" t="s">
        <v>66</v>
      </c>
      <c r="D184" s="7" t="s">
        <v>714</v>
      </c>
      <c r="E184" s="8" t="s">
        <v>715</v>
      </c>
      <c r="F184" s="6" t="s">
        <v>716</v>
      </c>
      <c r="G184" s="9">
        <f>IF(A184=1,"_",IF(C184="_","???",C184))</f>
        <v/>
      </c>
      <c r="H184" s="10" t="s">
        <v>16</v>
      </c>
      <c r="I184" s="11" t="s">
        <v>16</v>
      </c>
      <c r="J184" s="12"/>
    </row>
    <row r="185" spans="1:10" ht="60" customHeight="1">
      <c r="A185" s="6" t="s">
        <v>717</v>
      </c>
      <c r="B185" s="6" t="s">
        <v>22</v>
      </c>
      <c r="C185" s="6" t="s">
        <v>16</v>
      </c>
      <c r="D185" s="7" t="s">
        <v>718</v>
      </c>
      <c r="E185" s="8" t="s">
        <v>719</v>
      </c>
      <c r="F185" s="6" t="s">
        <v>720</v>
      </c>
      <c r="G185" s="9">
        <f>IF(A185=1,"_",IF(C185="_","???",C185))</f>
        <v/>
      </c>
      <c r="H185" s="10" t="s">
        <v>16</v>
      </c>
      <c r="I185" s="11" t="s">
        <v>16</v>
      </c>
      <c r="J185" s="12"/>
    </row>
    <row r="186" spans="1:10" ht="60" customHeight="1">
      <c r="A186" s="6" t="s">
        <v>721</v>
      </c>
      <c r="B186" s="6" t="s">
        <v>22</v>
      </c>
      <c r="C186" s="6" t="s">
        <v>16</v>
      </c>
      <c r="D186" s="7" t="s">
        <v>722</v>
      </c>
      <c r="E186" s="8" t="s">
        <v>723</v>
      </c>
      <c r="F186" s="6" t="s">
        <v>724</v>
      </c>
      <c r="G186" s="9">
        <f>IF(A186=1,"_",IF(C186="_","???",C186))</f>
        <v/>
      </c>
      <c r="H186" s="10" t="s">
        <v>16</v>
      </c>
      <c r="I186" s="11" t="s">
        <v>16</v>
      </c>
      <c r="J186" s="12"/>
    </row>
    <row r="187" spans="1:10" ht="60" customHeight="1">
      <c r="A187" s="6" t="s">
        <v>725</v>
      </c>
      <c r="B187" s="6" t="s">
        <v>46</v>
      </c>
      <c r="C187" s="6" t="s">
        <v>70</v>
      </c>
      <c r="D187" s="7" t="s">
        <v>189</v>
      </c>
      <c r="E187" s="8" t="s">
        <v>726</v>
      </c>
      <c r="F187" s="6" t="s">
        <v>727</v>
      </c>
      <c r="G187" s="9">
        <f>IF(A187=1,"_",IF(C187="_","???",C187))</f>
        <v/>
      </c>
      <c r="H187" s="10" t="s">
        <v>16</v>
      </c>
      <c r="I187" s="11" t="s">
        <v>16</v>
      </c>
      <c r="J187" s="12"/>
    </row>
    <row r="188" spans="1:10" ht="60" customHeight="1">
      <c r="A188" s="6" t="s">
        <v>728</v>
      </c>
      <c r="B188" s="6" t="s">
        <v>42</v>
      </c>
      <c r="C188" s="6" t="s">
        <v>729</v>
      </c>
      <c r="D188" s="7" t="s">
        <v>730</v>
      </c>
      <c r="E188" s="8" t="s">
        <v>731</v>
      </c>
      <c r="F188" s="6" t="s">
        <v>732</v>
      </c>
      <c r="G188" s="9">
        <f>IF(A188=1,"_",IF(C188="_","???",C188))</f>
        <v/>
      </c>
      <c r="H188" s="10" t="s">
        <v>16</v>
      </c>
      <c r="I188" s="11" t="s">
        <v>16</v>
      </c>
      <c r="J188" s="12"/>
    </row>
    <row r="189" spans="1:10" ht="60" customHeight="1">
      <c r="A189" s="6" t="s">
        <v>733</v>
      </c>
      <c r="B189" s="6" t="s">
        <v>10</v>
      </c>
      <c r="C189" s="6" t="s">
        <v>16</v>
      </c>
      <c r="D189" s="7" t="s">
        <v>734</v>
      </c>
      <c r="E189" s="8" t="s">
        <v>735</v>
      </c>
      <c r="F189" s="6" t="s">
        <v>736</v>
      </c>
      <c r="G189" s="9">
        <f>IF(A189=1,"_",IF(C189="_","???",C189))</f>
        <v/>
      </c>
      <c r="H189" s="10" t="s">
        <v>16</v>
      </c>
      <c r="I189" s="11" t="s">
        <v>16</v>
      </c>
      <c r="J18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14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737</v>
      </c>
      <c r="B1" s="13" t="s">
        <v>738</v>
      </c>
      <c r="C1" s="13" t="s">
        <v>739</v>
      </c>
      <c r="D1" s="13" t="s">
        <v>740</v>
      </c>
      <c r="E1" s="14" t="s">
        <v>741</v>
      </c>
      <c r="F1" s="15" t="s">
        <v>742</v>
      </c>
      <c r="G1" s="16" t="s">
        <v>743</v>
      </c>
      <c r="H1" s="17" t="s">
        <v>744</v>
      </c>
      <c r="I1" s="18" t="s">
        <v>745</v>
      </c>
      <c r="J1" s="18" t="s">
        <v>746</v>
      </c>
      <c r="K1" s="18" t="s">
        <v>747</v>
      </c>
      <c r="L1" s="19" t="s">
        <v>9</v>
      </c>
    </row>
    <row r="2" spans="1:12">
      <c r="A2" s="20" t="s">
        <v>748</v>
      </c>
    </row>
    <row r="3" spans="1:12">
      <c r="A3" s="20" t="s">
        <v>749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750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751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752</v>
      </c>
      <c r="B6" s="27" t="s">
        <v>753</v>
      </c>
      <c r="C6" s="27" t="s">
        <v>754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755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756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757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758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759</v>
      </c>
      <c r="B11" s="27" t="s">
        <v>760</v>
      </c>
      <c r="C11" s="27" t="s">
        <v>761</v>
      </c>
      <c r="D11" s="27" t="s">
        <v>762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763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764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765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766</v>
      </c>
      <c r="B15" s="27" t="s">
        <v>767</v>
      </c>
      <c r="C15" s="27" t="s">
        <v>768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769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770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771</v>
      </c>
      <c r="B18" s="27" t="s">
        <v>772</v>
      </c>
      <c r="C18" s="27" t="s">
        <v>761</v>
      </c>
      <c r="D18" s="27" t="s">
        <v>762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773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774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775</v>
      </c>
    </row>
    <row r="23" spans="1:12">
      <c r="A23" s="20" t="s">
        <v>776</v>
      </c>
      <c r="B23" s="27" t="s">
        <v>760</v>
      </c>
      <c r="C23" s="27" t="s">
        <v>777</v>
      </c>
      <c r="D23" s="27" t="s">
        <v>762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778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779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780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781</v>
      </c>
      <c r="B27" s="27" t="s">
        <v>753</v>
      </c>
      <c r="C27" s="27" t="s">
        <v>768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782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769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783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784</v>
      </c>
      <c r="B31" s="27" t="s">
        <v>753</v>
      </c>
      <c r="C31" s="27" t="s">
        <v>754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785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770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786</v>
      </c>
      <c r="B34" s="27" t="s">
        <v>753</v>
      </c>
      <c r="C34" s="27" t="s">
        <v>761</v>
      </c>
      <c r="D34" s="27" t="s">
        <v>762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757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764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787</v>
      </c>
      <c r="B37" s="27" t="s">
        <v>753</v>
      </c>
      <c r="C37" s="27" t="s">
        <v>768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788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769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770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789</v>
      </c>
      <c r="B41" s="27" t="s">
        <v>772</v>
      </c>
      <c r="C41" s="27" t="s">
        <v>761</v>
      </c>
      <c r="D41" s="27" t="s">
        <v>762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774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row>
    <row r="44" spans="1:12">
      <c r="A44" s="20" t="s">
        <v>790</v>
      </c>
    </row>
    <row r="45" spans="1:12">
      <c r="A45" s="20" t="s">
        <v>791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792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793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794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757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795</v>
      </c>
      <c r="B50" s="27" t="s">
        <v>796</v>
      </c>
      <c r="C50" s="27" t="s">
        <v>797</v>
      </c>
      <c r="D50" s="27" t="s">
        <v>762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798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799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800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801</v>
      </c>
      <c r="B54" s="27" t="s">
        <v>802</v>
      </c>
      <c r="C54" s="27" t="s">
        <v>803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757</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798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799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804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805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421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806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751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792</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793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807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779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808</v>
      </c>
      <c r="B67" s="27" t="s">
        <v>772</v>
      </c>
      <c r="C67" s="27" t="s">
        <v>768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809</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757</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810</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799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769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811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421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812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813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793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807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764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814</v>
      </c>
      <c r="B80" s="27" t="s">
        <v>815</v>
      </c>
      <c r="C80" s="27" t="s">
        <v>768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816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774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817</v>
      </c>
    </row>
    <row r="85" spans="1:12">
      <c r="A85" s="20" t="s">
        <v>818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819</v>
      </c>
      <c r="B86" s="27" t="s">
        <v>760</v>
      </c>
      <c r="C86" s="27" t="s">
        <v>820</v>
      </c>
      <c r="D86" s="27" t="s">
        <v>762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778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821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769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822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823</v>
      </c>
      <c r="B91" s="27" t="s">
        <v>753</v>
      </c>
      <c r="C91" s="27" t="s">
        <v>761</v>
      </c>
      <c r="D91" s="27" t="s">
        <v>762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824</v>
      </c>
      <c r="B92" s="27" t="s">
        <v>772</v>
      </c>
      <c r="C92" s="27" t="s">
        <v>798</v>
      </c>
      <c r="D92" s="27" t="s">
        <v>762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769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825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757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826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827</v>
      </c>
      <c r="B97" s="27" t="s">
        <v>796</v>
      </c>
      <c r="C97" s="27" t="s">
        <v>797</v>
      </c>
      <c r="D97" s="27" t="s">
        <v>762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828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829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830</v>
      </c>
      <c r="B100" s="27" t="s">
        <v>802</v>
      </c>
      <c r="C100" s="27" t="s">
        <v>831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774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832</v>
      </c>
    </row>
    <row r="104" spans="1:12">
      <c r="A104" s="20" t="s">
        <v>833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758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834</v>
      </c>
      <c r="B106" s="27" t="s">
        <v>753</v>
      </c>
      <c r="C106" s="27" t="s">
        <v>761</v>
      </c>
      <c r="D106" s="27" t="s">
        <v>762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835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757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822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836</v>
      </c>
      <c r="B110" s="27" t="s">
        <v>760</v>
      </c>
      <c r="C110" s="27" t="s">
        <v>837</v>
      </c>
      <c r="D110" s="27" t="s">
        <v>762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769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838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839</v>
      </c>
      <c r="B113" s="27" t="s">
        <v>772</v>
      </c>
      <c r="C113" s="27" t="s">
        <v>798</v>
      </c>
      <c r="D113" s="27" t="s">
        <v>762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840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778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841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751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842</v>
      </c>
      <c r="B118" s="27" t="s">
        <v>753</v>
      </c>
      <c r="C118" s="27" t="s">
        <v>754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769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822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843</v>
      </c>
      <c r="B121" s="27" t="s">
        <v>772</v>
      </c>
      <c r="C121" s="27" t="s">
        <v>761</v>
      </c>
      <c r="D121" s="27" t="s">
        <v>762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844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845</v>
      </c>
    </row>
    <row r="125" spans="1:12">
      <c r="A125" s="20" t="s">
        <v>846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847</v>
      </c>
      <c r="B126" s="27" t="s">
        <v>753</v>
      </c>
      <c r="C126" s="27" t="s">
        <v>754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848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row>
    <row r="129" spans="1:12">
      <c r="A129" s="20" t="s">
        <v>849</v>
      </c>
    </row>
    <row r="130" spans="1:12">
      <c r="A130" s="20" t="s">
        <v>850</v>
      </c>
      <c r="B130" s="27" t="s">
        <v>772</v>
      </c>
      <c r="C130" s="27" t="s">
        <v>851</v>
      </c>
      <c r="D130" s="27" t="s">
        <v>762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852</v>
      </c>
      <c r="B131" s="27" t="s">
        <v>760</v>
      </c>
      <c r="C131" s="27" t="s">
        <v>837</v>
      </c>
      <c r="D131" s="27" t="s">
        <v>762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778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770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853</v>
      </c>
      <c r="B134" s="27" t="s">
        <v>753</v>
      </c>
      <c r="C134" s="27" t="s">
        <v>761</v>
      </c>
      <c r="D134" s="27" t="s">
        <v>762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854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855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751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778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856</v>
      </c>
      <c r="B139" s="27" t="s">
        <v>796</v>
      </c>
      <c r="C139" s="27" t="s">
        <v>820</v>
      </c>
      <c r="D139" s="27" t="s">
        <v>762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857</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858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859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860</v>
      </c>
    </row>
    <row r="145" spans="1:12">
      <c r="A145" s="20" t="s">
        <v>861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764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814</v>
      </c>
      <c r="B147" s="27" t="s">
        <v>760</v>
      </c>
      <c r="C147" s="27" t="s">
        <v>768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778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862</v>
      </c>
      <c r="B149" s="27" t="s">
        <v>760</v>
      </c>
      <c r="C149" s="27" t="s">
        <v>797</v>
      </c>
      <c r="D149" s="27" t="s">
        <v>762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863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764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864</v>
      </c>
      <c r="B152" s="27" t="s">
        <v>767</v>
      </c>
      <c r="C152" s="27" t="s">
        <v>768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859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865</v>
      </c>
    </row>
    <row r="156" spans="1:12">
      <c r="A156" s="20" t="s">
        <v>866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827</v>
      </c>
      <c r="B157" s="27" t="s">
        <v>796</v>
      </c>
      <c r="C157" s="27" t="s">
        <v>797</v>
      </c>
      <c r="D157" s="27" t="s">
        <v>762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828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867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868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830</v>
      </c>
      <c r="B161" s="27" t="s">
        <v>802</v>
      </c>
      <c r="C161" s="27" t="s">
        <v>831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757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869</v>
      </c>
      <c r="B163" s="27" t="s">
        <v>760</v>
      </c>
      <c r="C163" s="27" t="s">
        <v>797</v>
      </c>
      <c r="D163" s="27" t="s">
        <v>762</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870</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871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872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779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873</v>
      </c>
      <c r="B168" s="27" t="s">
        <v>753</v>
      </c>
      <c r="C168" s="27" t="s">
        <v>768</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769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874</v>
      </c>
      <c r="B170" s="27" t="s">
        <v>772</v>
      </c>
      <c r="C170" s="27" t="s">
        <v>754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875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876</v>
      </c>
      <c r="B172" s="27" t="s">
        <v>772</v>
      </c>
      <c r="C172" s="27" t="s">
        <v>851</v>
      </c>
      <c r="D172" s="27" t="s">
        <v>762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877</v>
      </c>
      <c r="B173" s="27" t="s">
        <v>753</v>
      </c>
      <c r="C173" s="27" t="s">
        <v>837</v>
      </c>
      <c r="D173" s="27" t="s">
        <v>762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810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878</v>
      </c>
      <c r="B175" s="27" t="s">
        <v>879</v>
      </c>
      <c r="C175" s="27" t="s">
        <v>851</v>
      </c>
      <c r="D175" s="27" t="s">
        <v>762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880</v>
      </c>
      <c r="B176" s="27" t="s">
        <v>772</v>
      </c>
      <c r="C176" s="27" t="s">
        <v>837</v>
      </c>
      <c r="D176" s="27" t="s">
        <v>762</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774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881</v>
      </c>
    </row>
    <row r="180" spans="1:12">
      <c r="A180" s="20" t="s">
        <v>833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882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129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883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884</v>
      </c>
      <c r="B184" s="27" t="s">
        <v>879</v>
      </c>
      <c r="C184" s="27" t="s">
        <v>851</v>
      </c>
      <c r="D184" s="27" t="s">
        <v>762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874</v>
      </c>
      <c r="B185" s="27" t="s">
        <v>802</v>
      </c>
      <c r="C185" s="27" t="s">
        <v>837</v>
      </c>
      <c r="D185" s="27" t="s">
        <v>762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757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822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885</v>
      </c>
      <c r="B188" s="27" t="s">
        <v>760</v>
      </c>
      <c r="C188" s="27" t="s">
        <v>761</v>
      </c>
      <c r="D188" s="27" t="s">
        <v>762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886</v>
      </c>
      <c r="B189" s="27" t="s">
        <v>767</v>
      </c>
      <c r="C189" s="27" t="s">
        <v>797</v>
      </c>
      <c r="D189" s="27" t="s">
        <v>762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887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888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889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890</v>
      </c>
      <c r="B193" s="27" t="s">
        <v>796</v>
      </c>
      <c r="C193" s="27" t="s">
        <v>820</v>
      </c>
      <c r="D193" s="27" t="s">
        <v>762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891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129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892</v>
      </c>
      <c r="B196" s="27" t="s">
        <v>772</v>
      </c>
      <c r="C196" s="27" t="s">
        <v>820</v>
      </c>
      <c r="D196" s="27" t="s">
        <v>762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779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893</v>
      </c>
      <c r="B198" s="27" t="s">
        <v>894</v>
      </c>
      <c r="C198" s="27" t="s">
        <v>768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774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row>
    <row r="201" spans="1:12">
      <c r="A201" s="20" t="s">
        <v>895</v>
      </c>
    </row>
    <row r="202" spans="1:12">
      <c r="A202" s="20" t="s">
        <v>896</v>
      </c>
      <c r="B202" s="27" t="s">
        <v>772</v>
      </c>
      <c r="C202" s="27" t="s">
        <v>851</v>
      </c>
      <c r="D202" s="27" t="s">
        <v>762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880</v>
      </c>
      <c r="B203" s="27" t="s">
        <v>760</v>
      </c>
      <c r="C203" s="27" t="s">
        <v>837</v>
      </c>
      <c r="D203" s="27" t="s">
        <v>762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897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779</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893</v>
      </c>
      <c r="B206" s="27" t="s">
        <v>767</v>
      </c>
      <c r="C206" s="27" t="s">
        <v>768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898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810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899</v>
      </c>
      <c r="B209" s="27" t="s">
        <v>772</v>
      </c>
      <c r="C209" s="27" t="s">
        <v>820</v>
      </c>
      <c r="D209" s="27" t="s">
        <v>762</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779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893</v>
      </c>
      <c r="B211" s="27" t="s">
        <v>879</v>
      </c>
      <c r="C211" s="27" t="s">
        <v>768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900</v>
      </c>
      <c r="B212" s="27" t="s">
        <v>901</v>
      </c>
      <c r="C212" s="27" t="s">
        <v>754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774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row>
    <row r="215" spans="1:12">
      <c r="A215" s="20" t="s">
        <v>902</v>
      </c>
    </row>
    <row r="216" spans="1:12">
      <c r="A216" s="20" t="s">
        <v>850</v>
      </c>
      <c r="B216" s="27" t="s">
        <v>772</v>
      </c>
      <c r="C216" s="27" t="s">
        <v>851</v>
      </c>
      <c r="D216" s="27" t="s">
        <v>762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877</v>
      </c>
      <c r="B217" s="27" t="s">
        <v>760</v>
      </c>
      <c r="C217" s="27" t="s">
        <v>837</v>
      </c>
      <c r="D217" s="27" t="s">
        <v>762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903</v>
      </c>
      <c r="B218" s="27" t="s">
        <v>767</v>
      </c>
      <c r="C218" s="27" t="s">
        <v>797</v>
      </c>
      <c r="D218" s="27" t="s">
        <v>762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887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888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793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869</v>
      </c>
      <c r="B222" s="27" t="s">
        <v>796</v>
      </c>
      <c r="C222" s="27" t="s">
        <v>797</v>
      </c>
      <c r="D222" s="27" t="s">
        <v>762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904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905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272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779</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893</v>
      </c>
      <c r="B227" s="27" t="s">
        <v>894</v>
      </c>
      <c r="C227" s="27" t="s">
        <v>768</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906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774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907</v>
      </c>
    </row>
    <row r="232" spans="1:12">
      <c r="A232" s="20" t="s">
        <v>908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827</v>
      </c>
      <c r="B233" s="27" t="s">
        <v>760</v>
      </c>
      <c r="C233" s="27" t="s">
        <v>797</v>
      </c>
      <c r="D233" s="27" t="s">
        <v>762</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909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888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793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869</v>
      </c>
      <c r="B237" s="27" t="s">
        <v>796</v>
      </c>
      <c r="C237" s="27" t="s">
        <v>797</v>
      </c>
      <c r="D237" s="27" t="s">
        <v>762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683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910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822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900</v>
      </c>
      <c r="B241" s="27" t="s">
        <v>802</v>
      </c>
      <c r="C241" s="27" t="s">
        <v>761</v>
      </c>
      <c r="D241" s="27" t="s">
        <v>762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774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row>
    <row r="244" spans="1:12">
      <c r="A244" s="20" t="s">
        <v>911</v>
      </c>
    </row>
    <row r="245" spans="1:12">
      <c r="A245" s="20" t="s">
        <v>833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795</v>
      </c>
      <c r="B246" s="27" t="s">
        <v>760</v>
      </c>
      <c r="C246" s="27" t="s">
        <v>797</v>
      </c>
      <c r="D246" s="27" t="s">
        <v>762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903</v>
      </c>
      <c r="B247" s="27" t="s">
        <v>767</v>
      </c>
      <c r="C247" s="27" t="s">
        <v>797</v>
      </c>
      <c r="D247" s="27" t="s">
        <v>762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887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912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793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876</v>
      </c>
      <c r="B251" s="27" t="s">
        <v>879</v>
      </c>
      <c r="C251" s="27" t="s">
        <v>851</v>
      </c>
      <c r="D251" s="27" t="s">
        <v>762</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913</v>
      </c>
      <c r="B252" s="27" t="s">
        <v>796</v>
      </c>
      <c r="C252" s="27" t="s">
        <v>837</v>
      </c>
      <c r="D252" s="27" t="s">
        <v>762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914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915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822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906</v>
      </c>
      <c r="B256" s="27" t="s">
        <v>753</v>
      </c>
      <c r="C256" s="27" t="s">
        <v>761</v>
      </c>
      <c r="D256" s="27" t="s">
        <v>762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774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916</v>
      </c>
    </row>
    <row r="260" spans="1:12">
      <c r="A260" s="20" t="s">
        <v>917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918</v>
      </c>
      <c r="B261" s="27" t="s">
        <v>760</v>
      </c>
      <c r="C261" s="27" t="s">
        <v>761</v>
      </c>
      <c r="D261" s="27" t="s">
        <v>762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889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919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876</v>
      </c>
      <c r="B264" s="27" t="s">
        <v>879</v>
      </c>
      <c r="C264" s="27" t="s">
        <v>851</v>
      </c>
      <c r="D264" s="27" t="s">
        <v>762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913</v>
      </c>
      <c r="B265" s="27" t="s">
        <v>772</v>
      </c>
      <c r="C265" s="27" t="s">
        <v>837</v>
      </c>
      <c r="D265" s="27" t="s">
        <v>762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914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920</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822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906</v>
      </c>
      <c r="B269" s="27" t="s">
        <v>753</v>
      </c>
      <c r="C269" s="27" t="s">
        <v>761</v>
      </c>
      <c r="D269" s="27" t="s">
        <v>762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921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793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869</v>
      </c>
      <c r="B272" s="27" t="s">
        <v>796</v>
      </c>
      <c r="C272" s="27" t="s">
        <v>797</v>
      </c>
      <c r="D272" s="27" t="s">
        <v>762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922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923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924</v>
      </c>
      <c r="B275" s="27" t="s">
        <v>879</v>
      </c>
      <c r="C275" s="27" t="s">
        <v>831</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925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846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926</v>
      </c>
      <c r="B278" s="27" t="s">
        <v>879</v>
      </c>
      <c r="C278" s="27" t="s">
        <v>798</v>
      </c>
      <c r="D278" s="27" t="s">
        <v>762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848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778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770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927</v>
      </c>
      <c r="B282" s="27" t="s">
        <v>753</v>
      </c>
      <c r="C282" s="27" t="s">
        <v>761</v>
      </c>
      <c r="D282" s="27" t="s">
        <v>762</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785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770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928</v>
      </c>
      <c r="B285" s="27" t="s">
        <v>901</v>
      </c>
      <c r="C285" s="27" t="s">
        <v>754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769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758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929</v>
      </c>
      <c r="B288" s="27" t="s">
        <v>772</v>
      </c>
      <c r="C288" s="27" t="s">
        <v>837</v>
      </c>
      <c r="D288" s="27" t="s">
        <v>762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769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876</v>
      </c>
      <c r="B290" s="27" t="s">
        <v>901</v>
      </c>
      <c r="C290" s="27" t="s">
        <v>851</v>
      </c>
      <c r="D290" s="27" t="s">
        <v>762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877</v>
      </c>
      <c r="B291" s="27" t="s">
        <v>879</v>
      </c>
      <c r="C291" s="27" t="s">
        <v>837</v>
      </c>
      <c r="D291" s="27" t="s">
        <v>762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757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921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930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769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931</v>
      </c>
      <c r="B296" s="27" t="s">
        <v>772</v>
      </c>
      <c r="C296" s="27" t="s">
        <v>851</v>
      </c>
      <c r="D296" s="27" t="s">
        <v>762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932</v>
      </c>
      <c r="B297" s="27" t="s">
        <v>753</v>
      </c>
      <c r="C297" s="27" t="s">
        <v>837</v>
      </c>
      <c r="D297" s="27" t="s">
        <v>762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774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row>
    <row r="300" spans="1:12">
      <c r="A300" s="20" t="s">
        <v>933</v>
      </c>
    </row>
    <row r="301" spans="1:12">
      <c r="A301" s="20" t="s">
        <v>934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827</v>
      </c>
      <c r="B302" s="27" t="s">
        <v>796</v>
      </c>
      <c r="C302" s="27" t="s">
        <v>797</v>
      </c>
      <c r="D302" s="27" t="s">
        <v>762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935</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757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876</v>
      </c>
      <c r="B306" s="27" t="s">
        <v>772</v>
      </c>
      <c r="C306" s="27" t="s">
        <v>851</v>
      </c>
      <c r="D306" s="27" t="s">
        <v>762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877</v>
      </c>
      <c r="B307" s="27" t="s">
        <v>760</v>
      </c>
      <c r="C307" s="27" t="s">
        <v>837</v>
      </c>
      <c r="D307" s="27" t="s">
        <v>762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936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937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757</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749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938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939</v>
      </c>
      <c r="B313" s="27" t="s">
        <v>796</v>
      </c>
      <c r="C313" s="27" t="s">
        <v>761</v>
      </c>
      <c r="D313" s="27" t="s">
        <v>762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889</v>
      </c>
      <c r="B314" s="27" t="s">
        <v>940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890</v>
      </c>
      <c r="B315" s="27" t="s">
        <v>941</v>
      </c>
      <c r="C315" s="27" t="s">
        <v>820</v>
      </c>
      <c r="D315" s="27" t="s">
        <v>762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887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942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931</v>
      </c>
      <c r="B318" s="27" t="s">
        <v>815</v>
      </c>
      <c r="C318" s="27" t="s">
        <v>851</v>
      </c>
      <c r="D318" s="27" t="s">
        <v>762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943</v>
      </c>
      <c r="B319" s="27" t="s">
        <v>901</v>
      </c>
      <c r="C319" s="27" t="s">
        <v>837</v>
      </c>
      <c r="D319" s="27" t="s">
        <v>762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798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944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785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945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946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947</v>
      </c>
      <c r="B325" s="27" t="s">
        <v>772</v>
      </c>
      <c r="C325" s="27" t="s">
        <v>803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785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822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948</v>
      </c>
      <c r="B328" s="27" t="s">
        <v>879</v>
      </c>
      <c r="C328" s="27" t="s">
        <v>761</v>
      </c>
      <c r="D328" s="27" t="s">
        <v>762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774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row>
    <row r="331" spans="1:12">
      <c r="A331" s="20" t="s">
        <v>949</v>
      </c>
    </row>
    <row r="332" spans="1:12">
      <c r="A332" s="20" t="s">
        <v>833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792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793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950</v>
      </c>
      <c r="B335" s="27" t="s">
        <v>796</v>
      </c>
      <c r="C335" s="27" t="s">
        <v>797</v>
      </c>
      <c r="D335" s="27" t="s">
        <v>762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811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951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804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805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952</v>
      </c>
      <c r="B340" s="27" t="s">
        <v>772</v>
      </c>
      <c r="C340" s="27" t="s">
        <v>754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757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950</v>
      </c>
      <c r="B342" s="27" t="s">
        <v>760</v>
      </c>
      <c r="C342" s="27" t="s">
        <v>797</v>
      </c>
      <c r="D342" s="27" t="s">
        <v>762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798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953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804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954</v>
      </c>
      <c r="B346" s="27" t="s">
        <v>767</v>
      </c>
      <c r="C346" s="27" t="s">
        <v>777</v>
      </c>
      <c r="D346" s="27" t="s">
        <v>762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793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955</v>
      </c>
      <c r="B348" s="27" t="s">
        <v>956</v>
      </c>
      <c r="C348" s="27" t="s">
        <v>777</v>
      </c>
      <c r="D348" s="27" t="s">
        <v>762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774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957</v>
      </c>
    </row>
    <row r="353" spans="1:12">
      <c r="A353" s="20" t="s">
        <v>818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866</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827</v>
      </c>
      <c r="B355" s="27" t="s">
        <v>796</v>
      </c>
      <c r="C355" s="27" t="s">
        <v>797</v>
      </c>
      <c r="D355" s="27" t="s">
        <v>762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935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780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757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869</v>
      </c>
      <c r="B359" s="27" t="s">
        <v>760</v>
      </c>
      <c r="C359" s="27" t="s">
        <v>797</v>
      </c>
      <c r="D359" s="27" t="s">
        <v>762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958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959</v>
      </c>
      <c r="B361" s="27" t="s">
        <v>767</v>
      </c>
      <c r="C361" s="27" t="s">
        <v>777</v>
      </c>
      <c r="D361" s="27" t="s">
        <v>762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942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822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960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961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962</v>
      </c>
      <c r="B366" s="27" t="s">
        <v>753</v>
      </c>
      <c r="C366" s="27" t="s">
        <v>761</v>
      </c>
      <c r="D366" s="27" t="s">
        <v>762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769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822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948</v>
      </c>
      <c r="B369" s="27" t="s">
        <v>772</v>
      </c>
      <c r="C369" s="27" t="s">
        <v>761</v>
      </c>
      <c r="D369" s="27" t="s">
        <v>762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757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889</v>
      </c>
      <c r="B371" s="27" t="s">
        <v>894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795</v>
      </c>
      <c r="B372" s="27" t="s">
        <v>956</v>
      </c>
      <c r="C372" s="27" t="s">
        <v>797</v>
      </c>
      <c r="D372" s="27" t="s">
        <v>762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963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959</v>
      </c>
      <c r="B374" s="27" t="s">
        <v>956</v>
      </c>
      <c r="C374" s="27" t="s">
        <v>777</v>
      </c>
      <c r="D374" s="27" t="s">
        <v>762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785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964</v>
      </c>
      <c r="B376" s="27" t="s">
        <v>879</v>
      </c>
      <c r="C376" s="27" t="s">
        <v>754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805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421</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965</v>
      </c>
      <c r="B379" s="27" t="s">
        <v>815</v>
      </c>
      <c r="C379" s="27" t="s">
        <v>851</v>
      </c>
      <c r="D379" s="27" t="s">
        <v>762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877</v>
      </c>
      <c r="B380" s="27" t="s">
        <v>901</v>
      </c>
      <c r="C380" s="27" t="s">
        <v>837</v>
      </c>
      <c r="D380" s="27" t="s">
        <v>762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774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966</v>
      </c>
    </row>
    <row r="384" spans="1:12">
      <c r="A384" s="20" t="s">
        <v>934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827</v>
      </c>
      <c r="B385" s="27" t="s">
        <v>796</v>
      </c>
      <c r="C385" s="27" t="s">
        <v>797</v>
      </c>
      <c r="D385" s="27" t="s">
        <v>762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935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967</v>
      </c>
      <c r="B387" s="27" t="s">
        <v>753</v>
      </c>
      <c r="C387" s="27" t="s">
        <v>754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757</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869</v>
      </c>
      <c r="B389" s="27" t="s">
        <v>760</v>
      </c>
      <c r="C389" s="27" t="s">
        <v>797</v>
      </c>
      <c r="D389" s="27" t="s">
        <v>762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968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793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827</v>
      </c>
      <c r="B392" s="27" t="s">
        <v>796</v>
      </c>
      <c r="C392" s="27" t="s">
        <v>797</v>
      </c>
      <c r="D392" s="27" t="s">
        <v>762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935</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924</v>
      </c>
      <c r="B394" s="27" t="s">
        <v>753</v>
      </c>
      <c r="C394" s="27" t="s">
        <v>754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757</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810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793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969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869</v>
      </c>
      <c r="B399" s="27" t="s">
        <v>796</v>
      </c>
      <c r="C399" s="27" t="s">
        <v>797</v>
      </c>
      <c r="D399" s="27" t="s">
        <v>762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798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970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971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804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769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972</v>
      </c>
      <c r="B406" s="27" t="s">
        <v>894</v>
      </c>
      <c r="C406" s="27" t="s">
        <v>768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774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row>
    <row r="409" spans="1:12">
      <c r="A409" s="20" t="s">
        <v>973</v>
      </c>
    </row>
    <row r="410" spans="1:12">
      <c r="A410" s="20" t="s">
        <v>833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974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795</v>
      </c>
      <c r="B412" s="27" t="s">
        <v>796</v>
      </c>
      <c r="C412" s="27" t="s">
        <v>797</v>
      </c>
      <c r="D412" s="27" t="s">
        <v>762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936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959</v>
      </c>
      <c r="B414" s="27" t="s">
        <v>802</v>
      </c>
      <c r="C414" s="27" t="s">
        <v>777</v>
      </c>
      <c r="D414" s="27" t="s">
        <v>762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757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959</v>
      </c>
      <c r="B416" s="27" t="s">
        <v>760</v>
      </c>
      <c r="C416" s="27" t="s">
        <v>777</v>
      </c>
      <c r="D416" s="27" t="s">
        <v>762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975</v>
      </c>
      <c r="B417" s="27" t="s">
        <v>767</v>
      </c>
      <c r="C417" s="27" t="s">
        <v>797</v>
      </c>
      <c r="D417" s="27" t="s">
        <v>762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976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977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774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row>
    <row r="422" spans="1:12">
      <c r="A422" s="20" t="s">
        <v>978</v>
      </c>
    </row>
    <row r="423" spans="1:12">
      <c r="A423" s="20" t="s">
        <v>833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882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129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918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878</v>
      </c>
      <c r="B427" s="27" t="s">
        <v>879</v>
      </c>
      <c r="C427" s="27" t="s">
        <v>851</v>
      </c>
      <c r="D427" s="27" t="s">
        <v>762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979</v>
      </c>
      <c r="B428" s="27" t="s">
        <v>802</v>
      </c>
      <c r="C428" s="27" t="s">
        <v>837</v>
      </c>
      <c r="D428" s="27" t="s">
        <v>762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757</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974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795</v>
      </c>
      <c r="B431" s="27" t="s">
        <v>956</v>
      </c>
      <c r="C431" s="27" t="s">
        <v>797</v>
      </c>
      <c r="D431" s="27" t="s">
        <v>762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887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980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785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822</v>
      </c>
      <c r="B435" s="27" t="s">
        <v>940</v>
      </c>
      <c r="C435" s="27" t="s">
        <v>797</v>
      </c>
      <c r="D435" s="27" t="s">
        <v>762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757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827</v>
      </c>
      <c r="B438" s="27" t="s">
        <v>760</v>
      </c>
      <c r="C438" s="27" t="s">
        <v>797</v>
      </c>
      <c r="D438" s="27" t="s">
        <v>762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935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981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774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row>
    <row r="443" spans="1:12">
      <c r="A443" s="20" t="s">
        <v>982</v>
      </c>
    </row>
    <row r="444" spans="1:12">
      <c r="A444" s="20" t="s">
        <v>983</v>
      </c>
      <c r="B444" s="27" t="s">
        <v>760</v>
      </c>
      <c r="C444" s="27" t="s">
        <v>797</v>
      </c>
      <c r="D444" s="27" t="s">
        <v>762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984</v>
      </c>
      <c r="B445" s="27" t="s">
        <v>767</v>
      </c>
      <c r="C445" s="27" t="s">
        <v>797</v>
      </c>
      <c r="D445" s="27" t="s">
        <v>762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985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757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749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983</v>
      </c>
      <c r="B449" s="27" t="s">
        <v>796</v>
      </c>
      <c r="C449" s="27" t="s">
        <v>797</v>
      </c>
      <c r="D449" s="27" t="s">
        <v>762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870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924</v>
      </c>
      <c r="B451" s="27" t="s">
        <v>753</v>
      </c>
      <c r="C451" s="27" t="s">
        <v>754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774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986</v>
      </c>
    </row>
    <row r="455" spans="1:12">
      <c r="A455" s="20" t="s">
        <v>987</v>
      </c>
      <c r="B455" s="27" t="s">
        <v>760</v>
      </c>
      <c r="C455" s="27" t="s">
        <v>777</v>
      </c>
      <c r="D455" s="27" t="s">
        <v>762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811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778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804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770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988</v>
      </c>
      <c r="B460" s="27" t="s">
        <v>753</v>
      </c>
      <c r="C460" s="27" t="s">
        <v>761</v>
      </c>
      <c r="D460" s="27" t="s">
        <v>762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872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989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869</v>
      </c>
      <c r="B463" s="27" t="s">
        <v>796</v>
      </c>
      <c r="C463" s="27" t="s">
        <v>797</v>
      </c>
      <c r="D463" s="27" t="s">
        <v>762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990</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774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991</v>
      </c>
    </row>
    <row r="468" spans="1:12">
      <c r="A468" s="20" t="s">
        <v>833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869</v>
      </c>
      <c r="B469" s="27" t="s">
        <v>760</v>
      </c>
      <c r="C469" s="27" t="s">
        <v>797</v>
      </c>
      <c r="D469" s="27" t="s">
        <v>762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992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793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950</v>
      </c>
      <c r="B472" s="27" t="s">
        <v>796</v>
      </c>
      <c r="C472" s="27" t="s">
        <v>797</v>
      </c>
      <c r="D472" s="27" t="s">
        <v>762</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993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769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959</v>
      </c>
      <c r="B476" s="27" t="s">
        <v>894</v>
      </c>
      <c r="C476" s="27" t="s">
        <v>777</v>
      </c>
      <c r="D476" s="27" t="s">
        <v>762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774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row>
    <row r="479" spans="1:12">
      <c r="A479" s="20" t="s">
        <v>994</v>
      </c>
    </row>
    <row r="480" spans="1:12">
      <c r="A480" s="20" t="s">
        <v>818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995</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996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887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997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830</v>
      </c>
      <c r="B486" s="27" t="s">
        <v>802</v>
      </c>
      <c r="C486" s="27" t="s">
        <v>831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757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998</v>
      </c>
      <c r="B488" s="27" t="s">
        <v>772</v>
      </c>
      <c r="C488" s="27" t="s">
        <v>851</v>
      </c>
      <c r="D488" s="27" t="s">
        <v>762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999</v>
      </c>
      <c r="B489" s="27" t="s">
        <v>760</v>
      </c>
      <c r="C489" s="27" t="s">
        <v>837</v>
      </c>
      <c r="D489" s="27" t="s">
        <v>762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785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822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1000</v>
      </c>
      <c r="B492" s="27" t="s">
        <v>772</v>
      </c>
      <c r="C492" s="27" t="s">
        <v>798</v>
      </c>
      <c r="D492" s="27" t="s">
        <v>762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1001</v>
      </c>
      <c r="B493" s="27" t="s">
        <v>879</v>
      </c>
      <c r="C493" s="27" t="s">
        <v>798</v>
      </c>
      <c r="D493" s="27" t="s">
        <v>762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1002</v>
      </c>
      <c r="B494" s="27" t="s">
        <v>879</v>
      </c>
      <c r="C494" s="27" t="s">
        <v>798</v>
      </c>
      <c r="D494" s="27" t="s">
        <v>762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1003</v>
      </c>
      <c r="B495" s="27" t="s">
        <v>879</v>
      </c>
      <c r="C495" s="27" t="s">
        <v>798</v>
      </c>
      <c r="D495" s="27" t="s">
        <v>762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903</v>
      </c>
      <c r="B496" s="27" t="s">
        <v>767</v>
      </c>
      <c r="C496" s="27" t="s">
        <v>797</v>
      </c>
      <c r="D496" s="27" t="s">
        <v>762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1004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1005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805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382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779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1006</v>
      </c>
      <c r="B502" s="27" t="s">
        <v>802</v>
      </c>
      <c r="C502" s="27" t="s">
        <v>768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1007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770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1008</v>
      </c>
      <c r="B505" s="27" t="s">
        <v>879</v>
      </c>
      <c r="C505" s="27" t="s">
        <v>761</v>
      </c>
      <c r="D505" s="27" t="s">
        <v>762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1009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774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row>
    <row r="509" spans="1:12">
      <c r="A509" s="20" t="s">
        <v>1010</v>
      </c>
    </row>
    <row r="510" spans="1:12">
      <c r="A510" s="20" t="s">
        <v>833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827</v>
      </c>
      <c r="B511" s="27" t="s">
        <v>760</v>
      </c>
      <c r="C511" s="27" t="s">
        <v>797</v>
      </c>
      <c r="D511" s="27" t="s">
        <v>762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751</v>
      </c>
      <c r="B512" s="27" t="s">
        <v>767</v>
      </c>
      <c r="C512" s="27" t="s">
        <v>820</v>
      </c>
      <c r="D512" s="27" t="s">
        <v>762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870</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1011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1012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774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row>
    <row r="518" spans="1:12">
      <c r="A518" s="20" t="s">
        <v>1013</v>
      </c>
    </row>
    <row r="519" spans="1:12">
      <c r="A519" s="20" t="s">
        <v>983</v>
      </c>
      <c r="B519" s="27" t="s">
        <v>760</v>
      </c>
      <c r="C519" s="27" t="s">
        <v>797</v>
      </c>
      <c r="D519" s="27" t="s">
        <v>762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811</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828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1014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785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770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1015</v>
      </c>
      <c r="B525" s="27" t="s">
        <v>753</v>
      </c>
      <c r="C525" s="27" t="s">
        <v>761</v>
      </c>
      <c r="D525" s="27" t="s">
        <v>762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889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751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792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793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814</v>
      </c>
      <c r="B530" s="27" t="s">
        <v>753</v>
      </c>
      <c r="C530" s="27" t="s">
        <v>754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774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row>
    <row r="533" spans="1:12">
      <c r="A533" s="20" t="s">
        <v>1016</v>
      </c>
    </row>
    <row r="534" spans="1:12">
      <c r="A534" s="20" t="s">
        <v>1017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1018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125</v>
      </c>
      <c r="B536" s="27" t="s">
        <v>753</v>
      </c>
      <c r="C536" s="27" t="s">
        <v>1019</v>
      </c>
      <c r="D536" s="27" t="s">
        <v>762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1020</v>
      </c>
      <c r="B537" s="27" t="s">
        <v>796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798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1021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804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1022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774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1023</v>
      </c>
    </row>
    <row r="545" spans="1:12">
      <c r="A545" s="20" t="s">
        <v>1024</v>
      </c>
      <c r="B545" s="27" t="s">
        <v>760</v>
      </c>
      <c r="C545" s="27" t="s">
        <v>797</v>
      </c>
      <c r="D545" s="27" t="s">
        <v>762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1025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1026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1015</v>
      </c>
      <c r="B548" s="27" t="s">
        <v>767</v>
      </c>
      <c r="C548" s="27" t="s">
        <v>1019</v>
      </c>
      <c r="D548" s="27" t="s">
        <v>762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757</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793</v>
      </c>
      <c r="B550" s="27" t="s">
        <v>894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1027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1028</v>
      </c>
      <c r="B552" s="27" t="s">
        <v>940</v>
      </c>
      <c r="C552" s="27" t="s">
        <v>797</v>
      </c>
      <c r="D552" s="27" t="s">
        <v>762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333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942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1029</v>
      </c>
      <c r="B555" s="27" t="s">
        <v>901</v>
      </c>
      <c r="C555" s="27" t="s">
        <v>820</v>
      </c>
      <c r="D555" s="27" t="s">
        <v>762</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859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1030</v>
      </c>
    </row>
    <row r="559" spans="1:12">
      <c r="A559" s="20" t="s">
        <v>983</v>
      </c>
      <c r="B559" s="27" t="s">
        <v>760</v>
      </c>
      <c r="C559" s="27" t="s">
        <v>797</v>
      </c>
      <c r="D559" s="27" t="s">
        <v>762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870</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1031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1032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872</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822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948</v>
      </c>
      <c r="B565" s="27" t="s">
        <v>753</v>
      </c>
      <c r="C565" s="27" t="s">
        <v>761</v>
      </c>
      <c r="D565" s="27" t="s">
        <v>762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769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838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1033</v>
      </c>
      <c r="B568" s="27" t="s">
        <v>772</v>
      </c>
      <c r="C568" s="27" t="s">
        <v>761</v>
      </c>
      <c r="D568" s="27" t="s">
        <v>762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774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row>
    <row r="571" spans="1:12">
      <c r="A571" s="20" t="s">
        <v>1034</v>
      </c>
    </row>
    <row r="572" spans="1:12">
      <c r="A572" s="20" t="s">
        <v>983</v>
      </c>
      <c r="B572" s="27" t="s">
        <v>760</v>
      </c>
      <c r="C572" s="27" t="s">
        <v>797</v>
      </c>
      <c r="D572" s="27" t="s">
        <v>762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870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871</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872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769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838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1035</v>
      </c>
      <c r="B578" s="27" t="s">
        <v>753</v>
      </c>
      <c r="C578" s="27" t="s">
        <v>761</v>
      </c>
      <c r="D578" s="27" t="s">
        <v>762</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942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1033</v>
      </c>
      <c r="B580" s="27" t="s">
        <v>753</v>
      </c>
      <c r="C580" s="27" t="s">
        <v>754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774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row>
    <row r="583" spans="1:12">
      <c r="A583" s="20" t="s">
        <v>1036</v>
      </c>
    </row>
    <row r="584" spans="1:12">
      <c r="A584" s="20" t="s">
        <v>1037</v>
      </c>
      <c r="B584" s="27" t="s">
        <v>760</v>
      </c>
      <c r="C584" s="27" t="s">
        <v>797</v>
      </c>
      <c r="D584" s="27" t="s">
        <v>762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909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1038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785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769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822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1039</v>
      </c>
      <c r="B590" s="27" t="s">
        <v>753</v>
      </c>
      <c r="C590" s="27" t="s">
        <v>761</v>
      </c>
      <c r="D590" s="27" t="s">
        <v>762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1040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810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785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769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770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1041</v>
      </c>
      <c r="B596" s="27" t="s">
        <v>753</v>
      </c>
      <c r="C596" s="27" t="s">
        <v>761</v>
      </c>
      <c r="D596" s="27" t="s">
        <v>762</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1009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774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row>
    <row r="600" spans="1:12">
      <c r="A600" s="20" t="s">
        <v>1042</v>
      </c>
    </row>
    <row r="601" spans="1:12">
      <c r="A601" s="20" t="s">
        <v>983</v>
      </c>
      <c r="B601" s="27" t="s">
        <v>760</v>
      </c>
      <c r="C601" s="27" t="s">
        <v>797</v>
      </c>
      <c r="D601" s="27" t="s">
        <v>762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870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1043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871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785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822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1044</v>
      </c>
      <c r="B607" s="27" t="s">
        <v>753</v>
      </c>
      <c r="C607" s="27" t="s">
        <v>837</v>
      </c>
      <c r="D607" s="27" t="s">
        <v>762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769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1045</v>
      </c>
      <c r="B609" s="27" t="s">
        <v>772</v>
      </c>
      <c r="C609" s="27" t="s">
        <v>798</v>
      </c>
      <c r="D609" s="27" t="s">
        <v>762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1046</v>
      </c>
      <c r="B610" s="27" t="s">
        <v>879</v>
      </c>
      <c r="C610" s="27" t="s">
        <v>798</v>
      </c>
      <c r="D610" s="27" t="s">
        <v>762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1047</v>
      </c>
      <c r="B611" s="27" t="s">
        <v>879</v>
      </c>
      <c r="C611" s="27" t="s">
        <v>798</v>
      </c>
      <c r="D611" s="27" t="s">
        <v>762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785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1048</v>
      </c>
      <c r="B613" s="27" t="s">
        <v>772</v>
      </c>
      <c r="C613" s="27" t="s">
        <v>798</v>
      </c>
      <c r="D613" s="27" t="s">
        <v>762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872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822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1049</v>
      </c>
      <c r="B616" s="27" t="s">
        <v>753</v>
      </c>
      <c r="C616" s="27" t="s">
        <v>798</v>
      </c>
      <c r="D616" s="27" t="s">
        <v>762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1050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838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125</v>
      </c>
      <c r="B619" s="27" t="s">
        <v>956</v>
      </c>
      <c r="C619" s="27" t="s">
        <v>761</v>
      </c>
      <c r="D619" s="27" t="s">
        <v>762</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1051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1052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769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1026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1053</v>
      </c>
      <c r="B624" s="27" t="s">
        <v>879</v>
      </c>
      <c r="C624" s="27" t="s">
        <v>1019</v>
      </c>
      <c r="D624" s="27" t="s">
        <v>762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769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838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1054</v>
      </c>
      <c r="B627" s="27" t="s">
        <v>901</v>
      </c>
      <c r="C627" s="27" t="s">
        <v>761</v>
      </c>
      <c r="D627" s="27" t="s">
        <v>762</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785</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758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1055</v>
      </c>
      <c r="B630" s="27" t="s">
        <v>901</v>
      </c>
      <c r="C630" s="27" t="s">
        <v>761</v>
      </c>
      <c r="D630" s="27" t="s">
        <v>762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769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822</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1056</v>
      </c>
      <c r="B633" s="27" t="s">
        <v>815</v>
      </c>
      <c r="C633" s="27" t="s">
        <v>761</v>
      </c>
      <c r="D633" s="27" t="s">
        <v>762</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774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row r="636" spans="1:12">
      <c r="A636" s="20" t="s">
        <v>1057</v>
      </c>
    </row>
    <row r="637" spans="1:12">
      <c r="A637" s="20" t="s">
        <v>1058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793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869</v>
      </c>
      <c r="B639" s="27" t="s">
        <v>796</v>
      </c>
      <c r="C639" s="27" t="s">
        <v>797</v>
      </c>
      <c r="D639" s="27" t="s">
        <v>762</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975</v>
      </c>
      <c r="B640" s="27" t="s">
        <v>802</v>
      </c>
      <c r="C640" s="27" t="s">
        <v>797</v>
      </c>
      <c r="D640" s="27" t="s">
        <v>762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1059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769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960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751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872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822</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948</v>
      </c>
      <c r="B648" s="27" t="s">
        <v>772</v>
      </c>
      <c r="C648" s="27" t="s">
        <v>761</v>
      </c>
      <c r="D648" s="27" t="s">
        <v>762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769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838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1033</v>
      </c>
      <c r="B651" s="27" t="s">
        <v>879</v>
      </c>
      <c r="C651" s="27" t="s">
        <v>761</v>
      </c>
      <c r="D651" s="27" t="s">
        <v>762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757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869</v>
      </c>
      <c r="B653" s="27" t="s">
        <v>760</v>
      </c>
      <c r="C653" s="27" t="s">
        <v>797</v>
      </c>
      <c r="D653" s="27" t="s">
        <v>762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870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1060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1061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793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770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1015</v>
      </c>
      <c r="B659" s="27" t="s">
        <v>956</v>
      </c>
      <c r="C659" s="27" t="s">
        <v>761</v>
      </c>
      <c r="D659" s="27" t="s">
        <v>762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915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764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1008</v>
      </c>
      <c r="B662" s="27" t="s">
        <v>772</v>
      </c>
      <c r="C662" s="27" t="s">
        <v>768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810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793</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838</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125</v>
      </c>
      <c r="B666" s="27" t="s">
        <v>941</v>
      </c>
      <c r="C666" s="27" t="s">
        <v>761</v>
      </c>
      <c r="D666" s="27" t="s">
        <v>762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769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822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948</v>
      </c>
      <c r="B669" s="27" t="s">
        <v>815</v>
      </c>
      <c r="C669" s="27" t="s">
        <v>761</v>
      </c>
      <c r="D669" s="27" t="s">
        <v>762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769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838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1033</v>
      </c>
      <c r="B672" s="27" t="s">
        <v>1062</v>
      </c>
      <c r="C672" s="27" t="s">
        <v>761</v>
      </c>
      <c r="D672" s="27" t="s">
        <v>762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1020</v>
      </c>
      <c r="B673" s="27" t="s">
        <v>1063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1064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757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749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1065</v>
      </c>
      <c r="B677" s="27" t="s">
        <v>941</v>
      </c>
      <c r="C677" s="27" t="s">
        <v>797</v>
      </c>
      <c r="D677" s="27" t="s">
        <v>762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798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1066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804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1067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757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886</v>
      </c>
      <c r="B683" s="27" t="s">
        <v>796</v>
      </c>
      <c r="C683" s="27" t="s">
        <v>797</v>
      </c>
      <c r="D683" s="27" t="s">
        <v>762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1066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1068</v>
      </c>
      <c r="B685" s="27" t="s">
        <v>753</v>
      </c>
      <c r="C685" s="27" t="s">
        <v>754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805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764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1008</v>
      </c>
      <c r="B688" s="27" t="s">
        <v>772</v>
      </c>
      <c r="C688" s="27" t="s">
        <v>768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757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818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1064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1069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1070</v>
      </c>
      <c r="B693" s="27" t="s">
        <v>894</v>
      </c>
      <c r="C693" s="27" t="s">
        <v>803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769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1071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774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1072</v>
      </c>
    </row>
    <row r="699" spans="1:12">
      <c r="A699" s="20" t="s">
        <v>987</v>
      </c>
      <c r="B699" s="27" t="s">
        <v>760</v>
      </c>
      <c r="C699" s="27" t="s">
        <v>777</v>
      </c>
      <c r="D699" s="27" t="s">
        <v>762</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811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915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804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876</v>
      </c>
      <c r="B703" s="27" t="s">
        <v>753</v>
      </c>
      <c r="C703" s="27" t="s">
        <v>851</v>
      </c>
      <c r="D703" s="27" t="s">
        <v>762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1008</v>
      </c>
      <c r="B704" s="27" t="s">
        <v>753</v>
      </c>
      <c r="C704" s="27" t="s">
        <v>837</v>
      </c>
      <c r="D704" s="27" t="s">
        <v>762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757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810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869</v>
      </c>
      <c r="B707" s="27" t="s">
        <v>796</v>
      </c>
      <c r="C707" s="27" t="s">
        <v>797</v>
      </c>
      <c r="D707" s="27" t="s">
        <v>762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811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828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804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1073</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1074</v>
      </c>
      <c r="B712" s="27" t="s">
        <v>802</v>
      </c>
      <c r="C712" s="27" t="s">
        <v>754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769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975</v>
      </c>
      <c r="B714" s="27" t="s">
        <v>940</v>
      </c>
      <c r="C714" s="27" t="s">
        <v>797</v>
      </c>
      <c r="D714" s="27" t="s">
        <v>762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1075</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942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838</v>
      </c>
      <c r="B717" s="27" t="s">
        <v>1076</v>
      </c>
      <c r="C717" s="27" t="s">
        <v>797</v>
      </c>
      <c r="D717" s="27" t="s">
        <v>762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1077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757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921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827</v>
      </c>
      <c r="B721" s="27" t="s">
        <v>796</v>
      </c>
      <c r="C721" s="27" t="s">
        <v>797</v>
      </c>
      <c r="D721" s="27" t="s">
        <v>762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1078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793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954</v>
      </c>
      <c r="B724" s="27" t="s">
        <v>956</v>
      </c>
      <c r="C724" s="27" t="s">
        <v>777</v>
      </c>
      <c r="D724" s="27" t="s">
        <v>762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920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764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1008</v>
      </c>
      <c r="B727" s="27" t="s">
        <v>772</v>
      </c>
      <c r="C727" s="27" t="s">
        <v>768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810</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793</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942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1079</v>
      </c>
      <c r="B731" s="27" t="s">
        <v>901</v>
      </c>
      <c r="C731" s="27" t="s">
        <v>777</v>
      </c>
      <c r="D731" s="27" t="s">
        <v>762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1020</v>
      </c>
      <c r="B732" s="27" t="s">
        <v>1080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751</v>
      </c>
      <c r="B733" s="27" t="s">
        <v>1062</v>
      </c>
      <c r="C733" s="27" t="s">
        <v>820</v>
      </c>
      <c r="D733" s="27" t="s">
        <v>762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1081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1068</v>
      </c>
      <c r="B735" s="27" t="s">
        <v>815</v>
      </c>
      <c r="C735" s="27" t="s">
        <v>754</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757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795</v>
      </c>
      <c r="B737" s="27" t="s">
        <v>941</v>
      </c>
      <c r="C737" s="27" t="s">
        <v>797</v>
      </c>
      <c r="D737" s="27" t="s">
        <v>762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1082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930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1083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793</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770</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1008</v>
      </c>
      <c r="B743" s="27" t="s">
        <v>815</v>
      </c>
      <c r="C743" s="27" t="s">
        <v>761</v>
      </c>
      <c r="D743" s="27" t="s">
        <v>762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1084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757</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924</v>
      </c>
      <c r="B746" s="27" t="s">
        <v>1062</v>
      </c>
      <c r="C746" s="27" t="s">
        <v>754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1085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1086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774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row>
    <row r="751" spans="1:12">
      <c r="A751" s="20" t="s">
        <v>1087</v>
      </c>
    </row>
    <row r="752" spans="1:12">
      <c r="A752" s="20" t="s">
        <v>1088</v>
      </c>
      <c r="B752" s="27" t="s">
        <v>760</v>
      </c>
      <c r="C752" s="27" t="s">
        <v>797</v>
      </c>
      <c r="D752" s="27" t="s">
        <v>762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1082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867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1043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930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1089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793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770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1008</v>
      </c>
      <c r="B760" s="27" t="s">
        <v>772</v>
      </c>
      <c r="C760" s="27" t="s">
        <v>761</v>
      </c>
      <c r="D760" s="27" t="s">
        <v>762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1090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774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row>
    <row r="764" spans="1:12">
      <c r="A764" s="20" t="s">
        <v>1091</v>
      </c>
    </row>
    <row r="765" spans="1:12">
      <c r="A765" s="20" t="s">
        <v>1092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764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1093</v>
      </c>
      <c r="B767" s="27" t="s">
        <v>760</v>
      </c>
      <c r="C767" s="27" t="s">
        <v>837</v>
      </c>
      <c r="D767" s="27" t="s">
        <v>762</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805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779</v>
      </c>
      <c r="B769" s="27" t="s">
        <v>772</v>
      </c>
      <c r="C769" s="27" t="s">
        <v>820</v>
      </c>
      <c r="D769" s="27" t="s">
        <v>762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769</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998</v>
      </c>
      <c r="B771" s="27" t="s">
        <v>901</v>
      </c>
      <c r="C771" s="27" t="s">
        <v>851</v>
      </c>
      <c r="D771" s="27" t="s">
        <v>762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1094</v>
      </c>
      <c r="B772" s="27" t="s">
        <v>879</v>
      </c>
      <c r="C772" s="27" t="s">
        <v>837</v>
      </c>
      <c r="D772" s="27" t="s">
        <v>762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887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1095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764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1096</v>
      </c>
      <c r="B776" s="27" t="s">
        <v>767</v>
      </c>
      <c r="C776" s="27" t="s">
        <v>768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1097</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774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row>
    <row r="780" spans="1:12">
      <c r="A780" s="20" t="s">
        <v>1098</v>
      </c>
    </row>
    <row r="781" spans="1:12">
      <c r="A781" s="20" t="s">
        <v>934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1099</v>
      </c>
      <c r="B782" s="27" t="s">
        <v>879</v>
      </c>
      <c r="C782" s="27" t="s">
        <v>851</v>
      </c>
      <c r="D782" s="27" t="s">
        <v>762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1096</v>
      </c>
      <c r="B783" s="27" t="s">
        <v>796</v>
      </c>
      <c r="C783" s="27" t="s">
        <v>837</v>
      </c>
      <c r="D783" s="27" t="s">
        <v>762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778</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1100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757</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795</v>
      </c>
      <c r="B787" s="27" t="s">
        <v>760</v>
      </c>
      <c r="C787" s="27" t="s">
        <v>797</v>
      </c>
      <c r="D787" s="27" t="s">
        <v>762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840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778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1101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1102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1103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785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769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838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1104</v>
      </c>
      <c r="B796" s="27" t="s">
        <v>772</v>
      </c>
      <c r="C796" s="27" t="s">
        <v>761</v>
      </c>
      <c r="D796" s="27" t="s">
        <v>762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1020</v>
      </c>
      <c r="B797" s="27" t="s">
        <v>941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1105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975</v>
      </c>
      <c r="B799" s="27" t="s">
        <v>940</v>
      </c>
      <c r="C799" s="27" t="s">
        <v>797</v>
      </c>
      <c r="D799" s="27" t="s">
        <v>762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1106</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1107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769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1108</v>
      </c>
      <c r="B803" s="27" t="s">
        <v>815</v>
      </c>
      <c r="C803" s="27" t="s">
        <v>754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774</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1109</v>
      </c>
    </row>
    <row r="807" spans="1:12">
      <c r="A807" s="20" t="s">
        <v>1088</v>
      </c>
      <c r="B807" s="27" t="s">
        <v>760</v>
      </c>
      <c r="C807" s="27" t="s">
        <v>797</v>
      </c>
      <c r="D807" s="27" t="s">
        <v>762</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915</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1103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785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770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852</v>
      </c>
      <c r="B812" s="27" t="s">
        <v>753</v>
      </c>
      <c r="C812" s="27" t="s">
        <v>761</v>
      </c>
      <c r="D812" s="27" t="s">
        <v>762</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769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1110</v>
      </c>
      <c r="B814" s="27" t="s">
        <v>802</v>
      </c>
      <c r="C814" s="27" t="s">
        <v>820</v>
      </c>
      <c r="D814" s="27" t="s">
        <v>762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333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875</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1026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952</v>
      </c>
      <c r="B818" s="27" t="s">
        <v>772</v>
      </c>
      <c r="C818" s="27" t="s">
        <v>1019</v>
      </c>
      <c r="D818" s="27" t="s">
        <v>762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774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row>
    <row r="821" spans="1:12">
      <c r="A821" s="20" t="s">
        <v>1111</v>
      </c>
    </row>
    <row r="822" spans="1:12">
      <c r="A822" s="20" t="s">
        <v>1112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862</v>
      </c>
      <c r="B823" s="27" t="s">
        <v>760</v>
      </c>
      <c r="C823" s="27" t="s">
        <v>797</v>
      </c>
      <c r="D823" s="27" t="s">
        <v>762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854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749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1113</v>
      </c>
      <c r="B827" s="27" t="s">
        <v>796</v>
      </c>
      <c r="C827" s="27" t="s">
        <v>797</v>
      </c>
      <c r="D827" s="27" t="s">
        <v>762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1114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807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1115</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822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948</v>
      </c>
      <c r="B832" s="27" t="s">
        <v>753</v>
      </c>
      <c r="C832" s="27" t="s">
        <v>761</v>
      </c>
      <c r="D832" s="27" t="s">
        <v>762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757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921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779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1116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960</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1117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818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859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row>
    <row r="842" spans="1:12">
      <c r="A842" s="20" t="s">
        <v>1118</v>
      </c>
    </row>
    <row r="843" spans="1:12">
      <c r="A843" s="20" t="s">
        <v>1119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1120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1121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862</v>
      </c>
      <c r="B846" s="27" t="s">
        <v>760</v>
      </c>
      <c r="C846" s="27" t="s">
        <v>797</v>
      </c>
      <c r="D846" s="27" t="s">
        <v>762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221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769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1122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764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1123</v>
      </c>
      <c r="B851" s="27" t="s">
        <v>894</v>
      </c>
      <c r="C851" s="27" t="s">
        <v>768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805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864</v>
      </c>
      <c r="B853" s="27" t="s">
        <v>901</v>
      </c>
      <c r="C853" s="27" t="s">
        <v>754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1097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757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769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840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1124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872</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758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1125</v>
      </c>
      <c r="B861" s="27" t="s">
        <v>1062</v>
      </c>
      <c r="C861" s="27" t="s">
        <v>761</v>
      </c>
      <c r="D861" s="27" t="s">
        <v>762</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769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838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1126</v>
      </c>
      <c r="B864" s="27" t="s">
        <v>1127</v>
      </c>
      <c r="C864" s="27" t="s">
        <v>761</v>
      </c>
      <c r="D864" s="27" t="s">
        <v>762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769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1117</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1128</v>
      </c>
      <c r="B867" s="27" t="s">
        <v>1129</v>
      </c>
      <c r="C867" s="27" t="s">
        <v>837</v>
      </c>
      <c r="D867" s="27" t="s">
        <v>762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805</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1046</v>
      </c>
      <c r="B869" s="27" t="s">
        <v>1130</v>
      </c>
      <c r="C869" s="27" t="s">
        <v>798</v>
      </c>
      <c r="D869" s="27" t="s">
        <v>762</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757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1051</v>
      </c>
      <c r="B871" s="27" t="s">
        <v>1131</v>
      </c>
      <c r="C871" s="27" t="s">
        <v>797</v>
      </c>
      <c r="D871" s="27" t="s">
        <v>762</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1132</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1007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954</v>
      </c>
      <c r="B874" s="27" t="s">
        <v>1127</v>
      </c>
      <c r="C874" s="27" t="s">
        <v>777</v>
      </c>
      <c r="D874" s="27" t="s">
        <v>762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1020</v>
      </c>
      <c r="B875" s="27" t="s">
        <v>1133</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1134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785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838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1135</v>
      </c>
      <c r="B879" s="27" t="s">
        <v>1130</v>
      </c>
      <c r="C879" s="27" t="s">
        <v>761</v>
      </c>
      <c r="D879" s="27" t="s">
        <v>762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859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row>
    <row r="882" spans="1:12">
      <c r="A882" s="20" t="s">
        <v>1136</v>
      </c>
    </row>
    <row r="883" spans="1:12">
      <c r="A883" s="20" t="s">
        <v>1037</v>
      </c>
      <c r="B883" s="27" t="s">
        <v>760</v>
      </c>
      <c r="C883" s="27" t="s">
        <v>797</v>
      </c>
      <c r="D883" s="27" t="s">
        <v>762</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909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1101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1014</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757</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770</v>
      </c>
      <c r="B888" s="27" t="s">
        <v>767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1137</v>
      </c>
      <c r="B889" s="27" t="s">
        <v>772</v>
      </c>
      <c r="C889" s="27" t="s">
        <v>754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769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838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943</v>
      </c>
      <c r="B892" s="27" t="s">
        <v>772</v>
      </c>
      <c r="C892" s="27" t="s">
        <v>761</v>
      </c>
      <c r="D892" s="27" t="s">
        <v>762</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1033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1138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769</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1139</v>
      </c>
      <c r="B896" s="27" t="s">
        <v>901</v>
      </c>
      <c r="C896" s="27" t="s">
        <v>754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1140</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774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row>
    <row r="900" spans="1:12">
      <c r="A900" s="20" t="s">
        <v>1141</v>
      </c>
    </row>
    <row r="901" spans="1:12">
      <c r="A901" s="20" t="s">
        <v>1017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1139</v>
      </c>
      <c r="B902" s="27" t="s">
        <v>760</v>
      </c>
      <c r="C902" s="27" t="s">
        <v>1019</v>
      </c>
      <c r="D902" s="27" t="s">
        <v>762</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1140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1004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1142</v>
      </c>
      <c r="B905" s="27" t="s">
        <v>767</v>
      </c>
      <c r="C905" s="27" t="s">
        <v>754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785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221</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769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838</v>
      </c>
      <c r="B909" s="27" t="s">
        <v>894</v>
      </c>
      <c r="C909" s="27" t="s">
        <v>797</v>
      </c>
      <c r="D909" s="27" t="s">
        <v>762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1143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774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1144</v>
      </c>
    </row>
    <row r="914" spans="1:12">
      <c r="A914" s="20" t="s">
        <v>1017</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1033</v>
      </c>
      <c r="B915" s="27" t="s">
        <v>760</v>
      </c>
      <c r="C915" s="27" t="s">
        <v>1019</v>
      </c>
      <c r="D915" s="27" t="s">
        <v>762</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1145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770</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1146</v>
      </c>
      <c r="B918" s="27" t="s">
        <v>767</v>
      </c>
      <c r="C918" s="27" t="s">
        <v>761</v>
      </c>
      <c r="D918" s="27" t="s">
        <v>762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805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764</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1147</v>
      </c>
      <c r="B921" s="27" t="s">
        <v>772</v>
      </c>
      <c r="C921" s="27" t="s">
        <v>768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1085</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805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764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946</v>
      </c>
      <c r="B925" s="27" t="s">
        <v>879</v>
      </c>
      <c r="C925" s="27" t="s">
        <v>820</v>
      </c>
      <c r="D925" s="27" t="s">
        <v>762</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785</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758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1148</v>
      </c>
      <c r="B928" s="27" t="s">
        <v>901</v>
      </c>
      <c r="C928" s="27" t="s">
        <v>761</v>
      </c>
      <c r="D928" s="27" t="s">
        <v>762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774</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1149</v>
      </c>
    </row>
    <row r="932" spans="1:12">
      <c r="A932" s="20" t="s">
        <v>1150</v>
      </c>
      <c r="B932" s="27" t="s">
        <v>760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1137</v>
      </c>
      <c r="B933" s="27" t="s">
        <v>772</v>
      </c>
      <c r="C933" s="27" t="s">
        <v>754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769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838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1151</v>
      </c>
      <c r="B936" s="27" t="s">
        <v>772</v>
      </c>
      <c r="C936" s="27" t="s">
        <v>761</v>
      </c>
      <c r="D936" s="27" t="s">
        <v>762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1138</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769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1139</v>
      </c>
      <c r="B939" s="27" t="s">
        <v>753</v>
      </c>
      <c r="C939" s="27" t="s">
        <v>754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1152</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774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row>
    <row r="943" spans="1:12">
      <c r="A943" s="20" t="s">
        <v>1153</v>
      </c>
    </row>
    <row r="944" spans="1:12">
      <c r="A944" s="20" t="s">
        <v>1017</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1139</v>
      </c>
      <c r="B945" s="27" t="s">
        <v>760</v>
      </c>
      <c r="C945" s="27" t="s">
        <v>1019</v>
      </c>
      <c r="D945" s="27" t="s">
        <v>762</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1152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1154</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937</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889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1155</v>
      </c>
      <c r="B950" s="27" t="s">
        <v>796</v>
      </c>
      <c r="C950" s="27" t="s">
        <v>797</v>
      </c>
      <c r="D950" s="27" t="s">
        <v>762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1156</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872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954</v>
      </c>
      <c r="B953" s="27" t="s">
        <v>772</v>
      </c>
      <c r="C953" s="27" t="s">
        <v>777</v>
      </c>
      <c r="D953" s="27" t="s">
        <v>762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889</v>
      </c>
      <c r="B954" s="27" t="s">
        <v>940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1155</v>
      </c>
      <c r="B955" s="27" t="s">
        <v>941</v>
      </c>
      <c r="C955" s="27" t="s">
        <v>797</v>
      </c>
      <c r="D955" s="27" t="s">
        <v>762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1157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421</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822</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948</v>
      </c>
      <c r="B959" s="27" t="s">
        <v>901</v>
      </c>
      <c r="C959" s="27" t="s">
        <v>761</v>
      </c>
      <c r="D959" s="27" t="s">
        <v>762</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1158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757</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810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1159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1151</v>
      </c>
      <c r="B964" s="27" t="s">
        <v>796</v>
      </c>
      <c r="C964" s="27" t="s">
        <v>1019</v>
      </c>
      <c r="D964" s="27" t="s">
        <v>762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1160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189</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1161</v>
      </c>
      <c r="B967" s="27" t="s">
        <v>901</v>
      </c>
      <c r="C967" s="27" t="s">
        <v>851</v>
      </c>
      <c r="D967" s="27" t="s">
        <v>762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864</v>
      </c>
      <c r="B968" s="27" t="s">
        <v>894</v>
      </c>
      <c r="C968" s="27" t="s">
        <v>837</v>
      </c>
      <c r="D968" s="27" t="s">
        <v>762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960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1162</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774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row>
    <row r="973" spans="1:12">
      <c r="A973" s="20" t="s">
        <v>1163</v>
      </c>
    </row>
    <row r="974" spans="1:12">
      <c r="A974" s="20" t="s">
        <v>833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858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757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697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996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1164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1026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1093</v>
      </c>
      <c r="B981" s="27" t="s">
        <v>767</v>
      </c>
      <c r="C981" s="27" t="s">
        <v>1019</v>
      </c>
      <c r="D981" s="27" t="s">
        <v>762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1020</v>
      </c>
      <c r="B982" s="27" t="s">
        <v>956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1165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785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1159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1104</v>
      </c>
      <c r="B986" s="27" t="s">
        <v>879</v>
      </c>
      <c r="C986" s="27" t="s">
        <v>1019</v>
      </c>
      <c r="D986" s="27" t="s">
        <v>762</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805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864</v>
      </c>
      <c r="B988" s="27" t="s">
        <v>901</v>
      </c>
      <c r="C988" s="27" t="s">
        <v>754</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875</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1099</v>
      </c>
      <c r="B990" s="27" t="s">
        <v>901</v>
      </c>
      <c r="C990" s="27" t="s">
        <v>851</v>
      </c>
      <c r="D990" s="27" t="s">
        <v>762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1096</v>
      </c>
      <c r="B991" s="27" t="s">
        <v>879</v>
      </c>
      <c r="C991" s="27" t="s">
        <v>837</v>
      </c>
      <c r="D991" s="27" t="s">
        <v>762</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1097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774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row>
    <row r="995" spans="1:12">
      <c r="A995" s="20" t="s">
        <v>1166</v>
      </c>
    </row>
    <row r="996" spans="1:12">
      <c r="A996" s="20" t="s">
        <v>833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869</v>
      </c>
      <c r="B997" s="27" t="s">
        <v>760</v>
      </c>
      <c r="C997" s="27" t="s">
        <v>797</v>
      </c>
      <c r="D997" s="27" t="s">
        <v>762</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975</v>
      </c>
      <c r="B998" s="27" t="s">
        <v>767</v>
      </c>
      <c r="C998" s="27" t="s">
        <v>797</v>
      </c>
      <c r="D998" s="27" t="s">
        <v>762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870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888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757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955</v>
      </c>
      <c r="B1002" s="27" t="s">
        <v>796</v>
      </c>
      <c r="C1002" s="27" t="s">
        <v>777</v>
      </c>
      <c r="D1002" s="27" t="s">
        <v>762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778</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1167</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770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1043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1070</v>
      </c>
      <c r="B1007" s="27" t="s">
        <v>753</v>
      </c>
      <c r="C1007" s="27" t="s">
        <v>761</v>
      </c>
      <c r="D1007" s="27" t="s">
        <v>762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854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1168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972</v>
      </c>
      <c r="B1010" s="27" t="s">
        <v>772</v>
      </c>
      <c r="C1010" s="27" t="s">
        <v>768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1020</v>
      </c>
      <c r="B1011" s="27" t="s">
        <v>941</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1051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1169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807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1170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1171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875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779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952</v>
      </c>
      <c r="B1019" s="27" t="s">
        <v>815</v>
      </c>
      <c r="C1019" s="27" t="s">
        <v>768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1020</v>
      </c>
      <c r="B1020" s="27" t="s">
        <v>1172</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1173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1174</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774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row>
    <row r="1025" spans="1:12">
      <c r="A1025" s="20" t="s">
        <v>1175</v>
      </c>
    </row>
    <row r="1026" spans="1:12">
      <c r="A1026" s="20" t="s">
        <v>833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827</v>
      </c>
      <c r="B1027" s="27" t="s">
        <v>760</v>
      </c>
      <c r="C1027" s="27" t="s">
        <v>797</v>
      </c>
      <c r="D1027" s="27" t="s">
        <v>762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909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1176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758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1177</v>
      </c>
      <c r="B1031" s="27" t="s">
        <v>767</v>
      </c>
      <c r="C1031" s="27" t="s">
        <v>761</v>
      </c>
      <c r="D1031" s="27" t="s">
        <v>762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889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697</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996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887</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910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1178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1179</v>
      </c>
      <c r="B1038" s="27" t="s">
        <v>802</v>
      </c>
      <c r="C1038" s="27" t="s">
        <v>831</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805</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864</v>
      </c>
      <c r="B1040" s="27" t="s">
        <v>879</v>
      </c>
      <c r="C1040" s="27" t="s">
        <v>754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774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row>
    <row r="1043" spans="1:12">
      <c r="A1043" s="20" t="s">
        <v>1180</v>
      </c>
    </row>
    <row r="1044" spans="1:12">
      <c r="A1044" s="20" t="s">
        <v>995</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996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887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769</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838</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1181</v>
      </c>
      <c r="B1049" s="27" t="s">
        <v>753</v>
      </c>
      <c r="C1049" s="27" t="s">
        <v>761</v>
      </c>
      <c r="D1049" s="27" t="s">
        <v>762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1182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757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1020</v>
      </c>
      <c r="B1052" s="27" t="s">
        <v>956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1183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1184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769</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1185</v>
      </c>
      <c r="B1056" s="27" t="s">
        <v>879</v>
      </c>
      <c r="C1056" s="27" t="s">
        <v>754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751</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1185</v>
      </c>
      <c r="B1058" s="27" t="s">
        <v>879</v>
      </c>
      <c r="C1058" s="27" t="s">
        <v>754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769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838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1139</v>
      </c>
      <c r="B1061" s="27" t="s">
        <v>901</v>
      </c>
      <c r="C1061" s="27" t="s">
        <v>761</v>
      </c>
      <c r="D1061" s="27" t="s">
        <v>762</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785</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838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943</v>
      </c>
      <c r="B1064" s="27" t="s">
        <v>815</v>
      </c>
      <c r="C1064" s="27" t="s">
        <v>761</v>
      </c>
      <c r="D1064" s="27" t="s">
        <v>762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774</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row>
    <row r="1067" spans="1:12">
      <c r="A1067" s="20" t="s">
        <v>1186</v>
      </c>
    </row>
    <row r="1068" spans="1:12">
      <c r="A1068" s="20" t="s">
        <v>987</v>
      </c>
      <c r="B1068" s="27" t="s">
        <v>760</v>
      </c>
      <c r="C1068" s="27" t="s">
        <v>777</v>
      </c>
      <c r="D1068" s="27" t="s">
        <v>762</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1183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838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1187</v>
      </c>
      <c r="B1071" s="27" t="s">
        <v>753</v>
      </c>
      <c r="C1071" s="27" t="s">
        <v>761</v>
      </c>
      <c r="D1071" s="27" t="s">
        <v>762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807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758</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1188</v>
      </c>
      <c r="B1074" s="27" t="s">
        <v>753</v>
      </c>
      <c r="C1074" s="27" t="s">
        <v>761</v>
      </c>
      <c r="D1074" s="27" t="s">
        <v>762</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757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937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770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1189</v>
      </c>
      <c r="B1078" s="27" t="s">
        <v>753</v>
      </c>
      <c r="C1078" s="27" t="s">
        <v>761</v>
      </c>
      <c r="D1078" s="27" t="s">
        <v>762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757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770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1053</v>
      </c>
      <c r="B1081" s="27" t="s">
        <v>753</v>
      </c>
      <c r="C1081" s="27" t="s">
        <v>761</v>
      </c>
      <c r="D1081" s="27" t="s">
        <v>762</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757</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937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770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1190</v>
      </c>
      <c r="B1085" s="27" t="s">
        <v>753</v>
      </c>
      <c r="C1085" s="27" t="s">
        <v>761</v>
      </c>
      <c r="D1085" s="27" t="s">
        <v>762</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774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row>
    <row r="1088" spans="1:12">
      <c r="A1088" s="20" t="s">
        <v>1191</v>
      </c>
    </row>
    <row r="1089" spans="1:12">
      <c r="A1089" s="20" t="s">
        <v>987</v>
      </c>
      <c r="B1089" s="27" t="s">
        <v>760</v>
      </c>
      <c r="C1089" s="27" t="s">
        <v>777</v>
      </c>
      <c r="D1089" s="27" t="s">
        <v>762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1183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838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1187</v>
      </c>
      <c r="B1092" s="27" t="s">
        <v>753</v>
      </c>
      <c r="C1092" s="27" t="s">
        <v>761</v>
      </c>
      <c r="D1092" s="27" t="s">
        <v>762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793</v>
      </c>
      <c r="B1093" s="27" t="s">
        <v>802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758</v>
      </c>
      <c r="B1094" s="27" t="s">
        <v>796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890</v>
      </c>
      <c r="B1095" s="27" t="s">
        <v>879</v>
      </c>
      <c r="C1095" s="27" t="s">
        <v>820</v>
      </c>
      <c r="D1095" s="27" t="s">
        <v>762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887</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751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1192</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875</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931</v>
      </c>
      <c r="B1100" s="27" t="s">
        <v>879</v>
      </c>
      <c r="C1100" s="27" t="s">
        <v>851</v>
      </c>
      <c r="D1100" s="27" t="s">
        <v>762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1139</v>
      </c>
      <c r="B1101" s="27" t="s">
        <v>772</v>
      </c>
      <c r="C1101" s="27" t="s">
        <v>837</v>
      </c>
      <c r="D1101" s="27" t="s">
        <v>762</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810</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931</v>
      </c>
      <c r="B1103" s="27" t="s">
        <v>901</v>
      </c>
      <c r="C1103" s="27" t="s">
        <v>851</v>
      </c>
      <c r="D1103" s="27" t="s">
        <v>762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943</v>
      </c>
      <c r="B1104" s="27" t="s">
        <v>879</v>
      </c>
      <c r="C1104" s="27" t="s">
        <v>837</v>
      </c>
      <c r="D1104" s="27" t="s">
        <v>762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774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row>
    <row r="1107" spans="1:12">
      <c r="A1107" s="20" t="s">
        <v>1193</v>
      </c>
    </row>
    <row r="1108" spans="1:12">
      <c r="A1108" s="20" t="s">
        <v>833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1031</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793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1194</v>
      </c>
      <c r="B1111" s="27" t="s">
        <v>796</v>
      </c>
      <c r="C1111" s="27" t="s">
        <v>820</v>
      </c>
      <c r="D1111" s="27" t="s">
        <v>762</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805</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1195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1196</v>
      </c>
      <c r="B1114" s="27" t="s">
        <v>879</v>
      </c>
      <c r="C1114" s="27" t="s">
        <v>797</v>
      </c>
      <c r="D1114" s="27" t="s">
        <v>762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1197</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421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1198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757</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890</v>
      </c>
      <c r="B1119" s="27" t="s">
        <v>760</v>
      </c>
      <c r="C1119" s="27" t="s">
        <v>820</v>
      </c>
      <c r="D1119" s="27" t="s">
        <v>762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811</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1199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804</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769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838</v>
      </c>
      <c r="B1124" s="27" t="s">
        <v>802</v>
      </c>
      <c r="C1124" s="27" t="s">
        <v>797</v>
      </c>
      <c r="D1124" s="27" t="s">
        <v>762</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1143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774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row>
    <row r="1128" spans="1:12">
      <c r="A1128" s="20" t="s">
        <v>1200</v>
      </c>
    </row>
    <row r="1129" spans="1:12">
      <c r="A1129" s="20" t="s">
        <v>1201</v>
      </c>
      <c r="B1129" s="27" t="s">
        <v>760</v>
      </c>
      <c r="C1129" s="27" t="s">
        <v>820</v>
      </c>
      <c r="D1129" s="27" t="s">
        <v>762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1202</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1203</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889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697</v>
      </c>
      <c r="B1133" s="27" t="s">
        <v>956</v>
      </c>
      <c r="C1133" s="27" t="s">
        <v>797</v>
      </c>
      <c r="D1133" s="27" t="s">
        <v>762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778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960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1204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785</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838</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1205</v>
      </c>
      <c r="B1139" s="27" t="s">
        <v>879</v>
      </c>
      <c r="C1139" s="27" t="s">
        <v>798</v>
      </c>
      <c r="D1139" s="27" t="s">
        <v>762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757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965</v>
      </c>
      <c r="B1141" s="27" t="s">
        <v>901</v>
      </c>
      <c r="C1141" s="27" t="s">
        <v>851</v>
      </c>
      <c r="D1141" s="27" t="s">
        <v>762</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836</v>
      </c>
      <c r="B1142" s="27" t="s">
        <v>879</v>
      </c>
      <c r="C1142" s="27" t="s">
        <v>837</v>
      </c>
      <c r="D1142" s="27" t="s">
        <v>762</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1206</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1207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757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805</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421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764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262</v>
      </c>
      <c r="B1149" s="27" t="s">
        <v>901</v>
      </c>
      <c r="C1149" s="27" t="s">
        <v>768</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769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913</v>
      </c>
      <c r="B1151" s="27" t="s">
        <v>815</v>
      </c>
      <c r="C1151" s="27" t="s">
        <v>754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774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1208</v>
      </c>
    </row>
    <row r="1155" spans="1:12">
      <c r="A1155" s="20" t="s">
        <v>833</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1209</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757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697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811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996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887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262</v>
      </c>
      <c r="B1162" s="27" t="s">
        <v>753</v>
      </c>
      <c r="C1162" s="27" t="s">
        <v>754</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1020</v>
      </c>
      <c r="B1163" s="27" t="s">
        <v>956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920</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751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1210</v>
      </c>
      <c r="B1166" s="27" t="s">
        <v>879</v>
      </c>
      <c r="C1166" s="27" t="s">
        <v>754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805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221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769</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840</v>
      </c>
      <c r="B1170" s="27" t="s">
        <v>1076</v>
      </c>
      <c r="C1170" s="27" t="s">
        <v>797</v>
      </c>
      <c r="D1170" s="27" t="s">
        <v>762</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1211</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793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770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1212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1185</v>
      </c>
      <c r="B1175" s="27" t="s">
        <v>1080</v>
      </c>
      <c r="C1175" s="27" t="s">
        <v>761</v>
      </c>
      <c r="D1175" s="27" t="s">
        <v>762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805</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943</v>
      </c>
      <c r="B1177" s="27" t="s">
        <v>1127</v>
      </c>
      <c r="C1177" s="27" t="s">
        <v>754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1213</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769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1139</v>
      </c>
      <c r="B1180" s="27" t="s">
        <v>1130</v>
      </c>
      <c r="C1180" s="27" t="s">
        <v>754</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1214</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810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1215</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1216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875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764</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1217</v>
      </c>
      <c r="B1187" s="27" t="s">
        <v>1062</v>
      </c>
      <c r="C1187" s="27" t="s">
        <v>768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1218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810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769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838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1219</v>
      </c>
      <c r="B1192" s="27" t="s">
        <v>1127</v>
      </c>
      <c r="C1192" s="27" t="s">
        <v>761</v>
      </c>
      <c r="D1192" s="27" t="s">
        <v>762</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1220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774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row>
    <row r="1196" spans="1:12">
      <c r="A1196" s="20" t="s">
        <v>1221</v>
      </c>
    </row>
    <row r="1197" spans="1:12">
      <c r="A1197" s="20" t="s">
        <v>833</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697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996</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887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1159</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1222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1181</v>
      </c>
      <c r="B1203" s="27" t="s">
        <v>767</v>
      </c>
      <c r="C1203" s="27" t="s">
        <v>1019</v>
      </c>
      <c r="D1203" s="27" t="s">
        <v>762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793</v>
      </c>
      <c r="B1204" s="27" t="s">
        <v>940</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758</v>
      </c>
      <c r="B1205" s="27" t="s">
        <v>956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890</v>
      </c>
      <c r="B1206" s="27" t="s">
        <v>901</v>
      </c>
      <c r="C1206" s="27" t="s">
        <v>820</v>
      </c>
      <c r="D1206" s="27" t="s">
        <v>762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1223</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1224</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805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779</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1225</v>
      </c>
      <c r="B1211" s="27" t="s">
        <v>901</v>
      </c>
      <c r="C1211" s="27" t="s">
        <v>768</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769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1226</v>
      </c>
      <c r="B1213" s="27" t="s">
        <v>815</v>
      </c>
      <c r="C1213" s="27" t="s">
        <v>754</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774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row>
    <row r="1216" spans="1:12">
      <c r="A1216" s="20" t="s">
        <v>1227</v>
      </c>
    </row>
    <row r="1217" spans="1:12">
      <c r="A1217" s="20" t="s">
        <v>983</v>
      </c>
      <c r="B1217" s="27" t="s">
        <v>760</v>
      </c>
      <c r="C1217" s="27" t="s">
        <v>797</v>
      </c>
      <c r="D1217" s="27" t="s">
        <v>762</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838</v>
      </c>
      <c r="B1218" s="27" t="s">
        <v>767</v>
      </c>
      <c r="C1218" s="27" t="s">
        <v>797</v>
      </c>
      <c r="D1218" s="27" t="s">
        <v>762</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1228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838</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1181</v>
      </c>
      <c r="B1221" s="27" t="s">
        <v>753</v>
      </c>
      <c r="C1221" s="27" t="s">
        <v>761</v>
      </c>
      <c r="D1221" s="27" t="s">
        <v>762</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1229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757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1230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793</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822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1225</v>
      </c>
      <c r="B1227" s="27" t="s">
        <v>956</v>
      </c>
      <c r="C1227" s="27" t="s">
        <v>761</v>
      </c>
      <c r="D1227" s="27" t="s">
        <v>762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769</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1226</v>
      </c>
      <c r="B1229" s="27" t="s">
        <v>901</v>
      </c>
      <c r="C1229" s="27" t="s">
        <v>754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778</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758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1231</v>
      </c>
      <c r="B1232" s="27" t="s">
        <v>772</v>
      </c>
      <c r="C1232" s="27" t="s">
        <v>761</v>
      </c>
      <c r="D1232" s="27" t="s">
        <v>762</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1232</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774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1233</v>
      </c>
    </row>
    <row r="1237" spans="1:12">
      <c r="A1237" s="20" t="s">
        <v>987</v>
      </c>
      <c r="B1237" s="27" t="s">
        <v>760</v>
      </c>
      <c r="C1237" s="27" t="s">
        <v>777</v>
      </c>
      <c r="D1237" s="27" t="s">
        <v>762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1183</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769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838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1181</v>
      </c>
      <c r="B1241" s="27" t="s">
        <v>753</v>
      </c>
      <c r="C1241" s="27" t="s">
        <v>761</v>
      </c>
      <c r="D1241" s="27" t="s">
        <v>762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1020</v>
      </c>
      <c r="B1242" s="27" t="s">
        <v>796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1183</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1234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785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838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1139</v>
      </c>
      <c r="B1247" s="27" t="s">
        <v>772</v>
      </c>
      <c r="C1247" s="27" t="s">
        <v>761</v>
      </c>
      <c r="D1247" s="27" t="s">
        <v>762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810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793</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758</v>
      </c>
      <c r="B1250" s="27" t="s">
        <v>941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890</v>
      </c>
      <c r="B1251" s="27" t="s">
        <v>815</v>
      </c>
      <c r="C1251" s="27" t="s">
        <v>820</v>
      </c>
      <c r="D1251" s="27" t="s">
        <v>762</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1223</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189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1235</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890</v>
      </c>
      <c r="B1255" s="27" t="s">
        <v>1080</v>
      </c>
      <c r="C1255" s="27" t="s">
        <v>820</v>
      </c>
      <c r="D1255" s="27" t="s">
        <v>762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838</v>
      </c>
      <c r="B1256" s="27" t="s">
        <v>1236</v>
      </c>
      <c r="C1256" s="27" t="s">
        <v>797</v>
      </c>
      <c r="D1256" s="27" t="s">
        <v>762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1237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1238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931</v>
      </c>
      <c r="B1259" s="27" t="s">
        <v>1127</v>
      </c>
      <c r="C1259" s="27" t="s">
        <v>851</v>
      </c>
      <c r="D1259" s="27" t="s">
        <v>762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1226</v>
      </c>
      <c r="B1260" s="27" t="s">
        <v>1062</v>
      </c>
      <c r="C1260" s="27" t="s">
        <v>837</v>
      </c>
      <c r="D1260" s="27" t="s">
        <v>762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774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row>
    <row r="1263" spans="1:12">
      <c r="A1263" s="20" t="s">
        <v>1239</v>
      </c>
    </row>
    <row r="1264" spans="1:12">
      <c r="A1264" s="20" t="s">
        <v>1017</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1181</v>
      </c>
      <c r="B1265" s="27" t="s">
        <v>753</v>
      </c>
      <c r="C1265" s="27" t="s">
        <v>1019</v>
      </c>
      <c r="D1265" s="27" t="s">
        <v>762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757</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1159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1181</v>
      </c>
      <c r="B1268" s="27" t="s">
        <v>772</v>
      </c>
      <c r="C1268" s="27" t="s">
        <v>1019</v>
      </c>
      <c r="D1268" s="27" t="s">
        <v>762</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1229</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757</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838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125</v>
      </c>
      <c r="B1272" s="27" t="s">
        <v>760</v>
      </c>
      <c r="C1272" s="27" t="s">
        <v>761</v>
      </c>
      <c r="D1272" s="27" t="s">
        <v>762</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1004</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1240</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923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1241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769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838</v>
      </c>
      <c r="B1278" s="27" t="s">
        <v>894</v>
      </c>
      <c r="C1278" s="27" t="s">
        <v>797</v>
      </c>
      <c r="D1278" s="27" t="s">
        <v>762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1242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774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row>
    <row r="1282" spans="1:12">
      <c r="A1282" s="20" t="s">
        <v>1243</v>
      </c>
    </row>
    <row r="1283" spans="1:12">
      <c r="A1283" s="20" t="s">
        <v>983</v>
      </c>
      <c r="B1283" s="27" t="s">
        <v>796</v>
      </c>
      <c r="C1283" s="27" t="s">
        <v>797</v>
      </c>
      <c r="D1283" s="27" t="s">
        <v>762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683</v>
      </c>
      <c r="B1284" s="27" t="s">
        <v>760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722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1244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915</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822</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1245</v>
      </c>
      <c r="B1289" s="27" t="s">
        <v>753</v>
      </c>
      <c r="C1289" s="27" t="s">
        <v>761</v>
      </c>
      <c r="D1289" s="27" t="s">
        <v>762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785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1246</v>
      </c>
      <c r="B1291" s="27" t="s">
        <v>901</v>
      </c>
      <c r="C1291" s="27" t="s">
        <v>754</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1247</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838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1126</v>
      </c>
      <c r="B1294" s="27" t="s">
        <v>796</v>
      </c>
      <c r="C1294" s="27" t="s">
        <v>761</v>
      </c>
      <c r="D1294" s="27" t="s">
        <v>762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1020</v>
      </c>
      <c r="B1295" s="27" t="s">
        <v>941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1004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1159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1181</v>
      </c>
      <c r="B1298" s="27" t="s">
        <v>940</v>
      </c>
      <c r="C1298" s="27" t="s">
        <v>1019</v>
      </c>
      <c r="D1298" s="27" t="s">
        <v>762</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1216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785</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764</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1248</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1249</v>
      </c>
      <c r="B1303" s="27" t="s">
        <v>772</v>
      </c>
      <c r="C1303" s="27" t="s">
        <v>768</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875</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1196</v>
      </c>
      <c r="B1305" s="27" t="s">
        <v>879</v>
      </c>
      <c r="C1305" s="27" t="s">
        <v>797</v>
      </c>
      <c r="D1305" s="27" t="s">
        <v>762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774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row>
    <row r="1308" spans="1:12">
      <c r="A1308" s="20" t="s">
        <v>1250</v>
      </c>
    </row>
    <row r="1309" spans="1:12">
      <c r="A1309" s="20" t="s">
        <v>833</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697</v>
      </c>
      <c r="B1310" s="27" t="s">
        <v>760</v>
      </c>
      <c r="C1310" s="27" t="s">
        <v>797</v>
      </c>
      <c r="D1310" s="27" t="s">
        <v>762</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903</v>
      </c>
      <c r="B1311" s="27" t="s">
        <v>767</v>
      </c>
      <c r="C1311" s="27" t="s">
        <v>797</v>
      </c>
      <c r="D1311" s="27" t="s">
        <v>762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887</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1251</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793</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829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1252</v>
      </c>
      <c r="B1316" s="27" t="s">
        <v>767</v>
      </c>
      <c r="C1316" s="27" t="s">
        <v>831</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805</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1253</v>
      </c>
      <c r="B1318" s="27" t="s">
        <v>772</v>
      </c>
      <c r="C1318" s="27" t="s">
        <v>754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1254</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1051</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1255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1256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row>
    <row r="1324" spans="1:12">
      <c r="A1324" s="20" t="s">
        <v>1257</v>
      </c>
    </row>
    <row r="1325" spans="1:12">
      <c r="A1325" s="20" t="s">
        <v>995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996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887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758</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1253</v>
      </c>
      <c r="B1329" s="27" t="s">
        <v>767</v>
      </c>
      <c r="C1329" s="27" t="s">
        <v>837</v>
      </c>
      <c r="D1329" s="27" t="s">
        <v>762</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769</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1258</v>
      </c>
      <c r="B1331" s="27" t="s">
        <v>772</v>
      </c>
      <c r="C1331" s="27" t="s">
        <v>820</v>
      </c>
      <c r="D1331" s="27" t="s">
        <v>762</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757</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758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1253</v>
      </c>
      <c r="B1334" s="27" t="s">
        <v>772</v>
      </c>
      <c r="C1334" s="27" t="s">
        <v>761</v>
      </c>
      <c r="D1334" s="27" t="s">
        <v>762</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1259</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1099</v>
      </c>
      <c r="B1336" s="27" t="s">
        <v>901</v>
      </c>
      <c r="C1336" s="27" t="s">
        <v>851</v>
      </c>
      <c r="D1336" s="27" t="s">
        <v>762</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972</v>
      </c>
      <c r="B1337" s="27" t="s">
        <v>879</v>
      </c>
      <c r="C1337" s="27" t="s">
        <v>837</v>
      </c>
      <c r="D1337" s="27" t="s">
        <v>762</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810</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758</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1253</v>
      </c>
      <c r="B1340" s="27" t="s">
        <v>879</v>
      </c>
      <c r="C1340" s="27" t="s">
        <v>761</v>
      </c>
      <c r="D1340" s="27" t="s">
        <v>762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1260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774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row>
    <row r="1344" spans="1:12">
      <c r="A1344" s="20" t="s">
        <v>1261</v>
      </c>
    </row>
    <row r="1345" spans="1:12">
      <c r="A1345" s="20" t="s">
        <v>1262</v>
      </c>
      <c r="B1345" s="27" t="s">
        <v>760</v>
      </c>
      <c r="C1345" s="27" t="s">
        <v>797</v>
      </c>
      <c r="D1345" s="27" t="s">
        <v>762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798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1263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804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923</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774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row>
    <row r="1352" spans="1:12">
      <c r="A1352" s="20" t="s">
        <v>1264</v>
      </c>
    </row>
    <row r="1353" spans="1:12">
      <c r="A1353" s="20" t="s">
        <v>1150</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1137</v>
      </c>
      <c r="B1354" s="27" t="s">
        <v>772</v>
      </c>
      <c r="C1354" s="27" t="s">
        <v>754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769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822</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1265</v>
      </c>
      <c r="B1357" s="27" t="s">
        <v>772</v>
      </c>
      <c r="C1357" s="27" t="s">
        <v>761</v>
      </c>
      <c r="D1357" s="27" t="s">
        <v>762</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757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838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1126</v>
      </c>
      <c r="B1360" s="27" t="s">
        <v>753</v>
      </c>
      <c r="C1360" s="27" t="s">
        <v>761</v>
      </c>
      <c r="D1360" s="27" t="s">
        <v>762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1020</v>
      </c>
      <c r="B1361" s="27" t="s">
        <v>796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1004</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1159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1266</v>
      </c>
      <c r="B1364" s="27" t="s">
        <v>796</v>
      </c>
      <c r="C1364" s="27" t="s">
        <v>1019</v>
      </c>
      <c r="D1364" s="27" t="s">
        <v>762</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1183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1267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751</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1268</v>
      </c>
      <c r="B1368" s="27" t="s">
        <v>753</v>
      </c>
      <c r="C1368" s="27" t="s">
        <v>754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1230</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889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1196</v>
      </c>
      <c r="B1371" s="27" t="s">
        <v>796</v>
      </c>
      <c r="C1371" s="27" t="s">
        <v>797</v>
      </c>
      <c r="D1371" s="27" t="s">
        <v>762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1004</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758</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1269</v>
      </c>
      <c r="B1374" s="27" t="s">
        <v>802</v>
      </c>
      <c r="C1374" s="27" t="s">
        <v>761</v>
      </c>
      <c r="D1374" s="27" t="s">
        <v>762</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793</v>
      </c>
      <c r="B1375" s="27" t="s">
        <v>940</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1270</v>
      </c>
      <c r="B1376" s="27" t="s">
        <v>815</v>
      </c>
      <c r="C1376" s="27" t="s">
        <v>851</v>
      </c>
      <c r="D1376" s="27" t="s">
        <v>762</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1139</v>
      </c>
      <c r="B1377" s="27" t="s">
        <v>941</v>
      </c>
      <c r="C1377" s="27" t="s">
        <v>837</v>
      </c>
      <c r="D1377" s="27" t="s">
        <v>762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798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838</v>
      </c>
      <c r="B1379" s="27" t="s">
        <v>940</v>
      </c>
      <c r="C1379" s="27" t="s">
        <v>797</v>
      </c>
      <c r="D1379" s="27" t="s">
        <v>762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804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757</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1031</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793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954</v>
      </c>
      <c r="B1385" s="27" t="s">
        <v>879</v>
      </c>
      <c r="C1385" s="27" t="s">
        <v>777</v>
      </c>
      <c r="D1385" s="27" t="s">
        <v>762</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1020</v>
      </c>
      <c r="B1386" s="27" t="s">
        <v>1272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1051</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1273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751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786</v>
      </c>
      <c r="B1390" s="27" t="s">
        <v>815</v>
      </c>
      <c r="C1390" s="27" t="s">
        <v>754</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757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955</v>
      </c>
      <c r="B1392" s="27" t="s">
        <v>956</v>
      </c>
      <c r="C1392" s="27" t="s">
        <v>777</v>
      </c>
      <c r="D1392" s="27" t="s">
        <v>762</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778</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793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1270</v>
      </c>
      <c r="B1395" s="27" t="s">
        <v>815</v>
      </c>
      <c r="C1395" s="27" t="s">
        <v>851</v>
      </c>
      <c r="D1395" s="27" t="s">
        <v>762</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1139</v>
      </c>
      <c r="B1396" s="27" t="s">
        <v>941</v>
      </c>
      <c r="C1396" s="27" t="s">
        <v>837</v>
      </c>
      <c r="D1396" s="27" t="s">
        <v>762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798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838</v>
      </c>
      <c r="B1398" s="27" t="s">
        <v>940</v>
      </c>
      <c r="C1398" s="27" t="s">
        <v>797</v>
      </c>
      <c r="D1398" s="27" t="s">
        <v>762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1274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804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774</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1275</v>
      </c>
    </row>
    <row r="1404" spans="1:12">
      <c r="A1404" s="20" t="s">
        <v>938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939</v>
      </c>
      <c r="B1405" s="27" t="s">
        <v>760</v>
      </c>
      <c r="C1405" s="27" t="s">
        <v>761</v>
      </c>
      <c r="D1405" s="27" t="s">
        <v>762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778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764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1070</v>
      </c>
      <c r="B1408" s="27" t="s">
        <v>753</v>
      </c>
      <c r="C1408" s="27" t="s">
        <v>768</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1020</v>
      </c>
      <c r="B1409" s="27" t="s">
        <v>796</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757</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1276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757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778</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858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769</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1147</v>
      </c>
      <c r="B1416" s="27" t="s">
        <v>772</v>
      </c>
      <c r="C1416" s="27" t="s">
        <v>754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1277</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872</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1278</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838</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1279</v>
      </c>
      <c r="B1421" s="27" t="s">
        <v>772</v>
      </c>
      <c r="C1421" s="27" t="s">
        <v>761</v>
      </c>
      <c r="D1421" s="27" t="s">
        <v>762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769</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770</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1249</v>
      </c>
      <c r="B1424" s="27" t="s">
        <v>879</v>
      </c>
      <c r="C1424" s="27" t="s">
        <v>761</v>
      </c>
      <c r="D1424" s="27" t="s">
        <v>762</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1195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779</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638</v>
      </c>
      <c r="B1427" s="27" t="s">
        <v>772</v>
      </c>
      <c r="C1427" s="27" t="s">
        <v>768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810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779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952</v>
      </c>
      <c r="B1430" s="27" t="s">
        <v>879</v>
      </c>
      <c r="C1430" s="27" t="s">
        <v>768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774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row>
    <row r="1433" spans="1:12">
      <c r="A1433" s="20" t="s">
        <v>1280</v>
      </c>
    </row>
    <row r="1434" spans="1:12">
      <c r="A1434" s="20" t="s">
        <v>908</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758</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1253</v>
      </c>
      <c r="B1436" s="27" t="s">
        <v>760</v>
      </c>
      <c r="C1436" s="27" t="s">
        <v>761</v>
      </c>
      <c r="D1436" s="27" t="s">
        <v>762</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778</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764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1070</v>
      </c>
      <c r="B1439" s="27" t="s">
        <v>753</v>
      </c>
      <c r="C1439" s="27" t="s">
        <v>768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1020</v>
      </c>
      <c r="B1440" s="27" t="s">
        <v>796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1281</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769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822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1265</v>
      </c>
      <c r="B1444" s="27" t="s">
        <v>772</v>
      </c>
      <c r="C1444" s="27" t="s">
        <v>761</v>
      </c>
      <c r="D1444" s="27" t="s">
        <v>762</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774</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row>
    <row r="1447" spans="1:12">
      <c r="A1447" s="20" t="s">
        <v>1282</v>
      </c>
    </row>
    <row r="1448" spans="1:12">
      <c r="A1448" s="20" t="s">
        <v>1283</v>
      </c>
      <c r="B1448" s="27" t="s">
        <v>760</v>
      </c>
      <c r="C1448" s="27" t="s">
        <v>777</v>
      </c>
      <c r="D1448" s="27" t="s">
        <v>762</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1281</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923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769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822</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1265</v>
      </c>
      <c r="B1453" s="27" t="s">
        <v>753</v>
      </c>
      <c r="C1453" s="27" t="s">
        <v>761</v>
      </c>
      <c r="D1453" s="27" t="s">
        <v>762</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774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row>
    <row r="1456" spans="1:12">
      <c r="A1456" s="20" t="s">
        <v>1284</v>
      </c>
    </row>
    <row r="1457" spans="1:12">
      <c r="A1457" s="20" t="s">
        <v>1285</v>
      </c>
      <c r="B1457" s="27" t="s">
        <v>760</v>
      </c>
      <c r="C1457" s="27" t="s">
        <v>820</v>
      </c>
      <c r="D1457" s="27" t="s">
        <v>762</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769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838</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1135</v>
      </c>
      <c r="B1460" s="27" t="s">
        <v>772</v>
      </c>
      <c r="C1460" s="27" t="s">
        <v>761</v>
      </c>
      <c r="D1460" s="27" t="s">
        <v>762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1286</v>
      </c>
      <c r="B1461" s="27" t="s">
        <v>940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827</v>
      </c>
      <c r="B1462" s="27" t="s">
        <v>941</v>
      </c>
      <c r="C1462" s="27" t="s">
        <v>797</v>
      </c>
      <c r="D1462" s="27" t="s">
        <v>762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909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918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770</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1287</v>
      </c>
      <c r="B1466" s="27" t="s">
        <v>940</v>
      </c>
      <c r="C1466" s="27" t="s">
        <v>761</v>
      </c>
      <c r="D1466" s="27" t="s">
        <v>762</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915</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779</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1288</v>
      </c>
      <c r="B1469" s="27" t="s">
        <v>753</v>
      </c>
      <c r="C1469" s="27" t="s">
        <v>768</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769</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822</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1289</v>
      </c>
      <c r="B1472" s="27" t="s">
        <v>753</v>
      </c>
      <c r="C1472" s="27" t="s">
        <v>837</v>
      </c>
      <c r="D1472" s="27" t="s">
        <v>762</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769</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1290</v>
      </c>
      <c r="B1474" s="27" t="s">
        <v>772</v>
      </c>
      <c r="C1474" s="27" t="s">
        <v>798</v>
      </c>
      <c r="D1474" s="27" t="s">
        <v>762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1291</v>
      </c>
      <c r="B1475" s="27" t="s">
        <v>879</v>
      </c>
      <c r="C1475" s="27" t="s">
        <v>798</v>
      </c>
      <c r="D1475" s="27" t="s">
        <v>762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774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row>
    <row r="1478" spans="1:12">
      <c r="A1478" s="20" t="s">
        <v>1292</v>
      </c>
    </row>
    <row r="1479" spans="1:12">
      <c r="A1479" s="20" t="s">
        <v>1293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697</v>
      </c>
      <c r="B1480" s="27" t="s">
        <v>796</v>
      </c>
      <c r="C1480" s="27" t="s">
        <v>797</v>
      </c>
      <c r="D1480" s="27" t="s">
        <v>762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778</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1294</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757</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890</v>
      </c>
      <c r="B1484" s="27" t="s">
        <v>760</v>
      </c>
      <c r="C1484" s="27" t="s">
        <v>820</v>
      </c>
      <c r="D1484" s="27" t="s">
        <v>762</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984</v>
      </c>
      <c r="B1485" s="27" t="s">
        <v>767</v>
      </c>
      <c r="C1485" s="27" t="s">
        <v>797</v>
      </c>
      <c r="D1485" s="27" t="s">
        <v>762</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887</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1295</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779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1296</v>
      </c>
      <c r="B1489" s="27" t="s">
        <v>767</v>
      </c>
      <c r="C1489" s="27" t="s">
        <v>768</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1297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757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764</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814</v>
      </c>
      <c r="B1493" s="27" t="s">
        <v>772</v>
      </c>
      <c r="C1493" s="27" t="s">
        <v>768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1267</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1298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757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810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890</v>
      </c>
      <c r="B1498" s="27" t="s">
        <v>796</v>
      </c>
      <c r="C1498" s="27" t="s">
        <v>820</v>
      </c>
      <c r="D1498" s="27" t="s">
        <v>762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887</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888</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785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931</v>
      </c>
      <c r="B1502" s="27" t="s">
        <v>879</v>
      </c>
      <c r="C1502" s="27" t="s">
        <v>851</v>
      </c>
      <c r="D1502" s="27" t="s">
        <v>762</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1139</v>
      </c>
      <c r="B1503" s="27" t="s">
        <v>772</v>
      </c>
      <c r="C1503" s="27" t="s">
        <v>837</v>
      </c>
      <c r="D1503" s="27" t="s">
        <v>762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889</v>
      </c>
      <c r="B1504" s="27" t="s">
        <v>940</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697</v>
      </c>
      <c r="B1505" s="27" t="s">
        <v>941</v>
      </c>
      <c r="C1505" s="27" t="s">
        <v>797</v>
      </c>
      <c r="D1505" s="27" t="s">
        <v>762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798</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1299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1300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757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798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1301</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1300</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757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889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697</v>
      </c>
      <c r="B1515" s="27" t="s">
        <v>956</v>
      </c>
      <c r="C1515" s="27" t="s">
        <v>797</v>
      </c>
      <c r="D1515" s="27" t="s">
        <v>762</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811</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1302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800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1303</v>
      </c>
      <c r="B1519" s="27" t="s">
        <v>894</v>
      </c>
      <c r="C1519" s="27" t="s">
        <v>803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1304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757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810</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889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697</v>
      </c>
      <c r="B1524" s="27" t="s">
        <v>941</v>
      </c>
      <c r="C1524" s="27" t="s">
        <v>797</v>
      </c>
      <c r="D1524" s="27" t="s">
        <v>762</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798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838</v>
      </c>
      <c r="B1526" s="27" t="s">
        <v>940</v>
      </c>
      <c r="C1526" s="27" t="s">
        <v>797</v>
      </c>
      <c r="D1526" s="27" t="s">
        <v>762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1305</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971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804</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774</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row>
    <row r="1532" spans="1:12">
      <c r="A1532" s="20" t="s">
        <v>1306</v>
      </c>
    </row>
    <row r="1533" spans="1:12">
      <c r="A1533" s="20" t="s">
        <v>1201</v>
      </c>
      <c r="B1533" s="27" t="s">
        <v>760</v>
      </c>
      <c r="C1533" s="27" t="s">
        <v>820</v>
      </c>
      <c r="D1533" s="27" t="s">
        <v>762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1161</v>
      </c>
      <c r="B1534" s="27" t="s">
        <v>767</v>
      </c>
      <c r="C1534" s="27" t="s">
        <v>797</v>
      </c>
      <c r="D1534" s="27" t="s">
        <v>762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887</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1307</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769</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822</v>
      </c>
      <c r="B1538" s="27" t="s">
        <v>802</v>
      </c>
      <c r="C1538" s="27" t="s">
        <v>797</v>
      </c>
      <c r="D1538" s="27" t="s">
        <v>762</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1308</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785</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758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1309</v>
      </c>
      <c r="B1542" s="27" t="s">
        <v>772</v>
      </c>
      <c r="C1542" s="27" t="s">
        <v>761</v>
      </c>
      <c r="D1542" s="27" t="s">
        <v>762</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942</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889</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697</v>
      </c>
      <c r="B1545" s="27" t="s">
        <v>796</v>
      </c>
      <c r="C1545" s="27" t="s">
        <v>797</v>
      </c>
      <c r="D1545" s="27" t="s">
        <v>762</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1310</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996</v>
      </c>
      <c r="B1547" s="27" t="s">
        <v>879</v>
      </c>
      <c r="C1547" s="27" t="s">
        <v>820</v>
      </c>
      <c r="D1547" s="27" t="s">
        <v>762</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1311</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751</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1312</v>
      </c>
      <c r="B1550" s="27" t="s">
        <v>879</v>
      </c>
      <c r="C1550" s="27" t="s">
        <v>754</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774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row>
    <row r="1553" spans="1:12">
      <c r="A1553" s="20" t="s">
        <v>1313</v>
      </c>
    </row>
    <row r="1554" spans="1:12">
      <c r="A1554" s="20" t="s">
        <v>1314</v>
      </c>
      <c r="B1554" s="27" t="s">
        <v>772</v>
      </c>
      <c r="C1554" s="27" t="s">
        <v>851</v>
      </c>
      <c r="D1554" s="27" t="s">
        <v>762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877</v>
      </c>
      <c r="B1555" s="27" t="s">
        <v>760</v>
      </c>
      <c r="C1555" s="27" t="s">
        <v>837</v>
      </c>
      <c r="D1555" s="27" t="s">
        <v>762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887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1315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889</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795</v>
      </c>
      <c r="B1559" s="27" t="s">
        <v>796</v>
      </c>
      <c r="C1559" s="27" t="s">
        <v>797</v>
      </c>
      <c r="D1559" s="27" t="s">
        <v>762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798</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1316</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804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959</v>
      </c>
      <c r="B1563" s="27" t="s">
        <v>753</v>
      </c>
      <c r="C1563" s="27" t="s">
        <v>777</v>
      </c>
      <c r="D1563" s="27" t="s">
        <v>762</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774</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row>
    <row r="1566" spans="1:12">
      <c r="A1566" s="20" t="s">
        <v>1317</v>
      </c>
    </row>
    <row r="1567" spans="1:12">
      <c r="A1567" s="20" t="s">
        <v>1088</v>
      </c>
      <c r="B1567" s="27" t="s">
        <v>760</v>
      </c>
      <c r="C1567" s="27" t="s">
        <v>797</v>
      </c>
      <c r="D1567" s="27" t="s">
        <v>762</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887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1318</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1319</v>
      </c>
      <c r="B1570" s="27" t="s">
        <v>772</v>
      </c>
      <c r="C1570" s="27" t="s">
        <v>851</v>
      </c>
      <c r="D1570" s="27" t="s">
        <v>762</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1320</v>
      </c>
      <c r="B1571" s="27" t="s">
        <v>767</v>
      </c>
      <c r="C1571" s="27" t="s">
        <v>837</v>
      </c>
      <c r="D1571" s="27" t="s">
        <v>762</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1238</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795</v>
      </c>
      <c r="B1573" s="27" t="s">
        <v>753</v>
      </c>
      <c r="C1573" s="27" t="s">
        <v>797</v>
      </c>
      <c r="D1573" s="27" t="s">
        <v>762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774</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row>
    <row r="1576" spans="1:12">
      <c r="A1576" s="20" t="s">
        <v>1321</v>
      </c>
    </row>
    <row r="1577" spans="1:12">
      <c r="A1577" s="20" t="s">
        <v>750</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1322</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795</v>
      </c>
      <c r="B1579" s="27" t="s">
        <v>796</v>
      </c>
      <c r="C1579" s="27" t="s">
        <v>797</v>
      </c>
      <c r="D1579" s="27" t="s">
        <v>762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811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1164</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804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1323</v>
      </c>
      <c r="B1583" s="27" t="s">
        <v>802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769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1324</v>
      </c>
      <c r="B1585" s="27" t="s">
        <v>879</v>
      </c>
      <c r="C1585" s="27" t="s">
        <v>754</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757</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1325</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1085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1326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757</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795</v>
      </c>
      <c r="B1591" s="27" t="s">
        <v>760</v>
      </c>
      <c r="C1591" s="27" t="s">
        <v>797</v>
      </c>
      <c r="D1591" s="27" t="s">
        <v>762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887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1327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822</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1328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1329</v>
      </c>
      <c r="B1596" s="27" t="s">
        <v>767</v>
      </c>
      <c r="C1596" s="27" t="s">
        <v>761</v>
      </c>
      <c r="D1596" s="27" t="s">
        <v>762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769</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822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1330</v>
      </c>
      <c r="B1599" s="27" t="s">
        <v>772</v>
      </c>
      <c r="C1599" s="27" t="s">
        <v>761</v>
      </c>
      <c r="D1599" s="27" t="s">
        <v>762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751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1331</v>
      </c>
      <c r="B1601" s="27" t="s">
        <v>753</v>
      </c>
      <c r="C1601" s="27" t="s">
        <v>754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769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1296</v>
      </c>
      <c r="B1603" s="27" t="s">
        <v>772</v>
      </c>
      <c r="C1603" s="27" t="s">
        <v>754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1297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810</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795</v>
      </c>
      <c r="B1606" s="27" t="s">
        <v>796</v>
      </c>
      <c r="C1606" s="27" t="s">
        <v>797</v>
      </c>
      <c r="D1606" s="27" t="s">
        <v>762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887</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1332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1290</v>
      </c>
      <c r="B1609" s="27" t="s">
        <v>802</v>
      </c>
      <c r="C1609" s="27" t="s">
        <v>798</v>
      </c>
      <c r="D1609" s="27" t="s">
        <v>762</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1333</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769</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984</v>
      </c>
      <c r="B1612" s="27" t="s">
        <v>879</v>
      </c>
      <c r="C1612" s="27" t="s">
        <v>797</v>
      </c>
      <c r="D1612" s="27" t="s">
        <v>762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774</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row>
    <row r="1615" spans="1:12">
      <c r="A1615" s="20" t="s">
        <v>1334</v>
      </c>
    </row>
    <row r="1616" spans="1:12">
      <c r="A1616" s="20" t="s">
        <v>1335</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1319</v>
      </c>
      <c r="B1617" s="27" t="s">
        <v>772</v>
      </c>
      <c r="C1617" s="27" t="s">
        <v>851</v>
      </c>
      <c r="D1617" s="27" t="s">
        <v>762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1336</v>
      </c>
      <c r="B1618" s="27" t="s">
        <v>753</v>
      </c>
      <c r="C1618" s="27" t="s">
        <v>837</v>
      </c>
      <c r="D1618" s="27" t="s">
        <v>762</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757</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697</v>
      </c>
      <c r="B1620" s="27" t="s">
        <v>760</v>
      </c>
      <c r="C1620" s="27" t="s">
        <v>797</v>
      </c>
      <c r="D1620" s="27" t="s">
        <v>762</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887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1337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132</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1338</v>
      </c>
      <c r="B1624" s="27" t="s">
        <v>767</v>
      </c>
      <c r="C1624" s="27" t="s">
        <v>831</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1339</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1340</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774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row>
    <row r="1629" spans="1:12">
      <c r="A1629" s="20" t="s">
        <v>1341</v>
      </c>
    </row>
    <row r="1630" spans="1:12">
      <c r="A1630" s="20" t="s">
        <v>995</v>
      </c>
      <c r="B1630" s="27" t="s">
        <v>760</v>
      </c>
      <c r="C1630" s="27" t="s">
        <v>797</v>
      </c>
      <c r="D1630" s="27" t="s">
        <v>762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887</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1342</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1115</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954</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1265</v>
      </c>
      <c r="B1635" s="27" t="s">
        <v>753</v>
      </c>
      <c r="C1635" s="27" t="s">
        <v>1019</v>
      </c>
      <c r="D1635" s="27" t="s">
        <v>762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1343</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785</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758</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1309</v>
      </c>
      <c r="B1639" s="27" t="s">
        <v>879</v>
      </c>
      <c r="C1639" s="27" t="s">
        <v>761</v>
      </c>
      <c r="D1639" s="27" t="s">
        <v>762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1344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889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697</v>
      </c>
      <c r="B1642" s="27" t="s">
        <v>796</v>
      </c>
      <c r="C1642" s="27" t="s">
        <v>797</v>
      </c>
      <c r="D1642" s="27" t="s">
        <v>762</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1345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1159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1338</v>
      </c>
      <c r="B1645" s="27" t="s">
        <v>802</v>
      </c>
      <c r="C1645" s="27" t="s">
        <v>1019</v>
      </c>
      <c r="D1645" s="27" t="s">
        <v>762</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757</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1346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785</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1347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697</v>
      </c>
      <c r="B1650" s="27" t="s">
        <v>941</v>
      </c>
      <c r="C1650" s="27" t="s">
        <v>797</v>
      </c>
      <c r="D1650" s="27" t="s">
        <v>762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1202</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1105</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1348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774</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row>
    <row r="1656" spans="1:12">
      <c r="A1656" s="20" t="s">
        <v>1349</v>
      </c>
    </row>
    <row r="1657" spans="1:12">
      <c r="A1657" s="20" t="s">
        <v>1350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889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697</v>
      </c>
      <c r="B1659" s="27" t="s">
        <v>796</v>
      </c>
      <c r="C1659" s="27" t="s">
        <v>797</v>
      </c>
      <c r="D1659" s="27" t="s">
        <v>762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915</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1351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757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890</v>
      </c>
      <c r="B1663" s="27" t="s">
        <v>760</v>
      </c>
      <c r="C1663" s="27" t="s">
        <v>820</v>
      </c>
      <c r="D1663" s="27" t="s">
        <v>762</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887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1352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769</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838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1353</v>
      </c>
      <c r="B1668" s="27" t="s">
        <v>753</v>
      </c>
      <c r="C1668" s="27" t="s">
        <v>761</v>
      </c>
      <c r="D1668" s="27" t="s">
        <v>762</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942</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758</v>
      </c>
      <c r="B1670" s="27" t="s">
        <v>802</v>
      </c>
      <c r="C1670" s="27" t="s">
        <v>797</v>
      </c>
      <c r="D1670" s="27" t="s">
        <v>762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1354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942</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931</v>
      </c>
      <c r="B1673" s="27" t="s">
        <v>879</v>
      </c>
      <c r="C1673" s="27" t="s">
        <v>851</v>
      </c>
      <c r="D1673" s="27" t="s">
        <v>762</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1355</v>
      </c>
      <c r="B1674" s="27" t="s">
        <v>772</v>
      </c>
      <c r="C1674" s="27" t="s">
        <v>837</v>
      </c>
      <c r="D1674" s="27" t="s">
        <v>762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774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row>
    <row r="1677" spans="1:12">
      <c r="A1677" s="20" t="s">
        <v>1356</v>
      </c>
    </row>
    <row r="1678" spans="1:12">
      <c r="A1678" s="20" t="s">
        <v>995</v>
      </c>
      <c r="B1678" s="27" t="s">
        <v>760</v>
      </c>
      <c r="C1678" s="27" t="s">
        <v>797</v>
      </c>
      <c r="D1678" s="27" t="s">
        <v>762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887</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1357</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1267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1358</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1230</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889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697</v>
      </c>
      <c r="B1685" s="27" t="s">
        <v>796</v>
      </c>
      <c r="C1685" s="27" t="s">
        <v>797</v>
      </c>
      <c r="D1685" s="27" t="s">
        <v>762</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811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1164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1359</v>
      </c>
      <c r="B1688" s="27" t="s">
        <v>802</v>
      </c>
      <c r="C1688" s="27" t="s">
        <v>820</v>
      </c>
      <c r="D1688" s="27" t="s">
        <v>762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805</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946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785</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333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774</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1360</v>
      </c>
    </row>
    <row r="1696" spans="1:12">
      <c r="A1696" s="20" t="s">
        <v>995</v>
      </c>
      <c r="B1696" s="27" t="s">
        <v>760</v>
      </c>
      <c r="C1696" s="27" t="s">
        <v>797</v>
      </c>
      <c r="D1696" s="27" t="s">
        <v>762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887</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1361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1259</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1362</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779</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1363</v>
      </c>
      <c r="B1702" s="27" t="s">
        <v>802</v>
      </c>
      <c r="C1702" s="27" t="s">
        <v>768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1020</v>
      </c>
      <c r="B1703" s="27" t="s">
        <v>941</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811</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1164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1300</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1364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1365</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1259</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945</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1366</v>
      </c>
      <c r="B1711" s="27" t="s">
        <v>901</v>
      </c>
      <c r="C1711" s="27" t="s">
        <v>837</v>
      </c>
      <c r="D1711" s="27" t="s">
        <v>762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769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1099</v>
      </c>
      <c r="B1713" s="27" t="s">
        <v>1062</v>
      </c>
      <c r="C1713" s="27" t="s">
        <v>851</v>
      </c>
      <c r="D1713" s="27" t="s">
        <v>762</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972</v>
      </c>
      <c r="B1714" s="27" t="s">
        <v>815</v>
      </c>
      <c r="C1714" s="27" t="s">
        <v>837</v>
      </c>
      <c r="D1714" s="27" t="s">
        <v>762</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774</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1367</v>
      </c>
    </row>
    <row r="1718" spans="1:12">
      <c r="A1718" s="20" t="s">
        <v>791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918</v>
      </c>
      <c r="B1719" s="27" t="s">
        <v>772</v>
      </c>
      <c r="C1719" s="27" t="s">
        <v>754</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757</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697</v>
      </c>
      <c r="B1721" s="27" t="s">
        <v>760</v>
      </c>
      <c r="C1721" s="27" t="s">
        <v>797</v>
      </c>
      <c r="D1721" s="27" t="s">
        <v>762</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915</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822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1368</v>
      </c>
      <c r="B1724" s="27" t="s">
        <v>753</v>
      </c>
      <c r="C1724" s="27" t="s">
        <v>837</v>
      </c>
      <c r="D1724" s="27" t="s">
        <v>762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769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1099</v>
      </c>
      <c r="B1726" s="27" t="s">
        <v>772</v>
      </c>
      <c r="C1726" s="27" t="s">
        <v>851</v>
      </c>
      <c r="D1726" s="27" t="s">
        <v>762</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972</v>
      </c>
      <c r="B1727" s="27" t="s">
        <v>753</v>
      </c>
      <c r="C1727" s="27" t="s">
        <v>837</v>
      </c>
      <c r="D1727" s="27" t="s">
        <v>762</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785</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51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785</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758</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1369</v>
      </c>
      <c r="B1732" s="27" t="s">
        <v>879</v>
      </c>
      <c r="C1732" s="27" t="s">
        <v>761</v>
      </c>
      <c r="D1732" s="27" t="s">
        <v>762</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757</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1050</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697</v>
      </c>
      <c r="B1735" s="27" t="s">
        <v>956</v>
      </c>
      <c r="C1735" s="27" t="s">
        <v>797</v>
      </c>
      <c r="D1735" s="27" t="s">
        <v>762</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1370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1007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822</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1371</v>
      </c>
      <c r="B1739" s="27" t="s">
        <v>879</v>
      </c>
      <c r="C1739" s="27" t="s">
        <v>761</v>
      </c>
      <c r="D1739" s="27" t="s">
        <v>762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810</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1372</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764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1373</v>
      </c>
      <c r="B1743" s="27" t="s">
        <v>940</v>
      </c>
      <c r="C1743" s="27" t="s">
        <v>768</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1374</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1375</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785</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1319</v>
      </c>
      <c r="B1747" s="27" t="s">
        <v>1127</v>
      </c>
      <c r="C1747" s="27" t="s">
        <v>851</v>
      </c>
      <c r="D1747" s="27" t="s">
        <v>762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1376</v>
      </c>
      <c r="B1748" s="27" t="s">
        <v>1062</v>
      </c>
      <c r="C1748" s="27" t="s">
        <v>837</v>
      </c>
      <c r="D1748" s="27" t="s">
        <v>762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1377</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774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row>
    <row r="1752" spans="1:12">
      <c r="A1752" s="20" t="s">
        <v>1378</v>
      </c>
    </row>
    <row r="1753" spans="1:12">
      <c r="A1753" s="20" t="s">
        <v>1314</v>
      </c>
      <c r="B1753" s="27" t="s">
        <v>772</v>
      </c>
      <c r="C1753" s="27" t="s">
        <v>851</v>
      </c>
      <c r="D1753" s="27" t="s">
        <v>762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877</v>
      </c>
      <c r="B1754" s="27" t="s">
        <v>760</v>
      </c>
      <c r="C1754" s="27" t="s">
        <v>837</v>
      </c>
      <c r="D1754" s="27" t="s">
        <v>762</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903</v>
      </c>
      <c r="B1755" s="27" t="s">
        <v>767</v>
      </c>
      <c r="C1755" s="27" t="s">
        <v>797</v>
      </c>
      <c r="D1755" s="27" t="s">
        <v>762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887</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1379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758</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1380</v>
      </c>
      <c r="B1759" s="27" t="s">
        <v>767</v>
      </c>
      <c r="C1759" s="27" t="s">
        <v>761</v>
      </c>
      <c r="D1759" s="27" t="s">
        <v>762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805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779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1381</v>
      </c>
      <c r="B1762" s="27" t="s">
        <v>772</v>
      </c>
      <c r="C1762" s="27" t="s">
        <v>768</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1050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795</v>
      </c>
      <c r="B1764" s="27" t="s">
        <v>941</v>
      </c>
      <c r="C1764" s="27" t="s">
        <v>797</v>
      </c>
      <c r="D1764" s="27" t="s">
        <v>762</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1382</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785</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770</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1383</v>
      </c>
      <c r="B1768" s="27" t="s">
        <v>901</v>
      </c>
      <c r="C1768" s="27" t="s">
        <v>761</v>
      </c>
      <c r="D1768" s="27" t="s">
        <v>762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16</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16</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697</v>
      </c>
      <c r="B1771" s="27" t="s">
        <v>956</v>
      </c>
      <c r="C1771" s="27" t="s">
        <v>797</v>
      </c>
      <c r="D1771" s="27" t="s">
        <v>762</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1384</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872</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764</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1369</v>
      </c>
      <c r="B1775" s="27" t="s">
        <v>879</v>
      </c>
      <c r="C1775" s="27" t="s">
        <v>768</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1385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795</v>
      </c>
      <c r="B1778" s="27" t="s">
        <v>796</v>
      </c>
      <c r="C1778" s="27" t="s">
        <v>797</v>
      </c>
      <c r="D1778" s="27" t="s">
        <v>762</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903</v>
      </c>
      <c r="B1779" s="27" t="s">
        <v>802</v>
      </c>
      <c r="C1779" s="27" t="s">
        <v>797</v>
      </c>
      <c r="D1779" s="27" t="s">
        <v>762</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887</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888</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757</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749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1037</v>
      </c>
      <c r="B1784" s="27" t="s">
        <v>796</v>
      </c>
      <c r="C1784" s="27" t="s">
        <v>797</v>
      </c>
      <c r="D1784" s="27" t="s">
        <v>762</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909</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1386</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1099</v>
      </c>
      <c r="B1787" s="27" t="s">
        <v>879</v>
      </c>
      <c r="C1787" s="27" t="s">
        <v>851</v>
      </c>
      <c r="D1787" s="27" t="s">
        <v>762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1373</v>
      </c>
      <c r="B1788" s="27" t="s">
        <v>802</v>
      </c>
      <c r="C1788" s="27" t="s">
        <v>837</v>
      </c>
      <c r="D1788" s="27" t="s">
        <v>762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757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889</v>
      </c>
      <c r="B1790" s="27" t="s">
        <v>894</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890</v>
      </c>
      <c r="B1791" s="27" t="s">
        <v>956</v>
      </c>
      <c r="C1791" s="27" t="s">
        <v>820</v>
      </c>
      <c r="D1791" s="27" t="s">
        <v>762</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1387</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923</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757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1007</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822</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1388</v>
      </c>
      <c r="B1797" s="27" t="s">
        <v>772</v>
      </c>
      <c r="C1797" s="27" t="s">
        <v>761</v>
      </c>
      <c r="D1797" s="27" t="s">
        <v>762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805</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779</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1389</v>
      </c>
      <c r="B1800" s="27" t="s">
        <v>879</v>
      </c>
      <c r="C1800" s="27" t="s">
        <v>768</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757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818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749</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833</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869</v>
      </c>
      <c r="B1805" s="27" t="s">
        <v>956</v>
      </c>
      <c r="C1805" s="27" t="s">
        <v>797</v>
      </c>
      <c r="D1805" s="27" t="s">
        <v>762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975</v>
      </c>
      <c r="B1806" s="27" t="s">
        <v>894</v>
      </c>
      <c r="C1806" s="27" t="s">
        <v>797</v>
      </c>
      <c r="D1806" s="27" t="s">
        <v>762</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870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888</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757</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1155</v>
      </c>
      <c r="B1810" s="27" t="s">
        <v>956</v>
      </c>
      <c r="C1810" s="27" t="s">
        <v>797</v>
      </c>
      <c r="D1810" s="27" t="s">
        <v>762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1390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1391</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1392</v>
      </c>
      <c r="B1813" s="27" t="s">
        <v>894</v>
      </c>
      <c r="C1813" s="27" t="s">
        <v>831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757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697</v>
      </c>
      <c r="B1815" s="27" t="s">
        <v>956</v>
      </c>
      <c r="C1815" s="27" t="s">
        <v>797</v>
      </c>
      <c r="D1815" s="27" t="s">
        <v>762</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918</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365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1393</v>
      </c>
      <c r="B1818" s="27" t="s">
        <v>894</v>
      </c>
      <c r="C1818" s="27" t="s">
        <v>831</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774</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row>
    <row r="1821" spans="1:12">
      <c r="A1821" s="20" t="s">
        <v>1394</v>
      </c>
    </row>
    <row r="1822" spans="1:12">
      <c r="A1822" s="20" t="s">
        <v>1395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1396</v>
      </c>
      <c r="B1823" s="27" t="s">
        <v>753</v>
      </c>
      <c r="C1823" s="27" t="s">
        <v>831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942</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1029</v>
      </c>
      <c r="B1825" s="27" t="s">
        <v>772</v>
      </c>
      <c r="C1825" s="27" t="s">
        <v>820</v>
      </c>
      <c r="D1825" s="27" t="s">
        <v>762</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757</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959</v>
      </c>
      <c r="B1827" s="27" t="s">
        <v>760</v>
      </c>
      <c r="C1827" s="27" t="s">
        <v>777</v>
      </c>
      <c r="D1827" s="27" t="s">
        <v>762</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918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1397</v>
      </c>
      <c r="B1829" s="27" t="s">
        <v>767</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942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984</v>
      </c>
      <c r="B1831" s="27" t="s">
        <v>753</v>
      </c>
      <c r="C1831" s="27" t="s">
        <v>797</v>
      </c>
      <c r="D1831" s="27" t="s">
        <v>762</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774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row>
    <row r="1834" spans="1:12">
      <c r="A1834" s="20" t="s">
        <v>1398</v>
      </c>
    </row>
    <row r="1835" spans="1:12">
      <c r="A1835" s="20" t="s">
        <v>818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1088</v>
      </c>
      <c r="B1836" s="27" t="s">
        <v>760</v>
      </c>
      <c r="C1836" s="27" t="s">
        <v>797</v>
      </c>
      <c r="D1836" s="27" t="s">
        <v>762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903</v>
      </c>
      <c r="B1837" s="27" t="s">
        <v>767</v>
      </c>
      <c r="C1837" s="27" t="s">
        <v>797</v>
      </c>
      <c r="D1837" s="27" t="s">
        <v>762</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887</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888</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757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749</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983</v>
      </c>
      <c r="B1842" s="27" t="s">
        <v>796</v>
      </c>
      <c r="C1842" s="27" t="s">
        <v>797</v>
      </c>
      <c r="D1842" s="27" t="s">
        <v>762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1399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793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869</v>
      </c>
      <c r="B1845" s="27" t="s">
        <v>956</v>
      </c>
      <c r="C1845" s="27" t="s">
        <v>797</v>
      </c>
      <c r="D1845" s="27" t="s">
        <v>762</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798</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970</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804</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134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810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758</v>
      </c>
      <c r="B1851" s="27" t="s">
        <v>940</v>
      </c>
      <c r="C1851" s="27" t="s">
        <v>797</v>
      </c>
      <c r="D1851" s="27" t="s">
        <v>762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1400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921</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869</v>
      </c>
      <c r="B1854" s="27" t="s">
        <v>796</v>
      </c>
      <c r="C1854" s="27" t="s">
        <v>797</v>
      </c>
      <c r="D1854" s="27" t="s">
        <v>762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870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1401</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785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770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1383</v>
      </c>
      <c r="B1859" s="27" t="s">
        <v>772</v>
      </c>
      <c r="C1859" s="27" t="s">
        <v>761</v>
      </c>
      <c r="D1859" s="27" t="s">
        <v>762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810</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869</v>
      </c>
      <c r="B1861" s="27" t="s">
        <v>956</v>
      </c>
      <c r="C1861" s="27" t="s">
        <v>797</v>
      </c>
      <c r="D1861" s="27" t="s">
        <v>762</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984</v>
      </c>
      <c r="B1862" s="27" t="s">
        <v>894</v>
      </c>
      <c r="C1862" s="27" t="s">
        <v>797</v>
      </c>
      <c r="D1862" s="27" t="s">
        <v>762</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909</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1402</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1403</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1404</v>
      </c>
      <c r="B1866" s="27" t="s">
        <v>894</v>
      </c>
      <c r="C1866" s="27" t="s">
        <v>831</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1007</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1319</v>
      </c>
      <c r="B1868" s="27" t="s">
        <v>901</v>
      </c>
      <c r="C1868" s="27" t="s">
        <v>851</v>
      </c>
      <c r="D1868" s="27" t="s">
        <v>762</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1405</v>
      </c>
      <c r="B1869" s="27" t="s">
        <v>879</v>
      </c>
      <c r="C1869" s="27" t="s">
        <v>837</v>
      </c>
      <c r="D1869" s="27" t="s">
        <v>762</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774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1406</v>
      </c>
    </row>
    <row r="1873" spans="1:12">
      <c r="A1873" s="20" t="s">
        <v>818</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1088</v>
      </c>
      <c r="B1874" s="27" t="s">
        <v>760</v>
      </c>
      <c r="C1874" s="27" t="s">
        <v>797</v>
      </c>
      <c r="D1874" s="27" t="s">
        <v>762</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903</v>
      </c>
      <c r="B1875" s="27" t="s">
        <v>767</v>
      </c>
      <c r="C1875" s="27" t="s">
        <v>797</v>
      </c>
      <c r="D1875" s="27" t="s">
        <v>762</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887</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888</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757</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749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1407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827</v>
      </c>
      <c r="B1881" s="27" t="s">
        <v>796</v>
      </c>
      <c r="C1881" s="27" t="s">
        <v>797</v>
      </c>
      <c r="D1881" s="27" t="s">
        <v>762</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909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1014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757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1322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1408</v>
      </c>
      <c r="B1886" s="27" t="s">
        <v>956</v>
      </c>
      <c r="C1886" s="27" t="s">
        <v>820</v>
      </c>
      <c r="D1886" s="27" t="s">
        <v>762</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903</v>
      </c>
      <c r="B1887" s="27" t="s">
        <v>894</v>
      </c>
      <c r="C1887" s="27" t="s">
        <v>797</v>
      </c>
      <c r="D1887" s="27" t="s">
        <v>762</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1164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888</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974</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697</v>
      </c>
      <c r="B1891" s="27" t="s">
        <v>941</v>
      </c>
      <c r="C1891" s="27" t="s">
        <v>797</v>
      </c>
      <c r="D1891" s="27" t="s">
        <v>762</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778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1294</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793</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878</v>
      </c>
      <c r="B1895" s="27" t="s">
        <v>1062</v>
      </c>
      <c r="C1895" s="27" t="s">
        <v>851</v>
      </c>
      <c r="D1895" s="27" t="s">
        <v>762</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1409</v>
      </c>
      <c r="B1896" s="27" t="s">
        <v>1272</v>
      </c>
      <c r="C1896" s="27" t="s">
        <v>837</v>
      </c>
      <c r="D1896" s="27" t="s">
        <v>762</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1410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1411</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889</v>
      </c>
      <c r="B1899" s="27" t="s">
        <v>1076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697</v>
      </c>
      <c r="B1900" s="27" t="s">
        <v>1272</v>
      </c>
      <c r="C1900" s="27" t="s">
        <v>797</v>
      </c>
      <c r="D1900" s="27" t="s">
        <v>762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1412</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1413</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810</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1414</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875</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931</v>
      </c>
      <c r="B1906" s="27" t="s">
        <v>1127</v>
      </c>
      <c r="C1906" s="27" t="s">
        <v>851</v>
      </c>
      <c r="D1906" s="27" t="s">
        <v>762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1415</v>
      </c>
      <c r="B1907" s="27" t="s">
        <v>1062</v>
      </c>
      <c r="C1907" s="27" t="s">
        <v>837</v>
      </c>
      <c r="D1907" s="27" t="s">
        <v>762</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769</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1416</v>
      </c>
      <c r="B1909" s="27" t="s">
        <v>1127</v>
      </c>
      <c r="C1909" s="27" t="s">
        <v>754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925</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818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833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869</v>
      </c>
      <c r="B1913" s="27" t="s">
        <v>1080</v>
      </c>
      <c r="C1913" s="27" t="s">
        <v>797</v>
      </c>
      <c r="D1913" s="27" t="s">
        <v>762</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984</v>
      </c>
      <c r="B1914" s="27" t="s">
        <v>1236</v>
      </c>
      <c r="C1914" s="27" t="s">
        <v>797</v>
      </c>
      <c r="D1914" s="27" t="s">
        <v>762</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909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888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757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749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1417</v>
      </c>
      <c r="B1919" s="27" t="s">
        <v>1172</v>
      </c>
      <c r="C1919" s="27" t="s">
        <v>1418</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778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1419</v>
      </c>
      <c r="B1921" s="27" t="s">
        <v>1062</v>
      </c>
      <c r="C1921" s="27" t="s">
        <v>777</v>
      </c>
      <c r="D1921" s="27" t="s">
        <v>762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793</v>
      </c>
      <c r="B1922" s="27" t="s">
        <v>1131</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950</v>
      </c>
      <c r="B1923" s="27" t="s">
        <v>1172</v>
      </c>
      <c r="C1923" s="27" t="s">
        <v>797</v>
      </c>
      <c r="D1923" s="27" t="s">
        <v>762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1420</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129</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918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1020</v>
      </c>
      <c r="B1927" s="27" t="s">
        <v>1063</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758</v>
      </c>
      <c r="B1928" s="27" t="s">
        <v>1421</v>
      </c>
      <c r="C1928" s="27" t="s">
        <v>797</v>
      </c>
      <c r="D1928" s="27" t="s">
        <v>762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887</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1422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785</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47</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1408</v>
      </c>
      <c r="B1933" s="27" t="s">
        <v>1423</v>
      </c>
      <c r="C1933" s="27" t="s">
        <v>820</v>
      </c>
      <c r="D1933" s="27" t="s">
        <v>762</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769</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1424</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757</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805</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1425</v>
      </c>
      <c r="B1938" s="27" t="s">
        <v>1130</v>
      </c>
      <c r="C1938" s="27" t="s">
        <v>754</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810</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769</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1426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859</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row>
    <row r="1944" spans="1:12">
      <c r="A1944" s="20" t="s">
        <v>1427</v>
      </c>
    </row>
    <row r="1945" spans="1:12">
      <c r="A1945" s="20" t="s">
        <v>1088</v>
      </c>
      <c r="B1945" s="27" t="s">
        <v>760</v>
      </c>
      <c r="C1945" s="27" t="s">
        <v>797</v>
      </c>
      <c r="D1945" s="27" t="s">
        <v>762</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903</v>
      </c>
      <c r="B1946" s="27" t="s">
        <v>767</v>
      </c>
      <c r="C1946" s="27" t="s">
        <v>797</v>
      </c>
      <c r="D1946" s="27" t="s">
        <v>762</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887</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888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757</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749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1417</v>
      </c>
      <c r="B1951" s="27" t="s">
        <v>753</v>
      </c>
      <c r="C1951" s="27" t="s">
        <v>1418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778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1419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793</v>
      </c>
      <c r="B1954" s="27" t="s">
        <v>894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827</v>
      </c>
      <c r="B1955" s="27" t="s">
        <v>956</v>
      </c>
      <c r="C1955" s="27" t="s">
        <v>797</v>
      </c>
      <c r="D1955" s="27" t="s">
        <v>762</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909</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918</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859</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row>
    <row r="1960" spans="1:12">
      <c r="A1960" s="20" t="s">
        <v>1428</v>
      </c>
    </row>
    <row r="1961" spans="1:12">
      <c r="A1961" s="20" t="s">
        <v>983</v>
      </c>
      <c r="B1961" s="27" t="s">
        <v>760</v>
      </c>
      <c r="C1961" s="27" t="s">
        <v>797</v>
      </c>
      <c r="D1961" s="27" t="s">
        <v>762</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758</v>
      </c>
      <c r="B1962" s="27" t="s">
        <v>767</v>
      </c>
      <c r="C1962" s="27" t="s">
        <v>797</v>
      </c>
      <c r="D1962" s="27" t="s">
        <v>762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909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1429</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757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955</v>
      </c>
      <c r="B1966" s="27" t="s">
        <v>796</v>
      </c>
      <c r="C1966" s="27" t="s">
        <v>777</v>
      </c>
      <c r="D1966" s="27" t="s">
        <v>762</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778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1115</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774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row>
    <row r="1971" spans="1:12">
      <c r="A1971" s="20" t="s">
        <v>1430</v>
      </c>
    </row>
    <row r="1972" spans="1:12">
      <c r="A1972" s="20" t="s">
        <v>1290</v>
      </c>
      <c r="B1972" s="27" t="s">
        <v>760</v>
      </c>
      <c r="C1972" s="27" t="s">
        <v>798</v>
      </c>
      <c r="D1972" s="27" t="s">
        <v>762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887</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1431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923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1432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764</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1433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1434</v>
      </c>
      <c r="B1979" s="27" t="s">
        <v>802</v>
      </c>
      <c r="C1979" s="27" t="s">
        <v>768</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751</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984</v>
      </c>
      <c r="B1981" s="27" t="s">
        <v>772</v>
      </c>
      <c r="C1981" s="27" t="s">
        <v>797</v>
      </c>
      <c r="D1981" s="27" t="s">
        <v>762</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774</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row>
    <row r="1984" spans="1:12">
      <c r="A1984" s="20" t="s">
        <v>1435</v>
      </c>
    </row>
    <row r="1985" spans="1:12">
      <c r="A1985" s="20" t="s">
        <v>1436</v>
      </c>
      <c r="B1985" s="27" t="s">
        <v>772</v>
      </c>
      <c r="C1985" s="27" t="s">
        <v>851</v>
      </c>
      <c r="D1985" s="27" t="s">
        <v>762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1437</v>
      </c>
      <c r="B1986" s="27" t="s">
        <v>760</v>
      </c>
      <c r="C1986" s="27" t="s">
        <v>837</v>
      </c>
      <c r="D1986" s="27" t="s">
        <v>762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810</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899</v>
      </c>
      <c r="B1988" s="27" t="s">
        <v>772</v>
      </c>
      <c r="C1988" s="27" t="s">
        <v>820</v>
      </c>
      <c r="D1988" s="27" t="s">
        <v>762</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1438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1095</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1439</v>
      </c>
      <c r="B1991" s="27" t="s">
        <v>767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769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1440</v>
      </c>
      <c r="B1993" s="27" t="s">
        <v>772</v>
      </c>
      <c r="C1993" s="27" t="s">
        <v>754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942</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421</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838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1441</v>
      </c>
      <c r="B1997" s="27" t="s">
        <v>753</v>
      </c>
      <c r="C1997" s="27" t="s">
        <v>761</v>
      </c>
      <c r="D1997" s="27" t="s">
        <v>762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785</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822</v>
      </c>
      <c r="B1999" s="27" t="s">
        <v>894</v>
      </c>
      <c r="C1999" s="27" t="s">
        <v>797</v>
      </c>
      <c r="D1999" s="27" t="s">
        <v>762</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722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774</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row>
    <row r="2003" spans="1:12">
      <c r="A2003" s="20" t="s">
        <v>1442</v>
      </c>
    </row>
    <row r="2004" spans="1:12">
      <c r="A2004" s="20" t="s">
        <v>818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983</v>
      </c>
      <c r="B2005" s="27" t="s">
        <v>760</v>
      </c>
      <c r="C2005" s="27" t="s">
        <v>797</v>
      </c>
      <c r="D2005" s="27" t="s">
        <v>762</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990</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1443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779</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946</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823</v>
      </c>
      <c r="B2010" s="27" t="s">
        <v>802</v>
      </c>
      <c r="C2010" s="27" t="s">
        <v>768</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769</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838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1444</v>
      </c>
      <c r="B2013" s="27" t="s">
        <v>879</v>
      </c>
      <c r="C2013" s="27" t="s">
        <v>761</v>
      </c>
      <c r="D2013" s="27" t="s">
        <v>762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246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774</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row>
    <row r="2017" spans="1:12">
      <c r="A2017" s="20" t="s">
        <v>1445</v>
      </c>
    </row>
    <row r="2018" spans="1:12">
      <c r="A2018" s="20" t="s">
        <v>1446</v>
      </c>
      <c r="B2018" s="27" t="s">
        <v>760</v>
      </c>
      <c r="C2018" s="27" t="s">
        <v>777</v>
      </c>
      <c r="D2018" s="27" t="s">
        <v>762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778</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769</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1447</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16</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1448</v>
      </c>
      <c r="B2023" s="27" t="s">
        <v>753</v>
      </c>
      <c r="C2023" s="27" t="s">
        <v>798</v>
      </c>
      <c r="D2023" s="27" t="s">
        <v>762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1449</v>
      </c>
      <c r="B2024" s="27" t="s">
        <v>772</v>
      </c>
      <c r="C2024" s="27" t="s">
        <v>798</v>
      </c>
      <c r="D2024" s="27" t="s">
        <v>762</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1450</v>
      </c>
      <c r="B2025" s="27" t="s">
        <v>772</v>
      </c>
      <c r="C2025" s="27" t="s">
        <v>798</v>
      </c>
      <c r="D2025" s="27" t="s">
        <v>762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757</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770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1451</v>
      </c>
      <c r="B2028" s="27" t="s">
        <v>772</v>
      </c>
      <c r="C2028" s="27" t="s">
        <v>837</v>
      </c>
      <c r="D2028" s="27" t="s">
        <v>762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769</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758</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1046</v>
      </c>
      <c r="B2031" s="27" t="s">
        <v>879</v>
      </c>
      <c r="C2031" s="27" t="s">
        <v>798</v>
      </c>
      <c r="D2031" s="27" t="s">
        <v>762</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1452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16</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1453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1259</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779</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1454</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1455</v>
      </c>
      <c r="B2039" s="27" t="s">
        <v>772</v>
      </c>
      <c r="C2039" s="27" t="s">
        <v>768</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774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row>
    <row r="2042" spans="1:12">
      <c r="A2042" s="20" t="s">
        <v>1456</v>
      </c>
    </row>
    <row r="2043" spans="1:12">
      <c r="A2043" s="20" t="s">
        <v>995</v>
      </c>
      <c r="B2043" s="27" t="s">
        <v>760</v>
      </c>
      <c r="C2043" s="27" t="s">
        <v>797</v>
      </c>
      <c r="D2043" s="27" t="s">
        <v>762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936</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757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749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995</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811</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996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887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800</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1457</v>
      </c>
      <c r="B2052" s="27" t="s">
        <v>802</v>
      </c>
      <c r="C2052" s="27" t="s">
        <v>803</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769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1051</v>
      </c>
      <c r="B2054" s="27" t="s">
        <v>940</v>
      </c>
      <c r="C2054" s="27" t="s">
        <v>797</v>
      </c>
      <c r="D2054" s="27" t="s">
        <v>762</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1458</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1459</v>
      </c>
      <c r="B2056" s="27" t="s">
        <v>901</v>
      </c>
      <c r="C2056" s="27" t="s">
        <v>754</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769</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1460</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785</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758</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1461</v>
      </c>
      <c r="B2061" s="27" t="s">
        <v>1062</v>
      </c>
      <c r="C2061" s="27" t="s">
        <v>761</v>
      </c>
      <c r="D2061" s="27" t="s">
        <v>762</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838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943</v>
      </c>
      <c r="B2063" s="27" t="s">
        <v>1236</v>
      </c>
      <c r="C2063" s="27" t="s">
        <v>761</v>
      </c>
      <c r="D2063" s="27" t="s">
        <v>762</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1462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793</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954</v>
      </c>
      <c r="B2067" s="27" t="s">
        <v>753</v>
      </c>
      <c r="C2067" s="27" t="s">
        <v>777</v>
      </c>
      <c r="D2067" s="27" t="s">
        <v>762</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920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942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838</v>
      </c>
      <c r="B2070" s="27" t="s">
        <v>894</v>
      </c>
      <c r="C2070" s="27" t="s">
        <v>797</v>
      </c>
      <c r="D2070" s="27" t="s">
        <v>762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1463</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872</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779</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1464</v>
      </c>
      <c r="B2074" s="27" t="s">
        <v>879</v>
      </c>
      <c r="C2074" s="27" t="s">
        <v>768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1085</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785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822</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1108</v>
      </c>
      <c r="B2078" s="27" t="s">
        <v>901</v>
      </c>
      <c r="C2078" s="27" t="s">
        <v>761</v>
      </c>
      <c r="D2078" s="27" t="s">
        <v>762</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1465</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960</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1466</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810</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1467</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774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row>
    <row r="2086" spans="1:12">
      <c r="A2086" s="20" t="s">
        <v>1468</v>
      </c>
    </row>
    <row r="2087" spans="1:12">
      <c r="A2087" s="20" t="s">
        <v>776</v>
      </c>
      <c r="B2087" s="27" t="s">
        <v>760</v>
      </c>
      <c r="C2087" s="27" t="s">
        <v>777</v>
      </c>
      <c r="D2087" s="27" t="s">
        <v>762</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778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1469</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757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1470</v>
      </c>
      <c r="B2091" s="27" t="s">
        <v>753</v>
      </c>
      <c r="C2091" s="27" t="s">
        <v>754</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16</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16</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1471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774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row>
    <row r="2097" spans="1:12">
      <c r="A2097" s="20" t="s">
        <v>1472</v>
      </c>
    </row>
    <row r="2098" spans="1:12">
      <c r="A2098" s="20" t="s">
        <v>908</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959</v>
      </c>
      <c r="B2099" s="27" t="s">
        <v>760</v>
      </c>
      <c r="C2099" s="27" t="s">
        <v>777</v>
      </c>
      <c r="D2099" s="27" t="s">
        <v>762</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811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1473</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800</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1474</v>
      </c>
      <c r="B2103" s="27" t="s">
        <v>767</v>
      </c>
      <c r="C2103" s="27" t="s">
        <v>803</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774</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row>
    <row r="2106" spans="1:12">
      <c r="A2106" s="20" t="s">
        <v>1475</v>
      </c>
    </row>
    <row r="2107" spans="1:12">
      <c r="A2107" s="20" t="s">
        <v>1150</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1476</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1474</v>
      </c>
      <c r="B2109" s="27" t="s">
        <v>760</v>
      </c>
      <c r="C2109" s="27" t="s">
        <v>761</v>
      </c>
      <c r="D2109" s="27" t="s">
        <v>762</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811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1477</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793</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1235</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890</v>
      </c>
      <c r="B2114" s="27" t="s">
        <v>796</v>
      </c>
      <c r="C2114" s="27" t="s">
        <v>820</v>
      </c>
      <c r="D2114" s="27" t="s">
        <v>762</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840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1478</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785</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764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262</v>
      </c>
      <c r="B2119" s="27" t="s">
        <v>772</v>
      </c>
      <c r="C2119" s="27" t="s">
        <v>768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757</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779</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1479</v>
      </c>
      <c r="B2122" s="27" t="s">
        <v>941</v>
      </c>
      <c r="C2122" s="27" t="s">
        <v>768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811</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778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804</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764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262</v>
      </c>
      <c r="B2127" s="27" t="s">
        <v>879</v>
      </c>
      <c r="C2127" s="27" t="s">
        <v>768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774</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row>
    <row r="2130" spans="1:12">
      <c r="A2130" s="20" t="s">
        <v>1480</v>
      </c>
    </row>
    <row r="2131" spans="1:12">
      <c r="A2131" s="20" t="s">
        <v>818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1201</v>
      </c>
      <c r="B2132" s="27" t="s">
        <v>760</v>
      </c>
      <c r="C2132" s="27" t="s">
        <v>820</v>
      </c>
      <c r="D2132" s="27" t="s">
        <v>762</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887</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1323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1453</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785</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964</v>
      </c>
      <c r="B2137" s="27" t="s">
        <v>753</v>
      </c>
      <c r="C2137" s="27" t="s">
        <v>754</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769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838</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1481</v>
      </c>
      <c r="B2140" s="27" t="s">
        <v>772</v>
      </c>
      <c r="C2140" s="27" t="s">
        <v>761</v>
      </c>
      <c r="D2140" s="27" t="s">
        <v>762</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1482</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793</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886</v>
      </c>
      <c r="B2143" s="27" t="s">
        <v>956</v>
      </c>
      <c r="C2143" s="27" t="s">
        <v>797</v>
      </c>
      <c r="D2143" s="27" t="s">
        <v>762</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1438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918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872</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822</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1483</v>
      </c>
      <c r="B2148" s="27" t="s">
        <v>879</v>
      </c>
      <c r="C2148" s="27" t="s">
        <v>761</v>
      </c>
      <c r="D2148" s="27" t="s">
        <v>762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769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838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1484</v>
      </c>
      <c r="B2151" s="27" t="s">
        <v>901</v>
      </c>
      <c r="C2151" s="27" t="s">
        <v>761</v>
      </c>
      <c r="D2151" s="27" t="s">
        <v>762</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774</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row>
    <row r="2154" spans="1:12">
      <c r="A2154" s="20" t="s">
        <v>1485</v>
      </c>
    </row>
    <row r="2155" spans="1:12">
      <c r="A2155" s="20" t="s">
        <v>917</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918</v>
      </c>
      <c r="B2156" s="27" t="s">
        <v>760</v>
      </c>
      <c r="C2156" s="27" t="s">
        <v>761</v>
      </c>
      <c r="D2156" s="27" t="s">
        <v>762</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793</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965</v>
      </c>
      <c r="B2158" s="27" t="s">
        <v>901</v>
      </c>
      <c r="C2158" s="27" t="s">
        <v>851</v>
      </c>
      <c r="D2158" s="27" t="s">
        <v>762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1486</v>
      </c>
      <c r="B2159" s="27" t="s">
        <v>956</v>
      </c>
      <c r="C2159" s="27" t="s">
        <v>837</v>
      </c>
      <c r="D2159" s="27" t="s">
        <v>762</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1487</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1488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918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838</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1489</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1490</v>
      </c>
      <c r="B2165" s="27" t="s">
        <v>767</v>
      </c>
      <c r="C2165" s="27" t="s">
        <v>761</v>
      </c>
      <c r="D2165" s="27" t="s">
        <v>762</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1491</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1381</v>
      </c>
      <c r="B2167" s="27" t="s">
        <v>753</v>
      </c>
      <c r="C2167" s="27" t="s">
        <v>803</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774</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row>
    <row r="2170" spans="1:12">
      <c r="A2170" s="20" t="s">
        <v>1492</v>
      </c>
    </row>
    <row r="2171" spans="1:12">
      <c r="A2171" s="20" t="s">
        <v>908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890</v>
      </c>
      <c r="B2172" s="27" t="s">
        <v>760</v>
      </c>
      <c r="C2172" s="27" t="s">
        <v>820</v>
      </c>
      <c r="D2172" s="27" t="s">
        <v>762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1493</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855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757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872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822</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1265</v>
      </c>
      <c r="B2178" s="27" t="s">
        <v>772</v>
      </c>
      <c r="C2178" s="27" t="s">
        <v>761</v>
      </c>
      <c r="D2178" s="27" t="s">
        <v>762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757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890</v>
      </c>
      <c r="B2180" s="27" t="s">
        <v>796</v>
      </c>
      <c r="C2180" s="27" t="s">
        <v>820</v>
      </c>
      <c r="D2180" s="27" t="s">
        <v>762</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1494</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838</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125</v>
      </c>
      <c r="B2183" s="27" t="s">
        <v>802</v>
      </c>
      <c r="C2183" s="27" t="s">
        <v>761</v>
      </c>
      <c r="D2183" s="27" t="s">
        <v>762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1020</v>
      </c>
      <c r="B2184" s="27" t="s">
        <v>941</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1025</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805</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1222</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1495</v>
      </c>
      <c r="B2188" s="27" t="s">
        <v>940</v>
      </c>
      <c r="C2188" s="27" t="s">
        <v>768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757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855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890</v>
      </c>
      <c r="B2191" s="27" t="s">
        <v>956</v>
      </c>
      <c r="C2191" s="27" t="s">
        <v>820</v>
      </c>
      <c r="D2191" s="27" t="s">
        <v>762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1494</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838</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1126</v>
      </c>
      <c r="B2194" s="27" t="s">
        <v>894</v>
      </c>
      <c r="C2194" s="27" t="s">
        <v>761</v>
      </c>
      <c r="D2194" s="27" t="s">
        <v>762</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1496</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757</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785</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1244</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1497</v>
      </c>
      <c r="B2199" s="27" t="s">
        <v>901</v>
      </c>
      <c r="C2199" s="27" t="s">
        <v>803</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890</v>
      </c>
      <c r="B2200" s="27" t="s">
        <v>941</v>
      </c>
      <c r="C2200" s="27" t="s">
        <v>820</v>
      </c>
      <c r="D2200" s="27" t="s">
        <v>762</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1498</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793</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1159</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125</v>
      </c>
      <c r="B2204" s="27" t="s">
        <v>1272</v>
      </c>
      <c r="C2204" s="27" t="s">
        <v>1019</v>
      </c>
      <c r="D2204" s="27" t="s">
        <v>762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811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1081</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804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1499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774</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row>
    <row r="2211" spans="1:12">
      <c r="A2211" s="20" t="s">
        <v>1500</v>
      </c>
    </row>
    <row r="2212" spans="1:12">
      <c r="A2212" s="20" t="s">
        <v>917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1501</v>
      </c>
      <c r="B2213" s="27" t="s">
        <v>760</v>
      </c>
      <c r="C2213" s="27" t="s">
        <v>761</v>
      </c>
      <c r="D2213" s="27" t="s">
        <v>762</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1020</v>
      </c>
      <c r="B2214" s="27" t="s">
        <v>956</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887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1364</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1425</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1502</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757</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1020</v>
      </c>
      <c r="B2220" s="27" t="s">
        <v>956</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778</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1240</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930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1503</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757</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778</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1504</v>
      </c>
      <c r="B2227" s="27" t="s">
        <v>753</v>
      </c>
      <c r="C2227" s="27" t="s">
        <v>777</v>
      </c>
      <c r="D2227" s="27" t="s">
        <v>762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785</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1247</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886</v>
      </c>
      <c r="B2230" s="27" t="s">
        <v>796</v>
      </c>
      <c r="C2230" s="27" t="s">
        <v>797</v>
      </c>
      <c r="D2230" s="27" t="s">
        <v>762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798</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1505</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804</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1323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1506</v>
      </c>
      <c r="B2235" s="27" t="s">
        <v>802</v>
      </c>
      <c r="C2235" s="27" t="s">
        <v>754</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774</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row>
    <row r="2238" spans="1:12">
      <c r="A2238" s="20" t="s">
        <v>1507</v>
      </c>
    </row>
    <row r="2239" spans="1:12">
      <c r="A2239" s="20" t="s">
        <v>1168</v>
      </c>
      <c r="B2239" s="27" t="s">
        <v>760</v>
      </c>
      <c r="C2239" s="27" t="s">
        <v>820</v>
      </c>
      <c r="D2239" s="27" t="s">
        <v>762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769</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838</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1508</v>
      </c>
      <c r="B2242" s="27" t="s">
        <v>772</v>
      </c>
      <c r="C2242" s="27" t="s">
        <v>761</v>
      </c>
      <c r="D2242" s="27" t="s">
        <v>762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793</v>
      </c>
      <c r="B2243" s="27" t="s">
        <v>894</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827</v>
      </c>
      <c r="B2244" s="27" t="s">
        <v>956</v>
      </c>
      <c r="C2244" s="27" t="s">
        <v>797</v>
      </c>
      <c r="D2244" s="27" t="s">
        <v>762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909</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1509</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757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1510</v>
      </c>
      <c r="B2248" s="27" t="s">
        <v>772</v>
      </c>
      <c r="C2248" s="27" t="s">
        <v>798</v>
      </c>
      <c r="D2248" s="27" t="s">
        <v>762</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810</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1511</v>
      </c>
      <c r="B2250" s="27" t="s">
        <v>879</v>
      </c>
      <c r="C2250" s="27" t="s">
        <v>798</v>
      </c>
      <c r="D2250" s="27" t="s">
        <v>762</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1512</v>
      </c>
      <c r="B2251" s="27" t="s">
        <v>901</v>
      </c>
      <c r="C2251" s="27" t="s">
        <v>798</v>
      </c>
      <c r="D2251" s="27" t="s">
        <v>762</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757</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1004</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1364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1513</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757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826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757</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1029</v>
      </c>
      <c r="B2259" s="27" t="s">
        <v>772</v>
      </c>
      <c r="C2259" s="27" t="s">
        <v>820</v>
      </c>
      <c r="D2259" s="27" t="s">
        <v>762</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757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769</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1514</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810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1515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1000</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1516</v>
      </c>
      <c r="B2266" s="27" t="s">
        <v>879</v>
      </c>
      <c r="C2266" s="27" t="s">
        <v>798</v>
      </c>
      <c r="D2266" s="27" t="s">
        <v>762</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757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890</v>
      </c>
      <c r="B2268" s="27" t="s">
        <v>1272</v>
      </c>
      <c r="C2268" s="27" t="s">
        <v>820</v>
      </c>
      <c r="D2268" s="27" t="s">
        <v>762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1517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793</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1161</v>
      </c>
      <c r="B2271" s="27" t="s">
        <v>1127</v>
      </c>
      <c r="C2271" s="27" t="s">
        <v>851</v>
      </c>
      <c r="D2271" s="27" t="s">
        <v>762</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1368</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952</v>
      </c>
      <c r="B2273" s="27" t="s">
        <v>1080</v>
      </c>
      <c r="C2273" s="27" t="s">
        <v>837</v>
      </c>
      <c r="D2273" s="27" t="s">
        <v>762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915</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1479</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774</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row>
    <row r="2278" spans="1:12">
      <c r="A2278" s="20" t="s">
        <v>1518</v>
      </c>
    </row>
    <row r="2279" spans="1:12">
      <c r="A2279" s="20" t="s">
        <v>1024</v>
      </c>
      <c r="B2279" s="27" t="s">
        <v>760</v>
      </c>
      <c r="C2279" s="27" t="s">
        <v>797</v>
      </c>
      <c r="D2279" s="27" t="s">
        <v>762</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1519</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793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838</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1520</v>
      </c>
      <c r="B2283" s="27" t="s">
        <v>796</v>
      </c>
      <c r="C2283" s="27" t="s">
        <v>761</v>
      </c>
      <c r="D2283" s="27" t="s">
        <v>762</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1325</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942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984</v>
      </c>
      <c r="B2286" s="27" t="s">
        <v>879</v>
      </c>
      <c r="C2286" s="27" t="s">
        <v>797</v>
      </c>
      <c r="D2286" s="27" t="s">
        <v>762</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811</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1081</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804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954</v>
      </c>
      <c r="B2290" s="27" t="s">
        <v>753</v>
      </c>
      <c r="C2290" s="27" t="s">
        <v>777</v>
      </c>
      <c r="D2290" s="27" t="s">
        <v>762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889</v>
      </c>
      <c r="B2291" s="27" t="s">
        <v>894</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1196</v>
      </c>
      <c r="B2292" s="27" t="s">
        <v>956</v>
      </c>
      <c r="C2292" s="27" t="s">
        <v>797</v>
      </c>
      <c r="D2292" s="27" t="s">
        <v>762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1521</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421</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757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1155</v>
      </c>
      <c r="B2296" s="27" t="s">
        <v>1272</v>
      </c>
      <c r="C2296" s="27" t="s">
        <v>797</v>
      </c>
      <c r="D2296" s="27" t="s">
        <v>762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1004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1031</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1522</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889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1155</v>
      </c>
      <c r="B2301" s="27" t="s">
        <v>1080</v>
      </c>
      <c r="C2301" s="27" t="s">
        <v>797</v>
      </c>
      <c r="D2301" s="27" t="s">
        <v>762</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1523</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779</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780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1524</v>
      </c>
      <c r="B2305" s="27" t="s">
        <v>1236</v>
      </c>
      <c r="C2305" s="27" t="s">
        <v>768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16</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1178</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1525</v>
      </c>
      <c r="B2308" s="27" t="s">
        <v>1127</v>
      </c>
      <c r="C2308" s="27" t="s">
        <v>831</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769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1526</v>
      </c>
      <c r="B2310" s="27" t="s">
        <v>1129</v>
      </c>
      <c r="C2310" s="27" t="s">
        <v>754</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889</v>
      </c>
      <c r="B2311" s="27" t="s">
        <v>1423</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1155</v>
      </c>
      <c r="B2312" s="27" t="s">
        <v>1133</v>
      </c>
      <c r="C2312" s="27" t="s">
        <v>797</v>
      </c>
      <c r="D2312" s="27" t="s">
        <v>762</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1004</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1527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875</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1528</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1222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1139</v>
      </c>
      <c r="B2318" s="27" t="s">
        <v>1130</v>
      </c>
      <c r="C2318" s="27" t="s">
        <v>803</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16</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942</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1529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838</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943</v>
      </c>
      <c r="B2323" s="27" t="s">
        <v>1131</v>
      </c>
      <c r="C2323" s="27" t="s">
        <v>761</v>
      </c>
      <c r="D2323" s="27" t="s">
        <v>762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1462</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774</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row>
    <row r="2327" spans="1:12">
      <c r="A2327" s="20" t="s">
        <v>1530</v>
      </c>
    </row>
    <row r="2328" spans="1:12">
      <c r="A2328" s="20" t="s">
        <v>1531</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822</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1532</v>
      </c>
      <c r="B2330" s="27" t="s">
        <v>753</v>
      </c>
      <c r="C2330" s="27" t="s">
        <v>761</v>
      </c>
      <c r="D2330" s="27" t="s">
        <v>762</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769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838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1444</v>
      </c>
      <c r="B2333" s="27" t="s">
        <v>772</v>
      </c>
      <c r="C2333" s="27" t="s">
        <v>761</v>
      </c>
      <c r="D2333" s="27" t="s">
        <v>762</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757</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954</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1524</v>
      </c>
      <c r="B2336" s="27" t="s">
        <v>760</v>
      </c>
      <c r="C2336" s="27" t="s">
        <v>1019</v>
      </c>
      <c r="D2336" s="27" t="s">
        <v>762</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840</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778</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1533</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810</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778</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1060</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822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1534</v>
      </c>
      <c r="B2344" s="27" t="s">
        <v>802</v>
      </c>
      <c r="C2344" s="27" t="s">
        <v>798</v>
      </c>
      <c r="D2344" s="27" t="s">
        <v>762</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1535</v>
      </c>
      <c r="B2345" s="27" t="s">
        <v>879</v>
      </c>
      <c r="C2345" s="27" t="s">
        <v>798</v>
      </c>
      <c r="D2345" s="27" t="s">
        <v>762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757</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1050</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697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996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887</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1105</v>
      </c>
      <c r="B2351" s="27" t="s">
        <v>940</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769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838</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1536</v>
      </c>
      <c r="B2354" s="27" t="s">
        <v>815</v>
      </c>
      <c r="C2354" s="27" t="s">
        <v>761</v>
      </c>
      <c r="D2354" s="27" t="s">
        <v>762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810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769</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838</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1536</v>
      </c>
      <c r="B2358" s="27" t="s">
        <v>1062</v>
      </c>
      <c r="C2358" s="27" t="s">
        <v>761</v>
      </c>
      <c r="D2358" s="27" t="s">
        <v>762</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805</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943</v>
      </c>
      <c r="B2360" s="27" t="s">
        <v>1127</v>
      </c>
      <c r="C2360" s="27" t="s">
        <v>754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1537</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769</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1538</v>
      </c>
      <c r="B2363" s="27" t="s">
        <v>1129</v>
      </c>
      <c r="C2363" s="27" t="s">
        <v>754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1304</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1020</v>
      </c>
      <c r="B2365" s="27" t="s">
        <v>1133</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1539</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779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1540</v>
      </c>
      <c r="B2368" s="27" t="s">
        <v>1423</v>
      </c>
      <c r="C2368" s="27" t="s">
        <v>768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774</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row>
    <row r="2371" spans="1:12">
      <c r="A2371" s="20" t="s">
        <v>1541</v>
      </c>
    </row>
    <row r="2372" spans="1:12">
      <c r="A2372" s="20" t="s">
        <v>1542</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770</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1543</v>
      </c>
      <c r="B2374" s="27" t="s">
        <v>753</v>
      </c>
      <c r="C2374" s="27" t="s">
        <v>837</v>
      </c>
      <c r="D2374" s="27" t="s">
        <v>762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769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1026</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1380</v>
      </c>
      <c r="B2377" s="27" t="s">
        <v>772</v>
      </c>
      <c r="C2377" s="27" t="s">
        <v>1019</v>
      </c>
      <c r="D2377" s="27" t="s">
        <v>762</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872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758</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1449</v>
      </c>
      <c r="B2380" s="27" t="s">
        <v>772</v>
      </c>
      <c r="C2380" s="27" t="s">
        <v>798</v>
      </c>
      <c r="D2380" s="27" t="s">
        <v>762</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1450</v>
      </c>
      <c r="B2381" s="27" t="s">
        <v>879</v>
      </c>
      <c r="C2381" s="27" t="s">
        <v>798</v>
      </c>
      <c r="D2381" s="27" t="s">
        <v>762</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757</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770</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1544</v>
      </c>
      <c r="B2384" s="27" t="s">
        <v>760</v>
      </c>
      <c r="C2384" s="27" t="s">
        <v>761</v>
      </c>
      <c r="D2384" s="27" t="s">
        <v>762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769</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789</v>
      </c>
      <c r="B2386" s="27" t="s">
        <v>772</v>
      </c>
      <c r="C2386" s="27" t="s">
        <v>754</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769</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838</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1126</v>
      </c>
      <c r="B2389" s="27" t="s">
        <v>772</v>
      </c>
      <c r="C2389" s="27" t="s">
        <v>761</v>
      </c>
      <c r="D2389" s="27" t="s">
        <v>762</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1462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887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405</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774</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row>
    <row r="2395" spans="1:12">
      <c r="A2395" s="20" t="s">
        <v>1545</v>
      </c>
    </row>
    <row r="2396" spans="1:12">
      <c r="A2396" s="20" t="s">
        <v>938</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1231</v>
      </c>
      <c r="B2397" s="27" t="s">
        <v>760</v>
      </c>
      <c r="C2397" s="27" t="s">
        <v>761</v>
      </c>
      <c r="D2397" s="27" t="s">
        <v>762</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769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838</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1126</v>
      </c>
      <c r="B2400" s="27" t="s">
        <v>772</v>
      </c>
      <c r="C2400" s="27" t="s">
        <v>761</v>
      </c>
      <c r="D2400" s="27" t="s">
        <v>762</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1462</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1546</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1079</v>
      </c>
      <c r="B2403" s="27" t="s">
        <v>767</v>
      </c>
      <c r="C2403" s="27" t="s">
        <v>777</v>
      </c>
      <c r="D2403" s="27" t="s">
        <v>762</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1020</v>
      </c>
      <c r="B2404" s="27" t="s">
        <v>956</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1183</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1547</v>
      </c>
      <c r="B2406" s="27" t="s">
        <v>772</v>
      </c>
      <c r="C2406" s="27" t="s">
        <v>754</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757</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1079</v>
      </c>
      <c r="B2408" s="27" t="s">
        <v>772</v>
      </c>
      <c r="C2408" s="27" t="s">
        <v>777</v>
      </c>
      <c r="D2408" s="27" t="s">
        <v>762</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1020</v>
      </c>
      <c r="B2409" s="27" t="s">
        <v>941</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1183</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1548</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757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1079</v>
      </c>
      <c r="B2413" s="27" t="s">
        <v>901</v>
      </c>
      <c r="C2413" s="27" t="s">
        <v>777</v>
      </c>
      <c r="D2413" s="27" t="s">
        <v>762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1020</v>
      </c>
      <c r="B2414" s="27" t="s">
        <v>1080</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1197</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1549</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1550</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1551</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1161</v>
      </c>
      <c r="B2419" s="27" t="s">
        <v>1129</v>
      </c>
      <c r="C2419" s="27" t="s">
        <v>851</v>
      </c>
      <c r="D2419" s="27" t="s">
        <v>762</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789</v>
      </c>
      <c r="B2420" s="27" t="s">
        <v>1131</v>
      </c>
      <c r="C2420" s="27" t="s">
        <v>837</v>
      </c>
      <c r="D2420" s="27" t="s">
        <v>762</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805</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1552</v>
      </c>
      <c r="B2422" s="27" t="s">
        <v>1129</v>
      </c>
      <c r="C2422" s="27" t="s">
        <v>754</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774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row>
    <row r="2425" spans="1:12">
      <c r="A2425" s="20" t="s">
        <v>1553</v>
      </c>
    </row>
    <row r="2426" spans="1:12">
      <c r="A2426" s="20" t="s">
        <v>1554</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1512</v>
      </c>
      <c r="B2427" s="27" t="s">
        <v>760</v>
      </c>
      <c r="C2427" s="27" t="s">
        <v>798</v>
      </c>
      <c r="D2427" s="27" t="s">
        <v>762</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996</v>
      </c>
      <c r="B2428" s="27" t="s">
        <v>753</v>
      </c>
      <c r="C2428" s="27" t="s">
        <v>820</v>
      </c>
      <c r="D2428" s="27" t="s">
        <v>762</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1183</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942</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1323</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774</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row>
    <row r="2434" spans="1:12">
      <c r="A2434" s="20" t="s">
        <v>1555</v>
      </c>
    </row>
    <row r="2435" spans="1:12">
      <c r="A2435" s="20" t="s">
        <v>983</v>
      </c>
      <c r="B2435" s="27" t="s">
        <v>760</v>
      </c>
      <c r="C2435" s="27" t="s">
        <v>797</v>
      </c>
      <c r="D2435" s="27" t="s">
        <v>762</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1161</v>
      </c>
      <c r="B2436" s="27" t="s">
        <v>767</v>
      </c>
      <c r="C2436" s="27" t="s">
        <v>797</v>
      </c>
      <c r="D2436" s="27" t="s">
        <v>762</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909</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1005</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749</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1556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1419</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793</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1557</v>
      </c>
      <c r="B2443" s="27" t="s">
        <v>956</v>
      </c>
      <c r="C2443" s="27" t="s">
        <v>797</v>
      </c>
      <c r="D2443" s="27" t="s">
        <v>762</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1558</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769</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838</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1559</v>
      </c>
      <c r="B2447" s="27" t="s">
        <v>879</v>
      </c>
      <c r="C2447" s="27" t="s">
        <v>761</v>
      </c>
      <c r="D2447" s="27" t="s">
        <v>762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859</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row>
    <row r="2450" spans="1:12">
      <c r="A2450" s="20" t="s">
        <v>1560</v>
      </c>
    </row>
    <row r="2451" spans="1:12">
      <c r="A2451" s="20" t="s">
        <v>1556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1419</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793</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1557</v>
      </c>
      <c r="B2454" s="27" t="s">
        <v>796</v>
      </c>
      <c r="C2454" s="27" t="s">
        <v>797</v>
      </c>
      <c r="D2454" s="27" t="s">
        <v>762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1561</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1562</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793</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1563</v>
      </c>
      <c r="B2458" s="27" t="s">
        <v>815</v>
      </c>
      <c r="C2458" s="27" t="s">
        <v>851</v>
      </c>
      <c r="D2458" s="27" t="s">
        <v>762</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952</v>
      </c>
      <c r="B2459" s="27" t="s">
        <v>941</v>
      </c>
      <c r="C2459" s="27" t="s">
        <v>837</v>
      </c>
      <c r="D2459" s="27" t="s">
        <v>762</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811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1487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804</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1364</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1479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859</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row>
    <row r="2467" spans="1:12">
      <c r="A2467" s="20" t="s">
        <v>1564</v>
      </c>
    </row>
    <row r="2468" spans="1:12">
      <c r="A2468" s="20" t="s">
        <v>1556</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1419</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793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1557</v>
      </c>
      <c r="B2471" s="27" t="s">
        <v>796</v>
      </c>
      <c r="C2471" s="27" t="s">
        <v>797</v>
      </c>
      <c r="D2471" s="27" t="s">
        <v>762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1561</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1565</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798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1300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751</v>
      </c>
      <c r="B2476" s="27" t="s">
        <v>1076</v>
      </c>
      <c r="C2476" s="27" t="s">
        <v>820</v>
      </c>
      <c r="D2476" s="27" t="s">
        <v>762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129</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1566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1567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859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row>
    <row r="2482" spans="1:12">
      <c r="A2482" s="20" t="s">
        <v>1568</v>
      </c>
    </row>
    <row r="2483" spans="1:12">
      <c r="A2483" s="20" t="s">
        <v>818</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1436</v>
      </c>
      <c r="B2484" s="27" t="s">
        <v>772</v>
      </c>
      <c r="C2484" s="27" t="s">
        <v>851</v>
      </c>
      <c r="D2484" s="27" t="s">
        <v>762</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1437</v>
      </c>
      <c r="B2485" s="27" t="s">
        <v>760</v>
      </c>
      <c r="C2485" s="27" t="s">
        <v>837</v>
      </c>
      <c r="D2485" s="27" t="s">
        <v>762</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887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888</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1069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1070</v>
      </c>
      <c r="B2489" s="27" t="s">
        <v>767</v>
      </c>
      <c r="C2489" s="27" t="s">
        <v>803</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805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1569</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757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749</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833</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1120</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757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942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1570</v>
      </c>
      <c r="B2498" s="27" t="s">
        <v>772</v>
      </c>
      <c r="C2498" s="27" t="s">
        <v>798</v>
      </c>
      <c r="D2498" s="27" t="s">
        <v>762</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757</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965</v>
      </c>
      <c r="B2500" s="27" t="s">
        <v>901</v>
      </c>
      <c r="C2500" s="27" t="s">
        <v>851</v>
      </c>
      <c r="D2500" s="27" t="s">
        <v>762</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1320</v>
      </c>
      <c r="B2501" s="27" t="s">
        <v>879</v>
      </c>
      <c r="C2501" s="27" t="s">
        <v>837</v>
      </c>
      <c r="D2501" s="27" t="s">
        <v>762</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757</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869</v>
      </c>
      <c r="B2503" s="27" t="s">
        <v>796</v>
      </c>
      <c r="C2503" s="27" t="s">
        <v>797</v>
      </c>
      <c r="D2503" s="27" t="s">
        <v>762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822</v>
      </c>
      <c r="B2504" s="27" t="s">
        <v>802</v>
      </c>
      <c r="C2504" s="27" t="s">
        <v>797</v>
      </c>
      <c r="D2504" s="27" t="s">
        <v>762</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1571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757</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1230</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793</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942</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1570</v>
      </c>
      <c r="B2510" s="27" t="s">
        <v>879</v>
      </c>
      <c r="C2510" s="27" t="s">
        <v>798</v>
      </c>
      <c r="D2510" s="27" t="s">
        <v>762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757</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955</v>
      </c>
      <c r="B2512" s="27" t="s">
        <v>956</v>
      </c>
      <c r="C2512" s="27" t="s">
        <v>777</v>
      </c>
      <c r="D2512" s="27" t="s">
        <v>762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778</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764</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1147</v>
      </c>
      <c r="B2515" s="27" t="s">
        <v>772</v>
      </c>
      <c r="C2515" s="27" t="s">
        <v>768</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1204</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769</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333</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1572</v>
      </c>
      <c r="B2519" s="27" t="s">
        <v>940</v>
      </c>
      <c r="C2519" s="27" t="s">
        <v>754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769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822</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948</v>
      </c>
      <c r="B2522" s="27" t="s">
        <v>815</v>
      </c>
      <c r="C2522" s="27" t="s">
        <v>761</v>
      </c>
      <c r="D2522" s="27" t="s">
        <v>762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757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810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827</v>
      </c>
      <c r="B2525" s="27" t="s">
        <v>956</v>
      </c>
      <c r="C2525" s="27" t="s">
        <v>797</v>
      </c>
      <c r="D2525" s="27" t="s">
        <v>762</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1573</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586</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785</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1570</v>
      </c>
      <c r="B2529" s="27" t="s">
        <v>901</v>
      </c>
      <c r="C2529" s="27" t="s">
        <v>798</v>
      </c>
      <c r="D2529" s="27" t="s">
        <v>762</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764</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789</v>
      </c>
      <c r="B2531" s="27" t="s">
        <v>940</v>
      </c>
      <c r="C2531" s="27" t="s">
        <v>768</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960</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1574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774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row>
    <row r="2536" spans="1:12">
      <c r="A2536" s="20" t="s">
        <v>1575</v>
      </c>
    </row>
    <row r="2537" spans="1:12">
      <c r="A2537" s="20" t="s">
        <v>908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869</v>
      </c>
      <c r="B2538" s="27" t="s">
        <v>760</v>
      </c>
      <c r="C2538" s="27" t="s">
        <v>797</v>
      </c>
      <c r="D2538" s="27" t="s">
        <v>762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1576</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793</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1322</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886</v>
      </c>
      <c r="B2542" s="27" t="s">
        <v>796</v>
      </c>
      <c r="C2542" s="27" t="s">
        <v>797</v>
      </c>
      <c r="D2542" s="27" t="s">
        <v>762</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1577</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1278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838</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1462</v>
      </c>
      <c r="B2546" s="27" t="s">
        <v>802</v>
      </c>
      <c r="C2546" s="27" t="s">
        <v>761</v>
      </c>
      <c r="D2546" s="27" t="s">
        <v>762</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757</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954</v>
      </c>
      <c r="B2548" s="27" t="s">
        <v>796</v>
      </c>
      <c r="C2548" s="27" t="s">
        <v>777</v>
      </c>
      <c r="D2548" s="27" t="s">
        <v>762</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1411</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764</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1578</v>
      </c>
      <c r="B2551" s="27" t="s">
        <v>753</v>
      </c>
      <c r="C2551" s="27" t="s">
        <v>768</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1579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818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1511</v>
      </c>
      <c r="B2554" s="27" t="s">
        <v>796</v>
      </c>
      <c r="C2554" s="27" t="s">
        <v>798</v>
      </c>
      <c r="D2554" s="27" t="s">
        <v>762</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1512</v>
      </c>
      <c r="B2555" s="27" t="s">
        <v>879</v>
      </c>
      <c r="C2555" s="27" t="s">
        <v>798</v>
      </c>
      <c r="D2555" s="27" t="s">
        <v>762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903</v>
      </c>
      <c r="B2556" s="27" t="s">
        <v>802</v>
      </c>
      <c r="C2556" s="27" t="s">
        <v>797</v>
      </c>
      <c r="D2556" s="27" t="s">
        <v>762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887</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888</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757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749</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983</v>
      </c>
      <c r="B2561" s="27" t="s">
        <v>796</v>
      </c>
      <c r="C2561" s="27" t="s">
        <v>797</v>
      </c>
      <c r="D2561" s="27" t="s">
        <v>762</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870</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805</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1580</v>
      </c>
      <c r="B2564" s="27" t="s">
        <v>753</v>
      </c>
      <c r="C2564" s="27" t="s">
        <v>754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875</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1510</v>
      </c>
      <c r="B2566" s="27" t="s">
        <v>772</v>
      </c>
      <c r="C2566" s="27" t="s">
        <v>798</v>
      </c>
      <c r="D2566" s="27" t="s">
        <v>762</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774</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row>
    <row r="2569" spans="1:12">
      <c r="A2569" s="20" t="s">
        <v>1581</v>
      </c>
    </row>
    <row r="2570" spans="1:12">
      <c r="A2570" s="20" t="s">
        <v>1582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1570</v>
      </c>
      <c r="B2571" s="27" t="s">
        <v>753</v>
      </c>
      <c r="C2571" s="27" t="s">
        <v>798</v>
      </c>
      <c r="D2571" s="27" t="s">
        <v>762</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757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869</v>
      </c>
      <c r="B2573" s="27" t="s">
        <v>760</v>
      </c>
      <c r="C2573" s="27" t="s">
        <v>797</v>
      </c>
      <c r="D2573" s="27" t="s">
        <v>762</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1583</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1099</v>
      </c>
      <c r="B2575" s="27" t="s">
        <v>753</v>
      </c>
      <c r="C2575" s="27" t="s">
        <v>851</v>
      </c>
      <c r="D2575" s="27" t="s">
        <v>762</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814</v>
      </c>
      <c r="B2576" s="27" t="s">
        <v>753</v>
      </c>
      <c r="C2576" s="27" t="s">
        <v>837</v>
      </c>
      <c r="D2576" s="27" t="s">
        <v>762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751</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779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1584</v>
      </c>
      <c r="B2579" s="27" t="s">
        <v>753</v>
      </c>
      <c r="C2579" s="27" t="s">
        <v>768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942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984</v>
      </c>
      <c r="B2581" s="27" t="s">
        <v>802</v>
      </c>
      <c r="C2581" s="27" t="s">
        <v>797</v>
      </c>
      <c r="D2581" s="27" t="s">
        <v>762</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586</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764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789</v>
      </c>
      <c r="B2584" s="27" t="s">
        <v>802</v>
      </c>
      <c r="C2584" s="27" t="s">
        <v>768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1585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774</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row>
    <row r="2588" spans="1:12">
      <c r="A2588" s="20" t="s">
        <v>1586</v>
      </c>
    </row>
    <row r="2589" spans="1:12">
      <c r="A2589" s="20" t="s">
        <v>908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757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869</v>
      </c>
      <c r="B2591" s="27" t="s">
        <v>760</v>
      </c>
      <c r="C2591" s="27" t="s">
        <v>797</v>
      </c>
      <c r="D2591" s="27" t="s">
        <v>762</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1587</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942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899</v>
      </c>
      <c r="B2594" s="27" t="s">
        <v>753</v>
      </c>
      <c r="C2594" s="27" t="s">
        <v>820</v>
      </c>
      <c r="D2594" s="27" t="s">
        <v>762</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810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1120</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757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869</v>
      </c>
      <c r="B2599" s="27" t="s">
        <v>796</v>
      </c>
      <c r="C2599" s="27" t="s">
        <v>797</v>
      </c>
      <c r="D2599" s="27" t="s">
        <v>762</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811</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1588</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1300</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1589</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697</v>
      </c>
      <c r="B2604" s="27" t="s">
        <v>879</v>
      </c>
      <c r="C2604" s="27" t="s">
        <v>797</v>
      </c>
      <c r="D2604" s="27" t="s">
        <v>762</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996</v>
      </c>
      <c r="B2605" s="27" t="s">
        <v>901</v>
      </c>
      <c r="C2605" s="27" t="s">
        <v>820</v>
      </c>
      <c r="D2605" s="27" t="s">
        <v>762</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887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106</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830</v>
      </c>
      <c r="B2608" s="27" t="s">
        <v>772</v>
      </c>
      <c r="C2608" s="27" t="s">
        <v>831</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757</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1235</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697</v>
      </c>
      <c r="B2611" s="27" t="s">
        <v>956</v>
      </c>
      <c r="C2611" s="27" t="s">
        <v>797</v>
      </c>
      <c r="D2611" s="27" t="s">
        <v>762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778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1294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793</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869</v>
      </c>
      <c r="B2615" s="27" t="s">
        <v>941</v>
      </c>
      <c r="C2615" s="27" t="s">
        <v>797</v>
      </c>
      <c r="D2615" s="27" t="s">
        <v>762</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1590</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566</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785</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954</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1497</v>
      </c>
      <c r="B2620" s="27" t="s">
        <v>815</v>
      </c>
      <c r="C2620" s="27" t="s">
        <v>1019</v>
      </c>
      <c r="D2620" s="27" t="s">
        <v>762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16</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751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954</v>
      </c>
      <c r="B2623" s="27" t="s">
        <v>772</v>
      </c>
      <c r="C2623" s="27" t="s">
        <v>777</v>
      </c>
      <c r="D2623" s="27" t="s">
        <v>762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1020</v>
      </c>
      <c r="B2624" s="27" t="s">
        <v>941</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975</v>
      </c>
      <c r="B2625" s="27" t="s">
        <v>940</v>
      </c>
      <c r="C2625" s="27" t="s">
        <v>797</v>
      </c>
      <c r="D2625" s="27" t="s">
        <v>762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1591</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757</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959</v>
      </c>
      <c r="B2628" s="27" t="s">
        <v>796</v>
      </c>
      <c r="C2628" s="27" t="s">
        <v>777</v>
      </c>
      <c r="D2628" s="27" t="s">
        <v>762</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903</v>
      </c>
      <c r="B2629" s="27" t="s">
        <v>802</v>
      </c>
      <c r="C2629" s="27" t="s">
        <v>797</v>
      </c>
      <c r="D2629" s="27" t="s">
        <v>762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887</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1592</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1593</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1585</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757</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1593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960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1594</v>
      </c>
      <c r="B2637" s="27" t="s">
        <v>772</v>
      </c>
      <c r="C2637" s="27" t="s">
        <v>754</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810</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1593</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960</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1595</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872</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876</v>
      </c>
      <c r="B2643" s="27" t="s">
        <v>901</v>
      </c>
      <c r="C2643" s="27" t="s">
        <v>851</v>
      </c>
      <c r="D2643" s="27" t="s">
        <v>762</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789</v>
      </c>
      <c r="B2644" s="27" t="s">
        <v>879</v>
      </c>
      <c r="C2644" s="27" t="s">
        <v>837</v>
      </c>
      <c r="D2644" s="27" t="s">
        <v>762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757</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793</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757</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751</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1596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942</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899</v>
      </c>
      <c r="B2651" s="27" t="s">
        <v>879</v>
      </c>
      <c r="C2651" s="27" t="s">
        <v>820</v>
      </c>
      <c r="D2651" s="27" t="s">
        <v>762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757</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869</v>
      </c>
      <c r="B2653" s="27" t="s">
        <v>796</v>
      </c>
      <c r="C2653" s="27" t="s">
        <v>797</v>
      </c>
      <c r="D2653" s="27" t="s">
        <v>762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798</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1597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1598</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942</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1359</v>
      </c>
      <c r="B2658" s="27" t="s">
        <v>879</v>
      </c>
      <c r="C2658" s="27" t="s">
        <v>820</v>
      </c>
      <c r="D2658" s="27" t="s">
        <v>762</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785</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822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948</v>
      </c>
      <c r="B2661" s="27" t="s">
        <v>901</v>
      </c>
      <c r="C2661" s="27" t="s">
        <v>761</v>
      </c>
      <c r="D2661" s="27" t="s">
        <v>762</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774</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row>
    <row r="2664" spans="1:12">
      <c r="A2664" s="20" t="s">
        <v>1599</v>
      </c>
    </row>
    <row r="2665" spans="1:12">
      <c r="A2665" s="20" t="s">
        <v>818</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1065</v>
      </c>
      <c r="B2666" s="27" t="s">
        <v>760</v>
      </c>
      <c r="C2666" s="27" t="s">
        <v>797</v>
      </c>
      <c r="D2666" s="27" t="s">
        <v>762</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1066</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785</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779</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1600</v>
      </c>
      <c r="B2670" s="27" t="s">
        <v>753</v>
      </c>
      <c r="C2670" s="27" t="s">
        <v>768</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1050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758</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1253</v>
      </c>
      <c r="B2673" s="27" t="s">
        <v>956</v>
      </c>
      <c r="C2673" s="27" t="s">
        <v>761</v>
      </c>
      <c r="D2673" s="27" t="s">
        <v>762</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1260</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942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1026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814</v>
      </c>
      <c r="B2677" s="27" t="s">
        <v>901</v>
      </c>
      <c r="C2677" s="27" t="s">
        <v>1019</v>
      </c>
      <c r="D2677" s="27" t="s">
        <v>762</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810</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1120</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805</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1222</v>
      </c>
      <c r="B2681" s="27" t="s">
        <v>1062</v>
      </c>
      <c r="C2681" s="27" t="s">
        <v>820</v>
      </c>
      <c r="D2681" s="27" t="s">
        <v>762</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840</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1601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774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row>
    <row r="2686" spans="1:12">
      <c r="A2686" s="20" t="s">
        <v>1602</v>
      </c>
    </row>
    <row r="2687" spans="1:12">
      <c r="A2687" s="20" t="s">
        <v>1603</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886</v>
      </c>
      <c r="B2688" s="27" t="s">
        <v>760</v>
      </c>
      <c r="C2688" s="27" t="s">
        <v>797</v>
      </c>
      <c r="D2688" s="27" t="s">
        <v>762</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751</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1066</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1604</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785</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822</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1600</v>
      </c>
      <c r="B2694" s="27" t="s">
        <v>753</v>
      </c>
      <c r="C2694" s="27" t="s">
        <v>761</v>
      </c>
      <c r="D2694" s="27" t="s">
        <v>762</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1050</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965</v>
      </c>
      <c r="B2696" s="27" t="s">
        <v>901</v>
      </c>
      <c r="C2696" s="27" t="s">
        <v>851</v>
      </c>
      <c r="D2696" s="27" t="s">
        <v>762</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1303</v>
      </c>
      <c r="B2697" s="27" t="s">
        <v>956</v>
      </c>
      <c r="C2697" s="27" t="s">
        <v>837</v>
      </c>
      <c r="D2697" s="27" t="s">
        <v>762</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785</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1605</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1159</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1606</v>
      </c>
      <c r="B2701" s="27" t="s">
        <v>1076</v>
      </c>
      <c r="C2701" s="27" t="s">
        <v>1019</v>
      </c>
      <c r="D2701" s="27" t="s">
        <v>762</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887</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1607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779</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1363</v>
      </c>
      <c r="B2705" s="27" t="s">
        <v>894</v>
      </c>
      <c r="C2705" s="27" t="s">
        <v>768</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793</v>
      </c>
      <c r="B2706" s="27" t="s">
        <v>1076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886</v>
      </c>
      <c r="B2707" s="27" t="s">
        <v>1272</v>
      </c>
      <c r="C2707" s="27" t="s">
        <v>797</v>
      </c>
      <c r="D2707" s="27" t="s">
        <v>762</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811</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1608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1300</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1609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1610</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774</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row>
    <row r="2715" spans="1:12">
      <c r="A2715" s="20" t="s">
        <v>1611</v>
      </c>
    </row>
    <row r="2716" spans="1:12">
      <c r="A2716" s="20" t="s">
        <v>1150</v>
      </c>
      <c r="B2716" s="27" t="s">
        <v>760</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1137</v>
      </c>
      <c r="B2717" s="27" t="s">
        <v>772</v>
      </c>
      <c r="C2717" s="27" t="s">
        <v>754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769</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838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943</v>
      </c>
      <c r="B2720" s="27" t="s">
        <v>772</v>
      </c>
      <c r="C2720" s="27" t="s">
        <v>761</v>
      </c>
      <c r="D2720" s="27" t="s">
        <v>762</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1033</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1213</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785</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838</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1612</v>
      </c>
      <c r="B2725" s="27" t="s">
        <v>901</v>
      </c>
      <c r="C2725" s="27" t="s">
        <v>798</v>
      </c>
      <c r="D2725" s="27" t="s">
        <v>762</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919</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1613</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769</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838</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1614</v>
      </c>
      <c r="B2730" s="27" t="s">
        <v>753</v>
      </c>
      <c r="C2730" s="27" t="s">
        <v>761</v>
      </c>
      <c r="D2730" s="27" t="s">
        <v>762</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1615</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757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1020</v>
      </c>
      <c r="B2733" s="27" t="s">
        <v>956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1183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1616</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872</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822</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1617</v>
      </c>
      <c r="B2738" s="27" t="s">
        <v>879</v>
      </c>
      <c r="C2738" s="27" t="s">
        <v>761</v>
      </c>
      <c r="D2738" s="27" t="s">
        <v>762</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810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1618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785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779</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1619</v>
      </c>
      <c r="B2743" s="27" t="s">
        <v>901</v>
      </c>
      <c r="C2743" s="27" t="s">
        <v>768</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757</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954</v>
      </c>
      <c r="B2745" s="27" t="s">
        <v>772</v>
      </c>
      <c r="C2745" s="27" t="s">
        <v>777</v>
      </c>
      <c r="D2745" s="27" t="s">
        <v>762</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1020</v>
      </c>
      <c r="B2746" s="27" t="s">
        <v>941</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1161</v>
      </c>
      <c r="B2747" s="27" t="s">
        <v>940</v>
      </c>
      <c r="C2747" s="27" t="s">
        <v>797</v>
      </c>
      <c r="D2747" s="27" t="s">
        <v>762</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1620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805</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1621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779</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1622</v>
      </c>
      <c r="B2752" s="27" t="s">
        <v>1076</v>
      </c>
      <c r="C2752" s="27" t="s">
        <v>768</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805</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1623</v>
      </c>
      <c r="B2754" s="27" t="s">
        <v>1062</v>
      </c>
      <c r="C2754" s="27" t="s">
        <v>754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810</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805</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1624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779</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1625</v>
      </c>
      <c r="B2759" s="27" t="s">
        <v>1236</v>
      </c>
      <c r="C2759" s="27" t="s">
        <v>768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1626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1285</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1627</v>
      </c>
      <c r="B2762" s="27" t="s">
        <v>1127</v>
      </c>
      <c r="C2762" s="27" t="s">
        <v>768</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1020</v>
      </c>
      <c r="B2763" s="27" t="s">
        <v>1133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887</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1364</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1628</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1238</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770</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1629</v>
      </c>
      <c r="B2769" s="27" t="s">
        <v>1130</v>
      </c>
      <c r="C2769" s="27" t="s">
        <v>761</v>
      </c>
      <c r="D2769" s="27" t="s">
        <v>762</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757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822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1630</v>
      </c>
      <c r="B2772" s="27" t="s">
        <v>1130</v>
      </c>
      <c r="C2772" s="27" t="s">
        <v>798</v>
      </c>
      <c r="D2772" s="27" t="s">
        <v>762</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757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778</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1631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942</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1632</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758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1633</v>
      </c>
      <c r="B2779" s="27" t="s">
        <v>894</v>
      </c>
      <c r="C2779" s="27" t="s">
        <v>761</v>
      </c>
      <c r="D2779" s="27" t="s">
        <v>762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769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822</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1634</v>
      </c>
      <c r="B2782" s="27" t="s">
        <v>901</v>
      </c>
      <c r="C2782" s="27" t="s">
        <v>761</v>
      </c>
      <c r="D2782" s="27" t="s">
        <v>762</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1635</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774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1636</v>
      </c>
    </row>
    <row r="2787" spans="1:12">
      <c r="A2787" s="20" t="s">
        <v>938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1637</v>
      </c>
      <c r="B2788" s="27" t="s">
        <v>760</v>
      </c>
      <c r="C2788" s="27" t="s">
        <v>761</v>
      </c>
      <c r="D2788" s="27" t="s">
        <v>762</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778</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770</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1638</v>
      </c>
      <c r="B2791" s="27" t="s">
        <v>753</v>
      </c>
      <c r="C2791" s="27" t="s">
        <v>761</v>
      </c>
      <c r="D2791" s="27" t="s">
        <v>762</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770</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960</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1639</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769</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1296</v>
      </c>
      <c r="B2796" s="27" t="s">
        <v>772</v>
      </c>
      <c r="C2796" s="27" t="s">
        <v>754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757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838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1629</v>
      </c>
      <c r="B2799" s="27" t="s">
        <v>753</v>
      </c>
      <c r="C2799" s="27" t="s">
        <v>761</v>
      </c>
      <c r="D2799" s="27" t="s">
        <v>762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1020</v>
      </c>
      <c r="B2800" s="27" t="s">
        <v>956</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1004</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954</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1641</v>
      </c>
      <c r="B2804" s="27" t="s">
        <v>894</v>
      </c>
      <c r="C2804" s="27" t="s">
        <v>1019</v>
      </c>
      <c r="D2804" s="27" t="s">
        <v>762</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810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1020</v>
      </c>
      <c r="B2806" s="27" t="s">
        <v>796</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1025</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822</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1634</v>
      </c>
      <c r="B2809" s="27" t="s">
        <v>802</v>
      </c>
      <c r="C2809" s="27" t="s">
        <v>761</v>
      </c>
      <c r="D2809" s="27" t="s">
        <v>762</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805</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1637</v>
      </c>
      <c r="B2811" s="27" t="s">
        <v>879</v>
      </c>
      <c r="C2811" s="27" t="s">
        <v>754</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757</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1004</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1642</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1643</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785</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764</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1128</v>
      </c>
      <c r="B2818" s="27" t="s">
        <v>772</v>
      </c>
      <c r="C2818" s="27" t="s">
        <v>768</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1171</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774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row>
    <row r="2822" spans="1:12">
      <c r="A2822" s="20" t="s">
        <v>1644</v>
      </c>
    </row>
    <row r="2823" spans="1:12">
      <c r="A2823" s="20" t="s">
        <v>1554</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1645</v>
      </c>
      <c r="B2824" s="27" t="s">
        <v>760</v>
      </c>
      <c r="C2824" s="27" t="s">
        <v>761</v>
      </c>
      <c r="D2824" s="27" t="s">
        <v>762</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1007</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838</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1499</v>
      </c>
      <c r="B2827" s="27" t="s">
        <v>772</v>
      </c>
      <c r="C2827" s="27" t="s">
        <v>761</v>
      </c>
      <c r="D2827" s="27" t="s">
        <v>762</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1183</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942</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1646</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774</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row>
    <row r="2833" spans="1:12">
      <c r="A2833" s="20" t="s">
        <v>1647</v>
      </c>
    </row>
    <row r="2834" spans="1:12">
      <c r="A2834" s="20" t="s">
        <v>1554</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1645</v>
      </c>
      <c r="B2835" s="27" t="s">
        <v>760</v>
      </c>
      <c r="C2835" s="27" t="s">
        <v>761</v>
      </c>
      <c r="D2835" s="27" t="s">
        <v>762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1648</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840</v>
      </c>
      <c r="B2837" s="27" t="s">
        <v>767</v>
      </c>
      <c r="C2837" s="27" t="s">
        <v>797</v>
      </c>
      <c r="D2837" s="27" t="s">
        <v>762</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1649</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810</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1650</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769</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1651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822</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1652</v>
      </c>
      <c r="B2844" s="27" t="s">
        <v>894</v>
      </c>
      <c r="C2844" s="27" t="s">
        <v>837</v>
      </c>
      <c r="D2844" s="27" t="s">
        <v>762</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769</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1653</v>
      </c>
      <c r="B2846" s="27" t="s">
        <v>901</v>
      </c>
      <c r="C2846" s="27" t="s">
        <v>798</v>
      </c>
      <c r="D2846" s="27" t="s">
        <v>762</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769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1147</v>
      </c>
      <c r="B2848" s="27" t="s">
        <v>879</v>
      </c>
      <c r="C2848" s="27" t="s">
        <v>754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960</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1654</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810</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960</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1655</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1656</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769</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838</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1657</v>
      </c>
      <c r="B2857" s="27" t="s">
        <v>901</v>
      </c>
      <c r="C2857" s="27" t="s">
        <v>761</v>
      </c>
      <c r="D2857" s="27" t="s">
        <v>762</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793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1300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1610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757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1658</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960</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1659</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785</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838</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125</v>
      </c>
      <c r="B2867" s="27" t="s">
        <v>772</v>
      </c>
      <c r="C2867" s="27" t="s">
        <v>761</v>
      </c>
      <c r="D2867" s="27" t="s">
        <v>762</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805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1660</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1159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1657</v>
      </c>
      <c r="B2871" s="27" t="s">
        <v>894</v>
      </c>
      <c r="C2871" s="27" t="s">
        <v>1019</v>
      </c>
      <c r="D2871" s="27" t="s">
        <v>762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757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1085</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805</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996</v>
      </c>
      <c r="B2875" s="27" t="s">
        <v>940</v>
      </c>
      <c r="C2875" s="27" t="s">
        <v>820</v>
      </c>
      <c r="D2875" s="27" t="s">
        <v>762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1460</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779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1661</v>
      </c>
      <c r="B2878" s="27" t="s">
        <v>940</v>
      </c>
      <c r="C2878" s="27" t="s">
        <v>768</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774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row>
    <row r="2881" spans="1:12">
      <c r="A2881" s="20" t="s">
        <v>1662</v>
      </c>
    </row>
    <row r="2882" spans="1:12">
      <c r="A2882" s="20" t="s">
        <v>1065</v>
      </c>
      <c r="B2882" s="27" t="s">
        <v>760</v>
      </c>
      <c r="C2882" s="27" t="s">
        <v>797</v>
      </c>
      <c r="D2882" s="27" t="s">
        <v>762</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1438</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969</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779</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1482</v>
      </c>
      <c r="B2886" s="27" t="s">
        <v>753</v>
      </c>
      <c r="C2886" s="27" t="s">
        <v>768</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1663</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810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1664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774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row>
    <row r="2892" spans="1:12">
      <c r="A2892" s="20" t="s">
        <v>1665</v>
      </c>
    </row>
    <row r="2893" spans="1:12">
      <c r="A2893" s="20" t="s">
        <v>833</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869</v>
      </c>
      <c r="B2894" s="27" t="s">
        <v>760</v>
      </c>
      <c r="C2894" s="27" t="s">
        <v>797</v>
      </c>
      <c r="D2894" s="27" t="s">
        <v>762</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1666</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751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838</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1178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774</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row>
    <row r="2901" spans="1:12">
      <c r="A2901" s="20" t="s">
        <v>1667</v>
      </c>
    </row>
    <row r="2902" spans="1:12">
      <c r="A2902" s="20" t="s">
        <v>983</v>
      </c>
      <c r="B2902" s="27" t="s">
        <v>760</v>
      </c>
      <c r="C2902" s="27" t="s">
        <v>797</v>
      </c>
      <c r="D2902" s="27" t="s">
        <v>762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1666</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793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822</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1482</v>
      </c>
      <c r="B2906" s="27" t="s">
        <v>796</v>
      </c>
      <c r="C2906" s="27" t="s">
        <v>761</v>
      </c>
      <c r="D2906" s="27" t="s">
        <v>762</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1663</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778</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1668</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757</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1669</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810</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1670</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757</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810</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869</v>
      </c>
      <c r="B2916" s="27" t="s">
        <v>796</v>
      </c>
      <c r="C2916" s="27" t="s">
        <v>797</v>
      </c>
      <c r="D2916" s="27" t="s">
        <v>762</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1576</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770</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1043</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1070</v>
      </c>
      <c r="B2920" s="27" t="s">
        <v>802</v>
      </c>
      <c r="C2920" s="27" t="s">
        <v>761</v>
      </c>
      <c r="D2920" s="27" t="s">
        <v>762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769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822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1482</v>
      </c>
      <c r="B2923" s="27" t="s">
        <v>879</v>
      </c>
      <c r="C2923" s="27" t="s">
        <v>761</v>
      </c>
      <c r="D2923" s="27" t="s">
        <v>762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1664</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774</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row>
    <row r="2927" spans="1:12">
      <c r="A2927" s="20" t="s">
        <v>1671</v>
      </c>
    </row>
    <row r="2928" spans="1:12">
      <c r="A2928" s="20" t="s">
        <v>908</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869</v>
      </c>
      <c r="B2929" s="27" t="s">
        <v>760</v>
      </c>
      <c r="C2929" s="27" t="s">
        <v>797</v>
      </c>
      <c r="D2929" s="27" t="s">
        <v>762</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1576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793</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955</v>
      </c>
      <c r="B2932" s="27" t="s">
        <v>796</v>
      </c>
      <c r="C2932" s="27" t="s">
        <v>777</v>
      </c>
      <c r="D2932" s="27" t="s">
        <v>762</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778</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764</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1672</v>
      </c>
      <c r="B2935" s="27" t="s">
        <v>753</v>
      </c>
      <c r="C2935" s="27" t="s">
        <v>768</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826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758</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779</v>
      </c>
      <c r="B2938" s="27" t="s">
        <v>956</v>
      </c>
      <c r="C2938" s="27" t="s">
        <v>820</v>
      </c>
      <c r="D2938" s="27" t="s">
        <v>762</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798</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1237</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804</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758</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946</v>
      </c>
      <c r="B2943" s="27" t="s">
        <v>894</v>
      </c>
      <c r="C2943" s="27" t="s">
        <v>820</v>
      </c>
      <c r="D2943" s="27" t="s">
        <v>762</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774</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row>
    <row r="2946" spans="1:12">
      <c r="A2946" s="20" t="s">
        <v>1673</v>
      </c>
    </row>
    <row r="2947" spans="1:12">
      <c r="A2947" s="20" t="s">
        <v>934</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869</v>
      </c>
      <c r="B2948" s="27" t="s">
        <v>956</v>
      </c>
      <c r="C2948" s="27" t="s">
        <v>797</v>
      </c>
      <c r="D2948" s="27" t="s">
        <v>762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1674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855</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1155</v>
      </c>
      <c r="B2951" s="27" t="s">
        <v>956</v>
      </c>
      <c r="C2951" s="27" t="s">
        <v>797</v>
      </c>
      <c r="D2951" s="27" t="s">
        <v>762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1051</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1675</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872</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769</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838</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1606</v>
      </c>
      <c r="B2957" s="27" t="s">
        <v>879</v>
      </c>
      <c r="C2957" s="27" t="s">
        <v>761</v>
      </c>
      <c r="D2957" s="27" t="s">
        <v>762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807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838</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829</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1676</v>
      </c>
      <c r="B2961" s="27" t="s">
        <v>901</v>
      </c>
      <c r="C2961" s="27" t="s">
        <v>761</v>
      </c>
      <c r="D2961" s="27" t="s">
        <v>762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793</v>
      </c>
      <c r="B2962" s="27" t="s">
        <v>1076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869</v>
      </c>
      <c r="B2963" s="27" t="s">
        <v>1272</v>
      </c>
      <c r="C2963" s="27" t="s">
        <v>797</v>
      </c>
      <c r="D2963" s="27" t="s">
        <v>762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1677</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769</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1678</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757</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869</v>
      </c>
      <c r="B2968" s="27" t="s">
        <v>796</v>
      </c>
      <c r="C2968" s="27" t="s">
        <v>797</v>
      </c>
      <c r="D2968" s="27" t="s">
        <v>762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1576</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1679</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793</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955</v>
      </c>
      <c r="B2972" s="27" t="s">
        <v>956</v>
      </c>
      <c r="C2972" s="27" t="s">
        <v>777</v>
      </c>
      <c r="D2972" s="27" t="s">
        <v>762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778</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807</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1344</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1159</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1680</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1681</v>
      </c>
      <c r="B2978" s="27" t="s">
        <v>879</v>
      </c>
      <c r="C2978" s="27" t="s">
        <v>1019</v>
      </c>
      <c r="D2978" s="27" t="s">
        <v>762</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805</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1682</v>
      </c>
      <c r="B2980" s="27" t="s">
        <v>901</v>
      </c>
      <c r="C2980" s="27" t="s">
        <v>754</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1085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822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1683</v>
      </c>
      <c r="B2983" s="27" t="s">
        <v>815</v>
      </c>
      <c r="C2983" s="27" t="s">
        <v>761</v>
      </c>
      <c r="D2983" s="27" t="s">
        <v>762</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1684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889</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697</v>
      </c>
      <c r="B2986" s="27" t="s">
        <v>796</v>
      </c>
      <c r="C2986" s="27" t="s">
        <v>797</v>
      </c>
      <c r="D2986" s="27" t="s">
        <v>762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1685</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758</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1686</v>
      </c>
      <c r="B2989" s="27" t="s">
        <v>802</v>
      </c>
      <c r="C2989" s="27" t="s">
        <v>761</v>
      </c>
      <c r="D2989" s="27" t="s">
        <v>762</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785</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822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1600</v>
      </c>
      <c r="B2992" s="27" t="s">
        <v>772</v>
      </c>
      <c r="C2992" s="27" t="s">
        <v>761</v>
      </c>
      <c r="D2992" s="27" t="s">
        <v>762</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1043</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1050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795</v>
      </c>
      <c r="B2995" s="27" t="s">
        <v>941</v>
      </c>
      <c r="C2995" s="27" t="s">
        <v>797</v>
      </c>
      <c r="D2995" s="27" t="s">
        <v>762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778</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1687</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1688</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1007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822</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1689</v>
      </c>
      <c r="B3001" s="27" t="s">
        <v>815</v>
      </c>
      <c r="C3001" s="27" t="s">
        <v>761</v>
      </c>
      <c r="D3001" s="27" t="s">
        <v>762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774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row>
    <row r="3004" spans="1:12">
      <c r="A3004" s="20" t="s">
        <v>1690</v>
      </c>
    </row>
    <row r="3005" spans="1:12">
      <c r="A3005" s="20" t="s">
        <v>1065</v>
      </c>
      <c r="B3005" s="27" t="s">
        <v>760</v>
      </c>
      <c r="C3005" s="27" t="s">
        <v>797</v>
      </c>
      <c r="D3005" s="27" t="s">
        <v>762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1691</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551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785</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770</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1147</v>
      </c>
      <c r="B3010" s="27" t="s">
        <v>772</v>
      </c>
      <c r="C3010" s="27" t="s">
        <v>761</v>
      </c>
      <c r="D3010" s="27" t="s">
        <v>762</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1286</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886</v>
      </c>
      <c r="B3012" s="27" t="s">
        <v>941</v>
      </c>
      <c r="C3012" s="27" t="s">
        <v>797</v>
      </c>
      <c r="D3012" s="27" t="s">
        <v>762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1692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838</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1693</v>
      </c>
      <c r="B3015" s="27" t="s">
        <v>940</v>
      </c>
      <c r="C3015" s="27" t="s">
        <v>761</v>
      </c>
      <c r="D3015" s="27" t="s">
        <v>762</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774</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row>
    <row r="3018" spans="1:12">
      <c r="A3018" s="20" t="s">
        <v>1694</v>
      </c>
    </row>
    <row r="3019" spans="1:12">
      <c r="A3019" s="20" t="s">
        <v>1695</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757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838</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1104</v>
      </c>
      <c r="B3022" s="27" t="s">
        <v>760</v>
      </c>
      <c r="C3022" s="27" t="s">
        <v>761</v>
      </c>
      <c r="D3022" s="27" t="s">
        <v>762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1007</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770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1696</v>
      </c>
      <c r="B3025" s="27" t="s">
        <v>772</v>
      </c>
      <c r="C3025" s="27" t="s">
        <v>761</v>
      </c>
      <c r="D3025" s="27" t="s">
        <v>762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778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854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889</v>
      </c>
      <c r="B3028" s="27" t="s">
        <v>796</v>
      </c>
      <c r="C3028" s="27" t="s">
        <v>1418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778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1419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889</v>
      </c>
      <c r="B3031" s="27" t="s">
        <v>894</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890</v>
      </c>
      <c r="B3032" s="27" t="s">
        <v>956</v>
      </c>
      <c r="C3032" s="27" t="s">
        <v>820</v>
      </c>
      <c r="D3032" s="27" t="s">
        <v>762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1697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1238</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884</v>
      </c>
      <c r="B3035" s="27" t="s">
        <v>901</v>
      </c>
      <c r="C3035" s="27" t="s">
        <v>851</v>
      </c>
      <c r="D3035" s="27" t="s">
        <v>762</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943</v>
      </c>
      <c r="B3036" s="27" t="s">
        <v>879</v>
      </c>
      <c r="C3036" s="27" t="s">
        <v>837</v>
      </c>
      <c r="D3036" s="27" t="s">
        <v>762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757</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889</v>
      </c>
      <c r="B3038" s="27" t="s">
        <v>753</v>
      </c>
      <c r="C3038" s="27" t="s">
        <v>1418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778</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1419</v>
      </c>
      <c r="B3040" s="27" t="s">
        <v>760</v>
      </c>
      <c r="C3040" s="27" t="s">
        <v>777</v>
      </c>
      <c r="D3040" s="27" t="s">
        <v>762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889</v>
      </c>
      <c r="B3041" s="27" t="s">
        <v>802</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890</v>
      </c>
      <c r="B3042" s="27" t="s">
        <v>796</v>
      </c>
      <c r="C3042" s="27" t="s">
        <v>820</v>
      </c>
      <c r="D3042" s="27" t="s">
        <v>762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1698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1238</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1029</v>
      </c>
      <c r="B3045" s="27" t="s">
        <v>772</v>
      </c>
      <c r="C3045" s="27" t="s">
        <v>820</v>
      </c>
      <c r="D3045" s="27" t="s">
        <v>762</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859</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1699</v>
      </c>
    </row>
    <row r="3049" spans="1:12">
      <c r="A3049" s="20" t="s">
        <v>1700</v>
      </c>
      <c r="B3049" s="27" t="s">
        <v>796</v>
      </c>
      <c r="C3049" s="27" t="s">
        <v>798</v>
      </c>
      <c r="D3049" s="27" t="s">
        <v>762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1701</v>
      </c>
      <c r="B3050" s="27" t="s">
        <v>879</v>
      </c>
      <c r="C3050" s="27" t="s">
        <v>798</v>
      </c>
      <c r="D3050" s="27" t="s">
        <v>762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757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779</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1702</v>
      </c>
      <c r="B3053" s="27" t="s">
        <v>879</v>
      </c>
      <c r="C3053" s="27" t="s">
        <v>768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1703</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769</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758</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1704</v>
      </c>
      <c r="B3057" s="27" t="s">
        <v>901</v>
      </c>
      <c r="C3057" s="27" t="s">
        <v>761</v>
      </c>
      <c r="D3057" s="27" t="s">
        <v>762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757</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887</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888</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757</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749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866</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838</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1139</v>
      </c>
      <c r="B3065" s="27" t="s">
        <v>956</v>
      </c>
      <c r="C3065" s="27" t="s">
        <v>761</v>
      </c>
      <c r="D3065" s="27" t="s">
        <v>762</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1705</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757</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749</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827</v>
      </c>
      <c r="B3069" s="27" t="s">
        <v>956</v>
      </c>
      <c r="C3069" s="27" t="s">
        <v>797</v>
      </c>
      <c r="D3069" s="27" t="s">
        <v>762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1706</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1707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793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878</v>
      </c>
      <c r="B3073" s="27" t="s">
        <v>1062</v>
      </c>
      <c r="C3073" s="27" t="s">
        <v>851</v>
      </c>
      <c r="D3073" s="27" t="s">
        <v>762</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952</v>
      </c>
      <c r="B3074" s="27" t="s">
        <v>1272</v>
      </c>
      <c r="C3074" s="27" t="s">
        <v>837</v>
      </c>
      <c r="D3074" s="27" t="s">
        <v>762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798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920</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804</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1708</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757</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818</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954</v>
      </c>
      <c r="B3081" s="27" t="s">
        <v>760</v>
      </c>
      <c r="C3081" s="27" t="s">
        <v>777</v>
      </c>
      <c r="D3081" s="27" t="s">
        <v>762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889</v>
      </c>
      <c r="B3082" s="27" t="s">
        <v>894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1155</v>
      </c>
      <c r="B3083" s="27" t="s">
        <v>956</v>
      </c>
      <c r="C3083" s="27" t="s">
        <v>797</v>
      </c>
      <c r="D3083" s="27" t="s">
        <v>762</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1705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910</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955</v>
      </c>
      <c r="B3086" s="27" t="s">
        <v>956</v>
      </c>
      <c r="C3086" s="27" t="s">
        <v>777</v>
      </c>
      <c r="D3086" s="27" t="s">
        <v>762</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778</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749</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827</v>
      </c>
      <c r="B3089" s="27" t="s">
        <v>956</v>
      </c>
      <c r="C3089" s="27" t="s">
        <v>797</v>
      </c>
      <c r="D3089" s="27" t="s">
        <v>762</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1588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1707</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793</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758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952</v>
      </c>
      <c r="B3094" s="27" t="s">
        <v>879</v>
      </c>
      <c r="C3094" s="27" t="s">
        <v>761</v>
      </c>
      <c r="D3094" s="27" t="s">
        <v>762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793</v>
      </c>
      <c r="B3095" s="27" t="s">
        <v>1076</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827</v>
      </c>
      <c r="B3096" s="27" t="s">
        <v>1272</v>
      </c>
      <c r="C3096" s="27" t="s">
        <v>797</v>
      </c>
      <c r="D3096" s="27" t="s">
        <v>762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909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811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1487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1300</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1709</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810</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793</v>
      </c>
      <c r="B3103" s="27" t="s">
        <v>802</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827</v>
      </c>
      <c r="B3104" s="27" t="s">
        <v>796</v>
      </c>
      <c r="C3104" s="27" t="s">
        <v>797</v>
      </c>
      <c r="D3104" s="27" t="s">
        <v>762</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1710</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779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952</v>
      </c>
      <c r="B3107" s="27" t="s">
        <v>772</v>
      </c>
      <c r="C3107" s="27" t="s">
        <v>768</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1711</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1712</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1708</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785</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770</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1713</v>
      </c>
      <c r="B3113" s="27" t="s">
        <v>879</v>
      </c>
      <c r="C3113" s="27" t="s">
        <v>761</v>
      </c>
      <c r="D3113" s="27" t="s">
        <v>762</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774</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row>
    <row r="3116" spans="1:12">
      <c r="A3116" s="20" t="s">
        <v>1714</v>
      </c>
    </row>
    <row r="3117" spans="1:12">
      <c r="A3117" s="20" t="s">
        <v>818</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1715</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785</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959</v>
      </c>
      <c r="B3120" s="27" t="s">
        <v>753</v>
      </c>
      <c r="C3120" s="27" t="s">
        <v>777</v>
      </c>
      <c r="D3120" s="27" t="s">
        <v>762</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774</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row>
    <row r="3123" spans="1:12">
      <c r="A3123" s="20" t="s">
        <v>1716</v>
      </c>
    </row>
    <row r="3124" spans="1:12">
      <c r="A3124" s="20" t="s">
        <v>776</v>
      </c>
      <c r="B3124" s="27" t="s">
        <v>760</v>
      </c>
      <c r="C3124" s="27" t="s">
        <v>777</v>
      </c>
      <c r="D3124" s="27" t="s">
        <v>762</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778</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954</v>
      </c>
      <c r="B3126" s="27" t="s">
        <v>753</v>
      </c>
      <c r="C3126" s="27" t="s">
        <v>777</v>
      </c>
      <c r="D3126" s="27" t="s">
        <v>762</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889</v>
      </c>
      <c r="B3127" s="27" t="s">
        <v>802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890</v>
      </c>
      <c r="B3128" s="27" t="s">
        <v>796</v>
      </c>
      <c r="C3128" s="27" t="s">
        <v>820</v>
      </c>
      <c r="D3128" s="27" t="s">
        <v>762</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1717</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1718</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1719</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890</v>
      </c>
      <c r="B3132" s="27" t="s">
        <v>956</v>
      </c>
      <c r="C3132" s="27" t="s">
        <v>820</v>
      </c>
      <c r="D3132" s="27" t="s">
        <v>762</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1051</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1720</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769</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965</v>
      </c>
      <c r="B3136" s="27" t="s">
        <v>901</v>
      </c>
      <c r="C3136" s="27" t="s">
        <v>851</v>
      </c>
      <c r="D3136" s="27" t="s">
        <v>762</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1721</v>
      </c>
      <c r="B3137" s="27" t="s">
        <v>879</v>
      </c>
      <c r="C3137" s="27" t="s">
        <v>837</v>
      </c>
      <c r="D3137" s="27" t="s">
        <v>762</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774</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row>
    <row r="3140" spans="1:12">
      <c r="A3140" s="20" t="s">
        <v>1722</v>
      </c>
    </row>
    <row r="3141" spans="1:12">
      <c r="A3141" s="20" t="s">
        <v>776</v>
      </c>
      <c r="B3141" s="27" t="s">
        <v>760</v>
      </c>
      <c r="C3141" s="27" t="s">
        <v>777</v>
      </c>
      <c r="D3141" s="27" t="s">
        <v>762</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778</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954</v>
      </c>
      <c r="B3143" s="27" t="s">
        <v>753</v>
      </c>
      <c r="C3143" s="27" t="s">
        <v>777</v>
      </c>
      <c r="D3143" s="27" t="s">
        <v>762</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889</v>
      </c>
      <c r="B3144" s="27" t="s">
        <v>802</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890</v>
      </c>
      <c r="B3145" s="27" t="s">
        <v>796</v>
      </c>
      <c r="C3145" s="27" t="s">
        <v>820</v>
      </c>
      <c r="D3145" s="27" t="s">
        <v>762</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1717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974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1557</v>
      </c>
      <c r="B3148" s="27" t="s">
        <v>956</v>
      </c>
      <c r="C3148" s="27" t="s">
        <v>797</v>
      </c>
      <c r="D3148" s="27" t="s">
        <v>762</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1723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942</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779</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1483</v>
      </c>
      <c r="B3152" s="27" t="s">
        <v>879</v>
      </c>
      <c r="C3152" s="27" t="s">
        <v>768</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16</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793</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1563</v>
      </c>
      <c r="B3155" s="27" t="s">
        <v>901</v>
      </c>
      <c r="C3155" s="27" t="s">
        <v>851</v>
      </c>
      <c r="D3155" s="27" t="s">
        <v>762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1724</v>
      </c>
      <c r="B3156" s="27" t="s">
        <v>956</v>
      </c>
      <c r="C3156" s="27" t="s">
        <v>837</v>
      </c>
      <c r="D3156" s="27" t="s">
        <v>762</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822</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960</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1725</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942</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886</v>
      </c>
      <c r="B3161" s="27" t="s">
        <v>901</v>
      </c>
      <c r="C3161" s="27" t="s">
        <v>797</v>
      </c>
      <c r="D3161" s="27" t="s">
        <v>762</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778</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889</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779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1381</v>
      </c>
      <c r="B3165" s="27" t="s">
        <v>796</v>
      </c>
      <c r="C3165" s="27" t="s">
        <v>768</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886</v>
      </c>
      <c r="B3166" s="27" t="s">
        <v>940</v>
      </c>
      <c r="C3166" s="27" t="s">
        <v>797</v>
      </c>
      <c r="D3166" s="27" t="s">
        <v>762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1726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805</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495</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810</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793</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769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838</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1727</v>
      </c>
      <c r="B3174" s="27" t="s">
        <v>879</v>
      </c>
      <c r="C3174" s="27" t="s">
        <v>761</v>
      </c>
      <c r="D3174" s="27" t="s">
        <v>762</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793</v>
      </c>
      <c r="B3175" s="27" t="s">
        <v>1076</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1557</v>
      </c>
      <c r="B3176" s="27" t="s">
        <v>1272</v>
      </c>
      <c r="C3176" s="27" t="s">
        <v>797</v>
      </c>
      <c r="D3176" s="27" t="s">
        <v>762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1728</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1729</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1730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272</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1713</v>
      </c>
      <c r="B3181" s="27" t="s">
        <v>940</v>
      </c>
      <c r="C3181" s="27" t="s">
        <v>754</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1731</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884</v>
      </c>
      <c r="B3183" s="27" t="s">
        <v>815</v>
      </c>
      <c r="C3183" s="27" t="s">
        <v>851</v>
      </c>
      <c r="D3183" s="27" t="s">
        <v>762</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1732</v>
      </c>
      <c r="B3184" s="27" t="s">
        <v>901</v>
      </c>
      <c r="C3184" s="27" t="s">
        <v>837</v>
      </c>
      <c r="D3184" s="27" t="s">
        <v>762</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774</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row>
    <row r="3187" spans="1:12">
      <c r="A3187" s="20" t="s">
        <v>1733</v>
      </c>
    </row>
    <row r="3188" spans="1:12">
      <c r="A3188" s="20" t="s">
        <v>818</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776</v>
      </c>
      <c r="B3189" s="27" t="s">
        <v>760</v>
      </c>
      <c r="C3189" s="27" t="s">
        <v>777</v>
      </c>
      <c r="D3189" s="27" t="s">
        <v>762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778</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779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1497</v>
      </c>
      <c r="B3192" s="27" t="s">
        <v>753</v>
      </c>
      <c r="C3192" s="27" t="s">
        <v>768</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769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1734</v>
      </c>
      <c r="B3194" s="27" t="s">
        <v>753</v>
      </c>
      <c r="C3194" s="27" t="s">
        <v>754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910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1735</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757</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921</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697</v>
      </c>
      <c r="B3199" s="27" t="s">
        <v>796</v>
      </c>
      <c r="C3199" s="27" t="s">
        <v>797</v>
      </c>
      <c r="D3199" s="27" t="s">
        <v>762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1736</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822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918</v>
      </c>
      <c r="B3202" s="27" t="s">
        <v>802</v>
      </c>
      <c r="C3202" s="27" t="s">
        <v>761</v>
      </c>
      <c r="D3202" s="27" t="s">
        <v>762</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793</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838</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125</v>
      </c>
      <c r="B3205" s="27" t="s">
        <v>941</v>
      </c>
      <c r="C3205" s="27" t="s">
        <v>761</v>
      </c>
      <c r="D3205" s="27" t="s">
        <v>762</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1390</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875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770</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789</v>
      </c>
      <c r="B3209" s="27" t="s">
        <v>901</v>
      </c>
      <c r="C3209" s="27" t="s">
        <v>761</v>
      </c>
      <c r="D3209" s="27" t="s">
        <v>762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889</v>
      </c>
      <c r="B3210" s="27" t="s">
        <v>1236</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1155</v>
      </c>
      <c r="B3211" s="27" t="s">
        <v>1080</v>
      </c>
      <c r="C3211" s="27" t="s">
        <v>797</v>
      </c>
      <c r="D3211" s="27" t="s">
        <v>762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1004</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810</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889</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1155</v>
      </c>
      <c r="B3215" s="27" t="s">
        <v>1272</v>
      </c>
      <c r="C3215" s="27" t="s">
        <v>797</v>
      </c>
      <c r="D3215" s="27" t="s">
        <v>762</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798</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1154</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804</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421</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1737</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757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1738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1085</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1739</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774</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row>
    <row r="3227" spans="1:12">
      <c r="A3227" s="20" t="s">
        <v>1740</v>
      </c>
    </row>
    <row r="3228" spans="1:12">
      <c r="A3228" s="20" t="s">
        <v>1024</v>
      </c>
      <c r="B3228" s="27" t="s">
        <v>760</v>
      </c>
      <c r="C3228" s="27" t="s">
        <v>797</v>
      </c>
      <c r="D3228" s="27" t="s">
        <v>762</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1154</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495</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1069</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920</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770</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262</v>
      </c>
      <c r="B3234" s="27" t="s">
        <v>802</v>
      </c>
      <c r="C3234" s="27" t="s">
        <v>761</v>
      </c>
      <c r="D3234" s="27" t="s">
        <v>762</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889</v>
      </c>
      <c r="B3235" s="27" t="s">
        <v>940</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1155</v>
      </c>
      <c r="B3236" s="27" t="s">
        <v>941</v>
      </c>
      <c r="C3236" s="27" t="s">
        <v>797</v>
      </c>
      <c r="D3236" s="27" t="s">
        <v>762</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1183</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1741</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774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row>
    <row r="3241" spans="1:12">
      <c r="A3241" s="20" t="s">
        <v>1742</v>
      </c>
    </row>
    <row r="3242" spans="1:12">
      <c r="A3242" s="20" t="s">
        <v>1168</v>
      </c>
      <c r="B3242" s="27" t="s">
        <v>760</v>
      </c>
      <c r="C3242" s="27" t="s">
        <v>820</v>
      </c>
      <c r="D3242" s="27" t="s">
        <v>762</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769</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838</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1508</v>
      </c>
      <c r="B3245" s="27" t="s">
        <v>772</v>
      </c>
      <c r="C3245" s="27" t="s">
        <v>761</v>
      </c>
      <c r="D3245" s="27" t="s">
        <v>762</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793</v>
      </c>
      <c r="B3246" s="27" t="s">
        <v>894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827</v>
      </c>
      <c r="B3247" s="27" t="s">
        <v>956</v>
      </c>
      <c r="C3247" s="27" t="s">
        <v>797</v>
      </c>
      <c r="D3247" s="27" t="s">
        <v>762</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909</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1743</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942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954</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1744</v>
      </c>
      <c r="B3252" s="27" t="s">
        <v>879</v>
      </c>
      <c r="C3252" s="27" t="s">
        <v>1019</v>
      </c>
      <c r="D3252" s="27" t="s">
        <v>762</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915</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770</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972</v>
      </c>
      <c r="B3255" s="27" t="s">
        <v>753</v>
      </c>
      <c r="C3255" s="27" t="s">
        <v>837</v>
      </c>
      <c r="D3255" s="27" t="s">
        <v>762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769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1745</v>
      </c>
      <c r="B3257" s="27" t="s">
        <v>753</v>
      </c>
      <c r="C3257" s="27" t="s">
        <v>798</v>
      </c>
      <c r="D3257" s="27" t="s">
        <v>762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1746</v>
      </c>
      <c r="B3258" s="27" t="s">
        <v>772</v>
      </c>
      <c r="C3258" s="27" t="s">
        <v>798</v>
      </c>
      <c r="D3258" s="27" t="s">
        <v>762</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1020</v>
      </c>
      <c r="B3259" s="27" t="s">
        <v>956</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915</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779</v>
      </c>
      <c r="B3261" s="27" t="s">
        <v>772</v>
      </c>
      <c r="C3261" s="27" t="s">
        <v>820</v>
      </c>
      <c r="D3261" s="27" t="s">
        <v>762</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769</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838</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1747</v>
      </c>
      <c r="B3264" s="27" t="s">
        <v>879</v>
      </c>
      <c r="C3264" s="27" t="s">
        <v>761</v>
      </c>
      <c r="D3264" s="27" t="s">
        <v>762</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769</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822</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1748</v>
      </c>
      <c r="B3267" s="27" t="s">
        <v>901</v>
      </c>
      <c r="C3267" s="27" t="s">
        <v>837</v>
      </c>
      <c r="D3267" s="27" t="s">
        <v>762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769</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1749</v>
      </c>
      <c r="B3269" s="27" t="s">
        <v>815</v>
      </c>
      <c r="C3269" s="27" t="s">
        <v>798</v>
      </c>
      <c r="D3269" s="27" t="s">
        <v>762</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774</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row>
    <row r="3272" spans="1:12">
      <c r="A3272" s="20" t="s">
        <v>1750</v>
      </c>
    </row>
    <row r="3273" spans="1:12">
      <c r="A3273" s="20" t="s">
        <v>1751</v>
      </c>
      <c r="B3273" s="27" t="s">
        <v>760</v>
      </c>
      <c r="C3273" s="27" t="s">
        <v>777</v>
      </c>
      <c r="D3273" s="27" t="s">
        <v>762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887</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1752</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1323</v>
      </c>
      <c r="B3276" s="27" t="s">
        <v>767</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769</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1265</v>
      </c>
      <c r="B3278" s="27" t="s">
        <v>772</v>
      </c>
      <c r="C3278" s="27" t="s">
        <v>754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942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838</v>
      </c>
      <c r="B3280" s="27" t="s">
        <v>802</v>
      </c>
      <c r="C3280" s="27" t="s">
        <v>797</v>
      </c>
      <c r="D3280" s="27" t="s">
        <v>762</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1753</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769</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975</v>
      </c>
      <c r="B3283" s="27" t="s">
        <v>894</v>
      </c>
      <c r="C3283" s="27" t="s">
        <v>797</v>
      </c>
      <c r="D3283" s="27" t="s">
        <v>762</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1754</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757</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764</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928</v>
      </c>
      <c r="B3287" s="27" t="s">
        <v>772</v>
      </c>
      <c r="C3287" s="27" t="s">
        <v>768</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889</v>
      </c>
      <c r="B3288" s="27" t="s">
        <v>940</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1155</v>
      </c>
      <c r="B3289" s="27" t="s">
        <v>941</v>
      </c>
      <c r="C3289" s="27" t="s">
        <v>797</v>
      </c>
      <c r="D3289" s="27" t="s">
        <v>762</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1004</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1755</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757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1155</v>
      </c>
      <c r="B3293" s="27" t="s">
        <v>796</v>
      </c>
      <c r="C3293" s="27" t="s">
        <v>797</v>
      </c>
      <c r="D3293" s="27" t="s">
        <v>762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1081</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1593</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785</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1756</v>
      </c>
      <c r="B3297" s="27" t="s">
        <v>753</v>
      </c>
      <c r="C3297" s="27" t="s">
        <v>754</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872</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1161</v>
      </c>
      <c r="B3299" s="27" t="s">
        <v>879</v>
      </c>
      <c r="C3299" s="27" t="s">
        <v>851</v>
      </c>
      <c r="D3299" s="27" t="s">
        <v>762</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1380</v>
      </c>
      <c r="B3300" s="27" t="s">
        <v>772</v>
      </c>
      <c r="C3300" s="27" t="s">
        <v>837</v>
      </c>
      <c r="D3300" s="27" t="s">
        <v>762</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889</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1155</v>
      </c>
      <c r="B3302" s="27" t="s">
        <v>956</v>
      </c>
      <c r="C3302" s="27" t="s">
        <v>797</v>
      </c>
      <c r="D3302" s="27" t="s">
        <v>762</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798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1021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840</v>
      </c>
      <c r="B3305" s="27" t="s">
        <v>940</v>
      </c>
      <c r="C3305" s="27" t="s">
        <v>797</v>
      </c>
      <c r="D3305" s="27" t="s">
        <v>762</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1598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769</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770</v>
      </c>
      <c r="B3308" s="27" t="s">
        <v>1076</v>
      </c>
      <c r="C3308" s="27" t="s">
        <v>797</v>
      </c>
      <c r="D3308" s="27" t="s">
        <v>762</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1757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774</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row>
    <row r="3312" spans="1:12">
      <c r="A3312" s="20" t="s">
        <v>1758</v>
      </c>
    </row>
    <row r="3313" spans="1:12">
      <c r="A3313" s="20" t="s">
        <v>917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1368</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524</v>
      </c>
      <c r="B3315" s="27" t="s">
        <v>753</v>
      </c>
      <c r="C3315" s="27" t="s">
        <v>761</v>
      </c>
      <c r="D3315" s="27" t="s">
        <v>762</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793</v>
      </c>
      <c r="B3316" s="27" t="s">
        <v>802</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827</v>
      </c>
      <c r="B3317" s="27" t="s">
        <v>796</v>
      </c>
      <c r="C3317" s="27" t="s">
        <v>797</v>
      </c>
      <c r="D3317" s="27" t="s">
        <v>762</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909</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1342</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875</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1029</v>
      </c>
      <c r="B3321" s="27" t="s">
        <v>772</v>
      </c>
      <c r="C3321" s="27" t="s">
        <v>820</v>
      </c>
      <c r="D3321" s="27" t="s">
        <v>762</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16</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822</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1368</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769</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1759</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1222</v>
      </c>
      <c r="B3327" s="27" t="s">
        <v>772</v>
      </c>
      <c r="C3327" s="27" t="s">
        <v>754</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16</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16</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827</v>
      </c>
      <c r="B3330" s="27" t="s">
        <v>796</v>
      </c>
      <c r="C3330" s="27" t="s">
        <v>797</v>
      </c>
      <c r="D3330" s="27" t="s">
        <v>762</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909</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1760</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960</v>
      </c>
      <c r="B3333" s="27" t="s">
        <v>802</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769</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95</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1761</v>
      </c>
      <c r="B3336" s="27" t="s">
        <v>879</v>
      </c>
      <c r="C3336" s="27" t="s">
        <v>831</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769</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1762</v>
      </c>
      <c r="B3338" s="27" t="s">
        <v>901</v>
      </c>
      <c r="C3338" s="27" t="s">
        <v>754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774</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row>
    <row r="3341" spans="1:12">
      <c r="A3341" s="20" t="s">
        <v>1763</v>
      </c>
    </row>
    <row r="3342" spans="1:12">
      <c r="A3342" s="20" t="s">
        <v>917</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1764</v>
      </c>
      <c r="B3343" s="27" t="s">
        <v>760</v>
      </c>
      <c r="C3343" s="27" t="s">
        <v>761</v>
      </c>
      <c r="D3343" s="27" t="s">
        <v>762</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1765</v>
      </c>
      <c r="B3344" s="27" t="s">
        <v>772</v>
      </c>
      <c r="C3344" s="27" t="s">
        <v>754</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757</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886</v>
      </c>
      <c r="B3346" s="27" t="s">
        <v>767</v>
      </c>
      <c r="C3346" s="27" t="s">
        <v>797</v>
      </c>
      <c r="D3346" s="27" t="s">
        <v>762</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1766</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1278</v>
      </c>
      <c r="B3348" s="27" t="s">
        <v>753</v>
      </c>
      <c r="C3348" s="27" t="s">
        <v>820</v>
      </c>
      <c r="D3348" s="27" t="s">
        <v>762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1767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774</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row>
    <row r="3352" spans="1:12">
      <c r="A3352" s="20" t="s">
        <v>1768</v>
      </c>
    </row>
    <row r="3353" spans="1:12">
      <c r="A3353" s="20" t="s">
        <v>1065</v>
      </c>
      <c r="B3353" s="27" t="s">
        <v>760</v>
      </c>
      <c r="C3353" s="27" t="s">
        <v>797</v>
      </c>
      <c r="D3353" s="27" t="s">
        <v>762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1766</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1769</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872</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770</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1770</v>
      </c>
      <c r="B3358" s="27" t="s">
        <v>753</v>
      </c>
      <c r="C3358" s="27" t="s">
        <v>761</v>
      </c>
      <c r="D3358" s="27" t="s">
        <v>762</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774</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row>
    <row r="3361" spans="1:12">
      <c r="A3361" s="20" t="s">
        <v>1771</v>
      </c>
    </row>
    <row r="3362" spans="1:12">
      <c r="A3362" s="20" t="s">
        <v>1772</v>
      </c>
      <c r="B3362" s="27" t="s">
        <v>760</v>
      </c>
      <c r="C3362" s="27" t="s">
        <v>798</v>
      </c>
      <c r="D3362" s="27" t="s">
        <v>762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1746</v>
      </c>
      <c r="B3363" s="27" t="s">
        <v>772</v>
      </c>
      <c r="C3363" s="27" t="s">
        <v>798</v>
      </c>
      <c r="D3363" s="27" t="s">
        <v>762</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915</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751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1210</v>
      </c>
      <c r="B3366" s="27" t="s">
        <v>753</v>
      </c>
      <c r="C3366" s="27" t="s">
        <v>754</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769</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1773</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822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1774</v>
      </c>
      <c r="B3370" s="27" t="s">
        <v>802</v>
      </c>
      <c r="C3370" s="27" t="s">
        <v>761</v>
      </c>
      <c r="D3370" s="27" t="s">
        <v>762</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774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row>
    <row r="3373" spans="1:12">
      <c r="A3373" s="20" t="s">
        <v>1775</v>
      </c>
    </row>
    <row r="3374" spans="1:12">
      <c r="A3374" s="20" t="s">
        <v>833</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827</v>
      </c>
      <c r="B3375" s="27" t="s">
        <v>760</v>
      </c>
      <c r="C3375" s="27" t="s">
        <v>797</v>
      </c>
      <c r="D3375" s="27" t="s">
        <v>762</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909</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888</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757</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749</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1776</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1745</v>
      </c>
      <c r="B3381" s="27" t="s">
        <v>956</v>
      </c>
      <c r="C3381" s="27" t="s">
        <v>798</v>
      </c>
      <c r="D3381" s="27" t="s">
        <v>762</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915</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1502</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1105</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757</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1558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1777</v>
      </c>
      <c r="B3387" s="27" t="s">
        <v>796</v>
      </c>
      <c r="C3387" s="27" t="s">
        <v>797</v>
      </c>
      <c r="D3387" s="27" t="s">
        <v>762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764</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1177</v>
      </c>
      <c r="B3389" s="27" t="s">
        <v>802</v>
      </c>
      <c r="C3389" s="27" t="s">
        <v>837</v>
      </c>
      <c r="D3389" s="27" t="s">
        <v>762</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769</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954</v>
      </c>
      <c r="B3391" s="27" t="s">
        <v>879</v>
      </c>
      <c r="C3391" s="27" t="s">
        <v>777</v>
      </c>
      <c r="D3391" s="27" t="s">
        <v>762</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793</v>
      </c>
      <c r="B3392" s="27" t="s">
        <v>1236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1557</v>
      </c>
      <c r="B3393" s="27" t="s">
        <v>1272</v>
      </c>
      <c r="C3393" s="27" t="s">
        <v>797</v>
      </c>
      <c r="D3393" s="27" t="s">
        <v>762</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1778</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984</v>
      </c>
      <c r="B3395" s="27" t="s">
        <v>1236</v>
      </c>
      <c r="C3395" s="27" t="s">
        <v>797</v>
      </c>
      <c r="D3395" s="27" t="s">
        <v>762</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417</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859</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row>
    <row r="3399" spans="1:12">
      <c r="A3399" s="20" t="s">
        <v>1779</v>
      </c>
    </row>
    <row r="3400" spans="1:12">
      <c r="A3400" s="20" t="s">
        <v>818</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1436</v>
      </c>
      <c r="B3401" s="27" t="s">
        <v>772</v>
      </c>
      <c r="C3401" s="27" t="s">
        <v>851</v>
      </c>
      <c r="D3401" s="27" t="s">
        <v>762</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1437</v>
      </c>
      <c r="B3402" s="27" t="s">
        <v>760</v>
      </c>
      <c r="C3402" s="27" t="s">
        <v>837</v>
      </c>
      <c r="D3402" s="27" t="s">
        <v>762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887</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1315</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757</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749</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1780</v>
      </c>
      <c r="B3407" s="27" t="s">
        <v>767</v>
      </c>
      <c r="C3407" s="27" t="s">
        <v>798</v>
      </c>
      <c r="D3407" s="27" t="s">
        <v>762</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757</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1781</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774</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row>
    <row r="3412" spans="1:12">
      <c r="A3412" s="20" t="s">
        <v>1782</v>
      </c>
    </row>
    <row r="3413" spans="1:12">
      <c r="A3413" s="20" t="s">
        <v>983</v>
      </c>
      <c r="B3413" s="27" t="s">
        <v>760</v>
      </c>
      <c r="C3413" s="27" t="s">
        <v>797</v>
      </c>
      <c r="D3413" s="27" t="s">
        <v>762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984</v>
      </c>
      <c r="B3414" s="27" t="s">
        <v>767</v>
      </c>
      <c r="C3414" s="27" t="s">
        <v>797</v>
      </c>
      <c r="D3414" s="27" t="s">
        <v>762</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547</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778</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1419</v>
      </c>
      <c r="B3417" s="27" t="s">
        <v>753</v>
      </c>
      <c r="C3417" s="27" t="s">
        <v>777</v>
      </c>
      <c r="D3417" s="27" t="s">
        <v>762</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889</v>
      </c>
      <c r="B3418" s="27" t="s">
        <v>894</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697</v>
      </c>
      <c r="B3419" s="27" t="s">
        <v>956</v>
      </c>
      <c r="C3419" s="27" t="s">
        <v>797</v>
      </c>
      <c r="D3419" s="27" t="s">
        <v>762</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1783</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785</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954</v>
      </c>
      <c r="B3422" s="27" t="s">
        <v>879</v>
      </c>
      <c r="C3422" s="27" t="s">
        <v>777</v>
      </c>
      <c r="D3422" s="27" t="s">
        <v>762</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889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697</v>
      </c>
      <c r="B3424" s="27" t="s">
        <v>1272</v>
      </c>
      <c r="C3424" s="27" t="s">
        <v>797</v>
      </c>
      <c r="D3424" s="27" t="s">
        <v>762</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915</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751</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1210</v>
      </c>
      <c r="B3427" s="27" t="s">
        <v>815</v>
      </c>
      <c r="C3427" s="27" t="s">
        <v>754</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769</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333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859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row>
    <row r="3432" spans="1:12">
      <c r="A3432" s="20" t="s">
        <v>1784</v>
      </c>
    </row>
    <row r="3433" spans="1:12">
      <c r="A3433" s="20" t="s">
        <v>1772</v>
      </c>
      <c r="B3433" s="27" t="s">
        <v>796</v>
      </c>
      <c r="C3433" s="27" t="s">
        <v>798</v>
      </c>
      <c r="D3433" s="27" t="s">
        <v>762</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887</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1785</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822</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1786</v>
      </c>
      <c r="B3437" s="27" t="s">
        <v>802</v>
      </c>
      <c r="C3437" s="27" t="s">
        <v>761</v>
      </c>
      <c r="D3437" s="27" t="s">
        <v>762</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757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887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1787</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764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1788</v>
      </c>
      <c r="B3442" s="27" t="s">
        <v>760</v>
      </c>
      <c r="C3442" s="27" t="s">
        <v>768</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774</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row>
    <row r="3445" spans="1:12">
      <c r="A3445" s="20" t="s">
        <v>1789</v>
      </c>
    </row>
    <row r="3446" spans="1:12">
      <c r="A3446" s="20" t="s">
        <v>1088</v>
      </c>
      <c r="B3446" s="27" t="s">
        <v>760</v>
      </c>
      <c r="C3446" s="27" t="s">
        <v>797</v>
      </c>
      <c r="D3446" s="27" t="s">
        <v>762</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886</v>
      </c>
      <c r="B3447" s="27" t="s">
        <v>767</v>
      </c>
      <c r="C3447" s="27" t="s">
        <v>797</v>
      </c>
      <c r="D3447" s="27" t="s">
        <v>762</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887</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1785</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769</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1790</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810</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887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888</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757</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749</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983</v>
      </c>
      <c r="B3457" s="27" t="s">
        <v>956</v>
      </c>
      <c r="C3457" s="27" t="s">
        <v>797</v>
      </c>
      <c r="D3457" s="27" t="s">
        <v>762</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984</v>
      </c>
      <c r="B3458" s="27" t="s">
        <v>894</v>
      </c>
      <c r="C3458" s="27" t="s">
        <v>797</v>
      </c>
      <c r="D3458" s="27" t="s">
        <v>762</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547</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769</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975</v>
      </c>
      <c r="B3461" s="27" t="s">
        <v>940</v>
      </c>
      <c r="C3461" s="27" t="s">
        <v>797</v>
      </c>
      <c r="D3461" s="27" t="s">
        <v>762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1791</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805</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129</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1364</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1099</v>
      </c>
      <c r="B3466" s="27" t="s">
        <v>815</v>
      </c>
      <c r="C3466" s="27" t="s">
        <v>851</v>
      </c>
      <c r="D3466" s="27" t="s">
        <v>762</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877</v>
      </c>
      <c r="B3467" s="27" t="s">
        <v>901</v>
      </c>
      <c r="C3467" s="27" t="s">
        <v>837</v>
      </c>
      <c r="D3467" s="27" t="s">
        <v>762</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810</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769</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811</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129</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1300</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1792</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954</v>
      </c>
      <c r="B3474" s="27" t="s">
        <v>1236</v>
      </c>
      <c r="C3474" s="27" t="s">
        <v>777</v>
      </c>
      <c r="D3474" s="27" t="s">
        <v>762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1020</v>
      </c>
      <c r="B3475" s="27" t="s">
        <v>1063</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1051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1793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872</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1099</v>
      </c>
      <c r="B3479" s="27" t="s">
        <v>1130</v>
      </c>
      <c r="C3479" s="27" t="s">
        <v>851</v>
      </c>
      <c r="D3479" s="27" t="s">
        <v>762</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1794</v>
      </c>
      <c r="B3480" s="27" t="s">
        <v>1129</v>
      </c>
      <c r="C3480" s="27" t="s">
        <v>837</v>
      </c>
      <c r="D3480" s="27" t="s">
        <v>762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774</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row>
    <row r="3483" spans="1:12">
      <c r="A3483" s="20" t="s">
        <v>1795</v>
      </c>
    </row>
    <row r="3484" spans="1:12">
      <c r="A3484" s="20" t="s">
        <v>818</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866</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827</v>
      </c>
      <c r="B3486" s="27" t="s">
        <v>796</v>
      </c>
      <c r="C3486" s="27" t="s">
        <v>797</v>
      </c>
      <c r="D3486" s="27" t="s">
        <v>762</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909</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1796</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875</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795</v>
      </c>
      <c r="B3490" s="27" t="s">
        <v>772</v>
      </c>
      <c r="C3490" s="27" t="s">
        <v>797</v>
      </c>
      <c r="D3490" s="27" t="s">
        <v>762</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1528</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1444</v>
      </c>
      <c r="B3492" s="27" t="s">
        <v>772</v>
      </c>
      <c r="C3492" s="27" t="s">
        <v>803</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960</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1162</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16</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779</v>
      </c>
      <c r="B3496" s="27" t="s">
        <v>802</v>
      </c>
      <c r="C3496" s="27" t="s">
        <v>820</v>
      </c>
      <c r="D3496" s="27" t="s">
        <v>762</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769</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838</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1759</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1797</v>
      </c>
      <c r="B3500" s="27" t="s">
        <v>879</v>
      </c>
      <c r="C3500" s="27" t="s">
        <v>761</v>
      </c>
      <c r="D3500" s="27" t="s">
        <v>762</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793</v>
      </c>
      <c r="B3501" s="27" t="s">
        <v>1076</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886</v>
      </c>
      <c r="B3502" s="27" t="s">
        <v>1272</v>
      </c>
      <c r="C3502" s="27" t="s">
        <v>797</v>
      </c>
      <c r="D3502" s="27" t="s">
        <v>762</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1438</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1752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1798</v>
      </c>
      <c r="B3505" s="27" t="s">
        <v>1076</v>
      </c>
      <c r="C3505" s="27" t="s">
        <v>754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795</v>
      </c>
      <c r="B3507" s="27" t="s">
        <v>760</v>
      </c>
      <c r="C3507" s="27" t="s">
        <v>797</v>
      </c>
      <c r="D3507" s="27" t="s">
        <v>762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903</v>
      </c>
      <c r="B3508" s="27" t="s">
        <v>767</v>
      </c>
      <c r="C3508" s="27" t="s">
        <v>797</v>
      </c>
      <c r="D3508" s="27" t="s">
        <v>762</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887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888</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757</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749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1799</v>
      </c>
      <c r="B3513" s="27" t="s">
        <v>796</v>
      </c>
      <c r="C3513" s="27" t="s">
        <v>797</v>
      </c>
      <c r="D3513" s="27" t="s">
        <v>762</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1800</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757</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826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955</v>
      </c>
      <c r="B3517" s="27" t="s">
        <v>956</v>
      </c>
      <c r="C3517" s="27" t="s">
        <v>777</v>
      </c>
      <c r="D3517" s="27" t="s">
        <v>762</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778</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857</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785</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822</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1801</v>
      </c>
      <c r="B3522" s="27" t="s">
        <v>879</v>
      </c>
      <c r="C3522" s="27" t="s">
        <v>761</v>
      </c>
      <c r="D3522" s="27" t="s">
        <v>762</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757</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869</v>
      </c>
      <c r="B3524" s="27" t="s">
        <v>796</v>
      </c>
      <c r="C3524" s="27" t="s">
        <v>797</v>
      </c>
      <c r="D3524" s="27" t="s">
        <v>762</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1802</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937</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811</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129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1300</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1364</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1803</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757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811</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129</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1300</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1095</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805</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952</v>
      </c>
      <c r="B3538" s="27" t="s">
        <v>879</v>
      </c>
      <c r="C3538" s="27" t="s">
        <v>754</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774</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1804</v>
      </c>
    </row>
    <row r="3542" spans="1:12">
      <c r="A3542" s="20" t="s">
        <v>1776</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869</v>
      </c>
      <c r="B3543" s="27" t="s">
        <v>796</v>
      </c>
      <c r="C3543" s="27" t="s">
        <v>797</v>
      </c>
      <c r="D3543" s="27" t="s">
        <v>762</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811</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828</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804</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1364</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872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758</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1805</v>
      </c>
      <c r="B3550" s="27" t="s">
        <v>753</v>
      </c>
      <c r="C3550" s="27" t="s">
        <v>798</v>
      </c>
      <c r="D3550" s="27" t="s">
        <v>762</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810</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1806</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822</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1807</v>
      </c>
      <c r="B3554" s="27" t="s">
        <v>894</v>
      </c>
      <c r="C3554" s="27" t="s">
        <v>837</v>
      </c>
      <c r="D3554" s="27" t="s">
        <v>762</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769</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1510</v>
      </c>
      <c r="B3556" s="27" t="s">
        <v>901</v>
      </c>
      <c r="C3556" s="27" t="s">
        <v>798</v>
      </c>
      <c r="D3556" s="27" t="s">
        <v>762</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757</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1808</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952</v>
      </c>
      <c r="B3559" s="27" t="s">
        <v>760</v>
      </c>
      <c r="C3559" s="27" t="s">
        <v>1019</v>
      </c>
      <c r="D3559" s="27" t="s">
        <v>762</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811</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1302</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1300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1709</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810</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1026</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1070</v>
      </c>
      <c r="B3566" s="27" t="s">
        <v>796</v>
      </c>
      <c r="C3566" s="27" t="s">
        <v>1019</v>
      </c>
      <c r="D3566" s="27" t="s">
        <v>762</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1809</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811</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1302</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1300</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1095</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1810</v>
      </c>
      <c r="B3572" s="27" t="s">
        <v>802</v>
      </c>
      <c r="C3572" s="27" t="s">
        <v>754</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774</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row>
    <row r="3575" spans="1:12">
      <c r="A3575" s="20" t="s">
        <v>1811</v>
      </c>
    </row>
    <row r="3576" spans="1:12">
      <c r="A3576" s="20" t="s">
        <v>908</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827</v>
      </c>
      <c r="B3577" s="27" t="s">
        <v>760</v>
      </c>
      <c r="C3577" s="27" t="s">
        <v>797</v>
      </c>
      <c r="D3577" s="27" t="s">
        <v>762</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751</v>
      </c>
      <c r="B3578" s="27" t="s">
        <v>767</v>
      </c>
      <c r="C3578" s="27" t="s">
        <v>820</v>
      </c>
      <c r="D3578" s="27" t="s">
        <v>762</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870</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1812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785</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92</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793</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827</v>
      </c>
      <c r="B3584" s="27" t="s">
        <v>956</v>
      </c>
      <c r="C3584" s="27" t="s">
        <v>797</v>
      </c>
      <c r="D3584" s="27" t="s">
        <v>762</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1685</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1593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838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952</v>
      </c>
      <c r="B3588" s="27" t="s">
        <v>894</v>
      </c>
      <c r="C3588" s="27" t="s">
        <v>761</v>
      </c>
      <c r="D3588" s="27" t="s">
        <v>762</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793</v>
      </c>
      <c r="B3589" s="27" t="s">
        <v>1076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827</v>
      </c>
      <c r="B3590" s="27" t="s">
        <v>1272</v>
      </c>
      <c r="C3590" s="27" t="s">
        <v>797</v>
      </c>
      <c r="D3590" s="27" t="s">
        <v>762</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909</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1813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793</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869</v>
      </c>
      <c r="B3594" s="27" t="s">
        <v>1080</v>
      </c>
      <c r="C3594" s="27" t="s">
        <v>797</v>
      </c>
      <c r="D3594" s="27" t="s">
        <v>762</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798</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992</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804</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1814</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764</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789</v>
      </c>
      <c r="B3600" s="27" t="s">
        <v>1131</v>
      </c>
      <c r="C3600" s="27" t="s">
        <v>768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1815</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1029</v>
      </c>
      <c r="B3602" s="27" t="s">
        <v>1127</v>
      </c>
      <c r="C3602" s="27" t="s">
        <v>820</v>
      </c>
      <c r="D3602" s="27" t="s">
        <v>762</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774</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row>
    <row r="3605" spans="1:12">
      <c r="A3605" s="20" t="s">
        <v>1816</v>
      </c>
    </row>
    <row r="3606" spans="1:12">
      <c r="A3606" s="20" t="s">
        <v>983</v>
      </c>
      <c r="B3606" s="27" t="s">
        <v>760</v>
      </c>
      <c r="C3606" s="27" t="s">
        <v>797</v>
      </c>
      <c r="D3606" s="27" t="s">
        <v>762</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1817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770</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1818</v>
      </c>
      <c r="B3609" s="27" t="s">
        <v>767</v>
      </c>
      <c r="C3609" s="27" t="s">
        <v>761</v>
      </c>
      <c r="D3609" s="27" t="s">
        <v>762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889</v>
      </c>
      <c r="B3610" s="27" t="s">
        <v>894</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1155</v>
      </c>
      <c r="B3611" s="27" t="s">
        <v>956</v>
      </c>
      <c r="C3611" s="27" t="s">
        <v>797</v>
      </c>
      <c r="D3611" s="27" t="s">
        <v>762</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1004</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1819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785</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838</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1222</v>
      </c>
      <c r="B3616" s="27" t="s">
        <v>879</v>
      </c>
      <c r="C3616" s="27" t="s">
        <v>820</v>
      </c>
      <c r="D3616" s="27" t="s">
        <v>762</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757</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1020</v>
      </c>
      <c r="B3618" s="27" t="s">
        <v>956</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778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1820</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757</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921</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770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1818</v>
      </c>
      <c r="B3624" s="27" t="s">
        <v>941</v>
      </c>
      <c r="C3624" s="27" t="s">
        <v>761</v>
      </c>
      <c r="D3624" s="27" t="s">
        <v>762</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889</v>
      </c>
      <c r="B3625" s="27" t="s">
        <v>1236</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1155</v>
      </c>
      <c r="B3626" s="27" t="s">
        <v>1080</v>
      </c>
      <c r="C3626" s="27" t="s">
        <v>797</v>
      </c>
      <c r="D3626" s="27" t="s">
        <v>762</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903</v>
      </c>
      <c r="B3627" s="27" t="s">
        <v>1236</v>
      </c>
      <c r="C3627" s="27" t="s">
        <v>797</v>
      </c>
      <c r="D3627" s="27" t="s">
        <v>762</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1004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1819</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1202</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421</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1821</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818</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903</v>
      </c>
      <c r="B3634" s="27" t="s">
        <v>802</v>
      </c>
      <c r="C3634" s="27" t="s">
        <v>797</v>
      </c>
      <c r="D3634" s="27" t="s">
        <v>762</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887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1822</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862</v>
      </c>
      <c r="B3637" s="27" t="s">
        <v>796</v>
      </c>
      <c r="C3637" s="27" t="s">
        <v>797</v>
      </c>
      <c r="D3637" s="27" t="s">
        <v>762</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888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774</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row>
    <row r="3641" spans="1:12">
      <c r="A3641" s="20" t="s">
        <v>1823</v>
      </c>
    </row>
    <row r="3642" spans="1:12">
      <c r="A3642" s="20" t="s">
        <v>749</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1058</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1824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869</v>
      </c>
      <c r="B3645" s="27" t="s">
        <v>796</v>
      </c>
      <c r="C3645" s="27" t="s">
        <v>797</v>
      </c>
      <c r="D3645" s="27" t="s">
        <v>762</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1817</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793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959</v>
      </c>
      <c r="B3648" s="27" t="s">
        <v>956</v>
      </c>
      <c r="C3648" s="27" t="s">
        <v>777</v>
      </c>
      <c r="D3648" s="27" t="s">
        <v>762</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1302</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1364</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1825</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942</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822</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948</v>
      </c>
      <c r="B3654" s="27" t="s">
        <v>879</v>
      </c>
      <c r="C3654" s="27" t="s">
        <v>761</v>
      </c>
      <c r="D3654" s="27" t="s">
        <v>762</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1322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1745</v>
      </c>
      <c r="B3656" s="27" t="s">
        <v>941</v>
      </c>
      <c r="C3656" s="27" t="s">
        <v>798</v>
      </c>
      <c r="D3656" s="27" t="s">
        <v>762</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811</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915</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1300</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1294</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757</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827</v>
      </c>
      <c r="B3662" s="27" t="s">
        <v>760</v>
      </c>
      <c r="C3662" s="27" t="s">
        <v>797</v>
      </c>
      <c r="D3662" s="27" t="s">
        <v>762</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909</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1522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793</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959</v>
      </c>
      <c r="B3666" s="27" t="s">
        <v>796</v>
      </c>
      <c r="C3666" s="27" t="s">
        <v>777</v>
      </c>
      <c r="D3666" s="27" t="s">
        <v>762</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811</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1302</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804</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1364</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1825</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942</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899</v>
      </c>
      <c r="B3673" s="27" t="s">
        <v>753</v>
      </c>
      <c r="C3673" s="27" t="s">
        <v>820</v>
      </c>
      <c r="D3673" s="27" t="s">
        <v>762</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774</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row>
    <row r="3676" spans="1:12">
      <c r="A3676" s="20" t="s">
        <v>1826</v>
      </c>
    </row>
    <row r="3677" spans="1:12">
      <c r="A3677" s="20" t="s">
        <v>818</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983</v>
      </c>
      <c r="B3678" s="27" t="s">
        <v>760</v>
      </c>
      <c r="C3678" s="27" t="s">
        <v>797</v>
      </c>
      <c r="D3678" s="27" t="s">
        <v>762</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1827</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959</v>
      </c>
      <c r="B3680" s="27" t="s">
        <v>796</v>
      </c>
      <c r="C3680" s="27" t="s">
        <v>777</v>
      </c>
      <c r="D3680" s="27" t="s">
        <v>762</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1828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855</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1829</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1159</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1508</v>
      </c>
      <c r="B3685" s="27" t="s">
        <v>802</v>
      </c>
      <c r="C3685" s="27" t="s">
        <v>1019</v>
      </c>
      <c r="D3685" s="27" t="s">
        <v>762</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1020</v>
      </c>
      <c r="B3686" s="27" t="s">
        <v>941</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1025</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1095</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1278</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1159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943</v>
      </c>
      <c r="B3691" s="27" t="s">
        <v>940</v>
      </c>
      <c r="C3691" s="27" t="s">
        <v>1019</v>
      </c>
      <c r="D3691" s="27" t="s">
        <v>762</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875</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1278</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1159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1266</v>
      </c>
      <c r="B3695" s="27" t="s">
        <v>901</v>
      </c>
      <c r="C3695" s="27" t="s">
        <v>1019</v>
      </c>
      <c r="D3695" s="27" t="s">
        <v>762</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757</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769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838</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1266</v>
      </c>
      <c r="B3699" s="27" t="s">
        <v>815</v>
      </c>
      <c r="C3699" s="27" t="s">
        <v>761</v>
      </c>
      <c r="D3699" s="27" t="s">
        <v>762</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889</v>
      </c>
      <c r="B3700" s="27" t="s">
        <v>1131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1155</v>
      </c>
      <c r="B3701" s="27" t="s">
        <v>1172</v>
      </c>
      <c r="C3701" s="27" t="s">
        <v>797</v>
      </c>
      <c r="D3701" s="27" t="s">
        <v>762</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1830</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1115</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918</v>
      </c>
      <c r="B3704" s="27" t="s">
        <v>772</v>
      </c>
      <c r="C3704" s="27" t="s">
        <v>803</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942</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1660</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757</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855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1021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1831</v>
      </c>
      <c r="B3710" s="27" t="s">
        <v>956</v>
      </c>
      <c r="C3710" s="27" t="s">
        <v>797</v>
      </c>
      <c r="D3710" s="27" t="s">
        <v>762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1278</v>
      </c>
      <c r="B3711" s="27" t="s">
        <v>940</v>
      </c>
      <c r="C3711" s="27" t="s">
        <v>820</v>
      </c>
      <c r="D3711" s="27" t="s">
        <v>762</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299</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1824</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769</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1108</v>
      </c>
      <c r="B3715" s="27" t="s">
        <v>815</v>
      </c>
      <c r="C3715" s="27" t="s">
        <v>754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872</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1161</v>
      </c>
      <c r="B3717" s="27" t="s">
        <v>815</v>
      </c>
      <c r="C3717" s="27" t="s">
        <v>851</v>
      </c>
      <c r="D3717" s="27" t="s">
        <v>762</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1231</v>
      </c>
      <c r="B3718" s="27" t="s">
        <v>901</v>
      </c>
      <c r="C3718" s="27" t="s">
        <v>837</v>
      </c>
      <c r="D3718" s="27" t="s">
        <v>762</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769</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1696</v>
      </c>
      <c r="B3720" s="27" t="s">
        <v>815</v>
      </c>
      <c r="C3720" s="27" t="s">
        <v>754</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774</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row>
    <row r="3723" spans="1:12">
      <c r="A3723" s="20" t="s">
        <v>1832</v>
      </c>
    </row>
    <row r="3724" spans="1:12">
      <c r="A3724" s="20" t="s">
        <v>1407</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869</v>
      </c>
      <c r="B3725" s="27" t="s">
        <v>760</v>
      </c>
      <c r="C3725" s="27" t="s">
        <v>797</v>
      </c>
      <c r="D3725" s="27" t="s">
        <v>762</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975</v>
      </c>
      <c r="B3726" s="27" t="s">
        <v>767</v>
      </c>
      <c r="C3726" s="27" t="s">
        <v>797</v>
      </c>
      <c r="D3726" s="27" t="s">
        <v>762</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870</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888</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757</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1278</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1079</v>
      </c>
      <c r="B3731" s="27" t="s">
        <v>767</v>
      </c>
      <c r="C3731" s="27" t="s">
        <v>777</v>
      </c>
      <c r="D3731" s="27" t="s">
        <v>762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805</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1195</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886</v>
      </c>
      <c r="B3734" s="27" t="s">
        <v>772</v>
      </c>
      <c r="C3734" s="27" t="s">
        <v>797</v>
      </c>
      <c r="D3734" s="27" t="s">
        <v>762</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1020</v>
      </c>
      <c r="B3735" s="27" t="s">
        <v>956</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1438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769</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838</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943</v>
      </c>
      <c r="B3739" s="27" t="s">
        <v>879</v>
      </c>
      <c r="C3739" s="27" t="s">
        <v>761</v>
      </c>
      <c r="D3739" s="27" t="s">
        <v>762</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1833</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838</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943</v>
      </c>
      <c r="B3742" s="27" t="s">
        <v>894</v>
      </c>
      <c r="C3742" s="27" t="s">
        <v>761</v>
      </c>
      <c r="D3742" s="27" t="s">
        <v>762</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793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886</v>
      </c>
      <c r="B3744" s="27" t="s">
        <v>1272</v>
      </c>
      <c r="C3744" s="27" t="s">
        <v>797</v>
      </c>
      <c r="D3744" s="27" t="s">
        <v>762</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1438</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757</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875</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1270</v>
      </c>
      <c r="B3748" s="27" t="s">
        <v>1062</v>
      </c>
      <c r="C3748" s="27" t="s">
        <v>851</v>
      </c>
      <c r="D3748" s="27" t="s">
        <v>762</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1834</v>
      </c>
      <c r="B3749" s="27" t="s">
        <v>815</v>
      </c>
      <c r="C3749" s="27" t="s">
        <v>837</v>
      </c>
      <c r="D3749" s="27" t="s">
        <v>762</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774</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row>
    <row r="3752" spans="1:12">
      <c r="A3752" s="20" t="s">
        <v>1835</v>
      </c>
    </row>
    <row r="3753" spans="1:12">
      <c r="A3753" s="20" t="s">
        <v>1776</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779</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1836</v>
      </c>
      <c r="B3755" s="27" t="s">
        <v>796</v>
      </c>
      <c r="C3755" s="27" t="s">
        <v>768</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1837</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1838</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1101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785</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1246</v>
      </c>
      <c r="B3760" s="27" t="s">
        <v>901</v>
      </c>
      <c r="C3760" s="27" t="s">
        <v>754</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822</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1839</v>
      </c>
      <c r="B3762" s="27" t="s">
        <v>772</v>
      </c>
      <c r="C3762" s="27" t="s">
        <v>837</v>
      </c>
      <c r="D3762" s="27" t="s">
        <v>762</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769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878</v>
      </c>
      <c r="B3764" s="27" t="s">
        <v>901</v>
      </c>
      <c r="C3764" s="27" t="s">
        <v>851</v>
      </c>
      <c r="D3764" s="27" t="s">
        <v>762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1840</v>
      </c>
      <c r="B3765" s="27" t="s">
        <v>879</v>
      </c>
      <c r="C3765" s="27" t="s">
        <v>837</v>
      </c>
      <c r="D3765" s="27" t="s">
        <v>762</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810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975</v>
      </c>
      <c r="B3767" s="27" t="s">
        <v>894</v>
      </c>
      <c r="C3767" s="27" t="s">
        <v>797</v>
      </c>
      <c r="D3767" s="27" t="s">
        <v>762</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1841</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805</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1842</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838</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943</v>
      </c>
      <c r="B3772" s="27" t="s">
        <v>940</v>
      </c>
      <c r="C3772" s="27" t="s">
        <v>761</v>
      </c>
      <c r="D3772" s="27" t="s">
        <v>762</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793</v>
      </c>
      <c r="B3773" s="27" t="s">
        <v>1236</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827</v>
      </c>
      <c r="B3774" s="27" t="s">
        <v>1080</v>
      </c>
      <c r="C3774" s="27" t="s">
        <v>797</v>
      </c>
      <c r="D3774" s="27" t="s">
        <v>762</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909</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810</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769</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903</v>
      </c>
      <c r="B3778" s="27" t="s">
        <v>815</v>
      </c>
      <c r="C3778" s="27" t="s">
        <v>797</v>
      </c>
      <c r="D3778" s="27" t="s">
        <v>762</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751</v>
      </c>
      <c r="B3779" s="27" t="s">
        <v>772</v>
      </c>
      <c r="C3779" s="27" t="s">
        <v>820</v>
      </c>
      <c r="D3779" s="27" t="s">
        <v>762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586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779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946</v>
      </c>
      <c r="B3782" s="27" t="s">
        <v>767</v>
      </c>
      <c r="C3782" s="27" t="s">
        <v>768</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757</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769</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1843</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943</v>
      </c>
      <c r="B3786" s="27" t="s">
        <v>753</v>
      </c>
      <c r="C3786" s="27" t="s">
        <v>768</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16</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16</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960</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1844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757</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960</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1845</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757</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960</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1846</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757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960</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1847</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16</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16</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869</v>
      </c>
      <c r="B3802" s="27" t="s">
        <v>796</v>
      </c>
      <c r="C3802" s="27" t="s">
        <v>797</v>
      </c>
      <c r="D3802" s="27" t="s">
        <v>762</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903</v>
      </c>
      <c r="B3803" s="27" t="s">
        <v>802</v>
      </c>
      <c r="C3803" s="27" t="s">
        <v>797</v>
      </c>
      <c r="D3803" s="27" t="s">
        <v>762</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1848</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785</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838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943</v>
      </c>
      <c r="B3807" s="27" t="s">
        <v>772</v>
      </c>
      <c r="C3807" s="27" t="s">
        <v>761</v>
      </c>
      <c r="D3807" s="27" t="s">
        <v>762</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793</v>
      </c>
      <c r="B3808" s="27" t="s">
        <v>940</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827</v>
      </c>
      <c r="B3809" s="27" t="s">
        <v>941</v>
      </c>
      <c r="C3809" s="27" t="s">
        <v>797</v>
      </c>
      <c r="D3809" s="27" t="s">
        <v>762</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909</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810</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1849</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942</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793</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1850</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1808</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1851</v>
      </c>
      <c r="B3817" s="27" t="s">
        <v>956</v>
      </c>
      <c r="C3817" s="27" t="s">
        <v>1019</v>
      </c>
      <c r="D3817" s="27" t="s">
        <v>762</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1852</v>
      </c>
      <c r="B3818" s="27" t="s">
        <v>901</v>
      </c>
      <c r="C3818" s="27" t="s">
        <v>754</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774</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row>
    <row r="3821" spans="1:12">
      <c r="A3821" s="20" t="s">
        <v>1853</v>
      </c>
    </row>
    <row r="3822" spans="1:12">
      <c r="A3822" s="20" t="s">
        <v>833</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1854</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1855</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909</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758</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1269</v>
      </c>
      <c r="B3827" s="27" t="s">
        <v>802</v>
      </c>
      <c r="C3827" s="27" t="s">
        <v>761</v>
      </c>
      <c r="D3827" s="27" t="s">
        <v>762</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793</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769</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770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1043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1856</v>
      </c>
      <c r="B3832" s="27" t="s">
        <v>879</v>
      </c>
      <c r="C3832" s="27" t="s">
        <v>761</v>
      </c>
      <c r="D3832" s="27" t="s">
        <v>762</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793</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1235</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890</v>
      </c>
      <c r="B3835" s="27" t="s">
        <v>956</v>
      </c>
      <c r="C3835" s="27" t="s">
        <v>820</v>
      </c>
      <c r="D3835" s="27" t="s">
        <v>762</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1857</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769</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838</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1858</v>
      </c>
      <c r="B3839" s="27" t="s">
        <v>879</v>
      </c>
      <c r="C3839" s="27" t="s">
        <v>761</v>
      </c>
      <c r="D3839" s="27" t="s">
        <v>762</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1859</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872</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779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1860</v>
      </c>
      <c r="B3843" s="27" t="s">
        <v>815</v>
      </c>
      <c r="C3843" s="27" t="s">
        <v>768</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942</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840</v>
      </c>
      <c r="B3845" s="27" t="s">
        <v>940</v>
      </c>
      <c r="C3845" s="27" t="s">
        <v>797</v>
      </c>
      <c r="D3845" s="27" t="s">
        <v>762</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1211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889</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1155</v>
      </c>
      <c r="B3848" s="27" t="s">
        <v>1272</v>
      </c>
      <c r="C3848" s="27" t="s">
        <v>797</v>
      </c>
      <c r="D3848" s="27" t="s">
        <v>762</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798</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1861</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804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1862</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826</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884</v>
      </c>
      <c r="B3854" s="27" t="s">
        <v>1127</v>
      </c>
      <c r="C3854" s="27" t="s">
        <v>851</v>
      </c>
      <c r="D3854" s="27" t="s">
        <v>762</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943</v>
      </c>
      <c r="B3855" s="27" t="s">
        <v>1080</v>
      </c>
      <c r="C3855" s="27" t="s">
        <v>837</v>
      </c>
      <c r="D3855" s="27" t="s">
        <v>762</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840</v>
      </c>
      <c r="B3856" s="27" t="s">
        <v>1236</v>
      </c>
      <c r="C3856" s="27" t="s">
        <v>797</v>
      </c>
      <c r="D3856" s="27" t="s">
        <v>762</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1863</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1864</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770</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1865</v>
      </c>
      <c r="B3860" s="27" t="s">
        <v>1062</v>
      </c>
      <c r="C3860" s="27" t="s">
        <v>761</v>
      </c>
      <c r="D3860" s="27" t="s">
        <v>762</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757</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1159</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1866</v>
      </c>
      <c r="B3863" s="27" t="s">
        <v>760</v>
      </c>
      <c r="C3863" s="27" t="s">
        <v>1019</v>
      </c>
      <c r="D3863" s="27" t="s">
        <v>762</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769</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1508</v>
      </c>
      <c r="B3865" s="27" t="s">
        <v>772</v>
      </c>
      <c r="C3865" s="27" t="s">
        <v>754</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1020</v>
      </c>
      <c r="B3866" s="27" t="s">
        <v>956</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840</v>
      </c>
      <c r="B3867" s="27" t="s">
        <v>894</v>
      </c>
      <c r="C3867" s="27" t="s">
        <v>797</v>
      </c>
      <c r="D3867" s="27" t="s">
        <v>762</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1867</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875</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1159</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1495</v>
      </c>
      <c r="B3871" s="27" t="s">
        <v>879</v>
      </c>
      <c r="C3871" s="27" t="s">
        <v>1019</v>
      </c>
      <c r="D3871" s="27" t="s">
        <v>762</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1868</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1869</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758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1231</v>
      </c>
      <c r="B3875" s="27" t="s">
        <v>767</v>
      </c>
      <c r="C3875" s="27" t="s">
        <v>761</v>
      </c>
      <c r="D3875" s="27" t="s">
        <v>762</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1870</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769</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770</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1696</v>
      </c>
      <c r="B3879" s="27" t="s">
        <v>772</v>
      </c>
      <c r="C3879" s="27" t="s">
        <v>761</v>
      </c>
      <c r="D3879" s="27" t="s">
        <v>762</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757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1020</v>
      </c>
      <c r="B3881" s="27" t="s">
        <v>941</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778</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793</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757</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1679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757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1557</v>
      </c>
      <c r="B3887" s="27" t="s">
        <v>1272</v>
      </c>
      <c r="C3887" s="27" t="s">
        <v>797</v>
      </c>
      <c r="D3887" s="27" t="s">
        <v>762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1871</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1872</v>
      </c>
      <c r="B3889" s="27" t="s">
        <v>1062</v>
      </c>
      <c r="C3889" s="27" t="s">
        <v>851</v>
      </c>
      <c r="D3889" s="27" t="s">
        <v>762</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943</v>
      </c>
      <c r="B3890" s="27" t="s">
        <v>1076</v>
      </c>
      <c r="C3890" s="27" t="s">
        <v>837</v>
      </c>
      <c r="D3890" s="27" t="s">
        <v>762</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810</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1557</v>
      </c>
      <c r="B3892" s="27" t="s">
        <v>1080</v>
      </c>
      <c r="C3892" s="27" t="s">
        <v>797</v>
      </c>
      <c r="D3892" s="27" t="s">
        <v>762</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1557</v>
      </c>
      <c r="B3893" s="27" t="s">
        <v>1236</v>
      </c>
      <c r="C3893" s="27" t="s">
        <v>797</v>
      </c>
      <c r="D3893" s="27" t="s">
        <v>762</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1873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757</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805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1050</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778</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1419</v>
      </c>
      <c r="B3899" s="27" t="s">
        <v>1172</v>
      </c>
      <c r="C3899" s="27" t="s">
        <v>777</v>
      </c>
      <c r="D3899" s="27" t="s">
        <v>762</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793</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950</v>
      </c>
      <c r="B3901" s="27" t="s">
        <v>1063</v>
      </c>
      <c r="C3901" s="27" t="s">
        <v>797</v>
      </c>
      <c r="D3901" s="27" t="s">
        <v>762</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1677</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859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row>
    <row r="3905" spans="1:12">
      <c r="A3905" s="20" t="s">
        <v>1874</v>
      </c>
    </row>
    <row r="3906" spans="1:12">
      <c r="A3906" s="20" t="s">
        <v>995</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840</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1875</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889</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1031</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793</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1876</v>
      </c>
      <c r="B3912" s="27" t="s">
        <v>956</v>
      </c>
      <c r="C3912" s="27" t="s">
        <v>820</v>
      </c>
      <c r="D3912" s="27" t="s">
        <v>762</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769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1159</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1495</v>
      </c>
      <c r="B3915" s="27" t="s">
        <v>901</v>
      </c>
      <c r="C3915" s="27" t="s">
        <v>1019</v>
      </c>
      <c r="D3915" s="27" t="s">
        <v>762</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1877</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778</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1878</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16</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697</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811</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1879</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889</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779</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1880</v>
      </c>
      <c r="B3925" s="27" t="s">
        <v>940</v>
      </c>
      <c r="C3925" s="27" t="s">
        <v>768</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1881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769</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1508</v>
      </c>
      <c r="B3928" s="27" t="s">
        <v>815</v>
      </c>
      <c r="C3928" s="27" t="s">
        <v>754</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785</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838</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1882</v>
      </c>
      <c r="B3931" s="27" t="s">
        <v>1062</v>
      </c>
      <c r="C3931" s="27" t="s">
        <v>761</v>
      </c>
      <c r="D3931" s="27" t="s">
        <v>762</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875</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770</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1883</v>
      </c>
      <c r="B3934" s="27" t="s">
        <v>815</v>
      </c>
      <c r="C3934" s="27" t="s">
        <v>761</v>
      </c>
      <c r="D3934" s="27" t="s">
        <v>762</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757</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805</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943</v>
      </c>
      <c r="B3937" s="27" t="s">
        <v>1062</v>
      </c>
      <c r="C3937" s="27" t="s">
        <v>754</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1020</v>
      </c>
      <c r="B3938" s="27" t="s">
        <v>1063</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1183</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1884</v>
      </c>
      <c r="B3940" s="27" t="s">
        <v>1127</v>
      </c>
      <c r="C3940" s="27" t="s">
        <v>754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757</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697</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811</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1879</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889</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779</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1880</v>
      </c>
      <c r="B3947" s="27" t="s">
        <v>796</v>
      </c>
      <c r="C3947" s="27" t="s">
        <v>768</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1881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769</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1508</v>
      </c>
      <c r="B3950" s="27" t="s">
        <v>879</v>
      </c>
      <c r="C3950" s="27" t="s">
        <v>754</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769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1885</v>
      </c>
      <c r="B3952" s="27" t="s">
        <v>901</v>
      </c>
      <c r="C3952" s="27" t="s">
        <v>754</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16</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1020</v>
      </c>
      <c r="B3954" s="27" t="s">
        <v>941</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1390</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1604</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1103</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785</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769</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838</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1886</v>
      </c>
      <c r="B3961" s="27" t="s">
        <v>815</v>
      </c>
      <c r="C3961" s="27" t="s">
        <v>761</v>
      </c>
      <c r="D3961" s="27" t="s">
        <v>762</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1887</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769</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1120</v>
      </c>
      <c r="B3964" s="27" t="s">
        <v>1062</v>
      </c>
      <c r="C3964" s="27" t="s">
        <v>754</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769</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838</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1888</v>
      </c>
      <c r="B3967" s="27" t="s">
        <v>1062</v>
      </c>
      <c r="C3967" s="27" t="s">
        <v>761</v>
      </c>
      <c r="D3967" s="27" t="s">
        <v>762</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16</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697</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811</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1879</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889</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779</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1880</v>
      </c>
      <c r="B3974" s="27" t="s">
        <v>956</v>
      </c>
      <c r="C3974" s="27" t="s">
        <v>768</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1881</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769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972</v>
      </c>
      <c r="B3977" s="27" t="s">
        <v>901</v>
      </c>
      <c r="C3977" s="27" t="s">
        <v>754</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872</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1876</v>
      </c>
      <c r="B3979" s="27" t="s">
        <v>879</v>
      </c>
      <c r="C3979" s="27" t="s">
        <v>820</v>
      </c>
      <c r="D3979" s="27" t="s">
        <v>762</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769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1159</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1889</v>
      </c>
      <c r="B3982" s="27" t="s">
        <v>879</v>
      </c>
      <c r="C3982" s="27" t="s">
        <v>1019</v>
      </c>
      <c r="D3982" s="27" t="s">
        <v>762</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16</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16</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921</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1322</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1557</v>
      </c>
      <c r="B3987" s="27" t="s">
        <v>1076</v>
      </c>
      <c r="C3987" s="27" t="s">
        <v>797</v>
      </c>
      <c r="D3987" s="27" t="s">
        <v>762</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1890</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785</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92</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793</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840</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1891</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875</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769</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838</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1495</v>
      </c>
      <c r="B3997" s="27" t="s">
        <v>1127</v>
      </c>
      <c r="C3997" s="27" t="s">
        <v>837</v>
      </c>
      <c r="D3997" s="27" t="s">
        <v>762</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785</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822</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1892</v>
      </c>
      <c r="B4000" s="27" t="s">
        <v>1129</v>
      </c>
      <c r="C4000" s="27" t="s">
        <v>761</v>
      </c>
      <c r="D4000" s="27" t="s">
        <v>762</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769</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1563</v>
      </c>
      <c r="B4002" s="27" t="s">
        <v>1130</v>
      </c>
      <c r="C4002" s="27" t="s">
        <v>851</v>
      </c>
      <c r="D4002" s="27" t="s">
        <v>762</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972</v>
      </c>
      <c r="B4003" s="27" t="s">
        <v>1129</v>
      </c>
      <c r="C4003" s="27" t="s">
        <v>837</v>
      </c>
      <c r="D4003" s="27" t="s">
        <v>762</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778</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954</v>
      </c>
      <c r="B4005" s="27" t="s">
        <v>901</v>
      </c>
      <c r="C4005" s="27" t="s">
        <v>777</v>
      </c>
      <c r="D4005" s="27" t="s">
        <v>762</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1007</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1110</v>
      </c>
      <c r="B4007" s="27" t="s">
        <v>1062</v>
      </c>
      <c r="C4007" s="27" t="s">
        <v>820</v>
      </c>
      <c r="D4007" s="27" t="s">
        <v>762</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838</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125</v>
      </c>
      <c r="B4009" s="27" t="s">
        <v>1080</v>
      </c>
      <c r="C4009" s="27" t="s">
        <v>761</v>
      </c>
      <c r="D4009" s="27" t="s">
        <v>762</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1051</v>
      </c>
      <c r="B4010" s="27" t="s">
        <v>1236</v>
      </c>
      <c r="C4010" s="27" t="s">
        <v>797</v>
      </c>
      <c r="D4010" s="27" t="s">
        <v>762</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1893</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757</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1031</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1557</v>
      </c>
      <c r="B4014" s="27" t="s">
        <v>941</v>
      </c>
      <c r="C4014" s="27" t="s">
        <v>797</v>
      </c>
      <c r="D4014" s="27" t="s">
        <v>762</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1894</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793</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955</v>
      </c>
      <c r="B4017" s="27" t="s">
        <v>1272</v>
      </c>
      <c r="C4017" s="27" t="s">
        <v>777</v>
      </c>
      <c r="D4017" s="27" t="s">
        <v>762</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778</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779</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1895</v>
      </c>
      <c r="B4020" s="27" t="s">
        <v>901</v>
      </c>
      <c r="C4020" s="27" t="s">
        <v>768</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1896</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1897</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774</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row>
    <row r="4025" spans="1:12">
      <c r="A4025" s="20" t="s">
        <v>1898</v>
      </c>
    </row>
    <row r="4026" spans="1:12">
      <c r="A4026" s="20" t="s">
        <v>1899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757</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697</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840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1875</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793</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757</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954</v>
      </c>
      <c r="B4033" s="27" t="s">
        <v>796</v>
      </c>
      <c r="C4033" s="27" t="s">
        <v>777</v>
      </c>
      <c r="D4033" s="27" t="s">
        <v>762</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1183</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884</v>
      </c>
      <c r="B4035" s="27" t="s">
        <v>772</v>
      </c>
      <c r="C4035" s="27" t="s">
        <v>851</v>
      </c>
      <c r="D4035" s="27" t="s">
        <v>762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1495</v>
      </c>
      <c r="B4036" s="27" t="s">
        <v>753</v>
      </c>
      <c r="C4036" s="27" t="s">
        <v>837</v>
      </c>
      <c r="D4036" s="27" t="s">
        <v>762</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810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965</v>
      </c>
      <c r="B4038" s="27" t="s">
        <v>879</v>
      </c>
      <c r="C4038" s="27" t="s">
        <v>851</v>
      </c>
      <c r="D4038" s="27" t="s">
        <v>762</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1900</v>
      </c>
      <c r="B4039" s="27" t="s">
        <v>772</v>
      </c>
      <c r="C4039" s="27" t="s">
        <v>837</v>
      </c>
      <c r="D4039" s="27" t="s">
        <v>762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769</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770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1901</v>
      </c>
      <c r="B4042" s="27" t="s">
        <v>772</v>
      </c>
      <c r="C4042" s="27" t="s">
        <v>761</v>
      </c>
      <c r="D4042" s="27" t="s">
        <v>762</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757</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1020</v>
      </c>
      <c r="B4044" s="27" t="s">
        <v>956</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886</v>
      </c>
      <c r="B4045" s="27" t="s">
        <v>894</v>
      </c>
      <c r="C4045" s="27" t="s">
        <v>797</v>
      </c>
      <c r="D4045" s="27" t="s">
        <v>762</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1902</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774</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row>
    <row r="4049" spans="1:12">
      <c r="A4049" s="20" t="s">
        <v>1903</v>
      </c>
    </row>
    <row r="4050" spans="1:12">
      <c r="A4050" s="20" t="s">
        <v>1037</v>
      </c>
      <c r="B4050" s="27" t="s">
        <v>760</v>
      </c>
      <c r="C4050" s="27" t="s">
        <v>797</v>
      </c>
      <c r="D4050" s="27" t="s">
        <v>762</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909</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1522</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805</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129</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769</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838</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943</v>
      </c>
      <c r="B4057" s="27" t="s">
        <v>772</v>
      </c>
      <c r="C4057" s="27" t="s">
        <v>761</v>
      </c>
      <c r="D4057" s="27" t="s">
        <v>762</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826</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869</v>
      </c>
      <c r="B4059" s="27" t="s">
        <v>956</v>
      </c>
      <c r="C4059" s="27" t="s">
        <v>797</v>
      </c>
      <c r="D4059" s="27" t="s">
        <v>762</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1904</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1007</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954</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1744</v>
      </c>
      <c r="B4063" s="27" t="s">
        <v>879</v>
      </c>
      <c r="C4063" s="27" t="s">
        <v>1019</v>
      </c>
      <c r="D4063" s="27" t="s">
        <v>762</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774</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row>
    <row r="4066" spans="1:12">
      <c r="A4066" s="20" t="s">
        <v>1905</v>
      </c>
    </row>
    <row r="4067" spans="1:12">
      <c r="A4067" s="20" t="s">
        <v>1906</v>
      </c>
      <c r="B4067" s="27" t="s">
        <v>760</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769</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125</v>
      </c>
      <c r="B4069" s="27" t="s">
        <v>772</v>
      </c>
      <c r="C4069" s="27" t="s">
        <v>754</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840</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1907</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810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1064</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757</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749</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908</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855</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1908</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1909</v>
      </c>
      <c r="B4079" s="27" t="s">
        <v>796</v>
      </c>
      <c r="C4079" s="27" t="s">
        <v>797</v>
      </c>
      <c r="D4079" s="27" t="s">
        <v>762</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602</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805</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129</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769</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838</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943</v>
      </c>
      <c r="B4085" s="27" t="s">
        <v>901</v>
      </c>
      <c r="C4085" s="27" t="s">
        <v>761</v>
      </c>
      <c r="D4085" s="27" t="s">
        <v>762</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1031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793</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950</v>
      </c>
      <c r="B4088" s="27" t="s">
        <v>956</v>
      </c>
      <c r="C4088" s="27" t="s">
        <v>797</v>
      </c>
      <c r="D4088" s="27" t="s">
        <v>762</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1114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751</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1210</v>
      </c>
      <c r="B4091" s="27" t="s">
        <v>879</v>
      </c>
      <c r="C4091" s="27" t="s">
        <v>754</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805</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1910</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1115</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954</v>
      </c>
      <c r="B4095" s="27" t="s">
        <v>940</v>
      </c>
      <c r="C4095" s="27" t="s">
        <v>777</v>
      </c>
      <c r="D4095" s="27" t="s">
        <v>762</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1020</v>
      </c>
      <c r="B4096" s="27" t="s">
        <v>1080</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1202</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1911</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1051</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308</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859</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818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1037</v>
      </c>
      <c r="B4103" s="27" t="s">
        <v>796</v>
      </c>
      <c r="C4103" s="27" t="s">
        <v>797</v>
      </c>
      <c r="D4103" s="27" t="s">
        <v>762</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909</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1315</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757</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749</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983</v>
      </c>
      <c r="B4108" s="27" t="s">
        <v>796</v>
      </c>
      <c r="C4108" s="27" t="s">
        <v>797</v>
      </c>
      <c r="D4108" s="27" t="s">
        <v>762</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811</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1912</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804</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1115</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954</v>
      </c>
      <c r="B4113" s="27" t="s">
        <v>802</v>
      </c>
      <c r="C4113" s="27" t="s">
        <v>777</v>
      </c>
      <c r="D4113" s="27" t="s">
        <v>762</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1020</v>
      </c>
      <c r="B4114" s="27" t="s">
        <v>941</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1202</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1911</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1051</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308</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774</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row>
    <row r="4121" spans="1:12">
      <c r="A4121" s="20" t="s">
        <v>1913</v>
      </c>
    </row>
    <row r="4122" spans="1:12">
      <c r="A4122" s="20" t="s">
        <v>987</v>
      </c>
      <c r="B4122" s="27" t="s">
        <v>753</v>
      </c>
      <c r="C4122" s="27" t="s">
        <v>777</v>
      </c>
      <c r="D4122" s="27" t="s">
        <v>762</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793</v>
      </c>
      <c r="B4123" s="27" t="s">
        <v>894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827</v>
      </c>
      <c r="B4124" s="27" t="s">
        <v>956</v>
      </c>
      <c r="C4124" s="27" t="s">
        <v>797</v>
      </c>
      <c r="D4124" s="27" t="s">
        <v>762</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1912</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955</v>
      </c>
      <c r="B4126" s="27" t="s">
        <v>760</v>
      </c>
      <c r="C4126" s="27" t="s">
        <v>777</v>
      </c>
      <c r="D4126" s="27" t="s">
        <v>762</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778</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757</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1914</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805</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939</v>
      </c>
      <c r="B4131" s="27" t="s">
        <v>772</v>
      </c>
      <c r="C4131" s="27" t="s">
        <v>754</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697</v>
      </c>
      <c r="B4132" s="27" t="s">
        <v>760</v>
      </c>
      <c r="C4132" s="27" t="s">
        <v>797</v>
      </c>
      <c r="D4132" s="27" t="s">
        <v>762</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1202</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996</v>
      </c>
      <c r="B4134" s="27" t="s">
        <v>772</v>
      </c>
      <c r="C4134" s="27" t="s">
        <v>820</v>
      </c>
      <c r="D4134" s="27" t="s">
        <v>762</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129</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757</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1043</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826</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1115</v>
      </c>
      <c r="B4139" s="27" t="s">
        <v>956</v>
      </c>
      <c r="C4139" s="27" t="s">
        <v>820</v>
      </c>
      <c r="D4139" s="27" t="s">
        <v>762</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1173</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1911</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1051</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308</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774</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row>
    <row r="4146" spans="1:12">
      <c r="A4146" s="20" t="s">
        <v>1915</v>
      </c>
    </row>
    <row r="4147" spans="1:12">
      <c r="A4147" s="20" t="s">
        <v>818</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1037</v>
      </c>
      <c r="B4148" s="27" t="s">
        <v>760</v>
      </c>
      <c r="C4148" s="27" t="s">
        <v>797</v>
      </c>
      <c r="D4148" s="27" t="s">
        <v>762</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909</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1323</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1014</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785</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770</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877</v>
      </c>
      <c r="B4154" s="27" t="s">
        <v>753</v>
      </c>
      <c r="C4154" s="27" t="s">
        <v>761</v>
      </c>
      <c r="D4154" s="27" t="s">
        <v>762</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805</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779</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952</v>
      </c>
      <c r="B4157" s="27" t="s">
        <v>772</v>
      </c>
      <c r="C4157" s="27" t="s">
        <v>768</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1916</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793</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827</v>
      </c>
      <c r="B4160" s="27" t="s">
        <v>956</v>
      </c>
      <c r="C4160" s="27" t="s">
        <v>797</v>
      </c>
      <c r="D4160" s="27" t="s">
        <v>762</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828</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1386</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757</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779</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952</v>
      </c>
      <c r="B4165" s="27" t="s">
        <v>894</v>
      </c>
      <c r="C4165" s="27" t="s">
        <v>768</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1917</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1916</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1020</v>
      </c>
      <c r="B4168" s="27" t="s">
        <v>1272</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778</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1918</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1259</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1919</v>
      </c>
      <c r="B4172" s="27" t="s">
        <v>815</v>
      </c>
      <c r="C4172" s="27" t="s">
        <v>754</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769</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1920</v>
      </c>
      <c r="B4174" s="27" t="s">
        <v>1062</v>
      </c>
      <c r="C4174" s="27" t="s">
        <v>754</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769</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822</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1921</v>
      </c>
      <c r="B4177" s="27" t="s">
        <v>1127</v>
      </c>
      <c r="C4177" s="27" t="s">
        <v>761</v>
      </c>
      <c r="D4177" s="27" t="s">
        <v>762</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1922</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774</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row>
    <row r="4181" spans="1:12">
      <c r="A4181" s="20" t="s">
        <v>1923</v>
      </c>
    </row>
    <row r="4182" spans="1:12">
      <c r="A4182" s="20" t="s">
        <v>866</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931</v>
      </c>
      <c r="B4183" s="27" t="s">
        <v>879</v>
      </c>
      <c r="C4183" s="27" t="s">
        <v>851</v>
      </c>
      <c r="D4183" s="27" t="s">
        <v>762</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1924</v>
      </c>
      <c r="B4184" s="27" t="s">
        <v>796</v>
      </c>
      <c r="C4184" s="27" t="s">
        <v>837</v>
      </c>
      <c r="D4184" s="27" t="s">
        <v>762</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1004</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1364</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1925</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757</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1099</v>
      </c>
      <c r="B4189" s="27" t="s">
        <v>772</v>
      </c>
      <c r="C4189" s="27" t="s">
        <v>851</v>
      </c>
      <c r="D4189" s="27" t="s">
        <v>762</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877</v>
      </c>
      <c r="B4190" s="27" t="s">
        <v>760</v>
      </c>
      <c r="C4190" s="27" t="s">
        <v>837</v>
      </c>
      <c r="D4190" s="27" t="s">
        <v>762</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887</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888</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757</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749</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983</v>
      </c>
      <c r="B4195" s="27" t="s">
        <v>796</v>
      </c>
      <c r="C4195" s="27" t="s">
        <v>797</v>
      </c>
      <c r="D4195" s="27" t="s">
        <v>762</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1926</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1502</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942</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822</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1927</v>
      </c>
      <c r="B4200" s="27" t="s">
        <v>772</v>
      </c>
      <c r="C4200" s="27" t="s">
        <v>761</v>
      </c>
      <c r="D4200" s="27" t="s">
        <v>762</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805</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129</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1364</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1928</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1178</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928</v>
      </c>
      <c r="B4206" s="27" t="s">
        <v>901</v>
      </c>
      <c r="C4206" s="27" t="s">
        <v>831</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757</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764</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928</v>
      </c>
      <c r="B4209" s="27" t="s">
        <v>772</v>
      </c>
      <c r="C4209" s="27" t="s">
        <v>768</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769</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758</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952</v>
      </c>
      <c r="B4212" s="27" t="s">
        <v>879</v>
      </c>
      <c r="C4212" s="27" t="s">
        <v>761</v>
      </c>
      <c r="D4212" s="27" t="s">
        <v>762</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793</v>
      </c>
      <c r="B4213" s="27" t="s">
        <v>940</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869</v>
      </c>
      <c r="B4214" s="27" t="s">
        <v>941</v>
      </c>
      <c r="C4214" s="27" t="s">
        <v>797</v>
      </c>
      <c r="D4214" s="27" t="s">
        <v>762</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683</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810</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764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928</v>
      </c>
      <c r="B4218" s="27" t="s">
        <v>879</v>
      </c>
      <c r="C4218" s="27" t="s">
        <v>768</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769</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822</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1320</v>
      </c>
      <c r="B4221" s="27" t="s">
        <v>901</v>
      </c>
      <c r="C4221" s="27" t="s">
        <v>761</v>
      </c>
      <c r="D4221" s="27" t="s">
        <v>762</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793</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827</v>
      </c>
      <c r="B4223" s="27" t="s">
        <v>1080</v>
      </c>
      <c r="C4223" s="27" t="s">
        <v>797</v>
      </c>
      <c r="D4223" s="27" t="s">
        <v>762</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1929</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774</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row>
    <row r="4227" spans="1:12">
      <c r="A4227" s="20" t="s">
        <v>1930</v>
      </c>
    </row>
    <row r="4228" spans="1:12">
      <c r="A4228" s="20" t="s">
        <v>818</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1037</v>
      </c>
      <c r="B4229" s="27" t="s">
        <v>760</v>
      </c>
      <c r="C4229" s="27" t="s">
        <v>797</v>
      </c>
      <c r="D4229" s="27" t="s">
        <v>762</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909</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1031</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1931</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889</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697</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915</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1932</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942</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811</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1933</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1020</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805</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349</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811</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1933</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1244</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952</v>
      </c>
      <c r="B4246" s="27" t="s">
        <v>1076</v>
      </c>
      <c r="C4246" s="27" t="s">
        <v>803</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1322</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890</v>
      </c>
      <c r="B4248" s="27" t="s">
        <v>1080</v>
      </c>
      <c r="C4248" s="27" t="s">
        <v>820</v>
      </c>
      <c r="D4248" s="27" t="s">
        <v>762</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1164</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770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1934</v>
      </c>
      <c r="B4251" s="27" t="s">
        <v>1236</v>
      </c>
      <c r="C4251" s="27" t="s">
        <v>761</v>
      </c>
      <c r="D4251" s="27" t="s">
        <v>762</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769</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822</v>
      </c>
      <c r="B4253" s="27" t="s">
        <v>1421</v>
      </c>
      <c r="C4253" s="27" t="s">
        <v>797</v>
      </c>
      <c r="D4253" s="27" t="s">
        <v>762</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333</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774</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row>
    <row r="4257" spans="1:12">
      <c r="A4257" s="20" t="s">
        <v>1935</v>
      </c>
    </row>
    <row r="4258" spans="1:12">
      <c r="A4258" s="20" t="s">
        <v>1936</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878</v>
      </c>
      <c r="B4259" s="27" t="s">
        <v>772</v>
      </c>
      <c r="C4259" s="27" t="s">
        <v>851</v>
      </c>
      <c r="D4259" s="27" t="s">
        <v>762</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1937</v>
      </c>
      <c r="B4260" s="27" t="s">
        <v>760</v>
      </c>
      <c r="C4260" s="27" t="s">
        <v>837</v>
      </c>
      <c r="D4260" s="27" t="s">
        <v>762</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778</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822</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1437</v>
      </c>
      <c r="B4263" s="27" t="s">
        <v>753</v>
      </c>
      <c r="C4263" s="27" t="s">
        <v>761</v>
      </c>
      <c r="D4263" s="27" t="s">
        <v>762</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1938</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769</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1178</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943</v>
      </c>
      <c r="B4267" s="27" t="s">
        <v>753</v>
      </c>
      <c r="C4267" s="27" t="s">
        <v>831</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875</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769</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838</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1939</v>
      </c>
      <c r="B4271" s="27" t="s">
        <v>772</v>
      </c>
      <c r="C4271" s="27" t="s">
        <v>837</v>
      </c>
      <c r="D4271" s="27" t="s">
        <v>762</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1940</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769</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1941</v>
      </c>
      <c r="B4274" s="27" t="s">
        <v>879</v>
      </c>
      <c r="C4274" s="27" t="s">
        <v>798</v>
      </c>
      <c r="D4274" s="27" t="s">
        <v>762</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774</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row>
    <row r="4277" spans="1:12">
      <c r="A4277" s="20" t="s">
        <v>1942</v>
      </c>
    </row>
    <row r="4278" spans="1:12">
      <c r="A4278" s="20" t="s">
        <v>1037</v>
      </c>
      <c r="B4278" s="27" t="s">
        <v>760</v>
      </c>
      <c r="C4278" s="27" t="s">
        <v>797</v>
      </c>
      <c r="D4278" s="27" t="s">
        <v>762</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909</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764</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1248</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1093</v>
      </c>
      <c r="B4282" s="27" t="s">
        <v>767</v>
      </c>
      <c r="C4282" s="27" t="s">
        <v>768</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769</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1416</v>
      </c>
      <c r="B4284" s="27" t="s">
        <v>772</v>
      </c>
      <c r="C4284" s="27" t="s">
        <v>754</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1020</v>
      </c>
      <c r="B4285" s="27" t="s">
        <v>956</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757</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882</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779</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1943</v>
      </c>
      <c r="B4289" s="27" t="s">
        <v>879</v>
      </c>
      <c r="C4289" s="27" t="s">
        <v>768</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757</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897</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779</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952</v>
      </c>
      <c r="B4293" s="27" t="s">
        <v>894</v>
      </c>
      <c r="C4293" s="27" t="s">
        <v>768</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774</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row>
    <row r="4296" spans="1:12">
      <c r="A4296" s="20" t="s">
        <v>1944</v>
      </c>
    </row>
    <row r="4297" spans="1:12">
      <c r="A4297" s="20" t="s">
        <v>1936</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795</v>
      </c>
      <c r="B4298" s="27" t="s">
        <v>760</v>
      </c>
      <c r="C4298" s="27" t="s">
        <v>797</v>
      </c>
      <c r="D4298" s="27" t="s">
        <v>762</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810</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899</v>
      </c>
      <c r="B4300" s="27" t="s">
        <v>772</v>
      </c>
      <c r="C4300" s="27" t="s">
        <v>820</v>
      </c>
      <c r="D4300" s="27" t="s">
        <v>762</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1438</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1095</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764</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1096</v>
      </c>
      <c r="B4304" s="27" t="s">
        <v>767</v>
      </c>
      <c r="C4304" s="27" t="s">
        <v>768</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757</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810</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770</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877</v>
      </c>
      <c r="B4308" s="27" t="s">
        <v>796</v>
      </c>
      <c r="C4308" s="27" t="s">
        <v>761</v>
      </c>
      <c r="D4308" s="27" t="s">
        <v>762</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810</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770</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1096</v>
      </c>
      <c r="B4311" s="27" t="s">
        <v>879</v>
      </c>
      <c r="C4311" s="27" t="s">
        <v>761</v>
      </c>
      <c r="D4311" s="27" t="s">
        <v>762</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1945</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785</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822</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1946</v>
      </c>
      <c r="B4315" s="27" t="s">
        <v>772</v>
      </c>
      <c r="C4315" s="27" t="s">
        <v>798</v>
      </c>
      <c r="D4315" s="27" t="s">
        <v>762</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774</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row>
    <row r="4318" spans="1:12">
      <c r="A4318" s="20" t="s">
        <v>1947</v>
      </c>
    </row>
    <row r="4319" spans="1:12">
      <c r="A4319" s="20" t="s">
        <v>896</v>
      </c>
      <c r="B4319" s="27" t="s">
        <v>772</v>
      </c>
      <c r="C4319" s="27" t="s">
        <v>851</v>
      </c>
      <c r="D4319" s="27" t="s">
        <v>762</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1937</v>
      </c>
      <c r="B4320" s="27" t="s">
        <v>760</v>
      </c>
      <c r="C4320" s="27" t="s">
        <v>837</v>
      </c>
      <c r="D4320" s="27" t="s">
        <v>762</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810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899</v>
      </c>
      <c r="B4322" s="27" t="s">
        <v>772</v>
      </c>
      <c r="C4322" s="27" t="s">
        <v>820</v>
      </c>
      <c r="D4322" s="27" t="s">
        <v>762</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1438</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779</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1320</v>
      </c>
      <c r="B4325" s="27" t="s">
        <v>753</v>
      </c>
      <c r="C4325" s="27" t="s">
        <v>768</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1020</v>
      </c>
      <c r="B4326" s="27" t="s">
        <v>796</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1948</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875</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886</v>
      </c>
      <c r="B4329" s="27" t="s">
        <v>772</v>
      </c>
      <c r="C4329" s="27" t="s">
        <v>797</v>
      </c>
      <c r="D4329" s="27" t="s">
        <v>762</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785</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1265</v>
      </c>
      <c r="B4331" s="27" t="s">
        <v>772</v>
      </c>
      <c r="C4331" s="27" t="s">
        <v>754</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1949</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757</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1286</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869</v>
      </c>
      <c r="B4335" s="27" t="s">
        <v>796</v>
      </c>
      <c r="C4335" s="27" t="s">
        <v>797</v>
      </c>
      <c r="D4335" s="27" t="s">
        <v>762</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870</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1319</v>
      </c>
      <c r="B4337" s="27" t="s">
        <v>772</v>
      </c>
      <c r="C4337" s="27" t="s">
        <v>851</v>
      </c>
      <c r="D4337" s="27" t="s">
        <v>762</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1437</v>
      </c>
      <c r="B4338" s="27" t="s">
        <v>753</v>
      </c>
      <c r="C4338" s="27" t="s">
        <v>837</v>
      </c>
      <c r="D4338" s="27" t="s">
        <v>762</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1938</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757</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810</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965</v>
      </c>
      <c r="B4342" s="27" t="s">
        <v>901</v>
      </c>
      <c r="C4342" s="27" t="s">
        <v>851</v>
      </c>
      <c r="D4342" s="27" t="s">
        <v>762</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877</v>
      </c>
      <c r="B4343" s="27" t="s">
        <v>956</v>
      </c>
      <c r="C4343" s="27" t="s">
        <v>837</v>
      </c>
      <c r="D4343" s="27" t="s">
        <v>762</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1950</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778</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1951</v>
      </c>
      <c r="B4346" s="27" t="s">
        <v>772</v>
      </c>
      <c r="C4346" s="27" t="s">
        <v>798</v>
      </c>
      <c r="D4346" s="27" t="s">
        <v>762</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757</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770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877</v>
      </c>
      <c r="B4349" s="27" t="s">
        <v>879</v>
      </c>
      <c r="C4349" s="27" t="s">
        <v>837</v>
      </c>
      <c r="D4349" s="27" t="s">
        <v>762</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1952</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805</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1953</v>
      </c>
      <c r="B4352" s="27" t="s">
        <v>901</v>
      </c>
      <c r="C4352" s="27" t="s">
        <v>798</v>
      </c>
      <c r="D4352" s="27" t="s">
        <v>762</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810</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1954</v>
      </c>
      <c r="B4354" s="27" t="s">
        <v>815</v>
      </c>
      <c r="C4354" s="27" t="s">
        <v>798</v>
      </c>
      <c r="D4354" s="27" t="s">
        <v>762</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785</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1941</v>
      </c>
      <c r="B4356" s="27" t="s">
        <v>901</v>
      </c>
      <c r="C4356" s="27" t="s">
        <v>798</v>
      </c>
      <c r="D4356" s="27" t="s">
        <v>762</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774</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row>
    <row r="4359" spans="1:12">
      <c r="A4359" s="20" t="s">
        <v>1955</v>
      </c>
    </row>
    <row r="4360" spans="1:12">
      <c r="A4360" s="20" t="s">
        <v>791</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1956</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757</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697</v>
      </c>
      <c r="B4363" s="27" t="s">
        <v>753</v>
      </c>
      <c r="C4363" s="27" t="s">
        <v>797</v>
      </c>
      <c r="D4363" s="27" t="s">
        <v>762</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996</v>
      </c>
      <c r="B4364" s="27" t="s">
        <v>772</v>
      </c>
      <c r="C4364" s="27" t="s">
        <v>820</v>
      </c>
      <c r="D4364" s="27" t="s">
        <v>762</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887</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33</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1139</v>
      </c>
      <c r="B4367" s="27" t="s">
        <v>753</v>
      </c>
      <c r="C4367" s="27" t="s">
        <v>831</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942</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28</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943</v>
      </c>
      <c r="B4370" s="27" t="s">
        <v>753</v>
      </c>
      <c r="C4370" s="27" t="s">
        <v>831</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872</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22</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1957</v>
      </c>
      <c r="B4373" s="27" t="s">
        <v>753</v>
      </c>
      <c r="C4373" s="27" t="s">
        <v>831</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1958</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774</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row>
    <row r="4377" spans="1:12">
      <c r="A4377" s="20" t="s">
        <v>1959</v>
      </c>
    </row>
    <row r="4378" spans="1:12">
      <c r="A4378" s="20" t="s">
        <v>995</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996</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887</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769</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t="s">
        <v>838</v>
      </c>
      <c r="E4382" s="21">
        <f>IF(D4382="?OLD","!!!","")</f>
        <v/>
      </c>
      <c r="F4382" s="22" t="str">
        <f>IF(OR(E4382="",E4382="!!!"),"",IF(NOT(ISNA(VLOOKUP(E4382,E$1:E4381,1,FALSE()))),"OLD",IF(AND(E4382&lt;&gt;"",E4382&lt;&gt;"!!!"),"NEW","")))</f>
        <v> </v>
      </c>
      <c r="G4382" s="23" t="str">
        <f>IF(OR(E4382="",E4382="!!!"),"",IF(OR(J4382=0,AND(J4382=1,K4382=1),AND(J4382=1,I4382="SBJ"),AND(J4382=1,I4382=0)),"?IN_FOCUS",IF(J4382&lt;=2,"?ACTIVATED",IF(J4382&lt;&gt;"","?FAMILIAR",IF(F4382="NEW",IF(ISNA(VLOOKUP(E4382,#REF!,1,FALSE())),"?TYPE_IDENTIFIABLE","?REFERENTIAL"),"_")))))</f>
        <v> </v>
      </c>
      <c r="H4382" s="24" t="str">
        <f>IF(J4382&lt;&gt;1,"",IF(I4382="SBJ","CB","?"))</f>
        <v> </v>
      </c>
      <c r="I4382" s="25" t="str">
        <f>IF(OR(E4382="",E4382="!!!",F4382="NEW"),"",INDEX(B4381:B$2,-1+SUMPRODUCT(MAX(ROW(E4381:E$2)*(E4382=E4381:E$2)))))</f>
        <v> </v>
      </c>
      <c r="J4382" s="25" t="str">
        <f>IF(OR(E4382="",E4382="!!!",F4382="NEW"),"",COUNTBLANK(OFFSET(A$1,,,SUMPRODUCT(MAX(ROW(E$2:E4382)*(E4382=E$2:E4382)))))-COUNTBLANK(OFFSET(A$1,,,SUMPRODUCT(MAX(ROW(E$1:E4381)*(E2=E$1:E4381))))))</f>
        <v> </v>
      </c>
      <c r="K4382" s="25" t="str">
        <f>IF(OR(E4382="",E4382="!!!",F4382="NEW"),"",INDEX(J$1:J4381,SUMPRODUCT(MAX(ROW(E$1:E4381)*(E4382=E$1:E4381)))))</f>
        <v> </v>
      </c>
      <c r="L4382" s="26"/>
    </row>
    <row r="4383" spans="1:12">
      <c r="A4383" s="20" t="s">
        <v>125</v>
      </c>
      <c r="B4383" s="27" t="s">
        <v>753</v>
      </c>
      <c r="C4383" s="27" t="s">
        <v>761</v>
      </c>
      <c r="D4383" s="27" t="s">
        <v>762</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1020</v>
      </c>
      <c r="B4384" s="27" t="s">
        <v>956</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1157</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793</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758</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1721</v>
      </c>
      <c r="B4388" s="27" t="s">
        <v>879</v>
      </c>
      <c r="C4388" s="27" t="s">
        <v>837</v>
      </c>
      <c r="D4388" s="27" t="s">
        <v>762</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1043</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769</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876</v>
      </c>
      <c r="B4391" s="27" t="s">
        <v>815</v>
      </c>
      <c r="C4391" s="27" t="s">
        <v>851</v>
      </c>
      <c r="D4391" s="27" t="s">
        <v>762</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972</v>
      </c>
      <c r="B4392" s="27" t="s">
        <v>901</v>
      </c>
      <c r="C4392" s="27" t="s">
        <v>837</v>
      </c>
      <c r="D4392" s="27" t="s">
        <v>762</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1960</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1085</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1961</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1161</v>
      </c>
      <c r="B4396" s="27" t="s">
        <v>1062</v>
      </c>
      <c r="C4396" s="27" t="s">
        <v>851</v>
      </c>
      <c r="D4396" s="27" t="s">
        <v>762</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972</v>
      </c>
      <c r="B4397" s="27" t="s">
        <v>1076</v>
      </c>
      <c r="C4397" s="27" t="s">
        <v>837</v>
      </c>
      <c r="D4397" s="27" t="s">
        <v>762</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805</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764</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1433</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1856</v>
      </c>
      <c r="B4401" s="27" t="s">
        <v>1062</v>
      </c>
      <c r="C4401" s="27" t="s">
        <v>768</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774</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row>
    <row r="4404" spans="1:12">
      <c r="A4404" s="20" t="s">
        <v>1962</v>
      </c>
    </row>
    <row r="4405" spans="1:12">
      <c r="A4405" s="20" t="s">
        <v>995</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t="s">
        <v>996</v>
      </c>
      <c r="E4406" s="21">
        <f>IF(D4406="?OLD","!!!","")</f>
        <v/>
      </c>
      <c r="F4406" s="22" t="str">
        <f>IF(OR(E4406="",E4406="!!!"),"",IF(NOT(ISNA(VLOOKUP(E4406,E$1:E4405,1,FALSE()))),"OLD",IF(AND(E4406&lt;&gt;"",E4406&lt;&gt;"!!!"),"NEW","")))</f>
        <v> </v>
      </c>
      <c r="G4406" s="23" t="str">
        <f>IF(OR(E4406="",E4406="!!!"),"",IF(OR(J4406=0,AND(J4406=1,K4406=1),AND(J4406=1,I4406="SBJ"),AND(J4406=1,I4406=0)),"?IN_FOCUS",IF(J4406&lt;=2,"?ACTIVATED",IF(J4406&lt;&gt;"","?FAMILIAR",IF(F4406="NEW",IF(ISNA(VLOOKUP(E4406,#REF!,1,FALSE())),"?TYPE_IDENTIFIABLE","?REFERENTIAL"),"_")))))</f>
        <v> </v>
      </c>
      <c r="H4406" s="24" t="str">
        <f>IF(J4406&lt;&gt;1,"",IF(I4406="SBJ","CB","?"))</f>
        <v> </v>
      </c>
      <c r="I4406" s="25" t="str">
        <f>IF(OR(E4406="",E4406="!!!",F4406="NEW"),"",INDEX(B4405:B$2,-1+SUMPRODUCT(MAX(ROW(E4405:E$2)*(E4406=E4405:E$2)))))</f>
        <v> </v>
      </c>
      <c r="J4406" s="25" t="str">
        <f>IF(OR(E4406="",E4406="!!!",F4406="NEW"),"",COUNTBLANK(OFFSET(A$1,,,SUMPRODUCT(MAX(ROW(E$2:E4406)*(E4406=E$2:E4406)))))-COUNTBLANK(OFFSET(A$1,,,SUMPRODUCT(MAX(ROW(E$1:E4405)*(E2=E$1:E4405))))))</f>
        <v> </v>
      </c>
      <c r="K4406" s="25" t="str">
        <f>IF(OR(E4406="",E4406="!!!",F4406="NEW"),"",INDEX(J$1:J4405,SUMPRODUCT(MAX(ROW(E$1:E4405)*(E4406=E$1:E4405)))))</f>
        <v> </v>
      </c>
      <c r="L4406" s="26"/>
    </row>
    <row r="4407" spans="1:12">
      <c r="A4407" s="20" t="s">
        <v>887</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769</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838</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125</v>
      </c>
      <c r="B4410" s="27" t="s">
        <v>753</v>
      </c>
      <c r="C4410" s="27" t="s">
        <v>761</v>
      </c>
      <c r="D4410" s="27" t="s">
        <v>762</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1020</v>
      </c>
      <c r="B4411" s="27" t="s">
        <v>956</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1157</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793</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769</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838</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1508</v>
      </c>
      <c r="B4416" s="27" t="s">
        <v>941</v>
      </c>
      <c r="C4416" s="27" t="s">
        <v>761</v>
      </c>
      <c r="D4416" s="27" t="s">
        <v>762</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807</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770</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1963</v>
      </c>
      <c r="B4419" s="27" t="s">
        <v>815</v>
      </c>
      <c r="C4419" s="27" t="s">
        <v>761</v>
      </c>
      <c r="D4419" s="27" t="s">
        <v>762</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798</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1521</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804</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421</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1964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785</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495</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774</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row>
    <row r="4429" spans="1:12">
      <c r="A4429" s="20" t="s">
        <v>1965</v>
      </c>
    </row>
    <row r="4430" spans="1:12">
      <c r="A4430" s="20" t="s">
        <v>983</v>
      </c>
      <c r="B4430" s="27" t="s">
        <v>760</v>
      </c>
      <c r="C4430" s="27" t="s">
        <v>797</v>
      </c>
      <c r="D4430" s="27" t="s">
        <v>762</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811</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1966</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804</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769</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1967</v>
      </c>
      <c r="B4435" s="27" t="s">
        <v>767</v>
      </c>
      <c r="C4435" s="27" t="s">
        <v>768</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805</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939</v>
      </c>
      <c r="B4437" s="27" t="s">
        <v>772</v>
      </c>
      <c r="C4437" s="27" t="s">
        <v>754</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1968</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757</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1969</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769</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838</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1967</v>
      </c>
      <c r="B4443" s="27" t="s">
        <v>772</v>
      </c>
      <c r="C4443" s="27" t="s">
        <v>761</v>
      </c>
      <c r="D4443" s="27" t="s">
        <v>762</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1970</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774</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row>
    <row r="4447" spans="1:12">
      <c r="A4447" s="20" t="s">
        <v>1971</v>
      </c>
    </row>
    <row r="4448" spans="1:12">
      <c r="A4448" s="20" t="s">
        <v>983</v>
      </c>
      <c r="B4448" s="27" t="s">
        <v>760</v>
      </c>
      <c r="C4448" s="27" t="s">
        <v>797</v>
      </c>
      <c r="D4448" s="27" t="s">
        <v>762</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1666</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793</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769</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770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1043</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1856</v>
      </c>
      <c r="B4454" s="27" t="s">
        <v>772</v>
      </c>
      <c r="C4454" s="27" t="s">
        <v>761</v>
      </c>
      <c r="D4454" s="27" t="s">
        <v>762</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1286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t="s">
        <v>890</v>
      </c>
      <c r="B4456" s="27" t="s">
        <v>941</v>
      </c>
      <c r="C4456" s="27" t="s">
        <v>820</v>
      </c>
      <c r="D4456" s="27" t="s">
        <v>762</v>
      </c>
      <c r="E4456" s="21">
        <f>IF(D4456="?OLD","!!!","")</f>
        <v/>
      </c>
      <c r="F4456" s="22" t="str">
        <f>IF(OR(E4456="",E4456="!!!"),"",IF(NOT(ISNA(VLOOKUP(E4456,E$1:E4455,1,FALSE()))),"OLD",IF(AND(E4456&lt;&gt;"",E4456&lt;&gt;"!!!"),"NEW","")))</f>
        <v> </v>
      </c>
      <c r="G4456" s="23" t="str">
        <f>IF(OR(E4456="",E4456="!!!"),"",IF(OR(J4456=0,AND(J4456=1,K4456=1),AND(J4456=1,I4456="SBJ"),AND(J4456=1,I4456=0)),"?IN_FOCUS",IF(J4456&lt;=2,"?ACTIVATED",IF(J4456&lt;&gt;"","?FAMILIAR",IF(F4456="NEW",IF(ISNA(VLOOKUP(E4456,#REF!,1,FALSE())),"?TYPE_IDENTIFIABLE","?REFERENTIAL"),"_")))))</f>
        <v> </v>
      </c>
      <c r="H4456" s="24" t="str">
        <f>IF(J4456&lt;&gt;1,"",IF(I4456="SBJ","CB","?"))</f>
        <v> </v>
      </c>
      <c r="I4456" s="25" t="str">
        <f>IF(OR(E4456="",E4456="!!!",F4456="NEW"),"",INDEX(B4455:B$2,-1+SUMPRODUCT(MAX(ROW(E4455:E$2)*(E4456=E4455:E$2)))))</f>
        <v> </v>
      </c>
      <c r="J4456" s="25" t="str">
        <f>IF(OR(E4456="",E4456="!!!",F4456="NEW"),"",COUNTBLANK(OFFSET(A$1,,,SUMPRODUCT(MAX(ROW(E$2:E4456)*(E4456=E$2:E4456)))))-COUNTBLANK(OFFSET(A$1,,,SUMPRODUCT(MAX(ROW(E$1:E4455)*(E2=E$1:E4455))))))</f>
        <v> </v>
      </c>
      <c r="K4456" s="25" t="str">
        <f>IF(OR(E4456="",E4456="!!!",F4456="NEW"),"",INDEX(J$1:J4455,SUMPRODUCT(MAX(ROW(E$1:E4455)*(E4456=E$1:E4455)))))</f>
        <v> </v>
      </c>
      <c r="L4456" s="26"/>
    </row>
    <row r="4457" spans="1:12">
      <c r="A4457" s="20" t="s">
        <v>887</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1972</v>
      </c>
      <c r="B4458" s="27" t="s">
        <v>940</v>
      </c>
      <c r="C4458" s="27" t="s">
        <v>754</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769</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770</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1973</v>
      </c>
      <c r="B4461" s="27" t="s">
        <v>815</v>
      </c>
      <c r="C4461" s="27" t="s">
        <v>761</v>
      </c>
      <c r="D4461" s="27" t="s">
        <v>762</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769</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838</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1974</v>
      </c>
      <c r="B4464" s="27" t="s">
        <v>1062</v>
      </c>
      <c r="C4464" s="27" t="s">
        <v>761</v>
      </c>
      <c r="D4464" s="27" t="s">
        <v>762</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942</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840</v>
      </c>
      <c r="B4466" s="27" t="s">
        <v>1076</v>
      </c>
      <c r="C4466" s="27" t="s">
        <v>797</v>
      </c>
      <c r="D4466" s="27" t="s">
        <v>762</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1211</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793</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770</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1975</v>
      </c>
      <c r="B4470" s="27" t="s">
        <v>1080</v>
      </c>
      <c r="C4470" s="27" t="s">
        <v>761</v>
      </c>
      <c r="D4470" s="27" t="s">
        <v>762</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1976</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785</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495</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757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886</v>
      </c>
      <c r="B4475" s="27" t="s">
        <v>796</v>
      </c>
      <c r="C4475" s="27" t="s">
        <v>797</v>
      </c>
      <c r="D4475" s="27" t="s">
        <v>762</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1438</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1972</v>
      </c>
      <c r="B4477" s="27" t="s">
        <v>802</v>
      </c>
      <c r="C4477" s="27" t="s">
        <v>837</v>
      </c>
      <c r="D4477" s="27" t="s">
        <v>762</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t="s">
        <v>769</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1026</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1973</v>
      </c>
      <c r="B4480" s="27" t="s">
        <v>879</v>
      </c>
      <c r="C4480" s="27" t="s">
        <v>1019</v>
      </c>
      <c r="D4480" s="27" t="s">
        <v>762</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805</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1977</v>
      </c>
      <c r="B4482" s="27" t="s">
        <v>901</v>
      </c>
      <c r="C4482" s="27" t="s">
        <v>754</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810</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769</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1508</v>
      </c>
      <c r="B4485" s="27" t="s">
        <v>815</v>
      </c>
      <c r="C4485" s="27" t="s">
        <v>754</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942</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1978</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758</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1979</v>
      </c>
      <c r="B4489" s="27" t="s">
        <v>894</v>
      </c>
      <c r="C4489" s="27" t="s">
        <v>761</v>
      </c>
      <c r="D4489" s="27" t="s">
        <v>762</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769</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1980</v>
      </c>
      <c r="B4491" s="27" t="s">
        <v>901</v>
      </c>
      <c r="C4491" s="27" t="s">
        <v>754</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774</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row>
    <row r="4494" spans="1:12">
      <c r="A4494" s="20" t="s">
        <v>1981</v>
      </c>
    </row>
    <row r="4495" spans="1:12">
      <c r="A4495" s="20" t="s">
        <v>917</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655</v>
      </c>
      <c r="B4496" s="27" t="s">
        <v>753</v>
      </c>
      <c r="C4496" s="27" t="s">
        <v>761</v>
      </c>
      <c r="D4496" s="27" t="s">
        <v>762</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769</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822</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1381</v>
      </c>
      <c r="B4499" s="27" t="s">
        <v>753</v>
      </c>
      <c r="C4499" s="27" t="s">
        <v>761</v>
      </c>
      <c r="D4499" s="27" t="s">
        <v>762</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1050</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965</v>
      </c>
      <c r="B4501" s="27" t="s">
        <v>815</v>
      </c>
      <c r="C4501" s="27" t="s">
        <v>851</v>
      </c>
      <c r="D4501" s="27" t="s">
        <v>762</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1320</v>
      </c>
      <c r="B4502" s="27" t="s">
        <v>941</v>
      </c>
      <c r="C4502" s="27" t="s">
        <v>837</v>
      </c>
      <c r="D4502" s="27" t="s">
        <v>762</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778</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1294</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757</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770</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1982</v>
      </c>
      <c r="B4507" s="27" t="s">
        <v>956</v>
      </c>
      <c r="C4507" s="27" t="s">
        <v>761</v>
      </c>
      <c r="D4507" s="27" t="s">
        <v>762</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778</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1983</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872</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770</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1984</v>
      </c>
      <c r="B4512" s="27" t="s">
        <v>879</v>
      </c>
      <c r="C4512" s="27" t="s">
        <v>761</v>
      </c>
      <c r="D4512" s="27" t="s">
        <v>762</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805</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1985</v>
      </c>
      <c r="B4514" s="27" t="s">
        <v>901</v>
      </c>
      <c r="C4514" s="27" t="s">
        <v>754</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810</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886</v>
      </c>
      <c r="B4516" s="27" t="s">
        <v>941</v>
      </c>
      <c r="C4516" s="27" t="s">
        <v>797</v>
      </c>
      <c r="D4516" s="27" t="s">
        <v>762</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887</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888</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889</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795</v>
      </c>
      <c r="B4520" s="27" t="s">
        <v>1272</v>
      </c>
      <c r="C4520" s="27" t="s">
        <v>797</v>
      </c>
      <c r="D4520" s="27" t="s">
        <v>762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915</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1986</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774</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row>
    <row r="4525" spans="1:12">
      <c r="A4525" s="20" t="s">
        <v>1987</v>
      </c>
    </row>
    <row r="4526" spans="1:12">
      <c r="A4526" s="20" t="s">
        <v>995</v>
      </c>
      <c r="B4526" s="27" t="s">
        <v>760</v>
      </c>
      <c r="C4526" s="27" t="s">
        <v>797</v>
      </c>
      <c r="D4526" s="27" t="s">
        <v>762</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798</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891</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1988</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931</v>
      </c>
      <c r="B4530" s="27" t="s">
        <v>879</v>
      </c>
      <c r="C4530" s="27" t="s">
        <v>851</v>
      </c>
      <c r="D4530" s="27" t="s">
        <v>762</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1989</v>
      </c>
      <c r="B4531" s="27" t="s">
        <v>802</v>
      </c>
      <c r="C4531" s="27" t="s">
        <v>837</v>
      </c>
      <c r="D4531" s="27" t="s">
        <v>762</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1990</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774</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row>
    <row r="4535" spans="1:12">
      <c r="A4535" s="20" t="s">
        <v>1991</v>
      </c>
    </row>
    <row r="4536" spans="1:12">
      <c r="A4536" s="20" t="s">
        <v>1088</v>
      </c>
      <c r="B4536" s="27" t="s">
        <v>760</v>
      </c>
      <c r="C4536" s="27" t="s">
        <v>797</v>
      </c>
      <c r="D4536" s="27" t="s">
        <v>762</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936</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793</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959</v>
      </c>
      <c r="B4539" s="27" t="s">
        <v>796</v>
      </c>
      <c r="C4539" s="27" t="s">
        <v>777</v>
      </c>
      <c r="D4539" s="27" t="s">
        <v>762</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891</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421</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822</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1992</v>
      </c>
      <c r="B4543" s="27" t="s">
        <v>772</v>
      </c>
      <c r="C4543" s="27" t="s">
        <v>761</v>
      </c>
      <c r="D4543" s="27" t="s">
        <v>762</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805</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764</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1993</v>
      </c>
      <c r="B4546" s="27" t="s">
        <v>879</v>
      </c>
      <c r="C4546" s="27" t="s">
        <v>768</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1994</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774</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row>
    <row r="4550" spans="1:12">
      <c r="A4550" s="20" t="s">
        <v>1995</v>
      </c>
    </row>
    <row r="4551" spans="1:12">
      <c r="A4551" s="20" t="s">
        <v>750</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840</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697</v>
      </c>
      <c r="B4553" s="27" t="s">
        <v>796</v>
      </c>
      <c r="C4553" s="27" t="s">
        <v>797</v>
      </c>
      <c r="D4553" s="27" t="s">
        <v>762</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891</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838</v>
      </c>
      <c r="B4555" s="27" t="s">
        <v>894</v>
      </c>
      <c r="C4555" s="27" t="s">
        <v>797</v>
      </c>
      <c r="D4555" s="27" t="s">
        <v>762</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1996</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757</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697</v>
      </c>
      <c r="B4558" s="27" t="s">
        <v>760</v>
      </c>
      <c r="C4558" s="27" t="s">
        <v>797</v>
      </c>
      <c r="D4558" s="27" t="s">
        <v>762</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822</v>
      </c>
      <c r="B4559" s="27" t="s">
        <v>767</v>
      </c>
      <c r="C4559" s="27" t="s">
        <v>797</v>
      </c>
      <c r="D4559" s="27" t="s">
        <v>762</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1997</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769</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1856</v>
      </c>
      <c r="B4562" s="27" t="s">
        <v>753</v>
      </c>
      <c r="C4562" s="27" t="s">
        <v>754</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1998</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757</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954</v>
      </c>
      <c r="B4565" s="27" t="s">
        <v>753</v>
      </c>
      <c r="C4565" s="27" t="s">
        <v>777</v>
      </c>
      <c r="D4565" s="27" t="s">
        <v>762</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1020</v>
      </c>
      <c r="B4566" s="27" t="s">
        <v>956</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757</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805</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882</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795</v>
      </c>
      <c r="B4570" s="27" t="s">
        <v>879</v>
      </c>
      <c r="C4570" s="27" t="s">
        <v>797</v>
      </c>
      <c r="D4570" s="27" t="s">
        <v>762</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757</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891</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1999</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770</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2000</v>
      </c>
      <c r="B4575" s="27" t="s">
        <v>940</v>
      </c>
      <c r="C4575" s="27" t="s">
        <v>761</v>
      </c>
      <c r="D4575" s="27" t="s">
        <v>762</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805</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764</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2001</v>
      </c>
      <c r="B4578" s="27" t="s">
        <v>815</v>
      </c>
      <c r="C4578" s="27" t="s">
        <v>768</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1069</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2002</v>
      </c>
      <c r="B4580" s="27" t="s">
        <v>1062</v>
      </c>
      <c r="C4580" s="27" t="s">
        <v>803</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774</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row>
    <row r="4583" spans="1:12">
      <c r="A4583" s="20" t="s">
        <v>2003</v>
      </c>
    </row>
    <row r="4584" spans="1:12">
      <c r="A4584" s="20" t="s">
        <v>995</v>
      </c>
      <c r="B4584" s="27" t="s">
        <v>760</v>
      </c>
      <c r="C4584" s="27" t="s">
        <v>797</v>
      </c>
      <c r="D4584" s="27" t="s">
        <v>762</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1164</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930</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764</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2004</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1794</v>
      </c>
      <c r="B4589" s="27" t="s">
        <v>767</v>
      </c>
      <c r="C4589" s="27" t="s">
        <v>768</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757</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954</v>
      </c>
      <c r="B4591" s="27" t="s">
        <v>753</v>
      </c>
      <c r="C4591" s="27" t="s">
        <v>777</v>
      </c>
      <c r="D4591" s="27" t="s">
        <v>762</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889</v>
      </c>
      <c r="B4592" s="27" t="s">
        <v>894</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795</v>
      </c>
      <c r="B4593" s="27" t="s">
        <v>956</v>
      </c>
      <c r="C4593" s="27" t="s">
        <v>797</v>
      </c>
      <c r="D4593" s="27" t="s">
        <v>762</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1783</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421</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822</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1992</v>
      </c>
      <c r="B4597" s="27" t="s">
        <v>879</v>
      </c>
      <c r="C4597" s="27" t="s">
        <v>761</v>
      </c>
      <c r="D4597" s="27" t="s">
        <v>762</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805</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779</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2005</v>
      </c>
      <c r="B4600" s="27" t="s">
        <v>901</v>
      </c>
      <c r="C4600" s="27" t="s">
        <v>768</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774</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row>
    <row r="4603" spans="1:12">
      <c r="A4603" s="20" t="s">
        <v>2006</v>
      </c>
    </row>
    <row r="4604" spans="1:12">
      <c r="A4604" s="20" t="s">
        <v>1058</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889</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795</v>
      </c>
      <c r="B4606" s="27" t="s">
        <v>796</v>
      </c>
      <c r="C4606" s="27" t="s">
        <v>797</v>
      </c>
      <c r="D4606" s="27" t="s">
        <v>762</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975</v>
      </c>
      <c r="B4607" s="27" t="s">
        <v>802</v>
      </c>
      <c r="C4607" s="27" t="s">
        <v>797</v>
      </c>
      <c r="D4607" s="27" t="s">
        <v>762</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936</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1115</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959</v>
      </c>
      <c r="B4610" s="27" t="s">
        <v>802</v>
      </c>
      <c r="C4610" s="27" t="s">
        <v>777</v>
      </c>
      <c r="D4610" s="27" t="s">
        <v>762</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757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869</v>
      </c>
      <c r="B4612" s="27" t="s">
        <v>760</v>
      </c>
      <c r="C4612" s="27" t="s">
        <v>797</v>
      </c>
      <c r="D4612" s="27" t="s">
        <v>762</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2007</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878</v>
      </c>
      <c r="B4614" s="27" t="s">
        <v>772</v>
      </c>
      <c r="C4614" s="27" t="s">
        <v>851</v>
      </c>
      <c r="D4614" s="27" t="s">
        <v>762</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1376</v>
      </c>
      <c r="B4615" s="27" t="s">
        <v>767</v>
      </c>
      <c r="C4615" s="27" t="s">
        <v>837</v>
      </c>
      <c r="D4615" s="27" t="s">
        <v>762</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1051</v>
      </c>
      <c r="B4616" s="27" t="s">
        <v>894</v>
      </c>
      <c r="C4616" s="27" t="s">
        <v>797</v>
      </c>
      <c r="D4616" s="27" t="s">
        <v>762</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2008</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1007</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822</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1786</v>
      </c>
      <c r="B4620" s="27" t="s">
        <v>879</v>
      </c>
      <c r="C4620" s="27" t="s">
        <v>761</v>
      </c>
      <c r="D4620" s="27" t="s">
        <v>762</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774</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row>
    <row r="4623" spans="1:12">
      <c r="A4623" s="20" t="s">
        <v>2009</v>
      </c>
    </row>
    <row r="4624" spans="1:12">
      <c r="A4624" s="20" t="s">
        <v>983</v>
      </c>
      <c r="B4624" s="27" t="s">
        <v>760</v>
      </c>
      <c r="C4624" s="27" t="s">
        <v>797</v>
      </c>
      <c r="D4624" s="27" t="s">
        <v>762</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968</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757</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2010</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827</v>
      </c>
      <c r="B4628" s="27" t="s">
        <v>796</v>
      </c>
      <c r="C4628" s="27" t="s">
        <v>797</v>
      </c>
      <c r="D4628" s="27" t="s">
        <v>762</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909</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1357</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1344</v>
      </c>
      <c r="B4631" s="27" t="s">
        <v>802</v>
      </c>
      <c r="C4631" s="27" t="s">
        <v>754</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769</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838</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1444</v>
      </c>
      <c r="B4634" s="27" t="s">
        <v>879</v>
      </c>
      <c r="C4634" s="27" t="s">
        <v>761</v>
      </c>
      <c r="D4634" s="27" t="s">
        <v>762</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1007</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779</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2011</v>
      </c>
      <c r="B4637" s="27" t="s">
        <v>772</v>
      </c>
      <c r="C4637" s="27" t="s">
        <v>768</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1007</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822</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1108</v>
      </c>
      <c r="B4640" s="27" t="s">
        <v>879</v>
      </c>
      <c r="C4640" s="27" t="s">
        <v>761</v>
      </c>
      <c r="D4640" s="27" t="s">
        <v>762</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793</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838</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125</v>
      </c>
      <c r="B4643" s="27" t="s">
        <v>956</v>
      </c>
      <c r="C4643" s="27" t="s">
        <v>761</v>
      </c>
      <c r="D4643" s="27" t="s">
        <v>762</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1025</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2012</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785</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1159</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2013</v>
      </c>
      <c r="B4648" s="27" t="s">
        <v>879</v>
      </c>
      <c r="C4648" s="27" t="s">
        <v>1019</v>
      </c>
      <c r="D4648" s="27" t="s">
        <v>762</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769</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1696</v>
      </c>
      <c r="B4650" s="27" t="s">
        <v>901</v>
      </c>
      <c r="C4650" s="27" t="s">
        <v>754</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805</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943</v>
      </c>
      <c r="B4652" s="27" t="s">
        <v>815</v>
      </c>
      <c r="C4652" s="27" t="s">
        <v>754</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2014</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757</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810</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869</v>
      </c>
      <c r="B4656" s="27" t="s">
        <v>796</v>
      </c>
      <c r="C4656" s="27" t="s">
        <v>797</v>
      </c>
      <c r="D4656" s="27" t="s">
        <v>762</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t="s">
        <v>798</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683</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804</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838</v>
      </c>
      <c r="B4660" s="27" t="s">
        <v>894</v>
      </c>
      <c r="C4660" s="27" t="s">
        <v>797</v>
      </c>
      <c r="D4660" s="27" t="s">
        <v>762</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1077</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774</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row>
    <row r="4664" spans="1:12">
      <c r="A4664" s="20" t="s">
        <v>2015</v>
      </c>
    </row>
    <row r="4665" spans="1:12">
      <c r="A4665" s="20" t="s">
        <v>2016</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793</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757</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954</v>
      </c>
      <c r="B4668" s="27" t="s">
        <v>760</v>
      </c>
      <c r="C4668" s="27" t="s">
        <v>777</v>
      </c>
      <c r="D4668" s="27" t="s">
        <v>762</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793</v>
      </c>
      <c r="B4669" s="27" t="s">
        <v>894</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869</v>
      </c>
      <c r="B4670" s="27" t="s">
        <v>956</v>
      </c>
      <c r="C4670" s="27" t="s">
        <v>797</v>
      </c>
      <c r="D4670" s="27" t="s">
        <v>762</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2017</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915</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764</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1177</v>
      </c>
      <c r="B4674" s="27" t="s">
        <v>753</v>
      </c>
      <c r="C4674" s="27" t="s">
        <v>768</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769</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814</v>
      </c>
      <c r="B4676" s="27" t="s">
        <v>753</v>
      </c>
      <c r="C4676" s="27" t="s">
        <v>754</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774</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row>
    <row r="4679" spans="1:12">
      <c r="A4679" s="20" t="s">
        <v>2018</v>
      </c>
    </row>
    <row r="4680" spans="1:12">
      <c r="A4680" s="20" t="s">
        <v>833</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807</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1278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838</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1139</v>
      </c>
      <c r="B4684" s="27" t="s">
        <v>753</v>
      </c>
      <c r="C4684" s="27" t="s">
        <v>761</v>
      </c>
      <c r="D4684" s="27" t="s">
        <v>762</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2019</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770</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2020</v>
      </c>
      <c r="B4687" s="27" t="s">
        <v>772</v>
      </c>
      <c r="C4687" s="27" t="s">
        <v>761</v>
      </c>
      <c r="D4687" s="27" t="s">
        <v>762</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769</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838</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1265</v>
      </c>
      <c r="B4690" s="27" t="s">
        <v>879</v>
      </c>
      <c r="C4690" s="27" t="s">
        <v>761</v>
      </c>
      <c r="D4690" s="27" t="s">
        <v>762</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757</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869</v>
      </c>
      <c r="B4692" s="27" t="s">
        <v>760</v>
      </c>
      <c r="C4692" s="27" t="s">
        <v>797</v>
      </c>
      <c r="D4692" s="27" t="s">
        <v>762</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683</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2021</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878</v>
      </c>
      <c r="B4695" s="27" t="s">
        <v>879</v>
      </c>
      <c r="C4695" s="27" t="s">
        <v>851</v>
      </c>
      <c r="D4695" s="27" t="s">
        <v>762</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952</v>
      </c>
      <c r="B4696" s="27" t="s">
        <v>802</v>
      </c>
      <c r="C4696" s="27" t="s">
        <v>837</v>
      </c>
      <c r="D4696" s="27" t="s">
        <v>762</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769</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t="s">
        <v>770</v>
      </c>
      <c r="E4698" s="21">
        <f>IF(D4698="?OLD","!!!","")</f>
        <v/>
      </c>
      <c r="F4698" s="22" t="str">
        <f>IF(OR(E4698="",E4698="!!!"),"",IF(NOT(ISNA(VLOOKUP(E4698,E$1:E4697,1,FALSE()))),"OLD",IF(AND(E4698&lt;&gt;"",E4698&lt;&gt;"!!!"),"NEW","")))</f>
        <v> </v>
      </c>
      <c r="G4698" s="23" t="str">
        <f>IF(OR(E4698="",E4698="!!!"),"",IF(OR(J4698=0,AND(J4698=1,K4698=1),AND(J4698=1,I4698="SBJ"),AND(J4698=1,I4698=0)),"?IN_FOCUS",IF(J4698&lt;=2,"?ACTIVATED",IF(J4698&lt;&gt;"","?FAMILIAR",IF(F4698="NEW",IF(ISNA(VLOOKUP(E4698,#REF!,1,FALSE())),"?TYPE_IDENTIFIABLE","?REFERENTIAL"),"_")))))</f>
        <v> </v>
      </c>
      <c r="H4698" s="24" t="str">
        <f>IF(J4698&lt;&gt;1,"",IF(I4698="SBJ","CB","?"))</f>
        <v> </v>
      </c>
      <c r="I4698" s="25" t="str">
        <f>IF(OR(E4698="",E4698="!!!",F4698="NEW"),"",INDEX(B4697:B$2,-1+SUMPRODUCT(MAX(ROW(E4697:E$2)*(E4698=E4697:E$2)))))</f>
        <v> </v>
      </c>
      <c r="J4698" s="25" t="str">
        <f>IF(OR(E4698="",E4698="!!!",F4698="NEW"),"",COUNTBLANK(OFFSET(A$1,,,SUMPRODUCT(MAX(ROW(E$2:E4698)*(E4698=E$2:E4698)))))-COUNTBLANK(OFFSET(A$1,,,SUMPRODUCT(MAX(ROW(E$1:E4697)*(E2=E$1:E4697))))))</f>
        <v> </v>
      </c>
      <c r="K4698" s="25" t="str">
        <f>IF(OR(E4698="",E4698="!!!",F4698="NEW"),"",INDEX(J$1:J4697,SUMPRODUCT(MAX(ROW(E$1:E4697)*(E4698=E$1:E4697)))))</f>
        <v> </v>
      </c>
      <c r="L4698" s="26"/>
    </row>
    <row r="4699" spans="1:12">
      <c r="A4699" s="20" t="s">
        <v>814</v>
      </c>
      <c r="B4699" s="27" t="s">
        <v>879</v>
      </c>
      <c r="C4699" s="27" t="s">
        <v>761</v>
      </c>
      <c r="D4699" s="27" t="s">
        <v>762</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774</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row>
    <row r="4702" spans="1:12">
      <c r="A4702" s="20" t="s">
        <v>2022</v>
      </c>
    </row>
    <row r="4703" spans="1:12">
      <c r="A4703" s="20" t="s">
        <v>983</v>
      </c>
      <c r="B4703" s="27" t="s">
        <v>760</v>
      </c>
      <c r="C4703" s="27" t="s">
        <v>797</v>
      </c>
      <c r="D4703" s="27" t="s">
        <v>762</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683</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1604</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975</v>
      </c>
      <c r="B4706" s="27" t="s">
        <v>802</v>
      </c>
      <c r="C4706" s="27" t="s">
        <v>797</v>
      </c>
      <c r="D4706" s="27" t="s">
        <v>762</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2021</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769</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770</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814</v>
      </c>
      <c r="B4710" s="27" t="s">
        <v>772</v>
      </c>
      <c r="C4710" s="27" t="s">
        <v>761</v>
      </c>
      <c r="D4710" s="27" t="s">
        <v>762</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774</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row>
    <row r="4713" spans="1:12">
      <c r="A4713" s="20" t="s">
        <v>2023</v>
      </c>
    </row>
    <row r="4714" spans="1:12">
      <c r="A4714" s="20" t="s">
        <v>833</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1105</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757</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869</v>
      </c>
      <c r="B4717" s="27" t="s">
        <v>760</v>
      </c>
      <c r="C4717" s="27" t="s">
        <v>797</v>
      </c>
      <c r="D4717" s="27" t="s">
        <v>762</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1399</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1346</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785</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822</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2024</v>
      </c>
      <c r="B4722" s="27" t="s">
        <v>772</v>
      </c>
      <c r="C4722" s="27" t="s">
        <v>761</v>
      </c>
      <c r="D4722" s="27" t="s">
        <v>762</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793</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827</v>
      </c>
      <c r="B4724" s="27" t="s">
        <v>796</v>
      </c>
      <c r="C4724" s="27" t="s">
        <v>797</v>
      </c>
      <c r="D4724" s="27" t="s">
        <v>762</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828</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918</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793</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840</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697</v>
      </c>
      <c r="B4729" s="27" t="s">
        <v>956</v>
      </c>
      <c r="C4729" s="27" t="s">
        <v>797</v>
      </c>
      <c r="D4729" s="27" t="s">
        <v>762</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1164</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811</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1933</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989</v>
      </c>
      <c r="B4733" s="27" t="s">
        <v>941</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769</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838</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1606</v>
      </c>
      <c r="B4736" s="27" t="s">
        <v>901</v>
      </c>
      <c r="C4736" s="27" t="s">
        <v>761</v>
      </c>
      <c r="D4736" s="27" t="s">
        <v>762</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889</v>
      </c>
      <c r="B4737" s="27" t="s">
        <v>1131</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890</v>
      </c>
      <c r="B4738" s="27" t="s">
        <v>1080</v>
      </c>
      <c r="C4738" s="27" t="s">
        <v>820</v>
      </c>
      <c r="D4738" s="27" t="s">
        <v>762</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1384</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2025</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757</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1031</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795</v>
      </c>
      <c r="B4743" s="27" t="s">
        <v>941</v>
      </c>
      <c r="C4743" s="27" t="s">
        <v>797</v>
      </c>
      <c r="D4743" s="27" t="s">
        <v>762</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2026</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1319</v>
      </c>
      <c r="B4745" s="27" t="s">
        <v>815</v>
      </c>
      <c r="C4745" s="27" t="s">
        <v>851</v>
      </c>
      <c r="D4745" s="27" t="s">
        <v>762</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864</v>
      </c>
      <c r="B4746" s="27" t="s">
        <v>940</v>
      </c>
      <c r="C4746" s="27" t="s">
        <v>837</v>
      </c>
      <c r="D4746" s="27" t="s">
        <v>762</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757</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810</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1322</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795</v>
      </c>
      <c r="B4750" s="27" t="s">
        <v>1272</v>
      </c>
      <c r="C4750" s="27" t="s">
        <v>797</v>
      </c>
      <c r="D4750" s="27" t="s">
        <v>762</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2027</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1319</v>
      </c>
      <c r="B4752" s="27" t="s">
        <v>1062</v>
      </c>
      <c r="C4752" s="27" t="s">
        <v>851</v>
      </c>
      <c r="D4752" s="27" t="s">
        <v>762</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864</v>
      </c>
      <c r="B4753" s="27" t="s">
        <v>1076</v>
      </c>
      <c r="C4753" s="27" t="s">
        <v>837</v>
      </c>
      <c r="D4753" s="27" t="s">
        <v>762</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757</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795</v>
      </c>
      <c r="B4755" s="27" t="s">
        <v>1272</v>
      </c>
      <c r="C4755" s="27" t="s">
        <v>797</v>
      </c>
      <c r="D4755" s="27" t="s">
        <v>762</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2026</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770</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1963</v>
      </c>
      <c r="B4758" s="27" t="s">
        <v>1076</v>
      </c>
      <c r="C4758" s="27" t="s">
        <v>761</v>
      </c>
      <c r="D4758" s="27" t="s">
        <v>762</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757</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793</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1026</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814</v>
      </c>
      <c r="B4762" s="27" t="s">
        <v>1080</v>
      </c>
      <c r="C4762" s="27" t="s">
        <v>1019</v>
      </c>
      <c r="D4762" s="27" t="s">
        <v>762</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1384</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272</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764</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1638</v>
      </c>
      <c r="B4766" s="27" t="s">
        <v>1131</v>
      </c>
      <c r="C4766" s="27" t="s">
        <v>768</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2028</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1031</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889</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795</v>
      </c>
      <c r="B4770" s="27" t="s">
        <v>1080</v>
      </c>
      <c r="C4770" s="27" t="s">
        <v>797</v>
      </c>
      <c r="D4770" s="27" t="s">
        <v>762</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840</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2029</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774</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row>
    <row r="4775" spans="1:12">
      <c r="A4775" s="20" t="s">
        <v>2030</v>
      </c>
    </row>
    <row r="4776" spans="1:12">
      <c r="A4776" s="20" t="s">
        <v>1201</v>
      </c>
      <c r="B4776" s="27" t="s">
        <v>760</v>
      </c>
      <c r="C4776" s="27" t="s">
        <v>820</v>
      </c>
      <c r="D4776" s="27" t="s">
        <v>762</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758</v>
      </c>
      <c r="B4777" s="27" t="s">
        <v>767</v>
      </c>
      <c r="C4777" s="27" t="s">
        <v>797</v>
      </c>
      <c r="D4777" s="27" t="s">
        <v>762</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887</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2031</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t="s">
        <v>333</v>
      </c>
      <c r="E4780" s="21">
        <f>IF(D4780="?OLD","!!!","")</f>
        <v/>
      </c>
      <c r="F4780" s="22" t="str">
        <f>IF(OR(E4780="",E4780="!!!"),"",IF(NOT(ISNA(VLOOKUP(E4780,E$1:E4779,1,FALSE()))),"OLD",IF(AND(E4780&lt;&gt;"",E4780&lt;&gt;"!!!"),"NEW","")))</f>
        <v> </v>
      </c>
      <c r="G4780" s="23" t="str">
        <f>IF(OR(E4780="",E4780="!!!"),"",IF(OR(J4780=0,AND(J4780=1,K4780=1),AND(J4780=1,I4780="SBJ"),AND(J4780=1,I4780=0)),"?IN_FOCUS",IF(J4780&lt;=2,"?ACTIVATED",IF(J4780&lt;&gt;"","?FAMILIAR",IF(F4780="NEW",IF(ISNA(VLOOKUP(E4780,#REF!,1,FALSE())),"?TYPE_IDENTIFIABLE","?REFERENTIAL"),"_")))))</f>
        <v> </v>
      </c>
      <c r="H4780" s="24" t="str">
        <f>IF(J4780&lt;&gt;1,"",IF(I4780="SBJ","CB","?"))</f>
        <v> </v>
      </c>
      <c r="I4780" s="25" t="str">
        <f>IF(OR(E4780="",E4780="!!!",F4780="NEW"),"",INDEX(B4779:B$2,-1+SUMPRODUCT(MAX(ROW(E4779:E$2)*(E4780=E4779:E$2)))))</f>
        <v> </v>
      </c>
      <c r="J4780" s="25" t="str">
        <f>IF(OR(E4780="",E4780="!!!",F4780="NEW"),"",COUNTBLANK(OFFSET(A$1,,,SUMPRODUCT(MAX(ROW(E$2:E4780)*(E4780=E$2:E4780)))))-COUNTBLANK(OFFSET(A$1,,,SUMPRODUCT(MAX(ROW(E$1:E4779)*(E2=E$1:E4779))))))</f>
        <v> </v>
      </c>
      <c r="K4780" s="25" t="str">
        <f>IF(OR(E4780="",E4780="!!!",F4780="NEW"),"",INDEX(J$1:J4779,SUMPRODUCT(MAX(ROW(E$1:E4779)*(E4780=E$1:E4779)))))</f>
        <v> </v>
      </c>
      <c r="L4780" s="26"/>
    </row>
    <row r="4781" spans="1:12">
      <c r="A4781" s="20" t="s">
        <v>779</v>
      </c>
      <c r="E4781" s="21">
        <f>IF(D4781="?OLD","!!!","")</f>
        <v/>
      </c>
      <c r="F4781" s="22" t="str">
        <f>IF(OR(E4781="",E4781="!!!"),"",IF(NOT(ISNA(VLOOKUP(E4781,E$1:E4780,1,FALSE()))),"OLD",IF(AND(E4781&lt;&gt;"",E4781&lt;&gt;"!!!"),"NEW","")))</f>
        <v> </v>
      </c>
      <c r="G4781" s="23" t="str">
        <f>IF(OR(E4781="",E4781="!!!"),"",IF(OR(J4781=0,AND(J4781=1,K4781=1),AND(J4781=1,I4781="SBJ"),AND(J4781=1,I4781=0)),"?IN_FOCUS",IF(J4781&lt;=2,"?ACTIVATED",IF(J4781&lt;&gt;"","?FAMILIAR",IF(F4781="NEW",IF(ISNA(VLOOKUP(E4781,#REF!,1,FALSE())),"?TYPE_IDENTIFIABLE","?REFERENTIAL"),"_")))))</f>
        <v> </v>
      </c>
      <c r="H4781" s="24" t="str">
        <f>IF(J4781&lt;&gt;1,"",IF(I4781="SBJ","CB","?"))</f>
        <v> </v>
      </c>
      <c r="I4781" s="25" t="str">
        <f>IF(OR(E4781="",E4781="!!!",F4781="NEW"),"",INDEX(B4780:B$2,-1+SUMPRODUCT(MAX(ROW(E4780:E$2)*(E4781=E4780:E$2)))))</f>
        <v> </v>
      </c>
      <c r="J4781" s="25" t="str">
        <f>IF(OR(E4781="",E4781="!!!",F4781="NEW"),"",COUNTBLANK(OFFSET(A$1,,,SUMPRODUCT(MAX(ROW(E$2:E4781)*(E4781=E$2:E4781)))))-COUNTBLANK(OFFSET(A$1,,,SUMPRODUCT(MAX(ROW(E$1:E4780)*(E2=E$1:E4780))))))</f>
        <v> </v>
      </c>
      <c r="K4781" s="25" t="str">
        <f>IF(OR(E4781="",E4781="!!!",F4781="NEW"),"",INDEX(J$1:J4780,SUMPRODUCT(MAX(ROW(E$1:E4780)*(E4781=E$1:E4780)))))</f>
        <v> </v>
      </c>
      <c r="L4781" s="26"/>
    </row>
    <row r="4782" spans="1:12">
      <c r="A4782" s="20" t="s">
        <v>2032</v>
      </c>
      <c r="B4782" s="27" t="s">
        <v>802</v>
      </c>
      <c r="C4782" s="27" t="s">
        <v>768</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757</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890</v>
      </c>
      <c r="B4784" s="27" t="s">
        <v>796</v>
      </c>
      <c r="C4784" s="27" t="s">
        <v>820</v>
      </c>
      <c r="D4784" s="27" t="s">
        <v>762</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758</v>
      </c>
      <c r="B4785" s="27" t="s">
        <v>802</v>
      </c>
      <c r="C4785" s="27" t="s">
        <v>797</v>
      </c>
      <c r="D4785" s="27" t="s">
        <v>762</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887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2031</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785</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822</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2033</v>
      </c>
      <c r="B4790" s="27" t="s">
        <v>772</v>
      </c>
      <c r="C4790" s="27" t="s">
        <v>761</v>
      </c>
      <c r="D4790" s="27" t="s">
        <v>762</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757</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890</v>
      </c>
      <c r="B4792" s="27" t="s">
        <v>796</v>
      </c>
      <c r="C4792" s="27" t="s">
        <v>820</v>
      </c>
      <c r="D4792" s="27" t="s">
        <v>762</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887</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1752</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1808</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952</v>
      </c>
      <c r="B4796" s="27" t="s">
        <v>802</v>
      </c>
      <c r="C4796" s="27" t="s">
        <v>1019</v>
      </c>
      <c r="D4796" s="27" t="s">
        <v>762</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2034</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805</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779</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1381</v>
      </c>
      <c r="B4800" s="27" t="s">
        <v>772</v>
      </c>
      <c r="C4800" s="27" t="s">
        <v>768</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810</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890</v>
      </c>
      <c r="B4802" s="27" t="s">
        <v>956</v>
      </c>
      <c r="C4802" s="27" t="s">
        <v>820</v>
      </c>
      <c r="D4802" s="27" t="s">
        <v>762</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984</v>
      </c>
      <c r="B4803" s="27" t="s">
        <v>894</v>
      </c>
      <c r="C4803" s="27" t="s">
        <v>797</v>
      </c>
      <c r="D4803" s="27" t="s">
        <v>762</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887</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918</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779</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2035</v>
      </c>
      <c r="B4807" s="27" t="s">
        <v>894</v>
      </c>
      <c r="C4807" s="27" t="s">
        <v>768</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769</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2036</v>
      </c>
      <c r="B4809" s="27" t="s">
        <v>901</v>
      </c>
      <c r="C4809" s="27" t="s">
        <v>754</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2037</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774</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row>
    <row r="4813" spans="1:12">
      <c r="A4813" s="20" t="s">
        <v>2038</v>
      </c>
    </row>
    <row r="4814" spans="1:12">
      <c r="A4814" s="20" t="s">
        <v>1065</v>
      </c>
      <c r="B4814" s="27" t="s">
        <v>753</v>
      </c>
      <c r="C4814" s="27" t="s">
        <v>797</v>
      </c>
      <c r="D4814" s="27" t="s">
        <v>762</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2039</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2040</v>
      </c>
      <c r="B4816" s="27" t="s">
        <v>753</v>
      </c>
      <c r="C4816" s="27" t="s">
        <v>754</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2041</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774</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row>
    <row r="4820" spans="1:12">
      <c r="A4820" s="20" t="s">
        <v>2042</v>
      </c>
    </row>
    <row r="4821" spans="1:12">
      <c r="A4821" s="20" t="s">
        <v>1531</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822</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2043</v>
      </c>
      <c r="B4823" s="27" t="s">
        <v>753</v>
      </c>
      <c r="C4823" s="27" t="s">
        <v>761</v>
      </c>
      <c r="D4823" s="27" t="s">
        <v>762</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769</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2044</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1761</v>
      </c>
      <c r="B4826" s="27" t="s">
        <v>772</v>
      </c>
      <c r="C4826" s="27" t="s">
        <v>831</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757</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1155</v>
      </c>
      <c r="B4828" s="27" t="s">
        <v>760</v>
      </c>
      <c r="C4828" s="27" t="s">
        <v>797</v>
      </c>
      <c r="D4828" s="27" t="s">
        <v>762</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1004</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888</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793</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1319</v>
      </c>
      <c r="B4832" s="27" t="s">
        <v>879</v>
      </c>
      <c r="C4832" s="27" t="s">
        <v>851</v>
      </c>
      <c r="D4832" s="27" t="s">
        <v>762</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1617</v>
      </c>
      <c r="B4833" s="27" t="s">
        <v>796</v>
      </c>
      <c r="C4833" s="27" t="s">
        <v>837</v>
      </c>
      <c r="D4833" s="27" t="s">
        <v>762</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915</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2045</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2046</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810</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793</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757</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2019</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757</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697</v>
      </c>
      <c r="B4842" s="27" t="s">
        <v>956</v>
      </c>
      <c r="C4842" s="27" t="s">
        <v>797</v>
      </c>
      <c r="D4842" s="27" t="s">
        <v>762</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2029</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931</v>
      </c>
      <c r="B4844" s="27" t="s">
        <v>901</v>
      </c>
      <c r="C4844" s="27" t="s">
        <v>851</v>
      </c>
      <c r="D4844" s="27" t="s">
        <v>762</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1989</v>
      </c>
      <c r="B4845" s="27" t="s">
        <v>894</v>
      </c>
      <c r="C4845" s="27" t="s">
        <v>837</v>
      </c>
      <c r="D4845" s="27" t="s">
        <v>762</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1990</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774</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row>
    <row r="4849" spans="1:12">
      <c r="A4849" s="20" t="s">
        <v>2047</v>
      </c>
    </row>
    <row r="4850" spans="1:12">
      <c r="A4850" s="20" t="s">
        <v>866</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827</v>
      </c>
      <c r="B4851" s="27" t="s">
        <v>796</v>
      </c>
      <c r="C4851" s="27" t="s">
        <v>797</v>
      </c>
      <c r="D4851" s="27" t="s">
        <v>762</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909</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1005</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785</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770</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1982</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954</v>
      </c>
      <c r="B4857" s="27" t="s">
        <v>802</v>
      </c>
      <c r="C4857" s="27" t="s">
        <v>777</v>
      </c>
      <c r="D4857" s="27" t="s">
        <v>762</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1020</v>
      </c>
      <c r="B4858" s="27" t="s">
        <v>941</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840</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915</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1342</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757</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795</v>
      </c>
      <c r="B4863" s="27" t="s">
        <v>760</v>
      </c>
      <c r="C4863" s="27" t="s">
        <v>797</v>
      </c>
      <c r="D4863" s="27" t="s">
        <v>762</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887</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888</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889</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795</v>
      </c>
      <c r="B4867" s="27" t="s">
        <v>796</v>
      </c>
      <c r="C4867" s="27" t="s">
        <v>797</v>
      </c>
      <c r="D4867" s="27" t="s">
        <v>762</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1783</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889</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697</v>
      </c>
      <c r="B4870" s="27" t="s">
        <v>956</v>
      </c>
      <c r="C4870" s="27" t="s">
        <v>797</v>
      </c>
      <c r="D4870" s="27" t="s">
        <v>762</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1164</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971</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1095</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764</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2048</v>
      </c>
      <c r="B4875" s="27" t="s">
        <v>894</v>
      </c>
      <c r="C4875" s="27" t="s">
        <v>768</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954</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2049</v>
      </c>
      <c r="B4877" s="27" t="s">
        <v>879</v>
      </c>
      <c r="C4877" s="27" t="s">
        <v>1019</v>
      </c>
      <c r="D4877" s="27" t="s">
        <v>762</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774</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row>
    <row r="4880" spans="1:12">
      <c r="A4880" s="20" t="s">
        <v>2050</v>
      </c>
    </row>
    <row r="4881" spans="1:12">
      <c r="A4881" s="20" t="s">
        <v>908</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827</v>
      </c>
      <c r="B4882" s="27" t="s">
        <v>760</v>
      </c>
      <c r="C4882" s="27" t="s">
        <v>797</v>
      </c>
      <c r="D4882" s="27" t="s">
        <v>762</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909</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t="s">
        <v>1014</v>
      </c>
      <c r="E4884" s="21">
        <f>IF(D4884="?OLD","!!!","")</f>
        <v/>
      </c>
      <c r="F4884" s="22" t="str">
        <f>IF(OR(E4884="",E4884="!!!"),"",IF(NOT(ISNA(VLOOKUP(E4884,E$1:E4883,1,FALSE()))),"OLD",IF(AND(E4884&lt;&gt;"",E4884&lt;&gt;"!!!"),"NEW","")))</f>
        <v> </v>
      </c>
      <c r="G4884" s="23" t="str">
        <f>IF(OR(E4884="",E4884="!!!"),"",IF(OR(J4884=0,AND(J4884=1,K4884=1),AND(J4884=1,I4884="SBJ"),AND(J4884=1,I4884=0)),"?IN_FOCUS",IF(J4884&lt;=2,"?ACTIVATED",IF(J4884&lt;&gt;"","?FAMILIAR",IF(F4884="NEW",IF(ISNA(VLOOKUP(E4884,#REF!,1,FALSE())),"?TYPE_IDENTIFIABLE","?REFERENTIAL"),"_")))))</f>
        <v> </v>
      </c>
      <c r="H4884" s="24" t="str">
        <f>IF(J4884&lt;&gt;1,"",IF(I4884="SBJ","CB","?"))</f>
        <v> </v>
      </c>
      <c r="I4884" s="25" t="str">
        <f>IF(OR(E4884="",E4884="!!!",F4884="NEW"),"",INDEX(B4883:B$2,-1+SUMPRODUCT(MAX(ROW(E4883:E$2)*(E4884=E4883:E$2)))))</f>
        <v> </v>
      </c>
      <c r="J4884" s="25" t="str">
        <f>IF(OR(E4884="",E4884="!!!",F4884="NEW"),"",COUNTBLANK(OFFSET(A$1,,,SUMPRODUCT(MAX(ROW(E$2:E4884)*(E4884=E$2:E4884)))))-COUNTBLANK(OFFSET(A$1,,,SUMPRODUCT(MAX(ROW(E$1:E4883)*(E2=E$1:E4883))))))</f>
        <v> </v>
      </c>
      <c r="K4884" s="25" t="str">
        <f>IF(OR(E4884="",E4884="!!!",F4884="NEW"),"",INDEX(J$1:J4883,SUMPRODUCT(MAX(ROW(E$1:E4883)*(E4884=E$1:E4883)))))</f>
        <v> </v>
      </c>
      <c r="L4884" s="26"/>
    </row>
    <row r="4885" spans="1:12">
      <c r="A4885" s="20" t="s">
        <v>785</v>
      </c>
      <c r="E4885" s="21">
        <f>IF(D4885="?OLD","!!!","")</f>
        <v/>
      </c>
      <c r="F4885" s="22" t="str">
        <f>IF(OR(E4885="",E4885="!!!"),"",IF(NOT(ISNA(VLOOKUP(E4885,E$1:E4884,1,FALSE()))),"OLD",IF(AND(E4885&lt;&gt;"",E4885&lt;&gt;"!!!"),"NEW","")))</f>
        <v> </v>
      </c>
      <c r="G4885" s="23" t="str">
        <f>IF(OR(E4885="",E4885="!!!"),"",IF(OR(J4885=0,AND(J4885=1,K4885=1),AND(J4885=1,I4885="SBJ"),AND(J4885=1,I4885=0)),"?IN_FOCUS",IF(J4885&lt;=2,"?ACTIVATED",IF(J4885&lt;&gt;"","?FAMILIAR",IF(F4885="NEW",IF(ISNA(VLOOKUP(E4885,#REF!,1,FALSE())),"?TYPE_IDENTIFIABLE","?REFERENTIAL"),"_")))))</f>
        <v> </v>
      </c>
      <c r="H4885" s="24" t="str">
        <f>IF(J4885&lt;&gt;1,"",IF(I4885="SBJ","CB","?"))</f>
        <v> </v>
      </c>
      <c r="I4885" s="25" t="str">
        <f>IF(OR(E4885="",E4885="!!!",F4885="NEW"),"",INDEX(B4884:B$2,-1+SUMPRODUCT(MAX(ROW(E4884:E$2)*(E4885=E4884:E$2)))))</f>
        <v> </v>
      </c>
      <c r="J4885" s="25" t="str">
        <f>IF(OR(E4885="",E4885="!!!",F4885="NEW"),"",COUNTBLANK(OFFSET(A$1,,,SUMPRODUCT(MAX(ROW(E$2:E4885)*(E4885=E$2:E4885)))))-COUNTBLANK(OFFSET(A$1,,,SUMPRODUCT(MAX(ROW(E$1:E4884)*(E2=E$1:E4884))))))</f>
        <v> </v>
      </c>
      <c r="K4885" s="25" t="str">
        <f>IF(OR(E4885="",E4885="!!!",F4885="NEW"),"",INDEX(J$1:J4884,SUMPRODUCT(MAX(ROW(E$1:E4884)*(E4885=E$1:E4884)))))</f>
        <v> </v>
      </c>
      <c r="L4885" s="26"/>
    </row>
    <row r="4886" spans="1:12">
      <c r="A4886" s="20" t="s">
        <v>1244</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1497</v>
      </c>
      <c r="B4887" s="27" t="s">
        <v>753</v>
      </c>
      <c r="C4887" s="27" t="s">
        <v>803</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876</v>
      </c>
      <c r="B4888" s="27" t="s">
        <v>879</v>
      </c>
      <c r="C4888" s="27" t="s">
        <v>851</v>
      </c>
      <c r="D4888" s="27" t="s">
        <v>762</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877</v>
      </c>
      <c r="B4889" s="27" t="s">
        <v>796</v>
      </c>
      <c r="C4889" s="27" t="s">
        <v>837</v>
      </c>
      <c r="D4889" s="27" t="s">
        <v>762</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1164</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1457</v>
      </c>
      <c r="B4891" s="27" t="s">
        <v>802</v>
      </c>
      <c r="C4891" s="27" t="s">
        <v>754</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774</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row>
    <row r="4894" spans="1:12">
      <c r="A4894" s="20" t="s">
        <v>2051</v>
      </c>
    </row>
    <row r="4895" spans="1:12">
      <c r="A4895" s="20" t="s">
        <v>1037</v>
      </c>
      <c r="B4895" s="27" t="s">
        <v>760</v>
      </c>
      <c r="C4895" s="27" t="s">
        <v>797</v>
      </c>
      <c r="D4895" s="27" t="s">
        <v>762</v>
      </c>
      <c r="E4895" s="21">
        <f>IF(D4895="?OLD","!!!","")</f>
        <v/>
      </c>
      <c r="F4895" s="22" t="str">
        <f>IF(OR(E4895="",E4895="!!!"),"",IF(NOT(ISNA(VLOOKUP(E4895,E$1:E4894,1,FALSE()))),"OLD",IF(AND(E4895&lt;&gt;"",E4895&lt;&gt;"!!!"),"NEW","")))</f>
        <v> </v>
      </c>
      <c r="G4895" s="23" t="str">
        <f>IF(OR(E4895="",E4895="!!!"),"",IF(OR(J4895=0,AND(J4895=1,K4895=1),AND(J4895=1,I4895="SBJ"),AND(J4895=1,I4895=0)),"?IN_FOCUS",IF(J4895&lt;=2,"?ACTIVATED",IF(J4895&lt;&gt;"","?FAMILIAR",IF(F4895="NEW",IF(ISNA(VLOOKUP(E4895,#REF!,1,FALSE())),"?TYPE_IDENTIFIABLE","?REFERENTIAL"),"_")))))</f>
        <v> </v>
      </c>
      <c r="H4895" s="24" t="str">
        <f>IF(J4895&lt;&gt;1,"",IF(I4895="SBJ","CB","?"))</f>
        <v> </v>
      </c>
      <c r="I4895" s="25" t="str">
        <f>IF(OR(E4895="",E4895="!!!",F4895="NEW"),"",INDEX(B4894:B$2,-1+SUMPRODUCT(MAX(ROW(E4894:E$2)*(E4895=E4894:E$2)))))</f>
        <v> </v>
      </c>
      <c r="J4895" s="25" t="str">
        <f>IF(OR(E4895="",E4895="!!!",F4895="NEW"),"",COUNTBLANK(OFFSET(A$1,,,SUMPRODUCT(MAX(ROW(E$2:E4895)*(E4895=E$2:E4895)))))-COUNTBLANK(OFFSET(A$1,,,SUMPRODUCT(MAX(ROW(E$1:E4894)*(E2=E$1:E4894))))))</f>
        <v> </v>
      </c>
      <c r="K4895" s="25" t="str">
        <f>IF(OR(E4895="",E4895="!!!",F4895="NEW"),"",INDEX(J$1:J4894,SUMPRODUCT(MAX(ROW(E$1:E4894)*(E4895=E$1:E4894)))))</f>
        <v> </v>
      </c>
      <c r="L4895" s="26"/>
    </row>
    <row r="4896" spans="1:12">
      <c r="A4896" s="20" t="s">
        <v>909</v>
      </c>
      <c r="E4896" s="21">
        <f>IF(D4896="?OLD","!!!","")</f>
        <v/>
      </c>
      <c r="F4896" s="22" t="str">
        <f>IF(OR(E4896="",E4896="!!!"),"",IF(NOT(ISNA(VLOOKUP(E4896,E$1:E4895,1,FALSE()))),"OLD",IF(AND(E4896&lt;&gt;"",E4896&lt;&gt;"!!!"),"NEW","")))</f>
        <v> </v>
      </c>
      <c r="G4896" s="23" t="str">
        <f>IF(OR(E4896="",E4896="!!!"),"",IF(OR(J4896=0,AND(J4896=1,K4896=1),AND(J4896=1,I4896="SBJ"),AND(J4896=1,I4896=0)),"?IN_FOCUS",IF(J4896&lt;=2,"?ACTIVATED",IF(J4896&lt;&gt;"","?FAMILIAR",IF(F4896="NEW",IF(ISNA(VLOOKUP(E4896,#REF!,1,FALSE())),"?TYPE_IDENTIFIABLE","?REFERENTIAL"),"_")))))</f>
        <v> </v>
      </c>
      <c r="H4896" s="24" t="str">
        <f>IF(J4896&lt;&gt;1,"",IF(I4896="SBJ","CB","?"))</f>
        <v> </v>
      </c>
      <c r="I4896" s="25" t="str">
        <f>IF(OR(E4896="",E4896="!!!",F4896="NEW"),"",INDEX(B4895:B$2,-1+SUMPRODUCT(MAX(ROW(E4895:E$2)*(E4896=E4895:E$2)))))</f>
        <v> </v>
      </c>
      <c r="J4896" s="25" t="str">
        <f>IF(OR(E4896="",E4896="!!!",F4896="NEW"),"",COUNTBLANK(OFFSET(A$1,,,SUMPRODUCT(MAX(ROW(E$2:E4896)*(E4896=E$2:E4896)))))-COUNTBLANK(OFFSET(A$1,,,SUMPRODUCT(MAX(ROW(E$1:E4895)*(E2=E$1:E4895))))))</f>
        <v> </v>
      </c>
      <c r="K4896" s="25" t="str">
        <f>IF(OR(E4896="",E4896="!!!",F4896="NEW"),"",INDEX(J$1:J4895,SUMPRODUCT(MAX(ROW(E$1:E4895)*(E4896=E$1:E4895)))))</f>
        <v> </v>
      </c>
      <c r="L4896" s="26"/>
    </row>
    <row r="4897" spans="1:12">
      <c r="A4897" s="20" t="s">
        <v>1014</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757</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758</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939</v>
      </c>
      <c r="B4900" s="27" t="s">
        <v>767</v>
      </c>
      <c r="C4900" s="27" t="s">
        <v>761</v>
      </c>
      <c r="D4900" s="27" t="s">
        <v>762</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793</v>
      </c>
      <c r="B4901" s="27" t="s">
        <v>894</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758</v>
      </c>
      <c r="B4902" s="27" t="s">
        <v>956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890</v>
      </c>
      <c r="B4903" s="27" t="s">
        <v>901</v>
      </c>
      <c r="C4903" s="27" t="s">
        <v>820</v>
      </c>
      <c r="D4903" s="27" t="s">
        <v>762</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2052</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785</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t="s">
        <v>931</v>
      </c>
      <c r="B4906" s="27" t="s">
        <v>901</v>
      </c>
      <c r="C4906" s="27" t="s">
        <v>851</v>
      </c>
      <c r="D4906" s="27" t="s">
        <v>762</v>
      </c>
      <c r="E4906" s="21">
        <f>IF(D4906="?OLD","!!!","")</f>
        <v/>
      </c>
      <c r="F4906" s="22" t="str">
        <f>IF(OR(E4906="",E4906="!!!"),"",IF(NOT(ISNA(VLOOKUP(E4906,E$1:E4905,1,FALSE()))),"OLD",IF(AND(E4906&lt;&gt;"",E4906&lt;&gt;"!!!"),"NEW","")))</f>
        <v> </v>
      </c>
      <c r="G4906" s="23" t="str">
        <f>IF(OR(E4906="",E4906="!!!"),"",IF(OR(J4906=0,AND(J4906=1,K4906=1),AND(J4906=1,I4906="SBJ"),AND(J4906=1,I4906=0)),"?IN_FOCUS",IF(J4906&lt;=2,"?ACTIVATED",IF(J4906&lt;&gt;"","?FAMILIAR",IF(F4906="NEW",IF(ISNA(VLOOKUP(E4906,#REF!,1,FALSE())),"?TYPE_IDENTIFIABLE","?REFERENTIAL"),"_")))))</f>
        <v> </v>
      </c>
      <c r="H4906" s="24" t="str">
        <f>IF(J4906&lt;&gt;1,"",IF(I4906="SBJ","CB","?"))</f>
        <v> </v>
      </c>
      <c r="I4906" s="25" t="str">
        <f>IF(OR(E4906="",E4906="!!!",F4906="NEW"),"",INDEX(B4905:B$2,-1+SUMPRODUCT(MAX(ROW(E4905:E$2)*(E4906=E4905:E$2)))))</f>
        <v> </v>
      </c>
      <c r="J4906" s="25" t="str">
        <f>IF(OR(E4906="",E4906="!!!",F4906="NEW"),"",COUNTBLANK(OFFSET(A$1,,,SUMPRODUCT(MAX(ROW(E$2:E4906)*(E4906=E$2:E4906)))))-COUNTBLANK(OFFSET(A$1,,,SUMPRODUCT(MAX(ROW(E$1:E4905)*(E2=E$1:E4905))))))</f>
        <v> </v>
      </c>
      <c r="K4906" s="25" t="str">
        <f>IF(OR(E4906="",E4906="!!!",F4906="NEW"),"",INDEX(J$1:J4905,SUMPRODUCT(MAX(ROW(E$1:E4905)*(E4906=E$1:E4905)))))</f>
        <v> </v>
      </c>
      <c r="L4906" s="26"/>
    </row>
    <row r="4907" spans="1:12">
      <c r="A4907" s="20" t="s">
        <v>943</v>
      </c>
      <c r="B4907" s="27" t="s">
        <v>879</v>
      </c>
      <c r="C4907" s="27" t="s">
        <v>837</v>
      </c>
      <c r="D4907" s="27" t="s">
        <v>762</v>
      </c>
      <c r="E4907" s="21">
        <f>IF(D4907="?OLD","!!!","")</f>
        <v/>
      </c>
      <c r="F4907" s="22" t="str">
        <f>IF(OR(E4907="",E4907="!!!"),"",IF(NOT(ISNA(VLOOKUP(E4907,E$1:E4906,1,FALSE()))),"OLD",IF(AND(E4907&lt;&gt;"",E4907&lt;&gt;"!!!"),"NEW","")))</f>
        <v> </v>
      </c>
      <c r="G4907" s="23" t="str">
        <f>IF(OR(E4907="",E4907="!!!"),"",IF(OR(J4907=0,AND(J4907=1,K4907=1),AND(J4907=1,I4907="SBJ"),AND(J4907=1,I4907=0)),"?IN_FOCUS",IF(J4907&lt;=2,"?ACTIVATED",IF(J4907&lt;&gt;"","?FAMILIAR",IF(F4907="NEW",IF(ISNA(VLOOKUP(E4907,#REF!,1,FALSE())),"?TYPE_IDENTIFIABLE","?REFERENTIAL"),"_")))))</f>
        <v> </v>
      </c>
      <c r="H4907" s="24" t="str">
        <f>IF(J4907&lt;&gt;1,"",IF(I4907="SBJ","CB","?"))</f>
        <v> </v>
      </c>
      <c r="I4907" s="25" t="str">
        <f>IF(OR(E4907="",E4907="!!!",F4907="NEW"),"",INDEX(B4906:B$2,-1+SUMPRODUCT(MAX(ROW(E4906:E$2)*(E4907=E4906:E$2)))))</f>
        <v> </v>
      </c>
      <c r="J4907" s="25" t="str">
        <f>IF(OR(E4907="",E4907="!!!",F4907="NEW"),"",COUNTBLANK(OFFSET(A$1,,,SUMPRODUCT(MAX(ROW(E$2:E4907)*(E4907=E$2:E4907)))))-COUNTBLANK(OFFSET(A$1,,,SUMPRODUCT(MAX(ROW(E$1:E4906)*(E2=E$1:E4906))))))</f>
        <v> </v>
      </c>
      <c r="K4907" s="25" t="str">
        <f>IF(OR(E4907="",E4907="!!!",F4907="NEW"),"",INDEX(J$1:J4906,SUMPRODUCT(MAX(ROW(E$1:E4906)*(E4907=E$1:E4906)))))</f>
        <v> </v>
      </c>
      <c r="L4907" s="26"/>
    </row>
    <row r="4908" spans="1:12">
      <c r="A4908" s="20" t="s">
        <v>798</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944</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785</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945</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946</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947</v>
      </c>
      <c r="B4913" s="27" t="s">
        <v>772</v>
      </c>
      <c r="C4913" s="27" t="s">
        <v>803</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785</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822</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948</v>
      </c>
      <c r="B4916" s="27" t="s">
        <v>772</v>
      </c>
      <c r="C4916" s="27" t="s">
        <v>761</v>
      </c>
      <c r="D4916" s="27" t="s">
        <v>762</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757</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810</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1643</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785</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954</v>
      </c>
      <c r="B4921" s="27" t="s">
        <v>772</v>
      </c>
      <c r="C4921" s="27" t="s">
        <v>777</v>
      </c>
      <c r="D4921" s="27" t="s">
        <v>762</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889</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890</v>
      </c>
      <c r="B4923" s="27" t="s">
        <v>941</v>
      </c>
      <c r="C4923" s="27" t="s">
        <v>820</v>
      </c>
      <c r="D4923" s="27" t="s">
        <v>762</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1487</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769</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838</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t="s">
        <v>943</v>
      </c>
      <c r="B4927" s="27" t="s">
        <v>901</v>
      </c>
      <c r="C4927" s="27" t="s">
        <v>761</v>
      </c>
      <c r="D4927" s="27" t="s">
        <v>762</v>
      </c>
      <c r="E4927" s="21">
        <f>IF(D4927="?OLD","!!!","")</f>
        <v/>
      </c>
      <c r="F4927" s="22" t="str">
        <f>IF(OR(E4927="",E4927="!!!"),"",IF(NOT(ISNA(VLOOKUP(E4927,E$1:E4926,1,FALSE()))),"OLD",IF(AND(E4927&lt;&gt;"",E4927&lt;&gt;"!!!"),"NEW","")))</f>
        <v> </v>
      </c>
      <c r="G4927" s="23" t="str">
        <f>IF(OR(E4927="",E4927="!!!"),"",IF(OR(J4927=0,AND(J4927=1,K4927=1),AND(J4927=1,I4927="SBJ"),AND(J4927=1,I4927=0)),"?IN_FOCUS",IF(J4927&lt;=2,"?ACTIVATED",IF(J4927&lt;&gt;"","?FAMILIAR",IF(F4927="NEW",IF(ISNA(VLOOKUP(E4927,#REF!,1,FALSE())),"?TYPE_IDENTIFIABLE","?REFERENTIAL"),"_")))))</f>
        <v> </v>
      </c>
      <c r="H4927" s="24" t="str">
        <f>IF(J4927&lt;&gt;1,"",IF(I4927="SBJ","CB","?"))</f>
        <v> </v>
      </c>
      <c r="I4927" s="25" t="str">
        <f>IF(OR(E4927="",E4927="!!!",F4927="NEW"),"",INDEX(B4926:B$2,-1+SUMPRODUCT(MAX(ROW(E4926:E$2)*(E4927=E4926:E$2)))))</f>
        <v> </v>
      </c>
      <c r="J4927" s="25" t="str">
        <f>IF(OR(E4927="",E4927="!!!",F4927="NEW"),"",COUNTBLANK(OFFSET(A$1,,,SUMPRODUCT(MAX(ROW(E$2:E4927)*(E4927=E$2:E4927)))))-COUNTBLANK(OFFSET(A$1,,,SUMPRODUCT(MAX(ROW(E$1:E4926)*(E2=E$1:E4926))))))</f>
        <v> </v>
      </c>
      <c r="K4927" s="25" t="str">
        <f>IF(OR(E4927="",E4927="!!!",F4927="NEW"),"",INDEX(J$1:J4926,SUMPRODUCT(MAX(ROW(E$1:E4926)*(E4927=E$1:E4926)))))</f>
        <v> </v>
      </c>
      <c r="L4927" s="26"/>
    </row>
    <row r="4928" spans="1:12">
      <c r="A4928" s="20" t="s">
        <v>757</v>
      </c>
      <c r="E4928" s="21">
        <f>IF(D4928="?OLD","!!!","")</f>
        <v/>
      </c>
      <c r="F4928" s="22" t="str">
        <f>IF(OR(E4928="",E4928="!!!"),"",IF(NOT(ISNA(VLOOKUP(E4928,E$1:E4927,1,FALSE()))),"OLD",IF(AND(E4928&lt;&gt;"",E4928&lt;&gt;"!!!"),"NEW","")))</f>
        <v> </v>
      </c>
      <c r="G4928" s="23" t="str">
        <f>IF(OR(E4928="",E4928="!!!"),"",IF(OR(J4928=0,AND(J4928=1,K4928=1),AND(J4928=1,I4928="SBJ"),AND(J4928=1,I4928=0)),"?IN_FOCUS",IF(J4928&lt;=2,"?ACTIVATED",IF(J4928&lt;&gt;"","?FAMILIAR",IF(F4928="NEW",IF(ISNA(VLOOKUP(E4928,#REF!,1,FALSE())),"?TYPE_IDENTIFIABLE","?REFERENTIAL"),"_")))))</f>
        <v> </v>
      </c>
      <c r="H4928" s="24" t="str">
        <f>IF(J4928&lt;&gt;1,"",IF(I4928="SBJ","CB","?"))</f>
        <v> </v>
      </c>
      <c r="I4928" s="25" t="str">
        <f>IF(OR(E4928="",E4928="!!!",F4928="NEW"),"",INDEX(B4927:B$2,-1+SUMPRODUCT(MAX(ROW(E4927:E$2)*(E4928=E4927:E$2)))))</f>
        <v> </v>
      </c>
      <c r="J4928" s="25" t="str">
        <f>IF(OR(E4928="",E4928="!!!",F4928="NEW"),"",COUNTBLANK(OFFSET(A$1,,,SUMPRODUCT(MAX(ROW(E$2:E4928)*(E4928=E$2:E4928)))))-COUNTBLANK(OFFSET(A$1,,,SUMPRODUCT(MAX(ROW(E$1:E4927)*(E2=E$1:E4927))))))</f>
        <v> </v>
      </c>
      <c r="K4928" s="25" t="str">
        <f>IF(OR(E4928="",E4928="!!!",F4928="NEW"),"",INDEX(J$1:J4927,SUMPRODUCT(MAX(ROW(E$1:E4927)*(E4928=E$1:E4927)))))</f>
        <v> </v>
      </c>
      <c r="L4928" s="26"/>
    </row>
    <row r="4929" spans="1:12">
      <c r="A4929" s="20" t="s">
        <v>890</v>
      </c>
      <c r="B4929" s="27" t="s">
        <v>1272</v>
      </c>
      <c r="C4929" s="27" t="s">
        <v>820</v>
      </c>
      <c r="D4929" s="27" t="s">
        <v>762</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798</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2053</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804</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954</v>
      </c>
      <c r="B4933" s="27" t="s">
        <v>1076</v>
      </c>
      <c r="C4933" s="27" t="s">
        <v>777</v>
      </c>
      <c r="D4933" s="27" t="s">
        <v>762</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793</v>
      </c>
      <c r="B4934" s="27" t="s">
        <v>1131</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959</v>
      </c>
      <c r="B4935" s="27" t="s">
        <v>1172</v>
      </c>
      <c r="C4935" s="27" t="s">
        <v>777</v>
      </c>
      <c r="D4935" s="27" t="s">
        <v>762</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918</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774</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row>
    <row r="4939" spans="1:12">
      <c r="A4939" s="20" t="s">
        <v>2054</v>
      </c>
    </row>
    <row r="4940" spans="1:12">
      <c r="A4940" s="20" t="s">
        <v>983</v>
      </c>
      <c r="B4940" s="27" t="s">
        <v>760</v>
      </c>
      <c r="C4940" s="27" t="s">
        <v>797</v>
      </c>
      <c r="D4940" s="27" t="s">
        <v>762</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1576</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793</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838</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943</v>
      </c>
      <c r="B4944" s="27" t="s">
        <v>796</v>
      </c>
      <c r="C4944" s="27" t="s">
        <v>761</v>
      </c>
      <c r="D4944" s="27" t="s">
        <v>762</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903</v>
      </c>
      <c r="B4945" s="27" t="s">
        <v>802</v>
      </c>
      <c r="C4945" s="27" t="s">
        <v>797</v>
      </c>
      <c r="D4945" s="27" t="s">
        <v>762</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1004</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1752</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785</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822</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2055</v>
      </c>
      <c r="B4950" s="27" t="s">
        <v>772</v>
      </c>
      <c r="C4950" s="27" t="s">
        <v>761</v>
      </c>
      <c r="D4950" s="27" t="s">
        <v>762</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785</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822</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1600</v>
      </c>
      <c r="B4953" s="27" t="s">
        <v>772</v>
      </c>
      <c r="C4953" s="27" t="s">
        <v>761</v>
      </c>
      <c r="D4953" s="27" t="s">
        <v>762</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1050</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827</v>
      </c>
      <c r="B4955" s="27" t="s">
        <v>941</v>
      </c>
      <c r="C4955" s="27" t="s">
        <v>797</v>
      </c>
      <c r="D4955" s="27" t="s">
        <v>762</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909</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2056</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770</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2057</v>
      </c>
      <c r="B4959" s="27" t="s">
        <v>940</v>
      </c>
      <c r="C4959" s="27" t="s">
        <v>761</v>
      </c>
      <c r="D4959" s="27" t="s">
        <v>762</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875</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770</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t="s">
        <v>1578</v>
      </c>
      <c r="B4962" s="27" t="s">
        <v>901</v>
      </c>
      <c r="C4962" s="27" t="s">
        <v>761</v>
      </c>
      <c r="D4962" s="27" t="s">
        <v>762</v>
      </c>
      <c r="E4962" s="21">
        <f>IF(D4962="?OLD","!!!","")</f>
        <v/>
      </c>
      <c r="F4962" s="22" t="str">
        <f>IF(OR(E4962="",E4962="!!!"),"",IF(NOT(ISNA(VLOOKUP(E4962,E$1:E4961,1,FALSE()))),"OLD",IF(AND(E4962&lt;&gt;"",E4962&lt;&gt;"!!!"),"NEW","")))</f>
        <v> </v>
      </c>
      <c r="G4962" s="23" t="str">
        <f>IF(OR(E4962="",E4962="!!!"),"",IF(OR(J4962=0,AND(J4962=1,K4962=1),AND(J4962=1,I4962="SBJ"),AND(J4962=1,I4962=0)),"?IN_FOCUS",IF(J4962&lt;=2,"?ACTIVATED",IF(J4962&lt;&gt;"","?FAMILIAR",IF(F4962="NEW",IF(ISNA(VLOOKUP(E4962,#REF!,1,FALSE())),"?TYPE_IDENTIFIABLE","?REFERENTIAL"),"_")))))</f>
        <v> </v>
      </c>
      <c r="H4962" s="24" t="str">
        <f>IF(J4962&lt;&gt;1,"",IF(I4962="SBJ","CB","?"))</f>
        <v> </v>
      </c>
      <c r="I4962" s="25" t="str">
        <f>IF(OR(E4962="",E4962="!!!",F4962="NEW"),"",INDEX(B4961:B$2,-1+SUMPRODUCT(MAX(ROW(E4961:E$2)*(E4962=E4961:E$2)))))</f>
        <v> </v>
      </c>
      <c r="J4962" s="25" t="str">
        <f>IF(OR(E4962="",E4962="!!!",F4962="NEW"),"",COUNTBLANK(OFFSET(A$1,,,SUMPRODUCT(MAX(ROW(E$2:E4962)*(E4962=E$2:E4962)))))-COUNTBLANK(OFFSET(A$1,,,SUMPRODUCT(MAX(ROW(E$1:E4961)*(E2=E$1:E4961))))))</f>
        <v> </v>
      </c>
      <c r="K4962" s="25" t="str">
        <f>IF(OR(E4962="",E4962="!!!",F4962="NEW"),"",INDEX(J$1:J4961,SUMPRODUCT(MAX(ROW(E$1:E4961)*(E4962=E$1:E4961)))))</f>
        <v> </v>
      </c>
      <c r="L4962" s="26"/>
    </row>
    <row r="4963" spans="1:12">
      <c r="A4963" s="20" t="s">
        <v>774</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row>
    <row r="4965" spans="1:12">
      <c r="A4965" s="20" t="s">
        <v>2058</v>
      </c>
    </row>
    <row r="4966" spans="1:12">
      <c r="A4966" s="20" t="s">
        <v>908</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869</v>
      </c>
      <c r="B4967" s="27" t="s">
        <v>760</v>
      </c>
      <c r="C4967" s="27" t="s">
        <v>797</v>
      </c>
      <c r="D4967" s="27" t="s">
        <v>762</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798</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870</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804</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2059</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793</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827</v>
      </c>
      <c r="B4973" s="27" t="s">
        <v>796</v>
      </c>
      <c r="C4973" s="27" t="s">
        <v>797</v>
      </c>
      <c r="D4973" s="27" t="s">
        <v>762</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1588</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2060</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959</v>
      </c>
      <c r="B4976" s="27" t="s">
        <v>802</v>
      </c>
      <c r="C4976" s="27" t="s">
        <v>777</v>
      </c>
      <c r="D4976" s="27" t="s">
        <v>762</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1322</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869</v>
      </c>
      <c r="B4978" s="27" t="s">
        <v>956</v>
      </c>
      <c r="C4978" s="27" t="s">
        <v>797</v>
      </c>
      <c r="D4978" s="27" t="s">
        <v>762</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811</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828</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t="s">
        <v>804</v>
      </c>
      <c r="E4981" s="21">
        <f>IF(D4981="?OLD","!!!","")</f>
        <v/>
      </c>
      <c r="F4981" s="22" t="str">
        <f>IF(OR(E4981="",E4981="!!!"),"",IF(NOT(ISNA(VLOOKUP(E4981,E$1:E4980,1,FALSE()))),"OLD",IF(AND(E4981&lt;&gt;"",E4981&lt;&gt;"!!!"),"NEW","")))</f>
        <v> </v>
      </c>
      <c r="G4981" s="23" t="str">
        <f>IF(OR(E4981="",E4981="!!!"),"",IF(OR(J4981=0,AND(J4981=1,K4981=1),AND(J4981=1,I4981="SBJ"),AND(J4981=1,I4981=0)),"?IN_FOCUS",IF(J4981&lt;=2,"?ACTIVATED",IF(J4981&lt;&gt;"","?FAMILIAR",IF(F4981="NEW",IF(ISNA(VLOOKUP(E4981,#REF!,1,FALSE())),"?TYPE_IDENTIFIABLE","?REFERENTIAL"),"_")))))</f>
        <v> </v>
      </c>
      <c r="H4981" s="24" t="str">
        <f>IF(J4981&lt;&gt;1,"",IF(I4981="SBJ","CB","?"))</f>
        <v> </v>
      </c>
      <c r="I4981" s="25" t="str">
        <f>IF(OR(E4981="",E4981="!!!",F4981="NEW"),"",INDEX(B4980:B$2,-1+SUMPRODUCT(MAX(ROW(E4980:E$2)*(E4981=E4980:E$2)))))</f>
        <v> </v>
      </c>
      <c r="J4981" s="25" t="str">
        <f>IF(OR(E4981="",E4981="!!!",F4981="NEW"),"",COUNTBLANK(OFFSET(A$1,,,SUMPRODUCT(MAX(ROW(E$2:E4981)*(E4981=E$2:E4981)))))-COUNTBLANK(OFFSET(A$1,,,SUMPRODUCT(MAX(ROW(E$1:E4980)*(E2=E$1:E4980))))))</f>
        <v> </v>
      </c>
      <c r="K4981" s="25" t="str">
        <f>IF(OR(E4981="",E4981="!!!",F4981="NEW"),"",INDEX(J$1:J4980,SUMPRODUCT(MAX(ROW(E$1:E4980)*(E4981=E$1:E4980)))))</f>
        <v> </v>
      </c>
      <c r="L4981" s="26"/>
    </row>
    <row r="4982" spans="1:12">
      <c r="A4982" s="20" t="s">
        <v>1364</v>
      </c>
      <c r="E4982" s="21">
        <f>IF(D4982="?OLD","!!!","")</f>
        <v/>
      </c>
      <c r="F4982" s="22" t="str">
        <f>IF(OR(E4982="",E4982="!!!"),"",IF(NOT(ISNA(VLOOKUP(E4982,E$1:E4981,1,FALSE()))),"OLD",IF(AND(E4982&lt;&gt;"",E4982&lt;&gt;"!!!"),"NEW","")))</f>
        <v> </v>
      </c>
      <c r="G4982" s="23" t="str">
        <f>IF(OR(E4982="",E4982="!!!"),"",IF(OR(J4982=0,AND(J4982=1,K4982=1),AND(J4982=1,I4982="SBJ"),AND(J4982=1,I4982=0)),"?IN_FOCUS",IF(J4982&lt;=2,"?ACTIVATED",IF(J4982&lt;&gt;"","?FAMILIAR",IF(F4982="NEW",IF(ISNA(VLOOKUP(E4982,#REF!,1,FALSE())),"?TYPE_IDENTIFIABLE","?REFERENTIAL"),"_")))))</f>
        <v> </v>
      </c>
      <c r="H4982" s="24" t="str">
        <f>IF(J4982&lt;&gt;1,"",IF(I4982="SBJ","CB","?"))</f>
        <v> </v>
      </c>
      <c r="I4982" s="25" t="str">
        <f>IF(OR(E4982="",E4982="!!!",F4982="NEW"),"",INDEX(B4981:B$2,-1+SUMPRODUCT(MAX(ROW(E4981:E$2)*(E4982=E4981:E$2)))))</f>
        <v> </v>
      </c>
      <c r="J4982" s="25" t="str">
        <f>IF(OR(E4982="",E4982="!!!",F4982="NEW"),"",COUNTBLANK(OFFSET(A$1,,,SUMPRODUCT(MAX(ROW(E$2:E4982)*(E4982=E$2:E4982)))))-COUNTBLANK(OFFSET(A$1,,,SUMPRODUCT(MAX(ROW(E$1:E4981)*(E2=E$1:E4981))))))</f>
        <v> </v>
      </c>
      <c r="K4982" s="25" t="str">
        <f>IF(OR(E4982="",E4982="!!!",F4982="NEW"),"",INDEX(J$1:J4981,SUMPRODUCT(MAX(ROW(E$1:E4981)*(E4982=E$1:E4981)))))</f>
        <v> </v>
      </c>
      <c r="L4982" s="26"/>
    </row>
    <row r="4983" spans="1:12">
      <c r="A4983" s="20" t="s">
        <v>1322</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2061</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872</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878</v>
      </c>
      <c r="B4986" s="27" t="s">
        <v>901</v>
      </c>
      <c r="C4986" s="27" t="s">
        <v>851</v>
      </c>
      <c r="D4986" s="27" t="s">
        <v>762</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1744</v>
      </c>
      <c r="B4987" s="27" t="s">
        <v>879</v>
      </c>
      <c r="C4987" s="27" t="s">
        <v>837</v>
      </c>
      <c r="D4987" s="27" t="s">
        <v>762</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769</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2062</v>
      </c>
      <c r="B4989" s="27" t="s">
        <v>901</v>
      </c>
      <c r="C4989" s="27" t="s">
        <v>754</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774</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row>
    <row r="4992" spans="1:12">
      <c r="A4992" s="20" t="s">
        <v>2063</v>
      </c>
    </row>
    <row r="4993" spans="1:12">
      <c r="A4993" s="20" t="s">
        <v>1037</v>
      </c>
      <c r="B4993" s="27" t="s">
        <v>760</v>
      </c>
      <c r="C4993" s="27" t="s">
        <v>797</v>
      </c>
      <c r="D4993" s="27" t="s">
        <v>762</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909</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2064</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792</v>
      </c>
      <c r="B4996" s="27" t="s">
        <v>767</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805</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939</v>
      </c>
      <c r="B4998" s="27" t="s">
        <v>772</v>
      </c>
      <c r="C4998" s="27" t="s">
        <v>754</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2065</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t="s">
        <v>757</v>
      </c>
      <c r="E5000" s="21">
        <f>IF(D5000="?OLD","!!!","")</f>
        <v/>
      </c>
      <c r="F5000" s="22" t="str">
        <f>IF(OR(E5000="",E5000="!!!"),"",IF(NOT(ISNA(VLOOKUP(E5000,E$1:E4999,1,FALSE()))),"OLD",IF(AND(E5000&lt;&gt;"",E5000&lt;&gt;"!!!"),"NEW","")))</f>
        <v> </v>
      </c>
      <c r="G5000" s="23" t="str">
        <f>IF(OR(E5000="",E5000="!!!"),"",IF(OR(J5000=0,AND(J5000=1,K5000=1),AND(J5000=1,I5000="SBJ"),AND(J5000=1,I5000=0)),"?IN_FOCUS",IF(J5000&lt;=2,"?ACTIVATED",IF(J5000&lt;&gt;"","?FAMILIAR",IF(F5000="NEW",IF(ISNA(VLOOKUP(E5000,#REF!,1,FALSE())),"?TYPE_IDENTIFIABLE","?REFERENTIAL"),"_")))))</f>
        <v> </v>
      </c>
      <c r="H5000" s="24" t="str">
        <f>IF(J5000&lt;&gt;1,"",IF(I5000="SBJ","CB","?"))</f>
        <v> </v>
      </c>
      <c r="I5000" s="25" t="str">
        <f>IF(OR(E5000="",E5000="!!!",F5000="NEW"),"",INDEX(B4999:B$2,-1+SUMPRODUCT(MAX(ROW(E4999:E$2)*(E5000=E4999:E$2)))))</f>
        <v> </v>
      </c>
      <c r="J5000" s="25" t="str">
        <f>IF(OR(E5000="",E5000="!!!",F5000="NEW"),"",COUNTBLANK(OFFSET(A$1,,,SUMPRODUCT(MAX(ROW(E$2:E5000)*(E5000=E$2:E5000)))))-COUNTBLANK(OFFSET(A$1,,,SUMPRODUCT(MAX(ROW(E$1:E4999)*(E2=E$1:E4999))))))</f>
        <v> </v>
      </c>
      <c r="K5000" s="25" t="str">
        <f>IF(OR(E5000="",E5000="!!!",F5000="NEW"),"",INDEX(J$1:J4999,SUMPRODUCT(MAX(ROW(E$1:E4999)*(E5000=E$1:E4999)))))</f>
        <v> </v>
      </c>
      <c r="L5000" s="26"/>
    </row>
    <row r="5001" spans="1:12">
      <c r="A5001" s="20" t="s">
        <v>793</v>
      </c>
      <c r="E5001" s="21">
        <f>IF(D5001="?OLD","!!!","")</f>
        <v/>
      </c>
      <c r="F5001" s="22" t="str">
        <f>IF(OR(E5001="",E5001="!!!"),"",IF(NOT(ISNA(VLOOKUP(E5001,E$1:E5000,1,FALSE()))),"OLD",IF(AND(E5001&lt;&gt;"",E5001&lt;&gt;"!!!"),"NEW","")))</f>
        <v> </v>
      </c>
      <c r="G5001" s="23" t="str">
        <f>IF(OR(E5001="",E5001="!!!"),"",IF(OR(J5001=0,AND(J5001=1,K5001=1),AND(J5001=1,I5001="SBJ"),AND(J5001=1,I5001=0)),"?IN_FOCUS",IF(J5001&lt;=2,"?ACTIVATED",IF(J5001&lt;&gt;"","?FAMILIAR",IF(F5001="NEW",IF(ISNA(VLOOKUP(E5001,#REF!,1,FALSE())),"?TYPE_IDENTIFIABLE","?REFERENTIAL"),"_")))))</f>
        <v> </v>
      </c>
      <c r="H5001" s="24" t="str">
        <f>IF(J5001&lt;&gt;1,"",IF(I5001="SBJ","CB","?"))</f>
        <v> </v>
      </c>
      <c r="I5001" s="25" t="str">
        <f>IF(OR(E5001="",E5001="!!!",F5001="NEW"),"",INDEX(B5000:B$2,-1+SUMPRODUCT(MAX(ROW(E5000:E$2)*(E5001=E5000:E$2)))))</f>
        <v> </v>
      </c>
      <c r="J5001" s="25" t="str">
        <f>IF(OR(E5001="",E5001="!!!",F5001="NEW"),"",COUNTBLANK(OFFSET(A$1,,,SUMPRODUCT(MAX(ROW(E$2:E5001)*(E5001=E$2:E5001)))))-COUNTBLANK(OFFSET(A$1,,,SUMPRODUCT(MAX(ROW(E$1:E5000)*(E2=E$1:E5000))))))</f>
        <v> </v>
      </c>
      <c r="K5001" s="25" t="str">
        <f>IF(OR(E5001="",E5001="!!!",F5001="NEW"),"",INDEX(J$1:J5000,SUMPRODUCT(MAX(ROW(E$1:E5000)*(E5001=E$1:E5000)))))</f>
        <v> </v>
      </c>
      <c r="L5001" s="26"/>
    </row>
    <row r="5002" spans="1:12">
      <c r="A5002" s="20" t="s">
        <v>869</v>
      </c>
      <c r="B5002" s="27" t="s">
        <v>796</v>
      </c>
      <c r="C5002" s="27" t="s">
        <v>797</v>
      </c>
      <c r="D5002" s="27" t="s">
        <v>762</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870</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2066</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2067</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872</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931</v>
      </c>
      <c r="B5007" s="27" t="s">
        <v>879</v>
      </c>
      <c r="C5007" s="27" t="s">
        <v>851</v>
      </c>
      <c r="D5007" s="27" t="s">
        <v>762</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2068</v>
      </c>
      <c r="B5008" s="27" t="s">
        <v>772</v>
      </c>
      <c r="C5008" s="27" t="s">
        <v>837</v>
      </c>
      <c r="D5008" s="27" t="s">
        <v>762</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2069</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774</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row>
    <row r="5012" spans="1:12">
      <c r="A5012" s="20" t="s">
        <v>2070</v>
      </c>
    </row>
    <row r="5013" spans="1:12">
      <c r="A5013" s="20" t="s">
        <v>1037</v>
      </c>
      <c r="B5013" s="27" t="s">
        <v>760</v>
      </c>
      <c r="C5013" s="27" t="s">
        <v>797</v>
      </c>
      <c r="D5013" s="27" t="s">
        <v>762</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909</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1386</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t="s">
        <v>855</v>
      </c>
      <c r="E5016" s="21">
        <f>IF(D5016="?OLD","!!!","")</f>
        <v/>
      </c>
      <c r="F5016" s="22" t="str">
        <f>IF(OR(E5016="",E5016="!!!"),"",IF(NOT(ISNA(VLOOKUP(E5016,E$1:E5015,1,FALSE()))),"OLD",IF(AND(E5016&lt;&gt;"",E5016&lt;&gt;"!!!"),"NEW","")))</f>
        <v> </v>
      </c>
      <c r="G5016" s="23" t="str">
        <f>IF(OR(E5016="",E5016="!!!"),"",IF(OR(J5016=0,AND(J5016=1,K5016=1),AND(J5016=1,I5016="SBJ"),AND(J5016=1,I5016=0)),"?IN_FOCUS",IF(J5016&lt;=2,"?ACTIVATED",IF(J5016&lt;&gt;"","?FAMILIAR",IF(F5016="NEW",IF(ISNA(VLOOKUP(E5016,#REF!,1,FALSE())),"?TYPE_IDENTIFIABLE","?REFERENTIAL"),"_")))))</f>
        <v> </v>
      </c>
      <c r="H5016" s="24" t="str">
        <f>IF(J5016&lt;&gt;1,"",IF(I5016="SBJ","CB","?"))</f>
        <v> </v>
      </c>
      <c r="I5016" s="25" t="str">
        <f>IF(OR(E5016="",E5016="!!!",F5016="NEW"),"",INDEX(B5015:B$2,-1+SUMPRODUCT(MAX(ROW(E5015:E$2)*(E5016=E5015:E$2)))))</f>
        <v> </v>
      </c>
      <c r="J5016" s="25" t="str">
        <f>IF(OR(E5016="",E5016="!!!",F5016="NEW"),"",COUNTBLANK(OFFSET(A$1,,,SUMPRODUCT(MAX(ROW(E$2:E5016)*(E5016=E$2:E5016)))))-COUNTBLANK(OFFSET(A$1,,,SUMPRODUCT(MAX(ROW(E$1:E5015)*(E2=E$1:E5015))))))</f>
        <v> </v>
      </c>
      <c r="K5016" s="25" t="str">
        <f>IF(OR(E5016="",E5016="!!!",F5016="NEW"),"",INDEX(J$1:J5015,SUMPRODUCT(MAX(ROW(E$1:E5015)*(E5016=E$1:E5015)))))</f>
        <v> </v>
      </c>
      <c r="L5016" s="26"/>
    </row>
    <row r="5017" spans="1:12">
      <c r="A5017" s="20" t="s">
        <v>770</v>
      </c>
      <c r="E5017" s="21">
        <f>IF(D5017="?OLD","!!!","")</f>
        <v/>
      </c>
      <c r="F5017" s="22" t="str">
        <f>IF(OR(E5017="",E5017="!!!"),"",IF(NOT(ISNA(VLOOKUP(E5017,E$1:E5016,1,FALSE()))),"OLD",IF(AND(E5017&lt;&gt;"",E5017&lt;&gt;"!!!"),"NEW","")))</f>
        <v> </v>
      </c>
      <c r="G5017" s="23" t="str">
        <f>IF(OR(E5017="",E5017="!!!"),"",IF(OR(J5017=0,AND(J5017=1,K5017=1),AND(J5017=1,I5017="SBJ"),AND(J5017=1,I5017=0)),"?IN_FOCUS",IF(J5017&lt;=2,"?ACTIVATED",IF(J5017&lt;&gt;"","?FAMILIAR",IF(F5017="NEW",IF(ISNA(VLOOKUP(E5017,#REF!,1,FALSE())),"?TYPE_IDENTIFIABLE","?REFERENTIAL"),"_")))))</f>
        <v> </v>
      </c>
      <c r="H5017" s="24" t="str">
        <f>IF(J5017&lt;&gt;1,"",IF(I5017="SBJ","CB","?"))</f>
        <v> </v>
      </c>
      <c r="I5017" s="25" t="str">
        <f>IF(OR(E5017="",E5017="!!!",F5017="NEW"),"",INDEX(B5016:B$2,-1+SUMPRODUCT(MAX(ROW(E5016:E$2)*(E5017=E5016:E$2)))))</f>
        <v> </v>
      </c>
      <c r="J5017" s="25" t="str">
        <f>IF(OR(E5017="",E5017="!!!",F5017="NEW"),"",COUNTBLANK(OFFSET(A$1,,,SUMPRODUCT(MAX(ROW(E$2:E5017)*(E5017=E$2:E5017)))))-COUNTBLANK(OFFSET(A$1,,,SUMPRODUCT(MAX(ROW(E$1:E5016)*(E2=E$1:E5016))))))</f>
        <v> </v>
      </c>
      <c r="K5017" s="25" t="str">
        <f>IF(OR(E5017="",E5017="!!!",F5017="NEW"),"",INDEX(J$1:J5016,SUMPRODUCT(MAX(ROW(E$1:E5016)*(E5017=E$1:E5016)))))</f>
        <v> </v>
      </c>
      <c r="L5017" s="26"/>
    </row>
    <row r="5018" spans="1:12">
      <c r="A5018" s="20" t="s">
        <v>2071</v>
      </c>
      <c r="B5018" s="27" t="s">
        <v>796</v>
      </c>
      <c r="C5018" s="27" t="s">
        <v>761</v>
      </c>
      <c r="D5018" s="27" t="s">
        <v>762</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1202</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2072</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770</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960</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2073</v>
      </c>
      <c r="B5023" s="27" t="s">
        <v>894</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769</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838</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2074</v>
      </c>
      <c r="B5026" s="27" t="s">
        <v>901</v>
      </c>
      <c r="C5026" s="27" t="s">
        <v>761</v>
      </c>
      <c r="D5026" s="27" t="s">
        <v>762</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774</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row>
    <row r="5029" spans="1:12">
      <c r="A5029" s="20" t="s">
        <v>2075</v>
      </c>
    </row>
    <row r="5030" spans="1:12">
      <c r="A5030" s="20" t="s">
        <v>1350</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1159</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11</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1444</v>
      </c>
      <c r="B5033" s="27" t="s">
        <v>753</v>
      </c>
      <c r="C5033" s="27" t="s">
        <v>1019</v>
      </c>
      <c r="D5033" s="27" t="s">
        <v>762</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757</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827</v>
      </c>
      <c r="B5035" s="27" t="s">
        <v>760</v>
      </c>
      <c r="C5035" s="27" t="s">
        <v>797</v>
      </c>
      <c r="D5035" s="27" t="s">
        <v>762</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909</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2076</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810</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827</v>
      </c>
      <c r="B5039" s="27" t="s">
        <v>796</v>
      </c>
      <c r="C5039" s="27" t="s">
        <v>797</v>
      </c>
      <c r="D5039" s="27" t="s">
        <v>762</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909</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1364</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2077</v>
      </c>
      <c r="B5042" s="27" t="s">
        <v>753</v>
      </c>
      <c r="C5042" s="27" t="s">
        <v>754</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769</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770</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2078</v>
      </c>
      <c r="B5045" s="27" t="s">
        <v>772</v>
      </c>
      <c r="C5045" s="27" t="s">
        <v>837</v>
      </c>
      <c r="D5045" s="27" t="s">
        <v>762</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2079</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769</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1026</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2080</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2081</v>
      </c>
      <c r="B5050" s="27" t="s">
        <v>879</v>
      </c>
      <c r="C5050" s="27" t="s">
        <v>1019</v>
      </c>
      <c r="D5050" s="27" t="s">
        <v>762</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t="s">
        <v>757</v>
      </c>
      <c r="E5051" s="21">
        <f>IF(D5051="?OLD","!!!","")</f>
        <v/>
      </c>
      <c r="F5051" s="22" t="str">
        <f>IF(OR(E5051="",E5051="!!!"),"",IF(NOT(ISNA(VLOOKUP(E5051,E$1:E5050,1,FALSE()))),"OLD",IF(AND(E5051&lt;&gt;"",E5051&lt;&gt;"!!!"),"NEW","")))</f>
        <v> </v>
      </c>
      <c r="G5051" s="23" t="str">
        <f>IF(OR(E5051="",E5051="!!!"),"",IF(OR(J5051=0,AND(J5051=1,K5051=1),AND(J5051=1,I5051="SBJ"),AND(J5051=1,I5051=0)),"?IN_FOCUS",IF(J5051&lt;=2,"?ACTIVATED",IF(J5051&lt;&gt;"","?FAMILIAR",IF(F5051="NEW",IF(ISNA(VLOOKUP(E5051,#REF!,1,FALSE())),"?TYPE_IDENTIFIABLE","?REFERENTIAL"),"_")))))</f>
        <v> </v>
      </c>
      <c r="H5051" s="24" t="str">
        <f>IF(J5051&lt;&gt;1,"",IF(I5051="SBJ","CB","?"))</f>
        <v> </v>
      </c>
      <c r="I5051" s="25" t="str">
        <f>IF(OR(E5051="",E5051="!!!",F5051="NEW"),"",INDEX(B5050:B$2,-1+SUMPRODUCT(MAX(ROW(E5050:E$2)*(E5051=E5050:E$2)))))</f>
        <v> </v>
      </c>
      <c r="J5051" s="25" t="str">
        <f>IF(OR(E5051="",E5051="!!!",F5051="NEW"),"",COUNTBLANK(OFFSET(A$1,,,SUMPRODUCT(MAX(ROW(E$2:E5051)*(E5051=E$2:E5051)))))-COUNTBLANK(OFFSET(A$1,,,SUMPRODUCT(MAX(ROW(E$1:E5050)*(E2=E$1:E5050))))))</f>
        <v> </v>
      </c>
      <c r="K5051" s="25" t="str">
        <f>IF(OR(E5051="",E5051="!!!",F5051="NEW"),"",INDEX(J$1:J5050,SUMPRODUCT(MAX(ROW(E$1:E5050)*(E5051=E$1:E5050)))))</f>
        <v> </v>
      </c>
      <c r="L5051" s="26"/>
    </row>
    <row r="5052" spans="1:12">
      <c r="A5052" s="20" t="s">
        <v>869</v>
      </c>
      <c r="B5052" s="27" t="s">
        <v>796</v>
      </c>
      <c r="C5052" s="27" t="s">
        <v>797</v>
      </c>
      <c r="D5052" s="27" t="s">
        <v>762</v>
      </c>
      <c r="E5052" s="21">
        <f>IF(D5052="?OLD","!!!","")</f>
        <v/>
      </c>
      <c r="F5052" s="22" t="str">
        <f>IF(OR(E5052="",E5052="!!!"),"",IF(NOT(ISNA(VLOOKUP(E5052,E$1:E5051,1,FALSE()))),"OLD",IF(AND(E5052&lt;&gt;"",E5052&lt;&gt;"!!!"),"NEW","")))</f>
        <v> </v>
      </c>
      <c r="G5052" s="23" t="str">
        <f>IF(OR(E5052="",E5052="!!!"),"",IF(OR(J5052=0,AND(J5052=1,K5052=1),AND(J5052=1,I5052="SBJ"),AND(J5052=1,I5052=0)),"?IN_FOCUS",IF(J5052&lt;=2,"?ACTIVATED",IF(J5052&lt;&gt;"","?FAMILIAR",IF(F5052="NEW",IF(ISNA(VLOOKUP(E5052,#REF!,1,FALSE())),"?TYPE_IDENTIFIABLE","?REFERENTIAL"),"_")))))</f>
        <v> </v>
      </c>
      <c r="H5052" s="24" t="str">
        <f>IF(J5052&lt;&gt;1,"",IF(I5052="SBJ","CB","?"))</f>
        <v> </v>
      </c>
      <c r="I5052" s="25" t="str">
        <f>IF(OR(E5052="",E5052="!!!",F5052="NEW"),"",INDEX(B5051:B$2,-1+SUMPRODUCT(MAX(ROW(E5051:E$2)*(E5052=E5051:E$2)))))</f>
        <v> </v>
      </c>
      <c r="J5052" s="25" t="str">
        <f>IF(OR(E5052="",E5052="!!!",F5052="NEW"),"",COUNTBLANK(OFFSET(A$1,,,SUMPRODUCT(MAX(ROW(E$2:E5052)*(E5052=E$2:E5052)))))-COUNTBLANK(OFFSET(A$1,,,SUMPRODUCT(MAX(ROW(E$1:E5051)*(E2=E$1:E5051))))))</f>
        <v> </v>
      </c>
      <c r="K5052" s="25" t="str">
        <f>IF(OR(E5052="",E5052="!!!",F5052="NEW"),"",INDEX(J$1:J5051,SUMPRODUCT(MAX(ROW(E$1:E5051)*(E5052=E$1:E5051)))))</f>
        <v> </v>
      </c>
      <c r="L5052" s="26"/>
    </row>
    <row r="5053" spans="1:12">
      <c r="A5053" s="20" t="s">
        <v>2082</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903</v>
      </c>
      <c r="B5054" s="27" t="s">
        <v>894</v>
      </c>
      <c r="C5054" s="27" t="s">
        <v>797</v>
      </c>
      <c r="D5054" s="27" t="s">
        <v>762</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996</v>
      </c>
      <c r="B5055" s="27" t="s">
        <v>894</v>
      </c>
      <c r="C5055" s="27" t="s">
        <v>820</v>
      </c>
      <c r="D5055" s="27" t="s">
        <v>762</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2083</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810</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722</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855</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959</v>
      </c>
      <c r="B5060" s="27" t="s">
        <v>941</v>
      </c>
      <c r="C5060" s="27" t="s">
        <v>777</v>
      </c>
      <c r="D5060" s="27" t="s">
        <v>762</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1202</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2084</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1115</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822</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t="s">
        <v>2085</v>
      </c>
      <c r="B5065" s="27" t="s">
        <v>1076</v>
      </c>
      <c r="C5065" s="27" t="s">
        <v>761</v>
      </c>
      <c r="D5065" s="27" t="s">
        <v>762</v>
      </c>
      <c r="E5065" s="21">
        <f>IF(D5065="?OLD","!!!","")</f>
        <v/>
      </c>
      <c r="F5065" s="22" t="str">
        <f>IF(OR(E5065="",E5065="!!!"),"",IF(NOT(ISNA(VLOOKUP(E5065,E$1:E5064,1,FALSE()))),"OLD",IF(AND(E5065&lt;&gt;"",E5065&lt;&gt;"!!!"),"NEW","")))</f>
        <v> </v>
      </c>
      <c r="G5065" s="23" t="str">
        <f>IF(OR(E5065="",E5065="!!!"),"",IF(OR(J5065=0,AND(J5065=1,K5065=1),AND(J5065=1,I5065="SBJ"),AND(J5065=1,I5065=0)),"?IN_FOCUS",IF(J5065&lt;=2,"?ACTIVATED",IF(J5065&lt;&gt;"","?FAMILIAR",IF(F5065="NEW",IF(ISNA(VLOOKUP(E5065,#REF!,1,FALSE())),"?TYPE_IDENTIFIABLE","?REFERENTIAL"),"_")))))</f>
        <v> </v>
      </c>
      <c r="H5065" s="24" t="str">
        <f>IF(J5065&lt;&gt;1,"",IF(I5065="SBJ","CB","?"))</f>
        <v> </v>
      </c>
      <c r="I5065" s="25" t="str">
        <f>IF(OR(E5065="",E5065="!!!",F5065="NEW"),"",INDEX(B5064:B$2,-1+SUMPRODUCT(MAX(ROW(E5064:E$2)*(E5065=E5064:E$2)))))</f>
        <v> </v>
      </c>
      <c r="J5065" s="25" t="str">
        <f>IF(OR(E5065="",E5065="!!!",F5065="NEW"),"",COUNTBLANK(OFFSET(A$1,,,SUMPRODUCT(MAX(ROW(E$2:E5065)*(E5065=E$2:E5065)))))-COUNTBLANK(OFFSET(A$1,,,SUMPRODUCT(MAX(ROW(E$1:E5064)*(E2=E$1:E5064))))))</f>
        <v> </v>
      </c>
      <c r="K5065" s="25" t="str">
        <f>IF(OR(E5065="",E5065="!!!",F5065="NEW"),"",INDEX(J$1:J5064,SUMPRODUCT(MAX(ROW(E$1:E5064)*(E5065=E$1:E5064)))))</f>
        <v> </v>
      </c>
      <c r="L5065" s="26"/>
    </row>
    <row r="5066" spans="1:12">
      <c r="A5066" s="20" t="s">
        <v>774</v>
      </c>
      <c r="E5066" s="21">
        <f>IF(D5066="?OLD","!!!","")</f>
        <v/>
      </c>
      <c r="F5066" s="22" t="str">
        <f>IF(OR(E5066="",E5066="!!!"),"",IF(NOT(ISNA(VLOOKUP(E5066,E$1:E5065,1,FALSE()))),"OLD",IF(AND(E5066&lt;&gt;"",E5066&lt;&gt;"!!!"),"NEW","")))</f>
        <v> </v>
      </c>
      <c r="G5066" s="23" t="str">
        <f>IF(OR(E5066="",E5066="!!!"),"",IF(OR(J5066=0,AND(J5066=1,K5066=1),AND(J5066=1,I5066="SBJ"),AND(J5066=1,I5066=0)),"?IN_FOCUS",IF(J5066&lt;=2,"?ACTIVATED",IF(J5066&lt;&gt;"","?FAMILIAR",IF(F5066="NEW",IF(ISNA(VLOOKUP(E5066,#REF!,1,FALSE())),"?TYPE_IDENTIFIABLE","?REFERENTIAL"),"_")))))</f>
        <v> </v>
      </c>
      <c r="H5066" s="24" t="str">
        <f>IF(J5066&lt;&gt;1,"",IF(I5066="SBJ","CB","?"))</f>
        <v> </v>
      </c>
      <c r="I5066" s="25" t="str">
        <f>IF(OR(E5066="",E5066="!!!",F5066="NEW"),"",INDEX(B5065:B$2,-1+SUMPRODUCT(MAX(ROW(E5065:E$2)*(E5066=E5065:E$2)))))</f>
        <v> </v>
      </c>
      <c r="J5066" s="25" t="str">
        <f>IF(OR(E5066="",E5066="!!!",F5066="NEW"),"",COUNTBLANK(OFFSET(A$1,,,SUMPRODUCT(MAX(ROW(E$2:E5066)*(E5066=E$2:E5066)))))-COUNTBLANK(OFFSET(A$1,,,SUMPRODUCT(MAX(ROW(E$1:E5065)*(E2=E$1:E5065))))))</f>
        <v> </v>
      </c>
      <c r="K5066" s="25" t="str">
        <f>IF(OR(E5066="",E5066="!!!",F5066="NEW"),"",INDEX(J$1:J5065,SUMPRODUCT(MAX(ROW(E$1:E5065)*(E5066=E$1:E5065)))))</f>
        <v> </v>
      </c>
      <c r="L5066" s="26"/>
    </row>
    <row r="5067" spans="1:12">
      <c r="A5067" s="20"/>
    </row>
    <row r="5068" spans="1:12">
      <c r="A5068" s="20" t="s">
        <v>2086</v>
      </c>
    </row>
    <row r="5069" spans="1:12">
      <c r="A5069" s="20" t="s">
        <v>1058</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793</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757</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1679</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t="s">
        <v>757</v>
      </c>
      <c r="E5073" s="21">
        <f>IF(D5073="?OLD","!!!","")</f>
        <v/>
      </c>
      <c r="F5073" s="22" t="str">
        <f>IF(OR(E5073="",E5073="!!!"),"",IF(NOT(ISNA(VLOOKUP(E5073,E$1:E5072,1,FALSE()))),"OLD",IF(AND(E5073&lt;&gt;"",E5073&lt;&gt;"!!!"),"NEW","")))</f>
        <v> </v>
      </c>
      <c r="G5073" s="23" t="str">
        <f>IF(OR(E5073="",E5073="!!!"),"",IF(OR(J5073=0,AND(J5073=1,K5073=1),AND(J5073=1,I5073="SBJ"),AND(J5073=1,I5073=0)),"?IN_FOCUS",IF(J5073&lt;=2,"?ACTIVATED",IF(J5073&lt;&gt;"","?FAMILIAR",IF(F5073="NEW",IF(ISNA(VLOOKUP(E5073,#REF!,1,FALSE())),"?TYPE_IDENTIFIABLE","?REFERENTIAL"),"_")))))</f>
        <v> </v>
      </c>
      <c r="H5073" s="24" t="str">
        <f>IF(J5073&lt;&gt;1,"",IF(I5073="SBJ","CB","?"))</f>
        <v> </v>
      </c>
      <c r="I5073" s="25" t="str">
        <f>IF(OR(E5073="",E5073="!!!",F5073="NEW"),"",INDEX(B5072:B$2,-1+SUMPRODUCT(MAX(ROW(E5072:E$2)*(E5073=E5072:E$2)))))</f>
        <v> </v>
      </c>
      <c r="J5073" s="25" t="str">
        <f>IF(OR(E5073="",E5073="!!!",F5073="NEW"),"",COUNTBLANK(OFFSET(A$1,,,SUMPRODUCT(MAX(ROW(E$2:E5073)*(E5073=E$2:E5073)))))-COUNTBLANK(OFFSET(A$1,,,SUMPRODUCT(MAX(ROW(E$1:E5072)*(E2=E$1:E5072))))))</f>
        <v> </v>
      </c>
      <c r="K5073" s="25" t="str">
        <f>IF(OR(E5073="",E5073="!!!",F5073="NEW"),"",INDEX(J$1:J5072,SUMPRODUCT(MAX(ROW(E$1:E5072)*(E5073=E$1:E5072)))))</f>
        <v> </v>
      </c>
      <c r="L5073" s="26"/>
    </row>
    <row r="5074" spans="1:12">
      <c r="A5074" s="20" t="s">
        <v>869</v>
      </c>
      <c r="B5074" s="27" t="s">
        <v>796</v>
      </c>
      <c r="C5074" s="27" t="s">
        <v>797</v>
      </c>
      <c r="D5074" s="27" t="s">
        <v>762</v>
      </c>
      <c r="E5074" s="21">
        <f>IF(D5074="?OLD","!!!","")</f>
        <v/>
      </c>
      <c r="F5074" s="22" t="str">
        <f>IF(OR(E5074="",E5074="!!!"),"",IF(NOT(ISNA(VLOOKUP(E5074,E$1:E5073,1,FALSE()))),"OLD",IF(AND(E5074&lt;&gt;"",E5074&lt;&gt;"!!!"),"NEW","")))</f>
        <v> </v>
      </c>
      <c r="G5074" s="23" t="str">
        <f>IF(OR(E5074="",E5074="!!!"),"",IF(OR(J5074=0,AND(J5074=1,K5074=1),AND(J5074=1,I5074="SBJ"),AND(J5074=1,I5074=0)),"?IN_FOCUS",IF(J5074&lt;=2,"?ACTIVATED",IF(J5074&lt;&gt;"","?FAMILIAR",IF(F5074="NEW",IF(ISNA(VLOOKUP(E5074,#REF!,1,FALSE())),"?TYPE_IDENTIFIABLE","?REFERENTIAL"),"_")))))</f>
        <v> </v>
      </c>
      <c r="H5074" s="24" t="str">
        <f>IF(J5074&lt;&gt;1,"",IF(I5074="SBJ","CB","?"))</f>
        <v> </v>
      </c>
      <c r="I5074" s="25" t="str">
        <f>IF(OR(E5074="",E5074="!!!",F5074="NEW"),"",INDEX(B5073:B$2,-1+SUMPRODUCT(MAX(ROW(E5073:E$2)*(E5074=E5073:E$2)))))</f>
        <v> </v>
      </c>
      <c r="J5074" s="25" t="str">
        <f>IF(OR(E5074="",E5074="!!!",F5074="NEW"),"",COUNTBLANK(OFFSET(A$1,,,SUMPRODUCT(MAX(ROW(E$2:E5074)*(E5074=E$2:E5074)))))-COUNTBLANK(OFFSET(A$1,,,SUMPRODUCT(MAX(ROW(E$1:E5073)*(E2=E$1:E5073))))))</f>
        <v> </v>
      </c>
      <c r="K5074" s="25" t="str">
        <f>IF(OR(E5074="",E5074="!!!",F5074="NEW"),"",INDEX(J$1:J5073,SUMPRODUCT(MAX(ROW(E$1:E5073)*(E5074=E$1:E5073)))))</f>
        <v> </v>
      </c>
      <c r="L5074" s="26"/>
    </row>
    <row r="5075" spans="1:12">
      <c r="A5075" s="20" t="s">
        <v>968</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793</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838</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1139</v>
      </c>
      <c r="B5078" s="27" t="s">
        <v>956</v>
      </c>
      <c r="C5078" s="27" t="s">
        <v>761</v>
      </c>
      <c r="D5078" s="27" t="s">
        <v>762</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793</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827</v>
      </c>
      <c r="B5080" s="27" t="s">
        <v>1272</v>
      </c>
      <c r="C5080" s="27" t="s">
        <v>797</v>
      </c>
      <c r="D5080" s="27" t="s">
        <v>762</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828</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2087</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1081</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t="s">
        <v>769</v>
      </c>
      <c r="E5084" s="21">
        <f>IF(D5084="?OLD","!!!","")</f>
        <v/>
      </c>
      <c r="F5084" s="22" t="str">
        <f>IF(OR(E5084="",E5084="!!!"),"",IF(NOT(ISNA(VLOOKUP(E5084,E$1:E5083,1,FALSE()))),"OLD",IF(AND(E5084&lt;&gt;"",E5084&lt;&gt;"!!!"),"NEW","")))</f>
        <v> </v>
      </c>
      <c r="G5084" s="23" t="str">
        <f>IF(OR(E5084="",E5084="!!!"),"",IF(OR(J5084=0,AND(J5084=1,K5084=1),AND(J5084=1,I5084="SBJ"),AND(J5084=1,I5084=0)),"?IN_FOCUS",IF(J5084&lt;=2,"?ACTIVATED",IF(J5084&lt;&gt;"","?FAMILIAR",IF(F5084="NEW",IF(ISNA(VLOOKUP(E5084,#REF!,1,FALSE())),"?TYPE_IDENTIFIABLE","?REFERENTIAL"),"_")))))</f>
        <v> </v>
      </c>
      <c r="H5084" s="24" t="str">
        <f>IF(J5084&lt;&gt;1,"",IF(I5084="SBJ","CB","?"))</f>
        <v> </v>
      </c>
      <c r="I5084" s="25" t="str">
        <f>IF(OR(E5084="",E5084="!!!",F5084="NEW"),"",INDEX(B5083:B$2,-1+SUMPRODUCT(MAX(ROW(E5083:E$2)*(E5084=E5083:E$2)))))</f>
        <v> </v>
      </c>
      <c r="J5084" s="25" t="str">
        <f>IF(OR(E5084="",E5084="!!!",F5084="NEW"),"",COUNTBLANK(OFFSET(A$1,,,SUMPRODUCT(MAX(ROW(E$2:E5084)*(E5084=E$2:E5084)))))-COUNTBLANK(OFFSET(A$1,,,SUMPRODUCT(MAX(ROW(E$1:E5083)*(E2=E$1:E5083))))))</f>
        <v> </v>
      </c>
      <c r="K5084" s="25" t="str">
        <f>IF(OR(E5084="",E5084="!!!",F5084="NEW"),"",INDEX(J$1:J5083,SUMPRODUCT(MAX(ROW(E$1:E5083)*(E5084=E$1:E5083)))))</f>
        <v> </v>
      </c>
      <c r="L5084" s="26"/>
    </row>
    <row r="5085" spans="1:12">
      <c r="A5085" s="20" t="s">
        <v>838</v>
      </c>
      <c r="E5085" s="21">
        <f>IF(D5085="?OLD","!!!","")</f>
        <v/>
      </c>
      <c r="F5085" s="22" t="str">
        <f>IF(OR(E5085="",E5085="!!!"),"",IF(NOT(ISNA(VLOOKUP(E5085,E$1:E5084,1,FALSE()))),"OLD",IF(AND(E5085&lt;&gt;"",E5085&lt;&gt;"!!!"),"NEW","")))</f>
        <v> </v>
      </c>
      <c r="G5085" s="23" t="str">
        <f>IF(OR(E5085="",E5085="!!!"),"",IF(OR(J5085=0,AND(J5085=1,K5085=1),AND(J5085=1,I5085="SBJ"),AND(J5085=1,I5085=0)),"?IN_FOCUS",IF(J5085&lt;=2,"?ACTIVATED",IF(J5085&lt;&gt;"","?FAMILIAR",IF(F5085="NEW",IF(ISNA(VLOOKUP(E5085,#REF!,1,FALSE())),"?TYPE_IDENTIFIABLE","?REFERENTIAL"),"_")))))</f>
        <v> </v>
      </c>
      <c r="H5085" s="24" t="str">
        <f>IF(J5085&lt;&gt;1,"",IF(I5085="SBJ","CB","?"))</f>
        <v> </v>
      </c>
      <c r="I5085" s="25" t="str">
        <f>IF(OR(E5085="",E5085="!!!",F5085="NEW"),"",INDEX(B5084:B$2,-1+SUMPRODUCT(MAX(ROW(E5084:E$2)*(E5085=E5084:E$2)))))</f>
        <v> </v>
      </c>
      <c r="J5085" s="25" t="str">
        <f>IF(OR(E5085="",E5085="!!!",F5085="NEW"),"",COUNTBLANK(OFFSET(A$1,,,SUMPRODUCT(MAX(ROW(E$2:E5085)*(E5085=E$2:E5085)))))-COUNTBLANK(OFFSET(A$1,,,SUMPRODUCT(MAX(ROW(E$1:E5084)*(E2=E$1:E5084))))))</f>
        <v> </v>
      </c>
      <c r="K5085" s="25" t="str">
        <f>IF(OR(E5085="",E5085="!!!",F5085="NEW"),"",INDEX(J$1:J5084,SUMPRODUCT(MAX(ROW(E$1:E5084)*(E5085=E$1:E5084)))))</f>
        <v> </v>
      </c>
      <c r="L5085" s="26"/>
    </row>
    <row r="5086" spans="1:12">
      <c r="A5086" s="20" t="s">
        <v>2088</v>
      </c>
      <c r="B5086" s="27" t="s">
        <v>772</v>
      </c>
      <c r="C5086" s="27" t="s">
        <v>761</v>
      </c>
      <c r="D5086" s="27" t="s">
        <v>762</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757</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2089</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769</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838</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2090</v>
      </c>
      <c r="B5091" s="27" t="s">
        <v>901</v>
      </c>
      <c r="C5091" s="27" t="s">
        <v>761</v>
      </c>
      <c r="D5091" s="27" t="s">
        <v>762</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785</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789</v>
      </c>
      <c r="B5093" s="27" t="s">
        <v>815</v>
      </c>
      <c r="C5093" s="27" t="s">
        <v>754</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1333</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769</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1270</v>
      </c>
      <c r="B5096" s="27" t="s">
        <v>1127</v>
      </c>
      <c r="C5096" s="27" t="s">
        <v>851</v>
      </c>
      <c r="D5096" s="27" t="s">
        <v>762</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943</v>
      </c>
      <c r="B5097" s="27" t="s">
        <v>1062</v>
      </c>
      <c r="C5097" s="27" t="s">
        <v>837</v>
      </c>
      <c r="D5097" s="27" t="s">
        <v>762</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2091</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757</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2092</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769</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333</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t="s">
        <v>193</v>
      </c>
      <c r="E5103" s="21">
        <f>IF(D5103="?OLD","!!!","")</f>
        <v/>
      </c>
      <c r="F5103" s="22" t="str">
        <f>IF(OR(E5103="",E5103="!!!"),"",IF(NOT(ISNA(VLOOKUP(E5103,E$1:E5102,1,FALSE()))),"OLD",IF(AND(E5103&lt;&gt;"",E5103&lt;&gt;"!!!"),"NEW","")))</f>
        <v> </v>
      </c>
      <c r="G5103" s="23" t="str">
        <f>IF(OR(E5103="",E5103="!!!"),"",IF(OR(J5103=0,AND(J5103=1,K5103=1),AND(J5103=1,I5103="SBJ"),AND(J5103=1,I5103=0)),"?IN_FOCUS",IF(J5103&lt;=2,"?ACTIVATED",IF(J5103&lt;&gt;"","?FAMILIAR",IF(F5103="NEW",IF(ISNA(VLOOKUP(E5103,#REF!,1,FALSE())),"?TYPE_IDENTIFIABLE","?REFERENTIAL"),"_")))))</f>
        <v> </v>
      </c>
      <c r="H5103" s="24" t="str">
        <f>IF(J5103&lt;&gt;1,"",IF(I5103="SBJ","CB","?"))</f>
        <v> </v>
      </c>
      <c r="I5103" s="25" t="str">
        <f>IF(OR(E5103="",E5103="!!!",F5103="NEW"),"",INDEX(B5102:B$2,-1+SUMPRODUCT(MAX(ROW(E5102:E$2)*(E5103=E5102:E$2)))))</f>
        <v> </v>
      </c>
      <c r="J5103" s="25" t="str">
        <f>IF(OR(E5103="",E5103="!!!",F5103="NEW"),"",COUNTBLANK(OFFSET(A$1,,,SUMPRODUCT(MAX(ROW(E$2:E5103)*(E5103=E$2:E5103)))))-COUNTBLANK(OFFSET(A$1,,,SUMPRODUCT(MAX(ROW(E$1:E5102)*(E2=E$1:E5102))))))</f>
        <v> </v>
      </c>
      <c r="K5103" s="25" t="str">
        <f>IF(OR(E5103="",E5103="!!!",F5103="NEW"),"",INDEX(J$1:J5102,SUMPRODUCT(MAX(ROW(E$1:E5102)*(E5103=E$1:E5102)))))</f>
        <v> </v>
      </c>
      <c r="L5103" s="26"/>
    </row>
    <row r="5104" spans="1:12">
      <c r="A5104" s="20" t="s">
        <v>764</v>
      </c>
      <c r="E5104" s="21">
        <f>IF(D5104="?OLD","!!!","")</f>
        <v/>
      </c>
      <c r="F5104" s="22" t="str">
        <f>IF(OR(E5104="",E5104="!!!"),"",IF(NOT(ISNA(VLOOKUP(E5104,E$1:E5103,1,FALSE()))),"OLD",IF(AND(E5104&lt;&gt;"",E5104&lt;&gt;"!!!"),"NEW","")))</f>
        <v> </v>
      </c>
      <c r="G5104" s="23" t="str">
        <f>IF(OR(E5104="",E5104="!!!"),"",IF(OR(J5104=0,AND(J5104=1,K5104=1),AND(J5104=1,I5104="SBJ"),AND(J5104=1,I5104=0)),"?IN_FOCUS",IF(J5104&lt;=2,"?ACTIVATED",IF(J5104&lt;&gt;"","?FAMILIAR",IF(F5104="NEW",IF(ISNA(VLOOKUP(E5104,#REF!,1,FALSE())),"?TYPE_IDENTIFIABLE","?REFERENTIAL"),"_")))))</f>
        <v> </v>
      </c>
      <c r="H5104" s="24" t="str">
        <f>IF(J5104&lt;&gt;1,"",IF(I5104="SBJ","CB","?"))</f>
        <v> </v>
      </c>
      <c r="I5104" s="25" t="str">
        <f>IF(OR(E5104="",E5104="!!!",F5104="NEW"),"",INDEX(B5103:B$2,-1+SUMPRODUCT(MAX(ROW(E5103:E$2)*(E5104=E5103:E$2)))))</f>
        <v> </v>
      </c>
      <c r="J5104" s="25" t="str">
        <f>IF(OR(E5104="",E5104="!!!",F5104="NEW"),"",COUNTBLANK(OFFSET(A$1,,,SUMPRODUCT(MAX(ROW(E$2:E5104)*(E5104=E$2:E5104)))))-COUNTBLANK(OFFSET(A$1,,,SUMPRODUCT(MAX(ROW(E$1:E5103)*(E2=E$1:E5103))))))</f>
        <v> </v>
      </c>
      <c r="K5104" s="25" t="str">
        <f>IF(OR(E5104="",E5104="!!!",F5104="NEW"),"",INDEX(J$1:J5103,SUMPRODUCT(MAX(ROW(E$1:E5103)*(E5104=E$1:E5103)))))</f>
        <v> </v>
      </c>
      <c r="L5104" s="26"/>
    </row>
    <row r="5105" spans="1:12">
      <c r="A5105" s="20" t="s">
        <v>864</v>
      </c>
      <c r="B5105" s="27" t="s">
        <v>1076</v>
      </c>
      <c r="C5105" s="27" t="s">
        <v>768</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872</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770</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1818</v>
      </c>
      <c r="B5108" s="27" t="s">
        <v>815</v>
      </c>
      <c r="C5108" s="27" t="s">
        <v>761</v>
      </c>
      <c r="D5108" s="27" t="s">
        <v>762</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757</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827</v>
      </c>
      <c r="B5110" s="27" t="s">
        <v>760</v>
      </c>
      <c r="C5110" s="27" t="s">
        <v>797</v>
      </c>
      <c r="D5110" s="27" t="s">
        <v>762</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909</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1931</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t="s">
        <v>954</v>
      </c>
      <c r="E5113" s="21">
        <f>IF(D5113="?OLD","!!!","")</f>
        <v/>
      </c>
      <c r="F5113" s="22" t="str">
        <f>IF(OR(E5113="",E5113="!!!"),"",IF(NOT(ISNA(VLOOKUP(E5113,E$1:E5112,1,FALSE()))),"OLD",IF(AND(E5113&lt;&gt;"",E5113&lt;&gt;"!!!"),"NEW","")))</f>
        <v> </v>
      </c>
      <c r="G5113" s="23" t="str">
        <f>IF(OR(E5113="",E5113="!!!"),"",IF(OR(J5113=0,AND(J5113=1,K5113=1),AND(J5113=1,I5113="SBJ"),AND(J5113=1,I5113=0)),"?IN_FOCUS",IF(J5113&lt;=2,"?ACTIVATED",IF(J5113&lt;&gt;"","?FAMILIAR",IF(F5113="NEW",IF(ISNA(VLOOKUP(E5113,#REF!,1,FALSE())),"?TYPE_IDENTIFIABLE","?REFERENTIAL"),"_")))))</f>
        <v> </v>
      </c>
      <c r="H5113" s="24" t="str">
        <f>IF(J5113&lt;&gt;1,"",IF(I5113="SBJ","CB","?"))</f>
        <v> </v>
      </c>
      <c r="I5113" s="25" t="str">
        <f>IF(OR(E5113="",E5113="!!!",F5113="NEW"),"",INDEX(B5112:B$2,-1+SUMPRODUCT(MAX(ROW(E5112:E$2)*(E5113=E5112:E$2)))))</f>
        <v> </v>
      </c>
      <c r="J5113" s="25" t="str">
        <f>IF(OR(E5113="",E5113="!!!",F5113="NEW"),"",COUNTBLANK(OFFSET(A$1,,,SUMPRODUCT(MAX(ROW(E$2:E5113)*(E5113=E$2:E5113)))))-COUNTBLANK(OFFSET(A$1,,,SUMPRODUCT(MAX(ROW(E$1:E5112)*(E2=E$1:E5112))))))</f>
        <v> </v>
      </c>
      <c r="K5113" s="25" t="str">
        <f>IF(OR(E5113="",E5113="!!!",F5113="NEW"),"",INDEX(J$1:J5112,SUMPRODUCT(MAX(ROW(E$1:E5112)*(E5113=E$1:E5112)))))</f>
        <v> </v>
      </c>
      <c r="L5113" s="26"/>
    </row>
    <row r="5114" spans="1:12">
      <c r="A5114" s="20" t="s">
        <v>1381</v>
      </c>
      <c r="B5114" s="27" t="s">
        <v>767</v>
      </c>
      <c r="C5114" s="27" t="s">
        <v>1019</v>
      </c>
      <c r="D5114" s="27" t="s">
        <v>762</v>
      </c>
      <c r="E5114" s="21">
        <f>IF(D5114="?OLD","!!!","")</f>
        <v/>
      </c>
      <c r="F5114" s="22" t="str">
        <f>IF(OR(E5114="",E5114="!!!"),"",IF(NOT(ISNA(VLOOKUP(E5114,E$1:E5113,1,FALSE()))),"OLD",IF(AND(E5114&lt;&gt;"",E5114&lt;&gt;"!!!"),"NEW","")))</f>
        <v> </v>
      </c>
      <c r="G5114" s="23" t="str">
        <f>IF(OR(E5114="",E5114="!!!"),"",IF(OR(J5114=0,AND(J5114=1,K5114=1),AND(J5114=1,I5114="SBJ"),AND(J5114=1,I5114=0)),"?IN_FOCUS",IF(J5114&lt;=2,"?ACTIVATED",IF(J5114&lt;&gt;"","?FAMILIAR",IF(F5114="NEW",IF(ISNA(VLOOKUP(E5114,#REF!,1,FALSE())),"?TYPE_IDENTIFIABLE","?REFERENTIAL"),"_")))))</f>
        <v> </v>
      </c>
      <c r="H5114" s="24" t="str">
        <f>IF(J5114&lt;&gt;1,"",IF(I5114="SBJ","CB","?"))</f>
        <v> </v>
      </c>
      <c r="I5114" s="25" t="str">
        <f>IF(OR(E5114="",E5114="!!!",F5114="NEW"),"",INDEX(B5113:B$2,-1+SUMPRODUCT(MAX(ROW(E5113:E$2)*(E5114=E5113:E$2)))))</f>
        <v> </v>
      </c>
      <c r="J5114" s="25" t="str">
        <f>IF(OR(E5114="",E5114="!!!",F5114="NEW"),"",COUNTBLANK(OFFSET(A$1,,,SUMPRODUCT(MAX(ROW(E$2:E5114)*(E5114=E$2:E5114)))))-COUNTBLANK(OFFSET(A$1,,,SUMPRODUCT(MAX(ROW(E$1:E5113)*(E2=E$1:E5113))))))</f>
        <v> </v>
      </c>
      <c r="K5114" s="25" t="str">
        <f>IF(OR(E5114="",E5114="!!!",F5114="NEW"),"",INDEX(J$1:J5113,SUMPRODUCT(MAX(ROW(E$1:E5113)*(E5114=E$1:E5113)))))</f>
        <v> </v>
      </c>
      <c r="L5114" s="26"/>
    </row>
    <row r="5115" spans="1:12">
      <c r="A5115" s="20" t="s">
        <v>2093</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793</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998</v>
      </c>
      <c r="B5117" s="27" t="s">
        <v>879</v>
      </c>
      <c r="C5117" s="27" t="s">
        <v>851</v>
      </c>
      <c r="D5117" s="27" t="s">
        <v>762</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2094</v>
      </c>
      <c r="B5118" s="27" t="s">
        <v>796</v>
      </c>
      <c r="C5118" s="27" t="s">
        <v>837</v>
      </c>
      <c r="D5118" s="27" t="s">
        <v>762</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t="s">
        <v>903</v>
      </c>
      <c r="B5119" s="27" t="s">
        <v>802</v>
      </c>
      <c r="C5119" s="27" t="s">
        <v>797</v>
      </c>
      <c r="D5119" s="27" t="s">
        <v>762</v>
      </c>
      <c r="E5119" s="21">
        <f>IF(D5119="?OLD","!!!","")</f>
        <v/>
      </c>
      <c r="F5119" s="22" t="str">
        <f>IF(OR(E5119="",E5119="!!!"),"",IF(NOT(ISNA(VLOOKUP(E5119,E$1:E5118,1,FALSE()))),"OLD",IF(AND(E5119&lt;&gt;"",E5119&lt;&gt;"!!!"),"NEW","")))</f>
        <v> </v>
      </c>
      <c r="G5119" s="23" t="str">
        <f>IF(OR(E5119="",E5119="!!!"),"",IF(OR(J5119=0,AND(J5119=1,K5119=1),AND(J5119=1,I5119="SBJ"),AND(J5119=1,I5119=0)),"?IN_FOCUS",IF(J5119&lt;=2,"?ACTIVATED",IF(J5119&lt;&gt;"","?FAMILIAR",IF(F5119="NEW",IF(ISNA(VLOOKUP(E5119,#REF!,1,FALSE())),"?TYPE_IDENTIFIABLE","?REFERENTIAL"),"_")))))</f>
        <v> </v>
      </c>
      <c r="H5119" s="24" t="str">
        <f>IF(J5119&lt;&gt;1,"",IF(I5119="SBJ","CB","?"))</f>
        <v> </v>
      </c>
      <c r="I5119" s="25" t="str">
        <f>IF(OR(E5119="",E5119="!!!",F5119="NEW"),"",INDEX(B5118:B$2,-1+SUMPRODUCT(MAX(ROW(E5118:E$2)*(E5119=E5118:E$2)))))</f>
        <v> </v>
      </c>
      <c r="J5119" s="25" t="str">
        <f>IF(OR(E5119="",E5119="!!!",F5119="NEW"),"",COUNTBLANK(OFFSET(A$1,,,SUMPRODUCT(MAX(ROW(E$2:E5119)*(E5119=E$2:E5119)))))-COUNTBLANK(OFFSET(A$1,,,SUMPRODUCT(MAX(ROW(E$1:E5118)*(E2=E$1:E5118))))))</f>
        <v> </v>
      </c>
      <c r="K5119" s="25" t="str">
        <f>IF(OR(E5119="",E5119="!!!",F5119="NEW"),"",INDEX(J$1:J5118,SUMPRODUCT(MAX(ROW(E$1:E5118)*(E5119=E$1:E5118)))))</f>
        <v> </v>
      </c>
      <c r="L5119" s="26"/>
    </row>
    <row r="5120" spans="1:12">
      <c r="A5120" s="20" t="s">
        <v>1025</v>
      </c>
      <c r="E5120" s="21">
        <f>IF(D5120="?OLD","!!!","")</f>
        <v/>
      </c>
      <c r="F5120" s="22" t="str">
        <f>IF(OR(E5120="",E5120="!!!"),"",IF(NOT(ISNA(VLOOKUP(E5120,E$1:E5119,1,FALSE()))),"OLD",IF(AND(E5120&lt;&gt;"",E5120&lt;&gt;"!!!"),"NEW","")))</f>
        <v> </v>
      </c>
      <c r="G5120" s="23" t="str">
        <f>IF(OR(E5120="",E5120="!!!"),"",IF(OR(J5120=0,AND(J5120=1,K5120=1),AND(J5120=1,I5120="SBJ"),AND(J5120=1,I5120=0)),"?IN_FOCUS",IF(J5120&lt;=2,"?ACTIVATED",IF(J5120&lt;&gt;"","?FAMILIAR",IF(F5120="NEW",IF(ISNA(VLOOKUP(E5120,#REF!,1,FALSE())),"?TYPE_IDENTIFIABLE","?REFERENTIAL"),"_")))))</f>
        <v> </v>
      </c>
      <c r="H5120" s="24" t="str">
        <f>IF(J5120&lt;&gt;1,"",IF(I5120="SBJ","CB","?"))</f>
        <v> </v>
      </c>
      <c r="I5120" s="25" t="str">
        <f>IF(OR(E5120="",E5120="!!!",F5120="NEW"),"",INDEX(B5119:B$2,-1+SUMPRODUCT(MAX(ROW(E5119:E$2)*(E5120=E5119:E$2)))))</f>
        <v> </v>
      </c>
      <c r="J5120" s="25" t="str">
        <f>IF(OR(E5120="",E5120="!!!",F5120="NEW"),"",COUNTBLANK(OFFSET(A$1,,,SUMPRODUCT(MAX(ROW(E$2:E5120)*(E5120=E$2:E5120)))))-COUNTBLANK(OFFSET(A$1,,,SUMPRODUCT(MAX(ROW(E$1:E5119)*(E2=E$1:E5119))))))</f>
        <v> </v>
      </c>
      <c r="K5120" s="25" t="str">
        <f>IF(OR(E5120="",E5120="!!!",F5120="NEW"),"",INDEX(J$1:J5119,SUMPRODUCT(MAX(ROW(E$1:E5119)*(E5120=E$1:E5119)))))</f>
        <v> </v>
      </c>
      <c r="L5120" s="26"/>
    </row>
    <row r="5121" spans="1:12">
      <c r="A5121" s="20" t="s">
        <v>2095</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764</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2096</v>
      </c>
      <c r="B5123" s="27" t="s">
        <v>802</v>
      </c>
      <c r="C5123" s="27" t="s">
        <v>768</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810</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793</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827</v>
      </c>
      <c r="B5126" s="27" t="s">
        <v>956</v>
      </c>
      <c r="C5126" s="27" t="s">
        <v>797</v>
      </c>
      <c r="D5126" s="27" t="s">
        <v>762</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935</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2097</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785</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838</v>
      </c>
      <c r="B5130" s="27" t="s">
        <v>940</v>
      </c>
      <c r="C5130" s="27" t="s">
        <v>797</v>
      </c>
      <c r="D5130" s="27" t="s">
        <v>762</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1077</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872</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1161</v>
      </c>
      <c r="B5133" s="27" t="s">
        <v>815</v>
      </c>
      <c r="C5133" s="27" t="s">
        <v>851</v>
      </c>
      <c r="D5133" s="27" t="s">
        <v>762</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2098</v>
      </c>
      <c r="B5134" s="27" t="s">
        <v>901</v>
      </c>
      <c r="C5134" s="27" t="s">
        <v>837</v>
      </c>
      <c r="D5134" s="27" t="s">
        <v>762</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774</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row>
    <row r="5137" spans="1:12">
      <c r="A5137" s="20" t="s">
        <v>2099</v>
      </c>
    </row>
    <row r="5138" spans="1:12">
      <c r="A5138" s="20" t="s">
        <v>2100</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t="s">
        <v>774</v>
      </c>
      <c r="E5139" s="21">
        <f>IF(D5139="?OLD","!!!","")</f>
        <v/>
      </c>
      <c r="F5139" s="22" t="str">
        <f>IF(OR(E5139="",E5139="!!!"),"",IF(NOT(ISNA(VLOOKUP(E5139,E$1:E5138,1,FALSE()))),"OLD",IF(AND(E5139&lt;&gt;"",E5139&lt;&gt;"!!!"),"NEW","")))</f>
        <v> </v>
      </c>
      <c r="G5139" s="23" t="str">
        <f>IF(OR(E5139="",E5139="!!!"),"",IF(OR(J5139=0,AND(J5139=1,K5139=1),AND(J5139=1,I5139="SBJ"),AND(J5139=1,I5139=0)),"?IN_FOCUS",IF(J5139&lt;=2,"?ACTIVATED",IF(J5139&lt;&gt;"","?FAMILIAR",IF(F5139="NEW",IF(ISNA(VLOOKUP(E5139,#REF!,1,FALSE())),"?TYPE_IDENTIFIABLE","?REFERENTIAL"),"_")))))</f>
        <v> </v>
      </c>
      <c r="H5139" s="24" t="str">
        <f>IF(J5139&lt;&gt;1,"",IF(I5139="SBJ","CB","?"))</f>
        <v> </v>
      </c>
      <c r="I5139" s="25" t="str">
        <f>IF(OR(E5139="",E5139="!!!",F5139="NEW"),"",INDEX(B5138:B$2,-1+SUMPRODUCT(MAX(ROW(E5138:E$2)*(E5139=E5138:E$2)))))</f>
        <v> </v>
      </c>
      <c r="J5139" s="25" t="str">
        <f>IF(OR(E5139="",E5139="!!!",F5139="NEW"),"",COUNTBLANK(OFFSET(A$1,,,SUMPRODUCT(MAX(ROW(E$2:E5139)*(E5139=E$2:E5139)))))-COUNTBLANK(OFFSET(A$1,,,SUMPRODUCT(MAX(ROW(E$1:E5138)*(E2=E$1:E5138))))))</f>
        <v> </v>
      </c>
      <c r="K5139" s="25" t="str">
        <f>IF(OR(E5139="",E5139="!!!",F5139="NEW"),"",INDEX(J$1:J5138,SUMPRODUCT(MAX(ROW(E$1:E5138)*(E5139=E$1:E5138)))))</f>
        <v> </v>
      </c>
      <c r="L5139" s="26"/>
    </row>
    <row r="5140" spans="1:12">
      <c r="A514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2024-12-05T18:01:03Z</dcterms:created>
  <dcterms:modified xsi:type="dcterms:W3CDTF">2024-12-05T18:01:03Z</dcterms:modified>
</cp:coreProperties>
</file>