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<sst xmlns="http://schemas.openxmlformats.org/spreadsheetml/2006/main" count="10403" uniqueCount="2101">
  <si>
    <t>ID</t>
  </si>
  <si>
    <t>PRED_ID</t>
  </si>
  <si>
    <t>MARKER_AUTO</t>
  </si>
  <si>
    <t>PREDICATE</t>
  </si>
  <si>
    <t>TEXT</t>
  </si>
  <si>
    <t>SENTENCE</t>
  </si>
  <si>
    <t>MARKER</t>
  </si>
  <si>
    <t>TARGET</t>
  </si>
  <si>
    <t>RELATION</t>
  </si>
  <si>
    <t>COMMENT</t>
  </si>
  <si>
    <t>1</t>
  </si>
  <si>
    <t>10</t>
  </si>
  <si>
    <t>même?</t>
  </si>
  <si>
    <t>représenter</t>
  </si>
  <si>
    <t>« Même en termes purement non-religieux , l' homosexualité représente une mauvaise utilisation de la faculté sexuelle .</t>
  </si>
  <si>
    <t>file://conllu/fr/teddy-1322.conllu#s1_0</t>
  </si>
  <si>
    <t>_</t>
  </si>
  <si>
    <t>2</t>
  </si>
  <si>
    <t>à?</t>
  </si>
  <si>
    <t>être (être substitut)</t>
  </si>
  <si>
    <t>C' est un petit substitut ridicule de second ordre à la réalité , une fuite pitoyable de la vie .</t>
  </si>
  <si>
    <t>file://conllu/fr/teddy-1322.conllu#s2_0</t>
  </si>
  <si>
    <t>3</t>
  </si>
  <si>
    <t>13</t>
  </si>
  <si>
    <t>en?</t>
  </si>
  <si>
    <t>mériter</t>
  </si>
  <si>
    <t>En tant que telle , elle ne mérite aucune compassion , ne mérite pas d' être traitée en tant que comme un martyre minoritaire , et mérite de n' être jugée autrement que comme une maladie pernicieuse .</t>
  </si>
  <si>
    <t>file://conllu/fr/teddy-1322.conllu#s3_0</t>
  </si>
  <si>
    <t>4</t>
  </si>
  <si>
    <t>lorsque?</t>
  </si>
  <si>
    <t>tirer</t>
  </si>
  <si>
    <t>» Ceci est tiré du de le magazine Time de 1966 , lorsque j' avais trois ans .</t>
  </si>
  <si>
    <t>file://conllu/fr/teddy-1322.conllu#s4_0</t>
  </si>
  <si>
    <t>5</t>
  </si>
  <si>
    <t>s'?</t>
  </si>
  <si>
    <t>prononcer</t>
  </si>
  <si>
    <t>Et l' année dernière , le président des de les Etats-Unis s' est prononcé en faveur du de le mariage gay.</t>
  </si>
  <si>
    <t>file://conllu/fr/teddy-1322.conllu#s5_0</t>
  </si>
  <si>
    <t>6</t>
  </si>
  <si>
    <t>Applaudissement</t>
  </si>
  <si>
    <t>( Applaudissements )</t>
  </si>
  <si>
    <t>file://conllu/fr/teddy-1322.conllu#s6_0</t>
  </si>
  <si>
    <t>7</t>
  </si>
  <si>
    <t>être (être suivant)</t>
  </si>
  <si>
    <t>Ma question est la suivante : comment en est -on arrivé là ?</t>
  </si>
  <si>
    <t>file://conllu/fr/teddy-1322.conllu#s7_0</t>
  </si>
  <si>
    <t>8</t>
  </si>
  <si>
    <t>devenir</t>
  </si>
  <si>
    <t>Comment une maladie est -elle devenue une identité ?</t>
  </si>
  <si>
    <t>file://conllu/fr/teddy-1322.conllu#s8_0</t>
  </si>
  <si>
    <t>9</t>
  </si>
  <si>
    <t>aller</t>
  </si>
  <si>
    <t>Lorsque j' avais peut-être six ans , je suis allé dans un magasin de chaussures avec ma mère et mon frère .</t>
  </si>
  <si>
    <t>file://conllu/fr/teddy-1322.conllu#s9_0</t>
  </si>
  <si>
    <t>12</t>
  </si>
  <si>
    <t>après?</t>
  </si>
  <si>
    <t>dire</t>
  </si>
  <si>
    <t>Et après avoir acheté nos chaussures , le vendeur nous a dit qu' on pouvait avoir chacun un ballon .</t>
  </si>
  <si>
    <t>file://conllu/fr/teddy-1322.conllu#s10_0</t>
  </si>
  <si>
    <t>11</t>
  </si>
  <si>
    <t>vouloir</t>
  </si>
  <si>
    <t>Mon frère voulait un ballon rouge et moi un ballon rose .</t>
  </si>
  <si>
    <t>file://conllu/fr/teddy-1322.conllu#s11_0</t>
  </si>
  <si>
    <t>plutôt?</t>
  </si>
  <si>
    <t>Ma mère m' a dit que je devrais plutôt prendre un ballon bleu .</t>
  </si>
  <si>
    <t>file://conllu/fr/teddy-1322.conllu#s12_0</t>
  </si>
  <si>
    <t>mais?</t>
  </si>
  <si>
    <t>Mais j' ai dit que je voulais vraiment le rose .</t>
  </si>
  <si>
    <t>file://conllu/fr/teddy-1322.conllu#s13_0</t>
  </si>
  <si>
    <t>14</t>
  </si>
  <si>
    <t>et?</t>
  </si>
  <si>
    <t>rappeler</t>
  </si>
  <si>
    <t>Et elle m' a rappelé que ma couleur favorite était le bleu .</t>
  </si>
  <si>
    <t>file://conllu/fr/teddy-1322.conllu#s14_0</t>
  </si>
  <si>
    <t>15</t>
  </si>
  <si>
    <t>la preuve?</t>
  </si>
  <si>
    <t>être (être bleu)</t>
  </si>
  <si>
    <t>Le fait qu' aujourd'hui ma couleur favorite soit le bleu mais que je sois toujours gay ... ( Rires ) est la preuve à la fois de l' influence de ma mère , mais aussi de ses limites .</t>
  </si>
  <si>
    <t>file://conllu/fr/teddy-1322.conllu#s15_0</t>
  </si>
  <si>
    <t>16</t>
  </si>
  <si>
    <t>quand?</t>
  </si>
  <si>
    <t>Quand j' étais petit , ma mère disait souvent , « L' amour qu' on a pour ses enfants ne ressemble à aucun autre sentiment au à le monde .</t>
  </si>
  <si>
    <t>file://conllu/fr/teddy-1322.conllu#s16_0</t>
  </si>
  <si>
    <t>17</t>
  </si>
  <si>
    <t>savoir</t>
  </si>
  <si>
    <t>Et tant que tu n' as pas d' enfant , tu ne sais pas ce que c' est .</t>
  </si>
  <si>
    <t>file://conllu/fr/teddy-1322.conllu#s17_0</t>
  </si>
  <si>
    <t>18</t>
  </si>
  <si>
    <t>prenaître</t>
  </si>
  <si>
    <t>» Lorsque j' étais petit , je prenais ça pour le plus beau compliment du de le monde , qu' elle dise ça à propos d' être notre mère .</t>
  </si>
  <si>
    <t>file://conllu/fr/teddy-1322.conllu#s18_0</t>
  </si>
  <si>
    <t>19</t>
  </si>
  <si>
    <t>penser</t>
  </si>
  <si>
    <t>Quand j' étais adolescent , je pensais que j' étais gay , et que donc je ne pouvais probablement pas avoir de famille .</t>
  </si>
  <si>
    <t>file://conllu/fr/teddy-1322.conllu#s19_0</t>
  </si>
  <si>
    <t>20</t>
  </si>
  <si>
    <t>rendre</t>
  </si>
  <si>
    <t>Et quand elle disait ça , ça me rendait nerveux .</t>
  </si>
  <si>
    <t>file://conllu/fr/teddy-1322.conllu#s20_0</t>
  </si>
  <si>
    <t>21</t>
  </si>
  <si>
    <t>être (être furieux)</t>
  </si>
  <si>
    <t>Et après avoir fait mon coming-out , quand elle a continué à le dire , j' étais furieux .</t>
  </si>
  <si>
    <t>file://conllu/fr/teddy-1322.conllu#s21_0</t>
  </si>
  <si>
    <t>22</t>
  </si>
  <si>
    <t>Je lui disais , « Je suis gay .</t>
  </si>
  <si>
    <t>file://conllu/fr/teddy-1322.conllu#s22_0</t>
  </si>
  <si>
    <t>23</t>
  </si>
  <si>
    <t>être (être direction)</t>
  </si>
  <si>
    <t>Ce n' est pas la direction dans laquelle je vais .</t>
  </si>
  <si>
    <t>file://conllu/fr/teddy-1322.conllu#s23_0</t>
  </si>
  <si>
    <t>24</t>
  </si>
  <si>
    <t>Et je veux que tu arrêtes de dire ça .</t>
  </si>
  <si>
    <t>file://conllu/fr/teddy-1322.conllu#s24_0</t>
  </si>
  <si>
    <t>25</t>
  </si>
  <si>
    <t>écrire (écrire demander)</t>
  </si>
  <si>
    <t>» Il y a environ 20 ans , mes éditeurs au à le New York Times Magazine m' ont demandé d' écrire un article sur la culture sourde .</t>
  </si>
  <si>
    <t>file://conllu/fr/teddy-1322.conllu#s25_0</t>
  </si>
  <si>
    <t>26</t>
  </si>
  <si>
    <t>rester</t>
  </si>
  <si>
    <t>Et j' en suis resté déconcerté .</t>
  </si>
  <si>
    <t>file://conllu/fr/teddy-1322.conllu#s26_0</t>
  </si>
  <si>
    <t>27</t>
  </si>
  <si>
    <t>Je n' avais pensé à la surdité qu' en tant que maladie .</t>
  </si>
  <si>
    <t>file://conllu/fr/teddy-1322.conllu#s27_0</t>
  </si>
  <si>
    <t>28</t>
  </si>
  <si>
    <t>gens</t>
  </si>
  <si>
    <t>Ces pauvres gens qui ne pouvaient pas entendre .</t>
  </si>
  <si>
    <t>file://conllu/fr/teddy-1322.conllu#s28_0</t>
  </si>
  <si>
    <t>29</t>
  </si>
  <si>
    <t>avoir</t>
  </si>
  <si>
    <t>Ils avaient cette surdité , que pouvions -nous faire pour eux ?</t>
  </si>
  <si>
    <t>file://conllu/fr/teddy-1322.conllu#s29_0</t>
  </si>
  <si>
    <t>30</t>
  </si>
  <si>
    <t>alors?</t>
  </si>
  <si>
    <t>entrer</t>
  </si>
  <si>
    <t>Je suis alors entré dans le monde des de les sourds .</t>
  </si>
  <si>
    <t>file://conllu/fr/teddy-1322.conllu#s30_0</t>
  </si>
  <si>
    <t>31</t>
  </si>
  <si>
    <t>pour?</t>
  </si>
  <si>
    <t>Je suis allé dans des de les clubs pour sourds .</t>
  </si>
  <si>
    <t>file://conllu/fr/teddy-1322.conllu#s31_0</t>
  </si>
  <si>
    <t>32</t>
  </si>
  <si>
    <t>assister</t>
  </si>
  <si>
    <t>J' ai assisté à du de le théâtre sourd et à de la poésie sourde .</t>
  </si>
  <si>
    <t>file://conllu/fr/teddy-1322.conllu#s32_0</t>
  </si>
  <si>
    <t>33</t>
  </si>
  <si>
    <t>Je suis même allé au à le concours de Miss Amérique Sourde à Nashville dans le Tennessee où les gens se plaignaient de cette langue des de les signes à l' accent du de le sud .</t>
  </si>
  <si>
    <t>file://conllu/fr/teddy-1322.conllu#s33_0</t>
  </si>
  <si>
    <t>34</t>
  </si>
  <si>
    <t>Alors que je me plongeais de plus en plus dans le monde des de les sourds , je suis devenu convaincu que la surdité était une culture et que les gens du de le monde des de les sourds qui disaient , « Nous ne sommes pas malentendants , nous sommes membres d' une culture , » disaient quelque chose de viable .</t>
  </si>
  <si>
    <t>file://conllu/fr/teddy-1322.conllu#s34_0</t>
  </si>
  <si>
    <t>35</t>
  </si>
  <si>
    <t>être (être culture)</t>
  </si>
  <si>
    <t>Ce n' était pas ma culture , et je n' avais pas particulièrement envie de me précipiter pour les rejoindre , mais j' appréciais que ce soit une culture et que pour ceux qui en étaient membres , elle paraissait aussi précieuse que la culture latine , gay ou juive .</t>
  </si>
  <si>
    <t>file://conllu/fr/teddy-1322.conllu#s35_0</t>
  </si>
  <si>
    <t>36</t>
  </si>
  <si>
    <t>aussi?</t>
  </si>
  <si>
    <t>paraître</t>
  </si>
  <si>
    <t>Elle paraissait peut-être même aussi valable que la culture américaine .</t>
  </si>
  <si>
    <t>file://conllu/fr/teddy-1322.conllu#s36_0</t>
  </si>
  <si>
    <t>37</t>
  </si>
  <si>
    <t>puis?</t>
  </si>
  <si>
    <t>Puis une amie d' un de mes amis a eu une fille naine .</t>
  </si>
  <si>
    <t>file://conllu/fr/teddy-1322.conllu#s37_0</t>
  </si>
  <si>
    <t>38</t>
  </si>
  <si>
    <t>soudain?</t>
  </si>
  <si>
    <t>retrouver</t>
  </si>
  <si>
    <t>Quand sa fille est née , elle s' est soudain retrouvée face à des de les questions qui maintenant me semblent pleines de sens .</t>
  </si>
  <si>
    <t>file://conllu/fr/teddy-1322.conllu#s38_0</t>
  </si>
  <si>
    <t>39</t>
  </si>
  <si>
    <t>être (être question)</t>
  </si>
  <si>
    <t>Elle était face à la question de quoi faire avec cette enfant .</t>
  </si>
  <si>
    <t>file://conllu/fr/teddy-1322.conllu#s39_0</t>
  </si>
  <si>
    <t>40</t>
  </si>
  <si>
    <t>comme?</t>
  </si>
  <si>
    <t>devoir</t>
  </si>
  <si>
    <t>Devrait -elle dire : « Tu es comme tout le monde , mais un peu plus petite » ?</t>
  </si>
  <si>
    <t>file://conllu/fr/teddy-1322.conllu#s40_0</t>
  </si>
  <si>
    <t>41</t>
  </si>
  <si>
    <t>ou bien?</t>
  </si>
  <si>
    <t>Ou bien devrait -elle essayer de construire une sorte d' identité naine , de s' investir dans l' association des de les personnes de petite taille d' Amérique , se renseigner sur ce qui arrivait aux à les nains ?</t>
  </si>
  <si>
    <t>file://conllu/fr/teddy-1322.conllu#s41_0</t>
  </si>
  <si>
    <t>42</t>
  </si>
  <si>
    <t>J' ai soudain pensé , la plupart des de les enfants sourds naissent de parents entendants .</t>
  </si>
  <si>
    <t>file://conllu/fr/teddy-1322.conllu#s42_0</t>
  </si>
  <si>
    <t>43</t>
  </si>
  <si>
    <t>Ces parents entendants ont tendance à essayer de les soigner .</t>
  </si>
  <si>
    <t>file://conllu/fr/teddy-1322.conllu#s43_0</t>
  </si>
  <si>
    <t>44</t>
  </si>
  <si>
    <t>découvrir</t>
  </si>
  <si>
    <t>Ces sourds découvrent la communauté d' une façon ou d' une autre à l' adolescence .</t>
  </si>
  <si>
    <t>file://conllu/fr/teddy-1322.conllu#s44_0</t>
  </si>
  <si>
    <t>45</t>
  </si>
  <si>
    <t>naître</t>
  </si>
  <si>
    <t>La plupart des de les gays naissent de parents hétéros .</t>
  </si>
  <si>
    <t>file://conllu/fr/teddy-1322.conllu#s45_0</t>
  </si>
  <si>
    <t>46</t>
  </si>
  <si>
    <t>Ces parents hétéros veulent souvent qu' ils fonctionnent dans ce qu' ils pensent être le monde ordinaire , et ces gays doivent découvrir leur identité plus tard .</t>
  </si>
  <si>
    <t>file://conllu/fr/teddy-1322.conllu#s46_0</t>
  </si>
  <si>
    <t>47</t>
  </si>
  <si>
    <t>Et là , il y avait cette amie qui réfléchissait à ces questions d' identité avec sa fille naine .</t>
  </si>
  <si>
    <t>file://conllu/fr/teddy-1322.conllu#s47_0</t>
  </si>
  <si>
    <t>48</t>
  </si>
  <si>
    <t>encore?</t>
  </si>
  <si>
    <t>Et je me suis dit , c' est encore la même chose : Une famille qui se perçoit comme étant normale avec un enfant qui semble extraordinaire .</t>
  </si>
  <si>
    <t>file://conllu/fr/teddy-1322.conllu#s48_0</t>
  </si>
  <si>
    <t>49</t>
  </si>
  <si>
    <t>couver</t>
  </si>
  <si>
    <t>Et j' ai couvé l' idée qu' il y a vraiment deux types d' identité .</t>
  </si>
  <si>
    <t>file://conllu/fr/teddy-1322.conllu#s49_0</t>
  </si>
  <si>
    <t>50</t>
  </si>
  <si>
    <t>Il y a des de les identités verticales , qui sont transmises de génération en génération des de les parents aux à les enfants .</t>
  </si>
  <si>
    <t>file://conllu/fr/teddy-1322.conllu#s50_0</t>
  </si>
  <si>
    <t>51</t>
  </si>
  <si>
    <t>être (être chose)</t>
  </si>
  <si>
    <t>Ce sont les choses comme l' ethnicité , souvent la nationalité , la langue , souvent la religion .</t>
  </si>
  <si>
    <t>file://conllu/fr/teddy-1322.conllu#s51_0</t>
  </si>
  <si>
    <t>52</t>
  </si>
  <si>
    <t>Ce sont les choses que l' on a en commun avec ses parents et ses enfants .</t>
  </si>
  <si>
    <t>file://conllu/fr/teddy-1322.conllu#s52_0</t>
  </si>
  <si>
    <t>53</t>
  </si>
  <si>
    <t>essayer</t>
  </si>
  <si>
    <t>Et alors que certaines d' entre elles peuvent être difficiles , on n' essaye pas de les soigner .</t>
  </si>
  <si>
    <t>file://conllu/fr/teddy-1322.conllu#s53_0</t>
  </si>
  <si>
    <t>54</t>
  </si>
  <si>
    <t>pouvoir</t>
  </si>
  <si>
    <t>On peut affirmer qu' il est plus difficile aux à les États-Unis , notre président actuel excepté , d' être une personne de couleur .</t>
  </si>
  <si>
    <t>file://conllu/fr/teddy-1322.conllu#s54_0</t>
  </si>
  <si>
    <t>55</t>
  </si>
  <si>
    <t>pourtant?</t>
  </si>
  <si>
    <t>Et pourtant , il n' y a personne qui soit en train d' essayer de s' assurer que la prochaine génération d' enfants nés de parents afro-américains et asiatiques arrivent avec une peau crème et des de les cheveux jaunes .</t>
  </si>
  <si>
    <t>file://conllu/fr/teddy-1322.conllu#s55_0</t>
  </si>
  <si>
    <t>56</t>
  </si>
  <si>
    <t>Et il y a ces autres identités que l' on doit apprendre d' un groupe de pairs .</t>
  </si>
  <si>
    <t>file://conllu/fr/teddy-1322.conllu#s56_0</t>
  </si>
  <si>
    <t>57</t>
  </si>
  <si>
    <t>appeler</t>
  </si>
  <si>
    <t>Je les appelle les identités horizontales , parce que le groupe de pairs est l' expérience horizontale .</t>
  </si>
  <si>
    <t>file://conllu/fr/teddy-1322.conllu#s57_0</t>
  </si>
  <si>
    <t>58</t>
  </si>
  <si>
    <t>être (être identité)</t>
  </si>
  <si>
    <t>Ce sont des de les identités qui sont étrangères aux à les parents et que l' on doit découvrir lorsqu' on les voit chez ses pairs .</t>
  </si>
  <si>
    <t>file://conllu/fr/teddy-1322.conllu#s58_0</t>
  </si>
  <si>
    <t>59</t>
  </si>
  <si>
    <t>Ces identités , ces identités horizontales , les gens ont presque toujours essayé de les guérir .</t>
  </si>
  <si>
    <t>file://conllu/fr/teddy-1322.conllu#s59_0</t>
  </si>
  <si>
    <t>60</t>
  </si>
  <si>
    <t>être (être processus)</t>
  </si>
  <si>
    <t>Je voulais voir quel était le processus à travers lequel les personnes qui ont ces identités arrivent à une bonne relation avec elles .</t>
  </si>
  <si>
    <t>file://conllu/fr/teddy-1322.conllu#s60_0</t>
  </si>
  <si>
    <t>61</t>
  </si>
  <si>
    <t>sembler</t>
  </si>
  <si>
    <t>Et il m' a semblé que trois niveaux d' acceptation devaient se produire ..</t>
  </si>
  <si>
    <t>file://conllu/fr/teddy-1322.conllu#s61_0</t>
  </si>
  <si>
    <t>62</t>
  </si>
  <si>
    <t>Il y a l' acceptation de soi , l' acceptation par sa famille et l' acceptation sociale .</t>
  </si>
  <si>
    <t>file://conllu/fr/teddy-1322.conllu#s62_0</t>
  </si>
  <si>
    <t>63</t>
  </si>
  <si>
    <t>coïncidre</t>
  </si>
  <si>
    <t>Elles ne coïncident pas toujours .</t>
  </si>
  <si>
    <t>file://conllu/fr/teddy-1322.conllu#s63_0</t>
  </si>
  <si>
    <t>64</t>
  </si>
  <si>
    <t>personne</t>
  </si>
  <si>
    <t>La plupart du de le temps , les personnes qui ont ces problèmes sont très en colère parce qu' elles ont l' impression que leurs parents ne les aiment pas , alors que ce qui se passe en réalité , c' est que leurs parents ne les acceptent pas .</t>
  </si>
  <si>
    <t>file://conllu/fr/teddy-1322.conllu#s64_0</t>
  </si>
  <si>
    <t>65</t>
  </si>
  <si>
    <t>L' amour est une chose qui , idéalement , est là de façon inconditionnelle dans tous les aspects de la relation entre un parent et un enfant .</t>
  </si>
  <si>
    <t>file://conllu/fr/teddy-1322.conllu#s65_0</t>
  </si>
  <si>
    <t>66</t>
  </si>
  <si>
    <t>Mais l' acceptation est une chose qui prend du de le temps .</t>
  </si>
  <si>
    <t>file://conllu/fr/teddy-1322.conllu#s66_0</t>
  </si>
  <si>
    <t>67</t>
  </si>
  <si>
    <t>prendre</t>
  </si>
  <si>
    <t>Ca prend toujours du de le temps .</t>
  </si>
  <si>
    <t>file://conllu/fr/teddy-1322.conllu#s67_0</t>
  </si>
  <si>
    <t>68</t>
  </si>
  <si>
    <t>être (être gars)</t>
  </si>
  <si>
    <t>Un des de les nains dont j' ai fait la connaissance était un gars du de le nom de Clinton Brown .</t>
  </si>
  <si>
    <t>file://conllu/fr/teddy-1322.conllu#s68_0</t>
  </si>
  <si>
    <t>69</t>
  </si>
  <si>
    <t>lorsqu'?</t>
  </si>
  <si>
    <t>diagnostiquer</t>
  </si>
  <si>
    <t>Lorsqu' il est né , on lui a diagnostiqué un nanisme diastrophique , une maladie très handicapante , et on a dit à ses parents qu' il ne marcherait jamais , ne parlerait jamais , qu' il n' aurait aucune capacité intellectuelle , et qu' il ne les reconnaîtrait probablement pas .</t>
  </si>
  <si>
    <t>file://conllu/fr/teddy-1322.conllu#s69_0</t>
  </si>
  <si>
    <t>70</t>
  </si>
  <si>
    <t>pour qu'?</t>
  </si>
  <si>
    <t>suggérer</t>
  </si>
  <si>
    <t>On leur a suggéré de le laisser à l' hôpital pour qu' il puisse y mourir en paix .</t>
  </si>
  <si>
    <t>file://conllu/fr/teddy-1322.conllu#s70_0</t>
  </si>
  <si>
    <t>71</t>
  </si>
  <si>
    <t>répondre</t>
  </si>
  <si>
    <t>Sa mère a répondu qu' elle ne ferait pas ça .</t>
  </si>
  <si>
    <t>file://conllu/fr/teddy-1322.conllu#s71_0</t>
  </si>
  <si>
    <t>72</t>
  </si>
  <si>
    <t>ramener</t>
  </si>
  <si>
    <t>Elle a ramené son fils chez elle .</t>
  </si>
  <si>
    <t>file://conllu/fr/teddy-1322.conllu#s72_0</t>
  </si>
  <si>
    <t>73</t>
  </si>
  <si>
    <t>même si?</t>
  </si>
  <si>
    <t>trouver</t>
  </si>
  <si>
    <t>Même si elle n' avait pas beaucoup de ressources , éducatives ou financières , elle a trouvé le meilleur docteur du de le pays en matière de nanisme diastrophique et elle a inscrit Clinton auprès de lui .</t>
  </si>
  <si>
    <t>file://conllu/fr/teddy-1322.conllu#s73_0</t>
  </si>
  <si>
    <t>74</t>
  </si>
  <si>
    <t>subir</t>
  </si>
  <si>
    <t>Durant son enfance , il a subi 30 opérations chirurgicales majeures .</t>
  </si>
  <si>
    <t>file://conllu/fr/teddy-1322.conllu#s74_0</t>
  </si>
  <si>
    <t>75</t>
  </si>
  <si>
    <t>pendant qu'?</t>
  </si>
  <si>
    <t>passer</t>
  </si>
  <si>
    <t>Il a passé tout ce temps bloqué à l' hôpital pendant qu' il subissait ces opérations , grâce auxquelles à lesquelles il peut maintenant marcher .</t>
  </si>
  <si>
    <t>file://conllu/fr/teddy-1322.conllu#s75_0</t>
  </si>
  <si>
    <t>76</t>
  </si>
  <si>
    <t>envoyer</t>
  </si>
  <si>
    <t>Pendant qu' il était là-bas , on a envoyé des de les tuteurs pour l' aider pour ses devoirs .</t>
  </si>
  <si>
    <t>file://conllu/fr/teddy-1322.conllu#s76_0</t>
  </si>
  <si>
    <t>77</t>
  </si>
  <si>
    <t>travailler</t>
  </si>
  <si>
    <t>Il a travaillé très dur parce qu' il n' avait rien d' autre à faire .</t>
  </si>
  <si>
    <t>file://conllu/fr/teddy-1322.conllu#s77_0</t>
  </si>
  <si>
    <t>78</t>
  </si>
  <si>
    <t>finir</t>
  </si>
  <si>
    <t>Il a fini par atteindre un niveau qui n' avait jamais été envisagé par aucun membre de sa famille .</t>
  </si>
  <si>
    <t>file://conllu/fr/teddy-1322.conllu#s78_0</t>
  </si>
  <si>
    <t>79</t>
  </si>
  <si>
    <t>en fait?</t>
  </si>
  <si>
    <t>être (être premier)</t>
  </si>
  <si>
    <t>En fait , il était le premier de sa famille à aller à l' université , où il habitait sur le campus et conduisait une voiture aménagée adaptée à son corps insolite .</t>
  </si>
  <si>
    <t>file://conllu/fr/teddy-1322.conllu#s79_0</t>
  </si>
  <si>
    <t>80</t>
  </si>
  <si>
    <t>dire (dire raconter)</t>
  </si>
  <si>
    <t>Sa mère m' a raconté l' histoire d' un jour où elle rentrait à la maison il allait dans une université proche elle m' a dit , « J' ai vu sa voiture , qu' on reconnaît toujours , sur le parking d' un bar , » « Et je me suis dit , ils font 1,80 m , il fait 90 cm .</t>
  </si>
  <si>
    <t>file://conllu/fr/teddy-1322.conllu#s80_0</t>
  </si>
  <si>
    <t>81</t>
  </si>
  <si>
    <t>faire</t>
  </si>
  <si>
    <t>Deux bières pour eux , ça fait quatre pour lui .</t>
  </si>
  <si>
    <t>file://conllu/fr/teddy-1322.conllu#s81_0</t>
  </si>
  <si>
    <t>82</t>
  </si>
  <si>
    <t>savoir (savoir dire)</t>
  </si>
  <si>
    <t>» Elle m' a dit , « Je savais que je ne pouvais pas entrer et l' interrompre mais je suis rentrée à la maison et je lui ai laissé huit messages sur son portable .</t>
  </si>
  <si>
    <t>file://conllu/fr/teddy-1322.conllu#s82_0</t>
  </si>
  <si>
    <t>83</t>
  </si>
  <si>
    <t>ensuite?</t>
  </si>
  <si>
    <t>dire (dire penser dire)</t>
  </si>
  <si>
    <t>» Elle m' a dit , « Ensuite j' ai pensé , si quelqu'un m' avait dit quand il est né que mon souci futur serait qu' il irait boire et conduire avec ses potes de fac ... » Et je lui ai dit , « Qu' est -ce que tu penses avoir fait qui l' a aidé à devenir quelqu'un de charmant , d' accompli et de merveilleux ?</t>
  </si>
  <si>
    <t>file://conllu/fr/teddy-1322.conllu#s83_0</t>
  </si>
  <si>
    <t>84</t>
  </si>
  <si>
    <t>Elle m' a dit , « Qu' est -ce que j' ai fait ?</t>
  </si>
  <si>
    <t>file://conllu/fr/teddy-1322.conllu#s84_0</t>
  </si>
  <si>
    <t>85</t>
  </si>
  <si>
    <t>aimer</t>
  </si>
  <si>
    <t>Je l' ai aimé , c' est tout .</t>
  </si>
  <si>
    <t>file://conllu/fr/teddy-1322.conllu#s85_0</t>
  </si>
  <si>
    <t>86</t>
  </si>
  <si>
    <t>Clinton a simplement toujours porté une certaine lumière en lui .</t>
  </si>
  <si>
    <t>file://conllu/fr/teddy-1322.conllu#s86_0</t>
  </si>
  <si>
    <t>87</t>
  </si>
  <si>
    <t>Son père et moi avons eu assez de chance pour être les premiers à le voir .</t>
  </si>
  <si>
    <t>file://conllu/fr/teddy-1322.conllu#s87_0</t>
  </si>
  <si>
    <t>88</t>
  </si>
  <si>
    <t>» Je vais citer un autre magazine des de les années 60 .</t>
  </si>
  <si>
    <t>file://conllu/fr/teddy-1322.conllu#s88_0</t>
  </si>
  <si>
    <t>89</t>
  </si>
  <si>
    <t>être (être 1968)</t>
  </si>
  <si>
    <t>Celui-ci est de 1968 The Atlantic Monthly , la voix de l' Amérique libérale écrit par un important bioéthicien .</t>
  </si>
  <si>
    <t>file://conllu/fr/teddy-1322.conllu#s89_0</t>
  </si>
  <si>
    <t>90</t>
  </si>
  <si>
    <t>Il disait , « Il n' y a aucune raison de se sentir coupable de mettre à l' écart les enfants trisomiques , que ce soit pour les cacher dans un sanatorium ou au à le sens figuré plus responsable et léthal .</t>
  </si>
  <si>
    <t>file://conllu/fr/teddy-1322.conllu#s90_0</t>
  </si>
  <si>
    <t>91</t>
  </si>
  <si>
    <t>être (être triste)</t>
  </si>
  <si>
    <t>C' est triste , oui épouvantable .</t>
  </si>
  <si>
    <t>file://conllu/fr/teddy-1322.conllu#s91_0</t>
  </si>
  <si>
    <t>92</t>
  </si>
  <si>
    <t>amener</t>
  </si>
  <si>
    <t>Mais ça n' amène aucune culpabilité .</t>
  </si>
  <si>
    <t>file://conllu/fr/teddy-1322.conllu#s92_0</t>
  </si>
  <si>
    <t>93</t>
  </si>
  <si>
    <t>apparaître</t>
  </si>
  <si>
    <t>La vraie culpabilité n' apparaît que lorsqu' on s' attaque à une personne , un trisomique n' est pas une personne .</t>
  </si>
  <si>
    <t>file://conllu/fr/teddy-1322.conllu#s93_0</t>
  </si>
  <si>
    <t>94</t>
  </si>
  <si>
    <t>à propos?</t>
  </si>
  <si>
    <t>écrire</t>
  </si>
  <si>
    <t>» On a beaucoup écrit à propos des de les énormes progrès que nous avons fait dans le traitement des de les homosexuels .</t>
  </si>
  <si>
    <t>file://conllu/fr/teddy-1322.conllu#s94_0</t>
  </si>
  <si>
    <t>95</t>
  </si>
  <si>
    <t>Le fait que notre attitude ait changé fait les gros titres chaque jour .</t>
  </si>
  <si>
    <t>file://conllu/fr/teddy-1322.conllu#s95_0</t>
  </si>
  <si>
    <t>96</t>
  </si>
  <si>
    <t>oublier</t>
  </si>
  <si>
    <t>Mais on oublie comment , dans le temps , on voyait les gens qui avaient d' autres différences , comment on voyait les personnes handicapées , à quel point on considérait que ces gens n' étaient pas humains .</t>
  </si>
  <si>
    <t>file://conllu/fr/teddy-1322.conllu#s96_0</t>
  </si>
  <si>
    <t>97</t>
  </si>
  <si>
    <t>être (être celui)</t>
  </si>
  <si>
    <t>Le changement qui a été accompli ici , qui est presque aussi radical , est celui auquel à lequel nous ne prêtons pas beaucoup attention .</t>
  </si>
  <si>
    <t>file://conllu/fr/teddy-1322.conllu#s97_0</t>
  </si>
  <si>
    <t>98</t>
  </si>
  <si>
    <t>stupéfaire</t>
  </si>
  <si>
    <t>Une des de les familles que j' ai interviewées , Tom et Karen Robards , ont été stupéfaits , lorsque , eux , de jeunes et brillants New Yorkais , on appris que leur premier enfant était trisomique .</t>
  </si>
  <si>
    <t>file://conllu/fr/teddy-1322.conllu#s98_0</t>
  </si>
  <si>
    <t>99</t>
  </si>
  <si>
    <t>Ils pensaient que les opportunités éducatives pour lui n' étaient pas ce qu' elles devraient être , ils ont alors décidé qu' ils construiraient un petit centre deux salles de classes qu' ils ont créées avec quelques autres parents pour éduquer les enfants trisomiques .</t>
  </si>
  <si>
    <t>file://conllu/fr/teddy-1322.conllu#s99_0</t>
  </si>
  <si>
    <t>101</t>
  </si>
  <si>
    <t>depuis?</t>
  </si>
  <si>
    <t>triplé</t>
  </si>
  <si>
    <t>Depuis la publication de cette histoire dans l' Atlantic Monthly , la durée de vie des de les personnes trisomiques a triplé .</t>
  </si>
  <si>
    <t>file://conllu/fr/teddy-1322.conllu#s101_0</t>
  </si>
  <si>
    <t>102</t>
  </si>
  <si>
    <t>inclure</t>
  </si>
  <si>
    <t>L' expérience des de les personnes trisomiques inclue ceux qui sont acteurs , ceux qui sont écrivains , ceux qui peuvent vivre totalement indépendant leur vie d' adulte .</t>
  </si>
  <si>
    <t>file://conllu/fr/teddy-1322.conllu#s102_0</t>
  </si>
  <si>
    <t>103</t>
  </si>
  <si>
    <t>être (être beaucoup)</t>
  </si>
  <si>
    <t>Les Robards y sont pour beaucoup .</t>
  </si>
  <si>
    <t>file://conllu/fr/teddy-1322.conllu#s103_0</t>
  </si>
  <si>
    <t>104</t>
  </si>
  <si>
    <t>demander</t>
  </si>
  <si>
    <t>Je leur ai demandé « Est -ce que vous avez des de les regrets ?</t>
  </si>
  <si>
    <t>file://conllu/fr/teddy-1322.conllu#s104_0</t>
  </si>
  <si>
    <t>105</t>
  </si>
  <si>
    <t>être</t>
  </si>
  <si>
    <t>Est -ce que vous auriez souhaité que votre enfant n' ait pas été trisomique ?</t>
  </si>
  <si>
    <t>file://conllu/fr/teddy-1322.conllu#s105_0</t>
  </si>
  <si>
    <t>106</t>
  </si>
  <si>
    <t>Est -ce que vous auriez préféré ne jamais en avoir entendu parlé ?</t>
  </si>
  <si>
    <t>file://conllu/fr/teddy-1322.conllu#s106_0</t>
  </si>
  <si>
    <t>107</t>
  </si>
  <si>
    <t>regretter (regretter dire)</t>
  </si>
  <si>
    <t>» Son père a dit quelque chose d' intéressant , « Et bien , pour David , notre fils , je le regrette , parce que pour David , c' est une façon difficile de faire partie du de le monde , et j' aimerais donner à David une vie plus facile .</t>
  </si>
  <si>
    <t>file://conllu/fr/teddy-1322.conllu#s107_0</t>
  </si>
  <si>
    <t>108</t>
  </si>
  <si>
    <t>dire (dire penser)</t>
  </si>
  <si>
    <t>Mais je pense que si nous perdions tous les trisomiques , ce serait une perte catastrophique » Karen Robards m' a dit , « Je suis d' accord avec Tom .</t>
  </si>
  <si>
    <t>file://conllu/fr/teddy-1322.conllu#s108_0</t>
  </si>
  <si>
    <t>109</t>
  </si>
  <si>
    <t>êtroigne (êtroigne maladie)</t>
  </si>
  <si>
    <t>Pour David , je soignerais sa maladie en un instant pour lui donner une vie meilleure .</t>
  </si>
  <si>
    <t>file://conllu/fr/teddy-1322.conllu#s109_0</t>
  </si>
  <si>
    <t>110</t>
  </si>
  <si>
    <t>vouloir (vouloir parler)</t>
  </si>
  <si>
    <t>Mais , je parle pour moi et bien , je n' aurais jamais cru il y a 23 ans , lorsqu' il est né que je pourrais arriver à ce point en ce qui me concerne , ça m' a rendu tellement meilleure , tellement plus gentille et tellement plus déterminée dans ma vie , que , en parlant pour moi , je ne voudrais arrêter pour rien au à le monde .</t>
  </si>
  <si>
    <t>file://conllu/fr/teddy-1322.conllu#s110_0</t>
  </si>
  <si>
    <t>111</t>
  </si>
  <si>
    <t>» Nous sommes à un moment où l' acceptation sociale pour cette maladie et bien d' autres s' améliore .</t>
  </si>
  <si>
    <t>file://conllu/fr/teddy-1322.conllu#s111_0</t>
  </si>
  <si>
    <t>112</t>
  </si>
  <si>
    <t>également?</t>
  </si>
  <si>
    <t>Pourtant nous en sommes également au à le moment où notre capacité à éliminer ces maladies a atteint un niveau que nous n' avions jamais imaginé auparavant .</t>
  </si>
  <si>
    <t>file://conllu/fr/teddy-1322.conllu#s112_0</t>
  </si>
  <si>
    <t>113</t>
  </si>
  <si>
    <t>recevoir</t>
  </si>
  <si>
    <t>La plupart des de les enfants sourds nés aux à les Etats-unis aujourd'hui recevra des de les implants cochléaires , qui sont posés dans le cerveau et connectés à un récepteur , ce qui leur permet d' acquérir un facsimile d' écoute et d' utiliser un langage oral Un composé qui a été testé chez la souris , le BMN-111 , est utilisé pour prévenir l' action du de le gène achondroplasique .</t>
  </si>
  <si>
    <t>file://conllu/fr/teddy-1322.conllu#s113_0</t>
  </si>
  <si>
    <t>114</t>
  </si>
  <si>
    <t>être (être forme)</t>
  </si>
  <si>
    <t>L' achondroplasie est la forme la plus commune de nanisme , les souris qui ont reçu ce produit et qui avaient le gène d' achondroplasie , ont grandi jusqu' à une taille normale .</t>
  </si>
  <si>
    <t>file://conllu/fr/teddy-1322.conllu#s114_0</t>
  </si>
  <si>
    <t>115</t>
  </si>
  <si>
    <t>bientôt?</t>
  </si>
  <si>
    <t>être (être bientôt)</t>
  </si>
  <si>
    <t>Les tests sur les humains sont pour bientôt .</t>
  </si>
  <si>
    <t>file://conllu/fr/teddy-1322.conllu#s115_0</t>
  </si>
  <si>
    <t>116</t>
  </si>
  <si>
    <t>améliorer</t>
  </si>
  <si>
    <t>Les tests sanguins s' améliorent et permettront de détecter le Syndrome de Down de façon plus claire et plus précoce lors des de les grossesses que jamais auparavant , permettant plus facilement aux à les gens d' éviter ces grossesses , ou d' y mettre un terme .</t>
  </si>
  <si>
    <t>file://conllu/fr/teddy-1322.conllu#s116_0</t>
  </si>
  <si>
    <t>117</t>
  </si>
  <si>
    <t>donc?</t>
  </si>
  <si>
    <t>avoir (avoir progrès)</t>
  </si>
  <si>
    <t>Nous avons donc un progrès social et médical .</t>
  </si>
  <si>
    <t>file://conllu/fr/teddy-1322.conllu#s117_0</t>
  </si>
  <si>
    <t>118</t>
  </si>
  <si>
    <t>croire</t>
  </si>
  <si>
    <t>Et je crois en les deux .</t>
  </si>
  <si>
    <t>file://conllu/fr/teddy-1322.conllu#s118_0</t>
  </si>
  <si>
    <t>119</t>
  </si>
  <si>
    <t>penser (penser croire)</t>
  </si>
  <si>
    <t>Je crois que le progrès social est fantastique , significatif et magnifique , et je pense la même chose du de le progrès médical .</t>
  </si>
  <si>
    <t>file://conllu/fr/teddy-1322.conllu#s119_0</t>
  </si>
  <si>
    <t>120</t>
  </si>
  <si>
    <t>Mais je pense que c' est une tragédie lorsque l' un ne voit pas l' autre .</t>
  </si>
  <si>
    <t>file://conllu/fr/teddy-1322.conllu#s120_0</t>
  </si>
  <si>
    <t>121</t>
  </si>
  <si>
    <t>penser (penser réaliser)</t>
  </si>
  <si>
    <t>Quand je vois comment ils se recoupent dans des de les maladies comme les trois exemples que je viens de décrire , je pense parfois que c' est comme pendant ces grands moments d' opéra ou le héros réalise qu' il aime l' héroine au à le moment même où elle est étendue morte sur le divan .</t>
  </si>
  <si>
    <t>file://conllu/fr/teddy-1322.conllu#s121_0</t>
  </si>
  <si>
    <t>122</t>
  </si>
  <si>
    <t>Nous devons réfléchir à la façon dont nous percevons les traitements .</t>
  </si>
  <si>
    <t>file://conllu/fr/teddy-1322.conllu#s122_0</t>
  </si>
  <si>
    <t>123</t>
  </si>
  <si>
    <t>être (être que)</t>
  </si>
  <si>
    <t>Souvent , les questions sur la parentalité est : qu' est -ce qu' on valide chez nos enfants , qu' est -ce qu' on soigne chez eux ?</t>
  </si>
  <si>
    <t>file://conllu/fr/teddy-1322.conllu#s123_0</t>
  </si>
  <si>
    <t>124</t>
  </si>
  <si>
    <t>exister</t>
  </si>
  <si>
    <t>Jim Sinclair , un militant majeur de l' autisme , a dit , « Lorsque les parents disent , « j' aurai voulu que mon enfant ne soit pas autiste , » ce qu' ils disent vraiment c' est « j' aurais voulu que l' enfant que j' ai n' ait jamais existé et que j' aie un enfant différent non autiste à la place .</t>
  </si>
  <si>
    <t>file://conllu/fr/teddy-1322.conllu#s124_0</t>
  </si>
  <si>
    <t>125</t>
  </si>
  <si>
    <t>Repenser</t>
  </si>
  <si>
    <t>» Repensez à ça .</t>
  </si>
  <si>
    <t>file://conllu/fr/teddy-1322.conllu#s125_0</t>
  </si>
  <si>
    <t>126</t>
  </si>
  <si>
    <t>être (être ce)</t>
  </si>
  <si>
    <t>C' est ce qu' on entend l orsqu' on se plaint de notre existence .</t>
  </si>
  <si>
    <t>file://conllu/fr/teddy-1322.conllu#s126_0</t>
  </si>
  <si>
    <t>127</t>
  </si>
  <si>
    <t>C' est ce qu' on entend quand vous priez pour un traitement que votre souhait le plus profond pour nous est qu' un jour nous cessions d' exister et que des de les étrangers que vous pouvez aimez viendront prendre place derrières nos visages .</t>
  </si>
  <si>
    <t>file://conllu/fr/teddy-1322.conllu#s127_0</t>
  </si>
  <si>
    <t>128</t>
  </si>
  <si>
    <t>être (être point)</t>
  </si>
  <si>
    <t>» C' est un point de vue vraiment extrême , mais il souligne le fait que les gens font avec la vie qu' ils ont et qu' ils ne veulent pas être soignés , changés ou éliminés .</t>
  </si>
  <si>
    <t>file://conllu/fr/teddy-1322.conllu#s128_0</t>
  </si>
  <si>
    <t>129</t>
  </si>
  <si>
    <t>Ils veulent exister quelque soit la personne qu' ils sont devenus .</t>
  </si>
  <si>
    <t>file://conllu/fr/teddy-1322.conllu#s129_0</t>
  </si>
  <si>
    <t>130</t>
  </si>
  <si>
    <t>être (être famille)</t>
  </si>
  <si>
    <t>Une des de les familles que j' ai interviewée pour ce projet était la famille de Dylan Klebold qui était un des de les responsables du de le massacre de Columbine .</t>
  </si>
  <si>
    <t>file://conllu/fr/teddy-1322.conllu#s130_0</t>
  </si>
  <si>
    <t>131</t>
  </si>
  <si>
    <t>Ça a pris beaucoup de temps pour les persuader de me parler , une fois qu' ils ont accepté , ils étaient tellement à fond dans leur histoire qu' ils ne pouvaient s' arrêter de la raconter .</t>
  </si>
  <si>
    <t>file://conllu/fr/teddy-1322.conllu#s131_0</t>
  </si>
  <si>
    <t>132</t>
  </si>
  <si>
    <t>week-end</t>
  </si>
  <si>
    <t>Le premier week-end que j' ai passé avec eux le premier de nombreux autres j' ai enregistré plus de 20 heures de conversation .</t>
  </si>
  <si>
    <t>file://conllu/fr/teddy-1322.conllu#s132_0</t>
  </si>
  <si>
    <t>133</t>
  </si>
  <si>
    <t>épuiser</t>
  </si>
  <si>
    <t>Le dimanche soir , nous étions tous épuisés .</t>
  </si>
  <si>
    <t>file://conllu/fr/teddy-1322.conllu#s133_0</t>
  </si>
  <si>
    <t>134</t>
  </si>
  <si>
    <t>assir</t>
  </si>
  <si>
    <t>Nous étions assis dans la cuisine .</t>
  </si>
  <si>
    <t>file://conllu/fr/teddy-1322.conllu#s134_0</t>
  </si>
  <si>
    <t>135</t>
  </si>
  <si>
    <t>être (être en)</t>
  </si>
  <si>
    <t>Sue Klebold était en train de préparer le dîner .</t>
  </si>
  <si>
    <t>file://conllu/fr/teddy-1322.conllu#s135_0</t>
  </si>
  <si>
    <t>136</t>
  </si>
  <si>
    <t>maintenant?</t>
  </si>
  <si>
    <t>Et j' ai dit , « Si Dylan était ici maintenant , avez -vous une idée de ce que vous voudriez lui demander ?</t>
  </si>
  <si>
    <t>file://conllu/fr/teddy-1322.conllu#s136_0</t>
  </si>
  <si>
    <t>137</t>
  </si>
  <si>
    <t>» Son père a répondu , « Oui , évidemment .</t>
  </si>
  <si>
    <t>file://conllu/fr/teddy-1322.conllu#s137_0</t>
  </si>
  <si>
    <t>138</t>
  </si>
  <si>
    <t>demanderais</t>
  </si>
  <si>
    <t>Je lui demanderais est -ce qu' il pensait à ce qu' il était en train de faire ?</t>
  </si>
  <si>
    <t>file://conllu/fr/teddy-1322.conllu#s138_0</t>
  </si>
  <si>
    <t>139</t>
  </si>
  <si>
    <t>réfléchir</t>
  </si>
  <si>
    <t>Sue a regardé le sol , a réfléchi une minute .</t>
  </si>
  <si>
    <t>file://conllu/fr/teddy-1322.conllu#s139_0</t>
  </si>
  <si>
    <t>140</t>
  </si>
  <si>
    <t>demander (demander dire regarder)</t>
  </si>
  <si>
    <t>Elle nous a regardé de nouveau et a dit , « Je lui demanderais de me pardonner d' avoir été sa mère et de n' avoir jamais su ce qui se passait dans sa tête .</t>
  </si>
  <si>
    <t>file://conllu/fr/teddy-1322.conllu#s140_0</t>
  </si>
  <si>
    <t>141</t>
  </si>
  <si>
    <t>» Lorsque j' ai dîné avec elle quelques années plus tard un des de les nombreux dîners que nous avons pris ensemble elle m' a dit , « Vous savez , lorsque c' est arrivé au à le début , je souhaitais souvent n' avoir jamais été mariée , n' avoir jamais eu d' enfant .</t>
  </si>
  <si>
    <t>file://conllu/fr/teddy-1322.conllu#s141_0</t>
  </si>
  <si>
    <t>142</t>
  </si>
  <si>
    <t>si?</t>
  </si>
  <si>
    <t>Si je n' avais pas été dans l' Ohio et croisé le chemin de Tom , cet enfant n' aurait jamais existé et cette chose terrible n' aurait jamais eu lieu .</t>
  </si>
  <si>
    <t>file://conllu/fr/teddy-1322.conllu#s142_0</t>
  </si>
  <si>
    <t>143</t>
  </si>
  <si>
    <t>arriver</t>
  </si>
  <si>
    <t>Mais j' en suis arrivée à penser que j' aime tellement les enfant que j' ai eus que je ne veux pas imaginer une vie sans eux .</t>
  </si>
  <si>
    <t>file://conllu/fr/teddy-1322.conllu#s143_0</t>
  </si>
  <si>
    <t>144</t>
  </si>
  <si>
    <t>dire (dire reconnaître)</t>
  </si>
  <si>
    <t>Je reconnais la souffrance qu' ils ont causée aux à les autres , qui est impardonnable , mais la souffrance qu' ils m' ont causée peut être pardonnée » m' a -t -elle dit .</t>
  </si>
  <si>
    <t>file://conllu/fr/teddy-1322.conllu#s144_0</t>
  </si>
  <si>
    <t>145</t>
  </si>
  <si>
    <t>mieux?</t>
  </si>
  <si>
    <t>reconnaître (reconnaître décider)</t>
  </si>
  <si>
    <t>« Alors autant je reconnais que ça aurait été mieux pour le monde si Dylan n' était jamais né , j' ai décidé que ça n' aurait pas été mieux pour moi .</t>
  </si>
  <si>
    <t>file://conllu/fr/teddy-1322.conllu#s145_0</t>
  </si>
  <si>
    <t>146</t>
  </si>
  <si>
    <t>trouvoir</t>
  </si>
  <si>
    <t>» Je trouvais ça surprenant comment toutes ces familles qui avaient eu tous ces enfants avec tous ces problèmes , des de les problèmes qu' ils auraient tout fait pour éviter , comment pouvaient -ils tous trouver autant de sens dans leur expérience de parentalité .</t>
  </si>
  <si>
    <t>file://conllu/fr/teddy-1322.conllu#s146_0</t>
  </si>
  <si>
    <t>147</t>
  </si>
  <si>
    <t>Ensuite je me suis dit , tous ceux d' entre nous qui avons des de les enfants aimons les enfants que nous avons , avec leurs défauts .</t>
  </si>
  <si>
    <t>file://conllu/fr/teddy-1322.conllu#s147_0</t>
  </si>
  <si>
    <t>148</t>
  </si>
  <si>
    <t>donner</t>
  </si>
  <si>
    <t>Si un ange glorieux descendait soudain à travers le plafond de mon salon et me proposait d' emporter les enfants que j' ai et de m' en donner un autre , de meilleurs enfants plus polis , plus drôles , plus gentils , plus intelligents je m' accrocherais aux à les enfants que j' ai et prierais pour que cesse cet atroce spectacle .</t>
  </si>
  <si>
    <t>file://conllu/fr/teddy-1322.conllu#s148_0</t>
  </si>
  <si>
    <t>149</t>
  </si>
  <si>
    <t>finalement?</t>
  </si>
  <si>
    <t>refléter</t>
  </si>
  <si>
    <t>Et finalement i' ai l' impression que de la même manière que lorsqu' on teste des de les pyjamas inifugés dans un brasier pour s' assurer qu' ils ne prendront pas feu lorsque nos enfants s' avancent vers la cuisinière , ces histoires de familles qui s' arrangent avec ces différences extrêmes reflètent l' expérience universelle de la parentalité , qui est que , parfois , vous regardez vos enfants et vous vous dites , d' où est -ce que tu viens ?</t>
  </si>
  <si>
    <t>file://conllu/fr/teddy-1322.conllu#s149_0</t>
  </si>
  <si>
    <t>150</t>
  </si>
  <si>
    <t>avérer</t>
  </si>
  <si>
    <t>Il s' avère qu' alors que chacune de ces différences individuelles est cloisonnée il n' existe qu' un nombre limité de familles aux à les prises avec la schizophrénie , d' enfants qui sont transgenres , il n' existe qu' un nombre limité de familles de prodiges qui font également face à des de les défis similaires de bien des de les manières il n' existe qu' un nombre limité de famille dans chacune de ces catégories mais si vous commencer à penser que s' arranger avec des de les différences au à le sein de votre famille est ce sur quoi les gens se penchent , alors vous découvrirez que c' est un phénomène quasi universel .</t>
  </si>
  <si>
    <t>file://conllu/fr/teddy-1322.conllu#s150_0</t>
  </si>
  <si>
    <t>151</t>
  </si>
  <si>
    <t>Ironiquement , il s' avère que , ce sont nos différences et notre gestion de la différence , qui nous uni .</t>
  </si>
  <si>
    <t>file://conllu/fr/teddy-1322.conllu#s151_0</t>
  </si>
  <si>
    <t>152</t>
  </si>
  <si>
    <t>décider</t>
  </si>
  <si>
    <t>J' ai décidé d' avoir des de les enfants lorsque je travaillais sur ce projet .</t>
  </si>
  <si>
    <t>file://conllu/fr/teddy-1322.conllu#s152_0</t>
  </si>
  <si>
    <t>153</t>
  </si>
  <si>
    <t>étonner</t>
  </si>
  <si>
    <t>Beaucoup de gens s' étonnaient et disaient , « Mais comment peux -tu décider d' avoir des de les enfants alors que tu es en train d' étudier tout ce qui peut mal se passer ? » J' ai répondu , « Je n' étudie pas tout ce qui peut mal se passer .</t>
  </si>
  <si>
    <t>file://conllu/fr/teddy-1322.conllu#s153_0</t>
  </si>
  <si>
    <t>154</t>
  </si>
  <si>
    <t>Ce que j' étudie c' est , combien d' amour il peut y avoir , même lorsque tout semble mal se passer .</t>
  </si>
  <si>
    <t>file://conllu/fr/teddy-1322.conllu#s154_0</t>
  </si>
  <si>
    <t>155</t>
  </si>
  <si>
    <t>» J' ai beaucoup pensé à la mère d' un enfant handicapé que j' avais vu , un enfant gravement handicapé qui est décédé par suite de négligence du de le personnel soignant .</t>
  </si>
  <si>
    <t>file://conllu/fr/teddy-1322.conllu#s155_0</t>
  </si>
  <si>
    <t>156</t>
  </si>
  <si>
    <t>prier (prier dire)</t>
  </si>
  <si>
    <t>Lorsque ses cendres ont été inhumées , sa mère a dit , « Je prie ici pour le pardon d' avoir été volée deux fois , une fois de l' enfant que je voulais et une fois du de le fils que j' aimais .</t>
  </si>
  <si>
    <t>file://conllu/fr/teddy-1322.conllu#s156_0</t>
  </si>
  <si>
    <t>157</t>
  </si>
  <si>
    <t>comprendre</t>
  </si>
  <si>
    <t>» J' ai alors compris qu' il était possible pour n' importe qui d' aimer n' importe quel enfant si on avait la volonté de le faire .</t>
  </si>
  <si>
    <t>file://conllu/fr/teddy-1322.conllu#s157_0</t>
  </si>
  <si>
    <t>158</t>
  </si>
  <si>
    <t>être (être père)</t>
  </si>
  <si>
    <t>Donc mon mari est le père biologique de deux enfants avec des de les amies lesbiennes de Minneapolis .</t>
  </si>
  <si>
    <t>file://conllu/fr/teddy-1322.conllu#s158_0</t>
  </si>
  <si>
    <t>159</t>
  </si>
  <si>
    <t>J' ai une bonne amie de fac qui , après un divorce , voulait un enfant .</t>
  </si>
  <si>
    <t>file://conllu/fr/teddy-1322.conllu#s159_0</t>
  </si>
  <si>
    <t>160</t>
  </si>
  <si>
    <t>Donc elle et moi avons eu une fille , et la mère et la fille vivent au à le Texas .</t>
  </si>
  <si>
    <t>file://conllu/fr/teddy-1322.conllu#s160_0</t>
  </si>
  <si>
    <t>161</t>
  </si>
  <si>
    <t>avoir (avoir fils)</t>
  </si>
  <si>
    <t>Mon mari et moi avons un fils qui vit avec nous à temps plein , dont je suis son père biologique , et notre mère porteuse est Laura , la mère lesbienne d' Oliver et Lucy à Minneapolis .</t>
  </si>
  <si>
    <t>file://conllu/fr/teddy-1322.conllu#s161_0</t>
  </si>
  <si>
    <t>162</t>
  </si>
  <si>
    <t>parent</t>
  </si>
  <si>
    <t>En clair , il y a 5 parents pour 4 enfants dans 3 états différents .</t>
  </si>
  <si>
    <t>file://conllu/fr/teddy-1322.conllu#s162_0</t>
  </si>
  <si>
    <t>163</t>
  </si>
  <si>
    <t>Il y a des de les gens qui pensent que l' existence même de ma famille ébranle ou affaiblit leur famille d' une certaine manière .</t>
  </si>
  <si>
    <t>file://conllu/fr/teddy-1322.conllu#s163_0</t>
  </si>
  <si>
    <t>164</t>
  </si>
  <si>
    <t>Il y a des de les gens qui pensent que des de les familles comme la mienne ne devraient pas être autorisées à exister .</t>
  </si>
  <si>
    <t>file://conllu/fr/teddy-1322.conllu#s164_0</t>
  </si>
  <si>
    <t>165</t>
  </si>
  <si>
    <t>accepter</t>
  </si>
  <si>
    <t>Je n' accepte pas de modèles d' amour soustractifs , uniquement des de les modèles additifs .</t>
  </si>
  <si>
    <t>file://conllu/fr/teddy-1322.conllu#s165_0</t>
  </si>
  <si>
    <t>166</t>
  </si>
  <si>
    <t>Je crois que de la même manière dont on a besoin de la diversité des de les espèces pour s' assurer que la planète continue à exister , nous avons besoin de cette diversité d' affection et de familles pour renforcer l' écosphère de bonté .</t>
  </si>
  <si>
    <t>file://conllu/fr/teddy-1322.conllu#s166_0</t>
  </si>
  <si>
    <t>167</t>
  </si>
  <si>
    <t>lendemain</t>
  </si>
  <si>
    <t>Le lendemain du de le jour où notre fils est né , la pédiatre est venue dans la chambre d' hopital et nous a dit qu' elle était préoccupée .</t>
  </si>
  <si>
    <t>file://conllu/fr/teddy-1322.conllu#s167_0</t>
  </si>
  <si>
    <t>168</t>
  </si>
  <si>
    <t>Il ne pouvait étendre ses jambes correctement .</t>
  </si>
  <si>
    <t>file://conllu/fr/teddy-1322.conllu#s168_0</t>
  </si>
  <si>
    <t>169</t>
  </si>
  <si>
    <t>Elle disait que ça pouvait être le signe d' une lésion cérébrale .</t>
  </si>
  <si>
    <t>file://conllu/fr/teddy-1322.conllu#s169_0</t>
  </si>
  <si>
    <t>170</t>
  </si>
  <si>
    <t>Même s' il pouvait les tendre , il le faisait de manière asymétrique , ce qui , d' après elle , pouvait signifier la présence d' une tumeur quelque part .</t>
  </si>
  <si>
    <t>file://conllu/fr/teddy-1322.conllu#s170_0</t>
  </si>
  <si>
    <t>171</t>
  </si>
  <si>
    <t>Il avait aussi une grosse tête , ce qu' elle pensait être le signe d' un hydrocéphale .</t>
  </si>
  <si>
    <t>file://conllu/fr/teddy-1322.conllu#s171_0</t>
  </si>
  <si>
    <t>172</t>
  </si>
  <si>
    <t>senter</t>
  </si>
  <si>
    <t>Alors qu' elle me disait tout ça , je sentais mon corps se liquéfier sur le sol .</t>
  </si>
  <si>
    <t>file://conllu/fr/teddy-1322.conllu#s172_0</t>
  </si>
  <si>
    <t>173</t>
  </si>
  <si>
    <t>Je pensais , voilà j' ai travaillé pendant des de les années sur un livre sur le sens que les gens avaient donné à ces expériences de parentalité d' enfants handicapés , et je ne voulais pas les rejoindre .</t>
  </si>
  <si>
    <t>file://conllu/fr/teddy-1322.conllu#s173_0</t>
  </si>
  <si>
    <t>174</t>
  </si>
  <si>
    <t>parce que?</t>
  </si>
  <si>
    <t>être (être idée)</t>
  </si>
  <si>
    <t>Parce que , ce que je rencontrais était une idée de maladie .</t>
  </si>
  <si>
    <t>file://conllu/fr/teddy-1322.conllu#s174_0</t>
  </si>
  <si>
    <t>175</t>
  </si>
  <si>
    <t>voulais</t>
  </si>
  <si>
    <t>Et comme tous les parents depuis la nuit des de les temps , je voulais protéger mon enfant de la maladie .</t>
  </si>
  <si>
    <t>file://conllu/fr/teddy-1322.conllu#s175_0</t>
  </si>
  <si>
    <t>176</t>
  </si>
  <si>
    <t>Je voulais également me protéger de la maladie .</t>
  </si>
  <si>
    <t>file://conllu/fr/teddy-1322.conllu#s176_0</t>
  </si>
  <si>
    <t>177</t>
  </si>
  <si>
    <t>Et maintenant , je savais grâce au à le travail que j' avais fait que s' il avait n' importe laquelle des de les maladies qu' on allait tester , alors elle deviendrait son identité , et si elle devenait son identité , elle deviendrait la mienne , que cette maladie allait prendre une forme différente alors qu' elle s' étendait .</t>
  </si>
  <si>
    <t>file://conllu/fr/teddy-1322.conllu#s177_0</t>
  </si>
  <si>
    <t>178</t>
  </si>
  <si>
    <t>emmenaître</t>
  </si>
  <si>
    <t>On l' a emmené faire un IRM , on l' a emmené au à le tomodensitomètre , on a pris cet enfant âgé d' un jour et on lui a fait un prélèvement de sang artériel .</t>
  </si>
  <si>
    <t>file://conllu/fr/teddy-1322.conllu#s178_0</t>
  </si>
  <si>
    <t>179</t>
  </si>
  <si>
    <t>il</t>
  </si>
  <si>
    <t>Nous sous sentions impuissants .</t>
  </si>
  <si>
    <t>file://conllu/fr/teddy-1322.conllu#s179_0</t>
  </si>
  <si>
    <t>181</t>
  </si>
  <si>
    <t>demander (demander dire)</t>
  </si>
  <si>
    <t>Lorsque j' ai demandé à la pédiatre ce qui s' était passé , elle a dit qu' elle pensait qu' il avait probablement eu une crampe ce matin .</t>
  </si>
  <si>
    <t>file://conllu/fr/teddy-1322.conllu#s181_0</t>
  </si>
  <si>
    <t>182</t>
  </si>
  <si>
    <t>Mais j' ai pensé à quel point ma mère avait raison .</t>
  </si>
  <si>
    <t>file://conllu/fr/teddy-1322.conllu#s182_0</t>
  </si>
  <si>
    <t>183</t>
  </si>
  <si>
    <t>J' ai pensé , l' amour que l' on porte à ses enfants ne ressemble à aucun autre sentiment au à le monde , et jusqu' à ce qu' on ait des de les enfants , on ne sait pas ce que ça fait .</t>
  </si>
  <si>
    <t>file://conllu/fr/teddy-1322.conllu#s183_0</t>
  </si>
  <si>
    <t>184</t>
  </si>
  <si>
    <t>Je pense que les enfants m' ont pris au à le piège au à le moment où j' ai associé la paternité avec la perte .</t>
  </si>
  <si>
    <t>file://conllu/fr/teddy-1322.conllu#s184_0</t>
  </si>
  <si>
    <t>185</t>
  </si>
  <si>
    <t>être (être sûr)</t>
  </si>
  <si>
    <t>Mais je ne suis pas sûr que j' aurais remarqué ça si je n' avais pas été si impliqué dans mon projet de recherche .</t>
  </si>
  <si>
    <t>file://conllu/fr/teddy-1322.conllu#s185_0</t>
  </si>
  <si>
    <t>186</t>
  </si>
  <si>
    <t>rencontrer</t>
  </si>
  <si>
    <t>J' ai rencontré tant d' amour étrange , que je suis tombé naturellement dans ses schémas envoûtants .</t>
  </si>
  <si>
    <t>file://conllu/fr/teddy-1322.conllu#s186_0</t>
  </si>
  <si>
    <t>187</t>
  </si>
  <si>
    <t>voir</t>
  </si>
  <si>
    <t>J' ai vu comment la magnificence peut illuminer la plus abjecte des de les vulnérabilités .</t>
  </si>
  <si>
    <t>file://conllu/fr/teddy-1322.conllu#s187_0</t>
  </si>
  <si>
    <t>188</t>
  </si>
  <si>
    <t>Pendant ces 10 années , j' ai découvert et j' ai été témoin de la joie terrifiante de cette insupportable responsabilité , je devais m' y jeter et voir comment ça peut battre tout le reste .</t>
  </si>
  <si>
    <t>file://conllu/fr/teddy-1322.conllu#s188_0</t>
  </si>
  <si>
    <t>189</t>
  </si>
  <si>
    <t>alors que?</t>
  </si>
  <si>
    <t>penser (penser comprendre)</t>
  </si>
  <si>
    <t>Alors que , parfois , je pensais que les parents que j' avais interviewés étaient des de les fous , devenant des de les esclaves à vie auprès de leurs enfants ingrats , essayant de faire naître une identité dans la souffrance , j' ai compris ce jour -là que mes recherches m' avaient construit une planche et que j' étais prêt à les rejoindre dans leur bateau .</t>
  </si>
  <si>
    <t>file://conllu/fr/teddy-1322.conllu#s189_0</t>
  </si>
  <si>
    <t>190</t>
  </si>
  <si>
    <t>merci</t>
  </si>
  <si>
    <t>Merci .</t>
  </si>
  <si>
    <t>file://conllu/fr/teddy-1322.conllu#s190_0</t>
  </si>
  <si>
    <t>WORD</t>
  </si>
  <si>
    <t>GR</t>
  </si>
  <si>
    <t>NP_TYPE</t>
  </si>
  <si>
    <t>REF_AUTO</t>
  </si>
  <si>
    <t>COREF</t>
  </si>
  <si>
    <t>REF</t>
  </si>
  <si>
    <t>IS</t>
  </si>
  <si>
    <t>CB</t>
  </si>
  <si>
    <t>GR_ANTE</t>
  </si>
  <si>
    <t>REF_DIST</t>
  </si>
  <si>
    <t>REF_DIST_ANTE</t>
  </si>
  <si>
    <t># text = « Même en termes purement non-religieux, l'homosexualité représente une mauvaise utilisation de la faculté sexuelle.</t>
  </si>
  <si>
    <t>«</t>
  </si>
  <si>
    <t>Même</t>
  </si>
  <si>
    <t>en</t>
  </si>
  <si>
    <t>termes</t>
  </si>
  <si>
    <t>other</t>
  </si>
  <si>
    <t>indef-np.bare</t>
  </si>
  <si>
    <t>purement</t>
  </si>
  <si>
    <t>non-religieux</t>
  </si>
  <si>
    <t>,</t>
  </si>
  <si>
    <t>l'</t>
  </si>
  <si>
    <t>homosexualité</t>
  </si>
  <si>
    <t>SBJ</t>
  </si>
  <si>
    <t>def-np.the</t>
  </si>
  <si>
    <t>?OLD</t>
  </si>
  <si>
    <t>représente</t>
  </si>
  <si>
    <t>une</t>
  </si>
  <si>
    <t>mauvaise</t>
  </si>
  <si>
    <t>utilisation</t>
  </si>
  <si>
    <t>OBJ</t>
  </si>
  <si>
    <t>indef-np.a</t>
  </si>
  <si>
    <t>de</t>
  </si>
  <si>
    <t>la</t>
  </si>
  <si>
    <t>faculté</t>
  </si>
  <si>
    <t>other_2</t>
  </si>
  <si>
    <t>sexuelle</t>
  </si>
  <si>
    <t>.</t>
  </si>
  <si>
    <t># text = C'est un petit substitut ridicule de second ordre à la réalité, une fuite pitoyable de la vie.</t>
  </si>
  <si>
    <t>C'</t>
  </si>
  <si>
    <t>pron.pds</t>
  </si>
  <si>
    <t>est</t>
  </si>
  <si>
    <t>un</t>
  </si>
  <si>
    <t>petit</t>
  </si>
  <si>
    <t>substitut</t>
  </si>
  <si>
    <t>ridicule</t>
  </si>
  <si>
    <t>second</t>
  </si>
  <si>
    <t>ordre</t>
  </si>
  <si>
    <t>à</t>
  </si>
  <si>
    <t>réalité</t>
  </si>
  <si>
    <t>fuite</t>
  </si>
  <si>
    <t>pitoyable</t>
  </si>
  <si>
    <t>vie</t>
  </si>
  <si>
    <t># text = En tant que telle, elle ne mérite aucune compassion, ne mérite pas d'être traitée en tant que comme un martyre minoritaire, et mérite de n'être jugée autrement que comme une maladie pernicieuse.</t>
  </si>
  <si>
    <t>En</t>
  </si>
  <si>
    <t>tant</t>
  </si>
  <si>
    <t>que</t>
  </si>
  <si>
    <t>telle</t>
  </si>
  <si>
    <t>elle</t>
  </si>
  <si>
    <t>SBJ_2</t>
  </si>
  <si>
    <t>pron.pper</t>
  </si>
  <si>
    <t>ne</t>
  </si>
  <si>
    <t>mérite</t>
  </si>
  <si>
    <t>aucune</t>
  </si>
  <si>
    <t>compassion</t>
  </si>
  <si>
    <t>OBJ_2</t>
  </si>
  <si>
    <t>indef-np</t>
  </si>
  <si>
    <t>pas</t>
  </si>
  <si>
    <t>d'</t>
  </si>
  <si>
    <t>traitée</t>
  </si>
  <si>
    <t>comme</t>
  </si>
  <si>
    <t>martyre</t>
  </si>
  <si>
    <t>minoritaire</t>
  </si>
  <si>
    <t>et</t>
  </si>
  <si>
    <t>n'</t>
  </si>
  <si>
    <t>jugée</t>
  </si>
  <si>
    <t>autrement</t>
  </si>
  <si>
    <t>maladie</t>
  </si>
  <si>
    <t>other_5</t>
  </si>
  <si>
    <t>pernicieuse</t>
  </si>
  <si>
    <t># text = » Ceci est tiré du magazine Time de 1966, lorsque j'avais trois ans.</t>
  </si>
  <si>
    <t>»</t>
  </si>
  <si>
    <t>Ceci</t>
  </si>
  <si>
    <t>pron</t>
  </si>
  <si>
    <t>tiré</t>
  </si>
  <si>
    <t>le</t>
  </si>
  <si>
    <t>magazine</t>
  </si>
  <si>
    <t>Time</t>
  </si>
  <si>
    <t>1966</t>
  </si>
  <si>
    <t>lorsque</t>
  </si>
  <si>
    <t>j'</t>
  </si>
  <si>
    <t>avais</t>
  </si>
  <si>
    <t>trois</t>
  </si>
  <si>
    <t>ans</t>
  </si>
  <si>
    <t>indef-np.quant</t>
  </si>
  <si>
    <t># text = Et l'année dernière, le président des Etats-Unis s'est prononcé en faveur du mariage gay.</t>
  </si>
  <si>
    <t>Et</t>
  </si>
  <si>
    <t>année</t>
  </si>
  <si>
    <t>dernière</t>
  </si>
  <si>
    <t>président</t>
  </si>
  <si>
    <t>def-np.poss</t>
  </si>
  <si>
    <t>les</t>
  </si>
  <si>
    <t>Etats-Unis</t>
  </si>
  <si>
    <t>s'</t>
  </si>
  <si>
    <t>prononcé</t>
  </si>
  <si>
    <t>faveur</t>
  </si>
  <si>
    <t>mariage</t>
  </si>
  <si>
    <t>gay.</t>
  </si>
  <si>
    <t># text = (Applaudissements)</t>
  </si>
  <si>
    <t>(</t>
  </si>
  <si>
    <t>Applaudissements</t>
  </si>
  <si>
    <t>)</t>
  </si>
  <si>
    <t># text = Ma question est la suivante : comment en est-on arrivé là ?</t>
  </si>
  <si>
    <t>Ma</t>
  </si>
  <si>
    <t>pron.ppos</t>
  </si>
  <si>
    <t>question</t>
  </si>
  <si>
    <t>suivante</t>
  </si>
  <si>
    <t>:</t>
  </si>
  <si>
    <t>comment</t>
  </si>
  <si>
    <t>-on</t>
  </si>
  <si>
    <t>arrivé</t>
  </si>
  <si>
    <t>là</t>
  </si>
  <si>
    <t>?</t>
  </si>
  <si>
    <t># text = Comment une maladie est-elle devenue une identité ?</t>
  </si>
  <si>
    <t>Comment</t>
  </si>
  <si>
    <t>-elle</t>
  </si>
  <si>
    <t>devenue</t>
  </si>
  <si>
    <t>identité</t>
  </si>
  <si>
    <t># text = Lorsque j'avais peut-être six ans, je suis allé dans un magasin de chaussures avec ma mère et mon frère.</t>
  </si>
  <si>
    <t>Lorsque</t>
  </si>
  <si>
    <t>peut-être</t>
  </si>
  <si>
    <t>six</t>
  </si>
  <si>
    <t>je</t>
  </si>
  <si>
    <t>suis</t>
  </si>
  <si>
    <t>allé</t>
  </si>
  <si>
    <t>dans</t>
  </si>
  <si>
    <t>magasin</t>
  </si>
  <si>
    <t>chaussures</t>
  </si>
  <si>
    <t>avec</t>
  </si>
  <si>
    <t>ma</t>
  </si>
  <si>
    <t>mère</t>
  </si>
  <si>
    <t>mon</t>
  </si>
  <si>
    <t>other_3</t>
  </si>
  <si>
    <t>frère</t>
  </si>
  <si>
    <t># text = Et après avoir acheté nos chaussures, le vendeur nous a dit qu'on pouvait avoir chacun un ballon.</t>
  </si>
  <si>
    <t>après</t>
  </si>
  <si>
    <t>acheté</t>
  </si>
  <si>
    <t>nos</t>
  </si>
  <si>
    <t>vendeur</t>
  </si>
  <si>
    <t>nous</t>
  </si>
  <si>
    <t>a</t>
  </si>
  <si>
    <t>dit</t>
  </si>
  <si>
    <t>qu'</t>
  </si>
  <si>
    <t>on</t>
  </si>
  <si>
    <t>pouvait</t>
  </si>
  <si>
    <t>chacun</t>
  </si>
  <si>
    <t>ballon</t>
  </si>
  <si>
    <t>OBJ_3</t>
  </si>
  <si>
    <t># text = Mon frère voulait un ballon rouge et moi un ballon rose.</t>
  </si>
  <si>
    <t>Mon</t>
  </si>
  <si>
    <t>voulait</t>
  </si>
  <si>
    <t>rouge</t>
  </si>
  <si>
    <t>moi</t>
  </si>
  <si>
    <t>rose</t>
  </si>
  <si>
    <t>other_4</t>
  </si>
  <si>
    <t># text = Ma mère m'a dit que je devrais plutôt prendre un ballon bleu.</t>
  </si>
  <si>
    <t>m'</t>
  </si>
  <si>
    <t>devrais</t>
  </si>
  <si>
    <t>plutôt</t>
  </si>
  <si>
    <t>bleu</t>
  </si>
  <si>
    <t># text = Mais j'ai dit que je voulais vraiment le rose.</t>
  </si>
  <si>
    <t>Mais</t>
  </si>
  <si>
    <t>ai</t>
  </si>
  <si>
    <t>vraiment</t>
  </si>
  <si>
    <t># text = Et elle m'a rappelé que ma couleur favorite était le bleu.</t>
  </si>
  <si>
    <t>rappelé</t>
  </si>
  <si>
    <t>couleur</t>
  </si>
  <si>
    <t>favorite</t>
  </si>
  <si>
    <t>était</t>
  </si>
  <si>
    <t># text = Le fait qu'aujourd'hui ma couleur favorite soit le bleu mais que je sois toujours gay... (Rires) est la preuve à la fois de l'influence de ma mère, mais aussi de ses limites.</t>
  </si>
  <si>
    <t>Le</t>
  </si>
  <si>
    <t>fait</t>
  </si>
  <si>
    <t>aujourd'hui</t>
  </si>
  <si>
    <t>soit</t>
  </si>
  <si>
    <t>mais</t>
  </si>
  <si>
    <t>sois</t>
  </si>
  <si>
    <t>toujours</t>
  </si>
  <si>
    <t>gay</t>
  </si>
  <si>
    <t>...</t>
  </si>
  <si>
    <t>Rires</t>
  </si>
  <si>
    <t>preuve</t>
  </si>
  <si>
    <t>fois</t>
  </si>
  <si>
    <t>influence</t>
  </si>
  <si>
    <t>aussi</t>
  </si>
  <si>
    <t>ses</t>
  </si>
  <si>
    <t>limites</t>
  </si>
  <si>
    <t># text = Quand j'étais petit, ma mère disait souvent, « L'amour qu'on a pour ses enfants ne ressemble à aucun autre sentiment au monde.</t>
  </si>
  <si>
    <t>Quand</t>
  </si>
  <si>
    <t>étais</t>
  </si>
  <si>
    <t>disait</t>
  </si>
  <si>
    <t>souvent</t>
  </si>
  <si>
    <t>L'</t>
  </si>
  <si>
    <t>amour</t>
  </si>
  <si>
    <t>OBJ_4</t>
  </si>
  <si>
    <t>SBJ_4</t>
  </si>
  <si>
    <t>pour</t>
  </si>
  <si>
    <t>enfants</t>
  </si>
  <si>
    <t>ressemble</t>
  </si>
  <si>
    <t>aucun</t>
  </si>
  <si>
    <t>autre</t>
  </si>
  <si>
    <t>sentiment</t>
  </si>
  <si>
    <t>monde</t>
  </si>
  <si>
    <t># text = Et tant que tu n'as pas d'enfant, tu ne sais pas ce que c'est.</t>
  </si>
  <si>
    <t>tu</t>
  </si>
  <si>
    <t>as</t>
  </si>
  <si>
    <t>enfant</t>
  </si>
  <si>
    <t>sais</t>
  </si>
  <si>
    <t>ce</t>
  </si>
  <si>
    <t>c'</t>
  </si>
  <si>
    <t>SBJ_3</t>
  </si>
  <si>
    <t># text = » Lorsque j'étais petit, je prenais ça pour le plus beau compliment du monde, qu'elle dise ça à propos d'être notre mère.</t>
  </si>
  <si>
    <t>prenais</t>
  </si>
  <si>
    <t>ça</t>
  </si>
  <si>
    <t>plus</t>
  </si>
  <si>
    <t>beau</t>
  </si>
  <si>
    <t>compliment</t>
  </si>
  <si>
    <t>dise</t>
  </si>
  <si>
    <t>propos</t>
  </si>
  <si>
    <t>notre</t>
  </si>
  <si>
    <t># text = Quand j'étais adolescent, je pensais que j'étais gay, et que donc je ne pouvais probablement pas avoir de famille.</t>
  </si>
  <si>
    <t>adolescent</t>
  </si>
  <si>
    <t>pensais</t>
  </si>
  <si>
    <t>donc</t>
  </si>
  <si>
    <t>pouvais</t>
  </si>
  <si>
    <t>probablement</t>
  </si>
  <si>
    <t>famille</t>
  </si>
  <si>
    <t># text = Et quand elle disait ça, ça me rendait nerveux.</t>
  </si>
  <si>
    <t>quand</t>
  </si>
  <si>
    <t>me</t>
  </si>
  <si>
    <t>rendait</t>
  </si>
  <si>
    <t>nerveux</t>
  </si>
  <si>
    <t># text = Et après avoir fait mon coming-out, quand elle a continué à le dire, j'étais furieux.</t>
  </si>
  <si>
    <t>coming-out</t>
  </si>
  <si>
    <t>continué</t>
  </si>
  <si>
    <t>furieux</t>
  </si>
  <si>
    <t># text = Je lui disais, « Je suis gay.</t>
  </si>
  <si>
    <t>Je</t>
  </si>
  <si>
    <t>lui</t>
  </si>
  <si>
    <t>disais</t>
  </si>
  <si>
    <t># text = Ce n'est pas la direction dans laquelle je vais.</t>
  </si>
  <si>
    <t>Ce</t>
  </si>
  <si>
    <t>direction</t>
  </si>
  <si>
    <t>laquelle</t>
  </si>
  <si>
    <t>vais</t>
  </si>
  <si>
    <t># text = Et je veux que tu arrêtes de dire ça.</t>
  </si>
  <si>
    <t>veux</t>
  </si>
  <si>
    <t>arrêtes</t>
  </si>
  <si>
    <t># text = » Il y a environ 20 ans, mes éditeurs au New York Times Magazine m'ont demandé d'écrire un article sur la culture sourde.</t>
  </si>
  <si>
    <t>Il</t>
  </si>
  <si>
    <t>y</t>
  </si>
  <si>
    <t>environ</t>
  </si>
  <si>
    <t>mes</t>
  </si>
  <si>
    <t>éditeurs</t>
  </si>
  <si>
    <t>New</t>
  </si>
  <si>
    <t>York</t>
  </si>
  <si>
    <t>Times</t>
  </si>
  <si>
    <t>Magazine</t>
  </si>
  <si>
    <t>ont</t>
  </si>
  <si>
    <t>demandé</t>
  </si>
  <si>
    <t>article</t>
  </si>
  <si>
    <t>sur</t>
  </si>
  <si>
    <t>culture</t>
  </si>
  <si>
    <t>sourde</t>
  </si>
  <si>
    <t># text = Et j'en suis resté déconcerté.</t>
  </si>
  <si>
    <t>resté</t>
  </si>
  <si>
    <t>déconcerté</t>
  </si>
  <si>
    <t># text = Je n'avais pensé à la surdité qu'en tant que maladie.</t>
  </si>
  <si>
    <t>pensé</t>
  </si>
  <si>
    <t>surdité</t>
  </si>
  <si>
    <t># text = Ces pauvres gens qui ne pouvaient pas entendre.</t>
  </si>
  <si>
    <t>Ces</t>
  </si>
  <si>
    <t>pauvres</t>
  </si>
  <si>
    <t>def-np.dem</t>
  </si>
  <si>
    <t>qui</t>
  </si>
  <si>
    <t>pouvaient</t>
  </si>
  <si>
    <t>entendre</t>
  </si>
  <si>
    <t># text = Ils avaient cette surdité, que pouvions-nous faire pour eux ?</t>
  </si>
  <si>
    <t>Ils</t>
  </si>
  <si>
    <t>avaient</t>
  </si>
  <si>
    <t>cette</t>
  </si>
  <si>
    <t>pouvions</t>
  </si>
  <si>
    <t>-nous</t>
  </si>
  <si>
    <t>eux</t>
  </si>
  <si>
    <t># text = Je suis alors entré dans le monde des sourds.</t>
  </si>
  <si>
    <t>alors</t>
  </si>
  <si>
    <t>entré</t>
  </si>
  <si>
    <t>sourds</t>
  </si>
  <si>
    <t># text = Je suis allé dans des clubs pour sourds.</t>
  </si>
  <si>
    <t>clubs</t>
  </si>
  <si>
    <t># text = J'ai assisté à du théâtre sourd et à de la poésie sourde.</t>
  </si>
  <si>
    <t>J'</t>
  </si>
  <si>
    <t>assisté</t>
  </si>
  <si>
    <t>théâtre</t>
  </si>
  <si>
    <t>sourd</t>
  </si>
  <si>
    <t>poésie</t>
  </si>
  <si>
    <t># text = Je suis même allé au concours de Miss Amérique Sourde à Nashville dans le Tennessee où les gens se plaignaient de cette langue des signes à l'accent du sud.</t>
  </si>
  <si>
    <t>même</t>
  </si>
  <si>
    <t>concours</t>
  </si>
  <si>
    <t>Miss</t>
  </si>
  <si>
    <t>Amérique</t>
  </si>
  <si>
    <t>Sourde</t>
  </si>
  <si>
    <t>Nashville</t>
  </si>
  <si>
    <t>Tennessee</t>
  </si>
  <si>
    <t>où</t>
  </si>
  <si>
    <t>se</t>
  </si>
  <si>
    <t>plaignaient</t>
  </si>
  <si>
    <t>langue</t>
  </si>
  <si>
    <t>signes</t>
  </si>
  <si>
    <t>accent</t>
  </si>
  <si>
    <t>sud</t>
  </si>
  <si>
    <t># text = Alors que je me plongeais de plus en plus dans le monde des sourds, je suis devenu convaincu que la surdité était une culture et que les gens du monde des sourds qui disaient, « Nous ne sommes pas malentendants, nous sommes membres d'une culture, » disaient quelque chose de viable.</t>
  </si>
  <si>
    <t>Alors</t>
  </si>
  <si>
    <t>plongeais</t>
  </si>
  <si>
    <t>devenu</t>
  </si>
  <si>
    <t>convaincu</t>
  </si>
  <si>
    <t>other_6</t>
  </si>
  <si>
    <t>SBJ_8</t>
  </si>
  <si>
    <t>disaient</t>
  </si>
  <si>
    <t>Nous</t>
  </si>
  <si>
    <t>sommes</t>
  </si>
  <si>
    <t>malentendants</t>
  </si>
  <si>
    <t>membres</t>
  </si>
  <si>
    <t>quelque</t>
  </si>
  <si>
    <t>chose</t>
  </si>
  <si>
    <t>viable</t>
  </si>
  <si>
    <t># text = Ce n'était pas ma culture, et je n'avais pas particulièrement envie de me précipiter pour les rejoindre, mais j'appréciais que ce soit une culture et que pour ceux qui en étaient membres, elle paraissait aussi précieuse que la culture latine, gay ou juive.</t>
  </si>
  <si>
    <t>particulièrement</t>
  </si>
  <si>
    <t>envie</t>
  </si>
  <si>
    <t>précipiter</t>
  </si>
  <si>
    <t>OBJ_5</t>
  </si>
  <si>
    <t>rejoindre</t>
  </si>
  <si>
    <t>appréciais</t>
  </si>
  <si>
    <t>ceux</t>
  </si>
  <si>
    <t>SBJ_6</t>
  </si>
  <si>
    <t>étaient</t>
  </si>
  <si>
    <t>paraissait</t>
  </si>
  <si>
    <t>précieuse</t>
  </si>
  <si>
    <t>latine</t>
  </si>
  <si>
    <t>ou</t>
  </si>
  <si>
    <t>juive</t>
  </si>
  <si>
    <t># text = Elle paraissait peut-être même aussi valable que la culture américaine.</t>
  </si>
  <si>
    <t>Elle</t>
  </si>
  <si>
    <t>valable</t>
  </si>
  <si>
    <t>américaine</t>
  </si>
  <si>
    <t># text = Puis une amie d'un de mes amis a eu une fille naine.</t>
  </si>
  <si>
    <t>Puis</t>
  </si>
  <si>
    <t>amie</t>
  </si>
  <si>
    <t>amis</t>
  </si>
  <si>
    <t>eu</t>
  </si>
  <si>
    <t>fille</t>
  </si>
  <si>
    <t>naine</t>
  </si>
  <si>
    <t># text = Quand sa fille est née, elle s'est soudain retrouvée face à des questions qui maintenant me semblent pleines de sens.</t>
  </si>
  <si>
    <t>sa</t>
  </si>
  <si>
    <t>née</t>
  </si>
  <si>
    <t>soudain</t>
  </si>
  <si>
    <t>retrouvée</t>
  </si>
  <si>
    <t>face</t>
  </si>
  <si>
    <t>questions</t>
  </si>
  <si>
    <t>maintenant</t>
  </si>
  <si>
    <t>semblent</t>
  </si>
  <si>
    <t>pleines</t>
  </si>
  <si>
    <t>sens</t>
  </si>
  <si>
    <t># text = Elle était face à la question de quoi faire avec cette enfant.</t>
  </si>
  <si>
    <t>quoi</t>
  </si>
  <si>
    <t># text = Devrait-elle dire : « Tu es comme tout le monde, mais un peu plus petite » ?</t>
  </si>
  <si>
    <t>Devrait</t>
  </si>
  <si>
    <t>Tu</t>
  </si>
  <si>
    <t>es</t>
  </si>
  <si>
    <t>tout</t>
  </si>
  <si>
    <t>peu</t>
  </si>
  <si>
    <t>petite</t>
  </si>
  <si>
    <t># text = Ou bien devrait-elle essayer de construire une sorte d'identité naine, de s'investir dans l'association des personnes de petite taille d'Amérique, se renseigner sur ce qui arrivait aux nains ?</t>
  </si>
  <si>
    <t>Ou</t>
  </si>
  <si>
    <t>bien</t>
  </si>
  <si>
    <t>devrait</t>
  </si>
  <si>
    <t>construire</t>
  </si>
  <si>
    <t>sorte</t>
  </si>
  <si>
    <t>investir</t>
  </si>
  <si>
    <t>association</t>
  </si>
  <si>
    <t>personnes</t>
  </si>
  <si>
    <t>other_7</t>
  </si>
  <si>
    <t>taille</t>
  </si>
  <si>
    <t>other_8</t>
  </si>
  <si>
    <t>other_9</t>
  </si>
  <si>
    <t>OBJ_7</t>
  </si>
  <si>
    <t>renseigner</t>
  </si>
  <si>
    <t>SBJ_9</t>
  </si>
  <si>
    <t>arrivait</t>
  </si>
  <si>
    <t>nains</t>
  </si>
  <si>
    <t># text = J'ai soudain pensé, la plupart des enfants sourds naissent de parents entendants.</t>
  </si>
  <si>
    <t>plupart</t>
  </si>
  <si>
    <t>naissent</t>
  </si>
  <si>
    <t>parents</t>
  </si>
  <si>
    <t>entendants</t>
  </si>
  <si>
    <t># text = Ces parents entendants ont tendance à essayer de les soigner.</t>
  </si>
  <si>
    <t>tendance</t>
  </si>
  <si>
    <t>soigner</t>
  </si>
  <si>
    <t># text = Ces sourds découvrent la communauté d'une façon ou d'une autre à l'adolescence.</t>
  </si>
  <si>
    <t>découvrent</t>
  </si>
  <si>
    <t>communauté</t>
  </si>
  <si>
    <t>façon</t>
  </si>
  <si>
    <t>adolescence</t>
  </si>
  <si>
    <t># text = La plupart des gays naissent de parents hétéros.</t>
  </si>
  <si>
    <t>La</t>
  </si>
  <si>
    <t>gays</t>
  </si>
  <si>
    <t>hétéros</t>
  </si>
  <si>
    <t># text = Ces parents hétéros veulent souvent qu'ils fonctionnent dans ce qu'ils pensent être le monde ordinaire, et ces gays doivent découvrir leur identité plus tard.</t>
  </si>
  <si>
    <t>veulent</t>
  </si>
  <si>
    <t>ils</t>
  </si>
  <si>
    <t>fonctionnent</t>
  </si>
  <si>
    <t>pensent</t>
  </si>
  <si>
    <t>ordinaire</t>
  </si>
  <si>
    <t>ces</t>
  </si>
  <si>
    <t>doivent</t>
  </si>
  <si>
    <t>leur</t>
  </si>
  <si>
    <t>tard</t>
  </si>
  <si>
    <t># text = Et là, il y avait cette amie qui réfléchissait à ces questions d'identité avec sa fille naine.</t>
  </si>
  <si>
    <t>avait</t>
  </si>
  <si>
    <t>réfléchissait</t>
  </si>
  <si>
    <t># text = Et je me suis dit, c'est encore la même chose : Une famille qui se perçoit comme étant normale avec un enfant qui semble extraordinaire.</t>
  </si>
  <si>
    <t>encore</t>
  </si>
  <si>
    <t>Une</t>
  </si>
  <si>
    <t>perçoit</t>
  </si>
  <si>
    <t>étant</t>
  </si>
  <si>
    <t>normale</t>
  </si>
  <si>
    <t>SBJ_7</t>
  </si>
  <si>
    <t>semble</t>
  </si>
  <si>
    <t>extraordinaire</t>
  </si>
  <si>
    <t># text = Et j'ai couvé l'idée qu'il y a vraiment deux types d'identité.</t>
  </si>
  <si>
    <t>couvé</t>
  </si>
  <si>
    <t>idée</t>
  </si>
  <si>
    <t>deux</t>
  </si>
  <si>
    <t>types</t>
  </si>
  <si>
    <t># text = Il y a des identités verticales, qui sont transmises de génération en génération des parents aux enfants.</t>
  </si>
  <si>
    <t>identités</t>
  </si>
  <si>
    <t>verticales</t>
  </si>
  <si>
    <t>sont</t>
  </si>
  <si>
    <t>transmises</t>
  </si>
  <si>
    <t>génération</t>
  </si>
  <si>
    <t># text = Ce sont les choses comme l'ethnicité, souvent la nationalité, la langue, souvent la religion.</t>
  </si>
  <si>
    <t>choses</t>
  </si>
  <si>
    <t>ethnicité</t>
  </si>
  <si>
    <t>nationalité</t>
  </si>
  <si>
    <t>religion</t>
  </si>
  <si>
    <t># text = Ce sont les choses que l'on a en commun avec ses parents et ses enfants.</t>
  </si>
  <si>
    <t>commun</t>
  </si>
  <si>
    <t># text = Et alors que certaines d'entre elles peuvent être difficiles, on n'essaye pas de les soigner.</t>
  </si>
  <si>
    <t>certaines</t>
  </si>
  <si>
    <t>entre</t>
  </si>
  <si>
    <t>elles</t>
  </si>
  <si>
    <t>peuvent</t>
  </si>
  <si>
    <t>difficiles</t>
  </si>
  <si>
    <t>essaye</t>
  </si>
  <si>
    <t># text = On peut affirmer qu'il est plus difficile aux États-Unis, notre président actuel excepté, d'être une personne de couleur.</t>
  </si>
  <si>
    <t>On</t>
  </si>
  <si>
    <t>peut</t>
  </si>
  <si>
    <t>affirmer</t>
  </si>
  <si>
    <t>difficile</t>
  </si>
  <si>
    <t>États-Unis</t>
  </si>
  <si>
    <t>actuel</t>
  </si>
  <si>
    <t>excepté</t>
  </si>
  <si>
    <t># text = Et pourtant, il n'y a personne qui soit en train d'essayer de s'assurer que la prochaine génération d'enfants nés de parents afro-américains et asiatiques arrivent avec une peau crème et des cheveux jaunes.</t>
  </si>
  <si>
    <t>pourtant</t>
  </si>
  <si>
    <t>train</t>
  </si>
  <si>
    <t>assurer</t>
  </si>
  <si>
    <t>prochaine</t>
  </si>
  <si>
    <t>nés</t>
  </si>
  <si>
    <t>afro-américains</t>
  </si>
  <si>
    <t>asiatiques</t>
  </si>
  <si>
    <t>arrivent</t>
  </si>
  <si>
    <t>peau</t>
  </si>
  <si>
    <t>crème</t>
  </si>
  <si>
    <t>cheveux</t>
  </si>
  <si>
    <t>jaunes</t>
  </si>
  <si>
    <t># text = Et il y a ces autres identités que l'on doit apprendre d'un groupe de pairs.</t>
  </si>
  <si>
    <t>autres</t>
  </si>
  <si>
    <t>doit</t>
  </si>
  <si>
    <t>apprendre</t>
  </si>
  <si>
    <t>groupe</t>
  </si>
  <si>
    <t>pairs</t>
  </si>
  <si>
    <t># text = Je les appelle les identités horizontales, parce que le groupe de pairs est l'expérience horizontale.</t>
  </si>
  <si>
    <t>appelle</t>
  </si>
  <si>
    <t>horizontales</t>
  </si>
  <si>
    <t>parce</t>
  </si>
  <si>
    <t>expérience</t>
  </si>
  <si>
    <t>horizontale</t>
  </si>
  <si>
    <t># text = Ce sont des identités qui sont étrangères aux parents et que l'on doit découvrir lorsqu'on les voit chez ses pairs.</t>
  </si>
  <si>
    <t>étrangères</t>
  </si>
  <si>
    <t>lorsqu'</t>
  </si>
  <si>
    <t>OBJ_6</t>
  </si>
  <si>
    <t>voit</t>
  </si>
  <si>
    <t>chez</t>
  </si>
  <si>
    <t># text = Ces identités, ces identités horizontales, les gens ont presque toujours essayé de les guérir.</t>
  </si>
  <si>
    <t>presque</t>
  </si>
  <si>
    <t>essayé</t>
  </si>
  <si>
    <t>guérir</t>
  </si>
  <si>
    <t># text = Je voulais voir quel était le processus à travers lequel les personnes qui ont ces identités arrivent à une bonne relation avec elles.</t>
  </si>
  <si>
    <t>quel</t>
  </si>
  <si>
    <t>processus</t>
  </si>
  <si>
    <t>travers</t>
  </si>
  <si>
    <t>lequel</t>
  </si>
  <si>
    <t>bonne</t>
  </si>
  <si>
    <t>relation</t>
  </si>
  <si>
    <t># text = Et il m'a semblé que trois niveaux d'acceptation devaient se produire..</t>
  </si>
  <si>
    <t>semblé</t>
  </si>
  <si>
    <t>niveaux</t>
  </si>
  <si>
    <t>acceptation</t>
  </si>
  <si>
    <t>devaient</t>
  </si>
  <si>
    <t>produire</t>
  </si>
  <si>
    <t>..</t>
  </si>
  <si>
    <t># text = Il y a l'acceptation de soi, l'acceptation par sa famille et l'acceptation sociale.</t>
  </si>
  <si>
    <t>soi</t>
  </si>
  <si>
    <t>par</t>
  </si>
  <si>
    <t>sociale</t>
  </si>
  <si>
    <t># text = Elles ne coïncident pas toujours.</t>
  </si>
  <si>
    <t>Elles</t>
  </si>
  <si>
    <t>coïncident</t>
  </si>
  <si>
    <t># text = La plupart du temps, les personnes qui ont ces problèmes sont très en colère parce qu'elles ont l'impression que leurs parents ne les aiment pas, alors que ce qui se passe en réalité, c'est que leurs parents ne les acceptent pas.</t>
  </si>
  <si>
    <t>temps</t>
  </si>
  <si>
    <t>problèmes</t>
  </si>
  <si>
    <t>très</t>
  </si>
  <si>
    <t>colère</t>
  </si>
  <si>
    <t>impression</t>
  </si>
  <si>
    <t>leurs</t>
  </si>
  <si>
    <t>aiment</t>
  </si>
  <si>
    <t>SBJ_5</t>
  </si>
  <si>
    <t>passe</t>
  </si>
  <si>
    <t>acceptent</t>
  </si>
  <si>
    <t># text = L'amour est une chose qui, idéalement, est là de façon inconditionnelle dans tous les aspects de la relation entre un parent et un enfant.</t>
  </si>
  <si>
    <t>idéalement</t>
  </si>
  <si>
    <t>inconditionnelle</t>
  </si>
  <si>
    <t>tous</t>
  </si>
  <si>
    <t>aspects</t>
  </si>
  <si>
    <t># text = Mais l'acceptation est une chose qui prend du temps.</t>
  </si>
  <si>
    <t>prend</t>
  </si>
  <si>
    <t># text = Ca prend toujours du temps.</t>
  </si>
  <si>
    <t>Ca</t>
  </si>
  <si>
    <t># text = Un des nains dont j'ai fait la connaissance était un gars du nom de Clinton Brown.</t>
  </si>
  <si>
    <t>Un</t>
  </si>
  <si>
    <t>dont</t>
  </si>
  <si>
    <t>connaissance</t>
  </si>
  <si>
    <t>gars</t>
  </si>
  <si>
    <t>nom</t>
  </si>
  <si>
    <t>Clinton</t>
  </si>
  <si>
    <t>Brown</t>
  </si>
  <si>
    <t># text = Lorsqu'il est né, on lui a diagnostiqué un nanisme diastrophique, une maladie très handicapante, et on a dit à ses parents qu'il ne marcherait jamais, ne parlerait jamais, qu'il n'aurait aucune capacité intellectuelle, et qu'il ne les reconnaîtrait probablement pas.</t>
  </si>
  <si>
    <t>Lorsqu'</t>
  </si>
  <si>
    <t>né</t>
  </si>
  <si>
    <t>diagnostiqué</t>
  </si>
  <si>
    <t>nanisme</t>
  </si>
  <si>
    <t>diastrophique</t>
  </si>
  <si>
    <t>handicapante</t>
  </si>
  <si>
    <t>marcherait</t>
  </si>
  <si>
    <t>jamais</t>
  </si>
  <si>
    <t>parlerait</t>
  </si>
  <si>
    <t>aurait</t>
  </si>
  <si>
    <t>capacité</t>
  </si>
  <si>
    <t>intellectuelle</t>
  </si>
  <si>
    <t>reconnaîtrait</t>
  </si>
  <si>
    <t># text = On leur a suggéré de le laisser à l'hôpital pour qu'il puisse y mourir en paix.</t>
  </si>
  <si>
    <t>suggéré</t>
  </si>
  <si>
    <t>laisser</t>
  </si>
  <si>
    <t>hôpital</t>
  </si>
  <si>
    <t>puisse</t>
  </si>
  <si>
    <t>mourir</t>
  </si>
  <si>
    <t>paix</t>
  </si>
  <si>
    <t># text = Sa mère a répondu qu'elle ne ferait pas ça.</t>
  </si>
  <si>
    <t>Sa</t>
  </si>
  <si>
    <t>répondu</t>
  </si>
  <si>
    <t>ferait</t>
  </si>
  <si>
    <t># text = Elle a ramené son fils chez elle.</t>
  </si>
  <si>
    <t>ramené</t>
  </si>
  <si>
    <t>son</t>
  </si>
  <si>
    <t>fils</t>
  </si>
  <si>
    <t># text = Même si elle n'avait pas beaucoup de ressources, éducatives ou financières, elle a trouvé le meilleur docteur du pays en matière de nanisme diastrophique et elle a inscrit Clinton auprès de lui.</t>
  </si>
  <si>
    <t>si</t>
  </si>
  <si>
    <t>beaucoup</t>
  </si>
  <si>
    <t>ressources</t>
  </si>
  <si>
    <t>éducatives</t>
  </si>
  <si>
    <t>financières</t>
  </si>
  <si>
    <t>trouvé</t>
  </si>
  <si>
    <t>meilleur</t>
  </si>
  <si>
    <t>docteur</t>
  </si>
  <si>
    <t>pays</t>
  </si>
  <si>
    <t>matière</t>
  </si>
  <si>
    <t>inscrit</t>
  </si>
  <si>
    <t>auprès</t>
  </si>
  <si>
    <t># text = Durant son enfance, il a subi 30 opérations chirurgicales majeures.</t>
  </si>
  <si>
    <t>Durant</t>
  </si>
  <si>
    <t>enfance</t>
  </si>
  <si>
    <t>subi</t>
  </si>
  <si>
    <t>opérations</t>
  </si>
  <si>
    <t>chirurgicales</t>
  </si>
  <si>
    <t>majeures</t>
  </si>
  <si>
    <t># text = Il a passé tout ce temps bloqué à l'hôpital pendant qu'il subissait ces opérations, grâce auxquelles il peut maintenant marcher.</t>
  </si>
  <si>
    <t>passé</t>
  </si>
  <si>
    <t>bloqué</t>
  </si>
  <si>
    <t>pendant</t>
  </si>
  <si>
    <t>subissait</t>
  </si>
  <si>
    <t>grâce</t>
  </si>
  <si>
    <t>lesquelles</t>
  </si>
  <si>
    <t>marcher</t>
  </si>
  <si>
    <t># text = Pendant qu'il était là-bas, on a envoyé des tuteurs pour l'aider pour ses devoirs.</t>
  </si>
  <si>
    <t>Pendant</t>
  </si>
  <si>
    <t>là-bas</t>
  </si>
  <si>
    <t>envoyé</t>
  </si>
  <si>
    <t>tuteurs</t>
  </si>
  <si>
    <t>aider</t>
  </si>
  <si>
    <t>devoirs</t>
  </si>
  <si>
    <t># text = Il a travaillé très dur parce qu'il n'avait rien d'autre à faire.</t>
  </si>
  <si>
    <t>travaillé</t>
  </si>
  <si>
    <t>dur</t>
  </si>
  <si>
    <t>rien</t>
  </si>
  <si>
    <t># text = Il a fini par atteindre un niveau qui n'avait jamais été envisagé par aucun membre de sa famille.</t>
  </si>
  <si>
    <t>fini</t>
  </si>
  <si>
    <t>atteindre</t>
  </si>
  <si>
    <t>niveau</t>
  </si>
  <si>
    <t>été</t>
  </si>
  <si>
    <t>envisagé</t>
  </si>
  <si>
    <t>membre</t>
  </si>
  <si>
    <t># text = En fait, il était le premier de sa famille à aller à l'université, où il habitait sur le campus et conduisait une voiture aménagée adaptée à son corps insolite.</t>
  </si>
  <si>
    <t>premier</t>
  </si>
  <si>
    <t>université</t>
  </si>
  <si>
    <t>habitait</t>
  </si>
  <si>
    <t>campus</t>
  </si>
  <si>
    <t>conduisait</t>
  </si>
  <si>
    <t>voiture</t>
  </si>
  <si>
    <t>aménagée</t>
  </si>
  <si>
    <t>adaptée</t>
  </si>
  <si>
    <t>corps</t>
  </si>
  <si>
    <t>insolite</t>
  </si>
  <si>
    <t># text = Sa mère m'a raconté l'histoire d'un jour où elle rentrait à la maison -- il allait dans une université proche -- elle m'a dit, « J'ai vu sa voiture, qu'on reconnaît toujours, sur le parking d'un bar, » « Et je me suis dit, ils font 1,80 m, il fait 90 cm.</t>
  </si>
  <si>
    <t>raconté</t>
  </si>
  <si>
    <t>histoire</t>
  </si>
  <si>
    <t>jour</t>
  </si>
  <si>
    <t>rentrait</t>
  </si>
  <si>
    <t>maison</t>
  </si>
  <si>
    <t>allait</t>
  </si>
  <si>
    <t>proche</t>
  </si>
  <si>
    <t>vu</t>
  </si>
  <si>
    <t>reconnaît</t>
  </si>
  <si>
    <t>parking</t>
  </si>
  <si>
    <t>bar</t>
  </si>
  <si>
    <t>font</t>
  </si>
  <si>
    <t>1,80</t>
  </si>
  <si>
    <t>m</t>
  </si>
  <si>
    <t>cm</t>
  </si>
  <si>
    <t># text = Deux bières pour eux, ça fait quatre pour lui.</t>
  </si>
  <si>
    <t>Deux</t>
  </si>
  <si>
    <t>bières</t>
  </si>
  <si>
    <t>quatre</t>
  </si>
  <si>
    <t># text = » Elle m'a dit, « Je savais que je ne pouvais pas entrer et l'interrompre mais je suis rentrée à la maison et je lui ai laissé huit messages sur son portable.</t>
  </si>
  <si>
    <t>savais</t>
  </si>
  <si>
    <t>interrompre</t>
  </si>
  <si>
    <t>rentrée</t>
  </si>
  <si>
    <t>laissé</t>
  </si>
  <si>
    <t>huit</t>
  </si>
  <si>
    <t>messages</t>
  </si>
  <si>
    <t>portable</t>
  </si>
  <si>
    <t># text = » Elle m'a dit, « Ensuite j'ai pensé, si quelqu'un m'avait dit quand il est né que mon souci futur serait qu'il irait boire et conduire avec ses potes de fac... » Et je lui ai dit, « Qu'est-ce que tu penses avoir fait qui l'a aidé à devenir quelqu'un de charmant, d'accompli et de merveilleux ?</t>
  </si>
  <si>
    <t>Ensuite</t>
  </si>
  <si>
    <t>quelqu'un</t>
  </si>
  <si>
    <t>souci</t>
  </si>
  <si>
    <t>futur</t>
  </si>
  <si>
    <t>serait</t>
  </si>
  <si>
    <t>irait</t>
  </si>
  <si>
    <t>boire</t>
  </si>
  <si>
    <t>conduire</t>
  </si>
  <si>
    <t>potes</t>
  </si>
  <si>
    <t>fac</t>
  </si>
  <si>
    <t>Qu'</t>
  </si>
  <si>
    <t>pron.pint</t>
  </si>
  <si>
    <t>-ce</t>
  </si>
  <si>
    <t>penses</t>
  </si>
  <si>
    <t>OBJ_8</t>
  </si>
  <si>
    <t>aidé</t>
  </si>
  <si>
    <t>OBJ_9</t>
  </si>
  <si>
    <t>charmant</t>
  </si>
  <si>
    <t>accompli</t>
  </si>
  <si>
    <t>merveilleux</t>
  </si>
  <si>
    <t># text = Elle m'a dit, « Qu'est-ce que j'ai fait ?</t>
  </si>
  <si>
    <t># text = Je l'ai aimé, c'est tout.</t>
  </si>
  <si>
    <t>aimé</t>
  </si>
  <si>
    <t># text = Clinton a simplement toujours porté une certaine lumière en lui.</t>
  </si>
  <si>
    <t>simplement</t>
  </si>
  <si>
    <t>porté</t>
  </si>
  <si>
    <t>certaine</t>
  </si>
  <si>
    <t>lumière</t>
  </si>
  <si>
    <t># text = Son père et moi avons eu assez de chance pour être les premiers à le voir.</t>
  </si>
  <si>
    <t>Son</t>
  </si>
  <si>
    <t>père</t>
  </si>
  <si>
    <t>avons</t>
  </si>
  <si>
    <t>assez</t>
  </si>
  <si>
    <t>chance</t>
  </si>
  <si>
    <t>premiers</t>
  </si>
  <si>
    <t># text = » Je vais citer un autre magazine des années 60.</t>
  </si>
  <si>
    <t>citer</t>
  </si>
  <si>
    <t>années</t>
  </si>
  <si>
    <t># text = Celui-ci est de 1968 -- The Atlantic Monthly, la voix de l'Amérique libérale -- écrit par un important bioéthicien.</t>
  </si>
  <si>
    <t>Celui-ci</t>
  </si>
  <si>
    <t>1968</t>
  </si>
  <si>
    <t>The</t>
  </si>
  <si>
    <t>Atlantic</t>
  </si>
  <si>
    <t>Monthly</t>
  </si>
  <si>
    <t>voix</t>
  </si>
  <si>
    <t>libérale</t>
  </si>
  <si>
    <t>écrit</t>
  </si>
  <si>
    <t>important</t>
  </si>
  <si>
    <t>bioéthicien</t>
  </si>
  <si>
    <t># text = Il disait, « Il n'y a aucune raison de se sentir coupable de mettre à l'écart les enfants trisomiques, que ce soit pour les cacher dans un sanatorium ou au sens figuré plus responsable et léthal.</t>
  </si>
  <si>
    <t>raison</t>
  </si>
  <si>
    <t>sentir</t>
  </si>
  <si>
    <t>coupable</t>
  </si>
  <si>
    <t>mettre</t>
  </si>
  <si>
    <t>écart</t>
  </si>
  <si>
    <t>trisomiques</t>
  </si>
  <si>
    <t>cacher</t>
  </si>
  <si>
    <t>sanatorium</t>
  </si>
  <si>
    <t>figuré</t>
  </si>
  <si>
    <t>responsable</t>
  </si>
  <si>
    <t>léthal</t>
  </si>
  <si>
    <t># text = C'est triste, oui -- épouvantable.</t>
  </si>
  <si>
    <t>triste</t>
  </si>
  <si>
    <t>oui</t>
  </si>
  <si>
    <t>épouvantable</t>
  </si>
  <si>
    <t># text = Mais ça n'amène aucune culpabilité.</t>
  </si>
  <si>
    <t>amène</t>
  </si>
  <si>
    <t>culpabilité</t>
  </si>
  <si>
    <t># text = La vraie culpabilité n'apparaît que lorsqu'on s'attaque à une personne, un trisomique n'est pas une personne.</t>
  </si>
  <si>
    <t>vraie</t>
  </si>
  <si>
    <t>apparaît</t>
  </si>
  <si>
    <t>attaque</t>
  </si>
  <si>
    <t>trisomique</t>
  </si>
  <si>
    <t># text = » On a beaucoup écrit à propos des énormes progrès que nous avons fait dans le traitement des homosexuels.</t>
  </si>
  <si>
    <t>énormes</t>
  </si>
  <si>
    <t>progrès</t>
  </si>
  <si>
    <t>traitement</t>
  </si>
  <si>
    <t>homosexuels</t>
  </si>
  <si>
    <t># text = Le fait que notre attitude ait changé fait les gros titres chaque jour.</t>
  </si>
  <si>
    <t>attitude</t>
  </si>
  <si>
    <t>ait</t>
  </si>
  <si>
    <t>changé</t>
  </si>
  <si>
    <t>gros</t>
  </si>
  <si>
    <t>titres</t>
  </si>
  <si>
    <t>chaque</t>
  </si>
  <si>
    <t># text = Mais on oublie comment, dans le temps, on voyait les gens qui avaient d'autres différences, comment on voyait les personnes handicapées, à quel point on considérait que ces gens n'étaient pas humains.</t>
  </si>
  <si>
    <t>oublie</t>
  </si>
  <si>
    <t>voyait</t>
  </si>
  <si>
    <t>différences</t>
  </si>
  <si>
    <t>handicapées</t>
  </si>
  <si>
    <t>point</t>
  </si>
  <si>
    <t>considérait</t>
  </si>
  <si>
    <t>humains</t>
  </si>
  <si>
    <t># text = Le changement qui a été accompli ici, qui est presque aussi radical, est celui auquel nous ne prêtons pas beaucoup attention.</t>
  </si>
  <si>
    <t>changement</t>
  </si>
  <si>
    <t>ici</t>
  </si>
  <si>
    <t>radical</t>
  </si>
  <si>
    <t>celui</t>
  </si>
  <si>
    <t>prêtons</t>
  </si>
  <si>
    <t>attention</t>
  </si>
  <si>
    <t># text = Une des familles que j'ai interviewées, Tom et Karen Robards, ont été stupéfaits, lorsque, eux, de jeunes et brillants New Yorkais, on appris que leur premier enfant était trisomique.</t>
  </si>
  <si>
    <t>familles</t>
  </si>
  <si>
    <t>interviewées</t>
  </si>
  <si>
    <t>Tom</t>
  </si>
  <si>
    <t>Karen</t>
  </si>
  <si>
    <t>Robards</t>
  </si>
  <si>
    <t>stupéfaits</t>
  </si>
  <si>
    <t>jeunes</t>
  </si>
  <si>
    <t>brillants</t>
  </si>
  <si>
    <t>Yorkais</t>
  </si>
  <si>
    <t>appris</t>
  </si>
  <si>
    <t># text = Ils pensaient que les opportunités éducatives pour lui n'étaient pas ce qu'elles devraient être, ils ont alors décidé qu'ils construiraient un petit centre -- deux salles de classes qu'ils ont créées avec quelques autres parents -- pour éduquer les enfants trisomiques.</t>
  </si>
  <si>
    <t>pensaient</t>
  </si>
  <si>
    <t>opportunités</t>
  </si>
  <si>
    <t>devraient</t>
  </si>
  <si>
    <t>décidé</t>
  </si>
  <si>
    <t>construiraient</t>
  </si>
  <si>
    <t>centre</t>
  </si>
  <si>
    <t>salles</t>
  </si>
  <si>
    <t>classes</t>
  </si>
  <si>
    <t>créées</t>
  </si>
  <si>
    <t>quelques</t>
  </si>
  <si>
    <t>éduquer</t>
  </si>
  <si>
    <t># text = Au fil des années, ce centre s'est développé et est devenu le Cooke Center, où il y a maintenant des milliers et des milliers d'enfants atteints de déficience intellectuelle qui reçoivent un enseignement.</t>
  </si>
  <si>
    <t>À</t>
  </si>
  <si>
    <t>fil</t>
  </si>
  <si>
    <t>développé</t>
  </si>
  <si>
    <t>Cooke</t>
  </si>
  <si>
    <t>Center</t>
  </si>
  <si>
    <t>milliers</t>
  </si>
  <si>
    <t>atteints</t>
  </si>
  <si>
    <t>déficience</t>
  </si>
  <si>
    <t>reçoivent</t>
  </si>
  <si>
    <t>enseignement</t>
  </si>
  <si>
    <t># text = Depuis la publication de cette histoire dans l'Atlantic Monthly, la durée de vie des personnes trisomiques a triplé.</t>
  </si>
  <si>
    <t>Depuis</t>
  </si>
  <si>
    <t>publication</t>
  </si>
  <si>
    <t>durée</t>
  </si>
  <si>
    <t># text = L'expérience des personnes trisomiques inclue ceux qui sont acteurs, ceux qui sont écrivains, ceux qui peuvent vivre totalement indépendant leur vie d'adulte.</t>
  </si>
  <si>
    <t>inclue</t>
  </si>
  <si>
    <t>acteurs</t>
  </si>
  <si>
    <t>écrivains</t>
  </si>
  <si>
    <t>vivre</t>
  </si>
  <si>
    <t>totalement</t>
  </si>
  <si>
    <t>indépendant</t>
  </si>
  <si>
    <t>adulte</t>
  </si>
  <si>
    <t># text = Les Robards y sont pour beaucoup.</t>
  </si>
  <si>
    <t>Les</t>
  </si>
  <si>
    <t># text = Je leur ai demandé « Est-ce que vous avez des regrets ?</t>
  </si>
  <si>
    <t>Est</t>
  </si>
  <si>
    <t>vous</t>
  </si>
  <si>
    <t>avez</t>
  </si>
  <si>
    <t>regrets</t>
  </si>
  <si>
    <t># text = Est-ce que vous auriez souhaité que votre enfant n'ait pas été trisomique ?</t>
  </si>
  <si>
    <t>auriez</t>
  </si>
  <si>
    <t>souhaité</t>
  </si>
  <si>
    <t>votre</t>
  </si>
  <si>
    <t># text = Est-ce que vous auriez préféré ne jamais en avoir entendu parlé ?</t>
  </si>
  <si>
    <t>préféré</t>
  </si>
  <si>
    <t>entendu</t>
  </si>
  <si>
    <t>parlé</t>
  </si>
  <si>
    <t># text = » Son père a dit quelque chose d'intéressant, « Et bien, pour David, notre fils, je le regrette, parce que pour David, c'est une façon difficile de faire partie du monde, et j'aimerais donner à David une vie plus facile.</t>
  </si>
  <si>
    <t>intéressant</t>
  </si>
  <si>
    <t>David</t>
  </si>
  <si>
    <t>regrette</t>
  </si>
  <si>
    <t>partie</t>
  </si>
  <si>
    <t>aimerais</t>
  </si>
  <si>
    <t>facile</t>
  </si>
  <si>
    <t># text = Mais je pense que si nous perdions tous les trisomiques, ce serait une perte catastrophique » Karen Robards m'a dit, « Je suis d'accord avec Tom.</t>
  </si>
  <si>
    <t>pense</t>
  </si>
  <si>
    <t>perdions</t>
  </si>
  <si>
    <t>perte</t>
  </si>
  <si>
    <t>catastrophique</t>
  </si>
  <si>
    <t>accord</t>
  </si>
  <si>
    <t># text = Pour David, je soignerais sa maladie en un instant pour lui donner une vie meilleure.</t>
  </si>
  <si>
    <t>Pour</t>
  </si>
  <si>
    <t>soignerais</t>
  </si>
  <si>
    <t>instant</t>
  </si>
  <si>
    <t>meilleure</t>
  </si>
  <si>
    <t># text = Mais, je parle pour moi -- et bien, je n'aurais jamais cru il y a 23 ans, lorsqu'il est né que je pourrais arriver à ce point -- en ce qui me concerne, ça m'a rendu tellement meilleure, tellement plus gentille et tellement plus déterminée dans ma vie, que, en parlant pour moi, je ne voudrais arrêter pour rien au monde.</t>
  </si>
  <si>
    <t>parle</t>
  </si>
  <si>
    <t>aurais</t>
  </si>
  <si>
    <t>cru</t>
  </si>
  <si>
    <t>pourrais</t>
  </si>
  <si>
    <t>concerne</t>
  </si>
  <si>
    <t>rendu</t>
  </si>
  <si>
    <t>tellement</t>
  </si>
  <si>
    <t>gentille</t>
  </si>
  <si>
    <t>déterminée</t>
  </si>
  <si>
    <t>parlant</t>
  </si>
  <si>
    <t>voudrais</t>
  </si>
  <si>
    <t>arrêter</t>
  </si>
  <si>
    <t># text = » Nous sommes à un moment où l'acceptation sociale pour cette maladie et bien d'autres s'améliore.</t>
  </si>
  <si>
    <t>moment</t>
  </si>
  <si>
    <t>améliore</t>
  </si>
  <si>
    <t># text = Pourtant nous en sommes également au moment où notre capacité à éliminer ces maladies a atteint un niveau que nous n'avions jamais imaginé auparavant.</t>
  </si>
  <si>
    <t>Pourtant</t>
  </si>
  <si>
    <t>également</t>
  </si>
  <si>
    <t>éliminer</t>
  </si>
  <si>
    <t>maladies</t>
  </si>
  <si>
    <t>atteint</t>
  </si>
  <si>
    <t>avions</t>
  </si>
  <si>
    <t>imaginé</t>
  </si>
  <si>
    <t>auparavant</t>
  </si>
  <si>
    <t># text = La plupart des enfants sourds nés aux Etats-unis aujourd'hui recevra des implants cochléaires, qui sont posés dans le cerveau et connectés à un récepteur, ce qui leur permet d'acquérir un facsimile d'écoute et d'utiliser un langage oral Un composé qui a été testé chez la souris, le BMN-111, est utilisé pour prévenir l'action du gène achondroplasique.</t>
  </si>
  <si>
    <t>Etats-unis</t>
  </si>
  <si>
    <t>recevra</t>
  </si>
  <si>
    <t>implants</t>
  </si>
  <si>
    <t>cochléaires</t>
  </si>
  <si>
    <t>posés</t>
  </si>
  <si>
    <t>cerveau</t>
  </si>
  <si>
    <t>connectés</t>
  </si>
  <si>
    <t>récepteur</t>
  </si>
  <si>
    <t>permet</t>
  </si>
  <si>
    <t>acquérir</t>
  </si>
  <si>
    <t>facsimile</t>
  </si>
  <si>
    <t>écoute</t>
  </si>
  <si>
    <t>utiliser</t>
  </si>
  <si>
    <t>langage</t>
  </si>
  <si>
    <t>oral</t>
  </si>
  <si>
    <t>composé</t>
  </si>
  <si>
    <t>testé</t>
  </si>
  <si>
    <t>souris</t>
  </si>
  <si>
    <t>BMN-111</t>
  </si>
  <si>
    <t>utilisé</t>
  </si>
  <si>
    <t>prévenir</t>
  </si>
  <si>
    <t>action</t>
  </si>
  <si>
    <t>gène</t>
  </si>
  <si>
    <t>achondroplasique</t>
  </si>
  <si>
    <t># text = L'achondroplasie est la forme la plus commune de nanisme, les souris qui ont reçu ce produit et qui avaient le gène d'achondroplasie, ont grandi jusqu'à une taille normale.</t>
  </si>
  <si>
    <t>achondroplasie</t>
  </si>
  <si>
    <t>forme</t>
  </si>
  <si>
    <t>commune</t>
  </si>
  <si>
    <t>reçu</t>
  </si>
  <si>
    <t>produit</t>
  </si>
  <si>
    <t>grandi</t>
  </si>
  <si>
    <t>jusqu'</t>
  </si>
  <si>
    <t># text = Les tests sur les humains sont pour bientôt.</t>
  </si>
  <si>
    <t>tests</t>
  </si>
  <si>
    <t>bientôt</t>
  </si>
  <si>
    <t># text = Les tests sanguins s'améliorent et permettront de détecter le Syndrome de Down de façon plus claire et plus précoce lors des grossesses que jamais auparavant, permettant plus facilement aux gens d'éviter ces grossesses, ou d'y mettre un terme.</t>
  </si>
  <si>
    <t>sanguins</t>
  </si>
  <si>
    <t>améliorent</t>
  </si>
  <si>
    <t>permettront</t>
  </si>
  <si>
    <t>détecter</t>
  </si>
  <si>
    <t>Syndrome</t>
  </si>
  <si>
    <t>Down</t>
  </si>
  <si>
    <t>claire</t>
  </si>
  <si>
    <t>précoce</t>
  </si>
  <si>
    <t>lors</t>
  </si>
  <si>
    <t>grossesses</t>
  </si>
  <si>
    <t>permettant</t>
  </si>
  <si>
    <t>facilement</t>
  </si>
  <si>
    <t>éviter</t>
  </si>
  <si>
    <t>terme</t>
  </si>
  <si>
    <t># text = Nous avons donc un progrès social et médical.</t>
  </si>
  <si>
    <t>social</t>
  </si>
  <si>
    <t>médical</t>
  </si>
  <si>
    <t># text = Et je crois en les deux.</t>
  </si>
  <si>
    <t>crois</t>
  </si>
  <si>
    <t># text = Je crois que le progrès social est fantastique, significatif et magnifique, et je pense la même chose du progrès médical.</t>
  </si>
  <si>
    <t>fantastique</t>
  </si>
  <si>
    <t>significatif</t>
  </si>
  <si>
    <t>magnifique</t>
  </si>
  <si>
    <t># text = Mais je pense que c'est une tragédie lorsque l'un ne voit pas l'autre.</t>
  </si>
  <si>
    <t>tragédie</t>
  </si>
  <si>
    <t># text = Quand je vois comment ils se recoupent dans des maladies comme les trois exemples que je viens de décrire, je pense parfois que c'est comme pendant ces grands moments d'opéra ou le héros réalise qu'il aime l'héroine au moment même où elle est étendue morte sur le divan.</t>
  </si>
  <si>
    <t>vois</t>
  </si>
  <si>
    <t>recoupent</t>
  </si>
  <si>
    <t>exemples</t>
  </si>
  <si>
    <t>viens</t>
  </si>
  <si>
    <t>décrire</t>
  </si>
  <si>
    <t>parfois</t>
  </si>
  <si>
    <t>grands</t>
  </si>
  <si>
    <t>moments</t>
  </si>
  <si>
    <t>opéra</t>
  </si>
  <si>
    <t>héros</t>
  </si>
  <si>
    <t>réalise</t>
  </si>
  <si>
    <t>aime</t>
  </si>
  <si>
    <t>héroine</t>
  </si>
  <si>
    <t>étendue</t>
  </si>
  <si>
    <t>morte</t>
  </si>
  <si>
    <t>divan</t>
  </si>
  <si>
    <t># text = Nous devons réfléchir à la façon dont nous percevons les traitements.</t>
  </si>
  <si>
    <t>devons</t>
  </si>
  <si>
    <t>percevons</t>
  </si>
  <si>
    <t>traitements</t>
  </si>
  <si>
    <t># text = Souvent, les questions sur la parentalité est : qu'est-ce qu'on valide chez nos enfants, qu'est-ce qu'on soigne chez eux ?</t>
  </si>
  <si>
    <t>Souvent</t>
  </si>
  <si>
    <t>parentalité</t>
  </si>
  <si>
    <t>valide</t>
  </si>
  <si>
    <t>soigne</t>
  </si>
  <si>
    <t># text = Jim Sinclair, un militant majeur de l'autisme, a dit, « Lorsque les parents disent, « j'aurai voulu que mon enfant ne soit pas autiste, » ce qu'ils disent vraiment c'est « j'aurais voulu que l'enfant que j'ai n'ait jamais existé et que j'aie un enfant différent non autiste à la place.</t>
  </si>
  <si>
    <t>Jim</t>
  </si>
  <si>
    <t>Sinclair</t>
  </si>
  <si>
    <t>militant</t>
  </si>
  <si>
    <t>majeur</t>
  </si>
  <si>
    <t>autisme</t>
  </si>
  <si>
    <t>disent</t>
  </si>
  <si>
    <t>aurai</t>
  </si>
  <si>
    <t>voulu</t>
  </si>
  <si>
    <t>autiste</t>
  </si>
  <si>
    <t>existé</t>
  </si>
  <si>
    <t>aie</t>
  </si>
  <si>
    <t>différent</t>
  </si>
  <si>
    <t>non</t>
  </si>
  <si>
    <t>place</t>
  </si>
  <si>
    <t># text = » Repensez à ça.</t>
  </si>
  <si>
    <t>Repensez</t>
  </si>
  <si>
    <t># text = C'est ce qu'on entend l orsqu'on se plaint de notre existence.</t>
  </si>
  <si>
    <t>entend</t>
  </si>
  <si>
    <t>l</t>
  </si>
  <si>
    <t>orsqu'</t>
  </si>
  <si>
    <t>plaint</t>
  </si>
  <si>
    <t>existence</t>
  </si>
  <si>
    <t># text = C'est ce qu'on entend quand vous priez pour un traitement -- que votre souhait le plus profond pour nous est qu'un jour nous cessions d'exister et que des étrangers que vous pouvez aimez viendront prendre place derrières nos visages.</t>
  </si>
  <si>
    <t>priez</t>
  </si>
  <si>
    <t>souhait</t>
  </si>
  <si>
    <t>profond</t>
  </si>
  <si>
    <t>cessions</t>
  </si>
  <si>
    <t>étrangers</t>
  </si>
  <si>
    <t>pouvez</t>
  </si>
  <si>
    <t>aimez</t>
  </si>
  <si>
    <t>viendront</t>
  </si>
  <si>
    <t>derrières</t>
  </si>
  <si>
    <t>visages</t>
  </si>
  <si>
    <t># text = » C'est un point de vue vraiment extrême, mais il souligne le fait que les gens font avec la vie qu'ils ont et qu'ils ne veulent pas être soignés, changés ou éliminés.</t>
  </si>
  <si>
    <t>vue</t>
  </si>
  <si>
    <t>extrême</t>
  </si>
  <si>
    <t>souligne</t>
  </si>
  <si>
    <t>soignés</t>
  </si>
  <si>
    <t>changés</t>
  </si>
  <si>
    <t>éliminés</t>
  </si>
  <si>
    <t># text = Ils veulent exister quelque soit la personne qu'ils sont devenus.</t>
  </si>
  <si>
    <t>devenus</t>
  </si>
  <si>
    <t># text = Une des familles que j'ai interviewée pour ce projet était la famille de Dylan Klebold qui était un des responsables du massacre de Columbine.</t>
  </si>
  <si>
    <t>interviewée</t>
  </si>
  <si>
    <t>projet</t>
  </si>
  <si>
    <t>Dylan</t>
  </si>
  <si>
    <t>Klebold</t>
  </si>
  <si>
    <t>responsables</t>
  </si>
  <si>
    <t>massacre</t>
  </si>
  <si>
    <t>Columbine</t>
  </si>
  <si>
    <t># text = Ça a pris beaucoup de temps pour les persuader de me parler, une fois qu'ils ont accepté, ils étaient tellement à fond dans leur histoire qu'ils ne pouvaient s'arrêter de la raconter.</t>
  </si>
  <si>
    <t>Ça</t>
  </si>
  <si>
    <t>pris</t>
  </si>
  <si>
    <t>persuader</t>
  </si>
  <si>
    <t>parler</t>
  </si>
  <si>
    <t>accepté</t>
  </si>
  <si>
    <t>fond</t>
  </si>
  <si>
    <t>raconter</t>
  </si>
  <si>
    <t># text = Le premier week-end que j'ai passé avec eux -- le premier de nombreux autres -- j'ai enregistré plus de 20 heures de conversation.</t>
  </si>
  <si>
    <t>nombreux</t>
  </si>
  <si>
    <t>enregistré</t>
  </si>
  <si>
    <t>heures</t>
  </si>
  <si>
    <t>conversation</t>
  </si>
  <si>
    <t># text = Le dimanche soir, nous étions tous épuisés.</t>
  </si>
  <si>
    <t>dimanche</t>
  </si>
  <si>
    <t>soir</t>
  </si>
  <si>
    <t>étions</t>
  </si>
  <si>
    <t>épuisés</t>
  </si>
  <si>
    <t># text = Nous étions assis dans la cuisine.</t>
  </si>
  <si>
    <t>assis</t>
  </si>
  <si>
    <t>cuisine</t>
  </si>
  <si>
    <t># text = Sue Klebold était en train de préparer le dîner.</t>
  </si>
  <si>
    <t>Sue</t>
  </si>
  <si>
    <t>préparer</t>
  </si>
  <si>
    <t>dîner</t>
  </si>
  <si>
    <t># text = Et j'ai dit, « Si Dylan était ici maintenant, avez-vous une idée de ce que vous voudriez lui demander ?</t>
  </si>
  <si>
    <t>Si</t>
  </si>
  <si>
    <t>-vous</t>
  </si>
  <si>
    <t>voudriez</t>
  </si>
  <si>
    <t># text = » Son père a répondu, « Oui, évidemment.</t>
  </si>
  <si>
    <t>Oui</t>
  </si>
  <si>
    <t>évidemment</t>
  </si>
  <si>
    <t># text = Je lui demanderais est-ce qu'il pensait à ce qu'il était en train de faire ?</t>
  </si>
  <si>
    <t>pensait</t>
  </si>
  <si>
    <t># text = Sue a regardé le sol, a réfléchi une minute.</t>
  </si>
  <si>
    <t>regardé</t>
  </si>
  <si>
    <t>sol</t>
  </si>
  <si>
    <t>réfléchi</t>
  </si>
  <si>
    <t>minute</t>
  </si>
  <si>
    <t># text = Elle nous a regardé de nouveau et a dit, « Je lui demanderais de me pardonner d'avoir été sa mère et de n'avoir jamais su ce qui se passait dans sa tête.</t>
  </si>
  <si>
    <t>nouveau</t>
  </si>
  <si>
    <t>pardonner</t>
  </si>
  <si>
    <t>su</t>
  </si>
  <si>
    <t>passait</t>
  </si>
  <si>
    <t>tête</t>
  </si>
  <si>
    <t># text = » Lorsque j'ai dîné avec elle quelques années plus tard -- un des nombreux dîners que nous avons pris ensemble -- elle m'a dit, « Vous savez, lorsque c'est arrivé au début, je souhaitais souvent n'avoir jamais été mariée, n'avoir jamais eu d'enfant.</t>
  </si>
  <si>
    <t>dîné</t>
  </si>
  <si>
    <t>dîners</t>
  </si>
  <si>
    <t>ensemble</t>
  </si>
  <si>
    <t>Vous</t>
  </si>
  <si>
    <t>savez</t>
  </si>
  <si>
    <t>début</t>
  </si>
  <si>
    <t>souhaitais</t>
  </si>
  <si>
    <t>mariée</t>
  </si>
  <si>
    <t># text = Si je n'avais pas été dans l'Ohio et croisé le chemin de Tom, cet enfant n'aurait jamais existé et cette chose terrible n'aurait jamais eu lieu.</t>
  </si>
  <si>
    <t>Ohio</t>
  </si>
  <si>
    <t>croisé</t>
  </si>
  <si>
    <t>chemin</t>
  </si>
  <si>
    <t>cet</t>
  </si>
  <si>
    <t>terrible</t>
  </si>
  <si>
    <t>lieu</t>
  </si>
  <si>
    <t># text = Mais j'en suis arrivée à penser que j'aime tellement les enfant que j'ai eus que je ne veux pas imaginer une vie sans eux.</t>
  </si>
  <si>
    <t>arrivée</t>
  </si>
  <si>
    <t>eus</t>
  </si>
  <si>
    <t>imaginer</t>
  </si>
  <si>
    <t>sans</t>
  </si>
  <si>
    <t># text = Je reconnais la souffrance qu'ils ont causée aux autres, qui est impardonnable, mais la souffrance qu'ils m'ont causée peut être pardonnée » m'a-t-elle dit.</t>
  </si>
  <si>
    <t>reconnais</t>
  </si>
  <si>
    <t>souffrance</t>
  </si>
  <si>
    <t>causée</t>
  </si>
  <si>
    <t>impardonnable</t>
  </si>
  <si>
    <t>pardonnée</t>
  </si>
  <si>
    <t>-t</t>
  </si>
  <si>
    <t># text = « Alors autant je reconnais que ça aurait été mieux pour le monde si Dylan n'était jamais né, j'ai décidé que ça n'aurait pas été mieux pour moi.</t>
  </si>
  <si>
    <t>autant</t>
  </si>
  <si>
    <t>mieux</t>
  </si>
  <si>
    <t># text = » Je trouvais ça surprenant comment toutes ces familles qui avaient eu tous ces enfants avec tous ces problèmes, des problèmes qu'ils auraient tout fait pour éviter, comment pouvaient-ils tous trouver autant de sens dans leur expérience de parentalité.</t>
  </si>
  <si>
    <t>trouvais</t>
  </si>
  <si>
    <t>surprenant</t>
  </si>
  <si>
    <t>toutes</t>
  </si>
  <si>
    <t>auraient</t>
  </si>
  <si>
    <t>-ils</t>
  </si>
  <si>
    <t># text = Ensuite je me suis dit, tous ceux d'entre nous qui avons des enfants aimons les enfants que nous avons, avec leurs défauts.</t>
  </si>
  <si>
    <t>aimons</t>
  </si>
  <si>
    <t>défauts</t>
  </si>
  <si>
    <t># text = Si un ange glorieux descendait soudain à travers le plafond de mon salon et me proposait d'emporter les enfants que j'ai et de m'en donner un autre, de meilleurs enfants -- plus polis, plus drôles, plus gentils, plus intelligents -- je m'accrocherais aux enfants que j'ai et prierais pour que cesse cet atroce spectacle.</t>
  </si>
  <si>
    <t>ange</t>
  </si>
  <si>
    <t>glorieux</t>
  </si>
  <si>
    <t>descendait</t>
  </si>
  <si>
    <t>plafond</t>
  </si>
  <si>
    <t>salon</t>
  </si>
  <si>
    <t>proposait</t>
  </si>
  <si>
    <t>emporter</t>
  </si>
  <si>
    <t>meilleurs</t>
  </si>
  <si>
    <t>polis</t>
  </si>
  <si>
    <t>drôles</t>
  </si>
  <si>
    <t>gentils</t>
  </si>
  <si>
    <t>intelligents</t>
  </si>
  <si>
    <t>accrocherais</t>
  </si>
  <si>
    <t>prierais</t>
  </si>
  <si>
    <t>cesse</t>
  </si>
  <si>
    <t>atroce</t>
  </si>
  <si>
    <t>spectacle</t>
  </si>
  <si>
    <t># text = Et finalement i'ai l'impression que de la même manière que lorsqu'on teste des pyjamas inifugés dans un brasier pour s'assurer qu'ils ne prendront pas feu lorsque nos enfants s'avancent vers la cuisinière, ces histoires de familles qui s'arrangent avec ces différences extrêmes reflètent l'expérience universelle de la parentalité, qui est que, parfois, vous regardez vos enfants et vous vous dites, d'où est-ce que tu viens ?</t>
  </si>
  <si>
    <t>finalement</t>
  </si>
  <si>
    <t>i'</t>
  </si>
  <si>
    <t>manière</t>
  </si>
  <si>
    <t>teste</t>
  </si>
  <si>
    <t>pyjamas</t>
  </si>
  <si>
    <t>inifugés</t>
  </si>
  <si>
    <t>brasier</t>
  </si>
  <si>
    <t>prendront</t>
  </si>
  <si>
    <t>feu</t>
  </si>
  <si>
    <t>avancent</t>
  </si>
  <si>
    <t>vers</t>
  </si>
  <si>
    <t>cuisinière</t>
  </si>
  <si>
    <t>histoires</t>
  </si>
  <si>
    <t>arrangent</t>
  </si>
  <si>
    <t>extrêmes</t>
  </si>
  <si>
    <t>reflètent</t>
  </si>
  <si>
    <t>universelle</t>
  </si>
  <si>
    <t>regardez</t>
  </si>
  <si>
    <t>vos</t>
  </si>
  <si>
    <t>dites</t>
  </si>
  <si>
    <t># text = Il s'avère qu'alors que chacune de ces différences individuelles est cloisonnée -- il n'existe qu'un nombre limité de familles aux prises avec la schizophrénie, d'enfants qui sont transgenres, il n'existe qu'un nombre limité de familles de prodiges -- qui font également face à des défis similaires de bien des manières -- il n'existe qu'un nombre limité de famille dans chacune de ces catégories -- mais si vous commencer à penser que s'arranger avec des différences au sein de votre famille est ce sur quoi les gens se penchent, alors vous découvrirez que c'est un phénomène quasi universel.</t>
  </si>
  <si>
    <t>avère</t>
  </si>
  <si>
    <t>chacune</t>
  </si>
  <si>
    <t>individuelles</t>
  </si>
  <si>
    <t>cloisonnée</t>
  </si>
  <si>
    <t>existe</t>
  </si>
  <si>
    <t>nombre</t>
  </si>
  <si>
    <t>limité</t>
  </si>
  <si>
    <t>prises</t>
  </si>
  <si>
    <t>schizophrénie</t>
  </si>
  <si>
    <t>transgenres</t>
  </si>
  <si>
    <t>prodiges</t>
  </si>
  <si>
    <t>défis</t>
  </si>
  <si>
    <t>similaires</t>
  </si>
  <si>
    <t>manières</t>
  </si>
  <si>
    <t>catégories</t>
  </si>
  <si>
    <t>commencer</t>
  </si>
  <si>
    <t>arranger</t>
  </si>
  <si>
    <t>sein</t>
  </si>
  <si>
    <t>penchent</t>
  </si>
  <si>
    <t>découvrirez</t>
  </si>
  <si>
    <t>phénomène</t>
  </si>
  <si>
    <t>quasi</t>
  </si>
  <si>
    <t>universel</t>
  </si>
  <si>
    <t># text = Ironiquement, il s'avère que, ce sont nos différences et notre gestion de la différence, qui nous uni.</t>
  </si>
  <si>
    <t>Ironiquement</t>
  </si>
  <si>
    <t>gestion</t>
  </si>
  <si>
    <t>différence</t>
  </si>
  <si>
    <t>uni</t>
  </si>
  <si>
    <t># text = J'ai décidé d'avoir des enfants lorsque je travaillais sur ce projet.</t>
  </si>
  <si>
    <t>travaillais</t>
  </si>
  <si>
    <t># text = Beaucoup de gens s'étonnaient et disaient, « Mais comment peux-tu décider d'avoir des enfants alors que tu es en train d'étudier tout ce qui peut mal se passer ? » J'ai répondu, « Je n'étudie pas tout ce qui peut mal se passer.</t>
  </si>
  <si>
    <t>Beaucoup</t>
  </si>
  <si>
    <t>étonnaient</t>
  </si>
  <si>
    <t>peux</t>
  </si>
  <si>
    <t>-tu</t>
  </si>
  <si>
    <t>étudier</t>
  </si>
  <si>
    <t>mal</t>
  </si>
  <si>
    <t>étudie</t>
  </si>
  <si>
    <t># text = Ce que j'étudie c'est, combien d'amour il peut y avoir, même lorsque tout semble mal se passer.</t>
  </si>
  <si>
    <t>combien</t>
  </si>
  <si>
    <t># text = » J'ai beaucoup pensé à la mère d'un enfant handicapé que j'avais vu, un enfant gravement handicapé qui est décédé par suite de négligence du personnel soignant.</t>
  </si>
  <si>
    <t>handicapé</t>
  </si>
  <si>
    <t>gravement</t>
  </si>
  <si>
    <t>décédé</t>
  </si>
  <si>
    <t>suite</t>
  </si>
  <si>
    <t>négligence</t>
  </si>
  <si>
    <t>personnel</t>
  </si>
  <si>
    <t>soignant</t>
  </si>
  <si>
    <t># text = Lorsque ses cendres ont été inhumées, sa mère a dit, « Je prie ici pour le pardon d'avoir été volée deux fois, une fois de l'enfant que je voulais et une fois du fils que j'aimais.</t>
  </si>
  <si>
    <t>cendres</t>
  </si>
  <si>
    <t>inhumées</t>
  </si>
  <si>
    <t>prie</t>
  </si>
  <si>
    <t>pardon</t>
  </si>
  <si>
    <t>volée</t>
  </si>
  <si>
    <t>aimais</t>
  </si>
  <si>
    <t># text = » J'ai alors compris qu'il était possible pour n'importe qui d'aimer n'importe quel enfant si on avait la volonté de le faire.</t>
  </si>
  <si>
    <t>compris</t>
  </si>
  <si>
    <t>possible</t>
  </si>
  <si>
    <t>importe</t>
  </si>
  <si>
    <t>volonté</t>
  </si>
  <si>
    <t># text = Donc mon mari est le père biologique de deux enfants avec des amies lesbiennes de Minneapolis.</t>
  </si>
  <si>
    <t>Donc</t>
  </si>
  <si>
    <t>mari</t>
  </si>
  <si>
    <t>biologique</t>
  </si>
  <si>
    <t>amies</t>
  </si>
  <si>
    <t>lesbiennes</t>
  </si>
  <si>
    <t>Minneapolis</t>
  </si>
  <si>
    <t># text = J'ai une bonne amie de fac qui, après un divorce, voulait un enfant.</t>
  </si>
  <si>
    <t>divorce</t>
  </si>
  <si>
    <t># text = Donc elle et moi avons eu une fille, et la mère et la fille vivent au Texas.</t>
  </si>
  <si>
    <t>vivent</t>
  </si>
  <si>
    <t>Texas</t>
  </si>
  <si>
    <t># text = Mon mari et moi avons un fils qui vit avec nous à temps plein, dont je suis son père biologique, et notre mère porteuse est Laura, la mère lesbienne d'Oliver et Lucy à Minneapolis.</t>
  </si>
  <si>
    <t>vit</t>
  </si>
  <si>
    <t>plein</t>
  </si>
  <si>
    <t>porteuse</t>
  </si>
  <si>
    <t>Laura</t>
  </si>
  <si>
    <t>lesbienne</t>
  </si>
  <si>
    <t>Oliver</t>
  </si>
  <si>
    <t>Lucy</t>
  </si>
  <si>
    <t># text = En clair, il y a 5 parents pour 4 enfants dans 3 états différents.</t>
  </si>
  <si>
    <t>clair</t>
  </si>
  <si>
    <t>états</t>
  </si>
  <si>
    <t>différents</t>
  </si>
  <si>
    <t># text = Il y a des gens qui pensent que l'existence même de ma famille ébranle ou affaiblit leur famille d'une certaine manière.</t>
  </si>
  <si>
    <t>ébranle</t>
  </si>
  <si>
    <t>affaiblit</t>
  </si>
  <si>
    <t># text = Il y a des gens qui pensent que des familles comme la mienne ne devraient pas être autorisées à exister.</t>
  </si>
  <si>
    <t>mienne</t>
  </si>
  <si>
    <t>autorisées</t>
  </si>
  <si>
    <t># text = Je n'accepte pas de modèles d'amour soustractifs, uniquement des modèles additifs.</t>
  </si>
  <si>
    <t>accepte</t>
  </si>
  <si>
    <t>modèles</t>
  </si>
  <si>
    <t>soustractifs</t>
  </si>
  <si>
    <t>uniquement</t>
  </si>
  <si>
    <t>additifs</t>
  </si>
  <si>
    <t># text = Je crois que de la même manière dont on a besoin de la diversité des espèces pour s'assurer que la planète continue à exister, nous avons besoin de cette diversité d'affection et de familles pour renforcer l'écosphère de bonté.</t>
  </si>
  <si>
    <t>besoin</t>
  </si>
  <si>
    <t>diversité</t>
  </si>
  <si>
    <t>espèces</t>
  </si>
  <si>
    <t>planète</t>
  </si>
  <si>
    <t>continue</t>
  </si>
  <si>
    <t>affection</t>
  </si>
  <si>
    <t>renforcer</t>
  </si>
  <si>
    <t>écosphère</t>
  </si>
  <si>
    <t>bonté</t>
  </si>
  <si>
    <t># text = Le lendemain du jour où notre fils est né, la pédiatre est venue dans la chambre d'hopital et nous a dit qu'elle était préoccupée.</t>
  </si>
  <si>
    <t>pédiatre</t>
  </si>
  <si>
    <t>venue</t>
  </si>
  <si>
    <t>chambre</t>
  </si>
  <si>
    <t>hopital</t>
  </si>
  <si>
    <t>préoccupée</t>
  </si>
  <si>
    <t># text = Il ne pouvait étendre ses jambes correctement.</t>
  </si>
  <si>
    <t>étendre</t>
  </si>
  <si>
    <t>jambes</t>
  </si>
  <si>
    <t>correctement</t>
  </si>
  <si>
    <t># text = Elle disait que ça pouvait être le signe d'une lésion cérébrale.</t>
  </si>
  <si>
    <t>signe</t>
  </si>
  <si>
    <t>lésion</t>
  </si>
  <si>
    <t>cérébrale</t>
  </si>
  <si>
    <t># text = Même s'il pouvait les tendre, il le faisait de manière asymétrique, ce qui, d'après elle, pouvait signifier la présence d'une tumeur quelque part.</t>
  </si>
  <si>
    <t>tendre</t>
  </si>
  <si>
    <t>faisait</t>
  </si>
  <si>
    <t>asymétrique</t>
  </si>
  <si>
    <t>signifier</t>
  </si>
  <si>
    <t>présence</t>
  </si>
  <si>
    <t>tumeur</t>
  </si>
  <si>
    <t>part</t>
  </si>
  <si>
    <t># text = Il avait aussi une grosse tête, ce qu'elle pensait être le signe d'un hydrocéphale.</t>
  </si>
  <si>
    <t>grosse</t>
  </si>
  <si>
    <t>hydrocéphale</t>
  </si>
  <si>
    <t># text = Alors qu'elle me disait tout ça, je sentais mon corps se liquéfier sur le sol.</t>
  </si>
  <si>
    <t>sentais</t>
  </si>
  <si>
    <t>liquéfier</t>
  </si>
  <si>
    <t># text = Je pensais, voilà j'ai travaillé pendant des années sur un livre sur le sens que les gens avaient donné à ces expériences de parentalité d'enfants handicapés, et je ne voulais pas les rejoindre.</t>
  </si>
  <si>
    <t>voilà</t>
  </si>
  <si>
    <t>livre</t>
  </si>
  <si>
    <t>donné</t>
  </si>
  <si>
    <t>expériences</t>
  </si>
  <si>
    <t>handicapés</t>
  </si>
  <si>
    <t># text = Parce que, ce que je rencontrais était une idée de maladie.</t>
  </si>
  <si>
    <t>Parce</t>
  </si>
  <si>
    <t>rencontrais</t>
  </si>
  <si>
    <t># text = Et comme tous les parents depuis la nuit des temps, je voulais protéger mon enfant de la maladie.</t>
  </si>
  <si>
    <t>depuis</t>
  </si>
  <si>
    <t>nuit</t>
  </si>
  <si>
    <t>protéger</t>
  </si>
  <si>
    <t># text = Je voulais également me protéger de la maladie.</t>
  </si>
  <si>
    <t># text = Et maintenant, je savais grâce au travail que j'avais fait que s'il avait n'importe laquelle des maladies qu'on allait tester, alors elle deviendrait son identité, et si elle devenait son identité, elle deviendrait la mienne, que cette maladie allait prendre une forme différente alors qu'elle s'étendait.</t>
  </si>
  <si>
    <t>travail</t>
  </si>
  <si>
    <t>tester</t>
  </si>
  <si>
    <t>deviendrait</t>
  </si>
  <si>
    <t>devenait</t>
  </si>
  <si>
    <t>différente</t>
  </si>
  <si>
    <t>étendait</t>
  </si>
  <si>
    <t># text = On l'a emmené faire un IRM, on l'a emmené au tomodensitomètre, on a pris cet enfant âgé d'un jour et on lui a fait un prélèvement de sang artériel.</t>
  </si>
  <si>
    <t>emmené</t>
  </si>
  <si>
    <t>IRM</t>
  </si>
  <si>
    <t>tomodensitomètre</t>
  </si>
  <si>
    <t>âgé</t>
  </si>
  <si>
    <t>prélèvement</t>
  </si>
  <si>
    <t>sang</t>
  </si>
  <si>
    <t>artériel</t>
  </si>
  <si>
    <t># text = Nous sous sentions impuissants.</t>
  </si>
  <si>
    <t>sous</t>
  </si>
  <si>
    <t>sentions</t>
  </si>
  <si>
    <t>impuissants</t>
  </si>
  <si>
    <t># text = Au bout de cinq heures, ils ont dit que son cerveau était parfaitement normal et que, depuis, il étendait ses jambes correctement.</t>
  </si>
  <si>
    <t>bout</t>
  </si>
  <si>
    <t>cinq</t>
  </si>
  <si>
    <t>parfaitement</t>
  </si>
  <si>
    <t>normal</t>
  </si>
  <si>
    <t># text = Lorsque j'ai demandé à la pédiatre ce qui s'était passé, elle a dit qu'elle pensait qu'il avait probablement eu une crampe ce matin.</t>
  </si>
  <si>
    <t>crampe</t>
  </si>
  <si>
    <t>matin</t>
  </si>
  <si>
    <t># text = Mais j'ai pensé à quel point ma mère avait raison.</t>
  </si>
  <si>
    <t># text = J'ai pensé, l'amour que l'on porte à ses enfants ne ressemble à aucun autre sentiment au monde, et jusqu'à ce qu'on ait des enfants, on ne sait pas ce que ça fait.</t>
  </si>
  <si>
    <t>porte</t>
  </si>
  <si>
    <t>sait</t>
  </si>
  <si>
    <t># text = Je pense que les enfants m'ont pris au piège au moment où j'ai associé la paternité avec la perte.</t>
  </si>
  <si>
    <t>piège</t>
  </si>
  <si>
    <t>associé</t>
  </si>
  <si>
    <t>paternité</t>
  </si>
  <si>
    <t># text = Mais je ne suis pas sûr que j'aurais remarqué ça si je n'avais pas été si impliqué dans mon projet de recherche.</t>
  </si>
  <si>
    <t>sûr</t>
  </si>
  <si>
    <t>remarqué</t>
  </si>
  <si>
    <t>impliqué</t>
  </si>
  <si>
    <t>recherche</t>
  </si>
  <si>
    <t># text = J'ai rencontré tant d'amour étrange, que je suis tombé naturellement dans ses schémas envoûtants.</t>
  </si>
  <si>
    <t>rencontré</t>
  </si>
  <si>
    <t>étrange</t>
  </si>
  <si>
    <t>tombé</t>
  </si>
  <si>
    <t>naturellement</t>
  </si>
  <si>
    <t>schémas</t>
  </si>
  <si>
    <t>envoûtants</t>
  </si>
  <si>
    <t># text = J'ai vu comment la magnificence peut illuminer la plus abjecte des vulnérabilités.</t>
  </si>
  <si>
    <t>magnificence</t>
  </si>
  <si>
    <t>illuminer</t>
  </si>
  <si>
    <t>abjecte</t>
  </si>
  <si>
    <t>vulnérabilités</t>
  </si>
  <si>
    <t># text = Pendant ces 10 années, j'ai découvert et j'ai été témoin de la joie terrifiante de cette insupportable responsabilité, je devais m'y jeter et voir comment ça peut battre tout le reste.</t>
  </si>
  <si>
    <t>découvert</t>
  </si>
  <si>
    <t>témoin</t>
  </si>
  <si>
    <t>joie</t>
  </si>
  <si>
    <t>terrifiante</t>
  </si>
  <si>
    <t>insupportable</t>
  </si>
  <si>
    <t>responsabilité</t>
  </si>
  <si>
    <t>devais</t>
  </si>
  <si>
    <t>jeter</t>
  </si>
  <si>
    <t>battre</t>
  </si>
  <si>
    <t>reste</t>
  </si>
  <si>
    <t># text = Alors que, parfois, je pensais que les parents que j'avais interviewés étaient des fous, devenant des esclaves à vie auprès de leurs enfants ingrats, essayant de faire naître une identité dans la souffrance, j'ai compris ce jour-là que mes recherches m'avaient construit une planche et que j'étais prêt à les rejoindre dans leur bateau.</t>
  </si>
  <si>
    <t>interviewés</t>
  </si>
  <si>
    <t>fous</t>
  </si>
  <si>
    <t>devenant</t>
  </si>
  <si>
    <t>esclaves</t>
  </si>
  <si>
    <t>ingrats</t>
  </si>
  <si>
    <t>essayant</t>
  </si>
  <si>
    <t>-là</t>
  </si>
  <si>
    <t>recherches</t>
  </si>
  <si>
    <t>construit</t>
  </si>
  <si>
    <t>planche</t>
  </si>
  <si>
    <t>prêt</t>
  </si>
  <si>
    <t>bateau</t>
  </si>
  <si>
    <t># text = Merci.</t>
  </si>
  <si>
    <t>Merci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</si>
</sst>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89"/>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17</v>
      </c>
      <c r="C3" s="6" t="s">
        <v>18</v>
      </c>
      <c r="D3" s="7" t="s">
        <v>19</v>
      </c>
      <c r="E3" s="8" t="s">
        <v>20</v>
      </c>
      <c r="F3" s="6" t="s">
        <v>21</v>
      </c>
      <c r="G3" s="9">
        <f>IF(A3=1,"_",IF(C3="_","???",C3))</f>
        <v/>
      </c>
      <c r="H3" s="10" t="s">
        <v>16</v>
      </c>
      <c r="I3" s="11" t="s">
        <v>16</v>
      </c>
      <c r="J3" s="12"/>
    </row>
    <row r="4" spans="1:10" ht="60" customHeight="1">
      <c r="A4" s="6" t="s">
        <v>22</v>
      </c>
      <c r="B4" s="6" t="s">
        <v>23</v>
      </c>
      <c r="C4" s="6" t="s">
        <v>24</v>
      </c>
      <c r="D4" s="7" t="s">
        <v>25</v>
      </c>
      <c r="E4" s="8" t="s">
        <v>26</v>
      </c>
      <c r="F4" s="6" t="s">
        <v>27</v>
      </c>
      <c r="G4" s="9">
        <f>IF(A4=1,"_",IF(C4="_","???",C4))</f>
        <v/>
      </c>
      <c r="H4" s="10" t="s">
        <v>16</v>
      </c>
      <c r="I4" s="11" t="s">
        <v>16</v>
      </c>
      <c r="J4" s="12"/>
    </row>
    <row r="5" spans="1:10" ht="60" customHeight="1">
      <c r="A5" s="6" t="s">
        <v>28</v>
      </c>
      <c r="B5" s="6" t="s">
        <v>28</v>
      </c>
      <c r="C5" s="6" t="s">
        <v>29</v>
      </c>
      <c r="D5" s="7" t="s">
        <v>30</v>
      </c>
      <c r="E5" s="8" t="s">
        <v>31</v>
      </c>
      <c r="F5" s="6" t="s">
        <v>32</v>
      </c>
      <c r="G5" s="9">
        <f>IF(A5=1,"_",IF(C5="_","???",C5))</f>
        <v/>
      </c>
      <c r="H5" s="10" t="s">
        <v>16</v>
      </c>
      <c r="I5" s="11" t="s">
        <v>16</v>
      </c>
      <c r="J5" s="12"/>
    </row>
    <row r="6" spans="1:10" ht="60" customHeight="1">
      <c r="A6" s="6" t="s">
        <v>33</v>
      </c>
      <c r="B6" s="6" t="s">
        <v>23</v>
      </c>
      <c r="C6" s="6" t="s">
        <v>34</v>
      </c>
      <c r="D6" s="7" t="s">
        <v>35</v>
      </c>
      <c r="E6" s="8" t="s">
        <v>36</v>
      </c>
      <c r="F6" s="6" t="s">
        <v>37</v>
      </c>
      <c r="G6" s="9">
        <f>IF(A6=1,"_",IF(C6="_","???",C6))</f>
        <v/>
      </c>
      <c r="H6" s="10" t="s">
        <v>16</v>
      </c>
      <c r="I6" s="11" t="s">
        <v>16</v>
      </c>
      <c r="J6" s="12"/>
    </row>
    <row r="7" spans="1:10" ht="60" customHeight="1">
      <c r="A7" s="6" t="s">
        <v>38</v>
      </c>
      <c r="B7" s="6" t="s">
        <v>17</v>
      </c>
      <c r="C7" s="6" t="s">
        <v>16</v>
      </c>
      <c r="D7" s="7" t="s">
        <v>39</v>
      </c>
      <c r="E7" s="8" t="s">
        <v>40</v>
      </c>
      <c r="F7" s="6" t="s">
        <v>41</v>
      </c>
      <c r="G7" s="9">
        <f>IF(A7=1,"_",IF(C7="_","???",C7))</f>
        <v/>
      </c>
      <c r="H7" s="10" t="s">
        <v>16</v>
      </c>
      <c r="I7" s="11" t="s">
        <v>16</v>
      </c>
      <c r="J7" s="12"/>
    </row>
    <row r="8" spans="1:10" ht="60" customHeight="1">
      <c r="A8" s="6" t="s">
        <v>42</v>
      </c>
      <c r="B8" s="6" t="s">
        <v>22</v>
      </c>
      <c r="C8" s="6" t="s">
        <v>24</v>
      </c>
      <c r="D8" s="7" t="s">
        <v>43</v>
      </c>
      <c r="E8" s="8" t="s">
        <v>44</v>
      </c>
      <c r="F8" s="6" t="s">
        <v>45</v>
      </c>
      <c r="G8" s="9">
        <f>IF(A8=1,"_",IF(C8="_","???",C8))</f>
        <v/>
      </c>
      <c r="H8" s="10" t="s">
        <v>16</v>
      </c>
      <c r="I8" s="11" t="s">
        <v>16</v>
      </c>
      <c r="J8" s="12"/>
    </row>
    <row r="9" spans="1:10" ht="60" customHeight="1">
      <c r="A9" s="6" t="s">
        <v>46</v>
      </c>
      <c r="B9" s="6" t="s">
        <v>38</v>
      </c>
      <c r="C9" s="6" t="s">
        <v>16</v>
      </c>
      <c r="D9" s="7" t="s">
        <v>47</v>
      </c>
      <c r="E9" s="8" t="s">
        <v>48</v>
      </c>
      <c r="F9" s="6" t="s">
        <v>49</v>
      </c>
      <c r="G9" s="9">
        <f>IF(A9=1,"_",IF(C9="_","???",C9))</f>
        <v/>
      </c>
      <c r="H9" s="10" t="s">
        <v>16</v>
      </c>
      <c r="I9" s="11" t="s">
        <v>16</v>
      </c>
      <c r="J9" s="12"/>
    </row>
    <row r="10" spans="1:10" ht="60" customHeight="1">
      <c r="A10" s="6" t="s">
        <v>50</v>
      </c>
      <c r="B10" s="6" t="s">
        <v>11</v>
      </c>
      <c r="C10" s="6" t="s">
        <v>29</v>
      </c>
      <c r="D10" s="7" t="s">
        <v>51</v>
      </c>
      <c r="E10" s="8" t="s">
        <v>52</v>
      </c>
      <c r="F10" s="6" t="s">
        <v>53</v>
      </c>
      <c r="G10" s="9">
        <f>IF(A10=1,"_",IF(C10="_","???",C10))</f>
        <v/>
      </c>
      <c r="H10" s="10" t="s">
        <v>16</v>
      </c>
      <c r="I10" s="11" t="s">
        <v>16</v>
      </c>
      <c r="J10" s="12"/>
    </row>
    <row r="11" spans="1:10" ht="60" customHeight="1">
      <c r="A11" s="6" t="s">
        <v>11</v>
      </c>
      <c r="B11" s="6" t="s">
        <v>54</v>
      </c>
      <c r="C11" s="6" t="s">
        <v>55</v>
      </c>
      <c r="D11" s="7" t="s">
        <v>56</v>
      </c>
      <c r="E11" s="8" t="s">
        <v>57</v>
      </c>
      <c r="F11" s="6" t="s">
        <v>58</v>
      </c>
      <c r="G11" s="9">
        <f>IF(A11=1,"_",IF(C11="_","???",C11))</f>
        <v/>
      </c>
      <c r="H11" s="10" t="s">
        <v>16</v>
      </c>
      <c r="I11" s="11" t="s">
        <v>16</v>
      </c>
      <c r="J11" s="12"/>
    </row>
    <row r="12" spans="1:10" ht="60" customHeight="1">
      <c r="A12" s="6" t="s">
        <v>59</v>
      </c>
      <c r="B12" s="6" t="s">
        <v>22</v>
      </c>
      <c r="C12" s="6" t="s">
        <v>16</v>
      </c>
      <c r="D12" s="7" t="s">
        <v>60</v>
      </c>
      <c r="E12" s="8" t="s">
        <v>61</v>
      </c>
      <c r="F12" s="6" t="s">
        <v>62</v>
      </c>
      <c r="G12" s="9">
        <f>IF(A12=1,"_",IF(C12="_","???",C12))</f>
        <v/>
      </c>
      <c r="H12" s="10" t="s">
        <v>16</v>
      </c>
      <c r="I12" s="11" t="s">
        <v>16</v>
      </c>
      <c r="J12" s="12"/>
    </row>
    <row r="13" spans="1:10" ht="60" customHeight="1">
      <c r="A13" s="6" t="s">
        <v>54</v>
      </c>
      <c r="B13" s="6" t="s">
        <v>33</v>
      </c>
      <c r="C13" s="6" t="s">
        <v>63</v>
      </c>
      <c r="D13" s="7" t="s">
        <v>56</v>
      </c>
      <c r="E13" s="8" t="s">
        <v>64</v>
      </c>
      <c r="F13" s="6" t="s">
        <v>65</v>
      </c>
      <c r="G13" s="9">
        <f>IF(A13=1,"_",IF(C13="_","???",C13))</f>
        <v/>
      </c>
      <c r="H13" s="10" t="s">
        <v>16</v>
      </c>
      <c r="I13" s="11" t="s">
        <v>16</v>
      </c>
      <c r="J13" s="12"/>
    </row>
    <row r="14" spans="1:10" ht="60" customHeight="1">
      <c r="A14" s="6" t="s">
        <v>23</v>
      </c>
      <c r="B14" s="6" t="s">
        <v>28</v>
      </c>
      <c r="C14" s="6" t="s">
        <v>66</v>
      </c>
      <c r="D14" s="7" t="s">
        <v>56</v>
      </c>
      <c r="E14" s="8" t="s">
        <v>67</v>
      </c>
      <c r="F14" s="6" t="s">
        <v>68</v>
      </c>
      <c r="G14" s="9">
        <f>IF(A14=1,"_",IF(C14="_","???",C14))</f>
        <v/>
      </c>
      <c r="H14" s="10" t="s">
        <v>16</v>
      </c>
      <c r="I14" s="11" t="s">
        <v>16</v>
      </c>
      <c r="J14" s="12"/>
    </row>
    <row r="15" spans="1:10" ht="60" customHeight="1">
      <c r="A15" s="6" t="s">
        <v>69</v>
      </c>
      <c r="B15" s="6" t="s">
        <v>33</v>
      </c>
      <c r="C15" s="6" t="s">
        <v>70</v>
      </c>
      <c r="D15" s="7" t="s">
        <v>71</v>
      </c>
      <c r="E15" s="8" t="s">
        <v>72</v>
      </c>
      <c r="F15" s="6" t="s">
        <v>73</v>
      </c>
      <c r="G15" s="9">
        <f>IF(A15=1,"_",IF(C15="_","???",C15))</f>
        <v/>
      </c>
      <c r="H15" s="10" t="s">
        <v>16</v>
      </c>
      <c r="I15" s="11" t="s">
        <v>16</v>
      </c>
      <c r="J15" s="12"/>
    </row>
    <row r="16" spans="1:10" ht="60" customHeight="1">
      <c r="A16" s="6" t="s">
        <v>74</v>
      </c>
      <c r="B16" s="6" t="s">
        <v>46</v>
      </c>
      <c r="C16" s="6" t="s">
        <v>75</v>
      </c>
      <c r="D16" s="7" t="s">
        <v>76</v>
      </c>
      <c r="E16" s="8" t="s">
        <v>77</v>
      </c>
      <c r="F16" s="6" t="s">
        <v>78</v>
      </c>
      <c r="G16" s="9">
        <f>IF(A16=1,"_",IF(C16="_","???",C16))</f>
        <v/>
      </c>
      <c r="H16" s="10" t="s">
        <v>16</v>
      </c>
      <c r="I16" s="11" t="s">
        <v>16</v>
      </c>
      <c r="J16" s="12"/>
    </row>
    <row r="17" spans="1:10" ht="60" customHeight="1">
      <c r="A17" s="6" t="s">
        <v>79</v>
      </c>
      <c r="B17" s="6" t="s">
        <v>46</v>
      </c>
      <c r="C17" s="6" t="s">
        <v>80</v>
      </c>
      <c r="D17" s="7" t="s">
        <v>56</v>
      </c>
      <c r="E17" s="8" t="s">
        <v>81</v>
      </c>
      <c r="F17" s="6" t="s">
        <v>82</v>
      </c>
      <c r="G17" s="9">
        <f>IF(A17=1,"_",IF(C17="_","???",C17))</f>
        <v/>
      </c>
      <c r="H17" s="10" t="s">
        <v>16</v>
      </c>
      <c r="I17" s="11" t="s">
        <v>16</v>
      </c>
      <c r="J17" s="12"/>
    </row>
    <row r="18" spans="1:10" ht="60" customHeight="1">
      <c r="A18" s="6" t="s">
        <v>83</v>
      </c>
      <c r="B18" s="6" t="s">
        <v>23</v>
      </c>
      <c r="C18" s="6" t="s">
        <v>70</v>
      </c>
      <c r="D18" s="7" t="s">
        <v>84</v>
      </c>
      <c r="E18" s="8" t="s">
        <v>85</v>
      </c>
      <c r="F18" s="6" t="s">
        <v>86</v>
      </c>
      <c r="G18" s="9">
        <f>IF(A18=1,"_",IF(C18="_","???",C18))</f>
        <v/>
      </c>
      <c r="H18" s="10" t="s">
        <v>16</v>
      </c>
      <c r="I18" s="11" t="s">
        <v>16</v>
      </c>
      <c r="J18" s="12"/>
    </row>
    <row r="19" spans="1:10" ht="60" customHeight="1">
      <c r="A19" s="6" t="s">
        <v>87</v>
      </c>
      <c r="B19" s="6" t="s">
        <v>46</v>
      </c>
      <c r="C19" s="6" t="s">
        <v>29</v>
      </c>
      <c r="D19" s="7" t="s">
        <v>88</v>
      </c>
      <c r="E19" s="8" t="s">
        <v>89</v>
      </c>
      <c r="F19" s="6" t="s">
        <v>90</v>
      </c>
      <c r="G19" s="9">
        <f>IF(A19=1,"_",IF(C19="_","???",C19))</f>
        <v/>
      </c>
      <c r="H19" s="10" t="s">
        <v>16</v>
      </c>
      <c r="I19" s="11" t="s">
        <v>16</v>
      </c>
      <c r="J19" s="12"/>
    </row>
    <row r="20" spans="1:10" ht="60" customHeight="1">
      <c r="A20" s="6" t="s">
        <v>91</v>
      </c>
      <c r="B20" s="6" t="s">
        <v>42</v>
      </c>
      <c r="C20" s="6" t="s">
        <v>80</v>
      </c>
      <c r="D20" s="7" t="s">
        <v>92</v>
      </c>
      <c r="E20" s="8" t="s">
        <v>93</v>
      </c>
      <c r="F20" s="6" t="s">
        <v>94</v>
      </c>
      <c r="G20" s="9">
        <f>IF(A20=1,"_",IF(C20="_","???",C20))</f>
        <v/>
      </c>
      <c r="H20" s="10" t="s">
        <v>16</v>
      </c>
      <c r="I20" s="11" t="s">
        <v>16</v>
      </c>
      <c r="J20" s="12"/>
    </row>
    <row r="21" spans="1:10" ht="60" customHeight="1">
      <c r="A21" s="6" t="s">
        <v>95</v>
      </c>
      <c r="B21" s="6" t="s">
        <v>50</v>
      </c>
      <c r="C21" s="6" t="s">
        <v>80</v>
      </c>
      <c r="D21" s="7" t="s">
        <v>96</v>
      </c>
      <c r="E21" s="8" t="s">
        <v>97</v>
      </c>
      <c r="F21" s="6" t="s">
        <v>98</v>
      </c>
      <c r="G21" s="9">
        <f>IF(A21=1,"_",IF(C21="_","???",C21))</f>
        <v/>
      </c>
      <c r="H21" s="10" t="s">
        <v>16</v>
      </c>
      <c r="I21" s="11" t="s">
        <v>16</v>
      </c>
      <c r="J21" s="12"/>
    </row>
    <row r="22" spans="1:10" ht="60" customHeight="1">
      <c r="A22" s="6" t="s">
        <v>99</v>
      </c>
      <c r="B22" s="6" t="s">
        <v>83</v>
      </c>
      <c r="C22" s="6" t="s">
        <v>55</v>
      </c>
      <c r="D22" s="7" t="s">
        <v>100</v>
      </c>
      <c r="E22" s="8" t="s">
        <v>101</v>
      </c>
      <c r="F22" s="6" t="s">
        <v>102</v>
      </c>
      <c r="G22" s="9">
        <f>IF(A22=1,"_",IF(C22="_","???",C22))</f>
        <v/>
      </c>
      <c r="H22" s="10" t="s">
        <v>16</v>
      </c>
      <c r="I22" s="11" t="s">
        <v>16</v>
      </c>
      <c r="J22" s="12"/>
    </row>
    <row r="23" spans="1:10" ht="60" customHeight="1">
      <c r="A23" s="6" t="s">
        <v>103</v>
      </c>
      <c r="B23" s="6" t="s">
        <v>22</v>
      </c>
      <c r="C23" s="6" t="s">
        <v>16</v>
      </c>
      <c r="D23" s="7" t="s">
        <v>56</v>
      </c>
      <c r="E23" s="8" t="s">
        <v>104</v>
      </c>
      <c r="F23" s="6" t="s">
        <v>105</v>
      </c>
      <c r="G23" s="9">
        <f>IF(A23=1,"_",IF(C23="_","???",C23))</f>
        <v/>
      </c>
      <c r="H23" s="10" t="s">
        <v>16</v>
      </c>
      <c r="I23" s="11" t="s">
        <v>16</v>
      </c>
      <c r="J23" s="12"/>
    </row>
    <row r="24" spans="1:10" ht="60" customHeight="1">
      <c r="A24" s="6" t="s">
        <v>106</v>
      </c>
      <c r="B24" s="6" t="s">
        <v>22</v>
      </c>
      <c r="C24" s="6" t="s">
        <v>16</v>
      </c>
      <c r="D24" s="7" t="s">
        <v>107</v>
      </c>
      <c r="E24" s="8" t="s">
        <v>108</v>
      </c>
      <c r="F24" s="6" t="s">
        <v>109</v>
      </c>
      <c r="G24" s="9">
        <f>IF(A24=1,"_",IF(C24="_","???",C24))</f>
        <v/>
      </c>
      <c r="H24" s="10" t="s">
        <v>16</v>
      </c>
      <c r="I24" s="11" t="s">
        <v>16</v>
      </c>
      <c r="J24" s="12"/>
    </row>
    <row r="25" spans="1:10" ht="60" customHeight="1">
      <c r="A25" s="6" t="s">
        <v>110</v>
      </c>
      <c r="B25" s="6" t="s">
        <v>22</v>
      </c>
      <c r="C25" s="6" t="s">
        <v>70</v>
      </c>
      <c r="D25" s="7" t="s">
        <v>60</v>
      </c>
      <c r="E25" s="8" t="s">
        <v>111</v>
      </c>
      <c r="F25" s="6" t="s">
        <v>112</v>
      </c>
      <c r="G25" s="9">
        <f>IF(A25=1,"_",IF(C25="_","???",C25))</f>
        <v/>
      </c>
      <c r="H25" s="10" t="s">
        <v>16</v>
      </c>
      <c r="I25" s="11" t="s">
        <v>16</v>
      </c>
      <c r="J25" s="12"/>
    </row>
    <row r="26" spans="1:10" ht="60" customHeight="1">
      <c r="A26" s="6" t="s">
        <v>113</v>
      </c>
      <c r="B26" s="6" t="s">
        <v>99</v>
      </c>
      <c r="C26" s="6" t="s">
        <v>16</v>
      </c>
      <c r="D26" s="7" t="s">
        <v>114</v>
      </c>
      <c r="E26" s="8" t="s">
        <v>115</v>
      </c>
      <c r="F26" s="6" t="s">
        <v>116</v>
      </c>
      <c r="G26" s="9">
        <f>IF(A26=1,"_",IF(C26="_","???",C26))</f>
        <v/>
      </c>
      <c r="H26" s="10" t="s">
        <v>16</v>
      </c>
      <c r="I26" s="11" t="s">
        <v>16</v>
      </c>
      <c r="J26" s="12"/>
    </row>
    <row r="27" spans="1:10" ht="60" customHeight="1">
      <c r="A27" s="6" t="s">
        <v>117</v>
      </c>
      <c r="B27" s="6" t="s">
        <v>33</v>
      </c>
      <c r="C27" s="6" t="s">
        <v>70</v>
      </c>
      <c r="D27" s="7" t="s">
        <v>118</v>
      </c>
      <c r="E27" s="8" t="s">
        <v>119</v>
      </c>
      <c r="F27" s="6" t="s">
        <v>120</v>
      </c>
      <c r="G27" s="9">
        <f>IF(A27=1,"_",IF(C27="_","???",C27))</f>
        <v/>
      </c>
      <c r="H27" s="10" t="s">
        <v>16</v>
      </c>
      <c r="I27" s="11" t="s">
        <v>16</v>
      </c>
      <c r="J27" s="12"/>
    </row>
    <row r="28" spans="1:10" ht="60" customHeight="1">
      <c r="A28" s="6" t="s">
        <v>121</v>
      </c>
      <c r="B28" s="6" t="s">
        <v>28</v>
      </c>
      <c r="C28" s="6" t="s">
        <v>24</v>
      </c>
      <c r="D28" s="7" t="s">
        <v>92</v>
      </c>
      <c r="E28" s="8" t="s">
        <v>122</v>
      </c>
      <c r="F28" s="6" t="s">
        <v>123</v>
      </c>
      <c r="G28" s="9">
        <f>IF(A28=1,"_",IF(C28="_","???",C28))</f>
        <v/>
      </c>
      <c r="H28" s="10" t="s">
        <v>16</v>
      </c>
      <c r="I28" s="11" t="s">
        <v>16</v>
      </c>
      <c r="J28" s="12"/>
    </row>
    <row r="29" spans="1:10" ht="60" customHeight="1">
      <c r="A29" s="6" t="s">
        <v>124</v>
      </c>
      <c r="B29" s="6" t="s">
        <v>22</v>
      </c>
      <c r="C29" s="6" t="s">
        <v>16</v>
      </c>
      <c r="D29" s="7" t="s">
        <v>125</v>
      </c>
      <c r="E29" s="8" t="s">
        <v>126</v>
      </c>
      <c r="F29" s="6" t="s">
        <v>127</v>
      </c>
      <c r="G29" s="9">
        <f>IF(A29=1,"_",IF(C29="_","???",C29))</f>
        <v/>
      </c>
      <c r="H29" s="10" t="s">
        <v>16</v>
      </c>
      <c r="I29" s="11" t="s">
        <v>16</v>
      </c>
      <c r="J29" s="12"/>
    </row>
    <row r="30" spans="1:10" ht="60" customHeight="1">
      <c r="A30" s="6" t="s">
        <v>128</v>
      </c>
      <c r="B30" s="6" t="s">
        <v>17</v>
      </c>
      <c r="C30" s="6" t="s">
        <v>16</v>
      </c>
      <c r="D30" s="7" t="s">
        <v>129</v>
      </c>
      <c r="E30" s="8" t="s">
        <v>130</v>
      </c>
      <c r="F30" s="6" t="s">
        <v>131</v>
      </c>
      <c r="G30" s="9">
        <f>IF(A30=1,"_",IF(C30="_","???",C30))</f>
        <v/>
      </c>
      <c r="H30" s="10" t="s">
        <v>16</v>
      </c>
      <c r="I30" s="11" t="s">
        <v>16</v>
      </c>
      <c r="J30" s="12"/>
    </row>
    <row r="31" spans="1:10" ht="60" customHeight="1">
      <c r="A31" s="6" t="s">
        <v>132</v>
      </c>
      <c r="B31" s="6" t="s">
        <v>28</v>
      </c>
      <c r="C31" s="6" t="s">
        <v>133</v>
      </c>
      <c r="D31" s="7" t="s">
        <v>134</v>
      </c>
      <c r="E31" s="8" t="s">
        <v>135</v>
      </c>
      <c r="F31" s="6" t="s">
        <v>136</v>
      </c>
      <c r="G31" s="9">
        <f>IF(A31=1,"_",IF(C31="_","???",C31))</f>
        <v/>
      </c>
      <c r="H31" s="10" t="s">
        <v>16</v>
      </c>
      <c r="I31" s="11" t="s">
        <v>16</v>
      </c>
      <c r="J31" s="12"/>
    </row>
    <row r="32" spans="1:10" ht="60" customHeight="1">
      <c r="A32" s="6" t="s">
        <v>137</v>
      </c>
      <c r="B32" s="6" t="s">
        <v>22</v>
      </c>
      <c r="C32" s="6" t="s">
        <v>138</v>
      </c>
      <c r="D32" s="7" t="s">
        <v>51</v>
      </c>
      <c r="E32" s="8" t="s">
        <v>139</v>
      </c>
      <c r="F32" s="6" t="s">
        <v>140</v>
      </c>
      <c r="G32" s="9">
        <f>IF(A32=1,"_",IF(C32="_","???",C32))</f>
        <v/>
      </c>
      <c r="H32" s="10" t="s">
        <v>16</v>
      </c>
      <c r="I32" s="11" t="s">
        <v>16</v>
      </c>
      <c r="J32" s="12"/>
    </row>
    <row r="33" spans="1:10" ht="60" customHeight="1">
      <c r="A33" s="6" t="s">
        <v>141</v>
      </c>
      <c r="B33" s="6" t="s">
        <v>22</v>
      </c>
      <c r="C33" s="6" t="s">
        <v>70</v>
      </c>
      <c r="D33" s="7" t="s">
        <v>142</v>
      </c>
      <c r="E33" s="8" t="s">
        <v>143</v>
      </c>
      <c r="F33" s="6" t="s">
        <v>144</v>
      </c>
      <c r="G33" s="9">
        <f>IF(A33=1,"_",IF(C33="_","???",C33))</f>
        <v/>
      </c>
      <c r="H33" s="10" t="s">
        <v>16</v>
      </c>
      <c r="I33" s="11" t="s">
        <v>16</v>
      </c>
      <c r="J33" s="12"/>
    </row>
    <row r="34" spans="1:10" ht="60" customHeight="1">
      <c r="A34" s="6" t="s">
        <v>145</v>
      </c>
      <c r="B34" s="6" t="s">
        <v>28</v>
      </c>
      <c r="C34" s="6" t="s">
        <v>12</v>
      </c>
      <c r="D34" s="7" t="s">
        <v>51</v>
      </c>
      <c r="E34" s="8" t="s">
        <v>146</v>
      </c>
      <c r="F34" s="6" t="s">
        <v>147</v>
      </c>
      <c r="G34" s="9">
        <f>IF(A34=1,"_",IF(C34="_","???",C34))</f>
        <v/>
      </c>
      <c r="H34" s="10" t="s">
        <v>16</v>
      </c>
      <c r="I34" s="11" t="s">
        <v>16</v>
      </c>
      <c r="J34" s="12"/>
    </row>
    <row r="35" spans="1:10" ht="60" customHeight="1">
      <c r="A35" s="6" t="s">
        <v>148</v>
      </c>
      <c r="B35" s="6" t="s">
        <v>91</v>
      </c>
      <c r="C35" s="6" t="s">
        <v>133</v>
      </c>
      <c r="D35" s="7" t="s">
        <v>47</v>
      </c>
      <c r="E35" s="8" t="s">
        <v>149</v>
      </c>
      <c r="F35" s="6" t="s">
        <v>150</v>
      </c>
      <c r="G35" s="9">
        <f>IF(A35=1,"_",IF(C35="_","???",C35))</f>
        <v/>
      </c>
      <c r="H35" s="10" t="s">
        <v>16</v>
      </c>
      <c r="I35" s="11" t="s">
        <v>16</v>
      </c>
      <c r="J35" s="12"/>
    </row>
    <row r="36" spans="1:10" ht="60" customHeight="1">
      <c r="A36" s="6" t="s">
        <v>151</v>
      </c>
      <c r="B36" s="6" t="s">
        <v>22</v>
      </c>
      <c r="C36" s="6" t="s">
        <v>66</v>
      </c>
      <c r="D36" s="7" t="s">
        <v>152</v>
      </c>
      <c r="E36" s="8" t="s">
        <v>153</v>
      </c>
      <c r="F36" s="6" t="s">
        <v>154</v>
      </c>
      <c r="G36" s="9">
        <f>IF(A36=1,"_",IF(C36="_","???",C36))</f>
        <v/>
      </c>
      <c r="H36" s="10" t="s">
        <v>16</v>
      </c>
      <c r="I36" s="11" t="s">
        <v>16</v>
      </c>
      <c r="J36" s="12"/>
    </row>
    <row r="37" spans="1:10" ht="60" customHeight="1">
      <c r="A37" s="6" t="s">
        <v>155</v>
      </c>
      <c r="B37" s="6" t="s">
        <v>17</v>
      </c>
      <c r="C37" s="6" t="s">
        <v>156</v>
      </c>
      <c r="D37" s="7" t="s">
        <v>157</v>
      </c>
      <c r="E37" s="8" t="s">
        <v>158</v>
      </c>
      <c r="F37" s="6" t="s">
        <v>159</v>
      </c>
      <c r="G37" s="9">
        <f>IF(A37=1,"_",IF(C37="_","???",C37))</f>
        <v/>
      </c>
      <c r="H37" s="10" t="s">
        <v>16</v>
      </c>
      <c r="I37" s="11" t="s">
        <v>16</v>
      </c>
      <c r="J37" s="12"/>
    </row>
    <row r="38" spans="1:10" ht="60" customHeight="1">
      <c r="A38" s="6" t="s">
        <v>160</v>
      </c>
      <c r="B38" s="6" t="s">
        <v>11</v>
      </c>
      <c r="C38" s="6" t="s">
        <v>161</v>
      </c>
      <c r="D38" s="7" t="s">
        <v>129</v>
      </c>
      <c r="E38" s="8" t="s">
        <v>162</v>
      </c>
      <c r="F38" s="6" t="s">
        <v>163</v>
      </c>
      <c r="G38" s="9">
        <f>IF(A38=1,"_",IF(C38="_","???",C38))</f>
        <v/>
      </c>
      <c r="H38" s="10" t="s">
        <v>16</v>
      </c>
      <c r="I38" s="11" t="s">
        <v>16</v>
      </c>
      <c r="J38" s="12"/>
    </row>
    <row r="39" spans="1:10" ht="60" customHeight="1">
      <c r="A39" s="6" t="s">
        <v>164</v>
      </c>
      <c r="B39" s="6" t="s">
        <v>59</v>
      </c>
      <c r="C39" s="6" t="s">
        <v>165</v>
      </c>
      <c r="D39" s="7" t="s">
        <v>166</v>
      </c>
      <c r="E39" s="8" t="s">
        <v>167</v>
      </c>
      <c r="F39" s="6" t="s">
        <v>168</v>
      </c>
      <c r="G39" s="9">
        <f>IF(A39=1,"_",IF(C39="_","???",C39))</f>
        <v/>
      </c>
      <c r="H39" s="10" t="s">
        <v>16</v>
      </c>
      <c r="I39" s="11" t="s">
        <v>16</v>
      </c>
      <c r="J39" s="12"/>
    </row>
    <row r="40" spans="1:10" ht="60" customHeight="1">
      <c r="A40" s="6" t="s">
        <v>169</v>
      </c>
      <c r="B40" s="6" t="s">
        <v>17</v>
      </c>
      <c r="C40" s="6" t="s">
        <v>18</v>
      </c>
      <c r="D40" s="7" t="s">
        <v>170</v>
      </c>
      <c r="E40" s="8" t="s">
        <v>171</v>
      </c>
      <c r="F40" s="6" t="s">
        <v>172</v>
      </c>
      <c r="G40" s="9">
        <f>IF(A40=1,"_",IF(C40="_","???",C40))</f>
        <v/>
      </c>
      <c r="H40" s="10" t="s">
        <v>16</v>
      </c>
      <c r="I40" s="11" t="s">
        <v>16</v>
      </c>
      <c r="J40" s="12"/>
    </row>
    <row r="41" spans="1:10" ht="60" customHeight="1">
      <c r="A41" s="6" t="s">
        <v>173</v>
      </c>
      <c r="B41" s="6" t="s">
        <v>10</v>
      </c>
      <c r="C41" s="6" t="s">
        <v>174</v>
      </c>
      <c r="D41" s="7" t="s">
        <v>175</v>
      </c>
      <c r="E41" s="8" t="s">
        <v>176</v>
      </c>
      <c r="F41" s="6" t="s">
        <v>177</v>
      </c>
      <c r="G41" s="9">
        <f>IF(A41=1,"_",IF(C41="_","???",C41))</f>
        <v/>
      </c>
      <c r="H41" s="10" t="s">
        <v>16</v>
      </c>
      <c r="I41" s="11" t="s">
        <v>16</v>
      </c>
      <c r="J41" s="12"/>
    </row>
    <row r="42" spans="1:10" ht="60" customHeight="1">
      <c r="A42" s="6" t="s">
        <v>178</v>
      </c>
      <c r="B42" s="6" t="s">
        <v>22</v>
      </c>
      <c r="C42" s="6" t="s">
        <v>179</v>
      </c>
      <c r="D42" s="7" t="s">
        <v>175</v>
      </c>
      <c r="E42" s="8" t="s">
        <v>180</v>
      </c>
      <c r="F42" s="6" t="s">
        <v>181</v>
      </c>
      <c r="G42" s="9">
        <f>IF(A42=1,"_",IF(C42="_","???",C42))</f>
        <v/>
      </c>
      <c r="H42" s="10" t="s">
        <v>16</v>
      </c>
      <c r="I42" s="11" t="s">
        <v>16</v>
      </c>
      <c r="J42" s="12"/>
    </row>
    <row r="43" spans="1:10" ht="60" customHeight="1">
      <c r="A43" s="6" t="s">
        <v>182</v>
      </c>
      <c r="B43" s="6" t="s">
        <v>28</v>
      </c>
      <c r="C43" s="6" t="s">
        <v>165</v>
      </c>
      <c r="D43" s="7" t="s">
        <v>92</v>
      </c>
      <c r="E43" s="8" t="s">
        <v>183</v>
      </c>
      <c r="F43" s="6" t="s">
        <v>184</v>
      </c>
      <c r="G43" s="9">
        <f>IF(A43=1,"_",IF(C43="_","???",C43))</f>
        <v/>
      </c>
      <c r="H43" s="10" t="s">
        <v>16</v>
      </c>
      <c r="I43" s="11" t="s">
        <v>16</v>
      </c>
      <c r="J43" s="12"/>
    </row>
    <row r="44" spans="1:10" ht="60" customHeight="1">
      <c r="A44" s="6" t="s">
        <v>185</v>
      </c>
      <c r="B44" s="6" t="s">
        <v>28</v>
      </c>
      <c r="C44" s="6" t="s">
        <v>18</v>
      </c>
      <c r="D44" s="7" t="s">
        <v>129</v>
      </c>
      <c r="E44" s="8" t="s">
        <v>186</v>
      </c>
      <c r="F44" s="6" t="s">
        <v>187</v>
      </c>
      <c r="G44" s="9">
        <f>IF(A44=1,"_",IF(C44="_","???",C44))</f>
        <v/>
      </c>
      <c r="H44" s="10" t="s">
        <v>16</v>
      </c>
      <c r="I44" s="11" t="s">
        <v>16</v>
      </c>
      <c r="J44" s="12"/>
    </row>
    <row r="45" spans="1:10" ht="60" customHeight="1">
      <c r="A45" s="6" t="s">
        <v>188</v>
      </c>
      <c r="B45" s="6" t="s">
        <v>22</v>
      </c>
      <c r="C45" s="6" t="s">
        <v>16</v>
      </c>
      <c r="D45" s="7" t="s">
        <v>189</v>
      </c>
      <c r="E45" s="8" t="s">
        <v>190</v>
      </c>
      <c r="F45" s="6" t="s">
        <v>191</v>
      </c>
      <c r="G45" s="9">
        <f>IF(A45=1,"_",IF(C45="_","???",C45))</f>
        <v/>
      </c>
      <c r="H45" s="10" t="s">
        <v>16</v>
      </c>
      <c r="I45" s="11" t="s">
        <v>16</v>
      </c>
      <c r="J45" s="12"/>
    </row>
    <row r="46" spans="1:10" ht="60" customHeight="1">
      <c r="A46" s="6" t="s">
        <v>192</v>
      </c>
      <c r="B46" s="6" t="s">
        <v>38</v>
      </c>
      <c r="C46" s="6" t="s">
        <v>16</v>
      </c>
      <c r="D46" s="7" t="s">
        <v>193</v>
      </c>
      <c r="E46" s="8" t="s">
        <v>194</v>
      </c>
      <c r="F46" s="6" t="s">
        <v>195</v>
      </c>
      <c r="G46" s="9">
        <f>IF(A46=1,"_",IF(C46="_","???",C46))</f>
        <v/>
      </c>
      <c r="H46" s="10" t="s">
        <v>16</v>
      </c>
      <c r="I46" s="11" t="s">
        <v>16</v>
      </c>
      <c r="J46" s="12"/>
    </row>
    <row r="47" spans="1:10" ht="60" customHeight="1">
      <c r="A47" s="6" t="s">
        <v>196</v>
      </c>
      <c r="B47" s="6" t="s">
        <v>28</v>
      </c>
      <c r="C47" s="6" t="s">
        <v>70</v>
      </c>
      <c r="D47" s="7" t="s">
        <v>60</v>
      </c>
      <c r="E47" s="8" t="s">
        <v>197</v>
      </c>
      <c r="F47" s="6" t="s">
        <v>198</v>
      </c>
      <c r="G47" s="9">
        <f>IF(A47=1,"_",IF(C47="_","???",C47))</f>
        <v/>
      </c>
      <c r="H47" s="10" t="s">
        <v>16</v>
      </c>
      <c r="I47" s="11" t="s">
        <v>16</v>
      </c>
      <c r="J47" s="12"/>
    </row>
    <row r="48" spans="1:10" ht="60" customHeight="1">
      <c r="A48" s="6" t="s">
        <v>199</v>
      </c>
      <c r="B48" s="6" t="s">
        <v>38</v>
      </c>
      <c r="C48" s="6" t="s">
        <v>70</v>
      </c>
      <c r="D48" s="7" t="s">
        <v>129</v>
      </c>
      <c r="E48" s="8" t="s">
        <v>200</v>
      </c>
      <c r="F48" s="6" t="s">
        <v>201</v>
      </c>
      <c r="G48" s="9">
        <f>IF(A48=1,"_",IF(C48="_","???",C48))</f>
        <v/>
      </c>
      <c r="H48" s="10" t="s">
        <v>16</v>
      </c>
      <c r="I48" s="11" t="s">
        <v>16</v>
      </c>
      <c r="J48" s="12"/>
    </row>
    <row r="49" spans="1:10" ht="60" customHeight="1">
      <c r="A49" s="6" t="s">
        <v>202</v>
      </c>
      <c r="B49" s="6" t="s">
        <v>33</v>
      </c>
      <c r="C49" s="6" t="s">
        <v>203</v>
      </c>
      <c r="D49" s="7" t="s">
        <v>56</v>
      </c>
      <c r="E49" s="8" t="s">
        <v>204</v>
      </c>
      <c r="F49" s="6" t="s">
        <v>205</v>
      </c>
      <c r="G49" s="9">
        <f>IF(A49=1,"_",IF(C49="_","???",C49))</f>
        <v/>
      </c>
      <c r="H49" s="10" t="s">
        <v>16</v>
      </c>
      <c r="I49" s="11" t="s">
        <v>16</v>
      </c>
      <c r="J49" s="12"/>
    </row>
    <row r="50" spans="1:10" ht="60" customHeight="1">
      <c r="A50" s="6" t="s">
        <v>206</v>
      </c>
      <c r="B50" s="6" t="s">
        <v>28</v>
      </c>
      <c r="C50" s="6" t="s">
        <v>70</v>
      </c>
      <c r="D50" s="7" t="s">
        <v>207</v>
      </c>
      <c r="E50" s="8" t="s">
        <v>208</v>
      </c>
      <c r="F50" s="6" t="s">
        <v>209</v>
      </c>
      <c r="G50" s="9">
        <f>IF(A50=1,"_",IF(C50="_","???",C50))</f>
        <v/>
      </c>
      <c r="H50" s="10" t="s">
        <v>16</v>
      </c>
      <c r="I50" s="11" t="s">
        <v>16</v>
      </c>
      <c r="J50" s="12"/>
    </row>
    <row r="51" spans="1:10" ht="60" customHeight="1">
      <c r="A51" s="6" t="s">
        <v>210</v>
      </c>
      <c r="B51" s="6" t="s">
        <v>22</v>
      </c>
      <c r="C51" s="6" t="s">
        <v>16</v>
      </c>
      <c r="D51" s="7" t="s">
        <v>129</v>
      </c>
      <c r="E51" s="8" t="s">
        <v>211</v>
      </c>
      <c r="F51" s="6" t="s">
        <v>212</v>
      </c>
      <c r="G51" s="9">
        <f>IF(A51=1,"_",IF(C51="_","???",C51))</f>
        <v/>
      </c>
      <c r="H51" s="10" t="s">
        <v>16</v>
      </c>
      <c r="I51" s="11" t="s">
        <v>16</v>
      </c>
      <c r="J51" s="12"/>
    </row>
    <row r="52" spans="1:10" ht="60" customHeight="1">
      <c r="A52" s="6" t="s">
        <v>213</v>
      </c>
      <c r="B52" s="6" t="s">
        <v>17</v>
      </c>
      <c r="C52" s="6" t="s">
        <v>174</v>
      </c>
      <c r="D52" s="7" t="s">
        <v>214</v>
      </c>
      <c r="E52" s="8" t="s">
        <v>215</v>
      </c>
      <c r="F52" s="6" t="s">
        <v>216</v>
      </c>
      <c r="G52" s="9">
        <f>IF(A52=1,"_",IF(C52="_","???",C52))</f>
        <v/>
      </c>
      <c r="H52" s="10" t="s">
        <v>16</v>
      </c>
      <c r="I52" s="11" t="s">
        <v>16</v>
      </c>
      <c r="J52" s="12"/>
    </row>
    <row r="53" spans="1:10" ht="60" customHeight="1">
      <c r="A53" s="6" t="s">
        <v>217</v>
      </c>
      <c r="B53" s="6" t="s">
        <v>17</v>
      </c>
      <c r="C53" s="6" t="s">
        <v>24</v>
      </c>
      <c r="D53" s="7" t="s">
        <v>214</v>
      </c>
      <c r="E53" s="8" t="s">
        <v>218</v>
      </c>
      <c r="F53" s="6" t="s">
        <v>219</v>
      </c>
      <c r="G53" s="9">
        <f>IF(A53=1,"_",IF(C53="_","???",C53))</f>
        <v/>
      </c>
      <c r="H53" s="10" t="s">
        <v>16</v>
      </c>
      <c r="I53" s="11" t="s">
        <v>16</v>
      </c>
      <c r="J53" s="12"/>
    </row>
    <row r="54" spans="1:10" ht="60" customHeight="1">
      <c r="A54" s="6" t="s">
        <v>220</v>
      </c>
      <c r="B54" s="6" t="s">
        <v>69</v>
      </c>
      <c r="C54" s="6" t="s">
        <v>133</v>
      </c>
      <c r="D54" s="7" t="s">
        <v>221</v>
      </c>
      <c r="E54" s="8" t="s">
        <v>222</v>
      </c>
      <c r="F54" s="6" t="s">
        <v>223</v>
      </c>
      <c r="G54" s="9">
        <f>IF(A54=1,"_",IF(C54="_","???",C54))</f>
        <v/>
      </c>
      <c r="H54" s="10" t="s">
        <v>16</v>
      </c>
      <c r="I54" s="11" t="s">
        <v>16</v>
      </c>
      <c r="J54" s="12"/>
    </row>
    <row r="55" spans="1:10" ht="60" customHeight="1">
      <c r="A55" s="6" t="s">
        <v>224</v>
      </c>
      <c r="B55" s="6" t="s">
        <v>17</v>
      </c>
      <c r="C55" s="6" t="s">
        <v>16</v>
      </c>
      <c r="D55" s="7" t="s">
        <v>225</v>
      </c>
      <c r="E55" s="8" t="s">
        <v>226</v>
      </c>
      <c r="F55" s="6" t="s">
        <v>227</v>
      </c>
      <c r="G55" s="9">
        <f>IF(A55=1,"_",IF(C55="_","???",C55))</f>
        <v/>
      </c>
      <c r="H55" s="10" t="s">
        <v>16</v>
      </c>
      <c r="I55" s="11" t="s">
        <v>16</v>
      </c>
      <c r="J55" s="12"/>
    </row>
    <row r="56" spans="1:10" ht="60" customHeight="1">
      <c r="A56" s="6" t="s">
        <v>228</v>
      </c>
      <c r="B56" s="6" t="s">
        <v>42</v>
      </c>
      <c r="C56" s="6" t="s">
        <v>229</v>
      </c>
      <c r="D56" s="7" t="s">
        <v>129</v>
      </c>
      <c r="E56" s="8" t="s">
        <v>230</v>
      </c>
      <c r="F56" s="6" t="s">
        <v>231</v>
      </c>
      <c r="G56" s="9">
        <f>IF(A56=1,"_",IF(C56="_","???",C56))</f>
        <v/>
      </c>
      <c r="H56" s="10" t="s">
        <v>16</v>
      </c>
      <c r="I56" s="11" t="s">
        <v>16</v>
      </c>
      <c r="J56" s="12"/>
    </row>
    <row r="57" spans="1:10" ht="60" customHeight="1">
      <c r="A57" s="6" t="s">
        <v>232</v>
      </c>
      <c r="B57" s="6" t="s">
        <v>28</v>
      </c>
      <c r="C57" s="6" t="s">
        <v>70</v>
      </c>
      <c r="D57" s="7" t="s">
        <v>129</v>
      </c>
      <c r="E57" s="8" t="s">
        <v>233</v>
      </c>
      <c r="F57" s="6" t="s">
        <v>234</v>
      </c>
      <c r="G57" s="9">
        <f>IF(A57=1,"_",IF(C57="_","???",C57))</f>
        <v/>
      </c>
      <c r="H57" s="10" t="s">
        <v>16</v>
      </c>
      <c r="I57" s="11" t="s">
        <v>16</v>
      </c>
      <c r="J57" s="12"/>
    </row>
    <row r="58" spans="1:10" ht="60" customHeight="1">
      <c r="A58" s="6" t="s">
        <v>235</v>
      </c>
      <c r="B58" s="6" t="s">
        <v>22</v>
      </c>
      <c r="C58" s="6" t="s">
        <v>16</v>
      </c>
      <c r="D58" s="7" t="s">
        <v>236</v>
      </c>
      <c r="E58" s="8" t="s">
        <v>237</v>
      </c>
      <c r="F58" s="6" t="s">
        <v>238</v>
      </c>
      <c r="G58" s="9">
        <f>IF(A58=1,"_",IF(C58="_","???",C58))</f>
        <v/>
      </c>
      <c r="H58" s="10" t="s">
        <v>16</v>
      </c>
      <c r="I58" s="11" t="s">
        <v>16</v>
      </c>
      <c r="J58" s="12"/>
    </row>
    <row r="59" spans="1:10" ht="60" customHeight="1">
      <c r="A59" s="6" t="s">
        <v>239</v>
      </c>
      <c r="B59" s="6" t="s">
        <v>17</v>
      </c>
      <c r="C59" s="6" t="s">
        <v>16</v>
      </c>
      <c r="D59" s="7" t="s">
        <v>240</v>
      </c>
      <c r="E59" s="8" t="s">
        <v>241</v>
      </c>
      <c r="F59" s="6" t="s">
        <v>242</v>
      </c>
      <c r="G59" s="9">
        <f>IF(A59=1,"_",IF(C59="_","???",C59))</f>
        <v/>
      </c>
      <c r="H59" s="10" t="s">
        <v>16</v>
      </c>
      <c r="I59" s="11" t="s">
        <v>16</v>
      </c>
      <c r="J59" s="12"/>
    </row>
    <row r="60" spans="1:10" ht="60" customHeight="1">
      <c r="A60" s="6" t="s">
        <v>243</v>
      </c>
      <c r="B60" s="6" t="s">
        <v>11</v>
      </c>
      <c r="C60" s="6" t="s">
        <v>16</v>
      </c>
      <c r="D60" s="7" t="s">
        <v>129</v>
      </c>
      <c r="E60" s="8" t="s">
        <v>244</v>
      </c>
      <c r="F60" s="6" t="s">
        <v>245</v>
      </c>
      <c r="G60" s="9">
        <f>IF(A60=1,"_",IF(C60="_","???",C60))</f>
        <v/>
      </c>
      <c r="H60" s="10" t="s">
        <v>16</v>
      </c>
      <c r="I60" s="11" t="s">
        <v>16</v>
      </c>
      <c r="J60" s="12"/>
    </row>
    <row r="61" spans="1:10" ht="60" customHeight="1">
      <c r="A61" s="6" t="s">
        <v>246</v>
      </c>
      <c r="B61" s="6" t="s">
        <v>33</v>
      </c>
      <c r="C61" s="6" t="s">
        <v>16</v>
      </c>
      <c r="D61" s="7" t="s">
        <v>247</v>
      </c>
      <c r="E61" s="8" t="s">
        <v>248</v>
      </c>
      <c r="F61" s="6" t="s">
        <v>249</v>
      </c>
      <c r="G61" s="9">
        <f>IF(A61=1,"_",IF(C61="_","???",C61))</f>
        <v/>
      </c>
      <c r="H61" s="10" t="s">
        <v>16</v>
      </c>
      <c r="I61" s="11" t="s">
        <v>16</v>
      </c>
      <c r="J61" s="12"/>
    </row>
    <row r="62" spans="1:10" ht="60" customHeight="1">
      <c r="A62" s="6" t="s">
        <v>250</v>
      </c>
      <c r="B62" s="6" t="s">
        <v>33</v>
      </c>
      <c r="C62" s="6" t="s">
        <v>70</v>
      </c>
      <c r="D62" s="7" t="s">
        <v>251</v>
      </c>
      <c r="E62" s="8" t="s">
        <v>252</v>
      </c>
      <c r="F62" s="6" t="s">
        <v>253</v>
      </c>
      <c r="G62" s="9">
        <f>IF(A62=1,"_",IF(C62="_","???",C62))</f>
        <v/>
      </c>
      <c r="H62" s="10" t="s">
        <v>16</v>
      </c>
      <c r="I62" s="11" t="s">
        <v>16</v>
      </c>
      <c r="J62" s="12"/>
    </row>
    <row r="63" spans="1:10" ht="60" customHeight="1">
      <c r="A63" s="6" t="s">
        <v>254</v>
      </c>
      <c r="B63" s="6" t="s">
        <v>22</v>
      </c>
      <c r="C63" s="6" t="s">
        <v>16</v>
      </c>
      <c r="D63" s="7" t="s">
        <v>129</v>
      </c>
      <c r="E63" s="8" t="s">
        <v>255</v>
      </c>
      <c r="F63" s="6" t="s">
        <v>256</v>
      </c>
      <c r="G63" s="9">
        <f>IF(A63=1,"_",IF(C63="_","???",C63))</f>
        <v/>
      </c>
      <c r="H63" s="10" t="s">
        <v>16</v>
      </c>
      <c r="I63" s="11" t="s">
        <v>16</v>
      </c>
      <c r="J63" s="12"/>
    </row>
    <row r="64" spans="1:10" ht="60" customHeight="1">
      <c r="A64" s="6" t="s">
        <v>257</v>
      </c>
      <c r="B64" s="6" t="s">
        <v>22</v>
      </c>
      <c r="C64" s="6" t="s">
        <v>16</v>
      </c>
      <c r="D64" s="7" t="s">
        <v>258</v>
      </c>
      <c r="E64" s="8" t="s">
        <v>259</v>
      </c>
      <c r="F64" s="6" t="s">
        <v>260</v>
      </c>
      <c r="G64" s="9">
        <f>IF(A64=1,"_",IF(C64="_","???",C64))</f>
        <v/>
      </c>
      <c r="H64" s="10" t="s">
        <v>16</v>
      </c>
      <c r="I64" s="11" t="s">
        <v>16</v>
      </c>
      <c r="J64" s="12"/>
    </row>
    <row r="65" spans="1:10" ht="60" customHeight="1">
      <c r="A65" s="6" t="s">
        <v>261</v>
      </c>
      <c r="B65" s="6" t="s">
        <v>46</v>
      </c>
      <c r="C65" s="6" t="s">
        <v>24</v>
      </c>
      <c r="D65" s="7" t="s">
        <v>262</v>
      </c>
      <c r="E65" s="8" t="s">
        <v>263</v>
      </c>
      <c r="F65" s="6" t="s">
        <v>264</v>
      </c>
      <c r="G65" s="9">
        <f>IF(A65=1,"_",IF(C65="_","???",C65))</f>
        <v/>
      </c>
      <c r="H65" s="10" t="s">
        <v>16</v>
      </c>
      <c r="I65" s="11" t="s">
        <v>16</v>
      </c>
      <c r="J65" s="12"/>
    </row>
    <row r="66" spans="1:10" ht="60" customHeight="1">
      <c r="A66" s="6" t="s">
        <v>265</v>
      </c>
      <c r="B66" s="6" t="s">
        <v>22</v>
      </c>
      <c r="C66" s="6" t="s">
        <v>16</v>
      </c>
      <c r="D66" s="7" t="s">
        <v>214</v>
      </c>
      <c r="E66" s="8" t="s">
        <v>266</v>
      </c>
      <c r="F66" s="6" t="s">
        <v>267</v>
      </c>
      <c r="G66" s="9">
        <f>IF(A66=1,"_",IF(C66="_","???",C66))</f>
        <v/>
      </c>
      <c r="H66" s="10" t="s">
        <v>16</v>
      </c>
      <c r="I66" s="11" t="s">
        <v>16</v>
      </c>
      <c r="J66" s="12"/>
    </row>
    <row r="67" spans="1:10" ht="60" customHeight="1">
      <c r="A67" s="6" t="s">
        <v>268</v>
      </c>
      <c r="B67" s="6" t="s">
        <v>28</v>
      </c>
      <c r="C67" s="6" t="s">
        <v>66</v>
      </c>
      <c r="D67" s="7" t="s">
        <v>214</v>
      </c>
      <c r="E67" s="8" t="s">
        <v>269</v>
      </c>
      <c r="F67" s="6" t="s">
        <v>270</v>
      </c>
      <c r="G67" s="9">
        <f>IF(A67=1,"_",IF(C67="_","???",C67))</f>
        <v/>
      </c>
      <c r="H67" s="10" t="s">
        <v>16</v>
      </c>
      <c r="I67" s="11" t="s">
        <v>16</v>
      </c>
      <c r="J67" s="12"/>
    </row>
    <row r="68" spans="1:10" ht="60" customHeight="1">
      <c r="A68" s="6" t="s">
        <v>271</v>
      </c>
      <c r="B68" s="6" t="s">
        <v>17</v>
      </c>
      <c r="C68" s="6" t="s">
        <v>16</v>
      </c>
      <c r="D68" s="7" t="s">
        <v>272</v>
      </c>
      <c r="E68" s="8" t="s">
        <v>273</v>
      </c>
      <c r="F68" s="6" t="s">
        <v>274</v>
      </c>
      <c r="G68" s="9">
        <f>IF(A68=1,"_",IF(C68="_","???",C68))</f>
        <v/>
      </c>
      <c r="H68" s="10" t="s">
        <v>16</v>
      </c>
      <c r="I68" s="11" t="s">
        <v>16</v>
      </c>
      <c r="J68" s="12"/>
    </row>
    <row r="69" spans="1:10" ht="60" customHeight="1">
      <c r="A69" s="6" t="s">
        <v>275</v>
      </c>
      <c r="B69" s="6" t="s">
        <v>59</v>
      </c>
      <c r="C69" s="6" t="s">
        <v>16</v>
      </c>
      <c r="D69" s="7" t="s">
        <v>276</v>
      </c>
      <c r="E69" s="8" t="s">
        <v>277</v>
      </c>
      <c r="F69" s="6" t="s">
        <v>278</v>
      </c>
      <c r="G69" s="9">
        <f>IF(A69=1,"_",IF(C69="_","???",C69))</f>
        <v/>
      </c>
      <c r="H69" s="10" t="s">
        <v>16</v>
      </c>
      <c r="I69" s="11" t="s">
        <v>16</v>
      </c>
      <c r="J69" s="12"/>
    </row>
    <row r="70" spans="1:10" ht="60" customHeight="1">
      <c r="A70" s="6" t="s">
        <v>279</v>
      </c>
      <c r="B70" s="6" t="s">
        <v>50</v>
      </c>
      <c r="C70" s="6" t="s">
        <v>280</v>
      </c>
      <c r="D70" s="7" t="s">
        <v>281</v>
      </c>
      <c r="E70" s="8" t="s">
        <v>282</v>
      </c>
      <c r="F70" s="6" t="s">
        <v>283</v>
      </c>
      <c r="G70" s="9">
        <f>IF(A70=1,"_",IF(C70="_","???",C70))</f>
        <v/>
      </c>
      <c r="H70" s="10" t="s">
        <v>16</v>
      </c>
      <c r="I70" s="11" t="s">
        <v>16</v>
      </c>
      <c r="J70" s="12"/>
    </row>
    <row r="71" spans="1:10" ht="60" customHeight="1">
      <c r="A71" s="6" t="s">
        <v>284</v>
      </c>
      <c r="B71" s="6" t="s">
        <v>28</v>
      </c>
      <c r="C71" s="6" t="s">
        <v>285</v>
      </c>
      <c r="D71" s="7" t="s">
        <v>286</v>
      </c>
      <c r="E71" s="8" t="s">
        <v>287</v>
      </c>
      <c r="F71" s="6" t="s">
        <v>288</v>
      </c>
      <c r="G71" s="9">
        <f>IF(A71=1,"_",IF(C71="_","???",C71))</f>
        <v/>
      </c>
      <c r="H71" s="10" t="s">
        <v>16</v>
      </c>
      <c r="I71" s="11" t="s">
        <v>16</v>
      </c>
      <c r="J71" s="12"/>
    </row>
    <row r="72" spans="1:10" ht="60" customHeight="1">
      <c r="A72" s="6" t="s">
        <v>289</v>
      </c>
      <c r="B72" s="6" t="s">
        <v>28</v>
      </c>
      <c r="C72" s="6" t="s">
        <v>16</v>
      </c>
      <c r="D72" s="7" t="s">
        <v>290</v>
      </c>
      <c r="E72" s="8" t="s">
        <v>291</v>
      </c>
      <c r="F72" s="6" t="s">
        <v>292</v>
      </c>
      <c r="G72" s="9">
        <f>IF(A72=1,"_",IF(C72="_","???",C72))</f>
        <v/>
      </c>
      <c r="H72" s="10" t="s">
        <v>16</v>
      </c>
      <c r="I72" s="11" t="s">
        <v>16</v>
      </c>
      <c r="J72" s="12"/>
    </row>
    <row r="73" spans="1:10" ht="60" customHeight="1">
      <c r="A73" s="6" t="s">
        <v>293</v>
      </c>
      <c r="B73" s="6" t="s">
        <v>22</v>
      </c>
      <c r="C73" s="6" t="s">
        <v>16</v>
      </c>
      <c r="D73" s="7" t="s">
        <v>294</v>
      </c>
      <c r="E73" s="8" t="s">
        <v>295</v>
      </c>
      <c r="F73" s="6" t="s">
        <v>296</v>
      </c>
      <c r="G73" s="9">
        <f>IF(A73=1,"_",IF(C73="_","???",C73))</f>
        <v/>
      </c>
      <c r="H73" s="10" t="s">
        <v>16</v>
      </c>
      <c r="I73" s="11" t="s">
        <v>16</v>
      </c>
      <c r="J73" s="12"/>
    </row>
    <row r="74" spans="1:10" ht="60" customHeight="1">
      <c r="A74" s="6" t="s">
        <v>297</v>
      </c>
      <c r="B74" s="6" t="s">
        <v>83</v>
      </c>
      <c r="C74" s="6" t="s">
        <v>298</v>
      </c>
      <c r="D74" s="7" t="s">
        <v>299</v>
      </c>
      <c r="E74" s="8" t="s">
        <v>300</v>
      </c>
      <c r="F74" s="6" t="s">
        <v>301</v>
      </c>
      <c r="G74" s="9">
        <f>IF(A74=1,"_",IF(C74="_","???",C74))</f>
        <v/>
      </c>
      <c r="H74" s="10" t="s">
        <v>16</v>
      </c>
      <c r="I74" s="11" t="s">
        <v>16</v>
      </c>
      <c r="J74" s="12"/>
    </row>
    <row r="75" spans="1:10" ht="60" customHeight="1">
      <c r="A75" s="6" t="s">
        <v>302</v>
      </c>
      <c r="B75" s="6" t="s">
        <v>42</v>
      </c>
      <c r="C75" s="6" t="s">
        <v>16</v>
      </c>
      <c r="D75" s="7" t="s">
        <v>303</v>
      </c>
      <c r="E75" s="8" t="s">
        <v>304</v>
      </c>
      <c r="F75" s="6" t="s">
        <v>305</v>
      </c>
      <c r="G75" s="9">
        <f>IF(A75=1,"_",IF(C75="_","???",C75))</f>
        <v/>
      </c>
      <c r="H75" s="10" t="s">
        <v>16</v>
      </c>
      <c r="I75" s="11" t="s">
        <v>16</v>
      </c>
      <c r="J75" s="12"/>
    </row>
    <row r="76" spans="1:10" ht="60" customHeight="1">
      <c r="A76" s="6" t="s">
        <v>306</v>
      </c>
      <c r="B76" s="6" t="s">
        <v>22</v>
      </c>
      <c r="C76" s="6" t="s">
        <v>307</v>
      </c>
      <c r="D76" s="7" t="s">
        <v>308</v>
      </c>
      <c r="E76" s="8" t="s">
        <v>309</v>
      </c>
      <c r="F76" s="6" t="s">
        <v>310</v>
      </c>
      <c r="G76" s="9">
        <f>IF(A76=1,"_",IF(C76="_","???",C76))</f>
        <v/>
      </c>
      <c r="H76" s="10" t="s">
        <v>16</v>
      </c>
      <c r="I76" s="11" t="s">
        <v>16</v>
      </c>
      <c r="J76" s="12"/>
    </row>
    <row r="77" spans="1:10" ht="60" customHeight="1">
      <c r="A77" s="6" t="s">
        <v>311</v>
      </c>
      <c r="B77" s="6" t="s">
        <v>50</v>
      </c>
      <c r="C77" s="6" t="s">
        <v>307</v>
      </c>
      <c r="D77" s="7" t="s">
        <v>312</v>
      </c>
      <c r="E77" s="8" t="s">
        <v>313</v>
      </c>
      <c r="F77" s="6" t="s">
        <v>314</v>
      </c>
      <c r="G77" s="9">
        <f>IF(A77=1,"_",IF(C77="_","???",C77))</f>
        <v/>
      </c>
      <c r="H77" s="10" t="s">
        <v>16</v>
      </c>
      <c r="I77" s="11" t="s">
        <v>16</v>
      </c>
      <c r="J77" s="12"/>
    </row>
    <row r="78" spans="1:10" ht="60" customHeight="1">
      <c r="A78" s="6" t="s">
        <v>315</v>
      </c>
      <c r="B78" s="6" t="s">
        <v>22</v>
      </c>
      <c r="C78" s="6" t="s">
        <v>16</v>
      </c>
      <c r="D78" s="7" t="s">
        <v>316</v>
      </c>
      <c r="E78" s="8" t="s">
        <v>317</v>
      </c>
      <c r="F78" s="6" t="s">
        <v>318</v>
      </c>
      <c r="G78" s="9">
        <f>IF(A78=1,"_",IF(C78="_","???",C78))</f>
        <v/>
      </c>
      <c r="H78" s="10" t="s">
        <v>16</v>
      </c>
      <c r="I78" s="11" t="s">
        <v>16</v>
      </c>
      <c r="J78" s="12"/>
    </row>
    <row r="79" spans="1:10" ht="60" customHeight="1">
      <c r="A79" s="6" t="s">
        <v>319</v>
      </c>
      <c r="B79" s="6" t="s">
        <v>22</v>
      </c>
      <c r="C79" s="6" t="s">
        <v>16</v>
      </c>
      <c r="D79" s="7" t="s">
        <v>320</v>
      </c>
      <c r="E79" s="8" t="s">
        <v>321</v>
      </c>
      <c r="F79" s="6" t="s">
        <v>322</v>
      </c>
      <c r="G79" s="9">
        <f>IF(A79=1,"_",IF(C79="_","???",C79))</f>
        <v/>
      </c>
      <c r="H79" s="10" t="s">
        <v>16</v>
      </c>
      <c r="I79" s="11" t="s">
        <v>16</v>
      </c>
      <c r="J79" s="12"/>
    </row>
    <row r="80" spans="1:10" ht="60" customHeight="1">
      <c r="A80" s="6" t="s">
        <v>323</v>
      </c>
      <c r="B80" s="6" t="s">
        <v>33</v>
      </c>
      <c r="C80" s="6" t="s">
        <v>324</v>
      </c>
      <c r="D80" s="7" t="s">
        <v>325</v>
      </c>
      <c r="E80" s="8" t="s">
        <v>326</v>
      </c>
      <c r="F80" s="6" t="s">
        <v>327</v>
      </c>
      <c r="G80" s="9">
        <f>IF(A80=1,"_",IF(C80="_","???",C80))</f>
        <v/>
      </c>
      <c r="H80" s="10" t="s">
        <v>16</v>
      </c>
      <c r="I80" s="11" t="s">
        <v>16</v>
      </c>
      <c r="J80" s="12"/>
    </row>
    <row r="81" spans="1:10" ht="60" customHeight="1">
      <c r="A81" s="6" t="s">
        <v>328</v>
      </c>
      <c r="B81" s="6" t="s">
        <v>128</v>
      </c>
      <c r="C81" s="6" t="s">
        <v>16</v>
      </c>
      <c r="D81" s="7" t="s">
        <v>329</v>
      </c>
      <c r="E81" s="8" t="s">
        <v>330</v>
      </c>
      <c r="F81" s="6" t="s">
        <v>331</v>
      </c>
      <c r="G81" s="9">
        <f>IF(A81=1,"_",IF(C81="_","???",C81))</f>
        <v/>
      </c>
      <c r="H81" s="10" t="s">
        <v>16</v>
      </c>
      <c r="I81" s="11" t="s">
        <v>16</v>
      </c>
      <c r="J81" s="12"/>
    </row>
    <row r="82" spans="1:10" ht="60" customHeight="1">
      <c r="A82" s="6" t="s">
        <v>332</v>
      </c>
      <c r="B82" s="6" t="s">
        <v>42</v>
      </c>
      <c r="C82" s="6" t="s">
        <v>138</v>
      </c>
      <c r="D82" s="7" t="s">
        <v>333</v>
      </c>
      <c r="E82" s="8" t="s">
        <v>334</v>
      </c>
      <c r="F82" s="6" t="s">
        <v>335</v>
      </c>
      <c r="G82" s="9">
        <f>IF(A82=1,"_",IF(C82="_","???",C82))</f>
        <v/>
      </c>
      <c r="H82" s="10" t="s">
        <v>16</v>
      </c>
      <c r="I82" s="11" t="s">
        <v>16</v>
      </c>
      <c r="J82" s="12"/>
    </row>
    <row r="83" spans="1:10" ht="60" customHeight="1">
      <c r="A83" s="6" t="s">
        <v>336</v>
      </c>
      <c r="B83" s="6" t="s">
        <v>50</v>
      </c>
      <c r="C83" s="6" t="s">
        <v>66</v>
      </c>
      <c r="D83" s="7" t="s">
        <v>337</v>
      </c>
      <c r="E83" s="8" t="s">
        <v>338</v>
      </c>
      <c r="F83" s="6" t="s">
        <v>339</v>
      </c>
      <c r="G83" s="9">
        <f>IF(A83=1,"_",IF(C83="_","???",C83))</f>
        <v/>
      </c>
      <c r="H83" s="10" t="s">
        <v>16</v>
      </c>
      <c r="I83" s="11" t="s">
        <v>16</v>
      </c>
      <c r="J83" s="12"/>
    </row>
    <row r="84" spans="1:10" ht="60" customHeight="1">
      <c r="A84" s="6" t="s">
        <v>340</v>
      </c>
      <c r="B84" s="6" t="s">
        <v>83</v>
      </c>
      <c r="C84" s="6" t="s">
        <v>341</v>
      </c>
      <c r="D84" s="7" t="s">
        <v>342</v>
      </c>
      <c r="E84" s="8" t="s">
        <v>343</v>
      </c>
      <c r="F84" s="6" t="s">
        <v>344</v>
      </c>
      <c r="G84" s="9">
        <f>IF(A84=1,"_",IF(C84="_","???",C84))</f>
        <v/>
      </c>
      <c r="H84" s="10" t="s">
        <v>16</v>
      </c>
      <c r="I84" s="11" t="s">
        <v>16</v>
      </c>
      <c r="J84" s="12"/>
    </row>
    <row r="85" spans="1:10" ht="60" customHeight="1">
      <c r="A85" s="6" t="s">
        <v>345</v>
      </c>
      <c r="B85" s="6" t="s">
        <v>28</v>
      </c>
      <c r="C85" s="6" t="s">
        <v>16</v>
      </c>
      <c r="D85" s="7" t="s">
        <v>56</v>
      </c>
      <c r="E85" s="8" t="s">
        <v>346</v>
      </c>
      <c r="F85" s="6" t="s">
        <v>347</v>
      </c>
      <c r="G85" s="9">
        <f>IF(A85=1,"_",IF(C85="_","???",C85))</f>
        <v/>
      </c>
      <c r="H85" s="10" t="s">
        <v>16</v>
      </c>
      <c r="I85" s="11" t="s">
        <v>16</v>
      </c>
      <c r="J85" s="12"/>
    </row>
    <row r="86" spans="1:10" ht="60" customHeight="1">
      <c r="A86" s="6" t="s">
        <v>348</v>
      </c>
      <c r="B86" s="6" t="s">
        <v>28</v>
      </c>
      <c r="C86" s="6" t="s">
        <v>16</v>
      </c>
      <c r="D86" s="7" t="s">
        <v>349</v>
      </c>
      <c r="E86" s="8" t="s">
        <v>350</v>
      </c>
      <c r="F86" s="6" t="s">
        <v>351</v>
      </c>
      <c r="G86" s="9">
        <f>IF(A86=1,"_",IF(C86="_","???",C86))</f>
        <v/>
      </c>
      <c r="H86" s="10" t="s">
        <v>16</v>
      </c>
      <c r="I86" s="11" t="s">
        <v>16</v>
      </c>
      <c r="J86" s="12"/>
    </row>
    <row r="87" spans="1:10" ht="60" customHeight="1">
      <c r="A87" s="6" t="s">
        <v>352</v>
      </c>
      <c r="B87" s="6" t="s">
        <v>17</v>
      </c>
      <c r="C87" s="6" t="s">
        <v>16</v>
      </c>
      <c r="D87" s="7" t="s">
        <v>129</v>
      </c>
      <c r="E87" s="8" t="s">
        <v>353</v>
      </c>
      <c r="F87" s="6" t="s">
        <v>354</v>
      </c>
      <c r="G87" s="9">
        <f>IF(A87=1,"_",IF(C87="_","???",C87))</f>
        <v/>
      </c>
      <c r="H87" s="10" t="s">
        <v>16</v>
      </c>
      <c r="I87" s="11" t="s">
        <v>16</v>
      </c>
      <c r="J87" s="12"/>
    </row>
    <row r="88" spans="1:10" ht="60" customHeight="1">
      <c r="A88" s="6" t="s">
        <v>355</v>
      </c>
      <c r="B88" s="6" t="s">
        <v>38</v>
      </c>
      <c r="C88" s="6" t="s">
        <v>138</v>
      </c>
      <c r="D88" s="7" t="s">
        <v>129</v>
      </c>
      <c r="E88" s="8" t="s">
        <v>356</v>
      </c>
      <c r="F88" s="6" t="s">
        <v>357</v>
      </c>
      <c r="G88" s="9">
        <f>IF(A88=1,"_",IF(C88="_","???",C88))</f>
        <v/>
      </c>
      <c r="H88" s="10" t="s">
        <v>16</v>
      </c>
      <c r="I88" s="11" t="s">
        <v>16</v>
      </c>
      <c r="J88" s="12"/>
    </row>
    <row r="89" spans="1:10" ht="60" customHeight="1">
      <c r="A89" s="6" t="s">
        <v>358</v>
      </c>
      <c r="B89" s="6" t="s">
        <v>22</v>
      </c>
      <c r="C89" s="6" t="s">
        <v>16</v>
      </c>
      <c r="D89" s="7" t="s">
        <v>51</v>
      </c>
      <c r="E89" s="8" t="s">
        <v>359</v>
      </c>
      <c r="F89" s="6" t="s">
        <v>360</v>
      </c>
      <c r="G89" s="9">
        <f>IF(A89=1,"_",IF(C89="_","???",C89))</f>
        <v/>
      </c>
      <c r="H89" s="10" t="s">
        <v>16</v>
      </c>
      <c r="I89" s="11" t="s">
        <v>16</v>
      </c>
      <c r="J89" s="12"/>
    </row>
    <row r="90" spans="1:10" ht="60" customHeight="1">
      <c r="A90" s="6" t="s">
        <v>361</v>
      </c>
      <c r="B90" s="6" t="s">
        <v>17</v>
      </c>
      <c r="C90" s="6" t="s">
        <v>16</v>
      </c>
      <c r="D90" s="7" t="s">
        <v>362</v>
      </c>
      <c r="E90" s="8" t="s">
        <v>363</v>
      </c>
      <c r="F90" s="6" t="s">
        <v>364</v>
      </c>
      <c r="G90" s="9">
        <f>IF(A90=1,"_",IF(C90="_","???",C90))</f>
        <v/>
      </c>
      <c r="H90" s="10" t="s">
        <v>16</v>
      </c>
      <c r="I90" s="11" t="s">
        <v>16</v>
      </c>
      <c r="J90" s="12"/>
    </row>
    <row r="91" spans="1:10" ht="60" customHeight="1">
      <c r="A91" s="6" t="s">
        <v>365</v>
      </c>
      <c r="B91" s="6" t="s">
        <v>17</v>
      </c>
      <c r="C91" s="6" t="s">
        <v>16</v>
      </c>
      <c r="D91" s="7" t="s">
        <v>56</v>
      </c>
      <c r="E91" s="8" t="s">
        <v>366</v>
      </c>
      <c r="F91" s="6" t="s">
        <v>367</v>
      </c>
      <c r="G91" s="9">
        <f>IF(A91=1,"_",IF(C91="_","???",C91))</f>
        <v/>
      </c>
      <c r="H91" s="10" t="s">
        <v>16</v>
      </c>
      <c r="I91" s="11" t="s">
        <v>16</v>
      </c>
      <c r="J91" s="12"/>
    </row>
    <row r="92" spans="1:10" ht="60" customHeight="1">
      <c r="A92" s="6" t="s">
        <v>368</v>
      </c>
      <c r="B92" s="6" t="s">
        <v>17</v>
      </c>
      <c r="C92" s="6" t="s">
        <v>16</v>
      </c>
      <c r="D92" s="7" t="s">
        <v>369</v>
      </c>
      <c r="E92" s="8" t="s">
        <v>370</v>
      </c>
      <c r="F92" s="6" t="s">
        <v>371</v>
      </c>
      <c r="G92" s="9">
        <f>IF(A92=1,"_",IF(C92="_","???",C92))</f>
        <v/>
      </c>
      <c r="H92" s="10" t="s">
        <v>16</v>
      </c>
      <c r="I92" s="11" t="s">
        <v>16</v>
      </c>
      <c r="J92" s="12"/>
    </row>
    <row r="93" spans="1:10" ht="60" customHeight="1">
      <c r="A93" s="6" t="s">
        <v>372</v>
      </c>
      <c r="B93" s="6" t="s">
        <v>28</v>
      </c>
      <c r="C93" s="6" t="s">
        <v>66</v>
      </c>
      <c r="D93" s="7" t="s">
        <v>373</v>
      </c>
      <c r="E93" s="8" t="s">
        <v>374</v>
      </c>
      <c r="F93" s="6" t="s">
        <v>375</v>
      </c>
      <c r="G93" s="9">
        <f>IF(A93=1,"_",IF(C93="_","???",C93))</f>
        <v/>
      </c>
      <c r="H93" s="10" t="s">
        <v>16</v>
      </c>
      <c r="I93" s="11" t="s">
        <v>16</v>
      </c>
      <c r="J93" s="12"/>
    </row>
    <row r="94" spans="1:10" ht="60" customHeight="1">
      <c r="A94" s="6" t="s">
        <v>376</v>
      </c>
      <c r="B94" s="6" t="s">
        <v>33</v>
      </c>
      <c r="C94" s="6" t="s">
        <v>280</v>
      </c>
      <c r="D94" s="7" t="s">
        <v>377</v>
      </c>
      <c r="E94" s="8" t="s">
        <v>378</v>
      </c>
      <c r="F94" s="6" t="s">
        <v>379</v>
      </c>
      <c r="G94" s="9">
        <f>IF(A94=1,"_",IF(C94="_","???",C94))</f>
        <v/>
      </c>
      <c r="H94" s="10" t="s">
        <v>16</v>
      </c>
      <c r="I94" s="11" t="s">
        <v>16</v>
      </c>
      <c r="J94" s="12"/>
    </row>
    <row r="95" spans="1:10" ht="60" customHeight="1">
      <c r="A95" s="6" t="s">
        <v>380</v>
      </c>
      <c r="B95" s="6" t="s">
        <v>33</v>
      </c>
      <c r="C95" s="6" t="s">
        <v>381</v>
      </c>
      <c r="D95" s="7" t="s">
        <v>382</v>
      </c>
      <c r="E95" s="8" t="s">
        <v>383</v>
      </c>
      <c r="F95" s="6" t="s">
        <v>384</v>
      </c>
      <c r="G95" s="9">
        <f>IF(A95=1,"_",IF(C95="_","???",C95))</f>
        <v/>
      </c>
      <c r="H95" s="10" t="s">
        <v>16</v>
      </c>
      <c r="I95" s="11" t="s">
        <v>16</v>
      </c>
      <c r="J95" s="12"/>
    </row>
    <row r="96" spans="1:10" ht="60" customHeight="1">
      <c r="A96" s="6" t="s">
        <v>385</v>
      </c>
      <c r="B96" s="6" t="s">
        <v>46</v>
      </c>
      <c r="C96" s="6" t="s">
        <v>16</v>
      </c>
      <c r="D96" s="7" t="s">
        <v>333</v>
      </c>
      <c r="E96" s="8" t="s">
        <v>386</v>
      </c>
      <c r="F96" s="6" t="s">
        <v>387</v>
      </c>
      <c r="G96" s="9">
        <f>IF(A96=1,"_",IF(C96="_","???",C96))</f>
        <v/>
      </c>
      <c r="H96" s="10" t="s">
        <v>16</v>
      </c>
      <c r="I96" s="11" t="s">
        <v>16</v>
      </c>
      <c r="J96" s="12"/>
    </row>
    <row r="97" spans="1:10" ht="60" customHeight="1">
      <c r="A97" s="6" t="s">
        <v>388</v>
      </c>
      <c r="B97" s="6" t="s">
        <v>22</v>
      </c>
      <c r="C97" s="6" t="s">
        <v>66</v>
      </c>
      <c r="D97" s="7" t="s">
        <v>389</v>
      </c>
      <c r="E97" s="8" t="s">
        <v>390</v>
      </c>
      <c r="F97" s="6" t="s">
        <v>391</v>
      </c>
      <c r="G97" s="9">
        <f>IF(A97=1,"_",IF(C97="_","???",C97))</f>
        <v/>
      </c>
      <c r="H97" s="10" t="s">
        <v>16</v>
      </c>
      <c r="I97" s="11" t="s">
        <v>16</v>
      </c>
      <c r="J97" s="12"/>
    </row>
    <row r="98" spans="1:10" ht="60" customHeight="1">
      <c r="A98" s="6" t="s">
        <v>392</v>
      </c>
      <c r="B98" s="6" t="s">
        <v>74</v>
      </c>
      <c r="C98" s="6" t="s">
        <v>16</v>
      </c>
      <c r="D98" s="7" t="s">
        <v>393</v>
      </c>
      <c r="E98" s="8" t="s">
        <v>394</v>
      </c>
      <c r="F98" s="6" t="s">
        <v>395</v>
      </c>
      <c r="G98" s="9">
        <f>IF(A98=1,"_",IF(C98="_","???",C98))</f>
        <v/>
      </c>
      <c r="H98" s="10" t="s">
        <v>16</v>
      </c>
      <c r="I98" s="11" t="s">
        <v>16</v>
      </c>
      <c r="J98" s="12"/>
    </row>
    <row r="99" spans="1:10" ht="60" customHeight="1">
      <c r="A99" s="6" t="s">
        <v>396</v>
      </c>
      <c r="B99" s="6" t="s">
        <v>83</v>
      </c>
      <c r="C99" s="6" t="s">
        <v>29</v>
      </c>
      <c r="D99" s="7" t="s">
        <v>397</v>
      </c>
      <c r="E99" s="8" t="s">
        <v>398</v>
      </c>
      <c r="F99" s="6" t="s">
        <v>399</v>
      </c>
      <c r="G99" s="9">
        <f>IF(A99=1,"_",IF(C99="_","???",C99))</f>
        <v/>
      </c>
      <c r="H99" s="10" t="s">
        <v>16</v>
      </c>
      <c r="I99" s="11" t="s">
        <v>16</v>
      </c>
      <c r="J99" s="12"/>
    </row>
    <row r="100" spans="1:10" ht="60" customHeight="1">
      <c r="A100" s="6" t="s">
        <v>400</v>
      </c>
      <c r="B100" s="6" t="s">
        <v>17</v>
      </c>
      <c r="C100" s="6" t="s">
        <v>16</v>
      </c>
      <c r="D100" s="7" t="s">
        <v>92</v>
      </c>
      <c r="E100" s="8" t="s">
        <v>401</v>
      </c>
      <c r="F100" s="6" t="s">
        <v>402</v>
      </c>
      <c r="G100" s="9">
        <f>IF(A100=1,"_",IF(C100="_","???",C100))</f>
        <v/>
      </c>
      <c r="H100" s="10" t="s">
        <v>16</v>
      </c>
      <c r="I100" s="11" t="s">
        <v>16</v>
      </c>
      <c r="J100" s="12"/>
    </row>
    <row r="101" spans="1:10" ht="60" customHeight="1">
      <c r="A101" s="6" t="s">
        <v>403</v>
      </c>
      <c r="B101" s="6" t="s">
        <v>99</v>
      </c>
      <c r="C101" s="6" t="s">
        <v>404</v>
      </c>
      <c r="D101" s="7" t="s">
        <v>405</v>
      </c>
      <c r="E101" s="8" t="s">
        <v>406</v>
      </c>
      <c r="F101" s="6" t="s">
        <v>407</v>
      </c>
      <c r="G101" s="9">
        <f>IF(A101=1,"_",IF(C101="_","???",C101))</f>
        <v/>
      </c>
      <c r="H101" s="10" t="s">
        <v>16</v>
      </c>
      <c r="I101" s="11" t="s">
        <v>16</v>
      </c>
      <c r="J101" s="12"/>
    </row>
    <row r="102" spans="1:10" ht="60" customHeight="1">
      <c r="A102" s="6" t="s">
        <v>408</v>
      </c>
      <c r="B102" s="6" t="s">
        <v>42</v>
      </c>
      <c r="C102" s="6" t="s">
        <v>16</v>
      </c>
      <c r="D102" s="7" t="s">
        <v>409</v>
      </c>
      <c r="E102" s="8" t="s">
        <v>410</v>
      </c>
      <c r="F102" s="6" t="s">
        <v>411</v>
      </c>
      <c r="G102" s="9">
        <f>IF(A102=1,"_",IF(C102="_","???",C102))</f>
        <v/>
      </c>
      <c r="H102" s="10" t="s">
        <v>16</v>
      </c>
      <c r="I102" s="11" t="s">
        <v>16</v>
      </c>
      <c r="J102" s="12"/>
    </row>
    <row r="103" spans="1:10" ht="60" customHeight="1">
      <c r="A103" s="6" t="s">
        <v>412</v>
      </c>
      <c r="B103" s="6" t="s">
        <v>28</v>
      </c>
      <c r="C103" s="6" t="s">
        <v>138</v>
      </c>
      <c r="D103" s="7" t="s">
        <v>413</v>
      </c>
      <c r="E103" s="8" t="s">
        <v>414</v>
      </c>
      <c r="F103" s="6" t="s">
        <v>415</v>
      </c>
      <c r="G103" s="9">
        <f>IF(A103=1,"_",IF(C103="_","???",C103))</f>
        <v/>
      </c>
      <c r="H103" s="10" t="s">
        <v>16</v>
      </c>
      <c r="I103" s="11" t="s">
        <v>16</v>
      </c>
      <c r="J103" s="12"/>
    </row>
    <row r="104" spans="1:10" ht="60" customHeight="1">
      <c r="A104" s="6" t="s">
        <v>416</v>
      </c>
      <c r="B104" s="6" t="s">
        <v>28</v>
      </c>
      <c r="C104" s="6" t="s">
        <v>16</v>
      </c>
      <c r="D104" s="7" t="s">
        <v>417</v>
      </c>
      <c r="E104" s="8" t="s">
        <v>418</v>
      </c>
      <c r="F104" s="6" t="s">
        <v>419</v>
      </c>
      <c r="G104" s="9">
        <f>IF(A104=1,"_",IF(C104="_","???",C104))</f>
        <v/>
      </c>
      <c r="H104" s="10" t="s">
        <v>16</v>
      </c>
      <c r="I104" s="11" t="s">
        <v>16</v>
      </c>
      <c r="J104" s="12"/>
    </row>
    <row r="105" spans="1:10" ht="60" customHeight="1">
      <c r="A105" s="6" t="s">
        <v>420</v>
      </c>
      <c r="B105" s="6" t="s">
        <v>10</v>
      </c>
      <c r="C105" s="6" t="s">
        <v>16</v>
      </c>
      <c r="D105" s="7" t="s">
        <v>421</v>
      </c>
      <c r="E105" s="8" t="s">
        <v>422</v>
      </c>
      <c r="F105" s="6" t="s">
        <v>423</v>
      </c>
      <c r="G105" s="9">
        <f>IF(A105=1,"_",IF(C105="_","???",C105))</f>
        <v/>
      </c>
      <c r="H105" s="10" t="s">
        <v>16</v>
      </c>
      <c r="I105" s="11" t="s">
        <v>16</v>
      </c>
      <c r="J105" s="12"/>
    </row>
    <row r="106" spans="1:10" ht="60" customHeight="1">
      <c r="A106" s="6" t="s">
        <v>424</v>
      </c>
      <c r="B106" s="6" t="s">
        <v>10</v>
      </c>
      <c r="C106" s="6" t="s">
        <v>16</v>
      </c>
      <c r="D106" s="7" t="s">
        <v>421</v>
      </c>
      <c r="E106" s="8" t="s">
        <v>425</v>
      </c>
      <c r="F106" s="6" t="s">
        <v>426</v>
      </c>
      <c r="G106" s="9">
        <f>IF(A106=1,"_",IF(C106="_","???",C106))</f>
        <v/>
      </c>
      <c r="H106" s="10" t="s">
        <v>16</v>
      </c>
      <c r="I106" s="11" t="s">
        <v>16</v>
      </c>
      <c r="J106" s="12"/>
    </row>
    <row r="107" spans="1:10" ht="60" customHeight="1">
      <c r="A107" s="6" t="s">
        <v>427</v>
      </c>
      <c r="B107" s="6" t="s">
        <v>106</v>
      </c>
      <c r="C107" s="6" t="s">
        <v>70</v>
      </c>
      <c r="D107" s="7" t="s">
        <v>428</v>
      </c>
      <c r="E107" s="8" t="s">
        <v>429</v>
      </c>
      <c r="F107" s="6" t="s">
        <v>430</v>
      </c>
      <c r="G107" s="9">
        <f>IF(A107=1,"_",IF(C107="_","???",C107))</f>
        <v/>
      </c>
      <c r="H107" s="10" t="s">
        <v>16</v>
      </c>
      <c r="I107" s="11" t="s">
        <v>16</v>
      </c>
      <c r="J107" s="12"/>
    </row>
    <row r="108" spans="1:10" ht="60" customHeight="1">
      <c r="A108" s="6" t="s">
        <v>431</v>
      </c>
      <c r="B108" s="6" t="s">
        <v>103</v>
      </c>
      <c r="C108" s="6" t="s">
        <v>66</v>
      </c>
      <c r="D108" s="7" t="s">
        <v>432</v>
      </c>
      <c r="E108" s="8" t="s">
        <v>433</v>
      </c>
      <c r="F108" s="6" t="s">
        <v>434</v>
      </c>
      <c r="G108" s="9">
        <f>IF(A108=1,"_",IF(C108="_","???",C108))</f>
        <v/>
      </c>
      <c r="H108" s="10" t="s">
        <v>16</v>
      </c>
      <c r="I108" s="11" t="s">
        <v>16</v>
      </c>
      <c r="J108" s="12"/>
    </row>
    <row r="109" spans="1:10" ht="60" customHeight="1">
      <c r="A109" s="6" t="s">
        <v>435</v>
      </c>
      <c r="B109" s="6" t="s">
        <v>33</v>
      </c>
      <c r="C109" s="6" t="s">
        <v>138</v>
      </c>
      <c r="D109" s="7" t="s">
        <v>436</v>
      </c>
      <c r="E109" s="8" t="s">
        <v>437</v>
      </c>
      <c r="F109" s="6" t="s">
        <v>438</v>
      </c>
      <c r="G109" s="9">
        <f>IF(A109=1,"_",IF(C109="_","???",C109))</f>
        <v/>
      </c>
      <c r="H109" s="10" t="s">
        <v>16</v>
      </c>
      <c r="I109" s="11" t="s">
        <v>16</v>
      </c>
      <c r="J109" s="12"/>
    </row>
    <row r="110" spans="1:10" ht="60" customHeight="1">
      <c r="A110" s="6" t="s">
        <v>439</v>
      </c>
      <c r="B110" s="6" t="s">
        <v>271</v>
      </c>
      <c r="C110" s="6" t="s">
        <v>138</v>
      </c>
      <c r="D110" s="7" t="s">
        <v>440</v>
      </c>
      <c r="E110" s="8" t="s">
        <v>441</v>
      </c>
      <c r="F110" s="6" t="s">
        <v>442</v>
      </c>
      <c r="G110" s="9">
        <f>IF(A110=1,"_",IF(C110="_","???",C110))</f>
        <v/>
      </c>
      <c r="H110" s="10" t="s">
        <v>16</v>
      </c>
      <c r="I110" s="11" t="s">
        <v>16</v>
      </c>
      <c r="J110" s="12"/>
    </row>
    <row r="111" spans="1:10" ht="60" customHeight="1">
      <c r="A111" s="6" t="s">
        <v>443</v>
      </c>
      <c r="B111" s="6" t="s">
        <v>22</v>
      </c>
      <c r="C111" s="6" t="s">
        <v>18</v>
      </c>
      <c r="D111" s="7" t="s">
        <v>421</v>
      </c>
      <c r="E111" s="8" t="s">
        <v>444</v>
      </c>
      <c r="F111" s="6" t="s">
        <v>445</v>
      </c>
      <c r="G111" s="9">
        <f>IF(A111=1,"_",IF(C111="_","???",C111))</f>
        <v/>
      </c>
      <c r="H111" s="10" t="s">
        <v>16</v>
      </c>
      <c r="I111" s="11" t="s">
        <v>16</v>
      </c>
      <c r="J111" s="12"/>
    </row>
    <row r="112" spans="1:10" ht="60" customHeight="1">
      <c r="A112" s="6" t="s">
        <v>446</v>
      </c>
      <c r="B112" s="6" t="s">
        <v>28</v>
      </c>
      <c r="C112" s="6" t="s">
        <v>447</v>
      </c>
      <c r="D112" s="7" t="s">
        <v>421</v>
      </c>
      <c r="E112" s="8" t="s">
        <v>448</v>
      </c>
      <c r="F112" s="6" t="s">
        <v>449</v>
      </c>
      <c r="G112" s="9">
        <f>IF(A112=1,"_",IF(C112="_","???",C112))</f>
        <v/>
      </c>
      <c r="H112" s="10" t="s">
        <v>16</v>
      </c>
      <c r="I112" s="11" t="s">
        <v>16</v>
      </c>
      <c r="J112" s="12"/>
    </row>
    <row r="113" spans="1:10" ht="60" customHeight="1">
      <c r="A113" s="6" t="s">
        <v>450</v>
      </c>
      <c r="B113" s="6" t="s">
        <v>54</v>
      </c>
      <c r="C113" s="6" t="s">
        <v>16</v>
      </c>
      <c r="D113" s="7" t="s">
        <v>451</v>
      </c>
      <c r="E113" s="8" t="s">
        <v>452</v>
      </c>
      <c r="F113" s="6" t="s">
        <v>453</v>
      </c>
      <c r="G113" s="9">
        <f>IF(A113=1,"_",IF(C113="_","???",C113))</f>
        <v/>
      </c>
      <c r="H113" s="10" t="s">
        <v>16</v>
      </c>
      <c r="I113" s="11" t="s">
        <v>16</v>
      </c>
      <c r="J113" s="12"/>
    </row>
    <row r="114" spans="1:10" ht="60" customHeight="1">
      <c r="A114" s="6" t="s">
        <v>454</v>
      </c>
      <c r="B114" s="6" t="s">
        <v>22</v>
      </c>
      <c r="C114" s="6" t="s">
        <v>70</v>
      </c>
      <c r="D114" s="7" t="s">
        <v>455</v>
      </c>
      <c r="E114" s="8" t="s">
        <v>456</v>
      </c>
      <c r="F114" s="6" t="s">
        <v>457</v>
      </c>
      <c r="G114" s="9">
        <f>IF(A114=1,"_",IF(C114="_","???",C114))</f>
        <v/>
      </c>
      <c r="H114" s="10" t="s">
        <v>16</v>
      </c>
      <c r="I114" s="11" t="s">
        <v>16</v>
      </c>
      <c r="J114" s="12"/>
    </row>
    <row r="115" spans="1:10" ht="60" customHeight="1">
      <c r="A115" s="6" t="s">
        <v>458</v>
      </c>
      <c r="B115" s="6" t="s">
        <v>38</v>
      </c>
      <c r="C115" s="6" t="s">
        <v>459</v>
      </c>
      <c r="D115" s="7" t="s">
        <v>460</v>
      </c>
      <c r="E115" s="8" t="s">
        <v>461</v>
      </c>
      <c r="F115" s="6" t="s">
        <v>462</v>
      </c>
      <c r="G115" s="9">
        <f>IF(A115=1,"_",IF(C115="_","???",C115))</f>
        <v/>
      </c>
      <c r="H115" s="10" t="s">
        <v>16</v>
      </c>
      <c r="I115" s="11" t="s">
        <v>16</v>
      </c>
      <c r="J115" s="12"/>
    </row>
    <row r="116" spans="1:10" ht="60" customHeight="1">
      <c r="A116" s="6" t="s">
        <v>463</v>
      </c>
      <c r="B116" s="6" t="s">
        <v>33</v>
      </c>
      <c r="C116" s="6" t="s">
        <v>34</v>
      </c>
      <c r="D116" s="7" t="s">
        <v>464</v>
      </c>
      <c r="E116" s="8" t="s">
        <v>465</v>
      </c>
      <c r="F116" s="6" t="s">
        <v>466</v>
      </c>
      <c r="G116" s="9">
        <f>IF(A116=1,"_",IF(C116="_","???",C116))</f>
        <v/>
      </c>
      <c r="H116" s="10" t="s">
        <v>16</v>
      </c>
      <c r="I116" s="11" t="s">
        <v>16</v>
      </c>
      <c r="J116" s="12"/>
    </row>
    <row r="117" spans="1:10" ht="60" customHeight="1">
      <c r="A117" s="6" t="s">
        <v>467</v>
      </c>
      <c r="B117" s="6" t="s">
        <v>17</v>
      </c>
      <c r="C117" s="6" t="s">
        <v>468</v>
      </c>
      <c r="D117" s="7" t="s">
        <v>469</v>
      </c>
      <c r="E117" s="8" t="s">
        <v>470</v>
      </c>
      <c r="F117" s="6" t="s">
        <v>471</v>
      </c>
      <c r="G117" s="9">
        <f>IF(A117=1,"_",IF(C117="_","???",C117))</f>
        <v/>
      </c>
      <c r="H117" s="10" t="s">
        <v>16</v>
      </c>
      <c r="I117" s="11" t="s">
        <v>16</v>
      </c>
      <c r="J117" s="12"/>
    </row>
    <row r="118" spans="1:10" ht="60" customHeight="1">
      <c r="A118" s="6" t="s">
        <v>472</v>
      </c>
      <c r="B118" s="6" t="s">
        <v>22</v>
      </c>
      <c r="C118" s="6" t="s">
        <v>70</v>
      </c>
      <c r="D118" s="7" t="s">
        <v>473</v>
      </c>
      <c r="E118" s="8" t="s">
        <v>474</v>
      </c>
      <c r="F118" s="6" t="s">
        <v>475</v>
      </c>
      <c r="G118" s="9">
        <f>IF(A118=1,"_",IF(C118="_","???",C118))</f>
        <v/>
      </c>
      <c r="H118" s="10" t="s">
        <v>16</v>
      </c>
      <c r="I118" s="11" t="s">
        <v>16</v>
      </c>
      <c r="J118" s="12"/>
    </row>
    <row r="119" spans="1:10" ht="60" customHeight="1">
      <c r="A119" s="6" t="s">
        <v>476</v>
      </c>
      <c r="B119" s="6" t="s">
        <v>79</v>
      </c>
      <c r="C119" s="6" t="s">
        <v>70</v>
      </c>
      <c r="D119" s="7" t="s">
        <v>477</v>
      </c>
      <c r="E119" s="8" t="s">
        <v>478</v>
      </c>
      <c r="F119" s="6" t="s">
        <v>479</v>
      </c>
      <c r="G119" s="9">
        <f>IF(A119=1,"_",IF(C119="_","???",C119))</f>
        <v/>
      </c>
      <c r="H119" s="10" t="s">
        <v>16</v>
      </c>
      <c r="I119" s="11" t="s">
        <v>16</v>
      </c>
      <c r="J119" s="12"/>
    </row>
    <row r="120" spans="1:10" ht="60" customHeight="1">
      <c r="A120" s="6" t="s">
        <v>480</v>
      </c>
      <c r="B120" s="6" t="s">
        <v>22</v>
      </c>
      <c r="C120" s="6" t="s">
        <v>66</v>
      </c>
      <c r="D120" s="7" t="s">
        <v>92</v>
      </c>
      <c r="E120" s="8" t="s">
        <v>481</v>
      </c>
      <c r="F120" s="6" t="s">
        <v>482</v>
      </c>
      <c r="G120" s="9">
        <f>IF(A120=1,"_",IF(C120="_","???",C120))</f>
        <v/>
      </c>
      <c r="H120" s="10" t="s">
        <v>16</v>
      </c>
      <c r="I120" s="11" t="s">
        <v>16</v>
      </c>
      <c r="J120" s="12"/>
    </row>
    <row r="121" spans="1:10" ht="60" customHeight="1">
      <c r="A121" s="6" t="s">
        <v>483</v>
      </c>
      <c r="B121" s="6" t="s">
        <v>106</v>
      </c>
      <c r="C121" s="6" t="s">
        <v>16</v>
      </c>
      <c r="D121" s="7" t="s">
        <v>484</v>
      </c>
      <c r="E121" s="8" t="s">
        <v>485</v>
      </c>
      <c r="F121" s="6" t="s">
        <v>486</v>
      </c>
      <c r="G121" s="9">
        <f>IF(A121=1,"_",IF(C121="_","???",C121))</f>
        <v/>
      </c>
      <c r="H121" s="10" t="s">
        <v>16</v>
      </c>
      <c r="I121" s="11" t="s">
        <v>16</v>
      </c>
      <c r="J121" s="12"/>
    </row>
    <row r="122" spans="1:10" ht="60" customHeight="1">
      <c r="A122" s="6" t="s">
        <v>487</v>
      </c>
      <c r="B122" s="6" t="s">
        <v>17</v>
      </c>
      <c r="C122" s="6" t="s">
        <v>16</v>
      </c>
      <c r="D122" s="7" t="s">
        <v>175</v>
      </c>
      <c r="E122" s="8" t="s">
        <v>488</v>
      </c>
      <c r="F122" s="6" t="s">
        <v>489</v>
      </c>
      <c r="G122" s="9">
        <f>IF(A122=1,"_",IF(C122="_","???",C122))</f>
        <v/>
      </c>
      <c r="H122" s="10" t="s">
        <v>16</v>
      </c>
      <c r="I122" s="11" t="s">
        <v>16</v>
      </c>
      <c r="J122" s="12"/>
    </row>
    <row r="123" spans="1:10" ht="60" customHeight="1">
      <c r="A123" s="6" t="s">
        <v>490</v>
      </c>
      <c r="B123" s="6" t="s">
        <v>46</v>
      </c>
      <c r="C123" s="6" t="s">
        <v>16</v>
      </c>
      <c r="D123" s="7" t="s">
        <v>491</v>
      </c>
      <c r="E123" s="8" t="s">
        <v>492</v>
      </c>
      <c r="F123" s="6" t="s">
        <v>493</v>
      </c>
      <c r="G123" s="9">
        <f>IF(A123=1,"_",IF(C123="_","???",C123))</f>
        <v/>
      </c>
      <c r="H123" s="10" t="s">
        <v>16</v>
      </c>
      <c r="I123" s="11" t="s">
        <v>16</v>
      </c>
      <c r="J123" s="12"/>
    </row>
    <row r="124" spans="1:10" ht="60" customHeight="1">
      <c r="A124" s="6" t="s">
        <v>494</v>
      </c>
      <c r="B124" s="6" t="s">
        <v>220</v>
      </c>
      <c r="C124" s="6" t="s">
        <v>70</v>
      </c>
      <c r="D124" s="7" t="s">
        <v>495</v>
      </c>
      <c r="E124" s="8" t="s">
        <v>496</v>
      </c>
      <c r="F124" s="6" t="s">
        <v>497</v>
      </c>
      <c r="G124" s="9">
        <f>IF(A124=1,"_",IF(C124="_","???",C124))</f>
        <v/>
      </c>
      <c r="H124" s="10" t="s">
        <v>16</v>
      </c>
      <c r="I124" s="11" t="s">
        <v>16</v>
      </c>
      <c r="J124" s="12"/>
    </row>
    <row r="125" spans="1:10" ht="60" customHeight="1">
      <c r="A125" s="6" t="s">
        <v>498</v>
      </c>
      <c r="B125" s="6" t="s">
        <v>17</v>
      </c>
      <c r="C125" s="6" t="s">
        <v>18</v>
      </c>
      <c r="D125" s="7" t="s">
        <v>499</v>
      </c>
      <c r="E125" s="8" t="s">
        <v>500</v>
      </c>
      <c r="F125" s="6" t="s">
        <v>501</v>
      </c>
      <c r="G125" s="9">
        <f>IF(A125=1,"_",IF(C125="_","???",C125))</f>
        <v/>
      </c>
      <c r="H125" s="10" t="s">
        <v>16</v>
      </c>
      <c r="I125" s="11" t="s">
        <v>16</v>
      </c>
      <c r="J125" s="12"/>
    </row>
    <row r="126" spans="1:10" ht="60" customHeight="1">
      <c r="A126" s="6" t="s">
        <v>502</v>
      </c>
      <c r="B126" s="6" t="s">
        <v>17</v>
      </c>
      <c r="C126" s="6" t="s">
        <v>16</v>
      </c>
      <c r="D126" s="7" t="s">
        <v>503</v>
      </c>
      <c r="E126" s="8" t="s">
        <v>504</v>
      </c>
      <c r="F126" s="6" t="s">
        <v>505</v>
      </c>
      <c r="G126" s="9">
        <f>IF(A126=1,"_",IF(C126="_","???",C126))</f>
        <v/>
      </c>
      <c r="H126" s="10" t="s">
        <v>16</v>
      </c>
      <c r="I126" s="11" t="s">
        <v>16</v>
      </c>
      <c r="J126" s="12"/>
    </row>
    <row r="127" spans="1:10" ht="60" customHeight="1">
      <c r="A127" s="6" t="s">
        <v>506</v>
      </c>
      <c r="B127" s="6" t="s">
        <v>17</v>
      </c>
      <c r="C127" s="6" t="s">
        <v>16</v>
      </c>
      <c r="D127" s="7" t="s">
        <v>503</v>
      </c>
      <c r="E127" s="8" t="s">
        <v>507</v>
      </c>
      <c r="F127" s="6" t="s">
        <v>508</v>
      </c>
      <c r="G127" s="9">
        <f>IF(A127=1,"_",IF(C127="_","???",C127))</f>
        <v/>
      </c>
      <c r="H127" s="10" t="s">
        <v>16</v>
      </c>
      <c r="I127" s="11" t="s">
        <v>16</v>
      </c>
      <c r="J127" s="12"/>
    </row>
    <row r="128" spans="1:10" ht="60" customHeight="1">
      <c r="A128" s="6" t="s">
        <v>509</v>
      </c>
      <c r="B128" s="6" t="s">
        <v>22</v>
      </c>
      <c r="C128" s="6" t="s">
        <v>66</v>
      </c>
      <c r="D128" s="7" t="s">
        <v>510</v>
      </c>
      <c r="E128" s="8" t="s">
        <v>511</v>
      </c>
      <c r="F128" s="6" t="s">
        <v>512</v>
      </c>
      <c r="G128" s="9">
        <f>IF(A128=1,"_",IF(C128="_","???",C128))</f>
        <v/>
      </c>
      <c r="H128" s="10" t="s">
        <v>16</v>
      </c>
      <c r="I128" s="11" t="s">
        <v>16</v>
      </c>
      <c r="J128" s="12"/>
    </row>
    <row r="129" spans="1:10" ht="60" customHeight="1">
      <c r="A129" s="6" t="s">
        <v>513</v>
      </c>
      <c r="B129" s="6" t="s">
        <v>17</v>
      </c>
      <c r="C129" s="6" t="s">
        <v>16</v>
      </c>
      <c r="D129" s="7" t="s">
        <v>60</v>
      </c>
      <c r="E129" s="8" t="s">
        <v>514</v>
      </c>
      <c r="F129" s="6" t="s">
        <v>515</v>
      </c>
      <c r="G129" s="9">
        <f>IF(A129=1,"_",IF(C129="_","???",C129))</f>
        <v/>
      </c>
      <c r="H129" s="10" t="s">
        <v>16</v>
      </c>
      <c r="I129" s="11" t="s">
        <v>16</v>
      </c>
      <c r="J129" s="12"/>
    </row>
    <row r="130" spans="1:10" ht="60" customHeight="1">
      <c r="A130" s="6" t="s">
        <v>516</v>
      </c>
      <c r="B130" s="6" t="s">
        <v>54</v>
      </c>
      <c r="C130" s="6" t="s">
        <v>16</v>
      </c>
      <c r="D130" s="7" t="s">
        <v>517</v>
      </c>
      <c r="E130" s="8" t="s">
        <v>518</v>
      </c>
      <c r="F130" s="6" t="s">
        <v>519</v>
      </c>
      <c r="G130" s="9">
        <f>IF(A130=1,"_",IF(C130="_","???",C130))</f>
        <v/>
      </c>
      <c r="H130" s="10" t="s">
        <v>16</v>
      </c>
      <c r="I130" s="11" t="s">
        <v>16</v>
      </c>
      <c r="J130" s="12"/>
    </row>
    <row r="131" spans="1:10" ht="60" customHeight="1">
      <c r="A131" s="6" t="s">
        <v>520</v>
      </c>
      <c r="B131" s="6" t="s">
        <v>22</v>
      </c>
      <c r="C131" s="6" t="s">
        <v>138</v>
      </c>
      <c r="D131" s="7" t="s">
        <v>272</v>
      </c>
      <c r="E131" s="8" t="s">
        <v>521</v>
      </c>
      <c r="F131" s="6" t="s">
        <v>522</v>
      </c>
      <c r="G131" s="9">
        <f>IF(A131=1,"_",IF(C131="_","???",C131))</f>
        <v/>
      </c>
      <c r="H131" s="10" t="s">
        <v>16</v>
      </c>
      <c r="I131" s="11" t="s">
        <v>16</v>
      </c>
      <c r="J131" s="12"/>
    </row>
    <row r="132" spans="1:10" ht="60" customHeight="1">
      <c r="A132" s="6" t="s">
        <v>523</v>
      </c>
      <c r="B132" s="6" t="s">
        <v>22</v>
      </c>
      <c r="C132" s="6" t="s">
        <v>16</v>
      </c>
      <c r="D132" s="7" t="s">
        <v>524</v>
      </c>
      <c r="E132" s="8" t="s">
        <v>525</v>
      </c>
      <c r="F132" s="6" t="s">
        <v>526</v>
      </c>
      <c r="G132" s="9">
        <f>IF(A132=1,"_",IF(C132="_","???",C132))</f>
        <v/>
      </c>
      <c r="H132" s="10" t="s">
        <v>16</v>
      </c>
      <c r="I132" s="11" t="s">
        <v>16</v>
      </c>
      <c r="J132" s="12"/>
    </row>
    <row r="133" spans="1:10" ht="60" customHeight="1">
      <c r="A133" s="6" t="s">
        <v>527</v>
      </c>
      <c r="B133" s="6" t="s">
        <v>46</v>
      </c>
      <c r="C133" s="6" t="s">
        <v>16</v>
      </c>
      <c r="D133" s="7" t="s">
        <v>528</v>
      </c>
      <c r="E133" s="8" t="s">
        <v>529</v>
      </c>
      <c r="F133" s="6" t="s">
        <v>530</v>
      </c>
      <c r="G133" s="9">
        <f>IF(A133=1,"_",IF(C133="_","???",C133))</f>
        <v/>
      </c>
      <c r="H133" s="10" t="s">
        <v>16</v>
      </c>
      <c r="I133" s="11" t="s">
        <v>16</v>
      </c>
      <c r="J133" s="12"/>
    </row>
    <row r="134" spans="1:10" ht="60" customHeight="1">
      <c r="A134" s="6" t="s">
        <v>531</v>
      </c>
      <c r="B134" s="6" t="s">
        <v>22</v>
      </c>
      <c r="C134" s="6" t="s">
        <v>16</v>
      </c>
      <c r="D134" s="7" t="s">
        <v>532</v>
      </c>
      <c r="E134" s="8" t="s">
        <v>533</v>
      </c>
      <c r="F134" s="6" t="s">
        <v>534</v>
      </c>
      <c r="G134" s="9">
        <f>IF(A134=1,"_",IF(C134="_","???",C134))</f>
        <v/>
      </c>
      <c r="H134" s="10" t="s">
        <v>16</v>
      </c>
      <c r="I134" s="11" t="s">
        <v>16</v>
      </c>
      <c r="J134" s="12"/>
    </row>
    <row r="135" spans="1:10" ht="60" customHeight="1">
      <c r="A135" s="6" t="s">
        <v>535</v>
      </c>
      <c r="B135" s="6" t="s">
        <v>22</v>
      </c>
      <c r="C135" s="6" t="s">
        <v>24</v>
      </c>
      <c r="D135" s="7" t="s">
        <v>536</v>
      </c>
      <c r="E135" s="8" t="s">
        <v>537</v>
      </c>
      <c r="F135" s="6" t="s">
        <v>538</v>
      </c>
      <c r="G135" s="9">
        <f>IF(A135=1,"_",IF(C135="_","???",C135))</f>
        <v/>
      </c>
      <c r="H135" s="10" t="s">
        <v>16</v>
      </c>
      <c r="I135" s="11" t="s">
        <v>16</v>
      </c>
      <c r="J135" s="12"/>
    </row>
    <row r="136" spans="1:10" ht="60" customHeight="1">
      <c r="A136" s="6" t="s">
        <v>539</v>
      </c>
      <c r="B136" s="6" t="s">
        <v>28</v>
      </c>
      <c r="C136" s="6" t="s">
        <v>540</v>
      </c>
      <c r="D136" s="7" t="s">
        <v>56</v>
      </c>
      <c r="E136" s="8" t="s">
        <v>541</v>
      </c>
      <c r="F136" s="6" t="s">
        <v>542</v>
      </c>
      <c r="G136" s="9">
        <f>IF(A136=1,"_",IF(C136="_","???",C136))</f>
        <v/>
      </c>
      <c r="H136" s="10" t="s">
        <v>16</v>
      </c>
      <c r="I136" s="11" t="s">
        <v>16</v>
      </c>
      <c r="J136" s="12"/>
    </row>
    <row r="137" spans="1:10" ht="60" customHeight="1">
      <c r="A137" s="6" t="s">
        <v>543</v>
      </c>
      <c r="B137" s="6" t="s">
        <v>33</v>
      </c>
      <c r="C137" s="6" t="s">
        <v>16</v>
      </c>
      <c r="D137" s="7" t="s">
        <v>290</v>
      </c>
      <c r="E137" s="8" t="s">
        <v>544</v>
      </c>
      <c r="F137" s="6" t="s">
        <v>545</v>
      </c>
      <c r="G137" s="9">
        <f>IF(A137=1,"_",IF(C137="_","???",C137))</f>
        <v/>
      </c>
      <c r="H137" s="10" t="s">
        <v>16</v>
      </c>
      <c r="I137" s="11" t="s">
        <v>16</v>
      </c>
      <c r="J137" s="12"/>
    </row>
    <row r="138" spans="1:10" ht="60" customHeight="1">
      <c r="A138" s="6" t="s">
        <v>546</v>
      </c>
      <c r="B138" s="6" t="s">
        <v>22</v>
      </c>
      <c r="C138" s="6" t="s">
        <v>16</v>
      </c>
      <c r="D138" s="7" t="s">
        <v>547</v>
      </c>
      <c r="E138" s="8" t="s">
        <v>548</v>
      </c>
      <c r="F138" s="6" t="s">
        <v>549</v>
      </c>
      <c r="G138" s="9">
        <f>IF(A138=1,"_",IF(C138="_","???",C138))</f>
        <v/>
      </c>
      <c r="H138" s="10" t="s">
        <v>16</v>
      </c>
      <c r="I138" s="11" t="s">
        <v>16</v>
      </c>
      <c r="J138" s="12"/>
    </row>
    <row r="139" spans="1:10" ht="60" customHeight="1">
      <c r="A139" s="6" t="s">
        <v>550</v>
      </c>
      <c r="B139" s="6" t="s">
        <v>46</v>
      </c>
      <c r="C139" s="6" t="s">
        <v>16</v>
      </c>
      <c r="D139" s="7" t="s">
        <v>551</v>
      </c>
      <c r="E139" s="8" t="s">
        <v>552</v>
      </c>
      <c r="F139" s="6" t="s">
        <v>553</v>
      </c>
      <c r="G139" s="9">
        <f>IF(A139=1,"_",IF(C139="_","???",C139))</f>
        <v/>
      </c>
      <c r="H139" s="10" t="s">
        <v>16</v>
      </c>
      <c r="I139" s="11" t="s">
        <v>16</v>
      </c>
      <c r="J139" s="12"/>
    </row>
    <row r="140" spans="1:10" ht="60" customHeight="1">
      <c r="A140" s="6" t="s">
        <v>554</v>
      </c>
      <c r="B140" s="6" t="s">
        <v>69</v>
      </c>
      <c r="C140" s="6" t="s">
        <v>70</v>
      </c>
      <c r="D140" s="7" t="s">
        <v>555</v>
      </c>
      <c r="E140" s="8" t="s">
        <v>556</v>
      </c>
      <c r="F140" s="6" t="s">
        <v>557</v>
      </c>
      <c r="G140" s="9">
        <f>IF(A140=1,"_",IF(C140="_","???",C140))</f>
        <v/>
      </c>
      <c r="H140" s="10" t="s">
        <v>16</v>
      </c>
      <c r="I140" s="11" t="s">
        <v>16</v>
      </c>
      <c r="J140" s="12"/>
    </row>
    <row r="141" spans="1:10" ht="60" customHeight="1">
      <c r="A141" s="6" t="s">
        <v>558</v>
      </c>
      <c r="B141" s="6" t="s">
        <v>137</v>
      </c>
      <c r="C141" s="6" t="s">
        <v>29</v>
      </c>
      <c r="D141" s="7" t="s">
        <v>337</v>
      </c>
      <c r="E141" s="8" t="s">
        <v>559</v>
      </c>
      <c r="F141" s="6" t="s">
        <v>560</v>
      </c>
      <c r="G141" s="9">
        <f>IF(A141=1,"_",IF(C141="_","???",C141))</f>
        <v/>
      </c>
      <c r="H141" s="10" t="s">
        <v>16</v>
      </c>
      <c r="I141" s="11" t="s">
        <v>16</v>
      </c>
      <c r="J141" s="12"/>
    </row>
    <row r="142" spans="1:10" ht="60" customHeight="1">
      <c r="A142" s="6" t="s">
        <v>561</v>
      </c>
      <c r="B142" s="6" t="s">
        <v>103</v>
      </c>
      <c r="C142" s="6" t="s">
        <v>562</v>
      </c>
      <c r="D142" s="7" t="s">
        <v>495</v>
      </c>
      <c r="E142" s="8" t="s">
        <v>563</v>
      </c>
      <c r="F142" s="6" t="s">
        <v>564</v>
      </c>
      <c r="G142" s="9">
        <f>IF(A142=1,"_",IF(C142="_","???",C142))</f>
        <v/>
      </c>
      <c r="H142" s="10" t="s">
        <v>16</v>
      </c>
      <c r="I142" s="11" t="s">
        <v>16</v>
      </c>
      <c r="J142" s="12"/>
    </row>
    <row r="143" spans="1:10" ht="60" customHeight="1">
      <c r="A143" s="6" t="s">
        <v>565</v>
      </c>
      <c r="B143" s="6" t="s">
        <v>33</v>
      </c>
      <c r="C143" s="6" t="s">
        <v>66</v>
      </c>
      <c r="D143" s="7" t="s">
        <v>566</v>
      </c>
      <c r="E143" s="8" t="s">
        <v>567</v>
      </c>
      <c r="F143" s="6" t="s">
        <v>568</v>
      </c>
      <c r="G143" s="9">
        <f>IF(A143=1,"_",IF(C143="_","???",C143))</f>
        <v/>
      </c>
      <c r="H143" s="10" t="s">
        <v>16</v>
      </c>
      <c r="I143" s="11" t="s">
        <v>16</v>
      </c>
      <c r="J143" s="12"/>
    </row>
    <row r="144" spans="1:10" ht="60" customHeight="1">
      <c r="A144" s="6" t="s">
        <v>569</v>
      </c>
      <c r="B144" s="6" t="s">
        <v>145</v>
      </c>
      <c r="C144" s="6" t="s">
        <v>16</v>
      </c>
      <c r="D144" s="7" t="s">
        <v>570</v>
      </c>
      <c r="E144" s="8" t="s">
        <v>571</v>
      </c>
      <c r="F144" s="6" t="s">
        <v>572</v>
      </c>
      <c r="G144" s="9">
        <f>IF(A144=1,"_",IF(C144="_","???",C144))</f>
        <v/>
      </c>
      <c r="H144" s="10" t="s">
        <v>16</v>
      </c>
      <c r="I144" s="11" t="s">
        <v>16</v>
      </c>
      <c r="J144" s="12"/>
    </row>
    <row r="145" spans="1:10" ht="60" customHeight="1">
      <c r="A145" s="6" t="s">
        <v>573</v>
      </c>
      <c r="B145" s="6" t="s">
        <v>33</v>
      </c>
      <c r="C145" s="6" t="s">
        <v>574</v>
      </c>
      <c r="D145" s="7" t="s">
        <v>575</v>
      </c>
      <c r="E145" s="8" t="s">
        <v>576</v>
      </c>
      <c r="F145" s="6" t="s">
        <v>577</v>
      </c>
      <c r="G145" s="9">
        <f>IF(A145=1,"_",IF(C145="_","???",C145))</f>
        <v/>
      </c>
      <c r="H145" s="10" t="s">
        <v>16</v>
      </c>
      <c r="I145" s="11" t="s">
        <v>16</v>
      </c>
      <c r="J145" s="12"/>
    </row>
    <row r="146" spans="1:10" ht="60" customHeight="1">
      <c r="A146" s="6" t="s">
        <v>578</v>
      </c>
      <c r="B146" s="6" t="s">
        <v>22</v>
      </c>
      <c r="C146" s="6" t="s">
        <v>16</v>
      </c>
      <c r="D146" s="7" t="s">
        <v>579</v>
      </c>
      <c r="E146" s="8" t="s">
        <v>580</v>
      </c>
      <c r="F146" s="6" t="s">
        <v>581</v>
      </c>
      <c r="G146" s="9">
        <f>IF(A146=1,"_",IF(C146="_","???",C146))</f>
        <v/>
      </c>
      <c r="H146" s="10" t="s">
        <v>16</v>
      </c>
      <c r="I146" s="11" t="s">
        <v>16</v>
      </c>
      <c r="J146" s="12"/>
    </row>
    <row r="147" spans="1:10" ht="60" customHeight="1">
      <c r="A147" s="6" t="s">
        <v>582</v>
      </c>
      <c r="B147" s="6" t="s">
        <v>33</v>
      </c>
      <c r="C147" s="6" t="s">
        <v>341</v>
      </c>
      <c r="D147" s="7" t="s">
        <v>56</v>
      </c>
      <c r="E147" s="8" t="s">
        <v>583</v>
      </c>
      <c r="F147" s="6" t="s">
        <v>584</v>
      </c>
      <c r="G147" s="9">
        <f>IF(A147=1,"_",IF(C147="_","???",C147))</f>
        <v/>
      </c>
      <c r="H147" s="10" t="s">
        <v>16</v>
      </c>
      <c r="I147" s="11" t="s">
        <v>16</v>
      </c>
      <c r="J147" s="12"/>
    </row>
    <row r="148" spans="1:10" ht="60" customHeight="1">
      <c r="A148" s="6" t="s">
        <v>585</v>
      </c>
      <c r="B148" s="6" t="s">
        <v>124</v>
      </c>
      <c r="C148" s="6" t="s">
        <v>165</v>
      </c>
      <c r="D148" s="7" t="s">
        <v>586</v>
      </c>
      <c r="E148" s="8" t="s">
        <v>587</v>
      </c>
      <c r="F148" s="6" t="s">
        <v>588</v>
      </c>
      <c r="G148" s="9">
        <f>IF(A148=1,"_",IF(C148="_","???",C148))</f>
        <v/>
      </c>
      <c r="H148" s="10" t="s">
        <v>16</v>
      </c>
      <c r="I148" s="11" t="s">
        <v>16</v>
      </c>
      <c r="J148" s="12"/>
    </row>
    <row r="149" spans="1:10" ht="60" customHeight="1">
      <c r="A149" s="6" t="s">
        <v>589</v>
      </c>
      <c r="B149" s="6" t="s">
        <v>217</v>
      </c>
      <c r="C149" s="6" t="s">
        <v>590</v>
      </c>
      <c r="D149" s="7" t="s">
        <v>591</v>
      </c>
      <c r="E149" s="8" t="s">
        <v>592</v>
      </c>
      <c r="F149" s="6" t="s">
        <v>593</v>
      </c>
      <c r="G149" s="9">
        <f>IF(A149=1,"_",IF(C149="_","???",C149))</f>
        <v/>
      </c>
      <c r="H149" s="10" t="s">
        <v>16</v>
      </c>
      <c r="I149" s="11" t="s">
        <v>16</v>
      </c>
      <c r="J149" s="12"/>
    </row>
    <row r="150" spans="1:10" ht="60" customHeight="1">
      <c r="A150" s="6" t="s">
        <v>594</v>
      </c>
      <c r="B150" s="6" t="s">
        <v>22</v>
      </c>
      <c r="C150" s="6" t="s">
        <v>133</v>
      </c>
      <c r="D150" s="7" t="s">
        <v>595</v>
      </c>
      <c r="E150" s="8" t="s">
        <v>596</v>
      </c>
      <c r="F150" s="6" t="s">
        <v>597</v>
      </c>
      <c r="G150" s="9">
        <f>IF(A150=1,"_",IF(C150="_","???",C150))</f>
        <v/>
      </c>
      <c r="H150" s="10" t="s">
        <v>16</v>
      </c>
      <c r="I150" s="11" t="s">
        <v>16</v>
      </c>
      <c r="J150" s="12"/>
    </row>
    <row r="151" spans="1:10" ht="60" customHeight="1">
      <c r="A151" s="6" t="s">
        <v>598</v>
      </c>
      <c r="B151" s="6" t="s">
        <v>33</v>
      </c>
      <c r="C151" s="6" t="s">
        <v>34</v>
      </c>
      <c r="D151" s="7" t="s">
        <v>595</v>
      </c>
      <c r="E151" s="8" t="s">
        <v>599</v>
      </c>
      <c r="F151" s="6" t="s">
        <v>600</v>
      </c>
      <c r="G151" s="9">
        <f>IF(A151=1,"_",IF(C151="_","???",C151))</f>
        <v/>
      </c>
      <c r="H151" s="10" t="s">
        <v>16</v>
      </c>
      <c r="I151" s="11" t="s">
        <v>16</v>
      </c>
      <c r="J151" s="12"/>
    </row>
    <row r="152" spans="1:10" ht="60" customHeight="1">
      <c r="A152" s="6" t="s">
        <v>601</v>
      </c>
      <c r="B152" s="6" t="s">
        <v>22</v>
      </c>
      <c r="C152" s="6" t="s">
        <v>16</v>
      </c>
      <c r="D152" s="7" t="s">
        <v>602</v>
      </c>
      <c r="E152" s="8" t="s">
        <v>603</v>
      </c>
      <c r="F152" s="6" t="s">
        <v>604</v>
      </c>
      <c r="G152" s="9">
        <f>IF(A152=1,"_",IF(C152="_","???",C152))</f>
        <v/>
      </c>
      <c r="H152" s="10" t="s">
        <v>16</v>
      </c>
      <c r="I152" s="11" t="s">
        <v>16</v>
      </c>
      <c r="J152" s="12"/>
    </row>
    <row r="153" spans="1:10" ht="60" customHeight="1">
      <c r="A153" s="6" t="s">
        <v>605</v>
      </c>
      <c r="B153" s="6" t="s">
        <v>33</v>
      </c>
      <c r="C153" s="6" t="s">
        <v>66</v>
      </c>
      <c r="D153" s="7" t="s">
        <v>606</v>
      </c>
      <c r="E153" s="8" t="s">
        <v>607</v>
      </c>
      <c r="F153" s="6" t="s">
        <v>608</v>
      </c>
      <c r="G153" s="9">
        <f>IF(A153=1,"_",IF(C153="_","???",C153))</f>
        <v/>
      </c>
      <c r="H153" s="10" t="s">
        <v>16</v>
      </c>
      <c r="I153" s="11" t="s">
        <v>16</v>
      </c>
      <c r="J153" s="12"/>
    </row>
    <row r="154" spans="1:10" ht="60" customHeight="1">
      <c r="A154" s="6" t="s">
        <v>609</v>
      </c>
      <c r="B154" s="6" t="s">
        <v>54</v>
      </c>
      <c r="C154" s="6" t="s">
        <v>16</v>
      </c>
      <c r="D154" s="7" t="s">
        <v>225</v>
      </c>
      <c r="E154" s="8" t="s">
        <v>610</v>
      </c>
      <c r="F154" s="6" t="s">
        <v>611</v>
      </c>
      <c r="G154" s="9">
        <f>IF(A154=1,"_",IF(C154="_","???",C154))</f>
        <v/>
      </c>
      <c r="H154" s="10" t="s">
        <v>16</v>
      </c>
      <c r="I154" s="11" t="s">
        <v>16</v>
      </c>
      <c r="J154" s="12"/>
    </row>
    <row r="155" spans="1:10" ht="60" customHeight="1">
      <c r="A155" s="6" t="s">
        <v>612</v>
      </c>
      <c r="B155" s="6" t="s">
        <v>33</v>
      </c>
      <c r="C155" s="6" t="s">
        <v>18</v>
      </c>
      <c r="D155" s="7" t="s">
        <v>92</v>
      </c>
      <c r="E155" s="8" t="s">
        <v>613</v>
      </c>
      <c r="F155" s="6" t="s">
        <v>614</v>
      </c>
      <c r="G155" s="9">
        <f>IF(A155=1,"_",IF(C155="_","???",C155))</f>
        <v/>
      </c>
      <c r="H155" s="10" t="s">
        <v>16</v>
      </c>
      <c r="I155" s="11" t="s">
        <v>16</v>
      </c>
      <c r="J155" s="12"/>
    </row>
    <row r="156" spans="1:10" ht="60" customHeight="1">
      <c r="A156" s="6" t="s">
        <v>615</v>
      </c>
      <c r="B156" s="6" t="s">
        <v>74</v>
      </c>
      <c r="C156" s="6" t="s">
        <v>29</v>
      </c>
      <c r="D156" s="7" t="s">
        <v>616</v>
      </c>
      <c r="E156" s="8" t="s">
        <v>617</v>
      </c>
      <c r="F156" s="6" t="s">
        <v>618</v>
      </c>
      <c r="G156" s="9">
        <f>IF(A156=1,"_",IF(C156="_","???",C156))</f>
        <v/>
      </c>
      <c r="H156" s="10" t="s">
        <v>16</v>
      </c>
      <c r="I156" s="11" t="s">
        <v>16</v>
      </c>
      <c r="J156" s="12"/>
    </row>
    <row r="157" spans="1:10" ht="60" customHeight="1">
      <c r="A157" s="6" t="s">
        <v>619</v>
      </c>
      <c r="B157" s="6" t="s">
        <v>33</v>
      </c>
      <c r="C157" s="6" t="s">
        <v>133</v>
      </c>
      <c r="D157" s="7" t="s">
        <v>620</v>
      </c>
      <c r="E157" s="8" t="s">
        <v>621</v>
      </c>
      <c r="F157" s="6" t="s">
        <v>622</v>
      </c>
      <c r="G157" s="9">
        <f>IF(A157=1,"_",IF(C157="_","???",C157))</f>
        <v/>
      </c>
      <c r="H157" s="10" t="s">
        <v>16</v>
      </c>
      <c r="I157" s="11" t="s">
        <v>16</v>
      </c>
      <c r="J157" s="12"/>
    </row>
    <row r="158" spans="1:10" ht="60" customHeight="1">
      <c r="A158" s="6" t="s">
        <v>623</v>
      </c>
      <c r="B158" s="6" t="s">
        <v>28</v>
      </c>
      <c r="C158" s="6" t="s">
        <v>468</v>
      </c>
      <c r="D158" s="7" t="s">
        <v>624</v>
      </c>
      <c r="E158" s="8" t="s">
        <v>625</v>
      </c>
      <c r="F158" s="6" t="s">
        <v>626</v>
      </c>
      <c r="G158" s="9">
        <f>IF(A158=1,"_",IF(C158="_","???",C158))</f>
        <v/>
      </c>
      <c r="H158" s="10" t="s">
        <v>16</v>
      </c>
      <c r="I158" s="11" t="s">
        <v>16</v>
      </c>
      <c r="J158" s="12"/>
    </row>
    <row r="159" spans="1:10" ht="60" customHeight="1">
      <c r="A159" s="6" t="s">
        <v>627</v>
      </c>
      <c r="B159" s="6" t="s">
        <v>17</v>
      </c>
      <c r="C159" s="6" t="s">
        <v>16</v>
      </c>
      <c r="D159" s="7" t="s">
        <v>129</v>
      </c>
      <c r="E159" s="8" t="s">
        <v>628</v>
      </c>
      <c r="F159" s="6" t="s">
        <v>629</v>
      </c>
      <c r="G159" s="9">
        <f>IF(A159=1,"_",IF(C159="_","???",C159))</f>
        <v/>
      </c>
      <c r="H159" s="10" t="s">
        <v>16</v>
      </c>
      <c r="I159" s="11" t="s">
        <v>16</v>
      </c>
      <c r="J159" s="12"/>
    </row>
    <row r="160" spans="1:10" ht="60" customHeight="1">
      <c r="A160" s="6" t="s">
        <v>630</v>
      </c>
      <c r="B160" s="6" t="s">
        <v>38</v>
      </c>
      <c r="C160" s="6" t="s">
        <v>468</v>
      </c>
      <c r="D160" s="7" t="s">
        <v>129</v>
      </c>
      <c r="E160" s="8" t="s">
        <v>631</v>
      </c>
      <c r="F160" s="6" t="s">
        <v>632</v>
      </c>
      <c r="G160" s="9">
        <f>IF(A160=1,"_",IF(C160="_","???",C160))</f>
        <v/>
      </c>
      <c r="H160" s="10" t="s">
        <v>16</v>
      </c>
      <c r="I160" s="11" t="s">
        <v>16</v>
      </c>
      <c r="J160" s="12"/>
    </row>
    <row r="161" spans="1:10" ht="60" customHeight="1">
      <c r="A161" s="6" t="s">
        <v>633</v>
      </c>
      <c r="B161" s="6" t="s">
        <v>33</v>
      </c>
      <c r="C161" s="6" t="s">
        <v>16</v>
      </c>
      <c r="D161" s="7" t="s">
        <v>634</v>
      </c>
      <c r="E161" s="8" t="s">
        <v>635</v>
      </c>
      <c r="F161" s="6" t="s">
        <v>636</v>
      </c>
      <c r="G161" s="9">
        <f>IF(A161=1,"_",IF(C161="_","???",C161))</f>
        <v/>
      </c>
      <c r="H161" s="10" t="s">
        <v>16</v>
      </c>
      <c r="I161" s="11" t="s">
        <v>16</v>
      </c>
      <c r="J161" s="12"/>
    </row>
    <row r="162" spans="1:10" ht="60" customHeight="1">
      <c r="A162" s="6" t="s">
        <v>637</v>
      </c>
      <c r="B162" s="6" t="s">
        <v>46</v>
      </c>
      <c r="C162" s="6" t="s">
        <v>138</v>
      </c>
      <c r="D162" s="7" t="s">
        <v>638</v>
      </c>
      <c r="E162" s="8" t="s">
        <v>639</v>
      </c>
      <c r="F162" s="6" t="s">
        <v>640</v>
      </c>
      <c r="G162" s="9">
        <f>IF(A162=1,"_",IF(C162="_","???",C162))</f>
        <v/>
      </c>
      <c r="H162" s="10" t="s">
        <v>16</v>
      </c>
      <c r="I162" s="11" t="s">
        <v>16</v>
      </c>
      <c r="J162" s="12"/>
    </row>
    <row r="163" spans="1:10" ht="60" customHeight="1">
      <c r="A163" s="6" t="s">
        <v>641</v>
      </c>
      <c r="B163" s="6" t="s">
        <v>22</v>
      </c>
      <c r="C163" s="6" t="s">
        <v>16</v>
      </c>
      <c r="D163" s="7" t="s">
        <v>129</v>
      </c>
      <c r="E163" s="8" t="s">
        <v>642</v>
      </c>
      <c r="F163" s="6" t="s">
        <v>643</v>
      </c>
      <c r="G163" s="9">
        <f>IF(A163=1,"_",IF(C163="_","???",C163))</f>
        <v/>
      </c>
      <c r="H163" s="10" t="s">
        <v>16</v>
      </c>
      <c r="I163" s="11" t="s">
        <v>16</v>
      </c>
      <c r="J163" s="12"/>
    </row>
    <row r="164" spans="1:10" ht="60" customHeight="1">
      <c r="A164" s="6" t="s">
        <v>644</v>
      </c>
      <c r="B164" s="6" t="s">
        <v>22</v>
      </c>
      <c r="C164" s="6" t="s">
        <v>16</v>
      </c>
      <c r="D164" s="7" t="s">
        <v>129</v>
      </c>
      <c r="E164" s="8" t="s">
        <v>645</v>
      </c>
      <c r="F164" s="6" t="s">
        <v>646</v>
      </c>
      <c r="G164" s="9">
        <f>IF(A164=1,"_",IF(C164="_","???",C164))</f>
        <v/>
      </c>
      <c r="H164" s="10" t="s">
        <v>16</v>
      </c>
      <c r="I164" s="11" t="s">
        <v>16</v>
      </c>
      <c r="J164" s="12"/>
    </row>
    <row r="165" spans="1:10" ht="60" customHeight="1">
      <c r="A165" s="6" t="s">
        <v>647</v>
      </c>
      <c r="B165" s="6" t="s">
        <v>22</v>
      </c>
      <c r="C165" s="6" t="s">
        <v>16</v>
      </c>
      <c r="D165" s="7" t="s">
        <v>648</v>
      </c>
      <c r="E165" s="8" t="s">
        <v>649</v>
      </c>
      <c r="F165" s="6" t="s">
        <v>650</v>
      </c>
      <c r="G165" s="9">
        <f>IF(A165=1,"_",IF(C165="_","???",C165))</f>
        <v/>
      </c>
      <c r="H165" s="10" t="s">
        <v>16</v>
      </c>
      <c r="I165" s="11" t="s">
        <v>16</v>
      </c>
      <c r="J165" s="12"/>
    </row>
    <row r="166" spans="1:10" ht="60" customHeight="1">
      <c r="A166" s="6" t="s">
        <v>651</v>
      </c>
      <c r="B166" s="6" t="s">
        <v>17</v>
      </c>
      <c r="C166" s="6" t="s">
        <v>16</v>
      </c>
      <c r="D166" s="7" t="s">
        <v>473</v>
      </c>
      <c r="E166" s="8" t="s">
        <v>652</v>
      </c>
      <c r="F166" s="6" t="s">
        <v>653</v>
      </c>
      <c r="G166" s="9">
        <f>IF(A166=1,"_",IF(C166="_","???",C166))</f>
        <v/>
      </c>
      <c r="H166" s="10" t="s">
        <v>16</v>
      </c>
      <c r="I166" s="11" t="s">
        <v>16</v>
      </c>
      <c r="J166" s="12"/>
    </row>
    <row r="167" spans="1:10" ht="60" customHeight="1">
      <c r="A167" s="6" t="s">
        <v>654</v>
      </c>
      <c r="B167" s="6" t="s">
        <v>17</v>
      </c>
      <c r="C167" s="6" t="s">
        <v>16</v>
      </c>
      <c r="D167" s="7" t="s">
        <v>655</v>
      </c>
      <c r="E167" s="8" t="s">
        <v>656</v>
      </c>
      <c r="F167" s="6" t="s">
        <v>657</v>
      </c>
      <c r="G167" s="9">
        <f>IF(A167=1,"_",IF(C167="_","???",C167))</f>
        <v/>
      </c>
      <c r="H167" s="10" t="s">
        <v>16</v>
      </c>
      <c r="I167" s="11" t="s">
        <v>16</v>
      </c>
      <c r="J167" s="12"/>
    </row>
    <row r="168" spans="1:10" ht="60" customHeight="1">
      <c r="A168" s="6" t="s">
        <v>658</v>
      </c>
      <c r="B168" s="6" t="s">
        <v>22</v>
      </c>
      <c r="C168" s="6" t="s">
        <v>16</v>
      </c>
      <c r="D168" s="7" t="s">
        <v>225</v>
      </c>
      <c r="E168" s="8" t="s">
        <v>659</v>
      </c>
      <c r="F168" s="6" t="s">
        <v>660</v>
      </c>
      <c r="G168" s="9">
        <f>IF(A168=1,"_",IF(C168="_","???",C168))</f>
        <v/>
      </c>
      <c r="H168" s="10" t="s">
        <v>16</v>
      </c>
      <c r="I168" s="11" t="s">
        <v>16</v>
      </c>
      <c r="J168" s="12"/>
    </row>
    <row r="169" spans="1:10" ht="60" customHeight="1">
      <c r="A169" s="6" t="s">
        <v>661</v>
      </c>
      <c r="B169" s="6" t="s">
        <v>17</v>
      </c>
      <c r="C169" s="6" t="s">
        <v>16</v>
      </c>
      <c r="D169" s="7" t="s">
        <v>56</v>
      </c>
      <c r="E169" s="8" t="s">
        <v>662</v>
      </c>
      <c r="F169" s="6" t="s">
        <v>663</v>
      </c>
      <c r="G169" s="9">
        <f>IF(A169=1,"_",IF(C169="_","???",C169))</f>
        <v/>
      </c>
      <c r="H169" s="10" t="s">
        <v>16</v>
      </c>
      <c r="I169" s="11" t="s">
        <v>16</v>
      </c>
      <c r="J169" s="12"/>
    </row>
    <row r="170" spans="1:10" ht="60" customHeight="1">
      <c r="A170" s="6" t="s">
        <v>664</v>
      </c>
      <c r="B170" s="6" t="s">
        <v>11</v>
      </c>
      <c r="C170" s="6" t="s">
        <v>12</v>
      </c>
      <c r="D170" s="7" t="s">
        <v>333</v>
      </c>
      <c r="E170" s="8" t="s">
        <v>665</v>
      </c>
      <c r="F170" s="6" t="s">
        <v>666</v>
      </c>
      <c r="G170" s="9">
        <f>IF(A170=1,"_",IF(C170="_","???",C170))</f>
        <v/>
      </c>
      <c r="H170" s="10" t="s">
        <v>16</v>
      </c>
      <c r="I170" s="11" t="s">
        <v>16</v>
      </c>
      <c r="J170" s="12"/>
    </row>
    <row r="171" spans="1:10" ht="60" customHeight="1">
      <c r="A171" s="6" t="s">
        <v>667</v>
      </c>
      <c r="B171" s="6" t="s">
        <v>17</v>
      </c>
      <c r="C171" s="6" t="s">
        <v>156</v>
      </c>
      <c r="D171" s="7" t="s">
        <v>129</v>
      </c>
      <c r="E171" s="8" t="s">
        <v>668</v>
      </c>
      <c r="F171" s="6" t="s">
        <v>669</v>
      </c>
      <c r="G171" s="9">
        <f>IF(A171=1,"_",IF(C171="_","???",C171))</f>
        <v/>
      </c>
      <c r="H171" s="10" t="s">
        <v>16</v>
      </c>
      <c r="I171" s="11" t="s">
        <v>16</v>
      </c>
      <c r="J171" s="12"/>
    </row>
    <row r="172" spans="1:10" ht="60" customHeight="1">
      <c r="A172" s="6" t="s">
        <v>670</v>
      </c>
      <c r="B172" s="6" t="s">
        <v>11</v>
      </c>
      <c r="C172" s="6" t="s">
        <v>133</v>
      </c>
      <c r="D172" s="7" t="s">
        <v>671</v>
      </c>
      <c r="E172" s="8" t="s">
        <v>672</v>
      </c>
      <c r="F172" s="6" t="s">
        <v>673</v>
      </c>
      <c r="G172" s="9">
        <f>IF(A172=1,"_",IF(C172="_","???",C172))</f>
        <v/>
      </c>
      <c r="H172" s="10" t="s">
        <v>16</v>
      </c>
      <c r="I172" s="11" t="s">
        <v>16</v>
      </c>
      <c r="J172" s="12"/>
    </row>
    <row r="173" spans="1:10" ht="60" customHeight="1">
      <c r="A173" s="6" t="s">
        <v>674</v>
      </c>
      <c r="B173" s="6" t="s">
        <v>17</v>
      </c>
      <c r="C173" s="6" t="s">
        <v>70</v>
      </c>
      <c r="D173" s="7" t="s">
        <v>92</v>
      </c>
      <c r="E173" s="8" t="s">
        <v>675</v>
      </c>
      <c r="F173" s="6" t="s">
        <v>676</v>
      </c>
      <c r="G173" s="9">
        <f>IF(A173=1,"_",IF(C173="_","???",C173))</f>
        <v/>
      </c>
      <c r="H173" s="10" t="s">
        <v>16</v>
      </c>
      <c r="I173" s="11" t="s">
        <v>16</v>
      </c>
      <c r="J173" s="12"/>
    </row>
    <row r="174" spans="1:10" ht="60" customHeight="1">
      <c r="A174" s="6" t="s">
        <v>677</v>
      </c>
      <c r="B174" s="6" t="s">
        <v>46</v>
      </c>
      <c r="C174" s="6" t="s">
        <v>678</v>
      </c>
      <c r="D174" s="7" t="s">
        <v>679</v>
      </c>
      <c r="E174" s="8" t="s">
        <v>680</v>
      </c>
      <c r="F174" s="6" t="s">
        <v>681</v>
      </c>
      <c r="G174" s="9">
        <f>IF(A174=1,"_",IF(C174="_","???",C174))</f>
        <v/>
      </c>
      <c r="H174" s="10" t="s">
        <v>16</v>
      </c>
      <c r="I174" s="11" t="s">
        <v>16</v>
      </c>
      <c r="J174" s="12"/>
    </row>
    <row r="175" spans="1:10" ht="60" customHeight="1">
      <c r="A175" s="6" t="s">
        <v>682</v>
      </c>
      <c r="B175" s="6" t="s">
        <v>69</v>
      </c>
      <c r="C175" s="6" t="s">
        <v>174</v>
      </c>
      <c r="D175" s="7" t="s">
        <v>683</v>
      </c>
      <c r="E175" s="8" t="s">
        <v>684</v>
      </c>
      <c r="F175" s="6" t="s">
        <v>685</v>
      </c>
      <c r="G175" s="9">
        <f>IF(A175=1,"_",IF(C175="_","???",C175))</f>
        <v/>
      </c>
      <c r="H175" s="10" t="s">
        <v>16</v>
      </c>
      <c r="I175" s="11" t="s">
        <v>16</v>
      </c>
      <c r="J175" s="12"/>
    </row>
    <row r="176" spans="1:10" ht="60" customHeight="1">
      <c r="A176" s="6" t="s">
        <v>686</v>
      </c>
      <c r="B176" s="6" t="s">
        <v>17</v>
      </c>
      <c r="C176" s="6" t="s">
        <v>447</v>
      </c>
      <c r="D176" s="7" t="s">
        <v>683</v>
      </c>
      <c r="E176" s="8" t="s">
        <v>687</v>
      </c>
      <c r="F176" s="6" t="s">
        <v>688</v>
      </c>
      <c r="G176" s="9">
        <f>IF(A176=1,"_",IF(C176="_","???",C176))</f>
        <v/>
      </c>
      <c r="H176" s="10" t="s">
        <v>16</v>
      </c>
      <c r="I176" s="11" t="s">
        <v>16</v>
      </c>
      <c r="J176" s="12"/>
    </row>
    <row r="177" spans="1:10" ht="60" customHeight="1">
      <c r="A177" s="6" t="s">
        <v>689</v>
      </c>
      <c r="B177" s="6" t="s">
        <v>33</v>
      </c>
      <c r="C177" s="6" t="s">
        <v>540</v>
      </c>
      <c r="D177" s="7" t="s">
        <v>84</v>
      </c>
      <c r="E177" s="8" t="s">
        <v>690</v>
      </c>
      <c r="F177" s="6" t="s">
        <v>691</v>
      </c>
      <c r="G177" s="9">
        <f>IF(A177=1,"_",IF(C177="_","???",C177))</f>
        <v/>
      </c>
      <c r="H177" s="10" t="s">
        <v>16</v>
      </c>
      <c r="I177" s="11" t="s">
        <v>16</v>
      </c>
      <c r="J177" s="12"/>
    </row>
    <row r="178" spans="1:10" ht="60" customHeight="1">
      <c r="A178" s="6" t="s">
        <v>692</v>
      </c>
      <c r="B178" s="6" t="s">
        <v>28</v>
      </c>
      <c r="C178" s="6" t="s">
        <v>16</v>
      </c>
      <c r="D178" s="7" t="s">
        <v>693</v>
      </c>
      <c r="E178" s="8" t="s">
        <v>694</v>
      </c>
      <c r="F178" s="6" t="s">
        <v>695</v>
      </c>
      <c r="G178" s="9">
        <f>IF(A178=1,"_",IF(C178="_","???",C178))</f>
        <v/>
      </c>
      <c r="H178" s="10" t="s">
        <v>16</v>
      </c>
      <c r="I178" s="11" t="s">
        <v>16</v>
      </c>
      <c r="J178" s="12"/>
    </row>
    <row r="179" spans="1:10" ht="60" customHeight="1">
      <c r="A179" s="6" t="s">
        <v>696</v>
      </c>
      <c r="B179" s="6" t="s">
        <v>10</v>
      </c>
      <c r="C179" s="6" t="s">
        <v>16</v>
      </c>
      <c r="D179" s="7" t="s">
        <v>697</v>
      </c>
      <c r="E179" s="8" t="s">
        <v>698</v>
      </c>
      <c r="F179" s="6" t="s">
        <v>699</v>
      </c>
      <c r="G179" s="9">
        <f>IF(A179=1,"_",IF(C179="_","???",C179))</f>
        <v/>
      </c>
      <c r="H179" s="10" t="s">
        <v>16</v>
      </c>
      <c r="I179" s="11" t="s">
        <v>16</v>
      </c>
      <c r="J179" s="12"/>
    </row>
    <row r="180" spans="1:10" ht="60" customHeight="1">
      <c r="A180" s="6" t="s">
        <v>700</v>
      </c>
      <c r="B180" s="6" t="s">
        <v>28</v>
      </c>
      <c r="C180" s="6" t="s">
        <v>29</v>
      </c>
      <c r="D180" s="7" t="s">
        <v>701</v>
      </c>
      <c r="E180" s="8" t="s">
        <v>702</v>
      </c>
      <c r="F180" s="6" t="s">
        <v>703</v>
      </c>
      <c r="G180" s="9">
        <f>IF(A180=1,"_",IF(C180="_","???",C180))</f>
        <v/>
      </c>
      <c r="H180" s="10" t="s">
        <v>16</v>
      </c>
      <c r="I180" s="11" t="s">
        <v>16</v>
      </c>
      <c r="J180" s="12"/>
    </row>
    <row r="181" spans="1:10" ht="60" customHeight="1">
      <c r="A181" s="6" t="s">
        <v>704</v>
      </c>
      <c r="B181" s="6" t="s">
        <v>28</v>
      </c>
      <c r="C181" s="6" t="s">
        <v>66</v>
      </c>
      <c r="D181" s="7" t="s">
        <v>92</v>
      </c>
      <c r="E181" s="8" t="s">
        <v>705</v>
      </c>
      <c r="F181" s="6" t="s">
        <v>706</v>
      </c>
      <c r="G181" s="9">
        <f>IF(A181=1,"_",IF(C181="_","???",C181))</f>
        <v/>
      </c>
      <c r="H181" s="10" t="s">
        <v>16</v>
      </c>
      <c r="I181" s="11" t="s">
        <v>16</v>
      </c>
      <c r="J181" s="12"/>
    </row>
    <row r="182" spans="1:10" ht="60" customHeight="1">
      <c r="A182" s="6" t="s">
        <v>707</v>
      </c>
      <c r="B182" s="6" t="s">
        <v>22</v>
      </c>
      <c r="C182" s="6" t="s">
        <v>16</v>
      </c>
      <c r="D182" s="7" t="s">
        <v>92</v>
      </c>
      <c r="E182" s="8" t="s">
        <v>708</v>
      </c>
      <c r="F182" s="6" t="s">
        <v>709</v>
      </c>
      <c r="G182" s="9">
        <f>IF(A182=1,"_",IF(C182="_","???",C182))</f>
        <v/>
      </c>
      <c r="H182" s="10" t="s">
        <v>16</v>
      </c>
      <c r="I182" s="11" t="s">
        <v>16</v>
      </c>
      <c r="J182" s="12"/>
    </row>
    <row r="183" spans="1:10" ht="60" customHeight="1">
      <c r="A183" s="6" t="s">
        <v>710</v>
      </c>
      <c r="B183" s="6" t="s">
        <v>17</v>
      </c>
      <c r="C183" s="6" t="s">
        <v>16</v>
      </c>
      <c r="D183" s="7" t="s">
        <v>92</v>
      </c>
      <c r="E183" s="8" t="s">
        <v>711</v>
      </c>
      <c r="F183" s="6" t="s">
        <v>712</v>
      </c>
      <c r="G183" s="9">
        <f>IF(A183=1,"_",IF(C183="_","???",C183))</f>
        <v/>
      </c>
      <c r="H183" s="10" t="s">
        <v>16</v>
      </c>
      <c r="I183" s="11" t="s">
        <v>16</v>
      </c>
      <c r="J183" s="12"/>
    </row>
    <row r="184" spans="1:10" ht="60" customHeight="1">
      <c r="A184" s="6" t="s">
        <v>713</v>
      </c>
      <c r="B184" s="6" t="s">
        <v>28</v>
      </c>
      <c r="C184" s="6" t="s">
        <v>66</v>
      </c>
      <c r="D184" s="7" t="s">
        <v>714</v>
      </c>
      <c r="E184" s="8" t="s">
        <v>715</v>
      </c>
      <c r="F184" s="6" t="s">
        <v>716</v>
      </c>
      <c r="G184" s="9">
        <f>IF(A184=1,"_",IF(C184="_","???",C184))</f>
        <v/>
      </c>
      <c r="H184" s="10" t="s">
        <v>16</v>
      </c>
      <c r="I184" s="11" t="s">
        <v>16</v>
      </c>
      <c r="J184" s="12"/>
    </row>
    <row r="185" spans="1:10" ht="60" customHeight="1">
      <c r="A185" s="6" t="s">
        <v>717</v>
      </c>
      <c r="B185" s="6" t="s">
        <v>22</v>
      </c>
      <c r="C185" s="6" t="s">
        <v>16</v>
      </c>
      <c r="D185" s="7" t="s">
        <v>718</v>
      </c>
      <c r="E185" s="8" t="s">
        <v>719</v>
      </c>
      <c r="F185" s="6" t="s">
        <v>720</v>
      </c>
      <c r="G185" s="9">
        <f>IF(A185=1,"_",IF(C185="_","???",C185))</f>
        <v/>
      </c>
      <c r="H185" s="10" t="s">
        <v>16</v>
      </c>
      <c r="I185" s="11" t="s">
        <v>16</v>
      </c>
      <c r="J185" s="12"/>
    </row>
    <row r="186" spans="1:10" ht="60" customHeight="1">
      <c r="A186" s="6" t="s">
        <v>721</v>
      </c>
      <c r="B186" s="6" t="s">
        <v>22</v>
      </c>
      <c r="C186" s="6" t="s">
        <v>16</v>
      </c>
      <c r="D186" s="7" t="s">
        <v>722</v>
      </c>
      <c r="E186" s="8" t="s">
        <v>723</v>
      </c>
      <c r="F186" s="6" t="s">
        <v>724</v>
      </c>
      <c r="G186" s="9">
        <f>IF(A186=1,"_",IF(C186="_","???",C186))</f>
        <v/>
      </c>
      <c r="H186" s="10" t="s">
        <v>16</v>
      </c>
      <c r="I186" s="11" t="s">
        <v>16</v>
      </c>
      <c r="J186" s="12"/>
    </row>
    <row r="187" spans="1:10" ht="60" customHeight="1">
      <c r="A187" s="6" t="s">
        <v>725</v>
      </c>
      <c r="B187" s="6" t="s">
        <v>46</v>
      </c>
      <c r="C187" s="6" t="s">
        <v>70</v>
      </c>
      <c r="D187" s="7" t="s">
        <v>189</v>
      </c>
      <c r="E187" s="8" t="s">
        <v>726</v>
      </c>
      <c r="F187" s="6" t="s">
        <v>727</v>
      </c>
      <c r="G187" s="9">
        <f>IF(A187=1,"_",IF(C187="_","???",C187))</f>
        <v/>
      </c>
      <c r="H187" s="10" t="s">
        <v>16</v>
      </c>
      <c r="I187" s="11" t="s">
        <v>16</v>
      </c>
      <c r="J187" s="12"/>
    </row>
    <row r="188" spans="1:10" ht="60" customHeight="1">
      <c r="A188" s="6" t="s">
        <v>728</v>
      </c>
      <c r="B188" s="6" t="s">
        <v>42</v>
      </c>
      <c r="C188" s="6" t="s">
        <v>729</v>
      </c>
      <c r="D188" s="7" t="s">
        <v>730</v>
      </c>
      <c r="E188" s="8" t="s">
        <v>731</v>
      </c>
      <c r="F188" s="6" t="s">
        <v>732</v>
      </c>
      <c r="G188" s="9">
        <f>IF(A188=1,"_",IF(C188="_","???",C188))</f>
        <v/>
      </c>
      <c r="H188" s="10" t="s">
        <v>16</v>
      </c>
      <c r="I188" s="11" t="s">
        <v>16</v>
      </c>
      <c r="J188" s="12"/>
    </row>
    <row r="189" spans="1:10" ht="60" customHeight="1">
      <c r="A189" s="6" t="s">
        <v>733</v>
      </c>
      <c r="B189" s="6" t="s">
        <v>10</v>
      </c>
      <c r="C189" s="6" t="s">
        <v>16</v>
      </c>
      <c r="D189" s="7" t="s">
        <v>734</v>
      </c>
      <c r="E189" s="8" t="s">
        <v>735</v>
      </c>
      <c r="F189" s="6" t="s">
        <v>736</v>
      </c>
      <c r="G189" s="9">
        <f>IF(A189=1,"_",IF(C189="_","???",C189))</f>
        <v/>
      </c>
      <c r="H189" s="10" t="s">
        <v>16</v>
      </c>
      <c r="I189" s="11" t="s">
        <v>16</v>
      </c>
      <c r="J189"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5140"/>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737</v>
      </c>
      <c r="B1" s="13" t="s">
        <v>738</v>
      </c>
      <c r="C1" s="13" t="s">
        <v>739</v>
      </c>
      <c r="D1" s="13" t="s">
        <v>740</v>
      </c>
      <c r="E1" s="14" t="s">
        <v>741</v>
      </c>
      <c r="F1" s="15" t="s">
        <v>742</v>
      </c>
      <c r="G1" s="16" t="s">
        <v>743</v>
      </c>
      <c r="H1" s="17" t="s">
        <v>744</v>
      </c>
      <c r="I1" s="18" t="s">
        <v>745</v>
      </c>
      <c r="J1" s="18" t="s">
        <v>746</v>
      </c>
      <c r="K1" s="18" t="s">
        <v>747</v>
      </c>
      <c r="L1" s="19" t="s">
        <v>9</v>
      </c>
    </row>
    <row r="2" spans="1:12">
      <c r="A2" s="20" t="s">
        <v>748</v>
      </c>
    </row>
    <row r="3" spans="1:12">
      <c r="A3" s="20" t="s">
        <v>749</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750</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751</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752</v>
      </c>
      <c r="B6" s="27" t="s">
        <v>753</v>
      </c>
      <c r="C6" s="27" t="s">
        <v>754</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755</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756</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757</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758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759</v>
      </c>
      <c r="B11" s="27" t="s">
        <v>760</v>
      </c>
      <c r="C11" s="27" t="s">
        <v>761</v>
      </c>
      <c r="D11" s="27" t="s">
        <v>762</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763</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764</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765</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766</v>
      </c>
      <c r="B15" s="27" t="s">
        <v>767</v>
      </c>
      <c r="C15" s="27" t="s">
        <v>768</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769</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770</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771</v>
      </c>
      <c r="B18" s="27" t="s">
        <v>772</v>
      </c>
      <c r="C18" s="27" t="s">
        <v>761</v>
      </c>
      <c r="D18" s="27" t="s">
        <v>762</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773</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774</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row>
    <row r="22" spans="1:12">
      <c r="A22" s="20" t="s">
        <v>775</v>
      </c>
    </row>
    <row r="23" spans="1:12">
      <c r="A23" s="20" t="s">
        <v>776</v>
      </c>
      <c r="B23" s="27" t="s">
        <v>760</v>
      </c>
      <c r="C23" s="27" t="s">
        <v>777</v>
      </c>
      <c r="D23" s="27" t="s">
        <v>762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778</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779</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780</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781</v>
      </c>
      <c r="B27" s="27" t="s">
        <v>753</v>
      </c>
      <c r="C27" s="27" t="s">
        <v>768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782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769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783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784</v>
      </c>
      <c r="B31" s="27" t="s">
        <v>753</v>
      </c>
      <c r="C31" s="27" t="s">
        <v>754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785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770</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786</v>
      </c>
      <c r="B34" s="27" t="s">
        <v>753</v>
      </c>
      <c r="C34" s="27" t="s">
        <v>761</v>
      </c>
      <c r="D34" s="27" t="s">
        <v>762</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757</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764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787</v>
      </c>
      <c r="B37" s="27" t="s">
        <v>753</v>
      </c>
      <c r="C37" s="27" t="s">
        <v>768</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788</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769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770</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789</v>
      </c>
      <c r="B41" s="27" t="s">
        <v>772</v>
      </c>
      <c r="C41" s="27" t="s">
        <v>761</v>
      </c>
      <c r="D41" s="27" t="s">
        <v>762</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774</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row>
    <row r="44" spans="1:12">
      <c r="A44" s="20" t="s">
        <v>790</v>
      </c>
    </row>
    <row r="45" spans="1:12">
      <c r="A45" s="20" t="s">
        <v>791</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792</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793</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794</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757</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795</v>
      </c>
      <c r="B50" s="27" t="s">
        <v>796</v>
      </c>
      <c r="C50" s="27" t="s">
        <v>797</v>
      </c>
      <c r="D50" s="27" t="s">
        <v>762</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798</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799</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800</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801</v>
      </c>
      <c r="B54" s="27" t="s">
        <v>802</v>
      </c>
      <c r="C54" s="27" t="s">
        <v>803</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757</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798</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799</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804</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805</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421</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806</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751</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792</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793</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807</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779</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808</v>
      </c>
      <c r="B67" s="27" t="s">
        <v>772</v>
      </c>
      <c r="C67" s="27" t="s">
        <v>768</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809</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757</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810</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799</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769</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811</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421</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812</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813</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793</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807</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764</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814</v>
      </c>
      <c r="B80" s="27" t="s">
        <v>815</v>
      </c>
      <c r="C80" s="27" t="s">
        <v>768</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816</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774</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row>
    <row r="84" spans="1:12">
      <c r="A84" s="20" t="s">
        <v>817</v>
      </c>
    </row>
    <row r="85" spans="1:12">
      <c r="A85" s="20" t="s">
        <v>818</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819</v>
      </c>
      <c r="B86" s="27" t="s">
        <v>760</v>
      </c>
      <c r="C86" s="27" t="s">
        <v>820</v>
      </c>
      <c r="D86" s="27" t="s">
        <v>762</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778</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821</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769</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822</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823</v>
      </c>
      <c r="B91" s="27" t="s">
        <v>753</v>
      </c>
      <c r="C91" s="27" t="s">
        <v>761</v>
      </c>
      <c r="D91" s="27" t="s">
        <v>762</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824</v>
      </c>
      <c r="B92" s="27" t="s">
        <v>772</v>
      </c>
      <c r="C92" s="27" t="s">
        <v>798</v>
      </c>
      <c r="D92" s="27" t="s">
        <v>762</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769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825</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757</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826</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827</v>
      </c>
      <c r="B97" s="27" t="s">
        <v>796</v>
      </c>
      <c r="C97" s="27" t="s">
        <v>797</v>
      </c>
      <c r="D97" s="27" t="s">
        <v>762</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828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829</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830</v>
      </c>
      <c r="B100" s="27" t="s">
        <v>802</v>
      </c>
      <c r="C100" s="27" t="s">
        <v>831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774</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row>
    <row r="103" spans="1:12">
      <c r="A103" s="20" t="s">
        <v>832</v>
      </c>
    </row>
    <row r="104" spans="1:12">
      <c r="A104" s="20" t="s">
        <v>833</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758</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834</v>
      </c>
      <c r="B106" s="27" t="s">
        <v>753</v>
      </c>
      <c r="C106" s="27" t="s">
        <v>761</v>
      </c>
      <c r="D106" s="27" t="s">
        <v>762</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835</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757</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822</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836</v>
      </c>
      <c r="B110" s="27" t="s">
        <v>760</v>
      </c>
      <c r="C110" s="27" t="s">
        <v>837</v>
      </c>
      <c r="D110" s="27" t="s">
        <v>762</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769</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838</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839</v>
      </c>
      <c r="B113" s="27" t="s">
        <v>772</v>
      </c>
      <c r="C113" s="27" t="s">
        <v>798</v>
      </c>
      <c r="D113" s="27" t="s">
        <v>762</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840</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778</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841</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751</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842</v>
      </c>
      <c r="B118" s="27" t="s">
        <v>753</v>
      </c>
      <c r="C118" s="27" t="s">
        <v>754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769</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822</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843</v>
      </c>
      <c r="B121" s="27" t="s">
        <v>772</v>
      </c>
      <c r="C121" s="27" t="s">
        <v>761</v>
      </c>
      <c r="D121" s="27" t="s">
        <v>762</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844</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row>
    <row r="124" spans="1:12">
      <c r="A124" s="20" t="s">
        <v>845</v>
      </c>
    </row>
    <row r="125" spans="1:12">
      <c r="A125" s="20" t="s">
        <v>846</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847</v>
      </c>
      <c r="B126" s="27" t="s">
        <v>753</v>
      </c>
      <c r="C126" s="27" t="s">
        <v>754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848</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row>
    <row r="129" spans="1:12">
      <c r="A129" s="20" t="s">
        <v>849</v>
      </c>
    </row>
    <row r="130" spans="1:12">
      <c r="A130" s="20" t="s">
        <v>850</v>
      </c>
      <c r="B130" s="27" t="s">
        <v>772</v>
      </c>
      <c r="C130" s="27" t="s">
        <v>851</v>
      </c>
      <c r="D130" s="27" t="s">
        <v>762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852</v>
      </c>
      <c r="B131" s="27" t="s">
        <v>760</v>
      </c>
      <c r="C131" s="27" t="s">
        <v>837</v>
      </c>
      <c r="D131" s="27" t="s">
        <v>762</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778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770</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853</v>
      </c>
      <c r="B134" s="27" t="s">
        <v>753</v>
      </c>
      <c r="C134" s="27" t="s">
        <v>761</v>
      </c>
      <c r="D134" s="27" t="s">
        <v>762</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854</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855</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751</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778</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856</v>
      </c>
      <c r="B139" s="27" t="s">
        <v>796</v>
      </c>
      <c r="C139" s="27" t="s">
        <v>820</v>
      </c>
      <c r="D139" s="27" t="s">
        <v>762</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857</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858</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859</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row>
    <row r="144" spans="1:12">
      <c r="A144" s="20" t="s">
        <v>860</v>
      </c>
    </row>
    <row r="145" spans="1:12">
      <c r="A145" s="20" t="s">
        <v>861</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764</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814</v>
      </c>
      <c r="B147" s="27" t="s">
        <v>760</v>
      </c>
      <c r="C147" s="27" t="s">
        <v>768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778</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862</v>
      </c>
      <c r="B149" s="27" t="s">
        <v>760</v>
      </c>
      <c r="C149" s="27" t="s">
        <v>797</v>
      </c>
      <c r="D149" s="27" t="s">
        <v>762</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863</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764</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864</v>
      </c>
      <c r="B152" s="27" t="s">
        <v>767</v>
      </c>
      <c r="C152" s="27" t="s">
        <v>768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859</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row>
    <row r="155" spans="1:12">
      <c r="A155" s="20" t="s">
        <v>865</v>
      </c>
    </row>
    <row r="156" spans="1:12">
      <c r="A156" s="20" t="s">
        <v>866</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827</v>
      </c>
      <c r="B157" s="27" t="s">
        <v>796</v>
      </c>
      <c r="C157" s="27" t="s">
        <v>797</v>
      </c>
      <c r="D157" s="27" t="s">
        <v>762</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828</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867</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868</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830</v>
      </c>
      <c r="B161" s="27" t="s">
        <v>802</v>
      </c>
      <c r="C161" s="27" t="s">
        <v>831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757</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869</v>
      </c>
      <c r="B163" s="27" t="s">
        <v>760</v>
      </c>
      <c r="C163" s="27" t="s">
        <v>797</v>
      </c>
      <c r="D163" s="27" t="s">
        <v>762</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870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871</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872</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779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873</v>
      </c>
      <c r="B168" s="27" t="s">
        <v>753</v>
      </c>
      <c r="C168" s="27" t="s">
        <v>768</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769</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874</v>
      </c>
      <c r="B170" s="27" t="s">
        <v>772</v>
      </c>
      <c r="C170" s="27" t="s">
        <v>754</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875</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876</v>
      </c>
      <c r="B172" s="27" t="s">
        <v>772</v>
      </c>
      <c r="C172" s="27" t="s">
        <v>851</v>
      </c>
      <c r="D172" s="27" t="s">
        <v>762</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877</v>
      </c>
      <c r="B173" s="27" t="s">
        <v>753</v>
      </c>
      <c r="C173" s="27" t="s">
        <v>837</v>
      </c>
      <c r="D173" s="27" t="s">
        <v>762</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810</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878</v>
      </c>
      <c r="B175" s="27" t="s">
        <v>879</v>
      </c>
      <c r="C175" s="27" t="s">
        <v>851</v>
      </c>
      <c r="D175" s="27" t="s">
        <v>762</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880</v>
      </c>
      <c r="B176" s="27" t="s">
        <v>772</v>
      </c>
      <c r="C176" s="27" t="s">
        <v>837</v>
      </c>
      <c r="D176" s="27" t="s">
        <v>762</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774</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row>
    <row r="179" spans="1:12">
      <c r="A179" s="20" t="s">
        <v>881</v>
      </c>
    </row>
    <row r="180" spans="1:12">
      <c r="A180" s="20" t="s">
        <v>833</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882</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129</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883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884</v>
      </c>
      <c r="B184" s="27" t="s">
        <v>879</v>
      </c>
      <c r="C184" s="27" t="s">
        <v>851</v>
      </c>
      <c r="D184" s="27" t="s">
        <v>762</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874</v>
      </c>
      <c r="B185" s="27" t="s">
        <v>802</v>
      </c>
      <c r="C185" s="27" t="s">
        <v>837</v>
      </c>
      <c r="D185" s="27" t="s">
        <v>762</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757</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822</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885</v>
      </c>
      <c r="B188" s="27" t="s">
        <v>760</v>
      </c>
      <c r="C188" s="27" t="s">
        <v>761</v>
      </c>
      <c r="D188" s="27" t="s">
        <v>762</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886</v>
      </c>
      <c r="B189" s="27" t="s">
        <v>767</v>
      </c>
      <c r="C189" s="27" t="s">
        <v>797</v>
      </c>
      <c r="D189" s="27" t="s">
        <v>762</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887</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888</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889</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890</v>
      </c>
      <c r="B193" s="27" t="s">
        <v>796</v>
      </c>
      <c r="C193" s="27" t="s">
        <v>820</v>
      </c>
      <c r="D193" s="27" t="s">
        <v>762</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891</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129</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892</v>
      </c>
      <c r="B196" s="27" t="s">
        <v>772</v>
      </c>
      <c r="C196" s="27" t="s">
        <v>820</v>
      </c>
      <c r="D196" s="27" t="s">
        <v>762</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779</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893</v>
      </c>
      <c r="B198" s="27" t="s">
        <v>894</v>
      </c>
      <c r="C198" s="27" t="s">
        <v>768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774</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row>
    <row r="201" spans="1:12">
      <c r="A201" s="20" t="s">
        <v>895</v>
      </c>
    </row>
    <row r="202" spans="1:12">
      <c r="A202" s="20" t="s">
        <v>896</v>
      </c>
      <c r="B202" s="27" t="s">
        <v>772</v>
      </c>
      <c r="C202" s="27" t="s">
        <v>851</v>
      </c>
      <c r="D202" s="27" t="s">
        <v>762</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880</v>
      </c>
      <c r="B203" s="27" t="s">
        <v>760</v>
      </c>
      <c r="C203" s="27" t="s">
        <v>837</v>
      </c>
      <c r="D203" s="27" t="s">
        <v>762</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897</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779</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893</v>
      </c>
      <c r="B206" s="27" t="s">
        <v>767</v>
      </c>
      <c r="C206" s="27" t="s">
        <v>768</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898</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810</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899</v>
      </c>
      <c r="B209" s="27" t="s">
        <v>772</v>
      </c>
      <c r="C209" s="27" t="s">
        <v>820</v>
      </c>
      <c r="D209" s="27" t="s">
        <v>762</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779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893</v>
      </c>
      <c r="B211" s="27" t="s">
        <v>879</v>
      </c>
      <c r="C211" s="27" t="s">
        <v>768</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900</v>
      </c>
      <c r="B212" s="27" t="s">
        <v>901</v>
      </c>
      <c r="C212" s="27" t="s">
        <v>754</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774</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row>
    <row r="215" spans="1:12">
      <c r="A215" s="20" t="s">
        <v>902</v>
      </c>
    </row>
    <row r="216" spans="1:12">
      <c r="A216" s="20" t="s">
        <v>850</v>
      </c>
      <c r="B216" s="27" t="s">
        <v>772</v>
      </c>
      <c r="C216" s="27" t="s">
        <v>851</v>
      </c>
      <c r="D216" s="27" t="s">
        <v>762</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877</v>
      </c>
      <c r="B217" s="27" t="s">
        <v>760</v>
      </c>
      <c r="C217" s="27" t="s">
        <v>837</v>
      </c>
      <c r="D217" s="27" t="s">
        <v>762</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903</v>
      </c>
      <c r="B218" s="27" t="s">
        <v>767</v>
      </c>
      <c r="C218" s="27" t="s">
        <v>797</v>
      </c>
      <c r="D218" s="27" t="s">
        <v>762</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887</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888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793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869</v>
      </c>
      <c r="B222" s="27" t="s">
        <v>796</v>
      </c>
      <c r="C222" s="27" t="s">
        <v>797</v>
      </c>
      <c r="D222" s="27" t="s">
        <v>762</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904</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905</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272</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779</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893</v>
      </c>
      <c r="B227" s="27" t="s">
        <v>894</v>
      </c>
      <c r="C227" s="27" t="s">
        <v>768</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906</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774</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row>
    <row r="231" spans="1:12">
      <c r="A231" s="20" t="s">
        <v>907</v>
      </c>
    </row>
    <row r="232" spans="1:12">
      <c r="A232" s="20" t="s">
        <v>908</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827</v>
      </c>
      <c r="B233" s="27" t="s">
        <v>760</v>
      </c>
      <c r="C233" s="27" t="s">
        <v>797</v>
      </c>
      <c r="D233" s="27" t="s">
        <v>762</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909</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888</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793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869</v>
      </c>
      <c r="B237" s="27" t="s">
        <v>796</v>
      </c>
      <c r="C237" s="27" t="s">
        <v>797</v>
      </c>
      <c r="D237" s="27" t="s">
        <v>762</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683</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910</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822</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900</v>
      </c>
      <c r="B241" s="27" t="s">
        <v>802</v>
      </c>
      <c r="C241" s="27" t="s">
        <v>761</v>
      </c>
      <c r="D241" s="27" t="s">
        <v>762</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774</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row>
    <row r="244" spans="1:12">
      <c r="A244" s="20" t="s">
        <v>911</v>
      </c>
    </row>
    <row r="245" spans="1:12">
      <c r="A245" s="20" t="s">
        <v>833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795</v>
      </c>
      <c r="B246" s="27" t="s">
        <v>760</v>
      </c>
      <c r="C246" s="27" t="s">
        <v>797</v>
      </c>
      <c r="D246" s="27" t="s">
        <v>762</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903</v>
      </c>
      <c r="B247" s="27" t="s">
        <v>767</v>
      </c>
      <c r="C247" s="27" t="s">
        <v>797</v>
      </c>
      <c r="D247" s="27" t="s">
        <v>762</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887</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912</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793</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876</v>
      </c>
      <c r="B251" s="27" t="s">
        <v>879</v>
      </c>
      <c r="C251" s="27" t="s">
        <v>851</v>
      </c>
      <c r="D251" s="27" t="s">
        <v>762</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913</v>
      </c>
      <c r="B252" s="27" t="s">
        <v>796</v>
      </c>
      <c r="C252" s="27" t="s">
        <v>837</v>
      </c>
      <c r="D252" s="27" t="s">
        <v>762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914</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915</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822</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906</v>
      </c>
      <c r="B256" s="27" t="s">
        <v>753</v>
      </c>
      <c r="C256" s="27" t="s">
        <v>761</v>
      </c>
      <c r="D256" s="27" t="s">
        <v>762</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774</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row>
    <row r="259" spans="1:12">
      <c r="A259" s="20" t="s">
        <v>916</v>
      </c>
    </row>
    <row r="260" spans="1:12">
      <c r="A260" s="20" t="s">
        <v>917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918</v>
      </c>
      <c r="B261" s="27" t="s">
        <v>760</v>
      </c>
      <c r="C261" s="27" t="s">
        <v>761</v>
      </c>
      <c r="D261" s="27" t="s">
        <v>762</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889</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919</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876</v>
      </c>
      <c r="B264" s="27" t="s">
        <v>879</v>
      </c>
      <c r="C264" s="27" t="s">
        <v>851</v>
      </c>
      <c r="D264" s="27" t="s">
        <v>762</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913</v>
      </c>
      <c r="B265" s="27" t="s">
        <v>772</v>
      </c>
      <c r="C265" s="27" t="s">
        <v>837</v>
      </c>
      <c r="D265" s="27" t="s">
        <v>762</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914</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920</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822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906</v>
      </c>
      <c r="B269" s="27" t="s">
        <v>753</v>
      </c>
      <c r="C269" s="27" t="s">
        <v>761</v>
      </c>
      <c r="D269" s="27" t="s">
        <v>762</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921</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793</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869</v>
      </c>
      <c r="B272" s="27" t="s">
        <v>796</v>
      </c>
      <c r="C272" s="27" t="s">
        <v>797</v>
      </c>
      <c r="D272" s="27" t="s">
        <v>762</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922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923</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924</v>
      </c>
      <c r="B275" s="27" t="s">
        <v>879</v>
      </c>
      <c r="C275" s="27" t="s">
        <v>831</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925</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846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926</v>
      </c>
      <c r="B278" s="27" t="s">
        <v>879</v>
      </c>
      <c r="C278" s="27" t="s">
        <v>798</v>
      </c>
      <c r="D278" s="27" t="s">
        <v>762</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848</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778</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770</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927</v>
      </c>
      <c r="B282" s="27" t="s">
        <v>753</v>
      </c>
      <c r="C282" s="27" t="s">
        <v>761</v>
      </c>
      <c r="D282" s="27" t="s">
        <v>762</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785</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770</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928</v>
      </c>
      <c r="B285" s="27" t="s">
        <v>901</v>
      </c>
      <c r="C285" s="27" t="s">
        <v>754</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769</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758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929</v>
      </c>
      <c r="B288" s="27" t="s">
        <v>772</v>
      </c>
      <c r="C288" s="27" t="s">
        <v>837</v>
      </c>
      <c r="D288" s="27" t="s">
        <v>762</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769</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876</v>
      </c>
      <c r="B290" s="27" t="s">
        <v>901</v>
      </c>
      <c r="C290" s="27" t="s">
        <v>851</v>
      </c>
      <c r="D290" s="27" t="s">
        <v>762</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877</v>
      </c>
      <c r="B291" s="27" t="s">
        <v>879</v>
      </c>
      <c r="C291" s="27" t="s">
        <v>837</v>
      </c>
      <c r="D291" s="27" t="s">
        <v>762</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757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921</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930</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769</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931</v>
      </c>
      <c r="B296" s="27" t="s">
        <v>772</v>
      </c>
      <c r="C296" s="27" t="s">
        <v>851</v>
      </c>
      <c r="D296" s="27" t="s">
        <v>762</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932</v>
      </c>
      <c r="B297" s="27" t="s">
        <v>753</v>
      </c>
      <c r="C297" s="27" t="s">
        <v>837</v>
      </c>
      <c r="D297" s="27" t="s">
        <v>762</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774</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row>
    <row r="300" spans="1:12">
      <c r="A300" s="20" t="s">
        <v>933</v>
      </c>
    </row>
    <row r="301" spans="1:12">
      <c r="A301" s="20" t="s">
        <v>934</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827</v>
      </c>
      <c r="B302" s="27" t="s">
        <v>796</v>
      </c>
      <c r="C302" s="27" t="s">
        <v>797</v>
      </c>
      <c r="D302" s="27" t="s">
        <v>762</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935</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t="s">
        <v>780</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757</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876</v>
      </c>
      <c r="B306" s="27" t="s">
        <v>772</v>
      </c>
      <c r="C306" s="27" t="s">
        <v>851</v>
      </c>
      <c r="D306" s="27" t="s">
        <v>762</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877</v>
      </c>
      <c r="B307" s="27" t="s">
        <v>760</v>
      </c>
      <c r="C307" s="27" t="s">
        <v>837</v>
      </c>
      <c r="D307" s="27" t="s">
        <v>762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936</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937</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757</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749</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938</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939</v>
      </c>
      <c r="B313" s="27" t="s">
        <v>796</v>
      </c>
      <c r="C313" s="27" t="s">
        <v>761</v>
      </c>
      <c r="D313" s="27" t="s">
        <v>762</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889</v>
      </c>
      <c r="B314" s="27" t="s">
        <v>940</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890</v>
      </c>
      <c r="B315" s="27" t="s">
        <v>941</v>
      </c>
      <c r="C315" s="27" t="s">
        <v>820</v>
      </c>
      <c r="D315" s="27" t="s">
        <v>762</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887</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942</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931</v>
      </c>
      <c r="B318" s="27" t="s">
        <v>815</v>
      </c>
      <c r="C318" s="27" t="s">
        <v>851</v>
      </c>
      <c r="D318" s="27" t="s">
        <v>762</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943</v>
      </c>
      <c r="B319" s="27" t="s">
        <v>901</v>
      </c>
      <c r="C319" s="27" t="s">
        <v>837</v>
      </c>
      <c r="D319" s="27" t="s">
        <v>762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798</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944</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785</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945</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946</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947</v>
      </c>
      <c r="B325" s="27" t="s">
        <v>772</v>
      </c>
      <c r="C325" s="27" t="s">
        <v>803</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785</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822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948</v>
      </c>
      <c r="B328" s="27" t="s">
        <v>879</v>
      </c>
      <c r="C328" s="27" t="s">
        <v>761</v>
      </c>
      <c r="D328" s="27" t="s">
        <v>762</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774</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row>
    <row r="331" spans="1:12">
      <c r="A331" s="20" t="s">
        <v>949</v>
      </c>
    </row>
    <row r="332" spans="1:12">
      <c r="A332" s="20" t="s">
        <v>833</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792</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793</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950</v>
      </c>
      <c r="B335" s="27" t="s">
        <v>796</v>
      </c>
      <c r="C335" s="27" t="s">
        <v>797</v>
      </c>
      <c r="D335" s="27" t="s">
        <v>762</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811</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951</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804</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805</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952</v>
      </c>
      <c r="B340" s="27" t="s">
        <v>772</v>
      </c>
      <c r="C340" s="27" t="s">
        <v>754</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757</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950</v>
      </c>
      <c r="B342" s="27" t="s">
        <v>760</v>
      </c>
      <c r="C342" s="27" t="s">
        <v>797</v>
      </c>
      <c r="D342" s="27" t="s">
        <v>762</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798</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953</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804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954</v>
      </c>
      <c r="B346" s="27" t="s">
        <v>767</v>
      </c>
      <c r="C346" s="27" t="s">
        <v>777</v>
      </c>
      <c r="D346" s="27" t="s">
        <v>762</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793</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955</v>
      </c>
      <c r="B348" s="27" t="s">
        <v>956</v>
      </c>
      <c r="C348" s="27" t="s">
        <v>777</v>
      </c>
      <c r="D348" s="27" t="s">
        <v>762</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778</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774</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row>
    <row r="352" spans="1:12">
      <c r="A352" s="20" t="s">
        <v>957</v>
      </c>
    </row>
    <row r="353" spans="1:12">
      <c r="A353" s="20" t="s">
        <v>818</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866</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827</v>
      </c>
      <c r="B355" s="27" t="s">
        <v>796</v>
      </c>
      <c r="C355" s="27" t="s">
        <v>797</v>
      </c>
      <c r="D355" s="27" t="s">
        <v>762</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935</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780</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757</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869</v>
      </c>
      <c r="B359" s="27" t="s">
        <v>760</v>
      </c>
      <c r="C359" s="27" t="s">
        <v>797</v>
      </c>
      <c r="D359" s="27" t="s">
        <v>762</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958</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959</v>
      </c>
      <c r="B361" s="27" t="s">
        <v>767</v>
      </c>
      <c r="C361" s="27" t="s">
        <v>777</v>
      </c>
      <c r="D361" s="27" t="s">
        <v>762</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942</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822</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960</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961</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962</v>
      </c>
      <c r="B366" s="27" t="s">
        <v>753</v>
      </c>
      <c r="C366" s="27" t="s">
        <v>761</v>
      </c>
      <c r="D366" s="27" t="s">
        <v>762</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769</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822</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948</v>
      </c>
      <c r="B369" s="27" t="s">
        <v>772</v>
      </c>
      <c r="C369" s="27" t="s">
        <v>761</v>
      </c>
      <c r="D369" s="27" t="s">
        <v>762</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757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889</v>
      </c>
      <c r="B371" s="27" t="s">
        <v>894</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795</v>
      </c>
      <c r="B372" s="27" t="s">
        <v>956</v>
      </c>
      <c r="C372" s="27" t="s">
        <v>797</v>
      </c>
      <c r="D372" s="27" t="s">
        <v>762</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963</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959</v>
      </c>
      <c r="B374" s="27" t="s">
        <v>956</v>
      </c>
      <c r="C374" s="27" t="s">
        <v>777</v>
      </c>
      <c r="D374" s="27" t="s">
        <v>762</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785</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964</v>
      </c>
      <c r="B376" s="27" t="s">
        <v>879</v>
      </c>
      <c r="C376" s="27" t="s">
        <v>754</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805</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421</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965</v>
      </c>
      <c r="B379" s="27" t="s">
        <v>815</v>
      </c>
      <c r="C379" s="27" t="s">
        <v>851</v>
      </c>
      <c r="D379" s="27" t="s">
        <v>762</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877</v>
      </c>
      <c r="B380" s="27" t="s">
        <v>901</v>
      </c>
      <c r="C380" s="27" t="s">
        <v>837</v>
      </c>
      <c r="D380" s="27" t="s">
        <v>762</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774</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row>
    <row r="383" spans="1:12">
      <c r="A383" s="20" t="s">
        <v>966</v>
      </c>
    </row>
    <row r="384" spans="1:12">
      <c r="A384" s="20" t="s">
        <v>934</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827</v>
      </c>
      <c r="B385" s="27" t="s">
        <v>796</v>
      </c>
      <c r="C385" s="27" t="s">
        <v>797</v>
      </c>
      <c r="D385" s="27" t="s">
        <v>762</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935</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967</v>
      </c>
      <c r="B387" s="27" t="s">
        <v>753</v>
      </c>
      <c r="C387" s="27" t="s">
        <v>754</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757</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869</v>
      </c>
      <c r="B389" s="27" t="s">
        <v>760</v>
      </c>
      <c r="C389" s="27" t="s">
        <v>797</v>
      </c>
      <c r="D389" s="27" t="s">
        <v>762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968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793</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827</v>
      </c>
      <c r="B392" s="27" t="s">
        <v>796</v>
      </c>
      <c r="C392" s="27" t="s">
        <v>797</v>
      </c>
      <c r="D392" s="27" t="s">
        <v>762</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935</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924</v>
      </c>
      <c r="B394" s="27" t="s">
        <v>753</v>
      </c>
      <c r="C394" s="27" t="s">
        <v>754</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757</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810</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793</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969</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869</v>
      </c>
      <c r="B399" s="27" t="s">
        <v>796</v>
      </c>
      <c r="C399" s="27" t="s">
        <v>797</v>
      </c>
      <c r="D399" s="27" t="s">
        <v>762</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798</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970</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971</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804</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129</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769</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972</v>
      </c>
      <c r="B406" s="27" t="s">
        <v>894</v>
      </c>
      <c r="C406" s="27" t="s">
        <v>768</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774</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row>
    <row r="409" spans="1:12">
      <c r="A409" s="20" t="s">
        <v>973</v>
      </c>
    </row>
    <row r="410" spans="1:12">
      <c r="A410" s="20" t="s">
        <v>833</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974</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795</v>
      </c>
      <c r="B412" s="27" t="s">
        <v>796</v>
      </c>
      <c r="C412" s="27" t="s">
        <v>797</v>
      </c>
      <c r="D412" s="27" t="s">
        <v>762</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936</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959</v>
      </c>
      <c r="B414" s="27" t="s">
        <v>802</v>
      </c>
      <c r="C414" s="27" t="s">
        <v>777</v>
      </c>
      <c r="D414" s="27" t="s">
        <v>762</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757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959</v>
      </c>
      <c r="B416" s="27" t="s">
        <v>760</v>
      </c>
      <c r="C416" s="27" t="s">
        <v>777</v>
      </c>
      <c r="D416" s="27" t="s">
        <v>762</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975</v>
      </c>
      <c r="B417" s="27" t="s">
        <v>767</v>
      </c>
      <c r="C417" s="27" t="s">
        <v>797</v>
      </c>
      <c r="D417" s="27" t="s">
        <v>762</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976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977</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774</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row>
    <row r="422" spans="1:12">
      <c r="A422" s="20" t="s">
        <v>978</v>
      </c>
    </row>
    <row r="423" spans="1:12">
      <c r="A423" s="20" t="s">
        <v>833</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882</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129</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918</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878</v>
      </c>
      <c r="B427" s="27" t="s">
        <v>879</v>
      </c>
      <c r="C427" s="27" t="s">
        <v>851</v>
      </c>
      <c r="D427" s="27" t="s">
        <v>762</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979</v>
      </c>
      <c r="B428" s="27" t="s">
        <v>802</v>
      </c>
      <c r="C428" s="27" t="s">
        <v>837</v>
      </c>
      <c r="D428" s="27" t="s">
        <v>762</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757</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974</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795</v>
      </c>
      <c r="B431" s="27" t="s">
        <v>956</v>
      </c>
      <c r="C431" s="27" t="s">
        <v>797</v>
      </c>
      <c r="D431" s="27" t="s">
        <v>762</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887</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980</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785</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822</v>
      </c>
      <c r="B435" s="27" t="s">
        <v>940</v>
      </c>
      <c r="C435" s="27" t="s">
        <v>797</v>
      </c>
      <c r="D435" s="27" t="s">
        <v>762</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56</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757</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827</v>
      </c>
      <c r="B438" s="27" t="s">
        <v>760</v>
      </c>
      <c r="C438" s="27" t="s">
        <v>797</v>
      </c>
      <c r="D438" s="27" t="s">
        <v>762</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935</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981</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774</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row>
    <row r="443" spans="1:12">
      <c r="A443" s="20" t="s">
        <v>982</v>
      </c>
    </row>
    <row r="444" spans="1:12">
      <c r="A444" s="20" t="s">
        <v>983</v>
      </c>
      <c r="B444" s="27" t="s">
        <v>760</v>
      </c>
      <c r="C444" s="27" t="s">
        <v>797</v>
      </c>
      <c r="D444" s="27" t="s">
        <v>762</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984</v>
      </c>
      <c r="B445" s="27" t="s">
        <v>767</v>
      </c>
      <c r="C445" s="27" t="s">
        <v>797</v>
      </c>
      <c r="D445" s="27" t="s">
        <v>762</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985</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757</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749</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983</v>
      </c>
      <c r="B449" s="27" t="s">
        <v>796</v>
      </c>
      <c r="C449" s="27" t="s">
        <v>797</v>
      </c>
      <c r="D449" s="27" t="s">
        <v>762</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870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924</v>
      </c>
      <c r="B451" s="27" t="s">
        <v>753</v>
      </c>
      <c r="C451" s="27" t="s">
        <v>754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774</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row>
    <row r="454" spans="1:12">
      <c r="A454" s="20" t="s">
        <v>986</v>
      </c>
    </row>
    <row r="455" spans="1:12">
      <c r="A455" s="20" t="s">
        <v>987</v>
      </c>
      <c r="B455" s="27" t="s">
        <v>760</v>
      </c>
      <c r="C455" s="27" t="s">
        <v>777</v>
      </c>
      <c r="D455" s="27" t="s">
        <v>762</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811</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778</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804</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770</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988</v>
      </c>
      <c r="B460" s="27" t="s">
        <v>753</v>
      </c>
      <c r="C460" s="27" t="s">
        <v>761</v>
      </c>
      <c r="D460" s="27" t="s">
        <v>762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872</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989</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869</v>
      </c>
      <c r="B463" s="27" t="s">
        <v>796</v>
      </c>
      <c r="C463" s="27" t="s">
        <v>797</v>
      </c>
      <c r="D463" s="27" t="s">
        <v>762</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990</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774</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row>
    <row r="467" spans="1:12">
      <c r="A467" s="20" t="s">
        <v>991</v>
      </c>
    </row>
    <row r="468" spans="1:12">
      <c r="A468" s="20" t="s">
        <v>833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869</v>
      </c>
      <c r="B469" s="27" t="s">
        <v>760</v>
      </c>
      <c r="C469" s="27" t="s">
        <v>797</v>
      </c>
      <c r="D469" s="27" t="s">
        <v>762</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992</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793</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950</v>
      </c>
      <c r="B472" s="27" t="s">
        <v>796</v>
      </c>
      <c r="C472" s="27" t="s">
        <v>797</v>
      </c>
      <c r="D472" s="27" t="s">
        <v>762</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993</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769</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56</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959</v>
      </c>
      <c r="B476" s="27" t="s">
        <v>894</v>
      </c>
      <c r="C476" s="27" t="s">
        <v>777</v>
      </c>
      <c r="D476" s="27" t="s">
        <v>762</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774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row>
    <row r="479" spans="1:12">
      <c r="A479" s="20" t="s">
        <v>994</v>
      </c>
    </row>
    <row r="480" spans="1:12">
      <c r="A480" s="20" t="s">
        <v>818</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995</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996</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887</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997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95</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830</v>
      </c>
      <c r="B486" s="27" t="s">
        <v>802</v>
      </c>
      <c r="C486" s="27" t="s">
        <v>831</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757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998</v>
      </c>
      <c r="B488" s="27" t="s">
        <v>772</v>
      </c>
      <c r="C488" s="27" t="s">
        <v>851</v>
      </c>
      <c r="D488" s="27" t="s">
        <v>762</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999</v>
      </c>
      <c r="B489" s="27" t="s">
        <v>760</v>
      </c>
      <c r="C489" s="27" t="s">
        <v>837</v>
      </c>
      <c r="D489" s="27" t="s">
        <v>762</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785</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822</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1000</v>
      </c>
      <c r="B492" s="27" t="s">
        <v>772</v>
      </c>
      <c r="C492" s="27" t="s">
        <v>798</v>
      </c>
      <c r="D492" s="27" t="s">
        <v>762</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1001</v>
      </c>
      <c r="B493" s="27" t="s">
        <v>879</v>
      </c>
      <c r="C493" s="27" t="s">
        <v>798</v>
      </c>
      <c r="D493" s="27" t="s">
        <v>762</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1002</v>
      </c>
      <c r="B494" s="27" t="s">
        <v>879</v>
      </c>
      <c r="C494" s="27" t="s">
        <v>798</v>
      </c>
      <c r="D494" s="27" t="s">
        <v>762</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t="s">
        <v>1003</v>
      </c>
      <c r="B495" s="27" t="s">
        <v>879</v>
      </c>
      <c r="C495" s="27" t="s">
        <v>798</v>
      </c>
      <c r="D495" s="27" t="s">
        <v>762</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903</v>
      </c>
      <c r="B496" s="27" t="s">
        <v>767</v>
      </c>
      <c r="C496" s="27" t="s">
        <v>797</v>
      </c>
      <c r="D496" s="27" t="s">
        <v>762</v>
      </c>
      <c r="E496" s="21">
        <f>IF(D496="?OLD","!!!","")</f>
        <v/>
      </c>
      <c r="F496" s="22" t="str">
        <f>IF(OR(E496="",E496="!!!"),"",IF(NOT(ISNA(VLOOKUP(E496,E$1:E495,1,FALSE()))),"OLD",IF(AND(E496&lt;&gt;"",E496&lt;&gt;"!!!"),"NEW","")))</f>
        <v> </v>
      </c>
      <c r="G496" s="23" t="str">
        <f>IF(OR(E496="",E496="!!!"),"",IF(OR(J496=0,AND(J496=1,K496=1),AND(J496=1,I496="SBJ"),AND(J496=1,I496=0)),"?IN_FOCUS",IF(J496&lt;=2,"?ACTIVATED",IF(J496&lt;&gt;"","?FAMILIAR",IF(F496="NEW",IF(ISNA(VLOOKUP(E496,#REF!,1,FALSE())),"?TYPE_IDENTIFIABLE","?REFERENTIAL"),"_")))))</f>
        <v> </v>
      </c>
      <c r="H496" s="24" t="str">
        <f>IF(J496&lt;&gt;1,"",IF(I496="SBJ","CB","?"))</f>
        <v> </v>
      </c>
      <c r="I496" s="25" t="str">
        <f>IF(OR(E496="",E496="!!!",F496="NEW"),"",INDEX(B495:B$2,-1+SUMPRODUCT(MAX(ROW(E495:E$2)*(E496=E495:E$2)))))</f>
        <v> </v>
      </c>
      <c r="J496" s="25" t="str">
        <f>IF(OR(E496="",E496="!!!",F496="NEW"),"",COUNTBLANK(OFFSET(A$1,,,SUMPRODUCT(MAX(ROW(E$2:E496)*(E496=E$2:E496)))))-COUNTBLANK(OFFSET(A$1,,,SUMPRODUCT(MAX(ROW(E$1:E495)*(E2=E$1:E495))))))</f>
        <v> </v>
      </c>
      <c r="K496" s="25" t="str">
        <f>IF(OR(E496="",E496="!!!",F496="NEW"),"",INDEX(J$1:J495,SUMPRODUCT(MAX(ROW(E$1:E495)*(E496=E$1:E495)))))</f>
        <v> </v>
      </c>
      <c r="L496" s="26"/>
    </row>
    <row r="497" spans="1:12">
      <c r="A497" s="20" t="s">
        <v>1004</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1005</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805</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382</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779</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1006</v>
      </c>
      <c r="B502" s="27" t="s">
        <v>802</v>
      </c>
      <c r="C502" s="27" t="s">
        <v>768</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1007</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770</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1008</v>
      </c>
      <c r="B505" s="27" t="s">
        <v>879</v>
      </c>
      <c r="C505" s="27" t="s">
        <v>761</v>
      </c>
      <c r="D505" s="27" t="s">
        <v>762</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1009</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774</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row>
    <row r="509" spans="1:12">
      <c r="A509" s="20" t="s">
        <v>1010</v>
      </c>
    </row>
    <row r="510" spans="1:12">
      <c r="A510" s="20" t="s">
        <v>833</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827</v>
      </c>
      <c r="B511" s="27" t="s">
        <v>760</v>
      </c>
      <c r="C511" s="27" t="s">
        <v>797</v>
      </c>
      <c r="D511" s="27" t="s">
        <v>762</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751</v>
      </c>
      <c r="B512" s="27" t="s">
        <v>767</v>
      </c>
      <c r="C512" s="27" t="s">
        <v>820</v>
      </c>
      <c r="D512" s="27" t="s">
        <v>762</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870</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1011</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1012</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774</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row>
    <row r="518" spans="1:12">
      <c r="A518" s="20" t="s">
        <v>1013</v>
      </c>
    </row>
    <row r="519" spans="1:12">
      <c r="A519" s="20" t="s">
        <v>983</v>
      </c>
      <c r="B519" s="27" t="s">
        <v>760</v>
      </c>
      <c r="C519" s="27" t="s">
        <v>797</v>
      </c>
      <c r="D519" s="27" t="s">
        <v>762</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811</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828</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1014</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785</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770</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1015</v>
      </c>
      <c r="B525" s="27" t="s">
        <v>753</v>
      </c>
      <c r="C525" s="27" t="s">
        <v>761</v>
      </c>
      <c r="D525" s="27" t="s">
        <v>762</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889</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751</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792</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793</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814</v>
      </c>
      <c r="B530" s="27" t="s">
        <v>753</v>
      </c>
      <c r="C530" s="27" t="s">
        <v>754</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774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row>
    <row r="533" spans="1:12">
      <c r="A533" s="20" t="s">
        <v>1016</v>
      </c>
    </row>
    <row r="534" spans="1:12">
      <c r="A534" s="20" t="s">
        <v>1017</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1018</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125</v>
      </c>
      <c r="B536" s="27" t="s">
        <v>753</v>
      </c>
      <c r="C536" s="27" t="s">
        <v>1019</v>
      </c>
      <c r="D536" s="27" t="s">
        <v>762</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1020</v>
      </c>
      <c r="B537" s="27" t="s">
        <v>796</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798</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1021</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804</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1022</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774</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row>
    <row r="544" spans="1:12">
      <c r="A544" s="20" t="s">
        <v>1023</v>
      </c>
    </row>
    <row r="545" spans="1:12">
      <c r="A545" s="20" t="s">
        <v>1024</v>
      </c>
      <c r="B545" s="27" t="s">
        <v>760</v>
      </c>
      <c r="C545" s="27" t="s">
        <v>797</v>
      </c>
      <c r="D545" s="27" t="s">
        <v>762</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1025</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1026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1015</v>
      </c>
      <c r="B548" s="27" t="s">
        <v>767</v>
      </c>
      <c r="C548" s="27" t="s">
        <v>1019</v>
      </c>
      <c r="D548" s="27" t="s">
        <v>762</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757</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793</v>
      </c>
      <c r="B550" s="27" t="s">
        <v>894</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1027</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1028</v>
      </c>
      <c r="B552" s="27" t="s">
        <v>940</v>
      </c>
      <c r="C552" s="27" t="s">
        <v>797</v>
      </c>
      <c r="D552" s="27" t="s">
        <v>762</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333</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942</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1029</v>
      </c>
      <c r="B555" s="27" t="s">
        <v>901</v>
      </c>
      <c r="C555" s="27" t="s">
        <v>820</v>
      </c>
      <c r="D555" s="27" t="s">
        <v>762</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859</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row>
    <row r="558" spans="1:12">
      <c r="A558" s="20" t="s">
        <v>1030</v>
      </c>
    </row>
    <row r="559" spans="1:12">
      <c r="A559" s="20" t="s">
        <v>983</v>
      </c>
      <c r="B559" s="27" t="s">
        <v>760</v>
      </c>
      <c r="C559" s="27" t="s">
        <v>797</v>
      </c>
      <c r="D559" s="27" t="s">
        <v>762</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870</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1031</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1032</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872</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822</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948</v>
      </c>
      <c r="B565" s="27" t="s">
        <v>753</v>
      </c>
      <c r="C565" s="27" t="s">
        <v>761</v>
      </c>
      <c r="D565" s="27" t="s">
        <v>762</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769</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838</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1033</v>
      </c>
      <c r="B568" s="27" t="s">
        <v>772</v>
      </c>
      <c r="C568" s="27" t="s">
        <v>761</v>
      </c>
      <c r="D568" s="27" t="s">
        <v>762</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774</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row>
    <row r="571" spans="1:12">
      <c r="A571" s="20" t="s">
        <v>1034</v>
      </c>
    </row>
    <row r="572" spans="1:12">
      <c r="A572" s="20" t="s">
        <v>983</v>
      </c>
      <c r="B572" s="27" t="s">
        <v>760</v>
      </c>
      <c r="C572" s="27" t="s">
        <v>797</v>
      </c>
      <c r="D572" s="27" t="s">
        <v>762</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870</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871</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872</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769</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838</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1035</v>
      </c>
      <c r="B578" s="27" t="s">
        <v>753</v>
      </c>
      <c r="C578" s="27" t="s">
        <v>761</v>
      </c>
      <c r="D578" s="27" t="s">
        <v>762</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942</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1033</v>
      </c>
      <c r="B580" s="27" t="s">
        <v>753</v>
      </c>
      <c r="C580" s="27" t="s">
        <v>754</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774</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row>
    <row r="583" spans="1:12">
      <c r="A583" s="20" t="s">
        <v>1036</v>
      </c>
    </row>
    <row r="584" spans="1:12">
      <c r="A584" s="20" t="s">
        <v>1037</v>
      </c>
      <c r="B584" s="27" t="s">
        <v>760</v>
      </c>
      <c r="C584" s="27" t="s">
        <v>797</v>
      </c>
      <c r="D584" s="27" t="s">
        <v>762</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909</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1038</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785</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769</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822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1039</v>
      </c>
      <c r="B590" s="27" t="s">
        <v>753</v>
      </c>
      <c r="C590" s="27" t="s">
        <v>761</v>
      </c>
      <c r="D590" s="27" t="s">
        <v>762</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1040</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810</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785</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769</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770</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1041</v>
      </c>
      <c r="B596" s="27" t="s">
        <v>753</v>
      </c>
      <c r="C596" s="27" t="s">
        <v>761</v>
      </c>
      <c r="D596" s="27" t="s">
        <v>762</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1009</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774</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row>
    <row r="600" spans="1:12">
      <c r="A600" s="20" t="s">
        <v>1042</v>
      </c>
    </row>
    <row r="601" spans="1:12">
      <c r="A601" s="20" t="s">
        <v>983</v>
      </c>
      <c r="B601" s="27" t="s">
        <v>760</v>
      </c>
      <c r="C601" s="27" t="s">
        <v>797</v>
      </c>
      <c r="D601" s="27" t="s">
        <v>762</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870</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1043</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871</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785</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822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1044</v>
      </c>
      <c r="B607" s="27" t="s">
        <v>753</v>
      </c>
      <c r="C607" s="27" t="s">
        <v>837</v>
      </c>
      <c r="D607" s="27" t="s">
        <v>762</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769</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1045</v>
      </c>
      <c r="B609" s="27" t="s">
        <v>772</v>
      </c>
      <c r="C609" s="27" t="s">
        <v>798</v>
      </c>
      <c r="D609" s="27" t="s">
        <v>762</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1046</v>
      </c>
      <c r="B610" s="27" t="s">
        <v>879</v>
      </c>
      <c r="C610" s="27" t="s">
        <v>798</v>
      </c>
      <c r="D610" s="27" t="s">
        <v>762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1047</v>
      </c>
      <c r="B611" s="27" t="s">
        <v>879</v>
      </c>
      <c r="C611" s="27" t="s">
        <v>798</v>
      </c>
      <c r="D611" s="27" t="s">
        <v>762</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785</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1048</v>
      </c>
      <c r="B613" s="27" t="s">
        <v>772</v>
      </c>
      <c r="C613" s="27" t="s">
        <v>798</v>
      </c>
      <c r="D613" s="27" t="s">
        <v>762</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872</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822</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1049</v>
      </c>
      <c r="B616" s="27" t="s">
        <v>753</v>
      </c>
      <c r="C616" s="27" t="s">
        <v>798</v>
      </c>
      <c r="D616" s="27" t="s">
        <v>762</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1050</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838</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125</v>
      </c>
      <c r="B619" s="27" t="s">
        <v>956</v>
      </c>
      <c r="C619" s="27" t="s">
        <v>761</v>
      </c>
      <c r="D619" s="27" t="s">
        <v>762</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1051</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1052</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769</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1026</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1053</v>
      </c>
      <c r="B624" s="27" t="s">
        <v>879</v>
      </c>
      <c r="C624" s="27" t="s">
        <v>1019</v>
      </c>
      <c r="D624" s="27" t="s">
        <v>762</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769</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838</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1054</v>
      </c>
      <c r="B627" s="27" t="s">
        <v>901</v>
      </c>
      <c r="C627" s="27" t="s">
        <v>761</v>
      </c>
      <c r="D627" s="27" t="s">
        <v>762</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785</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758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1055</v>
      </c>
      <c r="B630" s="27" t="s">
        <v>901</v>
      </c>
      <c r="C630" s="27" t="s">
        <v>761</v>
      </c>
      <c r="D630" s="27" t="s">
        <v>762</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769</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822</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1056</v>
      </c>
      <c r="B633" s="27" t="s">
        <v>815</v>
      </c>
      <c r="C633" s="27" t="s">
        <v>761</v>
      </c>
      <c r="D633" s="27" t="s">
        <v>762</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774</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row>
    <row r="636" spans="1:12">
      <c r="A636" s="20" t="s">
        <v>1057</v>
      </c>
    </row>
    <row r="637" spans="1:12">
      <c r="A637" s="20" t="s">
        <v>1058</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793</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869</v>
      </c>
      <c r="B639" s="27" t="s">
        <v>796</v>
      </c>
      <c r="C639" s="27" t="s">
        <v>797</v>
      </c>
      <c r="D639" s="27" t="s">
        <v>762</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975</v>
      </c>
      <c r="B640" s="27" t="s">
        <v>802</v>
      </c>
      <c r="C640" s="27" t="s">
        <v>797</v>
      </c>
      <c r="D640" s="27" t="s">
        <v>762</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1059</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769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960</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751</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960</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872</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822</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948</v>
      </c>
      <c r="B648" s="27" t="s">
        <v>772</v>
      </c>
      <c r="C648" s="27" t="s">
        <v>761</v>
      </c>
      <c r="D648" s="27" t="s">
        <v>762</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769</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838</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1033</v>
      </c>
      <c r="B651" s="27" t="s">
        <v>879</v>
      </c>
      <c r="C651" s="27" t="s">
        <v>761</v>
      </c>
      <c r="D651" s="27" t="s">
        <v>762</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757</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869</v>
      </c>
      <c r="B653" s="27" t="s">
        <v>760</v>
      </c>
      <c r="C653" s="27" t="s">
        <v>797</v>
      </c>
      <c r="D653" s="27" t="s">
        <v>762</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870</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1060</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1061</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793</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770</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1015</v>
      </c>
      <c r="B659" s="27" t="s">
        <v>956</v>
      </c>
      <c r="C659" s="27" t="s">
        <v>761</v>
      </c>
      <c r="D659" s="27" t="s">
        <v>762</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915</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764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1008</v>
      </c>
      <c r="B662" s="27" t="s">
        <v>772</v>
      </c>
      <c r="C662" s="27" t="s">
        <v>768</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810</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793</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838</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125</v>
      </c>
      <c r="B666" s="27" t="s">
        <v>941</v>
      </c>
      <c r="C666" s="27" t="s">
        <v>761</v>
      </c>
      <c r="D666" s="27" t="s">
        <v>762</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769</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822</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948</v>
      </c>
      <c r="B669" s="27" t="s">
        <v>815</v>
      </c>
      <c r="C669" s="27" t="s">
        <v>761</v>
      </c>
      <c r="D669" s="27" t="s">
        <v>762</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769</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838</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1033</v>
      </c>
      <c r="B672" s="27" t="s">
        <v>1062</v>
      </c>
      <c r="C672" s="27" t="s">
        <v>761</v>
      </c>
      <c r="D672" s="27" t="s">
        <v>762</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1020</v>
      </c>
      <c r="B673" s="27" t="s">
        <v>1063</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1064</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757</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749</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1065</v>
      </c>
      <c r="B677" s="27" t="s">
        <v>941</v>
      </c>
      <c r="C677" s="27" t="s">
        <v>797</v>
      </c>
      <c r="D677" s="27" t="s">
        <v>762</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798</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1066</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804</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1067</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757</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886</v>
      </c>
      <c r="B683" s="27" t="s">
        <v>796</v>
      </c>
      <c r="C683" s="27" t="s">
        <v>797</v>
      </c>
      <c r="D683" s="27" t="s">
        <v>762</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1066</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1068</v>
      </c>
      <c r="B685" s="27" t="s">
        <v>753</v>
      </c>
      <c r="C685" s="27" t="s">
        <v>754</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805</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764</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1008</v>
      </c>
      <c r="B688" s="27" t="s">
        <v>772</v>
      </c>
      <c r="C688" s="27" t="s">
        <v>768</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757</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818</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1064</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1069</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1070</v>
      </c>
      <c r="B693" s="27" t="s">
        <v>894</v>
      </c>
      <c r="C693" s="27" t="s">
        <v>803</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769</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1071</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774</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row>
    <row r="698" spans="1:12">
      <c r="A698" s="20" t="s">
        <v>1072</v>
      </c>
    </row>
    <row r="699" spans="1:12">
      <c r="A699" s="20" t="s">
        <v>987</v>
      </c>
      <c r="B699" s="27" t="s">
        <v>760</v>
      </c>
      <c r="C699" s="27" t="s">
        <v>777</v>
      </c>
      <c r="D699" s="27" t="s">
        <v>762</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811</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915</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804</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876</v>
      </c>
      <c r="B703" s="27" t="s">
        <v>753</v>
      </c>
      <c r="C703" s="27" t="s">
        <v>851</v>
      </c>
      <c r="D703" s="27" t="s">
        <v>762</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1008</v>
      </c>
      <c r="B704" s="27" t="s">
        <v>753</v>
      </c>
      <c r="C704" s="27" t="s">
        <v>837</v>
      </c>
      <c r="D704" s="27" t="s">
        <v>762</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757</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810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869</v>
      </c>
      <c r="B707" s="27" t="s">
        <v>796</v>
      </c>
      <c r="C707" s="27" t="s">
        <v>797</v>
      </c>
      <c r="D707" s="27" t="s">
        <v>762</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811</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828</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804</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1073</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1074</v>
      </c>
      <c r="B712" s="27" t="s">
        <v>802</v>
      </c>
      <c r="C712" s="27" t="s">
        <v>754</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769</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975</v>
      </c>
      <c r="B714" s="27" t="s">
        <v>940</v>
      </c>
      <c r="C714" s="27" t="s">
        <v>797</v>
      </c>
      <c r="D714" s="27" t="s">
        <v>762</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1075</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942</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838</v>
      </c>
      <c r="B717" s="27" t="s">
        <v>1076</v>
      </c>
      <c r="C717" s="27" t="s">
        <v>797</v>
      </c>
      <c r="D717" s="27" t="s">
        <v>762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1077</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757</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921</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827</v>
      </c>
      <c r="B721" s="27" t="s">
        <v>796</v>
      </c>
      <c r="C721" s="27" t="s">
        <v>797</v>
      </c>
      <c r="D721" s="27" t="s">
        <v>762</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1078</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793</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954</v>
      </c>
      <c r="B724" s="27" t="s">
        <v>956</v>
      </c>
      <c r="C724" s="27" t="s">
        <v>777</v>
      </c>
      <c r="D724" s="27" t="s">
        <v>762</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920</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764</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1008</v>
      </c>
      <c r="B727" s="27" t="s">
        <v>772</v>
      </c>
      <c r="C727" s="27" t="s">
        <v>768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810</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793</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942</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1079</v>
      </c>
      <c r="B731" s="27" t="s">
        <v>901</v>
      </c>
      <c r="C731" s="27" t="s">
        <v>777</v>
      </c>
      <c r="D731" s="27" t="s">
        <v>762</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1020</v>
      </c>
      <c r="B732" s="27" t="s">
        <v>1080</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751</v>
      </c>
      <c r="B733" s="27" t="s">
        <v>1062</v>
      </c>
      <c r="C733" s="27" t="s">
        <v>820</v>
      </c>
      <c r="D733" s="27" t="s">
        <v>762</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1081</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1068</v>
      </c>
      <c r="B735" s="27" t="s">
        <v>815</v>
      </c>
      <c r="C735" s="27" t="s">
        <v>754</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757</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795</v>
      </c>
      <c r="B737" s="27" t="s">
        <v>941</v>
      </c>
      <c r="C737" s="27" t="s">
        <v>797</v>
      </c>
      <c r="D737" s="27" t="s">
        <v>762</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1082</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930</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1083</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793</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770</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1008</v>
      </c>
      <c r="B743" s="27" t="s">
        <v>815</v>
      </c>
      <c r="C743" s="27" t="s">
        <v>761</v>
      </c>
      <c r="D743" s="27" t="s">
        <v>762</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1084</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757</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924</v>
      </c>
      <c r="B746" s="27" t="s">
        <v>1062</v>
      </c>
      <c r="C746" s="27" t="s">
        <v>754</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1085</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1086</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774</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row>
    <row r="751" spans="1:12">
      <c r="A751" s="20" t="s">
        <v>1087</v>
      </c>
    </row>
    <row r="752" spans="1:12">
      <c r="A752" s="20" t="s">
        <v>1088</v>
      </c>
      <c r="B752" s="27" t="s">
        <v>760</v>
      </c>
      <c r="C752" s="27" t="s">
        <v>797</v>
      </c>
      <c r="D752" s="27" t="s">
        <v>762</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1082</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867</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1043</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930</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1089</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793</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770</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1008</v>
      </c>
      <c r="B760" s="27" t="s">
        <v>772</v>
      </c>
      <c r="C760" s="27" t="s">
        <v>761</v>
      </c>
      <c r="D760" s="27" t="s">
        <v>762</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1090</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774</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row>
    <row r="764" spans="1:12">
      <c r="A764" s="20" t="s">
        <v>1091</v>
      </c>
    </row>
    <row r="765" spans="1:12">
      <c r="A765" s="20" t="s">
        <v>1092</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764</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1093</v>
      </c>
      <c r="B767" s="27" t="s">
        <v>760</v>
      </c>
      <c r="C767" s="27" t="s">
        <v>837</v>
      </c>
      <c r="D767" s="27" t="s">
        <v>762</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805</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779</v>
      </c>
      <c r="B769" s="27" t="s">
        <v>772</v>
      </c>
      <c r="C769" s="27" t="s">
        <v>820</v>
      </c>
      <c r="D769" s="27" t="s">
        <v>762</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769</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998</v>
      </c>
      <c r="B771" s="27" t="s">
        <v>901</v>
      </c>
      <c r="C771" s="27" t="s">
        <v>851</v>
      </c>
      <c r="D771" s="27" t="s">
        <v>762</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1094</v>
      </c>
      <c r="B772" s="27" t="s">
        <v>879</v>
      </c>
      <c r="C772" s="27" t="s">
        <v>837</v>
      </c>
      <c r="D772" s="27" t="s">
        <v>762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887</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1095</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764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1096</v>
      </c>
      <c r="B776" s="27" t="s">
        <v>767</v>
      </c>
      <c r="C776" s="27" t="s">
        <v>768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1097</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774</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row>
    <row r="780" spans="1:12">
      <c r="A780" s="20" t="s">
        <v>1098</v>
      </c>
    </row>
    <row r="781" spans="1:12">
      <c r="A781" s="20" t="s">
        <v>934</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1099</v>
      </c>
      <c r="B782" s="27" t="s">
        <v>879</v>
      </c>
      <c r="C782" s="27" t="s">
        <v>851</v>
      </c>
      <c r="D782" s="27" t="s">
        <v>762</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1096</v>
      </c>
      <c r="B783" s="27" t="s">
        <v>796</v>
      </c>
      <c r="C783" s="27" t="s">
        <v>837</v>
      </c>
      <c r="D783" s="27" t="s">
        <v>762</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778</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1100</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t="s">
        <v>757</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795</v>
      </c>
      <c r="B787" s="27" t="s">
        <v>760</v>
      </c>
      <c r="C787" s="27" t="s">
        <v>797</v>
      </c>
      <c r="D787" s="27" t="s">
        <v>762</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840</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778</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1101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1102</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1103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785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769</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838</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1104</v>
      </c>
      <c r="B796" s="27" t="s">
        <v>772</v>
      </c>
      <c r="C796" s="27" t="s">
        <v>761</v>
      </c>
      <c r="D796" s="27" t="s">
        <v>762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1020</v>
      </c>
      <c r="B797" s="27" t="s">
        <v>941</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1105</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975</v>
      </c>
      <c r="B799" s="27" t="s">
        <v>940</v>
      </c>
      <c r="C799" s="27" t="s">
        <v>797</v>
      </c>
      <c r="D799" s="27" t="s">
        <v>762</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1106</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1107</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769</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1108</v>
      </c>
      <c r="B803" s="27" t="s">
        <v>815</v>
      </c>
      <c r="C803" s="27" t="s">
        <v>754</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774</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row>
    <row r="806" spans="1:12">
      <c r="A806" s="20" t="s">
        <v>1109</v>
      </c>
    </row>
    <row r="807" spans="1:12">
      <c r="A807" s="20" t="s">
        <v>1088</v>
      </c>
      <c r="B807" s="27" t="s">
        <v>760</v>
      </c>
      <c r="C807" s="27" t="s">
        <v>797</v>
      </c>
      <c r="D807" s="27" t="s">
        <v>762</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915</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1103</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785</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770</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852</v>
      </c>
      <c r="B812" s="27" t="s">
        <v>753</v>
      </c>
      <c r="C812" s="27" t="s">
        <v>761</v>
      </c>
      <c r="D812" s="27" t="s">
        <v>762</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769</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1110</v>
      </c>
      <c r="B814" s="27" t="s">
        <v>802</v>
      </c>
      <c r="C814" s="27" t="s">
        <v>820</v>
      </c>
      <c r="D814" s="27" t="s">
        <v>762</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333</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875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1026</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952</v>
      </c>
      <c r="B818" s="27" t="s">
        <v>772</v>
      </c>
      <c r="C818" s="27" t="s">
        <v>1019</v>
      </c>
      <c r="D818" s="27" t="s">
        <v>762</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774</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row>
    <row r="821" spans="1:12">
      <c r="A821" s="20" t="s">
        <v>1111</v>
      </c>
    </row>
    <row r="822" spans="1:12">
      <c r="A822" s="20" t="s">
        <v>1112</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862</v>
      </c>
      <c r="B823" s="27" t="s">
        <v>760</v>
      </c>
      <c r="C823" s="27" t="s">
        <v>797</v>
      </c>
      <c r="D823" s="27" t="s">
        <v>762</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56</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854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749</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1113</v>
      </c>
      <c r="B827" s="27" t="s">
        <v>796</v>
      </c>
      <c r="C827" s="27" t="s">
        <v>797</v>
      </c>
      <c r="D827" s="27" t="s">
        <v>762</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1114</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807</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1115</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822</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948</v>
      </c>
      <c r="B832" s="27" t="s">
        <v>753</v>
      </c>
      <c r="C832" s="27" t="s">
        <v>761</v>
      </c>
      <c r="D832" s="27" t="s">
        <v>762</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757</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921</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779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1116</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960</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1117</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818</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859</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row>
    <row r="842" spans="1:12">
      <c r="A842" s="20" t="s">
        <v>1118</v>
      </c>
    </row>
    <row r="843" spans="1:12">
      <c r="A843" s="20" t="s">
        <v>1119</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1120</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1121</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862</v>
      </c>
      <c r="B846" s="27" t="s">
        <v>760</v>
      </c>
      <c r="C846" s="27" t="s">
        <v>797</v>
      </c>
      <c r="D846" s="27" t="s">
        <v>762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221</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769</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1122</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764</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1123</v>
      </c>
      <c r="B851" s="27" t="s">
        <v>894</v>
      </c>
      <c r="C851" s="27" t="s">
        <v>768</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805</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864</v>
      </c>
      <c r="B853" s="27" t="s">
        <v>901</v>
      </c>
      <c r="C853" s="27" t="s">
        <v>754</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1097</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757</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769</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840</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1124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872</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758</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1125</v>
      </c>
      <c r="B861" s="27" t="s">
        <v>1062</v>
      </c>
      <c r="C861" s="27" t="s">
        <v>761</v>
      </c>
      <c r="D861" s="27" t="s">
        <v>762</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769</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838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1126</v>
      </c>
      <c r="B864" s="27" t="s">
        <v>1127</v>
      </c>
      <c r="C864" s="27" t="s">
        <v>761</v>
      </c>
      <c r="D864" s="27" t="s">
        <v>762</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769</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1117</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1128</v>
      </c>
      <c r="B867" s="27" t="s">
        <v>1129</v>
      </c>
      <c r="C867" s="27" t="s">
        <v>837</v>
      </c>
      <c r="D867" s="27" t="s">
        <v>762</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805</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1046</v>
      </c>
      <c r="B869" s="27" t="s">
        <v>1130</v>
      </c>
      <c r="C869" s="27" t="s">
        <v>798</v>
      </c>
      <c r="D869" s="27" t="s">
        <v>762</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757</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1051</v>
      </c>
      <c r="B871" s="27" t="s">
        <v>1131</v>
      </c>
      <c r="C871" s="27" t="s">
        <v>797</v>
      </c>
      <c r="D871" s="27" t="s">
        <v>762</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1132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1007</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954</v>
      </c>
      <c r="B874" s="27" t="s">
        <v>1127</v>
      </c>
      <c r="C874" s="27" t="s">
        <v>777</v>
      </c>
      <c r="D874" s="27" t="s">
        <v>762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1020</v>
      </c>
      <c r="B875" s="27" t="s">
        <v>1133</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1134</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785</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838</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1135</v>
      </c>
      <c r="B879" s="27" t="s">
        <v>1130</v>
      </c>
      <c r="C879" s="27" t="s">
        <v>761</v>
      </c>
      <c r="D879" s="27" t="s">
        <v>762</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859</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row>
    <row r="882" spans="1:12">
      <c r="A882" s="20" t="s">
        <v>1136</v>
      </c>
    </row>
    <row r="883" spans="1:12">
      <c r="A883" s="20" t="s">
        <v>1037</v>
      </c>
      <c r="B883" s="27" t="s">
        <v>760</v>
      </c>
      <c r="C883" s="27" t="s">
        <v>797</v>
      </c>
      <c r="D883" s="27" t="s">
        <v>762</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909</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1101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1014</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757</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770</v>
      </c>
      <c r="B888" s="27" t="s">
        <v>767</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1137</v>
      </c>
      <c r="B889" s="27" t="s">
        <v>772</v>
      </c>
      <c r="C889" s="27" t="s">
        <v>754</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769</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838</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943</v>
      </c>
      <c r="B892" s="27" t="s">
        <v>772</v>
      </c>
      <c r="C892" s="27" t="s">
        <v>761</v>
      </c>
      <c r="D892" s="27" t="s">
        <v>762</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1033</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1138</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769</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1139</v>
      </c>
      <c r="B896" s="27" t="s">
        <v>901</v>
      </c>
      <c r="C896" s="27" t="s">
        <v>754</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1140</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774</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row>
    <row r="900" spans="1:12">
      <c r="A900" s="20" t="s">
        <v>1141</v>
      </c>
    </row>
    <row r="901" spans="1:12">
      <c r="A901" s="20" t="s">
        <v>1017</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1139</v>
      </c>
      <c r="B902" s="27" t="s">
        <v>760</v>
      </c>
      <c r="C902" s="27" t="s">
        <v>1019</v>
      </c>
      <c r="D902" s="27" t="s">
        <v>762</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1140</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1004</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1142</v>
      </c>
      <c r="B905" s="27" t="s">
        <v>767</v>
      </c>
      <c r="C905" s="27" t="s">
        <v>754</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785</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221</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769</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838</v>
      </c>
      <c r="B909" s="27" t="s">
        <v>894</v>
      </c>
      <c r="C909" s="27" t="s">
        <v>797</v>
      </c>
      <c r="D909" s="27" t="s">
        <v>762</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1143</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774</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row>
    <row r="913" spans="1:12">
      <c r="A913" s="20" t="s">
        <v>1144</v>
      </c>
    </row>
    <row r="914" spans="1:12">
      <c r="A914" s="20" t="s">
        <v>1017</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1033</v>
      </c>
      <c r="B915" s="27" t="s">
        <v>760</v>
      </c>
      <c r="C915" s="27" t="s">
        <v>1019</v>
      </c>
      <c r="D915" s="27" t="s">
        <v>762</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1145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770</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1146</v>
      </c>
      <c r="B918" s="27" t="s">
        <v>767</v>
      </c>
      <c r="C918" s="27" t="s">
        <v>761</v>
      </c>
      <c r="D918" s="27" t="s">
        <v>762</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805</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764</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1147</v>
      </c>
      <c r="B921" s="27" t="s">
        <v>772</v>
      </c>
      <c r="C921" s="27" t="s">
        <v>768</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1085</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805</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764</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946</v>
      </c>
      <c r="B925" s="27" t="s">
        <v>879</v>
      </c>
      <c r="C925" s="27" t="s">
        <v>820</v>
      </c>
      <c r="D925" s="27" t="s">
        <v>762</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785</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758</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1148</v>
      </c>
      <c r="B928" s="27" t="s">
        <v>901</v>
      </c>
      <c r="C928" s="27" t="s">
        <v>761</v>
      </c>
      <c r="D928" s="27" t="s">
        <v>762</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774</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row>
    <row r="931" spans="1:12">
      <c r="A931" s="20" t="s">
        <v>1149</v>
      </c>
    </row>
    <row r="932" spans="1:12">
      <c r="A932" s="20" t="s">
        <v>1150</v>
      </c>
      <c r="B932" s="27" t="s">
        <v>760</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1137</v>
      </c>
      <c r="B933" s="27" t="s">
        <v>772</v>
      </c>
      <c r="C933" s="27" t="s">
        <v>754</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769</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838</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1151</v>
      </c>
      <c r="B936" s="27" t="s">
        <v>772</v>
      </c>
      <c r="C936" s="27" t="s">
        <v>761</v>
      </c>
      <c r="D936" s="27" t="s">
        <v>762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1138</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769</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1139</v>
      </c>
      <c r="B939" s="27" t="s">
        <v>753</v>
      </c>
      <c r="C939" s="27" t="s">
        <v>754</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1152</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774</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row>
    <row r="943" spans="1:12">
      <c r="A943" s="20" t="s">
        <v>1153</v>
      </c>
    </row>
    <row r="944" spans="1:12">
      <c r="A944" s="20" t="s">
        <v>1017</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1139</v>
      </c>
      <c r="B945" s="27" t="s">
        <v>760</v>
      </c>
      <c r="C945" s="27" t="s">
        <v>1019</v>
      </c>
      <c r="D945" s="27" t="s">
        <v>762</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1152</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1154</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937</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889</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1155</v>
      </c>
      <c r="B950" s="27" t="s">
        <v>796</v>
      </c>
      <c r="C950" s="27" t="s">
        <v>797</v>
      </c>
      <c r="D950" s="27" t="s">
        <v>762</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1156</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872</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954</v>
      </c>
      <c r="B953" s="27" t="s">
        <v>772</v>
      </c>
      <c r="C953" s="27" t="s">
        <v>777</v>
      </c>
      <c r="D953" s="27" t="s">
        <v>762</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889</v>
      </c>
      <c r="B954" s="27" t="s">
        <v>940</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1155</v>
      </c>
      <c r="B955" s="27" t="s">
        <v>941</v>
      </c>
      <c r="C955" s="27" t="s">
        <v>797</v>
      </c>
      <c r="D955" s="27" t="s">
        <v>762</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1157</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421</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822</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948</v>
      </c>
      <c r="B959" s="27" t="s">
        <v>901</v>
      </c>
      <c r="C959" s="27" t="s">
        <v>761</v>
      </c>
      <c r="D959" s="27" t="s">
        <v>762</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1158</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757</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810</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1159</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1151</v>
      </c>
      <c r="B964" s="27" t="s">
        <v>796</v>
      </c>
      <c r="C964" s="27" t="s">
        <v>1019</v>
      </c>
      <c r="D964" s="27" t="s">
        <v>762</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1160</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189</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1161</v>
      </c>
      <c r="B967" s="27" t="s">
        <v>901</v>
      </c>
      <c r="C967" s="27" t="s">
        <v>851</v>
      </c>
      <c r="D967" s="27" t="s">
        <v>762</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864</v>
      </c>
      <c r="B968" s="27" t="s">
        <v>894</v>
      </c>
      <c r="C968" s="27" t="s">
        <v>837</v>
      </c>
      <c r="D968" s="27" t="s">
        <v>762</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960</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1162</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774</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1163</v>
      </c>
    </row>
    <row r="974" spans="1:12">
      <c r="A974" s="20" t="s">
        <v>833</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858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757</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697</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996</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1164</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1026</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1093</v>
      </c>
      <c r="B981" s="27" t="s">
        <v>767</v>
      </c>
      <c r="C981" s="27" t="s">
        <v>1019</v>
      </c>
      <c r="D981" s="27" t="s">
        <v>762</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1020</v>
      </c>
      <c r="B982" s="27" t="s">
        <v>956</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1165</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785</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1159</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1104</v>
      </c>
      <c r="B986" s="27" t="s">
        <v>879</v>
      </c>
      <c r="C986" s="27" t="s">
        <v>1019</v>
      </c>
      <c r="D986" s="27" t="s">
        <v>762</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805</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864</v>
      </c>
      <c r="B988" s="27" t="s">
        <v>901</v>
      </c>
      <c r="C988" s="27" t="s">
        <v>754</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875</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1099</v>
      </c>
      <c r="B990" s="27" t="s">
        <v>901</v>
      </c>
      <c r="C990" s="27" t="s">
        <v>851</v>
      </c>
      <c r="D990" s="27" t="s">
        <v>762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1096</v>
      </c>
      <c r="B991" s="27" t="s">
        <v>879</v>
      </c>
      <c r="C991" s="27" t="s">
        <v>837</v>
      </c>
      <c r="D991" s="27" t="s">
        <v>762</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1097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774</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row>
    <row r="995" spans="1:12">
      <c r="A995" s="20" t="s">
        <v>1166</v>
      </c>
    </row>
    <row r="996" spans="1:12">
      <c r="A996" s="20" t="s">
        <v>833</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869</v>
      </c>
      <c r="B997" s="27" t="s">
        <v>760</v>
      </c>
      <c r="C997" s="27" t="s">
        <v>797</v>
      </c>
      <c r="D997" s="27" t="s">
        <v>762</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975</v>
      </c>
      <c r="B998" s="27" t="s">
        <v>767</v>
      </c>
      <c r="C998" s="27" t="s">
        <v>797</v>
      </c>
      <c r="D998" s="27" t="s">
        <v>762</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870</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888</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757</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955</v>
      </c>
      <c r="B1002" s="27" t="s">
        <v>796</v>
      </c>
      <c r="C1002" s="27" t="s">
        <v>777</v>
      </c>
      <c r="D1002" s="27" t="s">
        <v>762</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778</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1167</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770</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1043</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1070</v>
      </c>
      <c r="B1007" s="27" t="s">
        <v>753</v>
      </c>
      <c r="C1007" s="27" t="s">
        <v>761</v>
      </c>
      <c r="D1007" s="27" t="s">
        <v>762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854</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1168</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972</v>
      </c>
      <c r="B1010" s="27" t="s">
        <v>772</v>
      </c>
      <c r="C1010" s="27" t="s">
        <v>768</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1020</v>
      </c>
      <c r="B1011" s="27" t="s">
        <v>941</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1051</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1169</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807</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1170</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1171</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875</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779</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952</v>
      </c>
      <c r="B1019" s="27" t="s">
        <v>815</v>
      </c>
      <c r="C1019" s="27" t="s">
        <v>768</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1020</v>
      </c>
      <c r="B1020" s="27" t="s">
        <v>1172</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1173</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1174</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774</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row>
    <row r="1025" spans="1:12">
      <c r="A1025" s="20" t="s">
        <v>1175</v>
      </c>
    </row>
    <row r="1026" spans="1:12">
      <c r="A1026" s="20" t="s">
        <v>833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827</v>
      </c>
      <c r="B1027" s="27" t="s">
        <v>760</v>
      </c>
      <c r="C1027" s="27" t="s">
        <v>797</v>
      </c>
      <c r="D1027" s="27" t="s">
        <v>762</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909</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1176</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758</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1177</v>
      </c>
      <c r="B1031" s="27" t="s">
        <v>767</v>
      </c>
      <c r="C1031" s="27" t="s">
        <v>761</v>
      </c>
      <c r="D1031" s="27" t="s">
        <v>762</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889</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697</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996</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887</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910</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1178</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1179</v>
      </c>
      <c r="B1038" s="27" t="s">
        <v>802</v>
      </c>
      <c r="C1038" s="27" t="s">
        <v>831</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805</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864</v>
      </c>
      <c r="B1040" s="27" t="s">
        <v>879</v>
      </c>
      <c r="C1040" s="27" t="s">
        <v>754</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774</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row>
    <row r="1043" spans="1:12">
      <c r="A1043" s="20" t="s">
        <v>1180</v>
      </c>
    </row>
    <row r="1044" spans="1:12">
      <c r="A1044" s="20" t="s">
        <v>995</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996</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887</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769</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838</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1181</v>
      </c>
      <c r="B1049" s="27" t="s">
        <v>753</v>
      </c>
      <c r="C1049" s="27" t="s">
        <v>761</v>
      </c>
      <c r="D1049" s="27" t="s">
        <v>762</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1182</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757</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1020</v>
      </c>
      <c r="B1052" s="27" t="s">
        <v>956</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1183</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1184</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769</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1185</v>
      </c>
      <c r="B1056" s="27" t="s">
        <v>879</v>
      </c>
      <c r="C1056" s="27" t="s">
        <v>754</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751</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1185</v>
      </c>
      <c r="B1058" s="27" t="s">
        <v>879</v>
      </c>
      <c r="C1058" s="27" t="s">
        <v>754</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769</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838</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1139</v>
      </c>
      <c r="B1061" s="27" t="s">
        <v>901</v>
      </c>
      <c r="C1061" s="27" t="s">
        <v>761</v>
      </c>
      <c r="D1061" s="27" t="s">
        <v>762</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785</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838</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943</v>
      </c>
      <c r="B1064" s="27" t="s">
        <v>815</v>
      </c>
      <c r="C1064" s="27" t="s">
        <v>761</v>
      </c>
      <c r="D1064" s="27" t="s">
        <v>762</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774</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row>
    <row r="1067" spans="1:12">
      <c r="A1067" s="20" t="s">
        <v>1186</v>
      </c>
    </row>
    <row r="1068" spans="1:12">
      <c r="A1068" s="20" t="s">
        <v>987</v>
      </c>
      <c r="B1068" s="27" t="s">
        <v>760</v>
      </c>
      <c r="C1068" s="27" t="s">
        <v>777</v>
      </c>
      <c r="D1068" s="27" t="s">
        <v>762</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1183</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838</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1187</v>
      </c>
      <c r="B1071" s="27" t="s">
        <v>753</v>
      </c>
      <c r="C1071" s="27" t="s">
        <v>761</v>
      </c>
      <c r="D1071" s="27" t="s">
        <v>762</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807</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758</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1188</v>
      </c>
      <c r="B1074" s="27" t="s">
        <v>753</v>
      </c>
      <c r="C1074" s="27" t="s">
        <v>761</v>
      </c>
      <c r="D1074" s="27" t="s">
        <v>762</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757</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937</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770</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1189</v>
      </c>
      <c r="B1078" s="27" t="s">
        <v>753</v>
      </c>
      <c r="C1078" s="27" t="s">
        <v>761</v>
      </c>
      <c r="D1078" s="27" t="s">
        <v>762</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757</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770</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1053</v>
      </c>
      <c r="B1081" s="27" t="s">
        <v>753</v>
      </c>
      <c r="C1081" s="27" t="s">
        <v>761</v>
      </c>
      <c r="D1081" s="27" t="s">
        <v>762</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757</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937</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770</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1190</v>
      </c>
      <c r="B1085" s="27" t="s">
        <v>753</v>
      </c>
      <c r="C1085" s="27" t="s">
        <v>761</v>
      </c>
      <c r="D1085" s="27" t="s">
        <v>762</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774</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row>
    <row r="1088" spans="1:12">
      <c r="A1088" s="20" t="s">
        <v>1191</v>
      </c>
    </row>
    <row r="1089" spans="1:12">
      <c r="A1089" s="20" t="s">
        <v>987</v>
      </c>
      <c r="B1089" s="27" t="s">
        <v>760</v>
      </c>
      <c r="C1089" s="27" t="s">
        <v>777</v>
      </c>
      <c r="D1089" s="27" t="s">
        <v>762</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1183</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838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1187</v>
      </c>
      <c r="B1092" s="27" t="s">
        <v>753</v>
      </c>
      <c r="C1092" s="27" t="s">
        <v>761</v>
      </c>
      <c r="D1092" s="27" t="s">
        <v>762</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793</v>
      </c>
      <c r="B1093" s="27" t="s">
        <v>802</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758</v>
      </c>
      <c r="B1094" s="27" t="s">
        <v>796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890</v>
      </c>
      <c r="B1095" s="27" t="s">
        <v>879</v>
      </c>
      <c r="C1095" s="27" t="s">
        <v>820</v>
      </c>
      <c r="D1095" s="27" t="s">
        <v>762</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887</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751</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1192</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875</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931</v>
      </c>
      <c r="B1100" s="27" t="s">
        <v>879</v>
      </c>
      <c r="C1100" s="27" t="s">
        <v>851</v>
      </c>
      <c r="D1100" s="27" t="s">
        <v>762</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1139</v>
      </c>
      <c r="B1101" s="27" t="s">
        <v>772</v>
      </c>
      <c r="C1101" s="27" t="s">
        <v>837</v>
      </c>
      <c r="D1101" s="27" t="s">
        <v>762</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810</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931</v>
      </c>
      <c r="B1103" s="27" t="s">
        <v>901</v>
      </c>
      <c r="C1103" s="27" t="s">
        <v>851</v>
      </c>
      <c r="D1103" s="27" t="s">
        <v>762</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943</v>
      </c>
      <c r="B1104" s="27" t="s">
        <v>879</v>
      </c>
      <c r="C1104" s="27" t="s">
        <v>837</v>
      </c>
      <c r="D1104" s="27" t="s">
        <v>762</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774</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row>
    <row r="1107" spans="1:12">
      <c r="A1107" s="20" t="s">
        <v>1193</v>
      </c>
    </row>
    <row r="1108" spans="1:12">
      <c r="A1108" s="20" t="s">
        <v>833</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1031</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793</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1194</v>
      </c>
      <c r="B1111" s="27" t="s">
        <v>796</v>
      </c>
      <c r="C1111" s="27" t="s">
        <v>820</v>
      </c>
      <c r="D1111" s="27" t="s">
        <v>762</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805</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1195</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1196</v>
      </c>
      <c r="B1114" s="27" t="s">
        <v>879</v>
      </c>
      <c r="C1114" s="27" t="s">
        <v>797</v>
      </c>
      <c r="D1114" s="27" t="s">
        <v>762</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1197</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421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1198</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757</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890</v>
      </c>
      <c r="B1119" s="27" t="s">
        <v>760</v>
      </c>
      <c r="C1119" s="27" t="s">
        <v>820</v>
      </c>
      <c r="D1119" s="27" t="s">
        <v>762</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811</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1199</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804</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769</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838</v>
      </c>
      <c r="B1124" s="27" t="s">
        <v>802</v>
      </c>
      <c r="C1124" s="27" t="s">
        <v>797</v>
      </c>
      <c r="D1124" s="27" t="s">
        <v>762</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1143</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774</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row>
    <row r="1128" spans="1:12">
      <c r="A1128" s="20" t="s">
        <v>1200</v>
      </c>
    </row>
    <row r="1129" spans="1:12">
      <c r="A1129" s="20" t="s">
        <v>1201</v>
      </c>
      <c r="B1129" s="27" t="s">
        <v>760</v>
      </c>
      <c r="C1129" s="27" t="s">
        <v>820</v>
      </c>
      <c r="D1129" s="27" t="s">
        <v>762</v>
      </c>
      <c r="E1129" s="21">
        <f>IF(D1129="?OLD","!!!","")</f>
        <v/>
      </c>
      <c r="F1129" s="22" t="str">
        <f>IF(OR(E1129="",E1129="!!!"),"",IF(NOT(ISNA(VLOOKUP(E1129,E$1:E1128,1,FALSE()))),"OLD",IF(AND(E1129&lt;&gt;"",E1129&lt;&gt;"!!!"),"NEW","")))</f>
        <v> </v>
      </c>
      <c r="G1129" s="23" t="str">
        <f>IF(OR(E1129="",E1129="!!!"),"",IF(OR(J1129=0,AND(J1129=1,K1129=1),AND(J1129=1,I1129="SBJ"),AND(J1129=1,I1129=0)),"?IN_FOCUS",IF(J1129&lt;=2,"?ACTIVATED",IF(J1129&lt;&gt;"","?FAMILIAR",IF(F1129="NEW",IF(ISNA(VLOOKUP(E1129,#REF!,1,FALSE())),"?TYPE_IDENTIFIABLE","?REFERENTIAL"),"_")))))</f>
        <v> </v>
      </c>
      <c r="H1129" s="24" t="str">
        <f>IF(J1129&lt;&gt;1,"",IF(I1129="SBJ","CB","?"))</f>
        <v> </v>
      </c>
      <c r="I1129" s="25" t="str">
        <f>IF(OR(E1129="",E1129="!!!",F1129="NEW"),"",INDEX(B1128:B$2,-1+SUMPRODUCT(MAX(ROW(E1128:E$2)*(E1129=E1128:E$2)))))</f>
        <v> </v>
      </c>
      <c r="J1129" s="25" t="str">
        <f>IF(OR(E1129="",E1129="!!!",F1129="NEW"),"",COUNTBLANK(OFFSET(A$1,,,SUMPRODUCT(MAX(ROW(E$2:E1129)*(E1129=E$2:E1129)))))-COUNTBLANK(OFFSET(A$1,,,SUMPRODUCT(MAX(ROW(E$1:E1128)*(E2=E$1:E1128))))))</f>
        <v> </v>
      </c>
      <c r="K1129" s="25" t="str">
        <f>IF(OR(E1129="",E1129="!!!",F1129="NEW"),"",INDEX(J$1:J1128,SUMPRODUCT(MAX(ROW(E$1:E1128)*(E1129=E$1:E1128)))))</f>
        <v> </v>
      </c>
      <c r="L1129" s="26"/>
    </row>
    <row r="1130" spans="1:12">
      <c r="A1130" s="20" t="s">
        <v>1202</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1203</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889</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697</v>
      </c>
      <c r="B1133" s="27" t="s">
        <v>956</v>
      </c>
      <c r="C1133" s="27" t="s">
        <v>797</v>
      </c>
      <c r="D1133" s="27" t="s">
        <v>762</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778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960</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1204</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785</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838</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1205</v>
      </c>
      <c r="B1139" s="27" t="s">
        <v>879</v>
      </c>
      <c r="C1139" s="27" t="s">
        <v>798</v>
      </c>
      <c r="D1139" s="27" t="s">
        <v>762</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757</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965</v>
      </c>
      <c r="B1141" s="27" t="s">
        <v>901</v>
      </c>
      <c r="C1141" s="27" t="s">
        <v>851</v>
      </c>
      <c r="D1141" s="27" t="s">
        <v>762</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836</v>
      </c>
      <c r="B1142" s="27" t="s">
        <v>879</v>
      </c>
      <c r="C1142" s="27" t="s">
        <v>837</v>
      </c>
      <c r="D1142" s="27" t="s">
        <v>762</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1206</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1207</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757</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805</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421</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764</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262</v>
      </c>
      <c r="B1149" s="27" t="s">
        <v>901</v>
      </c>
      <c r="C1149" s="27" t="s">
        <v>768</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769</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913</v>
      </c>
      <c r="B1151" s="27" t="s">
        <v>815</v>
      </c>
      <c r="C1151" s="27" t="s">
        <v>754</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774</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row>
    <row r="1154" spans="1:12">
      <c r="A1154" s="20" t="s">
        <v>1208</v>
      </c>
    </row>
    <row r="1155" spans="1:12">
      <c r="A1155" s="20" t="s">
        <v>833</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1209</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757</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697</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811</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996</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887</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262</v>
      </c>
      <c r="B1162" s="27" t="s">
        <v>753</v>
      </c>
      <c r="C1162" s="27" t="s">
        <v>754</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1020</v>
      </c>
      <c r="B1163" s="27" t="s">
        <v>956</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920</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751</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1210</v>
      </c>
      <c r="B1166" s="27" t="s">
        <v>879</v>
      </c>
      <c r="C1166" s="27" t="s">
        <v>754</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805</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221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769</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840</v>
      </c>
      <c r="B1170" s="27" t="s">
        <v>1076</v>
      </c>
      <c r="C1170" s="27" t="s">
        <v>797</v>
      </c>
      <c r="D1170" s="27" t="s">
        <v>762</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1211</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793</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770</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1212</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1185</v>
      </c>
      <c r="B1175" s="27" t="s">
        <v>1080</v>
      </c>
      <c r="C1175" s="27" t="s">
        <v>761</v>
      </c>
      <c r="D1175" s="27" t="s">
        <v>762</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805</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943</v>
      </c>
      <c r="B1177" s="27" t="s">
        <v>1127</v>
      </c>
      <c r="C1177" s="27" t="s">
        <v>754</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1213</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769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1139</v>
      </c>
      <c r="B1180" s="27" t="s">
        <v>1130</v>
      </c>
      <c r="C1180" s="27" t="s">
        <v>754</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1214</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810</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1215</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1216</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875</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764</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1217</v>
      </c>
      <c r="B1187" s="27" t="s">
        <v>1062</v>
      </c>
      <c r="C1187" s="27" t="s">
        <v>768</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1218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810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769</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838</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1219</v>
      </c>
      <c r="B1192" s="27" t="s">
        <v>1127</v>
      </c>
      <c r="C1192" s="27" t="s">
        <v>761</v>
      </c>
      <c r="D1192" s="27" t="s">
        <v>762</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1220</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774</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row>
    <row r="1196" spans="1:12">
      <c r="A1196" s="20" t="s">
        <v>1221</v>
      </c>
    </row>
    <row r="1197" spans="1:12">
      <c r="A1197" s="20" t="s">
        <v>833</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697</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996</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887</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1159</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1222</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1181</v>
      </c>
      <c r="B1203" s="27" t="s">
        <v>767</v>
      </c>
      <c r="C1203" s="27" t="s">
        <v>1019</v>
      </c>
      <c r="D1203" s="27" t="s">
        <v>762</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793</v>
      </c>
      <c r="B1204" s="27" t="s">
        <v>940</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758</v>
      </c>
      <c r="B1205" s="27" t="s">
        <v>956</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890</v>
      </c>
      <c r="B1206" s="27" t="s">
        <v>901</v>
      </c>
      <c r="C1206" s="27" t="s">
        <v>820</v>
      </c>
      <c r="D1206" s="27" t="s">
        <v>762</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1223</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1224</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805</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779</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1225</v>
      </c>
      <c r="B1211" s="27" t="s">
        <v>901</v>
      </c>
      <c r="C1211" s="27" t="s">
        <v>768</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769</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1226</v>
      </c>
      <c r="B1213" s="27" t="s">
        <v>815</v>
      </c>
      <c r="C1213" s="27" t="s">
        <v>754</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774</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row>
    <row r="1216" spans="1:12">
      <c r="A1216" s="20" t="s">
        <v>1227</v>
      </c>
    </row>
    <row r="1217" spans="1:12">
      <c r="A1217" s="20" t="s">
        <v>983</v>
      </c>
      <c r="B1217" s="27" t="s">
        <v>760</v>
      </c>
      <c r="C1217" s="27" t="s">
        <v>797</v>
      </c>
      <c r="D1217" s="27" t="s">
        <v>762</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838</v>
      </c>
      <c r="B1218" s="27" t="s">
        <v>767</v>
      </c>
      <c r="C1218" s="27" t="s">
        <v>797</v>
      </c>
      <c r="D1218" s="27" t="s">
        <v>762</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1228</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838</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1181</v>
      </c>
      <c r="B1221" s="27" t="s">
        <v>753</v>
      </c>
      <c r="C1221" s="27" t="s">
        <v>761</v>
      </c>
      <c r="D1221" s="27" t="s">
        <v>762</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1229</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757</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1230</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793</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822</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1225</v>
      </c>
      <c r="B1227" s="27" t="s">
        <v>956</v>
      </c>
      <c r="C1227" s="27" t="s">
        <v>761</v>
      </c>
      <c r="D1227" s="27" t="s">
        <v>762</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769</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1226</v>
      </c>
      <c r="B1229" s="27" t="s">
        <v>901</v>
      </c>
      <c r="C1229" s="27" t="s">
        <v>754</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778</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758</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1231</v>
      </c>
      <c r="B1232" s="27" t="s">
        <v>772</v>
      </c>
      <c r="C1232" s="27" t="s">
        <v>761</v>
      </c>
      <c r="D1232" s="27" t="s">
        <v>762</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1232</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774</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row>
    <row r="1236" spans="1:12">
      <c r="A1236" s="20" t="s">
        <v>1233</v>
      </c>
    </row>
    <row r="1237" spans="1:12">
      <c r="A1237" s="20" t="s">
        <v>987</v>
      </c>
      <c r="B1237" s="27" t="s">
        <v>760</v>
      </c>
      <c r="C1237" s="27" t="s">
        <v>777</v>
      </c>
      <c r="D1237" s="27" t="s">
        <v>762</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1183</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769</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838</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1181</v>
      </c>
      <c r="B1241" s="27" t="s">
        <v>753</v>
      </c>
      <c r="C1241" s="27" t="s">
        <v>761</v>
      </c>
      <c r="D1241" s="27" t="s">
        <v>762</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1020</v>
      </c>
      <c r="B1242" s="27" t="s">
        <v>796</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1183</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1234</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785</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838</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1139</v>
      </c>
      <c r="B1247" s="27" t="s">
        <v>772</v>
      </c>
      <c r="C1247" s="27" t="s">
        <v>761</v>
      </c>
      <c r="D1247" s="27" t="s">
        <v>762</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810</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793</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758</v>
      </c>
      <c r="B1250" s="27" t="s">
        <v>941</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890</v>
      </c>
      <c r="B1251" s="27" t="s">
        <v>815</v>
      </c>
      <c r="C1251" s="27" t="s">
        <v>820</v>
      </c>
      <c r="D1251" s="27" t="s">
        <v>762</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1223</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189</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1235</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890</v>
      </c>
      <c r="B1255" s="27" t="s">
        <v>1080</v>
      </c>
      <c r="C1255" s="27" t="s">
        <v>820</v>
      </c>
      <c r="D1255" s="27" t="s">
        <v>762</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838</v>
      </c>
      <c r="B1256" s="27" t="s">
        <v>1236</v>
      </c>
      <c r="C1256" s="27" t="s">
        <v>797</v>
      </c>
      <c r="D1256" s="27" t="s">
        <v>762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1237</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1238</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931</v>
      </c>
      <c r="B1259" s="27" t="s">
        <v>1127</v>
      </c>
      <c r="C1259" s="27" t="s">
        <v>851</v>
      </c>
      <c r="D1259" s="27" t="s">
        <v>762</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1226</v>
      </c>
      <c r="B1260" s="27" t="s">
        <v>1062</v>
      </c>
      <c r="C1260" s="27" t="s">
        <v>837</v>
      </c>
      <c r="D1260" s="27" t="s">
        <v>762</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774</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row>
    <row r="1263" spans="1:12">
      <c r="A1263" s="20" t="s">
        <v>1239</v>
      </c>
    </row>
    <row r="1264" spans="1:12">
      <c r="A1264" s="20" t="s">
        <v>1017</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1181</v>
      </c>
      <c r="B1265" s="27" t="s">
        <v>753</v>
      </c>
      <c r="C1265" s="27" t="s">
        <v>1019</v>
      </c>
      <c r="D1265" s="27" t="s">
        <v>762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757</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1159</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1181</v>
      </c>
      <c r="B1268" s="27" t="s">
        <v>772</v>
      </c>
      <c r="C1268" s="27" t="s">
        <v>1019</v>
      </c>
      <c r="D1268" s="27" t="s">
        <v>762</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1229</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757</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838</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125</v>
      </c>
      <c r="B1272" s="27" t="s">
        <v>760</v>
      </c>
      <c r="C1272" s="27" t="s">
        <v>761</v>
      </c>
      <c r="D1272" s="27" t="s">
        <v>762</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1004</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1240</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923</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1241</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769</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838</v>
      </c>
      <c r="B1278" s="27" t="s">
        <v>894</v>
      </c>
      <c r="C1278" s="27" t="s">
        <v>797</v>
      </c>
      <c r="D1278" s="27" t="s">
        <v>762</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1242</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774</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row>
    <row r="1282" spans="1:12">
      <c r="A1282" s="20" t="s">
        <v>1243</v>
      </c>
    </row>
    <row r="1283" spans="1:12">
      <c r="A1283" s="20" t="s">
        <v>983</v>
      </c>
      <c r="B1283" s="27" t="s">
        <v>796</v>
      </c>
      <c r="C1283" s="27" t="s">
        <v>797</v>
      </c>
      <c r="D1283" s="27" t="s">
        <v>762</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683</v>
      </c>
      <c r="B1284" s="27" t="s">
        <v>760</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722</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1244</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915</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822</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1245</v>
      </c>
      <c r="B1289" s="27" t="s">
        <v>753</v>
      </c>
      <c r="C1289" s="27" t="s">
        <v>761</v>
      </c>
      <c r="D1289" s="27" t="s">
        <v>762</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785</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1246</v>
      </c>
      <c r="B1291" s="27" t="s">
        <v>901</v>
      </c>
      <c r="C1291" s="27" t="s">
        <v>754</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1247</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838</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1126</v>
      </c>
      <c r="B1294" s="27" t="s">
        <v>796</v>
      </c>
      <c r="C1294" s="27" t="s">
        <v>761</v>
      </c>
      <c r="D1294" s="27" t="s">
        <v>762</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1020</v>
      </c>
      <c r="B1295" s="27" t="s">
        <v>941</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1004</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1159</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1181</v>
      </c>
      <c r="B1298" s="27" t="s">
        <v>940</v>
      </c>
      <c r="C1298" s="27" t="s">
        <v>1019</v>
      </c>
      <c r="D1298" s="27" t="s">
        <v>762</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1216</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785</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764</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1248</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1249</v>
      </c>
      <c r="B1303" s="27" t="s">
        <v>772</v>
      </c>
      <c r="C1303" s="27" t="s">
        <v>768</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875</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1196</v>
      </c>
      <c r="B1305" s="27" t="s">
        <v>879</v>
      </c>
      <c r="C1305" s="27" t="s">
        <v>797</v>
      </c>
      <c r="D1305" s="27" t="s">
        <v>762</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774</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row>
    <row r="1308" spans="1:12">
      <c r="A1308" s="20" t="s">
        <v>1250</v>
      </c>
    </row>
    <row r="1309" spans="1:12">
      <c r="A1309" s="20" t="s">
        <v>833</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697</v>
      </c>
      <c r="B1310" s="27" t="s">
        <v>760</v>
      </c>
      <c r="C1310" s="27" t="s">
        <v>797</v>
      </c>
      <c r="D1310" s="27" t="s">
        <v>762</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903</v>
      </c>
      <c r="B1311" s="27" t="s">
        <v>767</v>
      </c>
      <c r="C1311" s="27" t="s">
        <v>797</v>
      </c>
      <c r="D1311" s="27" t="s">
        <v>762</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887</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1251</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793</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829</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1252</v>
      </c>
      <c r="B1316" s="27" t="s">
        <v>767</v>
      </c>
      <c r="C1316" s="27" t="s">
        <v>831</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805</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1253</v>
      </c>
      <c r="B1318" s="27" t="s">
        <v>772</v>
      </c>
      <c r="C1318" s="27" t="s">
        <v>754</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1254</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1051</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1255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1256</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row>
    <row r="1324" spans="1:12">
      <c r="A1324" s="20" t="s">
        <v>1257</v>
      </c>
    </row>
    <row r="1325" spans="1:12">
      <c r="A1325" s="20" t="s">
        <v>995</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996</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887</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758</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1253</v>
      </c>
      <c r="B1329" s="27" t="s">
        <v>767</v>
      </c>
      <c r="C1329" s="27" t="s">
        <v>837</v>
      </c>
      <c r="D1329" s="27" t="s">
        <v>762</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769</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1258</v>
      </c>
      <c r="B1331" s="27" t="s">
        <v>772</v>
      </c>
      <c r="C1331" s="27" t="s">
        <v>820</v>
      </c>
      <c r="D1331" s="27" t="s">
        <v>762</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757</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758</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1253</v>
      </c>
      <c r="B1334" s="27" t="s">
        <v>772</v>
      </c>
      <c r="C1334" s="27" t="s">
        <v>761</v>
      </c>
      <c r="D1334" s="27" t="s">
        <v>762</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1259</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1099</v>
      </c>
      <c r="B1336" s="27" t="s">
        <v>901</v>
      </c>
      <c r="C1336" s="27" t="s">
        <v>851</v>
      </c>
      <c r="D1336" s="27" t="s">
        <v>762</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972</v>
      </c>
      <c r="B1337" s="27" t="s">
        <v>879</v>
      </c>
      <c r="C1337" s="27" t="s">
        <v>837</v>
      </c>
      <c r="D1337" s="27" t="s">
        <v>762</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810</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758</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1253</v>
      </c>
      <c r="B1340" s="27" t="s">
        <v>879</v>
      </c>
      <c r="C1340" s="27" t="s">
        <v>761</v>
      </c>
      <c r="D1340" s="27" t="s">
        <v>762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1260</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774</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row>
    <row r="1344" spans="1:12">
      <c r="A1344" s="20" t="s">
        <v>1261</v>
      </c>
    </row>
    <row r="1345" spans="1:12">
      <c r="A1345" s="20" t="s">
        <v>1262</v>
      </c>
      <c r="B1345" s="27" t="s">
        <v>760</v>
      </c>
      <c r="C1345" s="27" t="s">
        <v>797</v>
      </c>
      <c r="D1345" s="27" t="s">
        <v>762</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798</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1263</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804</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923</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774</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row>
    <row r="1352" spans="1:12">
      <c r="A1352" s="20" t="s">
        <v>1264</v>
      </c>
    </row>
    <row r="1353" spans="1:12">
      <c r="A1353" s="20" t="s">
        <v>1150</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1137</v>
      </c>
      <c r="B1354" s="27" t="s">
        <v>772</v>
      </c>
      <c r="C1354" s="27" t="s">
        <v>754</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769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822</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1265</v>
      </c>
      <c r="B1357" s="27" t="s">
        <v>772</v>
      </c>
      <c r="C1357" s="27" t="s">
        <v>761</v>
      </c>
      <c r="D1357" s="27" t="s">
        <v>762</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757</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838</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1126</v>
      </c>
      <c r="B1360" s="27" t="s">
        <v>753</v>
      </c>
      <c r="C1360" s="27" t="s">
        <v>761</v>
      </c>
      <c r="D1360" s="27" t="s">
        <v>762</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1020</v>
      </c>
      <c r="B1361" s="27" t="s">
        <v>796</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1004</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1159</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1266</v>
      </c>
      <c r="B1364" s="27" t="s">
        <v>796</v>
      </c>
      <c r="C1364" s="27" t="s">
        <v>1019</v>
      </c>
      <c r="D1364" s="27" t="s">
        <v>762</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1183</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1267</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751</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1268</v>
      </c>
      <c r="B1368" s="27" t="s">
        <v>753</v>
      </c>
      <c r="C1368" s="27" t="s">
        <v>754</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1230</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889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1196</v>
      </c>
      <c r="B1371" s="27" t="s">
        <v>796</v>
      </c>
      <c r="C1371" s="27" t="s">
        <v>797</v>
      </c>
      <c r="D1371" s="27" t="s">
        <v>762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1004</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758</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1269</v>
      </c>
      <c r="B1374" s="27" t="s">
        <v>802</v>
      </c>
      <c r="C1374" s="27" t="s">
        <v>761</v>
      </c>
      <c r="D1374" s="27" t="s">
        <v>762</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793</v>
      </c>
      <c r="B1375" s="27" t="s">
        <v>940</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1270</v>
      </c>
      <c r="B1376" s="27" t="s">
        <v>815</v>
      </c>
      <c r="C1376" s="27" t="s">
        <v>851</v>
      </c>
      <c r="D1376" s="27" t="s">
        <v>762</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1139</v>
      </c>
      <c r="B1377" s="27" t="s">
        <v>941</v>
      </c>
      <c r="C1377" s="27" t="s">
        <v>837</v>
      </c>
      <c r="D1377" s="27" t="s">
        <v>762</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798</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838</v>
      </c>
      <c r="B1379" s="27" t="s">
        <v>940</v>
      </c>
      <c r="C1379" s="27" t="s">
        <v>797</v>
      </c>
      <c r="D1379" s="27" t="s">
        <v>762</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1271</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804</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757</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1031</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793</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954</v>
      </c>
      <c r="B1385" s="27" t="s">
        <v>879</v>
      </c>
      <c r="C1385" s="27" t="s">
        <v>777</v>
      </c>
      <c r="D1385" s="27" t="s">
        <v>762</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1020</v>
      </c>
      <c r="B1386" s="27" t="s">
        <v>1272</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1051</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1273</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751</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786</v>
      </c>
      <c r="B1390" s="27" t="s">
        <v>815</v>
      </c>
      <c r="C1390" s="27" t="s">
        <v>754</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757</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955</v>
      </c>
      <c r="B1392" s="27" t="s">
        <v>956</v>
      </c>
      <c r="C1392" s="27" t="s">
        <v>777</v>
      </c>
      <c r="D1392" s="27" t="s">
        <v>762</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778</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793</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1270</v>
      </c>
      <c r="B1395" s="27" t="s">
        <v>815</v>
      </c>
      <c r="C1395" s="27" t="s">
        <v>851</v>
      </c>
      <c r="D1395" s="27" t="s">
        <v>762</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1139</v>
      </c>
      <c r="B1396" s="27" t="s">
        <v>941</v>
      </c>
      <c r="C1396" s="27" t="s">
        <v>837</v>
      </c>
      <c r="D1396" s="27" t="s">
        <v>762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798</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838</v>
      </c>
      <c r="B1398" s="27" t="s">
        <v>940</v>
      </c>
      <c r="C1398" s="27" t="s">
        <v>797</v>
      </c>
      <c r="D1398" s="27" t="s">
        <v>762</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1274</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804</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774</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row>
    <row r="1403" spans="1:12">
      <c r="A1403" s="20" t="s">
        <v>1275</v>
      </c>
    </row>
    <row r="1404" spans="1:12">
      <c r="A1404" s="20" t="s">
        <v>938</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939</v>
      </c>
      <c r="B1405" s="27" t="s">
        <v>760</v>
      </c>
      <c r="C1405" s="27" t="s">
        <v>761</v>
      </c>
      <c r="D1405" s="27" t="s">
        <v>762</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778</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764</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1070</v>
      </c>
      <c r="B1408" s="27" t="s">
        <v>753</v>
      </c>
      <c r="C1408" s="27" t="s">
        <v>768</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1020</v>
      </c>
      <c r="B1409" s="27" t="s">
        <v>796</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757</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1276</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757</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778</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858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769</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1147</v>
      </c>
      <c r="B1416" s="27" t="s">
        <v>772</v>
      </c>
      <c r="C1416" s="27" t="s">
        <v>754</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1277</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872</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1278</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838</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1279</v>
      </c>
      <c r="B1421" s="27" t="s">
        <v>772</v>
      </c>
      <c r="C1421" s="27" t="s">
        <v>761</v>
      </c>
      <c r="D1421" s="27" t="s">
        <v>762</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769</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770</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1249</v>
      </c>
      <c r="B1424" s="27" t="s">
        <v>879</v>
      </c>
      <c r="C1424" s="27" t="s">
        <v>761</v>
      </c>
      <c r="D1424" s="27" t="s">
        <v>762</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1195</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779</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638</v>
      </c>
      <c r="B1427" s="27" t="s">
        <v>772</v>
      </c>
      <c r="C1427" s="27" t="s">
        <v>768</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810</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779</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952</v>
      </c>
      <c r="B1430" s="27" t="s">
        <v>879</v>
      </c>
      <c r="C1430" s="27" t="s">
        <v>768</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774</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row>
    <row r="1433" spans="1:12">
      <c r="A1433" s="20" t="s">
        <v>1280</v>
      </c>
    </row>
    <row r="1434" spans="1:12">
      <c r="A1434" s="20" t="s">
        <v>908</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758</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1253</v>
      </c>
      <c r="B1436" s="27" t="s">
        <v>760</v>
      </c>
      <c r="C1436" s="27" t="s">
        <v>761</v>
      </c>
      <c r="D1436" s="27" t="s">
        <v>762</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778</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764</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1070</v>
      </c>
      <c r="B1439" s="27" t="s">
        <v>753</v>
      </c>
      <c r="C1439" s="27" t="s">
        <v>768</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1020</v>
      </c>
      <c r="B1440" s="27" t="s">
        <v>796</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1281</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769</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822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1265</v>
      </c>
      <c r="B1444" s="27" t="s">
        <v>772</v>
      </c>
      <c r="C1444" s="27" t="s">
        <v>761</v>
      </c>
      <c r="D1444" s="27" t="s">
        <v>762</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774</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row>
    <row r="1447" spans="1:12">
      <c r="A1447" s="20" t="s">
        <v>1282</v>
      </c>
    </row>
    <row r="1448" spans="1:12">
      <c r="A1448" s="20" t="s">
        <v>1283</v>
      </c>
      <c r="B1448" s="27" t="s">
        <v>760</v>
      </c>
      <c r="C1448" s="27" t="s">
        <v>777</v>
      </c>
      <c r="D1448" s="27" t="s">
        <v>762</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1281</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923</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769</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822</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1265</v>
      </c>
      <c r="B1453" s="27" t="s">
        <v>753</v>
      </c>
      <c r="C1453" s="27" t="s">
        <v>761</v>
      </c>
      <c r="D1453" s="27" t="s">
        <v>762</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774</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row>
    <row r="1456" spans="1:12">
      <c r="A1456" s="20" t="s">
        <v>1284</v>
      </c>
    </row>
    <row r="1457" spans="1:12">
      <c r="A1457" s="20" t="s">
        <v>1285</v>
      </c>
      <c r="B1457" s="27" t="s">
        <v>760</v>
      </c>
      <c r="C1457" s="27" t="s">
        <v>820</v>
      </c>
      <c r="D1457" s="27" t="s">
        <v>762</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769</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838</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1135</v>
      </c>
      <c r="B1460" s="27" t="s">
        <v>772</v>
      </c>
      <c r="C1460" s="27" t="s">
        <v>761</v>
      </c>
      <c r="D1460" s="27" t="s">
        <v>762</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1286</v>
      </c>
      <c r="B1461" s="27" t="s">
        <v>940</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827</v>
      </c>
      <c r="B1462" s="27" t="s">
        <v>941</v>
      </c>
      <c r="C1462" s="27" t="s">
        <v>797</v>
      </c>
      <c r="D1462" s="27" t="s">
        <v>762</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909</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918</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770</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1287</v>
      </c>
      <c r="B1466" s="27" t="s">
        <v>940</v>
      </c>
      <c r="C1466" s="27" t="s">
        <v>761</v>
      </c>
      <c r="D1466" s="27" t="s">
        <v>762</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915</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779</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1288</v>
      </c>
      <c r="B1469" s="27" t="s">
        <v>753</v>
      </c>
      <c r="C1469" s="27" t="s">
        <v>768</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769</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822</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1289</v>
      </c>
      <c r="B1472" s="27" t="s">
        <v>753</v>
      </c>
      <c r="C1472" s="27" t="s">
        <v>837</v>
      </c>
      <c r="D1472" s="27" t="s">
        <v>762</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769</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1290</v>
      </c>
      <c r="B1474" s="27" t="s">
        <v>772</v>
      </c>
      <c r="C1474" s="27" t="s">
        <v>798</v>
      </c>
      <c r="D1474" s="27" t="s">
        <v>762</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1291</v>
      </c>
      <c r="B1475" s="27" t="s">
        <v>879</v>
      </c>
      <c r="C1475" s="27" t="s">
        <v>798</v>
      </c>
      <c r="D1475" s="27" t="s">
        <v>762</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774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row>
    <row r="1478" spans="1:12">
      <c r="A1478" s="20" t="s">
        <v>1292</v>
      </c>
    </row>
    <row r="1479" spans="1:12">
      <c r="A1479" s="20" t="s">
        <v>1293</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697</v>
      </c>
      <c r="B1480" s="27" t="s">
        <v>796</v>
      </c>
      <c r="C1480" s="27" t="s">
        <v>797</v>
      </c>
      <c r="D1480" s="27" t="s">
        <v>762</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778</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1294</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757</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890</v>
      </c>
      <c r="B1484" s="27" t="s">
        <v>760</v>
      </c>
      <c r="C1484" s="27" t="s">
        <v>820</v>
      </c>
      <c r="D1484" s="27" t="s">
        <v>762</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984</v>
      </c>
      <c r="B1485" s="27" t="s">
        <v>767</v>
      </c>
      <c r="C1485" s="27" t="s">
        <v>797</v>
      </c>
      <c r="D1485" s="27" t="s">
        <v>762</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887</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1295</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779</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1296</v>
      </c>
      <c r="B1489" s="27" t="s">
        <v>767</v>
      </c>
      <c r="C1489" s="27" t="s">
        <v>768</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1297</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757</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764</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814</v>
      </c>
      <c r="B1493" s="27" t="s">
        <v>772</v>
      </c>
      <c r="C1493" s="27" t="s">
        <v>768</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1267</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1298</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757</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810</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890</v>
      </c>
      <c r="B1498" s="27" t="s">
        <v>796</v>
      </c>
      <c r="C1498" s="27" t="s">
        <v>820</v>
      </c>
      <c r="D1498" s="27" t="s">
        <v>762</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887</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888</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785</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931</v>
      </c>
      <c r="B1502" s="27" t="s">
        <v>879</v>
      </c>
      <c r="C1502" s="27" t="s">
        <v>851</v>
      </c>
      <c r="D1502" s="27" t="s">
        <v>762</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1139</v>
      </c>
      <c r="B1503" s="27" t="s">
        <v>772</v>
      </c>
      <c r="C1503" s="27" t="s">
        <v>837</v>
      </c>
      <c r="D1503" s="27" t="s">
        <v>762</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889</v>
      </c>
      <c r="B1504" s="27" t="s">
        <v>940</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697</v>
      </c>
      <c r="B1505" s="27" t="s">
        <v>941</v>
      </c>
      <c r="C1505" s="27" t="s">
        <v>797</v>
      </c>
      <c r="D1505" s="27" t="s">
        <v>762</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798</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1299</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1300</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757</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798</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1301</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1300</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757</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889</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697</v>
      </c>
      <c r="B1515" s="27" t="s">
        <v>956</v>
      </c>
      <c r="C1515" s="27" t="s">
        <v>797</v>
      </c>
      <c r="D1515" s="27" t="s">
        <v>762</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811</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1302</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800</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1303</v>
      </c>
      <c r="B1519" s="27" t="s">
        <v>894</v>
      </c>
      <c r="C1519" s="27" t="s">
        <v>803</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1304</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757</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810</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889</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697</v>
      </c>
      <c r="B1524" s="27" t="s">
        <v>941</v>
      </c>
      <c r="C1524" s="27" t="s">
        <v>797</v>
      </c>
      <c r="D1524" s="27" t="s">
        <v>762</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798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838</v>
      </c>
      <c r="B1526" s="27" t="s">
        <v>940</v>
      </c>
      <c r="C1526" s="27" t="s">
        <v>797</v>
      </c>
      <c r="D1526" s="27" t="s">
        <v>762</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1305</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971</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804</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774</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row>
    <row r="1532" spans="1:12">
      <c r="A1532" s="20" t="s">
        <v>1306</v>
      </c>
    </row>
    <row r="1533" spans="1:12">
      <c r="A1533" s="20" t="s">
        <v>1201</v>
      </c>
      <c r="B1533" s="27" t="s">
        <v>760</v>
      </c>
      <c r="C1533" s="27" t="s">
        <v>820</v>
      </c>
      <c r="D1533" s="27" t="s">
        <v>762</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1161</v>
      </c>
      <c r="B1534" s="27" t="s">
        <v>767</v>
      </c>
      <c r="C1534" s="27" t="s">
        <v>797</v>
      </c>
      <c r="D1534" s="27" t="s">
        <v>762</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887</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1307</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769</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822</v>
      </c>
      <c r="B1538" s="27" t="s">
        <v>802</v>
      </c>
      <c r="C1538" s="27" t="s">
        <v>797</v>
      </c>
      <c r="D1538" s="27" t="s">
        <v>762</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1308</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785</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758</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1309</v>
      </c>
      <c r="B1542" s="27" t="s">
        <v>772</v>
      </c>
      <c r="C1542" s="27" t="s">
        <v>761</v>
      </c>
      <c r="D1542" s="27" t="s">
        <v>762</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942</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889</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697</v>
      </c>
      <c r="B1545" s="27" t="s">
        <v>796</v>
      </c>
      <c r="C1545" s="27" t="s">
        <v>797</v>
      </c>
      <c r="D1545" s="27" t="s">
        <v>762</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1310</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996</v>
      </c>
      <c r="B1547" s="27" t="s">
        <v>879</v>
      </c>
      <c r="C1547" s="27" t="s">
        <v>820</v>
      </c>
      <c r="D1547" s="27" t="s">
        <v>762</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1311</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751</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1312</v>
      </c>
      <c r="B1550" s="27" t="s">
        <v>879</v>
      </c>
      <c r="C1550" s="27" t="s">
        <v>754</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774</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row>
    <row r="1553" spans="1:12">
      <c r="A1553" s="20" t="s">
        <v>1313</v>
      </c>
    </row>
    <row r="1554" spans="1:12">
      <c r="A1554" s="20" t="s">
        <v>1314</v>
      </c>
      <c r="B1554" s="27" t="s">
        <v>772</v>
      </c>
      <c r="C1554" s="27" t="s">
        <v>851</v>
      </c>
      <c r="D1554" s="27" t="s">
        <v>762</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877</v>
      </c>
      <c r="B1555" s="27" t="s">
        <v>760</v>
      </c>
      <c r="C1555" s="27" t="s">
        <v>837</v>
      </c>
      <c r="D1555" s="27" t="s">
        <v>762</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887</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1315</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889</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795</v>
      </c>
      <c r="B1559" s="27" t="s">
        <v>796</v>
      </c>
      <c r="C1559" s="27" t="s">
        <v>797</v>
      </c>
      <c r="D1559" s="27" t="s">
        <v>762</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798</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1316</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804</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959</v>
      </c>
      <c r="B1563" s="27" t="s">
        <v>753</v>
      </c>
      <c r="C1563" s="27" t="s">
        <v>777</v>
      </c>
      <c r="D1563" s="27" t="s">
        <v>762</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774</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row>
    <row r="1566" spans="1:12">
      <c r="A1566" s="20" t="s">
        <v>1317</v>
      </c>
    </row>
    <row r="1567" spans="1:12">
      <c r="A1567" s="20" t="s">
        <v>1088</v>
      </c>
      <c r="B1567" s="27" t="s">
        <v>760</v>
      </c>
      <c r="C1567" s="27" t="s">
        <v>797</v>
      </c>
      <c r="D1567" s="27" t="s">
        <v>762</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887</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1318</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1319</v>
      </c>
      <c r="B1570" s="27" t="s">
        <v>772</v>
      </c>
      <c r="C1570" s="27" t="s">
        <v>851</v>
      </c>
      <c r="D1570" s="27" t="s">
        <v>762</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1320</v>
      </c>
      <c r="B1571" s="27" t="s">
        <v>767</v>
      </c>
      <c r="C1571" s="27" t="s">
        <v>837</v>
      </c>
      <c r="D1571" s="27" t="s">
        <v>762</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1238</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795</v>
      </c>
      <c r="B1573" s="27" t="s">
        <v>753</v>
      </c>
      <c r="C1573" s="27" t="s">
        <v>797</v>
      </c>
      <c r="D1573" s="27" t="s">
        <v>762</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774</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row>
    <row r="1576" spans="1:12">
      <c r="A1576" s="20" t="s">
        <v>1321</v>
      </c>
    </row>
    <row r="1577" spans="1:12">
      <c r="A1577" s="20" t="s">
        <v>750</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1322</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795</v>
      </c>
      <c r="B1579" s="27" t="s">
        <v>796</v>
      </c>
      <c r="C1579" s="27" t="s">
        <v>797</v>
      </c>
      <c r="D1579" s="27" t="s">
        <v>762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811</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1164</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804</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1323</v>
      </c>
      <c r="B1583" s="27" t="s">
        <v>802</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769</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1324</v>
      </c>
      <c r="B1585" s="27" t="s">
        <v>879</v>
      </c>
      <c r="C1585" s="27" t="s">
        <v>754</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757</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1325</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1085</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1326</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757</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795</v>
      </c>
      <c r="B1591" s="27" t="s">
        <v>760</v>
      </c>
      <c r="C1591" s="27" t="s">
        <v>797</v>
      </c>
      <c r="D1591" s="27" t="s">
        <v>762</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887</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1327</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822</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1328</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1329</v>
      </c>
      <c r="B1596" s="27" t="s">
        <v>767</v>
      </c>
      <c r="C1596" s="27" t="s">
        <v>761</v>
      </c>
      <c r="D1596" s="27" t="s">
        <v>762</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769</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822</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1330</v>
      </c>
      <c r="B1599" s="27" t="s">
        <v>772</v>
      </c>
      <c r="C1599" s="27" t="s">
        <v>761</v>
      </c>
      <c r="D1599" s="27" t="s">
        <v>762</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751</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1331</v>
      </c>
      <c r="B1601" s="27" t="s">
        <v>753</v>
      </c>
      <c r="C1601" s="27" t="s">
        <v>754</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769</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1296</v>
      </c>
      <c r="B1603" s="27" t="s">
        <v>772</v>
      </c>
      <c r="C1603" s="27" t="s">
        <v>754</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1297</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810</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795</v>
      </c>
      <c r="B1606" s="27" t="s">
        <v>796</v>
      </c>
      <c r="C1606" s="27" t="s">
        <v>797</v>
      </c>
      <c r="D1606" s="27" t="s">
        <v>762</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887</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1332</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1290</v>
      </c>
      <c r="B1609" s="27" t="s">
        <v>802</v>
      </c>
      <c r="C1609" s="27" t="s">
        <v>798</v>
      </c>
      <c r="D1609" s="27" t="s">
        <v>762</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1333</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769</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984</v>
      </c>
      <c r="B1612" s="27" t="s">
        <v>879</v>
      </c>
      <c r="C1612" s="27" t="s">
        <v>797</v>
      </c>
      <c r="D1612" s="27" t="s">
        <v>762</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774</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row>
    <row r="1615" spans="1:12">
      <c r="A1615" s="20" t="s">
        <v>1334</v>
      </c>
    </row>
    <row r="1616" spans="1:12">
      <c r="A1616" s="20" t="s">
        <v>1335</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1319</v>
      </c>
      <c r="B1617" s="27" t="s">
        <v>772</v>
      </c>
      <c r="C1617" s="27" t="s">
        <v>851</v>
      </c>
      <c r="D1617" s="27" t="s">
        <v>762</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1336</v>
      </c>
      <c r="B1618" s="27" t="s">
        <v>753</v>
      </c>
      <c r="C1618" s="27" t="s">
        <v>837</v>
      </c>
      <c r="D1618" s="27" t="s">
        <v>762</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757</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697</v>
      </c>
      <c r="B1620" s="27" t="s">
        <v>760</v>
      </c>
      <c r="C1620" s="27" t="s">
        <v>797</v>
      </c>
      <c r="D1620" s="27" t="s">
        <v>762</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887</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1337</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132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1338</v>
      </c>
      <c r="B1624" s="27" t="s">
        <v>767</v>
      </c>
      <c r="C1624" s="27" t="s">
        <v>831</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1339</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1340</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774</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row>
    <row r="1629" spans="1:12">
      <c r="A1629" s="20" t="s">
        <v>1341</v>
      </c>
    </row>
    <row r="1630" spans="1:12">
      <c r="A1630" s="20" t="s">
        <v>995</v>
      </c>
      <c r="B1630" s="27" t="s">
        <v>760</v>
      </c>
      <c r="C1630" s="27" t="s">
        <v>797</v>
      </c>
      <c r="D1630" s="27" t="s">
        <v>762</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887</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1342</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1115</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954</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1265</v>
      </c>
      <c r="B1635" s="27" t="s">
        <v>753</v>
      </c>
      <c r="C1635" s="27" t="s">
        <v>1019</v>
      </c>
      <c r="D1635" s="27" t="s">
        <v>762</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1343</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785</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758</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1309</v>
      </c>
      <c r="B1639" s="27" t="s">
        <v>879</v>
      </c>
      <c r="C1639" s="27" t="s">
        <v>761</v>
      </c>
      <c r="D1639" s="27" t="s">
        <v>762</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1344</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889</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697</v>
      </c>
      <c r="B1642" s="27" t="s">
        <v>796</v>
      </c>
      <c r="C1642" s="27" t="s">
        <v>797</v>
      </c>
      <c r="D1642" s="27" t="s">
        <v>762</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1345</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1159</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1338</v>
      </c>
      <c r="B1645" s="27" t="s">
        <v>802</v>
      </c>
      <c r="C1645" s="27" t="s">
        <v>1019</v>
      </c>
      <c r="D1645" s="27" t="s">
        <v>762</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757</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1346</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785</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1347</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697</v>
      </c>
      <c r="B1650" s="27" t="s">
        <v>941</v>
      </c>
      <c r="C1650" s="27" t="s">
        <v>797</v>
      </c>
      <c r="D1650" s="27" t="s">
        <v>762</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1202</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1105</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1348</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774</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row>
    <row r="1656" spans="1:12">
      <c r="A1656" s="20" t="s">
        <v>1349</v>
      </c>
    </row>
    <row r="1657" spans="1:12">
      <c r="A1657" s="20" t="s">
        <v>1350</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889</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697</v>
      </c>
      <c r="B1659" s="27" t="s">
        <v>796</v>
      </c>
      <c r="C1659" s="27" t="s">
        <v>797</v>
      </c>
      <c r="D1659" s="27" t="s">
        <v>762</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915</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1351</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757</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890</v>
      </c>
      <c r="B1663" s="27" t="s">
        <v>760</v>
      </c>
      <c r="C1663" s="27" t="s">
        <v>820</v>
      </c>
      <c r="D1663" s="27" t="s">
        <v>762</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887</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1352</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769</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838</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1353</v>
      </c>
      <c r="B1668" s="27" t="s">
        <v>753</v>
      </c>
      <c r="C1668" s="27" t="s">
        <v>761</v>
      </c>
      <c r="D1668" s="27" t="s">
        <v>762</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942</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758</v>
      </c>
      <c r="B1670" s="27" t="s">
        <v>802</v>
      </c>
      <c r="C1670" s="27" t="s">
        <v>797</v>
      </c>
      <c r="D1670" s="27" t="s">
        <v>762</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1354</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942</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931</v>
      </c>
      <c r="B1673" s="27" t="s">
        <v>879</v>
      </c>
      <c r="C1673" s="27" t="s">
        <v>851</v>
      </c>
      <c r="D1673" s="27" t="s">
        <v>762</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1355</v>
      </c>
      <c r="B1674" s="27" t="s">
        <v>772</v>
      </c>
      <c r="C1674" s="27" t="s">
        <v>837</v>
      </c>
      <c r="D1674" s="27" t="s">
        <v>762</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774</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row>
    <row r="1677" spans="1:12">
      <c r="A1677" s="20" t="s">
        <v>1356</v>
      </c>
    </row>
    <row r="1678" spans="1:12">
      <c r="A1678" s="20" t="s">
        <v>995</v>
      </c>
      <c r="B1678" s="27" t="s">
        <v>760</v>
      </c>
      <c r="C1678" s="27" t="s">
        <v>797</v>
      </c>
      <c r="D1678" s="27" t="s">
        <v>762</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887</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1357</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1267</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1358</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1230</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889</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697</v>
      </c>
      <c r="B1685" s="27" t="s">
        <v>796</v>
      </c>
      <c r="C1685" s="27" t="s">
        <v>797</v>
      </c>
      <c r="D1685" s="27" t="s">
        <v>762</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811</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1164</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1359</v>
      </c>
      <c r="B1688" s="27" t="s">
        <v>802</v>
      </c>
      <c r="C1688" s="27" t="s">
        <v>820</v>
      </c>
      <c r="D1688" s="27" t="s">
        <v>762</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805</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946</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785</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333</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774</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row>
    <row r="1695" spans="1:12">
      <c r="A1695" s="20" t="s">
        <v>1360</v>
      </c>
    </row>
    <row r="1696" spans="1:12">
      <c r="A1696" s="20" t="s">
        <v>995</v>
      </c>
      <c r="B1696" s="27" t="s">
        <v>760</v>
      </c>
      <c r="C1696" s="27" t="s">
        <v>797</v>
      </c>
      <c r="D1696" s="27" t="s">
        <v>762</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887</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1361</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1259</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1362</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779</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1363</v>
      </c>
      <c r="B1702" s="27" t="s">
        <v>802</v>
      </c>
      <c r="C1702" s="27" t="s">
        <v>768</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1020</v>
      </c>
      <c r="B1703" s="27" t="s">
        <v>941</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811</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1164</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1300</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1364</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1365</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1259</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945</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1366</v>
      </c>
      <c r="B1711" s="27" t="s">
        <v>901</v>
      </c>
      <c r="C1711" s="27" t="s">
        <v>837</v>
      </c>
      <c r="D1711" s="27" t="s">
        <v>762</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769</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1099</v>
      </c>
      <c r="B1713" s="27" t="s">
        <v>1062</v>
      </c>
      <c r="C1713" s="27" t="s">
        <v>851</v>
      </c>
      <c r="D1713" s="27" t="s">
        <v>762</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972</v>
      </c>
      <c r="B1714" s="27" t="s">
        <v>815</v>
      </c>
      <c r="C1714" s="27" t="s">
        <v>837</v>
      </c>
      <c r="D1714" s="27" t="s">
        <v>762</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774</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row>
    <row r="1717" spans="1:12">
      <c r="A1717" s="20" t="s">
        <v>1367</v>
      </c>
    </row>
    <row r="1718" spans="1:12">
      <c r="A1718" s="20" t="s">
        <v>791</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918</v>
      </c>
      <c r="B1719" s="27" t="s">
        <v>772</v>
      </c>
      <c r="C1719" s="27" t="s">
        <v>754</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757</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697</v>
      </c>
      <c r="B1721" s="27" t="s">
        <v>760</v>
      </c>
      <c r="C1721" s="27" t="s">
        <v>797</v>
      </c>
      <c r="D1721" s="27" t="s">
        <v>762</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915</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822</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1368</v>
      </c>
      <c r="B1724" s="27" t="s">
        <v>753</v>
      </c>
      <c r="C1724" s="27" t="s">
        <v>837</v>
      </c>
      <c r="D1724" s="27" t="s">
        <v>762</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769</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1099</v>
      </c>
      <c r="B1726" s="27" t="s">
        <v>772</v>
      </c>
      <c r="C1726" s="27" t="s">
        <v>851</v>
      </c>
      <c r="D1726" s="27" t="s">
        <v>762</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972</v>
      </c>
      <c r="B1727" s="27" t="s">
        <v>753</v>
      </c>
      <c r="C1727" s="27" t="s">
        <v>837</v>
      </c>
      <c r="D1727" s="27" t="s">
        <v>762</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785</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51</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785</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758</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1369</v>
      </c>
      <c r="B1732" s="27" t="s">
        <v>879</v>
      </c>
      <c r="C1732" s="27" t="s">
        <v>761</v>
      </c>
      <c r="D1732" s="27" t="s">
        <v>762</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757</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1050</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697</v>
      </c>
      <c r="B1735" s="27" t="s">
        <v>956</v>
      </c>
      <c r="C1735" s="27" t="s">
        <v>797</v>
      </c>
      <c r="D1735" s="27" t="s">
        <v>762</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1370</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1007</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822</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1371</v>
      </c>
      <c r="B1739" s="27" t="s">
        <v>879</v>
      </c>
      <c r="C1739" s="27" t="s">
        <v>761</v>
      </c>
      <c r="D1739" s="27" t="s">
        <v>762</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810</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1372</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764</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1373</v>
      </c>
      <c r="B1743" s="27" t="s">
        <v>940</v>
      </c>
      <c r="C1743" s="27" t="s">
        <v>768</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1374</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1375</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785</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1319</v>
      </c>
      <c r="B1747" s="27" t="s">
        <v>1127</v>
      </c>
      <c r="C1747" s="27" t="s">
        <v>851</v>
      </c>
      <c r="D1747" s="27" t="s">
        <v>762</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1376</v>
      </c>
      <c r="B1748" s="27" t="s">
        <v>1062</v>
      </c>
      <c r="C1748" s="27" t="s">
        <v>837</v>
      </c>
      <c r="D1748" s="27" t="s">
        <v>762</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1377</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774</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row>
    <row r="1752" spans="1:12">
      <c r="A1752" s="20" t="s">
        <v>1378</v>
      </c>
    </row>
    <row r="1753" spans="1:12">
      <c r="A1753" s="20" t="s">
        <v>1314</v>
      </c>
      <c r="B1753" s="27" t="s">
        <v>772</v>
      </c>
      <c r="C1753" s="27" t="s">
        <v>851</v>
      </c>
      <c r="D1753" s="27" t="s">
        <v>762</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877</v>
      </c>
      <c r="B1754" s="27" t="s">
        <v>760</v>
      </c>
      <c r="C1754" s="27" t="s">
        <v>837</v>
      </c>
      <c r="D1754" s="27" t="s">
        <v>762</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903</v>
      </c>
      <c r="B1755" s="27" t="s">
        <v>767</v>
      </c>
      <c r="C1755" s="27" t="s">
        <v>797</v>
      </c>
      <c r="D1755" s="27" t="s">
        <v>762</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887</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1379</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758</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1380</v>
      </c>
      <c r="B1759" s="27" t="s">
        <v>767</v>
      </c>
      <c r="C1759" s="27" t="s">
        <v>761</v>
      </c>
      <c r="D1759" s="27" t="s">
        <v>762</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805</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779</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1381</v>
      </c>
      <c r="B1762" s="27" t="s">
        <v>772</v>
      </c>
      <c r="C1762" s="27" t="s">
        <v>768</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1050</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795</v>
      </c>
      <c r="B1764" s="27" t="s">
        <v>941</v>
      </c>
      <c r="C1764" s="27" t="s">
        <v>797</v>
      </c>
      <c r="D1764" s="27" t="s">
        <v>762</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1382</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785</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770</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1383</v>
      </c>
      <c r="B1768" s="27" t="s">
        <v>901</v>
      </c>
      <c r="C1768" s="27" t="s">
        <v>761</v>
      </c>
      <c r="D1768" s="27" t="s">
        <v>762</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16</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16</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697</v>
      </c>
      <c r="B1771" s="27" t="s">
        <v>956</v>
      </c>
      <c r="C1771" s="27" t="s">
        <v>797</v>
      </c>
      <c r="D1771" s="27" t="s">
        <v>762</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1384</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872</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764</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1369</v>
      </c>
      <c r="B1775" s="27" t="s">
        <v>879</v>
      </c>
      <c r="C1775" s="27" t="s">
        <v>768</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1385</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16</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795</v>
      </c>
      <c r="B1778" s="27" t="s">
        <v>796</v>
      </c>
      <c r="C1778" s="27" t="s">
        <v>797</v>
      </c>
      <c r="D1778" s="27" t="s">
        <v>762</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903</v>
      </c>
      <c r="B1779" s="27" t="s">
        <v>802</v>
      </c>
      <c r="C1779" s="27" t="s">
        <v>797</v>
      </c>
      <c r="D1779" s="27" t="s">
        <v>762</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887</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888</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757</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749</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1037</v>
      </c>
      <c r="B1784" s="27" t="s">
        <v>796</v>
      </c>
      <c r="C1784" s="27" t="s">
        <v>797</v>
      </c>
      <c r="D1784" s="27" t="s">
        <v>762</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909</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1386</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1099</v>
      </c>
      <c r="B1787" s="27" t="s">
        <v>879</v>
      </c>
      <c r="C1787" s="27" t="s">
        <v>851</v>
      </c>
      <c r="D1787" s="27" t="s">
        <v>762</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1373</v>
      </c>
      <c r="B1788" s="27" t="s">
        <v>802</v>
      </c>
      <c r="C1788" s="27" t="s">
        <v>837</v>
      </c>
      <c r="D1788" s="27" t="s">
        <v>762</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757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889</v>
      </c>
      <c r="B1790" s="27" t="s">
        <v>894</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890</v>
      </c>
      <c r="B1791" s="27" t="s">
        <v>956</v>
      </c>
      <c r="C1791" s="27" t="s">
        <v>820</v>
      </c>
      <c r="D1791" s="27" t="s">
        <v>762</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1387</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923</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757</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1007</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822</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1388</v>
      </c>
      <c r="B1797" s="27" t="s">
        <v>772</v>
      </c>
      <c r="C1797" s="27" t="s">
        <v>761</v>
      </c>
      <c r="D1797" s="27" t="s">
        <v>762</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805</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779</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1389</v>
      </c>
      <c r="B1800" s="27" t="s">
        <v>879</v>
      </c>
      <c r="C1800" s="27" t="s">
        <v>768</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757</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818</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749</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833</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869</v>
      </c>
      <c r="B1805" s="27" t="s">
        <v>956</v>
      </c>
      <c r="C1805" s="27" t="s">
        <v>797</v>
      </c>
      <c r="D1805" s="27" t="s">
        <v>762</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975</v>
      </c>
      <c r="B1806" s="27" t="s">
        <v>894</v>
      </c>
      <c r="C1806" s="27" t="s">
        <v>797</v>
      </c>
      <c r="D1806" s="27" t="s">
        <v>762</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870</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888</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757</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1155</v>
      </c>
      <c r="B1810" s="27" t="s">
        <v>956</v>
      </c>
      <c r="C1810" s="27" t="s">
        <v>797</v>
      </c>
      <c r="D1810" s="27" t="s">
        <v>762</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1390</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1391</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1392</v>
      </c>
      <c r="B1813" s="27" t="s">
        <v>894</v>
      </c>
      <c r="C1813" s="27" t="s">
        <v>831</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757</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697</v>
      </c>
      <c r="B1815" s="27" t="s">
        <v>956</v>
      </c>
      <c r="C1815" s="27" t="s">
        <v>797</v>
      </c>
      <c r="D1815" s="27" t="s">
        <v>762</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918</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365</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1393</v>
      </c>
      <c r="B1818" s="27" t="s">
        <v>894</v>
      </c>
      <c r="C1818" s="27" t="s">
        <v>831</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774</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row>
    <row r="1821" spans="1:12">
      <c r="A1821" s="20" t="s">
        <v>1394</v>
      </c>
    </row>
    <row r="1822" spans="1:12">
      <c r="A1822" s="20" t="s">
        <v>1395</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1396</v>
      </c>
      <c r="B1823" s="27" t="s">
        <v>753</v>
      </c>
      <c r="C1823" s="27" t="s">
        <v>831</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942</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1029</v>
      </c>
      <c r="B1825" s="27" t="s">
        <v>772</v>
      </c>
      <c r="C1825" s="27" t="s">
        <v>820</v>
      </c>
      <c r="D1825" s="27" t="s">
        <v>762</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757</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959</v>
      </c>
      <c r="B1827" s="27" t="s">
        <v>760</v>
      </c>
      <c r="C1827" s="27" t="s">
        <v>777</v>
      </c>
      <c r="D1827" s="27" t="s">
        <v>762</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918</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t="s">
        <v>1397</v>
      </c>
      <c r="B1829" s="27" t="s">
        <v>767</v>
      </c>
      <c r="E1829" s="21">
        <f>IF(D1829="?OLD","!!!","")</f>
        <v/>
      </c>
      <c r="F1829" s="22" t="str">
        <f>IF(OR(E1829="",E1829="!!!"),"",IF(NOT(ISNA(VLOOKUP(E1829,E$1:E1828,1,FALSE()))),"OLD",IF(AND(E1829&lt;&gt;"",E1829&lt;&gt;"!!!"),"NEW","")))</f>
        <v> </v>
      </c>
      <c r="G1829" s="23" t="str">
        <f>IF(OR(E1829="",E1829="!!!"),"",IF(OR(J1829=0,AND(J1829=1,K1829=1),AND(J1829=1,I1829="SBJ"),AND(J1829=1,I1829=0)),"?IN_FOCUS",IF(J1829&lt;=2,"?ACTIVATED",IF(J1829&lt;&gt;"","?FAMILIAR",IF(F1829="NEW",IF(ISNA(VLOOKUP(E1829,#REF!,1,FALSE())),"?TYPE_IDENTIFIABLE","?REFERENTIAL"),"_")))))</f>
        <v> </v>
      </c>
      <c r="H1829" s="24" t="str">
        <f>IF(J1829&lt;&gt;1,"",IF(I1829="SBJ","CB","?"))</f>
        <v> </v>
      </c>
      <c r="I1829" s="25" t="str">
        <f>IF(OR(E1829="",E1829="!!!",F1829="NEW"),"",INDEX(B1828:B$2,-1+SUMPRODUCT(MAX(ROW(E1828:E$2)*(E1829=E1828:E$2)))))</f>
        <v> </v>
      </c>
      <c r="J1829" s="25" t="str">
        <f>IF(OR(E1829="",E1829="!!!",F1829="NEW"),"",COUNTBLANK(OFFSET(A$1,,,SUMPRODUCT(MAX(ROW(E$2:E1829)*(E1829=E$2:E1829)))))-COUNTBLANK(OFFSET(A$1,,,SUMPRODUCT(MAX(ROW(E$1:E1828)*(E2=E$1:E1828))))))</f>
        <v> </v>
      </c>
      <c r="K1829" s="25" t="str">
        <f>IF(OR(E1829="",E1829="!!!",F1829="NEW"),"",INDEX(J$1:J1828,SUMPRODUCT(MAX(ROW(E$1:E1828)*(E1829=E$1:E1828)))))</f>
        <v> </v>
      </c>
      <c r="L1829" s="26"/>
    </row>
    <row r="1830" spans="1:12">
      <c r="A1830" s="20" t="s">
        <v>942</v>
      </c>
      <c r="E1830" s="21">
        <f>IF(D1830="?OLD","!!!","")</f>
        <v/>
      </c>
      <c r="F1830" s="22" t="str">
        <f>IF(OR(E1830="",E1830="!!!"),"",IF(NOT(ISNA(VLOOKUP(E1830,E$1:E1829,1,FALSE()))),"OLD",IF(AND(E1830&lt;&gt;"",E1830&lt;&gt;"!!!"),"NEW","")))</f>
        <v> </v>
      </c>
      <c r="G1830" s="23" t="str">
        <f>IF(OR(E1830="",E1830="!!!"),"",IF(OR(J1830=0,AND(J1830=1,K1830=1),AND(J1830=1,I1830="SBJ"),AND(J1830=1,I1830=0)),"?IN_FOCUS",IF(J1830&lt;=2,"?ACTIVATED",IF(J1830&lt;&gt;"","?FAMILIAR",IF(F1830="NEW",IF(ISNA(VLOOKUP(E1830,#REF!,1,FALSE())),"?TYPE_IDENTIFIABLE","?REFERENTIAL"),"_")))))</f>
        <v> </v>
      </c>
      <c r="H1830" s="24" t="str">
        <f>IF(J1830&lt;&gt;1,"",IF(I1830="SBJ","CB","?"))</f>
        <v> </v>
      </c>
      <c r="I1830" s="25" t="str">
        <f>IF(OR(E1830="",E1830="!!!",F1830="NEW"),"",INDEX(B1829:B$2,-1+SUMPRODUCT(MAX(ROW(E1829:E$2)*(E1830=E1829:E$2)))))</f>
        <v> </v>
      </c>
      <c r="J1830" s="25" t="str">
        <f>IF(OR(E1830="",E1830="!!!",F1830="NEW"),"",COUNTBLANK(OFFSET(A$1,,,SUMPRODUCT(MAX(ROW(E$2:E1830)*(E1830=E$2:E1830)))))-COUNTBLANK(OFFSET(A$1,,,SUMPRODUCT(MAX(ROW(E$1:E1829)*(E2=E$1:E1829))))))</f>
        <v> </v>
      </c>
      <c r="K1830" s="25" t="str">
        <f>IF(OR(E1830="",E1830="!!!",F1830="NEW"),"",INDEX(J$1:J1829,SUMPRODUCT(MAX(ROW(E$1:E1829)*(E1830=E$1:E1829)))))</f>
        <v> </v>
      </c>
      <c r="L1830" s="26"/>
    </row>
    <row r="1831" spans="1:12">
      <c r="A1831" s="20" t="s">
        <v>984</v>
      </c>
      <c r="B1831" s="27" t="s">
        <v>753</v>
      </c>
      <c r="C1831" s="27" t="s">
        <v>797</v>
      </c>
      <c r="D1831" s="27" t="s">
        <v>762</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774</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row>
    <row r="1834" spans="1:12">
      <c r="A1834" s="20" t="s">
        <v>1398</v>
      </c>
    </row>
    <row r="1835" spans="1:12">
      <c r="A1835" s="20" t="s">
        <v>818</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1088</v>
      </c>
      <c r="B1836" s="27" t="s">
        <v>760</v>
      </c>
      <c r="C1836" s="27" t="s">
        <v>797</v>
      </c>
      <c r="D1836" s="27" t="s">
        <v>762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903</v>
      </c>
      <c r="B1837" s="27" t="s">
        <v>767</v>
      </c>
      <c r="C1837" s="27" t="s">
        <v>797</v>
      </c>
      <c r="D1837" s="27" t="s">
        <v>762</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887</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888</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757</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749</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983</v>
      </c>
      <c r="B1842" s="27" t="s">
        <v>796</v>
      </c>
      <c r="C1842" s="27" t="s">
        <v>797</v>
      </c>
      <c r="D1842" s="27" t="s">
        <v>762</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1399</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793</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869</v>
      </c>
      <c r="B1845" s="27" t="s">
        <v>956</v>
      </c>
      <c r="C1845" s="27" t="s">
        <v>797</v>
      </c>
      <c r="D1845" s="27" t="s">
        <v>762</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798</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970</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804</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134</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810</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758</v>
      </c>
      <c r="B1851" s="27" t="s">
        <v>940</v>
      </c>
      <c r="C1851" s="27" t="s">
        <v>797</v>
      </c>
      <c r="D1851" s="27" t="s">
        <v>762</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1400</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921</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869</v>
      </c>
      <c r="B1854" s="27" t="s">
        <v>796</v>
      </c>
      <c r="C1854" s="27" t="s">
        <v>797</v>
      </c>
      <c r="D1854" s="27" t="s">
        <v>762</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870</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1401</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785</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770</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1383</v>
      </c>
      <c r="B1859" s="27" t="s">
        <v>772</v>
      </c>
      <c r="C1859" s="27" t="s">
        <v>761</v>
      </c>
      <c r="D1859" s="27" t="s">
        <v>762</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810</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869</v>
      </c>
      <c r="B1861" s="27" t="s">
        <v>956</v>
      </c>
      <c r="C1861" s="27" t="s">
        <v>797</v>
      </c>
      <c r="D1861" s="27" t="s">
        <v>762</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984</v>
      </c>
      <c r="B1862" s="27" t="s">
        <v>894</v>
      </c>
      <c r="C1862" s="27" t="s">
        <v>797</v>
      </c>
      <c r="D1862" s="27" t="s">
        <v>762</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909</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1402</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1403</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1404</v>
      </c>
      <c r="B1866" s="27" t="s">
        <v>894</v>
      </c>
      <c r="C1866" s="27" t="s">
        <v>831</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1007</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1319</v>
      </c>
      <c r="B1868" s="27" t="s">
        <v>901</v>
      </c>
      <c r="C1868" s="27" t="s">
        <v>851</v>
      </c>
      <c r="D1868" s="27" t="s">
        <v>762</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1405</v>
      </c>
      <c r="B1869" s="27" t="s">
        <v>879</v>
      </c>
      <c r="C1869" s="27" t="s">
        <v>837</v>
      </c>
      <c r="D1869" s="27" t="s">
        <v>762</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774</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row>
    <row r="1872" spans="1:12">
      <c r="A1872" s="20" t="s">
        <v>1406</v>
      </c>
    </row>
    <row r="1873" spans="1:12">
      <c r="A1873" s="20" t="s">
        <v>818</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1088</v>
      </c>
      <c r="B1874" s="27" t="s">
        <v>760</v>
      </c>
      <c r="C1874" s="27" t="s">
        <v>797</v>
      </c>
      <c r="D1874" s="27" t="s">
        <v>762</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903</v>
      </c>
      <c r="B1875" s="27" t="s">
        <v>767</v>
      </c>
      <c r="C1875" s="27" t="s">
        <v>797</v>
      </c>
      <c r="D1875" s="27" t="s">
        <v>762</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887</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888</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757</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749</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1407</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827</v>
      </c>
      <c r="B1881" s="27" t="s">
        <v>796</v>
      </c>
      <c r="C1881" s="27" t="s">
        <v>797</v>
      </c>
      <c r="D1881" s="27" t="s">
        <v>762</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909</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1014</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757</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1322</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1408</v>
      </c>
      <c r="B1886" s="27" t="s">
        <v>956</v>
      </c>
      <c r="C1886" s="27" t="s">
        <v>820</v>
      </c>
      <c r="D1886" s="27" t="s">
        <v>762</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903</v>
      </c>
      <c r="B1887" s="27" t="s">
        <v>894</v>
      </c>
      <c r="C1887" s="27" t="s">
        <v>797</v>
      </c>
      <c r="D1887" s="27" t="s">
        <v>762</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1164</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888</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974</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697</v>
      </c>
      <c r="B1891" s="27" t="s">
        <v>941</v>
      </c>
      <c r="C1891" s="27" t="s">
        <v>797</v>
      </c>
      <c r="D1891" s="27" t="s">
        <v>762</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778</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1294</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793</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878</v>
      </c>
      <c r="B1895" s="27" t="s">
        <v>1062</v>
      </c>
      <c r="C1895" s="27" t="s">
        <v>851</v>
      </c>
      <c r="D1895" s="27" t="s">
        <v>762</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1409</v>
      </c>
      <c r="B1896" s="27" t="s">
        <v>1272</v>
      </c>
      <c r="C1896" s="27" t="s">
        <v>837</v>
      </c>
      <c r="D1896" s="27" t="s">
        <v>762</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1410</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1411</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889</v>
      </c>
      <c r="B1899" s="27" t="s">
        <v>1076</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697</v>
      </c>
      <c r="B1900" s="27" t="s">
        <v>1272</v>
      </c>
      <c r="C1900" s="27" t="s">
        <v>797</v>
      </c>
      <c r="D1900" s="27" t="s">
        <v>762</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1412</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1413</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810</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1414</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875</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931</v>
      </c>
      <c r="B1906" s="27" t="s">
        <v>1127</v>
      </c>
      <c r="C1906" s="27" t="s">
        <v>851</v>
      </c>
      <c r="D1906" s="27" t="s">
        <v>762</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1415</v>
      </c>
      <c r="B1907" s="27" t="s">
        <v>1062</v>
      </c>
      <c r="C1907" s="27" t="s">
        <v>837</v>
      </c>
      <c r="D1907" s="27" t="s">
        <v>762</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769</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1416</v>
      </c>
      <c r="B1909" s="27" t="s">
        <v>1127</v>
      </c>
      <c r="C1909" s="27" t="s">
        <v>754</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925</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818</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833</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869</v>
      </c>
      <c r="B1913" s="27" t="s">
        <v>1080</v>
      </c>
      <c r="C1913" s="27" t="s">
        <v>797</v>
      </c>
      <c r="D1913" s="27" t="s">
        <v>762</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984</v>
      </c>
      <c r="B1914" s="27" t="s">
        <v>1236</v>
      </c>
      <c r="C1914" s="27" t="s">
        <v>797</v>
      </c>
      <c r="D1914" s="27" t="s">
        <v>762</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909</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888</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757</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749</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1417</v>
      </c>
      <c r="B1919" s="27" t="s">
        <v>1172</v>
      </c>
      <c r="C1919" s="27" t="s">
        <v>1418</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778</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1419</v>
      </c>
      <c r="B1921" s="27" t="s">
        <v>1062</v>
      </c>
      <c r="C1921" s="27" t="s">
        <v>777</v>
      </c>
      <c r="D1921" s="27" t="s">
        <v>762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793</v>
      </c>
      <c r="B1922" s="27" t="s">
        <v>1131</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950</v>
      </c>
      <c r="B1923" s="27" t="s">
        <v>1172</v>
      </c>
      <c r="C1923" s="27" t="s">
        <v>797</v>
      </c>
      <c r="D1923" s="27" t="s">
        <v>762</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1420</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129</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918</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1020</v>
      </c>
      <c r="B1927" s="27" t="s">
        <v>1063</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758</v>
      </c>
      <c r="B1928" s="27" t="s">
        <v>1421</v>
      </c>
      <c r="C1928" s="27" t="s">
        <v>797</v>
      </c>
      <c r="D1928" s="27" t="s">
        <v>762</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887</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1422</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785</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47</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1408</v>
      </c>
      <c r="B1933" s="27" t="s">
        <v>1423</v>
      </c>
      <c r="C1933" s="27" t="s">
        <v>820</v>
      </c>
      <c r="D1933" s="27" t="s">
        <v>762</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769</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1424</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757</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805</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1425</v>
      </c>
      <c r="B1938" s="27" t="s">
        <v>1130</v>
      </c>
      <c r="C1938" s="27" t="s">
        <v>754</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810</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769</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1426</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859</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row>
    <row r="1944" spans="1:12">
      <c r="A1944" s="20" t="s">
        <v>1427</v>
      </c>
    </row>
    <row r="1945" spans="1:12">
      <c r="A1945" s="20" t="s">
        <v>1088</v>
      </c>
      <c r="B1945" s="27" t="s">
        <v>760</v>
      </c>
      <c r="C1945" s="27" t="s">
        <v>797</v>
      </c>
      <c r="D1945" s="27" t="s">
        <v>762</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903</v>
      </c>
      <c r="B1946" s="27" t="s">
        <v>767</v>
      </c>
      <c r="C1946" s="27" t="s">
        <v>797</v>
      </c>
      <c r="D1946" s="27" t="s">
        <v>762</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887</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888</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757</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749</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1417</v>
      </c>
      <c r="B1951" s="27" t="s">
        <v>753</v>
      </c>
      <c r="C1951" s="27" t="s">
        <v>1418</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778</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1419</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793</v>
      </c>
      <c r="B1954" s="27" t="s">
        <v>894</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827</v>
      </c>
      <c r="B1955" s="27" t="s">
        <v>956</v>
      </c>
      <c r="C1955" s="27" t="s">
        <v>797</v>
      </c>
      <c r="D1955" s="27" t="s">
        <v>762</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909</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t="s">
        <v>918</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859</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row>
    <row r="1960" spans="1:12">
      <c r="A1960" s="20" t="s">
        <v>1428</v>
      </c>
    </row>
    <row r="1961" spans="1:12">
      <c r="A1961" s="20" t="s">
        <v>983</v>
      </c>
      <c r="B1961" s="27" t="s">
        <v>760</v>
      </c>
      <c r="C1961" s="27" t="s">
        <v>797</v>
      </c>
      <c r="D1961" s="27" t="s">
        <v>762</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758</v>
      </c>
      <c r="B1962" s="27" t="s">
        <v>767</v>
      </c>
      <c r="C1962" s="27" t="s">
        <v>797</v>
      </c>
      <c r="D1962" s="27" t="s">
        <v>762</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909</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1429</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757</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955</v>
      </c>
      <c r="B1966" s="27" t="s">
        <v>796</v>
      </c>
      <c r="C1966" s="27" t="s">
        <v>777</v>
      </c>
      <c r="D1966" s="27" t="s">
        <v>762</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778</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1115</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774</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row>
    <row r="1971" spans="1:12">
      <c r="A1971" s="20" t="s">
        <v>1430</v>
      </c>
    </row>
    <row r="1972" spans="1:12">
      <c r="A1972" s="20" t="s">
        <v>1290</v>
      </c>
      <c r="B1972" s="27" t="s">
        <v>760</v>
      </c>
      <c r="C1972" s="27" t="s">
        <v>798</v>
      </c>
      <c r="D1972" s="27" t="s">
        <v>762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887</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1431</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923</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1432</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764</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1433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1434</v>
      </c>
      <c r="B1979" s="27" t="s">
        <v>802</v>
      </c>
      <c r="C1979" s="27" t="s">
        <v>768</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751</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984</v>
      </c>
      <c r="B1981" s="27" t="s">
        <v>772</v>
      </c>
      <c r="C1981" s="27" t="s">
        <v>797</v>
      </c>
      <c r="D1981" s="27" t="s">
        <v>762</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774</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row>
    <row r="1984" spans="1:12">
      <c r="A1984" s="20" t="s">
        <v>1435</v>
      </c>
    </row>
    <row r="1985" spans="1:12">
      <c r="A1985" s="20" t="s">
        <v>1436</v>
      </c>
      <c r="B1985" s="27" t="s">
        <v>772</v>
      </c>
      <c r="C1985" s="27" t="s">
        <v>851</v>
      </c>
      <c r="D1985" s="27" t="s">
        <v>762</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1437</v>
      </c>
      <c r="B1986" s="27" t="s">
        <v>760</v>
      </c>
      <c r="C1986" s="27" t="s">
        <v>837</v>
      </c>
      <c r="D1986" s="27" t="s">
        <v>762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810</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899</v>
      </c>
      <c r="B1988" s="27" t="s">
        <v>772</v>
      </c>
      <c r="C1988" s="27" t="s">
        <v>820</v>
      </c>
      <c r="D1988" s="27" t="s">
        <v>762</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1438</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1095</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1439</v>
      </c>
      <c r="B1991" s="27" t="s">
        <v>767</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t="s">
        <v>769</v>
      </c>
      <c r="E1992" s="21">
        <f>IF(D1992="?OLD","!!!","")</f>
        <v/>
      </c>
      <c r="F1992" s="22" t="str">
        <f>IF(OR(E1992="",E1992="!!!"),"",IF(NOT(ISNA(VLOOKUP(E1992,E$1:E1991,1,FALSE()))),"OLD",IF(AND(E1992&lt;&gt;"",E1992&lt;&gt;"!!!"),"NEW","")))</f>
        <v> </v>
      </c>
      <c r="G1992" s="23" t="str">
        <f>IF(OR(E1992="",E1992="!!!"),"",IF(OR(J1992=0,AND(J1992=1,K1992=1),AND(J1992=1,I1992="SBJ"),AND(J1992=1,I1992=0)),"?IN_FOCUS",IF(J1992&lt;=2,"?ACTIVATED",IF(J1992&lt;&gt;"","?FAMILIAR",IF(F1992="NEW",IF(ISNA(VLOOKUP(E1992,#REF!,1,FALSE())),"?TYPE_IDENTIFIABLE","?REFERENTIAL"),"_")))))</f>
        <v> </v>
      </c>
      <c r="H1992" s="24" t="str">
        <f>IF(J1992&lt;&gt;1,"",IF(I1992="SBJ","CB","?"))</f>
        <v> </v>
      </c>
      <c r="I1992" s="25" t="str">
        <f>IF(OR(E1992="",E1992="!!!",F1992="NEW"),"",INDEX(B1991:B$2,-1+SUMPRODUCT(MAX(ROW(E1991:E$2)*(E1992=E1991:E$2)))))</f>
        <v> </v>
      </c>
      <c r="J1992" s="25" t="str">
        <f>IF(OR(E1992="",E1992="!!!",F1992="NEW"),"",COUNTBLANK(OFFSET(A$1,,,SUMPRODUCT(MAX(ROW(E$2:E1992)*(E1992=E$2:E1992)))))-COUNTBLANK(OFFSET(A$1,,,SUMPRODUCT(MAX(ROW(E$1:E1991)*(E2=E$1:E1991))))))</f>
        <v> </v>
      </c>
      <c r="K1992" s="25" t="str">
        <f>IF(OR(E1992="",E1992="!!!",F1992="NEW"),"",INDEX(J$1:J1991,SUMPRODUCT(MAX(ROW(E$1:E1991)*(E1992=E$1:E1991)))))</f>
        <v> </v>
      </c>
      <c r="L1992" s="26"/>
    </row>
    <row r="1993" spans="1:12">
      <c r="A1993" s="20" t="s">
        <v>1440</v>
      </c>
      <c r="B1993" s="27" t="s">
        <v>772</v>
      </c>
      <c r="C1993" s="27" t="s">
        <v>754</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942</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421</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838</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1441</v>
      </c>
      <c r="B1997" s="27" t="s">
        <v>753</v>
      </c>
      <c r="C1997" s="27" t="s">
        <v>761</v>
      </c>
      <c r="D1997" s="27" t="s">
        <v>762</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785</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822</v>
      </c>
      <c r="B1999" s="27" t="s">
        <v>894</v>
      </c>
      <c r="C1999" s="27" t="s">
        <v>797</v>
      </c>
      <c r="D1999" s="27" t="s">
        <v>762</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722</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774</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row>
    <row r="2003" spans="1:12">
      <c r="A2003" s="20" t="s">
        <v>1442</v>
      </c>
    </row>
    <row r="2004" spans="1:12">
      <c r="A2004" s="20" t="s">
        <v>818</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983</v>
      </c>
      <c r="B2005" s="27" t="s">
        <v>760</v>
      </c>
      <c r="C2005" s="27" t="s">
        <v>797</v>
      </c>
      <c r="D2005" s="27" t="s">
        <v>762</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990</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1443</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779</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946</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823</v>
      </c>
      <c r="B2010" s="27" t="s">
        <v>802</v>
      </c>
      <c r="C2010" s="27" t="s">
        <v>768</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769</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838</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1444</v>
      </c>
      <c r="B2013" s="27" t="s">
        <v>879</v>
      </c>
      <c r="C2013" s="27" t="s">
        <v>761</v>
      </c>
      <c r="D2013" s="27" t="s">
        <v>762</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246</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774</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row>
    <row r="2017" spans="1:12">
      <c r="A2017" s="20" t="s">
        <v>1445</v>
      </c>
    </row>
    <row r="2018" spans="1:12">
      <c r="A2018" s="20" t="s">
        <v>1446</v>
      </c>
      <c r="B2018" s="27" t="s">
        <v>760</v>
      </c>
      <c r="C2018" s="27" t="s">
        <v>777</v>
      </c>
      <c r="D2018" s="27" t="s">
        <v>762</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778</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769</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1447</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16</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1448</v>
      </c>
      <c r="B2023" s="27" t="s">
        <v>753</v>
      </c>
      <c r="C2023" s="27" t="s">
        <v>798</v>
      </c>
      <c r="D2023" s="27" t="s">
        <v>762</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1449</v>
      </c>
      <c r="B2024" s="27" t="s">
        <v>772</v>
      </c>
      <c r="C2024" s="27" t="s">
        <v>798</v>
      </c>
      <c r="D2024" s="27" t="s">
        <v>762</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1450</v>
      </c>
      <c r="B2025" s="27" t="s">
        <v>772</v>
      </c>
      <c r="C2025" s="27" t="s">
        <v>798</v>
      </c>
      <c r="D2025" s="27" t="s">
        <v>762</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757</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770</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1451</v>
      </c>
      <c r="B2028" s="27" t="s">
        <v>772</v>
      </c>
      <c r="C2028" s="27" t="s">
        <v>837</v>
      </c>
      <c r="D2028" s="27" t="s">
        <v>762</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769</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758</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1046</v>
      </c>
      <c r="B2031" s="27" t="s">
        <v>879</v>
      </c>
      <c r="C2031" s="27" t="s">
        <v>798</v>
      </c>
      <c r="D2031" s="27" t="s">
        <v>762</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1452</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16</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16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1453</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1259</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779</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1454</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1455</v>
      </c>
      <c r="B2039" s="27" t="s">
        <v>772</v>
      </c>
      <c r="C2039" s="27" t="s">
        <v>768</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774</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row>
    <row r="2042" spans="1:12">
      <c r="A2042" s="20" t="s">
        <v>1456</v>
      </c>
    </row>
    <row r="2043" spans="1:12">
      <c r="A2043" s="20" t="s">
        <v>995</v>
      </c>
      <c r="B2043" s="27" t="s">
        <v>760</v>
      </c>
      <c r="C2043" s="27" t="s">
        <v>797</v>
      </c>
      <c r="D2043" s="27" t="s">
        <v>762</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936</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t="s">
        <v>757</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749</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995</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811</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996</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887</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800</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1457</v>
      </c>
      <c r="B2052" s="27" t="s">
        <v>802</v>
      </c>
      <c r="C2052" s="27" t="s">
        <v>803</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769</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1051</v>
      </c>
      <c r="B2054" s="27" t="s">
        <v>940</v>
      </c>
      <c r="C2054" s="27" t="s">
        <v>797</v>
      </c>
      <c r="D2054" s="27" t="s">
        <v>762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1458</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t="s">
        <v>1459</v>
      </c>
      <c r="B2056" s="27" t="s">
        <v>901</v>
      </c>
      <c r="C2056" s="27" t="s">
        <v>754</v>
      </c>
      <c r="E2056" s="21">
        <f>IF(D2056="?OLD","!!!","")</f>
        <v/>
      </c>
      <c r="F2056" s="22" t="str">
        <f>IF(OR(E2056="",E2056="!!!"),"",IF(NOT(ISNA(VLOOKUP(E2056,E$1:E2055,1,FALSE()))),"OLD",IF(AND(E2056&lt;&gt;"",E2056&lt;&gt;"!!!"),"NEW","")))</f>
        <v> </v>
      </c>
      <c r="G2056" s="23" t="str">
        <f>IF(OR(E2056="",E2056="!!!"),"",IF(OR(J2056=0,AND(J2056=1,K2056=1),AND(J2056=1,I2056="SBJ"),AND(J2056=1,I2056=0)),"?IN_FOCUS",IF(J2056&lt;=2,"?ACTIVATED",IF(J2056&lt;&gt;"","?FAMILIAR",IF(F2056="NEW",IF(ISNA(VLOOKUP(E2056,#REF!,1,FALSE())),"?TYPE_IDENTIFIABLE","?REFERENTIAL"),"_")))))</f>
        <v> </v>
      </c>
      <c r="H2056" s="24" t="str">
        <f>IF(J2056&lt;&gt;1,"",IF(I2056="SBJ","CB","?"))</f>
        <v> </v>
      </c>
      <c r="I2056" s="25" t="str">
        <f>IF(OR(E2056="",E2056="!!!",F2056="NEW"),"",INDEX(B2055:B$2,-1+SUMPRODUCT(MAX(ROW(E2055:E$2)*(E2056=E2055:E$2)))))</f>
        <v> </v>
      </c>
      <c r="J2056" s="25" t="str">
        <f>IF(OR(E2056="",E2056="!!!",F2056="NEW"),"",COUNTBLANK(OFFSET(A$1,,,SUMPRODUCT(MAX(ROW(E$2:E2056)*(E2056=E$2:E2056)))))-COUNTBLANK(OFFSET(A$1,,,SUMPRODUCT(MAX(ROW(E$1:E2055)*(E2=E$1:E2055))))))</f>
        <v> </v>
      </c>
      <c r="K2056" s="25" t="str">
        <f>IF(OR(E2056="",E2056="!!!",F2056="NEW"),"",INDEX(J$1:J2055,SUMPRODUCT(MAX(ROW(E$1:E2055)*(E2056=E$1:E2055)))))</f>
        <v> </v>
      </c>
      <c r="L2056" s="26"/>
    </row>
    <row r="2057" spans="1:12">
      <c r="A2057" s="20" t="s">
        <v>769</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1460</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785</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758</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1461</v>
      </c>
      <c r="B2061" s="27" t="s">
        <v>1062</v>
      </c>
      <c r="C2061" s="27" t="s">
        <v>761</v>
      </c>
      <c r="D2061" s="27" t="s">
        <v>762</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838</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943</v>
      </c>
      <c r="B2063" s="27" t="s">
        <v>1236</v>
      </c>
      <c r="C2063" s="27" t="s">
        <v>761</v>
      </c>
      <c r="D2063" s="27" t="s">
        <v>762</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1462</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757</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t="s">
        <v>793</v>
      </c>
      <c r="E2066" s="21">
        <f>IF(D2066="?OLD","!!!","")</f>
        <v/>
      </c>
      <c r="F2066" s="22" t="str">
        <f>IF(OR(E2066="",E2066="!!!"),"",IF(NOT(ISNA(VLOOKUP(E2066,E$1:E2065,1,FALSE()))),"OLD",IF(AND(E2066&lt;&gt;"",E2066&lt;&gt;"!!!"),"NEW","")))</f>
        <v> </v>
      </c>
      <c r="G2066" s="23" t="str">
        <f>IF(OR(E2066="",E2066="!!!"),"",IF(OR(J2066=0,AND(J2066=1,K2066=1),AND(J2066=1,I2066="SBJ"),AND(J2066=1,I2066=0)),"?IN_FOCUS",IF(J2066&lt;=2,"?ACTIVATED",IF(J2066&lt;&gt;"","?FAMILIAR",IF(F2066="NEW",IF(ISNA(VLOOKUP(E2066,#REF!,1,FALSE())),"?TYPE_IDENTIFIABLE","?REFERENTIAL"),"_")))))</f>
        <v> </v>
      </c>
      <c r="H2066" s="24" t="str">
        <f>IF(J2066&lt;&gt;1,"",IF(I2066="SBJ","CB","?"))</f>
        <v> </v>
      </c>
      <c r="I2066" s="25" t="str">
        <f>IF(OR(E2066="",E2066="!!!",F2066="NEW"),"",INDEX(B2065:B$2,-1+SUMPRODUCT(MAX(ROW(E2065:E$2)*(E2066=E2065:E$2)))))</f>
        <v> </v>
      </c>
      <c r="J2066" s="25" t="str">
        <f>IF(OR(E2066="",E2066="!!!",F2066="NEW"),"",COUNTBLANK(OFFSET(A$1,,,SUMPRODUCT(MAX(ROW(E$2:E2066)*(E2066=E$2:E2066)))))-COUNTBLANK(OFFSET(A$1,,,SUMPRODUCT(MAX(ROW(E$1:E2065)*(E2=E$1:E2065))))))</f>
        <v> </v>
      </c>
      <c r="K2066" s="25" t="str">
        <f>IF(OR(E2066="",E2066="!!!",F2066="NEW"),"",INDEX(J$1:J2065,SUMPRODUCT(MAX(ROW(E$1:E2065)*(E2066=E$1:E2065)))))</f>
        <v> </v>
      </c>
      <c r="L2066" s="26"/>
    </row>
    <row r="2067" spans="1:12">
      <c r="A2067" s="20" t="s">
        <v>954</v>
      </c>
      <c r="B2067" s="27" t="s">
        <v>753</v>
      </c>
      <c r="C2067" s="27" t="s">
        <v>777</v>
      </c>
      <c r="D2067" s="27" t="s">
        <v>762</v>
      </c>
      <c r="E2067" s="21">
        <f>IF(D2067="?OLD","!!!","")</f>
        <v/>
      </c>
      <c r="F2067" s="22" t="str">
        <f>IF(OR(E2067="",E2067="!!!"),"",IF(NOT(ISNA(VLOOKUP(E2067,E$1:E2066,1,FALSE()))),"OLD",IF(AND(E2067&lt;&gt;"",E2067&lt;&gt;"!!!"),"NEW","")))</f>
        <v> </v>
      </c>
      <c r="G2067" s="23" t="str">
        <f>IF(OR(E2067="",E2067="!!!"),"",IF(OR(J2067=0,AND(J2067=1,K2067=1),AND(J2067=1,I2067="SBJ"),AND(J2067=1,I2067=0)),"?IN_FOCUS",IF(J2067&lt;=2,"?ACTIVATED",IF(J2067&lt;&gt;"","?FAMILIAR",IF(F2067="NEW",IF(ISNA(VLOOKUP(E2067,#REF!,1,FALSE())),"?TYPE_IDENTIFIABLE","?REFERENTIAL"),"_")))))</f>
        <v> </v>
      </c>
      <c r="H2067" s="24" t="str">
        <f>IF(J2067&lt;&gt;1,"",IF(I2067="SBJ","CB","?"))</f>
        <v> </v>
      </c>
      <c r="I2067" s="25" t="str">
        <f>IF(OR(E2067="",E2067="!!!",F2067="NEW"),"",INDEX(B2066:B$2,-1+SUMPRODUCT(MAX(ROW(E2066:E$2)*(E2067=E2066:E$2)))))</f>
        <v> </v>
      </c>
      <c r="J2067" s="25" t="str">
        <f>IF(OR(E2067="",E2067="!!!",F2067="NEW"),"",COUNTBLANK(OFFSET(A$1,,,SUMPRODUCT(MAX(ROW(E$2:E2067)*(E2067=E$2:E2067)))))-COUNTBLANK(OFFSET(A$1,,,SUMPRODUCT(MAX(ROW(E$1:E2066)*(E2=E$1:E2066))))))</f>
        <v> </v>
      </c>
      <c r="K2067" s="25" t="str">
        <f>IF(OR(E2067="",E2067="!!!",F2067="NEW"),"",INDEX(J$1:J2066,SUMPRODUCT(MAX(ROW(E$1:E2066)*(E2067=E$1:E2066)))))</f>
        <v> </v>
      </c>
      <c r="L2067" s="26"/>
    </row>
    <row r="2068" spans="1:12">
      <c r="A2068" s="20" t="s">
        <v>920</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942</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838</v>
      </c>
      <c r="B2070" s="27" t="s">
        <v>894</v>
      </c>
      <c r="C2070" s="27" t="s">
        <v>797</v>
      </c>
      <c r="D2070" s="27" t="s">
        <v>762</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1463</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872</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779</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1464</v>
      </c>
      <c r="B2074" s="27" t="s">
        <v>879</v>
      </c>
      <c r="C2074" s="27" t="s">
        <v>768</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1085</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785</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822</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1108</v>
      </c>
      <c r="B2078" s="27" t="s">
        <v>901</v>
      </c>
      <c r="C2078" s="27" t="s">
        <v>761</v>
      </c>
      <c r="D2078" s="27" t="s">
        <v>762</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1465</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960</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1466</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810</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1467</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t="s">
        <v>774</v>
      </c>
      <c r="E2084" s="21">
        <f>IF(D2084="?OLD","!!!","")</f>
        <v/>
      </c>
      <c r="F2084" s="22" t="str">
        <f>IF(OR(E2084="",E2084="!!!"),"",IF(NOT(ISNA(VLOOKUP(E2084,E$1:E2083,1,FALSE()))),"OLD",IF(AND(E2084&lt;&gt;"",E2084&lt;&gt;"!!!"),"NEW","")))</f>
        <v> </v>
      </c>
      <c r="G2084" s="23" t="str">
        <f>IF(OR(E2084="",E2084="!!!"),"",IF(OR(J2084=0,AND(J2084=1,K2084=1),AND(J2084=1,I2084="SBJ"),AND(J2084=1,I2084=0)),"?IN_FOCUS",IF(J2084&lt;=2,"?ACTIVATED",IF(J2084&lt;&gt;"","?FAMILIAR",IF(F2084="NEW",IF(ISNA(VLOOKUP(E2084,#REF!,1,FALSE())),"?TYPE_IDENTIFIABLE","?REFERENTIAL"),"_")))))</f>
        <v> </v>
      </c>
      <c r="H2084" s="24" t="str">
        <f>IF(J2084&lt;&gt;1,"",IF(I2084="SBJ","CB","?"))</f>
        <v> </v>
      </c>
      <c r="I2084" s="25" t="str">
        <f>IF(OR(E2084="",E2084="!!!",F2084="NEW"),"",INDEX(B2083:B$2,-1+SUMPRODUCT(MAX(ROW(E2083:E$2)*(E2084=E2083:E$2)))))</f>
        <v> </v>
      </c>
      <c r="J2084" s="25" t="str">
        <f>IF(OR(E2084="",E2084="!!!",F2084="NEW"),"",COUNTBLANK(OFFSET(A$1,,,SUMPRODUCT(MAX(ROW(E$2:E2084)*(E2084=E$2:E2084)))))-COUNTBLANK(OFFSET(A$1,,,SUMPRODUCT(MAX(ROW(E$1:E2083)*(E2=E$1:E2083))))))</f>
        <v> </v>
      </c>
      <c r="K2084" s="25" t="str">
        <f>IF(OR(E2084="",E2084="!!!",F2084="NEW"),"",INDEX(J$1:J2083,SUMPRODUCT(MAX(ROW(E$1:E2083)*(E2084=E$1:E2083)))))</f>
        <v> </v>
      </c>
      <c r="L2084" s="26"/>
    </row>
    <row r="2085" spans="1:12">
      <c r="A2085" s="20"/>
    </row>
    <row r="2086" spans="1:12">
      <c r="A2086" s="20" t="s">
        <v>1468</v>
      </c>
    </row>
    <row r="2087" spans="1:12">
      <c r="A2087" s="20" t="s">
        <v>776</v>
      </c>
      <c r="B2087" s="27" t="s">
        <v>760</v>
      </c>
      <c r="C2087" s="27" t="s">
        <v>777</v>
      </c>
      <c r="D2087" s="27" t="s">
        <v>762</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778</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1469</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757</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1470</v>
      </c>
      <c r="B2091" s="27" t="s">
        <v>753</v>
      </c>
      <c r="C2091" s="27" t="s">
        <v>754</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16</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16</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1471</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774</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row>
    <row r="2097" spans="1:12">
      <c r="A2097" s="20" t="s">
        <v>1472</v>
      </c>
    </row>
    <row r="2098" spans="1:12">
      <c r="A2098" s="20" t="s">
        <v>908</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959</v>
      </c>
      <c r="B2099" s="27" t="s">
        <v>760</v>
      </c>
      <c r="C2099" s="27" t="s">
        <v>777</v>
      </c>
      <c r="D2099" s="27" t="s">
        <v>762</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811</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1473</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800</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1474</v>
      </c>
      <c r="B2103" s="27" t="s">
        <v>767</v>
      </c>
      <c r="C2103" s="27" t="s">
        <v>803</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774</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row>
    <row r="2106" spans="1:12">
      <c r="A2106" s="20" t="s">
        <v>1475</v>
      </c>
    </row>
    <row r="2107" spans="1:12">
      <c r="A2107" s="20" t="s">
        <v>1150</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1476</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1474</v>
      </c>
      <c r="B2109" s="27" t="s">
        <v>760</v>
      </c>
      <c r="C2109" s="27" t="s">
        <v>761</v>
      </c>
      <c r="D2109" s="27" t="s">
        <v>762</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811</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1477</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793</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1235</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890</v>
      </c>
      <c r="B2114" s="27" t="s">
        <v>796</v>
      </c>
      <c r="C2114" s="27" t="s">
        <v>820</v>
      </c>
      <c r="D2114" s="27" t="s">
        <v>762</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840</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1478</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785</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764</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262</v>
      </c>
      <c r="B2119" s="27" t="s">
        <v>772</v>
      </c>
      <c r="C2119" s="27" t="s">
        <v>768</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t="s">
        <v>757</v>
      </c>
      <c r="E2120" s="21">
        <f>IF(D2120="?OLD","!!!","")</f>
        <v/>
      </c>
      <c r="F2120" s="22" t="str">
        <f>IF(OR(E2120="",E2120="!!!"),"",IF(NOT(ISNA(VLOOKUP(E2120,E$1:E2119,1,FALSE()))),"OLD",IF(AND(E2120&lt;&gt;"",E2120&lt;&gt;"!!!"),"NEW","")))</f>
        <v> </v>
      </c>
      <c r="G2120" s="23" t="str">
        <f>IF(OR(E2120="",E2120="!!!"),"",IF(OR(J2120=0,AND(J2120=1,K2120=1),AND(J2120=1,I2120="SBJ"),AND(J2120=1,I2120=0)),"?IN_FOCUS",IF(J2120&lt;=2,"?ACTIVATED",IF(J2120&lt;&gt;"","?FAMILIAR",IF(F2120="NEW",IF(ISNA(VLOOKUP(E2120,#REF!,1,FALSE())),"?TYPE_IDENTIFIABLE","?REFERENTIAL"),"_")))))</f>
        <v> </v>
      </c>
      <c r="H2120" s="24" t="str">
        <f>IF(J2120&lt;&gt;1,"",IF(I2120="SBJ","CB","?"))</f>
        <v> </v>
      </c>
      <c r="I2120" s="25" t="str">
        <f>IF(OR(E2120="",E2120="!!!",F2120="NEW"),"",INDEX(B2119:B$2,-1+SUMPRODUCT(MAX(ROW(E2119:E$2)*(E2120=E2119:E$2)))))</f>
        <v> </v>
      </c>
      <c r="J2120" s="25" t="str">
        <f>IF(OR(E2120="",E2120="!!!",F2120="NEW"),"",COUNTBLANK(OFFSET(A$1,,,SUMPRODUCT(MAX(ROW(E$2:E2120)*(E2120=E$2:E2120)))))-COUNTBLANK(OFFSET(A$1,,,SUMPRODUCT(MAX(ROW(E$1:E2119)*(E2=E$1:E2119))))))</f>
        <v> </v>
      </c>
      <c r="K2120" s="25" t="str">
        <f>IF(OR(E2120="",E2120="!!!",F2120="NEW"),"",INDEX(J$1:J2119,SUMPRODUCT(MAX(ROW(E$1:E2119)*(E2120=E$1:E2119)))))</f>
        <v> </v>
      </c>
      <c r="L2120" s="26"/>
    </row>
    <row r="2121" spans="1:12">
      <c r="A2121" s="20" t="s">
        <v>779</v>
      </c>
      <c r="E2121" s="21">
        <f>IF(D2121="?OLD","!!!","")</f>
        <v/>
      </c>
      <c r="F2121" s="22" t="str">
        <f>IF(OR(E2121="",E2121="!!!"),"",IF(NOT(ISNA(VLOOKUP(E2121,E$1:E2120,1,FALSE()))),"OLD",IF(AND(E2121&lt;&gt;"",E2121&lt;&gt;"!!!"),"NEW","")))</f>
        <v> </v>
      </c>
      <c r="G2121" s="23" t="str">
        <f>IF(OR(E2121="",E2121="!!!"),"",IF(OR(J2121=0,AND(J2121=1,K2121=1),AND(J2121=1,I2121="SBJ"),AND(J2121=1,I2121=0)),"?IN_FOCUS",IF(J2121&lt;=2,"?ACTIVATED",IF(J2121&lt;&gt;"","?FAMILIAR",IF(F2121="NEW",IF(ISNA(VLOOKUP(E2121,#REF!,1,FALSE())),"?TYPE_IDENTIFIABLE","?REFERENTIAL"),"_")))))</f>
        <v> </v>
      </c>
      <c r="H2121" s="24" t="str">
        <f>IF(J2121&lt;&gt;1,"",IF(I2121="SBJ","CB","?"))</f>
        <v> </v>
      </c>
      <c r="I2121" s="25" t="str">
        <f>IF(OR(E2121="",E2121="!!!",F2121="NEW"),"",INDEX(B2120:B$2,-1+SUMPRODUCT(MAX(ROW(E2120:E$2)*(E2121=E2120:E$2)))))</f>
        <v> </v>
      </c>
      <c r="J2121" s="25" t="str">
        <f>IF(OR(E2121="",E2121="!!!",F2121="NEW"),"",COUNTBLANK(OFFSET(A$1,,,SUMPRODUCT(MAX(ROW(E$2:E2121)*(E2121=E$2:E2121)))))-COUNTBLANK(OFFSET(A$1,,,SUMPRODUCT(MAX(ROW(E$1:E2120)*(E2=E$1:E2120))))))</f>
        <v> </v>
      </c>
      <c r="K2121" s="25" t="str">
        <f>IF(OR(E2121="",E2121="!!!",F2121="NEW"),"",INDEX(J$1:J2120,SUMPRODUCT(MAX(ROW(E$1:E2120)*(E2121=E$1:E2120)))))</f>
        <v> </v>
      </c>
      <c r="L2121" s="26"/>
    </row>
    <row r="2122" spans="1:12">
      <c r="A2122" s="20" t="s">
        <v>1479</v>
      </c>
      <c r="B2122" s="27" t="s">
        <v>941</v>
      </c>
      <c r="C2122" s="27" t="s">
        <v>768</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811</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778</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804</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764</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262</v>
      </c>
      <c r="B2127" s="27" t="s">
        <v>879</v>
      </c>
      <c r="C2127" s="27" t="s">
        <v>768</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774</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row>
    <row r="2130" spans="1:12">
      <c r="A2130" s="20" t="s">
        <v>1480</v>
      </c>
    </row>
    <row r="2131" spans="1:12">
      <c r="A2131" s="20" t="s">
        <v>818</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1201</v>
      </c>
      <c r="B2132" s="27" t="s">
        <v>760</v>
      </c>
      <c r="C2132" s="27" t="s">
        <v>820</v>
      </c>
      <c r="D2132" s="27" t="s">
        <v>762</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887</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1323</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1453</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785</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964</v>
      </c>
      <c r="B2137" s="27" t="s">
        <v>753</v>
      </c>
      <c r="C2137" s="27" t="s">
        <v>754</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769</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838</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1481</v>
      </c>
      <c r="B2140" s="27" t="s">
        <v>772</v>
      </c>
      <c r="C2140" s="27" t="s">
        <v>761</v>
      </c>
      <c r="D2140" s="27" t="s">
        <v>762</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1482</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793</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886</v>
      </c>
      <c r="B2143" s="27" t="s">
        <v>956</v>
      </c>
      <c r="C2143" s="27" t="s">
        <v>797</v>
      </c>
      <c r="D2143" s="27" t="s">
        <v>762</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1438</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918</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872</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822</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1483</v>
      </c>
      <c r="B2148" s="27" t="s">
        <v>879</v>
      </c>
      <c r="C2148" s="27" t="s">
        <v>761</v>
      </c>
      <c r="D2148" s="27" t="s">
        <v>762</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769</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838</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1484</v>
      </c>
      <c r="B2151" s="27" t="s">
        <v>901</v>
      </c>
      <c r="C2151" s="27" t="s">
        <v>761</v>
      </c>
      <c r="D2151" s="27" t="s">
        <v>762</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774</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row>
    <row r="2154" spans="1:12">
      <c r="A2154" s="20" t="s">
        <v>1485</v>
      </c>
    </row>
    <row r="2155" spans="1:12">
      <c r="A2155" s="20" t="s">
        <v>917</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918</v>
      </c>
      <c r="B2156" s="27" t="s">
        <v>760</v>
      </c>
      <c r="C2156" s="27" t="s">
        <v>761</v>
      </c>
      <c r="D2156" s="27" t="s">
        <v>762</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t="s">
        <v>793</v>
      </c>
      <c r="E2157" s="21">
        <f>IF(D2157="?OLD","!!!","")</f>
        <v/>
      </c>
      <c r="F2157" s="22" t="str">
        <f>IF(OR(E2157="",E2157="!!!"),"",IF(NOT(ISNA(VLOOKUP(E2157,E$1:E2156,1,FALSE()))),"OLD",IF(AND(E2157&lt;&gt;"",E2157&lt;&gt;"!!!"),"NEW","")))</f>
        <v> </v>
      </c>
      <c r="G2157" s="23" t="str">
        <f>IF(OR(E2157="",E2157="!!!"),"",IF(OR(J2157=0,AND(J2157=1,K2157=1),AND(J2157=1,I2157="SBJ"),AND(J2157=1,I2157=0)),"?IN_FOCUS",IF(J2157&lt;=2,"?ACTIVATED",IF(J2157&lt;&gt;"","?FAMILIAR",IF(F2157="NEW",IF(ISNA(VLOOKUP(E2157,#REF!,1,FALSE())),"?TYPE_IDENTIFIABLE","?REFERENTIAL"),"_")))))</f>
        <v> </v>
      </c>
      <c r="H2157" s="24" t="str">
        <f>IF(J2157&lt;&gt;1,"",IF(I2157="SBJ","CB","?"))</f>
        <v> </v>
      </c>
      <c r="I2157" s="25" t="str">
        <f>IF(OR(E2157="",E2157="!!!",F2157="NEW"),"",INDEX(B2156:B$2,-1+SUMPRODUCT(MAX(ROW(E2156:E$2)*(E2157=E2156:E$2)))))</f>
        <v> </v>
      </c>
      <c r="J2157" s="25" t="str">
        <f>IF(OR(E2157="",E2157="!!!",F2157="NEW"),"",COUNTBLANK(OFFSET(A$1,,,SUMPRODUCT(MAX(ROW(E$2:E2157)*(E2157=E$2:E2157)))))-COUNTBLANK(OFFSET(A$1,,,SUMPRODUCT(MAX(ROW(E$1:E2156)*(E2=E$1:E2156))))))</f>
        <v> </v>
      </c>
      <c r="K2157" s="25" t="str">
        <f>IF(OR(E2157="",E2157="!!!",F2157="NEW"),"",INDEX(J$1:J2156,SUMPRODUCT(MAX(ROW(E$1:E2156)*(E2157=E$1:E2156)))))</f>
        <v> </v>
      </c>
      <c r="L2157" s="26"/>
    </row>
    <row r="2158" spans="1:12">
      <c r="A2158" s="20" t="s">
        <v>965</v>
      </c>
      <c r="B2158" s="27" t="s">
        <v>901</v>
      </c>
      <c r="C2158" s="27" t="s">
        <v>851</v>
      </c>
      <c r="D2158" s="27" t="s">
        <v>762</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1486</v>
      </c>
      <c r="B2159" s="27" t="s">
        <v>956</v>
      </c>
      <c r="C2159" s="27" t="s">
        <v>837</v>
      </c>
      <c r="D2159" s="27" t="s">
        <v>762</v>
      </c>
      <c r="E2159" s="21">
        <f>IF(D2159="?OLD","!!!","")</f>
        <v/>
      </c>
      <c r="F2159" s="22" t="str">
        <f>IF(OR(E2159="",E2159="!!!"),"",IF(NOT(ISNA(VLOOKUP(E2159,E$1:E2158,1,FALSE()))),"OLD",IF(AND(E2159&lt;&gt;"",E2159&lt;&gt;"!!!"),"NEW","")))</f>
        <v> </v>
      </c>
      <c r="G2159" s="23" t="str">
        <f>IF(OR(E2159="",E2159="!!!"),"",IF(OR(J2159=0,AND(J2159=1,K2159=1),AND(J2159=1,I2159="SBJ"),AND(J2159=1,I2159=0)),"?IN_FOCUS",IF(J2159&lt;=2,"?ACTIVATED",IF(J2159&lt;&gt;"","?FAMILIAR",IF(F2159="NEW",IF(ISNA(VLOOKUP(E2159,#REF!,1,FALSE())),"?TYPE_IDENTIFIABLE","?REFERENTIAL"),"_")))))</f>
        <v> </v>
      </c>
      <c r="H2159" s="24" t="str">
        <f>IF(J2159&lt;&gt;1,"",IF(I2159="SBJ","CB","?"))</f>
        <v> </v>
      </c>
      <c r="I2159" s="25" t="str">
        <f>IF(OR(E2159="",E2159="!!!",F2159="NEW"),"",INDEX(B2158:B$2,-1+SUMPRODUCT(MAX(ROW(E2158:E$2)*(E2159=E2158:E$2)))))</f>
        <v> </v>
      </c>
      <c r="J2159" s="25" t="str">
        <f>IF(OR(E2159="",E2159="!!!",F2159="NEW"),"",COUNTBLANK(OFFSET(A$1,,,SUMPRODUCT(MAX(ROW(E$2:E2159)*(E2159=E$2:E2159)))))-COUNTBLANK(OFFSET(A$1,,,SUMPRODUCT(MAX(ROW(E$1:E2158)*(E2=E$1:E2158))))))</f>
        <v> </v>
      </c>
      <c r="K2159" s="25" t="str">
        <f>IF(OR(E2159="",E2159="!!!",F2159="NEW"),"",INDEX(J$1:J2158,SUMPRODUCT(MAX(ROW(E$1:E2158)*(E2159=E$1:E2158)))))</f>
        <v> </v>
      </c>
      <c r="L2159" s="26"/>
    </row>
    <row r="2160" spans="1:12">
      <c r="A2160" s="20" t="s">
        <v>1487</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1488</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918</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838</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1489</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1490</v>
      </c>
      <c r="B2165" s="27" t="s">
        <v>767</v>
      </c>
      <c r="C2165" s="27" t="s">
        <v>761</v>
      </c>
      <c r="D2165" s="27" t="s">
        <v>762</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1491</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1381</v>
      </c>
      <c r="B2167" s="27" t="s">
        <v>753</v>
      </c>
      <c r="C2167" s="27" t="s">
        <v>803</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774</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row>
    <row r="2170" spans="1:12">
      <c r="A2170" s="20" t="s">
        <v>1492</v>
      </c>
    </row>
    <row r="2171" spans="1:12">
      <c r="A2171" s="20" t="s">
        <v>908</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890</v>
      </c>
      <c r="B2172" s="27" t="s">
        <v>760</v>
      </c>
      <c r="C2172" s="27" t="s">
        <v>820</v>
      </c>
      <c r="D2172" s="27" t="s">
        <v>762</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1493</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855</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757</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872</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822</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1265</v>
      </c>
      <c r="B2178" s="27" t="s">
        <v>772</v>
      </c>
      <c r="C2178" s="27" t="s">
        <v>761</v>
      </c>
      <c r="D2178" s="27" t="s">
        <v>762</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757</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890</v>
      </c>
      <c r="B2180" s="27" t="s">
        <v>796</v>
      </c>
      <c r="C2180" s="27" t="s">
        <v>820</v>
      </c>
      <c r="D2180" s="27" t="s">
        <v>762</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1494</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838</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t="s">
        <v>125</v>
      </c>
      <c r="B2183" s="27" t="s">
        <v>802</v>
      </c>
      <c r="C2183" s="27" t="s">
        <v>761</v>
      </c>
      <c r="D2183" s="27" t="s">
        <v>762</v>
      </c>
      <c r="E2183" s="21">
        <f>IF(D2183="?OLD","!!!","")</f>
        <v/>
      </c>
      <c r="F2183" s="22" t="str">
        <f>IF(OR(E2183="",E2183="!!!"),"",IF(NOT(ISNA(VLOOKUP(E2183,E$1:E2182,1,FALSE()))),"OLD",IF(AND(E2183&lt;&gt;"",E2183&lt;&gt;"!!!"),"NEW","")))</f>
        <v> </v>
      </c>
      <c r="G2183" s="23" t="str">
        <f>IF(OR(E2183="",E2183="!!!"),"",IF(OR(J2183=0,AND(J2183=1,K2183=1),AND(J2183=1,I2183="SBJ"),AND(J2183=1,I2183=0)),"?IN_FOCUS",IF(J2183&lt;=2,"?ACTIVATED",IF(J2183&lt;&gt;"","?FAMILIAR",IF(F2183="NEW",IF(ISNA(VLOOKUP(E2183,#REF!,1,FALSE())),"?TYPE_IDENTIFIABLE","?REFERENTIAL"),"_")))))</f>
        <v> </v>
      </c>
      <c r="H2183" s="24" t="str">
        <f>IF(J2183&lt;&gt;1,"",IF(I2183="SBJ","CB","?"))</f>
        <v> </v>
      </c>
      <c r="I2183" s="25" t="str">
        <f>IF(OR(E2183="",E2183="!!!",F2183="NEW"),"",INDEX(B2182:B$2,-1+SUMPRODUCT(MAX(ROW(E2182:E$2)*(E2183=E2182:E$2)))))</f>
        <v> </v>
      </c>
      <c r="J2183" s="25" t="str">
        <f>IF(OR(E2183="",E2183="!!!",F2183="NEW"),"",COUNTBLANK(OFFSET(A$1,,,SUMPRODUCT(MAX(ROW(E$2:E2183)*(E2183=E$2:E2183)))))-COUNTBLANK(OFFSET(A$1,,,SUMPRODUCT(MAX(ROW(E$1:E2182)*(E2=E$1:E2182))))))</f>
        <v> </v>
      </c>
      <c r="K2183" s="25" t="str">
        <f>IF(OR(E2183="",E2183="!!!",F2183="NEW"),"",INDEX(J$1:J2182,SUMPRODUCT(MAX(ROW(E$1:E2182)*(E2183=E$1:E2182)))))</f>
        <v> </v>
      </c>
      <c r="L2183" s="26"/>
    </row>
    <row r="2184" spans="1:12">
      <c r="A2184" s="20" t="s">
        <v>1020</v>
      </c>
      <c r="B2184" s="27" t="s">
        <v>941</v>
      </c>
      <c r="E2184" s="21">
        <f>IF(D2184="?OLD","!!!","")</f>
        <v/>
      </c>
      <c r="F2184" s="22" t="str">
        <f>IF(OR(E2184="",E2184="!!!"),"",IF(NOT(ISNA(VLOOKUP(E2184,E$1:E2183,1,FALSE()))),"OLD",IF(AND(E2184&lt;&gt;"",E2184&lt;&gt;"!!!"),"NEW","")))</f>
        <v> </v>
      </c>
      <c r="G2184" s="23" t="str">
        <f>IF(OR(E2184="",E2184="!!!"),"",IF(OR(J2184=0,AND(J2184=1,K2184=1),AND(J2184=1,I2184="SBJ"),AND(J2184=1,I2184=0)),"?IN_FOCUS",IF(J2184&lt;=2,"?ACTIVATED",IF(J2184&lt;&gt;"","?FAMILIAR",IF(F2184="NEW",IF(ISNA(VLOOKUP(E2184,#REF!,1,FALSE())),"?TYPE_IDENTIFIABLE","?REFERENTIAL"),"_")))))</f>
        <v> </v>
      </c>
      <c r="H2184" s="24" t="str">
        <f>IF(J2184&lt;&gt;1,"",IF(I2184="SBJ","CB","?"))</f>
        <v> </v>
      </c>
      <c r="I2184" s="25" t="str">
        <f>IF(OR(E2184="",E2184="!!!",F2184="NEW"),"",INDEX(B2183:B$2,-1+SUMPRODUCT(MAX(ROW(E2183:E$2)*(E2184=E2183:E$2)))))</f>
        <v> </v>
      </c>
      <c r="J2184" s="25" t="str">
        <f>IF(OR(E2184="",E2184="!!!",F2184="NEW"),"",COUNTBLANK(OFFSET(A$1,,,SUMPRODUCT(MAX(ROW(E$2:E2184)*(E2184=E$2:E2184)))))-COUNTBLANK(OFFSET(A$1,,,SUMPRODUCT(MAX(ROW(E$1:E2183)*(E2=E$1:E2183))))))</f>
        <v> </v>
      </c>
      <c r="K2184" s="25" t="str">
        <f>IF(OR(E2184="",E2184="!!!",F2184="NEW"),"",INDEX(J$1:J2183,SUMPRODUCT(MAX(ROW(E$1:E2183)*(E2184=E$1:E2183)))))</f>
        <v> </v>
      </c>
      <c r="L2184" s="26"/>
    </row>
    <row r="2185" spans="1:12">
      <c r="A2185" s="20" t="s">
        <v>1025</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805</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1222</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1495</v>
      </c>
      <c r="B2188" s="27" t="s">
        <v>940</v>
      </c>
      <c r="C2188" s="27" t="s">
        <v>768</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757</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855</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890</v>
      </c>
      <c r="B2191" s="27" t="s">
        <v>956</v>
      </c>
      <c r="C2191" s="27" t="s">
        <v>820</v>
      </c>
      <c r="D2191" s="27" t="s">
        <v>762</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1494</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838</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1126</v>
      </c>
      <c r="B2194" s="27" t="s">
        <v>894</v>
      </c>
      <c r="C2194" s="27" t="s">
        <v>761</v>
      </c>
      <c r="D2194" s="27" t="s">
        <v>762</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1496</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757</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785</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1244</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1497</v>
      </c>
      <c r="B2199" s="27" t="s">
        <v>901</v>
      </c>
      <c r="C2199" s="27" t="s">
        <v>803</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t="s">
        <v>890</v>
      </c>
      <c r="B2200" s="27" t="s">
        <v>941</v>
      </c>
      <c r="C2200" s="27" t="s">
        <v>820</v>
      </c>
      <c r="D2200" s="27" t="s">
        <v>762</v>
      </c>
      <c r="E2200" s="21">
        <f>IF(D2200="?OLD","!!!","")</f>
        <v/>
      </c>
      <c r="F2200" s="22" t="str">
        <f>IF(OR(E2200="",E2200="!!!"),"",IF(NOT(ISNA(VLOOKUP(E2200,E$1:E2199,1,FALSE()))),"OLD",IF(AND(E2200&lt;&gt;"",E2200&lt;&gt;"!!!"),"NEW","")))</f>
        <v> </v>
      </c>
      <c r="G2200" s="23" t="str">
        <f>IF(OR(E2200="",E2200="!!!"),"",IF(OR(J2200=0,AND(J2200=1,K2200=1),AND(J2200=1,I2200="SBJ"),AND(J2200=1,I2200=0)),"?IN_FOCUS",IF(J2200&lt;=2,"?ACTIVATED",IF(J2200&lt;&gt;"","?FAMILIAR",IF(F2200="NEW",IF(ISNA(VLOOKUP(E2200,#REF!,1,FALSE())),"?TYPE_IDENTIFIABLE","?REFERENTIAL"),"_")))))</f>
        <v> </v>
      </c>
      <c r="H2200" s="24" t="str">
        <f>IF(J2200&lt;&gt;1,"",IF(I2200="SBJ","CB","?"))</f>
        <v> </v>
      </c>
      <c r="I2200" s="25" t="str">
        <f>IF(OR(E2200="",E2200="!!!",F2200="NEW"),"",INDEX(B2199:B$2,-1+SUMPRODUCT(MAX(ROW(E2199:E$2)*(E2200=E2199:E$2)))))</f>
        <v> </v>
      </c>
      <c r="J2200" s="25" t="str">
        <f>IF(OR(E2200="",E2200="!!!",F2200="NEW"),"",COUNTBLANK(OFFSET(A$1,,,SUMPRODUCT(MAX(ROW(E$2:E2200)*(E2200=E$2:E2200)))))-COUNTBLANK(OFFSET(A$1,,,SUMPRODUCT(MAX(ROW(E$1:E2199)*(E2=E$1:E2199))))))</f>
        <v> </v>
      </c>
      <c r="K2200" s="25" t="str">
        <f>IF(OR(E2200="",E2200="!!!",F2200="NEW"),"",INDEX(J$1:J2199,SUMPRODUCT(MAX(ROW(E$1:E2199)*(E2200=E$1:E2199)))))</f>
        <v> </v>
      </c>
      <c r="L2200" s="26"/>
    </row>
    <row r="2201" spans="1:12">
      <c r="A2201" s="20" t="s">
        <v>1498</v>
      </c>
      <c r="E2201" s="21">
        <f>IF(D2201="?OLD","!!!","")</f>
        <v/>
      </c>
      <c r="F2201" s="22" t="str">
        <f>IF(OR(E2201="",E2201="!!!"),"",IF(NOT(ISNA(VLOOKUP(E2201,E$1:E2200,1,FALSE()))),"OLD",IF(AND(E2201&lt;&gt;"",E2201&lt;&gt;"!!!"),"NEW","")))</f>
        <v> </v>
      </c>
      <c r="G2201" s="23" t="str">
        <f>IF(OR(E2201="",E2201="!!!"),"",IF(OR(J2201=0,AND(J2201=1,K2201=1),AND(J2201=1,I2201="SBJ"),AND(J2201=1,I2201=0)),"?IN_FOCUS",IF(J2201&lt;=2,"?ACTIVATED",IF(J2201&lt;&gt;"","?FAMILIAR",IF(F2201="NEW",IF(ISNA(VLOOKUP(E2201,#REF!,1,FALSE())),"?TYPE_IDENTIFIABLE","?REFERENTIAL"),"_")))))</f>
        <v> </v>
      </c>
      <c r="H2201" s="24" t="str">
        <f>IF(J2201&lt;&gt;1,"",IF(I2201="SBJ","CB","?"))</f>
        <v> </v>
      </c>
      <c r="I2201" s="25" t="str">
        <f>IF(OR(E2201="",E2201="!!!",F2201="NEW"),"",INDEX(B2200:B$2,-1+SUMPRODUCT(MAX(ROW(E2200:E$2)*(E2201=E2200:E$2)))))</f>
        <v> </v>
      </c>
      <c r="J2201" s="25" t="str">
        <f>IF(OR(E2201="",E2201="!!!",F2201="NEW"),"",COUNTBLANK(OFFSET(A$1,,,SUMPRODUCT(MAX(ROW(E$2:E2201)*(E2201=E$2:E2201)))))-COUNTBLANK(OFFSET(A$1,,,SUMPRODUCT(MAX(ROW(E$1:E2200)*(E2=E$1:E2200))))))</f>
        <v> </v>
      </c>
      <c r="K2201" s="25" t="str">
        <f>IF(OR(E2201="",E2201="!!!",F2201="NEW"),"",INDEX(J$1:J2200,SUMPRODUCT(MAX(ROW(E$1:E2200)*(E2201=E$1:E2200)))))</f>
        <v> </v>
      </c>
      <c r="L2201" s="26"/>
    </row>
    <row r="2202" spans="1:12">
      <c r="A2202" s="20" t="s">
        <v>793</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1159</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125</v>
      </c>
      <c r="B2204" s="27" t="s">
        <v>1272</v>
      </c>
      <c r="C2204" s="27" t="s">
        <v>1019</v>
      </c>
      <c r="D2204" s="27" t="s">
        <v>762</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811</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1081</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804</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1499</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774</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row>
    <row r="2211" spans="1:12">
      <c r="A2211" s="20" t="s">
        <v>1500</v>
      </c>
    </row>
    <row r="2212" spans="1:12">
      <c r="A2212" s="20" t="s">
        <v>917</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1501</v>
      </c>
      <c r="B2213" s="27" t="s">
        <v>760</v>
      </c>
      <c r="C2213" s="27" t="s">
        <v>761</v>
      </c>
      <c r="D2213" s="27" t="s">
        <v>762</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1020</v>
      </c>
      <c r="B2214" s="27" t="s">
        <v>956</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t="s">
        <v>887</v>
      </c>
      <c r="E2215" s="21">
        <f>IF(D2215="?OLD","!!!","")</f>
        <v/>
      </c>
      <c r="F2215" s="22" t="str">
        <f>IF(OR(E2215="",E2215="!!!"),"",IF(NOT(ISNA(VLOOKUP(E2215,E$1:E2214,1,FALSE()))),"OLD",IF(AND(E2215&lt;&gt;"",E2215&lt;&gt;"!!!"),"NEW","")))</f>
        <v> </v>
      </c>
      <c r="G2215" s="23" t="str">
        <f>IF(OR(E2215="",E2215="!!!"),"",IF(OR(J2215=0,AND(J2215=1,K2215=1),AND(J2215=1,I2215="SBJ"),AND(J2215=1,I2215=0)),"?IN_FOCUS",IF(J2215&lt;=2,"?ACTIVATED",IF(J2215&lt;&gt;"","?FAMILIAR",IF(F2215="NEW",IF(ISNA(VLOOKUP(E2215,#REF!,1,FALSE())),"?TYPE_IDENTIFIABLE","?REFERENTIAL"),"_")))))</f>
        <v> </v>
      </c>
      <c r="H2215" s="24" t="str">
        <f>IF(J2215&lt;&gt;1,"",IF(I2215="SBJ","CB","?"))</f>
        <v> </v>
      </c>
      <c r="I2215" s="25" t="str">
        <f>IF(OR(E2215="",E2215="!!!",F2215="NEW"),"",INDEX(B2214:B$2,-1+SUMPRODUCT(MAX(ROW(E2214:E$2)*(E2215=E2214:E$2)))))</f>
        <v> </v>
      </c>
      <c r="J2215" s="25" t="str">
        <f>IF(OR(E2215="",E2215="!!!",F2215="NEW"),"",COUNTBLANK(OFFSET(A$1,,,SUMPRODUCT(MAX(ROW(E$2:E2215)*(E2215=E$2:E2215)))))-COUNTBLANK(OFFSET(A$1,,,SUMPRODUCT(MAX(ROW(E$1:E2214)*(E2=E$1:E2214))))))</f>
        <v> </v>
      </c>
      <c r="K2215" s="25" t="str">
        <f>IF(OR(E2215="",E2215="!!!",F2215="NEW"),"",INDEX(J$1:J2214,SUMPRODUCT(MAX(ROW(E$1:E2214)*(E2215=E$1:E2214)))))</f>
        <v> </v>
      </c>
      <c r="L2215" s="26"/>
    </row>
    <row r="2216" spans="1:12">
      <c r="A2216" s="20" t="s">
        <v>1364</v>
      </c>
      <c r="E2216" s="21">
        <f>IF(D2216="?OLD","!!!","")</f>
        <v/>
      </c>
      <c r="F2216" s="22" t="str">
        <f>IF(OR(E2216="",E2216="!!!"),"",IF(NOT(ISNA(VLOOKUP(E2216,E$1:E2215,1,FALSE()))),"OLD",IF(AND(E2216&lt;&gt;"",E2216&lt;&gt;"!!!"),"NEW","")))</f>
        <v> </v>
      </c>
      <c r="G2216" s="23" t="str">
        <f>IF(OR(E2216="",E2216="!!!"),"",IF(OR(J2216=0,AND(J2216=1,K2216=1),AND(J2216=1,I2216="SBJ"),AND(J2216=1,I2216=0)),"?IN_FOCUS",IF(J2216&lt;=2,"?ACTIVATED",IF(J2216&lt;&gt;"","?FAMILIAR",IF(F2216="NEW",IF(ISNA(VLOOKUP(E2216,#REF!,1,FALSE())),"?TYPE_IDENTIFIABLE","?REFERENTIAL"),"_")))))</f>
        <v> </v>
      </c>
      <c r="H2216" s="24" t="str">
        <f>IF(J2216&lt;&gt;1,"",IF(I2216="SBJ","CB","?"))</f>
        <v> </v>
      </c>
      <c r="I2216" s="25" t="str">
        <f>IF(OR(E2216="",E2216="!!!",F2216="NEW"),"",INDEX(B2215:B$2,-1+SUMPRODUCT(MAX(ROW(E2215:E$2)*(E2216=E2215:E$2)))))</f>
        <v> </v>
      </c>
      <c r="J2216" s="25" t="str">
        <f>IF(OR(E2216="",E2216="!!!",F2216="NEW"),"",COUNTBLANK(OFFSET(A$1,,,SUMPRODUCT(MAX(ROW(E$2:E2216)*(E2216=E$2:E2216)))))-COUNTBLANK(OFFSET(A$1,,,SUMPRODUCT(MAX(ROW(E$1:E2215)*(E2=E$1:E2215))))))</f>
        <v> </v>
      </c>
      <c r="K2216" s="25" t="str">
        <f>IF(OR(E2216="",E2216="!!!",F2216="NEW"),"",INDEX(J$1:J2215,SUMPRODUCT(MAX(ROW(E$1:E2215)*(E2216=E$1:E2215)))))</f>
        <v> </v>
      </c>
      <c r="L2216" s="26"/>
    </row>
    <row r="2217" spans="1:12">
      <c r="A2217" s="20" t="s">
        <v>1425</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1502</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757</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1020</v>
      </c>
      <c r="B2220" s="27" t="s">
        <v>956</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778</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1240</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930</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1503</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t="s">
        <v>757</v>
      </c>
      <c r="E2225" s="21">
        <f>IF(D2225="?OLD","!!!","")</f>
        <v/>
      </c>
      <c r="F2225" s="22" t="str">
        <f>IF(OR(E2225="",E2225="!!!"),"",IF(NOT(ISNA(VLOOKUP(E2225,E$1:E2224,1,FALSE()))),"OLD",IF(AND(E2225&lt;&gt;"",E2225&lt;&gt;"!!!"),"NEW","")))</f>
        <v> </v>
      </c>
      <c r="G2225" s="23" t="str">
        <f>IF(OR(E2225="",E2225="!!!"),"",IF(OR(J2225=0,AND(J2225=1,K2225=1),AND(J2225=1,I2225="SBJ"),AND(J2225=1,I2225=0)),"?IN_FOCUS",IF(J2225&lt;=2,"?ACTIVATED",IF(J2225&lt;&gt;"","?FAMILIAR",IF(F2225="NEW",IF(ISNA(VLOOKUP(E2225,#REF!,1,FALSE())),"?TYPE_IDENTIFIABLE","?REFERENTIAL"),"_")))))</f>
        <v> </v>
      </c>
      <c r="H2225" s="24" t="str">
        <f>IF(J2225&lt;&gt;1,"",IF(I2225="SBJ","CB","?"))</f>
        <v> </v>
      </c>
      <c r="I2225" s="25" t="str">
        <f>IF(OR(E2225="",E2225="!!!",F2225="NEW"),"",INDEX(B2224:B$2,-1+SUMPRODUCT(MAX(ROW(E2224:E$2)*(E2225=E2224:E$2)))))</f>
        <v> </v>
      </c>
      <c r="J2225" s="25" t="str">
        <f>IF(OR(E2225="",E2225="!!!",F2225="NEW"),"",COUNTBLANK(OFFSET(A$1,,,SUMPRODUCT(MAX(ROW(E$2:E2225)*(E2225=E$2:E2225)))))-COUNTBLANK(OFFSET(A$1,,,SUMPRODUCT(MAX(ROW(E$1:E2224)*(E2=E$1:E2224))))))</f>
        <v> </v>
      </c>
      <c r="K2225" s="25" t="str">
        <f>IF(OR(E2225="",E2225="!!!",F2225="NEW"),"",INDEX(J$1:J2224,SUMPRODUCT(MAX(ROW(E$1:E2224)*(E2225=E$1:E2224)))))</f>
        <v> </v>
      </c>
      <c r="L2225" s="26"/>
    </row>
    <row r="2226" spans="1:12">
      <c r="A2226" s="20" t="s">
        <v>778</v>
      </c>
      <c r="E2226" s="21">
        <f>IF(D2226="?OLD","!!!","")</f>
        <v/>
      </c>
      <c r="F2226" s="22" t="str">
        <f>IF(OR(E2226="",E2226="!!!"),"",IF(NOT(ISNA(VLOOKUP(E2226,E$1:E2225,1,FALSE()))),"OLD",IF(AND(E2226&lt;&gt;"",E2226&lt;&gt;"!!!"),"NEW","")))</f>
        <v> </v>
      </c>
      <c r="G2226" s="23" t="str">
        <f>IF(OR(E2226="",E2226="!!!"),"",IF(OR(J2226=0,AND(J2226=1,K2226=1),AND(J2226=1,I2226="SBJ"),AND(J2226=1,I2226=0)),"?IN_FOCUS",IF(J2226&lt;=2,"?ACTIVATED",IF(J2226&lt;&gt;"","?FAMILIAR",IF(F2226="NEW",IF(ISNA(VLOOKUP(E2226,#REF!,1,FALSE())),"?TYPE_IDENTIFIABLE","?REFERENTIAL"),"_")))))</f>
        <v> </v>
      </c>
      <c r="H2226" s="24" t="str">
        <f>IF(J2226&lt;&gt;1,"",IF(I2226="SBJ","CB","?"))</f>
        <v> </v>
      </c>
      <c r="I2226" s="25" t="str">
        <f>IF(OR(E2226="",E2226="!!!",F2226="NEW"),"",INDEX(B2225:B$2,-1+SUMPRODUCT(MAX(ROW(E2225:E$2)*(E2226=E2225:E$2)))))</f>
        <v> </v>
      </c>
      <c r="J2226" s="25" t="str">
        <f>IF(OR(E2226="",E2226="!!!",F2226="NEW"),"",COUNTBLANK(OFFSET(A$1,,,SUMPRODUCT(MAX(ROW(E$2:E2226)*(E2226=E$2:E2226)))))-COUNTBLANK(OFFSET(A$1,,,SUMPRODUCT(MAX(ROW(E$1:E2225)*(E2=E$1:E2225))))))</f>
        <v> </v>
      </c>
      <c r="K2226" s="25" t="str">
        <f>IF(OR(E2226="",E2226="!!!",F2226="NEW"),"",INDEX(J$1:J2225,SUMPRODUCT(MAX(ROW(E$1:E2225)*(E2226=E$1:E2225)))))</f>
        <v> </v>
      </c>
      <c r="L2226" s="26"/>
    </row>
    <row r="2227" spans="1:12">
      <c r="A2227" s="20" t="s">
        <v>1504</v>
      </c>
      <c r="B2227" s="27" t="s">
        <v>753</v>
      </c>
      <c r="C2227" s="27" t="s">
        <v>777</v>
      </c>
      <c r="D2227" s="27" t="s">
        <v>762</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785</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1247</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886</v>
      </c>
      <c r="B2230" s="27" t="s">
        <v>796</v>
      </c>
      <c r="C2230" s="27" t="s">
        <v>797</v>
      </c>
      <c r="D2230" s="27" t="s">
        <v>762</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798</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1505</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804</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1323</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1506</v>
      </c>
      <c r="B2235" s="27" t="s">
        <v>802</v>
      </c>
      <c r="C2235" s="27" t="s">
        <v>754</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774</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row>
    <row r="2238" spans="1:12">
      <c r="A2238" s="20" t="s">
        <v>1507</v>
      </c>
    </row>
    <row r="2239" spans="1:12">
      <c r="A2239" s="20" t="s">
        <v>1168</v>
      </c>
      <c r="B2239" s="27" t="s">
        <v>760</v>
      </c>
      <c r="C2239" s="27" t="s">
        <v>820</v>
      </c>
      <c r="D2239" s="27" t="s">
        <v>762</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769</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t="s">
        <v>838</v>
      </c>
      <c r="E2241" s="21">
        <f>IF(D2241="?OLD","!!!","")</f>
        <v/>
      </c>
      <c r="F2241" s="22" t="str">
        <f>IF(OR(E2241="",E2241="!!!"),"",IF(NOT(ISNA(VLOOKUP(E2241,E$1:E2240,1,FALSE()))),"OLD",IF(AND(E2241&lt;&gt;"",E2241&lt;&gt;"!!!"),"NEW","")))</f>
        <v> </v>
      </c>
      <c r="G2241" s="23" t="str">
        <f>IF(OR(E2241="",E2241="!!!"),"",IF(OR(J2241=0,AND(J2241=1,K2241=1),AND(J2241=1,I2241="SBJ"),AND(J2241=1,I2241=0)),"?IN_FOCUS",IF(J2241&lt;=2,"?ACTIVATED",IF(J2241&lt;&gt;"","?FAMILIAR",IF(F2241="NEW",IF(ISNA(VLOOKUP(E2241,#REF!,1,FALSE())),"?TYPE_IDENTIFIABLE","?REFERENTIAL"),"_")))))</f>
        <v> </v>
      </c>
      <c r="H2241" s="24" t="str">
        <f>IF(J2241&lt;&gt;1,"",IF(I2241="SBJ","CB","?"))</f>
        <v> </v>
      </c>
      <c r="I2241" s="25" t="str">
        <f>IF(OR(E2241="",E2241="!!!",F2241="NEW"),"",INDEX(B2240:B$2,-1+SUMPRODUCT(MAX(ROW(E2240:E$2)*(E2241=E2240:E$2)))))</f>
        <v> </v>
      </c>
      <c r="J2241" s="25" t="str">
        <f>IF(OR(E2241="",E2241="!!!",F2241="NEW"),"",COUNTBLANK(OFFSET(A$1,,,SUMPRODUCT(MAX(ROW(E$2:E2241)*(E2241=E$2:E2241)))))-COUNTBLANK(OFFSET(A$1,,,SUMPRODUCT(MAX(ROW(E$1:E2240)*(E2=E$1:E2240))))))</f>
        <v> </v>
      </c>
      <c r="K2241" s="25" t="str">
        <f>IF(OR(E2241="",E2241="!!!",F2241="NEW"),"",INDEX(J$1:J2240,SUMPRODUCT(MAX(ROW(E$1:E2240)*(E2241=E$1:E2240)))))</f>
        <v> </v>
      </c>
      <c r="L2241" s="26"/>
    </row>
    <row r="2242" spans="1:12">
      <c r="A2242" s="20" t="s">
        <v>1508</v>
      </c>
      <c r="B2242" s="27" t="s">
        <v>772</v>
      </c>
      <c r="C2242" s="27" t="s">
        <v>761</v>
      </c>
      <c r="D2242" s="27" t="s">
        <v>762</v>
      </c>
      <c r="E2242" s="21">
        <f>IF(D2242="?OLD","!!!","")</f>
        <v/>
      </c>
      <c r="F2242" s="22" t="str">
        <f>IF(OR(E2242="",E2242="!!!"),"",IF(NOT(ISNA(VLOOKUP(E2242,E$1:E2241,1,FALSE()))),"OLD",IF(AND(E2242&lt;&gt;"",E2242&lt;&gt;"!!!"),"NEW","")))</f>
        <v> </v>
      </c>
      <c r="G2242" s="23" t="str">
        <f>IF(OR(E2242="",E2242="!!!"),"",IF(OR(J2242=0,AND(J2242=1,K2242=1),AND(J2242=1,I2242="SBJ"),AND(J2242=1,I2242=0)),"?IN_FOCUS",IF(J2242&lt;=2,"?ACTIVATED",IF(J2242&lt;&gt;"","?FAMILIAR",IF(F2242="NEW",IF(ISNA(VLOOKUP(E2242,#REF!,1,FALSE())),"?TYPE_IDENTIFIABLE","?REFERENTIAL"),"_")))))</f>
        <v> </v>
      </c>
      <c r="H2242" s="24" t="str">
        <f>IF(J2242&lt;&gt;1,"",IF(I2242="SBJ","CB","?"))</f>
        <v> </v>
      </c>
      <c r="I2242" s="25" t="str">
        <f>IF(OR(E2242="",E2242="!!!",F2242="NEW"),"",INDEX(B2241:B$2,-1+SUMPRODUCT(MAX(ROW(E2241:E$2)*(E2242=E2241:E$2)))))</f>
        <v> </v>
      </c>
      <c r="J2242" s="25" t="str">
        <f>IF(OR(E2242="",E2242="!!!",F2242="NEW"),"",COUNTBLANK(OFFSET(A$1,,,SUMPRODUCT(MAX(ROW(E$2:E2242)*(E2242=E$2:E2242)))))-COUNTBLANK(OFFSET(A$1,,,SUMPRODUCT(MAX(ROW(E$1:E2241)*(E2=E$1:E2241))))))</f>
        <v> </v>
      </c>
      <c r="K2242" s="25" t="str">
        <f>IF(OR(E2242="",E2242="!!!",F2242="NEW"),"",INDEX(J$1:J2241,SUMPRODUCT(MAX(ROW(E$1:E2241)*(E2242=E$1:E2241)))))</f>
        <v> </v>
      </c>
      <c r="L2242" s="26"/>
    </row>
    <row r="2243" spans="1:12">
      <c r="A2243" s="20" t="s">
        <v>793</v>
      </c>
      <c r="B2243" s="27" t="s">
        <v>894</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827</v>
      </c>
      <c r="B2244" s="27" t="s">
        <v>956</v>
      </c>
      <c r="C2244" s="27" t="s">
        <v>797</v>
      </c>
      <c r="D2244" s="27" t="s">
        <v>762</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909</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1509</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757</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1510</v>
      </c>
      <c r="B2248" s="27" t="s">
        <v>772</v>
      </c>
      <c r="C2248" s="27" t="s">
        <v>798</v>
      </c>
      <c r="D2248" s="27" t="s">
        <v>762</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810</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1511</v>
      </c>
      <c r="B2250" s="27" t="s">
        <v>879</v>
      </c>
      <c r="C2250" s="27" t="s">
        <v>798</v>
      </c>
      <c r="D2250" s="27" t="s">
        <v>762</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1512</v>
      </c>
      <c r="B2251" s="27" t="s">
        <v>901</v>
      </c>
      <c r="C2251" s="27" t="s">
        <v>798</v>
      </c>
      <c r="D2251" s="27" t="s">
        <v>762</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757</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1004</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t="s">
        <v>1364</v>
      </c>
      <c r="E2254" s="21">
        <f>IF(D2254="?OLD","!!!","")</f>
        <v/>
      </c>
      <c r="F2254" s="22" t="str">
        <f>IF(OR(E2254="",E2254="!!!"),"",IF(NOT(ISNA(VLOOKUP(E2254,E$1:E2253,1,FALSE()))),"OLD",IF(AND(E2254&lt;&gt;"",E2254&lt;&gt;"!!!"),"NEW","")))</f>
        <v> </v>
      </c>
      <c r="G2254" s="23" t="str">
        <f>IF(OR(E2254="",E2254="!!!"),"",IF(OR(J2254=0,AND(J2254=1,K2254=1),AND(J2254=1,I2254="SBJ"),AND(J2254=1,I2254=0)),"?IN_FOCUS",IF(J2254&lt;=2,"?ACTIVATED",IF(J2254&lt;&gt;"","?FAMILIAR",IF(F2254="NEW",IF(ISNA(VLOOKUP(E2254,#REF!,1,FALSE())),"?TYPE_IDENTIFIABLE","?REFERENTIAL"),"_")))))</f>
        <v> </v>
      </c>
      <c r="H2254" s="24" t="str">
        <f>IF(J2254&lt;&gt;1,"",IF(I2254="SBJ","CB","?"))</f>
        <v> </v>
      </c>
      <c r="I2254" s="25" t="str">
        <f>IF(OR(E2254="",E2254="!!!",F2254="NEW"),"",INDEX(B2253:B$2,-1+SUMPRODUCT(MAX(ROW(E2253:E$2)*(E2254=E2253:E$2)))))</f>
        <v> </v>
      </c>
      <c r="J2254" s="25" t="str">
        <f>IF(OR(E2254="",E2254="!!!",F2254="NEW"),"",COUNTBLANK(OFFSET(A$1,,,SUMPRODUCT(MAX(ROW(E$2:E2254)*(E2254=E$2:E2254)))))-COUNTBLANK(OFFSET(A$1,,,SUMPRODUCT(MAX(ROW(E$1:E2253)*(E2=E$1:E2253))))))</f>
        <v> </v>
      </c>
      <c r="K2254" s="25" t="str">
        <f>IF(OR(E2254="",E2254="!!!",F2254="NEW"),"",INDEX(J$1:J2253,SUMPRODUCT(MAX(ROW(E$1:E2253)*(E2254=E$1:E2253)))))</f>
        <v> </v>
      </c>
      <c r="L2254" s="26"/>
    </row>
    <row r="2255" spans="1:12">
      <c r="A2255" s="20" t="s">
        <v>1513</v>
      </c>
      <c r="E2255" s="21">
        <f>IF(D2255="?OLD","!!!","")</f>
        <v/>
      </c>
      <c r="F2255" s="22" t="str">
        <f>IF(OR(E2255="",E2255="!!!"),"",IF(NOT(ISNA(VLOOKUP(E2255,E$1:E2254,1,FALSE()))),"OLD",IF(AND(E2255&lt;&gt;"",E2255&lt;&gt;"!!!"),"NEW","")))</f>
        <v> </v>
      </c>
      <c r="G2255" s="23" t="str">
        <f>IF(OR(E2255="",E2255="!!!"),"",IF(OR(J2255=0,AND(J2255=1,K2255=1),AND(J2255=1,I2255="SBJ"),AND(J2255=1,I2255=0)),"?IN_FOCUS",IF(J2255&lt;=2,"?ACTIVATED",IF(J2255&lt;&gt;"","?FAMILIAR",IF(F2255="NEW",IF(ISNA(VLOOKUP(E2255,#REF!,1,FALSE())),"?TYPE_IDENTIFIABLE","?REFERENTIAL"),"_")))))</f>
        <v> </v>
      </c>
      <c r="H2255" s="24" t="str">
        <f>IF(J2255&lt;&gt;1,"",IF(I2255="SBJ","CB","?"))</f>
        <v> </v>
      </c>
      <c r="I2255" s="25" t="str">
        <f>IF(OR(E2255="",E2255="!!!",F2255="NEW"),"",INDEX(B2254:B$2,-1+SUMPRODUCT(MAX(ROW(E2254:E$2)*(E2255=E2254:E$2)))))</f>
        <v> </v>
      </c>
      <c r="J2255" s="25" t="str">
        <f>IF(OR(E2255="",E2255="!!!",F2255="NEW"),"",COUNTBLANK(OFFSET(A$1,,,SUMPRODUCT(MAX(ROW(E$2:E2255)*(E2255=E$2:E2255)))))-COUNTBLANK(OFFSET(A$1,,,SUMPRODUCT(MAX(ROW(E$1:E2254)*(E2=E$1:E2254))))))</f>
        <v> </v>
      </c>
      <c r="K2255" s="25" t="str">
        <f>IF(OR(E2255="",E2255="!!!",F2255="NEW"),"",INDEX(J$1:J2254,SUMPRODUCT(MAX(ROW(E$1:E2254)*(E2255=E$1:E2254)))))</f>
        <v> </v>
      </c>
      <c r="L2255" s="26"/>
    </row>
    <row r="2256" spans="1:12">
      <c r="A2256" s="20" t="s">
        <v>757</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826</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757</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1029</v>
      </c>
      <c r="B2259" s="27" t="s">
        <v>772</v>
      </c>
      <c r="C2259" s="27" t="s">
        <v>820</v>
      </c>
      <c r="D2259" s="27" t="s">
        <v>762</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757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769</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1514</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810</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1515</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1000</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1516</v>
      </c>
      <c r="B2266" s="27" t="s">
        <v>879</v>
      </c>
      <c r="C2266" s="27" t="s">
        <v>798</v>
      </c>
      <c r="D2266" s="27" t="s">
        <v>762</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757</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t="s">
        <v>890</v>
      </c>
      <c r="B2268" s="27" t="s">
        <v>1272</v>
      </c>
      <c r="C2268" s="27" t="s">
        <v>820</v>
      </c>
      <c r="D2268" s="27" t="s">
        <v>762</v>
      </c>
      <c r="E2268" s="21">
        <f>IF(D2268="?OLD","!!!","")</f>
        <v/>
      </c>
      <c r="F2268" s="22" t="str">
        <f>IF(OR(E2268="",E2268="!!!"),"",IF(NOT(ISNA(VLOOKUP(E2268,E$1:E2267,1,FALSE()))),"OLD",IF(AND(E2268&lt;&gt;"",E2268&lt;&gt;"!!!"),"NEW","")))</f>
        <v> </v>
      </c>
      <c r="G2268" s="23" t="str">
        <f>IF(OR(E2268="",E2268="!!!"),"",IF(OR(J2268=0,AND(J2268=1,K2268=1),AND(J2268=1,I2268="SBJ"),AND(J2268=1,I2268=0)),"?IN_FOCUS",IF(J2268&lt;=2,"?ACTIVATED",IF(J2268&lt;&gt;"","?FAMILIAR",IF(F2268="NEW",IF(ISNA(VLOOKUP(E2268,#REF!,1,FALSE())),"?TYPE_IDENTIFIABLE","?REFERENTIAL"),"_")))))</f>
        <v> </v>
      </c>
      <c r="H2268" s="24" t="str">
        <f>IF(J2268&lt;&gt;1,"",IF(I2268="SBJ","CB","?"))</f>
        <v> </v>
      </c>
      <c r="I2268" s="25" t="str">
        <f>IF(OR(E2268="",E2268="!!!",F2268="NEW"),"",INDEX(B2267:B$2,-1+SUMPRODUCT(MAX(ROW(E2267:E$2)*(E2268=E2267:E$2)))))</f>
        <v> </v>
      </c>
      <c r="J2268" s="25" t="str">
        <f>IF(OR(E2268="",E2268="!!!",F2268="NEW"),"",COUNTBLANK(OFFSET(A$1,,,SUMPRODUCT(MAX(ROW(E$2:E2268)*(E2268=E$2:E2268)))))-COUNTBLANK(OFFSET(A$1,,,SUMPRODUCT(MAX(ROW(E$1:E2267)*(E2=E$1:E2267))))))</f>
        <v> </v>
      </c>
      <c r="K2268" s="25" t="str">
        <f>IF(OR(E2268="",E2268="!!!",F2268="NEW"),"",INDEX(J$1:J2267,SUMPRODUCT(MAX(ROW(E$1:E2267)*(E2268=E$1:E2267)))))</f>
        <v> </v>
      </c>
      <c r="L2268" s="26"/>
    </row>
    <row r="2269" spans="1:12">
      <c r="A2269" s="20" t="s">
        <v>1517</v>
      </c>
      <c r="E2269" s="21">
        <f>IF(D2269="?OLD","!!!","")</f>
        <v/>
      </c>
      <c r="F2269" s="22" t="str">
        <f>IF(OR(E2269="",E2269="!!!"),"",IF(NOT(ISNA(VLOOKUP(E2269,E$1:E2268,1,FALSE()))),"OLD",IF(AND(E2269&lt;&gt;"",E2269&lt;&gt;"!!!"),"NEW","")))</f>
        <v> </v>
      </c>
      <c r="G2269" s="23" t="str">
        <f>IF(OR(E2269="",E2269="!!!"),"",IF(OR(J2269=0,AND(J2269=1,K2269=1),AND(J2269=1,I2269="SBJ"),AND(J2269=1,I2269=0)),"?IN_FOCUS",IF(J2269&lt;=2,"?ACTIVATED",IF(J2269&lt;&gt;"","?FAMILIAR",IF(F2269="NEW",IF(ISNA(VLOOKUP(E2269,#REF!,1,FALSE())),"?TYPE_IDENTIFIABLE","?REFERENTIAL"),"_")))))</f>
        <v> </v>
      </c>
      <c r="H2269" s="24" t="str">
        <f>IF(J2269&lt;&gt;1,"",IF(I2269="SBJ","CB","?"))</f>
        <v> </v>
      </c>
      <c r="I2269" s="25" t="str">
        <f>IF(OR(E2269="",E2269="!!!",F2269="NEW"),"",INDEX(B2268:B$2,-1+SUMPRODUCT(MAX(ROW(E2268:E$2)*(E2269=E2268:E$2)))))</f>
        <v> </v>
      </c>
      <c r="J2269" s="25" t="str">
        <f>IF(OR(E2269="",E2269="!!!",F2269="NEW"),"",COUNTBLANK(OFFSET(A$1,,,SUMPRODUCT(MAX(ROW(E$2:E2269)*(E2269=E$2:E2269)))))-COUNTBLANK(OFFSET(A$1,,,SUMPRODUCT(MAX(ROW(E$1:E2268)*(E2=E$1:E2268))))))</f>
        <v> </v>
      </c>
      <c r="K2269" s="25" t="str">
        <f>IF(OR(E2269="",E2269="!!!",F2269="NEW"),"",INDEX(J$1:J2268,SUMPRODUCT(MAX(ROW(E$1:E2268)*(E2269=E$1:E2268)))))</f>
        <v> </v>
      </c>
      <c r="L2269" s="26"/>
    </row>
    <row r="2270" spans="1:12">
      <c r="A2270" s="20" t="s">
        <v>793</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1161</v>
      </c>
      <c r="B2271" s="27" t="s">
        <v>1127</v>
      </c>
      <c r="C2271" s="27" t="s">
        <v>851</v>
      </c>
      <c r="D2271" s="27" t="s">
        <v>762</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1368</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952</v>
      </c>
      <c r="B2273" s="27" t="s">
        <v>1080</v>
      </c>
      <c r="C2273" s="27" t="s">
        <v>837</v>
      </c>
      <c r="D2273" s="27" t="s">
        <v>762</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915</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1479</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774</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row>
    <row r="2278" spans="1:12">
      <c r="A2278" s="20" t="s">
        <v>1518</v>
      </c>
    </row>
    <row r="2279" spans="1:12">
      <c r="A2279" s="20" t="s">
        <v>1024</v>
      </c>
      <c r="B2279" s="27" t="s">
        <v>760</v>
      </c>
      <c r="C2279" s="27" t="s">
        <v>797</v>
      </c>
      <c r="D2279" s="27" t="s">
        <v>762</v>
      </c>
      <c r="E2279" s="21">
        <f>IF(D2279="?OLD","!!!","")</f>
        <v/>
      </c>
      <c r="F2279" s="22" t="str">
        <f>IF(OR(E2279="",E2279="!!!"),"",IF(NOT(ISNA(VLOOKUP(E2279,E$1:E2278,1,FALSE()))),"OLD",IF(AND(E2279&lt;&gt;"",E2279&lt;&gt;"!!!"),"NEW","")))</f>
        <v> </v>
      </c>
      <c r="G2279" s="23" t="str">
        <f>IF(OR(E2279="",E2279="!!!"),"",IF(OR(J2279=0,AND(J2279=1,K2279=1),AND(J2279=1,I2279="SBJ"),AND(J2279=1,I2279=0)),"?IN_FOCUS",IF(J2279&lt;=2,"?ACTIVATED",IF(J2279&lt;&gt;"","?FAMILIAR",IF(F2279="NEW",IF(ISNA(VLOOKUP(E2279,#REF!,1,FALSE())),"?TYPE_IDENTIFIABLE","?REFERENTIAL"),"_")))))</f>
        <v> </v>
      </c>
      <c r="H2279" s="24" t="str">
        <f>IF(J2279&lt;&gt;1,"",IF(I2279="SBJ","CB","?"))</f>
        <v> </v>
      </c>
      <c r="I2279" s="25" t="str">
        <f>IF(OR(E2279="",E2279="!!!",F2279="NEW"),"",INDEX(B2278:B$2,-1+SUMPRODUCT(MAX(ROW(E2278:E$2)*(E2279=E2278:E$2)))))</f>
        <v> </v>
      </c>
      <c r="J2279" s="25" t="str">
        <f>IF(OR(E2279="",E2279="!!!",F2279="NEW"),"",COUNTBLANK(OFFSET(A$1,,,SUMPRODUCT(MAX(ROW(E$2:E2279)*(E2279=E$2:E2279)))))-COUNTBLANK(OFFSET(A$1,,,SUMPRODUCT(MAX(ROW(E$1:E2278)*(E2=E$1:E2278))))))</f>
        <v> </v>
      </c>
      <c r="K2279" s="25" t="str">
        <f>IF(OR(E2279="",E2279="!!!",F2279="NEW"),"",INDEX(J$1:J2278,SUMPRODUCT(MAX(ROW(E$1:E2278)*(E2279=E$1:E2278)))))</f>
        <v> </v>
      </c>
      <c r="L2279" s="26"/>
    </row>
    <row r="2280" spans="1:12">
      <c r="A2280" s="20" t="s">
        <v>1519</v>
      </c>
      <c r="E2280" s="21">
        <f>IF(D2280="?OLD","!!!","")</f>
        <v/>
      </c>
      <c r="F2280" s="22" t="str">
        <f>IF(OR(E2280="",E2280="!!!"),"",IF(NOT(ISNA(VLOOKUP(E2280,E$1:E2279,1,FALSE()))),"OLD",IF(AND(E2280&lt;&gt;"",E2280&lt;&gt;"!!!"),"NEW","")))</f>
        <v> </v>
      </c>
      <c r="G2280" s="23" t="str">
        <f>IF(OR(E2280="",E2280="!!!"),"",IF(OR(J2280=0,AND(J2280=1,K2280=1),AND(J2280=1,I2280="SBJ"),AND(J2280=1,I2280=0)),"?IN_FOCUS",IF(J2280&lt;=2,"?ACTIVATED",IF(J2280&lt;&gt;"","?FAMILIAR",IF(F2280="NEW",IF(ISNA(VLOOKUP(E2280,#REF!,1,FALSE())),"?TYPE_IDENTIFIABLE","?REFERENTIAL"),"_")))))</f>
        <v> </v>
      </c>
      <c r="H2280" s="24" t="str">
        <f>IF(J2280&lt;&gt;1,"",IF(I2280="SBJ","CB","?"))</f>
        <v> </v>
      </c>
      <c r="I2280" s="25" t="str">
        <f>IF(OR(E2280="",E2280="!!!",F2280="NEW"),"",INDEX(B2279:B$2,-1+SUMPRODUCT(MAX(ROW(E2279:E$2)*(E2280=E2279:E$2)))))</f>
        <v> </v>
      </c>
      <c r="J2280" s="25" t="str">
        <f>IF(OR(E2280="",E2280="!!!",F2280="NEW"),"",COUNTBLANK(OFFSET(A$1,,,SUMPRODUCT(MAX(ROW(E$2:E2280)*(E2280=E$2:E2280)))))-COUNTBLANK(OFFSET(A$1,,,SUMPRODUCT(MAX(ROW(E$1:E2279)*(E2=E$1:E2279))))))</f>
        <v> </v>
      </c>
      <c r="K2280" s="25" t="str">
        <f>IF(OR(E2280="",E2280="!!!",F2280="NEW"),"",INDEX(J$1:J2279,SUMPRODUCT(MAX(ROW(E$1:E2279)*(E2280=E$1:E2279)))))</f>
        <v> </v>
      </c>
      <c r="L2280" s="26"/>
    </row>
    <row r="2281" spans="1:12">
      <c r="A2281" s="20" t="s">
        <v>793</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838</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1520</v>
      </c>
      <c r="B2283" s="27" t="s">
        <v>796</v>
      </c>
      <c r="C2283" s="27" t="s">
        <v>761</v>
      </c>
      <c r="D2283" s="27" t="s">
        <v>762</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1325</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942</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984</v>
      </c>
      <c r="B2286" s="27" t="s">
        <v>879</v>
      </c>
      <c r="C2286" s="27" t="s">
        <v>797</v>
      </c>
      <c r="D2286" s="27" t="s">
        <v>762</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t="s">
        <v>811</v>
      </c>
      <c r="E2287" s="21">
        <f>IF(D2287="?OLD","!!!","")</f>
        <v/>
      </c>
      <c r="F2287" s="22" t="str">
        <f>IF(OR(E2287="",E2287="!!!"),"",IF(NOT(ISNA(VLOOKUP(E2287,E$1:E2286,1,FALSE()))),"OLD",IF(AND(E2287&lt;&gt;"",E2287&lt;&gt;"!!!"),"NEW","")))</f>
        <v> </v>
      </c>
      <c r="G2287" s="23" t="str">
        <f>IF(OR(E2287="",E2287="!!!"),"",IF(OR(J2287=0,AND(J2287=1,K2287=1),AND(J2287=1,I2287="SBJ"),AND(J2287=1,I2287=0)),"?IN_FOCUS",IF(J2287&lt;=2,"?ACTIVATED",IF(J2287&lt;&gt;"","?FAMILIAR",IF(F2287="NEW",IF(ISNA(VLOOKUP(E2287,#REF!,1,FALSE())),"?TYPE_IDENTIFIABLE","?REFERENTIAL"),"_")))))</f>
        <v> </v>
      </c>
      <c r="H2287" s="24" t="str">
        <f>IF(J2287&lt;&gt;1,"",IF(I2287="SBJ","CB","?"))</f>
        <v> </v>
      </c>
      <c r="I2287" s="25" t="str">
        <f>IF(OR(E2287="",E2287="!!!",F2287="NEW"),"",INDEX(B2286:B$2,-1+SUMPRODUCT(MAX(ROW(E2286:E$2)*(E2287=E2286:E$2)))))</f>
        <v> </v>
      </c>
      <c r="J2287" s="25" t="str">
        <f>IF(OR(E2287="",E2287="!!!",F2287="NEW"),"",COUNTBLANK(OFFSET(A$1,,,SUMPRODUCT(MAX(ROW(E$2:E2287)*(E2287=E$2:E2287)))))-COUNTBLANK(OFFSET(A$1,,,SUMPRODUCT(MAX(ROW(E$1:E2286)*(E2=E$1:E2286))))))</f>
        <v> </v>
      </c>
      <c r="K2287" s="25" t="str">
        <f>IF(OR(E2287="",E2287="!!!",F2287="NEW"),"",INDEX(J$1:J2286,SUMPRODUCT(MAX(ROW(E$1:E2286)*(E2287=E$1:E2286)))))</f>
        <v> </v>
      </c>
      <c r="L2287" s="26"/>
    </row>
    <row r="2288" spans="1:12">
      <c r="A2288" s="20" t="s">
        <v>1081</v>
      </c>
      <c r="E2288" s="21">
        <f>IF(D2288="?OLD","!!!","")</f>
        <v/>
      </c>
      <c r="F2288" s="22" t="str">
        <f>IF(OR(E2288="",E2288="!!!"),"",IF(NOT(ISNA(VLOOKUP(E2288,E$1:E2287,1,FALSE()))),"OLD",IF(AND(E2288&lt;&gt;"",E2288&lt;&gt;"!!!"),"NEW","")))</f>
        <v> </v>
      </c>
      <c r="G2288" s="23" t="str">
        <f>IF(OR(E2288="",E2288="!!!"),"",IF(OR(J2288=0,AND(J2288=1,K2288=1),AND(J2288=1,I2288="SBJ"),AND(J2288=1,I2288=0)),"?IN_FOCUS",IF(J2288&lt;=2,"?ACTIVATED",IF(J2288&lt;&gt;"","?FAMILIAR",IF(F2288="NEW",IF(ISNA(VLOOKUP(E2288,#REF!,1,FALSE())),"?TYPE_IDENTIFIABLE","?REFERENTIAL"),"_")))))</f>
        <v> </v>
      </c>
      <c r="H2288" s="24" t="str">
        <f>IF(J2288&lt;&gt;1,"",IF(I2288="SBJ","CB","?"))</f>
        <v> </v>
      </c>
      <c r="I2288" s="25" t="str">
        <f>IF(OR(E2288="",E2288="!!!",F2288="NEW"),"",INDEX(B2287:B$2,-1+SUMPRODUCT(MAX(ROW(E2287:E$2)*(E2288=E2287:E$2)))))</f>
        <v> </v>
      </c>
      <c r="J2288" s="25" t="str">
        <f>IF(OR(E2288="",E2288="!!!",F2288="NEW"),"",COUNTBLANK(OFFSET(A$1,,,SUMPRODUCT(MAX(ROW(E$2:E2288)*(E2288=E$2:E2288)))))-COUNTBLANK(OFFSET(A$1,,,SUMPRODUCT(MAX(ROW(E$1:E2287)*(E2=E$1:E2287))))))</f>
        <v> </v>
      </c>
      <c r="K2288" s="25" t="str">
        <f>IF(OR(E2288="",E2288="!!!",F2288="NEW"),"",INDEX(J$1:J2287,SUMPRODUCT(MAX(ROW(E$1:E2287)*(E2288=E$1:E2287)))))</f>
        <v> </v>
      </c>
      <c r="L2288" s="26"/>
    </row>
    <row r="2289" spans="1:12">
      <c r="A2289" s="20" t="s">
        <v>804</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954</v>
      </c>
      <c r="B2290" s="27" t="s">
        <v>753</v>
      </c>
      <c r="C2290" s="27" t="s">
        <v>777</v>
      </c>
      <c r="D2290" s="27" t="s">
        <v>762</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889</v>
      </c>
      <c r="B2291" s="27" t="s">
        <v>894</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1196</v>
      </c>
      <c r="B2292" s="27" t="s">
        <v>956</v>
      </c>
      <c r="C2292" s="27" t="s">
        <v>797</v>
      </c>
      <c r="D2292" s="27" t="s">
        <v>762</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1521</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421</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757</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1155</v>
      </c>
      <c r="B2296" s="27" t="s">
        <v>1272</v>
      </c>
      <c r="C2296" s="27" t="s">
        <v>797</v>
      </c>
      <c r="D2296" s="27" t="s">
        <v>762</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t="s">
        <v>1004</v>
      </c>
      <c r="E2297" s="21">
        <f>IF(D2297="?OLD","!!!","")</f>
        <v/>
      </c>
      <c r="F2297" s="22" t="str">
        <f>IF(OR(E2297="",E2297="!!!"),"",IF(NOT(ISNA(VLOOKUP(E2297,E$1:E2296,1,FALSE()))),"OLD",IF(AND(E2297&lt;&gt;"",E2297&lt;&gt;"!!!"),"NEW","")))</f>
        <v> </v>
      </c>
      <c r="G2297" s="23" t="str">
        <f>IF(OR(E2297="",E2297="!!!"),"",IF(OR(J2297=0,AND(J2297=1,K2297=1),AND(J2297=1,I2297="SBJ"),AND(J2297=1,I2297=0)),"?IN_FOCUS",IF(J2297&lt;=2,"?ACTIVATED",IF(J2297&lt;&gt;"","?FAMILIAR",IF(F2297="NEW",IF(ISNA(VLOOKUP(E2297,#REF!,1,FALSE())),"?TYPE_IDENTIFIABLE","?REFERENTIAL"),"_")))))</f>
        <v> </v>
      </c>
      <c r="H2297" s="24" t="str">
        <f>IF(J2297&lt;&gt;1,"",IF(I2297="SBJ","CB","?"))</f>
        <v> </v>
      </c>
      <c r="I2297" s="25" t="str">
        <f>IF(OR(E2297="",E2297="!!!",F2297="NEW"),"",INDEX(B2296:B$2,-1+SUMPRODUCT(MAX(ROW(E2296:E$2)*(E2297=E2296:E$2)))))</f>
        <v> </v>
      </c>
      <c r="J2297" s="25" t="str">
        <f>IF(OR(E2297="",E2297="!!!",F2297="NEW"),"",COUNTBLANK(OFFSET(A$1,,,SUMPRODUCT(MAX(ROW(E$2:E2297)*(E2297=E$2:E2297)))))-COUNTBLANK(OFFSET(A$1,,,SUMPRODUCT(MAX(ROW(E$1:E2296)*(E2=E$1:E2296))))))</f>
        <v> </v>
      </c>
      <c r="K2297" s="25" t="str">
        <f>IF(OR(E2297="",E2297="!!!",F2297="NEW"),"",INDEX(J$1:J2296,SUMPRODUCT(MAX(ROW(E$1:E2296)*(E2297=E$1:E2296)))))</f>
        <v> </v>
      </c>
      <c r="L2297" s="26"/>
    </row>
    <row r="2298" spans="1:12">
      <c r="A2298" s="20" t="s">
        <v>1031</v>
      </c>
      <c r="E2298" s="21">
        <f>IF(D2298="?OLD","!!!","")</f>
        <v/>
      </c>
      <c r="F2298" s="22" t="str">
        <f>IF(OR(E2298="",E2298="!!!"),"",IF(NOT(ISNA(VLOOKUP(E2298,E$1:E2297,1,FALSE()))),"OLD",IF(AND(E2298&lt;&gt;"",E2298&lt;&gt;"!!!"),"NEW","")))</f>
        <v> </v>
      </c>
      <c r="G2298" s="23" t="str">
        <f>IF(OR(E2298="",E2298="!!!"),"",IF(OR(J2298=0,AND(J2298=1,K2298=1),AND(J2298=1,I2298="SBJ"),AND(J2298=1,I2298=0)),"?IN_FOCUS",IF(J2298&lt;=2,"?ACTIVATED",IF(J2298&lt;&gt;"","?FAMILIAR",IF(F2298="NEW",IF(ISNA(VLOOKUP(E2298,#REF!,1,FALSE())),"?TYPE_IDENTIFIABLE","?REFERENTIAL"),"_")))))</f>
        <v> </v>
      </c>
      <c r="H2298" s="24" t="str">
        <f>IF(J2298&lt;&gt;1,"",IF(I2298="SBJ","CB","?"))</f>
        <v> </v>
      </c>
      <c r="I2298" s="25" t="str">
        <f>IF(OR(E2298="",E2298="!!!",F2298="NEW"),"",INDEX(B2297:B$2,-1+SUMPRODUCT(MAX(ROW(E2297:E$2)*(E2298=E2297:E$2)))))</f>
        <v> </v>
      </c>
      <c r="J2298" s="25" t="str">
        <f>IF(OR(E2298="",E2298="!!!",F2298="NEW"),"",COUNTBLANK(OFFSET(A$1,,,SUMPRODUCT(MAX(ROW(E$2:E2298)*(E2298=E$2:E2298)))))-COUNTBLANK(OFFSET(A$1,,,SUMPRODUCT(MAX(ROW(E$1:E2297)*(E2=E$1:E2297))))))</f>
        <v> </v>
      </c>
      <c r="K2298" s="25" t="str">
        <f>IF(OR(E2298="",E2298="!!!",F2298="NEW"),"",INDEX(J$1:J2297,SUMPRODUCT(MAX(ROW(E$1:E2297)*(E2298=E$1:E2297)))))</f>
        <v> </v>
      </c>
      <c r="L2298" s="26"/>
    </row>
    <row r="2299" spans="1:12">
      <c r="A2299" s="20" t="s">
        <v>1522</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889</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1155</v>
      </c>
      <c r="B2301" s="27" t="s">
        <v>1080</v>
      </c>
      <c r="C2301" s="27" t="s">
        <v>797</v>
      </c>
      <c r="D2301" s="27" t="s">
        <v>762</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1523</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779</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780</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1524</v>
      </c>
      <c r="B2305" s="27" t="s">
        <v>1236</v>
      </c>
      <c r="C2305" s="27" t="s">
        <v>768</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16</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1178</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1525</v>
      </c>
      <c r="B2308" s="27" t="s">
        <v>1127</v>
      </c>
      <c r="C2308" s="27" t="s">
        <v>831</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769</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1526</v>
      </c>
      <c r="B2310" s="27" t="s">
        <v>1129</v>
      </c>
      <c r="C2310" s="27" t="s">
        <v>754</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889</v>
      </c>
      <c r="B2311" s="27" t="s">
        <v>1423</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1155</v>
      </c>
      <c r="B2312" s="27" t="s">
        <v>1133</v>
      </c>
      <c r="C2312" s="27" t="s">
        <v>797</v>
      </c>
      <c r="D2312" s="27" t="s">
        <v>762</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t="s">
        <v>1004</v>
      </c>
      <c r="E2313" s="21">
        <f>IF(D2313="?OLD","!!!","")</f>
        <v/>
      </c>
      <c r="F2313" s="22" t="str">
        <f>IF(OR(E2313="",E2313="!!!"),"",IF(NOT(ISNA(VLOOKUP(E2313,E$1:E2312,1,FALSE()))),"OLD",IF(AND(E2313&lt;&gt;"",E2313&lt;&gt;"!!!"),"NEW","")))</f>
        <v> </v>
      </c>
      <c r="G2313" s="23" t="str">
        <f>IF(OR(E2313="",E2313="!!!"),"",IF(OR(J2313=0,AND(J2313=1,K2313=1),AND(J2313=1,I2313="SBJ"),AND(J2313=1,I2313=0)),"?IN_FOCUS",IF(J2313&lt;=2,"?ACTIVATED",IF(J2313&lt;&gt;"","?FAMILIAR",IF(F2313="NEW",IF(ISNA(VLOOKUP(E2313,#REF!,1,FALSE())),"?TYPE_IDENTIFIABLE","?REFERENTIAL"),"_")))))</f>
        <v> </v>
      </c>
      <c r="H2313" s="24" t="str">
        <f>IF(J2313&lt;&gt;1,"",IF(I2313="SBJ","CB","?"))</f>
        <v> </v>
      </c>
      <c r="I2313" s="25" t="str">
        <f>IF(OR(E2313="",E2313="!!!",F2313="NEW"),"",INDEX(B2312:B$2,-1+SUMPRODUCT(MAX(ROW(E2312:E$2)*(E2313=E2312:E$2)))))</f>
        <v> </v>
      </c>
      <c r="J2313" s="25" t="str">
        <f>IF(OR(E2313="",E2313="!!!",F2313="NEW"),"",COUNTBLANK(OFFSET(A$1,,,SUMPRODUCT(MAX(ROW(E$2:E2313)*(E2313=E$2:E2313)))))-COUNTBLANK(OFFSET(A$1,,,SUMPRODUCT(MAX(ROW(E$1:E2312)*(E2=E$1:E2312))))))</f>
        <v> </v>
      </c>
      <c r="K2313" s="25" t="str">
        <f>IF(OR(E2313="",E2313="!!!",F2313="NEW"),"",INDEX(J$1:J2312,SUMPRODUCT(MAX(ROW(E$1:E2312)*(E2313=E$1:E2312)))))</f>
        <v> </v>
      </c>
      <c r="L2313" s="26"/>
    </row>
    <row r="2314" spans="1:12">
      <c r="A2314" s="20" t="s">
        <v>1527</v>
      </c>
      <c r="E2314" s="21">
        <f>IF(D2314="?OLD","!!!","")</f>
        <v/>
      </c>
      <c r="F2314" s="22" t="str">
        <f>IF(OR(E2314="",E2314="!!!"),"",IF(NOT(ISNA(VLOOKUP(E2314,E$1:E2313,1,FALSE()))),"OLD",IF(AND(E2314&lt;&gt;"",E2314&lt;&gt;"!!!"),"NEW","")))</f>
        <v> </v>
      </c>
      <c r="G2314" s="23" t="str">
        <f>IF(OR(E2314="",E2314="!!!"),"",IF(OR(J2314=0,AND(J2314=1,K2314=1),AND(J2314=1,I2314="SBJ"),AND(J2314=1,I2314=0)),"?IN_FOCUS",IF(J2314&lt;=2,"?ACTIVATED",IF(J2314&lt;&gt;"","?FAMILIAR",IF(F2314="NEW",IF(ISNA(VLOOKUP(E2314,#REF!,1,FALSE())),"?TYPE_IDENTIFIABLE","?REFERENTIAL"),"_")))))</f>
        <v> </v>
      </c>
      <c r="H2314" s="24" t="str">
        <f>IF(J2314&lt;&gt;1,"",IF(I2314="SBJ","CB","?"))</f>
        <v> </v>
      </c>
      <c r="I2314" s="25" t="str">
        <f>IF(OR(E2314="",E2314="!!!",F2314="NEW"),"",INDEX(B2313:B$2,-1+SUMPRODUCT(MAX(ROW(E2313:E$2)*(E2314=E2313:E$2)))))</f>
        <v> </v>
      </c>
      <c r="J2314" s="25" t="str">
        <f>IF(OR(E2314="",E2314="!!!",F2314="NEW"),"",COUNTBLANK(OFFSET(A$1,,,SUMPRODUCT(MAX(ROW(E$2:E2314)*(E2314=E$2:E2314)))))-COUNTBLANK(OFFSET(A$1,,,SUMPRODUCT(MAX(ROW(E$1:E2313)*(E2=E$1:E2313))))))</f>
        <v> </v>
      </c>
      <c r="K2314" s="25" t="str">
        <f>IF(OR(E2314="",E2314="!!!",F2314="NEW"),"",INDEX(J$1:J2313,SUMPRODUCT(MAX(ROW(E$1:E2313)*(E2314=E$1:E2313)))))</f>
        <v> </v>
      </c>
      <c r="L2314" s="26"/>
    </row>
    <row r="2315" spans="1:12">
      <c r="A2315" s="20" t="s">
        <v>875</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1528</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1222</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1139</v>
      </c>
      <c r="B2318" s="27" t="s">
        <v>1130</v>
      </c>
      <c r="C2318" s="27" t="s">
        <v>803</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16</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942</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1529</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838</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943</v>
      </c>
      <c r="B2323" s="27" t="s">
        <v>1131</v>
      </c>
      <c r="C2323" s="27" t="s">
        <v>761</v>
      </c>
      <c r="D2323" s="27" t="s">
        <v>762</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1462</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774</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row>
    <row r="2327" spans="1:12">
      <c r="A2327" s="20" t="s">
        <v>1530</v>
      </c>
    </row>
    <row r="2328" spans="1:12">
      <c r="A2328" s="20" t="s">
        <v>1531</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822</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1532</v>
      </c>
      <c r="B2330" s="27" t="s">
        <v>753</v>
      </c>
      <c r="C2330" s="27" t="s">
        <v>761</v>
      </c>
      <c r="D2330" s="27" t="s">
        <v>762</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769</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t="s">
        <v>838</v>
      </c>
      <c r="E2332" s="21">
        <f>IF(D2332="?OLD","!!!","")</f>
        <v/>
      </c>
      <c r="F2332" s="22" t="str">
        <f>IF(OR(E2332="",E2332="!!!"),"",IF(NOT(ISNA(VLOOKUP(E2332,E$1:E2331,1,FALSE()))),"OLD",IF(AND(E2332&lt;&gt;"",E2332&lt;&gt;"!!!"),"NEW","")))</f>
        <v> </v>
      </c>
      <c r="G2332" s="23" t="str">
        <f>IF(OR(E2332="",E2332="!!!"),"",IF(OR(J2332=0,AND(J2332=1,K2332=1),AND(J2332=1,I2332="SBJ"),AND(J2332=1,I2332=0)),"?IN_FOCUS",IF(J2332&lt;=2,"?ACTIVATED",IF(J2332&lt;&gt;"","?FAMILIAR",IF(F2332="NEW",IF(ISNA(VLOOKUP(E2332,#REF!,1,FALSE())),"?TYPE_IDENTIFIABLE","?REFERENTIAL"),"_")))))</f>
        <v> </v>
      </c>
      <c r="H2332" s="24" t="str">
        <f>IF(J2332&lt;&gt;1,"",IF(I2332="SBJ","CB","?"))</f>
        <v> </v>
      </c>
      <c r="I2332" s="25" t="str">
        <f>IF(OR(E2332="",E2332="!!!",F2332="NEW"),"",INDEX(B2331:B$2,-1+SUMPRODUCT(MAX(ROW(E2331:E$2)*(E2332=E2331:E$2)))))</f>
        <v> </v>
      </c>
      <c r="J2332" s="25" t="str">
        <f>IF(OR(E2332="",E2332="!!!",F2332="NEW"),"",COUNTBLANK(OFFSET(A$1,,,SUMPRODUCT(MAX(ROW(E$2:E2332)*(E2332=E$2:E2332)))))-COUNTBLANK(OFFSET(A$1,,,SUMPRODUCT(MAX(ROW(E$1:E2331)*(E2=E$1:E2331))))))</f>
        <v> </v>
      </c>
      <c r="K2332" s="25" t="str">
        <f>IF(OR(E2332="",E2332="!!!",F2332="NEW"),"",INDEX(J$1:J2331,SUMPRODUCT(MAX(ROW(E$1:E2331)*(E2332=E$1:E2331)))))</f>
        <v> </v>
      </c>
      <c r="L2332" s="26"/>
    </row>
    <row r="2333" spans="1:12">
      <c r="A2333" s="20" t="s">
        <v>1444</v>
      </c>
      <c r="B2333" s="27" t="s">
        <v>772</v>
      </c>
      <c r="C2333" s="27" t="s">
        <v>761</v>
      </c>
      <c r="D2333" s="27" t="s">
        <v>762</v>
      </c>
      <c r="E2333" s="21">
        <f>IF(D2333="?OLD","!!!","")</f>
        <v/>
      </c>
      <c r="F2333" s="22" t="str">
        <f>IF(OR(E2333="",E2333="!!!"),"",IF(NOT(ISNA(VLOOKUP(E2333,E$1:E2332,1,FALSE()))),"OLD",IF(AND(E2333&lt;&gt;"",E2333&lt;&gt;"!!!"),"NEW","")))</f>
        <v> </v>
      </c>
      <c r="G2333" s="23" t="str">
        <f>IF(OR(E2333="",E2333="!!!"),"",IF(OR(J2333=0,AND(J2333=1,K2333=1),AND(J2333=1,I2333="SBJ"),AND(J2333=1,I2333=0)),"?IN_FOCUS",IF(J2333&lt;=2,"?ACTIVATED",IF(J2333&lt;&gt;"","?FAMILIAR",IF(F2333="NEW",IF(ISNA(VLOOKUP(E2333,#REF!,1,FALSE())),"?TYPE_IDENTIFIABLE","?REFERENTIAL"),"_")))))</f>
        <v> </v>
      </c>
      <c r="H2333" s="24" t="str">
        <f>IF(J2333&lt;&gt;1,"",IF(I2333="SBJ","CB","?"))</f>
        <v> </v>
      </c>
      <c r="I2333" s="25" t="str">
        <f>IF(OR(E2333="",E2333="!!!",F2333="NEW"),"",INDEX(B2332:B$2,-1+SUMPRODUCT(MAX(ROW(E2332:E$2)*(E2333=E2332:E$2)))))</f>
        <v> </v>
      </c>
      <c r="J2333" s="25" t="str">
        <f>IF(OR(E2333="",E2333="!!!",F2333="NEW"),"",COUNTBLANK(OFFSET(A$1,,,SUMPRODUCT(MAX(ROW(E$2:E2333)*(E2333=E$2:E2333)))))-COUNTBLANK(OFFSET(A$1,,,SUMPRODUCT(MAX(ROW(E$1:E2332)*(E2=E$1:E2332))))))</f>
        <v> </v>
      </c>
      <c r="K2333" s="25" t="str">
        <f>IF(OR(E2333="",E2333="!!!",F2333="NEW"),"",INDEX(J$1:J2332,SUMPRODUCT(MAX(ROW(E$1:E2332)*(E2333=E$1:E2332)))))</f>
        <v> </v>
      </c>
      <c r="L2333" s="26"/>
    </row>
    <row r="2334" spans="1:12">
      <c r="A2334" s="20" t="s">
        <v>757</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954</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1524</v>
      </c>
      <c r="B2336" s="27" t="s">
        <v>760</v>
      </c>
      <c r="C2336" s="27" t="s">
        <v>1019</v>
      </c>
      <c r="D2336" s="27" t="s">
        <v>762</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840</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778</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1533</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810</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778</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1060</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822</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1534</v>
      </c>
      <c r="B2344" s="27" t="s">
        <v>802</v>
      </c>
      <c r="C2344" s="27" t="s">
        <v>798</v>
      </c>
      <c r="D2344" s="27" t="s">
        <v>762</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1535</v>
      </c>
      <c r="B2345" s="27" t="s">
        <v>879</v>
      </c>
      <c r="C2345" s="27" t="s">
        <v>798</v>
      </c>
      <c r="D2345" s="27" t="s">
        <v>762</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757</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1050</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697</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996</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t="s">
        <v>887</v>
      </c>
      <c r="E2350" s="21">
        <f>IF(D2350="?OLD","!!!","")</f>
        <v/>
      </c>
      <c r="F2350" s="22" t="str">
        <f>IF(OR(E2350="",E2350="!!!"),"",IF(NOT(ISNA(VLOOKUP(E2350,E$1:E2349,1,FALSE()))),"OLD",IF(AND(E2350&lt;&gt;"",E2350&lt;&gt;"!!!"),"NEW","")))</f>
        <v> </v>
      </c>
      <c r="G2350" s="23" t="str">
        <f>IF(OR(E2350="",E2350="!!!"),"",IF(OR(J2350=0,AND(J2350=1,K2350=1),AND(J2350=1,I2350="SBJ"),AND(J2350=1,I2350=0)),"?IN_FOCUS",IF(J2350&lt;=2,"?ACTIVATED",IF(J2350&lt;&gt;"","?FAMILIAR",IF(F2350="NEW",IF(ISNA(VLOOKUP(E2350,#REF!,1,FALSE())),"?TYPE_IDENTIFIABLE","?REFERENTIAL"),"_")))))</f>
        <v> </v>
      </c>
      <c r="H2350" s="24" t="str">
        <f>IF(J2350&lt;&gt;1,"",IF(I2350="SBJ","CB","?"))</f>
        <v> </v>
      </c>
      <c r="I2350" s="25" t="str">
        <f>IF(OR(E2350="",E2350="!!!",F2350="NEW"),"",INDEX(B2349:B$2,-1+SUMPRODUCT(MAX(ROW(E2349:E$2)*(E2350=E2349:E$2)))))</f>
        <v> </v>
      </c>
      <c r="J2350" s="25" t="str">
        <f>IF(OR(E2350="",E2350="!!!",F2350="NEW"),"",COUNTBLANK(OFFSET(A$1,,,SUMPRODUCT(MAX(ROW(E$2:E2350)*(E2350=E$2:E2350)))))-COUNTBLANK(OFFSET(A$1,,,SUMPRODUCT(MAX(ROW(E$1:E2349)*(E2=E$1:E2349))))))</f>
        <v> </v>
      </c>
      <c r="K2350" s="25" t="str">
        <f>IF(OR(E2350="",E2350="!!!",F2350="NEW"),"",INDEX(J$1:J2349,SUMPRODUCT(MAX(ROW(E$1:E2349)*(E2350=E$1:E2349)))))</f>
        <v> </v>
      </c>
      <c r="L2350" s="26"/>
    </row>
    <row r="2351" spans="1:12">
      <c r="A2351" s="20" t="s">
        <v>1105</v>
      </c>
      <c r="B2351" s="27" t="s">
        <v>940</v>
      </c>
      <c r="E2351" s="21">
        <f>IF(D2351="?OLD","!!!","")</f>
        <v/>
      </c>
      <c r="F2351" s="22" t="str">
        <f>IF(OR(E2351="",E2351="!!!"),"",IF(NOT(ISNA(VLOOKUP(E2351,E$1:E2350,1,FALSE()))),"OLD",IF(AND(E2351&lt;&gt;"",E2351&lt;&gt;"!!!"),"NEW","")))</f>
        <v> </v>
      </c>
      <c r="G2351" s="23" t="str">
        <f>IF(OR(E2351="",E2351="!!!"),"",IF(OR(J2351=0,AND(J2351=1,K2351=1),AND(J2351=1,I2351="SBJ"),AND(J2351=1,I2351=0)),"?IN_FOCUS",IF(J2351&lt;=2,"?ACTIVATED",IF(J2351&lt;&gt;"","?FAMILIAR",IF(F2351="NEW",IF(ISNA(VLOOKUP(E2351,#REF!,1,FALSE())),"?TYPE_IDENTIFIABLE","?REFERENTIAL"),"_")))))</f>
        <v> </v>
      </c>
      <c r="H2351" s="24" t="str">
        <f>IF(J2351&lt;&gt;1,"",IF(I2351="SBJ","CB","?"))</f>
        <v> </v>
      </c>
      <c r="I2351" s="25" t="str">
        <f>IF(OR(E2351="",E2351="!!!",F2351="NEW"),"",INDEX(B2350:B$2,-1+SUMPRODUCT(MAX(ROW(E2350:E$2)*(E2351=E2350:E$2)))))</f>
        <v> </v>
      </c>
      <c r="J2351" s="25" t="str">
        <f>IF(OR(E2351="",E2351="!!!",F2351="NEW"),"",COUNTBLANK(OFFSET(A$1,,,SUMPRODUCT(MAX(ROW(E$2:E2351)*(E2351=E$2:E2351)))))-COUNTBLANK(OFFSET(A$1,,,SUMPRODUCT(MAX(ROW(E$1:E2350)*(E2=E$1:E2350))))))</f>
        <v> </v>
      </c>
      <c r="K2351" s="25" t="str">
        <f>IF(OR(E2351="",E2351="!!!",F2351="NEW"),"",INDEX(J$1:J2350,SUMPRODUCT(MAX(ROW(E$1:E2350)*(E2351=E$1:E2350)))))</f>
        <v> </v>
      </c>
      <c r="L2351" s="26"/>
    </row>
    <row r="2352" spans="1:12">
      <c r="A2352" s="20" t="s">
        <v>769</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838</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1536</v>
      </c>
      <c r="B2354" s="27" t="s">
        <v>815</v>
      </c>
      <c r="C2354" s="27" t="s">
        <v>761</v>
      </c>
      <c r="D2354" s="27" t="s">
        <v>762</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810</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769</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838</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1536</v>
      </c>
      <c r="B2358" s="27" t="s">
        <v>1062</v>
      </c>
      <c r="C2358" s="27" t="s">
        <v>761</v>
      </c>
      <c r="D2358" s="27" t="s">
        <v>762</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t="s">
        <v>805</v>
      </c>
      <c r="E2359" s="21">
        <f>IF(D2359="?OLD","!!!","")</f>
        <v/>
      </c>
      <c r="F2359" s="22" t="str">
        <f>IF(OR(E2359="",E2359="!!!"),"",IF(NOT(ISNA(VLOOKUP(E2359,E$1:E2358,1,FALSE()))),"OLD",IF(AND(E2359&lt;&gt;"",E2359&lt;&gt;"!!!"),"NEW","")))</f>
        <v> </v>
      </c>
      <c r="G2359" s="23" t="str">
        <f>IF(OR(E2359="",E2359="!!!"),"",IF(OR(J2359=0,AND(J2359=1,K2359=1),AND(J2359=1,I2359="SBJ"),AND(J2359=1,I2359=0)),"?IN_FOCUS",IF(J2359&lt;=2,"?ACTIVATED",IF(J2359&lt;&gt;"","?FAMILIAR",IF(F2359="NEW",IF(ISNA(VLOOKUP(E2359,#REF!,1,FALSE())),"?TYPE_IDENTIFIABLE","?REFERENTIAL"),"_")))))</f>
        <v> </v>
      </c>
      <c r="H2359" s="24" t="str">
        <f>IF(J2359&lt;&gt;1,"",IF(I2359="SBJ","CB","?"))</f>
        <v> </v>
      </c>
      <c r="I2359" s="25" t="str">
        <f>IF(OR(E2359="",E2359="!!!",F2359="NEW"),"",INDEX(B2358:B$2,-1+SUMPRODUCT(MAX(ROW(E2358:E$2)*(E2359=E2358:E$2)))))</f>
        <v> </v>
      </c>
      <c r="J2359" s="25" t="str">
        <f>IF(OR(E2359="",E2359="!!!",F2359="NEW"),"",COUNTBLANK(OFFSET(A$1,,,SUMPRODUCT(MAX(ROW(E$2:E2359)*(E2359=E$2:E2359)))))-COUNTBLANK(OFFSET(A$1,,,SUMPRODUCT(MAX(ROW(E$1:E2358)*(E2=E$1:E2358))))))</f>
        <v> </v>
      </c>
      <c r="K2359" s="25" t="str">
        <f>IF(OR(E2359="",E2359="!!!",F2359="NEW"),"",INDEX(J$1:J2358,SUMPRODUCT(MAX(ROW(E$1:E2358)*(E2359=E$1:E2358)))))</f>
        <v> </v>
      </c>
      <c r="L2359" s="26"/>
    </row>
    <row r="2360" spans="1:12">
      <c r="A2360" s="20" t="s">
        <v>943</v>
      </c>
      <c r="B2360" s="27" t="s">
        <v>1127</v>
      </c>
      <c r="C2360" s="27" t="s">
        <v>754</v>
      </c>
      <c r="E2360" s="21">
        <f>IF(D2360="?OLD","!!!","")</f>
        <v/>
      </c>
      <c r="F2360" s="22" t="str">
        <f>IF(OR(E2360="",E2360="!!!"),"",IF(NOT(ISNA(VLOOKUP(E2360,E$1:E2359,1,FALSE()))),"OLD",IF(AND(E2360&lt;&gt;"",E2360&lt;&gt;"!!!"),"NEW","")))</f>
        <v> </v>
      </c>
      <c r="G2360" s="23" t="str">
        <f>IF(OR(E2360="",E2360="!!!"),"",IF(OR(J2360=0,AND(J2360=1,K2360=1),AND(J2360=1,I2360="SBJ"),AND(J2360=1,I2360=0)),"?IN_FOCUS",IF(J2360&lt;=2,"?ACTIVATED",IF(J2360&lt;&gt;"","?FAMILIAR",IF(F2360="NEW",IF(ISNA(VLOOKUP(E2360,#REF!,1,FALSE())),"?TYPE_IDENTIFIABLE","?REFERENTIAL"),"_")))))</f>
        <v> </v>
      </c>
      <c r="H2360" s="24" t="str">
        <f>IF(J2360&lt;&gt;1,"",IF(I2360="SBJ","CB","?"))</f>
        <v> </v>
      </c>
      <c r="I2360" s="25" t="str">
        <f>IF(OR(E2360="",E2360="!!!",F2360="NEW"),"",INDEX(B2359:B$2,-1+SUMPRODUCT(MAX(ROW(E2359:E$2)*(E2360=E2359:E$2)))))</f>
        <v> </v>
      </c>
      <c r="J2360" s="25" t="str">
        <f>IF(OR(E2360="",E2360="!!!",F2360="NEW"),"",COUNTBLANK(OFFSET(A$1,,,SUMPRODUCT(MAX(ROW(E$2:E2360)*(E2360=E$2:E2360)))))-COUNTBLANK(OFFSET(A$1,,,SUMPRODUCT(MAX(ROW(E$1:E2359)*(E2=E$1:E2359))))))</f>
        <v> </v>
      </c>
      <c r="K2360" s="25" t="str">
        <f>IF(OR(E2360="",E2360="!!!",F2360="NEW"),"",INDEX(J$1:J2359,SUMPRODUCT(MAX(ROW(E$1:E2359)*(E2360=E$1:E2359)))))</f>
        <v> </v>
      </c>
      <c r="L2360" s="26"/>
    </row>
    <row r="2361" spans="1:12">
      <c r="A2361" s="20" t="s">
        <v>1537</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769</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1538</v>
      </c>
      <c r="B2363" s="27" t="s">
        <v>1129</v>
      </c>
      <c r="C2363" s="27" t="s">
        <v>754</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1304</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1020</v>
      </c>
      <c r="B2365" s="27" t="s">
        <v>1133</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1539</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779</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1540</v>
      </c>
      <c r="B2368" s="27" t="s">
        <v>1423</v>
      </c>
      <c r="C2368" s="27" t="s">
        <v>768</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774</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row>
    <row r="2371" spans="1:12">
      <c r="A2371" s="20" t="s">
        <v>1541</v>
      </c>
    </row>
    <row r="2372" spans="1:12">
      <c r="A2372" s="20" t="s">
        <v>1542</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770</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1543</v>
      </c>
      <c r="B2374" s="27" t="s">
        <v>753</v>
      </c>
      <c r="C2374" s="27" t="s">
        <v>837</v>
      </c>
      <c r="D2374" s="27" t="s">
        <v>762</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769</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1026</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1380</v>
      </c>
      <c r="B2377" s="27" t="s">
        <v>772</v>
      </c>
      <c r="C2377" s="27" t="s">
        <v>1019</v>
      </c>
      <c r="D2377" s="27" t="s">
        <v>762</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872</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758</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1449</v>
      </c>
      <c r="B2380" s="27" t="s">
        <v>772</v>
      </c>
      <c r="C2380" s="27" t="s">
        <v>798</v>
      </c>
      <c r="D2380" s="27" t="s">
        <v>762</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1450</v>
      </c>
      <c r="B2381" s="27" t="s">
        <v>879</v>
      </c>
      <c r="C2381" s="27" t="s">
        <v>798</v>
      </c>
      <c r="D2381" s="27" t="s">
        <v>762</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757</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770</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1544</v>
      </c>
      <c r="B2384" s="27" t="s">
        <v>760</v>
      </c>
      <c r="C2384" s="27" t="s">
        <v>761</v>
      </c>
      <c r="D2384" s="27" t="s">
        <v>762</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769</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789</v>
      </c>
      <c r="B2386" s="27" t="s">
        <v>772</v>
      </c>
      <c r="C2386" s="27" t="s">
        <v>754</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769</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838</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1126</v>
      </c>
      <c r="B2389" s="27" t="s">
        <v>772</v>
      </c>
      <c r="C2389" s="27" t="s">
        <v>761</v>
      </c>
      <c r="D2389" s="27" t="s">
        <v>762</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1462</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887</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405</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774</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row>
    <row r="2395" spans="1:12">
      <c r="A2395" s="20" t="s">
        <v>1545</v>
      </c>
    </row>
    <row r="2396" spans="1:12">
      <c r="A2396" s="20" t="s">
        <v>938</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1231</v>
      </c>
      <c r="B2397" s="27" t="s">
        <v>760</v>
      </c>
      <c r="C2397" s="27" t="s">
        <v>761</v>
      </c>
      <c r="D2397" s="27" t="s">
        <v>762</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769</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838</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1126</v>
      </c>
      <c r="B2400" s="27" t="s">
        <v>772</v>
      </c>
      <c r="C2400" s="27" t="s">
        <v>761</v>
      </c>
      <c r="D2400" s="27" t="s">
        <v>762</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1462</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1546</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1079</v>
      </c>
      <c r="B2403" s="27" t="s">
        <v>767</v>
      </c>
      <c r="C2403" s="27" t="s">
        <v>777</v>
      </c>
      <c r="D2403" s="27" t="s">
        <v>762</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1020</v>
      </c>
      <c r="B2404" s="27" t="s">
        <v>956</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1183</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1547</v>
      </c>
      <c r="B2406" s="27" t="s">
        <v>772</v>
      </c>
      <c r="C2406" s="27" t="s">
        <v>754</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757</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1079</v>
      </c>
      <c r="B2408" s="27" t="s">
        <v>772</v>
      </c>
      <c r="C2408" s="27" t="s">
        <v>777</v>
      </c>
      <c r="D2408" s="27" t="s">
        <v>762</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1020</v>
      </c>
      <c r="B2409" s="27" t="s">
        <v>941</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1183</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1548</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757</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1079</v>
      </c>
      <c r="B2413" s="27" t="s">
        <v>901</v>
      </c>
      <c r="C2413" s="27" t="s">
        <v>777</v>
      </c>
      <c r="D2413" s="27" t="s">
        <v>762</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1020</v>
      </c>
      <c r="B2414" s="27" t="s">
        <v>1080</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1197</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1549</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1550</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1551</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1161</v>
      </c>
      <c r="B2419" s="27" t="s">
        <v>1129</v>
      </c>
      <c r="C2419" s="27" t="s">
        <v>851</v>
      </c>
      <c r="D2419" s="27" t="s">
        <v>762</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789</v>
      </c>
      <c r="B2420" s="27" t="s">
        <v>1131</v>
      </c>
      <c r="C2420" s="27" t="s">
        <v>837</v>
      </c>
      <c r="D2420" s="27" t="s">
        <v>762</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805</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1552</v>
      </c>
      <c r="B2422" s="27" t="s">
        <v>1129</v>
      </c>
      <c r="C2422" s="27" t="s">
        <v>754</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t="s">
        <v>774</v>
      </c>
      <c r="E2423" s="21">
        <f>IF(D2423="?OLD","!!!","")</f>
        <v/>
      </c>
      <c r="F2423" s="22" t="str">
        <f>IF(OR(E2423="",E2423="!!!"),"",IF(NOT(ISNA(VLOOKUP(E2423,E$1:E2422,1,FALSE()))),"OLD",IF(AND(E2423&lt;&gt;"",E2423&lt;&gt;"!!!"),"NEW","")))</f>
        <v> </v>
      </c>
      <c r="G2423" s="23" t="str">
        <f>IF(OR(E2423="",E2423="!!!"),"",IF(OR(J2423=0,AND(J2423=1,K2423=1),AND(J2423=1,I2423="SBJ"),AND(J2423=1,I2423=0)),"?IN_FOCUS",IF(J2423&lt;=2,"?ACTIVATED",IF(J2423&lt;&gt;"","?FAMILIAR",IF(F2423="NEW",IF(ISNA(VLOOKUP(E2423,#REF!,1,FALSE())),"?TYPE_IDENTIFIABLE","?REFERENTIAL"),"_")))))</f>
        <v> </v>
      </c>
      <c r="H2423" s="24" t="str">
        <f>IF(J2423&lt;&gt;1,"",IF(I2423="SBJ","CB","?"))</f>
        <v> </v>
      </c>
      <c r="I2423" s="25" t="str">
        <f>IF(OR(E2423="",E2423="!!!",F2423="NEW"),"",INDEX(B2422:B$2,-1+SUMPRODUCT(MAX(ROW(E2422:E$2)*(E2423=E2422:E$2)))))</f>
        <v> </v>
      </c>
      <c r="J2423" s="25" t="str">
        <f>IF(OR(E2423="",E2423="!!!",F2423="NEW"),"",COUNTBLANK(OFFSET(A$1,,,SUMPRODUCT(MAX(ROW(E$2:E2423)*(E2423=E$2:E2423)))))-COUNTBLANK(OFFSET(A$1,,,SUMPRODUCT(MAX(ROW(E$1:E2422)*(E2=E$1:E2422))))))</f>
        <v> </v>
      </c>
      <c r="K2423" s="25" t="str">
        <f>IF(OR(E2423="",E2423="!!!",F2423="NEW"),"",INDEX(J$1:J2422,SUMPRODUCT(MAX(ROW(E$1:E2422)*(E2423=E$1:E2422)))))</f>
        <v> </v>
      </c>
      <c r="L2423" s="26"/>
    </row>
    <row r="2424" spans="1:12">
      <c r="A2424" s="20"/>
    </row>
    <row r="2425" spans="1:12">
      <c r="A2425" s="20" t="s">
        <v>1553</v>
      </c>
    </row>
    <row r="2426" spans="1:12">
      <c r="A2426" s="20" t="s">
        <v>1554</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1512</v>
      </c>
      <c r="B2427" s="27" t="s">
        <v>760</v>
      </c>
      <c r="C2427" s="27" t="s">
        <v>798</v>
      </c>
      <c r="D2427" s="27" t="s">
        <v>762</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996</v>
      </c>
      <c r="B2428" s="27" t="s">
        <v>753</v>
      </c>
      <c r="C2428" s="27" t="s">
        <v>820</v>
      </c>
      <c r="D2428" s="27" t="s">
        <v>762</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1183</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942</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1323</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774</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row>
    <row r="2434" spans="1:12">
      <c r="A2434" s="20" t="s">
        <v>1555</v>
      </c>
    </row>
    <row r="2435" spans="1:12">
      <c r="A2435" s="20" t="s">
        <v>983</v>
      </c>
      <c r="B2435" s="27" t="s">
        <v>760</v>
      </c>
      <c r="C2435" s="27" t="s">
        <v>797</v>
      </c>
      <c r="D2435" s="27" t="s">
        <v>762</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1161</v>
      </c>
      <c r="B2436" s="27" t="s">
        <v>767</v>
      </c>
      <c r="C2436" s="27" t="s">
        <v>797</v>
      </c>
      <c r="D2436" s="27" t="s">
        <v>762</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909</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1005</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749</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t="s">
        <v>1556</v>
      </c>
      <c r="E2440" s="21">
        <f>IF(D2440="?OLD","!!!","")</f>
        <v/>
      </c>
      <c r="F2440" s="22" t="str">
        <f>IF(OR(E2440="",E2440="!!!"),"",IF(NOT(ISNA(VLOOKUP(E2440,E$1:E2439,1,FALSE()))),"OLD",IF(AND(E2440&lt;&gt;"",E2440&lt;&gt;"!!!"),"NEW","")))</f>
        <v> </v>
      </c>
      <c r="G2440" s="23" t="str">
        <f>IF(OR(E2440="",E2440="!!!"),"",IF(OR(J2440=0,AND(J2440=1,K2440=1),AND(J2440=1,I2440="SBJ"),AND(J2440=1,I2440=0)),"?IN_FOCUS",IF(J2440&lt;=2,"?ACTIVATED",IF(J2440&lt;&gt;"","?FAMILIAR",IF(F2440="NEW",IF(ISNA(VLOOKUP(E2440,#REF!,1,FALSE())),"?TYPE_IDENTIFIABLE","?REFERENTIAL"),"_")))))</f>
        <v> </v>
      </c>
      <c r="H2440" s="24" t="str">
        <f>IF(J2440&lt;&gt;1,"",IF(I2440="SBJ","CB","?"))</f>
        <v> </v>
      </c>
      <c r="I2440" s="25" t="str">
        <f>IF(OR(E2440="",E2440="!!!",F2440="NEW"),"",INDEX(B2439:B$2,-1+SUMPRODUCT(MAX(ROW(E2439:E$2)*(E2440=E2439:E$2)))))</f>
        <v> </v>
      </c>
      <c r="J2440" s="25" t="str">
        <f>IF(OR(E2440="",E2440="!!!",F2440="NEW"),"",COUNTBLANK(OFFSET(A$1,,,SUMPRODUCT(MAX(ROW(E$2:E2440)*(E2440=E$2:E2440)))))-COUNTBLANK(OFFSET(A$1,,,SUMPRODUCT(MAX(ROW(E$1:E2439)*(E2=E$1:E2439))))))</f>
        <v> </v>
      </c>
      <c r="K2440" s="25" t="str">
        <f>IF(OR(E2440="",E2440="!!!",F2440="NEW"),"",INDEX(J$1:J2439,SUMPRODUCT(MAX(ROW(E$1:E2439)*(E2440=E$1:E2439)))))</f>
        <v> </v>
      </c>
      <c r="L2440" s="26"/>
    </row>
    <row r="2441" spans="1:12">
      <c r="A2441" s="20" t="s">
        <v>1419</v>
      </c>
      <c r="E2441" s="21">
        <f>IF(D2441="?OLD","!!!","")</f>
        <v/>
      </c>
      <c r="F2441" s="22" t="str">
        <f>IF(OR(E2441="",E2441="!!!"),"",IF(NOT(ISNA(VLOOKUP(E2441,E$1:E2440,1,FALSE()))),"OLD",IF(AND(E2441&lt;&gt;"",E2441&lt;&gt;"!!!"),"NEW","")))</f>
        <v> </v>
      </c>
      <c r="G2441" s="23" t="str">
        <f>IF(OR(E2441="",E2441="!!!"),"",IF(OR(J2441=0,AND(J2441=1,K2441=1),AND(J2441=1,I2441="SBJ"),AND(J2441=1,I2441=0)),"?IN_FOCUS",IF(J2441&lt;=2,"?ACTIVATED",IF(J2441&lt;&gt;"","?FAMILIAR",IF(F2441="NEW",IF(ISNA(VLOOKUP(E2441,#REF!,1,FALSE())),"?TYPE_IDENTIFIABLE","?REFERENTIAL"),"_")))))</f>
        <v> </v>
      </c>
      <c r="H2441" s="24" t="str">
        <f>IF(J2441&lt;&gt;1,"",IF(I2441="SBJ","CB","?"))</f>
        <v> </v>
      </c>
      <c r="I2441" s="25" t="str">
        <f>IF(OR(E2441="",E2441="!!!",F2441="NEW"),"",INDEX(B2440:B$2,-1+SUMPRODUCT(MAX(ROW(E2440:E$2)*(E2441=E2440:E$2)))))</f>
        <v> </v>
      </c>
      <c r="J2441" s="25" t="str">
        <f>IF(OR(E2441="",E2441="!!!",F2441="NEW"),"",COUNTBLANK(OFFSET(A$1,,,SUMPRODUCT(MAX(ROW(E$2:E2441)*(E2441=E$2:E2441)))))-COUNTBLANK(OFFSET(A$1,,,SUMPRODUCT(MAX(ROW(E$1:E2440)*(E2=E$1:E2440))))))</f>
        <v> </v>
      </c>
      <c r="K2441" s="25" t="str">
        <f>IF(OR(E2441="",E2441="!!!",F2441="NEW"),"",INDEX(J$1:J2440,SUMPRODUCT(MAX(ROW(E$1:E2440)*(E2441=E$1:E2440)))))</f>
        <v> </v>
      </c>
      <c r="L2441" s="26"/>
    </row>
    <row r="2442" spans="1:12">
      <c r="A2442" s="20" t="s">
        <v>793</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1557</v>
      </c>
      <c r="B2443" s="27" t="s">
        <v>956</v>
      </c>
      <c r="C2443" s="27" t="s">
        <v>797</v>
      </c>
      <c r="D2443" s="27" t="s">
        <v>762</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1558</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769</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838</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1559</v>
      </c>
      <c r="B2447" s="27" t="s">
        <v>879</v>
      </c>
      <c r="C2447" s="27" t="s">
        <v>761</v>
      </c>
      <c r="D2447" s="27" t="s">
        <v>762</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t="s">
        <v>859</v>
      </c>
      <c r="E2448" s="21">
        <f>IF(D2448="?OLD","!!!","")</f>
        <v/>
      </c>
      <c r="F2448" s="22" t="str">
        <f>IF(OR(E2448="",E2448="!!!"),"",IF(NOT(ISNA(VLOOKUP(E2448,E$1:E2447,1,FALSE()))),"OLD",IF(AND(E2448&lt;&gt;"",E2448&lt;&gt;"!!!"),"NEW","")))</f>
        <v> </v>
      </c>
      <c r="G2448" s="23" t="str">
        <f>IF(OR(E2448="",E2448="!!!"),"",IF(OR(J2448=0,AND(J2448=1,K2448=1),AND(J2448=1,I2448="SBJ"),AND(J2448=1,I2448=0)),"?IN_FOCUS",IF(J2448&lt;=2,"?ACTIVATED",IF(J2448&lt;&gt;"","?FAMILIAR",IF(F2448="NEW",IF(ISNA(VLOOKUP(E2448,#REF!,1,FALSE())),"?TYPE_IDENTIFIABLE","?REFERENTIAL"),"_")))))</f>
        <v> </v>
      </c>
      <c r="H2448" s="24" t="str">
        <f>IF(J2448&lt;&gt;1,"",IF(I2448="SBJ","CB","?"))</f>
        <v> </v>
      </c>
      <c r="I2448" s="25" t="str">
        <f>IF(OR(E2448="",E2448="!!!",F2448="NEW"),"",INDEX(B2447:B$2,-1+SUMPRODUCT(MAX(ROW(E2447:E$2)*(E2448=E2447:E$2)))))</f>
        <v> </v>
      </c>
      <c r="J2448" s="25" t="str">
        <f>IF(OR(E2448="",E2448="!!!",F2448="NEW"),"",COUNTBLANK(OFFSET(A$1,,,SUMPRODUCT(MAX(ROW(E$2:E2448)*(E2448=E$2:E2448)))))-COUNTBLANK(OFFSET(A$1,,,SUMPRODUCT(MAX(ROW(E$1:E2447)*(E2=E$1:E2447))))))</f>
        <v> </v>
      </c>
      <c r="K2448" s="25" t="str">
        <f>IF(OR(E2448="",E2448="!!!",F2448="NEW"),"",INDEX(J$1:J2447,SUMPRODUCT(MAX(ROW(E$1:E2447)*(E2448=E$1:E2447)))))</f>
        <v> </v>
      </c>
      <c r="L2448" s="26"/>
    </row>
    <row r="2449" spans="1:12">
      <c r="A2449" s="20"/>
    </row>
    <row r="2450" spans="1:12">
      <c r="A2450" s="20" t="s">
        <v>1560</v>
      </c>
    </row>
    <row r="2451" spans="1:12">
      <c r="A2451" s="20" t="s">
        <v>1556</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1419</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793</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1557</v>
      </c>
      <c r="B2454" s="27" t="s">
        <v>796</v>
      </c>
      <c r="C2454" s="27" t="s">
        <v>797</v>
      </c>
      <c r="D2454" s="27" t="s">
        <v>762</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1561</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1562</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793</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1563</v>
      </c>
      <c r="B2458" s="27" t="s">
        <v>815</v>
      </c>
      <c r="C2458" s="27" t="s">
        <v>851</v>
      </c>
      <c r="D2458" s="27" t="s">
        <v>762</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952</v>
      </c>
      <c r="B2459" s="27" t="s">
        <v>941</v>
      </c>
      <c r="C2459" s="27" t="s">
        <v>837</v>
      </c>
      <c r="D2459" s="27" t="s">
        <v>762</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t="s">
        <v>811</v>
      </c>
      <c r="E2460" s="21">
        <f>IF(D2460="?OLD","!!!","")</f>
        <v/>
      </c>
      <c r="F2460" s="22" t="str">
        <f>IF(OR(E2460="",E2460="!!!"),"",IF(NOT(ISNA(VLOOKUP(E2460,E$1:E2459,1,FALSE()))),"OLD",IF(AND(E2460&lt;&gt;"",E2460&lt;&gt;"!!!"),"NEW","")))</f>
        <v> </v>
      </c>
      <c r="G2460" s="23" t="str">
        <f>IF(OR(E2460="",E2460="!!!"),"",IF(OR(J2460=0,AND(J2460=1,K2460=1),AND(J2460=1,I2460="SBJ"),AND(J2460=1,I2460=0)),"?IN_FOCUS",IF(J2460&lt;=2,"?ACTIVATED",IF(J2460&lt;&gt;"","?FAMILIAR",IF(F2460="NEW",IF(ISNA(VLOOKUP(E2460,#REF!,1,FALSE())),"?TYPE_IDENTIFIABLE","?REFERENTIAL"),"_")))))</f>
        <v> </v>
      </c>
      <c r="H2460" s="24" t="str">
        <f>IF(J2460&lt;&gt;1,"",IF(I2460="SBJ","CB","?"))</f>
        <v> </v>
      </c>
      <c r="I2460" s="25" t="str">
        <f>IF(OR(E2460="",E2460="!!!",F2460="NEW"),"",INDEX(B2459:B$2,-1+SUMPRODUCT(MAX(ROW(E2459:E$2)*(E2460=E2459:E$2)))))</f>
        <v> </v>
      </c>
      <c r="J2460" s="25" t="str">
        <f>IF(OR(E2460="",E2460="!!!",F2460="NEW"),"",COUNTBLANK(OFFSET(A$1,,,SUMPRODUCT(MAX(ROW(E$2:E2460)*(E2460=E$2:E2460)))))-COUNTBLANK(OFFSET(A$1,,,SUMPRODUCT(MAX(ROW(E$1:E2459)*(E2=E$1:E2459))))))</f>
        <v> </v>
      </c>
      <c r="K2460" s="25" t="str">
        <f>IF(OR(E2460="",E2460="!!!",F2460="NEW"),"",INDEX(J$1:J2459,SUMPRODUCT(MAX(ROW(E$1:E2459)*(E2460=E$1:E2459)))))</f>
        <v> </v>
      </c>
      <c r="L2460" s="26"/>
    </row>
    <row r="2461" spans="1:12">
      <c r="A2461" s="20" t="s">
        <v>1487</v>
      </c>
      <c r="E2461" s="21">
        <f>IF(D2461="?OLD","!!!","")</f>
        <v/>
      </c>
      <c r="F2461" s="22" t="str">
        <f>IF(OR(E2461="",E2461="!!!"),"",IF(NOT(ISNA(VLOOKUP(E2461,E$1:E2460,1,FALSE()))),"OLD",IF(AND(E2461&lt;&gt;"",E2461&lt;&gt;"!!!"),"NEW","")))</f>
        <v> </v>
      </c>
      <c r="G2461" s="23" t="str">
        <f>IF(OR(E2461="",E2461="!!!"),"",IF(OR(J2461=0,AND(J2461=1,K2461=1),AND(J2461=1,I2461="SBJ"),AND(J2461=1,I2461=0)),"?IN_FOCUS",IF(J2461&lt;=2,"?ACTIVATED",IF(J2461&lt;&gt;"","?FAMILIAR",IF(F2461="NEW",IF(ISNA(VLOOKUP(E2461,#REF!,1,FALSE())),"?TYPE_IDENTIFIABLE","?REFERENTIAL"),"_")))))</f>
        <v> </v>
      </c>
      <c r="H2461" s="24" t="str">
        <f>IF(J2461&lt;&gt;1,"",IF(I2461="SBJ","CB","?"))</f>
        <v> </v>
      </c>
      <c r="I2461" s="25" t="str">
        <f>IF(OR(E2461="",E2461="!!!",F2461="NEW"),"",INDEX(B2460:B$2,-1+SUMPRODUCT(MAX(ROW(E2460:E$2)*(E2461=E2460:E$2)))))</f>
        <v> </v>
      </c>
      <c r="J2461" s="25" t="str">
        <f>IF(OR(E2461="",E2461="!!!",F2461="NEW"),"",COUNTBLANK(OFFSET(A$1,,,SUMPRODUCT(MAX(ROW(E$2:E2461)*(E2461=E$2:E2461)))))-COUNTBLANK(OFFSET(A$1,,,SUMPRODUCT(MAX(ROW(E$1:E2460)*(E2=E$1:E2460))))))</f>
        <v> </v>
      </c>
      <c r="K2461" s="25" t="str">
        <f>IF(OR(E2461="",E2461="!!!",F2461="NEW"),"",INDEX(J$1:J2460,SUMPRODUCT(MAX(ROW(E$1:E2460)*(E2461=E$1:E2460)))))</f>
        <v> </v>
      </c>
      <c r="L2461" s="26"/>
    </row>
    <row r="2462" spans="1:12">
      <c r="A2462" s="20" t="s">
        <v>804</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1364</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1479</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859</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row>
    <row r="2467" spans="1:12">
      <c r="A2467" s="20" t="s">
        <v>1564</v>
      </c>
    </row>
    <row r="2468" spans="1:12">
      <c r="A2468" s="20" t="s">
        <v>1556</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1419</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793</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1557</v>
      </c>
      <c r="B2471" s="27" t="s">
        <v>796</v>
      </c>
      <c r="C2471" s="27" t="s">
        <v>797</v>
      </c>
      <c r="D2471" s="27" t="s">
        <v>762</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t="s">
        <v>1561</v>
      </c>
      <c r="E2472" s="21">
        <f>IF(D2472="?OLD","!!!","")</f>
        <v/>
      </c>
      <c r="F2472" s="22" t="str">
        <f>IF(OR(E2472="",E2472="!!!"),"",IF(NOT(ISNA(VLOOKUP(E2472,E$1:E2471,1,FALSE()))),"OLD",IF(AND(E2472&lt;&gt;"",E2472&lt;&gt;"!!!"),"NEW","")))</f>
        <v> </v>
      </c>
      <c r="G2472" s="23" t="str">
        <f>IF(OR(E2472="",E2472="!!!"),"",IF(OR(J2472=0,AND(J2472=1,K2472=1),AND(J2472=1,I2472="SBJ"),AND(J2472=1,I2472=0)),"?IN_FOCUS",IF(J2472&lt;=2,"?ACTIVATED",IF(J2472&lt;&gt;"","?FAMILIAR",IF(F2472="NEW",IF(ISNA(VLOOKUP(E2472,#REF!,1,FALSE())),"?TYPE_IDENTIFIABLE","?REFERENTIAL"),"_")))))</f>
        <v> </v>
      </c>
      <c r="H2472" s="24" t="str">
        <f>IF(J2472&lt;&gt;1,"",IF(I2472="SBJ","CB","?"))</f>
        <v> </v>
      </c>
      <c r="I2472" s="25" t="str">
        <f>IF(OR(E2472="",E2472="!!!",F2472="NEW"),"",INDEX(B2471:B$2,-1+SUMPRODUCT(MAX(ROW(E2471:E$2)*(E2472=E2471:E$2)))))</f>
        <v> </v>
      </c>
      <c r="J2472" s="25" t="str">
        <f>IF(OR(E2472="",E2472="!!!",F2472="NEW"),"",COUNTBLANK(OFFSET(A$1,,,SUMPRODUCT(MAX(ROW(E$2:E2472)*(E2472=E$2:E2472)))))-COUNTBLANK(OFFSET(A$1,,,SUMPRODUCT(MAX(ROW(E$1:E2471)*(E2=E$1:E2471))))))</f>
        <v> </v>
      </c>
      <c r="K2472" s="25" t="str">
        <f>IF(OR(E2472="",E2472="!!!",F2472="NEW"),"",INDEX(J$1:J2471,SUMPRODUCT(MAX(ROW(E$1:E2471)*(E2472=E$1:E2471)))))</f>
        <v> </v>
      </c>
      <c r="L2472" s="26"/>
    </row>
    <row r="2473" spans="1:12">
      <c r="A2473" s="20" t="s">
        <v>1565</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798</v>
      </c>
      <c r="E2474" s="21">
        <f>IF(D2474="?OLD","!!!","")</f>
        <v/>
      </c>
      <c r="F2474" s="22" t="str">
        <f>IF(OR(E2474="",E2474="!!!"),"",IF(NOT(ISNA(VLOOKUP(E2474,E$1:E2473,1,FALSE()))),"OLD",IF(AND(E2474&lt;&gt;"",E2474&lt;&gt;"!!!"),"NEW","")))</f>
        <v> </v>
      </c>
      <c r="G2474" s="23" t="str">
        <f>IF(OR(E2474="",E2474="!!!"),"",IF(OR(J2474=0,AND(J2474=1,K2474=1),AND(J2474=1,I2474="SBJ"),AND(J2474=1,I2474=0)),"?IN_FOCUS",IF(J2474&lt;=2,"?ACTIVATED",IF(J2474&lt;&gt;"","?FAMILIAR",IF(F2474="NEW",IF(ISNA(VLOOKUP(E2474,#REF!,1,FALSE())),"?TYPE_IDENTIFIABLE","?REFERENTIAL"),"_")))))</f>
        <v> </v>
      </c>
      <c r="H2474" s="24" t="str">
        <f>IF(J2474&lt;&gt;1,"",IF(I2474="SBJ","CB","?"))</f>
        <v> </v>
      </c>
      <c r="I2474" s="25" t="str">
        <f>IF(OR(E2474="",E2474="!!!",F2474="NEW"),"",INDEX(B2473:B$2,-1+SUMPRODUCT(MAX(ROW(E2473:E$2)*(E2474=E2473:E$2)))))</f>
        <v> </v>
      </c>
      <c r="J2474" s="25" t="str">
        <f>IF(OR(E2474="",E2474="!!!",F2474="NEW"),"",COUNTBLANK(OFFSET(A$1,,,SUMPRODUCT(MAX(ROW(E$2:E2474)*(E2474=E$2:E2474)))))-COUNTBLANK(OFFSET(A$1,,,SUMPRODUCT(MAX(ROW(E$1:E2473)*(E2=E$1:E2473))))))</f>
        <v> </v>
      </c>
      <c r="K2474" s="25" t="str">
        <f>IF(OR(E2474="",E2474="!!!",F2474="NEW"),"",INDEX(J$1:J2473,SUMPRODUCT(MAX(ROW(E$1:E2473)*(E2474=E$1:E2473)))))</f>
        <v> </v>
      </c>
      <c r="L2474" s="26"/>
    </row>
    <row r="2475" spans="1:12">
      <c r="A2475" s="20" t="s">
        <v>1300</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751</v>
      </c>
      <c r="B2476" s="27" t="s">
        <v>1076</v>
      </c>
      <c r="C2476" s="27" t="s">
        <v>820</v>
      </c>
      <c r="D2476" s="27" t="s">
        <v>762</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129</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1566</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1567</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859</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row>
    <row r="2482" spans="1:12">
      <c r="A2482" s="20" t="s">
        <v>1568</v>
      </c>
    </row>
    <row r="2483" spans="1:12">
      <c r="A2483" s="20" t="s">
        <v>818</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1436</v>
      </c>
      <c r="B2484" s="27" t="s">
        <v>772</v>
      </c>
      <c r="C2484" s="27" t="s">
        <v>851</v>
      </c>
      <c r="D2484" s="27" t="s">
        <v>762</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1437</v>
      </c>
      <c r="B2485" s="27" t="s">
        <v>760</v>
      </c>
      <c r="C2485" s="27" t="s">
        <v>837</v>
      </c>
      <c r="D2485" s="27" t="s">
        <v>762</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887</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888</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1069</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1070</v>
      </c>
      <c r="B2489" s="27" t="s">
        <v>767</v>
      </c>
      <c r="C2489" s="27" t="s">
        <v>803</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805</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1569</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757</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749</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833</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1120</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757</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942</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1570</v>
      </c>
      <c r="B2498" s="27" t="s">
        <v>772</v>
      </c>
      <c r="C2498" s="27" t="s">
        <v>798</v>
      </c>
      <c r="D2498" s="27" t="s">
        <v>762</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757</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965</v>
      </c>
      <c r="B2500" s="27" t="s">
        <v>901</v>
      </c>
      <c r="C2500" s="27" t="s">
        <v>851</v>
      </c>
      <c r="D2500" s="27" t="s">
        <v>762</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1320</v>
      </c>
      <c r="B2501" s="27" t="s">
        <v>879</v>
      </c>
      <c r="C2501" s="27" t="s">
        <v>837</v>
      </c>
      <c r="D2501" s="27" t="s">
        <v>762</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757</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869</v>
      </c>
      <c r="B2503" s="27" t="s">
        <v>796</v>
      </c>
      <c r="C2503" s="27" t="s">
        <v>797</v>
      </c>
      <c r="D2503" s="27" t="s">
        <v>762</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822</v>
      </c>
      <c r="B2504" s="27" t="s">
        <v>802</v>
      </c>
      <c r="C2504" s="27" t="s">
        <v>797</v>
      </c>
      <c r="D2504" s="27" t="s">
        <v>762</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1571</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t="s">
        <v>757</v>
      </c>
      <c r="E2506" s="21">
        <f>IF(D2506="?OLD","!!!","")</f>
        <v/>
      </c>
      <c r="F2506" s="22" t="str">
        <f>IF(OR(E2506="",E2506="!!!"),"",IF(NOT(ISNA(VLOOKUP(E2506,E$1:E2505,1,FALSE()))),"OLD",IF(AND(E2506&lt;&gt;"",E2506&lt;&gt;"!!!"),"NEW","")))</f>
        <v> </v>
      </c>
      <c r="G2506" s="23" t="str">
        <f>IF(OR(E2506="",E2506="!!!"),"",IF(OR(J2506=0,AND(J2506=1,K2506=1),AND(J2506=1,I2506="SBJ"),AND(J2506=1,I2506=0)),"?IN_FOCUS",IF(J2506&lt;=2,"?ACTIVATED",IF(J2506&lt;&gt;"","?FAMILIAR",IF(F2506="NEW",IF(ISNA(VLOOKUP(E2506,#REF!,1,FALSE())),"?TYPE_IDENTIFIABLE","?REFERENTIAL"),"_")))))</f>
        <v> </v>
      </c>
      <c r="H2506" s="24" t="str">
        <f>IF(J2506&lt;&gt;1,"",IF(I2506="SBJ","CB","?"))</f>
        <v> </v>
      </c>
      <c r="I2506" s="25" t="str">
        <f>IF(OR(E2506="",E2506="!!!",F2506="NEW"),"",INDEX(B2505:B$2,-1+SUMPRODUCT(MAX(ROW(E2505:E$2)*(E2506=E2505:E$2)))))</f>
        <v> </v>
      </c>
      <c r="J2506" s="25" t="str">
        <f>IF(OR(E2506="",E2506="!!!",F2506="NEW"),"",COUNTBLANK(OFFSET(A$1,,,SUMPRODUCT(MAX(ROW(E$2:E2506)*(E2506=E$2:E2506)))))-COUNTBLANK(OFFSET(A$1,,,SUMPRODUCT(MAX(ROW(E$1:E2505)*(E2=E$1:E2505))))))</f>
        <v> </v>
      </c>
      <c r="K2506" s="25" t="str">
        <f>IF(OR(E2506="",E2506="!!!",F2506="NEW"),"",INDEX(J$1:J2505,SUMPRODUCT(MAX(ROW(E$1:E2505)*(E2506=E$1:E2505)))))</f>
        <v> </v>
      </c>
      <c r="L2506" s="26"/>
    </row>
    <row r="2507" spans="1:12">
      <c r="A2507" s="20" t="s">
        <v>1230</v>
      </c>
      <c r="E2507" s="21">
        <f>IF(D2507="?OLD","!!!","")</f>
        <v/>
      </c>
      <c r="F2507" s="22" t="str">
        <f>IF(OR(E2507="",E2507="!!!"),"",IF(NOT(ISNA(VLOOKUP(E2507,E$1:E2506,1,FALSE()))),"OLD",IF(AND(E2507&lt;&gt;"",E2507&lt;&gt;"!!!"),"NEW","")))</f>
        <v> </v>
      </c>
      <c r="G2507" s="23" t="str">
        <f>IF(OR(E2507="",E2507="!!!"),"",IF(OR(J2507=0,AND(J2507=1,K2507=1),AND(J2507=1,I2507="SBJ"),AND(J2507=1,I2507=0)),"?IN_FOCUS",IF(J2507&lt;=2,"?ACTIVATED",IF(J2507&lt;&gt;"","?FAMILIAR",IF(F2507="NEW",IF(ISNA(VLOOKUP(E2507,#REF!,1,FALSE())),"?TYPE_IDENTIFIABLE","?REFERENTIAL"),"_")))))</f>
        <v> </v>
      </c>
      <c r="H2507" s="24" t="str">
        <f>IF(J2507&lt;&gt;1,"",IF(I2507="SBJ","CB","?"))</f>
        <v> </v>
      </c>
      <c r="I2507" s="25" t="str">
        <f>IF(OR(E2507="",E2507="!!!",F2507="NEW"),"",INDEX(B2506:B$2,-1+SUMPRODUCT(MAX(ROW(E2506:E$2)*(E2507=E2506:E$2)))))</f>
        <v> </v>
      </c>
      <c r="J2507" s="25" t="str">
        <f>IF(OR(E2507="",E2507="!!!",F2507="NEW"),"",COUNTBLANK(OFFSET(A$1,,,SUMPRODUCT(MAX(ROW(E$2:E2507)*(E2507=E$2:E2507)))))-COUNTBLANK(OFFSET(A$1,,,SUMPRODUCT(MAX(ROW(E$1:E2506)*(E2=E$1:E2506))))))</f>
        <v> </v>
      </c>
      <c r="K2507" s="25" t="str">
        <f>IF(OR(E2507="",E2507="!!!",F2507="NEW"),"",INDEX(J$1:J2506,SUMPRODUCT(MAX(ROW(E$1:E2506)*(E2507=E$1:E2506)))))</f>
        <v> </v>
      </c>
      <c r="L2507" s="26"/>
    </row>
    <row r="2508" spans="1:12">
      <c r="A2508" s="20" t="s">
        <v>793</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942</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1570</v>
      </c>
      <c r="B2510" s="27" t="s">
        <v>879</v>
      </c>
      <c r="C2510" s="27" t="s">
        <v>798</v>
      </c>
      <c r="D2510" s="27" t="s">
        <v>762</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757</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955</v>
      </c>
      <c r="B2512" s="27" t="s">
        <v>956</v>
      </c>
      <c r="C2512" s="27" t="s">
        <v>777</v>
      </c>
      <c r="D2512" s="27" t="s">
        <v>762</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778</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764</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1147</v>
      </c>
      <c r="B2515" s="27" t="s">
        <v>772</v>
      </c>
      <c r="C2515" s="27" t="s">
        <v>768</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1204</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769</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333</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1572</v>
      </c>
      <c r="B2519" s="27" t="s">
        <v>940</v>
      </c>
      <c r="C2519" s="27" t="s">
        <v>754</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769</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822</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948</v>
      </c>
      <c r="B2522" s="27" t="s">
        <v>815</v>
      </c>
      <c r="C2522" s="27" t="s">
        <v>761</v>
      </c>
      <c r="D2522" s="27" t="s">
        <v>762</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757</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810</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t="s">
        <v>827</v>
      </c>
      <c r="B2525" s="27" t="s">
        <v>956</v>
      </c>
      <c r="C2525" s="27" t="s">
        <v>797</v>
      </c>
      <c r="D2525" s="27" t="s">
        <v>762</v>
      </c>
      <c r="E2525" s="21">
        <f>IF(D2525="?OLD","!!!","")</f>
        <v/>
      </c>
      <c r="F2525" s="22" t="str">
        <f>IF(OR(E2525="",E2525="!!!"),"",IF(NOT(ISNA(VLOOKUP(E2525,E$1:E2524,1,FALSE()))),"OLD",IF(AND(E2525&lt;&gt;"",E2525&lt;&gt;"!!!"),"NEW","")))</f>
        <v> </v>
      </c>
      <c r="G2525" s="23" t="str">
        <f>IF(OR(E2525="",E2525="!!!"),"",IF(OR(J2525=0,AND(J2525=1,K2525=1),AND(J2525=1,I2525="SBJ"),AND(J2525=1,I2525=0)),"?IN_FOCUS",IF(J2525&lt;=2,"?ACTIVATED",IF(J2525&lt;&gt;"","?FAMILIAR",IF(F2525="NEW",IF(ISNA(VLOOKUP(E2525,#REF!,1,FALSE())),"?TYPE_IDENTIFIABLE","?REFERENTIAL"),"_")))))</f>
        <v> </v>
      </c>
      <c r="H2525" s="24" t="str">
        <f>IF(J2525&lt;&gt;1,"",IF(I2525="SBJ","CB","?"))</f>
        <v> </v>
      </c>
      <c r="I2525" s="25" t="str">
        <f>IF(OR(E2525="",E2525="!!!",F2525="NEW"),"",INDEX(B2524:B$2,-1+SUMPRODUCT(MAX(ROW(E2524:E$2)*(E2525=E2524:E$2)))))</f>
        <v> </v>
      </c>
      <c r="J2525" s="25" t="str">
        <f>IF(OR(E2525="",E2525="!!!",F2525="NEW"),"",COUNTBLANK(OFFSET(A$1,,,SUMPRODUCT(MAX(ROW(E$2:E2525)*(E2525=E$2:E2525)))))-COUNTBLANK(OFFSET(A$1,,,SUMPRODUCT(MAX(ROW(E$1:E2524)*(E2=E$1:E2524))))))</f>
        <v> </v>
      </c>
      <c r="K2525" s="25" t="str">
        <f>IF(OR(E2525="",E2525="!!!",F2525="NEW"),"",INDEX(J$1:J2524,SUMPRODUCT(MAX(ROW(E$1:E2524)*(E2525=E$1:E2524)))))</f>
        <v> </v>
      </c>
      <c r="L2525" s="26"/>
    </row>
    <row r="2526" spans="1:12">
      <c r="A2526" s="20" t="s">
        <v>1573</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586</v>
      </c>
      <c r="E2527" s="21">
        <f>IF(D2527="?OLD","!!!","")</f>
        <v/>
      </c>
      <c r="F2527" s="22" t="str">
        <f>IF(OR(E2527="",E2527="!!!"),"",IF(NOT(ISNA(VLOOKUP(E2527,E$1:E2526,1,FALSE()))),"OLD",IF(AND(E2527&lt;&gt;"",E2527&lt;&gt;"!!!"),"NEW","")))</f>
        <v> </v>
      </c>
      <c r="G2527" s="23" t="str">
        <f>IF(OR(E2527="",E2527="!!!"),"",IF(OR(J2527=0,AND(J2527=1,K2527=1),AND(J2527=1,I2527="SBJ"),AND(J2527=1,I2527=0)),"?IN_FOCUS",IF(J2527&lt;=2,"?ACTIVATED",IF(J2527&lt;&gt;"","?FAMILIAR",IF(F2527="NEW",IF(ISNA(VLOOKUP(E2527,#REF!,1,FALSE())),"?TYPE_IDENTIFIABLE","?REFERENTIAL"),"_")))))</f>
        <v> </v>
      </c>
      <c r="H2527" s="24" t="str">
        <f>IF(J2527&lt;&gt;1,"",IF(I2527="SBJ","CB","?"))</f>
        <v> </v>
      </c>
      <c r="I2527" s="25" t="str">
        <f>IF(OR(E2527="",E2527="!!!",F2527="NEW"),"",INDEX(B2526:B$2,-1+SUMPRODUCT(MAX(ROW(E2526:E$2)*(E2527=E2526:E$2)))))</f>
        <v> </v>
      </c>
      <c r="J2527" s="25" t="str">
        <f>IF(OR(E2527="",E2527="!!!",F2527="NEW"),"",COUNTBLANK(OFFSET(A$1,,,SUMPRODUCT(MAX(ROW(E$2:E2527)*(E2527=E$2:E2527)))))-COUNTBLANK(OFFSET(A$1,,,SUMPRODUCT(MAX(ROW(E$1:E2526)*(E2=E$1:E2526))))))</f>
        <v> </v>
      </c>
      <c r="K2527" s="25" t="str">
        <f>IF(OR(E2527="",E2527="!!!",F2527="NEW"),"",INDEX(J$1:J2526,SUMPRODUCT(MAX(ROW(E$1:E2526)*(E2527=E$1:E2526)))))</f>
        <v> </v>
      </c>
      <c r="L2527" s="26"/>
    </row>
    <row r="2528" spans="1:12">
      <c r="A2528" s="20" t="s">
        <v>785</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1570</v>
      </c>
      <c r="B2529" s="27" t="s">
        <v>901</v>
      </c>
      <c r="C2529" s="27" t="s">
        <v>798</v>
      </c>
      <c r="D2529" s="27" t="s">
        <v>762</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764</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789</v>
      </c>
      <c r="B2531" s="27" t="s">
        <v>940</v>
      </c>
      <c r="C2531" s="27" t="s">
        <v>768</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960</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1574</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774</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row>
    <row r="2536" spans="1:12">
      <c r="A2536" s="20" t="s">
        <v>1575</v>
      </c>
    </row>
    <row r="2537" spans="1:12">
      <c r="A2537" s="20" t="s">
        <v>908</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869</v>
      </c>
      <c r="B2538" s="27" t="s">
        <v>760</v>
      </c>
      <c r="C2538" s="27" t="s">
        <v>797</v>
      </c>
      <c r="D2538" s="27" t="s">
        <v>762</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1576</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793</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1322</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886</v>
      </c>
      <c r="B2542" s="27" t="s">
        <v>796</v>
      </c>
      <c r="C2542" s="27" t="s">
        <v>797</v>
      </c>
      <c r="D2542" s="27" t="s">
        <v>762</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1577</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1278</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838</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1462</v>
      </c>
      <c r="B2546" s="27" t="s">
        <v>802</v>
      </c>
      <c r="C2546" s="27" t="s">
        <v>761</v>
      </c>
      <c r="D2546" s="27" t="s">
        <v>762</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757</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954</v>
      </c>
      <c r="B2548" s="27" t="s">
        <v>796</v>
      </c>
      <c r="C2548" s="27" t="s">
        <v>777</v>
      </c>
      <c r="D2548" s="27" t="s">
        <v>762</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1411</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764</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1578</v>
      </c>
      <c r="B2551" s="27" t="s">
        <v>753</v>
      </c>
      <c r="C2551" s="27" t="s">
        <v>768</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1579</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818</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1511</v>
      </c>
      <c r="B2554" s="27" t="s">
        <v>796</v>
      </c>
      <c r="C2554" s="27" t="s">
        <v>798</v>
      </c>
      <c r="D2554" s="27" t="s">
        <v>762</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1512</v>
      </c>
      <c r="B2555" s="27" t="s">
        <v>879</v>
      </c>
      <c r="C2555" s="27" t="s">
        <v>798</v>
      </c>
      <c r="D2555" s="27" t="s">
        <v>762</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903</v>
      </c>
      <c r="B2556" s="27" t="s">
        <v>802</v>
      </c>
      <c r="C2556" s="27" t="s">
        <v>797</v>
      </c>
      <c r="D2556" s="27" t="s">
        <v>762</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887</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t="s">
        <v>888</v>
      </c>
      <c r="E2558" s="21">
        <f>IF(D2558="?OLD","!!!","")</f>
        <v/>
      </c>
      <c r="F2558" s="22" t="str">
        <f>IF(OR(E2558="",E2558="!!!"),"",IF(NOT(ISNA(VLOOKUP(E2558,E$1:E2557,1,FALSE()))),"OLD",IF(AND(E2558&lt;&gt;"",E2558&lt;&gt;"!!!"),"NEW","")))</f>
        <v> </v>
      </c>
      <c r="G2558" s="23" t="str">
        <f>IF(OR(E2558="",E2558="!!!"),"",IF(OR(J2558=0,AND(J2558=1,K2558=1),AND(J2558=1,I2558="SBJ"),AND(J2558=1,I2558=0)),"?IN_FOCUS",IF(J2558&lt;=2,"?ACTIVATED",IF(J2558&lt;&gt;"","?FAMILIAR",IF(F2558="NEW",IF(ISNA(VLOOKUP(E2558,#REF!,1,FALSE())),"?TYPE_IDENTIFIABLE","?REFERENTIAL"),"_")))))</f>
        <v> </v>
      </c>
      <c r="H2558" s="24" t="str">
        <f>IF(J2558&lt;&gt;1,"",IF(I2558="SBJ","CB","?"))</f>
        <v> </v>
      </c>
      <c r="I2558" s="25" t="str">
        <f>IF(OR(E2558="",E2558="!!!",F2558="NEW"),"",INDEX(B2557:B$2,-1+SUMPRODUCT(MAX(ROW(E2557:E$2)*(E2558=E2557:E$2)))))</f>
        <v> </v>
      </c>
      <c r="J2558" s="25" t="str">
        <f>IF(OR(E2558="",E2558="!!!",F2558="NEW"),"",COUNTBLANK(OFFSET(A$1,,,SUMPRODUCT(MAX(ROW(E$2:E2558)*(E2558=E$2:E2558)))))-COUNTBLANK(OFFSET(A$1,,,SUMPRODUCT(MAX(ROW(E$1:E2557)*(E2=E$1:E2557))))))</f>
        <v> </v>
      </c>
      <c r="K2558" s="25" t="str">
        <f>IF(OR(E2558="",E2558="!!!",F2558="NEW"),"",INDEX(J$1:J2557,SUMPRODUCT(MAX(ROW(E$1:E2557)*(E2558=E$1:E2557)))))</f>
        <v> </v>
      </c>
      <c r="L2558" s="26"/>
    </row>
    <row r="2559" spans="1:12">
      <c r="A2559" s="20" t="s">
        <v>757</v>
      </c>
      <c r="E2559" s="21">
        <f>IF(D2559="?OLD","!!!","")</f>
        <v/>
      </c>
      <c r="F2559" s="22" t="str">
        <f>IF(OR(E2559="",E2559="!!!"),"",IF(NOT(ISNA(VLOOKUP(E2559,E$1:E2558,1,FALSE()))),"OLD",IF(AND(E2559&lt;&gt;"",E2559&lt;&gt;"!!!"),"NEW","")))</f>
        <v> </v>
      </c>
      <c r="G2559" s="23" t="str">
        <f>IF(OR(E2559="",E2559="!!!"),"",IF(OR(J2559=0,AND(J2559=1,K2559=1),AND(J2559=1,I2559="SBJ"),AND(J2559=1,I2559=0)),"?IN_FOCUS",IF(J2559&lt;=2,"?ACTIVATED",IF(J2559&lt;&gt;"","?FAMILIAR",IF(F2559="NEW",IF(ISNA(VLOOKUP(E2559,#REF!,1,FALSE())),"?TYPE_IDENTIFIABLE","?REFERENTIAL"),"_")))))</f>
        <v> </v>
      </c>
      <c r="H2559" s="24" t="str">
        <f>IF(J2559&lt;&gt;1,"",IF(I2559="SBJ","CB","?"))</f>
        <v> </v>
      </c>
      <c r="I2559" s="25" t="str">
        <f>IF(OR(E2559="",E2559="!!!",F2559="NEW"),"",INDEX(B2558:B$2,-1+SUMPRODUCT(MAX(ROW(E2558:E$2)*(E2559=E2558:E$2)))))</f>
        <v> </v>
      </c>
      <c r="J2559" s="25" t="str">
        <f>IF(OR(E2559="",E2559="!!!",F2559="NEW"),"",COUNTBLANK(OFFSET(A$1,,,SUMPRODUCT(MAX(ROW(E$2:E2559)*(E2559=E$2:E2559)))))-COUNTBLANK(OFFSET(A$1,,,SUMPRODUCT(MAX(ROW(E$1:E2558)*(E2=E$1:E2558))))))</f>
        <v> </v>
      </c>
      <c r="K2559" s="25" t="str">
        <f>IF(OR(E2559="",E2559="!!!",F2559="NEW"),"",INDEX(J$1:J2558,SUMPRODUCT(MAX(ROW(E$1:E2558)*(E2559=E$1:E2558)))))</f>
        <v> </v>
      </c>
      <c r="L2559" s="26"/>
    </row>
    <row r="2560" spans="1:12">
      <c r="A2560" s="20" t="s">
        <v>749</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983</v>
      </c>
      <c r="B2561" s="27" t="s">
        <v>796</v>
      </c>
      <c r="C2561" s="27" t="s">
        <v>797</v>
      </c>
      <c r="D2561" s="27" t="s">
        <v>762</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870</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805</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1580</v>
      </c>
      <c r="B2564" s="27" t="s">
        <v>753</v>
      </c>
      <c r="C2564" s="27" t="s">
        <v>754</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t="s">
        <v>875</v>
      </c>
      <c r="E2565" s="21">
        <f>IF(D2565="?OLD","!!!","")</f>
        <v/>
      </c>
      <c r="F2565" s="22" t="str">
        <f>IF(OR(E2565="",E2565="!!!"),"",IF(NOT(ISNA(VLOOKUP(E2565,E$1:E2564,1,FALSE()))),"OLD",IF(AND(E2565&lt;&gt;"",E2565&lt;&gt;"!!!"),"NEW","")))</f>
        <v> </v>
      </c>
      <c r="G2565" s="23" t="str">
        <f>IF(OR(E2565="",E2565="!!!"),"",IF(OR(J2565=0,AND(J2565=1,K2565=1),AND(J2565=1,I2565="SBJ"),AND(J2565=1,I2565=0)),"?IN_FOCUS",IF(J2565&lt;=2,"?ACTIVATED",IF(J2565&lt;&gt;"","?FAMILIAR",IF(F2565="NEW",IF(ISNA(VLOOKUP(E2565,#REF!,1,FALSE())),"?TYPE_IDENTIFIABLE","?REFERENTIAL"),"_")))))</f>
        <v> </v>
      </c>
      <c r="H2565" s="24" t="str">
        <f>IF(J2565&lt;&gt;1,"",IF(I2565="SBJ","CB","?"))</f>
        <v> </v>
      </c>
      <c r="I2565" s="25" t="str">
        <f>IF(OR(E2565="",E2565="!!!",F2565="NEW"),"",INDEX(B2564:B$2,-1+SUMPRODUCT(MAX(ROW(E2564:E$2)*(E2565=E2564:E$2)))))</f>
        <v> </v>
      </c>
      <c r="J2565" s="25" t="str">
        <f>IF(OR(E2565="",E2565="!!!",F2565="NEW"),"",COUNTBLANK(OFFSET(A$1,,,SUMPRODUCT(MAX(ROW(E$2:E2565)*(E2565=E$2:E2565)))))-COUNTBLANK(OFFSET(A$1,,,SUMPRODUCT(MAX(ROW(E$1:E2564)*(E2=E$1:E2564))))))</f>
        <v> </v>
      </c>
      <c r="K2565" s="25" t="str">
        <f>IF(OR(E2565="",E2565="!!!",F2565="NEW"),"",INDEX(J$1:J2564,SUMPRODUCT(MAX(ROW(E$1:E2564)*(E2565=E$1:E2564)))))</f>
        <v> </v>
      </c>
      <c r="L2565" s="26"/>
    </row>
    <row r="2566" spans="1:12">
      <c r="A2566" s="20" t="s">
        <v>1510</v>
      </c>
      <c r="B2566" s="27" t="s">
        <v>772</v>
      </c>
      <c r="C2566" s="27" t="s">
        <v>798</v>
      </c>
      <c r="D2566" s="27" t="s">
        <v>762</v>
      </c>
      <c r="E2566" s="21">
        <f>IF(D2566="?OLD","!!!","")</f>
        <v/>
      </c>
      <c r="F2566" s="22" t="str">
        <f>IF(OR(E2566="",E2566="!!!"),"",IF(NOT(ISNA(VLOOKUP(E2566,E$1:E2565,1,FALSE()))),"OLD",IF(AND(E2566&lt;&gt;"",E2566&lt;&gt;"!!!"),"NEW","")))</f>
        <v> </v>
      </c>
      <c r="G2566" s="23" t="str">
        <f>IF(OR(E2566="",E2566="!!!"),"",IF(OR(J2566=0,AND(J2566=1,K2566=1),AND(J2566=1,I2566="SBJ"),AND(J2566=1,I2566=0)),"?IN_FOCUS",IF(J2566&lt;=2,"?ACTIVATED",IF(J2566&lt;&gt;"","?FAMILIAR",IF(F2566="NEW",IF(ISNA(VLOOKUP(E2566,#REF!,1,FALSE())),"?TYPE_IDENTIFIABLE","?REFERENTIAL"),"_")))))</f>
        <v> </v>
      </c>
      <c r="H2566" s="24" t="str">
        <f>IF(J2566&lt;&gt;1,"",IF(I2566="SBJ","CB","?"))</f>
        <v> </v>
      </c>
      <c r="I2566" s="25" t="str">
        <f>IF(OR(E2566="",E2566="!!!",F2566="NEW"),"",INDEX(B2565:B$2,-1+SUMPRODUCT(MAX(ROW(E2565:E$2)*(E2566=E2565:E$2)))))</f>
        <v> </v>
      </c>
      <c r="J2566" s="25" t="str">
        <f>IF(OR(E2566="",E2566="!!!",F2566="NEW"),"",COUNTBLANK(OFFSET(A$1,,,SUMPRODUCT(MAX(ROW(E$2:E2566)*(E2566=E$2:E2566)))))-COUNTBLANK(OFFSET(A$1,,,SUMPRODUCT(MAX(ROW(E$1:E2565)*(E2=E$1:E2565))))))</f>
        <v> </v>
      </c>
      <c r="K2566" s="25" t="str">
        <f>IF(OR(E2566="",E2566="!!!",F2566="NEW"),"",INDEX(J$1:J2565,SUMPRODUCT(MAX(ROW(E$1:E2565)*(E2566=E$1:E2565)))))</f>
        <v> </v>
      </c>
      <c r="L2566" s="26"/>
    </row>
    <row r="2567" spans="1:12">
      <c r="A2567" s="20" t="s">
        <v>774</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row>
    <row r="2569" spans="1:12">
      <c r="A2569" s="20" t="s">
        <v>1581</v>
      </c>
    </row>
    <row r="2570" spans="1:12">
      <c r="A2570" s="20" t="s">
        <v>1582</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1570</v>
      </c>
      <c r="B2571" s="27" t="s">
        <v>753</v>
      </c>
      <c r="C2571" s="27" t="s">
        <v>798</v>
      </c>
      <c r="D2571" s="27" t="s">
        <v>762</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757</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869</v>
      </c>
      <c r="B2573" s="27" t="s">
        <v>760</v>
      </c>
      <c r="C2573" s="27" t="s">
        <v>797</v>
      </c>
      <c r="D2573" s="27" t="s">
        <v>762</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1583</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1099</v>
      </c>
      <c r="B2575" s="27" t="s">
        <v>753</v>
      </c>
      <c r="C2575" s="27" t="s">
        <v>851</v>
      </c>
      <c r="D2575" s="27" t="s">
        <v>762</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814</v>
      </c>
      <c r="B2576" s="27" t="s">
        <v>753</v>
      </c>
      <c r="C2576" s="27" t="s">
        <v>837</v>
      </c>
      <c r="D2576" s="27" t="s">
        <v>762</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751</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779</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1584</v>
      </c>
      <c r="B2579" s="27" t="s">
        <v>753</v>
      </c>
      <c r="C2579" s="27" t="s">
        <v>768</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942</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984</v>
      </c>
      <c r="B2581" s="27" t="s">
        <v>802</v>
      </c>
      <c r="C2581" s="27" t="s">
        <v>797</v>
      </c>
      <c r="D2581" s="27" t="s">
        <v>762</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586</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764</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789</v>
      </c>
      <c r="B2584" s="27" t="s">
        <v>802</v>
      </c>
      <c r="C2584" s="27" t="s">
        <v>768</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1585</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774</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row>
    <row r="2588" spans="1:12">
      <c r="A2588" s="20" t="s">
        <v>1586</v>
      </c>
    </row>
    <row r="2589" spans="1:12">
      <c r="A2589" s="20" t="s">
        <v>908</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757</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869</v>
      </c>
      <c r="B2591" s="27" t="s">
        <v>760</v>
      </c>
      <c r="C2591" s="27" t="s">
        <v>797</v>
      </c>
      <c r="D2591" s="27" t="s">
        <v>762</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1587</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942</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t="s">
        <v>899</v>
      </c>
      <c r="B2594" s="27" t="s">
        <v>753</v>
      </c>
      <c r="C2594" s="27" t="s">
        <v>820</v>
      </c>
      <c r="D2594" s="27" t="s">
        <v>762</v>
      </c>
      <c r="E2594" s="21">
        <f>IF(D2594="?OLD","!!!","")</f>
        <v/>
      </c>
      <c r="F2594" s="22" t="str">
        <f>IF(OR(E2594="",E2594="!!!"),"",IF(NOT(ISNA(VLOOKUP(E2594,E$1:E2593,1,FALSE()))),"OLD",IF(AND(E2594&lt;&gt;"",E2594&lt;&gt;"!!!"),"NEW","")))</f>
        <v> </v>
      </c>
      <c r="G2594" s="23" t="str">
        <f>IF(OR(E2594="",E2594="!!!"),"",IF(OR(J2594=0,AND(J2594=1,K2594=1),AND(J2594=1,I2594="SBJ"),AND(J2594=1,I2594=0)),"?IN_FOCUS",IF(J2594&lt;=2,"?ACTIVATED",IF(J2594&lt;&gt;"","?FAMILIAR",IF(F2594="NEW",IF(ISNA(VLOOKUP(E2594,#REF!,1,FALSE())),"?TYPE_IDENTIFIABLE","?REFERENTIAL"),"_")))))</f>
        <v> </v>
      </c>
      <c r="H2594" s="24" t="str">
        <f>IF(J2594&lt;&gt;1,"",IF(I2594="SBJ","CB","?"))</f>
        <v> </v>
      </c>
      <c r="I2594" s="25" t="str">
        <f>IF(OR(E2594="",E2594="!!!",F2594="NEW"),"",INDEX(B2593:B$2,-1+SUMPRODUCT(MAX(ROW(E2593:E$2)*(E2594=E2593:E$2)))))</f>
        <v> </v>
      </c>
      <c r="J2594" s="25" t="str">
        <f>IF(OR(E2594="",E2594="!!!",F2594="NEW"),"",COUNTBLANK(OFFSET(A$1,,,SUMPRODUCT(MAX(ROW(E$2:E2594)*(E2594=E$2:E2594)))))-COUNTBLANK(OFFSET(A$1,,,SUMPRODUCT(MAX(ROW(E$1:E2593)*(E2=E$1:E2593))))))</f>
        <v> </v>
      </c>
      <c r="K2594" s="25" t="str">
        <f>IF(OR(E2594="",E2594="!!!",F2594="NEW"),"",INDEX(J$1:J2593,SUMPRODUCT(MAX(ROW(E$1:E2593)*(E2594=E$1:E2593)))))</f>
        <v> </v>
      </c>
      <c r="L2594" s="26"/>
    </row>
    <row r="2595" spans="1:12">
      <c r="A2595" s="20" t="s">
        <v>16</v>
      </c>
      <c r="E2595" s="21">
        <f>IF(D2595="?OLD","!!!","")</f>
        <v/>
      </c>
      <c r="F2595" s="22" t="str">
        <f>IF(OR(E2595="",E2595="!!!"),"",IF(NOT(ISNA(VLOOKUP(E2595,E$1:E2594,1,FALSE()))),"OLD",IF(AND(E2595&lt;&gt;"",E2595&lt;&gt;"!!!"),"NEW","")))</f>
        <v> </v>
      </c>
      <c r="G2595" s="23" t="str">
        <f>IF(OR(E2595="",E2595="!!!"),"",IF(OR(J2595=0,AND(J2595=1,K2595=1),AND(J2595=1,I2595="SBJ"),AND(J2595=1,I2595=0)),"?IN_FOCUS",IF(J2595&lt;=2,"?ACTIVATED",IF(J2595&lt;&gt;"","?FAMILIAR",IF(F2595="NEW",IF(ISNA(VLOOKUP(E2595,#REF!,1,FALSE())),"?TYPE_IDENTIFIABLE","?REFERENTIAL"),"_")))))</f>
        <v> </v>
      </c>
      <c r="H2595" s="24" t="str">
        <f>IF(J2595&lt;&gt;1,"",IF(I2595="SBJ","CB","?"))</f>
        <v> </v>
      </c>
      <c r="I2595" s="25" t="str">
        <f>IF(OR(E2595="",E2595="!!!",F2595="NEW"),"",INDEX(B2594:B$2,-1+SUMPRODUCT(MAX(ROW(E2594:E$2)*(E2595=E2594:E$2)))))</f>
        <v> </v>
      </c>
      <c r="J2595" s="25" t="str">
        <f>IF(OR(E2595="",E2595="!!!",F2595="NEW"),"",COUNTBLANK(OFFSET(A$1,,,SUMPRODUCT(MAX(ROW(E$2:E2595)*(E2595=E$2:E2595)))))-COUNTBLANK(OFFSET(A$1,,,SUMPRODUCT(MAX(ROW(E$1:E2594)*(E2=E$1:E2594))))))</f>
        <v> </v>
      </c>
      <c r="K2595" s="25" t="str">
        <f>IF(OR(E2595="",E2595="!!!",F2595="NEW"),"",INDEX(J$1:J2594,SUMPRODUCT(MAX(ROW(E$1:E2594)*(E2595=E$1:E2594)))))</f>
        <v> </v>
      </c>
      <c r="L2595" s="26"/>
    </row>
    <row r="2596" spans="1:12">
      <c r="A2596" s="20" t="s">
        <v>810</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1120</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757</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869</v>
      </c>
      <c r="B2599" s="27" t="s">
        <v>796</v>
      </c>
      <c r="C2599" s="27" t="s">
        <v>797</v>
      </c>
      <c r="D2599" s="27" t="s">
        <v>762</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811</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1588</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1300</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1589</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697</v>
      </c>
      <c r="B2604" s="27" t="s">
        <v>879</v>
      </c>
      <c r="C2604" s="27" t="s">
        <v>797</v>
      </c>
      <c r="D2604" s="27" t="s">
        <v>762</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996</v>
      </c>
      <c r="B2605" s="27" t="s">
        <v>901</v>
      </c>
      <c r="C2605" s="27" t="s">
        <v>820</v>
      </c>
      <c r="D2605" s="27" t="s">
        <v>762</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887</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106</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830</v>
      </c>
      <c r="B2608" s="27" t="s">
        <v>772</v>
      </c>
      <c r="C2608" s="27" t="s">
        <v>831</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757</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1235</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697</v>
      </c>
      <c r="B2611" s="27" t="s">
        <v>956</v>
      </c>
      <c r="C2611" s="27" t="s">
        <v>797</v>
      </c>
      <c r="D2611" s="27" t="s">
        <v>762</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778</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1294</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793</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869</v>
      </c>
      <c r="B2615" s="27" t="s">
        <v>941</v>
      </c>
      <c r="C2615" s="27" t="s">
        <v>797</v>
      </c>
      <c r="D2615" s="27" t="s">
        <v>762</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1590</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566</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785</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t="s">
        <v>954</v>
      </c>
      <c r="E2619" s="21">
        <f>IF(D2619="?OLD","!!!","")</f>
        <v/>
      </c>
      <c r="F2619" s="22" t="str">
        <f>IF(OR(E2619="",E2619="!!!"),"",IF(NOT(ISNA(VLOOKUP(E2619,E$1:E2618,1,FALSE()))),"OLD",IF(AND(E2619&lt;&gt;"",E2619&lt;&gt;"!!!"),"NEW","")))</f>
        <v> </v>
      </c>
      <c r="G2619" s="23" t="str">
        <f>IF(OR(E2619="",E2619="!!!"),"",IF(OR(J2619=0,AND(J2619=1,K2619=1),AND(J2619=1,I2619="SBJ"),AND(J2619=1,I2619=0)),"?IN_FOCUS",IF(J2619&lt;=2,"?ACTIVATED",IF(J2619&lt;&gt;"","?FAMILIAR",IF(F2619="NEW",IF(ISNA(VLOOKUP(E2619,#REF!,1,FALSE())),"?TYPE_IDENTIFIABLE","?REFERENTIAL"),"_")))))</f>
        <v> </v>
      </c>
      <c r="H2619" s="24" t="str">
        <f>IF(J2619&lt;&gt;1,"",IF(I2619="SBJ","CB","?"))</f>
        <v> </v>
      </c>
      <c r="I2619" s="25" t="str">
        <f>IF(OR(E2619="",E2619="!!!",F2619="NEW"),"",INDEX(B2618:B$2,-1+SUMPRODUCT(MAX(ROW(E2618:E$2)*(E2619=E2618:E$2)))))</f>
        <v> </v>
      </c>
      <c r="J2619" s="25" t="str">
        <f>IF(OR(E2619="",E2619="!!!",F2619="NEW"),"",COUNTBLANK(OFFSET(A$1,,,SUMPRODUCT(MAX(ROW(E$2:E2619)*(E2619=E$2:E2619)))))-COUNTBLANK(OFFSET(A$1,,,SUMPRODUCT(MAX(ROW(E$1:E2618)*(E2=E$1:E2618))))))</f>
        <v> </v>
      </c>
      <c r="K2619" s="25" t="str">
        <f>IF(OR(E2619="",E2619="!!!",F2619="NEW"),"",INDEX(J$1:J2618,SUMPRODUCT(MAX(ROW(E$1:E2618)*(E2619=E$1:E2618)))))</f>
        <v> </v>
      </c>
      <c r="L2619" s="26"/>
    </row>
    <row r="2620" spans="1:12">
      <c r="A2620" s="20" t="s">
        <v>1497</v>
      </c>
      <c r="B2620" s="27" t="s">
        <v>815</v>
      </c>
      <c r="C2620" s="27" t="s">
        <v>1019</v>
      </c>
      <c r="D2620" s="27" t="s">
        <v>762</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16</v>
      </c>
      <c r="E2621" s="21">
        <f>IF(D2621="?OLD","!!!","")</f>
        <v/>
      </c>
      <c r="F2621" s="22" t="str">
        <f>IF(OR(E2621="",E2621="!!!"),"",IF(NOT(ISNA(VLOOKUP(E2621,E$1:E2620,1,FALSE()))),"OLD",IF(AND(E2621&lt;&gt;"",E2621&lt;&gt;"!!!"),"NEW","")))</f>
        <v> </v>
      </c>
      <c r="G2621" s="23" t="str">
        <f>IF(OR(E2621="",E2621="!!!"),"",IF(OR(J2621=0,AND(J2621=1,K2621=1),AND(J2621=1,I2621="SBJ"),AND(J2621=1,I2621=0)),"?IN_FOCUS",IF(J2621&lt;=2,"?ACTIVATED",IF(J2621&lt;&gt;"","?FAMILIAR",IF(F2621="NEW",IF(ISNA(VLOOKUP(E2621,#REF!,1,FALSE())),"?TYPE_IDENTIFIABLE","?REFERENTIAL"),"_")))))</f>
        <v> </v>
      </c>
      <c r="H2621" s="24" t="str">
        <f>IF(J2621&lt;&gt;1,"",IF(I2621="SBJ","CB","?"))</f>
        <v> </v>
      </c>
      <c r="I2621" s="25" t="str">
        <f>IF(OR(E2621="",E2621="!!!",F2621="NEW"),"",INDEX(B2620:B$2,-1+SUMPRODUCT(MAX(ROW(E2620:E$2)*(E2621=E2620:E$2)))))</f>
        <v> </v>
      </c>
      <c r="J2621" s="25" t="str">
        <f>IF(OR(E2621="",E2621="!!!",F2621="NEW"),"",COUNTBLANK(OFFSET(A$1,,,SUMPRODUCT(MAX(ROW(E$2:E2621)*(E2621=E$2:E2621)))))-COUNTBLANK(OFFSET(A$1,,,SUMPRODUCT(MAX(ROW(E$1:E2620)*(E2=E$1:E2620))))))</f>
        <v> </v>
      </c>
      <c r="K2621" s="25" t="str">
        <f>IF(OR(E2621="",E2621="!!!",F2621="NEW"),"",INDEX(J$1:J2620,SUMPRODUCT(MAX(ROW(E$1:E2620)*(E2621=E$1:E2620)))))</f>
        <v> </v>
      </c>
      <c r="L2621" s="26"/>
    </row>
    <row r="2622" spans="1:12">
      <c r="A2622" s="20" t="s">
        <v>751</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954</v>
      </c>
      <c r="B2623" s="27" t="s">
        <v>772</v>
      </c>
      <c r="C2623" s="27" t="s">
        <v>777</v>
      </c>
      <c r="D2623" s="27" t="s">
        <v>762</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1020</v>
      </c>
      <c r="B2624" s="27" t="s">
        <v>941</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975</v>
      </c>
      <c r="B2625" s="27" t="s">
        <v>940</v>
      </c>
      <c r="C2625" s="27" t="s">
        <v>797</v>
      </c>
      <c r="D2625" s="27" t="s">
        <v>762</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1591</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757</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959</v>
      </c>
      <c r="B2628" s="27" t="s">
        <v>796</v>
      </c>
      <c r="C2628" s="27" t="s">
        <v>777</v>
      </c>
      <c r="D2628" s="27" t="s">
        <v>762</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903</v>
      </c>
      <c r="B2629" s="27" t="s">
        <v>802</v>
      </c>
      <c r="C2629" s="27" t="s">
        <v>797</v>
      </c>
      <c r="D2629" s="27" t="s">
        <v>762</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887</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1592</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1593</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1585</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757</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1593</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960</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1594</v>
      </c>
      <c r="B2637" s="27" t="s">
        <v>772</v>
      </c>
      <c r="C2637" s="27" t="s">
        <v>754</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810</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1593</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960</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1595</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872</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876</v>
      </c>
      <c r="B2643" s="27" t="s">
        <v>901</v>
      </c>
      <c r="C2643" s="27" t="s">
        <v>851</v>
      </c>
      <c r="D2643" s="27" t="s">
        <v>762</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789</v>
      </c>
      <c r="B2644" s="27" t="s">
        <v>879</v>
      </c>
      <c r="C2644" s="27" t="s">
        <v>837</v>
      </c>
      <c r="D2644" s="27" t="s">
        <v>762</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757</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793</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757</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751</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1596</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942</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899</v>
      </c>
      <c r="B2651" s="27" t="s">
        <v>879</v>
      </c>
      <c r="C2651" s="27" t="s">
        <v>820</v>
      </c>
      <c r="D2651" s="27" t="s">
        <v>762</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757</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869</v>
      </c>
      <c r="B2653" s="27" t="s">
        <v>796</v>
      </c>
      <c r="C2653" s="27" t="s">
        <v>797</v>
      </c>
      <c r="D2653" s="27" t="s">
        <v>762</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798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1597</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1598</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942</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1359</v>
      </c>
      <c r="B2658" s="27" t="s">
        <v>879</v>
      </c>
      <c r="C2658" s="27" t="s">
        <v>820</v>
      </c>
      <c r="D2658" s="27" t="s">
        <v>762</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785</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822</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948</v>
      </c>
      <c r="B2661" s="27" t="s">
        <v>901</v>
      </c>
      <c r="C2661" s="27" t="s">
        <v>761</v>
      </c>
      <c r="D2661" s="27" t="s">
        <v>762</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774</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row>
    <row r="2664" spans="1:12">
      <c r="A2664" s="20" t="s">
        <v>1599</v>
      </c>
    </row>
    <row r="2665" spans="1:12">
      <c r="A2665" s="20" t="s">
        <v>818</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1065</v>
      </c>
      <c r="B2666" s="27" t="s">
        <v>760</v>
      </c>
      <c r="C2666" s="27" t="s">
        <v>797</v>
      </c>
      <c r="D2666" s="27" t="s">
        <v>762</v>
      </c>
      <c r="E2666" s="21">
        <f>IF(D2666="?OLD","!!!","")</f>
        <v/>
      </c>
      <c r="F2666" s="22" t="str">
        <f>IF(OR(E2666="",E2666="!!!"),"",IF(NOT(ISNA(VLOOKUP(E2666,E$1:E2665,1,FALSE()))),"OLD",IF(AND(E2666&lt;&gt;"",E2666&lt;&gt;"!!!"),"NEW","")))</f>
        <v> </v>
      </c>
      <c r="G2666" s="23" t="str">
        <f>IF(OR(E2666="",E2666="!!!"),"",IF(OR(J2666=0,AND(J2666=1,K2666=1),AND(J2666=1,I2666="SBJ"),AND(J2666=1,I2666=0)),"?IN_FOCUS",IF(J2666&lt;=2,"?ACTIVATED",IF(J2666&lt;&gt;"","?FAMILIAR",IF(F2666="NEW",IF(ISNA(VLOOKUP(E2666,#REF!,1,FALSE())),"?TYPE_IDENTIFIABLE","?REFERENTIAL"),"_")))))</f>
        <v> </v>
      </c>
      <c r="H2666" s="24" t="str">
        <f>IF(J2666&lt;&gt;1,"",IF(I2666="SBJ","CB","?"))</f>
        <v> </v>
      </c>
      <c r="I2666" s="25" t="str">
        <f>IF(OR(E2666="",E2666="!!!",F2666="NEW"),"",INDEX(B2665:B$2,-1+SUMPRODUCT(MAX(ROW(E2665:E$2)*(E2666=E2665:E$2)))))</f>
        <v> </v>
      </c>
      <c r="J2666" s="25" t="str">
        <f>IF(OR(E2666="",E2666="!!!",F2666="NEW"),"",COUNTBLANK(OFFSET(A$1,,,SUMPRODUCT(MAX(ROW(E$2:E2666)*(E2666=E$2:E2666)))))-COUNTBLANK(OFFSET(A$1,,,SUMPRODUCT(MAX(ROW(E$1:E2665)*(E2=E$1:E2665))))))</f>
        <v> </v>
      </c>
      <c r="K2666" s="25" t="str">
        <f>IF(OR(E2666="",E2666="!!!",F2666="NEW"),"",INDEX(J$1:J2665,SUMPRODUCT(MAX(ROW(E$1:E2665)*(E2666=E$1:E2665)))))</f>
        <v> </v>
      </c>
      <c r="L2666" s="26"/>
    </row>
    <row r="2667" spans="1:12">
      <c r="A2667" s="20" t="s">
        <v>1066</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785</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779</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1600</v>
      </c>
      <c r="B2670" s="27" t="s">
        <v>753</v>
      </c>
      <c r="C2670" s="27" t="s">
        <v>768</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1050</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758</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1253</v>
      </c>
      <c r="B2673" s="27" t="s">
        <v>956</v>
      </c>
      <c r="C2673" s="27" t="s">
        <v>761</v>
      </c>
      <c r="D2673" s="27" t="s">
        <v>762</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1260</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942</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1026</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814</v>
      </c>
      <c r="B2677" s="27" t="s">
        <v>901</v>
      </c>
      <c r="C2677" s="27" t="s">
        <v>1019</v>
      </c>
      <c r="D2677" s="27" t="s">
        <v>762</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810</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1120</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805</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1222</v>
      </c>
      <c r="B2681" s="27" t="s">
        <v>1062</v>
      </c>
      <c r="C2681" s="27" t="s">
        <v>820</v>
      </c>
      <c r="D2681" s="27" t="s">
        <v>762</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840</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1601</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774</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row>
    <row r="2686" spans="1:12">
      <c r="A2686" s="20" t="s">
        <v>1602</v>
      </c>
    </row>
    <row r="2687" spans="1:12">
      <c r="A2687" s="20" t="s">
        <v>1603</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886</v>
      </c>
      <c r="B2688" s="27" t="s">
        <v>760</v>
      </c>
      <c r="C2688" s="27" t="s">
        <v>797</v>
      </c>
      <c r="D2688" s="27" t="s">
        <v>762</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751</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1066</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1604</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785</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822</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1600</v>
      </c>
      <c r="B2694" s="27" t="s">
        <v>753</v>
      </c>
      <c r="C2694" s="27" t="s">
        <v>761</v>
      </c>
      <c r="D2694" s="27" t="s">
        <v>762</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1050</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t="s">
        <v>965</v>
      </c>
      <c r="B2696" s="27" t="s">
        <v>901</v>
      </c>
      <c r="C2696" s="27" t="s">
        <v>851</v>
      </c>
      <c r="D2696" s="27" t="s">
        <v>762</v>
      </c>
      <c r="E2696" s="21">
        <f>IF(D2696="?OLD","!!!","")</f>
        <v/>
      </c>
      <c r="F2696" s="22" t="str">
        <f>IF(OR(E2696="",E2696="!!!"),"",IF(NOT(ISNA(VLOOKUP(E2696,E$1:E2695,1,FALSE()))),"OLD",IF(AND(E2696&lt;&gt;"",E2696&lt;&gt;"!!!"),"NEW","")))</f>
        <v> </v>
      </c>
      <c r="G2696" s="23" t="str">
        <f>IF(OR(E2696="",E2696="!!!"),"",IF(OR(J2696=0,AND(J2696=1,K2696=1),AND(J2696=1,I2696="SBJ"),AND(J2696=1,I2696=0)),"?IN_FOCUS",IF(J2696&lt;=2,"?ACTIVATED",IF(J2696&lt;&gt;"","?FAMILIAR",IF(F2696="NEW",IF(ISNA(VLOOKUP(E2696,#REF!,1,FALSE())),"?TYPE_IDENTIFIABLE","?REFERENTIAL"),"_")))))</f>
        <v> </v>
      </c>
      <c r="H2696" s="24" t="str">
        <f>IF(J2696&lt;&gt;1,"",IF(I2696="SBJ","CB","?"))</f>
        <v> </v>
      </c>
      <c r="I2696" s="25" t="str">
        <f>IF(OR(E2696="",E2696="!!!",F2696="NEW"),"",INDEX(B2695:B$2,-1+SUMPRODUCT(MAX(ROW(E2695:E$2)*(E2696=E2695:E$2)))))</f>
        <v> </v>
      </c>
      <c r="J2696" s="25" t="str">
        <f>IF(OR(E2696="",E2696="!!!",F2696="NEW"),"",COUNTBLANK(OFFSET(A$1,,,SUMPRODUCT(MAX(ROW(E$2:E2696)*(E2696=E$2:E2696)))))-COUNTBLANK(OFFSET(A$1,,,SUMPRODUCT(MAX(ROW(E$1:E2695)*(E2=E$1:E2695))))))</f>
        <v> </v>
      </c>
      <c r="K2696" s="25" t="str">
        <f>IF(OR(E2696="",E2696="!!!",F2696="NEW"),"",INDEX(J$1:J2695,SUMPRODUCT(MAX(ROW(E$1:E2695)*(E2696=E$1:E2695)))))</f>
        <v> </v>
      </c>
      <c r="L2696" s="26"/>
    </row>
    <row r="2697" spans="1:12">
      <c r="A2697" s="20" t="s">
        <v>1303</v>
      </c>
      <c r="B2697" s="27" t="s">
        <v>956</v>
      </c>
      <c r="C2697" s="27" t="s">
        <v>837</v>
      </c>
      <c r="D2697" s="27" t="s">
        <v>762</v>
      </c>
      <c r="E2697" s="21">
        <f>IF(D2697="?OLD","!!!","")</f>
        <v/>
      </c>
      <c r="F2697" s="22" t="str">
        <f>IF(OR(E2697="",E2697="!!!"),"",IF(NOT(ISNA(VLOOKUP(E2697,E$1:E2696,1,FALSE()))),"OLD",IF(AND(E2697&lt;&gt;"",E2697&lt;&gt;"!!!"),"NEW","")))</f>
        <v> </v>
      </c>
      <c r="G2697" s="23" t="str">
        <f>IF(OR(E2697="",E2697="!!!"),"",IF(OR(J2697=0,AND(J2697=1,K2697=1),AND(J2697=1,I2697="SBJ"),AND(J2697=1,I2697=0)),"?IN_FOCUS",IF(J2697&lt;=2,"?ACTIVATED",IF(J2697&lt;&gt;"","?FAMILIAR",IF(F2697="NEW",IF(ISNA(VLOOKUP(E2697,#REF!,1,FALSE())),"?TYPE_IDENTIFIABLE","?REFERENTIAL"),"_")))))</f>
        <v> </v>
      </c>
      <c r="H2697" s="24" t="str">
        <f>IF(J2697&lt;&gt;1,"",IF(I2697="SBJ","CB","?"))</f>
        <v> </v>
      </c>
      <c r="I2697" s="25" t="str">
        <f>IF(OR(E2697="",E2697="!!!",F2697="NEW"),"",INDEX(B2696:B$2,-1+SUMPRODUCT(MAX(ROW(E2696:E$2)*(E2697=E2696:E$2)))))</f>
        <v> </v>
      </c>
      <c r="J2697" s="25" t="str">
        <f>IF(OR(E2697="",E2697="!!!",F2697="NEW"),"",COUNTBLANK(OFFSET(A$1,,,SUMPRODUCT(MAX(ROW(E$2:E2697)*(E2697=E$2:E2697)))))-COUNTBLANK(OFFSET(A$1,,,SUMPRODUCT(MAX(ROW(E$1:E2696)*(E2=E$1:E2696))))))</f>
        <v> </v>
      </c>
      <c r="K2697" s="25" t="str">
        <f>IF(OR(E2697="",E2697="!!!",F2697="NEW"),"",INDEX(J$1:J2696,SUMPRODUCT(MAX(ROW(E$1:E2696)*(E2697=E$1:E2696)))))</f>
        <v> </v>
      </c>
      <c r="L2697" s="26"/>
    </row>
    <row r="2698" spans="1:12">
      <c r="A2698" s="20" t="s">
        <v>785</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1605</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1159</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1606</v>
      </c>
      <c r="B2701" s="27" t="s">
        <v>1076</v>
      </c>
      <c r="C2701" s="27" t="s">
        <v>1019</v>
      </c>
      <c r="D2701" s="27" t="s">
        <v>762</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887</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1607</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779</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1363</v>
      </c>
      <c r="B2705" s="27" t="s">
        <v>894</v>
      </c>
      <c r="C2705" s="27" t="s">
        <v>768</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t="s">
        <v>793</v>
      </c>
      <c r="B2706" s="27" t="s">
        <v>1076</v>
      </c>
      <c r="E2706" s="21">
        <f>IF(D2706="?OLD","!!!","")</f>
        <v/>
      </c>
      <c r="F2706" s="22" t="str">
        <f>IF(OR(E2706="",E2706="!!!"),"",IF(NOT(ISNA(VLOOKUP(E2706,E$1:E2705,1,FALSE()))),"OLD",IF(AND(E2706&lt;&gt;"",E2706&lt;&gt;"!!!"),"NEW","")))</f>
        <v> </v>
      </c>
      <c r="G2706" s="23" t="str">
        <f>IF(OR(E2706="",E2706="!!!"),"",IF(OR(J2706=0,AND(J2706=1,K2706=1),AND(J2706=1,I2706="SBJ"),AND(J2706=1,I2706=0)),"?IN_FOCUS",IF(J2706&lt;=2,"?ACTIVATED",IF(J2706&lt;&gt;"","?FAMILIAR",IF(F2706="NEW",IF(ISNA(VLOOKUP(E2706,#REF!,1,FALSE())),"?TYPE_IDENTIFIABLE","?REFERENTIAL"),"_")))))</f>
        <v> </v>
      </c>
      <c r="H2706" s="24" t="str">
        <f>IF(J2706&lt;&gt;1,"",IF(I2706="SBJ","CB","?"))</f>
        <v> </v>
      </c>
      <c r="I2706" s="25" t="str">
        <f>IF(OR(E2706="",E2706="!!!",F2706="NEW"),"",INDEX(B2705:B$2,-1+SUMPRODUCT(MAX(ROW(E2705:E$2)*(E2706=E2705:E$2)))))</f>
        <v> </v>
      </c>
      <c r="J2706" s="25" t="str">
        <f>IF(OR(E2706="",E2706="!!!",F2706="NEW"),"",COUNTBLANK(OFFSET(A$1,,,SUMPRODUCT(MAX(ROW(E$2:E2706)*(E2706=E$2:E2706)))))-COUNTBLANK(OFFSET(A$1,,,SUMPRODUCT(MAX(ROW(E$1:E2705)*(E2=E$1:E2705))))))</f>
        <v> </v>
      </c>
      <c r="K2706" s="25" t="str">
        <f>IF(OR(E2706="",E2706="!!!",F2706="NEW"),"",INDEX(J$1:J2705,SUMPRODUCT(MAX(ROW(E$1:E2705)*(E2706=E$1:E2705)))))</f>
        <v> </v>
      </c>
      <c r="L2706" s="26"/>
    </row>
    <row r="2707" spans="1:12">
      <c r="A2707" s="20" t="s">
        <v>886</v>
      </c>
      <c r="B2707" s="27" t="s">
        <v>1272</v>
      </c>
      <c r="C2707" s="27" t="s">
        <v>797</v>
      </c>
      <c r="D2707" s="27" t="s">
        <v>762</v>
      </c>
      <c r="E2707" s="21">
        <f>IF(D2707="?OLD","!!!","")</f>
        <v/>
      </c>
      <c r="F2707" s="22" t="str">
        <f>IF(OR(E2707="",E2707="!!!"),"",IF(NOT(ISNA(VLOOKUP(E2707,E$1:E2706,1,FALSE()))),"OLD",IF(AND(E2707&lt;&gt;"",E2707&lt;&gt;"!!!"),"NEW","")))</f>
        <v> </v>
      </c>
      <c r="G2707" s="23" t="str">
        <f>IF(OR(E2707="",E2707="!!!"),"",IF(OR(J2707=0,AND(J2707=1,K2707=1),AND(J2707=1,I2707="SBJ"),AND(J2707=1,I2707=0)),"?IN_FOCUS",IF(J2707&lt;=2,"?ACTIVATED",IF(J2707&lt;&gt;"","?FAMILIAR",IF(F2707="NEW",IF(ISNA(VLOOKUP(E2707,#REF!,1,FALSE())),"?TYPE_IDENTIFIABLE","?REFERENTIAL"),"_")))))</f>
        <v> </v>
      </c>
      <c r="H2707" s="24" t="str">
        <f>IF(J2707&lt;&gt;1,"",IF(I2707="SBJ","CB","?"))</f>
        <v> </v>
      </c>
      <c r="I2707" s="25" t="str">
        <f>IF(OR(E2707="",E2707="!!!",F2707="NEW"),"",INDEX(B2706:B$2,-1+SUMPRODUCT(MAX(ROW(E2706:E$2)*(E2707=E2706:E$2)))))</f>
        <v> </v>
      </c>
      <c r="J2707" s="25" t="str">
        <f>IF(OR(E2707="",E2707="!!!",F2707="NEW"),"",COUNTBLANK(OFFSET(A$1,,,SUMPRODUCT(MAX(ROW(E$2:E2707)*(E2707=E$2:E2707)))))-COUNTBLANK(OFFSET(A$1,,,SUMPRODUCT(MAX(ROW(E$1:E2706)*(E2=E$1:E2706))))))</f>
        <v> </v>
      </c>
      <c r="K2707" s="25" t="str">
        <f>IF(OR(E2707="",E2707="!!!",F2707="NEW"),"",INDEX(J$1:J2706,SUMPRODUCT(MAX(ROW(E$1:E2706)*(E2707=E$1:E2706)))))</f>
        <v> </v>
      </c>
      <c r="L2707" s="26"/>
    </row>
    <row r="2708" spans="1:12">
      <c r="A2708" s="20" t="s">
        <v>811</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1608</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1300</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1609</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1610</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774</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row>
    <row r="2715" spans="1:12">
      <c r="A2715" s="20" t="s">
        <v>1611</v>
      </c>
    </row>
    <row r="2716" spans="1:12">
      <c r="A2716" s="20" t="s">
        <v>1150</v>
      </c>
      <c r="B2716" s="27" t="s">
        <v>760</v>
      </c>
      <c r="E2716" s="21">
        <f>IF(D2716="?OLD","!!!","")</f>
        <v/>
      </c>
      <c r="F2716" s="22" t="str">
        <f>IF(OR(E2716="",E2716="!!!"),"",IF(NOT(ISNA(VLOOKUP(E2716,E$1:E2715,1,FALSE()))),"OLD",IF(AND(E2716&lt;&gt;"",E2716&lt;&gt;"!!!"),"NEW","")))</f>
        <v> </v>
      </c>
      <c r="G2716" s="23" t="str">
        <f>IF(OR(E2716="",E2716="!!!"),"",IF(OR(J2716=0,AND(J2716=1,K2716=1),AND(J2716=1,I2716="SBJ"),AND(J2716=1,I2716=0)),"?IN_FOCUS",IF(J2716&lt;=2,"?ACTIVATED",IF(J2716&lt;&gt;"","?FAMILIAR",IF(F2716="NEW",IF(ISNA(VLOOKUP(E2716,#REF!,1,FALSE())),"?TYPE_IDENTIFIABLE","?REFERENTIAL"),"_")))))</f>
        <v> </v>
      </c>
      <c r="H2716" s="24" t="str">
        <f>IF(J2716&lt;&gt;1,"",IF(I2716="SBJ","CB","?"))</f>
        <v> </v>
      </c>
      <c r="I2716" s="25" t="str">
        <f>IF(OR(E2716="",E2716="!!!",F2716="NEW"),"",INDEX(B2715:B$2,-1+SUMPRODUCT(MAX(ROW(E2715:E$2)*(E2716=E2715:E$2)))))</f>
        <v> </v>
      </c>
      <c r="J2716" s="25" t="str">
        <f>IF(OR(E2716="",E2716="!!!",F2716="NEW"),"",COUNTBLANK(OFFSET(A$1,,,SUMPRODUCT(MAX(ROW(E$2:E2716)*(E2716=E$2:E2716)))))-COUNTBLANK(OFFSET(A$1,,,SUMPRODUCT(MAX(ROW(E$1:E2715)*(E2=E$1:E2715))))))</f>
        <v> </v>
      </c>
      <c r="K2716" s="25" t="str">
        <f>IF(OR(E2716="",E2716="!!!",F2716="NEW"),"",INDEX(J$1:J2715,SUMPRODUCT(MAX(ROW(E$1:E2715)*(E2716=E$1:E2715)))))</f>
        <v> </v>
      </c>
      <c r="L2716" s="26"/>
    </row>
    <row r="2717" spans="1:12">
      <c r="A2717" s="20" t="s">
        <v>1137</v>
      </c>
      <c r="B2717" s="27" t="s">
        <v>772</v>
      </c>
      <c r="C2717" s="27" t="s">
        <v>754</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769</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838</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943</v>
      </c>
      <c r="B2720" s="27" t="s">
        <v>772</v>
      </c>
      <c r="C2720" s="27" t="s">
        <v>761</v>
      </c>
      <c r="D2720" s="27" t="s">
        <v>762</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1033</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1213</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785</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838</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1612</v>
      </c>
      <c r="B2725" s="27" t="s">
        <v>901</v>
      </c>
      <c r="C2725" s="27" t="s">
        <v>798</v>
      </c>
      <c r="D2725" s="27" t="s">
        <v>762</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919</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1613</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769</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838</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t="s">
        <v>1614</v>
      </c>
      <c r="B2730" s="27" t="s">
        <v>753</v>
      </c>
      <c r="C2730" s="27" t="s">
        <v>761</v>
      </c>
      <c r="D2730" s="27" t="s">
        <v>762</v>
      </c>
      <c r="E2730" s="21">
        <f>IF(D2730="?OLD","!!!","")</f>
        <v/>
      </c>
      <c r="F2730" s="22" t="str">
        <f>IF(OR(E2730="",E2730="!!!"),"",IF(NOT(ISNA(VLOOKUP(E2730,E$1:E2729,1,FALSE()))),"OLD",IF(AND(E2730&lt;&gt;"",E2730&lt;&gt;"!!!"),"NEW","")))</f>
        <v> </v>
      </c>
      <c r="G2730" s="23" t="str">
        <f>IF(OR(E2730="",E2730="!!!"),"",IF(OR(J2730=0,AND(J2730=1,K2730=1),AND(J2730=1,I2730="SBJ"),AND(J2730=1,I2730=0)),"?IN_FOCUS",IF(J2730&lt;=2,"?ACTIVATED",IF(J2730&lt;&gt;"","?FAMILIAR",IF(F2730="NEW",IF(ISNA(VLOOKUP(E2730,#REF!,1,FALSE())),"?TYPE_IDENTIFIABLE","?REFERENTIAL"),"_")))))</f>
        <v> </v>
      </c>
      <c r="H2730" s="24" t="str">
        <f>IF(J2730&lt;&gt;1,"",IF(I2730="SBJ","CB","?"))</f>
        <v> </v>
      </c>
      <c r="I2730" s="25" t="str">
        <f>IF(OR(E2730="",E2730="!!!",F2730="NEW"),"",INDEX(B2729:B$2,-1+SUMPRODUCT(MAX(ROW(E2729:E$2)*(E2730=E2729:E$2)))))</f>
        <v> </v>
      </c>
      <c r="J2730" s="25" t="str">
        <f>IF(OR(E2730="",E2730="!!!",F2730="NEW"),"",COUNTBLANK(OFFSET(A$1,,,SUMPRODUCT(MAX(ROW(E$2:E2730)*(E2730=E$2:E2730)))))-COUNTBLANK(OFFSET(A$1,,,SUMPRODUCT(MAX(ROW(E$1:E2729)*(E2=E$1:E2729))))))</f>
        <v> </v>
      </c>
      <c r="K2730" s="25" t="str">
        <f>IF(OR(E2730="",E2730="!!!",F2730="NEW"),"",INDEX(J$1:J2729,SUMPRODUCT(MAX(ROW(E$1:E2729)*(E2730=E$1:E2729)))))</f>
        <v> </v>
      </c>
      <c r="L2730" s="26"/>
    </row>
    <row r="2731" spans="1:12">
      <c r="A2731" s="20" t="s">
        <v>1615</v>
      </c>
      <c r="E2731" s="21">
        <f>IF(D2731="?OLD","!!!","")</f>
        <v/>
      </c>
      <c r="F2731" s="22" t="str">
        <f>IF(OR(E2731="",E2731="!!!"),"",IF(NOT(ISNA(VLOOKUP(E2731,E$1:E2730,1,FALSE()))),"OLD",IF(AND(E2731&lt;&gt;"",E2731&lt;&gt;"!!!"),"NEW","")))</f>
        <v> </v>
      </c>
      <c r="G2731" s="23" t="str">
        <f>IF(OR(E2731="",E2731="!!!"),"",IF(OR(J2731=0,AND(J2731=1,K2731=1),AND(J2731=1,I2731="SBJ"),AND(J2731=1,I2731=0)),"?IN_FOCUS",IF(J2731&lt;=2,"?ACTIVATED",IF(J2731&lt;&gt;"","?FAMILIAR",IF(F2731="NEW",IF(ISNA(VLOOKUP(E2731,#REF!,1,FALSE())),"?TYPE_IDENTIFIABLE","?REFERENTIAL"),"_")))))</f>
        <v> </v>
      </c>
      <c r="H2731" s="24" t="str">
        <f>IF(J2731&lt;&gt;1,"",IF(I2731="SBJ","CB","?"))</f>
        <v> </v>
      </c>
      <c r="I2731" s="25" t="str">
        <f>IF(OR(E2731="",E2731="!!!",F2731="NEW"),"",INDEX(B2730:B$2,-1+SUMPRODUCT(MAX(ROW(E2730:E$2)*(E2731=E2730:E$2)))))</f>
        <v> </v>
      </c>
      <c r="J2731" s="25" t="str">
        <f>IF(OR(E2731="",E2731="!!!",F2731="NEW"),"",COUNTBLANK(OFFSET(A$1,,,SUMPRODUCT(MAX(ROW(E$2:E2731)*(E2731=E$2:E2731)))))-COUNTBLANK(OFFSET(A$1,,,SUMPRODUCT(MAX(ROW(E$1:E2730)*(E2=E$1:E2730))))))</f>
        <v> </v>
      </c>
      <c r="K2731" s="25" t="str">
        <f>IF(OR(E2731="",E2731="!!!",F2731="NEW"),"",INDEX(J$1:J2730,SUMPRODUCT(MAX(ROW(E$1:E2730)*(E2731=E$1:E2730)))))</f>
        <v> </v>
      </c>
      <c r="L2731" s="26"/>
    </row>
    <row r="2732" spans="1:12">
      <c r="A2732" s="20" t="s">
        <v>757</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1020</v>
      </c>
      <c r="B2733" s="27" t="s">
        <v>956</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1183</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1616</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872</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822</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t="s">
        <v>1617</v>
      </c>
      <c r="B2738" s="27" t="s">
        <v>879</v>
      </c>
      <c r="C2738" s="27" t="s">
        <v>761</v>
      </c>
      <c r="D2738" s="27" t="s">
        <v>762</v>
      </c>
      <c r="E2738" s="21">
        <f>IF(D2738="?OLD","!!!","")</f>
        <v/>
      </c>
      <c r="F2738" s="22" t="str">
        <f>IF(OR(E2738="",E2738="!!!"),"",IF(NOT(ISNA(VLOOKUP(E2738,E$1:E2737,1,FALSE()))),"OLD",IF(AND(E2738&lt;&gt;"",E2738&lt;&gt;"!!!"),"NEW","")))</f>
        <v> </v>
      </c>
      <c r="G2738" s="23" t="str">
        <f>IF(OR(E2738="",E2738="!!!"),"",IF(OR(J2738=0,AND(J2738=1,K2738=1),AND(J2738=1,I2738="SBJ"),AND(J2738=1,I2738=0)),"?IN_FOCUS",IF(J2738&lt;=2,"?ACTIVATED",IF(J2738&lt;&gt;"","?FAMILIAR",IF(F2738="NEW",IF(ISNA(VLOOKUP(E2738,#REF!,1,FALSE())),"?TYPE_IDENTIFIABLE","?REFERENTIAL"),"_")))))</f>
        <v> </v>
      </c>
      <c r="H2738" s="24" t="str">
        <f>IF(J2738&lt;&gt;1,"",IF(I2738="SBJ","CB","?"))</f>
        <v> </v>
      </c>
      <c r="I2738" s="25" t="str">
        <f>IF(OR(E2738="",E2738="!!!",F2738="NEW"),"",INDEX(B2737:B$2,-1+SUMPRODUCT(MAX(ROW(E2737:E$2)*(E2738=E2737:E$2)))))</f>
        <v> </v>
      </c>
      <c r="J2738" s="25" t="str">
        <f>IF(OR(E2738="",E2738="!!!",F2738="NEW"),"",COUNTBLANK(OFFSET(A$1,,,SUMPRODUCT(MAX(ROW(E$2:E2738)*(E2738=E$2:E2738)))))-COUNTBLANK(OFFSET(A$1,,,SUMPRODUCT(MAX(ROW(E$1:E2737)*(E2=E$1:E2737))))))</f>
        <v> </v>
      </c>
      <c r="K2738" s="25" t="str">
        <f>IF(OR(E2738="",E2738="!!!",F2738="NEW"),"",INDEX(J$1:J2737,SUMPRODUCT(MAX(ROW(E$1:E2737)*(E2738=E$1:E2737)))))</f>
        <v> </v>
      </c>
      <c r="L2738" s="26"/>
    </row>
    <row r="2739" spans="1:12">
      <c r="A2739" s="20" t="s">
        <v>810</v>
      </c>
      <c r="E2739" s="21">
        <f>IF(D2739="?OLD","!!!","")</f>
        <v/>
      </c>
      <c r="F2739" s="22" t="str">
        <f>IF(OR(E2739="",E2739="!!!"),"",IF(NOT(ISNA(VLOOKUP(E2739,E$1:E2738,1,FALSE()))),"OLD",IF(AND(E2739&lt;&gt;"",E2739&lt;&gt;"!!!"),"NEW","")))</f>
        <v> </v>
      </c>
      <c r="G2739" s="23" t="str">
        <f>IF(OR(E2739="",E2739="!!!"),"",IF(OR(J2739=0,AND(J2739=1,K2739=1),AND(J2739=1,I2739="SBJ"),AND(J2739=1,I2739=0)),"?IN_FOCUS",IF(J2739&lt;=2,"?ACTIVATED",IF(J2739&lt;&gt;"","?FAMILIAR",IF(F2739="NEW",IF(ISNA(VLOOKUP(E2739,#REF!,1,FALSE())),"?TYPE_IDENTIFIABLE","?REFERENTIAL"),"_")))))</f>
        <v> </v>
      </c>
      <c r="H2739" s="24" t="str">
        <f>IF(J2739&lt;&gt;1,"",IF(I2739="SBJ","CB","?"))</f>
        <v> </v>
      </c>
      <c r="I2739" s="25" t="str">
        <f>IF(OR(E2739="",E2739="!!!",F2739="NEW"),"",INDEX(B2738:B$2,-1+SUMPRODUCT(MAX(ROW(E2738:E$2)*(E2739=E2738:E$2)))))</f>
        <v> </v>
      </c>
      <c r="J2739" s="25" t="str">
        <f>IF(OR(E2739="",E2739="!!!",F2739="NEW"),"",COUNTBLANK(OFFSET(A$1,,,SUMPRODUCT(MAX(ROW(E$2:E2739)*(E2739=E$2:E2739)))))-COUNTBLANK(OFFSET(A$1,,,SUMPRODUCT(MAX(ROW(E$1:E2738)*(E2=E$1:E2738))))))</f>
        <v> </v>
      </c>
      <c r="K2739" s="25" t="str">
        <f>IF(OR(E2739="",E2739="!!!",F2739="NEW"),"",INDEX(J$1:J2738,SUMPRODUCT(MAX(ROW(E$1:E2738)*(E2739=E$1:E2738)))))</f>
        <v> </v>
      </c>
      <c r="L2739" s="26"/>
    </row>
    <row r="2740" spans="1:12">
      <c r="A2740" s="20" t="s">
        <v>1618</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785</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779</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1619</v>
      </c>
      <c r="B2743" s="27" t="s">
        <v>901</v>
      </c>
      <c r="C2743" s="27" t="s">
        <v>768</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757</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954</v>
      </c>
      <c r="B2745" s="27" t="s">
        <v>772</v>
      </c>
      <c r="C2745" s="27" t="s">
        <v>777</v>
      </c>
      <c r="D2745" s="27" t="s">
        <v>762</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1020</v>
      </c>
      <c r="B2746" s="27" t="s">
        <v>941</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1161</v>
      </c>
      <c r="B2747" s="27" t="s">
        <v>940</v>
      </c>
      <c r="C2747" s="27" t="s">
        <v>797</v>
      </c>
      <c r="D2747" s="27" t="s">
        <v>762</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1620</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805</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1621</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779</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1622</v>
      </c>
      <c r="B2752" s="27" t="s">
        <v>1076</v>
      </c>
      <c r="C2752" s="27" t="s">
        <v>768</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805</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1623</v>
      </c>
      <c r="B2754" s="27" t="s">
        <v>1062</v>
      </c>
      <c r="C2754" s="27" t="s">
        <v>754</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810</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805</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1624</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779</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1625</v>
      </c>
      <c r="B2759" s="27" t="s">
        <v>1236</v>
      </c>
      <c r="C2759" s="27" t="s">
        <v>768</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1626</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1285</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1627</v>
      </c>
      <c r="B2762" s="27" t="s">
        <v>1127</v>
      </c>
      <c r="C2762" s="27" t="s">
        <v>768</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1020</v>
      </c>
      <c r="B2763" s="27" t="s">
        <v>1133</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887</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1364</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1628</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1238</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770</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1629</v>
      </c>
      <c r="B2769" s="27" t="s">
        <v>1130</v>
      </c>
      <c r="C2769" s="27" t="s">
        <v>761</v>
      </c>
      <c r="D2769" s="27" t="s">
        <v>762</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757</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822</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1630</v>
      </c>
      <c r="B2772" s="27" t="s">
        <v>1130</v>
      </c>
      <c r="C2772" s="27" t="s">
        <v>798</v>
      </c>
      <c r="D2772" s="27" t="s">
        <v>762</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757</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778</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1631</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942</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1632</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758</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1633</v>
      </c>
      <c r="B2779" s="27" t="s">
        <v>894</v>
      </c>
      <c r="C2779" s="27" t="s">
        <v>761</v>
      </c>
      <c r="D2779" s="27" t="s">
        <v>762</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769</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822</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t="s">
        <v>1634</v>
      </c>
      <c r="B2782" s="27" t="s">
        <v>901</v>
      </c>
      <c r="C2782" s="27" t="s">
        <v>761</v>
      </c>
      <c r="D2782" s="27" t="s">
        <v>762</v>
      </c>
      <c r="E2782" s="21">
        <f>IF(D2782="?OLD","!!!","")</f>
        <v/>
      </c>
      <c r="F2782" s="22" t="str">
        <f>IF(OR(E2782="",E2782="!!!"),"",IF(NOT(ISNA(VLOOKUP(E2782,E$1:E2781,1,FALSE()))),"OLD",IF(AND(E2782&lt;&gt;"",E2782&lt;&gt;"!!!"),"NEW","")))</f>
        <v> </v>
      </c>
      <c r="G2782" s="23" t="str">
        <f>IF(OR(E2782="",E2782="!!!"),"",IF(OR(J2782=0,AND(J2782=1,K2782=1),AND(J2782=1,I2782="SBJ"),AND(J2782=1,I2782=0)),"?IN_FOCUS",IF(J2782&lt;=2,"?ACTIVATED",IF(J2782&lt;&gt;"","?FAMILIAR",IF(F2782="NEW",IF(ISNA(VLOOKUP(E2782,#REF!,1,FALSE())),"?TYPE_IDENTIFIABLE","?REFERENTIAL"),"_")))))</f>
        <v> </v>
      </c>
      <c r="H2782" s="24" t="str">
        <f>IF(J2782&lt;&gt;1,"",IF(I2782="SBJ","CB","?"))</f>
        <v> </v>
      </c>
      <c r="I2782" s="25" t="str">
        <f>IF(OR(E2782="",E2782="!!!",F2782="NEW"),"",INDEX(B2781:B$2,-1+SUMPRODUCT(MAX(ROW(E2781:E$2)*(E2782=E2781:E$2)))))</f>
        <v> </v>
      </c>
      <c r="J2782" s="25" t="str">
        <f>IF(OR(E2782="",E2782="!!!",F2782="NEW"),"",COUNTBLANK(OFFSET(A$1,,,SUMPRODUCT(MAX(ROW(E$2:E2782)*(E2782=E$2:E2782)))))-COUNTBLANK(OFFSET(A$1,,,SUMPRODUCT(MAX(ROW(E$1:E2781)*(E2=E$1:E2781))))))</f>
        <v> </v>
      </c>
      <c r="K2782" s="25" t="str">
        <f>IF(OR(E2782="",E2782="!!!",F2782="NEW"),"",INDEX(J$1:J2781,SUMPRODUCT(MAX(ROW(E$1:E2781)*(E2782=E$1:E2781)))))</f>
        <v> </v>
      </c>
      <c r="L2782" s="26"/>
    </row>
    <row r="2783" spans="1:12">
      <c r="A2783" s="20" t="s">
        <v>1635</v>
      </c>
      <c r="E2783" s="21">
        <f>IF(D2783="?OLD","!!!","")</f>
        <v/>
      </c>
      <c r="F2783" s="22" t="str">
        <f>IF(OR(E2783="",E2783="!!!"),"",IF(NOT(ISNA(VLOOKUP(E2783,E$1:E2782,1,FALSE()))),"OLD",IF(AND(E2783&lt;&gt;"",E2783&lt;&gt;"!!!"),"NEW","")))</f>
        <v> </v>
      </c>
      <c r="G2783" s="23" t="str">
        <f>IF(OR(E2783="",E2783="!!!"),"",IF(OR(J2783=0,AND(J2783=1,K2783=1),AND(J2783=1,I2783="SBJ"),AND(J2783=1,I2783=0)),"?IN_FOCUS",IF(J2783&lt;=2,"?ACTIVATED",IF(J2783&lt;&gt;"","?FAMILIAR",IF(F2783="NEW",IF(ISNA(VLOOKUP(E2783,#REF!,1,FALSE())),"?TYPE_IDENTIFIABLE","?REFERENTIAL"),"_")))))</f>
        <v> </v>
      </c>
      <c r="H2783" s="24" t="str">
        <f>IF(J2783&lt;&gt;1,"",IF(I2783="SBJ","CB","?"))</f>
        <v> </v>
      </c>
      <c r="I2783" s="25" t="str">
        <f>IF(OR(E2783="",E2783="!!!",F2783="NEW"),"",INDEX(B2782:B$2,-1+SUMPRODUCT(MAX(ROW(E2782:E$2)*(E2783=E2782:E$2)))))</f>
        <v> </v>
      </c>
      <c r="J2783" s="25" t="str">
        <f>IF(OR(E2783="",E2783="!!!",F2783="NEW"),"",COUNTBLANK(OFFSET(A$1,,,SUMPRODUCT(MAX(ROW(E$2:E2783)*(E2783=E$2:E2783)))))-COUNTBLANK(OFFSET(A$1,,,SUMPRODUCT(MAX(ROW(E$1:E2782)*(E2=E$1:E2782))))))</f>
        <v> </v>
      </c>
      <c r="K2783" s="25" t="str">
        <f>IF(OR(E2783="",E2783="!!!",F2783="NEW"),"",INDEX(J$1:J2782,SUMPRODUCT(MAX(ROW(E$1:E2782)*(E2783=E$1:E2782)))))</f>
        <v> </v>
      </c>
      <c r="L2783" s="26"/>
    </row>
    <row r="2784" spans="1:12">
      <c r="A2784" s="20" t="s">
        <v>774</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row>
    <row r="2786" spans="1:12">
      <c r="A2786" s="20" t="s">
        <v>1636</v>
      </c>
    </row>
    <row r="2787" spans="1:12">
      <c r="A2787" s="20" t="s">
        <v>938</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1637</v>
      </c>
      <c r="B2788" s="27" t="s">
        <v>760</v>
      </c>
      <c r="C2788" s="27" t="s">
        <v>761</v>
      </c>
      <c r="D2788" s="27" t="s">
        <v>762</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t="s">
        <v>778</v>
      </c>
      <c r="E2789" s="21">
        <f>IF(D2789="?OLD","!!!","")</f>
        <v/>
      </c>
      <c r="F2789" s="22" t="str">
        <f>IF(OR(E2789="",E2789="!!!"),"",IF(NOT(ISNA(VLOOKUP(E2789,E$1:E2788,1,FALSE()))),"OLD",IF(AND(E2789&lt;&gt;"",E2789&lt;&gt;"!!!"),"NEW","")))</f>
        <v> </v>
      </c>
      <c r="G2789" s="23" t="str">
        <f>IF(OR(E2789="",E2789="!!!"),"",IF(OR(J2789=0,AND(J2789=1,K2789=1),AND(J2789=1,I2789="SBJ"),AND(J2789=1,I2789=0)),"?IN_FOCUS",IF(J2789&lt;=2,"?ACTIVATED",IF(J2789&lt;&gt;"","?FAMILIAR",IF(F2789="NEW",IF(ISNA(VLOOKUP(E2789,#REF!,1,FALSE())),"?TYPE_IDENTIFIABLE","?REFERENTIAL"),"_")))))</f>
        <v> </v>
      </c>
      <c r="H2789" s="24" t="str">
        <f>IF(J2789&lt;&gt;1,"",IF(I2789="SBJ","CB","?"))</f>
        <v> </v>
      </c>
      <c r="I2789" s="25" t="str">
        <f>IF(OR(E2789="",E2789="!!!",F2789="NEW"),"",INDEX(B2788:B$2,-1+SUMPRODUCT(MAX(ROW(E2788:E$2)*(E2789=E2788:E$2)))))</f>
        <v> </v>
      </c>
      <c r="J2789" s="25" t="str">
        <f>IF(OR(E2789="",E2789="!!!",F2789="NEW"),"",COUNTBLANK(OFFSET(A$1,,,SUMPRODUCT(MAX(ROW(E$2:E2789)*(E2789=E$2:E2789)))))-COUNTBLANK(OFFSET(A$1,,,SUMPRODUCT(MAX(ROW(E$1:E2788)*(E2=E$1:E2788))))))</f>
        <v> </v>
      </c>
      <c r="K2789" s="25" t="str">
        <f>IF(OR(E2789="",E2789="!!!",F2789="NEW"),"",INDEX(J$1:J2788,SUMPRODUCT(MAX(ROW(E$1:E2788)*(E2789=E$1:E2788)))))</f>
        <v> </v>
      </c>
      <c r="L2789" s="26"/>
    </row>
    <row r="2790" spans="1:12">
      <c r="A2790" s="20" t="s">
        <v>770</v>
      </c>
      <c r="E2790" s="21">
        <f>IF(D2790="?OLD","!!!","")</f>
        <v/>
      </c>
      <c r="F2790" s="22" t="str">
        <f>IF(OR(E2790="",E2790="!!!"),"",IF(NOT(ISNA(VLOOKUP(E2790,E$1:E2789,1,FALSE()))),"OLD",IF(AND(E2790&lt;&gt;"",E2790&lt;&gt;"!!!"),"NEW","")))</f>
        <v> </v>
      </c>
      <c r="G2790" s="23" t="str">
        <f>IF(OR(E2790="",E2790="!!!"),"",IF(OR(J2790=0,AND(J2790=1,K2790=1),AND(J2790=1,I2790="SBJ"),AND(J2790=1,I2790=0)),"?IN_FOCUS",IF(J2790&lt;=2,"?ACTIVATED",IF(J2790&lt;&gt;"","?FAMILIAR",IF(F2790="NEW",IF(ISNA(VLOOKUP(E2790,#REF!,1,FALSE())),"?TYPE_IDENTIFIABLE","?REFERENTIAL"),"_")))))</f>
        <v> </v>
      </c>
      <c r="H2790" s="24" t="str">
        <f>IF(J2790&lt;&gt;1,"",IF(I2790="SBJ","CB","?"))</f>
        <v> </v>
      </c>
      <c r="I2790" s="25" t="str">
        <f>IF(OR(E2790="",E2790="!!!",F2790="NEW"),"",INDEX(B2789:B$2,-1+SUMPRODUCT(MAX(ROW(E2789:E$2)*(E2790=E2789:E$2)))))</f>
        <v> </v>
      </c>
      <c r="J2790" s="25" t="str">
        <f>IF(OR(E2790="",E2790="!!!",F2790="NEW"),"",COUNTBLANK(OFFSET(A$1,,,SUMPRODUCT(MAX(ROW(E$2:E2790)*(E2790=E$2:E2790)))))-COUNTBLANK(OFFSET(A$1,,,SUMPRODUCT(MAX(ROW(E$1:E2789)*(E2=E$1:E2789))))))</f>
        <v> </v>
      </c>
      <c r="K2790" s="25" t="str">
        <f>IF(OR(E2790="",E2790="!!!",F2790="NEW"),"",INDEX(J$1:J2789,SUMPRODUCT(MAX(ROW(E$1:E2789)*(E2790=E$1:E2789)))))</f>
        <v> </v>
      </c>
      <c r="L2790" s="26"/>
    </row>
    <row r="2791" spans="1:12">
      <c r="A2791" s="20" t="s">
        <v>1638</v>
      </c>
      <c r="B2791" s="27" t="s">
        <v>753</v>
      </c>
      <c r="C2791" s="27" t="s">
        <v>761</v>
      </c>
      <c r="D2791" s="27" t="s">
        <v>762</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770</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960</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1639</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769</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t="s">
        <v>1296</v>
      </c>
      <c r="B2796" s="27" t="s">
        <v>772</v>
      </c>
      <c r="C2796" s="27" t="s">
        <v>754</v>
      </c>
      <c r="E2796" s="21">
        <f>IF(D2796="?OLD","!!!","")</f>
        <v/>
      </c>
      <c r="F2796" s="22" t="str">
        <f>IF(OR(E2796="",E2796="!!!"),"",IF(NOT(ISNA(VLOOKUP(E2796,E$1:E2795,1,FALSE()))),"OLD",IF(AND(E2796&lt;&gt;"",E2796&lt;&gt;"!!!"),"NEW","")))</f>
        <v> </v>
      </c>
      <c r="G2796" s="23" t="str">
        <f>IF(OR(E2796="",E2796="!!!"),"",IF(OR(J2796=0,AND(J2796=1,K2796=1),AND(J2796=1,I2796="SBJ"),AND(J2796=1,I2796=0)),"?IN_FOCUS",IF(J2796&lt;=2,"?ACTIVATED",IF(J2796&lt;&gt;"","?FAMILIAR",IF(F2796="NEW",IF(ISNA(VLOOKUP(E2796,#REF!,1,FALSE())),"?TYPE_IDENTIFIABLE","?REFERENTIAL"),"_")))))</f>
        <v> </v>
      </c>
      <c r="H2796" s="24" t="str">
        <f>IF(J2796&lt;&gt;1,"",IF(I2796="SBJ","CB","?"))</f>
        <v> </v>
      </c>
      <c r="I2796" s="25" t="str">
        <f>IF(OR(E2796="",E2796="!!!",F2796="NEW"),"",INDEX(B2795:B$2,-1+SUMPRODUCT(MAX(ROW(E2795:E$2)*(E2796=E2795:E$2)))))</f>
        <v> </v>
      </c>
      <c r="J2796" s="25" t="str">
        <f>IF(OR(E2796="",E2796="!!!",F2796="NEW"),"",COUNTBLANK(OFFSET(A$1,,,SUMPRODUCT(MAX(ROW(E$2:E2796)*(E2796=E$2:E2796)))))-COUNTBLANK(OFFSET(A$1,,,SUMPRODUCT(MAX(ROW(E$1:E2795)*(E2=E$1:E2795))))))</f>
        <v> </v>
      </c>
      <c r="K2796" s="25" t="str">
        <f>IF(OR(E2796="",E2796="!!!",F2796="NEW"),"",INDEX(J$1:J2795,SUMPRODUCT(MAX(ROW(E$1:E2795)*(E2796=E$1:E2795)))))</f>
        <v> </v>
      </c>
      <c r="L2796" s="26"/>
    </row>
    <row r="2797" spans="1:12">
      <c r="A2797" s="20" t="s">
        <v>757</v>
      </c>
      <c r="E2797" s="21">
        <f>IF(D2797="?OLD","!!!","")</f>
        <v/>
      </c>
      <c r="F2797" s="22" t="str">
        <f>IF(OR(E2797="",E2797="!!!"),"",IF(NOT(ISNA(VLOOKUP(E2797,E$1:E2796,1,FALSE()))),"OLD",IF(AND(E2797&lt;&gt;"",E2797&lt;&gt;"!!!"),"NEW","")))</f>
        <v> </v>
      </c>
      <c r="G2797" s="23" t="str">
        <f>IF(OR(E2797="",E2797="!!!"),"",IF(OR(J2797=0,AND(J2797=1,K2797=1),AND(J2797=1,I2797="SBJ"),AND(J2797=1,I2797=0)),"?IN_FOCUS",IF(J2797&lt;=2,"?ACTIVATED",IF(J2797&lt;&gt;"","?FAMILIAR",IF(F2797="NEW",IF(ISNA(VLOOKUP(E2797,#REF!,1,FALSE())),"?TYPE_IDENTIFIABLE","?REFERENTIAL"),"_")))))</f>
        <v> </v>
      </c>
      <c r="H2797" s="24" t="str">
        <f>IF(J2797&lt;&gt;1,"",IF(I2797="SBJ","CB","?"))</f>
        <v> </v>
      </c>
      <c r="I2797" s="25" t="str">
        <f>IF(OR(E2797="",E2797="!!!",F2797="NEW"),"",INDEX(B2796:B$2,-1+SUMPRODUCT(MAX(ROW(E2796:E$2)*(E2797=E2796:E$2)))))</f>
        <v> </v>
      </c>
      <c r="J2797" s="25" t="str">
        <f>IF(OR(E2797="",E2797="!!!",F2797="NEW"),"",COUNTBLANK(OFFSET(A$1,,,SUMPRODUCT(MAX(ROW(E$2:E2797)*(E2797=E$2:E2797)))))-COUNTBLANK(OFFSET(A$1,,,SUMPRODUCT(MAX(ROW(E$1:E2796)*(E2=E$1:E2796))))))</f>
        <v> </v>
      </c>
      <c r="K2797" s="25" t="str">
        <f>IF(OR(E2797="",E2797="!!!",F2797="NEW"),"",INDEX(J$1:J2796,SUMPRODUCT(MAX(ROW(E$1:E2796)*(E2797=E$1:E2796)))))</f>
        <v> </v>
      </c>
      <c r="L2797" s="26"/>
    </row>
    <row r="2798" spans="1:12">
      <c r="A2798" s="20" t="s">
        <v>838</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1629</v>
      </c>
      <c r="B2799" s="27" t="s">
        <v>753</v>
      </c>
      <c r="C2799" s="27" t="s">
        <v>761</v>
      </c>
      <c r="D2799" s="27" t="s">
        <v>762</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1020</v>
      </c>
      <c r="B2800" s="27" t="s">
        <v>956</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1004</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t="s">
        <v>1640</v>
      </c>
      <c r="E2802" s="21">
        <f>IF(D2802="?OLD","!!!","")</f>
        <v/>
      </c>
      <c r="F2802" s="22" t="str">
        <f>IF(OR(E2802="",E2802="!!!"),"",IF(NOT(ISNA(VLOOKUP(E2802,E$1:E2801,1,FALSE()))),"OLD",IF(AND(E2802&lt;&gt;"",E2802&lt;&gt;"!!!"),"NEW","")))</f>
        <v> </v>
      </c>
      <c r="G2802" s="23" t="str">
        <f>IF(OR(E2802="",E2802="!!!"),"",IF(OR(J2802=0,AND(J2802=1,K2802=1),AND(J2802=1,I2802="SBJ"),AND(J2802=1,I2802=0)),"?IN_FOCUS",IF(J2802&lt;=2,"?ACTIVATED",IF(J2802&lt;&gt;"","?FAMILIAR",IF(F2802="NEW",IF(ISNA(VLOOKUP(E2802,#REF!,1,FALSE())),"?TYPE_IDENTIFIABLE","?REFERENTIAL"),"_")))))</f>
        <v> </v>
      </c>
      <c r="H2802" s="24" t="str">
        <f>IF(J2802&lt;&gt;1,"",IF(I2802="SBJ","CB","?"))</f>
        <v> </v>
      </c>
      <c r="I2802" s="25" t="str">
        <f>IF(OR(E2802="",E2802="!!!",F2802="NEW"),"",INDEX(B2801:B$2,-1+SUMPRODUCT(MAX(ROW(E2801:E$2)*(E2802=E2801:E$2)))))</f>
        <v> </v>
      </c>
      <c r="J2802" s="25" t="str">
        <f>IF(OR(E2802="",E2802="!!!",F2802="NEW"),"",COUNTBLANK(OFFSET(A$1,,,SUMPRODUCT(MAX(ROW(E$2:E2802)*(E2802=E$2:E2802)))))-COUNTBLANK(OFFSET(A$1,,,SUMPRODUCT(MAX(ROW(E$1:E2801)*(E2=E$1:E2801))))))</f>
        <v> </v>
      </c>
      <c r="K2802" s="25" t="str">
        <f>IF(OR(E2802="",E2802="!!!",F2802="NEW"),"",INDEX(J$1:J2801,SUMPRODUCT(MAX(ROW(E$1:E2801)*(E2802=E$1:E2801)))))</f>
        <v> </v>
      </c>
      <c r="L2802" s="26"/>
    </row>
    <row r="2803" spans="1:12">
      <c r="A2803" s="20" t="s">
        <v>954</v>
      </c>
      <c r="E2803" s="21">
        <f>IF(D2803="?OLD","!!!","")</f>
        <v/>
      </c>
      <c r="F2803" s="22" t="str">
        <f>IF(OR(E2803="",E2803="!!!"),"",IF(NOT(ISNA(VLOOKUP(E2803,E$1:E2802,1,FALSE()))),"OLD",IF(AND(E2803&lt;&gt;"",E2803&lt;&gt;"!!!"),"NEW","")))</f>
        <v> </v>
      </c>
      <c r="G2803" s="23" t="str">
        <f>IF(OR(E2803="",E2803="!!!"),"",IF(OR(J2803=0,AND(J2803=1,K2803=1),AND(J2803=1,I2803="SBJ"),AND(J2803=1,I2803=0)),"?IN_FOCUS",IF(J2803&lt;=2,"?ACTIVATED",IF(J2803&lt;&gt;"","?FAMILIAR",IF(F2803="NEW",IF(ISNA(VLOOKUP(E2803,#REF!,1,FALSE())),"?TYPE_IDENTIFIABLE","?REFERENTIAL"),"_")))))</f>
        <v> </v>
      </c>
      <c r="H2803" s="24" t="str">
        <f>IF(J2803&lt;&gt;1,"",IF(I2803="SBJ","CB","?"))</f>
        <v> </v>
      </c>
      <c r="I2803" s="25" t="str">
        <f>IF(OR(E2803="",E2803="!!!",F2803="NEW"),"",INDEX(B2802:B$2,-1+SUMPRODUCT(MAX(ROW(E2802:E$2)*(E2803=E2802:E$2)))))</f>
        <v> </v>
      </c>
      <c r="J2803" s="25" t="str">
        <f>IF(OR(E2803="",E2803="!!!",F2803="NEW"),"",COUNTBLANK(OFFSET(A$1,,,SUMPRODUCT(MAX(ROW(E$2:E2803)*(E2803=E$2:E2803)))))-COUNTBLANK(OFFSET(A$1,,,SUMPRODUCT(MAX(ROW(E$1:E2802)*(E2=E$1:E2802))))))</f>
        <v> </v>
      </c>
      <c r="K2803" s="25" t="str">
        <f>IF(OR(E2803="",E2803="!!!",F2803="NEW"),"",INDEX(J$1:J2802,SUMPRODUCT(MAX(ROW(E$1:E2802)*(E2803=E$1:E2802)))))</f>
        <v> </v>
      </c>
      <c r="L2803" s="26"/>
    </row>
    <row r="2804" spans="1:12">
      <c r="A2804" s="20" t="s">
        <v>1641</v>
      </c>
      <c r="B2804" s="27" t="s">
        <v>894</v>
      </c>
      <c r="C2804" s="27" t="s">
        <v>1019</v>
      </c>
      <c r="D2804" s="27" t="s">
        <v>762</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810</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1020</v>
      </c>
      <c r="B2806" s="27" t="s">
        <v>796</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1025</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t="s">
        <v>822</v>
      </c>
      <c r="E2808" s="21">
        <f>IF(D2808="?OLD","!!!","")</f>
        <v/>
      </c>
      <c r="F2808" s="22" t="str">
        <f>IF(OR(E2808="",E2808="!!!"),"",IF(NOT(ISNA(VLOOKUP(E2808,E$1:E2807,1,FALSE()))),"OLD",IF(AND(E2808&lt;&gt;"",E2808&lt;&gt;"!!!"),"NEW","")))</f>
        <v> </v>
      </c>
      <c r="G2808" s="23" t="str">
        <f>IF(OR(E2808="",E2808="!!!"),"",IF(OR(J2808=0,AND(J2808=1,K2808=1),AND(J2808=1,I2808="SBJ"),AND(J2808=1,I2808=0)),"?IN_FOCUS",IF(J2808&lt;=2,"?ACTIVATED",IF(J2808&lt;&gt;"","?FAMILIAR",IF(F2808="NEW",IF(ISNA(VLOOKUP(E2808,#REF!,1,FALSE())),"?TYPE_IDENTIFIABLE","?REFERENTIAL"),"_")))))</f>
        <v> </v>
      </c>
      <c r="H2808" s="24" t="str">
        <f>IF(J2808&lt;&gt;1,"",IF(I2808="SBJ","CB","?"))</f>
        <v> </v>
      </c>
      <c r="I2808" s="25" t="str">
        <f>IF(OR(E2808="",E2808="!!!",F2808="NEW"),"",INDEX(B2807:B$2,-1+SUMPRODUCT(MAX(ROW(E2807:E$2)*(E2808=E2807:E$2)))))</f>
        <v> </v>
      </c>
      <c r="J2808" s="25" t="str">
        <f>IF(OR(E2808="",E2808="!!!",F2808="NEW"),"",COUNTBLANK(OFFSET(A$1,,,SUMPRODUCT(MAX(ROW(E$2:E2808)*(E2808=E$2:E2808)))))-COUNTBLANK(OFFSET(A$1,,,SUMPRODUCT(MAX(ROW(E$1:E2807)*(E2=E$1:E2807))))))</f>
        <v> </v>
      </c>
      <c r="K2808" s="25" t="str">
        <f>IF(OR(E2808="",E2808="!!!",F2808="NEW"),"",INDEX(J$1:J2807,SUMPRODUCT(MAX(ROW(E$1:E2807)*(E2808=E$1:E2807)))))</f>
        <v> </v>
      </c>
      <c r="L2808" s="26"/>
    </row>
    <row r="2809" spans="1:12">
      <c r="A2809" s="20" t="s">
        <v>1634</v>
      </c>
      <c r="B2809" s="27" t="s">
        <v>802</v>
      </c>
      <c r="C2809" s="27" t="s">
        <v>761</v>
      </c>
      <c r="D2809" s="27" t="s">
        <v>762</v>
      </c>
      <c r="E2809" s="21">
        <f>IF(D2809="?OLD","!!!","")</f>
        <v/>
      </c>
      <c r="F2809" s="22" t="str">
        <f>IF(OR(E2809="",E2809="!!!"),"",IF(NOT(ISNA(VLOOKUP(E2809,E$1:E2808,1,FALSE()))),"OLD",IF(AND(E2809&lt;&gt;"",E2809&lt;&gt;"!!!"),"NEW","")))</f>
        <v> </v>
      </c>
      <c r="G2809" s="23" t="str">
        <f>IF(OR(E2809="",E2809="!!!"),"",IF(OR(J2809=0,AND(J2809=1,K2809=1),AND(J2809=1,I2809="SBJ"),AND(J2809=1,I2809=0)),"?IN_FOCUS",IF(J2809&lt;=2,"?ACTIVATED",IF(J2809&lt;&gt;"","?FAMILIAR",IF(F2809="NEW",IF(ISNA(VLOOKUP(E2809,#REF!,1,FALSE())),"?TYPE_IDENTIFIABLE","?REFERENTIAL"),"_")))))</f>
        <v> </v>
      </c>
      <c r="H2809" s="24" t="str">
        <f>IF(J2809&lt;&gt;1,"",IF(I2809="SBJ","CB","?"))</f>
        <v> </v>
      </c>
      <c r="I2809" s="25" t="str">
        <f>IF(OR(E2809="",E2809="!!!",F2809="NEW"),"",INDEX(B2808:B$2,-1+SUMPRODUCT(MAX(ROW(E2808:E$2)*(E2809=E2808:E$2)))))</f>
        <v> </v>
      </c>
      <c r="J2809" s="25" t="str">
        <f>IF(OR(E2809="",E2809="!!!",F2809="NEW"),"",COUNTBLANK(OFFSET(A$1,,,SUMPRODUCT(MAX(ROW(E$2:E2809)*(E2809=E$2:E2809)))))-COUNTBLANK(OFFSET(A$1,,,SUMPRODUCT(MAX(ROW(E$1:E2808)*(E2=E$1:E2808))))))</f>
        <v> </v>
      </c>
      <c r="K2809" s="25" t="str">
        <f>IF(OR(E2809="",E2809="!!!",F2809="NEW"),"",INDEX(J$1:J2808,SUMPRODUCT(MAX(ROW(E$1:E2808)*(E2809=E$1:E2808)))))</f>
        <v> </v>
      </c>
      <c r="L2809" s="26"/>
    </row>
    <row r="2810" spans="1:12">
      <c r="A2810" s="20" t="s">
        <v>805</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1637</v>
      </c>
      <c r="B2811" s="27" t="s">
        <v>879</v>
      </c>
      <c r="C2811" s="27" t="s">
        <v>754</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757</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1004</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1642</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t="s">
        <v>1643</v>
      </c>
      <c r="E2815" s="21">
        <f>IF(D2815="?OLD","!!!","")</f>
        <v/>
      </c>
      <c r="F2815" s="22" t="str">
        <f>IF(OR(E2815="",E2815="!!!"),"",IF(NOT(ISNA(VLOOKUP(E2815,E$1:E2814,1,FALSE()))),"OLD",IF(AND(E2815&lt;&gt;"",E2815&lt;&gt;"!!!"),"NEW","")))</f>
        <v> </v>
      </c>
      <c r="G2815" s="23" t="str">
        <f>IF(OR(E2815="",E2815="!!!"),"",IF(OR(J2815=0,AND(J2815=1,K2815=1),AND(J2815=1,I2815="SBJ"),AND(J2815=1,I2815=0)),"?IN_FOCUS",IF(J2815&lt;=2,"?ACTIVATED",IF(J2815&lt;&gt;"","?FAMILIAR",IF(F2815="NEW",IF(ISNA(VLOOKUP(E2815,#REF!,1,FALSE())),"?TYPE_IDENTIFIABLE","?REFERENTIAL"),"_")))))</f>
        <v> </v>
      </c>
      <c r="H2815" s="24" t="str">
        <f>IF(J2815&lt;&gt;1,"",IF(I2815="SBJ","CB","?"))</f>
        <v> </v>
      </c>
      <c r="I2815" s="25" t="str">
        <f>IF(OR(E2815="",E2815="!!!",F2815="NEW"),"",INDEX(B2814:B$2,-1+SUMPRODUCT(MAX(ROW(E2814:E$2)*(E2815=E2814:E$2)))))</f>
        <v> </v>
      </c>
      <c r="J2815" s="25" t="str">
        <f>IF(OR(E2815="",E2815="!!!",F2815="NEW"),"",COUNTBLANK(OFFSET(A$1,,,SUMPRODUCT(MAX(ROW(E$2:E2815)*(E2815=E$2:E2815)))))-COUNTBLANK(OFFSET(A$1,,,SUMPRODUCT(MAX(ROW(E$1:E2814)*(E2=E$1:E2814))))))</f>
        <v> </v>
      </c>
      <c r="K2815" s="25" t="str">
        <f>IF(OR(E2815="",E2815="!!!",F2815="NEW"),"",INDEX(J$1:J2814,SUMPRODUCT(MAX(ROW(E$1:E2814)*(E2815=E$1:E2814)))))</f>
        <v> </v>
      </c>
      <c r="L2815" s="26"/>
    </row>
    <row r="2816" spans="1:12">
      <c r="A2816" s="20" t="s">
        <v>785</v>
      </c>
      <c r="E2816" s="21">
        <f>IF(D2816="?OLD","!!!","")</f>
        <v/>
      </c>
      <c r="F2816" s="22" t="str">
        <f>IF(OR(E2816="",E2816="!!!"),"",IF(NOT(ISNA(VLOOKUP(E2816,E$1:E2815,1,FALSE()))),"OLD",IF(AND(E2816&lt;&gt;"",E2816&lt;&gt;"!!!"),"NEW","")))</f>
        <v> </v>
      </c>
      <c r="G2816" s="23" t="str">
        <f>IF(OR(E2816="",E2816="!!!"),"",IF(OR(J2816=0,AND(J2816=1,K2816=1),AND(J2816=1,I2816="SBJ"),AND(J2816=1,I2816=0)),"?IN_FOCUS",IF(J2816&lt;=2,"?ACTIVATED",IF(J2816&lt;&gt;"","?FAMILIAR",IF(F2816="NEW",IF(ISNA(VLOOKUP(E2816,#REF!,1,FALSE())),"?TYPE_IDENTIFIABLE","?REFERENTIAL"),"_")))))</f>
        <v> </v>
      </c>
      <c r="H2816" s="24" t="str">
        <f>IF(J2816&lt;&gt;1,"",IF(I2816="SBJ","CB","?"))</f>
        <v> </v>
      </c>
      <c r="I2816" s="25" t="str">
        <f>IF(OR(E2816="",E2816="!!!",F2816="NEW"),"",INDEX(B2815:B$2,-1+SUMPRODUCT(MAX(ROW(E2815:E$2)*(E2816=E2815:E$2)))))</f>
        <v> </v>
      </c>
      <c r="J2816" s="25" t="str">
        <f>IF(OR(E2816="",E2816="!!!",F2816="NEW"),"",COUNTBLANK(OFFSET(A$1,,,SUMPRODUCT(MAX(ROW(E$2:E2816)*(E2816=E$2:E2816)))))-COUNTBLANK(OFFSET(A$1,,,SUMPRODUCT(MAX(ROW(E$1:E2815)*(E2=E$1:E2815))))))</f>
        <v> </v>
      </c>
      <c r="K2816" s="25" t="str">
        <f>IF(OR(E2816="",E2816="!!!",F2816="NEW"),"",INDEX(J$1:J2815,SUMPRODUCT(MAX(ROW(E$1:E2815)*(E2816=E$1:E2815)))))</f>
        <v> </v>
      </c>
      <c r="L2816" s="26"/>
    </row>
    <row r="2817" spans="1:12">
      <c r="A2817" s="20" t="s">
        <v>764</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1128</v>
      </c>
      <c r="B2818" s="27" t="s">
        <v>772</v>
      </c>
      <c r="C2818" s="27" t="s">
        <v>768</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1171</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774</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row>
    <row r="2822" spans="1:12">
      <c r="A2822" s="20" t="s">
        <v>1644</v>
      </c>
    </row>
    <row r="2823" spans="1:12">
      <c r="A2823" s="20" t="s">
        <v>1554</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1645</v>
      </c>
      <c r="B2824" s="27" t="s">
        <v>760</v>
      </c>
      <c r="C2824" s="27" t="s">
        <v>761</v>
      </c>
      <c r="D2824" s="27" t="s">
        <v>762</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1007</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838</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1499</v>
      </c>
      <c r="B2827" s="27" t="s">
        <v>772</v>
      </c>
      <c r="C2827" s="27" t="s">
        <v>761</v>
      </c>
      <c r="D2827" s="27" t="s">
        <v>762</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1183</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942</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1646</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774</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row>
    <row r="2833" spans="1:12">
      <c r="A2833" s="20" t="s">
        <v>1647</v>
      </c>
    </row>
    <row r="2834" spans="1:12">
      <c r="A2834" s="20" t="s">
        <v>1554</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1645</v>
      </c>
      <c r="B2835" s="27" t="s">
        <v>760</v>
      </c>
      <c r="C2835" s="27" t="s">
        <v>761</v>
      </c>
      <c r="D2835" s="27" t="s">
        <v>762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1648</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840</v>
      </c>
      <c r="B2837" s="27" t="s">
        <v>767</v>
      </c>
      <c r="C2837" s="27" t="s">
        <v>797</v>
      </c>
      <c r="D2837" s="27" t="s">
        <v>762</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1649</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810</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1650</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769</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1651</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822</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1652</v>
      </c>
      <c r="B2844" s="27" t="s">
        <v>894</v>
      </c>
      <c r="C2844" s="27" t="s">
        <v>837</v>
      </c>
      <c r="D2844" s="27" t="s">
        <v>762</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769</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1653</v>
      </c>
      <c r="B2846" s="27" t="s">
        <v>901</v>
      </c>
      <c r="C2846" s="27" t="s">
        <v>798</v>
      </c>
      <c r="D2846" s="27" t="s">
        <v>762</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769</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1147</v>
      </c>
      <c r="B2848" s="27" t="s">
        <v>879</v>
      </c>
      <c r="C2848" s="27" t="s">
        <v>754</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960</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1654</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810</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960</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1655</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1656</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769</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838</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1657</v>
      </c>
      <c r="B2857" s="27" t="s">
        <v>901</v>
      </c>
      <c r="C2857" s="27" t="s">
        <v>761</v>
      </c>
      <c r="D2857" s="27" t="s">
        <v>762</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793</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1300</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t="s">
        <v>1610</v>
      </c>
      <c r="E2860" s="21">
        <f>IF(D2860="?OLD","!!!","")</f>
        <v/>
      </c>
      <c r="F2860" s="22" t="str">
        <f>IF(OR(E2860="",E2860="!!!"),"",IF(NOT(ISNA(VLOOKUP(E2860,E$1:E2859,1,FALSE()))),"OLD",IF(AND(E2860&lt;&gt;"",E2860&lt;&gt;"!!!"),"NEW","")))</f>
        <v> </v>
      </c>
      <c r="G2860" s="23" t="str">
        <f>IF(OR(E2860="",E2860="!!!"),"",IF(OR(J2860=0,AND(J2860=1,K2860=1),AND(J2860=1,I2860="SBJ"),AND(J2860=1,I2860=0)),"?IN_FOCUS",IF(J2860&lt;=2,"?ACTIVATED",IF(J2860&lt;&gt;"","?FAMILIAR",IF(F2860="NEW",IF(ISNA(VLOOKUP(E2860,#REF!,1,FALSE())),"?TYPE_IDENTIFIABLE","?REFERENTIAL"),"_")))))</f>
        <v> </v>
      </c>
      <c r="H2860" s="24" t="str">
        <f>IF(J2860&lt;&gt;1,"",IF(I2860="SBJ","CB","?"))</f>
        <v> </v>
      </c>
      <c r="I2860" s="25" t="str">
        <f>IF(OR(E2860="",E2860="!!!",F2860="NEW"),"",INDEX(B2859:B$2,-1+SUMPRODUCT(MAX(ROW(E2859:E$2)*(E2860=E2859:E$2)))))</f>
        <v> </v>
      </c>
      <c r="J2860" s="25" t="str">
        <f>IF(OR(E2860="",E2860="!!!",F2860="NEW"),"",COUNTBLANK(OFFSET(A$1,,,SUMPRODUCT(MAX(ROW(E$2:E2860)*(E2860=E$2:E2860)))))-COUNTBLANK(OFFSET(A$1,,,SUMPRODUCT(MAX(ROW(E$1:E2859)*(E2=E$1:E2859))))))</f>
        <v> </v>
      </c>
      <c r="K2860" s="25" t="str">
        <f>IF(OR(E2860="",E2860="!!!",F2860="NEW"),"",INDEX(J$1:J2859,SUMPRODUCT(MAX(ROW(E$1:E2859)*(E2860=E$1:E2859)))))</f>
        <v> </v>
      </c>
      <c r="L2860" s="26"/>
    </row>
    <row r="2861" spans="1:12">
      <c r="A2861" s="20" t="s">
        <v>757</v>
      </c>
      <c r="E2861" s="21">
        <f>IF(D2861="?OLD","!!!","")</f>
        <v/>
      </c>
      <c r="F2861" s="22" t="str">
        <f>IF(OR(E2861="",E2861="!!!"),"",IF(NOT(ISNA(VLOOKUP(E2861,E$1:E2860,1,FALSE()))),"OLD",IF(AND(E2861&lt;&gt;"",E2861&lt;&gt;"!!!"),"NEW","")))</f>
        <v> </v>
      </c>
      <c r="G2861" s="23" t="str">
        <f>IF(OR(E2861="",E2861="!!!"),"",IF(OR(J2861=0,AND(J2861=1,K2861=1),AND(J2861=1,I2861="SBJ"),AND(J2861=1,I2861=0)),"?IN_FOCUS",IF(J2861&lt;=2,"?ACTIVATED",IF(J2861&lt;&gt;"","?FAMILIAR",IF(F2861="NEW",IF(ISNA(VLOOKUP(E2861,#REF!,1,FALSE())),"?TYPE_IDENTIFIABLE","?REFERENTIAL"),"_")))))</f>
        <v> </v>
      </c>
      <c r="H2861" s="24" t="str">
        <f>IF(J2861&lt;&gt;1,"",IF(I2861="SBJ","CB","?"))</f>
        <v> </v>
      </c>
      <c r="I2861" s="25" t="str">
        <f>IF(OR(E2861="",E2861="!!!",F2861="NEW"),"",INDEX(B2860:B$2,-1+SUMPRODUCT(MAX(ROW(E2860:E$2)*(E2861=E2860:E$2)))))</f>
        <v> </v>
      </c>
      <c r="J2861" s="25" t="str">
        <f>IF(OR(E2861="",E2861="!!!",F2861="NEW"),"",COUNTBLANK(OFFSET(A$1,,,SUMPRODUCT(MAX(ROW(E$2:E2861)*(E2861=E$2:E2861)))))-COUNTBLANK(OFFSET(A$1,,,SUMPRODUCT(MAX(ROW(E$1:E2860)*(E2=E$1:E2860))))))</f>
        <v> </v>
      </c>
      <c r="K2861" s="25" t="str">
        <f>IF(OR(E2861="",E2861="!!!",F2861="NEW"),"",INDEX(J$1:J2860,SUMPRODUCT(MAX(ROW(E$1:E2860)*(E2861=E$1:E2860)))))</f>
        <v> </v>
      </c>
      <c r="L2861" s="26"/>
    </row>
    <row r="2862" spans="1:12">
      <c r="A2862" s="20" t="s">
        <v>1658</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960</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1659</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785</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838</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125</v>
      </c>
      <c r="B2867" s="27" t="s">
        <v>772</v>
      </c>
      <c r="C2867" s="27" t="s">
        <v>761</v>
      </c>
      <c r="D2867" s="27" t="s">
        <v>762</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805</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1660</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1159</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1657</v>
      </c>
      <c r="B2871" s="27" t="s">
        <v>894</v>
      </c>
      <c r="C2871" s="27" t="s">
        <v>1019</v>
      </c>
      <c r="D2871" s="27" t="s">
        <v>762</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757</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1085</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805</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996</v>
      </c>
      <c r="B2875" s="27" t="s">
        <v>940</v>
      </c>
      <c r="C2875" s="27" t="s">
        <v>820</v>
      </c>
      <c r="D2875" s="27" t="s">
        <v>762</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t="s">
        <v>1460</v>
      </c>
      <c r="E2876" s="21">
        <f>IF(D2876="?OLD","!!!","")</f>
        <v/>
      </c>
      <c r="F2876" s="22" t="str">
        <f>IF(OR(E2876="",E2876="!!!"),"",IF(NOT(ISNA(VLOOKUP(E2876,E$1:E2875,1,FALSE()))),"OLD",IF(AND(E2876&lt;&gt;"",E2876&lt;&gt;"!!!"),"NEW","")))</f>
        <v> </v>
      </c>
      <c r="G2876" s="23" t="str">
        <f>IF(OR(E2876="",E2876="!!!"),"",IF(OR(J2876=0,AND(J2876=1,K2876=1),AND(J2876=1,I2876="SBJ"),AND(J2876=1,I2876=0)),"?IN_FOCUS",IF(J2876&lt;=2,"?ACTIVATED",IF(J2876&lt;&gt;"","?FAMILIAR",IF(F2876="NEW",IF(ISNA(VLOOKUP(E2876,#REF!,1,FALSE())),"?TYPE_IDENTIFIABLE","?REFERENTIAL"),"_")))))</f>
        <v> </v>
      </c>
      <c r="H2876" s="24" t="str">
        <f>IF(J2876&lt;&gt;1,"",IF(I2876="SBJ","CB","?"))</f>
        <v> </v>
      </c>
      <c r="I2876" s="25" t="str">
        <f>IF(OR(E2876="",E2876="!!!",F2876="NEW"),"",INDEX(B2875:B$2,-1+SUMPRODUCT(MAX(ROW(E2875:E$2)*(E2876=E2875:E$2)))))</f>
        <v> </v>
      </c>
      <c r="J2876" s="25" t="str">
        <f>IF(OR(E2876="",E2876="!!!",F2876="NEW"),"",COUNTBLANK(OFFSET(A$1,,,SUMPRODUCT(MAX(ROW(E$2:E2876)*(E2876=E$2:E2876)))))-COUNTBLANK(OFFSET(A$1,,,SUMPRODUCT(MAX(ROW(E$1:E2875)*(E2=E$1:E2875))))))</f>
        <v> </v>
      </c>
      <c r="K2876" s="25" t="str">
        <f>IF(OR(E2876="",E2876="!!!",F2876="NEW"),"",INDEX(J$1:J2875,SUMPRODUCT(MAX(ROW(E$1:E2875)*(E2876=E$1:E2875)))))</f>
        <v> </v>
      </c>
      <c r="L2876" s="26"/>
    </row>
    <row r="2877" spans="1:12">
      <c r="A2877" s="20" t="s">
        <v>779</v>
      </c>
      <c r="E2877" s="21">
        <f>IF(D2877="?OLD","!!!","")</f>
        <v/>
      </c>
      <c r="F2877" s="22" t="str">
        <f>IF(OR(E2877="",E2877="!!!"),"",IF(NOT(ISNA(VLOOKUP(E2877,E$1:E2876,1,FALSE()))),"OLD",IF(AND(E2877&lt;&gt;"",E2877&lt;&gt;"!!!"),"NEW","")))</f>
        <v> </v>
      </c>
      <c r="G2877" s="23" t="str">
        <f>IF(OR(E2877="",E2877="!!!"),"",IF(OR(J2877=0,AND(J2877=1,K2877=1),AND(J2877=1,I2877="SBJ"),AND(J2877=1,I2877=0)),"?IN_FOCUS",IF(J2877&lt;=2,"?ACTIVATED",IF(J2877&lt;&gt;"","?FAMILIAR",IF(F2877="NEW",IF(ISNA(VLOOKUP(E2877,#REF!,1,FALSE())),"?TYPE_IDENTIFIABLE","?REFERENTIAL"),"_")))))</f>
        <v> </v>
      </c>
      <c r="H2877" s="24" t="str">
        <f>IF(J2877&lt;&gt;1,"",IF(I2877="SBJ","CB","?"))</f>
        <v> </v>
      </c>
      <c r="I2877" s="25" t="str">
        <f>IF(OR(E2877="",E2877="!!!",F2877="NEW"),"",INDEX(B2876:B$2,-1+SUMPRODUCT(MAX(ROW(E2876:E$2)*(E2877=E2876:E$2)))))</f>
        <v> </v>
      </c>
      <c r="J2877" s="25" t="str">
        <f>IF(OR(E2877="",E2877="!!!",F2877="NEW"),"",COUNTBLANK(OFFSET(A$1,,,SUMPRODUCT(MAX(ROW(E$2:E2877)*(E2877=E$2:E2877)))))-COUNTBLANK(OFFSET(A$1,,,SUMPRODUCT(MAX(ROW(E$1:E2876)*(E2=E$1:E2876))))))</f>
        <v> </v>
      </c>
      <c r="K2877" s="25" t="str">
        <f>IF(OR(E2877="",E2877="!!!",F2877="NEW"),"",INDEX(J$1:J2876,SUMPRODUCT(MAX(ROW(E$1:E2876)*(E2877=E$1:E2876)))))</f>
        <v> </v>
      </c>
      <c r="L2877" s="26"/>
    </row>
    <row r="2878" spans="1:12">
      <c r="A2878" s="20" t="s">
        <v>1661</v>
      </c>
      <c r="B2878" s="27" t="s">
        <v>940</v>
      </c>
      <c r="C2878" s="27" t="s">
        <v>768</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774</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row>
    <row r="2881" spans="1:12">
      <c r="A2881" s="20" t="s">
        <v>1662</v>
      </c>
    </row>
    <row r="2882" spans="1:12">
      <c r="A2882" s="20" t="s">
        <v>1065</v>
      </c>
      <c r="B2882" s="27" t="s">
        <v>760</v>
      </c>
      <c r="C2882" s="27" t="s">
        <v>797</v>
      </c>
      <c r="D2882" s="27" t="s">
        <v>762</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1438</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969</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779</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1482</v>
      </c>
      <c r="B2886" s="27" t="s">
        <v>753</v>
      </c>
      <c r="C2886" s="27" t="s">
        <v>768</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1663</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810</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1664</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774</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row>
    <row r="2892" spans="1:12">
      <c r="A2892" s="20" t="s">
        <v>1665</v>
      </c>
    </row>
    <row r="2893" spans="1:12">
      <c r="A2893" s="20" t="s">
        <v>833</v>
      </c>
      <c r="E2893" s="21">
        <f>IF(D2893="?OLD","!!!","")</f>
        <v/>
      </c>
      <c r="F2893" s="22" t="str">
        <f>IF(OR(E2893="",E2893="!!!"),"",IF(NOT(ISNA(VLOOKUP(E2893,E$1:E2892,1,FALSE()))),"OLD",IF(AND(E2893&lt;&gt;"",E2893&lt;&gt;"!!!"),"NEW","")))</f>
        <v> </v>
      </c>
      <c r="G2893" s="23" t="str">
        <f>IF(OR(E2893="",E2893="!!!"),"",IF(OR(J2893=0,AND(J2893=1,K2893=1),AND(J2893=1,I2893="SBJ"),AND(J2893=1,I2893=0)),"?IN_FOCUS",IF(J2893&lt;=2,"?ACTIVATED",IF(J2893&lt;&gt;"","?FAMILIAR",IF(F2893="NEW",IF(ISNA(VLOOKUP(E2893,#REF!,1,FALSE())),"?TYPE_IDENTIFIABLE","?REFERENTIAL"),"_")))))</f>
        <v> </v>
      </c>
      <c r="H2893" s="24" t="str">
        <f>IF(J2893&lt;&gt;1,"",IF(I2893="SBJ","CB","?"))</f>
        <v> </v>
      </c>
      <c r="I2893" s="25" t="str">
        <f>IF(OR(E2893="",E2893="!!!",F2893="NEW"),"",INDEX(B2892:B$2,-1+SUMPRODUCT(MAX(ROW(E2892:E$2)*(E2893=E2892:E$2)))))</f>
        <v> </v>
      </c>
      <c r="J2893" s="25" t="str">
        <f>IF(OR(E2893="",E2893="!!!",F2893="NEW"),"",COUNTBLANK(OFFSET(A$1,,,SUMPRODUCT(MAX(ROW(E$2:E2893)*(E2893=E$2:E2893)))))-COUNTBLANK(OFFSET(A$1,,,SUMPRODUCT(MAX(ROW(E$1:E2892)*(E2=E$1:E2892))))))</f>
        <v> </v>
      </c>
      <c r="K2893" s="25" t="str">
        <f>IF(OR(E2893="",E2893="!!!",F2893="NEW"),"",INDEX(J$1:J2892,SUMPRODUCT(MAX(ROW(E$1:E2892)*(E2893=E$1:E2892)))))</f>
        <v> </v>
      </c>
      <c r="L2893" s="26"/>
    </row>
    <row r="2894" spans="1:12">
      <c r="A2894" s="20" t="s">
        <v>869</v>
      </c>
      <c r="B2894" s="27" t="s">
        <v>760</v>
      </c>
      <c r="C2894" s="27" t="s">
        <v>797</v>
      </c>
      <c r="D2894" s="27" t="s">
        <v>762</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1666</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751</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838</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1178</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774</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row>
    <row r="2901" spans="1:12">
      <c r="A2901" s="20" t="s">
        <v>1667</v>
      </c>
    </row>
    <row r="2902" spans="1:12">
      <c r="A2902" s="20" t="s">
        <v>983</v>
      </c>
      <c r="B2902" s="27" t="s">
        <v>760</v>
      </c>
      <c r="C2902" s="27" t="s">
        <v>797</v>
      </c>
      <c r="D2902" s="27" t="s">
        <v>762</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1666</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793</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822</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1482</v>
      </c>
      <c r="B2906" s="27" t="s">
        <v>796</v>
      </c>
      <c r="C2906" s="27" t="s">
        <v>761</v>
      </c>
      <c r="D2906" s="27" t="s">
        <v>762</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1663</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778</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1668</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757</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1669</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810</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1670</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757</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810</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869</v>
      </c>
      <c r="B2916" s="27" t="s">
        <v>796</v>
      </c>
      <c r="C2916" s="27" t="s">
        <v>797</v>
      </c>
      <c r="D2916" s="27" t="s">
        <v>762</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1576</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770</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1043</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1070</v>
      </c>
      <c r="B2920" s="27" t="s">
        <v>802</v>
      </c>
      <c r="C2920" s="27" t="s">
        <v>761</v>
      </c>
      <c r="D2920" s="27" t="s">
        <v>762</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769</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822</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1482</v>
      </c>
      <c r="B2923" s="27" t="s">
        <v>879</v>
      </c>
      <c r="C2923" s="27" t="s">
        <v>761</v>
      </c>
      <c r="D2923" s="27" t="s">
        <v>762</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1664</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774</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row>
    <row r="2927" spans="1:12">
      <c r="A2927" s="20" t="s">
        <v>1671</v>
      </c>
    </row>
    <row r="2928" spans="1:12">
      <c r="A2928" s="20" t="s">
        <v>908</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869</v>
      </c>
      <c r="B2929" s="27" t="s">
        <v>760</v>
      </c>
      <c r="C2929" s="27" t="s">
        <v>797</v>
      </c>
      <c r="D2929" s="27" t="s">
        <v>762</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1576</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t="s">
        <v>793</v>
      </c>
      <c r="E2931" s="21">
        <f>IF(D2931="?OLD","!!!","")</f>
        <v/>
      </c>
      <c r="F2931" s="22" t="str">
        <f>IF(OR(E2931="",E2931="!!!"),"",IF(NOT(ISNA(VLOOKUP(E2931,E$1:E2930,1,FALSE()))),"OLD",IF(AND(E2931&lt;&gt;"",E2931&lt;&gt;"!!!"),"NEW","")))</f>
        <v> </v>
      </c>
      <c r="G2931" s="23" t="str">
        <f>IF(OR(E2931="",E2931="!!!"),"",IF(OR(J2931=0,AND(J2931=1,K2931=1),AND(J2931=1,I2931="SBJ"),AND(J2931=1,I2931=0)),"?IN_FOCUS",IF(J2931&lt;=2,"?ACTIVATED",IF(J2931&lt;&gt;"","?FAMILIAR",IF(F2931="NEW",IF(ISNA(VLOOKUP(E2931,#REF!,1,FALSE())),"?TYPE_IDENTIFIABLE","?REFERENTIAL"),"_")))))</f>
        <v> </v>
      </c>
      <c r="H2931" s="24" t="str">
        <f>IF(J2931&lt;&gt;1,"",IF(I2931="SBJ","CB","?"))</f>
        <v> </v>
      </c>
      <c r="I2931" s="25" t="str">
        <f>IF(OR(E2931="",E2931="!!!",F2931="NEW"),"",INDEX(B2930:B$2,-1+SUMPRODUCT(MAX(ROW(E2930:E$2)*(E2931=E2930:E$2)))))</f>
        <v> </v>
      </c>
      <c r="J2931" s="25" t="str">
        <f>IF(OR(E2931="",E2931="!!!",F2931="NEW"),"",COUNTBLANK(OFFSET(A$1,,,SUMPRODUCT(MAX(ROW(E$2:E2931)*(E2931=E$2:E2931)))))-COUNTBLANK(OFFSET(A$1,,,SUMPRODUCT(MAX(ROW(E$1:E2930)*(E2=E$1:E2930))))))</f>
        <v> </v>
      </c>
      <c r="K2931" s="25" t="str">
        <f>IF(OR(E2931="",E2931="!!!",F2931="NEW"),"",INDEX(J$1:J2930,SUMPRODUCT(MAX(ROW(E$1:E2930)*(E2931=E$1:E2930)))))</f>
        <v> </v>
      </c>
      <c r="L2931" s="26"/>
    </row>
    <row r="2932" spans="1:12">
      <c r="A2932" s="20" t="s">
        <v>955</v>
      </c>
      <c r="B2932" s="27" t="s">
        <v>796</v>
      </c>
      <c r="C2932" s="27" t="s">
        <v>777</v>
      </c>
      <c r="D2932" s="27" t="s">
        <v>762</v>
      </c>
      <c r="E2932" s="21">
        <f>IF(D2932="?OLD","!!!","")</f>
        <v/>
      </c>
      <c r="F2932" s="22" t="str">
        <f>IF(OR(E2932="",E2932="!!!"),"",IF(NOT(ISNA(VLOOKUP(E2932,E$1:E2931,1,FALSE()))),"OLD",IF(AND(E2932&lt;&gt;"",E2932&lt;&gt;"!!!"),"NEW","")))</f>
        <v> </v>
      </c>
      <c r="G2932" s="23" t="str">
        <f>IF(OR(E2932="",E2932="!!!"),"",IF(OR(J2932=0,AND(J2932=1,K2932=1),AND(J2932=1,I2932="SBJ"),AND(J2932=1,I2932=0)),"?IN_FOCUS",IF(J2932&lt;=2,"?ACTIVATED",IF(J2932&lt;&gt;"","?FAMILIAR",IF(F2932="NEW",IF(ISNA(VLOOKUP(E2932,#REF!,1,FALSE())),"?TYPE_IDENTIFIABLE","?REFERENTIAL"),"_")))))</f>
        <v> </v>
      </c>
      <c r="H2932" s="24" t="str">
        <f>IF(J2932&lt;&gt;1,"",IF(I2932="SBJ","CB","?"))</f>
        <v> </v>
      </c>
      <c r="I2932" s="25" t="str">
        <f>IF(OR(E2932="",E2932="!!!",F2932="NEW"),"",INDEX(B2931:B$2,-1+SUMPRODUCT(MAX(ROW(E2931:E$2)*(E2932=E2931:E$2)))))</f>
        <v> </v>
      </c>
      <c r="J2932" s="25" t="str">
        <f>IF(OR(E2932="",E2932="!!!",F2932="NEW"),"",COUNTBLANK(OFFSET(A$1,,,SUMPRODUCT(MAX(ROW(E$2:E2932)*(E2932=E$2:E2932)))))-COUNTBLANK(OFFSET(A$1,,,SUMPRODUCT(MAX(ROW(E$1:E2931)*(E2=E$1:E2931))))))</f>
        <v> </v>
      </c>
      <c r="K2932" s="25" t="str">
        <f>IF(OR(E2932="",E2932="!!!",F2932="NEW"),"",INDEX(J$1:J2931,SUMPRODUCT(MAX(ROW(E$1:E2931)*(E2932=E$1:E2931)))))</f>
        <v> </v>
      </c>
      <c r="L2932" s="26"/>
    </row>
    <row r="2933" spans="1:12">
      <c r="A2933" s="20" t="s">
        <v>778</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764</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1672</v>
      </c>
      <c r="B2935" s="27" t="s">
        <v>753</v>
      </c>
      <c r="C2935" s="27" t="s">
        <v>768</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826</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758</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779</v>
      </c>
      <c r="B2938" s="27" t="s">
        <v>956</v>
      </c>
      <c r="C2938" s="27" t="s">
        <v>820</v>
      </c>
      <c r="D2938" s="27" t="s">
        <v>762</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798</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1237</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804</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758</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946</v>
      </c>
      <c r="B2943" s="27" t="s">
        <v>894</v>
      </c>
      <c r="C2943" s="27" t="s">
        <v>820</v>
      </c>
      <c r="D2943" s="27" t="s">
        <v>762</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774</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row>
    <row r="2946" spans="1:12">
      <c r="A2946" s="20" t="s">
        <v>1673</v>
      </c>
    </row>
    <row r="2947" spans="1:12">
      <c r="A2947" s="20" t="s">
        <v>934</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869</v>
      </c>
      <c r="B2948" s="27" t="s">
        <v>956</v>
      </c>
      <c r="C2948" s="27" t="s">
        <v>797</v>
      </c>
      <c r="D2948" s="27" t="s">
        <v>762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1674</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855</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t="s">
        <v>1155</v>
      </c>
      <c r="B2951" s="27" t="s">
        <v>956</v>
      </c>
      <c r="C2951" s="27" t="s">
        <v>797</v>
      </c>
      <c r="D2951" s="27" t="s">
        <v>762</v>
      </c>
      <c r="E2951" s="21">
        <f>IF(D2951="?OLD","!!!","")</f>
        <v/>
      </c>
      <c r="F2951" s="22" t="str">
        <f>IF(OR(E2951="",E2951="!!!"),"",IF(NOT(ISNA(VLOOKUP(E2951,E$1:E2950,1,FALSE()))),"OLD",IF(AND(E2951&lt;&gt;"",E2951&lt;&gt;"!!!"),"NEW","")))</f>
        <v> </v>
      </c>
      <c r="G2951" s="23" t="str">
        <f>IF(OR(E2951="",E2951="!!!"),"",IF(OR(J2951=0,AND(J2951=1,K2951=1),AND(J2951=1,I2951="SBJ"),AND(J2951=1,I2951=0)),"?IN_FOCUS",IF(J2951&lt;=2,"?ACTIVATED",IF(J2951&lt;&gt;"","?FAMILIAR",IF(F2951="NEW",IF(ISNA(VLOOKUP(E2951,#REF!,1,FALSE())),"?TYPE_IDENTIFIABLE","?REFERENTIAL"),"_")))))</f>
        <v> </v>
      </c>
      <c r="H2951" s="24" t="str">
        <f>IF(J2951&lt;&gt;1,"",IF(I2951="SBJ","CB","?"))</f>
        <v> </v>
      </c>
      <c r="I2951" s="25" t="str">
        <f>IF(OR(E2951="",E2951="!!!",F2951="NEW"),"",INDEX(B2950:B$2,-1+SUMPRODUCT(MAX(ROW(E2950:E$2)*(E2951=E2950:E$2)))))</f>
        <v> </v>
      </c>
      <c r="J2951" s="25" t="str">
        <f>IF(OR(E2951="",E2951="!!!",F2951="NEW"),"",COUNTBLANK(OFFSET(A$1,,,SUMPRODUCT(MAX(ROW(E$2:E2951)*(E2951=E$2:E2951)))))-COUNTBLANK(OFFSET(A$1,,,SUMPRODUCT(MAX(ROW(E$1:E2950)*(E2=E$1:E2950))))))</f>
        <v> </v>
      </c>
      <c r="K2951" s="25" t="str">
        <f>IF(OR(E2951="",E2951="!!!",F2951="NEW"),"",INDEX(J$1:J2950,SUMPRODUCT(MAX(ROW(E$1:E2950)*(E2951=E$1:E2950)))))</f>
        <v> </v>
      </c>
      <c r="L2951" s="26"/>
    </row>
    <row r="2952" spans="1:12">
      <c r="A2952" s="20" t="s">
        <v>1051</v>
      </c>
      <c r="E2952" s="21">
        <f>IF(D2952="?OLD","!!!","")</f>
        <v/>
      </c>
      <c r="F2952" s="22" t="str">
        <f>IF(OR(E2952="",E2952="!!!"),"",IF(NOT(ISNA(VLOOKUP(E2952,E$1:E2951,1,FALSE()))),"OLD",IF(AND(E2952&lt;&gt;"",E2952&lt;&gt;"!!!"),"NEW","")))</f>
        <v> </v>
      </c>
      <c r="G2952" s="23" t="str">
        <f>IF(OR(E2952="",E2952="!!!"),"",IF(OR(J2952=0,AND(J2952=1,K2952=1),AND(J2952=1,I2952="SBJ"),AND(J2952=1,I2952=0)),"?IN_FOCUS",IF(J2952&lt;=2,"?ACTIVATED",IF(J2952&lt;&gt;"","?FAMILIAR",IF(F2952="NEW",IF(ISNA(VLOOKUP(E2952,#REF!,1,FALSE())),"?TYPE_IDENTIFIABLE","?REFERENTIAL"),"_")))))</f>
        <v> </v>
      </c>
      <c r="H2952" s="24" t="str">
        <f>IF(J2952&lt;&gt;1,"",IF(I2952="SBJ","CB","?"))</f>
        <v> </v>
      </c>
      <c r="I2952" s="25" t="str">
        <f>IF(OR(E2952="",E2952="!!!",F2952="NEW"),"",INDEX(B2951:B$2,-1+SUMPRODUCT(MAX(ROW(E2951:E$2)*(E2952=E2951:E$2)))))</f>
        <v> </v>
      </c>
      <c r="J2952" s="25" t="str">
        <f>IF(OR(E2952="",E2952="!!!",F2952="NEW"),"",COUNTBLANK(OFFSET(A$1,,,SUMPRODUCT(MAX(ROW(E$2:E2952)*(E2952=E$2:E2952)))))-COUNTBLANK(OFFSET(A$1,,,SUMPRODUCT(MAX(ROW(E$1:E2951)*(E2=E$1:E2951))))))</f>
        <v> </v>
      </c>
      <c r="K2952" s="25" t="str">
        <f>IF(OR(E2952="",E2952="!!!",F2952="NEW"),"",INDEX(J$1:J2951,SUMPRODUCT(MAX(ROW(E$1:E2951)*(E2952=E$1:E2951)))))</f>
        <v> </v>
      </c>
      <c r="L2952" s="26"/>
    </row>
    <row r="2953" spans="1:12">
      <c r="A2953" s="20" t="s">
        <v>1675</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872</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769</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838</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1606</v>
      </c>
      <c r="B2957" s="27" t="s">
        <v>879</v>
      </c>
      <c r="C2957" s="27" t="s">
        <v>761</v>
      </c>
      <c r="D2957" s="27" t="s">
        <v>762</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807</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838</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829</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1676</v>
      </c>
      <c r="B2961" s="27" t="s">
        <v>901</v>
      </c>
      <c r="C2961" s="27" t="s">
        <v>761</v>
      </c>
      <c r="D2961" s="27" t="s">
        <v>762</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793</v>
      </c>
      <c r="B2962" s="27" t="s">
        <v>1076</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869</v>
      </c>
      <c r="B2963" s="27" t="s">
        <v>1272</v>
      </c>
      <c r="C2963" s="27" t="s">
        <v>797</v>
      </c>
      <c r="D2963" s="27" t="s">
        <v>762</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1677</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769</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1678</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757</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869</v>
      </c>
      <c r="B2968" s="27" t="s">
        <v>796</v>
      </c>
      <c r="C2968" s="27" t="s">
        <v>797</v>
      </c>
      <c r="D2968" s="27" t="s">
        <v>762</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1576</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1679</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793</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955</v>
      </c>
      <c r="B2972" s="27" t="s">
        <v>956</v>
      </c>
      <c r="C2972" s="27" t="s">
        <v>777</v>
      </c>
      <c r="D2972" s="27" t="s">
        <v>762</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778</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807</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1344</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1159</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1680</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1681</v>
      </c>
      <c r="B2978" s="27" t="s">
        <v>879</v>
      </c>
      <c r="C2978" s="27" t="s">
        <v>1019</v>
      </c>
      <c r="D2978" s="27" t="s">
        <v>762</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t="s">
        <v>805</v>
      </c>
      <c r="E2979" s="21">
        <f>IF(D2979="?OLD","!!!","")</f>
        <v/>
      </c>
      <c r="F2979" s="22" t="str">
        <f>IF(OR(E2979="",E2979="!!!"),"",IF(NOT(ISNA(VLOOKUP(E2979,E$1:E2978,1,FALSE()))),"OLD",IF(AND(E2979&lt;&gt;"",E2979&lt;&gt;"!!!"),"NEW","")))</f>
        <v> </v>
      </c>
      <c r="G2979" s="23" t="str">
        <f>IF(OR(E2979="",E2979="!!!"),"",IF(OR(J2979=0,AND(J2979=1,K2979=1),AND(J2979=1,I2979="SBJ"),AND(J2979=1,I2979=0)),"?IN_FOCUS",IF(J2979&lt;=2,"?ACTIVATED",IF(J2979&lt;&gt;"","?FAMILIAR",IF(F2979="NEW",IF(ISNA(VLOOKUP(E2979,#REF!,1,FALSE())),"?TYPE_IDENTIFIABLE","?REFERENTIAL"),"_")))))</f>
        <v> </v>
      </c>
      <c r="H2979" s="24" t="str">
        <f>IF(J2979&lt;&gt;1,"",IF(I2979="SBJ","CB","?"))</f>
        <v> </v>
      </c>
      <c r="I2979" s="25" t="str">
        <f>IF(OR(E2979="",E2979="!!!",F2979="NEW"),"",INDEX(B2978:B$2,-1+SUMPRODUCT(MAX(ROW(E2978:E$2)*(E2979=E2978:E$2)))))</f>
        <v> </v>
      </c>
      <c r="J2979" s="25" t="str">
        <f>IF(OR(E2979="",E2979="!!!",F2979="NEW"),"",COUNTBLANK(OFFSET(A$1,,,SUMPRODUCT(MAX(ROW(E$2:E2979)*(E2979=E$2:E2979)))))-COUNTBLANK(OFFSET(A$1,,,SUMPRODUCT(MAX(ROW(E$1:E2978)*(E2=E$1:E2978))))))</f>
        <v> </v>
      </c>
      <c r="K2979" s="25" t="str">
        <f>IF(OR(E2979="",E2979="!!!",F2979="NEW"),"",INDEX(J$1:J2978,SUMPRODUCT(MAX(ROW(E$1:E2978)*(E2979=E$1:E2978)))))</f>
        <v> </v>
      </c>
      <c r="L2979" s="26"/>
    </row>
    <row r="2980" spans="1:12">
      <c r="A2980" s="20" t="s">
        <v>1682</v>
      </c>
      <c r="B2980" s="27" t="s">
        <v>901</v>
      </c>
      <c r="C2980" s="27" t="s">
        <v>754</v>
      </c>
      <c r="E2980" s="21">
        <f>IF(D2980="?OLD","!!!","")</f>
        <v/>
      </c>
      <c r="F2980" s="22" t="str">
        <f>IF(OR(E2980="",E2980="!!!"),"",IF(NOT(ISNA(VLOOKUP(E2980,E$1:E2979,1,FALSE()))),"OLD",IF(AND(E2980&lt;&gt;"",E2980&lt;&gt;"!!!"),"NEW","")))</f>
        <v> </v>
      </c>
      <c r="G2980" s="23" t="str">
        <f>IF(OR(E2980="",E2980="!!!"),"",IF(OR(J2980=0,AND(J2980=1,K2980=1),AND(J2980=1,I2980="SBJ"),AND(J2980=1,I2980=0)),"?IN_FOCUS",IF(J2980&lt;=2,"?ACTIVATED",IF(J2980&lt;&gt;"","?FAMILIAR",IF(F2980="NEW",IF(ISNA(VLOOKUP(E2980,#REF!,1,FALSE())),"?TYPE_IDENTIFIABLE","?REFERENTIAL"),"_")))))</f>
        <v> </v>
      </c>
      <c r="H2980" s="24" t="str">
        <f>IF(J2980&lt;&gt;1,"",IF(I2980="SBJ","CB","?"))</f>
        <v> </v>
      </c>
      <c r="I2980" s="25" t="str">
        <f>IF(OR(E2980="",E2980="!!!",F2980="NEW"),"",INDEX(B2979:B$2,-1+SUMPRODUCT(MAX(ROW(E2979:E$2)*(E2980=E2979:E$2)))))</f>
        <v> </v>
      </c>
      <c r="J2980" s="25" t="str">
        <f>IF(OR(E2980="",E2980="!!!",F2980="NEW"),"",COUNTBLANK(OFFSET(A$1,,,SUMPRODUCT(MAX(ROW(E$2:E2980)*(E2980=E$2:E2980)))))-COUNTBLANK(OFFSET(A$1,,,SUMPRODUCT(MAX(ROW(E$1:E2979)*(E2=E$1:E2979))))))</f>
        <v> </v>
      </c>
      <c r="K2980" s="25" t="str">
        <f>IF(OR(E2980="",E2980="!!!",F2980="NEW"),"",INDEX(J$1:J2979,SUMPRODUCT(MAX(ROW(E$1:E2979)*(E2980=E$1:E2979)))))</f>
        <v> </v>
      </c>
      <c r="L2980" s="26"/>
    </row>
    <row r="2981" spans="1:12">
      <c r="A2981" s="20" t="s">
        <v>1085</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822</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1683</v>
      </c>
      <c r="B2983" s="27" t="s">
        <v>815</v>
      </c>
      <c r="C2983" s="27" t="s">
        <v>761</v>
      </c>
      <c r="D2983" s="27" t="s">
        <v>762</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1684</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889</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697</v>
      </c>
      <c r="B2986" s="27" t="s">
        <v>796</v>
      </c>
      <c r="C2986" s="27" t="s">
        <v>797</v>
      </c>
      <c r="D2986" s="27" t="s">
        <v>762</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1685</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758</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1686</v>
      </c>
      <c r="B2989" s="27" t="s">
        <v>802</v>
      </c>
      <c r="C2989" s="27" t="s">
        <v>761</v>
      </c>
      <c r="D2989" s="27" t="s">
        <v>762</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785</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t="s">
        <v>822</v>
      </c>
      <c r="E2991" s="21">
        <f>IF(D2991="?OLD","!!!","")</f>
        <v/>
      </c>
      <c r="F2991" s="22" t="str">
        <f>IF(OR(E2991="",E2991="!!!"),"",IF(NOT(ISNA(VLOOKUP(E2991,E$1:E2990,1,FALSE()))),"OLD",IF(AND(E2991&lt;&gt;"",E2991&lt;&gt;"!!!"),"NEW","")))</f>
        <v> </v>
      </c>
      <c r="G2991" s="23" t="str">
        <f>IF(OR(E2991="",E2991="!!!"),"",IF(OR(J2991=0,AND(J2991=1,K2991=1),AND(J2991=1,I2991="SBJ"),AND(J2991=1,I2991=0)),"?IN_FOCUS",IF(J2991&lt;=2,"?ACTIVATED",IF(J2991&lt;&gt;"","?FAMILIAR",IF(F2991="NEW",IF(ISNA(VLOOKUP(E2991,#REF!,1,FALSE())),"?TYPE_IDENTIFIABLE","?REFERENTIAL"),"_")))))</f>
        <v> </v>
      </c>
      <c r="H2991" s="24" t="str">
        <f>IF(J2991&lt;&gt;1,"",IF(I2991="SBJ","CB","?"))</f>
        <v> </v>
      </c>
      <c r="I2991" s="25" t="str">
        <f>IF(OR(E2991="",E2991="!!!",F2991="NEW"),"",INDEX(B2990:B$2,-1+SUMPRODUCT(MAX(ROW(E2990:E$2)*(E2991=E2990:E$2)))))</f>
        <v> </v>
      </c>
      <c r="J2991" s="25" t="str">
        <f>IF(OR(E2991="",E2991="!!!",F2991="NEW"),"",COUNTBLANK(OFFSET(A$1,,,SUMPRODUCT(MAX(ROW(E$2:E2991)*(E2991=E$2:E2991)))))-COUNTBLANK(OFFSET(A$1,,,SUMPRODUCT(MAX(ROW(E$1:E2990)*(E2=E$1:E2990))))))</f>
        <v> </v>
      </c>
      <c r="K2991" s="25" t="str">
        <f>IF(OR(E2991="",E2991="!!!",F2991="NEW"),"",INDEX(J$1:J2990,SUMPRODUCT(MAX(ROW(E$1:E2990)*(E2991=E$1:E2990)))))</f>
        <v> </v>
      </c>
      <c r="L2991" s="26"/>
    </row>
    <row r="2992" spans="1:12">
      <c r="A2992" s="20" t="s">
        <v>1600</v>
      </c>
      <c r="B2992" s="27" t="s">
        <v>772</v>
      </c>
      <c r="C2992" s="27" t="s">
        <v>761</v>
      </c>
      <c r="D2992" s="27" t="s">
        <v>762</v>
      </c>
      <c r="E2992" s="21">
        <f>IF(D2992="?OLD","!!!","")</f>
        <v/>
      </c>
      <c r="F2992" s="22" t="str">
        <f>IF(OR(E2992="",E2992="!!!"),"",IF(NOT(ISNA(VLOOKUP(E2992,E$1:E2991,1,FALSE()))),"OLD",IF(AND(E2992&lt;&gt;"",E2992&lt;&gt;"!!!"),"NEW","")))</f>
        <v> </v>
      </c>
      <c r="G2992" s="23" t="str">
        <f>IF(OR(E2992="",E2992="!!!"),"",IF(OR(J2992=0,AND(J2992=1,K2992=1),AND(J2992=1,I2992="SBJ"),AND(J2992=1,I2992=0)),"?IN_FOCUS",IF(J2992&lt;=2,"?ACTIVATED",IF(J2992&lt;&gt;"","?FAMILIAR",IF(F2992="NEW",IF(ISNA(VLOOKUP(E2992,#REF!,1,FALSE())),"?TYPE_IDENTIFIABLE","?REFERENTIAL"),"_")))))</f>
        <v> </v>
      </c>
      <c r="H2992" s="24" t="str">
        <f>IF(J2992&lt;&gt;1,"",IF(I2992="SBJ","CB","?"))</f>
        <v> </v>
      </c>
      <c r="I2992" s="25" t="str">
        <f>IF(OR(E2992="",E2992="!!!",F2992="NEW"),"",INDEX(B2991:B$2,-1+SUMPRODUCT(MAX(ROW(E2991:E$2)*(E2992=E2991:E$2)))))</f>
        <v> </v>
      </c>
      <c r="J2992" s="25" t="str">
        <f>IF(OR(E2992="",E2992="!!!",F2992="NEW"),"",COUNTBLANK(OFFSET(A$1,,,SUMPRODUCT(MAX(ROW(E$2:E2992)*(E2992=E$2:E2992)))))-COUNTBLANK(OFFSET(A$1,,,SUMPRODUCT(MAX(ROW(E$1:E2991)*(E2=E$1:E2991))))))</f>
        <v> </v>
      </c>
      <c r="K2992" s="25" t="str">
        <f>IF(OR(E2992="",E2992="!!!",F2992="NEW"),"",INDEX(J$1:J2991,SUMPRODUCT(MAX(ROW(E$1:E2991)*(E2992=E$1:E2991)))))</f>
        <v> </v>
      </c>
      <c r="L2992" s="26"/>
    </row>
    <row r="2993" spans="1:12">
      <c r="A2993" s="20" t="s">
        <v>1043</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1050</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795</v>
      </c>
      <c r="B2995" s="27" t="s">
        <v>941</v>
      </c>
      <c r="C2995" s="27" t="s">
        <v>797</v>
      </c>
      <c r="D2995" s="27" t="s">
        <v>762</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778</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1687</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1688</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1007</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822</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1689</v>
      </c>
      <c r="B3001" s="27" t="s">
        <v>815</v>
      </c>
      <c r="C3001" s="27" t="s">
        <v>761</v>
      </c>
      <c r="D3001" s="27" t="s">
        <v>762</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774</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row>
    <row r="3004" spans="1:12">
      <c r="A3004" s="20" t="s">
        <v>1690</v>
      </c>
    </row>
    <row r="3005" spans="1:12">
      <c r="A3005" s="20" t="s">
        <v>1065</v>
      </c>
      <c r="B3005" s="27" t="s">
        <v>760</v>
      </c>
      <c r="C3005" s="27" t="s">
        <v>797</v>
      </c>
      <c r="D3005" s="27" t="s">
        <v>762</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1691</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551</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785</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770</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1147</v>
      </c>
      <c r="B3010" s="27" t="s">
        <v>772</v>
      </c>
      <c r="C3010" s="27" t="s">
        <v>761</v>
      </c>
      <c r="D3010" s="27" t="s">
        <v>762</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1286</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886</v>
      </c>
      <c r="B3012" s="27" t="s">
        <v>941</v>
      </c>
      <c r="C3012" s="27" t="s">
        <v>797</v>
      </c>
      <c r="D3012" s="27" t="s">
        <v>762</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1692</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838</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t="s">
        <v>1693</v>
      </c>
      <c r="B3015" s="27" t="s">
        <v>940</v>
      </c>
      <c r="C3015" s="27" t="s">
        <v>761</v>
      </c>
      <c r="D3015" s="27" t="s">
        <v>762</v>
      </c>
      <c r="E3015" s="21">
        <f>IF(D3015="?OLD","!!!","")</f>
        <v/>
      </c>
      <c r="F3015" s="22" t="str">
        <f>IF(OR(E3015="",E3015="!!!"),"",IF(NOT(ISNA(VLOOKUP(E3015,E$1:E3014,1,FALSE()))),"OLD",IF(AND(E3015&lt;&gt;"",E3015&lt;&gt;"!!!"),"NEW","")))</f>
        <v> </v>
      </c>
      <c r="G3015" s="23" t="str">
        <f>IF(OR(E3015="",E3015="!!!"),"",IF(OR(J3015=0,AND(J3015=1,K3015=1),AND(J3015=1,I3015="SBJ"),AND(J3015=1,I3015=0)),"?IN_FOCUS",IF(J3015&lt;=2,"?ACTIVATED",IF(J3015&lt;&gt;"","?FAMILIAR",IF(F3015="NEW",IF(ISNA(VLOOKUP(E3015,#REF!,1,FALSE())),"?TYPE_IDENTIFIABLE","?REFERENTIAL"),"_")))))</f>
        <v> </v>
      </c>
      <c r="H3015" s="24" t="str">
        <f>IF(J3015&lt;&gt;1,"",IF(I3015="SBJ","CB","?"))</f>
        <v> </v>
      </c>
      <c r="I3015" s="25" t="str">
        <f>IF(OR(E3015="",E3015="!!!",F3015="NEW"),"",INDEX(B3014:B$2,-1+SUMPRODUCT(MAX(ROW(E3014:E$2)*(E3015=E3014:E$2)))))</f>
        <v> </v>
      </c>
      <c r="J3015" s="25" t="str">
        <f>IF(OR(E3015="",E3015="!!!",F3015="NEW"),"",COUNTBLANK(OFFSET(A$1,,,SUMPRODUCT(MAX(ROW(E$2:E3015)*(E3015=E$2:E3015)))))-COUNTBLANK(OFFSET(A$1,,,SUMPRODUCT(MAX(ROW(E$1:E3014)*(E2=E$1:E3014))))))</f>
        <v> </v>
      </c>
      <c r="K3015" s="25" t="str">
        <f>IF(OR(E3015="",E3015="!!!",F3015="NEW"),"",INDEX(J$1:J3014,SUMPRODUCT(MAX(ROW(E$1:E3014)*(E3015=E$1:E3014)))))</f>
        <v> </v>
      </c>
      <c r="L3015" s="26"/>
    </row>
    <row r="3016" spans="1:12">
      <c r="A3016" s="20" t="s">
        <v>774</v>
      </c>
      <c r="E3016" s="21">
        <f>IF(D3016="?OLD","!!!","")</f>
        <v/>
      </c>
      <c r="F3016" s="22" t="str">
        <f>IF(OR(E3016="",E3016="!!!"),"",IF(NOT(ISNA(VLOOKUP(E3016,E$1:E3015,1,FALSE()))),"OLD",IF(AND(E3016&lt;&gt;"",E3016&lt;&gt;"!!!"),"NEW","")))</f>
        <v> </v>
      </c>
      <c r="G3016" s="23" t="str">
        <f>IF(OR(E3016="",E3016="!!!"),"",IF(OR(J3016=0,AND(J3016=1,K3016=1),AND(J3016=1,I3016="SBJ"),AND(J3016=1,I3016=0)),"?IN_FOCUS",IF(J3016&lt;=2,"?ACTIVATED",IF(J3016&lt;&gt;"","?FAMILIAR",IF(F3016="NEW",IF(ISNA(VLOOKUP(E3016,#REF!,1,FALSE())),"?TYPE_IDENTIFIABLE","?REFERENTIAL"),"_")))))</f>
        <v> </v>
      </c>
      <c r="H3016" s="24" t="str">
        <f>IF(J3016&lt;&gt;1,"",IF(I3016="SBJ","CB","?"))</f>
        <v> </v>
      </c>
      <c r="I3016" s="25" t="str">
        <f>IF(OR(E3016="",E3016="!!!",F3016="NEW"),"",INDEX(B3015:B$2,-1+SUMPRODUCT(MAX(ROW(E3015:E$2)*(E3016=E3015:E$2)))))</f>
        <v> </v>
      </c>
      <c r="J3016" s="25" t="str">
        <f>IF(OR(E3016="",E3016="!!!",F3016="NEW"),"",COUNTBLANK(OFFSET(A$1,,,SUMPRODUCT(MAX(ROW(E$2:E3016)*(E3016=E$2:E3016)))))-COUNTBLANK(OFFSET(A$1,,,SUMPRODUCT(MAX(ROW(E$1:E3015)*(E2=E$1:E3015))))))</f>
        <v> </v>
      </c>
      <c r="K3016" s="25" t="str">
        <f>IF(OR(E3016="",E3016="!!!",F3016="NEW"),"",INDEX(J$1:J3015,SUMPRODUCT(MAX(ROW(E$1:E3015)*(E3016=E$1:E3015)))))</f>
        <v> </v>
      </c>
      <c r="L3016" s="26"/>
    </row>
    <row r="3017" spans="1:12">
      <c r="A3017" s="20"/>
    </row>
    <row r="3018" spans="1:12">
      <c r="A3018" s="20" t="s">
        <v>1694</v>
      </c>
    </row>
    <row r="3019" spans="1:12">
      <c r="A3019" s="20" t="s">
        <v>1695</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757</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t="s">
        <v>838</v>
      </c>
      <c r="E3021" s="21">
        <f>IF(D3021="?OLD","!!!","")</f>
        <v/>
      </c>
      <c r="F3021" s="22" t="str">
        <f>IF(OR(E3021="",E3021="!!!"),"",IF(NOT(ISNA(VLOOKUP(E3021,E$1:E3020,1,FALSE()))),"OLD",IF(AND(E3021&lt;&gt;"",E3021&lt;&gt;"!!!"),"NEW","")))</f>
        <v> </v>
      </c>
      <c r="G3021" s="23" t="str">
        <f>IF(OR(E3021="",E3021="!!!"),"",IF(OR(J3021=0,AND(J3021=1,K3021=1),AND(J3021=1,I3021="SBJ"),AND(J3021=1,I3021=0)),"?IN_FOCUS",IF(J3021&lt;=2,"?ACTIVATED",IF(J3021&lt;&gt;"","?FAMILIAR",IF(F3021="NEW",IF(ISNA(VLOOKUP(E3021,#REF!,1,FALSE())),"?TYPE_IDENTIFIABLE","?REFERENTIAL"),"_")))))</f>
        <v> </v>
      </c>
      <c r="H3021" s="24" t="str">
        <f>IF(J3021&lt;&gt;1,"",IF(I3021="SBJ","CB","?"))</f>
        <v> </v>
      </c>
      <c r="I3021" s="25" t="str">
        <f>IF(OR(E3021="",E3021="!!!",F3021="NEW"),"",INDEX(B3020:B$2,-1+SUMPRODUCT(MAX(ROW(E3020:E$2)*(E3021=E3020:E$2)))))</f>
        <v> </v>
      </c>
      <c r="J3021" s="25" t="str">
        <f>IF(OR(E3021="",E3021="!!!",F3021="NEW"),"",COUNTBLANK(OFFSET(A$1,,,SUMPRODUCT(MAX(ROW(E$2:E3021)*(E3021=E$2:E3021)))))-COUNTBLANK(OFFSET(A$1,,,SUMPRODUCT(MAX(ROW(E$1:E3020)*(E2=E$1:E3020))))))</f>
        <v> </v>
      </c>
      <c r="K3021" s="25" t="str">
        <f>IF(OR(E3021="",E3021="!!!",F3021="NEW"),"",INDEX(J$1:J3020,SUMPRODUCT(MAX(ROW(E$1:E3020)*(E3021=E$1:E3020)))))</f>
        <v> </v>
      </c>
      <c r="L3021" s="26"/>
    </row>
    <row r="3022" spans="1:12">
      <c r="A3022" s="20" t="s">
        <v>1104</v>
      </c>
      <c r="B3022" s="27" t="s">
        <v>760</v>
      </c>
      <c r="C3022" s="27" t="s">
        <v>761</v>
      </c>
      <c r="D3022" s="27" t="s">
        <v>762</v>
      </c>
      <c r="E3022" s="21">
        <f>IF(D3022="?OLD","!!!","")</f>
        <v/>
      </c>
      <c r="F3022" s="22" t="str">
        <f>IF(OR(E3022="",E3022="!!!"),"",IF(NOT(ISNA(VLOOKUP(E3022,E$1:E3021,1,FALSE()))),"OLD",IF(AND(E3022&lt;&gt;"",E3022&lt;&gt;"!!!"),"NEW","")))</f>
        <v> </v>
      </c>
      <c r="G3022" s="23" t="str">
        <f>IF(OR(E3022="",E3022="!!!"),"",IF(OR(J3022=0,AND(J3022=1,K3022=1),AND(J3022=1,I3022="SBJ"),AND(J3022=1,I3022=0)),"?IN_FOCUS",IF(J3022&lt;=2,"?ACTIVATED",IF(J3022&lt;&gt;"","?FAMILIAR",IF(F3022="NEW",IF(ISNA(VLOOKUP(E3022,#REF!,1,FALSE())),"?TYPE_IDENTIFIABLE","?REFERENTIAL"),"_")))))</f>
        <v> </v>
      </c>
      <c r="H3022" s="24" t="str">
        <f>IF(J3022&lt;&gt;1,"",IF(I3022="SBJ","CB","?"))</f>
        <v> </v>
      </c>
      <c r="I3022" s="25" t="str">
        <f>IF(OR(E3022="",E3022="!!!",F3022="NEW"),"",INDEX(B3021:B$2,-1+SUMPRODUCT(MAX(ROW(E3021:E$2)*(E3022=E3021:E$2)))))</f>
        <v> </v>
      </c>
      <c r="J3022" s="25" t="str">
        <f>IF(OR(E3022="",E3022="!!!",F3022="NEW"),"",COUNTBLANK(OFFSET(A$1,,,SUMPRODUCT(MAX(ROW(E$2:E3022)*(E3022=E$2:E3022)))))-COUNTBLANK(OFFSET(A$1,,,SUMPRODUCT(MAX(ROW(E$1:E3021)*(E2=E$1:E3021))))))</f>
        <v> </v>
      </c>
      <c r="K3022" s="25" t="str">
        <f>IF(OR(E3022="",E3022="!!!",F3022="NEW"),"",INDEX(J$1:J3021,SUMPRODUCT(MAX(ROW(E$1:E3021)*(E3022=E$1:E3021)))))</f>
        <v> </v>
      </c>
      <c r="L3022" s="26"/>
    </row>
    <row r="3023" spans="1:12">
      <c r="A3023" s="20" t="s">
        <v>1007</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770</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1696</v>
      </c>
      <c r="B3025" s="27" t="s">
        <v>772</v>
      </c>
      <c r="C3025" s="27" t="s">
        <v>761</v>
      </c>
      <c r="D3025" s="27" t="s">
        <v>762</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778</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854</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889</v>
      </c>
      <c r="B3028" s="27" t="s">
        <v>796</v>
      </c>
      <c r="C3028" s="27" t="s">
        <v>1418</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778</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1419</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889</v>
      </c>
      <c r="B3031" s="27" t="s">
        <v>894</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890</v>
      </c>
      <c r="B3032" s="27" t="s">
        <v>956</v>
      </c>
      <c r="C3032" s="27" t="s">
        <v>820</v>
      </c>
      <c r="D3032" s="27" t="s">
        <v>762</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1697</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1238</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884</v>
      </c>
      <c r="B3035" s="27" t="s">
        <v>901</v>
      </c>
      <c r="C3035" s="27" t="s">
        <v>851</v>
      </c>
      <c r="D3035" s="27" t="s">
        <v>762</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943</v>
      </c>
      <c r="B3036" s="27" t="s">
        <v>879</v>
      </c>
      <c r="C3036" s="27" t="s">
        <v>837</v>
      </c>
      <c r="D3036" s="27" t="s">
        <v>762</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757</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889</v>
      </c>
      <c r="B3038" s="27" t="s">
        <v>753</v>
      </c>
      <c r="C3038" s="27" t="s">
        <v>1418</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778</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1419</v>
      </c>
      <c r="B3040" s="27" t="s">
        <v>760</v>
      </c>
      <c r="C3040" s="27" t="s">
        <v>777</v>
      </c>
      <c r="D3040" s="27" t="s">
        <v>762</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t="s">
        <v>889</v>
      </c>
      <c r="B3041" s="27" t="s">
        <v>802</v>
      </c>
      <c r="E3041" s="21">
        <f>IF(D3041="?OLD","!!!","")</f>
        <v/>
      </c>
      <c r="F3041" s="22" t="str">
        <f>IF(OR(E3041="",E3041="!!!"),"",IF(NOT(ISNA(VLOOKUP(E3041,E$1:E3040,1,FALSE()))),"OLD",IF(AND(E3041&lt;&gt;"",E3041&lt;&gt;"!!!"),"NEW","")))</f>
        <v> </v>
      </c>
      <c r="G3041" s="23" t="str">
        <f>IF(OR(E3041="",E3041="!!!"),"",IF(OR(J3041=0,AND(J3041=1,K3041=1),AND(J3041=1,I3041="SBJ"),AND(J3041=1,I3041=0)),"?IN_FOCUS",IF(J3041&lt;=2,"?ACTIVATED",IF(J3041&lt;&gt;"","?FAMILIAR",IF(F3041="NEW",IF(ISNA(VLOOKUP(E3041,#REF!,1,FALSE())),"?TYPE_IDENTIFIABLE","?REFERENTIAL"),"_")))))</f>
        <v> </v>
      </c>
      <c r="H3041" s="24" t="str">
        <f>IF(J3041&lt;&gt;1,"",IF(I3041="SBJ","CB","?"))</f>
        <v> </v>
      </c>
      <c r="I3041" s="25" t="str">
        <f>IF(OR(E3041="",E3041="!!!",F3041="NEW"),"",INDEX(B3040:B$2,-1+SUMPRODUCT(MAX(ROW(E3040:E$2)*(E3041=E3040:E$2)))))</f>
        <v> </v>
      </c>
      <c r="J3041" s="25" t="str">
        <f>IF(OR(E3041="",E3041="!!!",F3041="NEW"),"",COUNTBLANK(OFFSET(A$1,,,SUMPRODUCT(MAX(ROW(E$2:E3041)*(E3041=E$2:E3041)))))-COUNTBLANK(OFFSET(A$1,,,SUMPRODUCT(MAX(ROW(E$1:E3040)*(E2=E$1:E3040))))))</f>
        <v> </v>
      </c>
      <c r="K3041" s="25" t="str">
        <f>IF(OR(E3041="",E3041="!!!",F3041="NEW"),"",INDEX(J$1:J3040,SUMPRODUCT(MAX(ROW(E$1:E3040)*(E3041=E$1:E3040)))))</f>
        <v> </v>
      </c>
      <c r="L3041" s="26"/>
    </row>
    <row r="3042" spans="1:12">
      <c r="A3042" s="20" t="s">
        <v>890</v>
      </c>
      <c r="B3042" s="27" t="s">
        <v>796</v>
      </c>
      <c r="C3042" s="27" t="s">
        <v>820</v>
      </c>
      <c r="D3042" s="27" t="s">
        <v>762</v>
      </c>
      <c r="E3042" s="21">
        <f>IF(D3042="?OLD","!!!","")</f>
        <v/>
      </c>
      <c r="F3042" s="22" t="str">
        <f>IF(OR(E3042="",E3042="!!!"),"",IF(NOT(ISNA(VLOOKUP(E3042,E$1:E3041,1,FALSE()))),"OLD",IF(AND(E3042&lt;&gt;"",E3042&lt;&gt;"!!!"),"NEW","")))</f>
        <v> </v>
      </c>
      <c r="G3042" s="23" t="str">
        <f>IF(OR(E3042="",E3042="!!!"),"",IF(OR(J3042=0,AND(J3042=1,K3042=1),AND(J3042=1,I3042="SBJ"),AND(J3042=1,I3042=0)),"?IN_FOCUS",IF(J3042&lt;=2,"?ACTIVATED",IF(J3042&lt;&gt;"","?FAMILIAR",IF(F3042="NEW",IF(ISNA(VLOOKUP(E3042,#REF!,1,FALSE())),"?TYPE_IDENTIFIABLE","?REFERENTIAL"),"_")))))</f>
        <v> </v>
      </c>
      <c r="H3042" s="24" t="str">
        <f>IF(J3042&lt;&gt;1,"",IF(I3042="SBJ","CB","?"))</f>
        <v> </v>
      </c>
      <c r="I3042" s="25" t="str">
        <f>IF(OR(E3042="",E3042="!!!",F3042="NEW"),"",INDEX(B3041:B$2,-1+SUMPRODUCT(MAX(ROW(E3041:E$2)*(E3042=E3041:E$2)))))</f>
        <v> </v>
      </c>
      <c r="J3042" s="25" t="str">
        <f>IF(OR(E3042="",E3042="!!!",F3042="NEW"),"",COUNTBLANK(OFFSET(A$1,,,SUMPRODUCT(MAX(ROW(E$2:E3042)*(E3042=E$2:E3042)))))-COUNTBLANK(OFFSET(A$1,,,SUMPRODUCT(MAX(ROW(E$1:E3041)*(E2=E$1:E3041))))))</f>
        <v> </v>
      </c>
      <c r="K3042" s="25" t="str">
        <f>IF(OR(E3042="",E3042="!!!",F3042="NEW"),"",INDEX(J$1:J3041,SUMPRODUCT(MAX(ROW(E$1:E3041)*(E3042=E$1:E3041)))))</f>
        <v> </v>
      </c>
      <c r="L3042" s="26"/>
    </row>
    <row r="3043" spans="1:12">
      <c r="A3043" s="20" t="s">
        <v>1698</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1238</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1029</v>
      </c>
      <c r="B3045" s="27" t="s">
        <v>772</v>
      </c>
      <c r="C3045" s="27" t="s">
        <v>820</v>
      </c>
      <c r="D3045" s="27" t="s">
        <v>762</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859</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row>
    <row r="3048" spans="1:12">
      <c r="A3048" s="20" t="s">
        <v>1699</v>
      </c>
    </row>
    <row r="3049" spans="1:12">
      <c r="A3049" s="20" t="s">
        <v>1700</v>
      </c>
      <c r="B3049" s="27" t="s">
        <v>796</v>
      </c>
      <c r="C3049" s="27" t="s">
        <v>798</v>
      </c>
      <c r="D3049" s="27" t="s">
        <v>762</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1701</v>
      </c>
      <c r="B3050" s="27" t="s">
        <v>879</v>
      </c>
      <c r="C3050" s="27" t="s">
        <v>798</v>
      </c>
      <c r="D3050" s="27" t="s">
        <v>762</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757</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779</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1702</v>
      </c>
      <c r="B3053" s="27" t="s">
        <v>879</v>
      </c>
      <c r="C3053" s="27" t="s">
        <v>768</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1703</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769</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758</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1704</v>
      </c>
      <c r="B3057" s="27" t="s">
        <v>901</v>
      </c>
      <c r="C3057" s="27" t="s">
        <v>761</v>
      </c>
      <c r="D3057" s="27" t="s">
        <v>762</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t="s">
        <v>757</v>
      </c>
      <c r="E3058" s="21">
        <f>IF(D3058="?OLD","!!!","")</f>
        <v/>
      </c>
      <c r="F3058" s="22" t="str">
        <f>IF(OR(E3058="",E3058="!!!"),"",IF(NOT(ISNA(VLOOKUP(E3058,E$1:E3057,1,FALSE()))),"OLD",IF(AND(E3058&lt;&gt;"",E3058&lt;&gt;"!!!"),"NEW","")))</f>
        <v> </v>
      </c>
      <c r="G3058" s="23" t="str">
        <f>IF(OR(E3058="",E3058="!!!"),"",IF(OR(J3058=0,AND(J3058=1,K3058=1),AND(J3058=1,I3058="SBJ"),AND(J3058=1,I3058=0)),"?IN_FOCUS",IF(J3058&lt;=2,"?ACTIVATED",IF(J3058&lt;&gt;"","?FAMILIAR",IF(F3058="NEW",IF(ISNA(VLOOKUP(E3058,#REF!,1,FALSE())),"?TYPE_IDENTIFIABLE","?REFERENTIAL"),"_")))))</f>
        <v> </v>
      </c>
      <c r="H3058" s="24" t="str">
        <f>IF(J3058&lt;&gt;1,"",IF(I3058="SBJ","CB","?"))</f>
        <v> </v>
      </c>
      <c r="I3058" s="25" t="str">
        <f>IF(OR(E3058="",E3058="!!!",F3058="NEW"),"",INDEX(B3057:B$2,-1+SUMPRODUCT(MAX(ROW(E3057:E$2)*(E3058=E3057:E$2)))))</f>
        <v> </v>
      </c>
      <c r="J3058" s="25" t="str">
        <f>IF(OR(E3058="",E3058="!!!",F3058="NEW"),"",COUNTBLANK(OFFSET(A$1,,,SUMPRODUCT(MAX(ROW(E$2:E3058)*(E3058=E$2:E3058)))))-COUNTBLANK(OFFSET(A$1,,,SUMPRODUCT(MAX(ROW(E$1:E3057)*(E2=E$1:E3057))))))</f>
        <v> </v>
      </c>
      <c r="K3058" s="25" t="str">
        <f>IF(OR(E3058="",E3058="!!!",F3058="NEW"),"",INDEX(J$1:J3057,SUMPRODUCT(MAX(ROW(E$1:E3057)*(E3058=E$1:E3057)))))</f>
        <v> </v>
      </c>
      <c r="L3058" s="26"/>
    </row>
    <row r="3059" spans="1:12">
      <c r="A3059" s="20" t="s">
        <v>887</v>
      </c>
      <c r="E3059" s="21">
        <f>IF(D3059="?OLD","!!!","")</f>
        <v/>
      </c>
      <c r="F3059" s="22" t="str">
        <f>IF(OR(E3059="",E3059="!!!"),"",IF(NOT(ISNA(VLOOKUP(E3059,E$1:E3058,1,FALSE()))),"OLD",IF(AND(E3059&lt;&gt;"",E3059&lt;&gt;"!!!"),"NEW","")))</f>
        <v> </v>
      </c>
      <c r="G3059" s="23" t="str">
        <f>IF(OR(E3059="",E3059="!!!"),"",IF(OR(J3059=0,AND(J3059=1,K3059=1),AND(J3059=1,I3059="SBJ"),AND(J3059=1,I3059=0)),"?IN_FOCUS",IF(J3059&lt;=2,"?ACTIVATED",IF(J3059&lt;&gt;"","?FAMILIAR",IF(F3059="NEW",IF(ISNA(VLOOKUP(E3059,#REF!,1,FALSE())),"?TYPE_IDENTIFIABLE","?REFERENTIAL"),"_")))))</f>
        <v> </v>
      </c>
      <c r="H3059" s="24" t="str">
        <f>IF(J3059&lt;&gt;1,"",IF(I3059="SBJ","CB","?"))</f>
        <v> </v>
      </c>
      <c r="I3059" s="25" t="str">
        <f>IF(OR(E3059="",E3059="!!!",F3059="NEW"),"",INDEX(B3058:B$2,-1+SUMPRODUCT(MAX(ROW(E3058:E$2)*(E3059=E3058:E$2)))))</f>
        <v> </v>
      </c>
      <c r="J3059" s="25" t="str">
        <f>IF(OR(E3059="",E3059="!!!",F3059="NEW"),"",COUNTBLANK(OFFSET(A$1,,,SUMPRODUCT(MAX(ROW(E$2:E3059)*(E3059=E$2:E3059)))))-COUNTBLANK(OFFSET(A$1,,,SUMPRODUCT(MAX(ROW(E$1:E3058)*(E2=E$1:E3058))))))</f>
        <v> </v>
      </c>
      <c r="K3059" s="25" t="str">
        <f>IF(OR(E3059="",E3059="!!!",F3059="NEW"),"",INDEX(J$1:J3058,SUMPRODUCT(MAX(ROW(E$1:E3058)*(E3059=E$1:E3058)))))</f>
        <v> </v>
      </c>
      <c r="L3059" s="26"/>
    </row>
    <row r="3060" spans="1:12">
      <c r="A3060" s="20" t="s">
        <v>888</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757</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749</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866</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838</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1139</v>
      </c>
      <c r="B3065" s="27" t="s">
        <v>956</v>
      </c>
      <c r="C3065" s="27" t="s">
        <v>761</v>
      </c>
      <c r="D3065" s="27" t="s">
        <v>762</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1705</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757</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749</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827</v>
      </c>
      <c r="B3069" s="27" t="s">
        <v>956</v>
      </c>
      <c r="C3069" s="27" t="s">
        <v>797</v>
      </c>
      <c r="D3069" s="27" t="s">
        <v>762</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1706</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1707</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793</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t="s">
        <v>878</v>
      </c>
      <c r="B3073" s="27" t="s">
        <v>1062</v>
      </c>
      <c r="C3073" s="27" t="s">
        <v>851</v>
      </c>
      <c r="D3073" s="27" t="s">
        <v>762</v>
      </c>
      <c r="E3073" s="21">
        <f>IF(D3073="?OLD","!!!","")</f>
        <v/>
      </c>
      <c r="F3073" s="22" t="str">
        <f>IF(OR(E3073="",E3073="!!!"),"",IF(NOT(ISNA(VLOOKUP(E3073,E$1:E3072,1,FALSE()))),"OLD",IF(AND(E3073&lt;&gt;"",E3073&lt;&gt;"!!!"),"NEW","")))</f>
        <v> </v>
      </c>
      <c r="G3073" s="23" t="str">
        <f>IF(OR(E3073="",E3073="!!!"),"",IF(OR(J3073=0,AND(J3073=1,K3073=1),AND(J3073=1,I3073="SBJ"),AND(J3073=1,I3073=0)),"?IN_FOCUS",IF(J3073&lt;=2,"?ACTIVATED",IF(J3073&lt;&gt;"","?FAMILIAR",IF(F3073="NEW",IF(ISNA(VLOOKUP(E3073,#REF!,1,FALSE())),"?TYPE_IDENTIFIABLE","?REFERENTIAL"),"_")))))</f>
        <v> </v>
      </c>
      <c r="H3073" s="24" t="str">
        <f>IF(J3073&lt;&gt;1,"",IF(I3073="SBJ","CB","?"))</f>
        <v> </v>
      </c>
      <c r="I3073" s="25" t="str">
        <f>IF(OR(E3073="",E3073="!!!",F3073="NEW"),"",INDEX(B3072:B$2,-1+SUMPRODUCT(MAX(ROW(E3072:E$2)*(E3073=E3072:E$2)))))</f>
        <v> </v>
      </c>
      <c r="J3073" s="25" t="str">
        <f>IF(OR(E3073="",E3073="!!!",F3073="NEW"),"",COUNTBLANK(OFFSET(A$1,,,SUMPRODUCT(MAX(ROW(E$2:E3073)*(E3073=E$2:E3073)))))-COUNTBLANK(OFFSET(A$1,,,SUMPRODUCT(MAX(ROW(E$1:E3072)*(E2=E$1:E3072))))))</f>
        <v> </v>
      </c>
      <c r="K3073" s="25" t="str">
        <f>IF(OR(E3073="",E3073="!!!",F3073="NEW"),"",INDEX(J$1:J3072,SUMPRODUCT(MAX(ROW(E$1:E3072)*(E3073=E$1:E3072)))))</f>
        <v> </v>
      </c>
      <c r="L3073" s="26"/>
    </row>
    <row r="3074" spans="1:12">
      <c r="A3074" s="20" t="s">
        <v>952</v>
      </c>
      <c r="B3074" s="27" t="s">
        <v>1272</v>
      </c>
      <c r="C3074" s="27" t="s">
        <v>837</v>
      </c>
      <c r="D3074" s="27" t="s">
        <v>762</v>
      </c>
      <c r="E3074" s="21">
        <f>IF(D3074="?OLD","!!!","")</f>
        <v/>
      </c>
      <c r="F3074" s="22" t="str">
        <f>IF(OR(E3074="",E3074="!!!"),"",IF(NOT(ISNA(VLOOKUP(E3074,E$1:E3073,1,FALSE()))),"OLD",IF(AND(E3074&lt;&gt;"",E3074&lt;&gt;"!!!"),"NEW","")))</f>
        <v> </v>
      </c>
      <c r="G3074" s="23" t="str">
        <f>IF(OR(E3074="",E3074="!!!"),"",IF(OR(J3074=0,AND(J3074=1,K3074=1),AND(J3074=1,I3074="SBJ"),AND(J3074=1,I3074=0)),"?IN_FOCUS",IF(J3074&lt;=2,"?ACTIVATED",IF(J3074&lt;&gt;"","?FAMILIAR",IF(F3074="NEW",IF(ISNA(VLOOKUP(E3074,#REF!,1,FALSE())),"?TYPE_IDENTIFIABLE","?REFERENTIAL"),"_")))))</f>
        <v> </v>
      </c>
      <c r="H3074" s="24" t="str">
        <f>IF(J3074&lt;&gt;1,"",IF(I3074="SBJ","CB","?"))</f>
        <v> </v>
      </c>
      <c r="I3074" s="25" t="str">
        <f>IF(OR(E3074="",E3074="!!!",F3074="NEW"),"",INDEX(B3073:B$2,-1+SUMPRODUCT(MAX(ROW(E3073:E$2)*(E3074=E3073:E$2)))))</f>
        <v> </v>
      </c>
      <c r="J3074" s="25" t="str">
        <f>IF(OR(E3074="",E3074="!!!",F3074="NEW"),"",COUNTBLANK(OFFSET(A$1,,,SUMPRODUCT(MAX(ROW(E$2:E3074)*(E3074=E$2:E3074)))))-COUNTBLANK(OFFSET(A$1,,,SUMPRODUCT(MAX(ROW(E$1:E3073)*(E2=E$1:E3073))))))</f>
        <v> </v>
      </c>
      <c r="K3074" s="25" t="str">
        <f>IF(OR(E3074="",E3074="!!!",F3074="NEW"),"",INDEX(J$1:J3073,SUMPRODUCT(MAX(ROW(E$1:E3073)*(E3074=E$1:E3073)))))</f>
        <v> </v>
      </c>
      <c r="L3074" s="26"/>
    </row>
    <row r="3075" spans="1:12">
      <c r="A3075" s="20" t="s">
        <v>798</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920</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804</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1708</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757</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818</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954</v>
      </c>
      <c r="B3081" s="27" t="s">
        <v>760</v>
      </c>
      <c r="C3081" s="27" t="s">
        <v>777</v>
      </c>
      <c r="D3081" s="27" t="s">
        <v>762</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889</v>
      </c>
      <c r="B3082" s="27" t="s">
        <v>894</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1155</v>
      </c>
      <c r="B3083" s="27" t="s">
        <v>956</v>
      </c>
      <c r="C3083" s="27" t="s">
        <v>797</v>
      </c>
      <c r="D3083" s="27" t="s">
        <v>762</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1705</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910</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955</v>
      </c>
      <c r="B3086" s="27" t="s">
        <v>956</v>
      </c>
      <c r="C3086" s="27" t="s">
        <v>777</v>
      </c>
      <c r="D3086" s="27" t="s">
        <v>762</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778</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749</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827</v>
      </c>
      <c r="B3089" s="27" t="s">
        <v>956</v>
      </c>
      <c r="C3089" s="27" t="s">
        <v>797</v>
      </c>
      <c r="D3089" s="27" t="s">
        <v>762</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1588</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1707</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793</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758</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952</v>
      </c>
      <c r="B3094" s="27" t="s">
        <v>879</v>
      </c>
      <c r="C3094" s="27" t="s">
        <v>761</v>
      </c>
      <c r="D3094" s="27" t="s">
        <v>762</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793</v>
      </c>
      <c r="B3095" s="27" t="s">
        <v>1076</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827</v>
      </c>
      <c r="B3096" s="27" t="s">
        <v>1272</v>
      </c>
      <c r="C3096" s="27" t="s">
        <v>797</v>
      </c>
      <c r="D3096" s="27" t="s">
        <v>762</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909</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811</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1487</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1300</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1709</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810</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793</v>
      </c>
      <c r="B3103" s="27" t="s">
        <v>802</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t="s">
        <v>827</v>
      </c>
      <c r="B3104" s="27" t="s">
        <v>796</v>
      </c>
      <c r="C3104" s="27" t="s">
        <v>797</v>
      </c>
      <c r="D3104" s="27" t="s">
        <v>762</v>
      </c>
      <c r="E3104" s="21">
        <f>IF(D3104="?OLD","!!!","")</f>
        <v/>
      </c>
      <c r="F3104" s="22" t="str">
        <f>IF(OR(E3104="",E3104="!!!"),"",IF(NOT(ISNA(VLOOKUP(E3104,E$1:E3103,1,FALSE()))),"OLD",IF(AND(E3104&lt;&gt;"",E3104&lt;&gt;"!!!"),"NEW","")))</f>
        <v> </v>
      </c>
      <c r="G3104" s="23" t="str">
        <f>IF(OR(E3104="",E3104="!!!"),"",IF(OR(J3104=0,AND(J3104=1,K3104=1),AND(J3104=1,I3104="SBJ"),AND(J3104=1,I3104=0)),"?IN_FOCUS",IF(J3104&lt;=2,"?ACTIVATED",IF(J3104&lt;&gt;"","?FAMILIAR",IF(F3104="NEW",IF(ISNA(VLOOKUP(E3104,#REF!,1,FALSE())),"?TYPE_IDENTIFIABLE","?REFERENTIAL"),"_")))))</f>
        <v> </v>
      </c>
      <c r="H3104" s="24" t="str">
        <f>IF(J3104&lt;&gt;1,"",IF(I3104="SBJ","CB","?"))</f>
        <v> </v>
      </c>
      <c r="I3104" s="25" t="str">
        <f>IF(OR(E3104="",E3104="!!!",F3104="NEW"),"",INDEX(B3103:B$2,-1+SUMPRODUCT(MAX(ROW(E3103:E$2)*(E3104=E3103:E$2)))))</f>
        <v> </v>
      </c>
      <c r="J3104" s="25" t="str">
        <f>IF(OR(E3104="",E3104="!!!",F3104="NEW"),"",COUNTBLANK(OFFSET(A$1,,,SUMPRODUCT(MAX(ROW(E$2:E3104)*(E3104=E$2:E3104)))))-COUNTBLANK(OFFSET(A$1,,,SUMPRODUCT(MAX(ROW(E$1:E3103)*(E2=E$1:E3103))))))</f>
        <v> </v>
      </c>
      <c r="K3104" s="25" t="str">
        <f>IF(OR(E3104="",E3104="!!!",F3104="NEW"),"",INDEX(J$1:J3103,SUMPRODUCT(MAX(ROW(E$1:E3103)*(E3104=E$1:E3103)))))</f>
        <v> </v>
      </c>
      <c r="L3104" s="26"/>
    </row>
    <row r="3105" spans="1:12">
      <c r="A3105" s="20" t="s">
        <v>1710</v>
      </c>
      <c r="E3105" s="21">
        <f>IF(D3105="?OLD","!!!","")</f>
        <v/>
      </c>
      <c r="F3105" s="22" t="str">
        <f>IF(OR(E3105="",E3105="!!!"),"",IF(NOT(ISNA(VLOOKUP(E3105,E$1:E3104,1,FALSE()))),"OLD",IF(AND(E3105&lt;&gt;"",E3105&lt;&gt;"!!!"),"NEW","")))</f>
        <v> </v>
      </c>
      <c r="G3105" s="23" t="str">
        <f>IF(OR(E3105="",E3105="!!!"),"",IF(OR(J3105=0,AND(J3105=1,K3105=1),AND(J3105=1,I3105="SBJ"),AND(J3105=1,I3105=0)),"?IN_FOCUS",IF(J3105&lt;=2,"?ACTIVATED",IF(J3105&lt;&gt;"","?FAMILIAR",IF(F3105="NEW",IF(ISNA(VLOOKUP(E3105,#REF!,1,FALSE())),"?TYPE_IDENTIFIABLE","?REFERENTIAL"),"_")))))</f>
        <v> </v>
      </c>
      <c r="H3105" s="24" t="str">
        <f>IF(J3105&lt;&gt;1,"",IF(I3105="SBJ","CB","?"))</f>
        <v> </v>
      </c>
      <c r="I3105" s="25" t="str">
        <f>IF(OR(E3105="",E3105="!!!",F3105="NEW"),"",INDEX(B3104:B$2,-1+SUMPRODUCT(MAX(ROW(E3104:E$2)*(E3105=E3104:E$2)))))</f>
        <v> </v>
      </c>
      <c r="J3105" s="25" t="str">
        <f>IF(OR(E3105="",E3105="!!!",F3105="NEW"),"",COUNTBLANK(OFFSET(A$1,,,SUMPRODUCT(MAX(ROW(E$2:E3105)*(E3105=E$2:E3105)))))-COUNTBLANK(OFFSET(A$1,,,SUMPRODUCT(MAX(ROW(E$1:E3104)*(E2=E$1:E3104))))))</f>
        <v> </v>
      </c>
      <c r="K3105" s="25" t="str">
        <f>IF(OR(E3105="",E3105="!!!",F3105="NEW"),"",INDEX(J$1:J3104,SUMPRODUCT(MAX(ROW(E$1:E3104)*(E3105=E$1:E3104)))))</f>
        <v> </v>
      </c>
      <c r="L3105" s="26"/>
    </row>
    <row r="3106" spans="1:12">
      <c r="A3106" s="20" t="s">
        <v>779</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952</v>
      </c>
      <c r="B3107" s="27" t="s">
        <v>772</v>
      </c>
      <c r="C3107" s="27" t="s">
        <v>768</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1711</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t="s">
        <v>1712</v>
      </c>
      <c r="E3109" s="21">
        <f>IF(D3109="?OLD","!!!","")</f>
        <v/>
      </c>
      <c r="F3109" s="22" t="str">
        <f>IF(OR(E3109="",E3109="!!!"),"",IF(NOT(ISNA(VLOOKUP(E3109,E$1:E3108,1,FALSE()))),"OLD",IF(AND(E3109&lt;&gt;"",E3109&lt;&gt;"!!!"),"NEW","")))</f>
        <v> </v>
      </c>
      <c r="G3109" s="23" t="str">
        <f>IF(OR(E3109="",E3109="!!!"),"",IF(OR(J3109=0,AND(J3109=1,K3109=1),AND(J3109=1,I3109="SBJ"),AND(J3109=1,I3109=0)),"?IN_FOCUS",IF(J3109&lt;=2,"?ACTIVATED",IF(J3109&lt;&gt;"","?FAMILIAR",IF(F3109="NEW",IF(ISNA(VLOOKUP(E3109,#REF!,1,FALSE())),"?TYPE_IDENTIFIABLE","?REFERENTIAL"),"_")))))</f>
        <v> </v>
      </c>
      <c r="H3109" s="24" t="str">
        <f>IF(J3109&lt;&gt;1,"",IF(I3109="SBJ","CB","?"))</f>
        <v> </v>
      </c>
      <c r="I3109" s="25" t="str">
        <f>IF(OR(E3109="",E3109="!!!",F3109="NEW"),"",INDEX(B3108:B$2,-1+SUMPRODUCT(MAX(ROW(E3108:E$2)*(E3109=E3108:E$2)))))</f>
        <v> </v>
      </c>
      <c r="J3109" s="25" t="str">
        <f>IF(OR(E3109="",E3109="!!!",F3109="NEW"),"",COUNTBLANK(OFFSET(A$1,,,SUMPRODUCT(MAX(ROW(E$2:E3109)*(E3109=E$2:E3109)))))-COUNTBLANK(OFFSET(A$1,,,SUMPRODUCT(MAX(ROW(E$1:E3108)*(E2=E$1:E3108))))))</f>
        <v> </v>
      </c>
      <c r="K3109" s="25" t="str">
        <f>IF(OR(E3109="",E3109="!!!",F3109="NEW"),"",INDEX(J$1:J3108,SUMPRODUCT(MAX(ROW(E$1:E3108)*(E3109=E$1:E3108)))))</f>
        <v> </v>
      </c>
      <c r="L3109" s="26"/>
    </row>
    <row r="3110" spans="1:12">
      <c r="A3110" s="20" t="s">
        <v>1708</v>
      </c>
      <c r="E3110" s="21">
        <f>IF(D3110="?OLD","!!!","")</f>
        <v/>
      </c>
      <c r="F3110" s="22" t="str">
        <f>IF(OR(E3110="",E3110="!!!"),"",IF(NOT(ISNA(VLOOKUP(E3110,E$1:E3109,1,FALSE()))),"OLD",IF(AND(E3110&lt;&gt;"",E3110&lt;&gt;"!!!"),"NEW","")))</f>
        <v> </v>
      </c>
      <c r="G3110" s="23" t="str">
        <f>IF(OR(E3110="",E3110="!!!"),"",IF(OR(J3110=0,AND(J3110=1,K3110=1),AND(J3110=1,I3110="SBJ"),AND(J3110=1,I3110=0)),"?IN_FOCUS",IF(J3110&lt;=2,"?ACTIVATED",IF(J3110&lt;&gt;"","?FAMILIAR",IF(F3110="NEW",IF(ISNA(VLOOKUP(E3110,#REF!,1,FALSE())),"?TYPE_IDENTIFIABLE","?REFERENTIAL"),"_")))))</f>
        <v> </v>
      </c>
      <c r="H3110" s="24" t="str">
        <f>IF(J3110&lt;&gt;1,"",IF(I3110="SBJ","CB","?"))</f>
        <v> </v>
      </c>
      <c r="I3110" s="25" t="str">
        <f>IF(OR(E3110="",E3110="!!!",F3110="NEW"),"",INDEX(B3109:B$2,-1+SUMPRODUCT(MAX(ROW(E3109:E$2)*(E3110=E3109:E$2)))))</f>
        <v> </v>
      </c>
      <c r="J3110" s="25" t="str">
        <f>IF(OR(E3110="",E3110="!!!",F3110="NEW"),"",COUNTBLANK(OFFSET(A$1,,,SUMPRODUCT(MAX(ROW(E$2:E3110)*(E3110=E$2:E3110)))))-COUNTBLANK(OFFSET(A$1,,,SUMPRODUCT(MAX(ROW(E$1:E3109)*(E2=E$1:E3109))))))</f>
        <v> </v>
      </c>
      <c r="K3110" s="25" t="str">
        <f>IF(OR(E3110="",E3110="!!!",F3110="NEW"),"",INDEX(J$1:J3109,SUMPRODUCT(MAX(ROW(E$1:E3109)*(E3110=E$1:E3109)))))</f>
        <v> </v>
      </c>
      <c r="L3110" s="26"/>
    </row>
    <row r="3111" spans="1:12">
      <c r="A3111" s="20" t="s">
        <v>785</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770</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1713</v>
      </c>
      <c r="B3113" s="27" t="s">
        <v>879</v>
      </c>
      <c r="C3113" s="27" t="s">
        <v>761</v>
      </c>
      <c r="D3113" s="27" t="s">
        <v>762</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t="s">
        <v>774</v>
      </c>
      <c r="E3114" s="21">
        <f>IF(D3114="?OLD","!!!","")</f>
        <v/>
      </c>
      <c r="F3114" s="22" t="str">
        <f>IF(OR(E3114="",E3114="!!!"),"",IF(NOT(ISNA(VLOOKUP(E3114,E$1:E3113,1,FALSE()))),"OLD",IF(AND(E3114&lt;&gt;"",E3114&lt;&gt;"!!!"),"NEW","")))</f>
        <v> </v>
      </c>
      <c r="G3114" s="23" t="str">
        <f>IF(OR(E3114="",E3114="!!!"),"",IF(OR(J3114=0,AND(J3114=1,K3114=1),AND(J3114=1,I3114="SBJ"),AND(J3114=1,I3114=0)),"?IN_FOCUS",IF(J3114&lt;=2,"?ACTIVATED",IF(J3114&lt;&gt;"","?FAMILIAR",IF(F3114="NEW",IF(ISNA(VLOOKUP(E3114,#REF!,1,FALSE())),"?TYPE_IDENTIFIABLE","?REFERENTIAL"),"_")))))</f>
        <v> </v>
      </c>
      <c r="H3114" s="24" t="str">
        <f>IF(J3114&lt;&gt;1,"",IF(I3114="SBJ","CB","?"))</f>
        <v> </v>
      </c>
      <c r="I3114" s="25" t="str">
        <f>IF(OR(E3114="",E3114="!!!",F3114="NEW"),"",INDEX(B3113:B$2,-1+SUMPRODUCT(MAX(ROW(E3113:E$2)*(E3114=E3113:E$2)))))</f>
        <v> </v>
      </c>
      <c r="J3114" s="25" t="str">
        <f>IF(OR(E3114="",E3114="!!!",F3114="NEW"),"",COUNTBLANK(OFFSET(A$1,,,SUMPRODUCT(MAX(ROW(E$2:E3114)*(E3114=E$2:E3114)))))-COUNTBLANK(OFFSET(A$1,,,SUMPRODUCT(MAX(ROW(E$1:E3113)*(E2=E$1:E3113))))))</f>
        <v> </v>
      </c>
      <c r="K3114" s="25" t="str">
        <f>IF(OR(E3114="",E3114="!!!",F3114="NEW"),"",INDEX(J$1:J3113,SUMPRODUCT(MAX(ROW(E$1:E3113)*(E3114=E$1:E3113)))))</f>
        <v> </v>
      </c>
      <c r="L3114" s="26"/>
    </row>
    <row r="3115" spans="1:12">
      <c r="A3115" s="20"/>
    </row>
    <row r="3116" spans="1:12">
      <c r="A3116" s="20" t="s">
        <v>1714</v>
      </c>
    </row>
    <row r="3117" spans="1:12">
      <c r="A3117" s="20" t="s">
        <v>818</v>
      </c>
      <c r="E3117" s="21">
        <f>IF(D3117="?OLD","!!!","")</f>
        <v/>
      </c>
      <c r="F3117" s="22" t="str">
        <f>IF(OR(E3117="",E3117="!!!"),"",IF(NOT(ISNA(VLOOKUP(E3117,E$1:E3116,1,FALSE()))),"OLD",IF(AND(E3117&lt;&gt;"",E3117&lt;&gt;"!!!"),"NEW","")))</f>
        <v> </v>
      </c>
      <c r="G3117" s="23" t="str">
        <f>IF(OR(E3117="",E3117="!!!"),"",IF(OR(J3117=0,AND(J3117=1,K3117=1),AND(J3117=1,I3117="SBJ"),AND(J3117=1,I3117=0)),"?IN_FOCUS",IF(J3117&lt;=2,"?ACTIVATED",IF(J3117&lt;&gt;"","?FAMILIAR",IF(F3117="NEW",IF(ISNA(VLOOKUP(E3117,#REF!,1,FALSE())),"?TYPE_IDENTIFIABLE","?REFERENTIAL"),"_")))))</f>
        <v> </v>
      </c>
      <c r="H3117" s="24" t="str">
        <f>IF(J3117&lt;&gt;1,"",IF(I3117="SBJ","CB","?"))</f>
        <v> </v>
      </c>
      <c r="I3117" s="25" t="str">
        <f>IF(OR(E3117="",E3117="!!!",F3117="NEW"),"",INDEX(B3116:B$2,-1+SUMPRODUCT(MAX(ROW(E3116:E$2)*(E3117=E3116:E$2)))))</f>
        <v> </v>
      </c>
      <c r="J3117" s="25" t="str">
        <f>IF(OR(E3117="",E3117="!!!",F3117="NEW"),"",COUNTBLANK(OFFSET(A$1,,,SUMPRODUCT(MAX(ROW(E$2:E3117)*(E3117=E$2:E3117)))))-COUNTBLANK(OFFSET(A$1,,,SUMPRODUCT(MAX(ROW(E$1:E3116)*(E2=E$1:E3116))))))</f>
        <v> </v>
      </c>
      <c r="K3117" s="25" t="str">
        <f>IF(OR(E3117="",E3117="!!!",F3117="NEW"),"",INDEX(J$1:J3116,SUMPRODUCT(MAX(ROW(E$1:E3116)*(E3117=E$1:E3116)))))</f>
        <v> </v>
      </c>
      <c r="L3117" s="26"/>
    </row>
    <row r="3118" spans="1:12">
      <c r="A3118" s="20" t="s">
        <v>1715</v>
      </c>
      <c r="E3118" s="21">
        <f>IF(D3118="?OLD","!!!","")</f>
        <v/>
      </c>
      <c r="F3118" s="22" t="str">
        <f>IF(OR(E3118="",E3118="!!!"),"",IF(NOT(ISNA(VLOOKUP(E3118,E$1:E3117,1,FALSE()))),"OLD",IF(AND(E3118&lt;&gt;"",E3118&lt;&gt;"!!!"),"NEW","")))</f>
        <v> </v>
      </c>
      <c r="G3118" s="23" t="str">
        <f>IF(OR(E3118="",E3118="!!!"),"",IF(OR(J3118=0,AND(J3118=1,K3118=1),AND(J3118=1,I3118="SBJ"),AND(J3118=1,I3118=0)),"?IN_FOCUS",IF(J3118&lt;=2,"?ACTIVATED",IF(J3118&lt;&gt;"","?FAMILIAR",IF(F3118="NEW",IF(ISNA(VLOOKUP(E3118,#REF!,1,FALSE())),"?TYPE_IDENTIFIABLE","?REFERENTIAL"),"_")))))</f>
        <v> </v>
      </c>
      <c r="H3118" s="24" t="str">
        <f>IF(J3118&lt;&gt;1,"",IF(I3118="SBJ","CB","?"))</f>
        <v> </v>
      </c>
      <c r="I3118" s="25" t="str">
        <f>IF(OR(E3118="",E3118="!!!",F3118="NEW"),"",INDEX(B3117:B$2,-1+SUMPRODUCT(MAX(ROW(E3117:E$2)*(E3118=E3117:E$2)))))</f>
        <v> </v>
      </c>
      <c r="J3118" s="25" t="str">
        <f>IF(OR(E3118="",E3118="!!!",F3118="NEW"),"",COUNTBLANK(OFFSET(A$1,,,SUMPRODUCT(MAX(ROW(E$2:E3118)*(E3118=E$2:E3118)))))-COUNTBLANK(OFFSET(A$1,,,SUMPRODUCT(MAX(ROW(E$1:E3117)*(E2=E$1:E3117))))))</f>
        <v> </v>
      </c>
      <c r="K3118" s="25" t="str">
        <f>IF(OR(E3118="",E3118="!!!",F3118="NEW"),"",INDEX(J$1:J3117,SUMPRODUCT(MAX(ROW(E$1:E3117)*(E3118=E$1:E3117)))))</f>
        <v> </v>
      </c>
      <c r="L3118" s="26"/>
    </row>
    <row r="3119" spans="1:12">
      <c r="A3119" s="20" t="s">
        <v>785</v>
      </c>
      <c r="E3119" s="21">
        <f>IF(D3119="?OLD","!!!","")</f>
        <v/>
      </c>
      <c r="F3119" s="22" t="str">
        <f>IF(OR(E3119="",E3119="!!!"),"",IF(NOT(ISNA(VLOOKUP(E3119,E$1:E3118,1,FALSE()))),"OLD",IF(AND(E3119&lt;&gt;"",E3119&lt;&gt;"!!!"),"NEW","")))</f>
        <v> </v>
      </c>
      <c r="G3119" s="23" t="str">
        <f>IF(OR(E3119="",E3119="!!!"),"",IF(OR(J3119=0,AND(J3119=1,K3119=1),AND(J3119=1,I3119="SBJ"),AND(J3119=1,I3119=0)),"?IN_FOCUS",IF(J3119&lt;=2,"?ACTIVATED",IF(J3119&lt;&gt;"","?FAMILIAR",IF(F3119="NEW",IF(ISNA(VLOOKUP(E3119,#REF!,1,FALSE())),"?TYPE_IDENTIFIABLE","?REFERENTIAL"),"_")))))</f>
        <v> </v>
      </c>
      <c r="H3119" s="24" t="str">
        <f>IF(J3119&lt;&gt;1,"",IF(I3119="SBJ","CB","?"))</f>
        <v> </v>
      </c>
      <c r="I3119" s="25" t="str">
        <f>IF(OR(E3119="",E3119="!!!",F3119="NEW"),"",INDEX(B3118:B$2,-1+SUMPRODUCT(MAX(ROW(E3118:E$2)*(E3119=E3118:E$2)))))</f>
        <v> </v>
      </c>
      <c r="J3119" s="25" t="str">
        <f>IF(OR(E3119="",E3119="!!!",F3119="NEW"),"",COUNTBLANK(OFFSET(A$1,,,SUMPRODUCT(MAX(ROW(E$2:E3119)*(E3119=E$2:E3119)))))-COUNTBLANK(OFFSET(A$1,,,SUMPRODUCT(MAX(ROW(E$1:E3118)*(E2=E$1:E3118))))))</f>
        <v> </v>
      </c>
      <c r="K3119" s="25" t="str">
        <f>IF(OR(E3119="",E3119="!!!",F3119="NEW"),"",INDEX(J$1:J3118,SUMPRODUCT(MAX(ROW(E$1:E3118)*(E3119=E$1:E3118)))))</f>
        <v> </v>
      </c>
      <c r="L3119" s="26"/>
    </row>
    <row r="3120" spans="1:12">
      <c r="A3120" s="20" t="s">
        <v>959</v>
      </c>
      <c r="B3120" s="27" t="s">
        <v>753</v>
      </c>
      <c r="C3120" s="27" t="s">
        <v>777</v>
      </c>
      <c r="D3120" s="27" t="s">
        <v>762</v>
      </c>
      <c r="E3120" s="21">
        <f>IF(D3120="?OLD","!!!","")</f>
        <v/>
      </c>
      <c r="F3120" s="22" t="str">
        <f>IF(OR(E3120="",E3120="!!!"),"",IF(NOT(ISNA(VLOOKUP(E3120,E$1:E3119,1,FALSE()))),"OLD",IF(AND(E3120&lt;&gt;"",E3120&lt;&gt;"!!!"),"NEW","")))</f>
        <v> </v>
      </c>
      <c r="G3120" s="23" t="str">
        <f>IF(OR(E3120="",E3120="!!!"),"",IF(OR(J3120=0,AND(J3120=1,K3120=1),AND(J3120=1,I3120="SBJ"),AND(J3120=1,I3120=0)),"?IN_FOCUS",IF(J3120&lt;=2,"?ACTIVATED",IF(J3120&lt;&gt;"","?FAMILIAR",IF(F3120="NEW",IF(ISNA(VLOOKUP(E3120,#REF!,1,FALSE())),"?TYPE_IDENTIFIABLE","?REFERENTIAL"),"_")))))</f>
        <v> </v>
      </c>
      <c r="H3120" s="24" t="str">
        <f>IF(J3120&lt;&gt;1,"",IF(I3120="SBJ","CB","?"))</f>
        <v> </v>
      </c>
      <c r="I3120" s="25" t="str">
        <f>IF(OR(E3120="",E3120="!!!",F3120="NEW"),"",INDEX(B3119:B$2,-1+SUMPRODUCT(MAX(ROW(E3119:E$2)*(E3120=E3119:E$2)))))</f>
        <v> </v>
      </c>
      <c r="J3120" s="25" t="str">
        <f>IF(OR(E3120="",E3120="!!!",F3120="NEW"),"",COUNTBLANK(OFFSET(A$1,,,SUMPRODUCT(MAX(ROW(E$2:E3120)*(E3120=E$2:E3120)))))-COUNTBLANK(OFFSET(A$1,,,SUMPRODUCT(MAX(ROW(E$1:E3119)*(E2=E$1:E3119))))))</f>
        <v> </v>
      </c>
      <c r="K3120" s="25" t="str">
        <f>IF(OR(E3120="",E3120="!!!",F3120="NEW"),"",INDEX(J$1:J3119,SUMPRODUCT(MAX(ROW(E$1:E3119)*(E3120=E$1:E3119)))))</f>
        <v> </v>
      </c>
      <c r="L3120" s="26"/>
    </row>
    <row r="3121" spans="1:12">
      <c r="A3121" s="20" t="s">
        <v>774</v>
      </c>
      <c r="E3121" s="21">
        <f>IF(D3121="?OLD","!!!","")</f>
        <v/>
      </c>
      <c r="F3121" s="22" t="str">
        <f>IF(OR(E3121="",E3121="!!!"),"",IF(NOT(ISNA(VLOOKUP(E3121,E$1:E3120,1,FALSE()))),"OLD",IF(AND(E3121&lt;&gt;"",E3121&lt;&gt;"!!!"),"NEW","")))</f>
        <v> </v>
      </c>
      <c r="G3121" s="23" t="str">
        <f>IF(OR(E3121="",E3121="!!!"),"",IF(OR(J3121=0,AND(J3121=1,K3121=1),AND(J3121=1,I3121="SBJ"),AND(J3121=1,I3121=0)),"?IN_FOCUS",IF(J3121&lt;=2,"?ACTIVATED",IF(J3121&lt;&gt;"","?FAMILIAR",IF(F3121="NEW",IF(ISNA(VLOOKUP(E3121,#REF!,1,FALSE())),"?TYPE_IDENTIFIABLE","?REFERENTIAL"),"_")))))</f>
        <v> </v>
      </c>
      <c r="H3121" s="24" t="str">
        <f>IF(J3121&lt;&gt;1,"",IF(I3121="SBJ","CB","?"))</f>
        <v> </v>
      </c>
      <c r="I3121" s="25" t="str">
        <f>IF(OR(E3121="",E3121="!!!",F3121="NEW"),"",INDEX(B3120:B$2,-1+SUMPRODUCT(MAX(ROW(E3120:E$2)*(E3121=E3120:E$2)))))</f>
        <v> </v>
      </c>
      <c r="J3121" s="25" t="str">
        <f>IF(OR(E3121="",E3121="!!!",F3121="NEW"),"",COUNTBLANK(OFFSET(A$1,,,SUMPRODUCT(MAX(ROW(E$2:E3121)*(E3121=E$2:E3121)))))-COUNTBLANK(OFFSET(A$1,,,SUMPRODUCT(MAX(ROW(E$1:E3120)*(E2=E$1:E3120))))))</f>
        <v> </v>
      </c>
      <c r="K3121" s="25" t="str">
        <f>IF(OR(E3121="",E3121="!!!",F3121="NEW"),"",INDEX(J$1:J3120,SUMPRODUCT(MAX(ROW(E$1:E3120)*(E3121=E$1:E3120)))))</f>
        <v> </v>
      </c>
      <c r="L3121" s="26"/>
    </row>
    <row r="3122" spans="1:12">
      <c r="A3122" s="20"/>
    </row>
    <row r="3123" spans="1:12">
      <c r="A3123" s="20" t="s">
        <v>1716</v>
      </c>
    </row>
    <row r="3124" spans="1:12">
      <c r="A3124" s="20" t="s">
        <v>776</v>
      </c>
      <c r="B3124" s="27" t="s">
        <v>760</v>
      </c>
      <c r="C3124" s="27" t="s">
        <v>777</v>
      </c>
      <c r="D3124" s="27" t="s">
        <v>762</v>
      </c>
      <c r="E3124" s="21">
        <f>IF(D3124="?OLD","!!!","")</f>
        <v/>
      </c>
      <c r="F3124" s="22" t="str">
        <f>IF(OR(E3124="",E3124="!!!"),"",IF(NOT(ISNA(VLOOKUP(E3124,E$1:E3123,1,FALSE()))),"OLD",IF(AND(E3124&lt;&gt;"",E3124&lt;&gt;"!!!"),"NEW","")))</f>
        <v> </v>
      </c>
      <c r="G3124" s="23" t="str">
        <f>IF(OR(E3124="",E3124="!!!"),"",IF(OR(J3124=0,AND(J3124=1,K3124=1),AND(J3124=1,I3124="SBJ"),AND(J3124=1,I3124=0)),"?IN_FOCUS",IF(J3124&lt;=2,"?ACTIVATED",IF(J3124&lt;&gt;"","?FAMILIAR",IF(F3124="NEW",IF(ISNA(VLOOKUP(E3124,#REF!,1,FALSE())),"?TYPE_IDENTIFIABLE","?REFERENTIAL"),"_")))))</f>
        <v> </v>
      </c>
      <c r="H3124" s="24" t="str">
        <f>IF(J3124&lt;&gt;1,"",IF(I3124="SBJ","CB","?"))</f>
        <v> </v>
      </c>
      <c r="I3124" s="25" t="str">
        <f>IF(OR(E3124="",E3124="!!!",F3124="NEW"),"",INDEX(B3123:B$2,-1+SUMPRODUCT(MAX(ROW(E3123:E$2)*(E3124=E3123:E$2)))))</f>
        <v> </v>
      </c>
      <c r="J3124" s="25" t="str">
        <f>IF(OR(E3124="",E3124="!!!",F3124="NEW"),"",COUNTBLANK(OFFSET(A$1,,,SUMPRODUCT(MAX(ROW(E$2:E3124)*(E3124=E$2:E3124)))))-COUNTBLANK(OFFSET(A$1,,,SUMPRODUCT(MAX(ROW(E$1:E3123)*(E2=E$1:E3123))))))</f>
        <v> </v>
      </c>
      <c r="K3124" s="25" t="str">
        <f>IF(OR(E3124="",E3124="!!!",F3124="NEW"),"",INDEX(J$1:J3123,SUMPRODUCT(MAX(ROW(E$1:E3123)*(E3124=E$1:E3123)))))</f>
        <v> </v>
      </c>
      <c r="L3124" s="26"/>
    </row>
    <row r="3125" spans="1:12">
      <c r="A3125" s="20" t="s">
        <v>778</v>
      </c>
      <c r="E3125" s="21">
        <f>IF(D3125="?OLD","!!!","")</f>
        <v/>
      </c>
      <c r="F3125" s="22" t="str">
        <f>IF(OR(E3125="",E3125="!!!"),"",IF(NOT(ISNA(VLOOKUP(E3125,E$1:E3124,1,FALSE()))),"OLD",IF(AND(E3125&lt;&gt;"",E3125&lt;&gt;"!!!"),"NEW","")))</f>
        <v> </v>
      </c>
      <c r="G3125" s="23" t="str">
        <f>IF(OR(E3125="",E3125="!!!"),"",IF(OR(J3125=0,AND(J3125=1,K3125=1),AND(J3125=1,I3125="SBJ"),AND(J3125=1,I3125=0)),"?IN_FOCUS",IF(J3125&lt;=2,"?ACTIVATED",IF(J3125&lt;&gt;"","?FAMILIAR",IF(F3125="NEW",IF(ISNA(VLOOKUP(E3125,#REF!,1,FALSE())),"?TYPE_IDENTIFIABLE","?REFERENTIAL"),"_")))))</f>
        <v> </v>
      </c>
      <c r="H3125" s="24" t="str">
        <f>IF(J3125&lt;&gt;1,"",IF(I3125="SBJ","CB","?"))</f>
        <v> </v>
      </c>
      <c r="I3125" s="25" t="str">
        <f>IF(OR(E3125="",E3125="!!!",F3125="NEW"),"",INDEX(B3124:B$2,-1+SUMPRODUCT(MAX(ROW(E3124:E$2)*(E3125=E3124:E$2)))))</f>
        <v> </v>
      </c>
      <c r="J3125" s="25" t="str">
        <f>IF(OR(E3125="",E3125="!!!",F3125="NEW"),"",COUNTBLANK(OFFSET(A$1,,,SUMPRODUCT(MAX(ROW(E$2:E3125)*(E3125=E$2:E3125)))))-COUNTBLANK(OFFSET(A$1,,,SUMPRODUCT(MAX(ROW(E$1:E3124)*(E2=E$1:E3124))))))</f>
        <v> </v>
      </c>
      <c r="K3125" s="25" t="str">
        <f>IF(OR(E3125="",E3125="!!!",F3125="NEW"),"",INDEX(J$1:J3124,SUMPRODUCT(MAX(ROW(E$1:E3124)*(E3125=E$1:E3124)))))</f>
        <v> </v>
      </c>
      <c r="L3125" s="26"/>
    </row>
    <row r="3126" spans="1:12">
      <c r="A3126" s="20" t="s">
        <v>954</v>
      </c>
      <c r="B3126" s="27" t="s">
        <v>753</v>
      </c>
      <c r="C3126" s="27" t="s">
        <v>777</v>
      </c>
      <c r="D3126" s="27" t="s">
        <v>762</v>
      </c>
      <c r="E3126" s="21">
        <f>IF(D3126="?OLD","!!!","")</f>
        <v/>
      </c>
      <c r="F3126" s="22" t="str">
        <f>IF(OR(E3126="",E3126="!!!"),"",IF(NOT(ISNA(VLOOKUP(E3126,E$1:E3125,1,FALSE()))),"OLD",IF(AND(E3126&lt;&gt;"",E3126&lt;&gt;"!!!"),"NEW","")))</f>
        <v> </v>
      </c>
      <c r="G3126" s="23" t="str">
        <f>IF(OR(E3126="",E3126="!!!"),"",IF(OR(J3126=0,AND(J3126=1,K3126=1),AND(J3126=1,I3126="SBJ"),AND(J3126=1,I3126=0)),"?IN_FOCUS",IF(J3126&lt;=2,"?ACTIVATED",IF(J3126&lt;&gt;"","?FAMILIAR",IF(F3126="NEW",IF(ISNA(VLOOKUP(E3126,#REF!,1,FALSE())),"?TYPE_IDENTIFIABLE","?REFERENTIAL"),"_")))))</f>
        <v> </v>
      </c>
      <c r="H3126" s="24" t="str">
        <f>IF(J3126&lt;&gt;1,"",IF(I3126="SBJ","CB","?"))</f>
        <v> </v>
      </c>
      <c r="I3126" s="25" t="str">
        <f>IF(OR(E3126="",E3126="!!!",F3126="NEW"),"",INDEX(B3125:B$2,-1+SUMPRODUCT(MAX(ROW(E3125:E$2)*(E3126=E3125:E$2)))))</f>
        <v> </v>
      </c>
      <c r="J3126" s="25" t="str">
        <f>IF(OR(E3126="",E3126="!!!",F3126="NEW"),"",COUNTBLANK(OFFSET(A$1,,,SUMPRODUCT(MAX(ROW(E$2:E3126)*(E3126=E$2:E3126)))))-COUNTBLANK(OFFSET(A$1,,,SUMPRODUCT(MAX(ROW(E$1:E3125)*(E2=E$1:E3125))))))</f>
        <v> </v>
      </c>
      <c r="K3126" s="25" t="str">
        <f>IF(OR(E3126="",E3126="!!!",F3126="NEW"),"",INDEX(J$1:J3125,SUMPRODUCT(MAX(ROW(E$1:E3125)*(E3126=E$1:E3125)))))</f>
        <v> </v>
      </c>
      <c r="L3126" s="26"/>
    </row>
    <row r="3127" spans="1:12">
      <c r="A3127" s="20" t="s">
        <v>889</v>
      </c>
      <c r="B3127" s="27" t="s">
        <v>802</v>
      </c>
      <c r="E3127" s="21">
        <f>IF(D3127="?OLD","!!!","")</f>
        <v/>
      </c>
      <c r="F3127" s="22" t="str">
        <f>IF(OR(E3127="",E3127="!!!"),"",IF(NOT(ISNA(VLOOKUP(E3127,E$1:E3126,1,FALSE()))),"OLD",IF(AND(E3127&lt;&gt;"",E3127&lt;&gt;"!!!"),"NEW","")))</f>
        <v> </v>
      </c>
      <c r="G3127" s="23" t="str">
        <f>IF(OR(E3127="",E3127="!!!"),"",IF(OR(J3127=0,AND(J3127=1,K3127=1),AND(J3127=1,I3127="SBJ"),AND(J3127=1,I3127=0)),"?IN_FOCUS",IF(J3127&lt;=2,"?ACTIVATED",IF(J3127&lt;&gt;"","?FAMILIAR",IF(F3127="NEW",IF(ISNA(VLOOKUP(E3127,#REF!,1,FALSE())),"?TYPE_IDENTIFIABLE","?REFERENTIAL"),"_")))))</f>
        <v> </v>
      </c>
      <c r="H3127" s="24" t="str">
        <f>IF(J3127&lt;&gt;1,"",IF(I3127="SBJ","CB","?"))</f>
        <v> </v>
      </c>
      <c r="I3127" s="25" t="str">
        <f>IF(OR(E3127="",E3127="!!!",F3127="NEW"),"",INDEX(B3126:B$2,-1+SUMPRODUCT(MAX(ROW(E3126:E$2)*(E3127=E3126:E$2)))))</f>
        <v> </v>
      </c>
      <c r="J3127" s="25" t="str">
        <f>IF(OR(E3127="",E3127="!!!",F3127="NEW"),"",COUNTBLANK(OFFSET(A$1,,,SUMPRODUCT(MAX(ROW(E$2:E3127)*(E3127=E$2:E3127)))))-COUNTBLANK(OFFSET(A$1,,,SUMPRODUCT(MAX(ROW(E$1:E3126)*(E2=E$1:E3126))))))</f>
        <v> </v>
      </c>
      <c r="K3127" s="25" t="str">
        <f>IF(OR(E3127="",E3127="!!!",F3127="NEW"),"",INDEX(J$1:J3126,SUMPRODUCT(MAX(ROW(E$1:E3126)*(E3127=E$1:E3126)))))</f>
        <v> </v>
      </c>
      <c r="L3127" s="26"/>
    </row>
    <row r="3128" spans="1:12">
      <c r="A3128" s="20" t="s">
        <v>890</v>
      </c>
      <c r="B3128" s="27" t="s">
        <v>796</v>
      </c>
      <c r="C3128" s="27" t="s">
        <v>820</v>
      </c>
      <c r="D3128" s="27" t="s">
        <v>762</v>
      </c>
      <c r="E3128" s="21">
        <f>IF(D3128="?OLD","!!!","")</f>
        <v/>
      </c>
      <c r="F3128" s="22" t="str">
        <f>IF(OR(E3128="",E3128="!!!"),"",IF(NOT(ISNA(VLOOKUP(E3128,E$1:E3127,1,FALSE()))),"OLD",IF(AND(E3128&lt;&gt;"",E3128&lt;&gt;"!!!"),"NEW","")))</f>
        <v> </v>
      </c>
      <c r="G3128" s="23" t="str">
        <f>IF(OR(E3128="",E3128="!!!"),"",IF(OR(J3128=0,AND(J3128=1,K3128=1),AND(J3128=1,I3128="SBJ"),AND(J3128=1,I3128=0)),"?IN_FOCUS",IF(J3128&lt;=2,"?ACTIVATED",IF(J3128&lt;&gt;"","?FAMILIAR",IF(F3128="NEW",IF(ISNA(VLOOKUP(E3128,#REF!,1,FALSE())),"?TYPE_IDENTIFIABLE","?REFERENTIAL"),"_")))))</f>
        <v> </v>
      </c>
      <c r="H3128" s="24" t="str">
        <f>IF(J3128&lt;&gt;1,"",IF(I3128="SBJ","CB","?"))</f>
        <v> </v>
      </c>
      <c r="I3128" s="25" t="str">
        <f>IF(OR(E3128="",E3128="!!!",F3128="NEW"),"",INDEX(B3127:B$2,-1+SUMPRODUCT(MAX(ROW(E3127:E$2)*(E3128=E3127:E$2)))))</f>
        <v> </v>
      </c>
      <c r="J3128" s="25" t="str">
        <f>IF(OR(E3128="",E3128="!!!",F3128="NEW"),"",COUNTBLANK(OFFSET(A$1,,,SUMPRODUCT(MAX(ROW(E$2:E3128)*(E3128=E$2:E3128)))))-COUNTBLANK(OFFSET(A$1,,,SUMPRODUCT(MAX(ROW(E$1:E3127)*(E2=E$1:E3127))))))</f>
        <v> </v>
      </c>
      <c r="K3128" s="25" t="str">
        <f>IF(OR(E3128="",E3128="!!!",F3128="NEW"),"",INDEX(J$1:J3127,SUMPRODUCT(MAX(ROW(E$1:E3127)*(E3128=E$1:E3127)))))</f>
        <v> </v>
      </c>
      <c r="L3128" s="26"/>
    </row>
    <row r="3129" spans="1:12">
      <c r="A3129" s="20" t="s">
        <v>1717</v>
      </c>
      <c r="E3129" s="21">
        <f>IF(D3129="?OLD","!!!","")</f>
        <v/>
      </c>
      <c r="F3129" s="22" t="str">
        <f>IF(OR(E3129="",E3129="!!!"),"",IF(NOT(ISNA(VLOOKUP(E3129,E$1:E3128,1,FALSE()))),"OLD",IF(AND(E3129&lt;&gt;"",E3129&lt;&gt;"!!!"),"NEW","")))</f>
        <v> </v>
      </c>
      <c r="G3129" s="23" t="str">
        <f>IF(OR(E3129="",E3129="!!!"),"",IF(OR(J3129=0,AND(J3129=1,K3129=1),AND(J3129=1,I3129="SBJ"),AND(J3129=1,I3129=0)),"?IN_FOCUS",IF(J3129&lt;=2,"?ACTIVATED",IF(J3129&lt;&gt;"","?FAMILIAR",IF(F3129="NEW",IF(ISNA(VLOOKUP(E3129,#REF!,1,FALSE())),"?TYPE_IDENTIFIABLE","?REFERENTIAL"),"_")))))</f>
        <v> </v>
      </c>
      <c r="H3129" s="24" t="str">
        <f>IF(J3129&lt;&gt;1,"",IF(I3129="SBJ","CB","?"))</f>
        <v> </v>
      </c>
      <c r="I3129" s="25" t="str">
        <f>IF(OR(E3129="",E3129="!!!",F3129="NEW"),"",INDEX(B3128:B$2,-1+SUMPRODUCT(MAX(ROW(E3128:E$2)*(E3129=E3128:E$2)))))</f>
        <v> </v>
      </c>
      <c r="J3129" s="25" t="str">
        <f>IF(OR(E3129="",E3129="!!!",F3129="NEW"),"",COUNTBLANK(OFFSET(A$1,,,SUMPRODUCT(MAX(ROW(E$2:E3129)*(E3129=E$2:E3129)))))-COUNTBLANK(OFFSET(A$1,,,SUMPRODUCT(MAX(ROW(E$1:E3128)*(E2=E$1:E3128))))))</f>
        <v> </v>
      </c>
      <c r="K3129" s="25" t="str">
        <f>IF(OR(E3129="",E3129="!!!",F3129="NEW"),"",INDEX(J$1:J3128,SUMPRODUCT(MAX(ROW(E$1:E3128)*(E3129=E$1:E3128)))))</f>
        <v> </v>
      </c>
      <c r="L3129" s="26"/>
    </row>
    <row r="3130" spans="1:12">
      <c r="A3130" s="20" t="s">
        <v>1718</v>
      </c>
      <c r="E3130" s="21">
        <f>IF(D3130="?OLD","!!!","")</f>
        <v/>
      </c>
      <c r="F3130" s="22" t="str">
        <f>IF(OR(E3130="",E3130="!!!"),"",IF(NOT(ISNA(VLOOKUP(E3130,E$1:E3129,1,FALSE()))),"OLD",IF(AND(E3130&lt;&gt;"",E3130&lt;&gt;"!!!"),"NEW","")))</f>
        <v> </v>
      </c>
      <c r="G3130" s="23" t="str">
        <f>IF(OR(E3130="",E3130="!!!"),"",IF(OR(J3130=0,AND(J3130=1,K3130=1),AND(J3130=1,I3130="SBJ"),AND(J3130=1,I3130=0)),"?IN_FOCUS",IF(J3130&lt;=2,"?ACTIVATED",IF(J3130&lt;&gt;"","?FAMILIAR",IF(F3130="NEW",IF(ISNA(VLOOKUP(E3130,#REF!,1,FALSE())),"?TYPE_IDENTIFIABLE","?REFERENTIAL"),"_")))))</f>
        <v> </v>
      </c>
      <c r="H3130" s="24" t="str">
        <f>IF(J3130&lt;&gt;1,"",IF(I3130="SBJ","CB","?"))</f>
        <v> </v>
      </c>
      <c r="I3130" s="25" t="str">
        <f>IF(OR(E3130="",E3130="!!!",F3130="NEW"),"",INDEX(B3129:B$2,-1+SUMPRODUCT(MAX(ROW(E3129:E$2)*(E3130=E3129:E$2)))))</f>
        <v> </v>
      </c>
      <c r="J3130" s="25" t="str">
        <f>IF(OR(E3130="",E3130="!!!",F3130="NEW"),"",COUNTBLANK(OFFSET(A$1,,,SUMPRODUCT(MAX(ROW(E$2:E3130)*(E3130=E$2:E3130)))))-COUNTBLANK(OFFSET(A$1,,,SUMPRODUCT(MAX(ROW(E$1:E3129)*(E2=E$1:E3129))))))</f>
        <v> </v>
      </c>
      <c r="K3130" s="25" t="str">
        <f>IF(OR(E3130="",E3130="!!!",F3130="NEW"),"",INDEX(J$1:J3129,SUMPRODUCT(MAX(ROW(E$1:E3129)*(E3130=E$1:E3129)))))</f>
        <v> </v>
      </c>
      <c r="L3130" s="26"/>
    </row>
    <row r="3131" spans="1:12">
      <c r="A3131" s="20" t="s">
        <v>1719</v>
      </c>
      <c r="E3131" s="21">
        <f>IF(D3131="?OLD","!!!","")</f>
        <v/>
      </c>
      <c r="F3131" s="22" t="str">
        <f>IF(OR(E3131="",E3131="!!!"),"",IF(NOT(ISNA(VLOOKUP(E3131,E$1:E3130,1,FALSE()))),"OLD",IF(AND(E3131&lt;&gt;"",E3131&lt;&gt;"!!!"),"NEW","")))</f>
        <v> </v>
      </c>
      <c r="G3131" s="23" t="str">
        <f>IF(OR(E3131="",E3131="!!!"),"",IF(OR(J3131=0,AND(J3131=1,K3131=1),AND(J3131=1,I3131="SBJ"),AND(J3131=1,I3131=0)),"?IN_FOCUS",IF(J3131&lt;=2,"?ACTIVATED",IF(J3131&lt;&gt;"","?FAMILIAR",IF(F3131="NEW",IF(ISNA(VLOOKUP(E3131,#REF!,1,FALSE())),"?TYPE_IDENTIFIABLE","?REFERENTIAL"),"_")))))</f>
        <v> </v>
      </c>
      <c r="H3131" s="24" t="str">
        <f>IF(J3131&lt;&gt;1,"",IF(I3131="SBJ","CB","?"))</f>
        <v> </v>
      </c>
      <c r="I3131" s="25" t="str">
        <f>IF(OR(E3131="",E3131="!!!",F3131="NEW"),"",INDEX(B3130:B$2,-1+SUMPRODUCT(MAX(ROW(E3130:E$2)*(E3131=E3130:E$2)))))</f>
        <v> </v>
      </c>
      <c r="J3131" s="25" t="str">
        <f>IF(OR(E3131="",E3131="!!!",F3131="NEW"),"",COUNTBLANK(OFFSET(A$1,,,SUMPRODUCT(MAX(ROW(E$2:E3131)*(E3131=E$2:E3131)))))-COUNTBLANK(OFFSET(A$1,,,SUMPRODUCT(MAX(ROW(E$1:E3130)*(E2=E$1:E3130))))))</f>
        <v> </v>
      </c>
      <c r="K3131" s="25" t="str">
        <f>IF(OR(E3131="",E3131="!!!",F3131="NEW"),"",INDEX(J$1:J3130,SUMPRODUCT(MAX(ROW(E$1:E3130)*(E3131=E$1:E3130)))))</f>
        <v> </v>
      </c>
      <c r="L3131" s="26"/>
    </row>
    <row r="3132" spans="1:12">
      <c r="A3132" s="20" t="s">
        <v>890</v>
      </c>
      <c r="B3132" s="27" t="s">
        <v>956</v>
      </c>
      <c r="C3132" s="27" t="s">
        <v>820</v>
      </c>
      <c r="D3132" s="27" t="s">
        <v>762</v>
      </c>
      <c r="E3132" s="21">
        <f>IF(D3132="?OLD","!!!","")</f>
        <v/>
      </c>
      <c r="F3132" s="22" t="str">
        <f>IF(OR(E3132="",E3132="!!!"),"",IF(NOT(ISNA(VLOOKUP(E3132,E$1:E3131,1,FALSE()))),"OLD",IF(AND(E3132&lt;&gt;"",E3132&lt;&gt;"!!!"),"NEW","")))</f>
        <v> </v>
      </c>
      <c r="G3132" s="23" t="str">
        <f>IF(OR(E3132="",E3132="!!!"),"",IF(OR(J3132=0,AND(J3132=1,K3132=1),AND(J3132=1,I3132="SBJ"),AND(J3132=1,I3132=0)),"?IN_FOCUS",IF(J3132&lt;=2,"?ACTIVATED",IF(J3132&lt;&gt;"","?FAMILIAR",IF(F3132="NEW",IF(ISNA(VLOOKUP(E3132,#REF!,1,FALSE())),"?TYPE_IDENTIFIABLE","?REFERENTIAL"),"_")))))</f>
        <v> </v>
      </c>
      <c r="H3132" s="24" t="str">
        <f>IF(J3132&lt;&gt;1,"",IF(I3132="SBJ","CB","?"))</f>
        <v> </v>
      </c>
      <c r="I3132" s="25" t="str">
        <f>IF(OR(E3132="",E3132="!!!",F3132="NEW"),"",INDEX(B3131:B$2,-1+SUMPRODUCT(MAX(ROW(E3131:E$2)*(E3132=E3131:E$2)))))</f>
        <v> </v>
      </c>
      <c r="J3132" s="25" t="str">
        <f>IF(OR(E3132="",E3132="!!!",F3132="NEW"),"",COUNTBLANK(OFFSET(A$1,,,SUMPRODUCT(MAX(ROW(E$2:E3132)*(E3132=E$2:E3132)))))-COUNTBLANK(OFFSET(A$1,,,SUMPRODUCT(MAX(ROW(E$1:E3131)*(E2=E$1:E3131))))))</f>
        <v> </v>
      </c>
      <c r="K3132" s="25" t="str">
        <f>IF(OR(E3132="",E3132="!!!",F3132="NEW"),"",INDEX(J$1:J3131,SUMPRODUCT(MAX(ROW(E$1:E3131)*(E3132=E$1:E3131)))))</f>
        <v> </v>
      </c>
      <c r="L3132" s="26"/>
    </row>
    <row r="3133" spans="1:12">
      <c r="A3133" s="20" t="s">
        <v>1051</v>
      </c>
      <c r="E3133" s="21">
        <f>IF(D3133="?OLD","!!!","")</f>
        <v/>
      </c>
      <c r="F3133" s="22" t="str">
        <f>IF(OR(E3133="",E3133="!!!"),"",IF(NOT(ISNA(VLOOKUP(E3133,E$1:E3132,1,FALSE()))),"OLD",IF(AND(E3133&lt;&gt;"",E3133&lt;&gt;"!!!"),"NEW","")))</f>
        <v> </v>
      </c>
      <c r="G3133" s="23" t="str">
        <f>IF(OR(E3133="",E3133="!!!"),"",IF(OR(J3133=0,AND(J3133=1,K3133=1),AND(J3133=1,I3133="SBJ"),AND(J3133=1,I3133=0)),"?IN_FOCUS",IF(J3133&lt;=2,"?ACTIVATED",IF(J3133&lt;&gt;"","?FAMILIAR",IF(F3133="NEW",IF(ISNA(VLOOKUP(E3133,#REF!,1,FALSE())),"?TYPE_IDENTIFIABLE","?REFERENTIAL"),"_")))))</f>
        <v> </v>
      </c>
      <c r="H3133" s="24" t="str">
        <f>IF(J3133&lt;&gt;1,"",IF(I3133="SBJ","CB","?"))</f>
        <v> </v>
      </c>
      <c r="I3133" s="25" t="str">
        <f>IF(OR(E3133="",E3133="!!!",F3133="NEW"),"",INDEX(B3132:B$2,-1+SUMPRODUCT(MAX(ROW(E3132:E$2)*(E3133=E3132:E$2)))))</f>
        <v> </v>
      </c>
      <c r="J3133" s="25" t="str">
        <f>IF(OR(E3133="",E3133="!!!",F3133="NEW"),"",COUNTBLANK(OFFSET(A$1,,,SUMPRODUCT(MAX(ROW(E$2:E3133)*(E3133=E$2:E3133)))))-COUNTBLANK(OFFSET(A$1,,,SUMPRODUCT(MAX(ROW(E$1:E3132)*(E2=E$1:E3132))))))</f>
        <v> </v>
      </c>
      <c r="K3133" s="25" t="str">
        <f>IF(OR(E3133="",E3133="!!!",F3133="NEW"),"",INDEX(J$1:J3132,SUMPRODUCT(MAX(ROW(E$1:E3132)*(E3133=E$1:E3132)))))</f>
        <v> </v>
      </c>
      <c r="L3133" s="26"/>
    </row>
    <row r="3134" spans="1:12">
      <c r="A3134" s="20" t="s">
        <v>1720</v>
      </c>
      <c r="E3134" s="21">
        <f>IF(D3134="?OLD","!!!","")</f>
        <v/>
      </c>
      <c r="F3134" s="22" t="str">
        <f>IF(OR(E3134="",E3134="!!!"),"",IF(NOT(ISNA(VLOOKUP(E3134,E$1:E3133,1,FALSE()))),"OLD",IF(AND(E3134&lt;&gt;"",E3134&lt;&gt;"!!!"),"NEW","")))</f>
        <v> </v>
      </c>
      <c r="G3134" s="23" t="str">
        <f>IF(OR(E3134="",E3134="!!!"),"",IF(OR(J3134=0,AND(J3134=1,K3134=1),AND(J3134=1,I3134="SBJ"),AND(J3134=1,I3134=0)),"?IN_FOCUS",IF(J3134&lt;=2,"?ACTIVATED",IF(J3134&lt;&gt;"","?FAMILIAR",IF(F3134="NEW",IF(ISNA(VLOOKUP(E3134,#REF!,1,FALSE())),"?TYPE_IDENTIFIABLE","?REFERENTIAL"),"_")))))</f>
        <v> </v>
      </c>
      <c r="H3134" s="24" t="str">
        <f>IF(J3134&lt;&gt;1,"",IF(I3134="SBJ","CB","?"))</f>
        <v> </v>
      </c>
      <c r="I3134" s="25" t="str">
        <f>IF(OR(E3134="",E3134="!!!",F3134="NEW"),"",INDEX(B3133:B$2,-1+SUMPRODUCT(MAX(ROW(E3133:E$2)*(E3134=E3133:E$2)))))</f>
        <v> </v>
      </c>
      <c r="J3134" s="25" t="str">
        <f>IF(OR(E3134="",E3134="!!!",F3134="NEW"),"",COUNTBLANK(OFFSET(A$1,,,SUMPRODUCT(MAX(ROW(E$2:E3134)*(E3134=E$2:E3134)))))-COUNTBLANK(OFFSET(A$1,,,SUMPRODUCT(MAX(ROW(E$1:E3133)*(E2=E$1:E3133))))))</f>
        <v> </v>
      </c>
      <c r="K3134" s="25" t="str">
        <f>IF(OR(E3134="",E3134="!!!",F3134="NEW"),"",INDEX(J$1:J3133,SUMPRODUCT(MAX(ROW(E$1:E3133)*(E3134=E$1:E3133)))))</f>
        <v> </v>
      </c>
      <c r="L3134" s="26"/>
    </row>
    <row r="3135" spans="1:12">
      <c r="A3135" s="20" t="s">
        <v>769</v>
      </c>
      <c r="E3135" s="21">
        <f>IF(D3135="?OLD","!!!","")</f>
        <v/>
      </c>
      <c r="F3135" s="22" t="str">
        <f>IF(OR(E3135="",E3135="!!!"),"",IF(NOT(ISNA(VLOOKUP(E3135,E$1:E3134,1,FALSE()))),"OLD",IF(AND(E3135&lt;&gt;"",E3135&lt;&gt;"!!!"),"NEW","")))</f>
        <v> </v>
      </c>
      <c r="G3135" s="23" t="str">
        <f>IF(OR(E3135="",E3135="!!!"),"",IF(OR(J3135=0,AND(J3135=1,K3135=1),AND(J3135=1,I3135="SBJ"),AND(J3135=1,I3135=0)),"?IN_FOCUS",IF(J3135&lt;=2,"?ACTIVATED",IF(J3135&lt;&gt;"","?FAMILIAR",IF(F3135="NEW",IF(ISNA(VLOOKUP(E3135,#REF!,1,FALSE())),"?TYPE_IDENTIFIABLE","?REFERENTIAL"),"_")))))</f>
        <v> </v>
      </c>
      <c r="H3135" s="24" t="str">
        <f>IF(J3135&lt;&gt;1,"",IF(I3135="SBJ","CB","?"))</f>
        <v> </v>
      </c>
      <c r="I3135" s="25" t="str">
        <f>IF(OR(E3135="",E3135="!!!",F3135="NEW"),"",INDEX(B3134:B$2,-1+SUMPRODUCT(MAX(ROW(E3134:E$2)*(E3135=E3134:E$2)))))</f>
        <v> </v>
      </c>
      <c r="J3135" s="25" t="str">
        <f>IF(OR(E3135="",E3135="!!!",F3135="NEW"),"",COUNTBLANK(OFFSET(A$1,,,SUMPRODUCT(MAX(ROW(E$2:E3135)*(E3135=E$2:E3135)))))-COUNTBLANK(OFFSET(A$1,,,SUMPRODUCT(MAX(ROW(E$1:E3134)*(E2=E$1:E3134))))))</f>
        <v> </v>
      </c>
      <c r="K3135" s="25" t="str">
        <f>IF(OR(E3135="",E3135="!!!",F3135="NEW"),"",INDEX(J$1:J3134,SUMPRODUCT(MAX(ROW(E$1:E3134)*(E3135=E$1:E3134)))))</f>
        <v> </v>
      </c>
      <c r="L3135" s="26"/>
    </row>
    <row r="3136" spans="1:12">
      <c r="A3136" s="20" t="s">
        <v>965</v>
      </c>
      <c r="B3136" s="27" t="s">
        <v>901</v>
      </c>
      <c r="C3136" s="27" t="s">
        <v>851</v>
      </c>
      <c r="D3136" s="27" t="s">
        <v>762</v>
      </c>
      <c r="E3136" s="21">
        <f>IF(D3136="?OLD","!!!","")</f>
        <v/>
      </c>
      <c r="F3136" s="22" t="str">
        <f>IF(OR(E3136="",E3136="!!!"),"",IF(NOT(ISNA(VLOOKUP(E3136,E$1:E3135,1,FALSE()))),"OLD",IF(AND(E3136&lt;&gt;"",E3136&lt;&gt;"!!!"),"NEW","")))</f>
        <v> </v>
      </c>
      <c r="G3136" s="23" t="str">
        <f>IF(OR(E3136="",E3136="!!!"),"",IF(OR(J3136=0,AND(J3136=1,K3136=1),AND(J3136=1,I3136="SBJ"),AND(J3136=1,I3136=0)),"?IN_FOCUS",IF(J3136&lt;=2,"?ACTIVATED",IF(J3136&lt;&gt;"","?FAMILIAR",IF(F3136="NEW",IF(ISNA(VLOOKUP(E3136,#REF!,1,FALSE())),"?TYPE_IDENTIFIABLE","?REFERENTIAL"),"_")))))</f>
        <v> </v>
      </c>
      <c r="H3136" s="24" t="str">
        <f>IF(J3136&lt;&gt;1,"",IF(I3136="SBJ","CB","?"))</f>
        <v> </v>
      </c>
      <c r="I3136" s="25" t="str">
        <f>IF(OR(E3136="",E3136="!!!",F3136="NEW"),"",INDEX(B3135:B$2,-1+SUMPRODUCT(MAX(ROW(E3135:E$2)*(E3136=E3135:E$2)))))</f>
        <v> </v>
      </c>
      <c r="J3136" s="25" t="str">
        <f>IF(OR(E3136="",E3136="!!!",F3136="NEW"),"",COUNTBLANK(OFFSET(A$1,,,SUMPRODUCT(MAX(ROW(E$2:E3136)*(E3136=E$2:E3136)))))-COUNTBLANK(OFFSET(A$1,,,SUMPRODUCT(MAX(ROW(E$1:E3135)*(E2=E$1:E3135))))))</f>
        <v> </v>
      </c>
      <c r="K3136" s="25" t="str">
        <f>IF(OR(E3136="",E3136="!!!",F3136="NEW"),"",INDEX(J$1:J3135,SUMPRODUCT(MAX(ROW(E$1:E3135)*(E3136=E$1:E3135)))))</f>
        <v> </v>
      </c>
      <c r="L3136" s="26"/>
    </row>
    <row r="3137" spans="1:12">
      <c r="A3137" s="20" t="s">
        <v>1721</v>
      </c>
      <c r="B3137" s="27" t="s">
        <v>879</v>
      </c>
      <c r="C3137" s="27" t="s">
        <v>837</v>
      </c>
      <c r="D3137" s="27" t="s">
        <v>762</v>
      </c>
      <c r="E3137" s="21">
        <f>IF(D3137="?OLD","!!!","")</f>
        <v/>
      </c>
      <c r="F3137" s="22" t="str">
        <f>IF(OR(E3137="",E3137="!!!"),"",IF(NOT(ISNA(VLOOKUP(E3137,E$1:E3136,1,FALSE()))),"OLD",IF(AND(E3137&lt;&gt;"",E3137&lt;&gt;"!!!"),"NEW","")))</f>
        <v> </v>
      </c>
      <c r="G3137" s="23" t="str">
        <f>IF(OR(E3137="",E3137="!!!"),"",IF(OR(J3137=0,AND(J3137=1,K3137=1),AND(J3137=1,I3137="SBJ"),AND(J3137=1,I3137=0)),"?IN_FOCUS",IF(J3137&lt;=2,"?ACTIVATED",IF(J3137&lt;&gt;"","?FAMILIAR",IF(F3137="NEW",IF(ISNA(VLOOKUP(E3137,#REF!,1,FALSE())),"?TYPE_IDENTIFIABLE","?REFERENTIAL"),"_")))))</f>
        <v> </v>
      </c>
      <c r="H3137" s="24" t="str">
        <f>IF(J3137&lt;&gt;1,"",IF(I3137="SBJ","CB","?"))</f>
        <v> </v>
      </c>
      <c r="I3137" s="25" t="str">
        <f>IF(OR(E3137="",E3137="!!!",F3137="NEW"),"",INDEX(B3136:B$2,-1+SUMPRODUCT(MAX(ROW(E3136:E$2)*(E3137=E3136:E$2)))))</f>
        <v> </v>
      </c>
      <c r="J3137" s="25" t="str">
        <f>IF(OR(E3137="",E3137="!!!",F3137="NEW"),"",COUNTBLANK(OFFSET(A$1,,,SUMPRODUCT(MAX(ROW(E$2:E3137)*(E3137=E$2:E3137)))))-COUNTBLANK(OFFSET(A$1,,,SUMPRODUCT(MAX(ROW(E$1:E3136)*(E2=E$1:E3136))))))</f>
        <v> </v>
      </c>
      <c r="K3137" s="25" t="str">
        <f>IF(OR(E3137="",E3137="!!!",F3137="NEW"),"",INDEX(J$1:J3136,SUMPRODUCT(MAX(ROW(E$1:E3136)*(E3137=E$1:E3136)))))</f>
        <v> </v>
      </c>
      <c r="L3137" s="26"/>
    </row>
    <row r="3138" spans="1:12">
      <c r="A3138" s="20" t="s">
        <v>774</v>
      </c>
      <c r="E3138" s="21">
        <f>IF(D3138="?OLD","!!!","")</f>
        <v/>
      </c>
      <c r="F3138" s="22" t="str">
        <f>IF(OR(E3138="",E3138="!!!"),"",IF(NOT(ISNA(VLOOKUP(E3138,E$1:E3137,1,FALSE()))),"OLD",IF(AND(E3138&lt;&gt;"",E3138&lt;&gt;"!!!"),"NEW","")))</f>
        <v> </v>
      </c>
      <c r="G3138" s="23" t="str">
        <f>IF(OR(E3138="",E3138="!!!"),"",IF(OR(J3138=0,AND(J3138=1,K3138=1),AND(J3138=1,I3138="SBJ"),AND(J3138=1,I3138=0)),"?IN_FOCUS",IF(J3138&lt;=2,"?ACTIVATED",IF(J3138&lt;&gt;"","?FAMILIAR",IF(F3138="NEW",IF(ISNA(VLOOKUP(E3138,#REF!,1,FALSE())),"?TYPE_IDENTIFIABLE","?REFERENTIAL"),"_")))))</f>
        <v> </v>
      </c>
      <c r="H3138" s="24" t="str">
        <f>IF(J3138&lt;&gt;1,"",IF(I3138="SBJ","CB","?"))</f>
        <v> </v>
      </c>
      <c r="I3138" s="25" t="str">
        <f>IF(OR(E3138="",E3138="!!!",F3138="NEW"),"",INDEX(B3137:B$2,-1+SUMPRODUCT(MAX(ROW(E3137:E$2)*(E3138=E3137:E$2)))))</f>
        <v> </v>
      </c>
      <c r="J3138" s="25" t="str">
        <f>IF(OR(E3138="",E3138="!!!",F3138="NEW"),"",COUNTBLANK(OFFSET(A$1,,,SUMPRODUCT(MAX(ROW(E$2:E3138)*(E3138=E$2:E3138)))))-COUNTBLANK(OFFSET(A$1,,,SUMPRODUCT(MAX(ROW(E$1:E3137)*(E2=E$1:E3137))))))</f>
        <v> </v>
      </c>
      <c r="K3138" s="25" t="str">
        <f>IF(OR(E3138="",E3138="!!!",F3138="NEW"),"",INDEX(J$1:J3137,SUMPRODUCT(MAX(ROW(E$1:E3137)*(E3138=E$1:E3137)))))</f>
        <v> </v>
      </c>
      <c r="L3138" s="26"/>
    </row>
    <row r="3139" spans="1:12">
      <c r="A3139" s="20"/>
    </row>
    <row r="3140" spans="1:12">
      <c r="A3140" s="20" t="s">
        <v>1722</v>
      </c>
    </row>
    <row r="3141" spans="1:12">
      <c r="A3141" s="20" t="s">
        <v>776</v>
      </c>
      <c r="B3141" s="27" t="s">
        <v>760</v>
      </c>
      <c r="C3141" s="27" t="s">
        <v>777</v>
      </c>
      <c r="D3141" s="27" t="s">
        <v>762</v>
      </c>
      <c r="E3141" s="21">
        <f>IF(D3141="?OLD","!!!","")</f>
        <v/>
      </c>
      <c r="F3141" s="22" t="str">
        <f>IF(OR(E3141="",E3141="!!!"),"",IF(NOT(ISNA(VLOOKUP(E3141,E$1:E3140,1,FALSE()))),"OLD",IF(AND(E3141&lt;&gt;"",E3141&lt;&gt;"!!!"),"NEW","")))</f>
        <v> </v>
      </c>
      <c r="G3141" s="23" t="str">
        <f>IF(OR(E3141="",E3141="!!!"),"",IF(OR(J3141=0,AND(J3141=1,K3141=1),AND(J3141=1,I3141="SBJ"),AND(J3141=1,I3141=0)),"?IN_FOCUS",IF(J3141&lt;=2,"?ACTIVATED",IF(J3141&lt;&gt;"","?FAMILIAR",IF(F3141="NEW",IF(ISNA(VLOOKUP(E3141,#REF!,1,FALSE())),"?TYPE_IDENTIFIABLE","?REFERENTIAL"),"_")))))</f>
        <v> </v>
      </c>
      <c r="H3141" s="24" t="str">
        <f>IF(J3141&lt;&gt;1,"",IF(I3141="SBJ","CB","?"))</f>
        <v> </v>
      </c>
      <c r="I3141" s="25" t="str">
        <f>IF(OR(E3141="",E3141="!!!",F3141="NEW"),"",INDEX(B3140:B$2,-1+SUMPRODUCT(MAX(ROW(E3140:E$2)*(E3141=E3140:E$2)))))</f>
        <v> </v>
      </c>
      <c r="J3141" s="25" t="str">
        <f>IF(OR(E3141="",E3141="!!!",F3141="NEW"),"",COUNTBLANK(OFFSET(A$1,,,SUMPRODUCT(MAX(ROW(E$2:E3141)*(E3141=E$2:E3141)))))-COUNTBLANK(OFFSET(A$1,,,SUMPRODUCT(MAX(ROW(E$1:E3140)*(E2=E$1:E3140))))))</f>
        <v> </v>
      </c>
      <c r="K3141" s="25" t="str">
        <f>IF(OR(E3141="",E3141="!!!",F3141="NEW"),"",INDEX(J$1:J3140,SUMPRODUCT(MAX(ROW(E$1:E3140)*(E3141=E$1:E3140)))))</f>
        <v> </v>
      </c>
      <c r="L3141" s="26"/>
    </row>
    <row r="3142" spans="1:12">
      <c r="A3142" s="20" t="s">
        <v>778</v>
      </c>
      <c r="E3142" s="21">
        <f>IF(D3142="?OLD","!!!","")</f>
        <v/>
      </c>
      <c r="F3142" s="22" t="str">
        <f>IF(OR(E3142="",E3142="!!!"),"",IF(NOT(ISNA(VLOOKUP(E3142,E$1:E3141,1,FALSE()))),"OLD",IF(AND(E3142&lt;&gt;"",E3142&lt;&gt;"!!!"),"NEW","")))</f>
        <v> </v>
      </c>
      <c r="G3142" s="23" t="str">
        <f>IF(OR(E3142="",E3142="!!!"),"",IF(OR(J3142=0,AND(J3142=1,K3142=1),AND(J3142=1,I3142="SBJ"),AND(J3142=1,I3142=0)),"?IN_FOCUS",IF(J3142&lt;=2,"?ACTIVATED",IF(J3142&lt;&gt;"","?FAMILIAR",IF(F3142="NEW",IF(ISNA(VLOOKUP(E3142,#REF!,1,FALSE())),"?TYPE_IDENTIFIABLE","?REFERENTIAL"),"_")))))</f>
        <v> </v>
      </c>
      <c r="H3142" s="24" t="str">
        <f>IF(J3142&lt;&gt;1,"",IF(I3142="SBJ","CB","?"))</f>
        <v> </v>
      </c>
      <c r="I3142" s="25" t="str">
        <f>IF(OR(E3142="",E3142="!!!",F3142="NEW"),"",INDEX(B3141:B$2,-1+SUMPRODUCT(MAX(ROW(E3141:E$2)*(E3142=E3141:E$2)))))</f>
        <v> </v>
      </c>
      <c r="J3142" s="25" t="str">
        <f>IF(OR(E3142="",E3142="!!!",F3142="NEW"),"",COUNTBLANK(OFFSET(A$1,,,SUMPRODUCT(MAX(ROW(E$2:E3142)*(E3142=E$2:E3142)))))-COUNTBLANK(OFFSET(A$1,,,SUMPRODUCT(MAX(ROW(E$1:E3141)*(E2=E$1:E3141))))))</f>
        <v> </v>
      </c>
      <c r="K3142" s="25" t="str">
        <f>IF(OR(E3142="",E3142="!!!",F3142="NEW"),"",INDEX(J$1:J3141,SUMPRODUCT(MAX(ROW(E$1:E3141)*(E3142=E$1:E3141)))))</f>
        <v> </v>
      </c>
      <c r="L3142" s="26"/>
    </row>
    <row r="3143" spans="1:12">
      <c r="A3143" s="20" t="s">
        <v>954</v>
      </c>
      <c r="B3143" s="27" t="s">
        <v>753</v>
      </c>
      <c r="C3143" s="27" t="s">
        <v>777</v>
      </c>
      <c r="D3143" s="27" t="s">
        <v>762</v>
      </c>
      <c r="E3143" s="21">
        <f>IF(D3143="?OLD","!!!","")</f>
        <v/>
      </c>
      <c r="F3143" s="22" t="str">
        <f>IF(OR(E3143="",E3143="!!!"),"",IF(NOT(ISNA(VLOOKUP(E3143,E$1:E3142,1,FALSE()))),"OLD",IF(AND(E3143&lt;&gt;"",E3143&lt;&gt;"!!!"),"NEW","")))</f>
        <v> </v>
      </c>
      <c r="G3143" s="23" t="str">
        <f>IF(OR(E3143="",E3143="!!!"),"",IF(OR(J3143=0,AND(J3143=1,K3143=1),AND(J3143=1,I3143="SBJ"),AND(J3143=1,I3143=0)),"?IN_FOCUS",IF(J3143&lt;=2,"?ACTIVATED",IF(J3143&lt;&gt;"","?FAMILIAR",IF(F3143="NEW",IF(ISNA(VLOOKUP(E3143,#REF!,1,FALSE())),"?TYPE_IDENTIFIABLE","?REFERENTIAL"),"_")))))</f>
        <v> </v>
      </c>
      <c r="H3143" s="24" t="str">
        <f>IF(J3143&lt;&gt;1,"",IF(I3143="SBJ","CB","?"))</f>
        <v> </v>
      </c>
      <c r="I3143" s="25" t="str">
        <f>IF(OR(E3143="",E3143="!!!",F3143="NEW"),"",INDEX(B3142:B$2,-1+SUMPRODUCT(MAX(ROW(E3142:E$2)*(E3143=E3142:E$2)))))</f>
        <v> </v>
      </c>
      <c r="J3143" s="25" t="str">
        <f>IF(OR(E3143="",E3143="!!!",F3143="NEW"),"",COUNTBLANK(OFFSET(A$1,,,SUMPRODUCT(MAX(ROW(E$2:E3143)*(E3143=E$2:E3143)))))-COUNTBLANK(OFFSET(A$1,,,SUMPRODUCT(MAX(ROW(E$1:E3142)*(E2=E$1:E3142))))))</f>
        <v> </v>
      </c>
      <c r="K3143" s="25" t="str">
        <f>IF(OR(E3143="",E3143="!!!",F3143="NEW"),"",INDEX(J$1:J3142,SUMPRODUCT(MAX(ROW(E$1:E3142)*(E3143=E$1:E3142)))))</f>
        <v> </v>
      </c>
      <c r="L3143" s="26"/>
    </row>
    <row r="3144" spans="1:12">
      <c r="A3144" s="20" t="s">
        <v>889</v>
      </c>
      <c r="B3144" s="27" t="s">
        <v>802</v>
      </c>
      <c r="E3144" s="21">
        <f>IF(D3144="?OLD","!!!","")</f>
        <v/>
      </c>
      <c r="F3144" s="22" t="str">
        <f>IF(OR(E3144="",E3144="!!!"),"",IF(NOT(ISNA(VLOOKUP(E3144,E$1:E3143,1,FALSE()))),"OLD",IF(AND(E3144&lt;&gt;"",E3144&lt;&gt;"!!!"),"NEW","")))</f>
        <v> </v>
      </c>
      <c r="G3144" s="23" t="str">
        <f>IF(OR(E3144="",E3144="!!!"),"",IF(OR(J3144=0,AND(J3144=1,K3144=1),AND(J3144=1,I3144="SBJ"),AND(J3144=1,I3144=0)),"?IN_FOCUS",IF(J3144&lt;=2,"?ACTIVATED",IF(J3144&lt;&gt;"","?FAMILIAR",IF(F3144="NEW",IF(ISNA(VLOOKUP(E3144,#REF!,1,FALSE())),"?TYPE_IDENTIFIABLE","?REFERENTIAL"),"_")))))</f>
        <v> </v>
      </c>
      <c r="H3144" s="24" t="str">
        <f>IF(J3144&lt;&gt;1,"",IF(I3144="SBJ","CB","?"))</f>
        <v> </v>
      </c>
      <c r="I3144" s="25" t="str">
        <f>IF(OR(E3144="",E3144="!!!",F3144="NEW"),"",INDEX(B3143:B$2,-1+SUMPRODUCT(MAX(ROW(E3143:E$2)*(E3144=E3143:E$2)))))</f>
        <v> </v>
      </c>
      <c r="J3144" s="25" t="str">
        <f>IF(OR(E3144="",E3144="!!!",F3144="NEW"),"",COUNTBLANK(OFFSET(A$1,,,SUMPRODUCT(MAX(ROW(E$2:E3144)*(E3144=E$2:E3144)))))-COUNTBLANK(OFFSET(A$1,,,SUMPRODUCT(MAX(ROW(E$1:E3143)*(E2=E$1:E3143))))))</f>
        <v> </v>
      </c>
      <c r="K3144" s="25" t="str">
        <f>IF(OR(E3144="",E3144="!!!",F3144="NEW"),"",INDEX(J$1:J3143,SUMPRODUCT(MAX(ROW(E$1:E3143)*(E3144=E$1:E3143)))))</f>
        <v> </v>
      </c>
      <c r="L3144" s="26"/>
    </row>
    <row r="3145" spans="1:12">
      <c r="A3145" s="20" t="s">
        <v>890</v>
      </c>
      <c r="B3145" s="27" t="s">
        <v>796</v>
      </c>
      <c r="C3145" s="27" t="s">
        <v>820</v>
      </c>
      <c r="D3145" s="27" t="s">
        <v>762</v>
      </c>
      <c r="E3145" s="21">
        <f>IF(D3145="?OLD","!!!","")</f>
        <v/>
      </c>
      <c r="F3145" s="22" t="str">
        <f>IF(OR(E3145="",E3145="!!!"),"",IF(NOT(ISNA(VLOOKUP(E3145,E$1:E3144,1,FALSE()))),"OLD",IF(AND(E3145&lt;&gt;"",E3145&lt;&gt;"!!!"),"NEW","")))</f>
        <v> </v>
      </c>
      <c r="G3145" s="23" t="str">
        <f>IF(OR(E3145="",E3145="!!!"),"",IF(OR(J3145=0,AND(J3145=1,K3145=1),AND(J3145=1,I3145="SBJ"),AND(J3145=1,I3145=0)),"?IN_FOCUS",IF(J3145&lt;=2,"?ACTIVATED",IF(J3145&lt;&gt;"","?FAMILIAR",IF(F3145="NEW",IF(ISNA(VLOOKUP(E3145,#REF!,1,FALSE())),"?TYPE_IDENTIFIABLE","?REFERENTIAL"),"_")))))</f>
        <v> </v>
      </c>
      <c r="H3145" s="24" t="str">
        <f>IF(J3145&lt;&gt;1,"",IF(I3145="SBJ","CB","?"))</f>
        <v> </v>
      </c>
      <c r="I3145" s="25" t="str">
        <f>IF(OR(E3145="",E3145="!!!",F3145="NEW"),"",INDEX(B3144:B$2,-1+SUMPRODUCT(MAX(ROW(E3144:E$2)*(E3145=E3144:E$2)))))</f>
        <v> </v>
      </c>
      <c r="J3145" s="25" t="str">
        <f>IF(OR(E3145="",E3145="!!!",F3145="NEW"),"",COUNTBLANK(OFFSET(A$1,,,SUMPRODUCT(MAX(ROW(E$2:E3145)*(E3145=E$2:E3145)))))-COUNTBLANK(OFFSET(A$1,,,SUMPRODUCT(MAX(ROW(E$1:E3144)*(E2=E$1:E3144))))))</f>
        <v> </v>
      </c>
      <c r="K3145" s="25" t="str">
        <f>IF(OR(E3145="",E3145="!!!",F3145="NEW"),"",INDEX(J$1:J3144,SUMPRODUCT(MAX(ROW(E$1:E3144)*(E3145=E$1:E3144)))))</f>
        <v> </v>
      </c>
      <c r="L3145" s="26"/>
    </row>
    <row r="3146" spans="1:12">
      <c r="A3146" s="20" t="s">
        <v>1717</v>
      </c>
      <c r="E3146" s="21">
        <f>IF(D3146="?OLD","!!!","")</f>
        <v/>
      </c>
      <c r="F3146" s="22" t="str">
        <f>IF(OR(E3146="",E3146="!!!"),"",IF(NOT(ISNA(VLOOKUP(E3146,E$1:E3145,1,FALSE()))),"OLD",IF(AND(E3146&lt;&gt;"",E3146&lt;&gt;"!!!"),"NEW","")))</f>
        <v> </v>
      </c>
      <c r="G3146" s="23" t="str">
        <f>IF(OR(E3146="",E3146="!!!"),"",IF(OR(J3146=0,AND(J3146=1,K3146=1),AND(J3146=1,I3146="SBJ"),AND(J3146=1,I3146=0)),"?IN_FOCUS",IF(J3146&lt;=2,"?ACTIVATED",IF(J3146&lt;&gt;"","?FAMILIAR",IF(F3146="NEW",IF(ISNA(VLOOKUP(E3146,#REF!,1,FALSE())),"?TYPE_IDENTIFIABLE","?REFERENTIAL"),"_")))))</f>
        <v> </v>
      </c>
      <c r="H3146" s="24" t="str">
        <f>IF(J3146&lt;&gt;1,"",IF(I3146="SBJ","CB","?"))</f>
        <v> </v>
      </c>
      <c r="I3146" s="25" t="str">
        <f>IF(OR(E3146="",E3146="!!!",F3146="NEW"),"",INDEX(B3145:B$2,-1+SUMPRODUCT(MAX(ROW(E3145:E$2)*(E3146=E3145:E$2)))))</f>
        <v> </v>
      </c>
      <c r="J3146" s="25" t="str">
        <f>IF(OR(E3146="",E3146="!!!",F3146="NEW"),"",COUNTBLANK(OFFSET(A$1,,,SUMPRODUCT(MAX(ROW(E$2:E3146)*(E3146=E$2:E3146)))))-COUNTBLANK(OFFSET(A$1,,,SUMPRODUCT(MAX(ROW(E$1:E3145)*(E2=E$1:E3145))))))</f>
        <v> </v>
      </c>
      <c r="K3146" s="25" t="str">
        <f>IF(OR(E3146="",E3146="!!!",F3146="NEW"),"",INDEX(J$1:J3145,SUMPRODUCT(MAX(ROW(E$1:E3145)*(E3146=E$1:E3145)))))</f>
        <v> </v>
      </c>
      <c r="L3146" s="26"/>
    </row>
    <row r="3147" spans="1:12">
      <c r="A3147" s="20" t="s">
        <v>974</v>
      </c>
      <c r="E3147" s="21">
        <f>IF(D3147="?OLD","!!!","")</f>
        <v/>
      </c>
      <c r="F3147" s="22" t="str">
        <f>IF(OR(E3147="",E3147="!!!"),"",IF(NOT(ISNA(VLOOKUP(E3147,E$1:E3146,1,FALSE()))),"OLD",IF(AND(E3147&lt;&gt;"",E3147&lt;&gt;"!!!"),"NEW","")))</f>
        <v> </v>
      </c>
      <c r="G3147" s="23" t="str">
        <f>IF(OR(E3147="",E3147="!!!"),"",IF(OR(J3147=0,AND(J3147=1,K3147=1),AND(J3147=1,I3147="SBJ"),AND(J3147=1,I3147=0)),"?IN_FOCUS",IF(J3147&lt;=2,"?ACTIVATED",IF(J3147&lt;&gt;"","?FAMILIAR",IF(F3147="NEW",IF(ISNA(VLOOKUP(E3147,#REF!,1,FALSE())),"?TYPE_IDENTIFIABLE","?REFERENTIAL"),"_")))))</f>
        <v> </v>
      </c>
      <c r="H3147" s="24" t="str">
        <f>IF(J3147&lt;&gt;1,"",IF(I3147="SBJ","CB","?"))</f>
        <v> </v>
      </c>
      <c r="I3147" s="25" t="str">
        <f>IF(OR(E3147="",E3147="!!!",F3147="NEW"),"",INDEX(B3146:B$2,-1+SUMPRODUCT(MAX(ROW(E3146:E$2)*(E3147=E3146:E$2)))))</f>
        <v> </v>
      </c>
      <c r="J3147" s="25" t="str">
        <f>IF(OR(E3147="",E3147="!!!",F3147="NEW"),"",COUNTBLANK(OFFSET(A$1,,,SUMPRODUCT(MAX(ROW(E$2:E3147)*(E3147=E$2:E3147)))))-COUNTBLANK(OFFSET(A$1,,,SUMPRODUCT(MAX(ROW(E$1:E3146)*(E2=E$1:E3146))))))</f>
        <v> </v>
      </c>
      <c r="K3147" s="25" t="str">
        <f>IF(OR(E3147="",E3147="!!!",F3147="NEW"),"",INDEX(J$1:J3146,SUMPRODUCT(MAX(ROW(E$1:E3146)*(E3147=E$1:E3146)))))</f>
        <v> </v>
      </c>
      <c r="L3147" s="26"/>
    </row>
    <row r="3148" spans="1:12">
      <c r="A3148" s="20" t="s">
        <v>1557</v>
      </c>
      <c r="B3148" s="27" t="s">
        <v>956</v>
      </c>
      <c r="C3148" s="27" t="s">
        <v>797</v>
      </c>
      <c r="D3148" s="27" t="s">
        <v>762</v>
      </c>
      <c r="E3148" s="21">
        <f>IF(D3148="?OLD","!!!","")</f>
        <v/>
      </c>
      <c r="F3148" s="22" t="str">
        <f>IF(OR(E3148="",E3148="!!!"),"",IF(NOT(ISNA(VLOOKUP(E3148,E$1:E3147,1,FALSE()))),"OLD",IF(AND(E3148&lt;&gt;"",E3148&lt;&gt;"!!!"),"NEW","")))</f>
        <v> </v>
      </c>
      <c r="G3148" s="23" t="str">
        <f>IF(OR(E3148="",E3148="!!!"),"",IF(OR(J3148=0,AND(J3148=1,K3148=1),AND(J3148=1,I3148="SBJ"),AND(J3148=1,I3148=0)),"?IN_FOCUS",IF(J3148&lt;=2,"?ACTIVATED",IF(J3148&lt;&gt;"","?FAMILIAR",IF(F3148="NEW",IF(ISNA(VLOOKUP(E3148,#REF!,1,FALSE())),"?TYPE_IDENTIFIABLE","?REFERENTIAL"),"_")))))</f>
        <v> </v>
      </c>
      <c r="H3148" s="24" t="str">
        <f>IF(J3148&lt;&gt;1,"",IF(I3148="SBJ","CB","?"))</f>
        <v> </v>
      </c>
      <c r="I3148" s="25" t="str">
        <f>IF(OR(E3148="",E3148="!!!",F3148="NEW"),"",INDEX(B3147:B$2,-1+SUMPRODUCT(MAX(ROW(E3147:E$2)*(E3148=E3147:E$2)))))</f>
        <v> </v>
      </c>
      <c r="J3148" s="25" t="str">
        <f>IF(OR(E3148="",E3148="!!!",F3148="NEW"),"",COUNTBLANK(OFFSET(A$1,,,SUMPRODUCT(MAX(ROW(E$2:E3148)*(E3148=E$2:E3148)))))-COUNTBLANK(OFFSET(A$1,,,SUMPRODUCT(MAX(ROW(E$1:E3147)*(E2=E$1:E3147))))))</f>
        <v> </v>
      </c>
      <c r="K3148" s="25" t="str">
        <f>IF(OR(E3148="",E3148="!!!",F3148="NEW"),"",INDEX(J$1:J3147,SUMPRODUCT(MAX(ROW(E$1:E3147)*(E3148=E$1:E3147)))))</f>
        <v> </v>
      </c>
      <c r="L3148" s="26"/>
    </row>
    <row r="3149" spans="1:12">
      <c r="A3149" s="20" t="s">
        <v>1723</v>
      </c>
      <c r="E3149" s="21">
        <f>IF(D3149="?OLD","!!!","")</f>
        <v/>
      </c>
      <c r="F3149" s="22" t="str">
        <f>IF(OR(E3149="",E3149="!!!"),"",IF(NOT(ISNA(VLOOKUP(E3149,E$1:E3148,1,FALSE()))),"OLD",IF(AND(E3149&lt;&gt;"",E3149&lt;&gt;"!!!"),"NEW","")))</f>
        <v> </v>
      </c>
      <c r="G3149" s="23" t="str">
        <f>IF(OR(E3149="",E3149="!!!"),"",IF(OR(J3149=0,AND(J3149=1,K3149=1),AND(J3149=1,I3149="SBJ"),AND(J3149=1,I3149=0)),"?IN_FOCUS",IF(J3149&lt;=2,"?ACTIVATED",IF(J3149&lt;&gt;"","?FAMILIAR",IF(F3149="NEW",IF(ISNA(VLOOKUP(E3149,#REF!,1,FALSE())),"?TYPE_IDENTIFIABLE","?REFERENTIAL"),"_")))))</f>
        <v> </v>
      </c>
      <c r="H3149" s="24" t="str">
        <f>IF(J3149&lt;&gt;1,"",IF(I3149="SBJ","CB","?"))</f>
        <v> </v>
      </c>
      <c r="I3149" s="25" t="str">
        <f>IF(OR(E3149="",E3149="!!!",F3149="NEW"),"",INDEX(B3148:B$2,-1+SUMPRODUCT(MAX(ROW(E3148:E$2)*(E3149=E3148:E$2)))))</f>
        <v> </v>
      </c>
      <c r="J3149" s="25" t="str">
        <f>IF(OR(E3149="",E3149="!!!",F3149="NEW"),"",COUNTBLANK(OFFSET(A$1,,,SUMPRODUCT(MAX(ROW(E$2:E3149)*(E3149=E$2:E3149)))))-COUNTBLANK(OFFSET(A$1,,,SUMPRODUCT(MAX(ROW(E$1:E3148)*(E2=E$1:E3148))))))</f>
        <v> </v>
      </c>
      <c r="K3149" s="25" t="str">
        <f>IF(OR(E3149="",E3149="!!!",F3149="NEW"),"",INDEX(J$1:J3148,SUMPRODUCT(MAX(ROW(E$1:E3148)*(E3149=E$1:E3148)))))</f>
        <v> </v>
      </c>
      <c r="L3149" s="26"/>
    </row>
    <row r="3150" spans="1:12">
      <c r="A3150" s="20" t="s">
        <v>942</v>
      </c>
      <c r="E3150" s="21">
        <f>IF(D3150="?OLD","!!!","")</f>
        <v/>
      </c>
      <c r="F3150" s="22" t="str">
        <f>IF(OR(E3150="",E3150="!!!"),"",IF(NOT(ISNA(VLOOKUP(E3150,E$1:E3149,1,FALSE()))),"OLD",IF(AND(E3150&lt;&gt;"",E3150&lt;&gt;"!!!"),"NEW","")))</f>
        <v> </v>
      </c>
      <c r="G3150" s="23" t="str">
        <f>IF(OR(E3150="",E3150="!!!"),"",IF(OR(J3150=0,AND(J3150=1,K3150=1),AND(J3150=1,I3150="SBJ"),AND(J3150=1,I3150=0)),"?IN_FOCUS",IF(J3150&lt;=2,"?ACTIVATED",IF(J3150&lt;&gt;"","?FAMILIAR",IF(F3150="NEW",IF(ISNA(VLOOKUP(E3150,#REF!,1,FALSE())),"?TYPE_IDENTIFIABLE","?REFERENTIAL"),"_")))))</f>
        <v> </v>
      </c>
      <c r="H3150" s="24" t="str">
        <f>IF(J3150&lt;&gt;1,"",IF(I3150="SBJ","CB","?"))</f>
        <v> </v>
      </c>
      <c r="I3150" s="25" t="str">
        <f>IF(OR(E3150="",E3150="!!!",F3150="NEW"),"",INDEX(B3149:B$2,-1+SUMPRODUCT(MAX(ROW(E3149:E$2)*(E3150=E3149:E$2)))))</f>
        <v> </v>
      </c>
      <c r="J3150" s="25" t="str">
        <f>IF(OR(E3150="",E3150="!!!",F3150="NEW"),"",COUNTBLANK(OFFSET(A$1,,,SUMPRODUCT(MAX(ROW(E$2:E3150)*(E3150=E$2:E3150)))))-COUNTBLANK(OFFSET(A$1,,,SUMPRODUCT(MAX(ROW(E$1:E3149)*(E2=E$1:E3149))))))</f>
        <v> </v>
      </c>
      <c r="K3150" s="25" t="str">
        <f>IF(OR(E3150="",E3150="!!!",F3150="NEW"),"",INDEX(J$1:J3149,SUMPRODUCT(MAX(ROW(E$1:E3149)*(E3150=E$1:E3149)))))</f>
        <v> </v>
      </c>
      <c r="L3150" s="26"/>
    </row>
    <row r="3151" spans="1:12">
      <c r="A3151" s="20" t="s">
        <v>779</v>
      </c>
      <c r="E3151" s="21">
        <f>IF(D3151="?OLD","!!!","")</f>
        <v/>
      </c>
      <c r="F3151" s="22" t="str">
        <f>IF(OR(E3151="",E3151="!!!"),"",IF(NOT(ISNA(VLOOKUP(E3151,E$1:E3150,1,FALSE()))),"OLD",IF(AND(E3151&lt;&gt;"",E3151&lt;&gt;"!!!"),"NEW","")))</f>
        <v> </v>
      </c>
      <c r="G3151" s="23" t="str">
        <f>IF(OR(E3151="",E3151="!!!"),"",IF(OR(J3151=0,AND(J3151=1,K3151=1),AND(J3151=1,I3151="SBJ"),AND(J3151=1,I3151=0)),"?IN_FOCUS",IF(J3151&lt;=2,"?ACTIVATED",IF(J3151&lt;&gt;"","?FAMILIAR",IF(F3151="NEW",IF(ISNA(VLOOKUP(E3151,#REF!,1,FALSE())),"?TYPE_IDENTIFIABLE","?REFERENTIAL"),"_")))))</f>
        <v> </v>
      </c>
      <c r="H3151" s="24" t="str">
        <f>IF(J3151&lt;&gt;1,"",IF(I3151="SBJ","CB","?"))</f>
        <v> </v>
      </c>
      <c r="I3151" s="25" t="str">
        <f>IF(OR(E3151="",E3151="!!!",F3151="NEW"),"",INDEX(B3150:B$2,-1+SUMPRODUCT(MAX(ROW(E3150:E$2)*(E3151=E3150:E$2)))))</f>
        <v> </v>
      </c>
      <c r="J3151" s="25" t="str">
        <f>IF(OR(E3151="",E3151="!!!",F3151="NEW"),"",COUNTBLANK(OFFSET(A$1,,,SUMPRODUCT(MAX(ROW(E$2:E3151)*(E3151=E$2:E3151)))))-COUNTBLANK(OFFSET(A$1,,,SUMPRODUCT(MAX(ROW(E$1:E3150)*(E2=E$1:E3150))))))</f>
        <v> </v>
      </c>
      <c r="K3151" s="25" t="str">
        <f>IF(OR(E3151="",E3151="!!!",F3151="NEW"),"",INDEX(J$1:J3150,SUMPRODUCT(MAX(ROW(E$1:E3150)*(E3151=E$1:E3150)))))</f>
        <v> </v>
      </c>
      <c r="L3151" s="26"/>
    </row>
    <row r="3152" spans="1:12">
      <c r="A3152" s="20" t="s">
        <v>1483</v>
      </c>
      <c r="B3152" s="27" t="s">
        <v>879</v>
      </c>
      <c r="C3152" s="27" t="s">
        <v>768</v>
      </c>
      <c r="E3152" s="21">
        <f>IF(D3152="?OLD","!!!","")</f>
        <v/>
      </c>
      <c r="F3152" s="22" t="str">
        <f>IF(OR(E3152="",E3152="!!!"),"",IF(NOT(ISNA(VLOOKUP(E3152,E$1:E3151,1,FALSE()))),"OLD",IF(AND(E3152&lt;&gt;"",E3152&lt;&gt;"!!!"),"NEW","")))</f>
        <v> </v>
      </c>
      <c r="G3152" s="23" t="str">
        <f>IF(OR(E3152="",E3152="!!!"),"",IF(OR(J3152=0,AND(J3152=1,K3152=1),AND(J3152=1,I3152="SBJ"),AND(J3152=1,I3152=0)),"?IN_FOCUS",IF(J3152&lt;=2,"?ACTIVATED",IF(J3152&lt;&gt;"","?FAMILIAR",IF(F3152="NEW",IF(ISNA(VLOOKUP(E3152,#REF!,1,FALSE())),"?TYPE_IDENTIFIABLE","?REFERENTIAL"),"_")))))</f>
        <v> </v>
      </c>
      <c r="H3152" s="24" t="str">
        <f>IF(J3152&lt;&gt;1,"",IF(I3152="SBJ","CB","?"))</f>
        <v> </v>
      </c>
      <c r="I3152" s="25" t="str">
        <f>IF(OR(E3152="",E3152="!!!",F3152="NEW"),"",INDEX(B3151:B$2,-1+SUMPRODUCT(MAX(ROW(E3151:E$2)*(E3152=E3151:E$2)))))</f>
        <v> </v>
      </c>
      <c r="J3152" s="25" t="str">
        <f>IF(OR(E3152="",E3152="!!!",F3152="NEW"),"",COUNTBLANK(OFFSET(A$1,,,SUMPRODUCT(MAX(ROW(E$2:E3152)*(E3152=E$2:E3152)))))-COUNTBLANK(OFFSET(A$1,,,SUMPRODUCT(MAX(ROW(E$1:E3151)*(E2=E$1:E3151))))))</f>
        <v> </v>
      </c>
      <c r="K3152" s="25" t="str">
        <f>IF(OR(E3152="",E3152="!!!",F3152="NEW"),"",INDEX(J$1:J3151,SUMPRODUCT(MAX(ROW(E$1:E3151)*(E3152=E$1:E3151)))))</f>
        <v> </v>
      </c>
      <c r="L3152" s="26"/>
    </row>
    <row r="3153" spans="1:12">
      <c r="A3153" s="20" t="s">
        <v>16</v>
      </c>
      <c r="E3153" s="21">
        <f>IF(D3153="?OLD","!!!","")</f>
        <v/>
      </c>
      <c r="F3153" s="22" t="str">
        <f>IF(OR(E3153="",E3153="!!!"),"",IF(NOT(ISNA(VLOOKUP(E3153,E$1:E3152,1,FALSE()))),"OLD",IF(AND(E3153&lt;&gt;"",E3153&lt;&gt;"!!!"),"NEW","")))</f>
        <v> </v>
      </c>
      <c r="G3153" s="23" t="str">
        <f>IF(OR(E3153="",E3153="!!!"),"",IF(OR(J3153=0,AND(J3153=1,K3153=1),AND(J3153=1,I3153="SBJ"),AND(J3153=1,I3153=0)),"?IN_FOCUS",IF(J3153&lt;=2,"?ACTIVATED",IF(J3153&lt;&gt;"","?FAMILIAR",IF(F3153="NEW",IF(ISNA(VLOOKUP(E3153,#REF!,1,FALSE())),"?TYPE_IDENTIFIABLE","?REFERENTIAL"),"_")))))</f>
        <v> </v>
      </c>
      <c r="H3153" s="24" t="str">
        <f>IF(J3153&lt;&gt;1,"",IF(I3153="SBJ","CB","?"))</f>
        <v> </v>
      </c>
      <c r="I3153" s="25" t="str">
        <f>IF(OR(E3153="",E3153="!!!",F3153="NEW"),"",INDEX(B3152:B$2,-1+SUMPRODUCT(MAX(ROW(E3152:E$2)*(E3153=E3152:E$2)))))</f>
        <v> </v>
      </c>
      <c r="J3153" s="25" t="str">
        <f>IF(OR(E3153="",E3153="!!!",F3153="NEW"),"",COUNTBLANK(OFFSET(A$1,,,SUMPRODUCT(MAX(ROW(E$2:E3153)*(E3153=E$2:E3153)))))-COUNTBLANK(OFFSET(A$1,,,SUMPRODUCT(MAX(ROW(E$1:E3152)*(E2=E$1:E3152))))))</f>
        <v> </v>
      </c>
      <c r="K3153" s="25" t="str">
        <f>IF(OR(E3153="",E3153="!!!",F3153="NEW"),"",INDEX(J$1:J3152,SUMPRODUCT(MAX(ROW(E$1:E3152)*(E3153=E$1:E3152)))))</f>
        <v> </v>
      </c>
      <c r="L3153" s="26"/>
    </row>
    <row r="3154" spans="1:12">
      <c r="A3154" s="20" t="s">
        <v>793</v>
      </c>
      <c r="E3154" s="21">
        <f>IF(D3154="?OLD","!!!","")</f>
        <v/>
      </c>
      <c r="F3154" s="22" t="str">
        <f>IF(OR(E3154="",E3154="!!!"),"",IF(NOT(ISNA(VLOOKUP(E3154,E$1:E3153,1,FALSE()))),"OLD",IF(AND(E3154&lt;&gt;"",E3154&lt;&gt;"!!!"),"NEW","")))</f>
        <v> </v>
      </c>
      <c r="G3154" s="23" t="str">
        <f>IF(OR(E3154="",E3154="!!!"),"",IF(OR(J3154=0,AND(J3154=1,K3154=1),AND(J3154=1,I3154="SBJ"),AND(J3154=1,I3154=0)),"?IN_FOCUS",IF(J3154&lt;=2,"?ACTIVATED",IF(J3154&lt;&gt;"","?FAMILIAR",IF(F3154="NEW",IF(ISNA(VLOOKUP(E3154,#REF!,1,FALSE())),"?TYPE_IDENTIFIABLE","?REFERENTIAL"),"_")))))</f>
        <v> </v>
      </c>
      <c r="H3154" s="24" t="str">
        <f>IF(J3154&lt;&gt;1,"",IF(I3154="SBJ","CB","?"))</f>
        <v> </v>
      </c>
      <c r="I3154" s="25" t="str">
        <f>IF(OR(E3154="",E3154="!!!",F3154="NEW"),"",INDEX(B3153:B$2,-1+SUMPRODUCT(MAX(ROW(E3153:E$2)*(E3154=E3153:E$2)))))</f>
        <v> </v>
      </c>
      <c r="J3154" s="25" t="str">
        <f>IF(OR(E3154="",E3154="!!!",F3154="NEW"),"",COUNTBLANK(OFFSET(A$1,,,SUMPRODUCT(MAX(ROW(E$2:E3154)*(E3154=E$2:E3154)))))-COUNTBLANK(OFFSET(A$1,,,SUMPRODUCT(MAX(ROW(E$1:E3153)*(E2=E$1:E3153))))))</f>
        <v> </v>
      </c>
      <c r="K3154" s="25" t="str">
        <f>IF(OR(E3154="",E3154="!!!",F3154="NEW"),"",INDEX(J$1:J3153,SUMPRODUCT(MAX(ROW(E$1:E3153)*(E3154=E$1:E3153)))))</f>
        <v> </v>
      </c>
      <c r="L3154" s="26"/>
    </row>
    <row r="3155" spans="1:12">
      <c r="A3155" s="20" t="s">
        <v>1563</v>
      </c>
      <c r="B3155" s="27" t="s">
        <v>901</v>
      </c>
      <c r="C3155" s="27" t="s">
        <v>851</v>
      </c>
      <c r="D3155" s="27" t="s">
        <v>762</v>
      </c>
      <c r="E3155" s="21">
        <f>IF(D3155="?OLD","!!!","")</f>
        <v/>
      </c>
      <c r="F3155" s="22" t="str">
        <f>IF(OR(E3155="",E3155="!!!"),"",IF(NOT(ISNA(VLOOKUP(E3155,E$1:E3154,1,FALSE()))),"OLD",IF(AND(E3155&lt;&gt;"",E3155&lt;&gt;"!!!"),"NEW","")))</f>
        <v> </v>
      </c>
      <c r="G3155" s="23" t="str">
        <f>IF(OR(E3155="",E3155="!!!"),"",IF(OR(J3155=0,AND(J3155=1,K3155=1),AND(J3155=1,I3155="SBJ"),AND(J3155=1,I3155=0)),"?IN_FOCUS",IF(J3155&lt;=2,"?ACTIVATED",IF(J3155&lt;&gt;"","?FAMILIAR",IF(F3155="NEW",IF(ISNA(VLOOKUP(E3155,#REF!,1,FALSE())),"?TYPE_IDENTIFIABLE","?REFERENTIAL"),"_")))))</f>
        <v> </v>
      </c>
      <c r="H3155" s="24" t="str">
        <f>IF(J3155&lt;&gt;1,"",IF(I3155="SBJ","CB","?"))</f>
        <v> </v>
      </c>
      <c r="I3155" s="25" t="str">
        <f>IF(OR(E3155="",E3155="!!!",F3155="NEW"),"",INDEX(B3154:B$2,-1+SUMPRODUCT(MAX(ROW(E3154:E$2)*(E3155=E3154:E$2)))))</f>
        <v> </v>
      </c>
      <c r="J3155" s="25" t="str">
        <f>IF(OR(E3155="",E3155="!!!",F3155="NEW"),"",COUNTBLANK(OFFSET(A$1,,,SUMPRODUCT(MAX(ROW(E$2:E3155)*(E3155=E$2:E3155)))))-COUNTBLANK(OFFSET(A$1,,,SUMPRODUCT(MAX(ROW(E$1:E3154)*(E2=E$1:E3154))))))</f>
        <v> </v>
      </c>
      <c r="K3155" s="25" t="str">
        <f>IF(OR(E3155="",E3155="!!!",F3155="NEW"),"",INDEX(J$1:J3154,SUMPRODUCT(MAX(ROW(E$1:E3154)*(E3155=E$1:E3154)))))</f>
        <v> </v>
      </c>
      <c r="L3155" s="26"/>
    </row>
    <row r="3156" spans="1:12">
      <c r="A3156" s="20" t="s">
        <v>1724</v>
      </c>
      <c r="B3156" s="27" t="s">
        <v>956</v>
      </c>
      <c r="C3156" s="27" t="s">
        <v>837</v>
      </c>
      <c r="D3156" s="27" t="s">
        <v>762</v>
      </c>
      <c r="E3156" s="21">
        <f>IF(D3156="?OLD","!!!","")</f>
        <v/>
      </c>
      <c r="F3156" s="22" t="str">
        <f>IF(OR(E3156="",E3156="!!!"),"",IF(NOT(ISNA(VLOOKUP(E3156,E$1:E3155,1,FALSE()))),"OLD",IF(AND(E3156&lt;&gt;"",E3156&lt;&gt;"!!!"),"NEW","")))</f>
        <v> </v>
      </c>
      <c r="G3156" s="23" t="str">
        <f>IF(OR(E3156="",E3156="!!!"),"",IF(OR(J3156=0,AND(J3156=1,K3156=1),AND(J3156=1,I3156="SBJ"),AND(J3156=1,I3156=0)),"?IN_FOCUS",IF(J3156&lt;=2,"?ACTIVATED",IF(J3156&lt;&gt;"","?FAMILIAR",IF(F3156="NEW",IF(ISNA(VLOOKUP(E3156,#REF!,1,FALSE())),"?TYPE_IDENTIFIABLE","?REFERENTIAL"),"_")))))</f>
        <v> </v>
      </c>
      <c r="H3156" s="24" t="str">
        <f>IF(J3156&lt;&gt;1,"",IF(I3156="SBJ","CB","?"))</f>
        <v> </v>
      </c>
      <c r="I3156" s="25" t="str">
        <f>IF(OR(E3156="",E3156="!!!",F3156="NEW"),"",INDEX(B3155:B$2,-1+SUMPRODUCT(MAX(ROW(E3155:E$2)*(E3156=E3155:E$2)))))</f>
        <v> </v>
      </c>
      <c r="J3156" s="25" t="str">
        <f>IF(OR(E3156="",E3156="!!!",F3156="NEW"),"",COUNTBLANK(OFFSET(A$1,,,SUMPRODUCT(MAX(ROW(E$2:E3156)*(E3156=E$2:E3156)))))-COUNTBLANK(OFFSET(A$1,,,SUMPRODUCT(MAX(ROW(E$1:E3155)*(E2=E$1:E3155))))))</f>
        <v> </v>
      </c>
      <c r="K3156" s="25" t="str">
        <f>IF(OR(E3156="",E3156="!!!",F3156="NEW"),"",INDEX(J$1:J3155,SUMPRODUCT(MAX(ROW(E$1:E3155)*(E3156=E$1:E3155)))))</f>
        <v> </v>
      </c>
      <c r="L3156" s="26"/>
    </row>
    <row r="3157" spans="1:12">
      <c r="A3157" s="20" t="s">
        <v>822</v>
      </c>
      <c r="E3157" s="21">
        <f>IF(D3157="?OLD","!!!","")</f>
        <v/>
      </c>
      <c r="F3157" s="22" t="str">
        <f>IF(OR(E3157="",E3157="!!!"),"",IF(NOT(ISNA(VLOOKUP(E3157,E$1:E3156,1,FALSE()))),"OLD",IF(AND(E3157&lt;&gt;"",E3157&lt;&gt;"!!!"),"NEW","")))</f>
        <v> </v>
      </c>
      <c r="G3157" s="23" t="str">
        <f>IF(OR(E3157="",E3157="!!!"),"",IF(OR(J3157=0,AND(J3157=1,K3157=1),AND(J3157=1,I3157="SBJ"),AND(J3157=1,I3157=0)),"?IN_FOCUS",IF(J3157&lt;=2,"?ACTIVATED",IF(J3157&lt;&gt;"","?FAMILIAR",IF(F3157="NEW",IF(ISNA(VLOOKUP(E3157,#REF!,1,FALSE())),"?TYPE_IDENTIFIABLE","?REFERENTIAL"),"_")))))</f>
        <v> </v>
      </c>
      <c r="H3157" s="24" t="str">
        <f>IF(J3157&lt;&gt;1,"",IF(I3157="SBJ","CB","?"))</f>
        <v> </v>
      </c>
      <c r="I3157" s="25" t="str">
        <f>IF(OR(E3157="",E3157="!!!",F3157="NEW"),"",INDEX(B3156:B$2,-1+SUMPRODUCT(MAX(ROW(E3156:E$2)*(E3157=E3156:E$2)))))</f>
        <v> </v>
      </c>
      <c r="J3157" s="25" t="str">
        <f>IF(OR(E3157="",E3157="!!!",F3157="NEW"),"",COUNTBLANK(OFFSET(A$1,,,SUMPRODUCT(MAX(ROW(E$2:E3157)*(E3157=E$2:E3157)))))-COUNTBLANK(OFFSET(A$1,,,SUMPRODUCT(MAX(ROW(E$1:E3156)*(E2=E$1:E3156))))))</f>
        <v> </v>
      </c>
      <c r="K3157" s="25" t="str">
        <f>IF(OR(E3157="",E3157="!!!",F3157="NEW"),"",INDEX(J$1:J3156,SUMPRODUCT(MAX(ROW(E$1:E3156)*(E3157=E$1:E3156)))))</f>
        <v> </v>
      </c>
      <c r="L3157" s="26"/>
    </row>
    <row r="3158" spans="1:12">
      <c r="A3158" s="20" t="s">
        <v>960</v>
      </c>
      <c r="E3158" s="21">
        <f>IF(D3158="?OLD","!!!","")</f>
        <v/>
      </c>
      <c r="F3158" s="22" t="str">
        <f>IF(OR(E3158="",E3158="!!!"),"",IF(NOT(ISNA(VLOOKUP(E3158,E$1:E3157,1,FALSE()))),"OLD",IF(AND(E3158&lt;&gt;"",E3158&lt;&gt;"!!!"),"NEW","")))</f>
        <v> </v>
      </c>
      <c r="G3158" s="23" t="str">
        <f>IF(OR(E3158="",E3158="!!!"),"",IF(OR(J3158=0,AND(J3158=1,K3158=1),AND(J3158=1,I3158="SBJ"),AND(J3158=1,I3158=0)),"?IN_FOCUS",IF(J3158&lt;=2,"?ACTIVATED",IF(J3158&lt;&gt;"","?FAMILIAR",IF(F3158="NEW",IF(ISNA(VLOOKUP(E3158,#REF!,1,FALSE())),"?TYPE_IDENTIFIABLE","?REFERENTIAL"),"_")))))</f>
        <v> </v>
      </c>
      <c r="H3158" s="24" t="str">
        <f>IF(J3158&lt;&gt;1,"",IF(I3158="SBJ","CB","?"))</f>
        <v> </v>
      </c>
      <c r="I3158" s="25" t="str">
        <f>IF(OR(E3158="",E3158="!!!",F3158="NEW"),"",INDEX(B3157:B$2,-1+SUMPRODUCT(MAX(ROW(E3157:E$2)*(E3158=E3157:E$2)))))</f>
        <v> </v>
      </c>
      <c r="J3158" s="25" t="str">
        <f>IF(OR(E3158="",E3158="!!!",F3158="NEW"),"",COUNTBLANK(OFFSET(A$1,,,SUMPRODUCT(MAX(ROW(E$2:E3158)*(E3158=E$2:E3158)))))-COUNTBLANK(OFFSET(A$1,,,SUMPRODUCT(MAX(ROW(E$1:E3157)*(E2=E$1:E3157))))))</f>
        <v> </v>
      </c>
      <c r="K3158" s="25" t="str">
        <f>IF(OR(E3158="",E3158="!!!",F3158="NEW"),"",INDEX(J$1:J3157,SUMPRODUCT(MAX(ROW(E$1:E3157)*(E3158=E$1:E3157)))))</f>
        <v> </v>
      </c>
      <c r="L3158" s="26"/>
    </row>
    <row r="3159" spans="1:12">
      <c r="A3159" s="20" t="s">
        <v>1725</v>
      </c>
      <c r="E3159" s="21">
        <f>IF(D3159="?OLD","!!!","")</f>
        <v/>
      </c>
      <c r="F3159" s="22" t="str">
        <f>IF(OR(E3159="",E3159="!!!"),"",IF(NOT(ISNA(VLOOKUP(E3159,E$1:E3158,1,FALSE()))),"OLD",IF(AND(E3159&lt;&gt;"",E3159&lt;&gt;"!!!"),"NEW","")))</f>
        <v> </v>
      </c>
      <c r="G3159" s="23" t="str">
        <f>IF(OR(E3159="",E3159="!!!"),"",IF(OR(J3159=0,AND(J3159=1,K3159=1),AND(J3159=1,I3159="SBJ"),AND(J3159=1,I3159=0)),"?IN_FOCUS",IF(J3159&lt;=2,"?ACTIVATED",IF(J3159&lt;&gt;"","?FAMILIAR",IF(F3159="NEW",IF(ISNA(VLOOKUP(E3159,#REF!,1,FALSE())),"?TYPE_IDENTIFIABLE","?REFERENTIAL"),"_")))))</f>
        <v> </v>
      </c>
      <c r="H3159" s="24" t="str">
        <f>IF(J3159&lt;&gt;1,"",IF(I3159="SBJ","CB","?"))</f>
        <v> </v>
      </c>
      <c r="I3159" s="25" t="str">
        <f>IF(OR(E3159="",E3159="!!!",F3159="NEW"),"",INDEX(B3158:B$2,-1+SUMPRODUCT(MAX(ROW(E3158:E$2)*(E3159=E3158:E$2)))))</f>
        <v> </v>
      </c>
      <c r="J3159" s="25" t="str">
        <f>IF(OR(E3159="",E3159="!!!",F3159="NEW"),"",COUNTBLANK(OFFSET(A$1,,,SUMPRODUCT(MAX(ROW(E$2:E3159)*(E3159=E$2:E3159)))))-COUNTBLANK(OFFSET(A$1,,,SUMPRODUCT(MAX(ROW(E$1:E3158)*(E2=E$1:E3158))))))</f>
        <v> </v>
      </c>
      <c r="K3159" s="25" t="str">
        <f>IF(OR(E3159="",E3159="!!!",F3159="NEW"),"",INDEX(J$1:J3158,SUMPRODUCT(MAX(ROW(E$1:E3158)*(E3159=E$1:E3158)))))</f>
        <v> </v>
      </c>
      <c r="L3159" s="26"/>
    </row>
    <row r="3160" spans="1:12">
      <c r="A3160" s="20" t="s">
        <v>942</v>
      </c>
      <c r="E3160" s="21">
        <f>IF(D3160="?OLD","!!!","")</f>
        <v/>
      </c>
      <c r="F3160" s="22" t="str">
        <f>IF(OR(E3160="",E3160="!!!"),"",IF(NOT(ISNA(VLOOKUP(E3160,E$1:E3159,1,FALSE()))),"OLD",IF(AND(E3160&lt;&gt;"",E3160&lt;&gt;"!!!"),"NEW","")))</f>
        <v> </v>
      </c>
      <c r="G3160" s="23" t="str">
        <f>IF(OR(E3160="",E3160="!!!"),"",IF(OR(J3160=0,AND(J3160=1,K3160=1),AND(J3160=1,I3160="SBJ"),AND(J3160=1,I3160=0)),"?IN_FOCUS",IF(J3160&lt;=2,"?ACTIVATED",IF(J3160&lt;&gt;"","?FAMILIAR",IF(F3160="NEW",IF(ISNA(VLOOKUP(E3160,#REF!,1,FALSE())),"?TYPE_IDENTIFIABLE","?REFERENTIAL"),"_")))))</f>
        <v> </v>
      </c>
      <c r="H3160" s="24" t="str">
        <f>IF(J3160&lt;&gt;1,"",IF(I3160="SBJ","CB","?"))</f>
        <v> </v>
      </c>
      <c r="I3160" s="25" t="str">
        <f>IF(OR(E3160="",E3160="!!!",F3160="NEW"),"",INDEX(B3159:B$2,-1+SUMPRODUCT(MAX(ROW(E3159:E$2)*(E3160=E3159:E$2)))))</f>
        <v> </v>
      </c>
      <c r="J3160" s="25" t="str">
        <f>IF(OR(E3160="",E3160="!!!",F3160="NEW"),"",COUNTBLANK(OFFSET(A$1,,,SUMPRODUCT(MAX(ROW(E$2:E3160)*(E3160=E$2:E3160)))))-COUNTBLANK(OFFSET(A$1,,,SUMPRODUCT(MAX(ROW(E$1:E3159)*(E2=E$1:E3159))))))</f>
        <v> </v>
      </c>
      <c r="K3160" s="25" t="str">
        <f>IF(OR(E3160="",E3160="!!!",F3160="NEW"),"",INDEX(J$1:J3159,SUMPRODUCT(MAX(ROW(E$1:E3159)*(E3160=E$1:E3159)))))</f>
        <v> </v>
      </c>
      <c r="L3160" s="26"/>
    </row>
    <row r="3161" spans="1:12">
      <c r="A3161" s="20" t="s">
        <v>886</v>
      </c>
      <c r="B3161" s="27" t="s">
        <v>901</v>
      </c>
      <c r="C3161" s="27" t="s">
        <v>797</v>
      </c>
      <c r="D3161" s="27" t="s">
        <v>762</v>
      </c>
      <c r="E3161" s="21">
        <f>IF(D3161="?OLD","!!!","")</f>
        <v/>
      </c>
      <c r="F3161" s="22" t="str">
        <f>IF(OR(E3161="",E3161="!!!"),"",IF(NOT(ISNA(VLOOKUP(E3161,E$1:E3160,1,FALSE()))),"OLD",IF(AND(E3161&lt;&gt;"",E3161&lt;&gt;"!!!"),"NEW","")))</f>
        <v> </v>
      </c>
      <c r="G3161" s="23" t="str">
        <f>IF(OR(E3161="",E3161="!!!"),"",IF(OR(J3161=0,AND(J3161=1,K3161=1),AND(J3161=1,I3161="SBJ"),AND(J3161=1,I3161=0)),"?IN_FOCUS",IF(J3161&lt;=2,"?ACTIVATED",IF(J3161&lt;&gt;"","?FAMILIAR",IF(F3161="NEW",IF(ISNA(VLOOKUP(E3161,#REF!,1,FALSE())),"?TYPE_IDENTIFIABLE","?REFERENTIAL"),"_")))))</f>
        <v> </v>
      </c>
      <c r="H3161" s="24" t="str">
        <f>IF(J3161&lt;&gt;1,"",IF(I3161="SBJ","CB","?"))</f>
        <v> </v>
      </c>
      <c r="I3161" s="25" t="str">
        <f>IF(OR(E3161="",E3161="!!!",F3161="NEW"),"",INDEX(B3160:B$2,-1+SUMPRODUCT(MAX(ROW(E3160:E$2)*(E3161=E3160:E$2)))))</f>
        <v> </v>
      </c>
      <c r="J3161" s="25" t="str">
        <f>IF(OR(E3161="",E3161="!!!",F3161="NEW"),"",COUNTBLANK(OFFSET(A$1,,,SUMPRODUCT(MAX(ROW(E$2:E3161)*(E3161=E$2:E3161)))))-COUNTBLANK(OFFSET(A$1,,,SUMPRODUCT(MAX(ROW(E$1:E3160)*(E2=E$1:E3160))))))</f>
        <v> </v>
      </c>
      <c r="K3161" s="25" t="str">
        <f>IF(OR(E3161="",E3161="!!!",F3161="NEW"),"",INDEX(J$1:J3160,SUMPRODUCT(MAX(ROW(E$1:E3160)*(E3161=E$1:E3160)))))</f>
        <v> </v>
      </c>
      <c r="L3161" s="26"/>
    </row>
    <row r="3162" spans="1:12">
      <c r="A3162" s="20" t="s">
        <v>778</v>
      </c>
      <c r="E3162" s="21">
        <f>IF(D3162="?OLD","!!!","")</f>
        <v/>
      </c>
      <c r="F3162" s="22" t="str">
        <f>IF(OR(E3162="",E3162="!!!"),"",IF(NOT(ISNA(VLOOKUP(E3162,E$1:E3161,1,FALSE()))),"OLD",IF(AND(E3162&lt;&gt;"",E3162&lt;&gt;"!!!"),"NEW","")))</f>
        <v> </v>
      </c>
      <c r="G3162" s="23" t="str">
        <f>IF(OR(E3162="",E3162="!!!"),"",IF(OR(J3162=0,AND(J3162=1,K3162=1),AND(J3162=1,I3162="SBJ"),AND(J3162=1,I3162=0)),"?IN_FOCUS",IF(J3162&lt;=2,"?ACTIVATED",IF(J3162&lt;&gt;"","?FAMILIAR",IF(F3162="NEW",IF(ISNA(VLOOKUP(E3162,#REF!,1,FALSE())),"?TYPE_IDENTIFIABLE","?REFERENTIAL"),"_")))))</f>
        <v> </v>
      </c>
      <c r="H3162" s="24" t="str">
        <f>IF(J3162&lt;&gt;1,"",IF(I3162="SBJ","CB","?"))</f>
        <v> </v>
      </c>
      <c r="I3162" s="25" t="str">
        <f>IF(OR(E3162="",E3162="!!!",F3162="NEW"),"",INDEX(B3161:B$2,-1+SUMPRODUCT(MAX(ROW(E3161:E$2)*(E3162=E3161:E$2)))))</f>
        <v> </v>
      </c>
      <c r="J3162" s="25" t="str">
        <f>IF(OR(E3162="",E3162="!!!",F3162="NEW"),"",COUNTBLANK(OFFSET(A$1,,,SUMPRODUCT(MAX(ROW(E$2:E3162)*(E3162=E$2:E3162)))))-COUNTBLANK(OFFSET(A$1,,,SUMPRODUCT(MAX(ROW(E$1:E3161)*(E2=E$1:E3161))))))</f>
        <v> </v>
      </c>
      <c r="K3162" s="25" t="str">
        <f>IF(OR(E3162="",E3162="!!!",F3162="NEW"),"",INDEX(J$1:J3161,SUMPRODUCT(MAX(ROW(E$1:E3161)*(E3162=E$1:E3161)))))</f>
        <v> </v>
      </c>
      <c r="L3162" s="26"/>
    </row>
    <row r="3163" spans="1:12">
      <c r="A3163" s="20" t="s">
        <v>889</v>
      </c>
      <c r="E3163" s="21">
        <f>IF(D3163="?OLD","!!!","")</f>
        <v/>
      </c>
      <c r="F3163" s="22" t="str">
        <f>IF(OR(E3163="",E3163="!!!"),"",IF(NOT(ISNA(VLOOKUP(E3163,E$1:E3162,1,FALSE()))),"OLD",IF(AND(E3163&lt;&gt;"",E3163&lt;&gt;"!!!"),"NEW","")))</f>
        <v> </v>
      </c>
      <c r="G3163" s="23" t="str">
        <f>IF(OR(E3163="",E3163="!!!"),"",IF(OR(J3163=0,AND(J3163=1,K3163=1),AND(J3163=1,I3163="SBJ"),AND(J3163=1,I3163=0)),"?IN_FOCUS",IF(J3163&lt;=2,"?ACTIVATED",IF(J3163&lt;&gt;"","?FAMILIAR",IF(F3163="NEW",IF(ISNA(VLOOKUP(E3163,#REF!,1,FALSE())),"?TYPE_IDENTIFIABLE","?REFERENTIAL"),"_")))))</f>
        <v> </v>
      </c>
      <c r="H3163" s="24" t="str">
        <f>IF(J3163&lt;&gt;1,"",IF(I3163="SBJ","CB","?"))</f>
        <v> </v>
      </c>
      <c r="I3163" s="25" t="str">
        <f>IF(OR(E3163="",E3163="!!!",F3163="NEW"),"",INDEX(B3162:B$2,-1+SUMPRODUCT(MAX(ROW(E3162:E$2)*(E3163=E3162:E$2)))))</f>
        <v> </v>
      </c>
      <c r="J3163" s="25" t="str">
        <f>IF(OR(E3163="",E3163="!!!",F3163="NEW"),"",COUNTBLANK(OFFSET(A$1,,,SUMPRODUCT(MAX(ROW(E$2:E3163)*(E3163=E$2:E3163)))))-COUNTBLANK(OFFSET(A$1,,,SUMPRODUCT(MAX(ROW(E$1:E3162)*(E2=E$1:E3162))))))</f>
        <v> </v>
      </c>
      <c r="K3163" s="25" t="str">
        <f>IF(OR(E3163="",E3163="!!!",F3163="NEW"),"",INDEX(J$1:J3162,SUMPRODUCT(MAX(ROW(E$1:E3162)*(E3163=E$1:E3162)))))</f>
        <v> </v>
      </c>
      <c r="L3163" s="26"/>
    </row>
    <row r="3164" spans="1:12">
      <c r="A3164" s="20" t="s">
        <v>779</v>
      </c>
      <c r="E3164" s="21">
        <f>IF(D3164="?OLD","!!!","")</f>
        <v/>
      </c>
      <c r="F3164" s="22" t="str">
        <f>IF(OR(E3164="",E3164="!!!"),"",IF(NOT(ISNA(VLOOKUP(E3164,E$1:E3163,1,FALSE()))),"OLD",IF(AND(E3164&lt;&gt;"",E3164&lt;&gt;"!!!"),"NEW","")))</f>
        <v> </v>
      </c>
      <c r="G3164" s="23" t="str">
        <f>IF(OR(E3164="",E3164="!!!"),"",IF(OR(J3164=0,AND(J3164=1,K3164=1),AND(J3164=1,I3164="SBJ"),AND(J3164=1,I3164=0)),"?IN_FOCUS",IF(J3164&lt;=2,"?ACTIVATED",IF(J3164&lt;&gt;"","?FAMILIAR",IF(F3164="NEW",IF(ISNA(VLOOKUP(E3164,#REF!,1,FALSE())),"?TYPE_IDENTIFIABLE","?REFERENTIAL"),"_")))))</f>
        <v> </v>
      </c>
      <c r="H3164" s="24" t="str">
        <f>IF(J3164&lt;&gt;1,"",IF(I3164="SBJ","CB","?"))</f>
        <v> </v>
      </c>
      <c r="I3164" s="25" t="str">
        <f>IF(OR(E3164="",E3164="!!!",F3164="NEW"),"",INDEX(B3163:B$2,-1+SUMPRODUCT(MAX(ROW(E3163:E$2)*(E3164=E3163:E$2)))))</f>
        <v> </v>
      </c>
      <c r="J3164" s="25" t="str">
        <f>IF(OR(E3164="",E3164="!!!",F3164="NEW"),"",COUNTBLANK(OFFSET(A$1,,,SUMPRODUCT(MAX(ROW(E$2:E3164)*(E3164=E$2:E3164)))))-COUNTBLANK(OFFSET(A$1,,,SUMPRODUCT(MAX(ROW(E$1:E3163)*(E2=E$1:E3163))))))</f>
        <v> </v>
      </c>
      <c r="K3164" s="25" t="str">
        <f>IF(OR(E3164="",E3164="!!!",F3164="NEW"),"",INDEX(J$1:J3163,SUMPRODUCT(MAX(ROW(E$1:E3163)*(E3164=E$1:E3163)))))</f>
        <v> </v>
      </c>
      <c r="L3164" s="26"/>
    </row>
    <row r="3165" spans="1:12">
      <c r="A3165" s="20" t="s">
        <v>1381</v>
      </c>
      <c r="B3165" s="27" t="s">
        <v>796</v>
      </c>
      <c r="C3165" s="27" t="s">
        <v>768</v>
      </c>
      <c r="E3165" s="21">
        <f>IF(D3165="?OLD","!!!","")</f>
        <v/>
      </c>
      <c r="F3165" s="22" t="str">
        <f>IF(OR(E3165="",E3165="!!!"),"",IF(NOT(ISNA(VLOOKUP(E3165,E$1:E3164,1,FALSE()))),"OLD",IF(AND(E3165&lt;&gt;"",E3165&lt;&gt;"!!!"),"NEW","")))</f>
        <v> </v>
      </c>
      <c r="G3165" s="23" t="str">
        <f>IF(OR(E3165="",E3165="!!!"),"",IF(OR(J3165=0,AND(J3165=1,K3165=1),AND(J3165=1,I3165="SBJ"),AND(J3165=1,I3165=0)),"?IN_FOCUS",IF(J3165&lt;=2,"?ACTIVATED",IF(J3165&lt;&gt;"","?FAMILIAR",IF(F3165="NEW",IF(ISNA(VLOOKUP(E3165,#REF!,1,FALSE())),"?TYPE_IDENTIFIABLE","?REFERENTIAL"),"_")))))</f>
        <v> </v>
      </c>
      <c r="H3165" s="24" t="str">
        <f>IF(J3165&lt;&gt;1,"",IF(I3165="SBJ","CB","?"))</f>
        <v> </v>
      </c>
      <c r="I3165" s="25" t="str">
        <f>IF(OR(E3165="",E3165="!!!",F3165="NEW"),"",INDEX(B3164:B$2,-1+SUMPRODUCT(MAX(ROW(E3164:E$2)*(E3165=E3164:E$2)))))</f>
        <v> </v>
      </c>
      <c r="J3165" s="25" t="str">
        <f>IF(OR(E3165="",E3165="!!!",F3165="NEW"),"",COUNTBLANK(OFFSET(A$1,,,SUMPRODUCT(MAX(ROW(E$2:E3165)*(E3165=E$2:E3165)))))-COUNTBLANK(OFFSET(A$1,,,SUMPRODUCT(MAX(ROW(E$1:E3164)*(E2=E$1:E3164))))))</f>
        <v> </v>
      </c>
      <c r="K3165" s="25" t="str">
        <f>IF(OR(E3165="",E3165="!!!",F3165="NEW"),"",INDEX(J$1:J3164,SUMPRODUCT(MAX(ROW(E$1:E3164)*(E3165=E$1:E3164)))))</f>
        <v> </v>
      </c>
      <c r="L3165" s="26"/>
    </row>
    <row r="3166" spans="1:12">
      <c r="A3166" s="20" t="s">
        <v>886</v>
      </c>
      <c r="B3166" s="27" t="s">
        <v>940</v>
      </c>
      <c r="C3166" s="27" t="s">
        <v>797</v>
      </c>
      <c r="D3166" s="27" t="s">
        <v>762</v>
      </c>
      <c r="E3166" s="21">
        <f>IF(D3166="?OLD","!!!","")</f>
        <v/>
      </c>
      <c r="F3166" s="22" t="str">
        <f>IF(OR(E3166="",E3166="!!!"),"",IF(NOT(ISNA(VLOOKUP(E3166,E$1:E3165,1,FALSE()))),"OLD",IF(AND(E3166&lt;&gt;"",E3166&lt;&gt;"!!!"),"NEW","")))</f>
        <v> </v>
      </c>
      <c r="G3166" s="23" t="str">
        <f>IF(OR(E3166="",E3166="!!!"),"",IF(OR(J3166=0,AND(J3166=1,K3166=1),AND(J3166=1,I3166="SBJ"),AND(J3166=1,I3166=0)),"?IN_FOCUS",IF(J3166&lt;=2,"?ACTIVATED",IF(J3166&lt;&gt;"","?FAMILIAR",IF(F3166="NEW",IF(ISNA(VLOOKUP(E3166,#REF!,1,FALSE())),"?TYPE_IDENTIFIABLE","?REFERENTIAL"),"_")))))</f>
        <v> </v>
      </c>
      <c r="H3166" s="24" t="str">
        <f>IF(J3166&lt;&gt;1,"",IF(I3166="SBJ","CB","?"))</f>
        <v> </v>
      </c>
      <c r="I3166" s="25" t="str">
        <f>IF(OR(E3166="",E3166="!!!",F3166="NEW"),"",INDEX(B3165:B$2,-1+SUMPRODUCT(MAX(ROW(E3165:E$2)*(E3166=E3165:E$2)))))</f>
        <v> </v>
      </c>
      <c r="J3166" s="25" t="str">
        <f>IF(OR(E3166="",E3166="!!!",F3166="NEW"),"",COUNTBLANK(OFFSET(A$1,,,SUMPRODUCT(MAX(ROW(E$2:E3166)*(E3166=E$2:E3166)))))-COUNTBLANK(OFFSET(A$1,,,SUMPRODUCT(MAX(ROW(E$1:E3165)*(E2=E$1:E3165))))))</f>
        <v> </v>
      </c>
      <c r="K3166" s="25" t="str">
        <f>IF(OR(E3166="",E3166="!!!",F3166="NEW"),"",INDEX(J$1:J3165,SUMPRODUCT(MAX(ROW(E$1:E3165)*(E3166=E$1:E3165)))))</f>
        <v> </v>
      </c>
      <c r="L3166" s="26"/>
    </row>
    <row r="3167" spans="1:12">
      <c r="A3167" s="20" t="s">
        <v>1726</v>
      </c>
      <c r="E3167" s="21">
        <f>IF(D3167="?OLD","!!!","")</f>
        <v/>
      </c>
      <c r="F3167" s="22" t="str">
        <f>IF(OR(E3167="",E3167="!!!"),"",IF(NOT(ISNA(VLOOKUP(E3167,E$1:E3166,1,FALSE()))),"OLD",IF(AND(E3167&lt;&gt;"",E3167&lt;&gt;"!!!"),"NEW","")))</f>
        <v> </v>
      </c>
      <c r="G3167" s="23" t="str">
        <f>IF(OR(E3167="",E3167="!!!"),"",IF(OR(J3167=0,AND(J3167=1,K3167=1),AND(J3167=1,I3167="SBJ"),AND(J3167=1,I3167=0)),"?IN_FOCUS",IF(J3167&lt;=2,"?ACTIVATED",IF(J3167&lt;&gt;"","?FAMILIAR",IF(F3167="NEW",IF(ISNA(VLOOKUP(E3167,#REF!,1,FALSE())),"?TYPE_IDENTIFIABLE","?REFERENTIAL"),"_")))))</f>
        <v> </v>
      </c>
      <c r="H3167" s="24" t="str">
        <f>IF(J3167&lt;&gt;1,"",IF(I3167="SBJ","CB","?"))</f>
        <v> </v>
      </c>
      <c r="I3167" s="25" t="str">
        <f>IF(OR(E3167="",E3167="!!!",F3167="NEW"),"",INDEX(B3166:B$2,-1+SUMPRODUCT(MAX(ROW(E3166:E$2)*(E3167=E3166:E$2)))))</f>
        <v> </v>
      </c>
      <c r="J3167" s="25" t="str">
        <f>IF(OR(E3167="",E3167="!!!",F3167="NEW"),"",COUNTBLANK(OFFSET(A$1,,,SUMPRODUCT(MAX(ROW(E$2:E3167)*(E3167=E$2:E3167)))))-COUNTBLANK(OFFSET(A$1,,,SUMPRODUCT(MAX(ROW(E$1:E3166)*(E2=E$1:E3166))))))</f>
        <v> </v>
      </c>
      <c r="K3167" s="25" t="str">
        <f>IF(OR(E3167="",E3167="!!!",F3167="NEW"),"",INDEX(J$1:J3166,SUMPRODUCT(MAX(ROW(E$1:E3166)*(E3167=E$1:E3166)))))</f>
        <v> </v>
      </c>
      <c r="L3167" s="26"/>
    </row>
    <row r="3168" spans="1:12">
      <c r="A3168" s="20" t="s">
        <v>805</v>
      </c>
      <c r="E3168" s="21">
        <f>IF(D3168="?OLD","!!!","")</f>
        <v/>
      </c>
      <c r="F3168" s="22" t="str">
        <f>IF(OR(E3168="",E3168="!!!"),"",IF(NOT(ISNA(VLOOKUP(E3168,E$1:E3167,1,FALSE()))),"OLD",IF(AND(E3168&lt;&gt;"",E3168&lt;&gt;"!!!"),"NEW","")))</f>
        <v> </v>
      </c>
      <c r="G3168" s="23" t="str">
        <f>IF(OR(E3168="",E3168="!!!"),"",IF(OR(J3168=0,AND(J3168=1,K3168=1),AND(J3168=1,I3168="SBJ"),AND(J3168=1,I3168=0)),"?IN_FOCUS",IF(J3168&lt;=2,"?ACTIVATED",IF(J3168&lt;&gt;"","?FAMILIAR",IF(F3168="NEW",IF(ISNA(VLOOKUP(E3168,#REF!,1,FALSE())),"?TYPE_IDENTIFIABLE","?REFERENTIAL"),"_")))))</f>
        <v> </v>
      </c>
      <c r="H3168" s="24" t="str">
        <f>IF(J3168&lt;&gt;1,"",IF(I3168="SBJ","CB","?"))</f>
        <v> </v>
      </c>
      <c r="I3168" s="25" t="str">
        <f>IF(OR(E3168="",E3168="!!!",F3168="NEW"),"",INDEX(B3167:B$2,-1+SUMPRODUCT(MAX(ROW(E3167:E$2)*(E3168=E3167:E$2)))))</f>
        <v> </v>
      </c>
      <c r="J3168" s="25" t="str">
        <f>IF(OR(E3168="",E3168="!!!",F3168="NEW"),"",COUNTBLANK(OFFSET(A$1,,,SUMPRODUCT(MAX(ROW(E$2:E3168)*(E3168=E$2:E3168)))))-COUNTBLANK(OFFSET(A$1,,,SUMPRODUCT(MAX(ROW(E$1:E3167)*(E2=E$1:E3167))))))</f>
        <v> </v>
      </c>
      <c r="K3168" s="25" t="str">
        <f>IF(OR(E3168="",E3168="!!!",F3168="NEW"),"",INDEX(J$1:J3167,SUMPRODUCT(MAX(ROW(E$1:E3167)*(E3168=E$1:E3167)))))</f>
        <v> </v>
      </c>
      <c r="L3168" s="26"/>
    </row>
    <row r="3169" spans="1:12">
      <c r="A3169" s="20" t="s">
        <v>495</v>
      </c>
      <c r="E3169" s="21">
        <f>IF(D3169="?OLD","!!!","")</f>
        <v/>
      </c>
      <c r="F3169" s="22" t="str">
        <f>IF(OR(E3169="",E3169="!!!"),"",IF(NOT(ISNA(VLOOKUP(E3169,E$1:E3168,1,FALSE()))),"OLD",IF(AND(E3169&lt;&gt;"",E3169&lt;&gt;"!!!"),"NEW","")))</f>
        <v> </v>
      </c>
      <c r="G3169" s="23" t="str">
        <f>IF(OR(E3169="",E3169="!!!"),"",IF(OR(J3169=0,AND(J3169=1,K3169=1),AND(J3169=1,I3169="SBJ"),AND(J3169=1,I3169=0)),"?IN_FOCUS",IF(J3169&lt;=2,"?ACTIVATED",IF(J3169&lt;&gt;"","?FAMILIAR",IF(F3169="NEW",IF(ISNA(VLOOKUP(E3169,#REF!,1,FALSE())),"?TYPE_IDENTIFIABLE","?REFERENTIAL"),"_")))))</f>
        <v> </v>
      </c>
      <c r="H3169" s="24" t="str">
        <f>IF(J3169&lt;&gt;1,"",IF(I3169="SBJ","CB","?"))</f>
        <v> </v>
      </c>
      <c r="I3169" s="25" t="str">
        <f>IF(OR(E3169="",E3169="!!!",F3169="NEW"),"",INDEX(B3168:B$2,-1+SUMPRODUCT(MAX(ROW(E3168:E$2)*(E3169=E3168:E$2)))))</f>
        <v> </v>
      </c>
      <c r="J3169" s="25" t="str">
        <f>IF(OR(E3169="",E3169="!!!",F3169="NEW"),"",COUNTBLANK(OFFSET(A$1,,,SUMPRODUCT(MAX(ROW(E$2:E3169)*(E3169=E$2:E3169)))))-COUNTBLANK(OFFSET(A$1,,,SUMPRODUCT(MAX(ROW(E$1:E3168)*(E2=E$1:E3168))))))</f>
        <v> </v>
      </c>
      <c r="K3169" s="25" t="str">
        <f>IF(OR(E3169="",E3169="!!!",F3169="NEW"),"",INDEX(J$1:J3168,SUMPRODUCT(MAX(ROW(E$1:E3168)*(E3169=E$1:E3168)))))</f>
        <v> </v>
      </c>
      <c r="L3169" s="26"/>
    </row>
    <row r="3170" spans="1:12">
      <c r="A3170" s="20" t="s">
        <v>810</v>
      </c>
      <c r="E3170" s="21">
        <f>IF(D3170="?OLD","!!!","")</f>
        <v/>
      </c>
      <c r="F3170" s="22" t="str">
        <f>IF(OR(E3170="",E3170="!!!"),"",IF(NOT(ISNA(VLOOKUP(E3170,E$1:E3169,1,FALSE()))),"OLD",IF(AND(E3170&lt;&gt;"",E3170&lt;&gt;"!!!"),"NEW","")))</f>
        <v> </v>
      </c>
      <c r="G3170" s="23" t="str">
        <f>IF(OR(E3170="",E3170="!!!"),"",IF(OR(J3170=0,AND(J3170=1,K3170=1),AND(J3170=1,I3170="SBJ"),AND(J3170=1,I3170=0)),"?IN_FOCUS",IF(J3170&lt;=2,"?ACTIVATED",IF(J3170&lt;&gt;"","?FAMILIAR",IF(F3170="NEW",IF(ISNA(VLOOKUP(E3170,#REF!,1,FALSE())),"?TYPE_IDENTIFIABLE","?REFERENTIAL"),"_")))))</f>
        <v> </v>
      </c>
      <c r="H3170" s="24" t="str">
        <f>IF(J3170&lt;&gt;1,"",IF(I3170="SBJ","CB","?"))</f>
        <v> </v>
      </c>
      <c r="I3170" s="25" t="str">
        <f>IF(OR(E3170="",E3170="!!!",F3170="NEW"),"",INDEX(B3169:B$2,-1+SUMPRODUCT(MAX(ROW(E3169:E$2)*(E3170=E3169:E$2)))))</f>
        <v> </v>
      </c>
      <c r="J3170" s="25" t="str">
        <f>IF(OR(E3170="",E3170="!!!",F3170="NEW"),"",COUNTBLANK(OFFSET(A$1,,,SUMPRODUCT(MAX(ROW(E$2:E3170)*(E3170=E$2:E3170)))))-COUNTBLANK(OFFSET(A$1,,,SUMPRODUCT(MAX(ROW(E$1:E3169)*(E2=E$1:E3169))))))</f>
        <v> </v>
      </c>
      <c r="K3170" s="25" t="str">
        <f>IF(OR(E3170="",E3170="!!!",F3170="NEW"),"",INDEX(J$1:J3169,SUMPRODUCT(MAX(ROW(E$1:E3169)*(E3170=E$1:E3169)))))</f>
        <v> </v>
      </c>
      <c r="L3170" s="26"/>
    </row>
    <row r="3171" spans="1:12">
      <c r="A3171" s="20" t="s">
        <v>793</v>
      </c>
      <c r="E3171" s="21">
        <f>IF(D3171="?OLD","!!!","")</f>
        <v/>
      </c>
      <c r="F3171" s="22" t="str">
        <f>IF(OR(E3171="",E3171="!!!"),"",IF(NOT(ISNA(VLOOKUP(E3171,E$1:E3170,1,FALSE()))),"OLD",IF(AND(E3171&lt;&gt;"",E3171&lt;&gt;"!!!"),"NEW","")))</f>
        <v> </v>
      </c>
      <c r="G3171" s="23" t="str">
        <f>IF(OR(E3171="",E3171="!!!"),"",IF(OR(J3171=0,AND(J3171=1,K3171=1),AND(J3171=1,I3171="SBJ"),AND(J3171=1,I3171=0)),"?IN_FOCUS",IF(J3171&lt;=2,"?ACTIVATED",IF(J3171&lt;&gt;"","?FAMILIAR",IF(F3171="NEW",IF(ISNA(VLOOKUP(E3171,#REF!,1,FALSE())),"?TYPE_IDENTIFIABLE","?REFERENTIAL"),"_")))))</f>
        <v> </v>
      </c>
      <c r="H3171" s="24" t="str">
        <f>IF(J3171&lt;&gt;1,"",IF(I3171="SBJ","CB","?"))</f>
        <v> </v>
      </c>
      <c r="I3171" s="25" t="str">
        <f>IF(OR(E3171="",E3171="!!!",F3171="NEW"),"",INDEX(B3170:B$2,-1+SUMPRODUCT(MAX(ROW(E3170:E$2)*(E3171=E3170:E$2)))))</f>
        <v> </v>
      </c>
      <c r="J3171" s="25" t="str">
        <f>IF(OR(E3171="",E3171="!!!",F3171="NEW"),"",COUNTBLANK(OFFSET(A$1,,,SUMPRODUCT(MAX(ROW(E$2:E3171)*(E3171=E$2:E3171)))))-COUNTBLANK(OFFSET(A$1,,,SUMPRODUCT(MAX(ROW(E$1:E3170)*(E2=E$1:E3170))))))</f>
        <v> </v>
      </c>
      <c r="K3171" s="25" t="str">
        <f>IF(OR(E3171="",E3171="!!!",F3171="NEW"),"",INDEX(J$1:J3170,SUMPRODUCT(MAX(ROW(E$1:E3170)*(E3171=E$1:E3170)))))</f>
        <v> </v>
      </c>
      <c r="L3171" s="26"/>
    </row>
    <row r="3172" spans="1:12">
      <c r="A3172" s="20" t="s">
        <v>769</v>
      </c>
      <c r="E3172" s="21">
        <f>IF(D3172="?OLD","!!!","")</f>
        <v/>
      </c>
      <c r="F3172" s="22" t="str">
        <f>IF(OR(E3172="",E3172="!!!"),"",IF(NOT(ISNA(VLOOKUP(E3172,E$1:E3171,1,FALSE()))),"OLD",IF(AND(E3172&lt;&gt;"",E3172&lt;&gt;"!!!"),"NEW","")))</f>
        <v> </v>
      </c>
      <c r="G3172" s="23" t="str">
        <f>IF(OR(E3172="",E3172="!!!"),"",IF(OR(J3172=0,AND(J3172=1,K3172=1),AND(J3172=1,I3172="SBJ"),AND(J3172=1,I3172=0)),"?IN_FOCUS",IF(J3172&lt;=2,"?ACTIVATED",IF(J3172&lt;&gt;"","?FAMILIAR",IF(F3172="NEW",IF(ISNA(VLOOKUP(E3172,#REF!,1,FALSE())),"?TYPE_IDENTIFIABLE","?REFERENTIAL"),"_")))))</f>
        <v> </v>
      </c>
      <c r="H3172" s="24" t="str">
        <f>IF(J3172&lt;&gt;1,"",IF(I3172="SBJ","CB","?"))</f>
        <v> </v>
      </c>
      <c r="I3172" s="25" t="str">
        <f>IF(OR(E3172="",E3172="!!!",F3172="NEW"),"",INDEX(B3171:B$2,-1+SUMPRODUCT(MAX(ROW(E3171:E$2)*(E3172=E3171:E$2)))))</f>
        <v> </v>
      </c>
      <c r="J3172" s="25" t="str">
        <f>IF(OR(E3172="",E3172="!!!",F3172="NEW"),"",COUNTBLANK(OFFSET(A$1,,,SUMPRODUCT(MAX(ROW(E$2:E3172)*(E3172=E$2:E3172)))))-COUNTBLANK(OFFSET(A$1,,,SUMPRODUCT(MAX(ROW(E$1:E3171)*(E2=E$1:E3171))))))</f>
        <v> </v>
      </c>
      <c r="K3172" s="25" t="str">
        <f>IF(OR(E3172="",E3172="!!!",F3172="NEW"),"",INDEX(J$1:J3171,SUMPRODUCT(MAX(ROW(E$1:E3171)*(E3172=E$1:E3171)))))</f>
        <v> </v>
      </c>
      <c r="L3172" s="26"/>
    </row>
    <row r="3173" spans="1:12">
      <c r="A3173" s="20" t="s">
        <v>838</v>
      </c>
      <c r="E3173" s="21">
        <f>IF(D3173="?OLD","!!!","")</f>
        <v/>
      </c>
      <c r="F3173" s="22" t="str">
        <f>IF(OR(E3173="",E3173="!!!"),"",IF(NOT(ISNA(VLOOKUP(E3173,E$1:E3172,1,FALSE()))),"OLD",IF(AND(E3173&lt;&gt;"",E3173&lt;&gt;"!!!"),"NEW","")))</f>
        <v> </v>
      </c>
      <c r="G3173" s="23" t="str">
        <f>IF(OR(E3173="",E3173="!!!"),"",IF(OR(J3173=0,AND(J3173=1,K3173=1),AND(J3173=1,I3173="SBJ"),AND(J3173=1,I3173=0)),"?IN_FOCUS",IF(J3173&lt;=2,"?ACTIVATED",IF(J3173&lt;&gt;"","?FAMILIAR",IF(F3173="NEW",IF(ISNA(VLOOKUP(E3173,#REF!,1,FALSE())),"?TYPE_IDENTIFIABLE","?REFERENTIAL"),"_")))))</f>
        <v> </v>
      </c>
      <c r="H3173" s="24" t="str">
        <f>IF(J3173&lt;&gt;1,"",IF(I3173="SBJ","CB","?"))</f>
        <v> </v>
      </c>
      <c r="I3173" s="25" t="str">
        <f>IF(OR(E3173="",E3173="!!!",F3173="NEW"),"",INDEX(B3172:B$2,-1+SUMPRODUCT(MAX(ROW(E3172:E$2)*(E3173=E3172:E$2)))))</f>
        <v> </v>
      </c>
      <c r="J3173" s="25" t="str">
        <f>IF(OR(E3173="",E3173="!!!",F3173="NEW"),"",COUNTBLANK(OFFSET(A$1,,,SUMPRODUCT(MAX(ROW(E$2:E3173)*(E3173=E$2:E3173)))))-COUNTBLANK(OFFSET(A$1,,,SUMPRODUCT(MAX(ROW(E$1:E3172)*(E2=E$1:E3172))))))</f>
        <v> </v>
      </c>
      <c r="K3173" s="25" t="str">
        <f>IF(OR(E3173="",E3173="!!!",F3173="NEW"),"",INDEX(J$1:J3172,SUMPRODUCT(MAX(ROW(E$1:E3172)*(E3173=E$1:E3172)))))</f>
        <v> </v>
      </c>
      <c r="L3173" s="26"/>
    </row>
    <row r="3174" spans="1:12">
      <c r="A3174" s="20" t="s">
        <v>1727</v>
      </c>
      <c r="B3174" s="27" t="s">
        <v>879</v>
      </c>
      <c r="C3174" s="27" t="s">
        <v>761</v>
      </c>
      <c r="D3174" s="27" t="s">
        <v>762</v>
      </c>
      <c r="E3174" s="21">
        <f>IF(D3174="?OLD","!!!","")</f>
        <v/>
      </c>
      <c r="F3174" s="22" t="str">
        <f>IF(OR(E3174="",E3174="!!!"),"",IF(NOT(ISNA(VLOOKUP(E3174,E$1:E3173,1,FALSE()))),"OLD",IF(AND(E3174&lt;&gt;"",E3174&lt;&gt;"!!!"),"NEW","")))</f>
        <v> </v>
      </c>
      <c r="G3174" s="23" t="str">
        <f>IF(OR(E3174="",E3174="!!!"),"",IF(OR(J3174=0,AND(J3174=1,K3174=1),AND(J3174=1,I3174="SBJ"),AND(J3174=1,I3174=0)),"?IN_FOCUS",IF(J3174&lt;=2,"?ACTIVATED",IF(J3174&lt;&gt;"","?FAMILIAR",IF(F3174="NEW",IF(ISNA(VLOOKUP(E3174,#REF!,1,FALSE())),"?TYPE_IDENTIFIABLE","?REFERENTIAL"),"_")))))</f>
        <v> </v>
      </c>
      <c r="H3174" s="24" t="str">
        <f>IF(J3174&lt;&gt;1,"",IF(I3174="SBJ","CB","?"))</f>
        <v> </v>
      </c>
      <c r="I3174" s="25" t="str">
        <f>IF(OR(E3174="",E3174="!!!",F3174="NEW"),"",INDEX(B3173:B$2,-1+SUMPRODUCT(MAX(ROW(E3173:E$2)*(E3174=E3173:E$2)))))</f>
        <v> </v>
      </c>
      <c r="J3174" s="25" t="str">
        <f>IF(OR(E3174="",E3174="!!!",F3174="NEW"),"",COUNTBLANK(OFFSET(A$1,,,SUMPRODUCT(MAX(ROW(E$2:E3174)*(E3174=E$2:E3174)))))-COUNTBLANK(OFFSET(A$1,,,SUMPRODUCT(MAX(ROW(E$1:E3173)*(E2=E$1:E3173))))))</f>
        <v> </v>
      </c>
      <c r="K3174" s="25" t="str">
        <f>IF(OR(E3174="",E3174="!!!",F3174="NEW"),"",INDEX(J$1:J3173,SUMPRODUCT(MAX(ROW(E$1:E3173)*(E3174=E$1:E3173)))))</f>
        <v> </v>
      </c>
      <c r="L3174" s="26"/>
    </row>
    <row r="3175" spans="1:12">
      <c r="A3175" s="20" t="s">
        <v>793</v>
      </c>
      <c r="B3175" s="27" t="s">
        <v>1076</v>
      </c>
      <c r="E3175" s="21">
        <f>IF(D3175="?OLD","!!!","")</f>
        <v/>
      </c>
      <c r="F3175" s="22" t="str">
        <f>IF(OR(E3175="",E3175="!!!"),"",IF(NOT(ISNA(VLOOKUP(E3175,E$1:E3174,1,FALSE()))),"OLD",IF(AND(E3175&lt;&gt;"",E3175&lt;&gt;"!!!"),"NEW","")))</f>
        <v> </v>
      </c>
      <c r="G3175" s="23" t="str">
        <f>IF(OR(E3175="",E3175="!!!"),"",IF(OR(J3175=0,AND(J3175=1,K3175=1),AND(J3175=1,I3175="SBJ"),AND(J3175=1,I3175=0)),"?IN_FOCUS",IF(J3175&lt;=2,"?ACTIVATED",IF(J3175&lt;&gt;"","?FAMILIAR",IF(F3175="NEW",IF(ISNA(VLOOKUP(E3175,#REF!,1,FALSE())),"?TYPE_IDENTIFIABLE","?REFERENTIAL"),"_")))))</f>
        <v> </v>
      </c>
      <c r="H3175" s="24" t="str">
        <f>IF(J3175&lt;&gt;1,"",IF(I3175="SBJ","CB","?"))</f>
        <v> </v>
      </c>
      <c r="I3175" s="25" t="str">
        <f>IF(OR(E3175="",E3175="!!!",F3175="NEW"),"",INDEX(B3174:B$2,-1+SUMPRODUCT(MAX(ROW(E3174:E$2)*(E3175=E3174:E$2)))))</f>
        <v> </v>
      </c>
      <c r="J3175" s="25" t="str">
        <f>IF(OR(E3175="",E3175="!!!",F3175="NEW"),"",COUNTBLANK(OFFSET(A$1,,,SUMPRODUCT(MAX(ROW(E$2:E3175)*(E3175=E$2:E3175)))))-COUNTBLANK(OFFSET(A$1,,,SUMPRODUCT(MAX(ROW(E$1:E3174)*(E2=E$1:E3174))))))</f>
        <v> </v>
      </c>
      <c r="K3175" s="25" t="str">
        <f>IF(OR(E3175="",E3175="!!!",F3175="NEW"),"",INDEX(J$1:J3174,SUMPRODUCT(MAX(ROW(E$1:E3174)*(E3175=E$1:E3174)))))</f>
        <v> </v>
      </c>
      <c r="L3175" s="26"/>
    </row>
    <row r="3176" spans="1:12">
      <c r="A3176" s="20" t="s">
        <v>1557</v>
      </c>
      <c r="B3176" s="27" t="s">
        <v>1272</v>
      </c>
      <c r="C3176" s="27" t="s">
        <v>797</v>
      </c>
      <c r="D3176" s="27" t="s">
        <v>762</v>
      </c>
      <c r="E3176" s="21">
        <f>IF(D3176="?OLD","!!!","")</f>
        <v/>
      </c>
      <c r="F3176" s="22" t="str">
        <f>IF(OR(E3176="",E3176="!!!"),"",IF(NOT(ISNA(VLOOKUP(E3176,E$1:E3175,1,FALSE()))),"OLD",IF(AND(E3176&lt;&gt;"",E3176&lt;&gt;"!!!"),"NEW","")))</f>
        <v> </v>
      </c>
      <c r="G3176" s="23" t="str">
        <f>IF(OR(E3176="",E3176="!!!"),"",IF(OR(J3176=0,AND(J3176=1,K3176=1),AND(J3176=1,I3176="SBJ"),AND(J3176=1,I3176=0)),"?IN_FOCUS",IF(J3176&lt;=2,"?ACTIVATED",IF(J3176&lt;&gt;"","?FAMILIAR",IF(F3176="NEW",IF(ISNA(VLOOKUP(E3176,#REF!,1,FALSE())),"?TYPE_IDENTIFIABLE","?REFERENTIAL"),"_")))))</f>
        <v> </v>
      </c>
      <c r="H3176" s="24" t="str">
        <f>IF(J3176&lt;&gt;1,"",IF(I3176="SBJ","CB","?"))</f>
        <v> </v>
      </c>
      <c r="I3176" s="25" t="str">
        <f>IF(OR(E3176="",E3176="!!!",F3176="NEW"),"",INDEX(B3175:B$2,-1+SUMPRODUCT(MAX(ROW(E3175:E$2)*(E3176=E3175:E$2)))))</f>
        <v> </v>
      </c>
      <c r="J3176" s="25" t="str">
        <f>IF(OR(E3176="",E3176="!!!",F3176="NEW"),"",COUNTBLANK(OFFSET(A$1,,,SUMPRODUCT(MAX(ROW(E$2:E3176)*(E3176=E$2:E3176)))))-COUNTBLANK(OFFSET(A$1,,,SUMPRODUCT(MAX(ROW(E$1:E3175)*(E2=E$1:E3175))))))</f>
        <v> </v>
      </c>
      <c r="K3176" s="25" t="str">
        <f>IF(OR(E3176="",E3176="!!!",F3176="NEW"),"",INDEX(J$1:J3175,SUMPRODUCT(MAX(ROW(E$1:E3175)*(E3176=E$1:E3175)))))</f>
        <v> </v>
      </c>
      <c r="L3176" s="26"/>
    </row>
    <row r="3177" spans="1:12">
      <c r="A3177" s="20" t="s">
        <v>1728</v>
      </c>
      <c r="E3177" s="21">
        <f>IF(D3177="?OLD","!!!","")</f>
        <v/>
      </c>
      <c r="F3177" s="22" t="str">
        <f>IF(OR(E3177="",E3177="!!!"),"",IF(NOT(ISNA(VLOOKUP(E3177,E$1:E3176,1,FALSE()))),"OLD",IF(AND(E3177&lt;&gt;"",E3177&lt;&gt;"!!!"),"NEW","")))</f>
        <v> </v>
      </c>
      <c r="G3177" s="23" t="str">
        <f>IF(OR(E3177="",E3177="!!!"),"",IF(OR(J3177=0,AND(J3177=1,K3177=1),AND(J3177=1,I3177="SBJ"),AND(J3177=1,I3177=0)),"?IN_FOCUS",IF(J3177&lt;=2,"?ACTIVATED",IF(J3177&lt;&gt;"","?FAMILIAR",IF(F3177="NEW",IF(ISNA(VLOOKUP(E3177,#REF!,1,FALSE())),"?TYPE_IDENTIFIABLE","?REFERENTIAL"),"_")))))</f>
        <v> </v>
      </c>
      <c r="H3177" s="24" t="str">
        <f>IF(J3177&lt;&gt;1,"",IF(I3177="SBJ","CB","?"))</f>
        <v> </v>
      </c>
      <c r="I3177" s="25" t="str">
        <f>IF(OR(E3177="",E3177="!!!",F3177="NEW"),"",INDEX(B3176:B$2,-1+SUMPRODUCT(MAX(ROW(E3176:E$2)*(E3177=E3176:E$2)))))</f>
        <v> </v>
      </c>
      <c r="J3177" s="25" t="str">
        <f>IF(OR(E3177="",E3177="!!!",F3177="NEW"),"",COUNTBLANK(OFFSET(A$1,,,SUMPRODUCT(MAX(ROW(E$2:E3177)*(E3177=E$2:E3177)))))-COUNTBLANK(OFFSET(A$1,,,SUMPRODUCT(MAX(ROW(E$1:E3176)*(E2=E$1:E3176))))))</f>
        <v> </v>
      </c>
      <c r="K3177" s="25" t="str">
        <f>IF(OR(E3177="",E3177="!!!",F3177="NEW"),"",INDEX(J$1:J3176,SUMPRODUCT(MAX(ROW(E$1:E3176)*(E3177=E$1:E3176)))))</f>
        <v> </v>
      </c>
      <c r="L3177" s="26"/>
    </row>
    <row r="3178" spans="1:12">
      <c r="A3178" s="20" t="s">
        <v>1729</v>
      </c>
      <c r="E3178" s="21">
        <f>IF(D3178="?OLD","!!!","")</f>
        <v/>
      </c>
      <c r="F3178" s="22" t="str">
        <f>IF(OR(E3178="",E3178="!!!"),"",IF(NOT(ISNA(VLOOKUP(E3178,E$1:E3177,1,FALSE()))),"OLD",IF(AND(E3178&lt;&gt;"",E3178&lt;&gt;"!!!"),"NEW","")))</f>
        <v> </v>
      </c>
      <c r="G3178" s="23" t="str">
        <f>IF(OR(E3178="",E3178="!!!"),"",IF(OR(J3178=0,AND(J3178=1,K3178=1),AND(J3178=1,I3178="SBJ"),AND(J3178=1,I3178=0)),"?IN_FOCUS",IF(J3178&lt;=2,"?ACTIVATED",IF(J3178&lt;&gt;"","?FAMILIAR",IF(F3178="NEW",IF(ISNA(VLOOKUP(E3178,#REF!,1,FALSE())),"?TYPE_IDENTIFIABLE","?REFERENTIAL"),"_")))))</f>
        <v> </v>
      </c>
      <c r="H3178" s="24" t="str">
        <f>IF(J3178&lt;&gt;1,"",IF(I3178="SBJ","CB","?"))</f>
        <v> </v>
      </c>
      <c r="I3178" s="25" t="str">
        <f>IF(OR(E3178="",E3178="!!!",F3178="NEW"),"",INDEX(B3177:B$2,-1+SUMPRODUCT(MAX(ROW(E3177:E$2)*(E3178=E3177:E$2)))))</f>
        <v> </v>
      </c>
      <c r="J3178" s="25" t="str">
        <f>IF(OR(E3178="",E3178="!!!",F3178="NEW"),"",COUNTBLANK(OFFSET(A$1,,,SUMPRODUCT(MAX(ROW(E$2:E3178)*(E3178=E$2:E3178)))))-COUNTBLANK(OFFSET(A$1,,,SUMPRODUCT(MAX(ROW(E$1:E3177)*(E2=E$1:E3177))))))</f>
        <v> </v>
      </c>
      <c r="K3178" s="25" t="str">
        <f>IF(OR(E3178="",E3178="!!!",F3178="NEW"),"",INDEX(J$1:J3177,SUMPRODUCT(MAX(ROW(E$1:E3177)*(E3178=E$1:E3177)))))</f>
        <v> </v>
      </c>
      <c r="L3178" s="26"/>
    </row>
    <row r="3179" spans="1:12">
      <c r="A3179" s="20" t="s">
        <v>1730</v>
      </c>
      <c r="E3179" s="21">
        <f>IF(D3179="?OLD","!!!","")</f>
        <v/>
      </c>
      <c r="F3179" s="22" t="str">
        <f>IF(OR(E3179="",E3179="!!!"),"",IF(NOT(ISNA(VLOOKUP(E3179,E$1:E3178,1,FALSE()))),"OLD",IF(AND(E3179&lt;&gt;"",E3179&lt;&gt;"!!!"),"NEW","")))</f>
        <v> </v>
      </c>
      <c r="G3179" s="23" t="str">
        <f>IF(OR(E3179="",E3179="!!!"),"",IF(OR(J3179=0,AND(J3179=1,K3179=1),AND(J3179=1,I3179="SBJ"),AND(J3179=1,I3179=0)),"?IN_FOCUS",IF(J3179&lt;=2,"?ACTIVATED",IF(J3179&lt;&gt;"","?FAMILIAR",IF(F3179="NEW",IF(ISNA(VLOOKUP(E3179,#REF!,1,FALSE())),"?TYPE_IDENTIFIABLE","?REFERENTIAL"),"_")))))</f>
        <v> </v>
      </c>
      <c r="H3179" s="24" t="str">
        <f>IF(J3179&lt;&gt;1,"",IF(I3179="SBJ","CB","?"))</f>
        <v> </v>
      </c>
      <c r="I3179" s="25" t="str">
        <f>IF(OR(E3179="",E3179="!!!",F3179="NEW"),"",INDEX(B3178:B$2,-1+SUMPRODUCT(MAX(ROW(E3178:E$2)*(E3179=E3178:E$2)))))</f>
        <v> </v>
      </c>
      <c r="J3179" s="25" t="str">
        <f>IF(OR(E3179="",E3179="!!!",F3179="NEW"),"",COUNTBLANK(OFFSET(A$1,,,SUMPRODUCT(MAX(ROW(E$2:E3179)*(E3179=E$2:E3179)))))-COUNTBLANK(OFFSET(A$1,,,SUMPRODUCT(MAX(ROW(E$1:E3178)*(E2=E$1:E3178))))))</f>
        <v> </v>
      </c>
      <c r="K3179" s="25" t="str">
        <f>IF(OR(E3179="",E3179="!!!",F3179="NEW"),"",INDEX(J$1:J3178,SUMPRODUCT(MAX(ROW(E$1:E3178)*(E3179=E$1:E3178)))))</f>
        <v> </v>
      </c>
      <c r="L3179" s="26"/>
    </row>
    <row r="3180" spans="1:12">
      <c r="A3180" s="20" t="s">
        <v>272</v>
      </c>
      <c r="E3180" s="21">
        <f>IF(D3180="?OLD","!!!","")</f>
        <v/>
      </c>
      <c r="F3180" s="22" t="str">
        <f>IF(OR(E3180="",E3180="!!!"),"",IF(NOT(ISNA(VLOOKUP(E3180,E$1:E3179,1,FALSE()))),"OLD",IF(AND(E3180&lt;&gt;"",E3180&lt;&gt;"!!!"),"NEW","")))</f>
        <v> </v>
      </c>
      <c r="G3180" s="23" t="str">
        <f>IF(OR(E3180="",E3180="!!!"),"",IF(OR(J3180=0,AND(J3180=1,K3180=1),AND(J3180=1,I3180="SBJ"),AND(J3180=1,I3180=0)),"?IN_FOCUS",IF(J3180&lt;=2,"?ACTIVATED",IF(J3180&lt;&gt;"","?FAMILIAR",IF(F3180="NEW",IF(ISNA(VLOOKUP(E3180,#REF!,1,FALSE())),"?TYPE_IDENTIFIABLE","?REFERENTIAL"),"_")))))</f>
        <v> </v>
      </c>
      <c r="H3180" s="24" t="str">
        <f>IF(J3180&lt;&gt;1,"",IF(I3180="SBJ","CB","?"))</f>
        <v> </v>
      </c>
      <c r="I3180" s="25" t="str">
        <f>IF(OR(E3180="",E3180="!!!",F3180="NEW"),"",INDEX(B3179:B$2,-1+SUMPRODUCT(MAX(ROW(E3179:E$2)*(E3180=E3179:E$2)))))</f>
        <v> </v>
      </c>
      <c r="J3180" s="25" t="str">
        <f>IF(OR(E3180="",E3180="!!!",F3180="NEW"),"",COUNTBLANK(OFFSET(A$1,,,SUMPRODUCT(MAX(ROW(E$2:E3180)*(E3180=E$2:E3180)))))-COUNTBLANK(OFFSET(A$1,,,SUMPRODUCT(MAX(ROW(E$1:E3179)*(E2=E$1:E3179))))))</f>
        <v> </v>
      </c>
      <c r="K3180" s="25" t="str">
        <f>IF(OR(E3180="",E3180="!!!",F3180="NEW"),"",INDEX(J$1:J3179,SUMPRODUCT(MAX(ROW(E$1:E3179)*(E3180=E$1:E3179)))))</f>
        <v> </v>
      </c>
      <c r="L3180" s="26"/>
    </row>
    <row r="3181" spans="1:12">
      <c r="A3181" s="20" t="s">
        <v>1713</v>
      </c>
      <c r="B3181" s="27" t="s">
        <v>940</v>
      </c>
      <c r="C3181" s="27" t="s">
        <v>754</v>
      </c>
      <c r="E3181" s="21">
        <f>IF(D3181="?OLD","!!!","")</f>
        <v/>
      </c>
      <c r="F3181" s="22" t="str">
        <f>IF(OR(E3181="",E3181="!!!"),"",IF(NOT(ISNA(VLOOKUP(E3181,E$1:E3180,1,FALSE()))),"OLD",IF(AND(E3181&lt;&gt;"",E3181&lt;&gt;"!!!"),"NEW","")))</f>
        <v> </v>
      </c>
      <c r="G3181" s="23" t="str">
        <f>IF(OR(E3181="",E3181="!!!"),"",IF(OR(J3181=0,AND(J3181=1,K3181=1),AND(J3181=1,I3181="SBJ"),AND(J3181=1,I3181=0)),"?IN_FOCUS",IF(J3181&lt;=2,"?ACTIVATED",IF(J3181&lt;&gt;"","?FAMILIAR",IF(F3181="NEW",IF(ISNA(VLOOKUP(E3181,#REF!,1,FALSE())),"?TYPE_IDENTIFIABLE","?REFERENTIAL"),"_")))))</f>
        <v> </v>
      </c>
      <c r="H3181" s="24" t="str">
        <f>IF(J3181&lt;&gt;1,"",IF(I3181="SBJ","CB","?"))</f>
        <v> </v>
      </c>
      <c r="I3181" s="25" t="str">
        <f>IF(OR(E3181="",E3181="!!!",F3181="NEW"),"",INDEX(B3180:B$2,-1+SUMPRODUCT(MAX(ROW(E3180:E$2)*(E3181=E3180:E$2)))))</f>
        <v> </v>
      </c>
      <c r="J3181" s="25" t="str">
        <f>IF(OR(E3181="",E3181="!!!",F3181="NEW"),"",COUNTBLANK(OFFSET(A$1,,,SUMPRODUCT(MAX(ROW(E$2:E3181)*(E3181=E$2:E3181)))))-COUNTBLANK(OFFSET(A$1,,,SUMPRODUCT(MAX(ROW(E$1:E3180)*(E2=E$1:E3180))))))</f>
        <v> </v>
      </c>
      <c r="K3181" s="25" t="str">
        <f>IF(OR(E3181="",E3181="!!!",F3181="NEW"),"",INDEX(J$1:J3180,SUMPRODUCT(MAX(ROW(E$1:E3180)*(E3181=E$1:E3180)))))</f>
        <v> </v>
      </c>
      <c r="L3181" s="26"/>
    </row>
    <row r="3182" spans="1:12">
      <c r="A3182" s="20" t="s">
        <v>1731</v>
      </c>
      <c r="E3182" s="21">
        <f>IF(D3182="?OLD","!!!","")</f>
        <v/>
      </c>
      <c r="F3182" s="22" t="str">
        <f>IF(OR(E3182="",E3182="!!!"),"",IF(NOT(ISNA(VLOOKUP(E3182,E$1:E3181,1,FALSE()))),"OLD",IF(AND(E3182&lt;&gt;"",E3182&lt;&gt;"!!!"),"NEW","")))</f>
        <v> </v>
      </c>
      <c r="G3182" s="23" t="str">
        <f>IF(OR(E3182="",E3182="!!!"),"",IF(OR(J3182=0,AND(J3182=1,K3182=1),AND(J3182=1,I3182="SBJ"),AND(J3182=1,I3182=0)),"?IN_FOCUS",IF(J3182&lt;=2,"?ACTIVATED",IF(J3182&lt;&gt;"","?FAMILIAR",IF(F3182="NEW",IF(ISNA(VLOOKUP(E3182,#REF!,1,FALSE())),"?TYPE_IDENTIFIABLE","?REFERENTIAL"),"_")))))</f>
        <v> </v>
      </c>
      <c r="H3182" s="24" t="str">
        <f>IF(J3182&lt;&gt;1,"",IF(I3182="SBJ","CB","?"))</f>
        <v> </v>
      </c>
      <c r="I3182" s="25" t="str">
        <f>IF(OR(E3182="",E3182="!!!",F3182="NEW"),"",INDEX(B3181:B$2,-1+SUMPRODUCT(MAX(ROW(E3181:E$2)*(E3182=E3181:E$2)))))</f>
        <v> </v>
      </c>
      <c r="J3182" s="25" t="str">
        <f>IF(OR(E3182="",E3182="!!!",F3182="NEW"),"",COUNTBLANK(OFFSET(A$1,,,SUMPRODUCT(MAX(ROW(E$2:E3182)*(E3182=E$2:E3182)))))-COUNTBLANK(OFFSET(A$1,,,SUMPRODUCT(MAX(ROW(E$1:E3181)*(E2=E$1:E3181))))))</f>
        <v> </v>
      </c>
      <c r="K3182" s="25" t="str">
        <f>IF(OR(E3182="",E3182="!!!",F3182="NEW"),"",INDEX(J$1:J3181,SUMPRODUCT(MAX(ROW(E$1:E3181)*(E3182=E$1:E3181)))))</f>
        <v> </v>
      </c>
      <c r="L3182" s="26"/>
    </row>
    <row r="3183" spans="1:12">
      <c r="A3183" s="20" t="s">
        <v>884</v>
      </c>
      <c r="B3183" s="27" t="s">
        <v>815</v>
      </c>
      <c r="C3183" s="27" t="s">
        <v>851</v>
      </c>
      <c r="D3183" s="27" t="s">
        <v>762</v>
      </c>
      <c r="E3183" s="21">
        <f>IF(D3183="?OLD","!!!","")</f>
        <v/>
      </c>
      <c r="F3183" s="22" t="str">
        <f>IF(OR(E3183="",E3183="!!!"),"",IF(NOT(ISNA(VLOOKUP(E3183,E$1:E3182,1,FALSE()))),"OLD",IF(AND(E3183&lt;&gt;"",E3183&lt;&gt;"!!!"),"NEW","")))</f>
        <v> </v>
      </c>
      <c r="G3183" s="23" t="str">
        <f>IF(OR(E3183="",E3183="!!!"),"",IF(OR(J3183=0,AND(J3183=1,K3183=1),AND(J3183=1,I3183="SBJ"),AND(J3183=1,I3183=0)),"?IN_FOCUS",IF(J3183&lt;=2,"?ACTIVATED",IF(J3183&lt;&gt;"","?FAMILIAR",IF(F3183="NEW",IF(ISNA(VLOOKUP(E3183,#REF!,1,FALSE())),"?TYPE_IDENTIFIABLE","?REFERENTIAL"),"_")))))</f>
        <v> </v>
      </c>
      <c r="H3183" s="24" t="str">
        <f>IF(J3183&lt;&gt;1,"",IF(I3183="SBJ","CB","?"))</f>
        <v> </v>
      </c>
      <c r="I3183" s="25" t="str">
        <f>IF(OR(E3183="",E3183="!!!",F3183="NEW"),"",INDEX(B3182:B$2,-1+SUMPRODUCT(MAX(ROW(E3182:E$2)*(E3183=E3182:E$2)))))</f>
        <v> </v>
      </c>
      <c r="J3183" s="25" t="str">
        <f>IF(OR(E3183="",E3183="!!!",F3183="NEW"),"",COUNTBLANK(OFFSET(A$1,,,SUMPRODUCT(MAX(ROW(E$2:E3183)*(E3183=E$2:E3183)))))-COUNTBLANK(OFFSET(A$1,,,SUMPRODUCT(MAX(ROW(E$1:E3182)*(E2=E$1:E3182))))))</f>
        <v> </v>
      </c>
      <c r="K3183" s="25" t="str">
        <f>IF(OR(E3183="",E3183="!!!",F3183="NEW"),"",INDEX(J$1:J3182,SUMPRODUCT(MAX(ROW(E$1:E3182)*(E3183=E$1:E3182)))))</f>
        <v> </v>
      </c>
      <c r="L3183" s="26"/>
    </row>
    <row r="3184" spans="1:12">
      <c r="A3184" s="20" t="s">
        <v>1732</v>
      </c>
      <c r="B3184" s="27" t="s">
        <v>901</v>
      </c>
      <c r="C3184" s="27" t="s">
        <v>837</v>
      </c>
      <c r="D3184" s="27" t="s">
        <v>762</v>
      </c>
      <c r="E3184" s="21">
        <f>IF(D3184="?OLD","!!!","")</f>
        <v/>
      </c>
      <c r="F3184" s="22" t="str">
        <f>IF(OR(E3184="",E3184="!!!"),"",IF(NOT(ISNA(VLOOKUP(E3184,E$1:E3183,1,FALSE()))),"OLD",IF(AND(E3184&lt;&gt;"",E3184&lt;&gt;"!!!"),"NEW","")))</f>
        <v> </v>
      </c>
      <c r="G3184" s="23" t="str">
        <f>IF(OR(E3184="",E3184="!!!"),"",IF(OR(J3184=0,AND(J3184=1,K3184=1),AND(J3184=1,I3184="SBJ"),AND(J3184=1,I3184=0)),"?IN_FOCUS",IF(J3184&lt;=2,"?ACTIVATED",IF(J3184&lt;&gt;"","?FAMILIAR",IF(F3184="NEW",IF(ISNA(VLOOKUP(E3184,#REF!,1,FALSE())),"?TYPE_IDENTIFIABLE","?REFERENTIAL"),"_")))))</f>
        <v> </v>
      </c>
      <c r="H3184" s="24" t="str">
        <f>IF(J3184&lt;&gt;1,"",IF(I3184="SBJ","CB","?"))</f>
        <v> </v>
      </c>
      <c r="I3184" s="25" t="str">
        <f>IF(OR(E3184="",E3184="!!!",F3184="NEW"),"",INDEX(B3183:B$2,-1+SUMPRODUCT(MAX(ROW(E3183:E$2)*(E3184=E3183:E$2)))))</f>
        <v> </v>
      </c>
      <c r="J3184" s="25" t="str">
        <f>IF(OR(E3184="",E3184="!!!",F3184="NEW"),"",COUNTBLANK(OFFSET(A$1,,,SUMPRODUCT(MAX(ROW(E$2:E3184)*(E3184=E$2:E3184)))))-COUNTBLANK(OFFSET(A$1,,,SUMPRODUCT(MAX(ROW(E$1:E3183)*(E2=E$1:E3183))))))</f>
        <v> </v>
      </c>
      <c r="K3184" s="25" t="str">
        <f>IF(OR(E3184="",E3184="!!!",F3184="NEW"),"",INDEX(J$1:J3183,SUMPRODUCT(MAX(ROW(E$1:E3183)*(E3184=E$1:E3183)))))</f>
        <v> </v>
      </c>
      <c r="L3184" s="26"/>
    </row>
    <row r="3185" spans="1:12">
      <c r="A3185" s="20" t="s">
        <v>774</v>
      </c>
      <c r="E3185" s="21">
        <f>IF(D3185="?OLD","!!!","")</f>
        <v/>
      </c>
      <c r="F3185" s="22" t="str">
        <f>IF(OR(E3185="",E3185="!!!"),"",IF(NOT(ISNA(VLOOKUP(E3185,E$1:E3184,1,FALSE()))),"OLD",IF(AND(E3185&lt;&gt;"",E3185&lt;&gt;"!!!"),"NEW","")))</f>
        <v> </v>
      </c>
      <c r="G3185" s="23" t="str">
        <f>IF(OR(E3185="",E3185="!!!"),"",IF(OR(J3185=0,AND(J3185=1,K3185=1),AND(J3185=1,I3185="SBJ"),AND(J3185=1,I3185=0)),"?IN_FOCUS",IF(J3185&lt;=2,"?ACTIVATED",IF(J3185&lt;&gt;"","?FAMILIAR",IF(F3185="NEW",IF(ISNA(VLOOKUP(E3185,#REF!,1,FALSE())),"?TYPE_IDENTIFIABLE","?REFERENTIAL"),"_")))))</f>
        <v> </v>
      </c>
      <c r="H3185" s="24" t="str">
        <f>IF(J3185&lt;&gt;1,"",IF(I3185="SBJ","CB","?"))</f>
        <v> </v>
      </c>
      <c r="I3185" s="25" t="str">
        <f>IF(OR(E3185="",E3185="!!!",F3185="NEW"),"",INDEX(B3184:B$2,-1+SUMPRODUCT(MAX(ROW(E3184:E$2)*(E3185=E3184:E$2)))))</f>
        <v> </v>
      </c>
      <c r="J3185" s="25" t="str">
        <f>IF(OR(E3185="",E3185="!!!",F3185="NEW"),"",COUNTBLANK(OFFSET(A$1,,,SUMPRODUCT(MAX(ROW(E$2:E3185)*(E3185=E$2:E3185)))))-COUNTBLANK(OFFSET(A$1,,,SUMPRODUCT(MAX(ROW(E$1:E3184)*(E2=E$1:E3184))))))</f>
        <v> </v>
      </c>
      <c r="K3185" s="25" t="str">
        <f>IF(OR(E3185="",E3185="!!!",F3185="NEW"),"",INDEX(J$1:J3184,SUMPRODUCT(MAX(ROW(E$1:E3184)*(E3185=E$1:E3184)))))</f>
        <v> </v>
      </c>
      <c r="L3185" s="26"/>
    </row>
    <row r="3186" spans="1:12">
      <c r="A3186" s="20"/>
    </row>
    <row r="3187" spans="1:12">
      <c r="A3187" s="20" t="s">
        <v>1733</v>
      </c>
    </row>
    <row r="3188" spans="1:12">
      <c r="A3188" s="20" t="s">
        <v>818</v>
      </c>
      <c r="E3188" s="21">
        <f>IF(D3188="?OLD","!!!","")</f>
        <v/>
      </c>
      <c r="F3188" s="22" t="str">
        <f>IF(OR(E3188="",E3188="!!!"),"",IF(NOT(ISNA(VLOOKUP(E3188,E$1:E3187,1,FALSE()))),"OLD",IF(AND(E3188&lt;&gt;"",E3188&lt;&gt;"!!!"),"NEW","")))</f>
        <v> </v>
      </c>
      <c r="G3188" s="23" t="str">
        <f>IF(OR(E3188="",E3188="!!!"),"",IF(OR(J3188=0,AND(J3188=1,K3188=1),AND(J3188=1,I3188="SBJ"),AND(J3188=1,I3188=0)),"?IN_FOCUS",IF(J3188&lt;=2,"?ACTIVATED",IF(J3188&lt;&gt;"","?FAMILIAR",IF(F3188="NEW",IF(ISNA(VLOOKUP(E3188,#REF!,1,FALSE())),"?TYPE_IDENTIFIABLE","?REFERENTIAL"),"_")))))</f>
        <v> </v>
      </c>
      <c r="H3188" s="24" t="str">
        <f>IF(J3188&lt;&gt;1,"",IF(I3188="SBJ","CB","?"))</f>
        <v> </v>
      </c>
      <c r="I3188" s="25" t="str">
        <f>IF(OR(E3188="",E3188="!!!",F3188="NEW"),"",INDEX(B3187:B$2,-1+SUMPRODUCT(MAX(ROW(E3187:E$2)*(E3188=E3187:E$2)))))</f>
        <v> </v>
      </c>
      <c r="J3188" s="25" t="str">
        <f>IF(OR(E3188="",E3188="!!!",F3188="NEW"),"",COUNTBLANK(OFFSET(A$1,,,SUMPRODUCT(MAX(ROW(E$2:E3188)*(E3188=E$2:E3188)))))-COUNTBLANK(OFFSET(A$1,,,SUMPRODUCT(MAX(ROW(E$1:E3187)*(E2=E$1:E3187))))))</f>
        <v> </v>
      </c>
      <c r="K3188" s="25" t="str">
        <f>IF(OR(E3188="",E3188="!!!",F3188="NEW"),"",INDEX(J$1:J3187,SUMPRODUCT(MAX(ROW(E$1:E3187)*(E3188=E$1:E3187)))))</f>
        <v> </v>
      </c>
      <c r="L3188" s="26"/>
    </row>
    <row r="3189" spans="1:12">
      <c r="A3189" s="20" t="s">
        <v>776</v>
      </c>
      <c r="B3189" s="27" t="s">
        <v>760</v>
      </c>
      <c r="C3189" s="27" t="s">
        <v>777</v>
      </c>
      <c r="D3189" s="27" t="s">
        <v>762</v>
      </c>
      <c r="E3189" s="21">
        <f>IF(D3189="?OLD","!!!","")</f>
        <v/>
      </c>
      <c r="F3189" s="22" t="str">
        <f>IF(OR(E3189="",E3189="!!!"),"",IF(NOT(ISNA(VLOOKUP(E3189,E$1:E3188,1,FALSE()))),"OLD",IF(AND(E3189&lt;&gt;"",E3189&lt;&gt;"!!!"),"NEW","")))</f>
        <v> </v>
      </c>
      <c r="G3189" s="23" t="str">
        <f>IF(OR(E3189="",E3189="!!!"),"",IF(OR(J3189=0,AND(J3189=1,K3189=1),AND(J3189=1,I3189="SBJ"),AND(J3189=1,I3189=0)),"?IN_FOCUS",IF(J3189&lt;=2,"?ACTIVATED",IF(J3189&lt;&gt;"","?FAMILIAR",IF(F3189="NEW",IF(ISNA(VLOOKUP(E3189,#REF!,1,FALSE())),"?TYPE_IDENTIFIABLE","?REFERENTIAL"),"_")))))</f>
        <v> </v>
      </c>
      <c r="H3189" s="24" t="str">
        <f>IF(J3189&lt;&gt;1,"",IF(I3189="SBJ","CB","?"))</f>
        <v> </v>
      </c>
      <c r="I3189" s="25" t="str">
        <f>IF(OR(E3189="",E3189="!!!",F3189="NEW"),"",INDEX(B3188:B$2,-1+SUMPRODUCT(MAX(ROW(E3188:E$2)*(E3189=E3188:E$2)))))</f>
        <v> </v>
      </c>
      <c r="J3189" s="25" t="str">
        <f>IF(OR(E3189="",E3189="!!!",F3189="NEW"),"",COUNTBLANK(OFFSET(A$1,,,SUMPRODUCT(MAX(ROW(E$2:E3189)*(E3189=E$2:E3189)))))-COUNTBLANK(OFFSET(A$1,,,SUMPRODUCT(MAX(ROW(E$1:E3188)*(E2=E$1:E3188))))))</f>
        <v> </v>
      </c>
      <c r="K3189" s="25" t="str">
        <f>IF(OR(E3189="",E3189="!!!",F3189="NEW"),"",INDEX(J$1:J3188,SUMPRODUCT(MAX(ROW(E$1:E3188)*(E3189=E$1:E3188)))))</f>
        <v> </v>
      </c>
      <c r="L3189" s="26"/>
    </row>
    <row r="3190" spans="1:12">
      <c r="A3190" s="20" t="s">
        <v>778</v>
      </c>
      <c r="E3190" s="21">
        <f>IF(D3190="?OLD","!!!","")</f>
        <v/>
      </c>
      <c r="F3190" s="22" t="str">
        <f>IF(OR(E3190="",E3190="!!!"),"",IF(NOT(ISNA(VLOOKUP(E3190,E$1:E3189,1,FALSE()))),"OLD",IF(AND(E3190&lt;&gt;"",E3190&lt;&gt;"!!!"),"NEW","")))</f>
        <v> </v>
      </c>
      <c r="G3190" s="23" t="str">
        <f>IF(OR(E3190="",E3190="!!!"),"",IF(OR(J3190=0,AND(J3190=1,K3190=1),AND(J3190=1,I3190="SBJ"),AND(J3190=1,I3190=0)),"?IN_FOCUS",IF(J3190&lt;=2,"?ACTIVATED",IF(J3190&lt;&gt;"","?FAMILIAR",IF(F3190="NEW",IF(ISNA(VLOOKUP(E3190,#REF!,1,FALSE())),"?TYPE_IDENTIFIABLE","?REFERENTIAL"),"_")))))</f>
        <v> </v>
      </c>
      <c r="H3190" s="24" t="str">
        <f>IF(J3190&lt;&gt;1,"",IF(I3190="SBJ","CB","?"))</f>
        <v> </v>
      </c>
      <c r="I3190" s="25" t="str">
        <f>IF(OR(E3190="",E3190="!!!",F3190="NEW"),"",INDEX(B3189:B$2,-1+SUMPRODUCT(MAX(ROW(E3189:E$2)*(E3190=E3189:E$2)))))</f>
        <v> </v>
      </c>
      <c r="J3190" s="25" t="str">
        <f>IF(OR(E3190="",E3190="!!!",F3190="NEW"),"",COUNTBLANK(OFFSET(A$1,,,SUMPRODUCT(MAX(ROW(E$2:E3190)*(E3190=E$2:E3190)))))-COUNTBLANK(OFFSET(A$1,,,SUMPRODUCT(MAX(ROW(E$1:E3189)*(E2=E$1:E3189))))))</f>
        <v> </v>
      </c>
      <c r="K3190" s="25" t="str">
        <f>IF(OR(E3190="",E3190="!!!",F3190="NEW"),"",INDEX(J$1:J3189,SUMPRODUCT(MAX(ROW(E$1:E3189)*(E3190=E$1:E3189)))))</f>
        <v> </v>
      </c>
      <c r="L3190" s="26"/>
    </row>
    <row r="3191" spans="1:12">
      <c r="A3191" s="20" t="s">
        <v>779</v>
      </c>
      <c r="E3191" s="21">
        <f>IF(D3191="?OLD","!!!","")</f>
        <v/>
      </c>
      <c r="F3191" s="22" t="str">
        <f>IF(OR(E3191="",E3191="!!!"),"",IF(NOT(ISNA(VLOOKUP(E3191,E$1:E3190,1,FALSE()))),"OLD",IF(AND(E3191&lt;&gt;"",E3191&lt;&gt;"!!!"),"NEW","")))</f>
        <v> </v>
      </c>
      <c r="G3191" s="23" t="str">
        <f>IF(OR(E3191="",E3191="!!!"),"",IF(OR(J3191=0,AND(J3191=1,K3191=1),AND(J3191=1,I3191="SBJ"),AND(J3191=1,I3191=0)),"?IN_FOCUS",IF(J3191&lt;=2,"?ACTIVATED",IF(J3191&lt;&gt;"","?FAMILIAR",IF(F3191="NEW",IF(ISNA(VLOOKUP(E3191,#REF!,1,FALSE())),"?TYPE_IDENTIFIABLE","?REFERENTIAL"),"_")))))</f>
        <v> </v>
      </c>
      <c r="H3191" s="24" t="str">
        <f>IF(J3191&lt;&gt;1,"",IF(I3191="SBJ","CB","?"))</f>
        <v> </v>
      </c>
      <c r="I3191" s="25" t="str">
        <f>IF(OR(E3191="",E3191="!!!",F3191="NEW"),"",INDEX(B3190:B$2,-1+SUMPRODUCT(MAX(ROW(E3190:E$2)*(E3191=E3190:E$2)))))</f>
        <v> </v>
      </c>
      <c r="J3191" s="25" t="str">
        <f>IF(OR(E3191="",E3191="!!!",F3191="NEW"),"",COUNTBLANK(OFFSET(A$1,,,SUMPRODUCT(MAX(ROW(E$2:E3191)*(E3191=E$2:E3191)))))-COUNTBLANK(OFFSET(A$1,,,SUMPRODUCT(MAX(ROW(E$1:E3190)*(E2=E$1:E3190))))))</f>
        <v> </v>
      </c>
      <c r="K3191" s="25" t="str">
        <f>IF(OR(E3191="",E3191="!!!",F3191="NEW"),"",INDEX(J$1:J3190,SUMPRODUCT(MAX(ROW(E$1:E3190)*(E3191=E$1:E3190)))))</f>
        <v> </v>
      </c>
      <c r="L3191" s="26"/>
    </row>
    <row r="3192" spans="1:12">
      <c r="A3192" s="20" t="s">
        <v>1497</v>
      </c>
      <c r="B3192" s="27" t="s">
        <v>753</v>
      </c>
      <c r="C3192" s="27" t="s">
        <v>768</v>
      </c>
      <c r="E3192" s="21">
        <f>IF(D3192="?OLD","!!!","")</f>
        <v/>
      </c>
      <c r="F3192" s="22" t="str">
        <f>IF(OR(E3192="",E3192="!!!"),"",IF(NOT(ISNA(VLOOKUP(E3192,E$1:E3191,1,FALSE()))),"OLD",IF(AND(E3192&lt;&gt;"",E3192&lt;&gt;"!!!"),"NEW","")))</f>
        <v> </v>
      </c>
      <c r="G3192" s="23" t="str">
        <f>IF(OR(E3192="",E3192="!!!"),"",IF(OR(J3192=0,AND(J3192=1,K3192=1),AND(J3192=1,I3192="SBJ"),AND(J3192=1,I3192=0)),"?IN_FOCUS",IF(J3192&lt;=2,"?ACTIVATED",IF(J3192&lt;&gt;"","?FAMILIAR",IF(F3192="NEW",IF(ISNA(VLOOKUP(E3192,#REF!,1,FALSE())),"?TYPE_IDENTIFIABLE","?REFERENTIAL"),"_")))))</f>
        <v> </v>
      </c>
      <c r="H3192" s="24" t="str">
        <f>IF(J3192&lt;&gt;1,"",IF(I3192="SBJ","CB","?"))</f>
        <v> </v>
      </c>
      <c r="I3192" s="25" t="str">
        <f>IF(OR(E3192="",E3192="!!!",F3192="NEW"),"",INDEX(B3191:B$2,-1+SUMPRODUCT(MAX(ROW(E3191:E$2)*(E3192=E3191:E$2)))))</f>
        <v> </v>
      </c>
      <c r="J3192" s="25" t="str">
        <f>IF(OR(E3192="",E3192="!!!",F3192="NEW"),"",COUNTBLANK(OFFSET(A$1,,,SUMPRODUCT(MAX(ROW(E$2:E3192)*(E3192=E$2:E3192)))))-COUNTBLANK(OFFSET(A$1,,,SUMPRODUCT(MAX(ROW(E$1:E3191)*(E2=E$1:E3191))))))</f>
        <v> </v>
      </c>
      <c r="K3192" s="25" t="str">
        <f>IF(OR(E3192="",E3192="!!!",F3192="NEW"),"",INDEX(J$1:J3191,SUMPRODUCT(MAX(ROW(E$1:E3191)*(E3192=E$1:E3191)))))</f>
        <v> </v>
      </c>
      <c r="L3192" s="26"/>
    </row>
    <row r="3193" spans="1:12">
      <c r="A3193" s="20" t="s">
        <v>769</v>
      </c>
      <c r="E3193" s="21">
        <f>IF(D3193="?OLD","!!!","")</f>
        <v/>
      </c>
      <c r="F3193" s="22" t="str">
        <f>IF(OR(E3193="",E3193="!!!"),"",IF(NOT(ISNA(VLOOKUP(E3193,E$1:E3192,1,FALSE()))),"OLD",IF(AND(E3193&lt;&gt;"",E3193&lt;&gt;"!!!"),"NEW","")))</f>
        <v> </v>
      </c>
      <c r="G3193" s="23" t="str">
        <f>IF(OR(E3193="",E3193="!!!"),"",IF(OR(J3193=0,AND(J3193=1,K3193=1),AND(J3193=1,I3193="SBJ"),AND(J3193=1,I3193=0)),"?IN_FOCUS",IF(J3193&lt;=2,"?ACTIVATED",IF(J3193&lt;&gt;"","?FAMILIAR",IF(F3193="NEW",IF(ISNA(VLOOKUP(E3193,#REF!,1,FALSE())),"?TYPE_IDENTIFIABLE","?REFERENTIAL"),"_")))))</f>
        <v> </v>
      </c>
      <c r="H3193" s="24" t="str">
        <f>IF(J3193&lt;&gt;1,"",IF(I3193="SBJ","CB","?"))</f>
        <v> </v>
      </c>
      <c r="I3193" s="25" t="str">
        <f>IF(OR(E3193="",E3193="!!!",F3193="NEW"),"",INDEX(B3192:B$2,-1+SUMPRODUCT(MAX(ROW(E3192:E$2)*(E3193=E3192:E$2)))))</f>
        <v> </v>
      </c>
      <c r="J3193" s="25" t="str">
        <f>IF(OR(E3193="",E3193="!!!",F3193="NEW"),"",COUNTBLANK(OFFSET(A$1,,,SUMPRODUCT(MAX(ROW(E$2:E3193)*(E3193=E$2:E3193)))))-COUNTBLANK(OFFSET(A$1,,,SUMPRODUCT(MAX(ROW(E$1:E3192)*(E2=E$1:E3192))))))</f>
        <v> </v>
      </c>
      <c r="K3193" s="25" t="str">
        <f>IF(OR(E3193="",E3193="!!!",F3193="NEW"),"",INDEX(J$1:J3192,SUMPRODUCT(MAX(ROW(E$1:E3192)*(E3193=E$1:E3192)))))</f>
        <v> </v>
      </c>
      <c r="L3193" s="26"/>
    </row>
    <row r="3194" spans="1:12">
      <c r="A3194" s="20" t="s">
        <v>1734</v>
      </c>
      <c r="B3194" s="27" t="s">
        <v>753</v>
      </c>
      <c r="C3194" s="27" t="s">
        <v>754</v>
      </c>
      <c r="E3194" s="21">
        <f>IF(D3194="?OLD","!!!","")</f>
        <v/>
      </c>
      <c r="F3194" s="22" t="str">
        <f>IF(OR(E3194="",E3194="!!!"),"",IF(NOT(ISNA(VLOOKUP(E3194,E$1:E3193,1,FALSE()))),"OLD",IF(AND(E3194&lt;&gt;"",E3194&lt;&gt;"!!!"),"NEW","")))</f>
        <v> </v>
      </c>
      <c r="G3194" s="23" t="str">
        <f>IF(OR(E3194="",E3194="!!!"),"",IF(OR(J3194=0,AND(J3194=1,K3194=1),AND(J3194=1,I3194="SBJ"),AND(J3194=1,I3194=0)),"?IN_FOCUS",IF(J3194&lt;=2,"?ACTIVATED",IF(J3194&lt;&gt;"","?FAMILIAR",IF(F3194="NEW",IF(ISNA(VLOOKUP(E3194,#REF!,1,FALSE())),"?TYPE_IDENTIFIABLE","?REFERENTIAL"),"_")))))</f>
        <v> </v>
      </c>
      <c r="H3194" s="24" t="str">
        <f>IF(J3194&lt;&gt;1,"",IF(I3194="SBJ","CB","?"))</f>
        <v> </v>
      </c>
      <c r="I3194" s="25" t="str">
        <f>IF(OR(E3194="",E3194="!!!",F3194="NEW"),"",INDEX(B3193:B$2,-1+SUMPRODUCT(MAX(ROW(E3193:E$2)*(E3194=E3193:E$2)))))</f>
        <v> </v>
      </c>
      <c r="J3194" s="25" t="str">
        <f>IF(OR(E3194="",E3194="!!!",F3194="NEW"),"",COUNTBLANK(OFFSET(A$1,,,SUMPRODUCT(MAX(ROW(E$2:E3194)*(E3194=E$2:E3194)))))-COUNTBLANK(OFFSET(A$1,,,SUMPRODUCT(MAX(ROW(E$1:E3193)*(E2=E$1:E3193))))))</f>
        <v> </v>
      </c>
      <c r="K3194" s="25" t="str">
        <f>IF(OR(E3194="",E3194="!!!",F3194="NEW"),"",INDEX(J$1:J3193,SUMPRODUCT(MAX(ROW(E$1:E3193)*(E3194=E$1:E3193)))))</f>
        <v> </v>
      </c>
      <c r="L3194" s="26"/>
    </row>
    <row r="3195" spans="1:12">
      <c r="A3195" s="20" t="s">
        <v>910</v>
      </c>
      <c r="E3195" s="21">
        <f>IF(D3195="?OLD","!!!","")</f>
        <v/>
      </c>
      <c r="F3195" s="22" t="str">
        <f>IF(OR(E3195="",E3195="!!!"),"",IF(NOT(ISNA(VLOOKUP(E3195,E$1:E3194,1,FALSE()))),"OLD",IF(AND(E3195&lt;&gt;"",E3195&lt;&gt;"!!!"),"NEW","")))</f>
        <v> </v>
      </c>
      <c r="G3195" s="23" t="str">
        <f>IF(OR(E3195="",E3195="!!!"),"",IF(OR(J3195=0,AND(J3195=1,K3195=1),AND(J3195=1,I3195="SBJ"),AND(J3195=1,I3195=0)),"?IN_FOCUS",IF(J3195&lt;=2,"?ACTIVATED",IF(J3195&lt;&gt;"","?FAMILIAR",IF(F3195="NEW",IF(ISNA(VLOOKUP(E3195,#REF!,1,FALSE())),"?TYPE_IDENTIFIABLE","?REFERENTIAL"),"_")))))</f>
        <v> </v>
      </c>
      <c r="H3195" s="24" t="str">
        <f>IF(J3195&lt;&gt;1,"",IF(I3195="SBJ","CB","?"))</f>
        <v> </v>
      </c>
      <c r="I3195" s="25" t="str">
        <f>IF(OR(E3195="",E3195="!!!",F3195="NEW"),"",INDEX(B3194:B$2,-1+SUMPRODUCT(MAX(ROW(E3194:E$2)*(E3195=E3194:E$2)))))</f>
        <v> </v>
      </c>
      <c r="J3195" s="25" t="str">
        <f>IF(OR(E3195="",E3195="!!!",F3195="NEW"),"",COUNTBLANK(OFFSET(A$1,,,SUMPRODUCT(MAX(ROW(E$2:E3195)*(E3195=E$2:E3195)))))-COUNTBLANK(OFFSET(A$1,,,SUMPRODUCT(MAX(ROW(E$1:E3194)*(E2=E$1:E3194))))))</f>
        <v> </v>
      </c>
      <c r="K3195" s="25" t="str">
        <f>IF(OR(E3195="",E3195="!!!",F3195="NEW"),"",INDEX(J$1:J3194,SUMPRODUCT(MAX(ROW(E$1:E3194)*(E3195=E$1:E3194)))))</f>
        <v> </v>
      </c>
      <c r="L3195" s="26"/>
    </row>
    <row r="3196" spans="1:12">
      <c r="A3196" s="20" t="s">
        <v>1735</v>
      </c>
      <c r="E3196" s="21">
        <f>IF(D3196="?OLD","!!!","")</f>
        <v/>
      </c>
      <c r="F3196" s="22" t="str">
        <f>IF(OR(E3196="",E3196="!!!"),"",IF(NOT(ISNA(VLOOKUP(E3196,E$1:E3195,1,FALSE()))),"OLD",IF(AND(E3196&lt;&gt;"",E3196&lt;&gt;"!!!"),"NEW","")))</f>
        <v> </v>
      </c>
      <c r="G3196" s="23" t="str">
        <f>IF(OR(E3196="",E3196="!!!"),"",IF(OR(J3196=0,AND(J3196=1,K3196=1),AND(J3196=1,I3196="SBJ"),AND(J3196=1,I3196=0)),"?IN_FOCUS",IF(J3196&lt;=2,"?ACTIVATED",IF(J3196&lt;&gt;"","?FAMILIAR",IF(F3196="NEW",IF(ISNA(VLOOKUP(E3196,#REF!,1,FALSE())),"?TYPE_IDENTIFIABLE","?REFERENTIAL"),"_")))))</f>
        <v> </v>
      </c>
      <c r="H3196" s="24" t="str">
        <f>IF(J3196&lt;&gt;1,"",IF(I3196="SBJ","CB","?"))</f>
        <v> </v>
      </c>
      <c r="I3196" s="25" t="str">
        <f>IF(OR(E3196="",E3196="!!!",F3196="NEW"),"",INDEX(B3195:B$2,-1+SUMPRODUCT(MAX(ROW(E3195:E$2)*(E3196=E3195:E$2)))))</f>
        <v> </v>
      </c>
      <c r="J3196" s="25" t="str">
        <f>IF(OR(E3196="",E3196="!!!",F3196="NEW"),"",COUNTBLANK(OFFSET(A$1,,,SUMPRODUCT(MAX(ROW(E$2:E3196)*(E3196=E$2:E3196)))))-COUNTBLANK(OFFSET(A$1,,,SUMPRODUCT(MAX(ROW(E$1:E3195)*(E2=E$1:E3195))))))</f>
        <v> </v>
      </c>
      <c r="K3196" s="25" t="str">
        <f>IF(OR(E3196="",E3196="!!!",F3196="NEW"),"",INDEX(J$1:J3195,SUMPRODUCT(MAX(ROW(E$1:E3195)*(E3196=E$1:E3195)))))</f>
        <v> </v>
      </c>
      <c r="L3196" s="26"/>
    </row>
    <row r="3197" spans="1:12">
      <c r="A3197" s="20" t="s">
        <v>757</v>
      </c>
      <c r="E3197" s="21">
        <f>IF(D3197="?OLD","!!!","")</f>
        <v/>
      </c>
      <c r="F3197" s="22" t="str">
        <f>IF(OR(E3197="",E3197="!!!"),"",IF(NOT(ISNA(VLOOKUP(E3197,E$1:E3196,1,FALSE()))),"OLD",IF(AND(E3197&lt;&gt;"",E3197&lt;&gt;"!!!"),"NEW","")))</f>
        <v> </v>
      </c>
      <c r="G3197" s="23" t="str">
        <f>IF(OR(E3197="",E3197="!!!"),"",IF(OR(J3197=0,AND(J3197=1,K3197=1),AND(J3197=1,I3197="SBJ"),AND(J3197=1,I3197=0)),"?IN_FOCUS",IF(J3197&lt;=2,"?ACTIVATED",IF(J3197&lt;&gt;"","?FAMILIAR",IF(F3197="NEW",IF(ISNA(VLOOKUP(E3197,#REF!,1,FALSE())),"?TYPE_IDENTIFIABLE","?REFERENTIAL"),"_")))))</f>
        <v> </v>
      </c>
      <c r="H3197" s="24" t="str">
        <f>IF(J3197&lt;&gt;1,"",IF(I3197="SBJ","CB","?"))</f>
        <v> </v>
      </c>
      <c r="I3197" s="25" t="str">
        <f>IF(OR(E3197="",E3197="!!!",F3197="NEW"),"",INDEX(B3196:B$2,-1+SUMPRODUCT(MAX(ROW(E3196:E$2)*(E3197=E3196:E$2)))))</f>
        <v> </v>
      </c>
      <c r="J3197" s="25" t="str">
        <f>IF(OR(E3197="",E3197="!!!",F3197="NEW"),"",COUNTBLANK(OFFSET(A$1,,,SUMPRODUCT(MAX(ROW(E$2:E3197)*(E3197=E$2:E3197)))))-COUNTBLANK(OFFSET(A$1,,,SUMPRODUCT(MAX(ROW(E$1:E3196)*(E2=E$1:E3196))))))</f>
        <v> </v>
      </c>
      <c r="K3197" s="25" t="str">
        <f>IF(OR(E3197="",E3197="!!!",F3197="NEW"),"",INDEX(J$1:J3196,SUMPRODUCT(MAX(ROW(E$1:E3196)*(E3197=E$1:E3196)))))</f>
        <v> </v>
      </c>
      <c r="L3197" s="26"/>
    </row>
    <row r="3198" spans="1:12">
      <c r="A3198" s="20" t="s">
        <v>921</v>
      </c>
      <c r="E3198" s="21">
        <f>IF(D3198="?OLD","!!!","")</f>
        <v/>
      </c>
      <c r="F3198" s="22" t="str">
        <f>IF(OR(E3198="",E3198="!!!"),"",IF(NOT(ISNA(VLOOKUP(E3198,E$1:E3197,1,FALSE()))),"OLD",IF(AND(E3198&lt;&gt;"",E3198&lt;&gt;"!!!"),"NEW","")))</f>
        <v> </v>
      </c>
      <c r="G3198" s="23" t="str">
        <f>IF(OR(E3198="",E3198="!!!"),"",IF(OR(J3198=0,AND(J3198=1,K3198=1),AND(J3198=1,I3198="SBJ"),AND(J3198=1,I3198=0)),"?IN_FOCUS",IF(J3198&lt;=2,"?ACTIVATED",IF(J3198&lt;&gt;"","?FAMILIAR",IF(F3198="NEW",IF(ISNA(VLOOKUP(E3198,#REF!,1,FALSE())),"?TYPE_IDENTIFIABLE","?REFERENTIAL"),"_")))))</f>
        <v> </v>
      </c>
      <c r="H3198" s="24" t="str">
        <f>IF(J3198&lt;&gt;1,"",IF(I3198="SBJ","CB","?"))</f>
        <v> </v>
      </c>
      <c r="I3198" s="25" t="str">
        <f>IF(OR(E3198="",E3198="!!!",F3198="NEW"),"",INDEX(B3197:B$2,-1+SUMPRODUCT(MAX(ROW(E3197:E$2)*(E3198=E3197:E$2)))))</f>
        <v> </v>
      </c>
      <c r="J3198" s="25" t="str">
        <f>IF(OR(E3198="",E3198="!!!",F3198="NEW"),"",COUNTBLANK(OFFSET(A$1,,,SUMPRODUCT(MAX(ROW(E$2:E3198)*(E3198=E$2:E3198)))))-COUNTBLANK(OFFSET(A$1,,,SUMPRODUCT(MAX(ROW(E$1:E3197)*(E2=E$1:E3197))))))</f>
        <v> </v>
      </c>
      <c r="K3198" s="25" t="str">
        <f>IF(OR(E3198="",E3198="!!!",F3198="NEW"),"",INDEX(J$1:J3197,SUMPRODUCT(MAX(ROW(E$1:E3197)*(E3198=E$1:E3197)))))</f>
        <v> </v>
      </c>
      <c r="L3198" s="26"/>
    </row>
    <row r="3199" spans="1:12">
      <c r="A3199" s="20" t="s">
        <v>697</v>
      </c>
      <c r="B3199" s="27" t="s">
        <v>796</v>
      </c>
      <c r="C3199" s="27" t="s">
        <v>797</v>
      </c>
      <c r="D3199" s="27" t="s">
        <v>762</v>
      </c>
      <c r="E3199" s="21">
        <f>IF(D3199="?OLD","!!!","")</f>
        <v/>
      </c>
      <c r="F3199" s="22" t="str">
        <f>IF(OR(E3199="",E3199="!!!"),"",IF(NOT(ISNA(VLOOKUP(E3199,E$1:E3198,1,FALSE()))),"OLD",IF(AND(E3199&lt;&gt;"",E3199&lt;&gt;"!!!"),"NEW","")))</f>
        <v> </v>
      </c>
      <c r="G3199" s="23" t="str">
        <f>IF(OR(E3199="",E3199="!!!"),"",IF(OR(J3199=0,AND(J3199=1,K3199=1),AND(J3199=1,I3199="SBJ"),AND(J3199=1,I3199=0)),"?IN_FOCUS",IF(J3199&lt;=2,"?ACTIVATED",IF(J3199&lt;&gt;"","?FAMILIAR",IF(F3199="NEW",IF(ISNA(VLOOKUP(E3199,#REF!,1,FALSE())),"?TYPE_IDENTIFIABLE","?REFERENTIAL"),"_")))))</f>
        <v> </v>
      </c>
      <c r="H3199" s="24" t="str">
        <f>IF(J3199&lt;&gt;1,"",IF(I3199="SBJ","CB","?"))</f>
        <v> </v>
      </c>
      <c r="I3199" s="25" t="str">
        <f>IF(OR(E3199="",E3199="!!!",F3199="NEW"),"",INDEX(B3198:B$2,-1+SUMPRODUCT(MAX(ROW(E3198:E$2)*(E3199=E3198:E$2)))))</f>
        <v> </v>
      </c>
      <c r="J3199" s="25" t="str">
        <f>IF(OR(E3199="",E3199="!!!",F3199="NEW"),"",COUNTBLANK(OFFSET(A$1,,,SUMPRODUCT(MAX(ROW(E$2:E3199)*(E3199=E$2:E3199)))))-COUNTBLANK(OFFSET(A$1,,,SUMPRODUCT(MAX(ROW(E$1:E3198)*(E2=E$1:E3198))))))</f>
        <v> </v>
      </c>
      <c r="K3199" s="25" t="str">
        <f>IF(OR(E3199="",E3199="!!!",F3199="NEW"),"",INDEX(J$1:J3198,SUMPRODUCT(MAX(ROW(E$1:E3198)*(E3199=E$1:E3198)))))</f>
        <v> </v>
      </c>
      <c r="L3199" s="26"/>
    </row>
    <row r="3200" spans="1:12">
      <c r="A3200" s="20" t="s">
        <v>1736</v>
      </c>
      <c r="E3200" s="21">
        <f>IF(D3200="?OLD","!!!","")</f>
        <v/>
      </c>
      <c r="F3200" s="22" t="str">
        <f>IF(OR(E3200="",E3200="!!!"),"",IF(NOT(ISNA(VLOOKUP(E3200,E$1:E3199,1,FALSE()))),"OLD",IF(AND(E3200&lt;&gt;"",E3200&lt;&gt;"!!!"),"NEW","")))</f>
        <v> </v>
      </c>
      <c r="G3200" s="23" t="str">
        <f>IF(OR(E3200="",E3200="!!!"),"",IF(OR(J3200=0,AND(J3200=1,K3200=1),AND(J3200=1,I3200="SBJ"),AND(J3200=1,I3200=0)),"?IN_FOCUS",IF(J3200&lt;=2,"?ACTIVATED",IF(J3200&lt;&gt;"","?FAMILIAR",IF(F3200="NEW",IF(ISNA(VLOOKUP(E3200,#REF!,1,FALSE())),"?TYPE_IDENTIFIABLE","?REFERENTIAL"),"_")))))</f>
        <v> </v>
      </c>
      <c r="H3200" s="24" t="str">
        <f>IF(J3200&lt;&gt;1,"",IF(I3200="SBJ","CB","?"))</f>
        <v> </v>
      </c>
      <c r="I3200" s="25" t="str">
        <f>IF(OR(E3200="",E3200="!!!",F3200="NEW"),"",INDEX(B3199:B$2,-1+SUMPRODUCT(MAX(ROW(E3199:E$2)*(E3200=E3199:E$2)))))</f>
        <v> </v>
      </c>
      <c r="J3200" s="25" t="str">
        <f>IF(OR(E3200="",E3200="!!!",F3200="NEW"),"",COUNTBLANK(OFFSET(A$1,,,SUMPRODUCT(MAX(ROW(E$2:E3200)*(E3200=E$2:E3200)))))-COUNTBLANK(OFFSET(A$1,,,SUMPRODUCT(MAX(ROW(E$1:E3199)*(E2=E$1:E3199))))))</f>
        <v> </v>
      </c>
      <c r="K3200" s="25" t="str">
        <f>IF(OR(E3200="",E3200="!!!",F3200="NEW"),"",INDEX(J$1:J3199,SUMPRODUCT(MAX(ROW(E$1:E3199)*(E3200=E$1:E3199)))))</f>
        <v> </v>
      </c>
      <c r="L3200" s="26"/>
    </row>
    <row r="3201" spans="1:12">
      <c r="A3201" s="20" t="s">
        <v>822</v>
      </c>
      <c r="E3201" s="21">
        <f>IF(D3201="?OLD","!!!","")</f>
        <v/>
      </c>
      <c r="F3201" s="22" t="str">
        <f>IF(OR(E3201="",E3201="!!!"),"",IF(NOT(ISNA(VLOOKUP(E3201,E$1:E3200,1,FALSE()))),"OLD",IF(AND(E3201&lt;&gt;"",E3201&lt;&gt;"!!!"),"NEW","")))</f>
        <v> </v>
      </c>
      <c r="G3201" s="23" t="str">
        <f>IF(OR(E3201="",E3201="!!!"),"",IF(OR(J3201=0,AND(J3201=1,K3201=1),AND(J3201=1,I3201="SBJ"),AND(J3201=1,I3201=0)),"?IN_FOCUS",IF(J3201&lt;=2,"?ACTIVATED",IF(J3201&lt;&gt;"","?FAMILIAR",IF(F3201="NEW",IF(ISNA(VLOOKUP(E3201,#REF!,1,FALSE())),"?TYPE_IDENTIFIABLE","?REFERENTIAL"),"_")))))</f>
        <v> </v>
      </c>
      <c r="H3201" s="24" t="str">
        <f>IF(J3201&lt;&gt;1,"",IF(I3201="SBJ","CB","?"))</f>
        <v> </v>
      </c>
      <c r="I3201" s="25" t="str">
        <f>IF(OR(E3201="",E3201="!!!",F3201="NEW"),"",INDEX(B3200:B$2,-1+SUMPRODUCT(MAX(ROW(E3200:E$2)*(E3201=E3200:E$2)))))</f>
        <v> </v>
      </c>
      <c r="J3201" s="25" t="str">
        <f>IF(OR(E3201="",E3201="!!!",F3201="NEW"),"",COUNTBLANK(OFFSET(A$1,,,SUMPRODUCT(MAX(ROW(E$2:E3201)*(E3201=E$2:E3201)))))-COUNTBLANK(OFFSET(A$1,,,SUMPRODUCT(MAX(ROW(E$1:E3200)*(E2=E$1:E3200))))))</f>
        <v> </v>
      </c>
      <c r="K3201" s="25" t="str">
        <f>IF(OR(E3201="",E3201="!!!",F3201="NEW"),"",INDEX(J$1:J3200,SUMPRODUCT(MAX(ROW(E$1:E3200)*(E3201=E$1:E3200)))))</f>
        <v> </v>
      </c>
      <c r="L3201" s="26"/>
    </row>
    <row r="3202" spans="1:12">
      <c r="A3202" s="20" t="s">
        <v>918</v>
      </c>
      <c r="B3202" s="27" t="s">
        <v>802</v>
      </c>
      <c r="C3202" s="27" t="s">
        <v>761</v>
      </c>
      <c r="D3202" s="27" t="s">
        <v>762</v>
      </c>
      <c r="E3202" s="21">
        <f>IF(D3202="?OLD","!!!","")</f>
        <v/>
      </c>
      <c r="F3202" s="22" t="str">
        <f>IF(OR(E3202="",E3202="!!!"),"",IF(NOT(ISNA(VLOOKUP(E3202,E$1:E3201,1,FALSE()))),"OLD",IF(AND(E3202&lt;&gt;"",E3202&lt;&gt;"!!!"),"NEW","")))</f>
        <v> </v>
      </c>
      <c r="G3202" s="23" t="str">
        <f>IF(OR(E3202="",E3202="!!!"),"",IF(OR(J3202=0,AND(J3202=1,K3202=1),AND(J3202=1,I3202="SBJ"),AND(J3202=1,I3202=0)),"?IN_FOCUS",IF(J3202&lt;=2,"?ACTIVATED",IF(J3202&lt;&gt;"","?FAMILIAR",IF(F3202="NEW",IF(ISNA(VLOOKUP(E3202,#REF!,1,FALSE())),"?TYPE_IDENTIFIABLE","?REFERENTIAL"),"_")))))</f>
        <v> </v>
      </c>
      <c r="H3202" s="24" t="str">
        <f>IF(J3202&lt;&gt;1,"",IF(I3202="SBJ","CB","?"))</f>
        <v> </v>
      </c>
      <c r="I3202" s="25" t="str">
        <f>IF(OR(E3202="",E3202="!!!",F3202="NEW"),"",INDEX(B3201:B$2,-1+SUMPRODUCT(MAX(ROW(E3201:E$2)*(E3202=E3201:E$2)))))</f>
        <v> </v>
      </c>
      <c r="J3202" s="25" t="str">
        <f>IF(OR(E3202="",E3202="!!!",F3202="NEW"),"",COUNTBLANK(OFFSET(A$1,,,SUMPRODUCT(MAX(ROW(E$2:E3202)*(E3202=E$2:E3202)))))-COUNTBLANK(OFFSET(A$1,,,SUMPRODUCT(MAX(ROW(E$1:E3201)*(E2=E$1:E3201))))))</f>
        <v> </v>
      </c>
      <c r="K3202" s="25" t="str">
        <f>IF(OR(E3202="",E3202="!!!",F3202="NEW"),"",INDEX(J$1:J3201,SUMPRODUCT(MAX(ROW(E$1:E3201)*(E3202=E$1:E3201)))))</f>
        <v> </v>
      </c>
      <c r="L3202" s="26"/>
    </row>
    <row r="3203" spans="1:12">
      <c r="A3203" s="20" t="s">
        <v>793</v>
      </c>
      <c r="E3203" s="21">
        <f>IF(D3203="?OLD","!!!","")</f>
        <v/>
      </c>
      <c r="F3203" s="22" t="str">
        <f>IF(OR(E3203="",E3203="!!!"),"",IF(NOT(ISNA(VLOOKUP(E3203,E$1:E3202,1,FALSE()))),"OLD",IF(AND(E3203&lt;&gt;"",E3203&lt;&gt;"!!!"),"NEW","")))</f>
        <v> </v>
      </c>
      <c r="G3203" s="23" t="str">
        <f>IF(OR(E3203="",E3203="!!!"),"",IF(OR(J3203=0,AND(J3203=1,K3203=1),AND(J3203=1,I3203="SBJ"),AND(J3203=1,I3203=0)),"?IN_FOCUS",IF(J3203&lt;=2,"?ACTIVATED",IF(J3203&lt;&gt;"","?FAMILIAR",IF(F3203="NEW",IF(ISNA(VLOOKUP(E3203,#REF!,1,FALSE())),"?TYPE_IDENTIFIABLE","?REFERENTIAL"),"_")))))</f>
        <v> </v>
      </c>
      <c r="H3203" s="24" t="str">
        <f>IF(J3203&lt;&gt;1,"",IF(I3203="SBJ","CB","?"))</f>
        <v> </v>
      </c>
      <c r="I3203" s="25" t="str">
        <f>IF(OR(E3203="",E3203="!!!",F3203="NEW"),"",INDEX(B3202:B$2,-1+SUMPRODUCT(MAX(ROW(E3202:E$2)*(E3203=E3202:E$2)))))</f>
        <v> </v>
      </c>
      <c r="J3203" s="25" t="str">
        <f>IF(OR(E3203="",E3203="!!!",F3203="NEW"),"",COUNTBLANK(OFFSET(A$1,,,SUMPRODUCT(MAX(ROW(E$2:E3203)*(E3203=E$2:E3203)))))-COUNTBLANK(OFFSET(A$1,,,SUMPRODUCT(MAX(ROW(E$1:E3202)*(E2=E$1:E3202))))))</f>
        <v> </v>
      </c>
      <c r="K3203" s="25" t="str">
        <f>IF(OR(E3203="",E3203="!!!",F3203="NEW"),"",INDEX(J$1:J3202,SUMPRODUCT(MAX(ROW(E$1:E3202)*(E3203=E$1:E3202)))))</f>
        <v> </v>
      </c>
      <c r="L3203" s="26"/>
    </row>
    <row r="3204" spans="1:12">
      <c r="A3204" s="20" t="s">
        <v>838</v>
      </c>
      <c r="E3204" s="21">
        <f>IF(D3204="?OLD","!!!","")</f>
        <v/>
      </c>
      <c r="F3204" s="22" t="str">
        <f>IF(OR(E3204="",E3204="!!!"),"",IF(NOT(ISNA(VLOOKUP(E3204,E$1:E3203,1,FALSE()))),"OLD",IF(AND(E3204&lt;&gt;"",E3204&lt;&gt;"!!!"),"NEW","")))</f>
        <v> </v>
      </c>
      <c r="G3204" s="23" t="str">
        <f>IF(OR(E3204="",E3204="!!!"),"",IF(OR(J3204=0,AND(J3204=1,K3204=1),AND(J3204=1,I3204="SBJ"),AND(J3204=1,I3204=0)),"?IN_FOCUS",IF(J3204&lt;=2,"?ACTIVATED",IF(J3204&lt;&gt;"","?FAMILIAR",IF(F3204="NEW",IF(ISNA(VLOOKUP(E3204,#REF!,1,FALSE())),"?TYPE_IDENTIFIABLE","?REFERENTIAL"),"_")))))</f>
        <v> </v>
      </c>
      <c r="H3204" s="24" t="str">
        <f>IF(J3204&lt;&gt;1,"",IF(I3204="SBJ","CB","?"))</f>
        <v> </v>
      </c>
      <c r="I3204" s="25" t="str">
        <f>IF(OR(E3204="",E3204="!!!",F3204="NEW"),"",INDEX(B3203:B$2,-1+SUMPRODUCT(MAX(ROW(E3203:E$2)*(E3204=E3203:E$2)))))</f>
        <v> </v>
      </c>
      <c r="J3204" s="25" t="str">
        <f>IF(OR(E3204="",E3204="!!!",F3204="NEW"),"",COUNTBLANK(OFFSET(A$1,,,SUMPRODUCT(MAX(ROW(E$2:E3204)*(E3204=E$2:E3204)))))-COUNTBLANK(OFFSET(A$1,,,SUMPRODUCT(MAX(ROW(E$1:E3203)*(E2=E$1:E3203))))))</f>
        <v> </v>
      </c>
      <c r="K3204" s="25" t="str">
        <f>IF(OR(E3204="",E3204="!!!",F3204="NEW"),"",INDEX(J$1:J3203,SUMPRODUCT(MAX(ROW(E$1:E3203)*(E3204=E$1:E3203)))))</f>
        <v> </v>
      </c>
      <c r="L3204" s="26"/>
    </row>
    <row r="3205" spans="1:12">
      <c r="A3205" s="20" t="s">
        <v>125</v>
      </c>
      <c r="B3205" s="27" t="s">
        <v>941</v>
      </c>
      <c r="C3205" s="27" t="s">
        <v>761</v>
      </c>
      <c r="D3205" s="27" t="s">
        <v>762</v>
      </c>
      <c r="E3205" s="21">
        <f>IF(D3205="?OLD","!!!","")</f>
        <v/>
      </c>
      <c r="F3205" s="22" t="str">
        <f>IF(OR(E3205="",E3205="!!!"),"",IF(NOT(ISNA(VLOOKUP(E3205,E$1:E3204,1,FALSE()))),"OLD",IF(AND(E3205&lt;&gt;"",E3205&lt;&gt;"!!!"),"NEW","")))</f>
        <v> </v>
      </c>
      <c r="G3205" s="23" t="str">
        <f>IF(OR(E3205="",E3205="!!!"),"",IF(OR(J3205=0,AND(J3205=1,K3205=1),AND(J3205=1,I3205="SBJ"),AND(J3205=1,I3205=0)),"?IN_FOCUS",IF(J3205&lt;=2,"?ACTIVATED",IF(J3205&lt;&gt;"","?FAMILIAR",IF(F3205="NEW",IF(ISNA(VLOOKUP(E3205,#REF!,1,FALSE())),"?TYPE_IDENTIFIABLE","?REFERENTIAL"),"_")))))</f>
        <v> </v>
      </c>
      <c r="H3205" s="24" t="str">
        <f>IF(J3205&lt;&gt;1,"",IF(I3205="SBJ","CB","?"))</f>
        <v> </v>
      </c>
      <c r="I3205" s="25" t="str">
        <f>IF(OR(E3205="",E3205="!!!",F3205="NEW"),"",INDEX(B3204:B$2,-1+SUMPRODUCT(MAX(ROW(E3204:E$2)*(E3205=E3204:E$2)))))</f>
        <v> </v>
      </c>
      <c r="J3205" s="25" t="str">
        <f>IF(OR(E3205="",E3205="!!!",F3205="NEW"),"",COUNTBLANK(OFFSET(A$1,,,SUMPRODUCT(MAX(ROW(E$2:E3205)*(E3205=E$2:E3205)))))-COUNTBLANK(OFFSET(A$1,,,SUMPRODUCT(MAX(ROW(E$1:E3204)*(E2=E$1:E3204))))))</f>
        <v> </v>
      </c>
      <c r="K3205" s="25" t="str">
        <f>IF(OR(E3205="",E3205="!!!",F3205="NEW"),"",INDEX(J$1:J3204,SUMPRODUCT(MAX(ROW(E$1:E3204)*(E3205=E$1:E3204)))))</f>
        <v> </v>
      </c>
      <c r="L3205" s="26"/>
    </row>
    <row r="3206" spans="1:12">
      <c r="A3206" s="20" t="s">
        <v>1390</v>
      </c>
      <c r="E3206" s="21">
        <f>IF(D3206="?OLD","!!!","")</f>
        <v/>
      </c>
      <c r="F3206" s="22" t="str">
        <f>IF(OR(E3206="",E3206="!!!"),"",IF(NOT(ISNA(VLOOKUP(E3206,E$1:E3205,1,FALSE()))),"OLD",IF(AND(E3206&lt;&gt;"",E3206&lt;&gt;"!!!"),"NEW","")))</f>
        <v> </v>
      </c>
      <c r="G3206" s="23" t="str">
        <f>IF(OR(E3206="",E3206="!!!"),"",IF(OR(J3206=0,AND(J3206=1,K3206=1),AND(J3206=1,I3206="SBJ"),AND(J3206=1,I3206=0)),"?IN_FOCUS",IF(J3206&lt;=2,"?ACTIVATED",IF(J3206&lt;&gt;"","?FAMILIAR",IF(F3206="NEW",IF(ISNA(VLOOKUP(E3206,#REF!,1,FALSE())),"?TYPE_IDENTIFIABLE","?REFERENTIAL"),"_")))))</f>
        <v> </v>
      </c>
      <c r="H3206" s="24" t="str">
        <f>IF(J3206&lt;&gt;1,"",IF(I3206="SBJ","CB","?"))</f>
        <v> </v>
      </c>
      <c r="I3206" s="25" t="str">
        <f>IF(OR(E3206="",E3206="!!!",F3206="NEW"),"",INDEX(B3205:B$2,-1+SUMPRODUCT(MAX(ROW(E3205:E$2)*(E3206=E3205:E$2)))))</f>
        <v> </v>
      </c>
      <c r="J3206" s="25" t="str">
        <f>IF(OR(E3206="",E3206="!!!",F3206="NEW"),"",COUNTBLANK(OFFSET(A$1,,,SUMPRODUCT(MAX(ROW(E$2:E3206)*(E3206=E$2:E3206)))))-COUNTBLANK(OFFSET(A$1,,,SUMPRODUCT(MAX(ROW(E$1:E3205)*(E2=E$1:E3205))))))</f>
        <v> </v>
      </c>
      <c r="K3206" s="25" t="str">
        <f>IF(OR(E3206="",E3206="!!!",F3206="NEW"),"",INDEX(J$1:J3205,SUMPRODUCT(MAX(ROW(E$1:E3205)*(E3206=E$1:E3205)))))</f>
        <v> </v>
      </c>
      <c r="L3206" s="26"/>
    </row>
    <row r="3207" spans="1:12">
      <c r="A3207" s="20" t="s">
        <v>875</v>
      </c>
      <c r="E3207" s="21">
        <f>IF(D3207="?OLD","!!!","")</f>
        <v/>
      </c>
      <c r="F3207" s="22" t="str">
        <f>IF(OR(E3207="",E3207="!!!"),"",IF(NOT(ISNA(VLOOKUP(E3207,E$1:E3206,1,FALSE()))),"OLD",IF(AND(E3207&lt;&gt;"",E3207&lt;&gt;"!!!"),"NEW","")))</f>
        <v> </v>
      </c>
      <c r="G3207" s="23" t="str">
        <f>IF(OR(E3207="",E3207="!!!"),"",IF(OR(J3207=0,AND(J3207=1,K3207=1),AND(J3207=1,I3207="SBJ"),AND(J3207=1,I3207=0)),"?IN_FOCUS",IF(J3207&lt;=2,"?ACTIVATED",IF(J3207&lt;&gt;"","?FAMILIAR",IF(F3207="NEW",IF(ISNA(VLOOKUP(E3207,#REF!,1,FALSE())),"?TYPE_IDENTIFIABLE","?REFERENTIAL"),"_")))))</f>
        <v> </v>
      </c>
      <c r="H3207" s="24" t="str">
        <f>IF(J3207&lt;&gt;1,"",IF(I3207="SBJ","CB","?"))</f>
        <v> </v>
      </c>
      <c r="I3207" s="25" t="str">
        <f>IF(OR(E3207="",E3207="!!!",F3207="NEW"),"",INDEX(B3206:B$2,-1+SUMPRODUCT(MAX(ROW(E3206:E$2)*(E3207=E3206:E$2)))))</f>
        <v> </v>
      </c>
      <c r="J3207" s="25" t="str">
        <f>IF(OR(E3207="",E3207="!!!",F3207="NEW"),"",COUNTBLANK(OFFSET(A$1,,,SUMPRODUCT(MAX(ROW(E$2:E3207)*(E3207=E$2:E3207)))))-COUNTBLANK(OFFSET(A$1,,,SUMPRODUCT(MAX(ROW(E$1:E3206)*(E2=E$1:E3206))))))</f>
        <v> </v>
      </c>
      <c r="K3207" s="25" t="str">
        <f>IF(OR(E3207="",E3207="!!!",F3207="NEW"),"",INDEX(J$1:J3206,SUMPRODUCT(MAX(ROW(E$1:E3206)*(E3207=E$1:E3206)))))</f>
        <v> </v>
      </c>
      <c r="L3207" s="26"/>
    </row>
    <row r="3208" spans="1:12">
      <c r="A3208" s="20" t="s">
        <v>770</v>
      </c>
      <c r="E3208" s="21">
        <f>IF(D3208="?OLD","!!!","")</f>
        <v/>
      </c>
      <c r="F3208" s="22" t="str">
        <f>IF(OR(E3208="",E3208="!!!"),"",IF(NOT(ISNA(VLOOKUP(E3208,E$1:E3207,1,FALSE()))),"OLD",IF(AND(E3208&lt;&gt;"",E3208&lt;&gt;"!!!"),"NEW","")))</f>
        <v> </v>
      </c>
      <c r="G3208" s="23" t="str">
        <f>IF(OR(E3208="",E3208="!!!"),"",IF(OR(J3208=0,AND(J3208=1,K3208=1),AND(J3208=1,I3208="SBJ"),AND(J3208=1,I3208=0)),"?IN_FOCUS",IF(J3208&lt;=2,"?ACTIVATED",IF(J3208&lt;&gt;"","?FAMILIAR",IF(F3208="NEW",IF(ISNA(VLOOKUP(E3208,#REF!,1,FALSE())),"?TYPE_IDENTIFIABLE","?REFERENTIAL"),"_")))))</f>
        <v> </v>
      </c>
      <c r="H3208" s="24" t="str">
        <f>IF(J3208&lt;&gt;1,"",IF(I3208="SBJ","CB","?"))</f>
        <v> </v>
      </c>
      <c r="I3208" s="25" t="str">
        <f>IF(OR(E3208="",E3208="!!!",F3208="NEW"),"",INDEX(B3207:B$2,-1+SUMPRODUCT(MAX(ROW(E3207:E$2)*(E3208=E3207:E$2)))))</f>
        <v> </v>
      </c>
      <c r="J3208" s="25" t="str">
        <f>IF(OR(E3208="",E3208="!!!",F3208="NEW"),"",COUNTBLANK(OFFSET(A$1,,,SUMPRODUCT(MAX(ROW(E$2:E3208)*(E3208=E$2:E3208)))))-COUNTBLANK(OFFSET(A$1,,,SUMPRODUCT(MAX(ROW(E$1:E3207)*(E2=E$1:E3207))))))</f>
        <v> </v>
      </c>
      <c r="K3208" s="25" t="str">
        <f>IF(OR(E3208="",E3208="!!!",F3208="NEW"),"",INDEX(J$1:J3207,SUMPRODUCT(MAX(ROW(E$1:E3207)*(E3208=E$1:E3207)))))</f>
        <v> </v>
      </c>
      <c r="L3208" s="26"/>
    </row>
    <row r="3209" spans="1:12">
      <c r="A3209" s="20" t="s">
        <v>789</v>
      </c>
      <c r="B3209" s="27" t="s">
        <v>901</v>
      </c>
      <c r="C3209" s="27" t="s">
        <v>761</v>
      </c>
      <c r="D3209" s="27" t="s">
        <v>762</v>
      </c>
      <c r="E3209" s="21">
        <f>IF(D3209="?OLD","!!!","")</f>
        <v/>
      </c>
      <c r="F3209" s="22" t="str">
        <f>IF(OR(E3209="",E3209="!!!"),"",IF(NOT(ISNA(VLOOKUP(E3209,E$1:E3208,1,FALSE()))),"OLD",IF(AND(E3209&lt;&gt;"",E3209&lt;&gt;"!!!"),"NEW","")))</f>
        <v> </v>
      </c>
      <c r="G3209" s="23" t="str">
        <f>IF(OR(E3209="",E3209="!!!"),"",IF(OR(J3209=0,AND(J3209=1,K3209=1),AND(J3209=1,I3209="SBJ"),AND(J3209=1,I3209=0)),"?IN_FOCUS",IF(J3209&lt;=2,"?ACTIVATED",IF(J3209&lt;&gt;"","?FAMILIAR",IF(F3209="NEW",IF(ISNA(VLOOKUP(E3209,#REF!,1,FALSE())),"?TYPE_IDENTIFIABLE","?REFERENTIAL"),"_")))))</f>
        <v> </v>
      </c>
      <c r="H3209" s="24" t="str">
        <f>IF(J3209&lt;&gt;1,"",IF(I3209="SBJ","CB","?"))</f>
        <v> </v>
      </c>
      <c r="I3209" s="25" t="str">
        <f>IF(OR(E3209="",E3209="!!!",F3209="NEW"),"",INDEX(B3208:B$2,-1+SUMPRODUCT(MAX(ROW(E3208:E$2)*(E3209=E3208:E$2)))))</f>
        <v> </v>
      </c>
      <c r="J3209" s="25" t="str">
        <f>IF(OR(E3209="",E3209="!!!",F3209="NEW"),"",COUNTBLANK(OFFSET(A$1,,,SUMPRODUCT(MAX(ROW(E$2:E3209)*(E3209=E$2:E3209)))))-COUNTBLANK(OFFSET(A$1,,,SUMPRODUCT(MAX(ROW(E$1:E3208)*(E2=E$1:E3208))))))</f>
        <v> </v>
      </c>
      <c r="K3209" s="25" t="str">
        <f>IF(OR(E3209="",E3209="!!!",F3209="NEW"),"",INDEX(J$1:J3208,SUMPRODUCT(MAX(ROW(E$1:E3208)*(E3209=E$1:E3208)))))</f>
        <v> </v>
      </c>
      <c r="L3209" s="26"/>
    </row>
    <row r="3210" spans="1:12">
      <c r="A3210" s="20" t="s">
        <v>889</v>
      </c>
      <c r="B3210" s="27" t="s">
        <v>1236</v>
      </c>
      <c r="E3210" s="21">
        <f>IF(D3210="?OLD","!!!","")</f>
        <v/>
      </c>
      <c r="F3210" s="22" t="str">
        <f>IF(OR(E3210="",E3210="!!!"),"",IF(NOT(ISNA(VLOOKUP(E3210,E$1:E3209,1,FALSE()))),"OLD",IF(AND(E3210&lt;&gt;"",E3210&lt;&gt;"!!!"),"NEW","")))</f>
        <v> </v>
      </c>
      <c r="G3210" s="23" t="str">
        <f>IF(OR(E3210="",E3210="!!!"),"",IF(OR(J3210=0,AND(J3210=1,K3210=1),AND(J3210=1,I3210="SBJ"),AND(J3210=1,I3210=0)),"?IN_FOCUS",IF(J3210&lt;=2,"?ACTIVATED",IF(J3210&lt;&gt;"","?FAMILIAR",IF(F3210="NEW",IF(ISNA(VLOOKUP(E3210,#REF!,1,FALSE())),"?TYPE_IDENTIFIABLE","?REFERENTIAL"),"_")))))</f>
        <v> </v>
      </c>
      <c r="H3210" s="24" t="str">
        <f>IF(J3210&lt;&gt;1,"",IF(I3210="SBJ","CB","?"))</f>
        <v> </v>
      </c>
      <c r="I3210" s="25" t="str">
        <f>IF(OR(E3210="",E3210="!!!",F3210="NEW"),"",INDEX(B3209:B$2,-1+SUMPRODUCT(MAX(ROW(E3209:E$2)*(E3210=E3209:E$2)))))</f>
        <v> </v>
      </c>
      <c r="J3210" s="25" t="str">
        <f>IF(OR(E3210="",E3210="!!!",F3210="NEW"),"",COUNTBLANK(OFFSET(A$1,,,SUMPRODUCT(MAX(ROW(E$2:E3210)*(E3210=E$2:E3210)))))-COUNTBLANK(OFFSET(A$1,,,SUMPRODUCT(MAX(ROW(E$1:E3209)*(E2=E$1:E3209))))))</f>
        <v> </v>
      </c>
      <c r="K3210" s="25" t="str">
        <f>IF(OR(E3210="",E3210="!!!",F3210="NEW"),"",INDEX(J$1:J3209,SUMPRODUCT(MAX(ROW(E$1:E3209)*(E3210=E$1:E3209)))))</f>
        <v> </v>
      </c>
      <c r="L3210" s="26"/>
    </row>
    <row r="3211" spans="1:12">
      <c r="A3211" s="20" t="s">
        <v>1155</v>
      </c>
      <c r="B3211" s="27" t="s">
        <v>1080</v>
      </c>
      <c r="C3211" s="27" t="s">
        <v>797</v>
      </c>
      <c r="D3211" s="27" t="s">
        <v>762</v>
      </c>
      <c r="E3211" s="21">
        <f>IF(D3211="?OLD","!!!","")</f>
        <v/>
      </c>
      <c r="F3211" s="22" t="str">
        <f>IF(OR(E3211="",E3211="!!!"),"",IF(NOT(ISNA(VLOOKUP(E3211,E$1:E3210,1,FALSE()))),"OLD",IF(AND(E3211&lt;&gt;"",E3211&lt;&gt;"!!!"),"NEW","")))</f>
        <v> </v>
      </c>
      <c r="G3211" s="23" t="str">
        <f>IF(OR(E3211="",E3211="!!!"),"",IF(OR(J3211=0,AND(J3211=1,K3211=1),AND(J3211=1,I3211="SBJ"),AND(J3211=1,I3211=0)),"?IN_FOCUS",IF(J3211&lt;=2,"?ACTIVATED",IF(J3211&lt;&gt;"","?FAMILIAR",IF(F3211="NEW",IF(ISNA(VLOOKUP(E3211,#REF!,1,FALSE())),"?TYPE_IDENTIFIABLE","?REFERENTIAL"),"_")))))</f>
        <v> </v>
      </c>
      <c r="H3211" s="24" t="str">
        <f>IF(J3211&lt;&gt;1,"",IF(I3211="SBJ","CB","?"))</f>
        <v> </v>
      </c>
      <c r="I3211" s="25" t="str">
        <f>IF(OR(E3211="",E3211="!!!",F3211="NEW"),"",INDEX(B3210:B$2,-1+SUMPRODUCT(MAX(ROW(E3210:E$2)*(E3211=E3210:E$2)))))</f>
        <v> </v>
      </c>
      <c r="J3211" s="25" t="str">
        <f>IF(OR(E3211="",E3211="!!!",F3211="NEW"),"",COUNTBLANK(OFFSET(A$1,,,SUMPRODUCT(MAX(ROW(E$2:E3211)*(E3211=E$2:E3211)))))-COUNTBLANK(OFFSET(A$1,,,SUMPRODUCT(MAX(ROW(E$1:E3210)*(E2=E$1:E3210))))))</f>
        <v> </v>
      </c>
      <c r="K3211" s="25" t="str">
        <f>IF(OR(E3211="",E3211="!!!",F3211="NEW"),"",INDEX(J$1:J3210,SUMPRODUCT(MAX(ROW(E$1:E3210)*(E3211=E$1:E3210)))))</f>
        <v> </v>
      </c>
      <c r="L3211" s="26"/>
    </row>
    <row r="3212" spans="1:12">
      <c r="A3212" s="20" t="s">
        <v>1004</v>
      </c>
      <c r="E3212" s="21">
        <f>IF(D3212="?OLD","!!!","")</f>
        <v/>
      </c>
      <c r="F3212" s="22" t="str">
        <f>IF(OR(E3212="",E3212="!!!"),"",IF(NOT(ISNA(VLOOKUP(E3212,E$1:E3211,1,FALSE()))),"OLD",IF(AND(E3212&lt;&gt;"",E3212&lt;&gt;"!!!"),"NEW","")))</f>
        <v> </v>
      </c>
      <c r="G3212" s="23" t="str">
        <f>IF(OR(E3212="",E3212="!!!"),"",IF(OR(J3212=0,AND(J3212=1,K3212=1),AND(J3212=1,I3212="SBJ"),AND(J3212=1,I3212=0)),"?IN_FOCUS",IF(J3212&lt;=2,"?ACTIVATED",IF(J3212&lt;&gt;"","?FAMILIAR",IF(F3212="NEW",IF(ISNA(VLOOKUP(E3212,#REF!,1,FALSE())),"?TYPE_IDENTIFIABLE","?REFERENTIAL"),"_")))))</f>
        <v> </v>
      </c>
      <c r="H3212" s="24" t="str">
        <f>IF(J3212&lt;&gt;1,"",IF(I3212="SBJ","CB","?"))</f>
        <v> </v>
      </c>
      <c r="I3212" s="25" t="str">
        <f>IF(OR(E3212="",E3212="!!!",F3212="NEW"),"",INDEX(B3211:B$2,-1+SUMPRODUCT(MAX(ROW(E3211:E$2)*(E3212=E3211:E$2)))))</f>
        <v> </v>
      </c>
      <c r="J3212" s="25" t="str">
        <f>IF(OR(E3212="",E3212="!!!",F3212="NEW"),"",COUNTBLANK(OFFSET(A$1,,,SUMPRODUCT(MAX(ROW(E$2:E3212)*(E3212=E$2:E3212)))))-COUNTBLANK(OFFSET(A$1,,,SUMPRODUCT(MAX(ROW(E$1:E3211)*(E2=E$1:E3211))))))</f>
        <v> </v>
      </c>
      <c r="K3212" s="25" t="str">
        <f>IF(OR(E3212="",E3212="!!!",F3212="NEW"),"",INDEX(J$1:J3211,SUMPRODUCT(MAX(ROW(E$1:E3211)*(E3212=E$1:E3211)))))</f>
        <v> </v>
      </c>
      <c r="L3212" s="26"/>
    </row>
    <row r="3213" spans="1:12">
      <c r="A3213" s="20" t="s">
        <v>810</v>
      </c>
      <c r="E3213" s="21">
        <f>IF(D3213="?OLD","!!!","")</f>
        <v/>
      </c>
      <c r="F3213" s="22" t="str">
        <f>IF(OR(E3213="",E3213="!!!"),"",IF(NOT(ISNA(VLOOKUP(E3213,E$1:E3212,1,FALSE()))),"OLD",IF(AND(E3213&lt;&gt;"",E3213&lt;&gt;"!!!"),"NEW","")))</f>
        <v> </v>
      </c>
      <c r="G3213" s="23" t="str">
        <f>IF(OR(E3213="",E3213="!!!"),"",IF(OR(J3213=0,AND(J3213=1,K3213=1),AND(J3213=1,I3213="SBJ"),AND(J3213=1,I3213=0)),"?IN_FOCUS",IF(J3213&lt;=2,"?ACTIVATED",IF(J3213&lt;&gt;"","?FAMILIAR",IF(F3213="NEW",IF(ISNA(VLOOKUP(E3213,#REF!,1,FALSE())),"?TYPE_IDENTIFIABLE","?REFERENTIAL"),"_")))))</f>
        <v> </v>
      </c>
      <c r="H3213" s="24" t="str">
        <f>IF(J3213&lt;&gt;1,"",IF(I3213="SBJ","CB","?"))</f>
        <v> </v>
      </c>
      <c r="I3213" s="25" t="str">
        <f>IF(OR(E3213="",E3213="!!!",F3213="NEW"),"",INDEX(B3212:B$2,-1+SUMPRODUCT(MAX(ROW(E3212:E$2)*(E3213=E3212:E$2)))))</f>
        <v> </v>
      </c>
      <c r="J3213" s="25" t="str">
        <f>IF(OR(E3213="",E3213="!!!",F3213="NEW"),"",COUNTBLANK(OFFSET(A$1,,,SUMPRODUCT(MAX(ROW(E$2:E3213)*(E3213=E$2:E3213)))))-COUNTBLANK(OFFSET(A$1,,,SUMPRODUCT(MAX(ROW(E$1:E3212)*(E2=E$1:E3212))))))</f>
        <v> </v>
      </c>
      <c r="K3213" s="25" t="str">
        <f>IF(OR(E3213="",E3213="!!!",F3213="NEW"),"",INDEX(J$1:J3212,SUMPRODUCT(MAX(ROW(E$1:E3212)*(E3213=E$1:E3212)))))</f>
        <v> </v>
      </c>
      <c r="L3213" s="26"/>
    </row>
    <row r="3214" spans="1:12">
      <c r="A3214" s="20" t="s">
        <v>889</v>
      </c>
      <c r="E3214" s="21">
        <f>IF(D3214="?OLD","!!!","")</f>
        <v/>
      </c>
      <c r="F3214" s="22" t="str">
        <f>IF(OR(E3214="",E3214="!!!"),"",IF(NOT(ISNA(VLOOKUP(E3214,E$1:E3213,1,FALSE()))),"OLD",IF(AND(E3214&lt;&gt;"",E3214&lt;&gt;"!!!"),"NEW","")))</f>
        <v> </v>
      </c>
      <c r="G3214" s="23" t="str">
        <f>IF(OR(E3214="",E3214="!!!"),"",IF(OR(J3214=0,AND(J3214=1,K3214=1),AND(J3214=1,I3214="SBJ"),AND(J3214=1,I3214=0)),"?IN_FOCUS",IF(J3214&lt;=2,"?ACTIVATED",IF(J3214&lt;&gt;"","?FAMILIAR",IF(F3214="NEW",IF(ISNA(VLOOKUP(E3214,#REF!,1,FALSE())),"?TYPE_IDENTIFIABLE","?REFERENTIAL"),"_")))))</f>
        <v> </v>
      </c>
      <c r="H3214" s="24" t="str">
        <f>IF(J3214&lt;&gt;1,"",IF(I3214="SBJ","CB","?"))</f>
        <v> </v>
      </c>
      <c r="I3214" s="25" t="str">
        <f>IF(OR(E3214="",E3214="!!!",F3214="NEW"),"",INDEX(B3213:B$2,-1+SUMPRODUCT(MAX(ROW(E3213:E$2)*(E3214=E3213:E$2)))))</f>
        <v> </v>
      </c>
      <c r="J3214" s="25" t="str">
        <f>IF(OR(E3214="",E3214="!!!",F3214="NEW"),"",COUNTBLANK(OFFSET(A$1,,,SUMPRODUCT(MAX(ROW(E$2:E3214)*(E3214=E$2:E3214)))))-COUNTBLANK(OFFSET(A$1,,,SUMPRODUCT(MAX(ROW(E$1:E3213)*(E2=E$1:E3213))))))</f>
        <v> </v>
      </c>
      <c r="K3214" s="25" t="str">
        <f>IF(OR(E3214="",E3214="!!!",F3214="NEW"),"",INDEX(J$1:J3213,SUMPRODUCT(MAX(ROW(E$1:E3213)*(E3214=E$1:E3213)))))</f>
        <v> </v>
      </c>
      <c r="L3214" s="26"/>
    </row>
    <row r="3215" spans="1:12">
      <c r="A3215" s="20" t="s">
        <v>1155</v>
      </c>
      <c r="B3215" s="27" t="s">
        <v>1272</v>
      </c>
      <c r="C3215" s="27" t="s">
        <v>797</v>
      </c>
      <c r="D3215" s="27" t="s">
        <v>762</v>
      </c>
      <c r="E3215" s="21">
        <f>IF(D3215="?OLD","!!!","")</f>
        <v/>
      </c>
      <c r="F3215" s="22" t="str">
        <f>IF(OR(E3215="",E3215="!!!"),"",IF(NOT(ISNA(VLOOKUP(E3215,E$1:E3214,1,FALSE()))),"OLD",IF(AND(E3215&lt;&gt;"",E3215&lt;&gt;"!!!"),"NEW","")))</f>
        <v> </v>
      </c>
      <c r="G3215" s="23" t="str">
        <f>IF(OR(E3215="",E3215="!!!"),"",IF(OR(J3215=0,AND(J3215=1,K3215=1),AND(J3215=1,I3215="SBJ"),AND(J3215=1,I3215=0)),"?IN_FOCUS",IF(J3215&lt;=2,"?ACTIVATED",IF(J3215&lt;&gt;"","?FAMILIAR",IF(F3215="NEW",IF(ISNA(VLOOKUP(E3215,#REF!,1,FALSE())),"?TYPE_IDENTIFIABLE","?REFERENTIAL"),"_")))))</f>
        <v> </v>
      </c>
      <c r="H3215" s="24" t="str">
        <f>IF(J3215&lt;&gt;1,"",IF(I3215="SBJ","CB","?"))</f>
        <v> </v>
      </c>
      <c r="I3215" s="25" t="str">
        <f>IF(OR(E3215="",E3215="!!!",F3215="NEW"),"",INDEX(B3214:B$2,-1+SUMPRODUCT(MAX(ROW(E3214:E$2)*(E3215=E3214:E$2)))))</f>
        <v> </v>
      </c>
      <c r="J3215" s="25" t="str">
        <f>IF(OR(E3215="",E3215="!!!",F3215="NEW"),"",COUNTBLANK(OFFSET(A$1,,,SUMPRODUCT(MAX(ROW(E$2:E3215)*(E3215=E$2:E3215)))))-COUNTBLANK(OFFSET(A$1,,,SUMPRODUCT(MAX(ROW(E$1:E3214)*(E2=E$1:E3214))))))</f>
        <v> </v>
      </c>
      <c r="K3215" s="25" t="str">
        <f>IF(OR(E3215="",E3215="!!!",F3215="NEW"),"",INDEX(J$1:J3214,SUMPRODUCT(MAX(ROW(E$1:E3214)*(E3215=E$1:E3214)))))</f>
        <v> </v>
      </c>
      <c r="L3215" s="26"/>
    </row>
    <row r="3216" spans="1:12">
      <c r="A3216" s="20" t="s">
        <v>798</v>
      </c>
      <c r="E3216" s="21">
        <f>IF(D3216="?OLD","!!!","")</f>
        <v/>
      </c>
      <c r="F3216" s="22" t="str">
        <f>IF(OR(E3216="",E3216="!!!"),"",IF(NOT(ISNA(VLOOKUP(E3216,E$1:E3215,1,FALSE()))),"OLD",IF(AND(E3216&lt;&gt;"",E3216&lt;&gt;"!!!"),"NEW","")))</f>
        <v> </v>
      </c>
      <c r="G3216" s="23" t="str">
        <f>IF(OR(E3216="",E3216="!!!"),"",IF(OR(J3216=0,AND(J3216=1,K3216=1),AND(J3216=1,I3216="SBJ"),AND(J3216=1,I3216=0)),"?IN_FOCUS",IF(J3216&lt;=2,"?ACTIVATED",IF(J3216&lt;&gt;"","?FAMILIAR",IF(F3216="NEW",IF(ISNA(VLOOKUP(E3216,#REF!,1,FALSE())),"?TYPE_IDENTIFIABLE","?REFERENTIAL"),"_")))))</f>
        <v> </v>
      </c>
      <c r="H3216" s="24" t="str">
        <f>IF(J3216&lt;&gt;1,"",IF(I3216="SBJ","CB","?"))</f>
        <v> </v>
      </c>
      <c r="I3216" s="25" t="str">
        <f>IF(OR(E3216="",E3216="!!!",F3216="NEW"),"",INDEX(B3215:B$2,-1+SUMPRODUCT(MAX(ROW(E3215:E$2)*(E3216=E3215:E$2)))))</f>
        <v> </v>
      </c>
      <c r="J3216" s="25" t="str">
        <f>IF(OR(E3216="",E3216="!!!",F3216="NEW"),"",COUNTBLANK(OFFSET(A$1,,,SUMPRODUCT(MAX(ROW(E$2:E3216)*(E3216=E$2:E3216)))))-COUNTBLANK(OFFSET(A$1,,,SUMPRODUCT(MAX(ROW(E$1:E3215)*(E2=E$1:E3215))))))</f>
        <v> </v>
      </c>
      <c r="K3216" s="25" t="str">
        <f>IF(OR(E3216="",E3216="!!!",F3216="NEW"),"",INDEX(J$1:J3215,SUMPRODUCT(MAX(ROW(E$1:E3215)*(E3216=E$1:E3215)))))</f>
        <v> </v>
      </c>
      <c r="L3216" s="26"/>
    </row>
    <row r="3217" spans="1:12">
      <c r="A3217" s="20" t="s">
        <v>1154</v>
      </c>
      <c r="E3217" s="21">
        <f>IF(D3217="?OLD","!!!","")</f>
        <v/>
      </c>
      <c r="F3217" s="22" t="str">
        <f>IF(OR(E3217="",E3217="!!!"),"",IF(NOT(ISNA(VLOOKUP(E3217,E$1:E3216,1,FALSE()))),"OLD",IF(AND(E3217&lt;&gt;"",E3217&lt;&gt;"!!!"),"NEW","")))</f>
        <v> </v>
      </c>
      <c r="G3217" s="23" t="str">
        <f>IF(OR(E3217="",E3217="!!!"),"",IF(OR(J3217=0,AND(J3217=1,K3217=1),AND(J3217=1,I3217="SBJ"),AND(J3217=1,I3217=0)),"?IN_FOCUS",IF(J3217&lt;=2,"?ACTIVATED",IF(J3217&lt;&gt;"","?FAMILIAR",IF(F3217="NEW",IF(ISNA(VLOOKUP(E3217,#REF!,1,FALSE())),"?TYPE_IDENTIFIABLE","?REFERENTIAL"),"_")))))</f>
        <v> </v>
      </c>
      <c r="H3217" s="24" t="str">
        <f>IF(J3217&lt;&gt;1,"",IF(I3217="SBJ","CB","?"))</f>
        <v> </v>
      </c>
      <c r="I3217" s="25" t="str">
        <f>IF(OR(E3217="",E3217="!!!",F3217="NEW"),"",INDEX(B3216:B$2,-1+SUMPRODUCT(MAX(ROW(E3216:E$2)*(E3217=E3216:E$2)))))</f>
        <v> </v>
      </c>
      <c r="J3217" s="25" t="str">
        <f>IF(OR(E3217="",E3217="!!!",F3217="NEW"),"",COUNTBLANK(OFFSET(A$1,,,SUMPRODUCT(MAX(ROW(E$2:E3217)*(E3217=E$2:E3217)))))-COUNTBLANK(OFFSET(A$1,,,SUMPRODUCT(MAX(ROW(E$1:E3216)*(E2=E$1:E3216))))))</f>
        <v> </v>
      </c>
      <c r="K3217" s="25" t="str">
        <f>IF(OR(E3217="",E3217="!!!",F3217="NEW"),"",INDEX(J$1:J3216,SUMPRODUCT(MAX(ROW(E$1:E3216)*(E3217=E$1:E3216)))))</f>
        <v> </v>
      </c>
      <c r="L3217" s="26"/>
    </row>
    <row r="3218" spans="1:12">
      <c r="A3218" s="20" t="s">
        <v>804</v>
      </c>
      <c r="E3218" s="21">
        <f>IF(D3218="?OLD","!!!","")</f>
        <v/>
      </c>
      <c r="F3218" s="22" t="str">
        <f>IF(OR(E3218="",E3218="!!!"),"",IF(NOT(ISNA(VLOOKUP(E3218,E$1:E3217,1,FALSE()))),"OLD",IF(AND(E3218&lt;&gt;"",E3218&lt;&gt;"!!!"),"NEW","")))</f>
        <v> </v>
      </c>
      <c r="G3218" s="23" t="str">
        <f>IF(OR(E3218="",E3218="!!!"),"",IF(OR(J3218=0,AND(J3218=1,K3218=1),AND(J3218=1,I3218="SBJ"),AND(J3218=1,I3218=0)),"?IN_FOCUS",IF(J3218&lt;=2,"?ACTIVATED",IF(J3218&lt;&gt;"","?FAMILIAR",IF(F3218="NEW",IF(ISNA(VLOOKUP(E3218,#REF!,1,FALSE())),"?TYPE_IDENTIFIABLE","?REFERENTIAL"),"_")))))</f>
        <v> </v>
      </c>
      <c r="H3218" s="24" t="str">
        <f>IF(J3218&lt;&gt;1,"",IF(I3218="SBJ","CB","?"))</f>
        <v> </v>
      </c>
      <c r="I3218" s="25" t="str">
        <f>IF(OR(E3218="",E3218="!!!",F3218="NEW"),"",INDEX(B3217:B$2,-1+SUMPRODUCT(MAX(ROW(E3217:E$2)*(E3218=E3217:E$2)))))</f>
        <v> </v>
      </c>
      <c r="J3218" s="25" t="str">
        <f>IF(OR(E3218="",E3218="!!!",F3218="NEW"),"",COUNTBLANK(OFFSET(A$1,,,SUMPRODUCT(MAX(ROW(E$2:E3218)*(E3218=E$2:E3218)))))-COUNTBLANK(OFFSET(A$1,,,SUMPRODUCT(MAX(ROW(E$1:E3217)*(E2=E$1:E3217))))))</f>
        <v> </v>
      </c>
      <c r="K3218" s="25" t="str">
        <f>IF(OR(E3218="",E3218="!!!",F3218="NEW"),"",INDEX(J$1:J3217,SUMPRODUCT(MAX(ROW(E$1:E3217)*(E3218=E$1:E3217)))))</f>
        <v> </v>
      </c>
      <c r="L3218" s="26"/>
    </row>
    <row r="3219" spans="1:12">
      <c r="A3219" s="20" t="s">
        <v>421</v>
      </c>
      <c r="E3219" s="21">
        <f>IF(D3219="?OLD","!!!","")</f>
        <v/>
      </c>
      <c r="F3219" s="22" t="str">
        <f>IF(OR(E3219="",E3219="!!!"),"",IF(NOT(ISNA(VLOOKUP(E3219,E$1:E3218,1,FALSE()))),"OLD",IF(AND(E3219&lt;&gt;"",E3219&lt;&gt;"!!!"),"NEW","")))</f>
        <v> </v>
      </c>
      <c r="G3219" s="23" t="str">
        <f>IF(OR(E3219="",E3219="!!!"),"",IF(OR(J3219=0,AND(J3219=1,K3219=1),AND(J3219=1,I3219="SBJ"),AND(J3219=1,I3219=0)),"?IN_FOCUS",IF(J3219&lt;=2,"?ACTIVATED",IF(J3219&lt;&gt;"","?FAMILIAR",IF(F3219="NEW",IF(ISNA(VLOOKUP(E3219,#REF!,1,FALSE())),"?TYPE_IDENTIFIABLE","?REFERENTIAL"),"_")))))</f>
        <v> </v>
      </c>
      <c r="H3219" s="24" t="str">
        <f>IF(J3219&lt;&gt;1,"",IF(I3219="SBJ","CB","?"))</f>
        <v> </v>
      </c>
      <c r="I3219" s="25" t="str">
        <f>IF(OR(E3219="",E3219="!!!",F3219="NEW"),"",INDEX(B3218:B$2,-1+SUMPRODUCT(MAX(ROW(E3218:E$2)*(E3219=E3218:E$2)))))</f>
        <v> </v>
      </c>
      <c r="J3219" s="25" t="str">
        <f>IF(OR(E3219="",E3219="!!!",F3219="NEW"),"",COUNTBLANK(OFFSET(A$1,,,SUMPRODUCT(MAX(ROW(E$2:E3219)*(E3219=E$2:E3219)))))-COUNTBLANK(OFFSET(A$1,,,SUMPRODUCT(MAX(ROW(E$1:E3218)*(E2=E$1:E3218))))))</f>
        <v> </v>
      </c>
      <c r="K3219" s="25" t="str">
        <f>IF(OR(E3219="",E3219="!!!",F3219="NEW"),"",INDEX(J$1:J3218,SUMPRODUCT(MAX(ROW(E$1:E3218)*(E3219=E$1:E3218)))))</f>
        <v> </v>
      </c>
      <c r="L3219" s="26"/>
    </row>
    <row r="3220" spans="1:12">
      <c r="A3220" s="20" t="s">
        <v>1737</v>
      </c>
      <c r="E3220" s="21">
        <f>IF(D3220="?OLD","!!!","")</f>
        <v/>
      </c>
      <c r="F3220" s="22" t="str">
        <f>IF(OR(E3220="",E3220="!!!"),"",IF(NOT(ISNA(VLOOKUP(E3220,E$1:E3219,1,FALSE()))),"OLD",IF(AND(E3220&lt;&gt;"",E3220&lt;&gt;"!!!"),"NEW","")))</f>
        <v> </v>
      </c>
      <c r="G3220" s="23" t="str">
        <f>IF(OR(E3220="",E3220="!!!"),"",IF(OR(J3220=0,AND(J3220=1,K3220=1),AND(J3220=1,I3220="SBJ"),AND(J3220=1,I3220=0)),"?IN_FOCUS",IF(J3220&lt;=2,"?ACTIVATED",IF(J3220&lt;&gt;"","?FAMILIAR",IF(F3220="NEW",IF(ISNA(VLOOKUP(E3220,#REF!,1,FALSE())),"?TYPE_IDENTIFIABLE","?REFERENTIAL"),"_")))))</f>
        <v> </v>
      </c>
      <c r="H3220" s="24" t="str">
        <f>IF(J3220&lt;&gt;1,"",IF(I3220="SBJ","CB","?"))</f>
        <v> </v>
      </c>
      <c r="I3220" s="25" t="str">
        <f>IF(OR(E3220="",E3220="!!!",F3220="NEW"),"",INDEX(B3219:B$2,-1+SUMPRODUCT(MAX(ROW(E3219:E$2)*(E3220=E3219:E$2)))))</f>
        <v> </v>
      </c>
      <c r="J3220" s="25" t="str">
        <f>IF(OR(E3220="",E3220="!!!",F3220="NEW"),"",COUNTBLANK(OFFSET(A$1,,,SUMPRODUCT(MAX(ROW(E$2:E3220)*(E3220=E$2:E3220)))))-COUNTBLANK(OFFSET(A$1,,,SUMPRODUCT(MAX(ROW(E$1:E3219)*(E2=E$1:E3219))))))</f>
        <v> </v>
      </c>
      <c r="K3220" s="25" t="str">
        <f>IF(OR(E3220="",E3220="!!!",F3220="NEW"),"",INDEX(J$1:J3219,SUMPRODUCT(MAX(ROW(E$1:E3219)*(E3220=E$1:E3219)))))</f>
        <v> </v>
      </c>
      <c r="L3220" s="26"/>
    </row>
    <row r="3221" spans="1:12">
      <c r="A3221" s="20" t="s">
        <v>757</v>
      </c>
      <c r="E3221" s="21">
        <f>IF(D3221="?OLD","!!!","")</f>
        <v/>
      </c>
      <c r="F3221" s="22" t="str">
        <f>IF(OR(E3221="",E3221="!!!"),"",IF(NOT(ISNA(VLOOKUP(E3221,E$1:E3220,1,FALSE()))),"OLD",IF(AND(E3221&lt;&gt;"",E3221&lt;&gt;"!!!"),"NEW","")))</f>
        <v> </v>
      </c>
      <c r="G3221" s="23" t="str">
        <f>IF(OR(E3221="",E3221="!!!"),"",IF(OR(J3221=0,AND(J3221=1,K3221=1),AND(J3221=1,I3221="SBJ"),AND(J3221=1,I3221=0)),"?IN_FOCUS",IF(J3221&lt;=2,"?ACTIVATED",IF(J3221&lt;&gt;"","?FAMILIAR",IF(F3221="NEW",IF(ISNA(VLOOKUP(E3221,#REF!,1,FALSE())),"?TYPE_IDENTIFIABLE","?REFERENTIAL"),"_")))))</f>
        <v> </v>
      </c>
      <c r="H3221" s="24" t="str">
        <f>IF(J3221&lt;&gt;1,"",IF(I3221="SBJ","CB","?"))</f>
        <v> </v>
      </c>
      <c r="I3221" s="25" t="str">
        <f>IF(OR(E3221="",E3221="!!!",F3221="NEW"),"",INDEX(B3220:B$2,-1+SUMPRODUCT(MAX(ROW(E3220:E$2)*(E3221=E3220:E$2)))))</f>
        <v> </v>
      </c>
      <c r="J3221" s="25" t="str">
        <f>IF(OR(E3221="",E3221="!!!",F3221="NEW"),"",COUNTBLANK(OFFSET(A$1,,,SUMPRODUCT(MAX(ROW(E$2:E3221)*(E3221=E$2:E3221)))))-COUNTBLANK(OFFSET(A$1,,,SUMPRODUCT(MAX(ROW(E$1:E3220)*(E2=E$1:E3220))))))</f>
        <v> </v>
      </c>
      <c r="K3221" s="25" t="str">
        <f>IF(OR(E3221="",E3221="!!!",F3221="NEW"),"",INDEX(J$1:J3220,SUMPRODUCT(MAX(ROW(E$1:E3220)*(E3221=E$1:E3220)))))</f>
        <v> </v>
      </c>
      <c r="L3221" s="26"/>
    </row>
    <row r="3222" spans="1:12">
      <c r="A3222" s="20" t="s">
        <v>1738</v>
      </c>
      <c r="E3222" s="21">
        <f>IF(D3222="?OLD","!!!","")</f>
        <v/>
      </c>
      <c r="F3222" s="22" t="str">
        <f>IF(OR(E3222="",E3222="!!!"),"",IF(NOT(ISNA(VLOOKUP(E3222,E$1:E3221,1,FALSE()))),"OLD",IF(AND(E3222&lt;&gt;"",E3222&lt;&gt;"!!!"),"NEW","")))</f>
        <v> </v>
      </c>
      <c r="G3222" s="23" t="str">
        <f>IF(OR(E3222="",E3222="!!!"),"",IF(OR(J3222=0,AND(J3222=1,K3222=1),AND(J3222=1,I3222="SBJ"),AND(J3222=1,I3222=0)),"?IN_FOCUS",IF(J3222&lt;=2,"?ACTIVATED",IF(J3222&lt;&gt;"","?FAMILIAR",IF(F3222="NEW",IF(ISNA(VLOOKUP(E3222,#REF!,1,FALSE())),"?TYPE_IDENTIFIABLE","?REFERENTIAL"),"_")))))</f>
        <v> </v>
      </c>
      <c r="H3222" s="24" t="str">
        <f>IF(J3222&lt;&gt;1,"",IF(I3222="SBJ","CB","?"))</f>
        <v> </v>
      </c>
      <c r="I3222" s="25" t="str">
        <f>IF(OR(E3222="",E3222="!!!",F3222="NEW"),"",INDEX(B3221:B$2,-1+SUMPRODUCT(MAX(ROW(E3221:E$2)*(E3222=E3221:E$2)))))</f>
        <v> </v>
      </c>
      <c r="J3222" s="25" t="str">
        <f>IF(OR(E3222="",E3222="!!!",F3222="NEW"),"",COUNTBLANK(OFFSET(A$1,,,SUMPRODUCT(MAX(ROW(E$2:E3222)*(E3222=E$2:E3222)))))-COUNTBLANK(OFFSET(A$1,,,SUMPRODUCT(MAX(ROW(E$1:E3221)*(E2=E$1:E3221))))))</f>
        <v> </v>
      </c>
      <c r="K3222" s="25" t="str">
        <f>IF(OR(E3222="",E3222="!!!",F3222="NEW"),"",INDEX(J$1:J3221,SUMPRODUCT(MAX(ROW(E$1:E3221)*(E3222=E$1:E3221)))))</f>
        <v> </v>
      </c>
      <c r="L3222" s="26"/>
    </row>
    <row r="3223" spans="1:12">
      <c r="A3223" s="20" t="s">
        <v>1085</v>
      </c>
      <c r="E3223" s="21">
        <f>IF(D3223="?OLD","!!!","")</f>
        <v/>
      </c>
      <c r="F3223" s="22" t="str">
        <f>IF(OR(E3223="",E3223="!!!"),"",IF(NOT(ISNA(VLOOKUP(E3223,E$1:E3222,1,FALSE()))),"OLD",IF(AND(E3223&lt;&gt;"",E3223&lt;&gt;"!!!"),"NEW","")))</f>
        <v> </v>
      </c>
      <c r="G3223" s="23" t="str">
        <f>IF(OR(E3223="",E3223="!!!"),"",IF(OR(J3223=0,AND(J3223=1,K3223=1),AND(J3223=1,I3223="SBJ"),AND(J3223=1,I3223=0)),"?IN_FOCUS",IF(J3223&lt;=2,"?ACTIVATED",IF(J3223&lt;&gt;"","?FAMILIAR",IF(F3223="NEW",IF(ISNA(VLOOKUP(E3223,#REF!,1,FALSE())),"?TYPE_IDENTIFIABLE","?REFERENTIAL"),"_")))))</f>
        <v> </v>
      </c>
      <c r="H3223" s="24" t="str">
        <f>IF(J3223&lt;&gt;1,"",IF(I3223="SBJ","CB","?"))</f>
        <v> </v>
      </c>
      <c r="I3223" s="25" t="str">
        <f>IF(OR(E3223="",E3223="!!!",F3223="NEW"),"",INDEX(B3222:B$2,-1+SUMPRODUCT(MAX(ROW(E3222:E$2)*(E3223=E3222:E$2)))))</f>
        <v> </v>
      </c>
      <c r="J3223" s="25" t="str">
        <f>IF(OR(E3223="",E3223="!!!",F3223="NEW"),"",COUNTBLANK(OFFSET(A$1,,,SUMPRODUCT(MAX(ROW(E$2:E3223)*(E3223=E$2:E3223)))))-COUNTBLANK(OFFSET(A$1,,,SUMPRODUCT(MAX(ROW(E$1:E3222)*(E2=E$1:E3222))))))</f>
        <v> </v>
      </c>
      <c r="K3223" s="25" t="str">
        <f>IF(OR(E3223="",E3223="!!!",F3223="NEW"),"",INDEX(J$1:J3222,SUMPRODUCT(MAX(ROW(E$1:E3222)*(E3223=E$1:E3222)))))</f>
        <v> </v>
      </c>
      <c r="L3223" s="26"/>
    </row>
    <row r="3224" spans="1:12">
      <c r="A3224" s="20" t="s">
        <v>1739</v>
      </c>
      <c r="E3224" s="21">
        <f>IF(D3224="?OLD","!!!","")</f>
        <v/>
      </c>
      <c r="F3224" s="22" t="str">
        <f>IF(OR(E3224="",E3224="!!!"),"",IF(NOT(ISNA(VLOOKUP(E3224,E$1:E3223,1,FALSE()))),"OLD",IF(AND(E3224&lt;&gt;"",E3224&lt;&gt;"!!!"),"NEW","")))</f>
        <v> </v>
      </c>
      <c r="G3224" s="23" t="str">
        <f>IF(OR(E3224="",E3224="!!!"),"",IF(OR(J3224=0,AND(J3224=1,K3224=1),AND(J3224=1,I3224="SBJ"),AND(J3224=1,I3224=0)),"?IN_FOCUS",IF(J3224&lt;=2,"?ACTIVATED",IF(J3224&lt;&gt;"","?FAMILIAR",IF(F3224="NEW",IF(ISNA(VLOOKUP(E3224,#REF!,1,FALSE())),"?TYPE_IDENTIFIABLE","?REFERENTIAL"),"_")))))</f>
        <v> </v>
      </c>
      <c r="H3224" s="24" t="str">
        <f>IF(J3224&lt;&gt;1,"",IF(I3224="SBJ","CB","?"))</f>
        <v> </v>
      </c>
      <c r="I3224" s="25" t="str">
        <f>IF(OR(E3224="",E3224="!!!",F3224="NEW"),"",INDEX(B3223:B$2,-1+SUMPRODUCT(MAX(ROW(E3223:E$2)*(E3224=E3223:E$2)))))</f>
        <v> </v>
      </c>
      <c r="J3224" s="25" t="str">
        <f>IF(OR(E3224="",E3224="!!!",F3224="NEW"),"",COUNTBLANK(OFFSET(A$1,,,SUMPRODUCT(MAX(ROW(E$2:E3224)*(E3224=E$2:E3224)))))-COUNTBLANK(OFFSET(A$1,,,SUMPRODUCT(MAX(ROW(E$1:E3223)*(E2=E$1:E3223))))))</f>
        <v> </v>
      </c>
      <c r="K3224" s="25" t="str">
        <f>IF(OR(E3224="",E3224="!!!",F3224="NEW"),"",INDEX(J$1:J3223,SUMPRODUCT(MAX(ROW(E$1:E3223)*(E3224=E$1:E3223)))))</f>
        <v> </v>
      </c>
      <c r="L3224" s="26"/>
    </row>
    <row r="3225" spans="1:12">
      <c r="A3225" s="20" t="s">
        <v>774</v>
      </c>
      <c r="E3225" s="21">
        <f>IF(D3225="?OLD","!!!","")</f>
        <v/>
      </c>
      <c r="F3225" s="22" t="str">
        <f>IF(OR(E3225="",E3225="!!!"),"",IF(NOT(ISNA(VLOOKUP(E3225,E$1:E3224,1,FALSE()))),"OLD",IF(AND(E3225&lt;&gt;"",E3225&lt;&gt;"!!!"),"NEW","")))</f>
        <v> </v>
      </c>
      <c r="G3225" s="23" t="str">
        <f>IF(OR(E3225="",E3225="!!!"),"",IF(OR(J3225=0,AND(J3225=1,K3225=1),AND(J3225=1,I3225="SBJ"),AND(J3225=1,I3225=0)),"?IN_FOCUS",IF(J3225&lt;=2,"?ACTIVATED",IF(J3225&lt;&gt;"","?FAMILIAR",IF(F3225="NEW",IF(ISNA(VLOOKUP(E3225,#REF!,1,FALSE())),"?TYPE_IDENTIFIABLE","?REFERENTIAL"),"_")))))</f>
        <v> </v>
      </c>
      <c r="H3225" s="24" t="str">
        <f>IF(J3225&lt;&gt;1,"",IF(I3225="SBJ","CB","?"))</f>
        <v> </v>
      </c>
      <c r="I3225" s="25" t="str">
        <f>IF(OR(E3225="",E3225="!!!",F3225="NEW"),"",INDEX(B3224:B$2,-1+SUMPRODUCT(MAX(ROW(E3224:E$2)*(E3225=E3224:E$2)))))</f>
        <v> </v>
      </c>
      <c r="J3225" s="25" t="str">
        <f>IF(OR(E3225="",E3225="!!!",F3225="NEW"),"",COUNTBLANK(OFFSET(A$1,,,SUMPRODUCT(MAX(ROW(E$2:E3225)*(E3225=E$2:E3225)))))-COUNTBLANK(OFFSET(A$1,,,SUMPRODUCT(MAX(ROW(E$1:E3224)*(E2=E$1:E3224))))))</f>
        <v> </v>
      </c>
      <c r="K3225" s="25" t="str">
        <f>IF(OR(E3225="",E3225="!!!",F3225="NEW"),"",INDEX(J$1:J3224,SUMPRODUCT(MAX(ROW(E$1:E3224)*(E3225=E$1:E3224)))))</f>
        <v> </v>
      </c>
      <c r="L3225" s="26"/>
    </row>
    <row r="3226" spans="1:12">
      <c r="A3226" s="20"/>
    </row>
    <row r="3227" spans="1:12">
      <c r="A3227" s="20" t="s">
        <v>1740</v>
      </c>
    </row>
    <row r="3228" spans="1:12">
      <c r="A3228" s="20" t="s">
        <v>1024</v>
      </c>
      <c r="B3228" s="27" t="s">
        <v>760</v>
      </c>
      <c r="C3228" s="27" t="s">
        <v>797</v>
      </c>
      <c r="D3228" s="27" t="s">
        <v>762</v>
      </c>
      <c r="E3228" s="21">
        <f>IF(D3228="?OLD","!!!","")</f>
        <v/>
      </c>
      <c r="F3228" s="22" t="str">
        <f>IF(OR(E3228="",E3228="!!!"),"",IF(NOT(ISNA(VLOOKUP(E3228,E$1:E3227,1,FALSE()))),"OLD",IF(AND(E3228&lt;&gt;"",E3228&lt;&gt;"!!!"),"NEW","")))</f>
        <v> </v>
      </c>
      <c r="G3228" s="23" t="str">
        <f>IF(OR(E3228="",E3228="!!!"),"",IF(OR(J3228=0,AND(J3228=1,K3228=1),AND(J3228=1,I3228="SBJ"),AND(J3228=1,I3228=0)),"?IN_FOCUS",IF(J3228&lt;=2,"?ACTIVATED",IF(J3228&lt;&gt;"","?FAMILIAR",IF(F3228="NEW",IF(ISNA(VLOOKUP(E3228,#REF!,1,FALSE())),"?TYPE_IDENTIFIABLE","?REFERENTIAL"),"_")))))</f>
        <v> </v>
      </c>
      <c r="H3228" s="24" t="str">
        <f>IF(J3228&lt;&gt;1,"",IF(I3228="SBJ","CB","?"))</f>
        <v> </v>
      </c>
      <c r="I3228" s="25" t="str">
        <f>IF(OR(E3228="",E3228="!!!",F3228="NEW"),"",INDEX(B3227:B$2,-1+SUMPRODUCT(MAX(ROW(E3227:E$2)*(E3228=E3227:E$2)))))</f>
        <v> </v>
      </c>
      <c r="J3228" s="25" t="str">
        <f>IF(OR(E3228="",E3228="!!!",F3228="NEW"),"",COUNTBLANK(OFFSET(A$1,,,SUMPRODUCT(MAX(ROW(E$2:E3228)*(E3228=E$2:E3228)))))-COUNTBLANK(OFFSET(A$1,,,SUMPRODUCT(MAX(ROW(E$1:E3227)*(E2=E$1:E3227))))))</f>
        <v> </v>
      </c>
      <c r="K3228" s="25" t="str">
        <f>IF(OR(E3228="",E3228="!!!",F3228="NEW"),"",INDEX(J$1:J3227,SUMPRODUCT(MAX(ROW(E$1:E3227)*(E3228=E$1:E3227)))))</f>
        <v> </v>
      </c>
      <c r="L3228" s="26"/>
    </row>
    <row r="3229" spans="1:12">
      <c r="A3229" s="20" t="s">
        <v>1154</v>
      </c>
      <c r="E3229" s="21">
        <f>IF(D3229="?OLD","!!!","")</f>
        <v/>
      </c>
      <c r="F3229" s="22" t="str">
        <f>IF(OR(E3229="",E3229="!!!"),"",IF(NOT(ISNA(VLOOKUP(E3229,E$1:E3228,1,FALSE()))),"OLD",IF(AND(E3229&lt;&gt;"",E3229&lt;&gt;"!!!"),"NEW","")))</f>
        <v> </v>
      </c>
      <c r="G3229" s="23" t="str">
        <f>IF(OR(E3229="",E3229="!!!"),"",IF(OR(J3229=0,AND(J3229=1,K3229=1),AND(J3229=1,I3229="SBJ"),AND(J3229=1,I3229=0)),"?IN_FOCUS",IF(J3229&lt;=2,"?ACTIVATED",IF(J3229&lt;&gt;"","?FAMILIAR",IF(F3229="NEW",IF(ISNA(VLOOKUP(E3229,#REF!,1,FALSE())),"?TYPE_IDENTIFIABLE","?REFERENTIAL"),"_")))))</f>
        <v> </v>
      </c>
      <c r="H3229" s="24" t="str">
        <f>IF(J3229&lt;&gt;1,"",IF(I3229="SBJ","CB","?"))</f>
        <v> </v>
      </c>
      <c r="I3229" s="25" t="str">
        <f>IF(OR(E3229="",E3229="!!!",F3229="NEW"),"",INDEX(B3228:B$2,-1+SUMPRODUCT(MAX(ROW(E3228:E$2)*(E3229=E3228:E$2)))))</f>
        <v> </v>
      </c>
      <c r="J3229" s="25" t="str">
        <f>IF(OR(E3229="",E3229="!!!",F3229="NEW"),"",COUNTBLANK(OFFSET(A$1,,,SUMPRODUCT(MAX(ROW(E$2:E3229)*(E3229=E$2:E3229)))))-COUNTBLANK(OFFSET(A$1,,,SUMPRODUCT(MAX(ROW(E$1:E3228)*(E2=E$1:E3228))))))</f>
        <v> </v>
      </c>
      <c r="K3229" s="25" t="str">
        <f>IF(OR(E3229="",E3229="!!!",F3229="NEW"),"",INDEX(J$1:J3228,SUMPRODUCT(MAX(ROW(E$1:E3228)*(E3229=E$1:E3228)))))</f>
        <v> </v>
      </c>
      <c r="L3229" s="26"/>
    </row>
    <row r="3230" spans="1:12">
      <c r="A3230" s="20" t="s">
        <v>495</v>
      </c>
      <c r="E3230" s="21">
        <f>IF(D3230="?OLD","!!!","")</f>
        <v/>
      </c>
      <c r="F3230" s="22" t="str">
        <f>IF(OR(E3230="",E3230="!!!"),"",IF(NOT(ISNA(VLOOKUP(E3230,E$1:E3229,1,FALSE()))),"OLD",IF(AND(E3230&lt;&gt;"",E3230&lt;&gt;"!!!"),"NEW","")))</f>
        <v> </v>
      </c>
      <c r="G3230" s="23" t="str">
        <f>IF(OR(E3230="",E3230="!!!"),"",IF(OR(J3230=0,AND(J3230=1,K3230=1),AND(J3230=1,I3230="SBJ"),AND(J3230=1,I3230=0)),"?IN_FOCUS",IF(J3230&lt;=2,"?ACTIVATED",IF(J3230&lt;&gt;"","?FAMILIAR",IF(F3230="NEW",IF(ISNA(VLOOKUP(E3230,#REF!,1,FALSE())),"?TYPE_IDENTIFIABLE","?REFERENTIAL"),"_")))))</f>
        <v> </v>
      </c>
      <c r="H3230" s="24" t="str">
        <f>IF(J3230&lt;&gt;1,"",IF(I3230="SBJ","CB","?"))</f>
        <v> </v>
      </c>
      <c r="I3230" s="25" t="str">
        <f>IF(OR(E3230="",E3230="!!!",F3230="NEW"),"",INDEX(B3229:B$2,-1+SUMPRODUCT(MAX(ROW(E3229:E$2)*(E3230=E3229:E$2)))))</f>
        <v> </v>
      </c>
      <c r="J3230" s="25" t="str">
        <f>IF(OR(E3230="",E3230="!!!",F3230="NEW"),"",COUNTBLANK(OFFSET(A$1,,,SUMPRODUCT(MAX(ROW(E$2:E3230)*(E3230=E$2:E3230)))))-COUNTBLANK(OFFSET(A$1,,,SUMPRODUCT(MAX(ROW(E$1:E3229)*(E2=E$1:E3229))))))</f>
        <v> </v>
      </c>
      <c r="K3230" s="25" t="str">
        <f>IF(OR(E3230="",E3230="!!!",F3230="NEW"),"",INDEX(J$1:J3229,SUMPRODUCT(MAX(ROW(E$1:E3229)*(E3230=E$1:E3229)))))</f>
        <v> </v>
      </c>
      <c r="L3230" s="26"/>
    </row>
    <row r="3231" spans="1:12">
      <c r="A3231" s="20" t="s">
        <v>1069</v>
      </c>
      <c r="E3231" s="21">
        <f>IF(D3231="?OLD","!!!","")</f>
        <v/>
      </c>
      <c r="F3231" s="22" t="str">
        <f>IF(OR(E3231="",E3231="!!!"),"",IF(NOT(ISNA(VLOOKUP(E3231,E$1:E3230,1,FALSE()))),"OLD",IF(AND(E3231&lt;&gt;"",E3231&lt;&gt;"!!!"),"NEW","")))</f>
        <v> </v>
      </c>
      <c r="G3231" s="23" t="str">
        <f>IF(OR(E3231="",E3231="!!!"),"",IF(OR(J3231=0,AND(J3231=1,K3231=1),AND(J3231=1,I3231="SBJ"),AND(J3231=1,I3231=0)),"?IN_FOCUS",IF(J3231&lt;=2,"?ACTIVATED",IF(J3231&lt;&gt;"","?FAMILIAR",IF(F3231="NEW",IF(ISNA(VLOOKUP(E3231,#REF!,1,FALSE())),"?TYPE_IDENTIFIABLE","?REFERENTIAL"),"_")))))</f>
        <v> </v>
      </c>
      <c r="H3231" s="24" t="str">
        <f>IF(J3231&lt;&gt;1,"",IF(I3231="SBJ","CB","?"))</f>
        <v> </v>
      </c>
      <c r="I3231" s="25" t="str">
        <f>IF(OR(E3231="",E3231="!!!",F3231="NEW"),"",INDEX(B3230:B$2,-1+SUMPRODUCT(MAX(ROW(E3230:E$2)*(E3231=E3230:E$2)))))</f>
        <v> </v>
      </c>
      <c r="J3231" s="25" t="str">
        <f>IF(OR(E3231="",E3231="!!!",F3231="NEW"),"",COUNTBLANK(OFFSET(A$1,,,SUMPRODUCT(MAX(ROW(E$2:E3231)*(E3231=E$2:E3231)))))-COUNTBLANK(OFFSET(A$1,,,SUMPRODUCT(MAX(ROW(E$1:E3230)*(E2=E$1:E3230))))))</f>
        <v> </v>
      </c>
      <c r="K3231" s="25" t="str">
        <f>IF(OR(E3231="",E3231="!!!",F3231="NEW"),"",INDEX(J$1:J3230,SUMPRODUCT(MAX(ROW(E$1:E3230)*(E3231=E$1:E3230)))))</f>
        <v> </v>
      </c>
      <c r="L3231" s="26"/>
    </row>
    <row r="3232" spans="1:12">
      <c r="A3232" s="20" t="s">
        <v>920</v>
      </c>
      <c r="E3232" s="21">
        <f>IF(D3232="?OLD","!!!","")</f>
        <v/>
      </c>
      <c r="F3232" s="22" t="str">
        <f>IF(OR(E3232="",E3232="!!!"),"",IF(NOT(ISNA(VLOOKUP(E3232,E$1:E3231,1,FALSE()))),"OLD",IF(AND(E3232&lt;&gt;"",E3232&lt;&gt;"!!!"),"NEW","")))</f>
        <v> </v>
      </c>
      <c r="G3232" s="23" t="str">
        <f>IF(OR(E3232="",E3232="!!!"),"",IF(OR(J3232=0,AND(J3232=1,K3232=1),AND(J3232=1,I3232="SBJ"),AND(J3232=1,I3232=0)),"?IN_FOCUS",IF(J3232&lt;=2,"?ACTIVATED",IF(J3232&lt;&gt;"","?FAMILIAR",IF(F3232="NEW",IF(ISNA(VLOOKUP(E3232,#REF!,1,FALSE())),"?TYPE_IDENTIFIABLE","?REFERENTIAL"),"_")))))</f>
        <v> </v>
      </c>
      <c r="H3232" s="24" t="str">
        <f>IF(J3232&lt;&gt;1,"",IF(I3232="SBJ","CB","?"))</f>
        <v> </v>
      </c>
      <c r="I3232" s="25" t="str">
        <f>IF(OR(E3232="",E3232="!!!",F3232="NEW"),"",INDEX(B3231:B$2,-1+SUMPRODUCT(MAX(ROW(E3231:E$2)*(E3232=E3231:E$2)))))</f>
        <v> </v>
      </c>
      <c r="J3232" s="25" t="str">
        <f>IF(OR(E3232="",E3232="!!!",F3232="NEW"),"",COUNTBLANK(OFFSET(A$1,,,SUMPRODUCT(MAX(ROW(E$2:E3232)*(E3232=E$2:E3232)))))-COUNTBLANK(OFFSET(A$1,,,SUMPRODUCT(MAX(ROW(E$1:E3231)*(E2=E$1:E3231))))))</f>
        <v> </v>
      </c>
      <c r="K3232" s="25" t="str">
        <f>IF(OR(E3232="",E3232="!!!",F3232="NEW"),"",INDEX(J$1:J3231,SUMPRODUCT(MAX(ROW(E$1:E3231)*(E3232=E$1:E3231)))))</f>
        <v> </v>
      </c>
      <c r="L3232" s="26"/>
    </row>
    <row r="3233" spans="1:12">
      <c r="A3233" s="20" t="s">
        <v>770</v>
      </c>
      <c r="E3233" s="21">
        <f>IF(D3233="?OLD","!!!","")</f>
        <v/>
      </c>
      <c r="F3233" s="22" t="str">
        <f>IF(OR(E3233="",E3233="!!!"),"",IF(NOT(ISNA(VLOOKUP(E3233,E$1:E3232,1,FALSE()))),"OLD",IF(AND(E3233&lt;&gt;"",E3233&lt;&gt;"!!!"),"NEW","")))</f>
        <v> </v>
      </c>
      <c r="G3233" s="23" t="str">
        <f>IF(OR(E3233="",E3233="!!!"),"",IF(OR(J3233=0,AND(J3233=1,K3233=1),AND(J3233=1,I3233="SBJ"),AND(J3233=1,I3233=0)),"?IN_FOCUS",IF(J3233&lt;=2,"?ACTIVATED",IF(J3233&lt;&gt;"","?FAMILIAR",IF(F3233="NEW",IF(ISNA(VLOOKUP(E3233,#REF!,1,FALSE())),"?TYPE_IDENTIFIABLE","?REFERENTIAL"),"_")))))</f>
        <v> </v>
      </c>
      <c r="H3233" s="24" t="str">
        <f>IF(J3233&lt;&gt;1,"",IF(I3233="SBJ","CB","?"))</f>
        <v> </v>
      </c>
      <c r="I3233" s="25" t="str">
        <f>IF(OR(E3233="",E3233="!!!",F3233="NEW"),"",INDEX(B3232:B$2,-1+SUMPRODUCT(MAX(ROW(E3232:E$2)*(E3233=E3232:E$2)))))</f>
        <v> </v>
      </c>
      <c r="J3233" s="25" t="str">
        <f>IF(OR(E3233="",E3233="!!!",F3233="NEW"),"",COUNTBLANK(OFFSET(A$1,,,SUMPRODUCT(MAX(ROW(E$2:E3233)*(E3233=E$2:E3233)))))-COUNTBLANK(OFFSET(A$1,,,SUMPRODUCT(MAX(ROW(E$1:E3232)*(E2=E$1:E3232))))))</f>
        <v> </v>
      </c>
      <c r="K3233" s="25" t="str">
        <f>IF(OR(E3233="",E3233="!!!",F3233="NEW"),"",INDEX(J$1:J3232,SUMPRODUCT(MAX(ROW(E$1:E3232)*(E3233=E$1:E3232)))))</f>
        <v> </v>
      </c>
      <c r="L3233" s="26"/>
    </row>
    <row r="3234" spans="1:12">
      <c r="A3234" s="20" t="s">
        <v>262</v>
      </c>
      <c r="B3234" s="27" t="s">
        <v>802</v>
      </c>
      <c r="C3234" s="27" t="s">
        <v>761</v>
      </c>
      <c r="D3234" s="27" t="s">
        <v>762</v>
      </c>
      <c r="E3234" s="21">
        <f>IF(D3234="?OLD","!!!","")</f>
        <v/>
      </c>
      <c r="F3234" s="22" t="str">
        <f>IF(OR(E3234="",E3234="!!!"),"",IF(NOT(ISNA(VLOOKUP(E3234,E$1:E3233,1,FALSE()))),"OLD",IF(AND(E3234&lt;&gt;"",E3234&lt;&gt;"!!!"),"NEW","")))</f>
        <v> </v>
      </c>
      <c r="G3234" s="23" t="str">
        <f>IF(OR(E3234="",E3234="!!!"),"",IF(OR(J3234=0,AND(J3234=1,K3234=1),AND(J3234=1,I3234="SBJ"),AND(J3234=1,I3234=0)),"?IN_FOCUS",IF(J3234&lt;=2,"?ACTIVATED",IF(J3234&lt;&gt;"","?FAMILIAR",IF(F3234="NEW",IF(ISNA(VLOOKUP(E3234,#REF!,1,FALSE())),"?TYPE_IDENTIFIABLE","?REFERENTIAL"),"_")))))</f>
        <v> </v>
      </c>
      <c r="H3234" s="24" t="str">
        <f>IF(J3234&lt;&gt;1,"",IF(I3234="SBJ","CB","?"))</f>
        <v> </v>
      </c>
      <c r="I3234" s="25" t="str">
        <f>IF(OR(E3234="",E3234="!!!",F3234="NEW"),"",INDEX(B3233:B$2,-1+SUMPRODUCT(MAX(ROW(E3233:E$2)*(E3234=E3233:E$2)))))</f>
        <v> </v>
      </c>
      <c r="J3234" s="25" t="str">
        <f>IF(OR(E3234="",E3234="!!!",F3234="NEW"),"",COUNTBLANK(OFFSET(A$1,,,SUMPRODUCT(MAX(ROW(E$2:E3234)*(E3234=E$2:E3234)))))-COUNTBLANK(OFFSET(A$1,,,SUMPRODUCT(MAX(ROW(E$1:E3233)*(E2=E$1:E3233))))))</f>
        <v> </v>
      </c>
      <c r="K3234" s="25" t="str">
        <f>IF(OR(E3234="",E3234="!!!",F3234="NEW"),"",INDEX(J$1:J3233,SUMPRODUCT(MAX(ROW(E$1:E3233)*(E3234=E$1:E3233)))))</f>
        <v> </v>
      </c>
      <c r="L3234" s="26"/>
    </row>
    <row r="3235" spans="1:12">
      <c r="A3235" s="20" t="s">
        <v>889</v>
      </c>
      <c r="B3235" s="27" t="s">
        <v>940</v>
      </c>
      <c r="E3235" s="21">
        <f>IF(D3235="?OLD","!!!","")</f>
        <v/>
      </c>
      <c r="F3235" s="22" t="str">
        <f>IF(OR(E3235="",E3235="!!!"),"",IF(NOT(ISNA(VLOOKUP(E3235,E$1:E3234,1,FALSE()))),"OLD",IF(AND(E3235&lt;&gt;"",E3235&lt;&gt;"!!!"),"NEW","")))</f>
        <v> </v>
      </c>
      <c r="G3235" s="23" t="str">
        <f>IF(OR(E3235="",E3235="!!!"),"",IF(OR(J3235=0,AND(J3235=1,K3235=1),AND(J3235=1,I3235="SBJ"),AND(J3235=1,I3235=0)),"?IN_FOCUS",IF(J3235&lt;=2,"?ACTIVATED",IF(J3235&lt;&gt;"","?FAMILIAR",IF(F3235="NEW",IF(ISNA(VLOOKUP(E3235,#REF!,1,FALSE())),"?TYPE_IDENTIFIABLE","?REFERENTIAL"),"_")))))</f>
        <v> </v>
      </c>
      <c r="H3235" s="24" t="str">
        <f>IF(J3235&lt;&gt;1,"",IF(I3235="SBJ","CB","?"))</f>
        <v> </v>
      </c>
      <c r="I3235" s="25" t="str">
        <f>IF(OR(E3235="",E3235="!!!",F3235="NEW"),"",INDEX(B3234:B$2,-1+SUMPRODUCT(MAX(ROW(E3234:E$2)*(E3235=E3234:E$2)))))</f>
        <v> </v>
      </c>
      <c r="J3235" s="25" t="str">
        <f>IF(OR(E3235="",E3235="!!!",F3235="NEW"),"",COUNTBLANK(OFFSET(A$1,,,SUMPRODUCT(MAX(ROW(E$2:E3235)*(E3235=E$2:E3235)))))-COUNTBLANK(OFFSET(A$1,,,SUMPRODUCT(MAX(ROW(E$1:E3234)*(E2=E$1:E3234))))))</f>
        <v> </v>
      </c>
      <c r="K3235" s="25" t="str">
        <f>IF(OR(E3235="",E3235="!!!",F3235="NEW"),"",INDEX(J$1:J3234,SUMPRODUCT(MAX(ROW(E$1:E3234)*(E3235=E$1:E3234)))))</f>
        <v> </v>
      </c>
      <c r="L3235" s="26"/>
    </row>
    <row r="3236" spans="1:12">
      <c r="A3236" s="20" t="s">
        <v>1155</v>
      </c>
      <c r="B3236" s="27" t="s">
        <v>941</v>
      </c>
      <c r="C3236" s="27" t="s">
        <v>797</v>
      </c>
      <c r="D3236" s="27" t="s">
        <v>762</v>
      </c>
      <c r="E3236" s="21">
        <f>IF(D3236="?OLD","!!!","")</f>
        <v/>
      </c>
      <c r="F3236" s="22" t="str">
        <f>IF(OR(E3236="",E3236="!!!"),"",IF(NOT(ISNA(VLOOKUP(E3236,E$1:E3235,1,FALSE()))),"OLD",IF(AND(E3236&lt;&gt;"",E3236&lt;&gt;"!!!"),"NEW","")))</f>
        <v> </v>
      </c>
      <c r="G3236" s="23" t="str">
        <f>IF(OR(E3236="",E3236="!!!"),"",IF(OR(J3236=0,AND(J3236=1,K3236=1),AND(J3236=1,I3236="SBJ"),AND(J3236=1,I3236=0)),"?IN_FOCUS",IF(J3236&lt;=2,"?ACTIVATED",IF(J3236&lt;&gt;"","?FAMILIAR",IF(F3236="NEW",IF(ISNA(VLOOKUP(E3236,#REF!,1,FALSE())),"?TYPE_IDENTIFIABLE","?REFERENTIAL"),"_")))))</f>
        <v> </v>
      </c>
      <c r="H3236" s="24" t="str">
        <f>IF(J3236&lt;&gt;1,"",IF(I3236="SBJ","CB","?"))</f>
        <v> </v>
      </c>
      <c r="I3236" s="25" t="str">
        <f>IF(OR(E3236="",E3236="!!!",F3236="NEW"),"",INDEX(B3235:B$2,-1+SUMPRODUCT(MAX(ROW(E3235:E$2)*(E3236=E3235:E$2)))))</f>
        <v> </v>
      </c>
      <c r="J3236" s="25" t="str">
        <f>IF(OR(E3236="",E3236="!!!",F3236="NEW"),"",COUNTBLANK(OFFSET(A$1,,,SUMPRODUCT(MAX(ROW(E$2:E3236)*(E3236=E$2:E3236)))))-COUNTBLANK(OFFSET(A$1,,,SUMPRODUCT(MAX(ROW(E$1:E3235)*(E2=E$1:E3235))))))</f>
        <v> </v>
      </c>
      <c r="K3236" s="25" t="str">
        <f>IF(OR(E3236="",E3236="!!!",F3236="NEW"),"",INDEX(J$1:J3235,SUMPRODUCT(MAX(ROW(E$1:E3235)*(E3236=E$1:E3235)))))</f>
        <v> </v>
      </c>
      <c r="L3236" s="26"/>
    </row>
    <row r="3237" spans="1:12">
      <c r="A3237" s="20" t="s">
        <v>1183</v>
      </c>
      <c r="E3237" s="21">
        <f>IF(D3237="?OLD","!!!","")</f>
        <v/>
      </c>
      <c r="F3237" s="22" t="str">
        <f>IF(OR(E3237="",E3237="!!!"),"",IF(NOT(ISNA(VLOOKUP(E3237,E$1:E3236,1,FALSE()))),"OLD",IF(AND(E3237&lt;&gt;"",E3237&lt;&gt;"!!!"),"NEW","")))</f>
        <v> </v>
      </c>
      <c r="G3237" s="23" t="str">
        <f>IF(OR(E3237="",E3237="!!!"),"",IF(OR(J3237=0,AND(J3237=1,K3237=1),AND(J3237=1,I3237="SBJ"),AND(J3237=1,I3237=0)),"?IN_FOCUS",IF(J3237&lt;=2,"?ACTIVATED",IF(J3237&lt;&gt;"","?FAMILIAR",IF(F3237="NEW",IF(ISNA(VLOOKUP(E3237,#REF!,1,FALSE())),"?TYPE_IDENTIFIABLE","?REFERENTIAL"),"_")))))</f>
        <v> </v>
      </c>
      <c r="H3237" s="24" t="str">
        <f>IF(J3237&lt;&gt;1,"",IF(I3237="SBJ","CB","?"))</f>
        <v> </v>
      </c>
      <c r="I3237" s="25" t="str">
        <f>IF(OR(E3237="",E3237="!!!",F3237="NEW"),"",INDEX(B3236:B$2,-1+SUMPRODUCT(MAX(ROW(E3236:E$2)*(E3237=E3236:E$2)))))</f>
        <v> </v>
      </c>
      <c r="J3237" s="25" t="str">
        <f>IF(OR(E3237="",E3237="!!!",F3237="NEW"),"",COUNTBLANK(OFFSET(A$1,,,SUMPRODUCT(MAX(ROW(E$2:E3237)*(E3237=E$2:E3237)))))-COUNTBLANK(OFFSET(A$1,,,SUMPRODUCT(MAX(ROW(E$1:E3236)*(E2=E$1:E3236))))))</f>
        <v> </v>
      </c>
      <c r="K3237" s="25" t="str">
        <f>IF(OR(E3237="",E3237="!!!",F3237="NEW"),"",INDEX(J$1:J3236,SUMPRODUCT(MAX(ROW(E$1:E3236)*(E3237=E$1:E3236)))))</f>
        <v> </v>
      </c>
      <c r="L3237" s="26"/>
    </row>
    <row r="3238" spans="1:12">
      <c r="A3238" s="20" t="s">
        <v>1741</v>
      </c>
      <c r="E3238" s="21">
        <f>IF(D3238="?OLD","!!!","")</f>
        <v/>
      </c>
      <c r="F3238" s="22" t="str">
        <f>IF(OR(E3238="",E3238="!!!"),"",IF(NOT(ISNA(VLOOKUP(E3238,E$1:E3237,1,FALSE()))),"OLD",IF(AND(E3238&lt;&gt;"",E3238&lt;&gt;"!!!"),"NEW","")))</f>
        <v> </v>
      </c>
      <c r="G3238" s="23" t="str">
        <f>IF(OR(E3238="",E3238="!!!"),"",IF(OR(J3238=0,AND(J3238=1,K3238=1),AND(J3238=1,I3238="SBJ"),AND(J3238=1,I3238=0)),"?IN_FOCUS",IF(J3238&lt;=2,"?ACTIVATED",IF(J3238&lt;&gt;"","?FAMILIAR",IF(F3238="NEW",IF(ISNA(VLOOKUP(E3238,#REF!,1,FALSE())),"?TYPE_IDENTIFIABLE","?REFERENTIAL"),"_")))))</f>
        <v> </v>
      </c>
      <c r="H3238" s="24" t="str">
        <f>IF(J3238&lt;&gt;1,"",IF(I3238="SBJ","CB","?"))</f>
        <v> </v>
      </c>
      <c r="I3238" s="25" t="str">
        <f>IF(OR(E3238="",E3238="!!!",F3238="NEW"),"",INDEX(B3237:B$2,-1+SUMPRODUCT(MAX(ROW(E3237:E$2)*(E3238=E3237:E$2)))))</f>
        <v> </v>
      </c>
      <c r="J3238" s="25" t="str">
        <f>IF(OR(E3238="",E3238="!!!",F3238="NEW"),"",COUNTBLANK(OFFSET(A$1,,,SUMPRODUCT(MAX(ROW(E$2:E3238)*(E3238=E$2:E3238)))))-COUNTBLANK(OFFSET(A$1,,,SUMPRODUCT(MAX(ROW(E$1:E3237)*(E2=E$1:E3237))))))</f>
        <v> </v>
      </c>
      <c r="K3238" s="25" t="str">
        <f>IF(OR(E3238="",E3238="!!!",F3238="NEW"),"",INDEX(J$1:J3237,SUMPRODUCT(MAX(ROW(E$1:E3237)*(E3238=E$1:E3237)))))</f>
        <v> </v>
      </c>
      <c r="L3238" s="26"/>
    </row>
    <row r="3239" spans="1:12">
      <c r="A3239" s="20" t="s">
        <v>774</v>
      </c>
      <c r="E3239" s="21">
        <f>IF(D3239="?OLD","!!!","")</f>
        <v/>
      </c>
      <c r="F3239" s="22" t="str">
        <f>IF(OR(E3239="",E3239="!!!"),"",IF(NOT(ISNA(VLOOKUP(E3239,E$1:E3238,1,FALSE()))),"OLD",IF(AND(E3239&lt;&gt;"",E3239&lt;&gt;"!!!"),"NEW","")))</f>
        <v> </v>
      </c>
      <c r="G3239" s="23" t="str">
        <f>IF(OR(E3239="",E3239="!!!"),"",IF(OR(J3239=0,AND(J3239=1,K3239=1),AND(J3239=1,I3239="SBJ"),AND(J3239=1,I3239=0)),"?IN_FOCUS",IF(J3239&lt;=2,"?ACTIVATED",IF(J3239&lt;&gt;"","?FAMILIAR",IF(F3239="NEW",IF(ISNA(VLOOKUP(E3239,#REF!,1,FALSE())),"?TYPE_IDENTIFIABLE","?REFERENTIAL"),"_")))))</f>
        <v> </v>
      </c>
      <c r="H3239" s="24" t="str">
        <f>IF(J3239&lt;&gt;1,"",IF(I3239="SBJ","CB","?"))</f>
        <v> </v>
      </c>
      <c r="I3239" s="25" t="str">
        <f>IF(OR(E3239="",E3239="!!!",F3239="NEW"),"",INDEX(B3238:B$2,-1+SUMPRODUCT(MAX(ROW(E3238:E$2)*(E3239=E3238:E$2)))))</f>
        <v> </v>
      </c>
      <c r="J3239" s="25" t="str">
        <f>IF(OR(E3239="",E3239="!!!",F3239="NEW"),"",COUNTBLANK(OFFSET(A$1,,,SUMPRODUCT(MAX(ROW(E$2:E3239)*(E3239=E$2:E3239)))))-COUNTBLANK(OFFSET(A$1,,,SUMPRODUCT(MAX(ROW(E$1:E3238)*(E2=E$1:E3238))))))</f>
        <v> </v>
      </c>
      <c r="K3239" s="25" t="str">
        <f>IF(OR(E3239="",E3239="!!!",F3239="NEW"),"",INDEX(J$1:J3238,SUMPRODUCT(MAX(ROW(E$1:E3238)*(E3239=E$1:E3238)))))</f>
        <v> </v>
      </c>
      <c r="L3239" s="26"/>
    </row>
    <row r="3240" spans="1:12">
      <c r="A3240" s="20"/>
    </row>
    <row r="3241" spans="1:12">
      <c r="A3241" s="20" t="s">
        <v>1742</v>
      </c>
    </row>
    <row r="3242" spans="1:12">
      <c r="A3242" s="20" t="s">
        <v>1168</v>
      </c>
      <c r="B3242" s="27" t="s">
        <v>760</v>
      </c>
      <c r="C3242" s="27" t="s">
        <v>820</v>
      </c>
      <c r="D3242" s="27" t="s">
        <v>762</v>
      </c>
      <c r="E3242" s="21">
        <f>IF(D3242="?OLD","!!!","")</f>
        <v/>
      </c>
      <c r="F3242" s="22" t="str">
        <f>IF(OR(E3242="",E3242="!!!"),"",IF(NOT(ISNA(VLOOKUP(E3242,E$1:E3241,1,FALSE()))),"OLD",IF(AND(E3242&lt;&gt;"",E3242&lt;&gt;"!!!"),"NEW","")))</f>
        <v> </v>
      </c>
      <c r="G3242" s="23" t="str">
        <f>IF(OR(E3242="",E3242="!!!"),"",IF(OR(J3242=0,AND(J3242=1,K3242=1),AND(J3242=1,I3242="SBJ"),AND(J3242=1,I3242=0)),"?IN_FOCUS",IF(J3242&lt;=2,"?ACTIVATED",IF(J3242&lt;&gt;"","?FAMILIAR",IF(F3242="NEW",IF(ISNA(VLOOKUP(E3242,#REF!,1,FALSE())),"?TYPE_IDENTIFIABLE","?REFERENTIAL"),"_")))))</f>
        <v> </v>
      </c>
      <c r="H3242" s="24" t="str">
        <f>IF(J3242&lt;&gt;1,"",IF(I3242="SBJ","CB","?"))</f>
        <v> </v>
      </c>
      <c r="I3242" s="25" t="str">
        <f>IF(OR(E3242="",E3242="!!!",F3242="NEW"),"",INDEX(B3241:B$2,-1+SUMPRODUCT(MAX(ROW(E3241:E$2)*(E3242=E3241:E$2)))))</f>
        <v> </v>
      </c>
      <c r="J3242" s="25" t="str">
        <f>IF(OR(E3242="",E3242="!!!",F3242="NEW"),"",COUNTBLANK(OFFSET(A$1,,,SUMPRODUCT(MAX(ROW(E$2:E3242)*(E3242=E$2:E3242)))))-COUNTBLANK(OFFSET(A$1,,,SUMPRODUCT(MAX(ROW(E$1:E3241)*(E2=E$1:E3241))))))</f>
        <v> </v>
      </c>
      <c r="K3242" s="25" t="str">
        <f>IF(OR(E3242="",E3242="!!!",F3242="NEW"),"",INDEX(J$1:J3241,SUMPRODUCT(MAX(ROW(E$1:E3241)*(E3242=E$1:E3241)))))</f>
        <v> </v>
      </c>
      <c r="L3242" s="26"/>
    </row>
    <row r="3243" spans="1:12">
      <c r="A3243" s="20" t="s">
        <v>769</v>
      </c>
      <c r="E3243" s="21">
        <f>IF(D3243="?OLD","!!!","")</f>
        <v/>
      </c>
      <c r="F3243" s="22" t="str">
        <f>IF(OR(E3243="",E3243="!!!"),"",IF(NOT(ISNA(VLOOKUP(E3243,E$1:E3242,1,FALSE()))),"OLD",IF(AND(E3243&lt;&gt;"",E3243&lt;&gt;"!!!"),"NEW","")))</f>
        <v> </v>
      </c>
      <c r="G3243" s="23" t="str">
        <f>IF(OR(E3243="",E3243="!!!"),"",IF(OR(J3243=0,AND(J3243=1,K3243=1),AND(J3243=1,I3243="SBJ"),AND(J3243=1,I3243=0)),"?IN_FOCUS",IF(J3243&lt;=2,"?ACTIVATED",IF(J3243&lt;&gt;"","?FAMILIAR",IF(F3243="NEW",IF(ISNA(VLOOKUP(E3243,#REF!,1,FALSE())),"?TYPE_IDENTIFIABLE","?REFERENTIAL"),"_")))))</f>
        <v> </v>
      </c>
      <c r="H3243" s="24" t="str">
        <f>IF(J3243&lt;&gt;1,"",IF(I3243="SBJ","CB","?"))</f>
        <v> </v>
      </c>
      <c r="I3243" s="25" t="str">
        <f>IF(OR(E3243="",E3243="!!!",F3243="NEW"),"",INDEX(B3242:B$2,-1+SUMPRODUCT(MAX(ROW(E3242:E$2)*(E3243=E3242:E$2)))))</f>
        <v> </v>
      </c>
      <c r="J3243" s="25" t="str">
        <f>IF(OR(E3243="",E3243="!!!",F3243="NEW"),"",COUNTBLANK(OFFSET(A$1,,,SUMPRODUCT(MAX(ROW(E$2:E3243)*(E3243=E$2:E3243)))))-COUNTBLANK(OFFSET(A$1,,,SUMPRODUCT(MAX(ROW(E$1:E3242)*(E2=E$1:E3242))))))</f>
        <v> </v>
      </c>
      <c r="K3243" s="25" t="str">
        <f>IF(OR(E3243="",E3243="!!!",F3243="NEW"),"",INDEX(J$1:J3242,SUMPRODUCT(MAX(ROW(E$1:E3242)*(E3243=E$1:E3242)))))</f>
        <v> </v>
      </c>
      <c r="L3243" s="26"/>
    </row>
    <row r="3244" spans="1:12">
      <c r="A3244" s="20" t="s">
        <v>838</v>
      </c>
      <c r="E3244" s="21">
        <f>IF(D3244="?OLD","!!!","")</f>
        <v/>
      </c>
      <c r="F3244" s="22" t="str">
        <f>IF(OR(E3244="",E3244="!!!"),"",IF(NOT(ISNA(VLOOKUP(E3244,E$1:E3243,1,FALSE()))),"OLD",IF(AND(E3244&lt;&gt;"",E3244&lt;&gt;"!!!"),"NEW","")))</f>
        <v> </v>
      </c>
      <c r="G3244" s="23" t="str">
        <f>IF(OR(E3244="",E3244="!!!"),"",IF(OR(J3244=0,AND(J3244=1,K3244=1),AND(J3244=1,I3244="SBJ"),AND(J3244=1,I3244=0)),"?IN_FOCUS",IF(J3244&lt;=2,"?ACTIVATED",IF(J3244&lt;&gt;"","?FAMILIAR",IF(F3244="NEW",IF(ISNA(VLOOKUP(E3244,#REF!,1,FALSE())),"?TYPE_IDENTIFIABLE","?REFERENTIAL"),"_")))))</f>
        <v> </v>
      </c>
      <c r="H3244" s="24" t="str">
        <f>IF(J3244&lt;&gt;1,"",IF(I3244="SBJ","CB","?"))</f>
        <v> </v>
      </c>
      <c r="I3244" s="25" t="str">
        <f>IF(OR(E3244="",E3244="!!!",F3244="NEW"),"",INDEX(B3243:B$2,-1+SUMPRODUCT(MAX(ROW(E3243:E$2)*(E3244=E3243:E$2)))))</f>
        <v> </v>
      </c>
      <c r="J3244" s="25" t="str">
        <f>IF(OR(E3244="",E3244="!!!",F3244="NEW"),"",COUNTBLANK(OFFSET(A$1,,,SUMPRODUCT(MAX(ROW(E$2:E3244)*(E3244=E$2:E3244)))))-COUNTBLANK(OFFSET(A$1,,,SUMPRODUCT(MAX(ROW(E$1:E3243)*(E2=E$1:E3243))))))</f>
        <v> </v>
      </c>
      <c r="K3244" s="25" t="str">
        <f>IF(OR(E3244="",E3244="!!!",F3244="NEW"),"",INDEX(J$1:J3243,SUMPRODUCT(MAX(ROW(E$1:E3243)*(E3244=E$1:E3243)))))</f>
        <v> </v>
      </c>
      <c r="L3244" s="26"/>
    </row>
    <row r="3245" spans="1:12">
      <c r="A3245" s="20" t="s">
        <v>1508</v>
      </c>
      <c r="B3245" s="27" t="s">
        <v>772</v>
      </c>
      <c r="C3245" s="27" t="s">
        <v>761</v>
      </c>
      <c r="D3245" s="27" t="s">
        <v>762</v>
      </c>
      <c r="E3245" s="21">
        <f>IF(D3245="?OLD","!!!","")</f>
        <v/>
      </c>
      <c r="F3245" s="22" t="str">
        <f>IF(OR(E3245="",E3245="!!!"),"",IF(NOT(ISNA(VLOOKUP(E3245,E$1:E3244,1,FALSE()))),"OLD",IF(AND(E3245&lt;&gt;"",E3245&lt;&gt;"!!!"),"NEW","")))</f>
        <v> </v>
      </c>
      <c r="G3245" s="23" t="str">
        <f>IF(OR(E3245="",E3245="!!!"),"",IF(OR(J3245=0,AND(J3245=1,K3245=1),AND(J3245=1,I3245="SBJ"),AND(J3245=1,I3245=0)),"?IN_FOCUS",IF(J3245&lt;=2,"?ACTIVATED",IF(J3245&lt;&gt;"","?FAMILIAR",IF(F3245="NEW",IF(ISNA(VLOOKUP(E3245,#REF!,1,FALSE())),"?TYPE_IDENTIFIABLE","?REFERENTIAL"),"_")))))</f>
        <v> </v>
      </c>
      <c r="H3245" s="24" t="str">
        <f>IF(J3245&lt;&gt;1,"",IF(I3245="SBJ","CB","?"))</f>
        <v> </v>
      </c>
      <c r="I3245" s="25" t="str">
        <f>IF(OR(E3245="",E3245="!!!",F3245="NEW"),"",INDEX(B3244:B$2,-1+SUMPRODUCT(MAX(ROW(E3244:E$2)*(E3245=E3244:E$2)))))</f>
        <v> </v>
      </c>
      <c r="J3245" s="25" t="str">
        <f>IF(OR(E3245="",E3245="!!!",F3245="NEW"),"",COUNTBLANK(OFFSET(A$1,,,SUMPRODUCT(MAX(ROW(E$2:E3245)*(E3245=E$2:E3245)))))-COUNTBLANK(OFFSET(A$1,,,SUMPRODUCT(MAX(ROW(E$1:E3244)*(E2=E$1:E3244))))))</f>
        <v> </v>
      </c>
      <c r="K3245" s="25" t="str">
        <f>IF(OR(E3245="",E3245="!!!",F3245="NEW"),"",INDEX(J$1:J3244,SUMPRODUCT(MAX(ROW(E$1:E3244)*(E3245=E$1:E3244)))))</f>
        <v> </v>
      </c>
      <c r="L3245" s="26"/>
    </row>
    <row r="3246" spans="1:12">
      <c r="A3246" s="20" t="s">
        <v>793</v>
      </c>
      <c r="B3246" s="27" t="s">
        <v>894</v>
      </c>
      <c r="E3246" s="21">
        <f>IF(D3246="?OLD","!!!","")</f>
        <v/>
      </c>
      <c r="F3246" s="22" t="str">
        <f>IF(OR(E3246="",E3246="!!!"),"",IF(NOT(ISNA(VLOOKUP(E3246,E$1:E3245,1,FALSE()))),"OLD",IF(AND(E3246&lt;&gt;"",E3246&lt;&gt;"!!!"),"NEW","")))</f>
        <v> </v>
      </c>
      <c r="G3246" s="23" t="str">
        <f>IF(OR(E3246="",E3246="!!!"),"",IF(OR(J3246=0,AND(J3246=1,K3246=1),AND(J3246=1,I3246="SBJ"),AND(J3246=1,I3246=0)),"?IN_FOCUS",IF(J3246&lt;=2,"?ACTIVATED",IF(J3246&lt;&gt;"","?FAMILIAR",IF(F3246="NEW",IF(ISNA(VLOOKUP(E3246,#REF!,1,FALSE())),"?TYPE_IDENTIFIABLE","?REFERENTIAL"),"_")))))</f>
        <v> </v>
      </c>
      <c r="H3246" s="24" t="str">
        <f>IF(J3246&lt;&gt;1,"",IF(I3246="SBJ","CB","?"))</f>
        <v> </v>
      </c>
      <c r="I3246" s="25" t="str">
        <f>IF(OR(E3246="",E3246="!!!",F3246="NEW"),"",INDEX(B3245:B$2,-1+SUMPRODUCT(MAX(ROW(E3245:E$2)*(E3246=E3245:E$2)))))</f>
        <v> </v>
      </c>
      <c r="J3246" s="25" t="str">
        <f>IF(OR(E3246="",E3246="!!!",F3246="NEW"),"",COUNTBLANK(OFFSET(A$1,,,SUMPRODUCT(MAX(ROW(E$2:E3246)*(E3246=E$2:E3246)))))-COUNTBLANK(OFFSET(A$1,,,SUMPRODUCT(MAX(ROW(E$1:E3245)*(E2=E$1:E3245))))))</f>
        <v> </v>
      </c>
      <c r="K3246" s="25" t="str">
        <f>IF(OR(E3246="",E3246="!!!",F3246="NEW"),"",INDEX(J$1:J3245,SUMPRODUCT(MAX(ROW(E$1:E3245)*(E3246=E$1:E3245)))))</f>
        <v> </v>
      </c>
      <c r="L3246" s="26"/>
    </row>
    <row r="3247" spans="1:12">
      <c r="A3247" s="20" t="s">
        <v>827</v>
      </c>
      <c r="B3247" s="27" t="s">
        <v>956</v>
      </c>
      <c r="C3247" s="27" t="s">
        <v>797</v>
      </c>
      <c r="D3247" s="27" t="s">
        <v>762</v>
      </c>
      <c r="E3247" s="21">
        <f>IF(D3247="?OLD","!!!","")</f>
        <v/>
      </c>
      <c r="F3247" s="22" t="str">
        <f>IF(OR(E3247="",E3247="!!!"),"",IF(NOT(ISNA(VLOOKUP(E3247,E$1:E3246,1,FALSE()))),"OLD",IF(AND(E3247&lt;&gt;"",E3247&lt;&gt;"!!!"),"NEW","")))</f>
        <v> </v>
      </c>
      <c r="G3247" s="23" t="str">
        <f>IF(OR(E3247="",E3247="!!!"),"",IF(OR(J3247=0,AND(J3247=1,K3247=1),AND(J3247=1,I3247="SBJ"),AND(J3247=1,I3247=0)),"?IN_FOCUS",IF(J3247&lt;=2,"?ACTIVATED",IF(J3247&lt;&gt;"","?FAMILIAR",IF(F3247="NEW",IF(ISNA(VLOOKUP(E3247,#REF!,1,FALSE())),"?TYPE_IDENTIFIABLE","?REFERENTIAL"),"_")))))</f>
        <v> </v>
      </c>
      <c r="H3247" s="24" t="str">
        <f>IF(J3247&lt;&gt;1,"",IF(I3247="SBJ","CB","?"))</f>
        <v> </v>
      </c>
      <c r="I3247" s="25" t="str">
        <f>IF(OR(E3247="",E3247="!!!",F3247="NEW"),"",INDEX(B3246:B$2,-1+SUMPRODUCT(MAX(ROW(E3246:E$2)*(E3247=E3246:E$2)))))</f>
        <v> </v>
      </c>
      <c r="J3247" s="25" t="str">
        <f>IF(OR(E3247="",E3247="!!!",F3247="NEW"),"",COUNTBLANK(OFFSET(A$1,,,SUMPRODUCT(MAX(ROW(E$2:E3247)*(E3247=E$2:E3247)))))-COUNTBLANK(OFFSET(A$1,,,SUMPRODUCT(MAX(ROW(E$1:E3246)*(E2=E$1:E3246))))))</f>
        <v> </v>
      </c>
      <c r="K3247" s="25" t="str">
        <f>IF(OR(E3247="",E3247="!!!",F3247="NEW"),"",INDEX(J$1:J3246,SUMPRODUCT(MAX(ROW(E$1:E3246)*(E3247=E$1:E3246)))))</f>
        <v> </v>
      </c>
      <c r="L3247" s="26"/>
    </row>
    <row r="3248" spans="1:12">
      <c r="A3248" s="20" t="s">
        <v>909</v>
      </c>
      <c r="E3248" s="21">
        <f>IF(D3248="?OLD","!!!","")</f>
        <v/>
      </c>
      <c r="F3248" s="22" t="str">
        <f>IF(OR(E3248="",E3248="!!!"),"",IF(NOT(ISNA(VLOOKUP(E3248,E$1:E3247,1,FALSE()))),"OLD",IF(AND(E3248&lt;&gt;"",E3248&lt;&gt;"!!!"),"NEW","")))</f>
        <v> </v>
      </c>
      <c r="G3248" s="23" t="str">
        <f>IF(OR(E3248="",E3248="!!!"),"",IF(OR(J3248=0,AND(J3248=1,K3248=1),AND(J3248=1,I3248="SBJ"),AND(J3248=1,I3248=0)),"?IN_FOCUS",IF(J3248&lt;=2,"?ACTIVATED",IF(J3248&lt;&gt;"","?FAMILIAR",IF(F3248="NEW",IF(ISNA(VLOOKUP(E3248,#REF!,1,FALSE())),"?TYPE_IDENTIFIABLE","?REFERENTIAL"),"_")))))</f>
        <v> </v>
      </c>
      <c r="H3248" s="24" t="str">
        <f>IF(J3248&lt;&gt;1,"",IF(I3248="SBJ","CB","?"))</f>
        <v> </v>
      </c>
      <c r="I3248" s="25" t="str">
        <f>IF(OR(E3248="",E3248="!!!",F3248="NEW"),"",INDEX(B3247:B$2,-1+SUMPRODUCT(MAX(ROW(E3247:E$2)*(E3248=E3247:E$2)))))</f>
        <v> </v>
      </c>
      <c r="J3248" s="25" t="str">
        <f>IF(OR(E3248="",E3248="!!!",F3248="NEW"),"",COUNTBLANK(OFFSET(A$1,,,SUMPRODUCT(MAX(ROW(E$2:E3248)*(E3248=E$2:E3248)))))-COUNTBLANK(OFFSET(A$1,,,SUMPRODUCT(MAX(ROW(E$1:E3247)*(E2=E$1:E3247))))))</f>
        <v> </v>
      </c>
      <c r="K3248" s="25" t="str">
        <f>IF(OR(E3248="",E3248="!!!",F3248="NEW"),"",INDEX(J$1:J3247,SUMPRODUCT(MAX(ROW(E$1:E3247)*(E3248=E$1:E3247)))))</f>
        <v> </v>
      </c>
      <c r="L3248" s="26"/>
    </row>
    <row r="3249" spans="1:12">
      <c r="A3249" s="20" t="s">
        <v>1743</v>
      </c>
      <c r="E3249" s="21">
        <f>IF(D3249="?OLD","!!!","")</f>
        <v/>
      </c>
      <c r="F3249" s="22" t="str">
        <f>IF(OR(E3249="",E3249="!!!"),"",IF(NOT(ISNA(VLOOKUP(E3249,E$1:E3248,1,FALSE()))),"OLD",IF(AND(E3249&lt;&gt;"",E3249&lt;&gt;"!!!"),"NEW","")))</f>
        <v> </v>
      </c>
      <c r="G3249" s="23" t="str">
        <f>IF(OR(E3249="",E3249="!!!"),"",IF(OR(J3249=0,AND(J3249=1,K3249=1),AND(J3249=1,I3249="SBJ"),AND(J3249=1,I3249=0)),"?IN_FOCUS",IF(J3249&lt;=2,"?ACTIVATED",IF(J3249&lt;&gt;"","?FAMILIAR",IF(F3249="NEW",IF(ISNA(VLOOKUP(E3249,#REF!,1,FALSE())),"?TYPE_IDENTIFIABLE","?REFERENTIAL"),"_")))))</f>
        <v> </v>
      </c>
      <c r="H3249" s="24" t="str">
        <f>IF(J3249&lt;&gt;1,"",IF(I3249="SBJ","CB","?"))</f>
        <v> </v>
      </c>
      <c r="I3249" s="25" t="str">
        <f>IF(OR(E3249="",E3249="!!!",F3249="NEW"),"",INDEX(B3248:B$2,-1+SUMPRODUCT(MAX(ROW(E3248:E$2)*(E3249=E3248:E$2)))))</f>
        <v> </v>
      </c>
      <c r="J3249" s="25" t="str">
        <f>IF(OR(E3249="",E3249="!!!",F3249="NEW"),"",COUNTBLANK(OFFSET(A$1,,,SUMPRODUCT(MAX(ROW(E$2:E3249)*(E3249=E$2:E3249)))))-COUNTBLANK(OFFSET(A$1,,,SUMPRODUCT(MAX(ROW(E$1:E3248)*(E2=E$1:E3248))))))</f>
        <v> </v>
      </c>
      <c r="K3249" s="25" t="str">
        <f>IF(OR(E3249="",E3249="!!!",F3249="NEW"),"",INDEX(J$1:J3248,SUMPRODUCT(MAX(ROW(E$1:E3248)*(E3249=E$1:E3248)))))</f>
        <v> </v>
      </c>
      <c r="L3249" s="26"/>
    </row>
    <row r="3250" spans="1:12">
      <c r="A3250" s="20" t="s">
        <v>942</v>
      </c>
      <c r="E3250" s="21">
        <f>IF(D3250="?OLD","!!!","")</f>
        <v/>
      </c>
      <c r="F3250" s="22" t="str">
        <f>IF(OR(E3250="",E3250="!!!"),"",IF(NOT(ISNA(VLOOKUP(E3250,E$1:E3249,1,FALSE()))),"OLD",IF(AND(E3250&lt;&gt;"",E3250&lt;&gt;"!!!"),"NEW","")))</f>
        <v> </v>
      </c>
      <c r="G3250" s="23" t="str">
        <f>IF(OR(E3250="",E3250="!!!"),"",IF(OR(J3250=0,AND(J3250=1,K3250=1),AND(J3250=1,I3250="SBJ"),AND(J3250=1,I3250=0)),"?IN_FOCUS",IF(J3250&lt;=2,"?ACTIVATED",IF(J3250&lt;&gt;"","?FAMILIAR",IF(F3250="NEW",IF(ISNA(VLOOKUP(E3250,#REF!,1,FALSE())),"?TYPE_IDENTIFIABLE","?REFERENTIAL"),"_")))))</f>
        <v> </v>
      </c>
      <c r="H3250" s="24" t="str">
        <f>IF(J3250&lt;&gt;1,"",IF(I3250="SBJ","CB","?"))</f>
        <v> </v>
      </c>
      <c r="I3250" s="25" t="str">
        <f>IF(OR(E3250="",E3250="!!!",F3250="NEW"),"",INDEX(B3249:B$2,-1+SUMPRODUCT(MAX(ROW(E3249:E$2)*(E3250=E3249:E$2)))))</f>
        <v> </v>
      </c>
      <c r="J3250" s="25" t="str">
        <f>IF(OR(E3250="",E3250="!!!",F3250="NEW"),"",COUNTBLANK(OFFSET(A$1,,,SUMPRODUCT(MAX(ROW(E$2:E3250)*(E3250=E$2:E3250)))))-COUNTBLANK(OFFSET(A$1,,,SUMPRODUCT(MAX(ROW(E$1:E3249)*(E2=E$1:E3249))))))</f>
        <v> </v>
      </c>
      <c r="K3250" s="25" t="str">
        <f>IF(OR(E3250="",E3250="!!!",F3250="NEW"),"",INDEX(J$1:J3249,SUMPRODUCT(MAX(ROW(E$1:E3249)*(E3250=E$1:E3249)))))</f>
        <v> </v>
      </c>
      <c r="L3250" s="26"/>
    </row>
    <row r="3251" spans="1:12">
      <c r="A3251" s="20" t="s">
        <v>954</v>
      </c>
      <c r="E3251" s="21">
        <f>IF(D3251="?OLD","!!!","")</f>
        <v/>
      </c>
      <c r="F3251" s="22" t="str">
        <f>IF(OR(E3251="",E3251="!!!"),"",IF(NOT(ISNA(VLOOKUP(E3251,E$1:E3250,1,FALSE()))),"OLD",IF(AND(E3251&lt;&gt;"",E3251&lt;&gt;"!!!"),"NEW","")))</f>
        <v> </v>
      </c>
      <c r="G3251" s="23" t="str">
        <f>IF(OR(E3251="",E3251="!!!"),"",IF(OR(J3251=0,AND(J3251=1,K3251=1),AND(J3251=1,I3251="SBJ"),AND(J3251=1,I3251=0)),"?IN_FOCUS",IF(J3251&lt;=2,"?ACTIVATED",IF(J3251&lt;&gt;"","?FAMILIAR",IF(F3251="NEW",IF(ISNA(VLOOKUP(E3251,#REF!,1,FALSE())),"?TYPE_IDENTIFIABLE","?REFERENTIAL"),"_")))))</f>
        <v> </v>
      </c>
      <c r="H3251" s="24" t="str">
        <f>IF(J3251&lt;&gt;1,"",IF(I3251="SBJ","CB","?"))</f>
        <v> </v>
      </c>
      <c r="I3251" s="25" t="str">
        <f>IF(OR(E3251="",E3251="!!!",F3251="NEW"),"",INDEX(B3250:B$2,-1+SUMPRODUCT(MAX(ROW(E3250:E$2)*(E3251=E3250:E$2)))))</f>
        <v> </v>
      </c>
      <c r="J3251" s="25" t="str">
        <f>IF(OR(E3251="",E3251="!!!",F3251="NEW"),"",COUNTBLANK(OFFSET(A$1,,,SUMPRODUCT(MAX(ROW(E$2:E3251)*(E3251=E$2:E3251)))))-COUNTBLANK(OFFSET(A$1,,,SUMPRODUCT(MAX(ROW(E$1:E3250)*(E2=E$1:E3250))))))</f>
        <v> </v>
      </c>
      <c r="K3251" s="25" t="str">
        <f>IF(OR(E3251="",E3251="!!!",F3251="NEW"),"",INDEX(J$1:J3250,SUMPRODUCT(MAX(ROW(E$1:E3250)*(E3251=E$1:E3250)))))</f>
        <v> </v>
      </c>
      <c r="L3251" s="26"/>
    </row>
    <row r="3252" spans="1:12">
      <c r="A3252" s="20" t="s">
        <v>1744</v>
      </c>
      <c r="B3252" s="27" t="s">
        <v>879</v>
      </c>
      <c r="C3252" s="27" t="s">
        <v>1019</v>
      </c>
      <c r="D3252" s="27" t="s">
        <v>762</v>
      </c>
      <c r="E3252" s="21">
        <f>IF(D3252="?OLD","!!!","")</f>
        <v/>
      </c>
      <c r="F3252" s="22" t="str">
        <f>IF(OR(E3252="",E3252="!!!"),"",IF(NOT(ISNA(VLOOKUP(E3252,E$1:E3251,1,FALSE()))),"OLD",IF(AND(E3252&lt;&gt;"",E3252&lt;&gt;"!!!"),"NEW","")))</f>
        <v> </v>
      </c>
      <c r="G3252" s="23" t="str">
        <f>IF(OR(E3252="",E3252="!!!"),"",IF(OR(J3252=0,AND(J3252=1,K3252=1),AND(J3252=1,I3252="SBJ"),AND(J3252=1,I3252=0)),"?IN_FOCUS",IF(J3252&lt;=2,"?ACTIVATED",IF(J3252&lt;&gt;"","?FAMILIAR",IF(F3252="NEW",IF(ISNA(VLOOKUP(E3252,#REF!,1,FALSE())),"?TYPE_IDENTIFIABLE","?REFERENTIAL"),"_")))))</f>
        <v> </v>
      </c>
      <c r="H3252" s="24" t="str">
        <f>IF(J3252&lt;&gt;1,"",IF(I3252="SBJ","CB","?"))</f>
        <v> </v>
      </c>
      <c r="I3252" s="25" t="str">
        <f>IF(OR(E3252="",E3252="!!!",F3252="NEW"),"",INDEX(B3251:B$2,-1+SUMPRODUCT(MAX(ROW(E3251:E$2)*(E3252=E3251:E$2)))))</f>
        <v> </v>
      </c>
      <c r="J3252" s="25" t="str">
        <f>IF(OR(E3252="",E3252="!!!",F3252="NEW"),"",COUNTBLANK(OFFSET(A$1,,,SUMPRODUCT(MAX(ROW(E$2:E3252)*(E3252=E$2:E3252)))))-COUNTBLANK(OFFSET(A$1,,,SUMPRODUCT(MAX(ROW(E$1:E3251)*(E2=E$1:E3251))))))</f>
        <v> </v>
      </c>
      <c r="K3252" s="25" t="str">
        <f>IF(OR(E3252="",E3252="!!!",F3252="NEW"),"",INDEX(J$1:J3251,SUMPRODUCT(MAX(ROW(E$1:E3251)*(E3252=E$1:E3251)))))</f>
        <v> </v>
      </c>
      <c r="L3252" s="26"/>
    </row>
    <row r="3253" spans="1:12">
      <c r="A3253" s="20" t="s">
        <v>915</v>
      </c>
      <c r="E3253" s="21">
        <f>IF(D3253="?OLD","!!!","")</f>
        <v/>
      </c>
      <c r="F3253" s="22" t="str">
        <f>IF(OR(E3253="",E3253="!!!"),"",IF(NOT(ISNA(VLOOKUP(E3253,E$1:E3252,1,FALSE()))),"OLD",IF(AND(E3253&lt;&gt;"",E3253&lt;&gt;"!!!"),"NEW","")))</f>
        <v> </v>
      </c>
      <c r="G3253" s="23" t="str">
        <f>IF(OR(E3253="",E3253="!!!"),"",IF(OR(J3253=0,AND(J3253=1,K3253=1),AND(J3253=1,I3253="SBJ"),AND(J3253=1,I3253=0)),"?IN_FOCUS",IF(J3253&lt;=2,"?ACTIVATED",IF(J3253&lt;&gt;"","?FAMILIAR",IF(F3253="NEW",IF(ISNA(VLOOKUP(E3253,#REF!,1,FALSE())),"?TYPE_IDENTIFIABLE","?REFERENTIAL"),"_")))))</f>
        <v> </v>
      </c>
      <c r="H3253" s="24" t="str">
        <f>IF(J3253&lt;&gt;1,"",IF(I3253="SBJ","CB","?"))</f>
        <v> </v>
      </c>
      <c r="I3253" s="25" t="str">
        <f>IF(OR(E3253="",E3253="!!!",F3253="NEW"),"",INDEX(B3252:B$2,-1+SUMPRODUCT(MAX(ROW(E3252:E$2)*(E3253=E3252:E$2)))))</f>
        <v> </v>
      </c>
      <c r="J3253" s="25" t="str">
        <f>IF(OR(E3253="",E3253="!!!",F3253="NEW"),"",COUNTBLANK(OFFSET(A$1,,,SUMPRODUCT(MAX(ROW(E$2:E3253)*(E3253=E$2:E3253)))))-COUNTBLANK(OFFSET(A$1,,,SUMPRODUCT(MAX(ROW(E$1:E3252)*(E2=E$1:E3252))))))</f>
        <v> </v>
      </c>
      <c r="K3253" s="25" t="str">
        <f>IF(OR(E3253="",E3253="!!!",F3253="NEW"),"",INDEX(J$1:J3252,SUMPRODUCT(MAX(ROW(E$1:E3252)*(E3253=E$1:E3252)))))</f>
        <v> </v>
      </c>
      <c r="L3253" s="26"/>
    </row>
    <row r="3254" spans="1:12">
      <c r="A3254" s="20" t="s">
        <v>770</v>
      </c>
      <c r="E3254" s="21">
        <f>IF(D3254="?OLD","!!!","")</f>
        <v/>
      </c>
      <c r="F3254" s="22" t="str">
        <f>IF(OR(E3254="",E3254="!!!"),"",IF(NOT(ISNA(VLOOKUP(E3254,E$1:E3253,1,FALSE()))),"OLD",IF(AND(E3254&lt;&gt;"",E3254&lt;&gt;"!!!"),"NEW","")))</f>
        <v> </v>
      </c>
      <c r="G3254" s="23" t="str">
        <f>IF(OR(E3254="",E3254="!!!"),"",IF(OR(J3254=0,AND(J3254=1,K3254=1),AND(J3254=1,I3254="SBJ"),AND(J3254=1,I3254=0)),"?IN_FOCUS",IF(J3254&lt;=2,"?ACTIVATED",IF(J3254&lt;&gt;"","?FAMILIAR",IF(F3254="NEW",IF(ISNA(VLOOKUP(E3254,#REF!,1,FALSE())),"?TYPE_IDENTIFIABLE","?REFERENTIAL"),"_")))))</f>
        <v> </v>
      </c>
      <c r="H3254" s="24" t="str">
        <f>IF(J3254&lt;&gt;1,"",IF(I3254="SBJ","CB","?"))</f>
        <v> </v>
      </c>
      <c r="I3254" s="25" t="str">
        <f>IF(OR(E3254="",E3254="!!!",F3254="NEW"),"",INDEX(B3253:B$2,-1+SUMPRODUCT(MAX(ROW(E3253:E$2)*(E3254=E3253:E$2)))))</f>
        <v> </v>
      </c>
      <c r="J3254" s="25" t="str">
        <f>IF(OR(E3254="",E3254="!!!",F3254="NEW"),"",COUNTBLANK(OFFSET(A$1,,,SUMPRODUCT(MAX(ROW(E$2:E3254)*(E3254=E$2:E3254)))))-COUNTBLANK(OFFSET(A$1,,,SUMPRODUCT(MAX(ROW(E$1:E3253)*(E2=E$1:E3253))))))</f>
        <v> </v>
      </c>
      <c r="K3254" s="25" t="str">
        <f>IF(OR(E3254="",E3254="!!!",F3254="NEW"),"",INDEX(J$1:J3253,SUMPRODUCT(MAX(ROW(E$1:E3253)*(E3254=E$1:E3253)))))</f>
        <v> </v>
      </c>
      <c r="L3254" s="26"/>
    </row>
    <row r="3255" spans="1:12">
      <c r="A3255" s="20" t="s">
        <v>972</v>
      </c>
      <c r="B3255" s="27" t="s">
        <v>753</v>
      </c>
      <c r="C3255" s="27" t="s">
        <v>837</v>
      </c>
      <c r="D3255" s="27" t="s">
        <v>762</v>
      </c>
      <c r="E3255" s="21">
        <f>IF(D3255="?OLD","!!!","")</f>
        <v/>
      </c>
      <c r="F3255" s="22" t="str">
        <f>IF(OR(E3255="",E3255="!!!"),"",IF(NOT(ISNA(VLOOKUP(E3255,E$1:E3254,1,FALSE()))),"OLD",IF(AND(E3255&lt;&gt;"",E3255&lt;&gt;"!!!"),"NEW","")))</f>
        <v> </v>
      </c>
      <c r="G3255" s="23" t="str">
        <f>IF(OR(E3255="",E3255="!!!"),"",IF(OR(J3255=0,AND(J3255=1,K3255=1),AND(J3255=1,I3255="SBJ"),AND(J3255=1,I3255=0)),"?IN_FOCUS",IF(J3255&lt;=2,"?ACTIVATED",IF(J3255&lt;&gt;"","?FAMILIAR",IF(F3255="NEW",IF(ISNA(VLOOKUP(E3255,#REF!,1,FALSE())),"?TYPE_IDENTIFIABLE","?REFERENTIAL"),"_")))))</f>
        <v> </v>
      </c>
      <c r="H3255" s="24" t="str">
        <f>IF(J3255&lt;&gt;1,"",IF(I3255="SBJ","CB","?"))</f>
        <v> </v>
      </c>
      <c r="I3255" s="25" t="str">
        <f>IF(OR(E3255="",E3255="!!!",F3255="NEW"),"",INDEX(B3254:B$2,-1+SUMPRODUCT(MAX(ROW(E3254:E$2)*(E3255=E3254:E$2)))))</f>
        <v> </v>
      </c>
      <c r="J3255" s="25" t="str">
        <f>IF(OR(E3255="",E3255="!!!",F3255="NEW"),"",COUNTBLANK(OFFSET(A$1,,,SUMPRODUCT(MAX(ROW(E$2:E3255)*(E3255=E$2:E3255)))))-COUNTBLANK(OFFSET(A$1,,,SUMPRODUCT(MAX(ROW(E$1:E3254)*(E2=E$1:E3254))))))</f>
        <v> </v>
      </c>
      <c r="K3255" s="25" t="str">
        <f>IF(OR(E3255="",E3255="!!!",F3255="NEW"),"",INDEX(J$1:J3254,SUMPRODUCT(MAX(ROW(E$1:E3254)*(E3255=E$1:E3254)))))</f>
        <v> </v>
      </c>
      <c r="L3255" s="26"/>
    </row>
    <row r="3256" spans="1:12">
      <c r="A3256" s="20" t="s">
        <v>769</v>
      </c>
      <c r="E3256" s="21">
        <f>IF(D3256="?OLD","!!!","")</f>
        <v/>
      </c>
      <c r="F3256" s="22" t="str">
        <f>IF(OR(E3256="",E3256="!!!"),"",IF(NOT(ISNA(VLOOKUP(E3256,E$1:E3255,1,FALSE()))),"OLD",IF(AND(E3256&lt;&gt;"",E3256&lt;&gt;"!!!"),"NEW","")))</f>
        <v> </v>
      </c>
      <c r="G3256" s="23" t="str">
        <f>IF(OR(E3256="",E3256="!!!"),"",IF(OR(J3256=0,AND(J3256=1,K3256=1),AND(J3256=1,I3256="SBJ"),AND(J3256=1,I3256=0)),"?IN_FOCUS",IF(J3256&lt;=2,"?ACTIVATED",IF(J3256&lt;&gt;"","?FAMILIAR",IF(F3256="NEW",IF(ISNA(VLOOKUP(E3256,#REF!,1,FALSE())),"?TYPE_IDENTIFIABLE","?REFERENTIAL"),"_")))))</f>
        <v> </v>
      </c>
      <c r="H3256" s="24" t="str">
        <f>IF(J3256&lt;&gt;1,"",IF(I3256="SBJ","CB","?"))</f>
        <v> </v>
      </c>
      <c r="I3256" s="25" t="str">
        <f>IF(OR(E3256="",E3256="!!!",F3256="NEW"),"",INDEX(B3255:B$2,-1+SUMPRODUCT(MAX(ROW(E3255:E$2)*(E3256=E3255:E$2)))))</f>
        <v> </v>
      </c>
      <c r="J3256" s="25" t="str">
        <f>IF(OR(E3256="",E3256="!!!",F3256="NEW"),"",COUNTBLANK(OFFSET(A$1,,,SUMPRODUCT(MAX(ROW(E$2:E3256)*(E3256=E$2:E3256)))))-COUNTBLANK(OFFSET(A$1,,,SUMPRODUCT(MAX(ROW(E$1:E3255)*(E2=E$1:E3255))))))</f>
        <v> </v>
      </c>
      <c r="K3256" s="25" t="str">
        <f>IF(OR(E3256="",E3256="!!!",F3256="NEW"),"",INDEX(J$1:J3255,SUMPRODUCT(MAX(ROW(E$1:E3255)*(E3256=E$1:E3255)))))</f>
        <v> </v>
      </c>
      <c r="L3256" s="26"/>
    </row>
    <row r="3257" spans="1:12">
      <c r="A3257" s="20" t="s">
        <v>1745</v>
      </c>
      <c r="B3257" s="27" t="s">
        <v>753</v>
      </c>
      <c r="C3257" s="27" t="s">
        <v>798</v>
      </c>
      <c r="D3257" s="27" t="s">
        <v>762</v>
      </c>
      <c r="E3257" s="21">
        <f>IF(D3257="?OLD","!!!","")</f>
        <v/>
      </c>
      <c r="F3257" s="22" t="str">
        <f>IF(OR(E3257="",E3257="!!!"),"",IF(NOT(ISNA(VLOOKUP(E3257,E$1:E3256,1,FALSE()))),"OLD",IF(AND(E3257&lt;&gt;"",E3257&lt;&gt;"!!!"),"NEW","")))</f>
        <v> </v>
      </c>
      <c r="G3257" s="23" t="str">
        <f>IF(OR(E3257="",E3257="!!!"),"",IF(OR(J3257=0,AND(J3257=1,K3257=1),AND(J3257=1,I3257="SBJ"),AND(J3257=1,I3257=0)),"?IN_FOCUS",IF(J3257&lt;=2,"?ACTIVATED",IF(J3257&lt;&gt;"","?FAMILIAR",IF(F3257="NEW",IF(ISNA(VLOOKUP(E3257,#REF!,1,FALSE())),"?TYPE_IDENTIFIABLE","?REFERENTIAL"),"_")))))</f>
        <v> </v>
      </c>
      <c r="H3257" s="24" t="str">
        <f>IF(J3257&lt;&gt;1,"",IF(I3257="SBJ","CB","?"))</f>
        <v> </v>
      </c>
      <c r="I3257" s="25" t="str">
        <f>IF(OR(E3257="",E3257="!!!",F3257="NEW"),"",INDEX(B3256:B$2,-1+SUMPRODUCT(MAX(ROW(E3256:E$2)*(E3257=E3256:E$2)))))</f>
        <v> </v>
      </c>
      <c r="J3257" s="25" t="str">
        <f>IF(OR(E3257="",E3257="!!!",F3257="NEW"),"",COUNTBLANK(OFFSET(A$1,,,SUMPRODUCT(MAX(ROW(E$2:E3257)*(E3257=E$2:E3257)))))-COUNTBLANK(OFFSET(A$1,,,SUMPRODUCT(MAX(ROW(E$1:E3256)*(E2=E$1:E3256))))))</f>
        <v> </v>
      </c>
      <c r="K3257" s="25" t="str">
        <f>IF(OR(E3257="",E3257="!!!",F3257="NEW"),"",INDEX(J$1:J3256,SUMPRODUCT(MAX(ROW(E$1:E3256)*(E3257=E$1:E3256)))))</f>
        <v> </v>
      </c>
      <c r="L3257" s="26"/>
    </row>
    <row r="3258" spans="1:12">
      <c r="A3258" s="20" t="s">
        <v>1746</v>
      </c>
      <c r="B3258" s="27" t="s">
        <v>772</v>
      </c>
      <c r="C3258" s="27" t="s">
        <v>798</v>
      </c>
      <c r="D3258" s="27" t="s">
        <v>762</v>
      </c>
      <c r="E3258" s="21">
        <f>IF(D3258="?OLD","!!!","")</f>
        <v/>
      </c>
      <c r="F3258" s="22" t="str">
        <f>IF(OR(E3258="",E3258="!!!"),"",IF(NOT(ISNA(VLOOKUP(E3258,E$1:E3257,1,FALSE()))),"OLD",IF(AND(E3258&lt;&gt;"",E3258&lt;&gt;"!!!"),"NEW","")))</f>
        <v> </v>
      </c>
      <c r="G3258" s="23" t="str">
        <f>IF(OR(E3258="",E3258="!!!"),"",IF(OR(J3258=0,AND(J3258=1,K3258=1),AND(J3258=1,I3258="SBJ"),AND(J3258=1,I3258=0)),"?IN_FOCUS",IF(J3258&lt;=2,"?ACTIVATED",IF(J3258&lt;&gt;"","?FAMILIAR",IF(F3258="NEW",IF(ISNA(VLOOKUP(E3258,#REF!,1,FALSE())),"?TYPE_IDENTIFIABLE","?REFERENTIAL"),"_")))))</f>
        <v> </v>
      </c>
      <c r="H3258" s="24" t="str">
        <f>IF(J3258&lt;&gt;1,"",IF(I3258="SBJ","CB","?"))</f>
        <v> </v>
      </c>
      <c r="I3258" s="25" t="str">
        <f>IF(OR(E3258="",E3258="!!!",F3258="NEW"),"",INDEX(B3257:B$2,-1+SUMPRODUCT(MAX(ROW(E3257:E$2)*(E3258=E3257:E$2)))))</f>
        <v> </v>
      </c>
      <c r="J3258" s="25" t="str">
        <f>IF(OR(E3258="",E3258="!!!",F3258="NEW"),"",COUNTBLANK(OFFSET(A$1,,,SUMPRODUCT(MAX(ROW(E$2:E3258)*(E3258=E$2:E3258)))))-COUNTBLANK(OFFSET(A$1,,,SUMPRODUCT(MAX(ROW(E$1:E3257)*(E2=E$1:E3257))))))</f>
        <v> </v>
      </c>
      <c r="K3258" s="25" t="str">
        <f>IF(OR(E3258="",E3258="!!!",F3258="NEW"),"",INDEX(J$1:J3257,SUMPRODUCT(MAX(ROW(E$1:E3257)*(E3258=E$1:E3257)))))</f>
        <v> </v>
      </c>
      <c r="L3258" s="26"/>
    </row>
    <row r="3259" spans="1:12">
      <c r="A3259" s="20" t="s">
        <v>1020</v>
      </c>
      <c r="B3259" s="27" t="s">
        <v>956</v>
      </c>
      <c r="E3259" s="21">
        <f>IF(D3259="?OLD","!!!","")</f>
        <v/>
      </c>
      <c r="F3259" s="22" t="str">
        <f>IF(OR(E3259="",E3259="!!!"),"",IF(NOT(ISNA(VLOOKUP(E3259,E$1:E3258,1,FALSE()))),"OLD",IF(AND(E3259&lt;&gt;"",E3259&lt;&gt;"!!!"),"NEW","")))</f>
        <v> </v>
      </c>
      <c r="G3259" s="23" t="str">
        <f>IF(OR(E3259="",E3259="!!!"),"",IF(OR(J3259=0,AND(J3259=1,K3259=1),AND(J3259=1,I3259="SBJ"),AND(J3259=1,I3259=0)),"?IN_FOCUS",IF(J3259&lt;=2,"?ACTIVATED",IF(J3259&lt;&gt;"","?FAMILIAR",IF(F3259="NEW",IF(ISNA(VLOOKUP(E3259,#REF!,1,FALSE())),"?TYPE_IDENTIFIABLE","?REFERENTIAL"),"_")))))</f>
        <v> </v>
      </c>
      <c r="H3259" s="24" t="str">
        <f>IF(J3259&lt;&gt;1,"",IF(I3259="SBJ","CB","?"))</f>
        <v> </v>
      </c>
      <c r="I3259" s="25" t="str">
        <f>IF(OR(E3259="",E3259="!!!",F3259="NEW"),"",INDEX(B3258:B$2,-1+SUMPRODUCT(MAX(ROW(E3258:E$2)*(E3259=E3258:E$2)))))</f>
        <v> </v>
      </c>
      <c r="J3259" s="25" t="str">
        <f>IF(OR(E3259="",E3259="!!!",F3259="NEW"),"",COUNTBLANK(OFFSET(A$1,,,SUMPRODUCT(MAX(ROW(E$2:E3259)*(E3259=E$2:E3259)))))-COUNTBLANK(OFFSET(A$1,,,SUMPRODUCT(MAX(ROW(E$1:E3258)*(E2=E$1:E3258))))))</f>
        <v> </v>
      </c>
      <c r="K3259" s="25" t="str">
        <f>IF(OR(E3259="",E3259="!!!",F3259="NEW"),"",INDEX(J$1:J3258,SUMPRODUCT(MAX(ROW(E$1:E3258)*(E3259=E$1:E3258)))))</f>
        <v> </v>
      </c>
      <c r="L3259" s="26"/>
    </row>
    <row r="3260" spans="1:12">
      <c r="A3260" s="20" t="s">
        <v>915</v>
      </c>
      <c r="E3260" s="21">
        <f>IF(D3260="?OLD","!!!","")</f>
        <v/>
      </c>
      <c r="F3260" s="22" t="str">
        <f>IF(OR(E3260="",E3260="!!!"),"",IF(NOT(ISNA(VLOOKUP(E3260,E$1:E3259,1,FALSE()))),"OLD",IF(AND(E3260&lt;&gt;"",E3260&lt;&gt;"!!!"),"NEW","")))</f>
        <v> </v>
      </c>
      <c r="G3260" s="23" t="str">
        <f>IF(OR(E3260="",E3260="!!!"),"",IF(OR(J3260=0,AND(J3260=1,K3260=1),AND(J3260=1,I3260="SBJ"),AND(J3260=1,I3260=0)),"?IN_FOCUS",IF(J3260&lt;=2,"?ACTIVATED",IF(J3260&lt;&gt;"","?FAMILIAR",IF(F3260="NEW",IF(ISNA(VLOOKUP(E3260,#REF!,1,FALSE())),"?TYPE_IDENTIFIABLE","?REFERENTIAL"),"_")))))</f>
        <v> </v>
      </c>
      <c r="H3260" s="24" t="str">
        <f>IF(J3260&lt;&gt;1,"",IF(I3260="SBJ","CB","?"))</f>
        <v> </v>
      </c>
      <c r="I3260" s="25" t="str">
        <f>IF(OR(E3260="",E3260="!!!",F3260="NEW"),"",INDEX(B3259:B$2,-1+SUMPRODUCT(MAX(ROW(E3259:E$2)*(E3260=E3259:E$2)))))</f>
        <v> </v>
      </c>
      <c r="J3260" s="25" t="str">
        <f>IF(OR(E3260="",E3260="!!!",F3260="NEW"),"",COUNTBLANK(OFFSET(A$1,,,SUMPRODUCT(MAX(ROW(E$2:E3260)*(E3260=E$2:E3260)))))-COUNTBLANK(OFFSET(A$1,,,SUMPRODUCT(MAX(ROW(E$1:E3259)*(E2=E$1:E3259))))))</f>
        <v> </v>
      </c>
      <c r="K3260" s="25" t="str">
        <f>IF(OR(E3260="",E3260="!!!",F3260="NEW"),"",INDEX(J$1:J3259,SUMPRODUCT(MAX(ROW(E$1:E3259)*(E3260=E$1:E3259)))))</f>
        <v> </v>
      </c>
      <c r="L3260" s="26"/>
    </row>
    <row r="3261" spans="1:12">
      <c r="A3261" s="20" t="s">
        <v>779</v>
      </c>
      <c r="B3261" s="27" t="s">
        <v>772</v>
      </c>
      <c r="C3261" s="27" t="s">
        <v>820</v>
      </c>
      <c r="D3261" s="27" t="s">
        <v>762</v>
      </c>
      <c r="E3261" s="21">
        <f>IF(D3261="?OLD","!!!","")</f>
        <v/>
      </c>
      <c r="F3261" s="22" t="str">
        <f>IF(OR(E3261="",E3261="!!!"),"",IF(NOT(ISNA(VLOOKUP(E3261,E$1:E3260,1,FALSE()))),"OLD",IF(AND(E3261&lt;&gt;"",E3261&lt;&gt;"!!!"),"NEW","")))</f>
        <v> </v>
      </c>
      <c r="G3261" s="23" t="str">
        <f>IF(OR(E3261="",E3261="!!!"),"",IF(OR(J3261=0,AND(J3261=1,K3261=1),AND(J3261=1,I3261="SBJ"),AND(J3261=1,I3261=0)),"?IN_FOCUS",IF(J3261&lt;=2,"?ACTIVATED",IF(J3261&lt;&gt;"","?FAMILIAR",IF(F3261="NEW",IF(ISNA(VLOOKUP(E3261,#REF!,1,FALSE())),"?TYPE_IDENTIFIABLE","?REFERENTIAL"),"_")))))</f>
        <v> </v>
      </c>
      <c r="H3261" s="24" t="str">
        <f>IF(J3261&lt;&gt;1,"",IF(I3261="SBJ","CB","?"))</f>
        <v> </v>
      </c>
      <c r="I3261" s="25" t="str">
        <f>IF(OR(E3261="",E3261="!!!",F3261="NEW"),"",INDEX(B3260:B$2,-1+SUMPRODUCT(MAX(ROW(E3260:E$2)*(E3261=E3260:E$2)))))</f>
        <v> </v>
      </c>
      <c r="J3261" s="25" t="str">
        <f>IF(OR(E3261="",E3261="!!!",F3261="NEW"),"",COUNTBLANK(OFFSET(A$1,,,SUMPRODUCT(MAX(ROW(E$2:E3261)*(E3261=E$2:E3261)))))-COUNTBLANK(OFFSET(A$1,,,SUMPRODUCT(MAX(ROW(E$1:E3260)*(E2=E$1:E3260))))))</f>
        <v> </v>
      </c>
      <c r="K3261" s="25" t="str">
        <f>IF(OR(E3261="",E3261="!!!",F3261="NEW"),"",INDEX(J$1:J3260,SUMPRODUCT(MAX(ROW(E$1:E3260)*(E3261=E$1:E3260)))))</f>
        <v> </v>
      </c>
      <c r="L3261" s="26"/>
    </row>
    <row r="3262" spans="1:12">
      <c r="A3262" s="20" t="s">
        <v>769</v>
      </c>
      <c r="E3262" s="21">
        <f>IF(D3262="?OLD","!!!","")</f>
        <v/>
      </c>
      <c r="F3262" s="22" t="str">
        <f>IF(OR(E3262="",E3262="!!!"),"",IF(NOT(ISNA(VLOOKUP(E3262,E$1:E3261,1,FALSE()))),"OLD",IF(AND(E3262&lt;&gt;"",E3262&lt;&gt;"!!!"),"NEW","")))</f>
        <v> </v>
      </c>
      <c r="G3262" s="23" t="str">
        <f>IF(OR(E3262="",E3262="!!!"),"",IF(OR(J3262=0,AND(J3262=1,K3262=1),AND(J3262=1,I3262="SBJ"),AND(J3262=1,I3262=0)),"?IN_FOCUS",IF(J3262&lt;=2,"?ACTIVATED",IF(J3262&lt;&gt;"","?FAMILIAR",IF(F3262="NEW",IF(ISNA(VLOOKUP(E3262,#REF!,1,FALSE())),"?TYPE_IDENTIFIABLE","?REFERENTIAL"),"_")))))</f>
        <v> </v>
      </c>
      <c r="H3262" s="24" t="str">
        <f>IF(J3262&lt;&gt;1,"",IF(I3262="SBJ","CB","?"))</f>
        <v> </v>
      </c>
      <c r="I3262" s="25" t="str">
        <f>IF(OR(E3262="",E3262="!!!",F3262="NEW"),"",INDEX(B3261:B$2,-1+SUMPRODUCT(MAX(ROW(E3261:E$2)*(E3262=E3261:E$2)))))</f>
        <v> </v>
      </c>
      <c r="J3262" s="25" t="str">
        <f>IF(OR(E3262="",E3262="!!!",F3262="NEW"),"",COUNTBLANK(OFFSET(A$1,,,SUMPRODUCT(MAX(ROW(E$2:E3262)*(E3262=E$2:E3262)))))-COUNTBLANK(OFFSET(A$1,,,SUMPRODUCT(MAX(ROW(E$1:E3261)*(E2=E$1:E3261))))))</f>
        <v> </v>
      </c>
      <c r="K3262" s="25" t="str">
        <f>IF(OR(E3262="",E3262="!!!",F3262="NEW"),"",INDEX(J$1:J3261,SUMPRODUCT(MAX(ROW(E$1:E3261)*(E3262=E$1:E3261)))))</f>
        <v> </v>
      </c>
      <c r="L3262" s="26"/>
    </row>
    <row r="3263" spans="1:12">
      <c r="A3263" s="20" t="s">
        <v>838</v>
      </c>
      <c r="E3263" s="21">
        <f>IF(D3263="?OLD","!!!","")</f>
        <v/>
      </c>
      <c r="F3263" s="22" t="str">
        <f>IF(OR(E3263="",E3263="!!!"),"",IF(NOT(ISNA(VLOOKUP(E3263,E$1:E3262,1,FALSE()))),"OLD",IF(AND(E3263&lt;&gt;"",E3263&lt;&gt;"!!!"),"NEW","")))</f>
        <v> </v>
      </c>
      <c r="G3263" s="23" t="str">
        <f>IF(OR(E3263="",E3263="!!!"),"",IF(OR(J3263=0,AND(J3263=1,K3263=1),AND(J3263=1,I3263="SBJ"),AND(J3263=1,I3263=0)),"?IN_FOCUS",IF(J3263&lt;=2,"?ACTIVATED",IF(J3263&lt;&gt;"","?FAMILIAR",IF(F3263="NEW",IF(ISNA(VLOOKUP(E3263,#REF!,1,FALSE())),"?TYPE_IDENTIFIABLE","?REFERENTIAL"),"_")))))</f>
        <v> </v>
      </c>
      <c r="H3263" s="24" t="str">
        <f>IF(J3263&lt;&gt;1,"",IF(I3263="SBJ","CB","?"))</f>
        <v> </v>
      </c>
      <c r="I3263" s="25" t="str">
        <f>IF(OR(E3263="",E3263="!!!",F3263="NEW"),"",INDEX(B3262:B$2,-1+SUMPRODUCT(MAX(ROW(E3262:E$2)*(E3263=E3262:E$2)))))</f>
        <v> </v>
      </c>
      <c r="J3263" s="25" t="str">
        <f>IF(OR(E3263="",E3263="!!!",F3263="NEW"),"",COUNTBLANK(OFFSET(A$1,,,SUMPRODUCT(MAX(ROW(E$2:E3263)*(E3263=E$2:E3263)))))-COUNTBLANK(OFFSET(A$1,,,SUMPRODUCT(MAX(ROW(E$1:E3262)*(E2=E$1:E3262))))))</f>
        <v> </v>
      </c>
      <c r="K3263" s="25" t="str">
        <f>IF(OR(E3263="",E3263="!!!",F3263="NEW"),"",INDEX(J$1:J3262,SUMPRODUCT(MAX(ROW(E$1:E3262)*(E3263=E$1:E3262)))))</f>
        <v> </v>
      </c>
      <c r="L3263" s="26"/>
    </row>
    <row r="3264" spans="1:12">
      <c r="A3264" s="20" t="s">
        <v>1747</v>
      </c>
      <c r="B3264" s="27" t="s">
        <v>879</v>
      </c>
      <c r="C3264" s="27" t="s">
        <v>761</v>
      </c>
      <c r="D3264" s="27" t="s">
        <v>762</v>
      </c>
      <c r="E3264" s="21">
        <f>IF(D3264="?OLD","!!!","")</f>
        <v/>
      </c>
      <c r="F3264" s="22" t="str">
        <f>IF(OR(E3264="",E3264="!!!"),"",IF(NOT(ISNA(VLOOKUP(E3264,E$1:E3263,1,FALSE()))),"OLD",IF(AND(E3264&lt;&gt;"",E3264&lt;&gt;"!!!"),"NEW","")))</f>
        <v> </v>
      </c>
      <c r="G3264" s="23" t="str">
        <f>IF(OR(E3264="",E3264="!!!"),"",IF(OR(J3264=0,AND(J3264=1,K3264=1),AND(J3264=1,I3264="SBJ"),AND(J3264=1,I3264=0)),"?IN_FOCUS",IF(J3264&lt;=2,"?ACTIVATED",IF(J3264&lt;&gt;"","?FAMILIAR",IF(F3264="NEW",IF(ISNA(VLOOKUP(E3264,#REF!,1,FALSE())),"?TYPE_IDENTIFIABLE","?REFERENTIAL"),"_")))))</f>
        <v> </v>
      </c>
      <c r="H3264" s="24" t="str">
        <f>IF(J3264&lt;&gt;1,"",IF(I3264="SBJ","CB","?"))</f>
        <v> </v>
      </c>
      <c r="I3264" s="25" t="str">
        <f>IF(OR(E3264="",E3264="!!!",F3264="NEW"),"",INDEX(B3263:B$2,-1+SUMPRODUCT(MAX(ROW(E3263:E$2)*(E3264=E3263:E$2)))))</f>
        <v> </v>
      </c>
      <c r="J3264" s="25" t="str">
        <f>IF(OR(E3264="",E3264="!!!",F3264="NEW"),"",COUNTBLANK(OFFSET(A$1,,,SUMPRODUCT(MAX(ROW(E$2:E3264)*(E3264=E$2:E3264)))))-COUNTBLANK(OFFSET(A$1,,,SUMPRODUCT(MAX(ROW(E$1:E3263)*(E2=E$1:E3263))))))</f>
        <v> </v>
      </c>
      <c r="K3264" s="25" t="str">
        <f>IF(OR(E3264="",E3264="!!!",F3264="NEW"),"",INDEX(J$1:J3263,SUMPRODUCT(MAX(ROW(E$1:E3263)*(E3264=E$1:E3263)))))</f>
        <v> </v>
      </c>
      <c r="L3264" s="26"/>
    </row>
    <row r="3265" spans="1:12">
      <c r="A3265" s="20" t="s">
        <v>769</v>
      </c>
      <c r="E3265" s="21">
        <f>IF(D3265="?OLD","!!!","")</f>
        <v/>
      </c>
      <c r="F3265" s="22" t="str">
        <f>IF(OR(E3265="",E3265="!!!"),"",IF(NOT(ISNA(VLOOKUP(E3265,E$1:E3264,1,FALSE()))),"OLD",IF(AND(E3265&lt;&gt;"",E3265&lt;&gt;"!!!"),"NEW","")))</f>
        <v> </v>
      </c>
      <c r="G3265" s="23" t="str">
        <f>IF(OR(E3265="",E3265="!!!"),"",IF(OR(J3265=0,AND(J3265=1,K3265=1),AND(J3265=1,I3265="SBJ"),AND(J3265=1,I3265=0)),"?IN_FOCUS",IF(J3265&lt;=2,"?ACTIVATED",IF(J3265&lt;&gt;"","?FAMILIAR",IF(F3265="NEW",IF(ISNA(VLOOKUP(E3265,#REF!,1,FALSE())),"?TYPE_IDENTIFIABLE","?REFERENTIAL"),"_")))))</f>
        <v> </v>
      </c>
      <c r="H3265" s="24" t="str">
        <f>IF(J3265&lt;&gt;1,"",IF(I3265="SBJ","CB","?"))</f>
        <v> </v>
      </c>
      <c r="I3265" s="25" t="str">
        <f>IF(OR(E3265="",E3265="!!!",F3265="NEW"),"",INDEX(B3264:B$2,-1+SUMPRODUCT(MAX(ROW(E3264:E$2)*(E3265=E3264:E$2)))))</f>
        <v> </v>
      </c>
      <c r="J3265" s="25" t="str">
        <f>IF(OR(E3265="",E3265="!!!",F3265="NEW"),"",COUNTBLANK(OFFSET(A$1,,,SUMPRODUCT(MAX(ROW(E$2:E3265)*(E3265=E$2:E3265)))))-COUNTBLANK(OFFSET(A$1,,,SUMPRODUCT(MAX(ROW(E$1:E3264)*(E2=E$1:E3264))))))</f>
        <v> </v>
      </c>
      <c r="K3265" s="25" t="str">
        <f>IF(OR(E3265="",E3265="!!!",F3265="NEW"),"",INDEX(J$1:J3264,SUMPRODUCT(MAX(ROW(E$1:E3264)*(E3265=E$1:E3264)))))</f>
        <v> </v>
      </c>
      <c r="L3265" s="26"/>
    </row>
    <row r="3266" spans="1:12">
      <c r="A3266" s="20" t="s">
        <v>822</v>
      </c>
      <c r="E3266" s="21">
        <f>IF(D3266="?OLD","!!!","")</f>
        <v/>
      </c>
      <c r="F3266" s="22" t="str">
        <f>IF(OR(E3266="",E3266="!!!"),"",IF(NOT(ISNA(VLOOKUP(E3266,E$1:E3265,1,FALSE()))),"OLD",IF(AND(E3266&lt;&gt;"",E3266&lt;&gt;"!!!"),"NEW","")))</f>
        <v> </v>
      </c>
      <c r="G3266" s="23" t="str">
        <f>IF(OR(E3266="",E3266="!!!"),"",IF(OR(J3266=0,AND(J3266=1,K3266=1),AND(J3266=1,I3266="SBJ"),AND(J3266=1,I3266=0)),"?IN_FOCUS",IF(J3266&lt;=2,"?ACTIVATED",IF(J3266&lt;&gt;"","?FAMILIAR",IF(F3266="NEW",IF(ISNA(VLOOKUP(E3266,#REF!,1,FALSE())),"?TYPE_IDENTIFIABLE","?REFERENTIAL"),"_")))))</f>
        <v> </v>
      </c>
      <c r="H3266" s="24" t="str">
        <f>IF(J3266&lt;&gt;1,"",IF(I3266="SBJ","CB","?"))</f>
        <v> </v>
      </c>
      <c r="I3266" s="25" t="str">
        <f>IF(OR(E3266="",E3266="!!!",F3266="NEW"),"",INDEX(B3265:B$2,-1+SUMPRODUCT(MAX(ROW(E3265:E$2)*(E3266=E3265:E$2)))))</f>
        <v> </v>
      </c>
      <c r="J3266" s="25" t="str">
        <f>IF(OR(E3266="",E3266="!!!",F3266="NEW"),"",COUNTBLANK(OFFSET(A$1,,,SUMPRODUCT(MAX(ROW(E$2:E3266)*(E3266=E$2:E3266)))))-COUNTBLANK(OFFSET(A$1,,,SUMPRODUCT(MAX(ROW(E$1:E3265)*(E2=E$1:E3265))))))</f>
        <v> </v>
      </c>
      <c r="K3266" s="25" t="str">
        <f>IF(OR(E3266="",E3266="!!!",F3266="NEW"),"",INDEX(J$1:J3265,SUMPRODUCT(MAX(ROW(E$1:E3265)*(E3266=E$1:E3265)))))</f>
        <v> </v>
      </c>
      <c r="L3266" s="26"/>
    </row>
    <row r="3267" spans="1:12">
      <c r="A3267" s="20" t="s">
        <v>1748</v>
      </c>
      <c r="B3267" s="27" t="s">
        <v>901</v>
      </c>
      <c r="C3267" s="27" t="s">
        <v>837</v>
      </c>
      <c r="D3267" s="27" t="s">
        <v>762</v>
      </c>
      <c r="E3267" s="21">
        <f>IF(D3267="?OLD","!!!","")</f>
        <v/>
      </c>
      <c r="F3267" s="22" t="str">
        <f>IF(OR(E3267="",E3267="!!!"),"",IF(NOT(ISNA(VLOOKUP(E3267,E$1:E3266,1,FALSE()))),"OLD",IF(AND(E3267&lt;&gt;"",E3267&lt;&gt;"!!!"),"NEW","")))</f>
        <v> </v>
      </c>
      <c r="G3267" s="23" t="str">
        <f>IF(OR(E3267="",E3267="!!!"),"",IF(OR(J3267=0,AND(J3267=1,K3267=1),AND(J3267=1,I3267="SBJ"),AND(J3267=1,I3267=0)),"?IN_FOCUS",IF(J3267&lt;=2,"?ACTIVATED",IF(J3267&lt;&gt;"","?FAMILIAR",IF(F3267="NEW",IF(ISNA(VLOOKUP(E3267,#REF!,1,FALSE())),"?TYPE_IDENTIFIABLE","?REFERENTIAL"),"_")))))</f>
        <v> </v>
      </c>
      <c r="H3267" s="24" t="str">
        <f>IF(J3267&lt;&gt;1,"",IF(I3267="SBJ","CB","?"))</f>
        <v> </v>
      </c>
      <c r="I3267" s="25" t="str">
        <f>IF(OR(E3267="",E3267="!!!",F3267="NEW"),"",INDEX(B3266:B$2,-1+SUMPRODUCT(MAX(ROW(E3266:E$2)*(E3267=E3266:E$2)))))</f>
        <v> </v>
      </c>
      <c r="J3267" s="25" t="str">
        <f>IF(OR(E3267="",E3267="!!!",F3267="NEW"),"",COUNTBLANK(OFFSET(A$1,,,SUMPRODUCT(MAX(ROW(E$2:E3267)*(E3267=E$2:E3267)))))-COUNTBLANK(OFFSET(A$1,,,SUMPRODUCT(MAX(ROW(E$1:E3266)*(E2=E$1:E3266))))))</f>
        <v> </v>
      </c>
      <c r="K3267" s="25" t="str">
        <f>IF(OR(E3267="",E3267="!!!",F3267="NEW"),"",INDEX(J$1:J3266,SUMPRODUCT(MAX(ROW(E$1:E3266)*(E3267=E$1:E3266)))))</f>
        <v> </v>
      </c>
      <c r="L3267" s="26"/>
    </row>
    <row r="3268" spans="1:12">
      <c r="A3268" s="20" t="s">
        <v>769</v>
      </c>
      <c r="E3268" s="21">
        <f>IF(D3268="?OLD","!!!","")</f>
        <v/>
      </c>
      <c r="F3268" s="22" t="str">
        <f>IF(OR(E3268="",E3268="!!!"),"",IF(NOT(ISNA(VLOOKUP(E3268,E$1:E3267,1,FALSE()))),"OLD",IF(AND(E3268&lt;&gt;"",E3268&lt;&gt;"!!!"),"NEW","")))</f>
        <v> </v>
      </c>
      <c r="G3268" s="23" t="str">
        <f>IF(OR(E3268="",E3268="!!!"),"",IF(OR(J3268=0,AND(J3268=1,K3268=1),AND(J3268=1,I3268="SBJ"),AND(J3268=1,I3268=0)),"?IN_FOCUS",IF(J3268&lt;=2,"?ACTIVATED",IF(J3268&lt;&gt;"","?FAMILIAR",IF(F3268="NEW",IF(ISNA(VLOOKUP(E3268,#REF!,1,FALSE())),"?TYPE_IDENTIFIABLE","?REFERENTIAL"),"_")))))</f>
        <v> </v>
      </c>
      <c r="H3268" s="24" t="str">
        <f>IF(J3268&lt;&gt;1,"",IF(I3268="SBJ","CB","?"))</f>
        <v> </v>
      </c>
      <c r="I3268" s="25" t="str">
        <f>IF(OR(E3268="",E3268="!!!",F3268="NEW"),"",INDEX(B3267:B$2,-1+SUMPRODUCT(MAX(ROW(E3267:E$2)*(E3268=E3267:E$2)))))</f>
        <v> </v>
      </c>
      <c r="J3268" s="25" t="str">
        <f>IF(OR(E3268="",E3268="!!!",F3268="NEW"),"",COUNTBLANK(OFFSET(A$1,,,SUMPRODUCT(MAX(ROW(E$2:E3268)*(E3268=E$2:E3268)))))-COUNTBLANK(OFFSET(A$1,,,SUMPRODUCT(MAX(ROW(E$1:E3267)*(E2=E$1:E3267))))))</f>
        <v> </v>
      </c>
      <c r="K3268" s="25" t="str">
        <f>IF(OR(E3268="",E3268="!!!",F3268="NEW"),"",INDEX(J$1:J3267,SUMPRODUCT(MAX(ROW(E$1:E3267)*(E3268=E$1:E3267)))))</f>
        <v> </v>
      </c>
      <c r="L3268" s="26"/>
    </row>
    <row r="3269" spans="1:12">
      <c r="A3269" s="20" t="s">
        <v>1749</v>
      </c>
      <c r="B3269" s="27" t="s">
        <v>815</v>
      </c>
      <c r="C3269" s="27" t="s">
        <v>798</v>
      </c>
      <c r="D3269" s="27" t="s">
        <v>762</v>
      </c>
      <c r="E3269" s="21">
        <f>IF(D3269="?OLD","!!!","")</f>
        <v/>
      </c>
      <c r="F3269" s="22" t="str">
        <f>IF(OR(E3269="",E3269="!!!"),"",IF(NOT(ISNA(VLOOKUP(E3269,E$1:E3268,1,FALSE()))),"OLD",IF(AND(E3269&lt;&gt;"",E3269&lt;&gt;"!!!"),"NEW","")))</f>
        <v> </v>
      </c>
      <c r="G3269" s="23" t="str">
        <f>IF(OR(E3269="",E3269="!!!"),"",IF(OR(J3269=0,AND(J3269=1,K3269=1),AND(J3269=1,I3269="SBJ"),AND(J3269=1,I3269=0)),"?IN_FOCUS",IF(J3269&lt;=2,"?ACTIVATED",IF(J3269&lt;&gt;"","?FAMILIAR",IF(F3269="NEW",IF(ISNA(VLOOKUP(E3269,#REF!,1,FALSE())),"?TYPE_IDENTIFIABLE","?REFERENTIAL"),"_")))))</f>
        <v> </v>
      </c>
      <c r="H3269" s="24" t="str">
        <f>IF(J3269&lt;&gt;1,"",IF(I3269="SBJ","CB","?"))</f>
        <v> </v>
      </c>
      <c r="I3269" s="25" t="str">
        <f>IF(OR(E3269="",E3269="!!!",F3269="NEW"),"",INDEX(B3268:B$2,-1+SUMPRODUCT(MAX(ROW(E3268:E$2)*(E3269=E3268:E$2)))))</f>
        <v> </v>
      </c>
      <c r="J3269" s="25" t="str">
        <f>IF(OR(E3269="",E3269="!!!",F3269="NEW"),"",COUNTBLANK(OFFSET(A$1,,,SUMPRODUCT(MAX(ROW(E$2:E3269)*(E3269=E$2:E3269)))))-COUNTBLANK(OFFSET(A$1,,,SUMPRODUCT(MAX(ROW(E$1:E3268)*(E2=E$1:E3268))))))</f>
        <v> </v>
      </c>
      <c r="K3269" s="25" t="str">
        <f>IF(OR(E3269="",E3269="!!!",F3269="NEW"),"",INDEX(J$1:J3268,SUMPRODUCT(MAX(ROW(E$1:E3268)*(E3269=E$1:E3268)))))</f>
        <v> </v>
      </c>
      <c r="L3269" s="26"/>
    </row>
    <row r="3270" spans="1:12">
      <c r="A3270" s="20" t="s">
        <v>774</v>
      </c>
      <c r="E3270" s="21">
        <f>IF(D3270="?OLD","!!!","")</f>
        <v/>
      </c>
      <c r="F3270" s="22" t="str">
        <f>IF(OR(E3270="",E3270="!!!"),"",IF(NOT(ISNA(VLOOKUP(E3270,E$1:E3269,1,FALSE()))),"OLD",IF(AND(E3270&lt;&gt;"",E3270&lt;&gt;"!!!"),"NEW","")))</f>
        <v> </v>
      </c>
      <c r="G3270" s="23" t="str">
        <f>IF(OR(E3270="",E3270="!!!"),"",IF(OR(J3270=0,AND(J3270=1,K3270=1),AND(J3270=1,I3270="SBJ"),AND(J3270=1,I3270=0)),"?IN_FOCUS",IF(J3270&lt;=2,"?ACTIVATED",IF(J3270&lt;&gt;"","?FAMILIAR",IF(F3270="NEW",IF(ISNA(VLOOKUP(E3270,#REF!,1,FALSE())),"?TYPE_IDENTIFIABLE","?REFERENTIAL"),"_")))))</f>
        <v> </v>
      </c>
      <c r="H3270" s="24" t="str">
        <f>IF(J3270&lt;&gt;1,"",IF(I3270="SBJ","CB","?"))</f>
        <v> </v>
      </c>
      <c r="I3270" s="25" t="str">
        <f>IF(OR(E3270="",E3270="!!!",F3270="NEW"),"",INDEX(B3269:B$2,-1+SUMPRODUCT(MAX(ROW(E3269:E$2)*(E3270=E3269:E$2)))))</f>
        <v> </v>
      </c>
      <c r="J3270" s="25" t="str">
        <f>IF(OR(E3270="",E3270="!!!",F3270="NEW"),"",COUNTBLANK(OFFSET(A$1,,,SUMPRODUCT(MAX(ROW(E$2:E3270)*(E3270=E$2:E3270)))))-COUNTBLANK(OFFSET(A$1,,,SUMPRODUCT(MAX(ROW(E$1:E3269)*(E2=E$1:E3269))))))</f>
        <v> </v>
      </c>
      <c r="K3270" s="25" t="str">
        <f>IF(OR(E3270="",E3270="!!!",F3270="NEW"),"",INDEX(J$1:J3269,SUMPRODUCT(MAX(ROW(E$1:E3269)*(E3270=E$1:E3269)))))</f>
        <v> </v>
      </c>
      <c r="L3270" s="26"/>
    </row>
    <row r="3271" spans="1:12">
      <c r="A3271" s="20"/>
    </row>
    <row r="3272" spans="1:12">
      <c r="A3272" s="20" t="s">
        <v>1750</v>
      </c>
    </row>
    <row r="3273" spans="1:12">
      <c r="A3273" s="20" t="s">
        <v>1751</v>
      </c>
      <c r="B3273" s="27" t="s">
        <v>760</v>
      </c>
      <c r="C3273" s="27" t="s">
        <v>777</v>
      </c>
      <c r="D3273" s="27" t="s">
        <v>762</v>
      </c>
      <c r="E3273" s="21">
        <f>IF(D3273="?OLD","!!!","")</f>
        <v/>
      </c>
      <c r="F3273" s="22" t="str">
        <f>IF(OR(E3273="",E3273="!!!"),"",IF(NOT(ISNA(VLOOKUP(E3273,E$1:E3272,1,FALSE()))),"OLD",IF(AND(E3273&lt;&gt;"",E3273&lt;&gt;"!!!"),"NEW","")))</f>
        <v> </v>
      </c>
      <c r="G3273" s="23" t="str">
        <f>IF(OR(E3273="",E3273="!!!"),"",IF(OR(J3273=0,AND(J3273=1,K3273=1),AND(J3273=1,I3273="SBJ"),AND(J3273=1,I3273=0)),"?IN_FOCUS",IF(J3273&lt;=2,"?ACTIVATED",IF(J3273&lt;&gt;"","?FAMILIAR",IF(F3273="NEW",IF(ISNA(VLOOKUP(E3273,#REF!,1,FALSE())),"?TYPE_IDENTIFIABLE","?REFERENTIAL"),"_")))))</f>
        <v> </v>
      </c>
      <c r="H3273" s="24" t="str">
        <f>IF(J3273&lt;&gt;1,"",IF(I3273="SBJ","CB","?"))</f>
        <v> </v>
      </c>
      <c r="I3273" s="25" t="str">
        <f>IF(OR(E3273="",E3273="!!!",F3273="NEW"),"",INDEX(B3272:B$2,-1+SUMPRODUCT(MAX(ROW(E3272:E$2)*(E3273=E3272:E$2)))))</f>
        <v> </v>
      </c>
      <c r="J3273" s="25" t="str">
        <f>IF(OR(E3273="",E3273="!!!",F3273="NEW"),"",COUNTBLANK(OFFSET(A$1,,,SUMPRODUCT(MAX(ROW(E$2:E3273)*(E3273=E$2:E3273)))))-COUNTBLANK(OFFSET(A$1,,,SUMPRODUCT(MAX(ROW(E$1:E3272)*(E2=E$1:E3272))))))</f>
        <v> </v>
      </c>
      <c r="K3273" s="25" t="str">
        <f>IF(OR(E3273="",E3273="!!!",F3273="NEW"),"",INDEX(J$1:J3272,SUMPRODUCT(MAX(ROW(E$1:E3272)*(E3273=E$1:E3272)))))</f>
        <v> </v>
      </c>
      <c r="L3273" s="26"/>
    </row>
    <row r="3274" spans="1:12">
      <c r="A3274" s="20" t="s">
        <v>887</v>
      </c>
      <c r="E3274" s="21">
        <f>IF(D3274="?OLD","!!!","")</f>
        <v/>
      </c>
      <c r="F3274" s="22" t="str">
        <f>IF(OR(E3274="",E3274="!!!"),"",IF(NOT(ISNA(VLOOKUP(E3274,E$1:E3273,1,FALSE()))),"OLD",IF(AND(E3274&lt;&gt;"",E3274&lt;&gt;"!!!"),"NEW","")))</f>
        <v> </v>
      </c>
      <c r="G3274" s="23" t="str">
        <f>IF(OR(E3274="",E3274="!!!"),"",IF(OR(J3274=0,AND(J3274=1,K3274=1),AND(J3274=1,I3274="SBJ"),AND(J3274=1,I3274=0)),"?IN_FOCUS",IF(J3274&lt;=2,"?ACTIVATED",IF(J3274&lt;&gt;"","?FAMILIAR",IF(F3274="NEW",IF(ISNA(VLOOKUP(E3274,#REF!,1,FALSE())),"?TYPE_IDENTIFIABLE","?REFERENTIAL"),"_")))))</f>
        <v> </v>
      </c>
      <c r="H3274" s="24" t="str">
        <f>IF(J3274&lt;&gt;1,"",IF(I3274="SBJ","CB","?"))</f>
        <v> </v>
      </c>
      <c r="I3274" s="25" t="str">
        <f>IF(OR(E3274="",E3274="!!!",F3274="NEW"),"",INDEX(B3273:B$2,-1+SUMPRODUCT(MAX(ROW(E3273:E$2)*(E3274=E3273:E$2)))))</f>
        <v> </v>
      </c>
      <c r="J3274" s="25" t="str">
        <f>IF(OR(E3274="",E3274="!!!",F3274="NEW"),"",COUNTBLANK(OFFSET(A$1,,,SUMPRODUCT(MAX(ROW(E$2:E3274)*(E3274=E$2:E3274)))))-COUNTBLANK(OFFSET(A$1,,,SUMPRODUCT(MAX(ROW(E$1:E3273)*(E2=E$1:E3273))))))</f>
        <v> </v>
      </c>
      <c r="K3274" s="25" t="str">
        <f>IF(OR(E3274="",E3274="!!!",F3274="NEW"),"",INDEX(J$1:J3273,SUMPRODUCT(MAX(ROW(E$1:E3273)*(E3274=E$1:E3273)))))</f>
        <v> </v>
      </c>
      <c r="L3274" s="26"/>
    </row>
    <row r="3275" spans="1:12">
      <c r="A3275" s="20" t="s">
        <v>1752</v>
      </c>
      <c r="E3275" s="21">
        <f>IF(D3275="?OLD","!!!","")</f>
        <v/>
      </c>
      <c r="F3275" s="22" t="str">
        <f>IF(OR(E3275="",E3275="!!!"),"",IF(NOT(ISNA(VLOOKUP(E3275,E$1:E3274,1,FALSE()))),"OLD",IF(AND(E3275&lt;&gt;"",E3275&lt;&gt;"!!!"),"NEW","")))</f>
        <v> </v>
      </c>
      <c r="G3275" s="23" t="str">
        <f>IF(OR(E3275="",E3275="!!!"),"",IF(OR(J3275=0,AND(J3275=1,K3275=1),AND(J3275=1,I3275="SBJ"),AND(J3275=1,I3275=0)),"?IN_FOCUS",IF(J3275&lt;=2,"?ACTIVATED",IF(J3275&lt;&gt;"","?FAMILIAR",IF(F3275="NEW",IF(ISNA(VLOOKUP(E3275,#REF!,1,FALSE())),"?TYPE_IDENTIFIABLE","?REFERENTIAL"),"_")))))</f>
        <v> </v>
      </c>
      <c r="H3275" s="24" t="str">
        <f>IF(J3275&lt;&gt;1,"",IF(I3275="SBJ","CB","?"))</f>
        <v> </v>
      </c>
      <c r="I3275" s="25" t="str">
        <f>IF(OR(E3275="",E3275="!!!",F3275="NEW"),"",INDEX(B3274:B$2,-1+SUMPRODUCT(MAX(ROW(E3274:E$2)*(E3275=E3274:E$2)))))</f>
        <v> </v>
      </c>
      <c r="J3275" s="25" t="str">
        <f>IF(OR(E3275="",E3275="!!!",F3275="NEW"),"",COUNTBLANK(OFFSET(A$1,,,SUMPRODUCT(MAX(ROW(E$2:E3275)*(E3275=E$2:E3275)))))-COUNTBLANK(OFFSET(A$1,,,SUMPRODUCT(MAX(ROW(E$1:E3274)*(E2=E$1:E3274))))))</f>
        <v> </v>
      </c>
      <c r="K3275" s="25" t="str">
        <f>IF(OR(E3275="",E3275="!!!",F3275="NEW"),"",INDEX(J$1:J3274,SUMPRODUCT(MAX(ROW(E$1:E3274)*(E3275=E$1:E3274)))))</f>
        <v> </v>
      </c>
      <c r="L3275" s="26"/>
    </row>
    <row r="3276" spans="1:12">
      <c r="A3276" s="20" t="s">
        <v>1323</v>
      </c>
      <c r="B3276" s="27" t="s">
        <v>767</v>
      </c>
      <c r="E3276" s="21">
        <f>IF(D3276="?OLD","!!!","")</f>
        <v/>
      </c>
      <c r="F3276" s="22" t="str">
        <f>IF(OR(E3276="",E3276="!!!"),"",IF(NOT(ISNA(VLOOKUP(E3276,E$1:E3275,1,FALSE()))),"OLD",IF(AND(E3276&lt;&gt;"",E3276&lt;&gt;"!!!"),"NEW","")))</f>
        <v> </v>
      </c>
      <c r="G3276" s="23" t="str">
        <f>IF(OR(E3276="",E3276="!!!"),"",IF(OR(J3276=0,AND(J3276=1,K3276=1),AND(J3276=1,I3276="SBJ"),AND(J3276=1,I3276=0)),"?IN_FOCUS",IF(J3276&lt;=2,"?ACTIVATED",IF(J3276&lt;&gt;"","?FAMILIAR",IF(F3276="NEW",IF(ISNA(VLOOKUP(E3276,#REF!,1,FALSE())),"?TYPE_IDENTIFIABLE","?REFERENTIAL"),"_")))))</f>
        <v> </v>
      </c>
      <c r="H3276" s="24" t="str">
        <f>IF(J3276&lt;&gt;1,"",IF(I3276="SBJ","CB","?"))</f>
        <v> </v>
      </c>
      <c r="I3276" s="25" t="str">
        <f>IF(OR(E3276="",E3276="!!!",F3276="NEW"),"",INDEX(B3275:B$2,-1+SUMPRODUCT(MAX(ROW(E3275:E$2)*(E3276=E3275:E$2)))))</f>
        <v> </v>
      </c>
      <c r="J3276" s="25" t="str">
        <f>IF(OR(E3276="",E3276="!!!",F3276="NEW"),"",COUNTBLANK(OFFSET(A$1,,,SUMPRODUCT(MAX(ROW(E$2:E3276)*(E3276=E$2:E3276)))))-COUNTBLANK(OFFSET(A$1,,,SUMPRODUCT(MAX(ROW(E$1:E3275)*(E2=E$1:E3275))))))</f>
        <v> </v>
      </c>
      <c r="K3276" s="25" t="str">
        <f>IF(OR(E3276="",E3276="!!!",F3276="NEW"),"",INDEX(J$1:J3275,SUMPRODUCT(MAX(ROW(E$1:E3275)*(E3276=E$1:E3275)))))</f>
        <v> </v>
      </c>
      <c r="L3276" s="26"/>
    </row>
    <row r="3277" spans="1:12">
      <c r="A3277" s="20" t="s">
        <v>769</v>
      </c>
      <c r="E3277" s="21">
        <f>IF(D3277="?OLD","!!!","")</f>
        <v/>
      </c>
      <c r="F3277" s="22" t="str">
        <f>IF(OR(E3277="",E3277="!!!"),"",IF(NOT(ISNA(VLOOKUP(E3277,E$1:E3276,1,FALSE()))),"OLD",IF(AND(E3277&lt;&gt;"",E3277&lt;&gt;"!!!"),"NEW","")))</f>
        <v> </v>
      </c>
      <c r="G3277" s="23" t="str">
        <f>IF(OR(E3277="",E3277="!!!"),"",IF(OR(J3277=0,AND(J3277=1,K3277=1),AND(J3277=1,I3277="SBJ"),AND(J3277=1,I3277=0)),"?IN_FOCUS",IF(J3277&lt;=2,"?ACTIVATED",IF(J3277&lt;&gt;"","?FAMILIAR",IF(F3277="NEW",IF(ISNA(VLOOKUP(E3277,#REF!,1,FALSE())),"?TYPE_IDENTIFIABLE","?REFERENTIAL"),"_")))))</f>
        <v> </v>
      </c>
      <c r="H3277" s="24" t="str">
        <f>IF(J3277&lt;&gt;1,"",IF(I3277="SBJ","CB","?"))</f>
        <v> </v>
      </c>
      <c r="I3277" s="25" t="str">
        <f>IF(OR(E3277="",E3277="!!!",F3277="NEW"),"",INDEX(B3276:B$2,-1+SUMPRODUCT(MAX(ROW(E3276:E$2)*(E3277=E3276:E$2)))))</f>
        <v> </v>
      </c>
      <c r="J3277" s="25" t="str">
        <f>IF(OR(E3277="",E3277="!!!",F3277="NEW"),"",COUNTBLANK(OFFSET(A$1,,,SUMPRODUCT(MAX(ROW(E$2:E3277)*(E3277=E$2:E3277)))))-COUNTBLANK(OFFSET(A$1,,,SUMPRODUCT(MAX(ROW(E$1:E3276)*(E2=E$1:E3276))))))</f>
        <v> </v>
      </c>
      <c r="K3277" s="25" t="str">
        <f>IF(OR(E3277="",E3277="!!!",F3277="NEW"),"",INDEX(J$1:J3276,SUMPRODUCT(MAX(ROW(E$1:E3276)*(E3277=E$1:E3276)))))</f>
        <v> </v>
      </c>
      <c r="L3277" s="26"/>
    </row>
    <row r="3278" spans="1:12">
      <c r="A3278" s="20" t="s">
        <v>1265</v>
      </c>
      <c r="B3278" s="27" t="s">
        <v>772</v>
      </c>
      <c r="C3278" s="27" t="s">
        <v>754</v>
      </c>
      <c r="E3278" s="21">
        <f>IF(D3278="?OLD","!!!","")</f>
        <v/>
      </c>
      <c r="F3278" s="22" t="str">
        <f>IF(OR(E3278="",E3278="!!!"),"",IF(NOT(ISNA(VLOOKUP(E3278,E$1:E3277,1,FALSE()))),"OLD",IF(AND(E3278&lt;&gt;"",E3278&lt;&gt;"!!!"),"NEW","")))</f>
        <v> </v>
      </c>
      <c r="G3278" s="23" t="str">
        <f>IF(OR(E3278="",E3278="!!!"),"",IF(OR(J3278=0,AND(J3278=1,K3278=1),AND(J3278=1,I3278="SBJ"),AND(J3278=1,I3278=0)),"?IN_FOCUS",IF(J3278&lt;=2,"?ACTIVATED",IF(J3278&lt;&gt;"","?FAMILIAR",IF(F3278="NEW",IF(ISNA(VLOOKUP(E3278,#REF!,1,FALSE())),"?TYPE_IDENTIFIABLE","?REFERENTIAL"),"_")))))</f>
        <v> </v>
      </c>
      <c r="H3278" s="24" t="str">
        <f>IF(J3278&lt;&gt;1,"",IF(I3278="SBJ","CB","?"))</f>
        <v> </v>
      </c>
      <c r="I3278" s="25" t="str">
        <f>IF(OR(E3278="",E3278="!!!",F3278="NEW"),"",INDEX(B3277:B$2,-1+SUMPRODUCT(MAX(ROW(E3277:E$2)*(E3278=E3277:E$2)))))</f>
        <v> </v>
      </c>
      <c r="J3278" s="25" t="str">
        <f>IF(OR(E3278="",E3278="!!!",F3278="NEW"),"",COUNTBLANK(OFFSET(A$1,,,SUMPRODUCT(MAX(ROW(E$2:E3278)*(E3278=E$2:E3278)))))-COUNTBLANK(OFFSET(A$1,,,SUMPRODUCT(MAX(ROW(E$1:E3277)*(E2=E$1:E3277))))))</f>
        <v> </v>
      </c>
      <c r="K3278" s="25" t="str">
        <f>IF(OR(E3278="",E3278="!!!",F3278="NEW"),"",INDEX(J$1:J3277,SUMPRODUCT(MAX(ROW(E$1:E3277)*(E3278=E$1:E3277)))))</f>
        <v> </v>
      </c>
      <c r="L3278" s="26"/>
    </row>
    <row r="3279" spans="1:12">
      <c r="A3279" s="20" t="s">
        <v>942</v>
      </c>
      <c r="E3279" s="21">
        <f>IF(D3279="?OLD","!!!","")</f>
        <v/>
      </c>
      <c r="F3279" s="22" t="str">
        <f>IF(OR(E3279="",E3279="!!!"),"",IF(NOT(ISNA(VLOOKUP(E3279,E$1:E3278,1,FALSE()))),"OLD",IF(AND(E3279&lt;&gt;"",E3279&lt;&gt;"!!!"),"NEW","")))</f>
        <v> </v>
      </c>
      <c r="G3279" s="23" t="str">
        <f>IF(OR(E3279="",E3279="!!!"),"",IF(OR(J3279=0,AND(J3279=1,K3279=1),AND(J3279=1,I3279="SBJ"),AND(J3279=1,I3279=0)),"?IN_FOCUS",IF(J3279&lt;=2,"?ACTIVATED",IF(J3279&lt;&gt;"","?FAMILIAR",IF(F3279="NEW",IF(ISNA(VLOOKUP(E3279,#REF!,1,FALSE())),"?TYPE_IDENTIFIABLE","?REFERENTIAL"),"_")))))</f>
        <v> </v>
      </c>
      <c r="H3279" s="24" t="str">
        <f>IF(J3279&lt;&gt;1,"",IF(I3279="SBJ","CB","?"))</f>
        <v> </v>
      </c>
      <c r="I3279" s="25" t="str">
        <f>IF(OR(E3279="",E3279="!!!",F3279="NEW"),"",INDEX(B3278:B$2,-1+SUMPRODUCT(MAX(ROW(E3278:E$2)*(E3279=E3278:E$2)))))</f>
        <v> </v>
      </c>
      <c r="J3279" s="25" t="str">
        <f>IF(OR(E3279="",E3279="!!!",F3279="NEW"),"",COUNTBLANK(OFFSET(A$1,,,SUMPRODUCT(MAX(ROW(E$2:E3279)*(E3279=E$2:E3279)))))-COUNTBLANK(OFFSET(A$1,,,SUMPRODUCT(MAX(ROW(E$1:E3278)*(E2=E$1:E3278))))))</f>
        <v> </v>
      </c>
      <c r="K3279" s="25" t="str">
        <f>IF(OR(E3279="",E3279="!!!",F3279="NEW"),"",INDEX(J$1:J3278,SUMPRODUCT(MAX(ROW(E$1:E3278)*(E3279=E$1:E3278)))))</f>
        <v> </v>
      </c>
      <c r="L3279" s="26"/>
    </row>
    <row r="3280" spans="1:12">
      <c r="A3280" s="20" t="s">
        <v>838</v>
      </c>
      <c r="B3280" s="27" t="s">
        <v>802</v>
      </c>
      <c r="C3280" s="27" t="s">
        <v>797</v>
      </c>
      <c r="D3280" s="27" t="s">
        <v>762</v>
      </c>
      <c r="E3280" s="21">
        <f>IF(D3280="?OLD","!!!","")</f>
        <v/>
      </c>
      <c r="F3280" s="22" t="str">
        <f>IF(OR(E3280="",E3280="!!!"),"",IF(NOT(ISNA(VLOOKUP(E3280,E$1:E3279,1,FALSE()))),"OLD",IF(AND(E3280&lt;&gt;"",E3280&lt;&gt;"!!!"),"NEW","")))</f>
        <v> </v>
      </c>
      <c r="G3280" s="23" t="str">
        <f>IF(OR(E3280="",E3280="!!!"),"",IF(OR(J3280=0,AND(J3280=1,K3280=1),AND(J3280=1,I3280="SBJ"),AND(J3280=1,I3280=0)),"?IN_FOCUS",IF(J3280&lt;=2,"?ACTIVATED",IF(J3280&lt;&gt;"","?FAMILIAR",IF(F3280="NEW",IF(ISNA(VLOOKUP(E3280,#REF!,1,FALSE())),"?TYPE_IDENTIFIABLE","?REFERENTIAL"),"_")))))</f>
        <v> </v>
      </c>
      <c r="H3280" s="24" t="str">
        <f>IF(J3280&lt;&gt;1,"",IF(I3280="SBJ","CB","?"))</f>
        <v> </v>
      </c>
      <c r="I3280" s="25" t="str">
        <f>IF(OR(E3280="",E3280="!!!",F3280="NEW"),"",INDEX(B3279:B$2,-1+SUMPRODUCT(MAX(ROW(E3279:E$2)*(E3280=E3279:E$2)))))</f>
        <v> </v>
      </c>
      <c r="J3280" s="25" t="str">
        <f>IF(OR(E3280="",E3280="!!!",F3280="NEW"),"",COUNTBLANK(OFFSET(A$1,,,SUMPRODUCT(MAX(ROW(E$2:E3280)*(E3280=E$2:E3280)))))-COUNTBLANK(OFFSET(A$1,,,SUMPRODUCT(MAX(ROW(E$1:E3279)*(E2=E$1:E3279))))))</f>
        <v> </v>
      </c>
      <c r="K3280" s="25" t="str">
        <f>IF(OR(E3280="",E3280="!!!",F3280="NEW"),"",INDEX(J$1:J3279,SUMPRODUCT(MAX(ROW(E$1:E3279)*(E3280=E$1:E3279)))))</f>
        <v> </v>
      </c>
      <c r="L3280" s="26"/>
    </row>
    <row r="3281" spans="1:12">
      <c r="A3281" s="20" t="s">
        <v>1753</v>
      </c>
      <c r="E3281" s="21">
        <f>IF(D3281="?OLD","!!!","")</f>
        <v/>
      </c>
      <c r="F3281" s="22" t="str">
        <f>IF(OR(E3281="",E3281="!!!"),"",IF(NOT(ISNA(VLOOKUP(E3281,E$1:E3280,1,FALSE()))),"OLD",IF(AND(E3281&lt;&gt;"",E3281&lt;&gt;"!!!"),"NEW","")))</f>
        <v> </v>
      </c>
      <c r="G3281" s="23" t="str">
        <f>IF(OR(E3281="",E3281="!!!"),"",IF(OR(J3281=0,AND(J3281=1,K3281=1),AND(J3281=1,I3281="SBJ"),AND(J3281=1,I3281=0)),"?IN_FOCUS",IF(J3281&lt;=2,"?ACTIVATED",IF(J3281&lt;&gt;"","?FAMILIAR",IF(F3281="NEW",IF(ISNA(VLOOKUP(E3281,#REF!,1,FALSE())),"?TYPE_IDENTIFIABLE","?REFERENTIAL"),"_")))))</f>
        <v> </v>
      </c>
      <c r="H3281" s="24" t="str">
        <f>IF(J3281&lt;&gt;1,"",IF(I3281="SBJ","CB","?"))</f>
        <v> </v>
      </c>
      <c r="I3281" s="25" t="str">
        <f>IF(OR(E3281="",E3281="!!!",F3281="NEW"),"",INDEX(B3280:B$2,-1+SUMPRODUCT(MAX(ROW(E3280:E$2)*(E3281=E3280:E$2)))))</f>
        <v> </v>
      </c>
      <c r="J3281" s="25" t="str">
        <f>IF(OR(E3281="",E3281="!!!",F3281="NEW"),"",COUNTBLANK(OFFSET(A$1,,,SUMPRODUCT(MAX(ROW(E$2:E3281)*(E3281=E$2:E3281)))))-COUNTBLANK(OFFSET(A$1,,,SUMPRODUCT(MAX(ROW(E$1:E3280)*(E2=E$1:E3280))))))</f>
        <v> </v>
      </c>
      <c r="K3281" s="25" t="str">
        <f>IF(OR(E3281="",E3281="!!!",F3281="NEW"),"",INDEX(J$1:J3280,SUMPRODUCT(MAX(ROW(E$1:E3280)*(E3281=E$1:E3280)))))</f>
        <v> </v>
      </c>
      <c r="L3281" s="26"/>
    </row>
    <row r="3282" spans="1:12">
      <c r="A3282" s="20" t="s">
        <v>769</v>
      </c>
      <c r="E3282" s="21">
        <f>IF(D3282="?OLD","!!!","")</f>
        <v/>
      </c>
      <c r="F3282" s="22" t="str">
        <f>IF(OR(E3282="",E3282="!!!"),"",IF(NOT(ISNA(VLOOKUP(E3282,E$1:E3281,1,FALSE()))),"OLD",IF(AND(E3282&lt;&gt;"",E3282&lt;&gt;"!!!"),"NEW","")))</f>
        <v> </v>
      </c>
      <c r="G3282" s="23" t="str">
        <f>IF(OR(E3282="",E3282="!!!"),"",IF(OR(J3282=0,AND(J3282=1,K3282=1),AND(J3282=1,I3282="SBJ"),AND(J3282=1,I3282=0)),"?IN_FOCUS",IF(J3282&lt;=2,"?ACTIVATED",IF(J3282&lt;&gt;"","?FAMILIAR",IF(F3282="NEW",IF(ISNA(VLOOKUP(E3282,#REF!,1,FALSE())),"?TYPE_IDENTIFIABLE","?REFERENTIAL"),"_")))))</f>
        <v> </v>
      </c>
      <c r="H3282" s="24" t="str">
        <f>IF(J3282&lt;&gt;1,"",IF(I3282="SBJ","CB","?"))</f>
        <v> </v>
      </c>
      <c r="I3282" s="25" t="str">
        <f>IF(OR(E3282="",E3282="!!!",F3282="NEW"),"",INDEX(B3281:B$2,-1+SUMPRODUCT(MAX(ROW(E3281:E$2)*(E3282=E3281:E$2)))))</f>
        <v> </v>
      </c>
      <c r="J3282" s="25" t="str">
        <f>IF(OR(E3282="",E3282="!!!",F3282="NEW"),"",COUNTBLANK(OFFSET(A$1,,,SUMPRODUCT(MAX(ROW(E$2:E3282)*(E3282=E$2:E3282)))))-COUNTBLANK(OFFSET(A$1,,,SUMPRODUCT(MAX(ROW(E$1:E3281)*(E2=E$1:E3281))))))</f>
        <v> </v>
      </c>
      <c r="K3282" s="25" t="str">
        <f>IF(OR(E3282="",E3282="!!!",F3282="NEW"),"",INDEX(J$1:J3281,SUMPRODUCT(MAX(ROW(E$1:E3281)*(E3282=E$1:E3281)))))</f>
        <v> </v>
      </c>
      <c r="L3282" s="26"/>
    </row>
    <row r="3283" spans="1:12">
      <c r="A3283" s="20" t="s">
        <v>975</v>
      </c>
      <c r="B3283" s="27" t="s">
        <v>894</v>
      </c>
      <c r="C3283" s="27" t="s">
        <v>797</v>
      </c>
      <c r="D3283" s="27" t="s">
        <v>762</v>
      </c>
      <c r="E3283" s="21">
        <f>IF(D3283="?OLD","!!!","")</f>
        <v/>
      </c>
      <c r="F3283" s="22" t="str">
        <f>IF(OR(E3283="",E3283="!!!"),"",IF(NOT(ISNA(VLOOKUP(E3283,E$1:E3282,1,FALSE()))),"OLD",IF(AND(E3283&lt;&gt;"",E3283&lt;&gt;"!!!"),"NEW","")))</f>
        <v> </v>
      </c>
      <c r="G3283" s="23" t="str">
        <f>IF(OR(E3283="",E3283="!!!"),"",IF(OR(J3283=0,AND(J3283=1,K3283=1),AND(J3283=1,I3283="SBJ"),AND(J3283=1,I3283=0)),"?IN_FOCUS",IF(J3283&lt;=2,"?ACTIVATED",IF(J3283&lt;&gt;"","?FAMILIAR",IF(F3283="NEW",IF(ISNA(VLOOKUP(E3283,#REF!,1,FALSE())),"?TYPE_IDENTIFIABLE","?REFERENTIAL"),"_")))))</f>
        <v> </v>
      </c>
      <c r="H3283" s="24" t="str">
        <f>IF(J3283&lt;&gt;1,"",IF(I3283="SBJ","CB","?"))</f>
        <v> </v>
      </c>
      <c r="I3283" s="25" t="str">
        <f>IF(OR(E3283="",E3283="!!!",F3283="NEW"),"",INDEX(B3282:B$2,-1+SUMPRODUCT(MAX(ROW(E3282:E$2)*(E3283=E3282:E$2)))))</f>
        <v> </v>
      </c>
      <c r="J3283" s="25" t="str">
        <f>IF(OR(E3283="",E3283="!!!",F3283="NEW"),"",COUNTBLANK(OFFSET(A$1,,,SUMPRODUCT(MAX(ROW(E$2:E3283)*(E3283=E$2:E3283)))))-COUNTBLANK(OFFSET(A$1,,,SUMPRODUCT(MAX(ROW(E$1:E3282)*(E2=E$1:E3282))))))</f>
        <v> </v>
      </c>
      <c r="K3283" s="25" t="str">
        <f>IF(OR(E3283="",E3283="!!!",F3283="NEW"),"",INDEX(J$1:J3282,SUMPRODUCT(MAX(ROW(E$1:E3282)*(E3283=E$1:E3282)))))</f>
        <v> </v>
      </c>
      <c r="L3283" s="26"/>
    </row>
    <row r="3284" spans="1:12">
      <c r="A3284" s="20" t="s">
        <v>1754</v>
      </c>
      <c r="E3284" s="21">
        <f>IF(D3284="?OLD","!!!","")</f>
        <v/>
      </c>
      <c r="F3284" s="22" t="str">
        <f>IF(OR(E3284="",E3284="!!!"),"",IF(NOT(ISNA(VLOOKUP(E3284,E$1:E3283,1,FALSE()))),"OLD",IF(AND(E3284&lt;&gt;"",E3284&lt;&gt;"!!!"),"NEW","")))</f>
        <v> </v>
      </c>
      <c r="G3284" s="23" t="str">
        <f>IF(OR(E3284="",E3284="!!!"),"",IF(OR(J3284=0,AND(J3284=1,K3284=1),AND(J3284=1,I3284="SBJ"),AND(J3284=1,I3284=0)),"?IN_FOCUS",IF(J3284&lt;=2,"?ACTIVATED",IF(J3284&lt;&gt;"","?FAMILIAR",IF(F3284="NEW",IF(ISNA(VLOOKUP(E3284,#REF!,1,FALSE())),"?TYPE_IDENTIFIABLE","?REFERENTIAL"),"_")))))</f>
        <v> </v>
      </c>
      <c r="H3284" s="24" t="str">
        <f>IF(J3284&lt;&gt;1,"",IF(I3284="SBJ","CB","?"))</f>
        <v> </v>
      </c>
      <c r="I3284" s="25" t="str">
        <f>IF(OR(E3284="",E3284="!!!",F3284="NEW"),"",INDEX(B3283:B$2,-1+SUMPRODUCT(MAX(ROW(E3283:E$2)*(E3284=E3283:E$2)))))</f>
        <v> </v>
      </c>
      <c r="J3284" s="25" t="str">
        <f>IF(OR(E3284="",E3284="!!!",F3284="NEW"),"",COUNTBLANK(OFFSET(A$1,,,SUMPRODUCT(MAX(ROW(E$2:E3284)*(E3284=E$2:E3284)))))-COUNTBLANK(OFFSET(A$1,,,SUMPRODUCT(MAX(ROW(E$1:E3283)*(E2=E$1:E3283))))))</f>
        <v> </v>
      </c>
      <c r="K3284" s="25" t="str">
        <f>IF(OR(E3284="",E3284="!!!",F3284="NEW"),"",INDEX(J$1:J3283,SUMPRODUCT(MAX(ROW(E$1:E3283)*(E3284=E$1:E3283)))))</f>
        <v> </v>
      </c>
      <c r="L3284" s="26"/>
    </row>
    <row r="3285" spans="1:12">
      <c r="A3285" s="20" t="s">
        <v>757</v>
      </c>
      <c r="E3285" s="21">
        <f>IF(D3285="?OLD","!!!","")</f>
        <v/>
      </c>
      <c r="F3285" s="22" t="str">
        <f>IF(OR(E3285="",E3285="!!!"),"",IF(NOT(ISNA(VLOOKUP(E3285,E$1:E3284,1,FALSE()))),"OLD",IF(AND(E3285&lt;&gt;"",E3285&lt;&gt;"!!!"),"NEW","")))</f>
        <v> </v>
      </c>
      <c r="G3285" s="23" t="str">
        <f>IF(OR(E3285="",E3285="!!!"),"",IF(OR(J3285=0,AND(J3285=1,K3285=1),AND(J3285=1,I3285="SBJ"),AND(J3285=1,I3285=0)),"?IN_FOCUS",IF(J3285&lt;=2,"?ACTIVATED",IF(J3285&lt;&gt;"","?FAMILIAR",IF(F3285="NEW",IF(ISNA(VLOOKUP(E3285,#REF!,1,FALSE())),"?TYPE_IDENTIFIABLE","?REFERENTIAL"),"_")))))</f>
        <v> </v>
      </c>
      <c r="H3285" s="24" t="str">
        <f>IF(J3285&lt;&gt;1,"",IF(I3285="SBJ","CB","?"))</f>
        <v> </v>
      </c>
      <c r="I3285" s="25" t="str">
        <f>IF(OR(E3285="",E3285="!!!",F3285="NEW"),"",INDEX(B3284:B$2,-1+SUMPRODUCT(MAX(ROW(E3284:E$2)*(E3285=E3284:E$2)))))</f>
        <v> </v>
      </c>
      <c r="J3285" s="25" t="str">
        <f>IF(OR(E3285="",E3285="!!!",F3285="NEW"),"",COUNTBLANK(OFFSET(A$1,,,SUMPRODUCT(MAX(ROW(E$2:E3285)*(E3285=E$2:E3285)))))-COUNTBLANK(OFFSET(A$1,,,SUMPRODUCT(MAX(ROW(E$1:E3284)*(E2=E$1:E3284))))))</f>
        <v> </v>
      </c>
      <c r="K3285" s="25" t="str">
        <f>IF(OR(E3285="",E3285="!!!",F3285="NEW"),"",INDEX(J$1:J3284,SUMPRODUCT(MAX(ROW(E$1:E3284)*(E3285=E$1:E3284)))))</f>
        <v> </v>
      </c>
      <c r="L3285" s="26"/>
    </row>
    <row r="3286" spans="1:12">
      <c r="A3286" s="20" t="s">
        <v>764</v>
      </c>
      <c r="E3286" s="21">
        <f>IF(D3286="?OLD","!!!","")</f>
        <v/>
      </c>
      <c r="F3286" s="22" t="str">
        <f>IF(OR(E3286="",E3286="!!!"),"",IF(NOT(ISNA(VLOOKUP(E3286,E$1:E3285,1,FALSE()))),"OLD",IF(AND(E3286&lt;&gt;"",E3286&lt;&gt;"!!!"),"NEW","")))</f>
        <v> </v>
      </c>
      <c r="G3286" s="23" t="str">
        <f>IF(OR(E3286="",E3286="!!!"),"",IF(OR(J3286=0,AND(J3286=1,K3286=1),AND(J3286=1,I3286="SBJ"),AND(J3286=1,I3286=0)),"?IN_FOCUS",IF(J3286&lt;=2,"?ACTIVATED",IF(J3286&lt;&gt;"","?FAMILIAR",IF(F3286="NEW",IF(ISNA(VLOOKUP(E3286,#REF!,1,FALSE())),"?TYPE_IDENTIFIABLE","?REFERENTIAL"),"_")))))</f>
        <v> </v>
      </c>
      <c r="H3286" s="24" t="str">
        <f>IF(J3286&lt;&gt;1,"",IF(I3286="SBJ","CB","?"))</f>
        <v> </v>
      </c>
      <c r="I3286" s="25" t="str">
        <f>IF(OR(E3286="",E3286="!!!",F3286="NEW"),"",INDEX(B3285:B$2,-1+SUMPRODUCT(MAX(ROW(E3285:E$2)*(E3286=E3285:E$2)))))</f>
        <v> </v>
      </c>
      <c r="J3286" s="25" t="str">
        <f>IF(OR(E3286="",E3286="!!!",F3286="NEW"),"",COUNTBLANK(OFFSET(A$1,,,SUMPRODUCT(MAX(ROW(E$2:E3286)*(E3286=E$2:E3286)))))-COUNTBLANK(OFFSET(A$1,,,SUMPRODUCT(MAX(ROW(E$1:E3285)*(E2=E$1:E3285))))))</f>
        <v> </v>
      </c>
      <c r="K3286" s="25" t="str">
        <f>IF(OR(E3286="",E3286="!!!",F3286="NEW"),"",INDEX(J$1:J3285,SUMPRODUCT(MAX(ROW(E$1:E3285)*(E3286=E$1:E3285)))))</f>
        <v> </v>
      </c>
      <c r="L3286" s="26"/>
    </row>
    <row r="3287" spans="1:12">
      <c r="A3287" s="20" t="s">
        <v>928</v>
      </c>
      <c r="B3287" s="27" t="s">
        <v>772</v>
      </c>
      <c r="C3287" s="27" t="s">
        <v>768</v>
      </c>
      <c r="E3287" s="21">
        <f>IF(D3287="?OLD","!!!","")</f>
        <v/>
      </c>
      <c r="F3287" s="22" t="str">
        <f>IF(OR(E3287="",E3287="!!!"),"",IF(NOT(ISNA(VLOOKUP(E3287,E$1:E3286,1,FALSE()))),"OLD",IF(AND(E3287&lt;&gt;"",E3287&lt;&gt;"!!!"),"NEW","")))</f>
        <v> </v>
      </c>
      <c r="G3287" s="23" t="str">
        <f>IF(OR(E3287="",E3287="!!!"),"",IF(OR(J3287=0,AND(J3287=1,K3287=1),AND(J3287=1,I3287="SBJ"),AND(J3287=1,I3287=0)),"?IN_FOCUS",IF(J3287&lt;=2,"?ACTIVATED",IF(J3287&lt;&gt;"","?FAMILIAR",IF(F3287="NEW",IF(ISNA(VLOOKUP(E3287,#REF!,1,FALSE())),"?TYPE_IDENTIFIABLE","?REFERENTIAL"),"_")))))</f>
        <v> </v>
      </c>
      <c r="H3287" s="24" t="str">
        <f>IF(J3287&lt;&gt;1,"",IF(I3287="SBJ","CB","?"))</f>
        <v> </v>
      </c>
      <c r="I3287" s="25" t="str">
        <f>IF(OR(E3287="",E3287="!!!",F3287="NEW"),"",INDEX(B3286:B$2,-1+SUMPRODUCT(MAX(ROW(E3286:E$2)*(E3287=E3286:E$2)))))</f>
        <v> </v>
      </c>
      <c r="J3287" s="25" t="str">
        <f>IF(OR(E3287="",E3287="!!!",F3287="NEW"),"",COUNTBLANK(OFFSET(A$1,,,SUMPRODUCT(MAX(ROW(E$2:E3287)*(E3287=E$2:E3287)))))-COUNTBLANK(OFFSET(A$1,,,SUMPRODUCT(MAX(ROW(E$1:E3286)*(E2=E$1:E3286))))))</f>
        <v> </v>
      </c>
      <c r="K3287" s="25" t="str">
        <f>IF(OR(E3287="",E3287="!!!",F3287="NEW"),"",INDEX(J$1:J3286,SUMPRODUCT(MAX(ROW(E$1:E3286)*(E3287=E$1:E3286)))))</f>
        <v> </v>
      </c>
      <c r="L3287" s="26"/>
    </row>
    <row r="3288" spans="1:12">
      <c r="A3288" s="20" t="s">
        <v>889</v>
      </c>
      <c r="B3288" s="27" t="s">
        <v>940</v>
      </c>
      <c r="E3288" s="21">
        <f>IF(D3288="?OLD","!!!","")</f>
        <v/>
      </c>
      <c r="F3288" s="22" t="str">
        <f>IF(OR(E3288="",E3288="!!!"),"",IF(NOT(ISNA(VLOOKUP(E3288,E$1:E3287,1,FALSE()))),"OLD",IF(AND(E3288&lt;&gt;"",E3288&lt;&gt;"!!!"),"NEW","")))</f>
        <v> </v>
      </c>
      <c r="G3288" s="23" t="str">
        <f>IF(OR(E3288="",E3288="!!!"),"",IF(OR(J3288=0,AND(J3288=1,K3288=1),AND(J3288=1,I3288="SBJ"),AND(J3288=1,I3288=0)),"?IN_FOCUS",IF(J3288&lt;=2,"?ACTIVATED",IF(J3288&lt;&gt;"","?FAMILIAR",IF(F3288="NEW",IF(ISNA(VLOOKUP(E3288,#REF!,1,FALSE())),"?TYPE_IDENTIFIABLE","?REFERENTIAL"),"_")))))</f>
        <v> </v>
      </c>
      <c r="H3288" s="24" t="str">
        <f>IF(J3288&lt;&gt;1,"",IF(I3288="SBJ","CB","?"))</f>
        <v> </v>
      </c>
      <c r="I3288" s="25" t="str">
        <f>IF(OR(E3288="",E3288="!!!",F3288="NEW"),"",INDEX(B3287:B$2,-1+SUMPRODUCT(MAX(ROW(E3287:E$2)*(E3288=E3287:E$2)))))</f>
        <v> </v>
      </c>
      <c r="J3288" s="25" t="str">
        <f>IF(OR(E3288="",E3288="!!!",F3288="NEW"),"",COUNTBLANK(OFFSET(A$1,,,SUMPRODUCT(MAX(ROW(E$2:E3288)*(E3288=E$2:E3288)))))-COUNTBLANK(OFFSET(A$1,,,SUMPRODUCT(MAX(ROW(E$1:E3287)*(E2=E$1:E3287))))))</f>
        <v> </v>
      </c>
      <c r="K3288" s="25" t="str">
        <f>IF(OR(E3288="",E3288="!!!",F3288="NEW"),"",INDEX(J$1:J3287,SUMPRODUCT(MAX(ROW(E$1:E3287)*(E3288=E$1:E3287)))))</f>
        <v> </v>
      </c>
      <c r="L3288" s="26"/>
    </row>
    <row r="3289" spans="1:12">
      <c r="A3289" s="20" t="s">
        <v>1155</v>
      </c>
      <c r="B3289" s="27" t="s">
        <v>941</v>
      </c>
      <c r="C3289" s="27" t="s">
        <v>797</v>
      </c>
      <c r="D3289" s="27" t="s">
        <v>762</v>
      </c>
      <c r="E3289" s="21">
        <f>IF(D3289="?OLD","!!!","")</f>
        <v/>
      </c>
      <c r="F3289" s="22" t="str">
        <f>IF(OR(E3289="",E3289="!!!"),"",IF(NOT(ISNA(VLOOKUP(E3289,E$1:E3288,1,FALSE()))),"OLD",IF(AND(E3289&lt;&gt;"",E3289&lt;&gt;"!!!"),"NEW","")))</f>
        <v> </v>
      </c>
      <c r="G3289" s="23" t="str">
        <f>IF(OR(E3289="",E3289="!!!"),"",IF(OR(J3289=0,AND(J3289=1,K3289=1),AND(J3289=1,I3289="SBJ"),AND(J3289=1,I3289=0)),"?IN_FOCUS",IF(J3289&lt;=2,"?ACTIVATED",IF(J3289&lt;&gt;"","?FAMILIAR",IF(F3289="NEW",IF(ISNA(VLOOKUP(E3289,#REF!,1,FALSE())),"?TYPE_IDENTIFIABLE","?REFERENTIAL"),"_")))))</f>
        <v> </v>
      </c>
      <c r="H3289" s="24" t="str">
        <f>IF(J3289&lt;&gt;1,"",IF(I3289="SBJ","CB","?"))</f>
        <v> </v>
      </c>
      <c r="I3289" s="25" t="str">
        <f>IF(OR(E3289="",E3289="!!!",F3289="NEW"),"",INDEX(B3288:B$2,-1+SUMPRODUCT(MAX(ROW(E3288:E$2)*(E3289=E3288:E$2)))))</f>
        <v> </v>
      </c>
      <c r="J3289" s="25" t="str">
        <f>IF(OR(E3289="",E3289="!!!",F3289="NEW"),"",COUNTBLANK(OFFSET(A$1,,,SUMPRODUCT(MAX(ROW(E$2:E3289)*(E3289=E$2:E3289)))))-COUNTBLANK(OFFSET(A$1,,,SUMPRODUCT(MAX(ROW(E$1:E3288)*(E2=E$1:E3288))))))</f>
        <v> </v>
      </c>
      <c r="K3289" s="25" t="str">
        <f>IF(OR(E3289="",E3289="!!!",F3289="NEW"),"",INDEX(J$1:J3288,SUMPRODUCT(MAX(ROW(E$1:E3288)*(E3289=E$1:E3288)))))</f>
        <v> </v>
      </c>
      <c r="L3289" s="26"/>
    </row>
    <row r="3290" spans="1:12">
      <c r="A3290" s="20" t="s">
        <v>1004</v>
      </c>
      <c r="E3290" s="21">
        <f>IF(D3290="?OLD","!!!","")</f>
        <v/>
      </c>
      <c r="F3290" s="22" t="str">
        <f>IF(OR(E3290="",E3290="!!!"),"",IF(NOT(ISNA(VLOOKUP(E3290,E$1:E3289,1,FALSE()))),"OLD",IF(AND(E3290&lt;&gt;"",E3290&lt;&gt;"!!!"),"NEW","")))</f>
        <v> </v>
      </c>
      <c r="G3290" s="23" t="str">
        <f>IF(OR(E3290="",E3290="!!!"),"",IF(OR(J3290=0,AND(J3290=1,K3290=1),AND(J3290=1,I3290="SBJ"),AND(J3290=1,I3290=0)),"?IN_FOCUS",IF(J3290&lt;=2,"?ACTIVATED",IF(J3290&lt;&gt;"","?FAMILIAR",IF(F3290="NEW",IF(ISNA(VLOOKUP(E3290,#REF!,1,FALSE())),"?TYPE_IDENTIFIABLE","?REFERENTIAL"),"_")))))</f>
        <v> </v>
      </c>
      <c r="H3290" s="24" t="str">
        <f>IF(J3290&lt;&gt;1,"",IF(I3290="SBJ","CB","?"))</f>
        <v> </v>
      </c>
      <c r="I3290" s="25" t="str">
        <f>IF(OR(E3290="",E3290="!!!",F3290="NEW"),"",INDEX(B3289:B$2,-1+SUMPRODUCT(MAX(ROW(E3289:E$2)*(E3290=E3289:E$2)))))</f>
        <v> </v>
      </c>
      <c r="J3290" s="25" t="str">
        <f>IF(OR(E3290="",E3290="!!!",F3290="NEW"),"",COUNTBLANK(OFFSET(A$1,,,SUMPRODUCT(MAX(ROW(E$2:E3290)*(E3290=E$2:E3290)))))-COUNTBLANK(OFFSET(A$1,,,SUMPRODUCT(MAX(ROW(E$1:E3289)*(E2=E$1:E3289))))))</f>
        <v> </v>
      </c>
      <c r="K3290" s="25" t="str">
        <f>IF(OR(E3290="",E3290="!!!",F3290="NEW"),"",INDEX(J$1:J3289,SUMPRODUCT(MAX(ROW(E$1:E3289)*(E3290=E$1:E3289)))))</f>
        <v> </v>
      </c>
      <c r="L3290" s="26"/>
    </row>
    <row r="3291" spans="1:12">
      <c r="A3291" s="20" t="s">
        <v>1755</v>
      </c>
      <c r="E3291" s="21">
        <f>IF(D3291="?OLD","!!!","")</f>
        <v/>
      </c>
      <c r="F3291" s="22" t="str">
        <f>IF(OR(E3291="",E3291="!!!"),"",IF(NOT(ISNA(VLOOKUP(E3291,E$1:E3290,1,FALSE()))),"OLD",IF(AND(E3291&lt;&gt;"",E3291&lt;&gt;"!!!"),"NEW","")))</f>
        <v> </v>
      </c>
      <c r="G3291" s="23" t="str">
        <f>IF(OR(E3291="",E3291="!!!"),"",IF(OR(J3291=0,AND(J3291=1,K3291=1),AND(J3291=1,I3291="SBJ"),AND(J3291=1,I3291=0)),"?IN_FOCUS",IF(J3291&lt;=2,"?ACTIVATED",IF(J3291&lt;&gt;"","?FAMILIAR",IF(F3291="NEW",IF(ISNA(VLOOKUP(E3291,#REF!,1,FALSE())),"?TYPE_IDENTIFIABLE","?REFERENTIAL"),"_")))))</f>
        <v> </v>
      </c>
      <c r="H3291" s="24" t="str">
        <f>IF(J3291&lt;&gt;1,"",IF(I3291="SBJ","CB","?"))</f>
        <v> </v>
      </c>
      <c r="I3291" s="25" t="str">
        <f>IF(OR(E3291="",E3291="!!!",F3291="NEW"),"",INDEX(B3290:B$2,-1+SUMPRODUCT(MAX(ROW(E3290:E$2)*(E3291=E3290:E$2)))))</f>
        <v> </v>
      </c>
      <c r="J3291" s="25" t="str">
        <f>IF(OR(E3291="",E3291="!!!",F3291="NEW"),"",COUNTBLANK(OFFSET(A$1,,,SUMPRODUCT(MAX(ROW(E$2:E3291)*(E3291=E$2:E3291)))))-COUNTBLANK(OFFSET(A$1,,,SUMPRODUCT(MAX(ROW(E$1:E3290)*(E2=E$1:E3290))))))</f>
        <v> </v>
      </c>
      <c r="K3291" s="25" t="str">
        <f>IF(OR(E3291="",E3291="!!!",F3291="NEW"),"",INDEX(J$1:J3290,SUMPRODUCT(MAX(ROW(E$1:E3290)*(E3291=E$1:E3290)))))</f>
        <v> </v>
      </c>
      <c r="L3291" s="26"/>
    </row>
    <row r="3292" spans="1:12">
      <c r="A3292" s="20" t="s">
        <v>757</v>
      </c>
      <c r="E3292" s="21">
        <f>IF(D3292="?OLD","!!!","")</f>
        <v/>
      </c>
      <c r="F3292" s="22" t="str">
        <f>IF(OR(E3292="",E3292="!!!"),"",IF(NOT(ISNA(VLOOKUP(E3292,E$1:E3291,1,FALSE()))),"OLD",IF(AND(E3292&lt;&gt;"",E3292&lt;&gt;"!!!"),"NEW","")))</f>
        <v> </v>
      </c>
      <c r="G3292" s="23" t="str">
        <f>IF(OR(E3292="",E3292="!!!"),"",IF(OR(J3292=0,AND(J3292=1,K3292=1),AND(J3292=1,I3292="SBJ"),AND(J3292=1,I3292=0)),"?IN_FOCUS",IF(J3292&lt;=2,"?ACTIVATED",IF(J3292&lt;&gt;"","?FAMILIAR",IF(F3292="NEW",IF(ISNA(VLOOKUP(E3292,#REF!,1,FALSE())),"?TYPE_IDENTIFIABLE","?REFERENTIAL"),"_")))))</f>
        <v> </v>
      </c>
      <c r="H3292" s="24" t="str">
        <f>IF(J3292&lt;&gt;1,"",IF(I3292="SBJ","CB","?"))</f>
        <v> </v>
      </c>
      <c r="I3292" s="25" t="str">
        <f>IF(OR(E3292="",E3292="!!!",F3292="NEW"),"",INDEX(B3291:B$2,-1+SUMPRODUCT(MAX(ROW(E3291:E$2)*(E3292=E3291:E$2)))))</f>
        <v> </v>
      </c>
      <c r="J3292" s="25" t="str">
        <f>IF(OR(E3292="",E3292="!!!",F3292="NEW"),"",COUNTBLANK(OFFSET(A$1,,,SUMPRODUCT(MAX(ROW(E$2:E3292)*(E3292=E$2:E3292)))))-COUNTBLANK(OFFSET(A$1,,,SUMPRODUCT(MAX(ROW(E$1:E3291)*(E2=E$1:E3291))))))</f>
        <v> </v>
      </c>
      <c r="K3292" s="25" t="str">
        <f>IF(OR(E3292="",E3292="!!!",F3292="NEW"),"",INDEX(J$1:J3291,SUMPRODUCT(MAX(ROW(E$1:E3291)*(E3292=E$1:E3291)))))</f>
        <v> </v>
      </c>
      <c r="L3292" s="26"/>
    </row>
    <row r="3293" spans="1:12">
      <c r="A3293" s="20" t="s">
        <v>1155</v>
      </c>
      <c r="B3293" s="27" t="s">
        <v>796</v>
      </c>
      <c r="C3293" s="27" t="s">
        <v>797</v>
      </c>
      <c r="D3293" s="27" t="s">
        <v>762</v>
      </c>
      <c r="E3293" s="21">
        <f>IF(D3293="?OLD","!!!","")</f>
        <v/>
      </c>
      <c r="F3293" s="22" t="str">
        <f>IF(OR(E3293="",E3293="!!!"),"",IF(NOT(ISNA(VLOOKUP(E3293,E$1:E3292,1,FALSE()))),"OLD",IF(AND(E3293&lt;&gt;"",E3293&lt;&gt;"!!!"),"NEW","")))</f>
        <v> </v>
      </c>
      <c r="G3293" s="23" t="str">
        <f>IF(OR(E3293="",E3293="!!!"),"",IF(OR(J3293=0,AND(J3293=1,K3293=1),AND(J3293=1,I3293="SBJ"),AND(J3293=1,I3293=0)),"?IN_FOCUS",IF(J3293&lt;=2,"?ACTIVATED",IF(J3293&lt;&gt;"","?FAMILIAR",IF(F3293="NEW",IF(ISNA(VLOOKUP(E3293,#REF!,1,FALSE())),"?TYPE_IDENTIFIABLE","?REFERENTIAL"),"_")))))</f>
        <v> </v>
      </c>
      <c r="H3293" s="24" t="str">
        <f>IF(J3293&lt;&gt;1,"",IF(I3293="SBJ","CB","?"))</f>
        <v> </v>
      </c>
      <c r="I3293" s="25" t="str">
        <f>IF(OR(E3293="",E3293="!!!",F3293="NEW"),"",INDEX(B3292:B$2,-1+SUMPRODUCT(MAX(ROW(E3292:E$2)*(E3293=E3292:E$2)))))</f>
        <v> </v>
      </c>
      <c r="J3293" s="25" t="str">
        <f>IF(OR(E3293="",E3293="!!!",F3293="NEW"),"",COUNTBLANK(OFFSET(A$1,,,SUMPRODUCT(MAX(ROW(E$2:E3293)*(E3293=E$2:E3293)))))-COUNTBLANK(OFFSET(A$1,,,SUMPRODUCT(MAX(ROW(E$1:E3292)*(E2=E$1:E3292))))))</f>
        <v> </v>
      </c>
      <c r="K3293" s="25" t="str">
        <f>IF(OR(E3293="",E3293="!!!",F3293="NEW"),"",INDEX(J$1:J3292,SUMPRODUCT(MAX(ROW(E$1:E3292)*(E3293=E$1:E3292)))))</f>
        <v> </v>
      </c>
      <c r="L3293" s="26"/>
    </row>
    <row r="3294" spans="1:12">
      <c r="A3294" s="20" t="s">
        <v>1081</v>
      </c>
      <c r="E3294" s="21">
        <f>IF(D3294="?OLD","!!!","")</f>
        <v/>
      </c>
      <c r="F3294" s="22" t="str">
        <f>IF(OR(E3294="",E3294="!!!"),"",IF(NOT(ISNA(VLOOKUP(E3294,E$1:E3293,1,FALSE()))),"OLD",IF(AND(E3294&lt;&gt;"",E3294&lt;&gt;"!!!"),"NEW","")))</f>
        <v> </v>
      </c>
      <c r="G3294" s="23" t="str">
        <f>IF(OR(E3294="",E3294="!!!"),"",IF(OR(J3294=0,AND(J3294=1,K3294=1),AND(J3294=1,I3294="SBJ"),AND(J3294=1,I3294=0)),"?IN_FOCUS",IF(J3294&lt;=2,"?ACTIVATED",IF(J3294&lt;&gt;"","?FAMILIAR",IF(F3294="NEW",IF(ISNA(VLOOKUP(E3294,#REF!,1,FALSE())),"?TYPE_IDENTIFIABLE","?REFERENTIAL"),"_")))))</f>
        <v> </v>
      </c>
      <c r="H3294" s="24" t="str">
        <f>IF(J3294&lt;&gt;1,"",IF(I3294="SBJ","CB","?"))</f>
        <v> </v>
      </c>
      <c r="I3294" s="25" t="str">
        <f>IF(OR(E3294="",E3294="!!!",F3294="NEW"),"",INDEX(B3293:B$2,-1+SUMPRODUCT(MAX(ROW(E3293:E$2)*(E3294=E3293:E$2)))))</f>
        <v> </v>
      </c>
      <c r="J3294" s="25" t="str">
        <f>IF(OR(E3294="",E3294="!!!",F3294="NEW"),"",COUNTBLANK(OFFSET(A$1,,,SUMPRODUCT(MAX(ROW(E$2:E3294)*(E3294=E$2:E3294)))))-COUNTBLANK(OFFSET(A$1,,,SUMPRODUCT(MAX(ROW(E$1:E3293)*(E2=E$1:E3293))))))</f>
        <v> </v>
      </c>
      <c r="K3294" s="25" t="str">
        <f>IF(OR(E3294="",E3294="!!!",F3294="NEW"),"",INDEX(J$1:J3293,SUMPRODUCT(MAX(ROW(E$1:E3293)*(E3294=E$1:E3293)))))</f>
        <v> </v>
      </c>
      <c r="L3294" s="26"/>
    </row>
    <row r="3295" spans="1:12">
      <c r="A3295" s="20" t="s">
        <v>1593</v>
      </c>
      <c r="E3295" s="21">
        <f>IF(D3295="?OLD","!!!","")</f>
        <v/>
      </c>
      <c r="F3295" s="22" t="str">
        <f>IF(OR(E3295="",E3295="!!!"),"",IF(NOT(ISNA(VLOOKUP(E3295,E$1:E3294,1,FALSE()))),"OLD",IF(AND(E3295&lt;&gt;"",E3295&lt;&gt;"!!!"),"NEW","")))</f>
        <v> </v>
      </c>
      <c r="G3295" s="23" t="str">
        <f>IF(OR(E3295="",E3295="!!!"),"",IF(OR(J3295=0,AND(J3295=1,K3295=1),AND(J3295=1,I3295="SBJ"),AND(J3295=1,I3295=0)),"?IN_FOCUS",IF(J3295&lt;=2,"?ACTIVATED",IF(J3295&lt;&gt;"","?FAMILIAR",IF(F3295="NEW",IF(ISNA(VLOOKUP(E3295,#REF!,1,FALSE())),"?TYPE_IDENTIFIABLE","?REFERENTIAL"),"_")))))</f>
        <v> </v>
      </c>
      <c r="H3295" s="24" t="str">
        <f>IF(J3295&lt;&gt;1,"",IF(I3295="SBJ","CB","?"))</f>
        <v> </v>
      </c>
      <c r="I3295" s="25" t="str">
        <f>IF(OR(E3295="",E3295="!!!",F3295="NEW"),"",INDEX(B3294:B$2,-1+SUMPRODUCT(MAX(ROW(E3294:E$2)*(E3295=E3294:E$2)))))</f>
        <v> </v>
      </c>
      <c r="J3295" s="25" t="str">
        <f>IF(OR(E3295="",E3295="!!!",F3295="NEW"),"",COUNTBLANK(OFFSET(A$1,,,SUMPRODUCT(MAX(ROW(E$2:E3295)*(E3295=E$2:E3295)))))-COUNTBLANK(OFFSET(A$1,,,SUMPRODUCT(MAX(ROW(E$1:E3294)*(E2=E$1:E3294))))))</f>
        <v> </v>
      </c>
      <c r="K3295" s="25" t="str">
        <f>IF(OR(E3295="",E3295="!!!",F3295="NEW"),"",INDEX(J$1:J3294,SUMPRODUCT(MAX(ROW(E$1:E3294)*(E3295=E$1:E3294)))))</f>
        <v> </v>
      </c>
      <c r="L3295" s="26"/>
    </row>
    <row r="3296" spans="1:12">
      <c r="A3296" s="20" t="s">
        <v>785</v>
      </c>
      <c r="E3296" s="21">
        <f>IF(D3296="?OLD","!!!","")</f>
        <v/>
      </c>
      <c r="F3296" s="22" t="str">
        <f>IF(OR(E3296="",E3296="!!!"),"",IF(NOT(ISNA(VLOOKUP(E3296,E$1:E3295,1,FALSE()))),"OLD",IF(AND(E3296&lt;&gt;"",E3296&lt;&gt;"!!!"),"NEW","")))</f>
        <v> </v>
      </c>
      <c r="G3296" s="23" t="str">
        <f>IF(OR(E3296="",E3296="!!!"),"",IF(OR(J3296=0,AND(J3296=1,K3296=1),AND(J3296=1,I3296="SBJ"),AND(J3296=1,I3296=0)),"?IN_FOCUS",IF(J3296&lt;=2,"?ACTIVATED",IF(J3296&lt;&gt;"","?FAMILIAR",IF(F3296="NEW",IF(ISNA(VLOOKUP(E3296,#REF!,1,FALSE())),"?TYPE_IDENTIFIABLE","?REFERENTIAL"),"_")))))</f>
        <v> </v>
      </c>
      <c r="H3296" s="24" t="str">
        <f>IF(J3296&lt;&gt;1,"",IF(I3296="SBJ","CB","?"))</f>
        <v> </v>
      </c>
      <c r="I3296" s="25" t="str">
        <f>IF(OR(E3296="",E3296="!!!",F3296="NEW"),"",INDEX(B3295:B$2,-1+SUMPRODUCT(MAX(ROW(E3295:E$2)*(E3296=E3295:E$2)))))</f>
        <v> </v>
      </c>
      <c r="J3296" s="25" t="str">
        <f>IF(OR(E3296="",E3296="!!!",F3296="NEW"),"",COUNTBLANK(OFFSET(A$1,,,SUMPRODUCT(MAX(ROW(E$2:E3296)*(E3296=E$2:E3296)))))-COUNTBLANK(OFFSET(A$1,,,SUMPRODUCT(MAX(ROW(E$1:E3295)*(E2=E$1:E3295))))))</f>
        <v> </v>
      </c>
      <c r="K3296" s="25" t="str">
        <f>IF(OR(E3296="",E3296="!!!",F3296="NEW"),"",INDEX(J$1:J3295,SUMPRODUCT(MAX(ROW(E$1:E3295)*(E3296=E$1:E3295)))))</f>
        <v> </v>
      </c>
      <c r="L3296" s="26"/>
    </row>
    <row r="3297" spans="1:12">
      <c r="A3297" s="20" t="s">
        <v>1756</v>
      </c>
      <c r="B3297" s="27" t="s">
        <v>753</v>
      </c>
      <c r="C3297" s="27" t="s">
        <v>754</v>
      </c>
      <c r="E3297" s="21">
        <f>IF(D3297="?OLD","!!!","")</f>
        <v/>
      </c>
      <c r="F3297" s="22" t="str">
        <f>IF(OR(E3297="",E3297="!!!"),"",IF(NOT(ISNA(VLOOKUP(E3297,E$1:E3296,1,FALSE()))),"OLD",IF(AND(E3297&lt;&gt;"",E3297&lt;&gt;"!!!"),"NEW","")))</f>
        <v> </v>
      </c>
      <c r="G3297" s="23" t="str">
        <f>IF(OR(E3297="",E3297="!!!"),"",IF(OR(J3297=0,AND(J3297=1,K3297=1),AND(J3297=1,I3297="SBJ"),AND(J3297=1,I3297=0)),"?IN_FOCUS",IF(J3297&lt;=2,"?ACTIVATED",IF(J3297&lt;&gt;"","?FAMILIAR",IF(F3297="NEW",IF(ISNA(VLOOKUP(E3297,#REF!,1,FALSE())),"?TYPE_IDENTIFIABLE","?REFERENTIAL"),"_")))))</f>
        <v> </v>
      </c>
      <c r="H3297" s="24" t="str">
        <f>IF(J3297&lt;&gt;1,"",IF(I3297="SBJ","CB","?"))</f>
        <v> </v>
      </c>
      <c r="I3297" s="25" t="str">
        <f>IF(OR(E3297="",E3297="!!!",F3297="NEW"),"",INDEX(B3296:B$2,-1+SUMPRODUCT(MAX(ROW(E3296:E$2)*(E3297=E3296:E$2)))))</f>
        <v> </v>
      </c>
      <c r="J3297" s="25" t="str">
        <f>IF(OR(E3297="",E3297="!!!",F3297="NEW"),"",COUNTBLANK(OFFSET(A$1,,,SUMPRODUCT(MAX(ROW(E$2:E3297)*(E3297=E$2:E3297)))))-COUNTBLANK(OFFSET(A$1,,,SUMPRODUCT(MAX(ROW(E$1:E3296)*(E2=E$1:E3296))))))</f>
        <v> </v>
      </c>
      <c r="K3297" s="25" t="str">
        <f>IF(OR(E3297="",E3297="!!!",F3297="NEW"),"",INDEX(J$1:J3296,SUMPRODUCT(MAX(ROW(E$1:E3296)*(E3297=E$1:E3296)))))</f>
        <v> </v>
      </c>
      <c r="L3297" s="26"/>
    </row>
    <row r="3298" spans="1:12">
      <c r="A3298" s="20" t="s">
        <v>872</v>
      </c>
      <c r="E3298" s="21">
        <f>IF(D3298="?OLD","!!!","")</f>
        <v/>
      </c>
      <c r="F3298" s="22" t="str">
        <f>IF(OR(E3298="",E3298="!!!"),"",IF(NOT(ISNA(VLOOKUP(E3298,E$1:E3297,1,FALSE()))),"OLD",IF(AND(E3298&lt;&gt;"",E3298&lt;&gt;"!!!"),"NEW","")))</f>
        <v> </v>
      </c>
      <c r="G3298" s="23" t="str">
        <f>IF(OR(E3298="",E3298="!!!"),"",IF(OR(J3298=0,AND(J3298=1,K3298=1),AND(J3298=1,I3298="SBJ"),AND(J3298=1,I3298=0)),"?IN_FOCUS",IF(J3298&lt;=2,"?ACTIVATED",IF(J3298&lt;&gt;"","?FAMILIAR",IF(F3298="NEW",IF(ISNA(VLOOKUP(E3298,#REF!,1,FALSE())),"?TYPE_IDENTIFIABLE","?REFERENTIAL"),"_")))))</f>
        <v> </v>
      </c>
      <c r="H3298" s="24" t="str">
        <f>IF(J3298&lt;&gt;1,"",IF(I3298="SBJ","CB","?"))</f>
        <v> </v>
      </c>
      <c r="I3298" s="25" t="str">
        <f>IF(OR(E3298="",E3298="!!!",F3298="NEW"),"",INDEX(B3297:B$2,-1+SUMPRODUCT(MAX(ROW(E3297:E$2)*(E3298=E3297:E$2)))))</f>
        <v> </v>
      </c>
      <c r="J3298" s="25" t="str">
        <f>IF(OR(E3298="",E3298="!!!",F3298="NEW"),"",COUNTBLANK(OFFSET(A$1,,,SUMPRODUCT(MAX(ROW(E$2:E3298)*(E3298=E$2:E3298)))))-COUNTBLANK(OFFSET(A$1,,,SUMPRODUCT(MAX(ROW(E$1:E3297)*(E2=E$1:E3297))))))</f>
        <v> </v>
      </c>
      <c r="K3298" s="25" t="str">
        <f>IF(OR(E3298="",E3298="!!!",F3298="NEW"),"",INDEX(J$1:J3297,SUMPRODUCT(MAX(ROW(E$1:E3297)*(E3298=E$1:E3297)))))</f>
        <v> </v>
      </c>
      <c r="L3298" s="26"/>
    </row>
    <row r="3299" spans="1:12">
      <c r="A3299" s="20" t="s">
        <v>1161</v>
      </c>
      <c r="B3299" s="27" t="s">
        <v>879</v>
      </c>
      <c r="C3299" s="27" t="s">
        <v>851</v>
      </c>
      <c r="D3299" s="27" t="s">
        <v>762</v>
      </c>
      <c r="E3299" s="21">
        <f>IF(D3299="?OLD","!!!","")</f>
        <v/>
      </c>
      <c r="F3299" s="22" t="str">
        <f>IF(OR(E3299="",E3299="!!!"),"",IF(NOT(ISNA(VLOOKUP(E3299,E$1:E3298,1,FALSE()))),"OLD",IF(AND(E3299&lt;&gt;"",E3299&lt;&gt;"!!!"),"NEW","")))</f>
        <v> </v>
      </c>
      <c r="G3299" s="23" t="str">
        <f>IF(OR(E3299="",E3299="!!!"),"",IF(OR(J3299=0,AND(J3299=1,K3299=1),AND(J3299=1,I3299="SBJ"),AND(J3299=1,I3299=0)),"?IN_FOCUS",IF(J3299&lt;=2,"?ACTIVATED",IF(J3299&lt;&gt;"","?FAMILIAR",IF(F3299="NEW",IF(ISNA(VLOOKUP(E3299,#REF!,1,FALSE())),"?TYPE_IDENTIFIABLE","?REFERENTIAL"),"_")))))</f>
        <v> </v>
      </c>
      <c r="H3299" s="24" t="str">
        <f>IF(J3299&lt;&gt;1,"",IF(I3299="SBJ","CB","?"))</f>
        <v> </v>
      </c>
      <c r="I3299" s="25" t="str">
        <f>IF(OR(E3299="",E3299="!!!",F3299="NEW"),"",INDEX(B3298:B$2,-1+SUMPRODUCT(MAX(ROW(E3298:E$2)*(E3299=E3298:E$2)))))</f>
        <v> </v>
      </c>
      <c r="J3299" s="25" t="str">
        <f>IF(OR(E3299="",E3299="!!!",F3299="NEW"),"",COUNTBLANK(OFFSET(A$1,,,SUMPRODUCT(MAX(ROW(E$2:E3299)*(E3299=E$2:E3299)))))-COUNTBLANK(OFFSET(A$1,,,SUMPRODUCT(MAX(ROW(E$1:E3298)*(E2=E$1:E3298))))))</f>
        <v> </v>
      </c>
      <c r="K3299" s="25" t="str">
        <f>IF(OR(E3299="",E3299="!!!",F3299="NEW"),"",INDEX(J$1:J3298,SUMPRODUCT(MAX(ROW(E$1:E3298)*(E3299=E$1:E3298)))))</f>
        <v> </v>
      </c>
      <c r="L3299" s="26"/>
    </row>
    <row r="3300" spans="1:12">
      <c r="A3300" s="20" t="s">
        <v>1380</v>
      </c>
      <c r="B3300" s="27" t="s">
        <v>772</v>
      </c>
      <c r="C3300" s="27" t="s">
        <v>837</v>
      </c>
      <c r="D3300" s="27" t="s">
        <v>762</v>
      </c>
      <c r="E3300" s="21">
        <f>IF(D3300="?OLD","!!!","")</f>
        <v/>
      </c>
      <c r="F3300" s="22" t="str">
        <f>IF(OR(E3300="",E3300="!!!"),"",IF(NOT(ISNA(VLOOKUP(E3300,E$1:E3299,1,FALSE()))),"OLD",IF(AND(E3300&lt;&gt;"",E3300&lt;&gt;"!!!"),"NEW","")))</f>
        <v> </v>
      </c>
      <c r="G3300" s="23" t="str">
        <f>IF(OR(E3300="",E3300="!!!"),"",IF(OR(J3300=0,AND(J3300=1,K3300=1),AND(J3300=1,I3300="SBJ"),AND(J3300=1,I3300=0)),"?IN_FOCUS",IF(J3300&lt;=2,"?ACTIVATED",IF(J3300&lt;&gt;"","?FAMILIAR",IF(F3300="NEW",IF(ISNA(VLOOKUP(E3300,#REF!,1,FALSE())),"?TYPE_IDENTIFIABLE","?REFERENTIAL"),"_")))))</f>
        <v> </v>
      </c>
      <c r="H3300" s="24" t="str">
        <f>IF(J3300&lt;&gt;1,"",IF(I3300="SBJ","CB","?"))</f>
        <v> </v>
      </c>
      <c r="I3300" s="25" t="str">
        <f>IF(OR(E3300="",E3300="!!!",F3300="NEW"),"",INDEX(B3299:B$2,-1+SUMPRODUCT(MAX(ROW(E3299:E$2)*(E3300=E3299:E$2)))))</f>
        <v> </v>
      </c>
      <c r="J3300" s="25" t="str">
        <f>IF(OR(E3300="",E3300="!!!",F3300="NEW"),"",COUNTBLANK(OFFSET(A$1,,,SUMPRODUCT(MAX(ROW(E$2:E3300)*(E3300=E$2:E3300)))))-COUNTBLANK(OFFSET(A$1,,,SUMPRODUCT(MAX(ROW(E$1:E3299)*(E2=E$1:E3299))))))</f>
        <v> </v>
      </c>
      <c r="K3300" s="25" t="str">
        <f>IF(OR(E3300="",E3300="!!!",F3300="NEW"),"",INDEX(J$1:J3299,SUMPRODUCT(MAX(ROW(E$1:E3299)*(E3300=E$1:E3299)))))</f>
        <v> </v>
      </c>
      <c r="L3300" s="26"/>
    </row>
    <row r="3301" spans="1:12">
      <c r="A3301" s="20" t="s">
        <v>889</v>
      </c>
      <c r="E3301" s="21">
        <f>IF(D3301="?OLD","!!!","")</f>
        <v/>
      </c>
      <c r="F3301" s="22" t="str">
        <f>IF(OR(E3301="",E3301="!!!"),"",IF(NOT(ISNA(VLOOKUP(E3301,E$1:E3300,1,FALSE()))),"OLD",IF(AND(E3301&lt;&gt;"",E3301&lt;&gt;"!!!"),"NEW","")))</f>
        <v> </v>
      </c>
      <c r="G3301" s="23" t="str">
        <f>IF(OR(E3301="",E3301="!!!"),"",IF(OR(J3301=0,AND(J3301=1,K3301=1),AND(J3301=1,I3301="SBJ"),AND(J3301=1,I3301=0)),"?IN_FOCUS",IF(J3301&lt;=2,"?ACTIVATED",IF(J3301&lt;&gt;"","?FAMILIAR",IF(F3301="NEW",IF(ISNA(VLOOKUP(E3301,#REF!,1,FALSE())),"?TYPE_IDENTIFIABLE","?REFERENTIAL"),"_")))))</f>
        <v> </v>
      </c>
      <c r="H3301" s="24" t="str">
        <f>IF(J3301&lt;&gt;1,"",IF(I3301="SBJ","CB","?"))</f>
        <v> </v>
      </c>
      <c r="I3301" s="25" t="str">
        <f>IF(OR(E3301="",E3301="!!!",F3301="NEW"),"",INDEX(B3300:B$2,-1+SUMPRODUCT(MAX(ROW(E3300:E$2)*(E3301=E3300:E$2)))))</f>
        <v> </v>
      </c>
      <c r="J3301" s="25" t="str">
        <f>IF(OR(E3301="",E3301="!!!",F3301="NEW"),"",COUNTBLANK(OFFSET(A$1,,,SUMPRODUCT(MAX(ROW(E$2:E3301)*(E3301=E$2:E3301)))))-COUNTBLANK(OFFSET(A$1,,,SUMPRODUCT(MAX(ROW(E$1:E3300)*(E2=E$1:E3300))))))</f>
        <v> </v>
      </c>
      <c r="K3301" s="25" t="str">
        <f>IF(OR(E3301="",E3301="!!!",F3301="NEW"),"",INDEX(J$1:J3300,SUMPRODUCT(MAX(ROW(E$1:E3300)*(E3301=E$1:E3300)))))</f>
        <v> </v>
      </c>
      <c r="L3301" s="26"/>
    </row>
    <row r="3302" spans="1:12">
      <c r="A3302" s="20" t="s">
        <v>1155</v>
      </c>
      <c r="B3302" s="27" t="s">
        <v>956</v>
      </c>
      <c r="C3302" s="27" t="s">
        <v>797</v>
      </c>
      <c r="D3302" s="27" t="s">
        <v>762</v>
      </c>
      <c r="E3302" s="21">
        <f>IF(D3302="?OLD","!!!","")</f>
        <v/>
      </c>
      <c r="F3302" s="22" t="str">
        <f>IF(OR(E3302="",E3302="!!!"),"",IF(NOT(ISNA(VLOOKUP(E3302,E$1:E3301,1,FALSE()))),"OLD",IF(AND(E3302&lt;&gt;"",E3302&lt;&gt;"!!!"),"NEW","")))</f>
        <v> </v>
      </c>
      <c r="G3302" s="23" t="str">
        <f>IF(OR(E3302="",E3302="!!!"),"",IF(OR(J3302=0,AND(J3302=1,K3302=1),AND(J3302=1,I3302="SBJ"),AND(J3302=1,I3302=0)),"?IN_FOCUS",IF(J3302&lt;=2,"?ACTIVATED",IF(J3302&lt;&gt;"","?FAMILIAR",IF(F3302="NEW",IF(ISNA(VLOOKUP(E3302,#REF!,1,FALSE())),"?TYPE_IDENTIFIABLE","?REFERENTIAL"),"_")))))</f>
        <v> </v>
      </c>
      <c r="H3302" s="24" t="str">
        <f>IF(J3302&lt;&gt;1,"",IF(I3302="SBJ","CB","?"))</f>
        <v> </v>
      </c>
      <c r="I3302" s="25" t="str">
        <f>IF(OR(E3302="",E3302="!!!",F3302="NEW"),"",INDEX(B3301:B$2,-1+SUMPRODUCT(MAX(ROW(E3301:E$2)*(E3302=E3301:E$2)))))</f>
        <v> </v>
      </c>
      <c r="J3302" s="25" t="str">
        <f>IF(OR(E3302="",E3302="!!!",F3302="NEW"),"",COUNTBLANK(OFFSET(A$1,,,SUMPRODUCT(MAX(ROW(E$2:E3302)*(E3302=E$2:E3302)))))-COUNTBLANK(OFFSET(A$1,,,SUMPRODUCT(MAX(ROW(E$1:E3301)*(E2=E$1:E3301))))))</f>
        <v> </v>
      </c>
      <c r="K3302" s="25" t="str">
        <f>IF(OR(E3302="",E3302="!!!",F3302="NEW"),"",INDEX(J$1:J3301,SUMPRODUCT(MAX(ROW(E$1:E3301)*(E3302=E$1:E3301)))))</f>
        <v> </v>
      </c>
      <c r="L3302" s="26"/>
    </row>
    <row r="3303" spans="1:12">
      <c r="A3303" s="20" t="s">
        <v>798</v>
      </c>
      <c r="E3303" s="21">
        <f>IF(D3303="?OLD","!!!","")</f>
        <v/>
      </c>
      <c r="F3303" s="22" t="str">
        <f>IF(OR(E3303="",E3303="!!!"),"",IF(NOT(ISNA(VLOOKUP(E3303,E$1:E3302,1,FALSE()))),"OLD",IF(AND(E3303&lt;&gt;"",E3303&lt;&gt;"!!!"),"NEW","")))</f>
        <v> </v>
      </c>
      <c r="G3303" s="23" t="str">
        <f>IF(OR(E3303="",E3303="!!!"),"",IF(OR(J3303=0,AND(J3303=1,K3303=1),AND(J3303=1,I3303="SBJ"),AND(J3303=1,I3303=0)),"?IN_FOCUS",IF(J3303&lt;=2,"?ACTIVATED",IF(J3303&lt;&gt;"","?FAMILIAR",IF(F3303="NEW",IF(ISNA(VLOOKUP(E3303,#REF!,1,FALSE())),"?TYPE_IDENTIFIABLE","?REFERENTIAL"),"_")))))</f>
        <v> </v>
      </c>
      <c r="H3303" s="24" t="str">
        <f>IF(J3303&lt;&gt;1,"",IF(I3303="SBJ","CB","?"))</f>
        <v> </v>
      </c>
      <c r="I3303" s="25" t="str">
        <f>IF(OR(E3303="",E3303="!!!",F3303="NEW"),"",INDEX(B3302:B$2,-1+SUMPRODUCT(MAX(ROW(E3302:E$2)*(E3303=E3302:E$2)))))</f>
        <v> </v>
      </c>
      <c r="J3303" s="25" t="str">
        <f>IF(OR(E3303="",E3303="!!!",F3303="NEW"),"",COUNTBLANK(OFFSET(A$1,,,SUMPRODUCT(MAX(ROW(E$2:E3303)*(E3303=E$2:E3303)))))-COUNTBLANK(OFFSET(A$1,,,SUMPRODUCT(MAX(ROW(E$1:E3302)*(E2=E$1:E3302))))))</f>
        <v> </v>
      </c>
      <c r="K3303" s="25" t="str">
        <f>IF(OR(E3303="",E3303="!!!",F3303="NEW"),"",INDEX(J$1:J3302,SUMPRODUCT(MAX(ROW(E$1:E3302)*(E3303=E$1:E3302)))))</f>
        <v> </v>
      </c>
      <c r="L3303" s="26"/>
    </row>
    <row r="3304" spans="1:12">
      <c r="A3304" s="20" t="s">
        <v>1021</v>
      </c>
      <c r="E3304" s="21">
        <f>IF(D3304="?OLD","!!!","")</f>
        <v/>
      </c>
      <c r="F3304" s="22" t="str">
        <f>IF(OR(E3304="",E3304="!!!"),"",IF(NOT(ISNA(VLOOKUP(E3304,E$1:E3303,1,FALSE()))),"OLD",IF(AND(E3304&lt;&gt;"",E3304&lt;&gt;"!!!"),"NEW","")))</f>
        <v> </v>
      </c>
      <c r="G3304" s="23" t="str">
        <f>IF(OR(E3304="",E3304="!!!"),"",IF(OR(J3304=0,AND(J3304=1,K3304=1),AND(J3304=1,I3304="SBJ"),AND(J3304=1,I3304=0)),"?IN_FOCUS",IF(J3304&lt;=2,"?ACTIVATED",IF(J3304&lt;&gt;"","?FAMILIAR",IF(F3304="NEW",IF(ISNA(VLOOKUP(E3304,#REF!,1,FALSE())),"?TYPE_IDENTIFIABLE","?REFERENTIAL"),"_")))))</f>
        <v> </v>
      </c>
      <c r="H3304" s="24" t="str">
        <f>IF(J3304&lt;&gt;1,"",IF(I3304="SBJ","CB","?"))</f>
        <v> </v>
      </c>
      <c r="I3304" s="25" t="str">
        <f>IF(OR(E3304="",E3304="!!!",F3304="NEW"),"",INDEX(B3303:B$2,-1+SUMPRODUCT(MAX(ROW(E3303:E$2)*(E3304=E3303:E$2)))))</f>
        <v> </v>
      </c>
      <c r="J3304" s="25" t="str">
        <f>IF(OR(E3304="",E3304="!!!",F3304="NEW"),"",COUNTBLANK(OFFSET(A$1,,,SUMPRODUCT(MAX(ROW(E$2:E3304)*(E3304=E$2:E3304)))))-COUNTBLANK(OFFSET(A$1,,,SUMPRODUCT(MAX(ROW(E$1:E3303)*(E2=E$1:E3303))))))</f>
        <v> </v>
      </c>
      <c r="K3304" s="25" t="str">
        <f>IF(OR(E3304="",E3304="!!!",F3304="NEW"),"",INDEX(J$1:J3303,SUMPRODUCT(MAX(ROW(E$1:E3303)*(E3304=E$1:E3303)))))</f>
        <v> </v>
      </c>
      <c r="L3304" s="26"/>
    </row>
    <row r="3305" spans="1:12">
      <c r="A3305" s="20" t="s">
        <v>840</v>
      </c>
      <c r="B3305" s="27" t="s">
        <v>940</v>
      </c>
      <c r="C3305" s="27" t="s">
        <v>797</v>
      </c>
      <c r="D3305" s="27" t="s">
        <v>762</v>
      </c>
      <c r="E3305" s="21">
        <f>IF(D3305="?OLD","!!!","")</f>
        <v/>
      </c>
      <c r="F3305" s="22" t="str">
        <f>IF(OR(E3305="",E3305="!!!"),"",IF(NOT(ISNA(VLOOKUP(E3305,E$1:E3304,1,FALSE()))),"OLD",IF(AND(E3305&lt;&gt;"",E3305&lt;&gt;"!!!"),"NEW","")))</f>
        <v> </v>
      </c>
      <c r="G3305" s="23" t="str">
        <f>IF(OR(E3305="",E3305="!!!"),"",IF(OR(J3305=0,AND(J3305=1,K3305=1),AND(J3305=1,I3305="SBJ"),AND(J3305=1,I3305=0)),"?IN_FOCUS",IF(J3305&lt;=2,"?ACTIVATED",IF(J3305&lt;&gt;"","?FAMILIAR",IF(F3305="NEW",IF(ISNA(VLOOKUP(E3305,#REF!,1,FALSE())),"?TYPE_IDENTIFIABLE","?REFERENTIAL"),"_")))))</f>
        <v> </v>
      </c>
      <c r="H3305" s="24" t="str">
        <f>IF(J3305&lt;&gt;1,"",IF(I3305="SBJ","CB","?"))</f>
        <v> </v>
      </c>
      <c r="I3305" s="25" t="str">
        <f>IF(OR(E3305="",E3305="!!!",F3305="NEW"),"",INDEX(B3304:B$2,-1+SUMPRODUCT(MAX(ROW(E3304:E$2)*(E3305=E3304:E$2)))))</f>
        <v> </v>
      </c>
      <c r="J3305" s="25" t="str">
        <f>IF(OR(E3305="",E3305="!!!",F3305="NEW"),"",COUNTBLANK(OFFSET(A$1,,,SUMPRODUCT(MAX(ROW(E$2:E3305)*(E3305=E$2:E3305)))))-COUNTBLANK(OFFSET(A$1,,,SUMPRODUCT(MAX(ROW(E$1:E3304)*(E2=E$1:E3304))))))</f>
        <v> </v>
      </c>
      <c r="K3305" s="25" t="str">
        <f>IF(OR(E3305="",E3305="!!!",F3305="NEW"),"",INDEX(J$1:J3304,SUMPRODUCT(MAX(ROW(E$1:E3304)*(E3305=E$1:E3304)))))</f>
        <v> </v>
      </c>
      <c r="L3305" s="26"/>
    </row>
    <row r="3306" spans="1:12">
      <c r="A3306" s="20" t="s">
        <v>1598</v>
      </c>
      <c r="E3306" s="21">
        <f>IF(D3306="?OLD","!!!","")</f>
        <v/>
      </c>
      <c r="F3306" s="22" t="str">
        <f>IF(OR(E3306="",E3306="!!!"),"",IF(NOT(ISNA(VLOOKUP(E3306,E$1:E3305,1,FALSE()))),"OLD",IF(AND(E3306&lt;&gt;"",E3306&lt;&gt;"!!!"),"NEW","")))</f>
        <v> </v>
      </c>
      <c r="G3306" s="23" t="str">
        <f>IF(OR(E3306="",E3306="!!!"),"",IF(OR(J3306=0,AND(J3306=1,K3306=1),AND(J3306=1,I3306="SBJ"),AND(J3306=1,I3306=0)),"?IN_FOCUS",IF(J3306&lt;=2,"?ACTIVATED",IF(J3306&lt;&gt;"","?FAMILIAR",IF(F3306="NEW",IF(ISNA(VLOOKUP(E3306,#REF!,1,FALSE())),"?TYPE_IDENTIFIABLE","?REFERENTIAL"),"_")))))</f>
        <v> </v>
      </c>
      <c r="H3306" s="24" t="str">
        <f>IF(J3306&lt;&gt;1,"",IF(I3306="SBJ","CB","?"))</f>
        <v> </v>
      </c>
      <c r="I3306" s="25" t="str">
        <f>IF(OR(E3306="",E3306="!!!",F3306="NEW"),"",INDEX(B3305:B$2,-1+SUMPRODUCT(MAX(ROW(E3305:E$2)*(E3306=E3305:E$2)))))</f>
        <v> </v>
      </c>
      <c r="J3306" s="25" t="str">
        <f>IF(OR(E3306="",E3306="!!!",F3306="NEW"),"",COUNTBLANK(OFFSET(A$1,,,SUMPRODUCT(MAX(ROW(E$2:E3306)*(E3306=E$2:E3306)))))-COUNTBLANK(OFFSET(A$1,,,SUMPRODUCT(MAX(ROW(E$1:E3305)*(E2=E$1:E3305))))))</f>
        <v> </v>
      </c>
      <c r="K3306" s="25" t="str">
        <f>IF(OR(E3306="",E3306="!!!",F3306="NEW"),"",INDEX(J$1:J3305,SUMPRODUCT(MAX(ROW(E$1:E3305)*(E3306=E$1:E3305)))))</f>
        <v> </v>
      </c>
      <c r="L3306" s="26"/>
    </row>
    <row r="3307" spans="1:12">
      <c r="A3307" s="20" t="s">
        <v>769</v>
      </c>
      <c r="E3307" s="21">
        <f>IF(D3307="?OLD","!!!","")</f>
        <v/>
      </c>
      <c r="F3307" s="22" t="str">
        <f>IF(OR(E3307="",E3307="!!!"),"",IF(NOT(ISNA(VLOOKUP(E3307,E$1:E3306,1,FALSE()))),"OLD",IF(AND(E3307&lt;&gt;"",E3307&lt;&gt;"!!!"),"NEW","")))</f>
        <v> </v>
      </c>
      <c r="G3307" s="23" t="str">
        <f>IF(OR(E3307="",E3307="!!!"),"",IF(OR(J3307=0,AND(J3307=1,K3307=1),AND(J3307=1,I3307="SBJ"),AND(J3307=1,I3307=0)),"?IN_FOCUS",IF(J3307&lt;=2,"?ACTIVATED",IF(J3307&lt;&gt;"","?FAMILIAR",IF(F3307="NEW",IF(ISNA(VLOOKUP(E3307,#REF!,1,FALSE())),"?TYPE_IDENTIFIABLE","?REFERENTIAL"),"_")))))</f>
        <v> </v>
      </c>
      <c r="H3307" s="24" t="str">
        <f>IF(J3307&lt;&gt;1,"",IF(I3307="SBJ","CB","?"))</f>
        <v> </v>
      </c>
      <c r="I3307" s="25" t="str">
        <f>IF(OR(E3307="",E3307="!!!",F3307="NEW"),"",INDEX(B3306:B$2,-1+SUMPRODUCT(MAX(ROW(E3306:E$2)*(E3307=E3306:E$2)))))</f>
        <v> </v>
      </c>
      <c r="J3307" s="25" t="str">
        <f>IF(OR(E3307="",E3307="!!!",F3307="NEW"),"",COUNTBLANK(OFFSET(A$1,,,SUMPRODUCT(MAX(ROW(E$2:E3307)*(E3307=E$2:E3307)))))-COUNTBLANK(OFFSET(A$1,,,SUMPRODUCT(MAX(ROW(E$1:E3306)*(E2=E$1:E3306))))))</f>
        <v> </v>
      </c>
      <c r="K3307" s="25" t="str">
        <f>IF(OR(E3307="",E3307="!!!",F3307="NEW"),"",INDEX(J$1:J3306,SUMPRODUCT(MAX(ROW(E$1:E3306)*(E3307=E$1:E3306)))))</f>
        <v> </v>
      </c>
      <c r="L3307" s="26"/>
    </row>
    <row r="3308" spans="1:12">
      <c r="A3308" s="20" t="s">
        <v>770</v>
      </c>
      <c r="B3308" s="27" t="s">
        <v>1076</v>
      </c>
      <c r="C3308" s="27" t="s">
        <v>797</v>
      </c>
      <c r="D3308" s="27" t="s">
        <v>762</v>
      </c>
      <c r="E3308" s="21">
        <f>IF(D3308="?OLD","!!!","")</f>
        <v/>
      </c>
      <c r="F3308" s="22" t="str">
        <f>IF(OR(E3308="",E3308="!!!"),"",IF(NOT(ISNA(VLOOKUP(E3308,E$1:E3307,1,FALSE()))),"OLD",IF(AND(E3308&lt;&gt;"",E3308&lt;&gt;"!!!"),"NEW","")))</f>
        <v> </v>
      </c>
      <c r="G3308" s="23" t="str">
        <f>IF(OR(E3308="",E3308="!!!"),"",IF(OR(J3308=0,AND(J3308=1,K3308=1),AND(J3308=1,I3308="SBJ"),AND(J3308=1,I3308=0)),"?IN_FOCUS",IF(J3308&lt;=2,"?ACTIVATED",IF(J3308&lt;&gt;"","?FAMILIAR",IF(F3308="NEW",IF(ISNA(VLOOKUP(E3308,#REF!,1,FALSE())),"?TYPE_IDENTIFIABLE","?REFERENTIAL"),"_")))))</f>
        <v> </v>
      </c>
      <c r="H3308" s="24" t="str">
        <f>IF(J3308&lt;&gt;1,"",IF(I3308="SBJ","CB","?"))</f>
        <v> </v>
      </c>
      <c r="I3308" s="25" t="str">
        <f>IF(OR(E3308="",E3308="!!!",F3308="NEW"),"",INDEX(B3307:B$2,-1+SUMPRODUCT(MAX(ROW(E3307:E$2)*(E3308=E3307:E$2)))))</f>
        <v> </v>
      </c>
      <c r="J3308" s="25" t="str">
        <f>IF(OR(E3308="",E3308="!!!",F3308="NEW"),"",COUNTBLANK(OFFSET(A$1,,,SUMPRODUCT(MAX(ROW(E$2:E3308)*(E3308=E$2:E3308)))))-COUNTBLANK(OFFSET(A$1,,,SUMPRODUCT(MAX(ROW(E$1:E3307)*(E2=E$1:E3307))))))</f>
        <v> </v>
      </c>
      <c r="K3308" s="25" t="str">
        <f>IF(OR(E3308="",E3308="!!!",F3308="NEW"),"",INDEX(J$1:J3307,SUMPRODUCT(MAX(ROW(E$1:E3307)*(E3308=E$1:E3307)))))</f>
        <v> </v>
      </c>
      <c r="L3308" s="26"/>
    </row>
    <row r="3309" spans="1:12">
      <c r="A3309" s="20" t="s">
        <v>1757</v>
      </c>
      <c r="E3309" s="21">
        <f>IF(D3309="?OLD","!!!","")</f>
        <v/>
      </c>
      <c r="F3309" s="22" t="str">
        <f>IF(OR(E3309="",E3309="!!!"),"",IF(NOT(ISNA(VLOOKUP(E3309,E$1:E3308,1,FALSE()))),"OLD",IF(AND(E3309&lt;&gt;"",E3309&lt;&gt;"!!!"),"NEW","")))</f>
        <v> </v>
      </c>
      <c r="G3309" s="23" t="str">
        <f>IF(OR(E3309="",E3309="!!!"),"",IF(OR(J3309=0,AND(J3309=1,K3309=1),AND(J3309=1,I3309="SBJ"),AND(J3309=1,I3309=0)),"?IN_FOCUS",IF(J3309&lt;=2,"?ACTIVATED",IF(J3309&lt;&gt;"","?FAMILIAR",IF(F3309="NEW",IF(ISNA(VLOOKUP(E3309,#REF!,1,FALSE())),"?TYPE_IDENTIFIABLE","?REFERENTIAL"),"_")))))</f>
        <v> </v>
      </c>
      <c r="H3309" s="24" t="str">
        <f>IF(J3309&lt;&gt;1,"",IF(I3309="SBJ","CB","?"))</f>
        <v> </v>
      </c>
      <c r="I3309" s="25" t="str">
        <f>IF(OR(E3309="",E3309="!!!",F3309="NEW"),"",INDEX(B3308:B$2,-1+SUMPRODUCT(MAX(ROW(E3308:E$2)*(E3309=E3308:E$2)))))</f>
        <v> </v>
      </c>
      <c r="J3309" s="25" t="str">
        <f>IF(OR(E3309="",E3309="!!!",F3309="NEW"),"",COUNTBLANK(OFFSET(A$1,,,SUMPRODUCT(MAX(ROW(E$2:E3309)*(E3309=E$2:E3309)))))-COUNTBLANK(OFFSET(A$1,,,SUMPRODUCT(MAX(ROW(E$1:E3308)*(E2=E$1:E3308))))))</f>
        <v> </v>
      </c>
      <c r="K3309" s="25" t="str">
        <f>IF(OR(E3309="",E3309="!!!",F3309="NEW"),"",INDEX(J$1:J3308,SUMPRODUCT(MAX(ROW(E$1:E3308)*(E3309=E$1:E3308)))))</f>
        <v> </v>
      </c>
      <c r="L3309" s="26"/>
    </row>
    <row r="3310" spans="1:12">
      <c r="A3310" s="20" t="s">
        <v>774</v>
      </c>
      <c r="E3310" s="21">
        <f>IF(D3310="?OLD","!!!","")</f>
        <v/>
      </c>
      <c r="F3310" s="22" t="str">
        <f>IF(OR(E3310="",E3310="!!!"),"",IF(NOT(ISNA(VLOOKUP(E3310,E$1:E3309,1,FALSE()))),"OLD",IF(AND(E3310&lt;&gt;"",E3310&lt;&gt;"!!!"),"NEW","")))</f>
        <v> </v>
      </c>
      <c r="G3310" s="23" t="str">
        <f>IF(OR(E3310="",E3310="!!!"),"",IF(OR(J3310=0,AND(J3310=1,K3310=1),AND(J3310=1,I3310="SBJ"),AND(J3310=1,I3310=0)),"?IN_FOCUS",IF(J3310&lt;=2,"?ACTIVATED",IF(J3310&lt;&gt;"","?FAMILIAR",IF(F3310="NEW",IF(ISNA(VLOOKUP(E3310,#REF!,1,FALSE())),"?TYPE_IDENTIFIABLE","?REFERENTIAL"),"_")))))</f>
        <v> </v>
      </c>
      <c r="H3310" s="24" t="str">
        <f>IF(J3310&lt;&gt;1,"",IF(I3310="SBJ","CB","?"))</f>
        <v> </v>
      </c>
      <c r="I3310" s="25" t="str">
        <f>IF(OR(E3310="",E3310="!!!",F3310="NEW"),"",INDEX(B3309:B$2,-1+SUMPRODUCT(MAX(ROW(E3309:E$2)*(E3310=E3309:E$2)))))</f>
        <v> </v>
      </c>
      <c r="J3310" s="25" t="str">
        <f>IF(OR(E3310="",E3310="!!!",F3310="NEW"),"",COUNTBLANK(OFFSET(A$1,,,SUMPRODUCT(MAX(ROW(E$2:E3310)*(E3310=E$2:E3310)))))-COUNTBLANK(OFFSET(A$1,,,SUMPRODUCT(MAX(ROW(E$1:E3309)*(E2=E$1:E3309))))))</f>
        <v> </v>
      </c>
      <c r="K3310" s="25" t="str">
        <f>IF(OR(E3310="",E3310="!!!",F3310="NEW"),"",INDEX(J$1:J3309,SUMPRODUCT(MAX(ROW(E$1:E3309)*(E3310=E$1:E3309)))))</f>
        <v> </v>
      </c>
      <c r="L3310" s="26"/>
    </row>
    <row r="3311" spans="1:12">
      <c r="A3311" s="20"/>
    </row>
    <row r="3312" spans="1:12">
      <c r="A3312" s="20" t="s">
        <v>1758</v>
      </c>
    </row>
    <row r="3313" spans="1:12">
      <c r="A3313" s="20" t="s">
        <v>917</v>
      </c>
      <c r="E3313" s="21">
        <f>IF(D3313="?OLD","!!!","")</f>
        <v/>
      </c>
      <c r="F3313" s="22" t="str">
        <f>IF(OR(E3313="",E3313="!!!"),"",IF(NOT(ISNA(VLOOKUP(E3313,E$1:E3312,1,FALSE()))),"OLD",IF(AND(E3313&lt;&gt;"",E3313&lt;&gt;"!!!"),"NEW","")))</f>
        <v> </v>
      </c>
      <c r="G3313" s="23" t="str">
        <f>IF(OR(E3313="",E3313="!!!"),"",IF(OR(J3313=0,AND(J3313=1,K3313=1),AND(J3313=1,I3313="SBJ"),AND(J3313=1,I3313=0)),"?IN_FOCUS",IF(J3313&lt;=2,"?ACTIVATED",IF(J3313&lt;&gt;"","?FAMILIAR",IF(F3313="NEW",IF(ISNA(VLOOKUP(E3313,#REF!,1,FALSE())),"?TYPE_IDENTIFIABLE","?REFERENTIAL"),"_")))))</f>
        <v> </v>
      </c>
      <c r="H3313" s="24" t="str">
        <f>IF(J3313&lt;&gt;1,"",IF(I3313="SBJ","CB","?"))</f>
        <v> </v>
      </c>
      <c r="I3313" s="25" t="str">
        <f>IF(OR(E3313="",E3313="!!!",F3313="NEW"),"",INDEX(B3312:B$2,-1+SUMPRODUCT(MAX(ROW(E3312:E$2)*(E3313=E3312:E$2)))))</f>
        <v> </v>
      </c>
      <c r="J3313" s="25" t="str">
        <f>IF(OR(E3313="",E3313="!!!",F3313="NEW"),"",COUNTBLANK(OFFSET(A$1,,,SUMPRODUCT(MAX(ROW(E$2:E3313)*(E3313=E$2:E3313)))))-COUNTBLANK(OFFSET(A$1,,,SUMPRODUCT(MAX(ROW(E$1:E3312)*(E2=E$1:E3312))))))</f>
        <v> </v>
      </c>
      <c r="K3313" s="25" t="str">
        <f>IF(OR(E3313="",E3313="!!!",F3313="NEW"),"",INDEX(J$1:J3312,SUMPRODUCT(MAX(ROW(E$1:E3312)*(E3313=E$1:E3312)))))</f>
        <v> </v>
      </c>
      <c r="L3313" s="26"/>
    </row>
    <row r="3314" spans="1:12">
      <c r="A3314" s="20" t="s">
        <v>1368</v>
      </c>
      <c r="E3314" s="21">
        <f>IF(D3314="?OLD","!!!","")</f>
        <v/>
      </c>
      <c r="F3314" s="22" t="str">
        <f>IF(OR(E3314="",E3314="!!!"),"",IF(NOT(ISNA(VLOOKUP(E3314,E$1:E3313,1,FALSE()))),"OLD",IF(AND(E3314&lt;&gt;"",E3314&lt;&gt;"!!!"),"NEW","")))</f>
        <v> </v>
      </c>
      <c r="G3314" s="23" t="str">
        <f>IF(OR(E3314="",E3314="!!!"),"",IF(OR(J3314=0,AND(J3314=1,K3314=1),AND(J3314=1,I3314="SBJ"),AND(J3314=1,I3314=0)),"?IN_FOCUS",IF(J3314&lt;=2,"?ACTIVATED",IF(J3314&lt;&gt;"","?FAMILIAR",IF(F3314="NEW",IF(ISNA(VLOOKUP(E3314,#REF!,1,FALSE())),"?TYPE_IDENTIFIABLE","?REFERENTIAL"),"_")))))</f>
        <v> </v>
      </c>
      <c r="H3314" s="24" t="str">
        <f>IF(J3314&lt;&gt;1,"",IF(I3314="SBJ","CB","?"))</f>
        <v> </v>
      </c>
      <c r="I3314" s="25" t="str">
        <f>IF(OR(E3314="",E3314="!!!",F3314="NEW"),"",INDEX(B3313:B$2,-1+SUMPRODUCT(MAX(ROW(E3313:E$2)*(E3314=E3313:E$2)))))</f>
        <v> </v>
      </c>
      <c r="J3314" s="25" t="str">
        <f>IF(OR(E3314="",E3314="!!!",F3314="NEW"),"",COUNTBLANK(OFFSET(A$1,,,SUMPRODUCT(MAX(ROW(E$2:E3314)*(E3314=E$2:E3314)))))-COUNTBLANK(OFFSET(A$1,,,SUMPRODUCT(MAX(ROW(E$1:E3313)*(E2=E$1:E3313))))))</f>
        <v> </v>
      </c>
      <c r="K3314" s="25" t="str">
        <f>IF(OR(E3314="",E3314="!!!",F3314="NEW"),"",INDEX(J$1:J3313,SUMPRODUCT(MAX(ROW(E$1:E3313)*(E3314=E$1:E3313)))))</f>
        <v> </v>
      </c>
      <c r="L3314" s="26"/>
    </row>
    <row r="3315" spans="1:12">
      <c r="A3315" s="20" t="s">
        <v>524</v>
      </c>
      <c r="B3315" s="27" t="s">
        <v>753</v>
      </c>
      <c r="C3315" s="27" t="s">
        <v>761</v>
      </c>
      <c r="D3315" s="27" t="s">
        <v>762</v>
      </c>
      <c r="E3315" s="21">
        <f>IF(D3315="?OLD","!!!","")</f>
        <v/>
      </c>
      <c r="F3315" s="22" t="str">
        <f>IF(OR(E3315="",E3315="!!!"),"",IF(NOT(ISNA(VLOOKUP(E3315,E$1:E3314,1,FALSE()))),"OLD",IF(AND(E3315&lt;&gt;"",E3315&lt;&gt;"!!!"),"NEW","")))</f>
        <v> </v>
      </c>
      <c r="G3315" s="23" t="str">
        <f>IF(OR(E3315="",E3315="!!!"),"",IF(OR(J3315=0,AND(J3315=1,K3315=1),AND(J3315=1,I3315="SBJ"),AND(J3315=1,I3315=0)),"?IN_FOCUS",IF(J3315&lt;=2,"?ACTIVATED",IF(J3315&lt;&gt;"","?FAMILIAR",IF(F3315="NEW",IF(ISNA(VLOOKUP(E3315,#REF!,1,FALSE())),"?TYPE_IDENTIFIABLE","?REFERENTIAL"),"_")))))</f>
        <v> </v>
      </c>
      <c r="H3315" s="24" t="str">
        <f>IF(J3315&lt;&gt;1,"",IF(I3315="SBJ","CB","?"))</f>
        <v> </v>
      </c>
      <c r="I3315" s="25" t="str">
        <f>IF(OR(E3315="",E3315="!!!",F3315="NEW"),"",INDEX(B3314:B$2,-1+SUMPRODUCT(MAX(ROW(E3314:E$2)*(E3315=E3314:E$2)))))</f>
        <v> </v>
      </c>
      <c r="J3315" s="25" t="str">
        <f>IF(OR(E3315="",E3315="!!!",F3315="NEW"),"",COUNTBLANK(OFFSET(A$1,,,SUMPRODUCT(MAX(ROW(E$2:E3315)*(E3315=E$2:E3315)))))-COUNTBLANK(OFFSET(A$1,,,SUMPRODUCT(MAX(ROW(E$1:E3314)*(E2=E$1:E3314))))))</f>
        <v> </v>
      </c>
      <c r="K3315" s="25" t="str">
        <f>IF(OR(E3315="",E3315="!!!",F3315="NEW"),"",INDEX(J$1:J3314,SUMPRODUCT(MAX(ROW(E$1:E3314)*(E3315=E$1:E3314)))))</f>
        <v> </v>
      </c>
      <c r="L3315" s="26"/>
    </row>
    <row r="3316" spans="1:12">
      <c r="A3316" s="20" t="s">
        <v>793</v>
      </c>
      <c r="B3316" s="27" t="s">
        <v>802</v>
      </c>
      <c r="E3316" s="21">
        <f>IF(D3316="?OLD","!!!","")</f>
        <v/>
      </c>
      <c r="F3316" s="22" t="str">
        <f>IF(OR(E3316="",E3316="!!!"),"",IF(NOT(ISNA(VLOOKUP(E3316,E$1:E3315,1,FALSE()))),"OLD",IF(AND(E3316&lt;&gt;"",E3316&lt;&gt;"!!!"),"NEW","")))</f>
        <v> </v>
      </c>
      <c r="G3316" s="23" t="str">
        <f>IF(OR(E3316="",E3316="!!!"),"",IF(OR(J3316=0,AND(J3316=1,K3316=1),AND(J3316=1,I3316="SBJ"),AND(J3316=1,I3316=0)),"?IN_FOCUS",IF(J3316&lt;=2,"?ACTIVATED",IF(J3316&lt;&gt;"","?FAMILIAR",IF(F3316="NEW",IF(ISNA(VLOOKUP(E3316,#REF!,1,FALSE())),"?TYPE_IDENTIFIABLE","?REFERENTIAL"),"_")))))</f>
        <v> </v>
      </c>
      <c r="H3316" s="24" t="str">
        <f>IF(J3316&lt;&gt;1,"",IF(I3316="SBJ","CB","?"))</f>
        <v> </v>
      </c>
      <c r="I3316" s="25" t="str">
        <f>IF(OR(E3316="",E3316="!!!",F3316="NEW"),"",INDEX(B3315:B$2,-1+SUMPRODUCT(MAX(ROW(E3315:E$2)*(E3316=E3315:E$2)))))</f>
        <v> </v>
      </c>
      <c r="J3316" s="25" t="str">
        <f>IF(OR(E3316="",E3316="!!!",F3316="NEW"),"",COUNTBLANK(OFFSET(A$1,,,SUMPRODUCT(MAX(ROW(E$2:E3316)*(E3316=E$2:E3316)))))-COUNTBLANK(OFFSET(A$1,,,SUMPRODUCT(MAX(ROW(E$1:E3315)*(E2=E$1:E3315))))))</f>
        <v> </v>
      </c>
      <c r="K3316" s="25" t="str">
        <f>IF(OR(E3316="",E3316="!!!",F3316="NEW"),"",INDEX(J$1:J3315,SUMPRODUCT(MAX(ROW(E$1:E3315)*(E3316=E$1:E3315)))))</f>
        <v> </v>
      </c>
      <c r="L3316" s="26"/>
    </row>
    <row r="3317" spans="1:12">
      <c r="A3317" s="20" t="s">
        <v>827</v>
      </c>
      <c r="B3317" s="27" t="s">
        <v>796</v>
      </c>
      <c r="C3317" s="27" t="s">
        <v>797</v>
      </c>
      <c r="D3317" s="27" t="s">
        <v>762</v>
      </c>
      <c r="E3317" s="21">
        <f>IF(D3317="?OLD","!!!","")</f>
        <v/>
      </c>
      <c r="F3317" s="22" t="str">
        <f>IF(OR(E3317="",E3317="!!!"),"",IF(NOT(ISNA(VLOOKUP(E3317,E$1:E3316,1,FALSE()))),"OLD",IF(AND(E3317&lt;&gt;"",E3317&lt;&gt;"!!!"),"NEW","")))</f>
        <v> </v>
      </c>
      <c r="G3317" s="23" t="str">
        <f>IF(OR(E3317="",E3317="!!!"),"",IF(OR(J3317=0,AND(J3317=1,K3317=1),AND(J3317=1,I3317="SBJ"),AND(J3317=1,I3317=0)),"?IN_FOCUS",IF(J3317&lt;=2,"?ACTIVATED",IF(J3317&lt;&gt;"","?FAMILIAR",IF(F3317="NEW",IF(ISNA(VLOOKUP(E3317,#REF!,1,FALSE())),"?TYPE_IDENTIFIABLE","?REFERENTIAL"),"_")))))</f>
        <v> </v>
      </c>
      <c r="H3317" s="24" t="str">
        <f>IF(J3317&lt;&gt;1,"",IF(I3317="SBJ","CB","?"))</f>
        <v> </v>
      </c>
      <c r="I3317" s="25" t="str">
        <f>IF(OR(E3317="",E3317="!!!",F3317="NEW"),"",INDEX(B3316:B$2,-1+SUMPRODUCT(MAX(ROW(E3316:E$2)*(E3317=E3316:E$2)))))</f>
        <v> </v>
      </c>
      <c r="J3317" s="25" t="str">
        <f>IF(OR(E3317="",E3317="!!!",F3317="NEW"),"",COUNTBLANK(OFFSET(A$1,,,SUMPRODUCT(MAX(ROW(E$2:E3317)*(E3317=E$2:E3317)))))-COUNTBLANK(OFFSET(A$1,,,SUMPRODUCT(MAX(ROW(E$1:E3316)*(E2=E$1:E3316))))))</f>
        <v> </v>
      </c>
      <c r="K3317" s="25" t="str">
        <f>IF(OR(E3317="",E3317="!!!",F3317="NEW"),"",INDEX(J$1:J3316,SUMPRODUCT(MAX(ROW(E$1:E3316)*(E3317=E$1:E3316)))))</f>
        <v> </v>
      </c>
      <c r="L3317" s="26"/>
    </row>
    <row r="3318" spans="1:12">
      <c r="A3318" s="20" t="s">
        <v>909</v>
      </c>
      <c r="E3318" s="21">
        <f>IF(D3318="?OLD","!!!","")</f>
        <v/>
      </c>
      <c r="F3318" s="22" t="str">
        <f>IF(OR(E3318="",E3318="!!!"),"",IF(NOT(ISNA(VLOOKUP(E3318,E$1:E3317,1,FALSE()))),"OLD",IF(AND(E3318&lt;&gt;"",E3318&lt;&gt;"!!!"),"NEW","")))</f>
        <v> </v>
      </c>
      <c r="G3318" s="23" t="str">
        <f>IF(OR(E3318="",E3318="!!!"),"",IF(OR(J3318=0,AND(J3318=1,K3318=1),AND(J3318=1,I3318="SBJ"),AND(J3318=1,I3318=0)),"?IN_FOCUS",IF(J3318&lt;=2,"?ACTIVATED",IF(J3318&lt;&gt;"","?FAMILIAR",IF(F3318="NEW",IF(ISNA(VLOOKUP(E3318,#REF!,1,FALSE())),"?TYPE_IDENTIFIABLE","?REFERENTIAL"),"_")))))</f>
        <v> </v>
      </c>
      <c r="H3318" s="24" t="str">
        <f>IF(J3318&lt;&gt;1,"",IF(I3318="SBJ","CB","?"))</f>
        <v> </v>
      </c>
      <c r="I3318" s="25" t="str">
        <f>IF(OR(E3318="",E3318="!!!",F3318="NEW"),"",INDEX(B3317:B$2,-1+SUMPRODUCT(MAX(ROW(E3317:E$2)*(E3318=E3317:E$2)))))</f>
        <v> </v>
      </c>
      <c r="J3318" s="25" t="str">
        <f>IF(OR(E3318="",E3318="!!!",F3318="NEW"),"",COUNTBLANK(OFFSET(A$1,,,SUMPRODUCT(MAX(ROW(E$2:E3318)*(E3318=E$2:E3318)))))-COUNTBLANK(OFFSET(A$1,,,SUMPRODUCT(MAX(ROW(E$1:E3317)*(E2=E$1:E3317))))))</f>
        <v> </v>
      </c>
      <c r="K3318" s="25" t="str">
        <f>IF(OR(E3318="",E3318="!!!",F3318="NEW"),"",INDEX(J$1:J3317,SUMPRODUCT(MAX(ROW(E$1:E3317)*(E3318=E$1:E3317)))))</f>
        <v> </v>
      </c>
      <c r="L3318" s="26"/>
    </row>
    <row r="3319" spans="1:12">
      <c r="A3319" s="20" t="s">
        <v>1342</v>
      </c>
      <c r="E3319" s="21">
        <f>IF(D3319="?OLD","!!!","")</f>
        <v/>
      </c>
      <c r="F3319" s="22" t="str">
        <f>IF(OR(E3319="",E3319="!!!"),"",IF(NOT(ISNA(VLOOKUP(E3319,E$1:E3318,1,FALSE()))),"OLD",IF(AND(E3319&lt;&gt;"",E3319&lt;&gt;"!!!"),"NEW","")))</f>
        <v> </v>
      </c>
      <c r="G3319" s="23" t="str">
        <f>IF(OR(E3319="",E3319="!!!"),"",IF(OR(J3319=0,AND(J3319=1,K3319=1),AND(J3319=1,I3319="SBJ"),AND(J3319=1,I3319=0)),"?IN_FOCUS",IF(J3319&lt;=2,"?ACTIVATED",IF(J3319&lt;&gt;"","?FAMILIAR",IF(F3319="NEW",IF(ISNA(VLOOKUP(E3319,#REF!,1,FALSE())),"?TYPE_IDENTIFIABLE","?REFERENTIAL"),"_")))))</f>
        <v> </v>
      </c>
      <c r="H3319" s="24" t="str">
        <f>IF(J3319&lt;&gt;1,"",IF(I3319="SBJ","CB","?"))</f>
        <v> </v>
      </c>
      <c r="I3319" s="25" t="str">
        <f>IF(OR(E3319="",E3319="!!!",F3319="NEW"),"",INDEX(B3318:B$2,-1+SUMPRODUCT(MAX(ROW(E3318:E$2)*(E3319=E3318:E$2)))))</f>
        <v> </v>
      </c>
      <c r="J3319" s="25" t="str">
        <f>IF(OR(E3319="",E3319="!!!",F3319="NEW"),"",COUNTBLANK(OFFSET(A$1,,,SUMPRODUCT(MAX(ROW(E$2:E3319)*(E3319=E$2:E3319)))))-COUNTBLANK(OFFSET(A$1,,,SUMPRODUCT(MAX(ROW(E$1:E3318)*(E2=E$1:E3318))))))</f>
        <v> </v>
      </c>
      <c r="K3319" s="25" t="str">
        <f>IF(OR(E3319="",E3319="!!!",F3319="NEW"),"",INDEX(J$1:J3318,SUMPRODUCT(MAX(ROW(E$1:E3318)*(E3319=E$1:E3318)))))</f>
        <v> </v>
      </c>
      <c r="L3319" s="26"/>
    </row>
    <row r="3320" spans="1:12">
      <c r="A3320" s="20" t="s">
        <v>875</v>
      </c>
      <c r="E3320" s="21">
        <f>IF(D3320="?OLD","!!!","")</f>
        <v/>
      </c>
      <c r="F3320" s="22" t="str">
        <f>IF(OR(E3320="",E3320="!!!"),"",IF(NOT(ISNA(VLOOKUP(E3320,E$1:E3319,1,FALSE()))),"OLD",IF(AND(E3320&lt;&gt;"",E3320&lt;&gt;"!!!"),"NEW","")))</f>
        <v> </v>
      </c>
      <c r="G3320" s="23" t="str">
        <f>IF(OR(E3320="",E3320="!!!"),"",IF(OR(J3320=0,AND(J3320=1,K3320=1),AND(J3320=1,I3320="SBJ"),AND(J3320=1,I3320=0)),"?IN_FOCUS",IF(J3320&lt;=2,"?ACTIVATED",IF(J3320&lt;&gt;"","?FAMILIAR",IF(F3320="NEW",IF(ISNA(VLOOKUP(E3320,#REF!,1,FALSE())),"?TYPE_IDENTIFIABLE","?REFERENTIAL"),"_")))))</f>
        <v> </v>
      </c>
      <c r="H3320" s="24" t="str">
        <f>IF(J3320&lt;&gt;1,"",IF(I3320="SBJ","CB","?"))</f>
        <v> </v>
      </c>
      <c r="I3320" s="25" t="str">
        <f>IF(OR(E3320="",E3320="!!!",F3320="NEW"),"",INDEX(B3319:B$2,-1+SUMPRODUCT(MAX(ROW(E3319:E$2)*(E3320=E3319:E$2)))))</f>
        <v> </v>
      </c>
      <c r="J3320" s="25" t="str">
        <f>IF(OR(E3320="",E3320="!!!",F3320="NEW"),"",COUNTBLANK(OFFSET(A$1,,,SUMPRODUCT(MAX(ROW(E$2:E3320)*(E3320=E$2:E3320)))))-COUNTBLANK(OFFSET(A$1,,,SUMPRODUCT(MAX(ROW(E$1:E3319)*(E2=E$1:E3319))))))</f>
        <v> </v>
      </c>
      <c r="K3320" s="25" t="str">
        <f>IF(OR(E3320="",E3320="!!!",F3320="NEW"),"",INDEX(J$1:J3319,SUMPRODUCT(MAX(ROW(E$1:E3319)*(E3320=E$1:E3319)))))</f>
        <v> </v>
      </c>
      <c r="L3320" s="26"/>
    </row>
    <row r="3321" spans="1:12">
      <c r="A3321" s="20" t="s">
        <v>1029</v>
      </c>
      <c r="B3321" s="27" t="s">
        <v>772</v>
      </c>
      <c r="C3321" s="27" t="s">
        <v>820</v>
      </c>
      <c r="D3321" s="27" t="s">
        <v>762</v>
      </c>
      <c r="E3321" s="21">
        <f>IF(D3321="?OLD","!!!","")</f>
        <v/>
      </c>
      <c r="F3321" s="22" t="str">
        <f>IF(OR(E3321="",E3321="!!!"),"",IF(NOT(ISNA(VLOOKUP(E3321,E$1:E3320,1,FALSE()))),"OLD",IF(AND(E3321&lt;&gt;"",E3321&lt;&gt;"!!!"),"NEW","")))</f>
        <v> </v>
      </c>
      <c r="G3321" s="23" t="str">
        <f>IF(OR(E3321="",E3321="!!!"),"",IF(OR(J3321=0,AND(J3321=1,K3321=1),AND(J3321=1,I3321="SBJ"),AND(J3321=1,I3321=0)),"?IN_FOCUS",IF(J3321&lt;=2,"?ACTIVATED",IF(J3321&lt;&gt;"","?FAMILIAR",IF(F3321="NEW",IF(ISNA(VLOOKUP(E3321,#REF!,1,FALSE())),"?TYPE_IDENTIFIABLE","?REFERENTIAL"),"_")))))</f>
        <v> </v>
      </c>
      <c r="H3321" s="24" t="str">
        <f>IF(J3321&lt;&gt;1,"",IF(I3321="SBJ","CB","?"))</f>
        <v> </v>
      </c>
      <c r="I3321" s="25" t="str">
        <f>IF(OR(E3321="",E3321="!!!",F3321="NEW"),"",INDEX(B3320:B$2,-1+SUMPRODUCT(MAX(ROW(E3320:E$2)*(E3321=E3320:E$2)))))</f>
        <v> </v>
      </c>
      <c r="J3321" s="25" t="str">
        <f>IF(OR(E3321="",E3321="!!!",F3321="NEW"),"",COUNTBLANK(OFFSET(A$1,,,SUMPRODUCT(MAX(ROW(E$2:E3321)*(E3321=E$2:E3321)))))-COUNTBLANK(OFFSET(A$1,,,SUMPRODUCT(MAX(ROW(E$1:E3320)*(E2=E$1:E3320))))))</f>
        <v> </v>
      </c>
      <c r="K3321" s="25" t="str">
        <f>IF(OR(E3321="",E3321="!!!",F3321="NEW"),"",INDEX(J$1:J3320,SUMPRODUCT(MAX(ROW(E$1:E3320)*(E3321=E$1:E3320)))))</f>
        <v> </v>
      </c>
      <c r="L3321" s="26"/>
    </row>
    <row r="3322" spans="1:12">
      <c r="A3322" s="20" t="s">
        <v>16</v>
      </c>
      <c r="E3322" s="21">
        <f>IF(D3322="?OLD","!!!","")</f>
        <v/>
      </c>
      <c r="F3322" s="22" t="str">
        <f>IF(OR(E3322="",E3322="!!!"),"",IF(NOT(ISNA(VLOOKUP(E3322,E$1:E3321,1,FALSE()))),"OLD",IF(AND(E3322&lt;&gt;"",E3322&lt;&gt;"!!!"),"NEW","")))</f>
        <v> </v>
      </c>
      <c r="G3322" s="23" t="str">
        <f>IF(OR(E3322="",E3322="!!!"),"",IF(OR(J3322=0,AND(J3322=1,K3322=1),AND(J3322=1,I3322="SBJ"),AND(J3322=1,I3322=0)),"?IN_FOCUS",IF(J3322&lt;=2,"?ACTIVATED",IF(J3322&lt;&gt;"","?FAMILIAR",IF(F3322="NEW",IF(ISNA(VLOOKUP(E3322,#REF!,1,FALSE())),"?TYPE_IDENTIFIABLE","?REFERENTIAL"),"_")))))</f>
        <v> </v>
      </c>
      <c r="H3322" s="24" t="str">
        <f>IF(J3322&lt;&gt;1,"",IF(I3322="SBJ","CB","?"))</f>
        <v> </v>
      </c>
      <c r="I3322" s="25" t="str">
        <f>IF(OR(E3322="",E3322="!!!",F3322="NEW"),"",INDEX(B3321:B$2,-1+SUMPRODUCT(MAX(ROW(E3321:E$2)*(E3322=E3321:E$2)))))</f>
        <v> </v>
      </c>
      <c r="J3322" s="25" t="str">
        <f>IF(OR(E3322="",E3322="!!!",F3322="NEW"),"",COUNTBLANK(OFFSET(A$1,,,SUMPRODUCT(MAX(ROW(E$2:E3322)*(E3322=E$2:E3322)))))-COUNTBLANK(OFFSET(A$1,,,SUMPRODUCT(MAX(ROW(E$1:E3321)*(E2=E$1:E3321))))))</f>
        <v> </v>
      </c>
      <c r="K3322" s="25" t="str">
        <f>IF(OR(E3322="",E3322="!!!",F3322="NEW"),"",INDEX(J$1:J3321,SUMPRODUCT(MAX(ROW(E$1:E3321)*(E3322=E$1:E3321)))))</f>
        <v> </v>
      </c>
      <c r="L3322" s="26"/>
    </row>
    <row r="3323" spans="1:12">
      <c r="A3323" s="20" t="s">
        <v>822</v>
      </c>
      <c r="E3323" s="21">
        <f>IF(D3323="?OLD","!!!","")</f>
        <v/>
      </c>
      <c r="F3323" s="22" t="str">
        <f>IF(OR(E3323="",E3323="!!!"),"",IF(NOT(ISNA(VLOOKUP(E3323,E$1:E3322,1,FALSE()))),"OLD",IF(AND(E3323&lt;&gt;"",E3323&lt;&gt;"!!!"),"NEW","")))</f>
        <v> </v>
      </c>
      <c r="G3323" s="23" t="str">
        <f>IF(OR(E3323="",E3323="!!!"),"",IF(OR(J3323=0,AND(J3323=1,K3323=1),AND(J3323=1,I3323="SBJ"),AND(J3323=1,I3323=0)),"?IN_FOCUS",IF(J3323&lt;=2,"?ACTIVATED",IF(J3323&lt;&gt;"","?FAMILIAR",IF(F3323="NEW",IF(ISNA(VLOOKUP(E3323,#REF!,1,FALSE())),"?TYPE_IDENTIFIABLE","?REFERENTIAL"),"_")))))</f>
        <v> </v>
      </c>
      <c r="H3323" s="24" t="str">
        <f>IF(J3323&lt;&gt;1,"",IF(I3323="SBJ","CB","?"))</f>
        <v> </v>
      </c>
      <c r="I3323" s="25" t="str">
        <f>IF(OR(E3323="",E3323="!!!",F3323="NEW"),"",INDEX(B3322:B$2,-1+SUMPRODUCT(MAX(ROW(E3322:E$2)*(E3323=E3322:E$2)))))</f>
        <v> </v>
      </c>
      <c r="J3323" s="25" t="str">
        <f>IF(OR(E3323="",E3323="!!!",F3323="NEW"),"",COUNTBLANK(OFFSET(A$1,,,SUMPRODUCT(MAX(ROW(E$2:E3323)*(E3323=E$2:E3323)))))-COUNTBLANK(OFFSET(A$1,,,SUMPRODUCT(MAX(ROW(E$1:E3322)*(E2=E$1:E3322))))))</f>
        <v> </v>
      </c>
      <c r="K3323" s="25" t="str">
        <f>IF(OR(E3323="",E3323="!!!",F3323="NEW"),"",INDEX(J$1:J3322,SUMPRODUCT(MAX(ROW(E$1:E3322)*(E3323=E$1:E3322)))))</f>
        <v> </v>
      </c>
      <c r="L3323" s="26"/>
    </row>
    <row r="3324" spans="1:12">
      <c r="A3324" s="20" t="s">
        <v>1368</v>
      </c>
      <c r="E3324" s="21">
        <f>IF(D3324="?OLD","!!!","")</f>
        <v/>
      </c>
      <c r="F3324" s="22" t="str">
        <f>IF(OR(E3324="",E3324="!!!"),"",IF(NOT(ISNA(VLOOKUP(E3324,E$1:E3323,1,FALSE()))),"OLD",IF(AND(E3324&lt;&gt;"",E3324&lt;&gt;"!!!"),"NEW","")))</f>
        <v> </v>
      </c>
      <c r="G3324" s="23" t="str">
        <f>IF(OR(E3324="",E3324="!!!"),"",IF(OR(J3324=0,AND(J3324=1,K3324=1),AND(J3324=1,I3324="SBJ"),AND(J3324=1,I3324=0)),"?IN_FOCUS",IF(J3324&lt;=2,"?ACTIVATED",IF(J3324&lt;&gt;"","?FAMILIAR",IF(F3324="NEW",IF(ISNA(VLOOKUP(E3324,#REF!,1,FALSE())),"?TYPE_IDENTIFIABLE","?REFERENTIAL"),"_")))))</f>
        <v> </v>
      </c>
      <c r="H3324" s="24" t="str">
        <f>IF(J3324&lt;&gt;1,"",IF(I3324="SBJ","CB","?"))</f>
        <v> </v>
      </c>
      <c r="I3324" s="25" t="str">
        <f>IF(OR(E3324="",E3324="!!!",F3324="NEW"),"",INDEX(B3323:B$2,-1+SUMPRODUCT(MAX(ROW(E3323:E$2)*(E3324=E3323:E$2)))))</f>
        <v> </v>
      </c>
      <c r="J3324" s="25" t="str">
        <f>IF(OR(E3324="",E3324="!!!",F3324="NEW"),"",COUNTBLANK(OFFSET(A$1,,,SUMPRODUCT(MAX(ROW(E$2:E3324)*(E3324=E$2:E3324)))))-COUNTBLANK(OFFSET(A$1,,,SUMPRODUCT(MAX(ROW(E$1:E3323)*(E2=E$1:E3323))))))</f>
        <v> </v>
      </c>
      <c r="K3324" s="25" t="str">
        <f>IF(OR(E3324="",E3324="!!!",F3324="NEW"),"",INDEX(J$1:J3323,SUMPRODUCT(MAX(ROW(E$1:E3323)*(E3324=E$1:E3323)))))</f>
        <v> </v>
      </c>
      <c r="L3324" s="26"/>
    </row>
    <row r="3325" spans="1:12">
      <c r="A3325" s="20" t="s">
        <v>769</v>
      </c>
      <c r="E3325" s="21">
        <f>IF(D3325="?OLD","!!!","")</f>
        <v/>
      </c>
      <c r="F3325" s="22" t="str">
        <f>IF(OR(E3325="",E3325="!!!"),"",IF(NOT(ISNA(VLOOKUP(E3325,E$1:E3324,1,FALSE()))),"OLD",IF(AND(E3325&lt;&gt;"",E3325&lt;&gt;"!!!"),"NEW","")))</f>
        <v> </v>
      </c>
      <c r="G3325" s="23" t="str">
        <f>IF(OR(E3325="",E3325="!!!"),"",IF(OR(J3325=0,AND(J3325=1,K3325=1),AND(J3325=1,I3325="SBJ"),AND(J3325=1,I3325=0)),"?IN_FOCUS",IF(J3325&lt;=2,"?ACTIVATED",IF(J3325&lt;&gt;"","?FAMILIAR",IF(F3325="NEW",IF(ISNA(VLOOKUP(E3325,#REF!,1,FALSE())),"?TYPE_IDENTIFIABLE","?REFERENTIAL"),"_")))))</f>
        <v> </v>
      </c>
      <c r="H3325" s="24" t="str">
        <f>IF(J3325&lt;&gt;1,"",IF(I3325="SBJ","CB","?"))</f>
        <v> </v>
      </c>
      <c r="I3325" s="25" t="str">
        <f>IF(OR(E3325="",E3325="!!!",F3325="NEW"),"",INDEX(B3324:B$2,-1+SUMPRODUCT(MAX(ROW(E3324:E$2)*(E3325=E3324:E$2)))))</f>
        <v> </v>
      </c>
      <c r="J3325" s="25" t="str">
        <f>IF(OR(E3325="",E3325="!!!",F3325="NEW"),"",COUNTBLANK(OFFSET(A$1,,,SUMPRODUCT(MAX(ROW(E$2:E3325)*(E3325=E$2:E3325)))))-COUNTBLANK(OFFSET(A$1,,,SUMPRODUCT(MAX(ROW(E$1:E3324)*(E2=E$1:E3324))))))</f>
        <v> </v>
      </c>
      <c r="K3325" s="25" t="str">
        <f>IF(OR(E3325="",E3325="!!!",F3325="NEW"),"",INDEX(J$1:J3324,SUMPRODUCT(MAX(ROW(E$1:E3324)*(E3325=E$1:E3324)))))</f>
        <v> </v>
      </c>
      <c r="L3325" s="26"/>
    </row>
    <row r="3326" spans="1:12">
      <c r="A3326" s="20" t="s">
        <v>1759</v>
      </c>
      <c r="E3326" s="21">
        <f>IF(D3326="?OLD","!!!","")</f>
        <v/>
      </c>
      <c r="F3326" s="22" t="str">
        <f>IF(OR(E3326="",E3326="!!!"),"",IF(NOT(ISNA(VLOOKUP(E3326,E$1:E3325,1,FALSE()))),"OLD",IF(AND(E3326&lt;&gt;"",E3326&lt;&gt;"!!!"),"NEW","")))</f>
        <v> </v>
      </c>
      <c r="G3326" s="23" t="str">
        <f>IF(OR(E3326="",E3326="!!!"),"",IF(OR(J3326=0,AND(J3326=1,K3326=1),AND(J3326=1,I3326="SBJ"),AND(J3326=1,I3326=0)),"?IN_FOCUS",IF(J3326&lt;=2,"?ACTIVATED",IF(J3326&lt;&gt;"","?FAMILIAR",IF(F3326="NEW",IF(ISNA(VLOOKUP(E3326,#REF!,1,FALSE())),"?TYPE_IDENTIFIABLE","?REFERENTIAL"),"_")))))</f>
        <v> </v>
      </c>
      <c r="H3326" s="24" t="str">
        <f>IF(J3326&lt;&gt;1,"",IF(I3326="SBJ","CB","?"))</f>
        <v> </v>
      </c>
      <c r="I3326" s="25" t="str">
        <f>IF(OR(E3326="",E3326="!!!",F3326="NEW"),"",INDEX(B3325:B$2,-1+SUMPRODUCT(MAX(ROW(E3325:E$2)*(E3326=E3325:E$2)))))</f>
        <v> </v>
      </c>
      <c r="J3326" s="25" t="str">
        <f>IF(OR(E3326="",E3326="!!!",F3326="NEW"),"",COUNTBLANK(OFFSET(A$1,,,SUMPRODUCT(MAX(ROW(E$2:E3326)*(E3326=E$2:E3326)))))-COUNTBLANK(OFFSET(A$1,,,SUMPRODUCT(MAX(ROW(E$1:E3325)*(E2=E$1:E3325))))))</f>
        <v> </v>
      </c>
      <c r="K3326" s="25" t="str">
        <f>IF(OR(E3326="",E3326="!!!",F3326="NEW"),"",INDEX(J$1:J3325,SUMPRODUCT(MAX(ROW(E$1:E3325)*(E3326=E$1:E3325)))))</f>
        <v> </v>
      </c>
      <c r="L3326" s="26"/>
    </row>
    <row r="3327" spans="1:12">
      <c r="A3327" s="20" t="s">
        <v>1222</v>
      </c>
      <c r="B3327" s="27" t="s">
        <v>772</v>
      </c>
      <c r="C3327" s="27" t="s">
        <v>754</v>
      </c>
      <c r="E3327" s="21">
        <f>IF(D3327="?OLD","!!!","")</f>
        <v/>
      </c>
      <c r="F3327" s="22" t="str">
        <f>IF(OR(E3327="",E3327="!!!"),"",IF(NOT(ISNA(VLOOKUP(E3327,E$1:E3326,1,FALSE()))),"OLD",IF(AND(E3327&lt;&gt;"",E3327&lt;&gt;"!!!"),"NEW","")))</f>
        <v> </v>
      </c>
      <c r="G3327" s="23" t="str">
        <f>IF(OR(E3327="",E3327="!!!"),"",IF(OR(J3327=0,AND(J3327=1,K3327=1),AND(J3327=1,I3327="SBJ"),AND(J3327=1,I3327=0)),"?IN_FOCUS",IF(J3327&lt;=2,"?ACTIVATED",IF(J3327&lt;&gt;"","?FAMILIAR",IF(F3327="NEW",IF(ISNA(VLOOKUP(E3327,#REF!,1,FALSE())),"?TYPE_IDENTIFIABLE","?REFERENTIAL"),"_")))))</f>
        <v> </v>
      </c>
      <c r="H3327" s="24" t="str">
        <f>IF(J3327&lt;&gt;1,"",IF(I3327="SBJ","CB","?"))</f>
        <v> </v>
      </c>
      <c r="I3327" s="25" t="str">
        <f>IF(OR(E3327="",E3327="!!!",F3327="NEW"),"",INDEX(B3326:B$2,-1+SUMPRODUCT(MAX(ROW(E3326:E$2)*(E3327=E3326:E$2)))))</f>
        <v> </v>
      </c>
      <c r="J3327" s="25" t="str">
        <f>IF(OR(E3327="",E3327="!!!",F3327="NEW"),"",COUNTBLANK(OFFSET(A$1,,,SUMPRODUCT(MAX(ROW(E$2:E3327)*(E3327=E$2:E3327)))))-COUNTBLANK(OFFSET(A$1,,,SUMPRODUCT(MAX(ROW(E$1:E3326)*(E2=E$1:E3326))))))</f>
        <v> </v>
      </c>
      <c r="K3327" s="25" t="str">
        <f>IF(OR(E3327="",E3327="!!!",F3327="NEW"),"",INDEX(J$1:J3326,SUMPRODUCT(MAX(ROW(E$1:E3326)*(E3327=E$1:E3326)))))</f>
        <v> </v>
      </c>
      <c r="L3327" s="26"/>
    </row>
    <row r="3328" spans="1:12">
      <c r="A3328" s="20" t="s">
        <v>16</v>
      </c>
      <c r="E3328" s="21">
        <f>IF(D3328="?OLD","!!!","")</f>
        <v/>
      </c>
      <c r="F3328" s="22" t="str">
        <f>IF(OR(E3328="",E3328="!!!"),"",IF(NOT(ISNA(VLOOKUP(E3328,E$1:E3327,1,FALSE()))),"OLD",IF(AND(E3328&lt;&gt;"",E3328&lt;&gt;"!!!"),"NEW","")))</f>
        <v> </v>
      </c>
      <c r="G3328" s="23" t="str">
        <f>IF(OR(E3328="",E3328="!!!"),"",IF(OR(J3328=0,AND(J3328=1,K3328=1),AND(J3328=1,I3328="SBJ"),AND(J3328=1,I3328=0)),"?IN_FOCUS",IF(J3328&lt;=2,"?ACTIVATED",IF(J3328&lt;&gt;"","?FAMILIAR",IF(F3328="NEW",IF(ISNA(VLOOKUP(E3328,#REF!,1,FALSE())),"?TYPE_IDENTIFIABLE","?REFERENTIAL"),"_")))))</f>
        <v> </v>
      </c>
      <c r="H3328" s="24" t="str">
        <f>IF(J3328&lt;&gt;1,"",IF(I3328="SBJ","CB","?"))</f>
        <v> </v>
      </c>
      <c r="I3328" s="25" t="str">
        <f>IF(OR(E3328="",E3328="!!!",F3328="NEW"),"",INDEX(B3327:B$2,-1+SUMPRODUCT(MAX(ROW(E3327:E$2)*(E3328=E3327:E$2)))))</f>
        <v> </v>
      </c>
      <c r="J3328" s="25" t="str">
        <f>IF(OR(E3328="",E3328="!!!",F3328="NEW"),"",COUNTBLANK(OFFSET(A$1,,,SUMPRODUCT(MAX(ROW(E$2:E3328)*(E3328=E$2:E3328)))))-COUNTBLANK(OFFSET(A$1,,,SUMPRODUCT(MAX(ROW(E$1:E3327)*(E2=E$1:E3327))))))</f>
        <v> </v>
      </c>
      <c r="K3328" s="25" t="str">
        <f>IF(OR(E3328="",E3328="!!!",F3328="NEW"),"",INDEX(J$1:J3327,SUMPRODUCT(MAX(ROW(E$1:E3327)*(E3328=E$1:E3327)))))</f>
        <v> </v>
      </c>
      <c r="L3328" s="26"/>
    </row>
    <row r="3329" spans="1:12">
      <c r="A3329" s="20" t="s">
        <v>16</v>
      </c>
      <c r="E3329" s="21">
        <f>IF(D3329="?OLD","!!!","")</f>
        <v/>
      </c>
      <c r="F3329" s="22" t="str">
        <f>IF(OR(E3329="",E3329="!!!"),"",IF(NOT(ISNA(VLOOKUP(E3329,E$1:E3328,1,FALSE()))),"OLD",IF(AND(E3329&lt;&gt;"",E3329&lt;&gt;"!!!"),"NEW","")))</f>
        <v> </v>
      </c>
      <c r="G3329" s="23" t="str">
        <f>IF(OR(E3329="",E3329="!!!"),"",IF(OR(J3329=0,AND(J3329=1,K3329=1),AND(J3329=1,I3329="SBJ"),AND(J3329=1,I3329=0)),"?IN_FOCUS",IF(J3329&lt;=2,"?ACTIVATED",IF(J3329&lt;&gt;"","?FAMILIAR",IF(F3329="NEW",IF(ISNA(VLOOKUP(E3329,#REF!,1,FALSE())),"?TYPE_IDENTIFIABLE","?REFERENTIAL"),"_")))))</f>
        <v> </v>
      </c>
      <c r="H3329" s="24" t="str">
        <f>IF(J3329&lt;&gt;1,"",IF(I3329="SBJ","CB","?"))</f>
        <v> </v>
      </c>
      <c r="I3329" s="25" t="str">
        <f>IF(OR(E3329="",E3329="!!!",F3329="NEW"),"",INDEX(B3328:B$2,-1+SUMPRODUCT(MAX(ROW(E3328:E$2)*(E3329=E3328:E$2)))))</f>
        <v> </v>
      </c>
      <c r="J3329" s="25" t="str">
        <f>IF(OR(E3329="",E3329="!!!",F3329="NEW"),"",COUNTBLANK(OFFSET(A$1,,,SUMPRODUCT(MAX(ROW(E$2:E3329)*(E3329=E$2:E3329)))))-COUNTBLANK(OFFSET(A$1,,,SUMPRODUCT(MAX(ROW(E$1:E3328)*(E2=E$1:E3328))))))</f>
        <v> </v>
      </c>
      <c r="K3329" s="25" t="str">
        <f>IF(OR(E3329="",E3329="!!!",F3329="NEW"),"",INDEX(J$1:J3328,SUMPRODUCT(MAX(ROW(E$1:E3328)*(E3329=E$1:E3328)))))</f>
        <v> </v>
      </c>
      <c r="L3329" s="26"/>
    </row>
    <row r="3330" spans="1:12">
      <c r="A3330" s="20" t="s">
        <v>827</v>
      </c>
      <c r="B3330" s="27" t="s">
        <v>796</v>
      </c>
      <c r="C3330" s="27" t="s">
        <v>797</v>
      </c>
      <c r="D3330" s="27" t="s">
        <v>762</v>
      </c>
      <c r="E3330" s="21">
        <f>IF(D3330="?OLD","!!!","")</f>
        <v/>
      </c>
      <c r="F3330" s="22" t="str">
        <f>IF(OR(E3330="",E3330="!!!"),"",IF(NOT(ISNA(VLOOKUP(E3330,E$1:E3329,1,FALSE()))),"OLD",IF(AND(E3330&lt;&gt;"",E3330&lt;&gt;"!!!"),"NEW","")))</f>
        <v> </v>
      </c>
      <c r="G3330" s="23" t="str">
        <f>IF(OR(E3330="",E3330="!!!"),"",IF(OR(J3330=0,AND(J3330=1,K3330=1),AND(J3330=1,I3330="SBJ"),AND(J3330=1,I3330=0)),"?IN_FOCUS",IF(J3330&lt;=2,"?ACTIVATED",IF(J3330&lt;&gt;"","?FAMILIAR",IF(F3330="NEW",IF(ISNA(VLOOKUP(E3330,#REF!,1,FALSE())),"?TYPE_IDENTIFIABLE","?REFERENTIAL"),"_")))))</f>
        <v> </v>
      </c>
      <c r="H3330" s="24" t="str">
        <f>IF(J3330&lt;&gt;1,"",IF(I3330="SBJ","CB","?"))</f>
        <v> </v>
      </c>
      <c r="I3330" s="25" t="str">
        <f>IF(OR(E3330="",E3330="!!!",F3330="NEW"),"",INDEX(B3329:B$2,-1+SUMPRODUCT(MAX(ROW(E3329:E$2)*(E3330=E3329:E$2)))))</f>
        <v> </v>
      </c>
      <c r="J3330" s="25" t="str">
        <f>IF(OR(E3330="",E3330="!!!",F3330="NEW"),"",COUNTBLANK(OFFSET(A$1,,,SUMPRODUCT(MAX(ROW(E$2:E3330)*(E3330=E$2:E3330)))))-COUNTBLANK(OFFSET(A$1,,,SUMPRODUCT(MAX(ROW(E$1:E3329)*(E2=E$1:E3329))))))</f>
        <v> </v>
      </c>
      <c r="K3330" s="25" t="str">
        <f>IF(OR(E3330="",E3330="!!!",F3330="NEW"),"",INDEX(J$1:J3329,SUMPRODUCT(MAX(ROW(E$1:E3329)*(E3330=E$1:E3329)))))</f>
        <v> </v>
      </c>
      <c r="L3330" s="26"/>
    </row>
    <row r="3331" spans="1:12">
      <c r="A3331" s="20" t="s">
        <v>909</v>
      </c>
      <c r="E3331" s="21">
        <f>IF(D3331="?OLD","!!!","")</f>
        <v/>
      </c>
      <c r="F3331" s="22" t="str">
        <f>IF(OR(E3331="",E3331="!!!"),"",IF(NOT(ISNA(VLOOKUP(E3331,E$1:E3330,1,FALSE()))),"OLD",IF(AND(E3331&lt;&gt;"",E3331&lt;&gt;"!!!"),"NEW","")))</f>
        <v> </v>
      </c>
      <c r="G3331" s="23" t="str">
        <f>IF(OR(E3331="",E3331="!!!"),"",IF(OR(J3331=0,AND(J3331=1,K3331=1),AND(J3331=1,I3331="SBJ"),AND(J3331=1,I3331=0)),"?IN_FOCUS",IF(J3331&lt;=2,"?ACTIVATED",IF(J3331&lt;&gt;"","?FAMILIAR",IF(F3331="NEW",IF(ISNA(VLOOKUP(E3331,#REF!,1,FALSE())),"?TYPE_IDENTIFIABLE","?REFERENTIAL"),"_")))))</f>
        <v> </v>
      </c>
      <c r="H3331" s="24" t="str">
        <f>IF(J3331&lt;&gt;1,"",IF(I3331="SBJ","CB","?"))</f>
        <v> </v>
      </c>
      <c r="I3331" s="25" t="str">
        <f>IF(OR(E3331="",E3331="!!!",F3331="NEW"),"",INDEX(B3330:B$2,-1+SUMPRODUCT(MAX(ROW(E3330:E$2)*(E3331=E3330:E$2)))))</f>
        <v> </v>
      </c>
      <c r="J3331" s="25" t="str">
        <f>IF(OR(E3331="",E3331="!!!",F3331="NEW"),"",COUNTBLANK(OFFSET(A$1,,,SUMPRODUCT(MAX(ROW(E$2:E3331)*(E3331=E$2:E3331)))))-COUNTBLANK(OFFSET(A$1,,,SUMPRODUCT(MAX(ROW(E$1:E3330)*(E2=E$1:E3330))))))</f>
        <v> </v>
      </c>
      <c r="K3331" s="25" t="str">
        <f>IF(OR(E3331="",E3331="!!!",F3331="NEW"),"",INDEX(J$1:J3330,SUMPRODUCT(MAX(ROW(E$1:E3330)*(E3331=E$1:E3330)))))</f>
        <v> </v>
      </c>
      <c r="L3331" s="26"/>
    </row>
    <row r="3332" spans="1:12">
      <c r="A3332" s="20" t="s">
        <v>1760</v>
      </c>
      <c r="E3332" s="21">
        <f>IF(D3332="?OLD","!!!","")</f>
        <v/>
      </c>
      <c r="F3332" s="22" t="str">
        <f>IF(OR(E3332="",E3332="!!!"),"",IF(NOT(ISNA(VLOOKUP(E3332,E$1:E3331,1,FALSE()))),"OLD",IF(AND(E3332&lt;&gt;"",E3332&lt;&gt;"!!!"),"NEW","")))</f>
        <v> </v>
      </c>
      <c r="G3332" s="23" t="str">
        <f>IF(OR(E3332="",E3332="!!!"),"",IF(OR(J3332=0,AND(J3332=1,K3332=1),AND(J3332=1,I3332="SBJ"),AND(J3332=1,I3332=0)),"?IN_FOCUS",IF(J3332&lt;=2,"?ACTIVATED",IF(J3332&lt;&gt;"","?FAMILIAR",IF(F3332="NEW",IF(ISNA(VLOOKUP(E3332,#REF!,1,FALSE())),"?TYPE_IDENTIFIABLE","?REFERENTIAL"),"_")))))</f>
        <v> </v>
      </c>
      <c r="H3332" s="24" t="str">
        <f>IF(J3332&lt;&gt;1,"",IF(I3332="SBJ","CB","?"))</f>
        <v> </v>
      </c>
      <c r="I3332" s="25" t="str">
        <f>IF(OR(E3332="",E3332="!!!",F3332="NEW"),"",INDEX(B3331:B$2,-1+SUMPRODUCT(MAX(ROW(E3331:E$2)*(E3332=E3331:E$2)))))</f>
        <v> </v>
      </c>
      <c r="J3332" s="25" t="str">
        <f>IF(OR(E3332="",E3332="!!!",F3332="NEW"),"",COUNTBLANK(OFFSET(A$1,,,SUMPRODUCT(MAX(ROW(E$2:E3332)*(E3332=E$2:E3332)))))-COUNTBLANK(OFFSET(A$1,,,SUMPRODUCT(MAX(ROW(E$1:E3331)*(E2=E$1:E3331))))))</f>
        <v> </v>
      </c>
      <c r="K3332" s="25" t="str">
        <f>IF(OR(E3332="",E3332="!!!",F3332="NEW"),"",INDEX(J$1:J3331,SUMPRODUCT(MAX(ROW(E$1:E3331)*(E3332=E$1:E3331)))))</f>
        <v> </v>
      </c>
      <c r="L3332" s="26"/>
    </row>
    <row r="3333" spans="1:12">
      <c r="A3333" s="20" t="s">
        <v>960</v>
      </c>
      <c r="B3333" s="27" t="s">
        <v>802</v>
      </c>
      <c r="E3333" s="21">
        <f>IF(D3333="?OLD","!!!","")</f>
        <v/>
      </c>
      <c r="F3333" s="22" t="str">
        <f>IF(OR(E3333="",E3333="!!!"),"",IF(NOT(ISNA(VLOOKUP(E3333,E$1:E3332,1,FALSE()))),"OLD",IF(AND(E3333&lt;&gt;"",E3333&lt;&gt;"!!!"),"NEW","")))</f>
        <v> </v>
      </c>
      <c r="G3333" s="23" t="str">
        <f>IF(OR(E3333="",E3333="!!!"),"",IF(OR(J3333=0,AND(J3333=1,K3333=1),AND(J3333=1,I3333="SBJ"),AND(J3333=1,I3333=0)),"?IN_FOCUS",IF(J3333&lt;=2,"?ACTIVATED",IF(J3333&lt;&gt;"","?FAMILIAR",IF(F3333="NEW",IF(ISNA(VLOOKUP(E3333,#REF!,1,FALSE())),"?TYPE_IDENTIFIABLE","?REFERENTIAL"),"_")))))</f>
        <v> </v>
      </c>
      <c r="H3333" s="24" t="str">
        <f>IF(J3333&lt;&gt;1,"",IF(I3333="SBJ","CB","?"))</f>
        <v> </v>
      </c>
      <c r="I3333" s="25" t="str">
        <f>IF(OR(E3333="",E3333="!!!",F3333="NEW"),"",INDEX(B3332:B$2,-1+SUMPRODUCT(MAX(ROW(E3332:E$2)*(E3333=E3332:E$2)))))</f>
        <v> </v>
      </c>
      <c r="J3333" s="25" t="str">
        <f>IF(OR(E3333="",E3333="!!!",F3333="NEW"),"",COUNTBLANK(OFFSET(A$1,,,SUMPRODUCT(MAX(ROW(E$2:E3333)*(E3333=E$2:E3333)))))-COUNTBLANK(OFFSET(A$1,,,SUMPRODUCT(MAX(ROW(E$1:E3332)*(E2=E$1:E3332))))))</f>
        <v> </v>
      </c>
      <c r="K3333" s="25" t="str">
        <f>IF(OR(E3333="",E3333="!!!",F3333="NEW"),"",INDEX(J$1:J3332,SUMPRODUCT(MAX(ROW(E$1:E3332)*(E3333=E$1:E3332)))))</f>
        <v> </v>
      </c>
      <c r="L3333" s="26"/>
    </row>
    <row r="3334" spans="1:12">
      <c r="A3334" s="20" t="s">
        <v>769</v>
      </c>
      <c r="E3334" s="21">
        <f>IF(D3334="?OLD","!!!","")</f>
        <v/>
      </c>
      <c r="F3334" s="22" t="str">
        <f>IF(OR(E3334="",E3334="!!!"),"",IF(NOT(ISNA(VLOOKUP(E3334,E$1:E3333,1,FALSE()))),"OLD",IF(AND(E3334&lt;&gt;"",E3334&lt;&gt;"!!!"),"NEW","")))</f>
        <v> </v>
      </c>
      <c r="G3334" s="23" t="str">
        <f>IF(OR(E3334="",E3334="!!!"),"",IF(OR(J3334=0,AND(J3334=1,K3334=1),AND(J3334=1,I3334="SBJ"),AND(J3334=1,I3334=0)),"?IN_FOCUS",IF(J3334&lt;=2,"?ACTIVATED",IF(J3334&lt;&gt;"","?FAMILIAR",IF(F3334="NEW",IF(ISNA(VLOOKUP(E3334,#REF!,1,FALSE())),"?TYPE_IDENTIFIABLE","?REFERENTIAL"),"_")))))</f>
        <v> </v>
      </c>
      <c r="H3334" s="24" t="str">
        <f>IF(J3334&lt;&gt;1,"",IF(I3334="SBJ","CB","?"))</f>
        <v> </v>
      </c>
      <c r="I3334" s="25" t="str">
        <f>IF(OR(E3334="",E3334="!!!",F3334="NEW"),"",INDEX(B3333:B$2,-1+SUMPRODUCT(MAX(ROW(E3333:E$2)*(E3334=E3333:E$2)))))</f>
        <v> </v>
      </c>
      <c r="J3334" s="25" t="str">
        <f>IF(OR(E3334="",E3334="!!!",F3334="NEW"),"",COUNTBLANK(OFFSET(A$1,,,SUMPRODUCT(MAX(ROW(E$2:E3334)*(E3334=E$2:E3334)))))-COUNTBLANK(OFFSET(A$1,,,SUMPRODUCT(MAX(ROW(E$1:E3333)*(E2=E$1:E3333))))))</f>
        <v> </v>
      </c>
      <c r="K3334" s="25" t="str">
        <f>IF(OR(E3334="",E3334="!!!",F3334="NEW"),"",INDEX(J$1:J3333,SUMPRODUCT(MAX(ROW(E$1:E3333)*(E3334=E$1:E3333)))))</f>
        <v> </v>
      </c>
      <c r="L3334" s="26"/>
    </row>
    <row r="3335" spans="1:12">
      <c r="A3335" s="20" t="s">
        <v>95</v>
      </c>
      <c r="E3335" s="21">
        <f>IF(D3335="?OLD","!!!","")</f>
        <v/>
      </c>
      <c r="F3335" s="22" t="str">
        <f>IF(OR(E3335="",E3335="!!!"),"",IF(NOT(ISNA(VLOOKUP(E3335,E$1:E3334,1,FALSE()))),"OLD",IF(AND(E3335&lt;&gt;"",E3335&lt;&gt;"!!!"),"NEW","")))</f>
        <v> </v>
      </c>
      <c r="G3335" s="23" t="str">
        <f>IF(OR(E3335="",E3335="!!!"),"",IF(OR(J3335=0,AND(J3335=1,K3335=1),AND(J3335=1,I3335="SBJ"),AND(J3335=1,I3335=0)),"?IN_FOCUS",IF(J3335&lt;=2,"?ACTIVATED",IF(J3335&lt;&gt;"","?FAMILIAR",IF(F3335="NEW",IF(ISNA(VLOOKUP(E3335,#REF!,1,FALSE())),"?TYPE_IDENTIFIABLE","?REFERENTIAL"),"_")))))</f>
        <v> </v>
      </c>
      <c r="H3335" s="24" t="str">
        <f>IF(J3335&lt;&gt;1,"",IF(I3335="SBJ","CB","?"))</f>
        <v> </v>
      </c>
      <c r="I3335" s="25" t="str">
        <f>IF(OR(E3335="",E3335="!!!",F3335="NEW"),"",INDEX(B3334:B$2,-1+SUMPRODUCT(MAX(ROW(E3334:E$2)*(E3335=E3334:E$2)))))</f>
        <v> </v>
      </c>
      <c r="J3335" s="25" t="str">
        <f>IF(OR(E3335="",E3335="!!!",F3335="NEW"),"",COUNTBLANK(OFFSET(A$1,,,SUMPRODUCT(MAX(ROW(E$2:E3335)*(E3335=E$2:E3335)))))-COUNTBLANK(OFFSET(A$1,,,SUMPRODUCT(MAX(ROW(E$1:E3334)*(E2=E$1:E3334))))))</f>
        <v> </v>
      </c>
      <c r="K3335" s="25" t="str">
        <f>IF(OR(E3335="",E3335="!!!",F3335="NEW"),"",INDEX(J$1:J3334,SUMPRODUCT(MAX(ROW(E$1:E3334)*(E3335=E$1:E3334)))))</f>
        <v> </v>
      </c>
      <c r="L3335" s="26"/>
    </row>
    <row r="3336" spans="1:12">
      <c r="A3336" s="20" t="s">
        <v>1761</v>
      </c>
      <c r="B3336" s="27" t="s">
        <v>879</v>
      </c>
      <c r="C3336" s="27" t="s">
        <v>831</v>
      </c>
      <c r="E3336" s="21">
        <f>IF(D3336="?OLD","!!!","")</f>
        <v/>
      </c>
      <c r="F3336" s="22" t="str">
        <f>IF(OR(E3336="",E3336="!!!"),"",IF(NOT(ISNA(VLOOKUP(E3336,E$1:E3335,1,FALSE()))),"OLD",IF(AND(E3336&lt;&gt;"",E3336&lt;&gt;"!!!"),"NEW","")))</f>
        <v> </v>
      </c>
      <c r="G3336" s="23" t="str">
        <f>IF(OR(E3336="",E3336="!!!"),"",IF(OR(J3336=0,AND(J3336=1,K3336=1),AND(J3336=1,I3336="SBJ"),AND(J3336=1,I3336=0)),"?IN_FOCUS",IF(J3336&lt;=2,"?ACTIVATED",IF(J3336&lt;&gt;"","?FAMILIAR",IF(F3336="NEW",IF(ISNA(VLOOKUP(E3336,#REF!,1,FALSE())),"?TYPE_IDENTIFIABLE","?REFERENTIAL"),"_")))))</f>
        <v> </v>
      </c>
      <c r="H3336" s="24" t="str">
        <f>IF(J3336&lt;&gt;1,"",IF(I3336="SBJ","CB","?"))</f>
        <v> </v>
      </c>
      <c r="I3336" s="25" t="str">
        <f>IF(OR(E3336="",E3336="!!!",F3336="NEW"),"",INDEX(B3335:B$2,-1+SUMPRODUCT(MAX(ROW(E3335:E$2)*(E3336=E3335:E$2)))))</f>
        <v> </v>
      </c>
      <c r="J3336" s="25" t="str">
        <f>IF(OR(E3336="",E3336="!!!",F3336="NEW"),"",COUNTBLANK(OFFSET(A$1,,,SUMPRODUCT(MAX(ROW(E$2:E3336)*(E3336=E$2:E3336)))))-COUNTBLANK(OFFSET(A$1,,,SUMPRODUCT(MAX(ROW(E$1:E3335)*(E2=E$1:E3335))))))</f>
        <v> </v>
      </c>
      <c r="K3336" s="25" t="str">
        <f>IF(OR(E3336="",E3336="!!!",F3336="NEW"),"",INDEX(J$1:J3335,SUMPRODUCT(MAX(ROW(E$1:E3335)*(E3336=E$1:E3335)))))</f>
        <v> </v>
      </c>
      <c r="L3336" s="26"/>
    </row>
    <row r="3337" spans="1:12">
      <c r="A3337" s="20" t="s">
        <v>769</v>
      </c>
      <c r="E3337" s="21">
        <f>IF(D3337="?OLD","!!!","")</f>
        <v/>
      </c>
      <c r="F3337" s="22" t="str">
        <f>IF(OR(E3337="",E3337="!!!"),"",IF(NOT(ISNA(VLOOKUP(E3337,E$1:E3336,1,FALSE()))),"OLD",IF(AND(E3337&lt;&gt;"",E3337&lt;&gt;"!!!"),"NEW","")))</f>
        <v> </v>
      </c>
      <c r="G3337" s="23" t="str">
        <f>IF(OR(E3337="",E3337="!!!"),"",IF(OR(J3337=0,AND(J3337=1,K3337=1),AND(J3337=1,I3337="SBJ"),AND(J3337=1,I3337=0)),"?IN_FOCUS",IF(J3337&lt;=2,"?ACTIVATED",IF(J3337&lt;&gt;"","?FAMILIAR",IF(F3337="NEW",IF(ISNA(VLOOKUP(E3337,#REF!,1,FALSE())),"?TYPE_IDENTIFIABLE","?REFERENTIAL"),"_")))))</f>
        <v> </v>
      </c>
      <c r="H3337" s="24" t="str">
        <f>IF(J3337&lt;&gt;1,"",IF(I3337="SBJ","CB","?"))</f>
        <v> </v>
      </c>
      <c r="I3337" s="25" t="str">
        <f>IF(OR(E3337="",E3337="!!!",F3337="NEW"),"",INDEX(B3336:B$2,-1+SUMPRODUCT(MAX(ROW(E3336:E$2)*(E3337=E3336:E$2)))))</f>
        <v> </v>
      </c>
      <c r="J3337" s="25" t="str">
        <f>IF(OR(E3337="",E3337="!!!",F3337="NEW"),"",COUNTBLANK(OFFSET(A$1,,,SUMPRODUCT(MAX(ROW(E$2:E3337)*(E3337=E$2:E3337)))))-COUNTBLANK(OFFSET(A$1,,,SUMPRODUCT(MAX(ROW(E$1:E3336)*(E2=E$1:E3336))))))</f>
        <v> </v>
      </c>
      <c r="K3337" s="25" t="str">
        <f>IF(OR(E3337="",E3337="!!!",F3337="NEW"),"",INDEX(J$1:J3336,SUMPRODUCT(MAX(ROW(E$1:E3336)*(E3337=E$1:E3336)))))</f>
        <v> </v>
      </c>
      <c r="L3337" s="26"/>
    </row>
    <row r="3338" spans="1:12">
      <c r="A3338" s="20" t="s">
        <v>1762</v>
      </c>
      <c r="B3338" s="27" t="s">
        <v>901</v>
      </c>
      <c r="C3338" s="27" t="s">
        <v>754</v>
      </c>
      <c r="E3338" s="21">
        <f>IF(D3338="?OLD","!!!","")</f>
        <v/>
      </c>
      <c r="F3338" s="22" t="str">
        <f>IF(OR(E3338="",E3338="!!!"),"",IF(NOT(ISNA(VLOOKUP(E3338,E$1:E3337,1,FALSE()))),"OLD",IF(AND(E3338&lt;&gt;"",E3338&lt;&gt;"!!!"),"NEW","")))</f>
        <v> </v>
      </c>
      <c r="G3338" s="23" t="str">
        <f>IF(OR(E3338="",E3338="!!!"),"",IF(OR(J3338=0,AND(J3338=1,K3338=1),AND(J3338=1,I3338="SBJ"),AND(J3338=1,I3338=0)),"?IN_FOCUS",IF(J3338&lt;=2,"?ACTIVATED",IF(J3338&lt;&gt;"","?FAMILIAR",IF(F3338="NEW",IF(ISNA(VLOOKUP(E3338,#REF!,1,FALSE())),"?TYPE_IDENTIFIABLE","?REFERENTIAL"),"_")))))</f>
        <v> </v>
      </c>
      <c r="H3338" s="24" t="str">
        <f>IF(J3338&lt;&gt;1,"",IF(I3338="SBJ","CB","?"))</f>
        <v> </v>
      </c>
      <c r="I3338" s="25" t="str">
        <f>IF(OR(E3338="",E3338="!!!",F3338="NEW"),"",INDEX(B3337:B$2,-1+SUMPRODUCT(MAX(ROW(E3337:E$2)*(E3338=E3337:E$2)))))</f>
        <v> </v>
      </c>
      <c r="J3338" s="25" t="str">
        <f>IF(OR(E3338="",E3338="!!!",F3338="NEW"),"",COUNTBLANK(OFFSET(A$1,,,SUMPRODUCT(MAX(ROW(E$2:E3338)*(E3338=E$2:E3338)))))-COUNTBLANK(OFFSET(A$1,,,SUMPRODUCT(MAX(ROW(E$1:E3337)*(E2=E$1:E3337))))))</f>
        <v> </v>
      </c>
      <c r="K3338" s="25" t="str">
        <f>IF(OR(E3338="",E3338="!!!",F3338="NEW"),"",INDEX(J$1:J3337,SUMPRODUCT(MAX(ROW(E$1:E3337)*(E3338=E$1:E3337)))))</f>
        <v> </v>
      </c>
      <c r="L3338" s="26"/>
    </row>
    <row r="3339" spans="1:12">
      <c r="A3339" s="20" t="s">
        <v>774</v>
      </c>
      <c r="E3339" s="21">
        <f>IF(D3339="?OLD","!!!","")</f>
        <v/>
      </c>
      <c r="F3339" s="22" t="str">
        <f>IF(OR(E3339="",E3339="!!!"),"",IF(NOT(ISNA(VLOOKUP(E3339,E$1:E3338,1,FALSE()))),"OLD",IF(AND(E3339&lt;&gt;"",E3339&lt;&gt;"!!!"),"NEW","")))</f>
        <v> </v>
      </c>
      <c r="G3339" s="23" t="str">
        <f>IF(OR(E3339="",E3339="!!!"),"",IF(OR(J3339=0,AND(J3339=1,K3339=1),AND(J3339=1,I3339="SBJ"),AND(J3339=1,I3339=0)),"?IN_FOCUS",IF(J3339&lt;=2,"?ACTIVATED",IF(J3339&lt;&gt;"","?FAMILIAR",IF(F3339="NEW",IF(ISNA(VLOOKUP(E3339,#REF!,1,FALSE())),"?TYPE_IDENTIFIABLE","?REFERENTIAL"),"_")))))</f>
        <v> </v>
      </c>
      <c r="H3339" s="24" t="str">
        <f>IF(J3339&lt;&gt;1,"",IF(I3339="SBJ","CB","?"))</f>
        <v> </v>
      </c>
      <c r="I3339" s="25" t="str">
        <f>IF(OR(E3339="",E3339="!!!",F3339="NEW"),"",INDEX(B3338:B$2,-1+SUMPRODUCT(MAX(ROW(E3338:E$2)*(E3339=E3338:E$2)))))</f>
        <v> </v>
      </c>
      <c r="J3339" s="25" t="str">
        <f>IF(OR(E3339="",E3339="!!!",F3339="NEW"),"",COUNTBLANK(OFFSET(A$1,,,SUMPRODUCT(MAX(ROW(E$2:E3339)*(E3339=E$2:E3339)))))-COUNTBLANK(OFFSET(A$1,,,SUMPRODUCT(MAX(ROW(E$1:E3338)*(E2=E$1:E3338))))))</f>
        <v> </v>
      </c>
      <c r="K3339" s="25" t="str">
        <f>IF(OR(E3339="",E3339="!!!",F3339="NEW"),"",INDEX(J$1:J3338,SUMPRODUCT(MAX(ROW(E$1:E3338)*(E3339=E$1:E3338)))))</f>
        <v> </v>
      </c>
      <c r="L3339" s="26"/>
    </row>
    <row r="3340" spans="1:12">
      <c r="A3340" s="20"/>
    </row>
    <row r="3341" spans="1:12">
      <c r="A3341" s="20" t="s">
        <v>1763</v>
      </c>
    </row>
    <row r="3342" spans="1:12">
      <c r="A3342" s="20" t="s">
        <v>917</v>
      </c>
      <c r="E3342" s="21">
        <f>IF(D3342="?OLD","!!!","")</f>
        <v/>
      </c>
      <c r="F3342" s="22" t="str">
        <f>IF(OR(E3342="",E3342="!!!"),"",IF(NOT(ISNA(VLOOKUP(E3342,E$1:E3341,1,FALSE()))),"OLD",IF(AND(E3342&lt;&gt;"",E3342&lt;&gt;"!!!"),"NEW","")))</f>
        <v> </v>
      </c>
      <c r="G3342" s="23" t="str">
        <f>IF(OR(E3342="",E3342="!!!"),"",IF(OR(J3342=0,AND(J3342=1,K3342=1),AND(J3342=1,I3342="SBJ"),AND(J3342=1,I3342=0)),"?IN_FOCUS",IF(J3342&lt;=2,"?ACTIVATED",IF(J3342&lt;&gt;"","?FAMILIAR",IF(F3342="NEW",IF(ISNA(VLOOKUP(E3342,#REF!,1,FALSE())),"?TYPE_IDENTIFIABLE","?REFERENTIAL"),"_")))))</f>
        <v> </v>
      </c>
      <c r="H3342" s="24" t="str">
        <f>IF(J3342&lt;&gt;1,"",IF(I3342="SBJ","CB","?"))</f>
        <v> </v>
      </c>
      <c r="I3342" s="25" t="str">
        <f>IF(OR(E3342="",E3342="!!!",F3342="NEW"),"",INDEX(B3341:B$2,-1+SUMPRODUCT(MAX(ROW(E3341:E$2)*(E3342=E3341:E$2)))))</f>
        <v> </v>
      </c>
      <c r="J3342" s="25" t="str">
        <f>IF(OR(E3342="",E3342="!!!",F3342="NEW"),"",COUNTBLANK(OFFSET(A$1,,,SUMPRODUCT(MAX(ROW(E$2:E3342)*(E3342=E$2:E3342)))))-COUNTBLANK(OFFSET(A$1,,,SUMPRODUCT(MAX(ROW(E$1:E3341)*(E2=E$1:E3341))))))</f>
        <v> </v>
      </c>
      <c r="K3342" s="25" t="str">
        <f>IF(OR(E3342="",E3342="!!!",F3342="NEW"),"",INDEX(J$1:J3341,SUMPRODUCT(MAX(ROW(E$1:E3341)*(E3342=E$1:E3341)))))</f>
        <v> </v>
      </c>
      <c r="L3342" s="26"/>
    </row>
    <row r="3343" spans="1:12">
      <c r="A3343" s="20" t="s">
        <v>1764</v>
      </c>
      <c r="B3343" s="27" t="s">
        <v>760</v>
      </c>
      <c r="C3343" s="27" t="s">
        <v>761</v>
      </c>
      <c r="D3343" s="27" t="s">
        <v>762</v>
      </c>
      <c r="E3343" s="21">
        <f>IF(D3343="?OLD","!!!","")</f>
        <v/>
      </c>
      <c r="F3343" s="22" t="str">
        <f>IF(OR(E3343="",E3343="!!!"),"",IF(NOT(ISNA(VLOOKUP(E3343,E$1:E3342,1,FALSE()))),"OLD",IF(AND(E3343&lt;&gt;"",E3343&lt;&gt;"!!!"),"NEW","")))</f>
        <v> </v>
      </c>
      <c r="G3343" s="23" t="str">
        <f>IF(OR(E3343="",E3343="!!!"),"",IF(OR(J3343=0,AND(J3343=1,K3343=1),AND(J3343=1,I3343="SBJ"),AND(J3343=1,I3343=0)),"?IN_FOCUS",IF(J3343&lt;=2,"?ACTIVATED",IF(J3343&lt;&gt;"","?FAMILIAR",IF(F3343="NEW",IF(ISNA(VLOOKUP(E3343,#REF!,1,FALSE())),"?TYPE_IDENTIFIABLE","?REFERENTIAL"),"_")))))</f>
        <v> </v>
      </c>
      <c r="H3343" s="24" t="str">
        <f>IF(J3343&lt;&gt;1,"",IF(I3343="SBJ","CB","?"))</f>
        <v> </v>
      </c>
      <c r="I3343" s="25" t="str">
        <f>IF(OR(E3343="",E3343="!!!",F3343="NEW"),"",INDEX(B3342:B$2,-1+SUMPRODUCT(MAX(ROW(E3342:E$2)*(E3343=E3342:E$2)))))</f>
        <v> </v>
      </c>
      <c r="J3343" s="25" t="str">
        <f>IF(OR(E3343="",E3343="!!!",F3343="NEW"),"",COUNTBLANK(OFFSET(A$1,,,SUMPRODUCT(MAX(ROW(E$2:E3343)*(E3343=E$2:E3343)))))-COUNTBLANK(OFFSET(A$1,,,SUMPRODUCT(MAX(ROW(E$1:E3342)*(E2=E$1:E3342))))))</f>
        <v> </v>
      </c>
      <c r="K3343" s="25" t="str">
        <f>IF(OR(E3343="",E3343="!!!",F3343="NEW"),"",INDEX(J$1:J3342,SUMPRODUCT(MAX(ROW(E$1:E3342)*(E3343=E$1:E3342)))))</f>
        <v> </v>
      </c>
      <c r="L3343" s="26"/>
    </row>
    <row r="3344" spans="1:12">
      <c r="A3344" s="20" t="s">
        <v>1765</v>
      </c>
      <c r="B3344" s="27" t="s">
        <v>772</v>
      </c>
      <c r="C3344" s="27" t="s">
        <v>754</v>
      </c>
      <c r="E3344" s="21">
        <f>IF(D3344="?OLD","!!!","")</f>
        <v/>
      </c>
      <c r="F3344" s="22" t="str">
        <f>IF(OR(E3344="",E3344="!!!"),"",IF(NOT(ISNA(VLOOKUP(E3344,E$1:E3343,1,FALSE()))),"OLD",IF(AND(E3344&lt;&gt;"",E3344&lt;&gt;"!!!"),"NEW","")))</f>
        <v> </v>
      </c>
      <c r="G3344" s="23" t="str">
        <f>IF(OR(E3344="",E3344="!!!"),"",IF(OR(J3344=0,AND(J3344=1,K3344=1),AND(J3344=1,I3344="SBJ"),AND(J3344=1,I3344=0)),"?IN_FOCUS",IF(J3344&lt;=2,"?ACTIVATED",IF(J3344&lt;&gt;"","?FAMILIAR",IF(F3344="NEW",IF(ISNA(VLOOKUP(E3344,#REF!,1,FALSE())),"?TYPE_IDENTIFIABLE","?REFERENTIAL"),"_")))))</f>
        <v> </v>
      </c>
      <c r="H3344" s="24" t="str">
        <f>IF(J3344&lt;&gt;1,"",IF(I3344="SBJ","CB","?"))</f>
        <v> </v>
      </c>
      <c r="I3344" s="25" t="str">
        <f>IF(OR(E3344="",E3344="!!!",F3344="NEW"),"",INDEX(B3343:B$2,-1+SUMPRODUCT(MAX(ROW(E3343:E$2)*(E3344=E3343:E$2)))))</f>
        <v> </v>
      </c>
      <c r="J3344" s="25" t="str">
        <f>IF(OR(E3344="",E3344="!!!",F3344="NEW"),"",COUNTBLANK(OFFSET(A$1,,,SUMPRODUCT(MAX(ROW(E$2:E3344)*(E3344=E$2:E3344)))))-COUNTBLANK(OFFSET(A$1,,,SUMPRODUCT(MAX(ROW(E$1:E3343)*(E2=E$1:E3343))))))</f>
        <v> </v>
      </c>
      <c r="K3344" s="25" t="str">
        <f>IF(OR(E3344="",E3344="!!!",F3344="NEW"),"",INDEX(J$1:J3343,SUMPRODUCT(MAX(ROW(E$1:E3343)*(E3344=E$1:E3343)))))</f>
        <v> </v>
      </c>
      <c r="L3344" s="26"/>
    </row>
    <row r="3345" spans="1:12">
      <c r="A3345" s="20" t="s">
        <v>757</v>
      </c>
      <c r="E3345" s="21">
        <f>IF(D3345="?OLD","!!!","")</f>
        <v/>
      </c>
      <c r="F3345" s="22" t="str">
        <f>IF(OR(E3345="",E3345="!!!"),"",IF(NOT(ISNA(VLOOKUP(E3345,E$1:E3344,1,FALSE()))),"OLD",IF(AND(E3345&lt;&gt;"",E3345&lt;&gt;"!!!"),"NEW","")))</f>
        <v> </v>
      </c>
      <c r="G3345" s="23" t="str">
        <f>IF(OR(E3345="",E3345="!!!"),"",IF(OR(J3345=0,AND(J3345=1,K3345=1),AND(J3345=1,I3345="SBJ"),AND(J3345=1,I3345=0)),"?IN_FOCUS",IF(J3345&lt;=2,"?ACTIVATED",IF(J3345&lt;&gt;"","?FAMILIAR",IF(F3345="NEW",IF(ISNA(VLOOKUP(E3345,#REF!,1,FALSE())),"?TYPE_IDENTIFIABLE","?REFERENTIAL"),"_")))))</f>
        <v> </v>
      </c>
      <c r="H3345" s="24" t="str">
        <f>IF(J3345&lt;&gt;1,"",IF(I3345="SBJ","CB","?"))</f>
        <v> </v>
      </c>
      <c r="I3345" s="25" t="str">
        <f>IF(OR(E3345="",E3345="!!!",F3345="NEW"),"",INDEX(B3344:B$2,-1+SUMPRODUCT(MAX(ROW(E3344:E$2)*(E3345=E3344:E$2)))))</f>
        <v> </v>
      </c>
      <c r="J3345" s="25" t="str">
        <f>IF(OR(E3345="",E3345="!!!",F3345="NEW"),"",COUNTBLANK(OFFSET(A$1,,,SUMPRODUCT(MAX(ROW(E$2:E3345)*(E3345=E$2:E3345)))))-COUNTBLANK(OFFSET(A$1,,,SUMPRODUCT(MAX(ROW(E$1:E3344)*(E2=E$1:E3344))))))</f>
        <v> </v>
      </c>
      <c r="K3345" s="25" t="str">
        <f>IF(OR(E3345="",E3345="!!!",F3345="NEW"),"",INDEX(J$1:J3344,SUMPRODUCT(MAX(ROW(E$1:E3344)*(E3345=E$1:E3344)))))</f>
        <v> </v>
      </c>
      <c r="L3345" s="26"/>
    </row>
    <row r="3346" spans="1:12">
      <c r="A3346" s="20" t="s">
        <v>886</v>
      </c>
      <c r="B3346" s="27" t="s">
        <v>767</v>
      </c>
      <c r="C3346" s="27" t="s">
        <v>797</v>
      </c>
      <c r="D3346" s="27" t="s">
        <v>762</v>
      </c>
      <c r="E3346" s="21">
        <f>IF(D3346="?OLD","!!!","")</f>
        <v/>
      </c>
      <c r="F3346" s="22" t="str">
        <f>IF(OR(E3346="",E3346="!!!"),"",IF(NOT(ISNA(VLOOKUP(E3346,E$1:E3345,1,FALSE()))),"OLD",IF(AND(E3346&lt;&gt;"",E3346&lt;&gt;"!!!"),"NEW","")))</f>
        <v> </v>
      </c>
      <c r="G3346" s="23" t="str">
        <f>IF(OR(E3346="",E3346="!!!"),"",IF(OR(J3346=0,AND(J3346=1,K3346=1),AND(J3346=1,I3346="SBJ"),AND(J3346=1,I3346=0)),"?IN_FOCUS",IF(J3346&lt;=2,"?ACTIVATED",IF(J3346&lt;&gt;"","?FAMILIAR",IF(F3346="NEW",IF(ISNA(VLOOKUP(E3346,#REF!,1,FALSE())),"?TYPE_IDENTIFIABLE","?REFERENTIAL"),"_")))))</f>
        <v> </v>
      </c>
      <c r="H3346" s="24" t="str">
        <f>IF(J3346&lt;&gt;1,"",IF(I3346="SBJ","CB","?"))</f>
        <v> </v>
      </c>
      <c r="I3346" s="25" t="str">
        <f>IF(OR(E3346="",E3346="!!!",F3346="NEW"),"",INDEX(B3345:B$2,-1+SUMPRODUCT(MAX(ROW(E3345:E$2)*(E3346=E3345:E$2)))))</f>
        <v> </v>
      </c>
      <c r="J3346" s="25" t="str">
        <f>IF(OR(E3346="",E3346="!!!",F3346="NEW"),"",COUNTBLANK(OFFSET(A$1,,,SUMPRODUCT(MAX(ROW(E$2:E3346)*(E3346=E$2:E3346)))))-COUNTBLANK(OFFSET(A$1,,,SUMPRODUCT(MAX(ROW(E$1:E3345)*(E2=E$1:E3345))))))</f>
        <v> </v>
      </c>
      <c r="K3346" s="25" t="str">
        <f>IF(OR(E3346="",E3346="!!!",F3346="NEW"),"",INDEX(J$1:J3345,SUMPRODUCT(MAX(ROW(E$1:E3345)*(E3346=E$1:E3345)))))</f>
        <v> </v>
      </c>
      <c r="L3346" s="26"/>
    </row>
    <row r="3347" spans="1:12">
      <c r="A3347" s="20" t="s">
        <v>1766</v>
      </c>
      <c r="E3347" s="21">
        <f>IF(D3347="?OLD","!!!","")</f>
        <v/>
      </c>
      <c r="F3347" s="22" t="str">
        <f>IF(OR(E3347="",E3347="!!!"),"",IF(NOT(ISNA(VLOOKUP(E3347,E$1:E3346,1,FALSE()))),"OLD",IF(AND(E3347&lt;&gt;"",E3347&lt;&gt;"!!!"),"NEW","")))</f>
        <v> </v>
      </c>
      <c r="G3347" s="23" t="str">
        <f>IF(OR(E3347="",E3347="!!!"),"",IF(OR(J3347=0,AND(J3347=1,K3347=1),AND(J3347=1,I3347="SBJ"),AND(J3347=1,I3347=0)),"?IN_FOCUS",IF(J3347&lt;=2,"?ACTIVATED",IF(J3347&lt;&gt;"","?FAMILIAR",IF(F3347="NEW",IF(ISNA(VLOOKUP(E3347,#REF!,1,FALSE())),"?TYPE_IDENTIFIABLE","?REFERENTIAL"),"_")))))</f>
        <v> </v>
      </c>
      <c r="H3347" s="24" t="str">
        <f>IF(J3347&lt;&gt;1,"",IF(I3347="SBJ","CB","?"))</f>
        <v> </v>
      </c>
      <c r="I3347" s="25" t="str">
        <f>IF(OR(E3347="",E3347="!!!",F3347="NEW"),"",INDEX(B3346:B$2,-1+SUMPRODUCT(MAX(ROW(E3346:E$2)*(E3347=E3346:E$2)))))</f>
        <v> </v>
      </c>
      <c r="J3347" s="25" t="str">
        <f>IF(OR(E3347="",E3347="!!!",F3347="NEW"),"",COUNTBLANK(OFFSET(A$1,,,SUMPRODUCT(MAX(ROW(E$2:E3347)*(E3347=E$2:E3347)))))-COUNTBLANK(OFFSET(A$1,,,SUMPRODUCT(MAX(ROW(E$1:E3346)*(E2=E$1:E3346))))))</f>
        <v> </v>
      </c>
      <c r="K3347" s="25" t="str">
        <f>IF(OR(E3347="",E3347="!!!",F3347="NEW"),"",INDEX(J$1:J3346,SUMPRODUCT(MAX(ROW(E$1:E3346)*(E3347=E$1:E3346)))))</f>
        <v> </v>
      </c>
      <c r="L3347" s="26"/>
    </row>
    <row r="3348" spans="1:12">
      <c r="A3348" s="20" t="s">
        <v>1278</v>
      </c>
      <c r="B3348" s="27" t="s">
        <v>753</v>
      </c>
      <c r="C3348" s="27" t="s">
        <v>820</v>
      </c>
      <c r="D3348" s="27" t="s">
        <v>762</v>
      </c>
      <c r="E3348" s="21">
        <f>IF(D3348="?OLD","!!!","")</f>
        <v/>
      </c>
      <c r="F3348" s="22" t="str">
        <f>IF(OR(E3348="",E3348="!!!"),"",IF(NOT(ISNA(VLOOKUP(E3348,E$1:E3347,1,FALSE()))),"OLD",IF(AND(E3348&lt;&gt;"",E3348&lt;&gt;"!!!"),"NEW","")))</f>
        <v> </v>
      </c>
      <c r="G3348" s="23" t="str">
        <f>IF(OR(E3348="",E3348="!!!"),"",IF(OR(J3348=0,AND(J3348=1,K3348=1),AND(J3348=1,I3348="SBJ"),AND(J3348=1,I3348=0)),"?IN_FOCUS",IF(J3348&lt;=2,"?ACTIVATED",IF(J3348&lt;&gt;"","?FAMILIAR",IF(F3348="NEW",IF(ISNA(VLOOKUP(E3348,#REF!,1,FALSE())),"?TYPE_IDENTIFIABLE","?REFERENTIAL"),"_")))))</f>
        <v> </v>
      </c>
      <c r="H3348" s="24" t="str">
        <f>IF(J3348&lt;&gt;1,"",IF(I3348="SBJ","CB","?"))</f>
        <v> </v>
      </c>
      <c r="I3348" s="25" t="str">
        <f>IF(OR(E3348="",E3348="!!!",F3348="NEW"),"",INDEX(B3347:B$2,-1+SUMPRODUCT(MAX(ROW(E3347:E$2)*(E3348=E3347:E$2)))))</f>
        <v> </v>
      </c>
      <c r="J3348" s="25" t="str">
        <f>IF(OR(E3348="",E3348="!!!",F3348="NEW"),"",COUNTBLANK(OFFSET(A$1,,,SUMPRODUCT(MAX(ROW(E$2:E3348)*(E3348=E$2:E3348)))))-COUNTBLANK(OFFSET(A$1,,,SUMPRODUCT(MAX(ROW(E$1:E3347)*(E2=E$1:E3347))))))</f>
        <v> </v>
      </c>
      <c r="K3348" s="25" t="str">
        <f>IF(OR(E3348="",E3348="!!!",F3348="NEW"),"",INDEX(J$1:J3347,SUMPRODUCT(MAX(ROW(E$1:E3347)*(E3348=E$1:E3347)))))</f>
        <v> </v>
      </c>
      <c r="L3348" s="26"/>
    </row>
    <row r="3349" spans="1:12">
      <c r="A3349" s="20" t="s">
        <v>1767</v>
      </c>
      <c r="E3349" s="21">
        <f>IF(D3349="?OLD","!!!","")</f>
        <v/>
      </c>
      <c r="F3349" s="22" t="str">
        <f>IF(OR(E3349="",E3349="!!!"),"",IF(NOT(ISNA(VLOOKUP(E3349,E$1:E3348,1,FALSE()))),"OLD",IF(AND(E3349&lt;&gt;"",E3349&lt;&gt;"!!!"),"NEW","")))</f>
        <v> </v>
      </c>
      <c r="G3349" s="23" t="str">
        <f>IF(OR(E3349="",E3349="!!!"),"",IF(OR(J3349=0,AND(J3349=1,K3349=1),AND(J3349=1,I3349="SBJ"),AND(J3349=1,I3349=0)),"?IN_FOCUS",IF(J3349&lt;=2,"?ACTIVATED",IF(J3349&lt;&gt;"","?FAMILIAR",IF(F3349="NEW",IF(ISNA(VLOOKUP(E3349,#REF!,1,FALSE())),"?TYPE_IDENTIFIABLE","?REFERENTIAL"),"_")))))</f>
        <v> </v>
      </c>
      <c r="H3349" s="24" t="str">
        <f>IF(J3349&lt;&gt;1,"",IF(I3349="SBJ","CB","?"))</f>
        <v> </v>
      </c>
      <c r="I3349" s="25" t="str">
        <f>IF(OR(E3349="",E3349="!!!",F3349="NEW"),"",INDEX(B3348:B$2,-1+SUMPRODUCT(MAX(ROW(E3348:E$2)*(E3349=E3348:E$2)))))</f>
        <v> </v>
      </c>
      <c r="J3349" s="25" t="str">
        <f>IF(OR(E3349="",E3349="!!!",F3349="NEW"),"",COUNTBLANK(OFFSET(A$1,,,SUMPRODUCT(MAX(ROW(E$2:E3349)*(E3349=E$2:E3349)))))-COUNTBLANK(OFFSET(A$1,,,SUMPRODUCT(MAX(ROW(E$1:E3348)*(E2=E$1:E3348))))))</f>
        <v> </v>
      </c>
      <c r="K3349" s="25" t="str">
        <f>IF(OR(E3349="",E3349="!!!",F3349="NEW"),"",INDEX(J$1:J3348,SUMPRODUCT(MAX(ROW(E$1:E3348)*(E3349=E$1:E3348)))))</f>
        <v> </v>
      </c>
      <c r="L3349" s="26"/>
    </row>
    <row r="3350" spans="1:12">
      <c r="A3350" s="20" t="s">
        <v>774</v>
      </c>
      <c r="E3350" s="21">
        <f>IF(D3350="?OLD","!!!","")</f>
        <v/>
      </c>
      <c r="F3350" s="22" t="str">
        <f>IF(OR(E3350="",E3350="!!!"),"",IF(NOT(ISNA(VLOOKUP(E3350,E$1:E3349,1,FALSE()))),"OLD",IF(AND(E3350&lt;&gt;"",E3350&lt;&gt;"!!!"),"NEW","")))</f>
        <v> </v>
      </c>
      <c r="G3350" s="23" t="str">
        <f>IF(OR(E3350="",E3350="!!!"),"",IF(OR(J3350=0,AND(J3350=1,K3350=1),AND(J3350=1,I3350="SBJ"),AND(J3350=1,I3350=0)),"?IN_FOCUS",IF(J3350&lt;=2,"?ACTIVATED",IF(J3350&lt;&gt;"","?FAMILIAR",IF(F3350="NEW",IF(ISNA(VLOOKUP(E3350,#REF!,1,FALSE())),"?TYPE_IDENTIFIABLE","?REFERENTIAL"),"_")))))</f>
        <v> </v>
      </c>
      <c r="H3350" s="24" t="str">
        <f>IF(J3350&lt;&gt;1,"",IF(I3350="SBJ","CB","?"))</f>
        <v> </v>
      </c>
      <c r="I3350" s="25" t="str">
        <f>IF(OR(E3350="",E3350="!!!",F3350="NEW"),"",INDEX(B3349:B$2,-1+SUMPRODUCT(MAX(ROW(E3349:E$2)*(E3350=E3349:E$2)))))</f>
        <v> </v>
      </c>
      <c r="J3350" s="25" t="str">
        <f>IF(OR(E3350="",E3350="!!!",F3350="NEW"),"",COUNTBLANK(OFFSET(A$1,,,SUMPRODUCT(MAX(ROW(E$2:E3350)*(E3350=E$2:E3350)))))-COUNTBLANK(OFFSET(A$1,,,SUMPRODUCT(MAX(ROW(E$1:E3349)*(E2=E$1:E3349))))))</f>
        <v> </v>
      </c>
      <c r="K3350" s="25" t="str">
        <f>IF(OR(E3350="",E3350="!!!",F3350="NEW"),"",INDEX(J$1:J3349,SUMPRODUCT(MAX(ROW(E$1:E3349)*(E3350=E$1:E3349)))))</f>
        <v> </v>
      </c>
      <c r="L3350" s="26"/>
    </row>
    <row r="3351" spans="1:12">
      <c r="A3351" s="20"/>
    </row>
    <row r="3352" spans="1:12">
      <c r="A3352" s="20" t="s">
        <v>1768</v>
      </c>
    </row>
    <row r="3353" spans="1:12">
      <c r="A3353" s="20" t="s">
        <v>1065</v>
      </c>
      <c r="B3353" s="27" t="s">
        <v>760</v>
      </c>
      <c r="C3353" s="27" t="s">
        <v>797</v>
      </c>
      <c r="D3353" s="27" t="s">
        <v>762</v>
      </c>
      <c r="E3353" s="21">
        <f>IF(D3353="?OLD","!!!","")</f>
        <v/>
      </c>
      <c r="F3353" s="22" t="str">
        <f>IF(OR(E3353="",E3353="!!!"),"",IF(NOT(ISNA(VLOOKUP(E3353,E$1:E3352,1,FALSE()))),"OLD",IF(AND(E3353&lt;&gt;"",E3353&lt;&gt;"!!!"),"NEW","")))</f>
        <v> </v>
      </c>
      <c r="G3353" s="23" t="str">
        <f>IF(OR(E3353="",E3353="!!!"),"",IF(OR(J3353=0,AND(J3353=1,K3353=1),AND(J3353=1,I3353="SBJ"),AND(J3353=1,I3353=0)),"?IN_FOCUS",IF(J3353&lt;=2,"?ACTIVATED",IF(J3353&lt;&gt;"","?FAMILIAR",IF(F3353="NEW",IF(ISNA(VLOOKUP(E3353,#REF!,1,FALSE())),"?TYPE_IDENTIFIABLE","?REFERENTIAL"),"_")))))</f>
        <v> </v>
      </c>
      <c r="H3353" s="24" t="str">
        <f>IF(J3353&lt;&gt;1,"",IF(I3353="SBJ","CB","?"))</f>
        <v> </v>
      </c>
      <c r="I3353" s="25" t="str">
        <f>IF(OR(E3353="",E3353="!!!",F3353="NEW"),"",INDEX(B3352:B$2,-1+SUMPRODUCT(MAX(ROW(E3352:E$2)*(E3353=E3352:E$2)))))</f>
        <v> </v>
      </c>
      <c r="J3353" s="25" t="str">
        <f>IF(OR(E3353="",E3353="!!!",F3353="NEW"),"",COUNTBLANK(OFFSET(A$1,,,SUMPRODUCT(MAX(ROW(E$2:E3353)*(E3353=E$2:E3353)))))-COUNTBLANK(OFFSET(A$1,,,SUMPRODUCT(MAX(ROW(E$1:E3352)*(E2=E$1:E3352))))))</f>
        <v> </v>
      </c>
      <c r="K3353" s="25" t="str">
        <f>IF(OR(E3353="",E3353="!!!",F3353="NEW"),"",INDEX(J$1:J3352,SUMPRODUCT(MAX(ROW(E$1:E3352)*(E3353=E$1:E3352)))))</f>
        <v> </v>
      </c>
      <c r="L3353" s="26"/>
    </row>
    <row r="3354" spans="1:12">
      <c r="A3354" s="20" t="s">
        <v>1766</v>
      </c>
      <c r="E3354" s="21">
        <f>IF(D3354="?OLD","!!!","")</f>
        <v/>
      </c>
      <c r="F3354" s="22" t="str">
        <f>IF(OR(E3354="",E3354="!!!"),"",IF(NOT(ISNA(VLOOKUP(E3354,E$1:E3353,1,FALSE()))),"OLD",IF(AND(E3354&lt;&gt;"",E3354&lt;&gt;"!!!"),"NEW","")))</f>
        <v> </v>
      </c>
      <c r="G3354" s="23" t="str">
        <f>IF(OR(E3354="",E3354="!!!"),"",IF(OR(J3354=0,AND(J3354=1,K3354=1),AND(J3354=1,I3354="SBJ"),AND(J3354=1,I3354=0)),"?IN_FOCUS",IF(J3354&lt;=2,"?ACTIVATED",IF(J3354&lt;&gt;"","?FAMILIAR",IF(F3354="NEW",IF(ISNA(VLOOKUP(E3354,#REF!,1,FALSE())),"?TYPE_IDENTIFIABLE","?REFERENTIAL"),"_")))))</f>
        <v> </v>
      </c>
      <c r="H3354" s="24" t="str">
        <f>IF(J3354&lt;&gt;1,"",IF(I3354="SBJ","CB","?"))</f>
        <v> </v>
      </c>
      <c r="I3354" s="25" t="str">
        <f>IF(OR(E3354="",E3354="!!!",F3354="NEW"),"",INDEX(B3353:B$2,-1+SUMPRODUCT(MAX(ROW(E3353:E$2)*(E3354=E3353:E$2)))))</f>
        <v> </v>
      </c>
      <c r="J3354" s="25" t="str">
        <f>IF(OR(E3354="",E3354="!!!",F3354="NEW"),"",COUNTBLANK(OFFSET(A$1,,,SUMPRODUCT(MAX(ROW(E$2:E3354)*(E3354=E$2:E3354)))))-COUNTBLANK(OFFSET(A$1,,,SUMPRODUCT(MAX(ROW(E$1:E3353)*(E2=E$1:E3353))))))</f>
        <v> </v>
      </c>
      <c r="K3354" s="25" t="str">
        <f>IF(OR(E3354="",E3354="!!!",F3354="NEW"),"",INDEX(J$1:J3353,SUMPRODUCT(MAX(ROW(E$1:E3353)*(E3354=E$1:E3353)))))</f>
        <v> </v>
      </c>
      <c r="L3354" s="26"/>
    </row>
    <row r="3355" spans="1:12">
      <c r="A3355" s="20" t="s">
        <v>1769</v>
      </c>
      <c r="E3355" s="21">
        <f>IF(D3355="?OLD","!!!","")</f>
        <v/>
      </c>
      <c r="F3355" s="22" t="str">
        <f>IF(OR(E3355="",E3355="!!!"),"",IF(NOT(ISNA(VLOOKUP(E3355,E$1:E3354,1,FALSE()))),"OLD",IF(AND(E3355&lt;&gt;"",E3355&lt;&gt;"!!!"),"NEW","")))</f>
        <v> </v>
      </c>
      <c r="G3355" s="23" t="str">
        <f>IF(OR(E3355="",E3355="!!!"),"",IF(OR(J3355=0,AND(J3355=1,K3355=1),AND(J3355=1,I3355="SBJ"),AND(J3355=1,I3355=0)),"?IN_FOCUS",IF(J3355&lt;=2,"?ACTIVATED",IF(J3355&lt;&gt;"","?FAMILIAR",IF(F3355="NEW",IF(ISNA(VLOOKUP(E3355,#REF!,1,FALSE())),"?TYPE_IDENTIFIABLE","?REFERENTIAL"),"_")))))</f>
        <v> </v>
      </c>
      <c r="H3355" s="24" t="str">
        <f>IF(J3355&lt;&gt;1,"",IF(I3355="SBJ","CB","?"))</f>
        <v> </v>
      </c>
      <c r="I3355" s="25" t="str">
        <f>IF(OR(E3355="",E3355="!!!",F3355="NEW"),"",INDEX(B3354:B$2,-1+SUMPRODUCT(MAX(ROW(E3354:E$2)*(E3355=E3354:E$2)))))</f>
        <v> </v>
      </c>
      <c r="J3355" s="25" t="str">
        <f>IF(OR(E3355="",E3355="!!!",F3355="NEW"),"",COUNTBLANK(OFFSET(A$1,,,SUMPRODUCT(MAX(ROW(E$2:E3355)*(E3355=E$2:E3355)))))-COUNTBLANK(OFFSET(A$1,,,SUMPRODUCT(MAX(ROW(E$1:E3354)*(E2=E$1:E3354))))))</f>
        <v> </v>
      </c>
      <c r="K3355" s="25" t="str">
        <f>IF(OR(E3355="",E3355="!!!",F3355="NEW"),"",INDEX(J$1:J3354,SUMPRODUCT(MAX(ROW(E$1:E3354)*(E3355=E$1:E3354)))))</f>
        <v> </v>
      </c>
      <c r="L3355" s="26"/>
    </row>
    <row r="3356" spans="1:12">
      <c r="A3356" s="20" t="s">
        <v>872</v>
      </c>
      <c r="E3356" s="21">
        <f>IF(D3356="?OLD","!!!","")</f>
        <v/>
      </c>
      <c r="F3356" s="22" t="str">
        <f>IF(OR(E3356="",E3356="!!!"),"",IF(NOT(ISNA(VLOOKUP(E3356,E$1:E3355,1,FALSE()))),"OLD",IF(AND(E3356&lt;&gt;"",E3356&lt;&gt;"!!!"),"NEW","")))</f>
        <v> </v>
      </c>
      <c r="G3356" s="23" t="str">
        <f>IF(OR(E3356="",E3356="!!!"),"",IF(OR(J3356=0,AND(J3356=1,K3356=1),AND(J3356=1,I3356="SBJ"),AND(J3356=1,I3356=0)),"?IN_FOCUS",IF(J3356&lt;=2,"?ACTIVATED",IF(J3356&lt;&gt;"","?FAMILIAR",IF(F3356="NEW",IF(ISNA(VLOOKUP(E3356,#REF!,1,FALSE())),"?TYPE_IDENTIFIABLE","?REFERENTIAL"),"_")))))</f>
        <v> </v>
      </c>
      <c r="H3356" s="24" t="str">
        <f>IF(J3356&lt;&gt;1,"",IF(I3356="SBJ","CB","?"))</f>
        <v> </v>
      </c>
      <c r="I3356" s="25" t="str">
        <f>IF(OR(E3356="",E3356="!!!",F3356="NEW"),"",INDEX(B3355:B$2,-1+SUMPRODUCT(MAX(ROW(E3355:E$2)*(E3356=E3355:E$2)))))</f>
        <v> </v>
      </c>
      <c r="J3356" s="25" t="str">
        <f>IF(OR(E3356="",E3356="!!!",F3356="NEW"),"",COUNTBLANK(OFFSET(A$1,,,SUMPRODUCT(MAX(ROW(E$2:E3356)*(E3356=E$2:E3356)))))-COUNTBLANK(OFFSET(A$1,,,SUMPRODUCT(MAX(ROW(E$1:E3355)*(E2=E$1:E3355))))))</f>
        <v> </v>
      </c>
      <c r="K3356" s="25" t="str">
        <f>IF(OR(E3356="",E3356="!!!",F3356="NEW"),"",INDEX(J$1:J3355,SUMPRODUCT(MAX(ROW(E$1:E3355)*(E3356=E$1:E3355)))))</f>
        <v> </v>
      </c>
      <c r="L3356" s="26"/>
    </row>
    <row r="3357" spans="1:12">
      <c r="A3357" s="20" t="s">
        <v>770</v>
      </c>
      <c r="E3357" s="21">
        <f>IF(D3357="?OLD","!!!","")</f>
        <v/>
      </c>
      <c r="F3357" s="22" t="str">
        <f>IF(OR(E3357="",E3357="!!!"),"",IF(NOT(ISNA(VLOOKUP(E3357,E$1:E3356,1,FALSE()))),"OLD",IF(AND(E3357&lt;&gt;"",E3357&lt;&gt;"!!!"),"NEW","")))</f>
        <v> </v>
      </c>
      <c r="G3357" s="23" t="str">
        <f>IF(OR(E3357="",E3357="!!!"),"",IF(OR(J3357=0,AND(J3357=1,K3357=1),AND(J3357=1,I3357="SBJ"),AND(J3357=1,I3357=0)),"?IN_FOCUS",IF(J3357&lt;=2,"?ACTIVATED",IF(J3357&lt;&gt;"","?FAMILIAR",IF(F3357="NEW",IF(ISNA(VLOOKUP(E3357,#REF!,1,FALSE())),"?TYPE_IDENTIFIABLE","?REFERENTIAL"),"_")))))</f>
        <v> </v>
      </c>
      <c r="H3357" s="24" t="str">
        <f>IF(J3357&lt;&gt;1,"",IF(I3357="SBJ","CB","?"))</f>
        <v> </v>
      </c>
      <c r="I3357" s="25" t="str">
        <f>IF(OR(E3357="",E3357="!!!",F3357="NEW"),"",INDEX(B3356:B$2,-1+SUMPRODUCT(MAX(ROW(E3356:E$2)*(E3357=E3356:E$2)))))</f>
        <v> </v>
      </c>
      <c r="J3357" s="25" t="str">
        <f>IF(OR(E3357="",E3357="!!!",F3357="NEW"),"",COUNTBLANK(OFFSET(A$1,,,SUMPRODUCT(MAX(ROW(E$2:E3357)*(E3357=E$2:E3357)))))-COUNTBLANK(OFFSET(A$1,,,SUMPRODUCT(MAX(ROW(E$1:E3356)*(E2=E$1:E3356))))))</f>
        <v> </v>
      </c>
      <c r="K3357" s="25" t="str">
        <f>IF(OR(E3357="",E3357="!!!",F3357="NEW"),"",INDEX(J$1:J3356,SUMPRODUCT(MAX(ROW(E$1:E3356)*(E3357=E$1:E3356)))))</f>
        <v> </v>
      </c>
      <c r="L3357" s="26"/>
    </row>
    <row r="3358" spans="1:12">
      <c r="A3358" s="20" t="s">
        <v>1770</v>
      </c>
      <c r="B3358" s="27" t="s">
        <v>753</v>
      </c>
      <c r="C3358" s="27" t="s">
        <v>761</v>
      </c>
      <c r="D3358" s="27" t="s">
        <v>762</v>
      </c>
      <c r="E3358" s="21">
        <f>IF(D3358="?OLD","!!!","")</f>
        <v/>
      </c>
      <c r="F3358" s="22" t="str">
        <f>IF(OR(E3358="",E3358="!!!"),"",IF(NOT(ISNA(VLOOKUP(E3358,E$1:E3357,1,FALSE()))),"OLD",IF(AND(E3358&lt;&gt;"",E3358&lt;&gt;"!!!"),"NEW","")))</f>
        <v> </v>
      </c>
      <c r="G3358" s="23" t="str">
        <f>IF(OR(E3358="",E3358="!!!"),"",IF(OR(J3358=0,AND(J3358=1,K3358=1),AND(J3358=1,I3358="SBJ"),AND(J3358=1,I3358=0)),"?IN_FOCUS",IF(J3358&lt;=2,"?ACTIVATED",IF(J3358&lt;&gt;"","?FAMILIAR",IF(F3358="NEW",IF(ISNA(VLOOKUP(E3358,#REF!,1,FALSE())),"?TYPE_IDENTIFIABLE","?REFERENTIAL"),"_")))))</f>
        <v> </v>
      </c>
      <c r="H3358" s="24" t="str">
        <f>IF(J3358&lt;&gt;1,"",IF(I3358="SBJ","CB","?"))</f>
        <v> </v>
      </c>
      <c r="I3358" s="25" t="str">
        <f>IF(OR(E3358="",E3358="!!!",F3358="NEW"),"",INDEX(B3357:B$2,-1+SUMPRODUCT(MAX(ROW(E3357:E$2)*(E3358=E3357:E$2)))))</f>
        <v> </v>
      </c>
      <c r="J3358" s="25" t="str">
        <f>IF(OR(E3358="",E3358="!!!",F3358="NEW"),"",COUNTBLANK(OFFSET(A$1,,,SUMPRODUCT(MAX(ROW(E$2:E3358)*(E3358=E$2:E3358)))))-COUNTBLANK(OFFSET(A$1,,,SUMPRODUCT(MAX(ROW(E$1:E3357)*(E2=E$1:E3357))))))</f>
        <v> </v>
      </c>
      <c r="K3358" s="25" t="str">
        <f>IF(OR(E3358="",E3358="!!!",F3358="NEW"),"",INDEX(J$1:J3357,SUMPRODUCT(MAX(ROW(E$1:E3357)*(E3358=E$1:E3357)))))</f>
        <v> </v>
      </c>
      <c r="L3358" s="26"/>
    </row>
    <row r="3359" spans="1:12">
      <c r="A3359" s="20" t="s">
        <v>774</v>
      </c>
      <c r="E3359" s="21">
        <f>IF(D3359="?OLD","!!!","")</f>
        <v/>
      </c>
      <c r="F3359" s="22" t="str">
        <f>IF(OR(E3359="",E3359="!!!"),"",IF(NOT(ISNA(VLOOKUP(E3359,E$1:E3358,1,FALSE()))),"OLD",IF(AND(E3359&lt;&gt;"",E3359&lt;&gt;"!!!"),"NEW","")))</f>
        <v> </v>
      </c>
      <c r="G3359" s="23" t="str">
        <f>IF(OR(E3359="",E3359="!!!"),"",IF(OR(J3359=0,AND(J3359=1,K3359=1),AND(J3359=1,I3359="SBJ"),AND(J3359=1,I3359=0)),"?IN_FOCUS",IF(J3359&lt;=2,"?ACTIVATED",IF(J3359&lt;&gt;"","?FAMILIAR",IF(F3359="NEW",IF(ISNA(VLOOKUP(E3359,#REF!,1,FALSE())),"?TYPE_IDENTIFIABLE","?REFERENTIAL"),"_")))))</f>
        <v> </v>
      </c>
      <c r="H3359" s="24" t="str">
        <f>IF(J3359&lt;&gt;1,"",IF(I3359="SBJ","CB","?"))</f>
        <v> </v>
      </c>
      <c r="I3359" s="25" t="str">
        <f>IF(OR(E3359="",E3359="!!!",F3359="NEW"),"",INDEX(B3358:B$2,-1+SUMPRODUCT(MAX(ROW(E3358:E$2)*(E3359=E3358:E$2)))))</f>
        <v> </v>
      </c>
      <c r="J3359" s="25" t="str">
        <f>IF(OR(E3359="",E3359="!!!",F3359="NEW"),"",COUNTBLANK(OFFSET(A$1,,,SUMPRODUCT(MAX(ROW(E$2:E3359)*(E3359=E$2:E3359)))))-COUNTBLANK(OFFSET(A$1,,,SUMPRODUCT(MAX(ROW(E$1:E3358)*(E2=E$1:E3358))))))</f>
        <v> </v>
      </c>
      <c r="K3359" s="25" t="str">
        <f>IF(OR(E3359="",E3359="!!!",F3359="NEW"),"",INDEX(J$1:J3358,SUMPRODUCT(MAX(ROW(E$1:E3358)*(E3359=E$1:E3358)))))</f>
        <v> </v>
      </c>
      <c r="L3359" s="26"/>
    </row>
    <row r="3360" spans="1:12">
      <c r="A3360" s="20"/>
    </row>
    <row r="3361" spans="1:12">
      <c r="A3361" s="20" t="s">
        <v>1771</v>
      </c>
    </row>
    <row r="3362" spans="1:12">
      <c r="A3362" s="20" t="s">
        <v>1772</v>
      </c>
      <c r="B3362" s="27" t="s">
        <v>760</v>
      </c>
      <c r="C3362" s="27" t="s">
        <v>798</v>
      </c>
      <c r="D3362" s="27" t="s">
        <v>762</v>
      </c>
      <c r="E3362" s="21">
        <f>IF(D3362="?OLD","!!!","")</f>
        <v/>
      </c>
      <c r="F3362" s="22" t="str">
        <f>IF(OR(E3362="",E3362="!!!"),"",IF(NOT(ISNA(VLOOKUP(E3362,E$1:E3361,1,FALSE()))),"OLD",IF(AND(E3362&lt;&gt;"",E3362&lt;&gt;"!!!"),"NEW","")))</f>
        <v> </v>
      </c>
      <c r="G3362" s="23" t="str">
        <f>IF(OR(E3362="",E3362="!!!"),"",IF(OR(J3362=0,AND(J3362=1,K3362=1),AND(J3362=1,I3362="SBJ"),AND(J3362=1,I3362=0)),"?IN_FOCUS",IF(J3362&lt;=2,"?ACTIVATED",IF(J3362&lt;&gt;"","?FAMILIAR",IF(F3362="NEW",IF(ISNA(VLOOKUP(E3362,#REF!,1,FALSE())),"?TYPE_IDENTIFIABLE","?REFERENTIAL"),"_")))))</f>
        <v> </v>
      </c>
      <c r="H3362" s="24" t="str">
        <f>IF(J3362&lt;&gt;1,"",IF(I3362="SBJ","CB","?"))</f>
        <v> </v>
      </c>
      <c r="I3362" s="25" t="str">
        <f>IF(OR(E3362="",E3362="!!!",F3362="NEW"),"",INDEX(B3361:B$2,-1+SUMPRODUCT(MAX(ROW(E3361:E$2)*(E3362=E3361:E$2)))))</f>
        <v> </v>
      </c>
      <c r="J3362" s="25" t="str">
        <f>IF(OR(E3362="",E3362="!!!",F3362="NEW"),"",COUNTBLANK(OFFSET(A$1,,,SUMPRODUCT(MAX(ROW(E$2:E3362)*(E3362=E$2:E3362)))))-COUNTBLANK(OFFSET(A$1,,,SUMPRODUCT(MAX(ROW(E$1:E3361)*(E2=E$1:E3361))))))</f>
        <v> </v>
      </c>
      <c r="K3362" s="25" t="str">
        <f>IF(OR(E3362="",E3362="!!!",F3362="NEW"),"",INDEX(J$1:J3361,SUMPRODUCT(MAX(ROW(E$1:E3361)*(E3362=E$1:E3361)))))</f>
        <v> </v>
      </c>
      <c r="L3362" s="26"/>
    </row>
    <row r="3363" spans="1:12">
      <c r="A3363" s="20" t="s">
        <v>1746</v>
      </c>
      <c r="B3363" s="27" t="s">
        <v>772</v>
      </c>
      <c r="C3363" s="27" t="s">
        <v>798</v>
      </c>
      <c r="D3363" s="27" t="s">
        <v>762</v>
      </c>
      <c r="E3363" s="21">
        <f>IF(D3363="?OLD","!!!","")</f>
        <v/>
      </c>
      <c r="F3363" s="22" t="str">
        <f>IF(OR(E3363="",E3363="!!!"),"",IF(NOT(ISNA(VLOOKUP(E3363,E$1:E3362,1,FALSE()))),"OLD",IF(AND(E3363&lt;&gt;"",E3363&lt;&gt;"!!!"),"NEW","")))</f>
        <v> </v>
      </c>
      <c r="G3363" s="23" t="str">
        <f>IF(OR(E3363="",E3363="!!!"),"",IF(OR(J3363=0,AND(J3363=1,K3363=1),AND(J3363=1,I3363="SBJ"),AND(J3363=1,I3363=0)),"?IN_FOCUS",IF(J3363&lt;=2,"?ACTIVATED",IF(J3363&lt;&gt;"","?FAMILIAR",IF(F3363="NEW",IF(ISNA(VLOOKUP(E3363,#REF!,1,FALSE())),"?TYPE_IDENTIFIABLE","?REFERENTIAL"),"_")))))</f>
        <v> </v>
      </c>
      <c r="H3363" s="24" t="str">
        <f>IF(J3363&lt;&gt;1,"",IF(I3363="SBJ","CB","?"))</f>
        <v> </v>
      </c>
      <c r="I3363" s="25" t="str">
        <f>IF(OR(E3363="",E3363="!!!",F3363="NEW"),"",INDEX(B3362:B$2,-1+SUMPRODUCT(MAX(ROW(E3362:E$2)*(E3363=E3362:E$2)))))</f>
        <v> </v>
      </c>
      <c r="J3363" s="25" t="str">
        <f>IF(OR(E3363="",E3363="!!!",F3363="NEW"),"",COUNTBLANK(OFFSET(A$1,,,SUMPRODUCT(MAX(ROW(E$2:E3363)*(E3363=E$2:E3363)))))-COUNTBLANK(OFFSET(A$1,,,SUMPRODUCT(MAX(ROW(E$1:E3362)*(E2=E$1:E3362))))))</f>
        <v> </v>
      </c>
      <c r="K3363" s="25" t="str">
        <f>IF(OR(E3363="",E3363="!!!",F3363="NEW"),"",INDEX(J$1:J3362,SUMPRODUCT(MAX(ROW(E$1:E3362)*(E3363=E$1:E3362)))))</f>
        <v> </v>
      </c>
      <c r="L3363" s="26"/>
    </row>
    <row r="3364" spans="1:12">
      <c r="A3364" s="20" t="s">
        <v>915</v>
      </c>
      <c r="E3364" s="21">
        <f>IF(D3364="?OLD","!!!","")</f>
        <v/>
      </c>
      <c r="F3364" s="22" t="str">
        <f>IF(OR(E3364="",E3364="!!!"),"",IF(NOT(ISNA(VLOOKUP(E3364,E$1:E3363,1,FALSE()))),"OLD",IF(AND(E3364&lt;&gt;"",E3364&lt;&gt;"!!!"),"NEW","")))</f>
        <v> </v>
      </c>
      <c r="G3364" s="23" t="str">
        <f>IF(OR(E3364="",E3364="!!!"),"",IF(OR(J3364=0,AND(J3364=1,K3364=1),AND(J3364=1,I3364="SBJ"),AND(J3364=1,I3364=0)),"?IN_FOCUS",IF(J3364&lt;=2,"?ACTIVATED",IF(J3364&lt;&gt;"","?FAMILIAR",IF(F3364="NEW",IF(ISNA(VLOOKUP(E3364,#REF!,1,FALSE())),"?TYPE_IDENTIFIABLE","?REFERENTIAL"),"_")))))</f>
        <v> </v>
      </c>
      <c r="H3364" s="24" t="str">
        <f>IF(J3364&lt;&gt;1,"",IF(I3364="SBJ","CB","?"))</f>
        <v> </v>
      </c>
      <c r="I3364" s="25" t="str">
        <f>IF(OR(E3364="",E3364="!!!",F3364="NEW"),"",INDEX(B3363:B$2,-1+SUMPRODUCT(MAX(ROW(E3363:E$2)*(E3364=E3363:E$2)))))</f>
        <v> </v>
      </c>
      <c r="J3364" s="25" t="str">
        <f>IF(OR(E3364="",E3364="!!!",F3364="NEW"),"",COUNTBLANK(OFFSET(A$1,,,SUMPRODUCT(MAX(ROW(E$2:E3364)*(E3364=E$2:E3364)))))-COUNTBLANK(OFFSET(A$1,,,SUMPRODUCT(MAX(ROW(E$1:E3363)*(E2=E$1:E3363))))))</f>
        <v> </v>
      </c>
      <c r="K3364" s="25" t="str">
        <f>IF(OR(E3364="",E3364="!!!",F3364="NEW"),"",INDEX(J$1:J3363,SUMPRODUCT(MAX(ROW(E$1:E3363)*(E3364=E$1:E3363)))))</f>
        <v> </v>
      </c>
      <c r="L3364" s="26"/>
    </row>
    <row r="3365" spans="1:12">
      <c r="A3365" s="20" t="s">
        <v>751</v>
      </c>
      <c r="E3365" s="21">
        <f>IF(D3365="?OLD","!!!","")</f>
        <v/>
      </c>
      <c r="F3365" s="22" t="str">
        <f>IF(OR(E3365="",E3365="!!!"),"",IF(NOT(ISNA(VLOOKUP(E3365,E$1:E3364,1,FALSE()))),"OLD",IF(AND(E3365&lt;&gt;"",E3365&lt;&gt;"!!!"),"NEW","")))</f>
        <v> </v>
      </c>
      <c r="G3365" s="23" t="str">
        <f>IF(OR(E3365="",E3365="!!!"),"",IF(OR(J3365=0,AND(J3365=1,K3365=1),AND(J3365=1,I3365="SBJ"),AND(J3365=1,I3365=0)),"?IN_FOCUS",IF(J3365&lt;=2,"?ACTIVATED",IF(J3365&lt;&gt;"","?FAMILIAR",IF(F3365="NEW",IF(ISNA(VLOOKUP(E3365,#REF!,1,FALSE())),"?TYPE_IDENTIFIABLE","?REFERENTIAL"),"_")))))</f>
        <v> </v>
      </c>
      <c r="H3365" s="24" t="str">
        <f>IF(J3365&lt;&gt;1,"",IF(I3365="SBJ","CB","?"))</f>
        <v> </v>
      </c>
      <c r="I3365" s="25" t="str">
        <f>IF(OR(E3365="",E3365="!!!",F3365="NEW"),"",INDEX(B3364:B$2,-1+SUMPRODUCT(MAX(ROW(E3364:E$2)*(E3365=E3364:E$2)))))</f>
        <v> </v>
      </c>
      <c r="J3365" s="25" t="str">
        <f>IF(OR(E3365="",E3365="!!!",F3365="NEW"),"",COUNTBLANK(OFFSET(A$1,,,SUMPRODUCT(MAX(ROW(E$2:E3365)*(E3365=E$2:E3365)))))-COUNTBLANK(OFFSET(A$1,,,SUMPRODUCT(MAX(ROW(E$1:E3364)*(E2=E$1:E3364))))))</f>
        <v> </v>
      </c>
      <c r="K3365" s="25" t="str">
        <f>IF(OR(E3365="",E3365="!!!",F3365="NEW"),"",INDEX(J$1:J3364,SUMPRODUCT(MAX(ROW(E$1:E3364)*(E3365=E$1:E3364)))))</f>
        <v> </v>
      </c>
      <c r="L3365" s="26"/>
    </row>
    <row r="3366" spans="1:12">
      <c r="A3366" s="20" t="s">
        <v>1210</v>
      </c>
      <c r="B3366" s="27" t="s">
        <v>753</v>
      </c>
      <c r="C3366" s="27" t="s">
        <v>754</v>
      </c>
      <c r="E3366" s="21">
        <f>IF(D3366="?OLD","!!!","")</f>
        <v/>
      </c>
      <c r="F3366" s="22" t="str">
        <f>IF(OR(E3366="",E3366="!!!"),"",IF(NOT(ISNA(VLOOKUP(E3366,E$1:E3365,1,FALSE()))),"OLD",IF(AND(E3366&lt;&gt;"",E3366&lt;&gt;"!!!"),"NEW","")))</f>
        <v> </v>
      </c>
      <c r="G3366" s="23" t="str">
        <f>IF(OR(E3366="",E3366="!!!"),"",IF(OR(J3366=0,AND(J3366=1,K3366=1),AND(J3366=1,I3366="SBJ"),AND(J3366=1,I3366=0)),"?IN_FOCUS",IF(J3366&lt;=2,"?ACTIVATED",IF(J3366&lt;&gt;"","?FAMILIAR",IF(F3366="NEW",IF(ISNA(VLOOKUP(E3366,#REF!,1,FALSE())),"?TYPE_IDENTIFIABLE","?REFERENTIAL"),"_")))))</f>
        <v> </v>
      </c>
      <c r="H3366" s="24" t="str">
        <f>IF(J3366&lt;&gt;1,"",IF(I3366="SBJ","CB","?"))</f>
        <v> </v>
      </c>
      <c r="I3366" s="25" t="str">
        <f>IF(OR(E3366="",E3366="!!!",F3366="NEW"),"",INDEX(B3365:B$2,-1+SUMPRODUCT(MAX(ROW(E3365:E$2)*(E3366=E3365:E$2)))))</f>
        <v> </v>
      </c>
      <c r="J3366" s="25" t="str">
        <f>IF(OR(E3366="",E3366="!!!",F3366="NEW"),"",COUNTBLANK(OFFSET(A$1,,,SUMPRODUCT(MAX(ROW(E$2:E3366)*(E3366=E$2:E3366)))))-COUNTBLANK(OFFSET(A$1,,,SUMPRODUCT(MAX(ROW(E$1:E3365)*(E2=E$1:E3365))))))</f>
        <v> </v>
      </c>
      <c r="K3366" s="25" t="str">
        <f>IF(OR(E3366="",E3366="!!!",F3366="NEW"),"",INDEX(J$1:J3365,SUMPRODUCT(MAX(ROW(E$1:E3365)*(E3366=E$1:E3365)))))</f>
        <v> </v>
      </c>
      <c r="L3366" s="26"/>
    </row>
    <row r="3367" spans="1:12">
      <c r="A3367" s="20" t="s">
        <v>769</v>
      </c>
      <c r="E3367" s="21">
        <f>IF(D3367="?OLD","!!!","")</f>
        <v/>
      </c>
      <c r="F3367" s="22" t="str">
        <f>IF(OR(E3367="",E3367="!!!"),"",IF(NOT(ISNA(VLOOKUP(E3367,E$1:E3366,1,FALSE()))),"OLD",IF(AND(E3367&lt;&gt;"",E3367&lt;&gt;"!!!"),"NEW","")))</f>
        <v> </v>
      </c>
      <c r="G3367" s="23" t="str">
        <f>IF(OR(E3367="",E3367="!!!"),"",IF(OR(J3367=0,AND(J3367=1,K3367=1),AND(J3367=1,I3367="SBJ"),AND(J3367=1,I3367=0)),"?IN_FOCUS",IF(J3367&lt;=2,"?ACTIVATED",IF(J3367&lt;&gt;"","?FAMILIAR",IF(F3367="NEW",IF(ISNA(VLOOKUP(E3367,#REF!,1,FALSE())),"?TYPE_IDENTIFIABLE","?REFERENTIAL"),"_")))))</f>
        <v> </v>
      </c>
      <c r="H3367" s="24" t="str">
        <f>IF(J3367&lt;&gt;1,"",IF(I3367="SBJ","CB","?"))</f>
        <v> </v>
      </c>
      <c r="I3367" s="25" t="str">
        <f>IF(OR(E3367="",E3367="!!!",F3367="NEW"),"",INDEX(B3366:B$2,-1+SUMPRODUCT(MAX(ROW(E3366:E$2)*(E3367=E3366:E$2)))))</f>
        <v> </v>
      </c>
      <c r="J3367" s="25" t="str">
        <f>IF(OR(E3367="",E3367="!!!",F3367="NEW"),"",COUNTBLANK(OFFSET(A$1,,,SUMPRODUCT(MAX(ROW(E$2:E3367)*(E3367=E$2:E3367)))))-COUNTBLANK(OFFSET(A$1,,,SUMPRODUCT(MAX(ROW(E$1:E3366)*(E2=E$1:E3366))))))</f>
        <v> </v>
      </c>
      <c r="K3367" s="25" t="str">
        <f>IF(OR(E3367="",E3367="!!!",F3367="NEW"),"",INDEX(J$1:J3366,SUMPRODUCT(MAX(ROW(E$1:E3366)*(E3367=E$1:E3366)))))</f>
        <v> </v>
      </c>
      <c r="L3367" s="26"/>
    </row>
    <row r="3368" spans="1:12">
      <c r="A3368" s="20" t="s">
        <v>1773</v>
      </c>
      <c r="E3368" s="21">
        <f>IF(D3368="?OLD","!!!","")</f>
        <v/>
      </c>
      <c r="F3368" s="22" t="str">
        <f>IF(OR(E3368="",E3368="!!!"),"",IF(NOT(ISNA(VLOOKUP(E3368,E$1:E3367,1,FALSE()))),"OLD",IF(AND(E3368&lt;&gt;"",E3368&lt;&gt;"!!!"),"NEW","")))</f>
        <v> </v>
      </c>
      <c r="G3368" s="23" t="str">
        <f>IF(OR(E3368="",E3368="!!!"),"",IF(OR(J3368=0,AND(J3368=1,K3368=1),AND(J3368=1,I3368="SBJ"),AND(J3368=1,I3368=0)),"?IN_FOCUS",IF(J3368&lt;=2,"?ACTIVATED",IF(J3368&lt;&gt;"","?FAMILIAR",IF(F3368="NEW",IF(ISNA(VLOOKUP(E3368,#REF!,1,FALSE())),"?TYPE_IDENTIFIABLE","?REFERENTIAL"),"_")))))</f>
        <v> </v>
      </c>
      <c r="H3368" s="24" t="str">
        <f>IF(J3368&lt;&gt;1,"",IF(I3368="SBJ","CB","?"))</f>
        <v> </v>
      </c>
      <c r="I3368" s="25" t="str">
        <f>IF(OR(E3368="",E3368="!!!",F3368="NEW"),"",INDEX(B3367:B$2,-1+SUMPRODUCT(MAX(ROW(E3367:E$2)*(E3368=E3367:E$2)))))</f>
        <v> </v>
      </c>
      <c r="J3368" s="25" t="str">
        <f>IF(OR(E3368="",E3368="!!!",F3368="NEW"),"",COUNTBLANK(OFFSET(A$1,,,SUMPRODUCT(MAX(ROW(E$2:E3368)*(E3368=E$2:E3368)))))-COUNTBLANK(OFFSET(A$1,,,SUMPRODUCT(MAX(ROW(E$1:E3367)*(E2=E$1:E3367))))))</f>
        <v> </v>
      </c>
      <c r="K3368" s="25" t="str">
        <f>IF(OR(E3368="",E3368="!!!",F3368="NEW"),"",INDEX(J$1:J3367,SUMPRODUCT(MAX(ROW(E$1:E3367)*(E3368=E$1:E3367)))))</f>
        <v> </v>
      </c>
      <c r="L3368" s="26"/>
    </row>
    <row r="3369" spans="1:12">
      <c r="A3369" s="20" t="s">
        <v>822</v>
      </c>
      <c r="E3369" s="21">
        <f>IF(D3369="?OLD","!!!","")</f>
        <v/>
      </c>
      <c r="F3369" s="22" t="str">
        <f>IF(OR(E3369="",E3369="!!!"),"",IF(NOT(ISNA(VLOOKUP(E3369,E$1:E3368,1,FALSE()))),"OLD",IF(AND(E3369&lt;&gt;"",E3369&lt;&gt;"!!!"),"NEW","")))</f>
        <v> </v>
      </c>
      <c r="G3369" s="23" t="str">
        <f>IF(OR(E3369="",E3369="!!!"),"",IF(OR(J3369=0,AND(J3369=1,K3369=1),AND(J3369=1,I3369="SBJ"),AND(J3369=1,I3369=0)),"?IN_FOCUS",IF(J3369&lt;=2,"?ACTIVATED",IF(J3369&lt;&gt;"","?FAMILIAR",IF(F3369="NEW",IF(ISNA(VLOOKUP(E3369,#REF!,1,FALSE())),"?TYPE_IDENTIFIABLE","?REFERENTIAL"),"_")))))</f>
        <v> </v>
      </c>
      <c r="H3369" s="24" t="str">
        <f>IF(J3369&lt;&gt;1,"",IF(I3369="SBJ","CB","?"))</f>
        <v> </v>
      </c>
      <c r="I3369" s="25" t="str">
        <f>IF(OR(E3369="",E3369="!!!",F3369="NEW"),"",INDEX(B3368:B$2,-1+SUMPRODUCT(MAX(ROW(E3368:E$2)*(E3369=E3368:E$2)))))</f>
        <v> </v>
      </c>
      <c r="J3369" s="25" t="str">
        <f>IF(OR(E3369="",E3369="!!!",F3369="NEW"),"",COUNTBLANK(OFFSET(A$1,,,SUMPRODUCT(MAX(ROW(E$2:E3369)*(E3369=E$2:E3369)))))-COUNTBLANK(OFFSET(A$1,,,SUMPRODUCT(MAX(ROW(E$1:E3368)*(E2=E$1:E3368))))))</f>
        <v> </v>
      </c>
      <c r="K3369" s="25" t="str">
        <f>IF(OR(E3369="",E3369="!!!",F3369="NEW"),"",INDEX(J$1:J3368,SUMPRODUCT(MAX(ROW(E$1:E3368)*(E3369=E$1:E3368)))))</f>
        <v> </v>
      </c>
      <c r="L3369" s="26"/>
    </row>
    <row r="3370" spans="1:12">
      <c r="A3370" s="20" t="s">
        <v>1774</v>
      </c>
      <c r="B3370" s="27" t="s">
        <v>802</v>
      </c>
      <c r="C3370" s="27" t="s">
        <v>761</v>
      </c>
      <c r="D3370" s="27" t="s">
        <v>762</v>
      </c>
      <c r="E3370" s="21">
        <f>IF(D3370="?OLD","!!!","")</f>
        <v/>
      </c>
      <c r="F3370" s="22" t="str">
        <f>IF(OR(E3370="",E3370="!!!"),"",IF(NOT(ISNA(VLOOKUP(E3370,E$1:E3369,1,FALSE()))),"OLD",IF(AND(E3370&lt;&gt;"",E3370&lt;&gt;"!!!"),"NEW","")))</f>
        <v> </v>
      </c>
      <c r="G3370" s="23" t="str">
        <f>IF(OR(E3370="",E3370="!!!"),"",IF(OR(J3370=0,AND(J3370=1,K3370=1),AND(J3370=1,I3370="SBJ"),AND(J3370=1,I3370=0)),"?IN_FOCUS",IF(J3370&lt;=2,"?ACTIVATED",IF(J3370&lt;&gt;"","?FAMILIAR",IF(F3370="NEW",IF(ISNA(VLOOKUP(E3370,#REF!,1,FALSE())),"?TYPE_IDENTIFIABLE","?REFERENTIAL"),"_")))))</f>
        <v> </v>
      </c>
      <c r="H3370" s="24" t="str">
        <f>IF(J3370&lt;&gt;1,"",IF(I3370="SBJ","CB","?"))</f>
        <v> </v>
      </c>
      <c r="I3370" s="25" t="str">
        <f>IF(OR(E3370="",E3370="!!!",F3370="NEW"),"",INDEX(B3369:B$2,-1+SUMPRODUCT(MAX(ROW(E3369:E$2)*(E3370=E3369:E$2)))))</f>
        <v> </v>
      </c>
      <c r="J3370" s="25" t="str">
        <f>IF(OR(E3370="",E3370="!!!",F3370="NEW"),"",COUNTBLANK(OFFSET(A$1,,,SUMPRODUCT(MAX(ROW(E$2:E3370)*(E3370=E$2:E3370)))))-COUNTBLANK(OFFSET(A$1,,,SUMPRODUCT(MAX(ROW(E$1:E3369)*(E2=E$1:E3369))))))</f>
        <v> </v>
      </c>
      <c r="K3370" s="25" t="str">
        <f>IF(OR(E3370="",E3370="!!!",F3370="NEW"),"",INDEX(J$1:J3369,SUMPRODUCT(MAX(ROW(E$1:E3369)*(E3370=E$1:E3369)))))</f>
        <v> </v>
      </c>
      <c r="L3370" s="26"/>
    </row>
    <row r="3371" spans="1:12">
      <c r="A3371" s="20" t="s">
        <v>774</v>
      </c>
      <c r="E3371" s="21">
        <f>IF(D3371="?OLD","!!!","")</f>
        <v/>
      </c>
      <c r="F3371" s="22" t="str">
        <f>IF(OR(E3371="",E3371="!!!"),"",IF(NOT(ISNA(VLOOKUP(E3371,E$1:E3370,1,FALSE()))),"OLD",IF(AND(E3371&lt;&gt;"",E3371&lt;&gt;"!!!"),"NEW","")))</f>
        <v> </v>
      </c>
      <c r="G3371" s="23" t="str">
        <f>IF(OR(E3371="",E3371="!!!"),"",IF(OR(J3371=0,AND(J3371=1,K3371=1),AND(J3371=1,I3371="SBJ"),AND(J3371=1,I3371=0)),"?IN_FOCUS",IF(J3371&lt;=2,"?ACTIVATED",IF(J3371&lt;&gt;"","?FAMILIAR",IF(F3371="NEW",IF(ISNA(VLOOKUP(E3371,#REF!,1,FALSE())),"?TYPE_IDENTIFIABLE","?REFERENTIAL"),"_")))))</f>
        <v> </v>
      </c>
      <c r="H3371" s="24" t="str">
        <f>IF(J3371&lt;&gt;1,"",IF(I3371="SBJ","CB","?"))</f>
        <v> </v>
      </c>
      <c r="I3371" s="25" t="str">
        <f>IF(OR(E3371="",E3371="!!!",F3371="NEW"),"",INDEX(B3370:B$2,-1+SUMPRODUCT(MAX(ROW(E3370:E$2)*(E3371=E3370:E$2)))))</f>
        <v> </v>
      </c>
      <c r="J3371" s="25" t="str">
        <f>IF(OR(E3371="",E3371="!!!",F3371="NEW"),"",COUNTBLANK(OFFSET(A$1,,,SUMPRODUCT(MAX(ROW(E$2:E3371)*(E3371=E$2:E3371)))))-COUNTBLANK(OFFSET(A$1,,,SUMPRODUCT(MAX(ROW(E$1:E3370)*(E2=E$1:E3370))))))</f>
        <v> </v>
      </c>
      <c r="K3371" s="25" t="str">
        <f>IF(OR(E3371="",E3371="!!!",F3371="NEW"),"",INDEX(J$1:J3370,SUMPRODUCT(MAX(ROW(E$1:E3370)*(E3371=E$1:E3370)))))</f>
        <v> </v>
      </c>
      <c r="L3371" s="26"/>
    </row>
    <row r="3372" spans="1:12">
      <c r="A3372" s="20"/>
    </row>
    <row r="3373" spans="1:12">
      <c r="A3373" s="20" t="s">
        <v>1775</v>
      </c>
    </row>
    <row r="3374" spans="1:12">
      <c r="A3374" s="20" t="s">
        <v>833</v>
      </c>
      <c r="E3374" s="21">
        <f>IF(D3374="?OLD","!!!","")</f>
        <v/>
      </c>
      <c r="F3374" s="22" t="str">
        <f>IF(OR(E3374="",E3374="!!!"),"",IF(NOT(ISNA(VLOOKUP(E3374,E$1:E3373,1,FALSE()))),"OLD",IF(AND(E3374&lt;&gt;"",E3374&lt;&gt;"!!!"),"NEW","")))</f>
        <v> </v>
      </c>
      <c r="G3374" s="23" t="str">
        <f>IF(OR(E3374="",E3374="!!!"),"",IF(OR(J3374=0,AND(J3374=1,K3374=1),AND(J3374=1,I3374="SBJ"),AND(J3374=1,I3374=0)),"?IN_FOCUS",IF(J3374&lt;=2,"?ACTIVATED",IF(J3374&lt;&gt;"","?FAMILIAR",IF(F3374="NEW",IF(ISNA(VLOOKUP(E3374,#REF!,1,FALSE())),"?TYPE_IDENTIFIABLE","?REFERENTIAL"),"_")))))</f>
        <v> </v>
      </c>
      <c r="H3374" s="24" t="str">
        <f>IF(J3374&lt;&gt;1,"",IF(I3374="SBJ","CB","?"))</f>
        <v> </v>
      </c>
      <c r="I3374" s="25" t="str">
        <f>IF(OR(E3374="",E3374="!!!",F3374="NEW"),"",INDEX(B3373:B$2,-1+SUMPRODUCT(MAX(ROW(E3373:E$2)*(E3374=E3373:E$2)))))</f>
        <v> </v>
      </c>
      <c r="J3374" s="25" t="str">
        <f>IF(OR(E3374="",E3374="!!!",F3374="NEW"),"",COUNTBLANK(OFFSET(A$1,,,SUMPRODUCT(MAX(ROW(E$2:E3374)*(E3374=E$2:E3374)))))-COUNTBLANK(OFFSET(A$1,,,SUMPRODUCT(MAX(ROW(E$1:E3373)*(E2=E$1:E3373))))))</f>
        <v> </v>
      </c>
      <c r="K3374" s="25" t="str">
        <f>IF(OR(E3374="",E3374="!!!",F3374="NEW"),"",INDEX(J$1:J3373,SUMPRODUCT(MAX(ROW(E$1:E3373)*(E3374=E$1:E3373)))))</f>
        <v> </v>
      </c>
      <c r="L3374" s="26"/>
    </row>
    <row r="3375" spans="1:12">
      <c r="A3375" s="20" t="s">
        <v>827</v>
      </c>
      <c r="B3375" s="27" t="s">
        <v>760</v>
      </c>
      <c r="C3375" s="27" t="s">
        <v>797</v>
      </c>
      <c r="D3375" s="27" t="s">
        <v>762</v>
      </c>
      <c r="E3375" s="21">
        <f>IF(D3375="?OLD","!!!","")</f>
        <v/>
      </c>
      <c r="F3375" s="22" t="str">
        <f>IF(OR(E3375="",E3375="!!!"),"",IF(NOT(ISNA(VLOOKUP(E3375,E$1:E3374,1,FALSE()))),"OLD",IF(AND(E3375&lt;&gt;"",E3375&lt;&gt;"!!!"),"NEW","")))</f>
        <v> </v>
      </c>
      <c r="G3375" s="23" t="str">
        <f>IF(OR(E3375="",E3375="!!!"),"",IF(OR(J3375=0,AND(J3375=1,K3375=1),AND(J3375=1,I3375="SBJ"),AND(J3375=1,I3375=0)),"?IN_FOCUS",IF(J3375&lt;=2,"?ACTIVATED",IF(J3375&lt;&gt;"","?FAMILIAR",IF(F3375="NEW",IF(ISNA(VLOOKUP(E3375,#REF!,1,FALSE())),"?TYPE_IDENTIFIABLE","?REFERENTIAL"),"_")))))</f>
        <v> </v>
      </c>
      <c r="H3375" s="24" t="str">
        <f>IF(J3375&lt;&gt;1,"",IF(I3375="SBJ","CB","?"))</f>
        <v> </v>
      </c>
      <c r="I3375" s="25" t="str">
        <f>IF(OR(E3375="",E3375="!!!",F3375="NEW"),"",INDEX(B3374:B$2,-1+SUMPRODUCT(MAX(ROW(E3374:E$2)*(E3375=E3374:E$2)))))</f>
        <v> </v>
      </c>
      <c r="J3375" s="25" t="str">
        <f>IF(OR(E3375="",E3375="!!!",F3375="NEW"),"",COUNTBLANK(OFFSET(A$1,,,SUMPRODUCT(MAX(ROW(E$2:E3375)*(E3375=E$2:E3375)))))-COUNTBLANK(OFFSET(A$1,,,SUMPRODUCT(MAX(ROW(E$1:E3374)*(E2=E$1:E3374))))))</f>
        <v> </v>
      </c>
      <c r="K3375" s="25" t="str">
        <f>IF(OR(E3375="",E3375="!!!",F3375="NEW"),"",INDEX(J$1:J3374,SUMPRODUCT(MAX(ROW(E$1:E3374)*(E3375=E$1:E3374)))))</f>
        <v> </v>
      </c>
      <c r="L3375" s="26"/>
    </row>
    <row r="3376" spans="1:12">
      <c r="A3376" s="20" t="s">
        <v>909</v>
      </c>
      <c r="E3376" s="21">
        <f>IF(D3376="?OLD","!!!","")</f>
        <v/>
      </c>
      <c r="F3376" s="22" t="str">
        <f>IF(OR(E3376="",E3376="!!!"),"",IF(NOT(ISNA(VLOOKUP(E3376,E$1:E3375,1,FALSE()))),"OLD",IF(AND(E3376&lt;&gt;"",E3376&lt;&gt;"!!!"),"NEW","")))</f>
        <v> </v>
      </c>
      <c r="G3376" s="23" t="str">
        <f>IF(OR(E3376="",E3376="!!!"),"",IF(OR(J3376=0,AND(J3376=1,K3376=1),AND(J3376=1,I3376="SBJ"),AND(J3376=1,I3376=0)),"?IN_FOCUS",IF(J3376&lt;=2,"?ACTIVATED",IF(J3376&lt;&gt;"","?FAMILIAR",IF(F3376="NEW",IF(ISNA(VLOOKUP(E3376,#REF!,1,FALSE())),"?TYPE_IDENTIFIABLE","?REFERENTIAL"),"_")))))</f>
        <v> </v>
      </c>
      <c r="H3376" s="24" t="str">
        <f>IF(J3376&lt;&gt;1,"",IF(I3376="SBJ","CB","?"))</f>
        <v> </v>
      </c>
      <c r="I3376" s="25" t="str">
        <f>IF(OR(E3376="",E3376="!!!",F3376="NEW"),"",INDEX(B3375:B$2,-1+SUMPRODUCT(MAX(ROW(E3375:E$2)*(E3376=E3375:E$2)))))</f>
        <v> </v>
      </c>
      <c r="J3376" s="25" t="str">
        <f>IF(OR(E3376="",E3376="!!!",F3376="NEW"),"",COUNTBLANK(OFFSET(A$1,,,SUMPRODUCT(MAX(ROW(E$2:E3376)*(E3376=E$2:E3376)))))-COUNTBLANK(OFFSET(A$1,,,SUMPRODUCT(MAX(ROW(E$1:E3375)*(E2=E$1:E3375))))))</f>
        <v> </v>
      </c>
      <c r="K3376" s="25" t="str">
        <f>IF(OR(E3376="",E3376="!!!",F3376="NEW"),"",INDEX(J$1:J3375,SUMPRODUCT(MAX(ROW(E$1:E3375)*(E3376=E$1:E3375)))))</f>
        <v> </v>
      </c>
      <c r="L3376" s="26"/>
    </row>
    <row r="3377" spans="1:12">
      <c r="A3377" s="20" t="s">
        <v>888</v>
      </c>
      <c r="E3377" s="21">
        <f>IF(D3377="?OLD","!!!","")</f>
        <v/>
      </c>
      <c r="F3377" s="22" t="str">
        <f>IF(OR(E3377="",E3377="!!!"),"",IF(NOT(ISNA(VLOOKUP(E3377,E$1:E3376,1,FALSE()))),"OLD",IF(AND(E3377&lt;&gt;"",E3377&lt;&gt;"!!!"),"NEW","")))</f>
        <v> </v>
      </c>
      <c r="G3377" s="23" t="str">
        <f>IF(OR(E3377="",E3377="!!!"),"",IF(OR(J3377=0,AND(J3377=1,K3377=1),AND(J3377=1,I3377="SBJ"),AND(J3377=1,I3377=0)),"?IN_FOCUS",IF(J3377&lt;=2,"?ACTIVATED",IF(J3377&lt;&gt;"","?FAMILIAR",IF(F3377="NEW",IF(ISNA(VLOOKUP(E3377,#REF!,1,FALSE())),"?TYPE_IDENTIFIABLE","?REFERENTIAL"),"_")))))</f>
        <v> </v>
      </c>
      <c r="H3377" s="24" t="str">
        <f>IF(J3377&lt;&gt;1,"",IF(I3377="SBJ","CB","?"))</f>
        <v> </v>
      </c>
      <c r="I3377" s="25" t="str">
        <f>IF(OR(E3377="",E3377="!!!",F3377="NEW"),"",INDEX(B3376:B$2,-1+SUMPRODUCT(MAX(ROW(E3376:E$2)*(E3377=E3376:E$2)))))</f>
        <v> </v>
      </c>
      <c r="J3377" s="25" t="str">
        <f>IF(OR(E3377="",E3377="!!!",F3377="NEW"),"",COUNTBLANK(OFFSET(A$1,,,SUMPRODUCT(MAX(ROW(E$2:E3377)*(E3377=E$2:E3377)))))-COUNTBLANK(OFFSET(A$1,,,SUMPRODUCT(MAX(ROW(E$1:E3376)*(E2=E$1:E3376))))))</f>
        <v> </v>
      </c>
      <c r="K3377" s="25" t="str">
        <f>IF(OR(E3377="",E3377="!!!",F3377="NEW"),"",INDEX(J$1:J3376,SUMPRODUCT(MAX(ROW(E$1:E3376)*(E3377=E$1:E3376)))))</f>
        <v> </v>
      </c>
      <c r="L3377" s="26"/>
    </row>
    <row r="3378" spans="1:12">
      <c r="A3378" s="20" t="s">
        <v>757</v>
      </c>
      <c r="E3378" s="21">
        <f>IF(D3378="?OLD","!!!","")</f>
        <v/>
      </c>
      <c r="F3378" s="22" t="str">
        <f>IF(OR(E3378="",E3378="!!!"),"",IF(NOT(ISNA(VLOOKUP(E3378,E$1:E3377,1,FALSE()))),"OLD",IF(AND(E3378&lt;&gt;"",E3378&lt;&gt;"!!!"),"NEW","")))</f>
        <v> </v>
      </c>
      <c r="G3378" s="23" t="str">
        <f>IF(OR(E3378="",E3378="!!!"),"",IF(OR(J3378=0,AND(J3378=1,K3378=1),AND(J3378=1,I3378="SBJ"),AND(J3378=1,I3378=0)),"?IN_FOCUS",IF(J3378&lt;=2,"?ACTIVATED",IF(J3378&lt;&gt;"","?FAMILIAR",IF(F3378="NEW",IF(ISNA(VLOOKUP(E3378,#REF!,1,FALSE())),"?TYPE_IDENTIFIABLE","?REFERENTIAL"),"_")))))</f>
        <v> </v>
      </c>
      <c r="H3378" s="24" t="str">
        <f>IF(J3378&lt;&gt;1,"",IF(I3378="SBJ","CB","?"))</f>
        <v> </v>
      </c>
      <c r="I3378" s="25" t="str">
        <f>IF(OR(E3378="",E3378="!!!",F3378="NEW"),"",INDEX(B3377:B$2,-1+SUMPRODUCT(MAX(ROW(E3377:E$2)*(E3378=E3377:E$2)))))</f>
        <v> </v>
      </c>
      <c r="J3378" s="25" t="str">
        <f>IF(OR(E3378="",E3378="!!!",F3378="NEW"),"",COUNTBLANK(OFFSET(A$1,,,SUMPRODUCT(MAX(ROW(E$2:E3378)*(E3378=E$2:E3378)))))-COUNTBLANK(OFFSET(A$1,,,SUMPRODUCT(MAX(ROW(E$1:E3377)*(E2=E$1:E3377))))))</f>
        <v> </v>
      </c>
      <c r="K3378" s="25" t="str">
        <f>IF(OR(E3378="",E3378="!!!",F3378="NEW"),"",INDEX(J$1:J3377,SUMPRODUCT(MAX(ROW(E$1:E3377)*(E3378=E$1:E3377)))))</f>
        <v> </v>
      </c>
      <c r="L3378" s="26"/>
    </row>
    <row r="3379" spans="1:12">
      <c r="A3379" s="20" t="s">
        <v>749</v>
      </c>
      <c r="E3379" s="21">
        <f>IF(D3379="?OLD","!!!","")</f>
        <v/>
      </c>
      <c r="F3379" s="22" t="str">
        <f>IF(OR(E3379="",E3379="!!!"),"",IF(NOT(ISNA(VLOOKUP(E3379,E$1:E3378,1,FALSE()))),"OLD",IF(AND(E3379&lt;&gt;"",E3379&lt;&gt;"!!!"),"NEW","")))</f>
        <v> </v>
      </c>
      <c r="G3379" s="23" t="str">
        <f>IF(OR(E3379="",E3379="!!!"),"",IF(OR(J3379=0,AND(J3379=1,K3379=1),AND(J3379=1,I3379="SBJ"),AND(J3379=1,I3379=0)),"?IN_FOCUS",IF(J3379&lt;=2,"?ACTIVATED",IF(J3379&lt;&gt;"","?FAMILIAR",IF(F3379="NEW",IF(ISNA(VLOOKUP(E3379,#REF!,1,FALSE())),"?TYPE_IDENTIFIABLE","?REFERENTIAL"),"_")))))</f>
        <v> </v>
      </c>
      <c r="H3379" s="24" t="str">
        <f>IF(J3379&lt;&gt;1,"",IF(I3379="SBJ","CB","?"))</f>
        <v> </v>
      </c>
      <c r="I3379" s="25" t="str">
        <f>IF(OR(E3379="",E3379="!!!",F3379="NEW"),"",INDEX(B3378:B$2,-1+SUMPRODUCT(MAX(ROW(E3378:E$2)*(E3379=E3378:E$2)))))</f>
        <v> </v>
      </c>
      <c r="J3379" s="25" t="str">
        <f>IF(OR(E3379="",E3379="!!!",F3379="NEW"),"",COUNTBLANK(OFFSET(A$1,,,SUMPRODUCT(MAX(ROW(E$2:E3379)*(E3379=E$2:E3379)))))-COUNTBLANK(OFFSET(A$1,,,SUMPRODUCT(MAX(ROW(E$1:E3378)*(E2=E$1:E3378))))))</f>
        <v> </v>
      </c>
      <c r="K3379" s="25" t="str">
        <f>IF(OR(E3379="",E3379="!!!",F3379="NEW"),"",INDEX(J$1:J3378,SUMPRODUCT(MAX(ROW(E$1:E3378)*(E3379=E$1:E3378)))))</f>
        <v> </v>
      </c>
      <c r="L3379" s="26"/>
    </row>
    <row r="3380" spans="1:12">
      <c r="A3380" s="20" t="s">
        <v>1776</v>
      </c>
      <c r="E3380" s="21">
        <f>IF(D3380="?OLD","!!!","")</f>
        <v/>
      </c>
      <c r="F3380" s="22" t="str">
        <f>IF(OR(E3380="",E3380="!!!"),"",IF(NOT(ISNA(VLOOKUP(E3380,E$1:E3379,1,FALSE()))),"OLD",IF(AND(E3380&lt;&gt;"",E3380&lt;&gt;"!!!"),"NEW","")))</f>
        <v> </v>
      </c>
      <c r="G3380" s="23" t="str">
        <f>IF(OR(E3380="",E3380="!!!"),"",IF(OR(J3380=0,AND(J3380=1,K3380=1),AND(J3380=1,I3380="SBJ"),AND(J3380=1,I3380=0)),"?IN_FOCUS",IF(J3380&lt;=2,"?ACTIVATED",IF(J3380&lt;&gt;"","?FAMILIAR",IF(F3380="NEW",IF(ISNA(VLOOKUP(E3380,#REF!,1,FALSE())),"?TYPE_IDENTIFIABLE","?REFERENTIAL"),"_")))))</f>
        <v> </v>
      </c>
      <c r="H3380" s="24" t="str">
        <f>IF(J3380&lt;&gt;1,"",IF(I3380="SBJ","CB","?"))</f>
        <v> </v>
      </c>
      <c r="I3380" s="25" t="str">
        <f>IF(OR(E3380="",E3380="!!!",F3380="NEW"),"",INDEX(B3379:B$2,-1+SUMPRODUCT(MAX(ROW(E3379:E$2)*(E3380=E3379:E$2)))))</f>
        <v> </v>
      </c>
      <c r="J3380" s="25" t="str">
        <f>IF(OR(E3380="",E3380="!!!",F3380="NEW"),"",COUNTBLANK(OFFSET(A$1,,,SUMPRODUCT(MAX(ROW(E$2:E3380)*(E3380=E$2:E3380)))))-COUNTBLANK(OFFSET(A$1,,,SUMPRODUCT(MAX(ROW(E$1:E3379)*(E2=E$1:E3379))))))</f>
        <v> </v>
      </c>
      <c r="K3380" s="25" t="str">
        <f>IF(OR(E3380="",E3380="!!!",F3380="NEW"),"",INDEX(J$1:J3379,SUMPRODUCT(MAX(ROW(E$1:E3379)*(E3380=E$1:E3379)))))</f>
        <v> </v>
      </c>
      <c r="L3380" s="26"/>
    </row>
    <row r="3381" spans="1:12">
      <c r="A3381" s="20" t="s">
        <v>1745</v>
      </c>
      <c r="B3381" s="27" t="s">
        <v>956</v>
      </c>
      <c r="C3381" s="27" t="s">
        <v>798</v>
      </c>
      <c r="D3381" s="27" t="s">
        <v>762</v>
      </c>
      <c r="E3381" s="21">
        <f>IF(D3381="?OLD","!!!","")</f>
        <v/>
      </c>
      <c r="F3381" s="22" t="str">
        <f>IF(OR(E3381="",E3381="!!!"),"",IF(NOT(ISNA(VLOOKUP(E3381,E$1:E3380,1,FALSE()))),"OLD",IF(AND(E3381&lt;&gt;"",E3381&lt;&gt;"!!!"),"NEW","")))</f>
        <v> </v>
      </c>
      <c r="G3381" s="23" t="str">
        <f>IF(OR(E3381="",E3381="!!!"),"",IF(OR(J3381=0,AND(J3381=1,K3381=1),AND(J3381=1,I3381="SBJ"),AND(J3381=1,I3381=0)),"?IN_FOCUS",IF(J3381&lt;=2,"?ACTIVATED",IF(J3381&lt;&gt;"","?FAMILIAR",IF(F3381="NEW",IF(ISNA(VLOOKUP(E3381,#REF!,1,FALSE())),"?TYPE_IDENTIFIABLE","?REFERENTIAL"),"_")))))</f>
        <v> </v>
      </c>
      <c r="H3381" s="24" t="str">
        <f>IF(J3381&lt;&gt;1,"",IF(I3381="SBJ","CB","?"))</f>
        <v> </v>
      </c>
      <c r="I3381" s="25" t="str">
        <f>IF(OR(E3381="",E3381="!!!",F3381="NEW"),"",INDEX(B3380:B$2,-1+SUMPRODUCT(MAX(ROW(E3380:E$2)*(E3381=E3380:E$2)))))</f>
        <v> </v>
      </c>
      <c r="J3381" s="25" t="str">
        <f>IF(OR(E3381="",E3381="!!!",F3381="NEW"),"",COUNTBLANK(OFFSET(A$1,,,SUMPRODUCT(MAX(ROW(E$2:E3381)*(E3381=E$2:E3381)))))-COUNTBLANK(OFFSET(A$1,,,SUMPRODUCT(MAX(ROW(E$1:E3380)*(E2=E$1:E3380))))))</f>
        <v> </v>
      </c>
      <c r="K3381" s="25" t="str">
        <f>IF(OR(E3381="",E3381="!!!",F3381="NEW"),"",INDEX(J$1:J3380,SUMPRODUCT(MAX(ROW(E$1:E3380)*(E3381=E$1:E3380)))))</f>
        <v> </v>
      </c>
      <c r="L3381" s="26"/>
    </row>
    <row r="3382" spans="1:12">
      <c r="A3382" s="20" t="s">
        <v>915</v>
      </c>
      <c r="E3382" s="21">
        <f>IF(D3382="?OLD","!!!","")</f>
        <v/>
      </c>
      <c r="F3382" s="22" t="str">
        <f>IF(OR(E3382="",E3382="!!!"),"",IF(NOT(ISNA(VLOOKUP(E3382,E$1:E3381,1,FALSE()))),"OLD",IF(AND(E3382&lt;&gt;"",E3382&lt;&gt;"!!!"),"NEW","")))</f>
        <v> </v>
      </c>
      <c r="G3382" s="23" t="str">
        <f>IF(OR(E3382="",E3382="!!!"),"",IF(OR(J3382=0,AND(J3382=1,K3382=1),AND(J3382=1,I3382="SBJ"),AND(J3382=1,I3382=0)),"?IN_FOCUS",IF(J3382&lt;=2,"?ACTIVATED",IF(J3382&lt;&gt;"","?FAMILIAR",IF(F3382="NEW",IF(ISNA(VLOOKUP(E3382,#REF!,1,FALSE())),"?TYPE_IDENTIFIABLE","?REFERENTIAL"),"_")))))</f>
        <v> </v>
      </c>
      <c r="H3382" s="24" t="str">
        <f>IF(J3382&lt;&gt;1,"",IF(I3382="SBJ","CB","?"))</f>
        <v> </v>
      </c>
      <c r="I3382" s="25" t="str">
        <f>IF(OR(E3382="",E3382="!!!",F3382="NEW"),"",INDEX(B3381:B$2,-1+SUMPRODUCT(MAX(ROW(E3381:E$2)*(E3382=E3381:E$2)))))</f>
        <v> </v>
      </c>
      <c r="J3382" s="25" t="str">
        <f>IF(OR(E3382="",E3382="!!!",F3382="NEW"),"",COUNTBLANK(OFFSET(A$1,,,SUMPRODUCT(MAX(ROW(E$2:E3382)*(E3382=E$2:E3382)))))-COUNTBLANK(OFFSET(A$1,,,SUMPRODUCT(MAX(ROW(E$1:E3381)*(E2=E$1:E3381))))))</f>
        <v> </v>
      </c>
      <c r="K3382" s="25" t="str">
        <f>IF(OR(E3382="",E3382="!!!",F3382="NEW"),"",INDEX(J$1:J3381,SUMPRODUCT(MAX(ROW(E$1:E3381)*(E3382=E$1:E3381)))))</f>
        <v> </v>
      </c>
      <c r="L3382" s="26"/>
    </row>
    <row r="3383" spans="1:12">
      <c r="A3383" s="20" t="s">
        <v>1502</v>
      </c>
      <c r="E3383" s="21">
        <f>IF(D3383="?OLD","!!!","")</f>
        <v/>
      </c>
      <c r="F3383" s="22" t="str">
        <f>IF(OR(E3383="",E3383="!!!"),"",IF(NOT(ISNA(VLOOKUP(E3383,E$1:E3382,1,FALSE()))),"OLD",IF(AND(E3383&lt;&gt;"",E3383&lt;&gt;"!!!"),"NEW","")))</f>
        <v> </v>
      </c>
      <c r="G3383" s="23" t="str">
        <f>IF(OR(E3383="",E3383="!!!"),"",IF(OR(J3383=0,AND(J3383=1,K3383=1),AND(J3383=1,I3383="SBJ"),AND(J3383=1,I3383=0)),"?IN_FOCUS",IF(J3383&lt;=2,"?ACTIVATED",IF(J3383&lt;&gt;"","?FAMILIAR",IF(F3383="NEW",IF(ISNA(VLOOKUP(E3383,#REF!,1,FALSE())),"?TYPE_IDENTIFIABLE","?REFERENTIAL"),"_")))))</f>
        <v> </v>
      </c>
      <c r="H3383" s="24" t="str">
        <f>IF(J3383&lt;&gt;1,"",IF(I3383="SBJ","CB","?"))</f>
        <v> </v>
      </c>
      <c r="I3383" s="25" t="str">
        <f>IF(OR(E3383="",E3383="!!!",F3383="NEW"),"",INDEX(B3382:B$2,-1+SUMPRODUCT(MAX(ROW(E3382:E$2)*(E3383=E3382:E$2)))))</f>
        <v> </v>
      </c>
      <c r="J3383" s="25" t="str">
        <f>IF(OR(E3383="",E3383="!!!",F3383="NEW"),"",COUNTBLANK(OFFSET(A$1,,,SUMPRODUCT(MAX(ROW(E$2:E3383)*(E3383=E$2:E3383)))))-COUNTBLANK(OFFSET(A$1,,,SUMPRODUCT(MAX(ROW(E$1:E3382)*(E2=E$1:E3382))))))</f>
        <v> </v>
      </c>
      <c r="K3383" s="25" t="str">
        <f>IF(OR(E3383="",E3383="!!!",F3383="NEW"),"",INDEX(J$1:J3382,SUMPRODUCT(MAX(ROW(E$1:E3382)*(E3383=E$1:E3382)))))</f>
        <v> </v>
      </c>
      <c r="L3383" s="26"/>
    </row>
    <row r="3384" spans="1:12">
      <c r="A3384" s="20" t="s">
        <v>1105</v>
      </c>
      <c r="E3384" s="21">
        <f>IF(D3384="?OLD","!!!","")</f>
        <v/>
      </c>
      <c r="F3384" s="22" t="str">
        <f>IF(OR(E3384="",E3384="!!!"),"",IF(NOT(ISNA(VLOOKUP(E3384,E$1:E3383,1,FALSE()))),"OLD",IF(AND(E3384&lt;&gt;"",E3384&lt;&gt;"!!!"),"NEW","")))</f>
        <v> </v>
      </c>
      <c r="G3384" s="23" t="str">
        <f>IF(OR(E3384="",E3384="!!!"),"",IF(OR(J3384=0,AND(J3384=1,K3384=1),AND(J3384=1,I3384="SBJ"),AND(J3384=1,I3384=0)),"?IN_FOCUS",IF(J3384&lt;=2,"?ACTIVATED",IF(J3384&lt;&gt;"","?FAMILIAR",IF(F3384="NEW",IF(ISNA(VLOOKUP(E3384,#REF!,1,FALSE())),"?TYPE_IDENTIFIABLE","?REFERENTIAL"),"_")))))</f>
        <v> </v>
      </c>
      <c r="H3384" s="24" t="str">
        <f>IF(J3384&lt;&gt;1,"",IF(I3384="SBJ","CB","?"))</f>
        <v> </v>
      </c>
      <c r="I3384" s="25" t="str">
        <f>IF(OR(E3384="",E3384="!!!",F3384="NEW"),"",INDEX(B3383:B$2,-1+SUMPRODUCT(MAX(ROW(E3383:E$2)*(E3384=E3383:E$2)))))</f>
        <v> </v>
      </c>
      <c r="J3384" s="25" t="str">
        <f>IF(OR(E3384="",E3384="!!!",F3384="NEW"),"",COUNTBLANK(OFFSET(A$1,,,SUMPRODUCT(MAX(ROW(E$2:E3384)*(E3384=E$2:E3384)))))-COUNTBLANK(OFFSET(A$1,,,SUMPRODUCT(MAX(ROW(E$1:E3383)*(E2=E$1:E3383))))))</f>
        <v> </v>
      </c>
      <c r="K3384" s="25" t="str">
        <f>IF(OR(E3384="",E3384="!!!",F3384="NEW"),"",INDEX(J$1:J3383,SUMPRODUCT(MAX(ROW(E$1:E3383)*(E3384=E$1:E3383)))))</f>
        <v> </v>
      </c>
      <c r="L3384" s="26"/>
    </row>
    <row r="3385" spans="1:12">
      <c r="A3385" s="20" t="s">
        <v>757</v>
      </c>
      <c r="E3385" s="21">
        <f>IF(D3385="?OLD","!!!","")</f>
        <v/>
      </c>
      <c r="F3385" s="22" t="str">
        <f>IF(OR(E3385="",E3385="!!!"),"",IF(NOT(ISNA(VLOOKUP(E3385,E$1:E3384,1,FALSE()))),"OLD",IF(AND(E3385&lt;&gt;"",E3385&lt;&gt;"!!!"),"NEW","")))</f>
        <v> </v>
      </c>
      <c r="G3385" s="23" t="str">
        <f>IF(OR(E3385="",E3385="!!!"),"",IF(OR(J3385=0,AND(J3385=1,K3385=1),AND(J3385=1,I3385="SBJ"),AND(J3385=1,I3385=0)),"?IN_FOCUS",IF(J3385&lt;=2,"?ACTIVATED",IF(J3385&lt;&gt;"","?FAMILIAR",IF(F3385="NEW",IF(ISNA(VLOOKUP(E3385,#REF!,1,FALSE())),"?TYPE_IDENTIFIABLE","?REFERENTIAL"),"_")))))</f>
        <v> </v>
      </c>
      <c r="H3385" s="24" t="str">
        <f>IF(J3385&lt;&gt;1,"",IF(I3385="SBJ","CB","?"))</f>
        <v> </v>
      </c>
      <c r="I3385" s="25" t="str">
        <f>IF(OR(E3385="",E3385="!!!",F3385="NEW"),"",INDEX(B3384:B$2,-1+SUMPRODUCT(MAX(ROW(E3384:E$2)*(E3385=E3384:E$2)))))</f>
        <v> </v>
      </c>
      <c r="J3385" s="25" t="str">
        <f>IF(OR(E3385="",E3385="!!!",F3385="NEW"),"",COUNTBLANK(OFFSET(A$1,,,SUMPRODUCT(MAX(ROW(E$2:E3385)*(E3385=E$2:E3385)))))-COUNTBLANK(OFFSET(A$1,,,SUMPRODUCT(MAX(ROW(E$1:E3384)*(E2=E$1:E3384))))))</f>
        <v> </v>
      </c>
      <c r="K3385" s="25" t="str">
        <f>IF(OR(E3385="",E3385="!!!",F3385="NEW"),"",INDEX(J$1:J3384,SUMPRODUCT(MAX(ROW(E$1:E3384)*(E3385=E$1:E3384)))))</f>
        <v> </v>
      </c>
      <c r="L3385" s="26"/>
    </row>
    <row r="3386" spans="1:12">
      <c r="A3386" s="20" t="s">
        <v>1558</v>
      </c>
      <c r="E3386" s="21">
        <f>IF(D3386="?OLD","!!!","")</f>
        <v/>
      </c>
      <c r="F3386" s="22" t="str">
        <f>IF(OR(E3386="",E3386="!!!"),"",IF(NOT(ISNA(VLOOKUP(E3386,E$1:E3385,1,FALSE()))),"OLD",IF(AND(E3386&lt;&gt;"",E3386&lt;&gt;"!!!"),"NEW","")))</f>
        <v> </v>
      </c>
      <c r="G3386" s="23" t="str">
        <f>IF(OR(E3386="",E3386="!!!"),"",IF(OR(J3386=0,AND(J3386=1,K3386=1),AND(J3386=1,I3386="SBJ"),AND(J3386=1,I3386=0)),"?IN_FOCUS",IF(J3386&lt;=2,"?ACTIVATED",IF(J3386&lt;&gt;"","?FAMILIAR",IF(F3386="NEW",IF(ISNA(VLOOKUP(E3386,#REF!,1,FALSE())),"?TYPE_IDENTIFIABLE","?REFERENTIAL"),"_")))))</f>
        <v> </v>
      </c>
      <c r="H3386" s="24" t="str">
        <f>IF(J3386&lt;&gt;1,"",IF(I3386="SBJ","CB","?"))</f>
        <v> </v>
      </c>
      <c r="I3386" s="25" t="str">
        <f>IF(OR(E3386="",E3386="!!!",F3386="NEW"),"",INDEX(B3385:B$2,-1+SUMPRODUCT(MAX(ROW(E3385:E$2)*(E3386=E3385:E$2)))))</f>
        <v> </v>
      </c>
      <c r="J3386" s="25" t="str">
        <f>IF(OR(E3386="",E3386="!!!",F3386="NEW"),"",COUNTBLANK(OFFSET(A$1,,,SUMPRODUCT(MAX(ROW(E$2:E3386)*(E3386=E$2:E3386)))))-COUNTBLANK(OFFSET(A$1,,,SUMPRODUCT(MAX(ROW(E$1:E3385)*(E2=E$1:E3385))))))</f>
        <v> </v>
      </c>
      <c r="K3386" s="25" t="str">
        <f>IF(OR(E3386="",E3386="!!!",F3386="NEW"),"",INDEX(J$1:J3385,SUMPRODUCT(MAX(ROW(E$1:E3385)*(E3386=E$1:E3385)))))</f>
        <v> </v>
      </c>
      <c r="L3386" s="26"/>
    </row>
    <row r="3387" spans="1:12">
      <c r="A3387" s="20" t="s">
        <v>1777</v>
      </c>
      <c r="B3387" s="27" t="s">
        <v>796</v>
      </c>
      <c r="C3387" s="27" t="s">
        <v>797</v>
      </c>
      <c r="D3387" s="27" t="s">
        <v>762</v>
      </c>
      <c r="E3387" s="21">
        <f>IF(D3387="?OLD","!!!","")</f>
        <v/>
      </c>
      <c r="F3387" s="22" t="str">
        <f>IF(OR(E3387="",E3387="!!!"),"",IF(NOT(ISNA(VLOOKUP(E3387,E$1:E3386,1,FALSE()))),"OLD",IF(AND(E3387&lt;&gt;"",E3387&lt;&gt;"!!!"),"NEW","")))</f>
        <v> </v>
      </c>
      <c r="G3387" s="23" t="str">
        <f>IF(OR(E3387="",E3387="!!!"),"",IF(OR(J3387=0,AND(J3387=1,K3387=1),AND(J3387=1,I3387="SBJ"),AND(J3387=1,I3387=0)),"?IN_FOCUS",IF(J3387&lt;=2,"?ACTIVATED",IF(J3387&lt;&gt;"","?FAMILIAR",IF(F3387="NEW",IF(ISNA(VLOOKUP(E3387,#REF!,1,FALSE())),"?TYPE_IDENTIFIABLE","?REFERENTIAL"),"_")))))</f>
        <v> </v>
      </c>
      <c r="H3387" s="24" t="str">
        <f>IF(J3387&lt;&gt;1,"",IF(I3387="SBJ","CB","?"))</f>
        <v> </v>
      </c>
      <c r="I3387" s="25" t="str">
        <f>IF(OR(E3387="",E3387="!!!",F3387="NEW"),"",INDEX(B3386:B$2,-1+SUMPRODUCT(MAX(ROW(E3386:E$2)*(E3387=E3386:E$2)))))</f>
        <v> </v>
      </c>
      <c r="J3387" s="25" t="str">
        <f>IF(OR(E3387="",E3387="!!!",F3387="NEW"),"",COUNTBLANK(OFFSET(A$1,,,SUMPRODUCT(MAX(ROW(E$2:E3387)*(E3387=E$2:E3387)))))-COUNTBLANK(OFFSET(A$1,,,SUMPRODUCT(MAX(ROW(E$1:E3386)*(E2=E$1:E3386))))))</f>
        <v> </v>
      </c>
      <c r="K3387" s="25" t="str">
        <f>IF(OR(E3387="",E3387="!!!",F3387="NEW"),"",INDEX(J$1:J3386,SUMPRODUCT(MAX(ROW(E$1:E3386)*(E3387=E$1:E3386)))))</f>
        <v> </v>
      </c>
      <c r="L3387" s="26"/>
    </row>
    <row r="3388" spans="1:12">
      <c r="A3388" s="20" t="s">
        <v>764</v>
      </c>
      <c r="E3388" s="21">
        <f>IF(D3388="?OLD","!!!","")</f>
        <v/>
      </c>
      <c r="F3388" s="22" t="str">
        <f>IF(OR(E3388="",E3388="!!!"),"",IF(NOT(ISNA(VLOOKUP(E3388,E$1:E3387,1,FALSE()))),"OLD",IF(AND(E3388&lt;&gt;"",E3388&lt;&gt;"!!!"),"NEW","")))</f>
        <v> </v>
      </c>
      <c r="G3388" s="23" t="str">
        <f>IF(OR(E3388="",E3388="!!!"),"",IF(OR(J3388=0,AND(J3388=1,K3388=1),AND(J3388=1,I3388="SBJ"),AND(J3388=1,I3388=0)),"?IN_FOCUS",IF(J3388&lt;=2,"?ACTIVATED",IF(J3388&lt;&gt;"","?FAMILIAR",IF(F3388="NEW",IF(ISNA(VLOOKUP(E3388,#REF!,1,FALSE())),"?TYPE_IDENTIFIABLE","?REFERENTIAL"),"_")))))</f>
        <v> </v>
      </c>
      <c r="H3388" s="24" t="str">
        <f>IF(J3388&lt;&gt;1,"",IF(I3388="SBJ","CB","?"))</f>
        <v> </v>
      </c>
      <c r="I3388" s="25" t="str">
        <f>IF(OR(E3388="",E3388="!!!",F3388="NEW"),"",INDEX(B3387:B$2,-1+SUMPRODUCT(MAX(ROW(E3387:E$2)*(E3388=E3387:E$2)))))</f>
        <v> </v>
      </c>
      <c r="J3388" s="25" t="str">
        <f>IF(OR(E3388="",E3388="!!!",F3388="NEW"),"",COUNTBLANK(OFFSET(A$1,,,SUMPRODUCT(MAX(ROW(E$2:E3388)*(E3388=E$2:E3388)))))-COUNTBLANK(OFFSET(A$1,,,SUMPRODUCT(MAX(ROW(E$1:E3387)*(E2=E$1:E3387))))))</f>
        <v> </v>
      </c>
      <c r="K3388" s="25" t="str">
        <f>IF(OR(E3388="",E3388="!!!",F3388="NEW"),"",INDEX(J$1:J3387,SUMPRODUCT(MAX(ROW(E$1:E3387)*(E3388=E$1:E3387)))))</f>
        <v> </v>
      </c>
      <c r="L3388" s="26"/>
    </row>
    <row r="3389" spans="1:12">
      <c r="A3389" s="20" t="s">
        <v>1177</v>
      </c>
      <c r="B3389" s="27" t="s">
        <v>802</v>
      </c>
      <c r="C3389" s="27" t="s">
        <v>837</v>
      </c>
      <c r="D3389" s="27" t="s">
        <v>762</v>
      </c>
      <c r="E3389" s="21">
        <f>IF(D3389="?OLD","!!!","")</f>
        <v/>
      </c>
      <c r="F3389" s="22" t="str">
        <f>IF(OR(E3389="",E3389="!!!"),"",IF(NOT(ISNA(VLOOKUP(E3389,E$1:E3388,1,FALSE()))),"OLD",IF(AND(E3389&lt;&gt;"",E3389&lt;&gt;"!!!"),"NEW","")))</f>
        <v> </v>
      </c>
      <c r="G3389" s="23" t="str">
        <f>IF(OR(E3389="",E3389="!!!"),"",IF(OR(J3389=0,AND(J3389=1,K3389=1),AND(J3389=1,I3389="SBJ"),AND(J3389=1,I3389=0)),"?IN_FOCUS",IF(J3389&lt;=2,"?ACTIVATED",IF(J3389&lt;&gt;"","?FAMILIAR",IF(F3389="NEW",IF(ISNA(VLOOKUP(E3389,#REF!,1,FALSE())),"?TYPE_IDENTIFIABLE","?REFERENTIAL"),"_")))))</f>
        <v> </v>
      </c>
      <c r="H3389" s="24" t="str">
        <f>IF(J3389&lt;&gt;1,"",IF(I3389="SBJ","CB","?"))</f>
        <v> </v>
      </c>
      <c r="I3389" s="25" t="str">
        <f>IF(OR(E3389="",E3389="!!!",F3389="NEW"),"",INDEX(B3388:B$2,-1+SUMPRODUCT(MAX(ROW(E3388:E$2)*(E3389=E3388:E$2)))))</f>
        <v> </v>
      </c>
      <c r="J3389" s="25" t="str">
        <f>IF(OR(E3389="",E3389="!!!",F3389="NEW"),"",COUNTBLANK(OFFSET(A$1,,,SUMPRODUCT(MAX(ROW(E$2:E3389)*(E3389=E$2:E3389)))))-COUNTBLANK(OFFSET(A$1,,,SUMPRODUCT(MAX(ROW(E$1:E3388)*(E2=E$1:E3388))))))</f>
        <v> </v>
      </c>
      <c r="K3389" s="25" t="str">
        <f>IF(OR(E3389="",E3389="!!!",F3389="NEW"),"",INDEX(J$1:J3388,SUMPRODUCT(MAX(ROW(E$1:E3388)*(E3389=E$1:E3388)))))</f>
        <v> </v>
      </c>
      <c r="L3389" s="26"/>
    </row>
    <row r="3390" spans="1:12">
      <c r="A3390" s="20" t="s">
        <v>769</v>
      </c>
      <c r="E3390" s="21">
        <f>IF(D3390="?OLD","!!!","")</f>
        <v/>
      </c>
      <c r="F3390" s="22" t="str">
        <f>IF(OR(E3390="",E3390="!!!"),"",IF(NOT(ISNA(VLOOKUP(E3390,E$1:E3389,1,FALSE()))),"OLD",IF(AND(E3390&lt;&gt;"",E3390&lt;&gt;"!!!"),"NEW","")))</f>
        <v> </v>
      </c>
      <c r="G3390" s="23" t="str">
        <f>IF(OR(E3390="",E3390="!!!"),"",IF(OR(J3390=0,AND(J3390=1,K3390=1),AND(J3390=1,I3390="SBJ"),AND(J3390=1,I3390=0)),"?IN_FOCUS",IF(J3390&lt;=2,"?ACTIVATED",IF(J3390&lt;&gt;"","?FAMILIAR",IF(F3390="NEW",IF(ISNA(VLOOKUP(E3390,#REF!,1,FALSE())),"?TYPE_IDENTIFIABLE","?REFERENTIAL"),"_")))))</f>
        <v> </v>
      </c>
      <c r="H3390" s="24" t="str">
        <f>IF(J3390&lt;&gt;1,"",IF(I3390="SBJ","CB","?"))</f>
        <v> </v>
      </c>
      <c r="I3390" s="25" t="str">
        <f>IF(OR(E3390="",E3390="!!!",F3390="NEW"),"",INDEX(B3389:B$2,-1+SUMPRODUCT(MAX(ROW(E3389:E$2)*(E3390=E3389:E$2)))))</f>
        <v> </v>
      </c>
      <c r="J3390" s="25" t="str">
        <f>IF(OR(E3390="",E3390="!!!",F3390="NEW"),"",COUNTBLANK(OFFSET(A$1,,,SUMPRODUCT(MAX(ROW(E$2:E3390)*(E3390=E$2:E3390)))))-COUNTBLANK(OFFSET(A$1,,,SUMPRODUCT(MAX(ROW(E$1:E3389)*(E2=E$1:E3389))))))</f>
        <v> </v>
      </c>
      <c r="K3390" s="25" t="str">
        <f>IF(OR(E3390="",E3390="!!!",F3390="NEW"),"",INDEX(J$1:J3389,SUMPRODUCT(MAX(ROW(E$1:E3389)*(E3390=E$1:E3389)))))</f>
        <v> </v>
      </c>
      <c r="L3390" s="26"/>
    </row>
    <row r="3391" spans="1:12">
      <c r="A3391" s="20" t="s">
        <v>954</v>
      </c>
      <c r="B3391" s="27" t="s">
        <v>879</v>
      </c>
      <c r="C3391" s="27" t="s">
        <v>777</v>
      </c>
      <c r="D3391" s="27" t="s">
        <v>762</v>
      </c>
      <c r="E3391" s="21">
        <f>IF(D3391="?OLD","!!!","")</f>
        <v/>
      </c>
      <c r="F3391" s="22" t="str">
        <f>IF(OR(E3391="",E3391="!!!"),"",IF(NOT(ISNA(VLOOKUP(E3391,E$1:E3390,1,FALSE()))),"OLD",IF(AND(E3391&lt;&gt;"",E3391&lt;&gt;"!!!"),"NEW","")))</f>
        <v> </v>
      </c>
      <c r="G3391" s="23" t="str">
        <f>IF(OR(E3391="",E3391="!!!"),"",IF(OR(J3391=0,AND(J3391=1,K3391=1),AND(J3391=1,I3391="SBJ"),AND(J3391=1,I3391=0)),"?IN_FOCUS",IF(J3391&lt;=2,"?ACTIVATED",IF(J3391&lt;&gt;"","?FAMILIAR",IF(F3391="NEW",IF(ISNA(VLOOKUP(E3391,#REF!,1,FALSE())),"?TYPE_IDENTIFIABLE","?REFERENTIAL"),"_")))))</f>
        <v> </v>
      </c>
      <c r="H3391" s="24" t="str">
        <f>IF(J3391&lt;&gt;1,"",IF(I3391="SBJ","CB","?"))</f>
        <v> </v>
      </c>
      <c r="I3391" s="25" t="str">
        <f>IF(OR(E3391="",E3391="!!!",F3391="NEW"),"",INDEX(B3390:B$2,-1+SUMPRODUCT(MAX(ROW(E3390:E$2)*(E3391=E3390:E$2)))))</f>
        <v> </v>
      </c>
      <c r="J3391" s="25" t="str">
        <f>IF(OR(E3391="",E3391="!!!",F3391="NEW"),"",COUNTBLANK(OFFSET(A$1,,,SUMPRODUCT(MAX(ROW(E$2:E3391)*(E3391=E$2:E3391)))))-COUNTBLANK(OFFSET(A$1,,,SUMPRODUCT(MAX(ROW(E$1:E3390)*(E2=E$1:E3390))))))</f>
        <v> </v>
      </c>
      <c r="K3391" s="25" t="str">
        <f>IF(OR(E3391="",E3391="!!!",F3391="NEW"),"",INDEX(J$1:J3390,SUMPRODUCT(MAX(ROW(E$1:E3390)*(E3391=E$1:E3390)))))</f>
        <v> </v>
      </c>
      <c r="L3391" s="26"/>
    </row>
    <row r="3392" spans="1:12">
      <c r="A3392" s="20" t="s">
        <v>793</v>
      </c>
      <c r="B3392" s="27" t="s">
        <v>1236</v>
      </c>
      <c r="E3392" s="21">
        <f>IF(D3392="?OLD","!!!","")</f>
        <v/>
      </c>
      <c r="F3392" s="22" t="str">
        <f>IF(OR(E3392="",E3392="!!!"),"",IF(NOT(ISNA(VLOOKUP(E3392,E$1:E3391,1,FALSE()))),"OLD",IF(AND(E3392&lt;&gt;"",E3392&lt;&gt;"!!!"),"NEW","")))</f>
        <v> </v>
      </c>
      <c r="G3392" s="23" t="str">
        <f>IF(OR(E3392="",E3392="!!!"),"",IF(OR(J3392=0,AND(J3392=1,K3392=1),AND(J3392=1,I3392="SBJ"),AND(J3392=1,I3392=0)),"?IN_FOCUS",IF(J3392&lt;=2,"?ACTIVATED",IF(J3392&lt;&gt;"","?FAMILIAR",IF(F3392="NEW",IF(ISNA(VLOOKUP(E3392,#REF!,1,FALSE())),"?TYPE_IDENTIFIABLE","?REFERENTIAL"),"_")))))</f>
        <v> </v>
      </c>
      <c r="H3392" s="24" t="str">
        <f>IF(J3392&lt;&gt;1,"",IF(I3392="SBJ","CB","?"))</f>
        <v> </v>
      </c>
      <c r="I3392" s="25" t="str">
        <f>IF(OR(E3392="",E3392="!!!",F3392="NEW"),"",INDEX(B3391:B$2,-1+SUMPRODUCT(MAX(ROW(E3391:E$2)*(E3392=E3391:E$2)))))</f>
        <v> </v>
      </c>
      <c r="J3392" s="25" t="str">
        <f>IF(OR(E3392="",E3392="!!!",F3392="NEW"),"",COUNTBLANK(OFFSET(A$1,,,SUMPRODUCT(MAX(ROW(E$2:E3392)*(E3392=E$2:E3392)))))-COUNTBLANK(OFFSET(A$1,,,SUMPRODUCT(MAX(ROW(E$1:E3391)*(E2=E$1:E3391))))))</f>
        <v> </v>
      </c>
      <c r="K3392" s="25" t="str">
        <f>IF(OR(E3392="",E3392="!!!",F3392="NEW"),"",INDEX(J$1:J3391,SUMPRODUCT(MAX(ROW(E$1:E3391)*(E3392=E$1:E3391)))))</f>
        <v> </v>
      </c>
      <c r="L3392" s="26"/>
    </row>
    <row r="3393" spans="1:12">
      <c r="A3393" s="20" t="s">
        <v>1557</v>
      </c>
      <c r="B3393" s="27" t="s">
        <v>1272</v>
      </c>
      <c r="C3393" s="27" t="s">
        <v>797</v>
      </c>
      <c r="D3393" s="27" t="s">
        <v>762</v>
      </c>
      <c r="E3393" s="21">
        <f>IF(D3393="?OLD","!!!","")</f>
        <v/>
      </c>
      <c r="F3393" s="22" t="str">
        <f>IF(OR(E3393="",E3393="!!!"),"",IF(NOT(ISNA(VLOOKUP(E3393,E$1:E3392,1,FALSE()))),"OLD",IF(AND(E3393&lt;&gt;"",E3393&lt;&gt;"!!!"),"NEW","")))</f>
        <v> </v>
      </c>
      <c r="G3393" s="23" t="str">
        <f>IF(OR(E3393="",E3393="!!!"),"",IF(OR(J3393=0,AND(J3393=1,K3393=1),AND(J3393=1,I3393="SBJ"),AND(J3393=1,I3393=0)),"?IN_FOCUS",IF(J3393&lt;=2,"?ACTIVATED",IF(J3393&lt;&gt;"","?FAMILIAR",IF(F3393="NEW",IF(ISNA(VLOOKUP(E3393,#REF!,1,FALSE())),"?TYPE_IDENTIFIABLE","?REFERENTIAL"),"_")))))</f>
        <v> </v>
      </c>
      <c r="H3393" s="24" t="str">
        <f>IF(J3393&lt;&gt;1,"",IF(I3393="SBJ","CB","?"))</f>
        <v> </v>
      </c>
      <c r="I3393" s="25" t="str">
        <f>IF(OR(E3393="",E3393="!!!",F3393="NEW"),"",INDEX(B3392:B$2,-1+SUMPRODUCT(MAX(ROW(E3392:E$2)*(E3393=E3392:E$2)))))</f>
        <v> </v>
      </c>
      <c r="J3393" s="25" t="str">
        <f>IF(OR(E3393="",E3393="!!!",F3393="NEW"),"",COUNTBLANK(OFFSET(A$1,,,SUMPRODUCT(MAX(ROW(E$2:E3393)*(E3393=E$2:E3393)))))-COUNTBLANK(OFFSET(A$1,,,SUMPRODUCT(MAX(ROW(E$1:E3392)*(E2=E$1:E3392))))))</f>
        <v> </v>
      </c>
      <c r="K3393" s="25" t="str">
        <f>IF(OR(E3393="",E3393="!!!",F3393="NEW"),"",INDEX(J$1:J3392,SUMPRODUCT(MAX(ROW(E$1:E3392)*(E3393=E$1:E3392)))))</f>
        <v> </v>
      </c>
      <c r="L3393" s="26"/>
    </row>
    <row r="3394" spans="1:12">
      <c r="A3394" s="20" t="s">
        <v>1778</v>
      </c>
      <c r="E3394" s="21">
        <f>IF(D3394="?OLD","!!!","")</f>
        <v/>
      </c>
      <c r="F3394" s="22" t="str">
        <f>IF(OR(E3394="",E3394="!!!"),"",IF(NOT(ISNA(VLOOKUP(E3394,E$1:E3393,1,FALSE()))),"OLD",IF(AND(E3394&lt;&gt;"",E3394&lt;&gt;"!!!"),"NEW","")))</f>
        <v> </v>
      </c>
      <c r="G3394" s="23" t="str">
        <f>IF(OR(E3394="",E3394="!!!"),"",IF(OR(J3394=0,AND(J3394=1,K3394=1),AND(J3394=1,I3394="SBJ"),AND(J3394=1,I3394=0)),"?IN_FOCUS",IF(J3394&lt;=2,"?ACTIVATED",IF(J3394&lt;&gt;"","?FAMILIAR",IF(F3394="NEW",IF(ISNA(VLOOKUP(E3394,#REF!,1,FALSE())),"?TYPE_IDENTIFIABLE","?REFERENTIAL"),"_")))))</f>
        <v> </v>
      </c>
      <c r="H3394" s="24" t="str">
        <f>IF(J3394&lt;&gt;1,"",IF(I3394="SBJ","CB","?"))</f>
        <v> </v>
      </c>
      <c r="I3394" s="25" t="str">
        <f>IF(OR(E3394="",E3394="!!!",F3394="NEW"),"",INDEX(B3393:B$2,-1+SUMPRODUCT(MAX(ROW(E3393:E$2)*(E3394=E3393:E$2)))))</f>
        <v> </v>
      </c>
      <c r="J3394" s="25" t="str">
        <f>IF(OR(E3394="",E3394="!!!",F3394="NEW"),"",COUNTBLANK(OFFSET(A$1,,,SUMPRODUCT(MAX(ROW(E$2:E3394)*(E3394=E$2:E3394)))))-COUNTBLANK(OFFSET(A$1,,,SUMPRODUCT(MAX(ROW(E$1:E3393)*(E2=E$1:E3393))))))</f>
        <v> </v>
      </c>
      <c r="K3394" s="25" t="str">
        <f>IF(OR(E3394="",E3394="!!!",F3394="NEW"),"",INDEX(J$1:J3393,SUMPRODUCT(MAX(ROW(E$1:E3393)*(E3394=E$1:E3393)))))</f>
        <v> </v>
      </c>
      <c r="L3394" s="26"/>
    </row>
    <row r="3395" spans="1:12">
      <c r="A3395" s="20" t="s">
        <v>984</v>
      </c>
      <c r="B3395" s="27" t="s">
        <v>1236</v>
      </c>
      <c r="C3395" s="27" t="s">
        <v>797</v>
      </c>
      <c r="D3395" s="27" t="s">
        <v>762</v>
      </c>
      <c r="E3395" s="21">
        <f>IF(D3395="?OLD","!!!","")</f>
        <v/>
      </c>
      <c r="F3395" s="22" t="str">
        <f>IF(OR(E3395="",E3395="!!!"),"",IF(NOT(ISNA(VLOOKUP(E3395,E$1:E3394,1,FALSE()))),"OLD",IF(AND(E3395&lt;&gt;"",E3395&lt;&gt;"!!!"),"NEW","")))</f>
        <v> </v>
      </c>
      <c r="G3395" s="23" t="str">
        <f>IF(OR(E3395="",E3395="!!!"),"",IF(OR(J3395=0,AND(J3395=1,K3395=1),AND(J3395=1,I3395="SBJ"),AND(J3395=1,I3395=0)),"?IN_FOCUS",IF(J3395&lt;=2,"?ACTIVATED",IF(J3395&lt;&gt;"","?FAMILIAR",IF(F3395="NEW",IF(ISNA(VLOOKUP(E3395,#REF!,1,FALSE())),"?TYPE_IDENTIFIABLE","?REFERENTIAL"),"_")))))</f>
        <v> </v>
      </c>
      <c r="H3395" s="24" t="str">
        <f>IF(J3395&lt;&gt;1,"",IF(I3395="SBJ","CB","?"))</f>
        <v> </v>
      </c>
      <c r="I3395" s="25" t="str">
        <f>IF(OR(E3395="",E3395="!!!",F3395="NEW"),"",INDEX(B3394:B$2,-1+SUMPRODUCT(MAX(ROW(E3394:E$2)*(E3395=E3394:E$2)))))</f>
        <v> </v>
      </c>
      <c r="J3395" s="25" t="str">
        <f>IF(OR(E3395="",E3395="!!!",F3395="NEW"),"",COUNTBLANK(OFFSET(A$1,,,SUMPRODUCT(MAX(ROW(E$2:E3395)*(E3395=E$2:E3395)))))-COUNTBLANK(OFFSET(A$1,,,SUMPRODUCT(MAX(ROW(E$1:E3394)*(E2=E$1:E3394))))))</f>
        <v> </v>
      </c>
      <c r="K3395" s="25" t="str">
        <f>IF(OR(E3395="",E3395="!!!",F3395="NEW"),"",INDEX(J$1:J3394,SUMPRODUCT(MAX(ROW(E$1:E3394)*(E3395=E$1:E3394)))))</f>
        <v> </v>
      </c>
      <c r="L3395" s="26"/>
    </row>
    <row r="3396" spans="1:12">
      <c r="A3396" s="20" t="s">
        <v>417</v>
      </c>
      <c r="E3396" s="21">
        <f>IF(D3396="?OLD","!!!","")</f>
        <v/>
      </c>
      <c r="F3396" s="22" t="str">
        <f>IF(OR(E3396="",E3396="!!!"),"",IF(NOT(ISNA(VLOOKUP(E3396,E$1:E3395,1,FALSE()))),"OLD",IF(AND(E3396&lt;&gt;"",E3396&lt;&gt;"!!!"),"NEW","")))</f>
        <v> </v>
      </c>
      <c r="G3396" s="23" t="str">
        <f>IF(OR(E3396="",E3396="!!!"),"",IF(OR(J3396=0,AND(J3396=1,K3396=1),AND(J3396=1,I3396="SBJ"),AND(J3396=1,I3396=0)),"?IN_FOCUS",IF(J3396&lt;=2,"?ACTIVATED",IF(J3396&lt;&gt;"","?FAMILIAR",IF(F3396="NEW",IF(ISNA(VLOOKUP(E3396,#REF!,1,FALSE())),"?TYPE_IDENTIFIABLE","?REFERENTIAL"),"_")))))</f>
        <v> </v>
      </c>
      <c r="H3396" s="24" t="str">
        <f>IF(J3396&lt;&gt;1,"",IF(I3396="SBJ","CB","?"))</f>
        <v> </v>
      </c>
      <c r="I3396" s="25" t="str">
        <f>IF(OR(E3396="",E3396="!!!",F3396="NEW"),"",INDEX(B3395:B$2,-1+SUMPRODUCT(MAX(ROW(E3395:E$2)*(E3396=E3395:E$2)))))</f>
        <v> </v>
      </c>
      <c r="J3396" s="25" t="str">
        <f>IF(OR(E3396="",E3396="!!!",F3396="NEW"),"",COUNTBLANK(OFFSET(A$1,,,SUMPRODUCT(MAX(ROW(E$2:E3396)*(E3396=E$2:E3396)))))-COUNTBLANK(OFFSET(A$1,,,SUMPRODUCT(MAX(ROW(E$1:E3395)*(E2=E$1:E3395))))))</f>
        <v> </v>
      </c>
      <c r="K3396" s="25" t="str">
        <f>IF(OR(E3396="",E3396="!!!",F3396="NEW"),"",INDEX(J$1:J3395,SUMPRODUCT(MAX(ROW(E$1:E3395)*(E3396=E$1:E3395)))))</f>
        <v> </v>
      </c>
      <c r="L3396" s="26"/>
    </row>
    <row r="3397" spans="1:12">
      <c r="A3397" s="20" t="s">
        <v>859</v>
      </c>
      <c r="E3397" s="21">
        <f>IF(D3397="?OLD","!!!","")</f>
        <v/>
      </c>
      <c r="F3397" s="22" t="str">
        <f>IF(OR(E3397="",E3397="!!!"),"",IF(NOT(ISNA(VLOOKUP(E3397,E$1:E3396,1,FALSE()))),"OLD",IF(AND(E3397&lt;&gt;"",E3397&lt;&gt;"!!!"),"NEW","")))</f>
        <v> </v>
      </c>
      <c r="G3397" s="23" t="str">
        <f>IF(OR(E3397="",E3397="!!!"),"",IF(OR(J3397=0,AND(J3397=1,K3397=1),AND(J3397=1,I3397="SBJ"),AND(J3397=1,I3397=0)),"?IN_FOCUS",IF(J3397&lt;=2,"?ACTIVATED",IF(J3397&lt;&gt;"","?FAMILIAR",IF(F3397="NEW",IF(ISNA(VLOOKUP(E3397,#REF!,1,FALSE())),"?TYPE_IDENTIFIABLE","?REFERENTIAL"),"_")))))</f>
        <v> </v>
      </c>
      <c r="H3397" s="24" t="str">
        <f>IF(J3397&lt;&gt;1,"",IF(I3397="SBJ","CB","?"))</f>
        <v> </v>
      </c>
      <c r="I3397" s="25" t="str">
        <f>IF(OR(E3397="",E3397="!!!",F3397="NEW"),"",INDEX(B3396:B$2,-1+SUMPRODUCT(MAX(ROW(E3396:E$2)*(E3397=E3396:E$2)))))</f>
        <v> </v>
      </c>
      <c r="J3397" s="25" t="str">
        <f>IF(OR(E3397="",E3397="!!!",F3397="NEW"),"",COUNTBLANK(OFFSET(A$1,,,SUMPRODUCT(MAX(ROW(E$2:E3397)*(E3397=E$2:E3397)))))-COUNTBLANK(OFFSET(A$1,,,SUMPRODUCT(MAX(ROW(E$1:E3396)*(E2=E$1:E3396))))))</f>
        <v> </v>
      </c>
      <c r="K3397" s="25" t="str">
        <f>IF(OR(E3397="",E3397="!!!",F3397="NEW"),"",INDEX(J$1:J3396,SUMPRODUCT(MAX(ROW(E$1:E3396)*(E3397=E$1:E3396)))))</f>
        <v> </v>
      </c>
      <c r="L3397" s="26"/>
    </row>
    <row r="3398" spans="1:12">
      <c r="A3398" s="20"/>
    </row>
    <row r="3399" spans="1:12">
      <c r="A3399" s="20" t="s">
        <v>1779</v>
      </c>
    </row>
    <row r="3400" spans="1:12">
      <c r="A3400" s="20" t="s">
        <v>818</v>
      </c>
      <c r="E3400" s="21">
        <f>IF(D3400="?OLD","!!!","")</f>
        <v/>
      </c>
      <c r="F3400" s="22" t="str">
        <f>IF(OR(E3400="",E3400="!!!"),"",IF(NOT(ISNA(VLOOKUP(E3400,E$1:E3399,1,FALSE()))),"OLD",IF(AND(E3400&lt;&gt;"",E3400&lt;&gt;"!!!"),"NEW","")))</f>
        <v> </v>
      </c>
      <c r="G3400" s="23" t="str">
        <f>IF(OR(E3400="",E3400="!!!"),"",IF(OR(J3400=0,AND(J3400=1,K3400=1),AND(J3400=1,I3400="SBJ"),AND(J3400=1,I3400=0)),"?IN_FOCUS",IF(J3400&lt;=2,"?ACTIVATED",IF(J3400&lt;&gt;"","?FAMILIAR",IF(F3400="NEW",IF(ISNA(VLOOKUP(E3400,#REF!,1,FALSE())),"?TYPE_IDENTIFIABLE","?REFERENTIAL"),"_")))))</f>
        <v> </v>
      </c>
      <c r="H3400" s="24" t="str">
        <f>IF(J3400&lt;&gt;1,"",IF(I3400="SBJ","CB","?"))</f>
        <v> </v>
      </c>
      <c r="I3400" s="25" t="str">
        <f>IF(OR(E3400="",E3400="!!!",F3400="NEW"),"",INDEX(B3399:B$2,-1+SUMPRODUCT(MAX(ROW(E3399:E$2)*(E3400=E3399:E$2)))))</f>
        <v> </v>
      </c>
      <c r="J3400" s="25" t="str">
        <f>IF(OR(E3400="",E3400="!!!",F3400="NEW"),"",COUNTBLANK(OFFSET(A$1,,,SUMPRODUCT(MAX(ROW(E$2:E3400)*(E3400=E$2:E3400)))))-COUNTBLANK(OFFSET(A$1,,,SUMPRODUCT(MAX(ROW(E$1:E3399)*(E2=E$1:E3399))))))</f>
        <v> </v>
      </c>
      <c r="K3400" s="25" t="str">
        <f>IF(OR(E3400="",E3400="!!!",F3400="NEW"),"",INDEX(J$1:J3399,SUMPRODUCT(MAX(ROW(E$1:E3399)*(E3400=E$1:E3399)))))</f>
        <v> </v>
      </c>
      <c r="L3400" s="26"/>
    </row>
    <row r="3401" spans="1:12">
      <c r="A3401" s="20" t="s">
        <v>1436</v>
      </c>
      <c r="B3401" s="27" t="s">
        <v>772</v>
      </c>
      <c r="C3401" s="27" t="s">
        <v>851</v>
      </c>
      <c r="D3401" s="27" t="s">
        <v>762</v>
      </c>
      <c r="E3401" s="21">
        <f>IF(D3401="?OLD","!!!","")</f>
        <v/>
      </c>
      <c r="F3401" s="22" t="str">
        <f>IF(OR(E3401="",E3401="!!!"),"",IF(NOT(ISNA(VLOOKUP(E3401,E$1:E3400,1,FALSE()))),"OLD",IF(AND(E3401&lt;&gt;"",E3401&lt;&gt;"!!!"),"NEW","")))</f>
        <v> </v>
      </c>
      <c r="G3401" s="23" t="str">
        <f>IF(OR(E3401="",E3401="!!!"),"",IF(OR(J3401=0,AND(J3401=1,K3401=1),AND(J3401=1,I3401="SBJ"),AND(J3401=1,I3401=0)),"?IN_FOCUS",IF(J3401&lt;=2,"?ACTIVATED",IF(J3401&lt;&gt;"","?FAMILIAR",IF(F3401="NEW",IF(ISNA(VLOOKUP(E3401,#REF!,1,FALSE())),"?TYPE_IDENTIFIABLE","?REFERENTIAL"),"_")))))</f>
        <v> </v>
      </c>
      <c r="H3401" s="24" t="str">
        <f>IF(J3401&lt;&gt;1,"",IF(I3401="SBJ","CB","?"))</f>
        <v> </v>
      </c>
      <c r="I3401" s="25" t="str">
        <f>IF(OR(E3401="",E3401="!!!",F3401="NEW"),"",INDEX(B3400:B$2,-1+SUMPRODUCT(MAX(ROW(E3400:E$2)*(E3401=E3400:E$2)))))</f>
        <v> </v>
      </c>
      <c r="J3401" s="25" t="str">
        <f>IF(OR(E3401="",E3401="!!!",F3401="NEW"),"",COUNTBLANK(OFFSET(A$1,,,SUMPRODUCT(MAX(ROW(E$2:E3401)*(E3401=E$2:E3401)))))-COUNTBLANK(OFFSET(A$1,,,SUMPRODUCT(MAX(ROW(E$1:E3400)*(E2=E$1:E3400))))))</f>
        <v> </v>
      </c>
      <c r="K3401" s="25" t="str">
        <f>IF(OR(E3401="",E3401="!!!",F3401="NEW"),"",INDEX(J$1:J3400,SUMPRODUCT(MAX(ROW(E$1:E3400)*(E3401=E$1:E3400)))))</f>
        <v> </v>
      </c>
      <c r="L3401" s="26"/>
    </row>
    <row r="3402" spans="1:12">
      <c r="A3402" s="20" t="s">
        <v>1437</v>
      </c>
      <c r="B3402" s="27" t="s">
        <v>760</v>
      </c>
      <c r="C3402" s="27" t="s">
        <v>837</v>
      </c>
      <c r="D3402" s="27" t="s">
        <v>762</v>
      </c>
      <c r="E3402" s="21">
        <f>IF(D3402="?OLD","!!!","")</f>
        <v/>
      </c>
      <c r="F3402" s="22" t="str">
        <f>IF(OR(E3402="",E3402="!!!"),"",IF(NOT(ISNA(VLOOKUP(E3402,E$1:E3401,1,FALSE()))),"OLD",IF(AND(E3402&lt;&gt;"",E3402&lt;&gt;"!!!"),"NEW","")))</f>
        <v> </v>
      </c>
      <c r="G3402" s="23" t="str">
        <f>IF(OR(E3402="",E3402="!!!"),"",IF(OR(J3402=0,AND(J3402=1,K3402=1),AND(J3402=1,I3402="SBJ"),AND(J3402=1,I3402=0)),"?IN_FOCUS",IF(J3402&lt;=2,"?ACTIVATED",IF(J3402&lt;&gt;"","?FAMILIAR",IF(F3402="NEW",IF(ISNA(VLOOKUP(E3402,#REF!,1,FALSE())),"?TYPE_IDENTIFIABLE","?REFERENTIAL"),"_")))))</f>
        <v> </v>
      </c>
      <c r="H3402" s="24" t="str">
        <f>IF(J3402&lt;&gt;1,"",IF(I3402="SBJ","CB","?"))</f>
        <v> </v>
      </c>
      <c r="I3402" s="25" t="str">
        <f>IF(OR(E3402="",E3402="!!!",F3402="NEW"),"",INDEX(B3401:B$2,-1+SUMPRODUCT(MAX(ROW(E3401:E$2)*(E3402=E3401:E$2)))))</f>
        <v> </v>
      </c>
      <c r="J3402" s="25" t="str">
        <f>IF(OR(E3402="",E3402="!!!",F3402="NEW"),"",COUNTBLANK(OFFSET(A$1,,,SUMPRODUCT(MAX(ROW(E$2:E3402)*(E3402=E$2:E3402)))))-COUNTBLANK(OFFSET(A$1,,,SUMPRODUCT(MAX(ROW(E$1:E3401)*(E2=E$1:E3401))))))</f>
        <v> </v>
      </c>
      <c r="K3402" s="25" t="str">
        <f>IF(OR(E3402="",E3402="!!!",F3402="NEW"),"",INDEX(J$1:J3401,SUMPRODUCT(MAX(ROW(E$1:E3401)*(E3402=E$1:E3401)))))</f>
        <v> </v>
      </c>
      <c r="L3402" s="26"/>
    </row>
    <row r="3403" spans="1:12">
      <c r="A3403" s="20" t="s">
        <v>887</v>
      </c>
      <c r="E3403" s="21">
        <f>IF(D3403="?OLD","!!!","")</f>
        <v/>
      </c>
      <c r="F3403" s="22" t="str">
        <f>IF(OR(E3403="",E3403="!!!"),"",IF(NOT(ISNA(VLOOKUP(E3403,E$1:E3402,1,FALSE()))),"OLD",IF(AND(E3403&lt;&gt;"",E3403&lt;&gt;"!!!"),"NEW","")))</f>
        <v> </v>
      </c>
      <c r="G3403" s="23" t="str">
        <f>IF(OR(E3403="",E3403="!!!"),"",IF(OR(J3403=0,AND(J3403=1,K3403=1),AND(J3403=1,I3403="SBJ"),AND(J3403=1,I3403=0)),"?IN_FOCUS",IF(J3403&lt;=2,"?ACTIVATED",IF(J3403&lt;&gt;"","?FAMILIAR",IF(F3403="NEW",IF(ISNA(VLOOKUP(E3403,#REF!,1,FALSE())),"?TYPE_IDENTIFIABLE","?REFERENTIAL"),"_")))))</f>
        <v> </v>
      </c>
      <c r="H3403" s="24" t="str">
        <f>IF(J3403&lt;&gt;1,"",IF(I3403="SBJ","CB","?"))</f>
        <v> </v>
      </c>
      <c r="I3403" s="25" t="str">
        <f>IF(OR(E3403="",E3403="!!!",F3403="NEW"),"",INDEX(B3402:B$2,-1+SUMPRODUCT(MAX(ROW(E3402:E$2)*(E3403=E3402:E$2)))))</f>
        <v> </v>
      </c>
      <c r="J3403" s="25" t="str">
        <f>IF(OR(E3403="",E3403="!!!",F3403="NEW"),"",COUNTBLANK(OFFSET(A$1,,,SUMPRODUCT(MAX(ROW(E$2:E3403)*(E3403=E$2:E3403)))))-COUNTBLANK(OFFSET(A$1,,,SUMPRODUCT(MAX(ROW(E$1:E3402)*(E2=E$1:E3402))))))</f>
        <v> </v>
      </c>
      <c r="K3403" s="25" t="str">
        <f>IF(OR(E3403="",E3403="!!!",F3403="NEW"),"",INDEX(J$1:J3402,SUMPRODUCT(MAX(ROW(E$1:E3402)*(E3403=E$1:E3402)))))</f>
        <v> </v>
      </c>
      <c r="L3403" s="26"/>
    </row>
    <row r="3404" spans="1:12">
      <c r="A3404" s="20" t="s">
        <v>1315</v>
      </c>
      <c r="E3404" s="21">
        <f>IF(D3404="?OLD","!!!","")</f>
        <v/>
      </c>
      <c r="F3404" s="22" t="str">
        <f>IF(OR(E3404="",E3404="!!!"),"",IF(NOT(ISNA(VLOOKUP(E3404,E$1:E3403,1,FALSE()))),"OLD",IF(AND(E3404&lt;&gt;"",E3404&lt;&gt;"!!!"),"NEW","")))</f>
        <v> </v>
      </c>
      <c r="G3404" s="23" t="str">
        <f>IF(OR(E3404="",E3404="!!!"),"",IF(OR(J3404=0,AND(J3404=1,K3404=1),AND(J3404=1,I3404="SBJ"),AND(J3404=1,I3404=0)),"?IN_FOCUS",IF(J3404&lt;=2,"?ACTIVATED",IF(J3404&lt;&gt;"","?FAMILIAR",IF(F3404="NEW",IF(ISNA(VLOOKUP(E3404,#REF!,1,FALSE())),"?TYPE_IDENTIFIABLE","?REFERENTIAL"),"_")))))</f>
        <v> </v>
      </c>
      <c r="H3404" s="24" t="str">
        <f>IF(J3404&lt;&gt;1,"",IF(I3404="SBJ","CB","?"))</f>
        <v> </v>
      </c>
      <c r="I3404" s="25" t="str">
        <f>IF(OR(E3404="",E3404="!!!",F3404="NEW"),"",INDEX(B3403:B$2,-1+SUMPRODUCT(MAX(ROW(E3403:E$2)*(E3404=E3403:E$2)))))</f>
        <v> </v>
      </c>
      <c r="J3404" s="25" t="str">
        <f>IF(OR(E3404="",E3404="!!!",F3404="NEW"),"",COUNTBLANK(OFFSET(A$1,,,SUMPRODUCT(MAX(ROW(E$2:E3404)*(E3404=E$2:E3404)))))-COUNTBLANK(OFFSET(A$1,,,SUMPRODUCT(MAX(ROW(E$1:E3403)*(E2=E$1:E3403))))))</f>
        <v> </v>
      </c>
      <c r="K3404" s="25" t="str">
        <f>IF(OR(E3404="",E3404="!!!",F3404="NEW"),"",INDEX(J$1:J3403,SUMPRODUCT(MAX(ROW(E$1:E3403)*(E3404=E$1:E3403)))))</f>
        <v> </v>
      </c>
      <c r="L3404" s="26"/>
    </row>
    <row r="3405" spans="1:12">
      <c r="A3405" s="20" t="s">
        <v>757</v>
      </c>
      <c r="E3405" s="21">
        <f>IF(D3405="?OLD","!!!","")</f>
        <v/>
      </c>
      <c r="F3405" s="22" t="str">
        <f>IF(OR(E3405="",E3405="!!!"),"",IF(NOT(ISNA(VLOOKUP(E3405,E$1:E3404,1,FALSE()))),"OLD",IF(AND(E3405&lt;&gt;"",E3405&lt;&gt;"!!!"),"NEW","")))</f>
        <v> </v>
      </c>
      <c r="G3405" s="23" t="str">
        <f>IF(OR(E3405="",E3405="!!!"),"",IF(OR(J3405=0,AND(J3405=1,K3405=1),AND(J3405=1,I3405="SBJ"),AND(J3405=1,I3405=0)),"?IN_FOCUS",IF(J3405&lt;=2,"?ACTIVATED",IF(J3405&lt;&gt;"","?FAMILIAR",IF(F3405="NEW",IF(ISNA(VLOOKUP(E3405,#REF!,1,FALSE())),"?TYPE_IDENTIFIABLE","?REFERENTIAL"),"_")))))</f>
        <v> </v>
      </c>
      <c r="H3405" s="24" t="str">
        <f>IF(J3405&lt;&gt;1,"",IF(I3405="SBJ","CB","?"))</f>
        <v> </v>
      </c>
      <c r="I3405" s="25" t="str">
        <f>IF(OR(E3405="",E3405="!!!",F3405="NEW"),"",INDEX(B3404:B$2,-1+SUMPRODUCT(MAX(ROW(E3404:E$2)*(E3405=E3404:E$2)))))</f>
        <v> </v>
      </c>
      <c r="J3405" s="25" t="str">
        <f>IF(OR(E3405="",E3405="!!!",F3405="NEW"),"",COUNTBLANK(OFFSET(A$1,,,SUMPRODUCT(MAX(ROW(E$2:E3405)*(E3405=E$2:E3405)))))-COUNTBLANK(OFFSET(A$1,,,SUMPRODUCT(MAX(ROW(E$1:E3404)*(E2=E$1:E3404))))))</f>
        <v> </v>
      </c>
      <c r="K3405" s="25" t="str">
        <f>IF(OR(E3405="",E3405="!!!",F3405="NEW"),"",INDEX(J$1:J3404,SUMPRODUCT(MAX(ROW(E$1:E3404)*(E3405=E$1:E3404)))))</f>
        <v> </v>
      </c>
      <c r="L3405" s="26"/>
    </row>
    <row r="3406" spans="1:12">
      <c r="A3406" s="20" t="s">
        <v>749</v>
      </c>
      <c r="E3406" s="21">
        <f>IF(D3406="?OLD","!!!","")</f>
        <v/>
      </c>
      <c r="F3406" s="22" t="str">
        <f>IF(OR(E3406="",E3406="!!!"),"",IF(NOT(ISNA(VLOOKUP(E3406,E$1:E3405,1,FALSE()))),"OLD",IF(AND(E3406&lt;&gt;"",E3406&lt;&gt;"!!!"),"NEW","")))</f>
        <v> </v>
      </c>
      <c r="G3406" s="23" t="str">
        <f>IF(OR(E3406="",E3406="!!!"),"",IF(OR(J3406=0,AND(J3406=1,K3406=1),AND(J3406=1,I3406="SBJ"),AND(J3406=1,I3406=0)),"?IN_FOCUS",IF(J3406&lt;=2,"?ACTIVATED",IF(J3406&lt;&gt;"","?FAMILIAR",IF(F3406="NEW",IF(ISNA(VLOOKUP(E3406,#REF!,1,FALSE())),"?TYPE_IDENTIFIABLE","?REFERENTIAL"),"_")))))</f>
        <v> </v>
      </c>
      <c r="H3406" s="24" t="str">
        <f>IF(J3406&lt;&gt;1,"",IF(I3406="SBJ","CB","?"))</f>
        <v> </v>
      </c>
      <c r="I3406" s="25" t="str">
        <f>IF(OR(E3406="",E3406="!!!",F3406="NEW"),"",INDEX(B3405:B$2,-1+SUMPRODUCT(MAX(ROW(E3405:E$2)*(E3406=E3405:E$2)))))</f>
        <v> </v>
      </c>
      <c r="J3406" s="25" t="str">
        <f>IF(OR(E3406="",E3406="!!!",F3406="NEW"),"",COUNTBLANK(OFFSET(A$1,,,SUMPRODUCT(MAX(ROW(E$2:E3406)*(E3406=E$2:E3406)))))-COUNTBLANK(OFFSET(A$1,,,SUMPRODUCT(MAX(ROW(E$1:E3405)*(E2=E$1:E3405))))))</f>
        <v> </v>
      </c>
      <c r="K3406" s="25" t="str">
        <f>IF(OR(E3406="",E3406="!!!",F3406="NEW"),"",INDEX(J$1:J3405,SUMPRODUCT(MAX(ROW(E$1:E3405)*(E3406=E$1:E3405)))))</f>
        <v> </v>
      </c>
      <c r="L3406" s="26"/>
    </row>
    <row r="3407" spans="1:12">
      <c r="A3407" s="20" t="s">
        <v>1780</v>
      </c>
      <c r="B3407" s="27" t="s">
        <v>767</v>
      </c>
      <c r="C3407" s="27" t="s">
        <v>798</v>
      </c>
      <c r="D3407" s="27" t="s">
        <v>762</v>
      </c>
      <c r="E3407" s="21">
        <f>IF(D3407="?OLD","!!!","")</f>
        <v/>
      </c>
      <c r="F3407" s="22" t="str">
        <f>IF(OR(E3407="",E3407="!!!"),"",IF(NOT(ISNA(VLOOKUP(E3407,E$1:E3406,1,FALSE()))),"OLD",IF(AND(E3407&lt;&gt;"",E3407&lt;&gt;"!!!"),"NEW","")))</f>
        <v> </v>
      </c>
      <c r="G3407" s="23" t="str">
        <f>IF(OR(E3407="",E3407="!!!"),"",IF(OR(J3407=0,AND(J3407=1,K3407=1),AND(J3407=1,I3407="SBJ"),AND(J3407=1,I3407=0)),"?IN_FOCUS",IF(J3407&lt;=2,"?ACTIVATED",IF(J3407&lt;&gt;"","?FAMILIAR",IF(F3407="NEW",IF(ISNA(VLOOKUP(E3407,#REF!,1,FALSE())),"?TYPE_IDENTIFIABLE","?REFERENTIAL"),"_")))))</f>
        <v> </v>
      </c>
      <c r="H3407" s="24" t="str">
        <f>IF(J3407&lt;&gt;1,"",IF(I3407="SBJ","CB","?"))</f>
        <v> </v>
      </c>
      <c r="I3407" s="25" t="str">
        <f>IF(OR(E3407="",E3407="!!!",F3407="NEW"),"",INDEX(B3406:B$2,-1+SUMPRODUCT(MAX(ROW(E3406:E$2)*(E3407=E3406:E$2)))))</f>
        <v> </v>
      </c>
      <c r="J3407" s="25" t="str">
        <f>IF(OR(E3407="",E3407="!!!",F3407="NEW"),"",COUNTBLANK(OFFSET(A$1,,,SUMPRODUCT(MAX(ROW(E$2:E3407)*(E3407=E$2:E3407)))))-COUNTBLANK(OFFSET(A$1,,,SUMPRODUCT(MAX(ROW(E$1:E3406)*(E2=E$1:E3406))))))</f>
        <v> </v>
      </c>
      <c r="K3407" s="25" t="str">
        <f>IF(OR(E3407="",E3407="!!!",F3407="NEW"),"",INDEX(J$1:J3406,SUMPRODUCT(MAX(ROW(E$1:E3406)*(E3407=E$1:E3406)))))</f>
        <v> </v>
      </c>
      <c r="L3407" s="26"/>
    </row>
    <row r="3408" spans="1:12">
      <c r="A3408" s="20" t="s">
        <v>757</v>
      </c>
      <c r="E3408" s="21">
        <f>IF(D3408="?OLD","!!!","")</f>
        <v/>
      </c>
      <c r="F3408" s="22" t="str">
        <f>IF(OR(E3408="",E3408="!!!"),"",IF(NOT(ISNA(VLOOKUP(E3408,E$1:E3407,1,FALSE()))),"OLD",IF(AND(E3408&lt;&gt;"",E3408&lt;&gt;"!!!"),"NEW","")))</f>
        <v> </v>
      </c>
      <c r="G3408" s="23" t="str">
        <f>IF(OR(E3408="",E3408="!!!"),"",IF(OR(J3408=0,AND(J3408=1,K3408=1),AND(J3408=1,I3408="SBJ"),AND(J3408=1,I3408=0)),"?IN_FOCUS",IF(J3408&lt;=2,"?ACTIVATED",IF(J3408&lt;&gt;"","?FAMILIAR",IF(F3408="NEW",IF(ISNA(VLOOKUP(E3408,#REF!,1,FALSE())),"?TYPE_IDENTIFIABLE","?REFERENTIAL"),"_")))))</f>
        <v> </v>
      </c>
      <c r="H3408" s="24" t="str">
        <f>IF(J3408&lt;&gt;1,"",IF(I3408="SBJ","CB","?"))</f>
        <v> </v>
      </c>
      <c r="I3408" s="25" t="str">
        <f>IF(OR(E3408="",E3408="!!!",F3408="NEW"),"",INDEX(B3407:B$2,-1+SUMPRODUCT(MAX(ROW(E3407:E$2)*(E3408=E3407:E$2)))))</f>
        <v> </v>
      </c>
      <c r="J3408" s="25" t="str">
        <f>IF(OR(E3408="",E3408="!!!",F3408="NEW"),"",COUNTBLANK(OFFSET(A$1,,,SUMPRODUCT(MAX(ROW(E$2:E3408)*(E3408=E$2:E3408)))))-COUNTBLANK(OFFSET(A$1,,,SUMPRODUCT(MAX(ROW(E$1:E3407)*(E2=E$1:E3407))))))</f>
        <v> </v>
      </c>
      <c r="K3408" s="25" t="str">
        <f>IF(OR(E3408="",E3408="!!!",F3408="NEW"),"",INDEX(J$1:J3407,SUMPRODUCT(MAX(ROW(E$1:E3407)*(E3408=E$1:E3407)))))</f>
        <v> </v>
      </c>
      <c r="L3408" s="26"/>
    </row>
    <row r="3409" spans="1:12">
      <c r="A3409" s="20" t="s">
        <v>1781</v>
      </c>
      <c r="E3409" s="21">
        <f>IF(D3409="?OLD","!!!","")</f>
        <v/>
      </c>
      <c r="F3409" s="22" t="str">
        <f>IF(OR(E3409="",E3409="!!!"),"",IF(NOT(ISNA(VLOOKUP(E3409,E$1:E3408,1,FALSE()))),"OLD",IF(AND(E3409&lt;&gt;"",E3409&lt;&gt;"!!!"),"NEW","")))</f>
        <v> </v>
      </c>
      <c r="G3409" s="23" t="str">
        <f>IF(OR(E3409="",E3409="!!!"),"",IF(OR(J3409=0,AND(J3409=1,K3409=1),AND(J3409=1,I3409="SBJ"),AND(J3409=1,I3409=0)),"?IN_FOCUS",IF(J3409&lt;=2,"?ACTIVATED",IF(J3409&lt;&gt;"","?FAMILIAR",IF(F3409="NEW",IF(ISNA(VLOOKUP(E3409,#REF!,1,FALSE())),"?TYPE_IDENTIFIABLE","?REFERENTIAL"),"_")))))</f>
        <v> </v>
      </c>
      <c r="H3409" s="24" t="str">
        <f>IF(J3409&lt;&gt;1,"",IF(I3409="SBJ","CB","?"))</f>
        <v> </v>
      </c>
      <c r="I3409" s="25" t="str">
        <f>IF(OR(E3409="",E3409="!!!",F3409="NEW"),"",INDEX(B3408:B$2,-1+SUMPRODUCT(MAX(ROW(E3408:E$2)*(E3409=E3408:E$2)))))</f>
        <v> </v>
      </c>
      <c r="J3409" s="25" t="str">
        <f>IF(OR(E3409="",E3409="!!!",F3409="NEW"),"",COUNTBLANK(OFFSET(A$1,,,SUMPRODUCT(MAX(ROW(E$2:E3409)*(E3409=E$2:E3409)))))-COUNTBLANK(OFFSET(A$1,,,SUMPRODUCT(MAX(ROW(E$1:E3408)*(E2=E$1:E3408))))))</f>
        <v> </v>
      </c>
      <c r="K3409" s="25" t="str">
        <f>IF(OR(E3409="",E3409="!!!",F3409="NEW"),"",INDEX(J$1:J3408,SUMPRODUCT(MAX(ROW(E$1:E3408)*(E3409=E$1:E3408)))))</f>
        <v> </v>
      </c>
      <c r="L3409" s="26"/>
    </row>
    <row r="3410" spans="1:12">
      <c r="A3410" s="20" t="s">
        <v>774</v>
      </c>
      <c r="E3410" s="21">
        <f>IF(D3410="?OLD","!!!","")</f>
        <v/>
      </c>
      <c r="F3410" s="22" t="str">
        <f>IF(OR(E3410="",E3410="!!!"),"",IF(NOT(ISNA(VLOOKUP(E3410,E$1:E3409,1,FALSE()))),"OLD",IF(AND(E3410&lt;&gt;"",E3410&lt;&gt;"!!!"),"NEW","")))</f>
        <v> </v>
      </c>
      <c r="G3410" s="23" t="str">
        <f>IF(OR(E3410="",E3410="!!!"),"",IF(OR(J3410=0,AND(J3410=1,K3410=1),AND(J3410=1,I3410="SBJ"),AND(J3410=1,I3410=0)),"?IN_FOCUS",IF(J3410&lt;=2,"?ACTIVATED",IF(J3410&lt;&gt;"","?FAMILIAR",IF(F3410="NEW",IF(ISNA(VLOOKUP(E3410,#REF!,1,FALSE())),"?TYPE_IDENTIFIABLE","?REFERENTIAL"),"_")))))</f>
        <v> </v>
      </c>
      <c r="H3410" s="24" t="str">
        <f>IF(J3410&lt;&gt;1,"",IF(I3410="SBJ","CB","?"))</f>
        <v> </v>
      </c>
      <c r="I3410" s="25" t="str">
        <f>IF(OR(E3410="",E3410="!!!",F3410="NEW"),"",INDEX(B3409:B$2,-1+SUMPRODUCT(MAX(ROW(E3409:E$2)*(E3410=E3409:E$2)))))</f>
        <v> </v>
      </c>
      <c r="J3410" s="25" t="str">
        <f>IF(OR(E3410="",E3410="!!!",F3410="NEW"),"",COUNTBLANK(OFFSET(A$1,,,SUMPRODUCT(MAX(ROW(E$2:E3410)*(E3410=E$2:E3410)))))-COUNTBLANK(OFFSET(A$1,,,SUMPRODUCT(MAX(ROW(E$1:E3409)*(E2=E$1:E3409))))))</f>
        <v> </v>
      </c>
      <c r="K3410" s="25" t="str">
        <f>IF(OR(E3410="",E3410="!!!",F3410="NEW"),"",INDEX(J$1:J3409,SUMPRODUCT(MAX(ROW(E$1:E3409)*(E3410=E$1:E3409)))))</f>
        <v> </v>
      </c>
      <c r="L3410" s="26"/>
    </row>
    <row r="3411" spans="1:12">
      <c r="A3411" s="20"/>
    </row>
    <row r="3412" spans="1:12">
      <c r="A3412" s="20" t="s">
        <v>1782</v>
      </c>
    </row>
    <row r="3413" spans="1:12">
      <c r="A3413" s="20" t="s">
        <v>983</v>
      </c>
      <c r="B3413" s="27" t="s">
        <v>760</v>
      </c>
      <c r="C3413" s="27" t="s">
        <v>797</v>
      </c>
      <c r="D3413" s="27" t="s">
        <v>762</v>
      </c>
      <c r="E3413" s="21">
        <f>IF(D3413="?OLD","!!!","")</f>
        <v/>
      </c>
      <c r="F3413" s="22" t="str">
        <f>IF(OR(E3413="",E3413="!!!"),"",IF(NOT(ISNA(VLOOKUP(E3413,E$1:E3412,1,FALSE()))),"OLD",IF(AND(E3413&lt;&gt;"",E3413&lt;&gt;"!!!"),"NEW","")))</f>
        <v> </v>
      </c>
      <c r="G3413" s="23" t="str">
        <f>IF(OR(E3413="",E3413="!!!"),"",IF(OR(J3413=0,AND(J3413=1,K3413=1),AND(J3413=1,I3413="SBJ"),AND(J3413=1,I3413=0)),"?IN_FOCUS",IF(J3413&lt;=2,"?ACTIVATED",IF(J3413&lt;&gt;"","?FAMILIAR",IF(F3413="NEW",IF(ISNA(VLOOKUP(E3413,#REF!,1,FALSE())),"?TYPE_IDENTIFIABLE","?REFERENTIAL"),"_")))))</f>
        <v> </v>
      </c>
      <c r="H3413" s="24" t="str">
        <f>IF(J3413&lt;&gt;1,"",IF(I3413="SBJ","CB","?"))</f>
        <v> </v>
      </c>
      <c r="I3413" s="25" t="str">
        <f>IF(OR(E3413="",E3413="!!!",F3413="NEW"),"",INDEX(B3412:B$2,-1+SUMPRODUCT(MAX(ROW(E3412:E$2)*(E3413=E3412:E$2)))))</f>
        <v> </v>
      </c>
      <c r="J3413" s="25" t="str">
        <f>IF(OR(E3413="",E3413="!!!",F3413="NEW"),"",COUNTBLANK(OFFSET(A$1,,,SUMPRODUCT(MAX(ROW(E$2:E3413)*(E3413=E$2:E3413)))))-COUNTBLANK(OFFSET(A$1,,,SUMPRODUCT(MAX(ROW(E$1:E3412)*(E2=E$1:E3412))))))</f>
        <v> </v>
      </c>
      <c r="K3413" s="25" t="str">
        <f>IF(OR(E3413="",E3413="!!!",F3413="NEW"),"",INDEX(J$1:J3412,SUMPRODUCT(MAX(ROW(E$1:E3412)*(E3413=E$1:E3412)))))</f>
        <v> </v>
      </c>
      <c r="L3413" s="26"/>
    </row>
    <row r="3414" spans="1:12">
      <c r="A3414" s="20" t="s">
        <v>984</v>
      </c>
      <c r="B3414" s="27" t="s">
        <v>767</v>
      </c>
      <c r="C3414" s="27" t="s">
        <v>797</v>
      </c>
      <c r="D3414" s="27" t="s">
        <v>762</v>
      </c>
      <c r="E3414" s="21">
        <f>IF(D3414="?OLD","!!!","")</f>
        <v/>
      </c>
      <c r="F3414" s="22" t="str">
        <f>IF(OR(E3414="",E3414="!!!"),"",IF(NOT(ISNA(VLOOKUP(E3414,E$1:E3413,1,FALSE()))),"OLD",IF(AND(E3414&lt;&gt;"",E3414&lt;&gt;"!!!"),"NEW","")))</f>
        <v> </v>
      </c>
      <c r="G3414" s="23" t="str">
        <f>IF(OR(E3414="",E3414="!!!"),"",IF(OR(J3414=0,AND(J3414=1,K3414=1),AND(J3414=1,I3414="SBJ"),AND(J3414=1,I3414=0)),"?IN_FOCUS",IF(J3414&lt;=2,"?ACTIVATED",IF(J3414&lt;&gt;"","?FAMILIAR",IF(F3414="NEW",IF(ISNA(VLOOKUP(E3414,#REF!,1,FALSE())),"?TYPE_IDENTIFIABLE","?REFERENTIAL"),"_")))))</f>
        <v> </v>
      </c>
      <c r="H3414" s="24" t="str">
        <f>IF(J3414&lt;&gt;1,"",IF(I3414="SBJ","CB","?"))</f>
        <v> </v>
      </c>
      <c r="I3414" s="25" t="str">
        <f>IF(OR(E3414="",E3414="!!!",F3414="NEW"),"",INDEX(B3413:B$2,-1+SUMPRODUCT(MAX(ROW(E3413:E$2)*(E3414=E3413:E$2)))))</f>
        <v> </v>
      </c>
      <c r="J3414" s="25" t="str">
        <f>IF(OR(E3414="",E3414="!!!",F3414="NEW"),"",COUNTBLANK(OFFSET(A$1,,,SUMPRODUCT(MAX(ROW(E$2:E3414)*(E3414=E$2:E3414)))))-COUNTBLANK(OFFSET(A$1,,,SUMPRODUCT(MAX(ROW(E$1:E3413)*(E2=E$1:E3413))))))</f>
        <v> </v>
      </c>
      <c r="K3414" s="25" t="str">
        <f>IF(OR(E3414="",E3414="!!!",F3414="NEW"),"",INDEX(J$1:J3413,SUMPRODUCT(MAX(ROW(E$1:E3413)*(E3414=E$1:E3413)))))</f>
        <v> </v>
      </c>
      <c r="L3414" s="26"/>
    </row>
    <row r="3415" spans="1:12">
      <c r="A3415" s="20" t="s">
        <v>547</v>
      </c>
      <c r="E3415" s="21">
        <f>IF(D3415="?OLD","!!!","")</f>
        <v/>
      </c>
      <c r="F3415" s="22" t="str">
        <f>IF(OR(E3415="",E3415="!!!"),"",IF(NOT(ISNA(VLOOKUP(E3415,E$1:E3414,1,FALSE()))),"OLD",IF(AND(E3415&lt;&gt;"",E3415&lt;&gt;"!!!"),"NEW","")))</f>
        <v> </v>
      </c>
      <c r="G3415" s="23" t="str">
        <f>IF(OR(E3415="",E3415="!!!"),"",IF(OR(J3415=0,AND(J3415=1,K3415=1),AND(J3415=1,I3415="SBJ"),AND(J3415=1,I3415=0)),"?IN_FOCUS",IF(J3415&lt;=2,"?ACTIVATED",IF(J3415&lt;&gt;"","?FAMILIAR",IF(F3415="NEW",IF(ISNA(VLOOKUP(E3415,#REF!,1,FALSE())),"?TYPE_IDENTIFIABLE","?REFERENTIAL"),"_")))))</f>
        <v> </v>
      </c>
      <c r="H3415" s="24" t="str">
        <f>IF(J3415&lt;&gt;1,"",IF(I3415="SBJ","CB","?"))</f>
        <v> </v>
      </c>
      <c r="I3415" s="25" t="str">
        <f>IF(OR(E3415="",E3415="!!!",F3415="NEW"),"",INDEX(B3414:B$2,-1+SUMPRODUCT(MAX(ROW(E3414:E$2)*(E3415=E3414:E$2)))))</f>
        <v> </v>
      </c>
      <c r="J3415" s="25" t="str">
        <f>IF(OR(E3415="",E3415="!!!",F3415="NEW"),"",COUNTBLANK(OFFSET(A$1,,,SUMPRODUCT(MAX(ROW(E$2:E3415)*(E3415=E$2:E3415)))))-COUNTBLANK(OFFSET(A$1,,,SUMPRODUCT(MAX(ROW(E$1:E3414)*(E2=E$1:E3414))))))</f>
        <v> </v>
      </c>
      <c r="K3415" s="25" t="str">
        <f>IF(OR(E3415="",E3415="!!!",F3415="NEW"),"",INDEX(J$1:J3414,SUMPRODUCT(MAX(ROW(E$1:E3414)*(E3415=E$1:E3414)))))</f>
        <v> </v>
      </c>
      <c r="L3415" s="26"/>
    </row>
    <row r="3416" spans="1:12">
      <c r="A3416" s="20" t="s">
        <v>778</v>
      </c>
      <c r="E3416" s="21">
        <f>IF(D3416="?OLD","!!!","")</f>
        <v/>
      </c>
      <c r="F3416" s="22" t="str">
        <f>IF(OR(E3416="",E3416="!!!"),"",IF(NOT(ISNA(VLOOKUP(E3416,E$1:E3415,1,FALSE()))),"OLD",IF(AND(E3416&lt;&gt;"",E3416&lt;&gt;"!!!"),"NEW","")))</f>
        <v> </v>
      </c>
      <c r="G3416" s="23" t="str">
        <f>IF(OR(E3416="",E3416="!!!"),"",IF(OR(J3416=0,AND(J3416=1,K3416=1),AND(J3416=1,I3416="SBJ"),AND(J3416=1,I3416=0)),"?IN_FOCUS",IF(J3416&lt;=2,"?ACTIVATED",IF(J3416&lt;&gt;"","?FAMILIAR",IF(F3416="NEW",IF(ISNA(VLOOKUP(E3416,#REF!,1,FALSE())),"?TYPE_IDENTIFIABLE","?REFERENTIAL"),"_")))))</f>
        <v> </v>
      </c>
      <c r="H3416" s="24" t="str">
        <f>IF(J3416&lt;&gt;1,"",IF(I3416="SBJ","CB","?"))</f>
        <v> </v>
      </c>
      <c r="I3416" s="25" t="str">
        <f>IF(OR(E3416="",E3416="!!!",F3416="NEW"),"",INDEX(B3415:B$2,-1+SUMPRODUCT(MAX(ROW(E3415:E$2)*(E3416=E3415:E$2)))))</f>
        <v> </v>
      </c>
      <c r="J3416" s="25" t="str">
        <f>IF(OR(E3416="",E3416="!!!",F3416="NEW"),"",COUNTBLANK(OFFSET(A$1,,,SUMPRODUCT(MAX(ROW(E$2:E3416)*(E3416=E$2:E3416)))))-COUNTBLANK(OFFSET(A$1,,,SUMPRODUCT(MAX(ROW(E$1:E3415)*(E2=E$1:E3415))))))</f>
        <v> </v>
      </c>
      <c r="K3416" s="25" t="str">
        <f>IF(OR(E3416="",E3416="!!!",F3416="NEW"),"",INDEX(J$1:J3415,SUMPRODUCT(MAX(ROW(E$1:E3415)*(E3416=E$1:E3415)))))</f>
        <v> </v>
      </c>
      <c r="L3416" s="26"/>
    </row>
    <row r="3417" spans="1:12">
      <c r="A3417" s="20" t="s">
        <v>1419</v>
      </c>
      <c r="B3417" s="27" t="s">
        <v>753</v>
      </c>
      <c r="C3417" s="27" t="s">
        <v>777</v>
      </c>
      <c r="D3417" s="27" t="s">
        <v>762</v>
      </c>
      <c r="E3417" s="21">
        <f>IF(D3417="?OLD","!!!","")</f>
        <v/>
      </c>
      <c r="F3417" s="22" t="str">
        <f>IF(OR(E3417="",E3417="!!!"),"",IF(NOT(ISNA(VLOOKUP(E3417,E$1:E3416,1,FALSE()))),"OLD",IF(AND(E3417&lt;&gt;"",E3417&lt;&gt;"!!!"),"NEW","")))</f>
        <v> </v>
      </c>
      <c r="G3417" s="23" t="str">
        <f>IF(OR(E3417="",E3417="!!!"),"",IF(OR(J3417=0,AND(J3417=1,K3417=1),AND(J3417=1,I3417="SBJ"),AND(J3417=1,I3417=0)),"?IN_FOCUS",IF(J3417&lt;=2,"?ACTIVATED",IF(J3417&lt;&gt;"","?FAMILIAR",IF(F3417="NEW",IF(ISNA(VLOOKUP(E3417,#REF!,1,FALSE())),"?TYPE_IDENTIFIABLE","?REFERENTIAL"),"_")))))</f>
        <v> </v>
      </c>
      <c r="H3417" s="24" t="str">
        <f>IF(J3417&lt;&gt;1,"",IF(I3417="SBJ","CB","?"))</f>
        <v> </v>
      </c>
      <c r="I3417" s="25" t="str">
        <f>IF(OR(E3417="",E3417="!!!",F3417="NEW"),"",INDEX(B3416:B$2,-1+SUMPRODUCT(MAX(ROW(E3416:E$2)*(E3417=E3416:E$2)))))</f>
        <v> </v>
      </c>
      <c r="J3417" s="25" t="str">
        <f>IF(OR(E3417="",E3417="!!!",F3417="NEW"),"",COUNTBLANK(OFFSET(A$1,,,SUMPRODUCT(MAX(ROW(E$2:E3417)*(E3417=E$2:E3417)))))-COUNTBLANK(OFFSET(A$1,,,SUMPRODUCT(MAX(ROW(E$1:E3416)*(E2=E$1:E3416))))))</f>
        <v> </v>
      </c>
      <c r="K3417" s="25" t="str">
        <f>IF(OR(E3417="",E3417="!!!",F3417="NEW"),"",INDEX(J$1:J3416,SUMPRODUCT(MAX(ROW(E$1:E3416)*(E3417=E$1:E3416)))))</f>
        <v> </v>
      </c>
      <c r="L3417" s="26"/>
    </row>
    <row r="3418" spans="1:12">
      <c r="A3418" s="20" t="s">
        <v>889</v>
      </c>
      <c r="B3418" s="27" t="s">
        <v>894</v>
      </c>
      <c r="E3418" s="21">
        <f>IF(D3418="?OLD","!!!","")</f>
        <v/>
      </c>
      <c r="F3418" s="22" t="str">
        <f>IF(OR(E3418="",E3418="!!!"),"",IF(NOT(ISNA(VLOOKUP(E3418,E$1:E3417,1,FALSE()))),"OLD",IF(AND(E3418&lt;&gt;"",E3418&lt;&gt;"!!!"),"NEW","")))</f>
        <v> </v>
      </c>
      <c r="G3418" s="23" t="str">
        <f>IF(OR(E3418="",E3418="!!!"),"",IF(OR(J3418=0,AND(J3418=1,K3418=1),AND(J3418=1,I3418="SBJ"),AND(J3418=1,I3418=0)),"?IN_FOCUS",IF(J3418&lt;=2,"?ACTIVATED",IF(J3418&lt;&gt;"","?FAMILIAR",IF(F3418="NEW",IF(ISNA(VLOOKUP(E3418,#REF!,1,FALSE())),"?TYPE_IDENTIFIABLE","?REFERENTIAL"),"_")))))</f>
        <v> </v>
      </c>
      <c r="H3418" s="24" t="str">
        <f>IF(J3418&lt;&gt;1,"",IF(I3418="SBJ","CB","?"))</f>
        <v> </v>
      </c>
      <c r="I3418" s="25" t="str">
        <f>IF(OR(E3418="",E3418="!!!",F3418="NEW"),"",INDEX(B3417:B$2,-1+SUMPRODUCT(MAX(ROW(E3417:E$2)*(E3418=E3417:E$2)))))</f>
        <v> </v>
      </c>
      <c r="J3418" s="25" t="str">
        <f>IF(OR(E3418="",E3418="!!!",F3418="NEW"),"",COUNTBLANK(OFFSET(A$1,,,SUMPRODUCT(MAX(ROW(E$2:E3418)*(E3418=E$2:E3418)))))-COUNTBLANK(OFFSET(A$1,,,SUMPRODUCT(MAX(ROW(E$1:E3417)*(E2=E$1:E3417))))))</f>
        <v> </v>
      </c>
      <c r="K3418" s="25" t="str">
        <f>IF(OR(E3418="",E3418="!!!",F3418="NEW"),"",INDEX(J$1:J3417,SUMPRODUCT(MAX(ROW(E$1:E3417)*(E3418=E$1:E3417)))))</f>
        <v> </v>
      </c>
      <c r="L3418" s="26"/>
    </row>
    <row r="3419" spans="1:12">
      <c r="A3419" s="20" t="s">
        <v>697</v>
      </c>
      <c r="B3419" s="27" t="s">
        <v>956</v>
      </c>
      <c r="C3419" s="27" t="s">
        <v>797</v>
      </c>
      <c r="D3419" s="27" t="s">
        <v>762</v>
      </c>
      <c r="E3419" s="21">
        <f>IF(D3419="?OLD","!!!","")</f>
        <v/>
      </c>
      <c r="F3419" s="22" t="str">
        <f>IF(OR(E3419="",E3419="!!!"),"",IF(NOT(ISNA(VLOOKUP(E3419,E$1:E3418,1,FALSE()))),"OLD",IF(AND(E3419&lt;&gt;"",E3419&lt;&gt;"!!!"),"NEW","")))</f>
        <v> </v>
      </c>
      <c r="G3419" s="23" t="str">
        <f>IF(OR(E3419="",E3419="!!!"),"",IF(OR(J3419=0,AND(J3419=1,K3419=1),AND(J3419=1,I3419="SBJ"),AND(J3419=1,I3419=0)),"?IN_FOCUS",IF(J3419&lt;=2,"?ACTIVATED",IF(J3419&lt;&gt;"","?FAMILIAR",IF(F3419="NEW",IF(ISNA(VLOOKUP(E3419,#REF!,1,FALSE())),"?TYPE_IDENTIFIABLE","?REFERENTIAL"),"_")))))</f>
        <v> </v>
      </c>
      <c r="H3419" s="24" t="str">
        <f>IF(J3419&lt;&gt;1,"",IF(I3419="SBJ","CB","?"))</f>
        <v> </v>
      </c>
      <c r="I3419" s="25" t="str">
        <f>IF(OR(E3419="",E3419="!!!",F3419="NEW"),"",INDEX(B3418:B$2,-1+SUMPRODUCT(MAX(ROW(E3418:E$2)*(E3419=E3418:E$2)))))</f>
        <v> </v>
      </c>
      <c r="J3419" s="25" t="str">
        <f>IF(OR(E3419="",E3419="!!!",F3419="NEW"),"",COUNTBLANK(OFFSET(A$1,,,SUMPRODUCT(MAX(ROW(E$2:E3419)*(E3419=E$2:E3419)))))-COUNTBLANK(OFFSET(A$1,,,SUMPRODUCT(MAX(ROW(E$1:E3418)*(E2=E$1:E3418))))))</f>
        <v> </v>
      </c>
      <c r="K3419" s="25" t="str">
        <f>IF(OR(E3419="",E3419="!!!",F3419="NEW"),"",INDEX(J$1:J3418,SUMPRODUCT(MAX(ROW(E$1:E3418)*(E3419=E$1:E3418)))))</f>
        <v> </v>
      </c>
      <c r="L3419" s="26"/>
    </row>
    <row r="3420" spans="1:12">
      <c r="A3420" s="20" t="s">
        <v>1783</v>
      </c>
      <c r="E3420" s="21">
        <f>IF(D3420="?OLD","!!!","")</f>
        <v/>
      </c>
      <c r="F3420" s="22" t="str">
        <f>IF(OR(E3420="",E3420="!!!"),"",IF(NOT(ISNA(VLOOKUP(E3420,E$1:E3419,1,FALSE()))),"OLD",IF(AND(E3420&lt;&gt;"",E3420&lt;&gt;"!!!"),"NEW","")))</f>
        <v> </v>
      </c>
      <c r="G3420" s="23" t="str">
        <f>IF(OR(E3420="",E3420="!!!"),"",IF(OR(J3420=0,AND(J3420=1,K3420=1),AND(J3420=1,I3420="SBJ"),AND(J3420=1,I3420=0)),"?IN_FOCUS",IF(J3420&lt;=2,"?ACTIVATED",IF(J3420&lt;&gt;"","?FAMILIAR",IF(F3420="NEW",IF(ISNA(VLOOKUP(E3420,#REF!,1,FALSE())),"?TYPE_IDENTIFIABLE","?REFERENTIAL"),"_")))))</f>
        <v> </v>
      </c>
      <c r="H3420" s="24" t="str">
        <f>IF(J3420&lt;&gt;1,"",IF(I3420="SBJ","CB","?"))</f>
        <v> </v>
      </c>
      <c r="I3420" s="25" t="str">
        <f>IF(OR(E3420="",E3420="!!!",F3420="NEW"),"",INDEX(B3419:B$2,-1+SUMPRODUCT(MAX(ROW(E3419:E$2)*(E3420=E3419:E$2)))))</f>
        <v> </v>
      </c>
      <c r="J3420" s="25" t="str">
        <f>IF(OR(E3420="",E3420="!!!",F3420="NEW"),"",COUNTBLANK(OFFSET(A$1,,,SUMPRODUCT(MAX(ROW(E$2:E3420)*(E3420=E$2:E3420)))))-COUNTBLANK(OFFSET(A$1,,,SUMPRODUCT(MAX(ROW(E$1:E3419)*(E2=E$1:E3419))))))</f>
        <v> </v>
      </c>
      <c r="K3420" s="25" t="str">
        <f>IF(OR(E3420="",E3420="!!!",F3420="NEW"),"",INDEX(J$1:J3419,SUMPRODUCT(MAX(ROW(E$1:E3419)*(E3420=E$1:E3419)))))</f>
        <v> </v>
      </c>
      <c r="L3420" s="26"/>
    </row>
    <row r="3421" spans="1:12">
      <c r="A3421" s="20" t="s">
        <v>785</v>
      </c>
      <c r="E3421" s="21">
        <f>IF(D3421="?OLD","!!!","")</f>
        <v/>
      </c>
      <c r="F3421" s="22" t="str">
        <f>IF(OR(E3421="",E3421="!!!"),"",IF(NOT(ISNA(VLOOKUP(E3421,E$1:E3420,1,FALSE()))),"OLD",IF(AND(E3421&lt;&gt;"",E3421&lt;&gt;"!!!"),"NEW","")))</f>
        <v> </v>
      </c>
      <c r="G3421" s="23" t="str">
        <f>IF(OR(E3421="",E3421="!!!"),"",IF(OR(J3421=0,AND(J3421=1,K3421=1),AND(J3421=1,I3421="SBJ"),AND(J3421=1,I3421=0)),"?IN_FOCUS",IF(J3421&lt;=2,"?ACTIVATED",IF(J3421&lt;&gt;"","?FAMILIAR",IF(F3421="NEW",IF(ISNA(VLOOKUP(E3421,#REF!,1,FALSE())),"?TYPE_IDENTIFIABLE","?REFERENTIAL"),"_")))))</f>
        <v> </v>
      </c>
      <c r="H3421" s="24" t="str">
        <f>IF(J3421&lt;&gt;1,"",IF(I3421="SBJ","CB","?"))</f>
        <v> </v>
      </c>
      <c r="I3421" s="25" t="str">
        <f>IF(OR(E3421="",E3421="!!!",F3421="NEW"),"",INDEX(B3420:B$2,-1+SUMPRODUCT(MAX(ROW(E3420:E$2)*(E3421=E3420:E$2)))))</f>
        <v> </v>
      </c>
      <c r="J3421" s="25" t="str">
        <f>IF(OR(E3421="",E3421="!!!",F3421="NEW"),"",COUNTBLANK(OFFSET(A$1,,,SUMPRODUCT(MAX(ROW(E$2:E3421)*(E3421=E$2:E3421)))))-COUNTBLANK(OFFSET(A$1,,,SUMPRODUCT(MAX(ROW(E$1:E3420)*(E2=E$1:E3420))))))</f>
        <v> </v>
      </c>
      <c r="K3421" s="25" t="str">
        <f>IF(OR(E3421="",E3421="!!!",F3421="NEW"),"",INDEX(J$1:J3420,SUMPRODUCT(MAX(ROW(E$1:E3420)*(E3421=E$1:E3420)))))</f>
        <v> </v>
      </c>
      <c r="L3421" s="26"/>
    </row>
    <row r="3422" spans="1:12">
      <c r="A3422" s="20" t="s">
        <v>954</v>
      </c>
      <c r="B3422" s="27" t="s">
        <v>879</v>
      </c>
      <c r="C3422" s="27" t="s">
        <v>777</v>
      </c>
      <c r="D3422" s="27" t="s">
        <v>762</v>
      </c>
      <c r="E3422" s="21">
        <f>IF(D3422="?OLD","!!!","")</f>
        <v/>
      </c>
      <c r="F3422" s="22" t="str">
        <f>IF(OR(E3422="",E3422="!!!"),"",IF(NOT(ISNA(VLOOKUP(E3422,E$1:E3421,1,FALSE()))),"OLD",IF(AND(E3422&lt;&gt;"",E3422&lt;&gt;"!!!"),"NEW","")))</f>
        <v> </v>
      </c>
      <c r="G3422" s="23" t="str">
        <f>IF(OR(E3422="",E3422="!!!"),"",IF(OR(J3422=0,AND(J3422=1,K3422=1),AND(J3422=1,I3422="SBJ"),AND(J3422=1,I3422=0)),"?IN_FOCUS",IF(J3422&lt;=2,"?ACTIVATED",IF(J3422&lt;&gt;"","?FAMILIAR",IF(F3422="NEW",IF(ISNA(VLOOKUP(E3422,#REF!,1,FALSE())),"?TYPE_IDENTIFIABLE","?REFERENTIAL"),"_")))))</f>
        <v> </v>
      </c>
      <c r="H3422" s="24" t="str">
        <f>IF(J3422&lt;&gt;1,"",IF(I3422="SBJ","CB","?"))</f>
        <v> </v>
      </c>
      <c r="I3422" s="25" t="str">
        <f>IF(OR(E3422="",E3422="!!!",F3422="NEW"),"",INDEX(B3421:B$2,-1+SUMPRODUCT(MAX(ROW(E3421:E$2)*(E3422=E3421:E$2)))))</f>
        <v> </v>
      </c>
      <c r="J3422" s="25" t="str">
        <f>IF(OR(E3422="",E3422="!!!",F3422="NEW"),"",COUNTBLANK(OFFSET(A$1,,,SUMPRODUCT(MAX(ROW(E$2:E3422)*(E3422=E$2:E3422)))))-COUNTBLANK(OFFSET(A$1,,,SUMPRODUCT(MAX(ROW(E$1:E3421)*(E2=E$1:E3421))))))</f>
        <v> </v>
      </c>
      <c r="K3422" s="25" t="str">
        <f>IF(OR(E3422="",E3422="!!!",F3422="NEW"),"",INDEX(J$1:J3421,SUMPRODUCT(MAX(ROW(E$1:E3421)*(E3422=E$1:E3421)))))</f>
        <v> </v>
      </c>
      <c r="L3422" s="26"/>
    </row>
    <row r="3423" spans="1:12">
      <c r="A3423" s="20" t="s">
        <v>889</v>
      </c>
      <c r="E3423" s="21">
        <f>IF(D3423="?OLD","!!!","")</f>
        <v/>
      </c>
      <c r="F3423" s="22" t="str">
        <f>IF(OR(E3423="",E3423="!!!"),"",IF(NOT(ISNA(VLOOKUP(E3423,E$1:E3422,1,FALSE()))),"OLD",IF(AND(E3423&lt;&gt;"",E3423&lt;&gt;"!!!"),"NEW","")))</f>
        <v> </v>
      </c>
      <c r="G3423" s="23" t="str">
        <f>IF(OR(E3423="",E3423="!!!"),"",IF(OR(J3423=0,AND(J3423=1,K3423=1),AND(J3423=1,I3423="SBJ"),AND(J3423=1,I3423=0)),"?IN_FOCUS",IF(J3423&lt;=2,"?ACTIVATED",IF(J3423&lt;&gt;"","?FAMILIAR",IF(F3423="NEW",IF(ISNA(VLOOKUP(E3423,#REF!,1,FALSE())),"?TYPE_IDENTIFIABLE","?REFERENTIAL"),"_")))))</f>
        <v> </v>
      </c>
      <c r="H3423" s="24" t="str">
        <f>IF(J3423&lt;&gt;1,"",IF(I3423="SBJ","CB","?"))</f>
        <v> </v>
      </c>
      <c r="I3423" s="25" t="str">
        <f>IF(OR(E3423="",E3423="!!!",F3423="NEW"),"",INDEX(B3422:B$2,-1+SUMPRODUCT(MAX(ROW(E3422:E$2)*(E3423=E3422:E$2)))))</f>
        <v> </v>
      </c>
      <c r="J3423" s="25" t="str">
        <f>IF(OR(E3423="",E3423="!!!",F3423="NEW"),"",COUNTBLANK(OFFSET(A$1,,,SUMPRODUCT(MAX(ROW(E$2:E3423)*(E3423=E$2:E3423)))))-COUNTBLANK(OFFSET(A$1,,,SUMPRODUCT(MAX(ROW(E$1:E3422)*(E2=E$1:E3422))))))</f>
        <v> </v>
      </c>
      <c r="K3423" s="25" t="str">
        <f>IF(OR(E3423="",E3423="!!!",F3423="NEW"),"",INDEX(J$1:J3422,SUMPRODUCT(MAX(ROW(E$1:E3422)*(E3423=E$1:E3422)))))</f>
        <v> </v>
      </c>
      <c r="L3423" s="26"/>
    </row>
    <row r="3424" spans="1:12">
      <c r="A3424" s="20" t="s">
        <v>697</v>
      </c>
      <c r="B3424" s="27" t="s">
        <v>1272</v>
      </c>
      <c r="C3424" s="27" t="s">
        <v>797</v>
      </c>
      <c r="D3424" s="27" t="s">
        <v>762</v>
      </c>
      <c r="E3424" s="21">
        <f>IF(D3424="?OLD","!!!","")</f>
        <v/>
      </c>
      <c r="F3424" s="22" t="str">
        <f>IF(OR(E3424="",E3424="!!!"),"",IF(NOT(ISNA(VLOOKUP(E3424,E$1:E3423,1,FALSE()))),"OLD",IF(AND(E3424&lt;&gt;"",E3424&lt;&gt;"!!!"),"NEW","")))</f>
        <v> </v>
      </c>
      <c r="G3424" s="23" t="str">
        <f>IF(OR(E3424="",E3424="!!!"),"",IF(OR(J3424=0,AND(J3424=1,K3424=1),AND(J3424=1,I3424="SBJ"),AND(J3424=1,I3424=0)),"?IN_FOCUS",IF(J3424&lt;=2,"?ACTIVATED",IF(J3424&lt;&gt;"","?FAMILIAR",IF(F3424="NEW",IF(ISNA(VLOOKUP(E3424,#REF!,1,FALSE())),"?TYPE_IDENTIFIABLE","?REFERENTIAL"),"_")))))</f>
        <v> </v>
      </c>
      <c r="H3424" s="24" t="str">
        <f>IF(J3424&lt;&gt;1,"",IF(I3424="SBJ","CB","?"))</f>
        <v> </v>
      </c>
      <c r="I3424" s="25" t="str">
        <f>IF(OR(E3424="",E3424="!!!",F3424="NEW"),"",INDEX(B3423:B$2,-1+SUMPRODUCT(MAX(ROW(E3423:E$2)*(E3424=E3423:E$2)))))</f>
        <v> </v>
      </c>
      <c r="J3424" s="25" t="str">
        <f>IF(OR(E3424="",E3424="!!!",F3424="NEW"),"",COUNTBLANK(OFFSET(A$1,,,SUMPRODUCT(MAX(ROW(E$2:E3424)*(E3424=E$2:E3424)))))-COUNTBLANK(OFFSET(A$1,,,SUMPRODUCT(MAX(ROW(E$1:E3423)*(E2=E$1:E3423))))))</f>
        <v> </v>
      </c>
      <c r="K3424" s="25" t="str">
        <f>IF(OR(E3424="",E3424="!!!",F3424="NEW"),"",INDEX(J$1:J3423,SUMPRODUCT(MAX(ROW(E$1:E3423)*(E3424=E$1:E3423)))))</f>
        <v> </v>
      </c>
      <c r="L3424" s="26"/>
    </row>
    <row r="3425" spans="1:12">
      <c r="A3425" s="20" t="s">
        <v>915</v>
      </c>
      <c r="E3425" s="21">
        <f>IF(D3425="?OLD","!!!","")</f>
        <v/>
      </c>
      <c r="F3425" s="22" t="str">
        <f>IF(OR(E3425="",E3425="!!!"),"",IF(NOT(ISNA(VLOOKUP(E3425,E$1:E3424,1,FALSE()))),"OLD",IF(AND(E3425&lt;&gt;"",E3425&lt;&gt;"!!!"),"NEW","")))</f>
        <v> </v>
      </c>
      <c r="G3425" s="23" t="str">
        <f>IF(OR(E3425="",E3425="!!!"),"",IF(OR(J3425=0,AND(J3425=1,K3425=1),AND(J3425=1,I3425="SBJ"),AND(J3425=1,I3425=0)),"?IN_FOCUS",IF(J3425&lt;=2,"?ACTIVATED",IF(J3425&lt;&gt;"","?FAMILIAR",IF(F3425="NEW",IF(ISNA(VLOOKUP(E3425,#REF!,1,FALSE())),"?TYPE_IDENTIFIABLE","?REFERENTIAL"),"_")))))</f>
        <v> </v>
      </c>
      <c r="H3425" s="24" t="str">
        <f>IF(J3425&lt;&gt;1,"",IF(I3425="SBJ","CB","?"))</f>
        <v> </v>
      </c>
      <c r="I3425" s="25" t="str">
        <f>IF(OR(E3425="",E3425="!!!",F3425="NEW"),"",INDEX(B3424:B$2,-1+SUMPRODUCT(MAX(ROW(E3424:E$2)*(E3425=E3424:E$2)))))</f>
        <v> </v>
      </c>
      <c r="J3425" s="25" t="str">
        <f>IF(OR(E3425="",E3425="!!!",F3425="NEW"),"",COUNTBLANK(OFFSET(A$1,,,SUMPRODUCT(MAX(ROW(E$2:E3425)*(E3425=E$2:E3425)))))-COUNTBLANK(OFFSET(A$1,,,SUMPRODUCT(MAX(ROW(E$1:E3424)*(E2=E$1:E3424))))))</f>
        <v> </v>
      </c>
      <c r="K3425" s="25" t="str">
        <f>IF(OR(E3425="",E3425="!!!",F3425="NEW"),"",INDEX(J$1:J3424,SUMPRODUCT(MAX(ROW(E$1:E3424)*(E3425=E$1:E3424)))))</f>
        <v> </v>
      </c>
      <c r="L3425" s="26"/>
    </row>
    <row r="3426" spans="1:12">
      <c r="A3426" s="20" t="s">
        <v>751</v>
      </c>
      <c r="E3426" s="21">
        <f>IF(D3426="?OLD","!!!","")</f>
        <v/>
      </c>
      <c r="F3426" s="22" t="str">
        <f>IF(OR(E3426="",E3426="!!!"),"",IF(NOT(ISNA(VLOOKUP(E3426,E$1:E3425,1,FALSE()))),"OLD",IF(AND(E3426&lt;&gt;"",E3426&lt;&gt;"!!!"),"NEW","")))</f>
        <v> </v>
      </c>
      <c r="G3426" s="23" t="str">
        <f>IF(OR(E3426="",E3426="!!!"),"",IF(OR(J3426=0,AND(J3426=1,K3426=1),AND(J3426=1,I3426="SBJ"),AND(J3426=1,I3426=0)),"?IN_FOCUS",IF(J3426&lt;=2,"?ACTIVATED",IF(J3426&lt;&gt;"","?FAMILIAR",IF(F3426="NEW",IF(ISNA(VLOOKUP(E3426,#REF!,1,FALSE())),"?TYPE_IDENTIFIABLE","?REFERENTIAL"),"_")))))</f>
        <v> </v>
      </c>
      <c r="H3426" s="24" t="str">
        <f>IF(J3426&lt;&gt;1,"",IF(I3426="SBJ","CB","?"))</f>
        <v> </v>
      </c>
      <c r="I3426" s="25" t="str">
        <f>IF(OR(E3426="",E3426="!!!",F3426="NEW"),"",INDEX(B3425:B$2,-1+SUMPRODUCT(MAX(ROW(E3425:E$2)*(E3426=E3425:E$2)))))</f>
        <v> </v>
      </c>
      <c r="J3426" s="25" t="str">
        <f>IF(OR(E3426="",E3426="!!!",F3426="NEW"),"",COUNTBLANK(OFFSET(A$1,,,SUMPRODUCT(MAX(ROW(E$2:E3426)*(E3426=E$2:E3426)))))-COUNTBLANK(OFFSET(A$1,,,SUMPRODUCT(MAX(ROW(E$1:E3425)*(E2=E$1:E3425))))))</f>
        <v> </v>
      </c>
      <c r="K3426" s="25" t="str">
        <f>IF(OR(E3426="",E3426="!!!",F3426="NEW"),"",INDEX(J$1:J3425,SUMPRODUCT(MAX(ROW(E$1:E3425)*(E3426=E$1:E3425)))))</f>
        <v> </v>
      </c>
      <c r="L3426" s="26"/>
    </row>
    <row r="3427" spans="1:12">
      <c r="A3427" s="20" t="s">
        <v>1210</v>
      </c>
      <c r="B3427" s="27" t="s">
        <v>815</v>
      </c>
      <c r="C3427" s="27" t="s">
        <v>754</v>
      </c>
      <c r="E3427" s="21">
        <f>IF(D3427="?OLD","!!!","")</f>
        <v/>
      </c>
      <c r="F3427" s="22" t="str">
        <f>IF(OR(E3427="",E3427="!!!"),"",IF(NOT(ISNA(VLOOKUP(E3427,E$1:E3426,1,FALSE()))),"OLD",IF(AND(E3427&lt;&gt;"",E3427&lt;&gt;"!!!"),"NEW","")))</f>
        <v> </v>
      </c>
      <c r="G3427" s="23" t="str">
        <f>IF(OR(E3427="",E3427="!!!"),"",IF(OR(J3427=0,AND(J3427=1,K3427=1),AND(J3427=1,I3427="SBJ"),AND(J3427=1,I3427=0)),"?IN_FOCUS",IF(J3427&lt;=2,"?ACTIVATED",IF(J3427&lt;&gt;"","?FAMILIAR",IF(F3427="NEW",IF(ISNA(VLOOKUP(E3427,#REF!,1,FALSE())),"?TYPE_IDENTIFIABLE","?REFERENTIAL"),"_")))))</f>
        <v> </v>
      </c>
      <c r="H3427" s="24" t="str">
        <f>IF(J3427&lt;&gt;1,"",IF(I3427="SBJ","CB","?"))</f>
        <v> </v>
      </c>
      <c r="I3427" s="25" t="str">
        <f>IF(OR(E3427="",E3427="!!!",F3427="NEW"),"",INDEX(B3426:B$2,-1+SUMPRODUCT(MAX(ROW(E3426:E$2)*(E3427=E3426:E$2)))))</f>
        <v> </v>
      </c>
      <c r="J3427" s="25" t="str">
        <f>IF(OR(E3427="",E3427="!!!",F3427="NEW"),"",COUNTBLANK(OFFSET(A$1,,,SUMPRODUCT(MAX(ROW(E$2:E3427)*(E3427=E$2:E3427)))))-COUNTBLANK(OFFSET(A$1,,,SUMPRODUCT(MAX(ROW(E$1:E3426)*(E2=E$1:E3426))))))</f>
        <v> </v>
      </c>
      <c r="K3427" s="25" t="str">
        <f>IF(OR(E3427="",E3427="!!!",F3427="NEW"),"",INDEX(J$1:J3426,SUMPRODUCT(MAX(ROW(E$1:E3426)*(E3427=E$1:E3426)))))</f>
        <v> </v>
      </c>
      <c r="L3427" s="26"/>
    </row>
    <row r="3428" spans="1:12">
      <c r="A3428" s="20" t="s">
        <v>769</v>
      </c>
      <c r="E3428" s="21">
        <f>IF(D3428="?OLD","!!!","")</f>
        <v/>
      </c>
      <c r="F3428" s="22" t="str">
        <f>IF(OR(E3428="",E3428="!!!"),"",IF(NOT(ISNA(VLOOKUP(E3428,E$1:E3427,1,FALSE()))),"OLD",IF(AND(E3428&lt;&gt;"",E3428&lt;&gt;"!!!"),"NEW","")))</f>
        <v> </v>
      </c>
      <c r="G3428" s="23" t="str">
        <f>IF(OR(E3428="",E3428="!!!"),"",IF(OR(J3428=0,AND(J3428=1,K3428=1),AND(J3428=1,I3428="SBJ"),AND(J3428=1,I3428=0)),"?IN_FOCUS",IF(J3428&lt;=2,"?ACTIVATED",IF(J3428&lt;&gt;"","?FAMILIAR",IF(F3428="NEW",IF(ISNA(VLOOKUP(E3428,#REF!,1,FALSE())),"?TYPE_IDENTIFIABLE","?REFERENTIAL"),"_")))))</f>
        <v> </v>
      </c>
      <c r="H3428" s="24" t="str">
        <f>IF(J3428&lt;&gt;1,"",IF(I3428="SBJ","CB","?"))</f>
        <v> </v>
      </c>
      <c r="I3428" s="25" t="str">
        <f>IF(OR(E3428="",E3428="!!!",F3428="NEW"),"",INDEX(B3427:B$2,-1+SUMPRODUCT(MAX(ROW(E3427:E$2)*(E3428=E3427:E$2)))))</f>
        <v> </v>
      </c>
      <c r="J3428" s="25" t="str">
        <f>IF(OR(E3428="",E3428="!!!",F3428="NEW"),"",COUNTBLANK(OFFSET(A$1,,,SUMPRODUCT(MAX(ROW(E$2:E3428)*(E3428=E$2:E3428)))))-COUNTBLANK(OFFSET(A$1,,,SUMPRODUCT(MAX(ROW(E$1:E3427)*(E2=E$1:E3427))))))</f>
        <v> </v>
      </c>
      <c r="K3428" s="25" t="str">
        <f>IF(OR(E3428="",E3428="!!!",F3428="NEW"),"",INDEX(J$1:J3427,SUMPRODUCT(MAX(ROW(E$1:E3427)*(E3428=E$1:E3427)))))</f>
        <v> </v>
      </c>
      <c r="L3428" s="26"/>
    </row>
    <row r="3429" spans="1:12">
      <c r="A3429" s="20" t="s">
        <v>333</v>
      </c>
      <c r="E3429" s="21">
        <f>IF(D3429="?OLD","!!!","")</f>
        <v/>
      </c>
      <c r="F3429" s="22" t="str">
        <f>IF(OR(E3429="",E3429="!!!"),"",IF(NOT(ISNA(VLOOKUP(E3429,E$1:E3428,1,FALSE()))),"OLD",IF(AND(E3429&lt;&gt;"",E3429&lt;&gt;"!!!"),"NEW","")))</f>
        <v> </v>
      </c>
      <c r="G3429" s="23" t="str">
        <f>IF(OR(E3429="",E3429="!!!"),"",IF(OR(J3429=0,AND(J3429=1,K3429=1),AND(J3429=1,I3429="SBJ"),AND(J3429=1,I3429=0)),"?IN_FOCUS",IF(J3429&lt;=2,"?ACTIVATED",IF(J3429&lt;&gt;"","?FAMILIAR",IF(F3429="NEW",IF(ISNA(VLOOKUP(E3429,#REF!,1,FALSE())),"?TYPE_IDENTIFIABLE","?REFERENTIAL"),"_")))))</f>
        <v> </v>
      </c>
      <c r="H3429" s="24" t="str">
        <f>IF(J3429&lt;&gt;1,"",IF(I3429="SBJ","CB","?"))</f>
        <v> </v>
      </c>
      <c r="I3429" s="25" t="str">
        <f>IF(OR(E3429="",E3429="!!!",F3429="NEW"),"",INDEX(B3428:B$2,-1+SUMPRODUCT(MAX(ROW(E3428:E$2)*(E3429=E3428:E$2)))))</f>
        <v> </v>
      </c>
      <c r="J3429" s="25" t="str">
        <f>IF(OR(E3429="",E3429="!!!",F3429="NEW"),"",COUNTBLANK(OFFSET(A$1,,,SUMPRODUCT(MAX(ROW(E$2:E3429)*(E3429=E$2:E3429)))))-COUNTBLANK(OFFSET(A$1,,,SUMPRODUCT(MAX(ROW(E$1:E3428)*(E2=E$1:E3428))))))</f>
        <v> </v>
      </c>
      <c r="K3429" s="25" t="str">
        <f>IF(OR(E3429="",E3429="!!!",F3429="NEW"),"",INDEX(J$1:J3428,SUMPRODUCT(MAX(ROW(E$1:E3428)*(E3429=E$1:E3428)))))</f>
        <v> </v>
      </c>
      <c r="L3429" s="26"/>
    </row>
    <row r="3430" spans="1:12">
      <c r="A3430" s="20" t="s">
        <v>859</v>
      </c>
      <c r="E3430" s="21">
        <f>IF(D3430="?OLD","!!!","")</f>
        <v/>
      </c>
      <c r="F3430" s="22" t="str">
        <f>IF(OR(E3430="",E3430="!!!"),"",IF(NOT(ISNA(VLOOKUP(E3430,E$1:E3429,1,FALSE()))),"OLD",IF(AND(E3430&lt;&gt;"",E3430&lt;&gt;"!!!"),"NEW","")))</f>
        <v> </v>
      </c>
      <c r="G3430" s="23" t="str">
        <f>IF(OR(E3430="",E3430="!!!"),"",IF(OR(J3430=0,AND(J3430=1,K3430=1),AND(J3430=1,I3430="SBJ"),AND(J3430=1,I3430=0)),"?IN_FOCUS",IF(J3430&lt;=2,"?ACTIVATED",IF(J3430&lt;&gt;"","?FAMILIAR",IF(F3430="NEW",IF(ISNA(VLOOKUP(E3430,#REF!,1,FALSE())),"?TYPE_IDENTIFIABLE","?REFERENTIAL"),"_")))))</f>
        <v> </v>
      </c>
      <c r="H3430" s="24" t="str">
        <f>IF(J3430&lt;&gt;1,"",IF(I3430="SBJ","CB","?"))</f>
        <v> </v>
      </c>
      <c r="I3430" s="25" t="str">
        <f>IF(OR(E3430="",E3430="!!!",F3430="NEW"),"",INDEX(B3429:B$2,-1+SUMPRODUCT(MAX(ROW(E3429:E$2)*(E3430=E3429:E$2)))))</f>
        <v> </v>
      </c>
      <c r="J3430" s="25" t="str">
        <f>IF(OR(E3430="",E3430="!!!",F3430="NEW"),"",COUNTBLANK(OFFSET(A$1,,,SUMPRODUCT(MAX(ROW(E$2:E3430)*(E3430=E$2:E3430)))))-COUNTBLANK(OFFSET(A$1,,,SUMPRODUCT(MAX(ROW(E$1:E3429)*(E2=E$1:E3429))))))</f>
        <v> </v>
      </c>
      <c r="K3430" s="25" t="str">
        <f>IF(OR(E3430="",E3430="!!!",F3430="NEW"),"",INDEX(J$1:J3429,SUMPRODUCT(MAX(ROW(E$1:E3429)*(E3430=E$1:E3429)))))</f>
        <v> </v>
      </c>
      <c r="L3430" s="26"/>
    </row>
    <row r="3431" spans="1:12">
      <c r="A3431" s="20"/>
    </row>
    <row r="3432" spans="1:12">
      <c r="A3432" s="20" t="s">
        <v>1784</v>
      </c>
    </row>
    <row r="3433" spans="1:12">
      <c r="A3433" s="20" t="s">
        <v>1772</v>
      </c>
      <c r="B3433" s="27" t="s">
        <v>796</v>
      </c>
      <c r="C3433" s="27" t="s">
        <v>798</v>
      </c>
      <c r="D3433" s="27" t="s">
        <v>762</v>
      </c>
      <c r="E3433" s="21">
        <f>IF(D3433="?OLD","!!!","")</f>
        <v/>
      </c>
      <c r="F3433" s="22" t="str">
        <f>IF(OR(E3433="",E3433="!!!"),"",IF(NOT(ISNA(VLOOKUP(E3433,E$1:E3432,1,FALSE()))),"OLD",IF(AND(E3433&lt;&gt;"",E3433&lt;&gt;"!!!"),"NEW","")))</f>
        <v> </v>
      </c>
      <c r="G3433" s="23" t="str">
        <f>IF(OR(E3433="",E3433="!!!"),"",IF(OR(J3433=0,AND(J3433=1,K3433=1),AND(J3433=1,I3433="SBJ"),AND(J3433=1,I3433=0)),"?IN_FOCUS",IF(J3433&lt;=2,"?ACTIVATED",IF(J3433&lt;&gt;"","?FAMILIAR",IF(F3433="NEW",IF(ISNA(VLOOKUP(E3433,#REF!,1,FALSE())),"?TYPE_IDENTIFIABLE","?REFERENTIAL"),"_")))))</f>
        <v> </v>
      </c>
      <c r="H3433" s="24" t="str">
        <f>IF(J3433&lt;&gt;1,"",IF(I3433="SBJ","CB","?"))</f>
        <v> </v>
      </c>
      <c r="I3433" s="25" t="str">
        <f>IF(OR(E3433="",E3433="!!!",F3433="NEW"),"",INDEX(B3432:B$2,-1+SUMPRODUCT(MAX(ROW(E3432:E$2)*(E3433=E3432:E$2)))))</f>
        <v> </v>
      </c>
      <c r="J3433" s="25" t="str">
        <f>IF(OR(E3433="",E3433="!!!",F3433="NEW"),"",COUNTBLANK(OFFSET(A$1,,,SUMPRODUCT(MAX(ROW(E$2:E3433)*(E3433=E$2:E3433)))))-COUNTBLANK(OFFSET(A$1,,,SUMPRODUCT(MAX(ROW(E$1:E3432)*(E2=E$1:E3432))))))</f>
        <v> </v>
      </c>
      <c r="K3433" s="25" t="str">
        <f>IF(OR(E3433="",E3433="!!!",F3433="NEW"),"",INDEX(J$1:J3432,SUMPRODUCT(MAX(ROW(E$1:E3432)*(E3433=E$1:E3432)))))</f>
        <v> </v>
      </c>
      <c r="L3433" s="26"/>
    </row>
    <row r="3434" spans="1:12">
      <c r="A3434" s="20" t="s">
        <v>887</v>
      </c>
      <c r="E3434" s="21">
        <f>IF(D3434="?OLD","!!!","")</f>
        <v/>
      </c>
      <c r="F3434" s="22" t="str">
        <f>IF(OR(E3434="",E3434="!!!"),"",IF(NOT(ISNA(VLOOKUP(E3434,E$1:E3433,1,FALSE()))),"OLD",IF(AND(E3434&lt;&gt;"",E3434&lt;&gt;"!!!"),"NEW","")))</f>
        <v> </v>
      </c>
      <c r="G3434" s="23" t="str">
        <f>IF(OR(E3434="",E3434="!!!"),"",IF(OR(J3434=0,AND(J3434=1,K3434=1),AND(J3434=1,I3434="SBJ"),AND(J3434=1,I3434=0)),"?IN_FOCUS",IF(J3434&lt;=2,"?ACTIVATED",IF(J3434&lt;&gt;"","?FAMILIAR",IF(F3434="NEW",IF(ISNA(VLOOKUP(E3434,#REF!,1,FALSE())),"?TYPE_IDENTIFIABLE","?REFERENTIAL"),"_")))))</f>
        <v> </v>
      </c>
      <c r="H3434" s="24" t="str">
        <f>IF(J3434&lt;&gt;1,"",IF(I3434="SBJ","CB","?"))</f>
        <v> </v>
      </c>
      <c r="I3434" s="25" t="str">
        <f>IF(OR(E3434="",E3434="!!!",F3434="NEW"),"",INDEX(B3433:B$2,-1+SUMPRODUCT(MAX(ROW(E3433:E$2)*(E3434=E3433:E$2)))))</f>
        <v> </v>
      </c>
      <c r="J3434" s="25" t="str">
        <f>IF(OR(E3434="",E3434="!!!",F3434="NEW"),"",COUNTBLANK(OFFSET(A$1,,,SUMPRODUCT(MAX(ROW(E$2:E3434)*(E3434=E$2:E3434)))))-COUNTBLANK(OFFSET(A$1,,,SUMPRODUCT(MAX(ROW(E$1:E3433)*(E2=E$1:E3433))))))</f>
        <v> </v>
      </c>
      <c r="K3434" s="25" t="str">
        <f>IF(OR(E3434="",E3434="!!!",F3434="NEW"),"",INDEX(J$1:J3433,SUMPRODUCT(MAX(ROW(E$1:E3433)*(E3434=E$1:E3433)))))</f>
        <v> </v>
      </c>
      <c r="L3434" s="26"/>
    </row>
    <row r="3435" spans="1:12">
      <c r="A3435" s="20" t="s">
        <v>1785</v>
      </c>
      <c r="E3435" s="21">
        <f>IF(D3435="?OLD","!!!","")</f>
        <v/>
      </c>
      <c r="F3435" s="22" t="str">
        <f>IF(OR(E3435="",E3435="!!!"),"",IF(NOT(ISNA(VLOOKUP(E3435,E$1:E3434,1,FALSE()))),"OLD",IF(AND(E3435&lt;&gt;"",E3435&lt;&gt;"!!!"),"NEW","")))</f>
        <v> </v>
      </c>
      <c r="G3435" s="23" t="str">
        <f>IF(OR(E3435="",E3435="!!!"),"",IF(OR(J3435=0,AND(J3435=1,K3435=1),AND(J3435=1,I3435="SBJ"),AND(J3435=1,I3435=0)),"?IN_FOCUS",IF(J3435&lt;=2,"?ACTIVATED",IF(J3435&lt;&gt;"","?FAMILIAR",IF(F3435="NEW",IF(ISNA(VLOOKUP(E3435,#REF!,1,FALSE())),"?TYPE_IDENTIFIABLE","?REFERENTIAL"),"_")))))</f>
        <v> </v>
      </c>
      <c r="H3435" s="24" t="str">
        <f>IF(J3435&lt;&gt;1,"",IF(I3435="SBJ","CB","?"))</f>
        <v> </v>
      </c>
      <c r="I3435" s="25" t="str">
        <f>IF(OR(E3435="",E3435="!!!",F3435="NEW"),"",INDEX(B3434:B$2,-1+SUMPRODUCT(MAX(ROW(E3434:E$2)*(E3435=E3434:E$2)))))</f>
        <v> </v>
      </c>
      <c r="J3435" s="25" t="str">
        <f>IF(OR(E3435="",E3435="!!!",F3435="NEW"),"",COUNTBLANK(OFFSET(A$1,,,SUMPRODUCT(MAX(ROW(E$2:E3435)*(E3435=E$2:E3435)))))-COUNTBLANK(OFFSET(A$1,,,SUMPRODUCT(MAX(ROW(E$1:E3434)*(E2=E$1:E3434))))))</f>
        <v> </v>
      </c>
      <c r="K3435" s="25" t="str">
        <f>IF(OR(E3435="",E3435="!!!",F3435="NEW"),"",INDEX(J$1:J3434,SUMPRODUCT(MAX(ROW(E$1:E3434)*(E3435=E$1:E3434)))))</f>
        <v> </v>
      </c>
      <c r="L3435" s="26"/>
    </row>
    <row r="3436" spans="1:12">
      <c r="A3436" s="20" t="s">
        <v>822</v>
      </c>
      <c r="E3436" s="21">
        <f>IF(D3436="?OLD","!!!","")</f>
        <v/>
      </c>
      <c r="F3436" s="22" t="str">
        <f>IF(OR(E3436="",E3436="!!!"),"",IF(NOT(ISNA(VLOOKUP(E3436,E$1:E3435,1,FALSE()))),"OLD",IF(AND(E3436&lt;&gt;"",E3436&lt;&gt;"!!!"),"NEW","")))</f>
        <v> </v>
      </c>
      <c r="G3436" s="23" t="str">
        <f>IF(OR(E3436="",E3436="!!!"),"",IF(OR(J3436=0,AND(J3436=1,K3436=1),AND(J3436=1,I3436="SBJ"),AND(J3436=1,I3436=0)),"?IN_FOCUS",IF(J3436&lt;=2,"?ACTIVATED",IF(J3436&lt;&gt;"","?FAMILIAR",IF(F3436="NEW",IF(ISNA(VLOOKUP(E3436,#REF!,1,FALSE())),"?TYPE_IDENTIFIABLE","?REFERENTIAL"),"_")))))</f>
        <v> </v>
      </c>
      <c r="H3436" s="24" t="str">
        <f>IF(J3436&lt;&gt;1,"",IF(I3436="SBJ","CB","?"))</f>
        <v> </v>
      </c>
      <c r="I3436" s="25" t="str">
        <f>IF(OR(E3436="",E3436="!!!",F3436="NEW"),"",INDEX(B3435:B$2,-1+SUMPRODUCT(MAX(ROW(E3435:E$2)*(E3436=E3435:E$2)))))</f>
        <v> </v>
      </c>
      <c r="J3436" s="25" t="str">
        <f>IF(OR(E3436="",E3436="!!!",F3436="NEW"),"",COUNTBLANK(OFFSET(A$1,,,SUMPRODUCT(MAX(ROW(E$2:E3436)*(E3436=E$2:E3436)))))-COUNTBLANK(OFFSET(A$1,,,SUMPRODUCT(MAX(ROW(E$1:E3435)*(E2=E$1:E3435))))))</f>
        <v> </v>
      </c>
      <c r="K3436" s="25" t="str">
        <f>IF(OR(E3436="",E3436="!!!",F3436="NEW"),"",INDEX(J$1:J3435,SUMPRODUCT(MAX(ROW(E$1:E3435)*(E3436=E$1:E3435)))))</f>
        <v> </v>
      </c>
      <c r="L3436" s="26"/>
    </row>
    <row r="3437" spans="1:12">
      <c r="A3437" s="20" t="s">
        <v>1786</v>
      </c>
      <c r="B3437" s="27" t="s">
        <v>802</v>
      </c>
      <c r="C3437" s="27" t="s">
        <v>761</v>
      </c>
      <c r="D3437" s="27" t="s">
        <v>762</v>
      </c>
      <c r="E3437" s="21">
        <f>IF(D3437="?OLD","!!!","")</f>
        <v/>
      </c>
      <c r="F3437" s="22" t="str">
        <f>IF(OR(E3437="",E3437="!!!"),"",IF(NOT(ISNA(VLOOKUP(E3437,E$1:E3436,1,FALSE()))),"OLD",IF(AND(E3437&lt;&gt;"",E3437&lt;&gt;"!!!"),"NEW","")))</f>
        <v> </v>
      </c>
      <c r="G3437" s="23" t="str">
        <f>IF(OR(E3437="",E3437="!!!"),"",IF(OR(J3437=0,AND(J3437=1,K3437=1),AND(J3437=1,I3437="SBJ"),AND(J3437=1,I3437=0)),"?IN_FOCUS",IF(J3437&lt;=2,"?ACTIVATED",IF(J3437&lt;&gt;"","?FAMILIAR",IF(F3437="NEW",IF(ISNA(VLOOKUP(E3437,#REF!,1,FALSE())),"?TYPE_IDENTIFIABLE","?REFERENTIAL"),"_")))))</f>
        <v> </v>
      </c>
      <c r="H3437" s="24" t="str">
        <f>IF(J3437&lt;&gt;1,"",IF(I3437="SBJ","CB","?"))</f>
        <v> </v>
      </c>
      <c r="I3437" s="25" t="str">
        <f>IF(OR(E3437="",E3437="!!!",F3437="NEW"),"",INDEX(B3436:B$2,-1+SUMPRODUCT(MAX(ROW(E3436:E$2)*(E3437=E3436:E$2)))))</f>
        <v> </v>
      </c>
      <c r="J3437" s="25" t="str">
        <f>IF(OR(E3437="",E3437="!!!",F3437="NEW"),"",COUNTBLANK(OFFSET(A$1,,,SUMPRODUCT(MAX(ROW(E$2:E3437)*(E3437=E$2:E3437)))))-COUNTBLANK(OFFSET(A$1,,,SUMPRODUCT(MAX(ROW(E$1:E3436)*(E2=E$1:E3436))))))</f>
        <v> </v>
      </c>
      <c r="K3437" s="25" t="str">
        <f>IF(OR(E3437="",E3437="!!!",F3437="NEW"),"",INDEX(J$1:J3436,SUMPRODUCT(MAX(ROW(E$1:E3436)*(E3437=E$1:E3436)))))</f>
        <v> </v>
      </c>
      <c r="L3437" s="26"/>
    </row>
    <row r="3438" spans="1:12">
      <c r="A3438" s="20" t="s">
        <v>757</v>
      </c>
      <c r="E3438" s="21">
        <f>IF(D3438="?OLD","!!!","")</f>
        <v/>
      </c>
      <c r="F3438" s="22" t="str">
        <f>IF(OR(E3438="",E3438="!!!"),"",IF(NOT(ISNA(VLOOKUP(E3438,E$1:E3437,1,FALSE()))),"OLD",IF(AND(E3438&lt;&gt;"",E3438&lt;&gt;"!!!"),"NEW","")))</f>
        <v> </v>
      </c>
      <c r="G3438" s="23" t="str">
        <f>IF(OR(E3438="",E3438="!!!"),"",IF(OR(J3438=0,AND(J3438=1,K3438=1),AND(J3438=1,I3438="SBJ"),AND(J3438=1,I3438=0)),"?IN_FOCUS",IF(J3438&lt;=2,"?ACTIVATED",IF(J3438&lt;&gt;"","?FAMILIAR",IF(F3438="NEW",IF(ISNA(VLOOKUP(E3438,#REF!,1,FALSE())),"?TYPE_IDENTIFIABLE","?REFERENTIAL"),"_")))))</f>
        <v> </v>
      </c>
      <c r="H3438" s="24" t="str">
        <f>IF(J3438&lt;&gt;1,"",IF(I3438="SBJ","CB","?"))</f>
        <v> </v>
      </c>
      <c r="I3438" s="25" t="str">
        <f>IF(OR(E3438="",E3438="!!!",F3438="NEW"),"",INDEX(B3437:B$2,-1+SUMPRODUCT(MAX(ROW(E3437:E$2)*(E3438=E3437:E$2)))))</f>
        <v> </v>
      </c>
      <c r="J3438" s="25" t="str">
        <f>IF(OR(E3438="",E3438="!!!",F3438="NEW"),"",COUNTBLANK(OFFSET(A$1,,,SUMPRODUCT(MAX(ROW(E$2:E3438)*(E3438=E$2:E3438)))))-COUNTBLANK(OFFSET(A$1,,,SUMPRODUCT(MAX(ROW(E$1:E3437)*(E2=E$1:E3437))))))</f>
        <v> </v>
      </c>
      <c r="K3438" s="25" t="str">
        <f>IF(OR(E3438="",E3438="!!!",F3438="NEW"),"",INDEX(J$1:J3437,SUMPRODUCT(MAX(ROW(E$1:E3437)*(E3438=E$1:E3437)))))</f>
        <v> </v>
      </c>
      <c r="L3438" s="26"/>
    </row>
    <row r="3439" spans="1:12">
      <c r="A3439" s="20" t="s">
        <v>887</v>
      </c>
      <c r="E3439" s="21">
        <f>IF(D3439="?OLD","!!!","")</f>
        <v/>
      </c>
      <c r="F3439" s="22" t="str">
        <f>IF(OR(E3439="",E3439="!!!"),"",IF(NOT(ISNA(VLOOKUP(E3439,E$1:E3438,1,FALSE()))),"OLD",IF(AND(E3439&lt;&gt;"",E3439&lt;&gt;"!!!"),"NEW","")))</f>
        <v> </v>
      </c>
      <c r="G3439" s="23" t="str">
        <f>IF(OR(E3439="",E3439="!!!"),"",IF(OR(J3439=0,AND(J3439=1,K3439=1),AND(J3439=1,I3439="SBJ"),AND(J3439=1,I3439=0)),"?IN_FOCUS",IF(J3439&lt;=2,"?ACTIVATED",IF(J3439&lt;&gt;"","?FAMILIAR",IF(F3439="NEW",IF(ISNA(VLOOKUP(E3439,#REF!,1,FALSE())),"?TYPE_IDENTIFIABLE","?REFERENTIAL"),"_")))))</f>
        <v> </v>
      </c>
      <c r="H3439" s="24" t="str">
        <f>IF(J3439&lt;&gt;1,"",IF(I3439="SBJ","CB","?"))</f>
        <v> </v>
      </c>
      <c r="I3439" s="25" t="str">
        <f>IF(OR(E3439="",E3439="!!!",F3439="NEW"),"",INDEX(B3438:B$2,-1+SUMPRODUCT(MAX(ROW(E3438:E$2)*(E3439=E3438:E$2)))))</f>
        <v> </v>
      </c>
      <c r="J3439" s="25" t="str">
        <f>IF(OR(E3439="",E3439="!!!",F3439="NEW"),"",COUNTBLANK(OFFSET(A$1,,,SUMPRODUCT(MAX(ROW(E$2:E3439)*(E3439=E$2:E3439)))))-COUNTBLANK(OFFSET(A$1,,,SUMPRODUCT(MAX(ROW(E$1:E3438)*(E2=E$1:E3438))))))</f>
        <v> </v>
      </c>
      <c r="K3439" s="25" t="str">
        <f>IF(OR(E3439="",E3439="!!!",F3439="NEW"),"",INDEX(J$1:J3438,SUMPRODUCT(MAX(ROW(E$1:E3438)*(E3439=E$1:E3438)))))</f>
        <v> </v>
      </c>
      <c r="L3439" s="26"/>
    </row>
    <row r="3440" spans="1:12">
      <c r="A3440" s="20" t="s">
        <v>1787</v>
      </c>
      <c r="E3440" s="21">
        <f>IF(D3440="?OLD","!!!","")</f>
        <v/>
      </c>
      <c r="F3440" s="22" t="str">
        <f>IF(OR(E3440="",E3440="!!!"),"",IF(NOT(ISNA(VLOOKUP(E3440,E$1:E3439,1,FALSE()))),"OLD",IF(AND(E3440&lt;&gt;"",E3440&lt;&gt;"!!!"),"NEW","")))</f>
        <v> </v>
      </c>
      <c r="G3440" s="23" t="str">
        <f>IF(OR(E3440="",E3440="!!!"),"",IF(OR(J3440=0,AND(J3440=1,K3440=1),AND(J3440=1,I3440="SBJ"),AND(J3440=1,I3440=0)),"?IN_FOCUS",IF(J3440&lt;=2,"?ACTIVATED",IF(J3440&lt;&gt;"","?FAMILIAR",IF(F3440="NEW",IF(ISNA(VLOOKUP(E3440,#REF!,1,FALSE())),"?TYPE_IDENTIFIABLE","?REFERENTIAL"),"_")))))</f>
        <v> </v>
      </c>
      <c r="H3440" s="24" t="str">
        <f>IF(J3440&lt;&gt;1,"",IF(I3440="SBJ","CB","?"))</f>
        <v> </v>
      </c>
      <c r="I3440" s="25" t="str">
        <f>IF(OR(E3440="",E3440="!!!",F3440="NEW"),"",INDEX(B3439:B$2,-1+SUMPRODUCT(MAX(ROW(E3439:E$2)*(E3440=E3439:E$2)))))</f>
        <v> </v>
      </c>
      <c r="J3440" s="25" t="str">
        <f>IF(OR(E3440="",E3440="!!!",F3440="NEW"),"",COUNTBLANK(OFFSET(A$1,,,SUMPRODUCT(MAX(ROW(E$2:E3440)*(E3440=E$2:E3440)))))-COUNTBLANK(OFFSET(A$1,,,SUMPRODUCT(MAX(ROW(E$1:E3439)*(E2=E$1:E3439))))))</f>
        <v> </v>
      </c>
      <c r="K3440" s="25" t="str">
        <f>IF(OR(E3440="",E3440="!!!",F3440="NEW"),"",INDEX(J$1:J3439,SUMPRODUCT(MAX(ROW(E$1:E3439)*(E3440=E$1:E3439)))))</f>
        <v> </v>
      </c>
      <c r="L3440" s="26"/>
    </row>
    <row r="3441" spans="1:12">
      <c r="A3441" s="20" t="s">
        <v>764</v>
      </c>
      <c r="E3441" s="21">
        <f>IF(D3441="?OLD","!!!","")</f>
        <v/>
      </c>
      <c r="F3441" s="22" t="str">
        <f>IF(OR(E3441="",E3441="!!!"),"",IF(NOT(ISNA(VLOOKUP(E3441,E$1:E3440,1,FALSE()))),"OLD",IF(AND(E3441&lt;&gt;"",E3441&lt;&gt;"!!!"),"NEW","")))</f>
        <v> </v>
      </c>
      <c r="G3441" s="23" t="str">
        <f>IF(OR(E3441="",E3441="!!!"),"",IF(OR(J3441=0,AND(J3441=1,K3441=1),AND(J3441=1,I3441="SBJ"),AND(J3441=1,I3441=0)),"?IN_FOCUS",IF(J3441&lt;=2,"?ACTIVATED",IF(J3441&lt;&gt;"","?FAMILIAR",IF(F3441="NEW",IF(ISNA(VLOOKUP(E3441,#REF!,1,FALSE())),"?TYPE_IDENTIFIABLE","?REFERENTIAL"),"_")))))</f>
        <v> </v>
      </c>
      <c r="H3441" s="24" t="str">
        <f>IF(J3441&lt;&gt;1,"",IF(I3441="SBJ","CB","?"))</f>
        <v> </v>
      </c>
      <c r="I3441" s="25" t="str">
        <f>IF(OR(E3441="",E3441="!!!",F3441="NEW"),"",INDEX(B3440:B$2,-1+SUMPRODUCT(MAX(ROW(E3440:E$2)*(E3441=E3440:E$2)))))</f>
        <v> </v>
      </c>
      <c r="J3441" s="25" t="str">
        <f>IF(OR(E3441="",E3441="!!!",F3441="NEW"),"",COUNTBLANK(OFFSET(A$1,,,SUMPRODUCT(MAX(ROW(E$2:E3441)*(E3441=E$2:E3441)))))-COUNTBLANK(OFFSET(A$1,,,SUMPRODUCT(MAX(ROW(E$1:E3440)*(E2=E$1:E3440))))))</f>
        <v> </v>
      </c>
      <c r="K3441" s="25" t="str">
        <f>IF(OR(E3441="",E3441="!!!",F3441="NEW"),"",INDEX(J$1:J3440,SUMPRODUCT(MAX(ROW(E$1:E3440)*(E3441=E$1:E3440)))))</f>
        <v> </v>
      </c>
      <c r="L3441" s="26"/>
    </row>
    <row r="3442" spans="1:12">
      <c r="A3442" s="20" t="s">
        <v>1788</v>
      </c>
      <c r="B3442" s="27" t="s">
        <v>760</v>
      </c>
      <c r="C3442" s="27" t="s">
        <v>768</v>
      </c>
      <c r="E3442" s="21">
        <f>IF(D3442="?OLD","!!!","")</f>
        <v/>
      </c>
      <c r="F3442" s="22" t="str">
        <f>IF(OR(E3442="",E3442="!!!"),"",IF(NOT(ISNA(VLOOKUP(E3442,E$1:E3441,1,FALSE()))),"OLD",IF(AND(E3442&lt;&gt;"",E3442&lt;&gt;"!!!"),"NEW","")))</f>
        <v> </v>
      </c>
      <c r="G3442" s="23" t="str">
        <f>IF(OR(E3442="",E3442="!!!"),"",IF(OR(J3442=0,AND(J3442=1,K3442=1),AND(J3442=1,I3442="SBJ"),AND(J3442=1,I3442=0)),"?IN_FOCUS",IF(J3442&lt;=2,"?ACTIVATED",IF(J3442&lt;&gt;"","?FAMILIAR",IF(F3442="NEW",IF(ISNA(VLOOKUP(E3442,#REF!,1,FALSE())),"?TYPE_IDENTIFIABLE","?REFERENTIAL"),"_")))))</f>
        <v> </v>
      </c>
      <c r="H3442" s="24" t="str">
        <f>IF(J3442&lt;&gt;1,"",IF(I3442="SBJ","CB","?"))</f>
        <v> </v>
      </c>
      <c r="I3442" s="25" t="str">
        <f>IF(OR(E3442="",E3442="!!!",F3442="NEW"),"",INDEX(B3441:B$2,-1+SUMPRODUCT(MAX(ROW(E3441:E$2)*(E3442=E3441:E$2)))))</f>
        <v> </v>
      </c>
      <c r="J3442" s="25" t="str">
        <f>IF(OR(E3442="",E3442="!!!",F3442="NEW"),"",COUNTBLANK(OFFSET(A$1,,,SUMPRODUCT(MAX(ROW(E$2:E3442)*(E3442=E$2:E3442)))))-COUNTBLANK(OFFSET(A$1,,,SUMPRODUCT(MAX(ROW(E$1:E3441)*(E2=E$1:E3441))))))</f>
        <v> </v>
      </c>
      <c r="K3442" s="25" t="str">
        <f>IF(OR(E3442="",E3442="!!!",F3442="NEW"),"",INDEX(J$1:J3441,SUMPRODUCT(MAX(ROW(E$1:E3441)*(E3442=E$1:E3441)))))</f>
        <v> </v>
      </c>
      <c r="L3442" s="26"/>
    </row>
    <row r="3443" spans="1:12">
      <c r="A3443" s="20" t="s">
        <v>774</v>
      </c>
      <c r="E3443" s="21">
        <f>IF(D3443="?OLD","!!!","")</f>
        <v/>
      </c>
      <c r="F3443" s="22" t="str">
        <f>IF(OR(E3443="",E3443="!!!"),"",IF(NOT(ISNA(VLOOKUP(E3443,E$1:E3442,1,FALSE()))),"OLD",IF(AND(E3443&lt;&gt;"",E3443&lt;&gt;"!!!"),"NEW","")))</f>
        <v> </v>
      </c>
      <c r="G3443" s="23" t="str">
        <f>IF(OR(E3443="",E3443="!!!"),"",IF(OR(J3443=0,AND(J3443=1,K3443=1),AND(J3443=1,I3443="SBJ"),AND(J3443=1,I3443=0)),"?IN_FOCUS",IF(J3443&lt;=2,"?ACTIVATED",IF(J3443&lt;&gt;"","?FAMILIAR",IF(F3443="NEW",IF(ISNA(VLOOKUP(E3443,#REF!,1,FALSE())),"?TYPE_IDENTIFIABLE","?REFERENTIAL"),"_")))))</f>
        <v> </v>
      </c>
      <c r="H3443" s="24" t="str">
        <f>IF(J3443&lt;&gt;1,"",IF(I3443="SBJ","CB","?"))</f>
        <v> </v>
      </c>
      <c r="I3443" s="25" t="str">
        <f>IF(OR(E3443="",E3443="!!!",F3443="NEW"),"",INDEX(B3442:B$2,-1+SUMPRODUCT(MAX(ROW(E3442:E$2)*(E3443=E3442:E$2)))))</f>
        <v> </v>
      </c>
      <c r="J3443" s="25" t="str">
        <f>IF(OR(E3443="",E3443="!!!",F3443="NEW"),"",COUNTBLANK(OFFSET(A$1,,,SUMPRODUCT(MAX(ROW(E$2:E3443)*(E3443=E$2:E3443)))))-COUNTBLANK(OFFSET(A$1,,,SUMPRODUCT(MAX(ROW(E$1:E3442)*(E2=E$1:E3442))))))</f>
        <v> </v>
      </c>
      <c r="K3443" s="25" t="str">
        <f>IF(OR(E3443="",E3443="!!!",F3443="NEW"),"",INDEX(J$1:J3442,SUMPRODUCT(MAX(ROW(E$1:E3442)*(E3443=E$1:E3442)))))</f>
        <v> </v>
      </c>
      <c r="L3443" s="26"/>
    </row>
    <row r="3444" spans="1:12">
      <c r="A3444" s="20"/>
    </row>
    <row r="3445" spans="1:12">
      <c r="A3445" s="20" t="s">
        <v>1789</v>
      </c>
    </row>
    <row r="3446" spans="1:12">
      <c r="A3446" s="20" t="s">
        <v>1088</v>
      </c>
      <c r="B3446" s="27" t="s">
        <v>760</v>
      </c>
      <c r="C3446" s="27" t="s">
        <v>797</v>
      </c>
      <c r="D3446" s="27" t="s">
        <v>762</v>
      </c>
      <c r="E3446" s="21">
        <f>IF(D3446="?OLD","!!!","")</f>
        <v/>
      </c>
      <c r="F3446" s="22" t="str">
        <f>IF(OR(E3446="",E3446="!!!"),"",IF(NOT(ISNA(VLOOKUP(E3446,E$1:E3445,1,FALSE()))),"OLD",IF(AND(E3446&lt;&gt;"",E3446&lt;&gt;"!!!"),"NEW","")))</f>
        <v> </v>
      </c>
      <c r="G3446" s="23" t="str">
        <f>IF(OR(E3446="",E3446="!!!"),"",IF(OR(J3446=0,AND(J3446=1,K3446=1),AND(J3446=1,I3446="SBJ"),AND(J3446=1,I3446=0)),"?IN_FOCUS",IF(J3446&lt;=2,"?ACTIVATED",IF(J3446&lt;&gt;"","?FAMILIAR",IF(F3446="NEW",IF(ISNA(VLOOKUP(E3446,#REF!,1,FALSE())),"?TYPE_IDENTIFIABLE","?REFERENTIAL"),"_")))))</f>
        <v> </v>
      </c>
      <c r="H3446" s="24" t="str">
        <f>IF(J3446&lt;&gt;1,"",IF(I3446="SBJ","CB","?"))</f>
        <v> </v>
      </c>
      <c r="I3446" s="25" t="str">
        <f>IF(OR(E3446="",E3446="!!!",F3446="NEW"),"",INDEX(B3445:B$2,-1+SUMPRODUCT(MAX(ROW(E3445:E$2)*(E3446=E3445:E$2)))))</f>
        <v> </v>
      </c>
      <c r="J3446" s="25" t="str">
        <f>IF(OR(E3446="",E3446="!!!",F3446="NEW"),"",COUNTBLANK(OFFSET(A$1,,,SUMPRODUCT(MAX(ROW(E$2:E3446)*(E3446=E$2:E3446)))))-COUNTBLANK(OFFSET(A$1,,,SUMPRODUCT(MAX(ROW(E$1:E3445)*(E2=E$1:E3445))))))</f>
        <v> </v>
      </c>
      <c r="K3446" s="25" t="str">
        <f>IF(OR(E3446="",E3446="!!!",F3446="NEW"),"",INDEX(J$1:J3445,SUMPRODUCT(MAX(ROW(E$1:E3445)*(E3446=E$1:E3445)))))</f>
        <v> </v>
      </c>
      <c r="L3446" s="26"/>
    </row>
    <row r="3447" spans="1:12">
      <c r="A3447" s="20" t="s">
        <v>886</v>
      </c>
      <c r="B3447" s="27" t="s">
        <v>767</v>
      </c>
      <c r="C3447" s="27" t="s">
        <v>797</v>
      </c>
      <c r="D3447" s="27" t="s">
        <v>762</v>
      </c>
      <c r="E3447" s="21">
        <f>IF(D3447="?OLD","!!!","")</f>
        <v/>
      </c>
      <c r="F3447" s="22" t="str">
        <f>IF(OR(E3447="",E3447="!!!"),"",IF(NOT(ISNA(VLOOKUP(E3447,E$1:E3446,1,FALSE()))),"OLD",IF(AND(E3447&lt;&gt;"",E3447&lt;&gt;"!!!"),"NEW","")))</f>
        <v> </v>
      </c>
      <c r="G3447" s="23" t="str">
        <f>IF(OR(E3447="",E3447="!!!"),"",IF(OR(J3447=0,AND(J3447=1,K3447=1),AND(J3447=1,I3447="SBJ"),AND(J3447=1,I3447=0)),"?IN_FOCUS",IF(J3447&lt;=2,"?ACTIVATED",IF(J3447&lt;&gt;"","?FAMILIAR",IF(F3447="NEW",IF(ISNA(VLOOKUP(E3447,#REF!,1,FALSE())),"?TYPE_IDENTIFIABLE","?REFERENTIAL"),"_")))))</f>
        <v> </v>
      </c>
      <c r="H3447" s="24" t="str">
        <f>IF(J3447&lt;&gt;1,"",IF(I3447="SBJ","CB","?"))</f>
        <v> </v>
      </c>
      <c r="I3447" s="25" t="str">
        <f>IF(OR(E3447="",E3447="!!!",F3447="NEW"),"",INDEX(B3446:B$2,-1+SUMPRODUCT(MAX(ROW(E3446:E$2)*(E3447=E3446:E$2)))))</f>
        <v> </v>
      </c>
      <c r="J3447" s="25" t="str">
        <f>IF(OR(E3447="",E3447="!!!",F3447="NEW"),"",COUNTBLANK(OFFSET(A$1,,,SUMPRODUCT(MAX(ROW(E$2:E3447)*(E3447=E$2:E3447)))))-COUNTBLANK(OFFSET(A$1,,,SUMPRODUCT(MAX(ROW(E$1:E3446)*(E2=E$1:E3446))))))</f>
        <v> </v>
      </c>
      <c r="K3447" s="25" t="str">
        <f>IF(OR(E3447="",E3447="!!!",F3447="NEW"),"",INDEX(J$1:J3446,SUMPRODUCT(MAX(ROW(E$1:E3446)*(E3447=E$1:E3446)))))</f>
        <v> </v>
      </c>
      <c r="L3447" s="26"/>
    </row>
    <row r="3448" spans="1:12">
      <c r="A3448" s="20" t="s">
        <v>887</v>
      </c>
      <c r="E3448" s="21">
        <f>IF(D3448="?OLD","!!!","")</f>
        <v/>
      </c>
      <c r="F3448" s="22" t="str">
        <f>IF(OR(E3448="",E3448="!!!"),"",IF(NOT(ISNA(VLOOKUP(E3448,E$1:E3447,1,FALSE()))),"OLD",IF(AND(E3448&lt;&gt;"",E3448&lt;&gt;"!!!"),"NEW","")))</f>
        <v> </v>
      </c>
      <c r="G3448" s="23" t="str">
        <f>IF(OR(E3448="",E3448="!!!"),"",IF(OR(J3448=0,AND(J3448=1,K3448=1),AND(J3448=1,I3448="SBJ"),AND(J3448=1,I3448=0)),"?IN_FOCUS",IF(J3448&lt;=2,"?ACTIVATED",IF(J3448&lt;&gt;"","?FAMILIAR",IF(F3448="NEW",IF(ISNA(VLOOKUP(E3448,#REF!,1,FALSE())),"?TYPE_IDENTIFIABLE","?REFERENTIAL"),"_")))))</f>
        <v> </v>
      </c>
      <c r="H3448" s="24" t="str">
        <f>IF(J3448&lt;&gt;1,"",IF(I3448="SBJ","CB","?"))</f>
        <v> </v>
      </c>
      <c r="I3448" s="25" t="str">
        <f>IF(OR(E3448="",E3448="!!!",F3448="NEW"),"",INDEX(B3447:B$2,-1+SUMPRODUCT(MAX(ROW(E3447:E$2)*(E3448=E3447:E$2)))))</f>
        <v> </v>
      </c>
      <c r="J3448" s="25" t="str">
        <f>IF(OR(E3448="",E3448="!!!",F3448="NEW"),"",COUNTBLANK(OFFSET(A$1,,,SUMPRODUCT(MAX(ROW(E$2:E3448)*(E3448=E$2:E3448)))))-COUNTBLANK(OFFSET(A$1,,,SUMPRODUCT(MAX(ROW(E$1:E3447)*(E2=E$1:E3447))))))</f>
        <v> </v>
      </c>
      <c r="K3448" s="25" t="str">
        <f>IF(OR(E3448="",E3448="!!!",F3448="NEW"),"",INDEX(J$1:J3447,SUMPRODUCT(MAX(ROW(E$1:E3447)*(E3448=E$1:E3447)))))</f>
        <v> </v>
      </c>
      <c r="L3448" s="26"/>
    </row>
    <row r="3449" spans="1:12">
      <c r="A3449" s="20" t="s">
        <v>1785</v>
      </c>
      <c r="E3449" s="21">
        <f>IF(D3449="?OLD","!!!","")</f>
        <v/>
      </c>
      <c r="F3449" s="22" t="str">
        <f>IF(OR(E3449="",E3449="!!!"),"",IF(NOT(ISNA(VLOOKUP(E3449,E$1:E3448,1,FALSE()))),"OLD",IF(AND(E3449&lt;&gt;"",E3449&lt;&gt;"!!!"),"NEW","")))</f>
        <v> </v>
      </c>
      <c r="G3449" s="23" t="str">
        <f>IF(OR(E3449="",E3449="!!!"),"",IF(OR(J3449=0,AND(J3449=1,K3449=1),AND(J3449=1,I3449="SBJ"),AND(J3449=1,I3449=0)),"?IN_FOCUS",IF(J3449&lt;=2,"?ACTIVATED",IF(J3449&lt;&gt;"","?FAMILIAR",IF(F3449="NEW",IF(ISNA(VLOOKUP(E3449,#REF!,1,FALSE())),"?TYPE_IDENTIFIABLE","?REFERENTIAL"),"_")))))</f>
        <v> </v>
      </c>
      <c r="H3449" s="24" t="str">
        <f>IF(J3449&lt;&gt;1,"",IF(I3449="SBJ","CB","?"))</f>
        <v> </v>
      </c>
      <c r="I3449" s="25" t="str">
        <f>IF(OR(E3449="",E3449="!!!",F3449="NEW"),"",INDEX(B3448:B$2,-1+SUMPRODUCT(MAX(ROW(E3448:E$2)*(E3449=E3448:E$2)))))</f>
        <v> </v>
      </c>
      <c r="J3449" s="25" t="str">
        <f>IF(OR(E3449="",E3449="!!!",F3449="NEW"),"",COUNTBLANK(OFFSET(A$1,,,SUMPRODUCT(MAX(ROW(E$2:E3449)*(E3449=E$2:E3449)))))-COUNTBLANK(OFFSET(A$1,,,SUMPRODUCT(MAX(ROW(E$1:E3448)*(E2=E$1:E3448))))))</f>
        <v> </v>
      </c>
      <c r="K3449" s="25" t="str">
        <f>IF(OR(E3449="",E3449="!!!",F3449="NEW"),"",INDEX(J$1:J3448,SUMPRODUCT(MAX(ROW(E$1:E3448)*(E3449=E$1:E3448)))))</f>
        <v> </v>
      </c>
      <c r="L3449" s="26"/>
    </row>
    <row r="3450" spans="1:12">
      <c r="A3450" s="20" t="s">
        <v>769</v>
      </c>
      <c r="E3450" s="21">
        <f>IF(D3450="?OLD","!!!","")</f>
        <v/>
      </c>
      <c r="F3450" s="22" t="str">
        <f>IF(OR(E3450="",E3450="!!!"),"",IF(NOT(ISNA(VLOOKUP(E3450,E$1:E3449,1,FALSE()))),"OLD",IF(AND(E3450&lt;&gt;"",E3450&lt;&gt;"!!!"),"NEW","")))</f>
        <v> </v>
      </c>
      <c r="G3450" s="23" t="str">
        <f>IF(OR(E3450="",E3450="!!!"),"",IF(OR(J3450=0,AND(J3450=1,K3450=1),AND(J3450=1,I3450="SBJ"),AND(J3450=1,I3450=0)),"?IN_FOCUS",IF(J3450&lt;=2,"?ACTIVATED",IF(J3450&lt;&gt;"","?FAMILIAR",IF(F3450="NEW",IF(ISNA(VLOOKUP(E3450,#REF!,1,FALSE())),"?TYPE_IDENTIFIABLE","?REFERENTIAL"),"_")))))</f>
        <v> </v>
      </c>
      <c r="H3450" s="24" t="str">
        <f>IF(J3450&lt;&gt;1,"",IF(I3450="SBJ","CB","?"))</f>
        <v> </v>
      </c>
      <c r="I3450" s="25" t="str">
        <f>IF(OR(E3450="",E3450="!!!",F3450="NEW"),"",INDEX(B3449:B$2,-1+SUMPRODUCT(MAX(ROW(E3449:E$2)*(E3450=E3449:E$2)))))</f>
        <v> </v>
      </c>
      <c r="J3450" s="25" t="str">
        <f>IF(OR(E3450="",E3450="!!!",F3450="NEW"),"",COUNTBLANK(OFFSET(A$1,,,SUMPRODUCT(MAX(ROW(E$2:E3450)*(E3450=E$2:E3450)))))-COUNTBLANK(OFFSET(A$1,,,SUMPRODUCT(MAX(ROW(E$1:E3449)*(E2=E$1:E3449))))))</f>
        <v> </v>
      </c>
      <c r="K3450" s="25" t="str">
        <f>IF(OR(E3450="",E3450="!!!",F3450="NEW"),"",INDEX(J$1:J3449,SUMPRODUCT(MAX(ROW(E$1:E3449)*(E3450=E$1:E3449)))))</f>
        <v> </v>
      </c>
      <c r="L3450" s="26"/>
    </row>
    <row r="3451" spans="1:12">
      <c r="A3451" s="20" t="s">
        <v>1790</v>
      </c>
      <c r="E3451" s="21">
        <f>IF(D3451="?OLD","!!!","")</f>
        <v/>
      </c>
      <c r="F3451" s="22" t="str">
        <f>IF(OR(E3451="",E3451="!!!"),"",IF(NOT(ISNA(VLOOKUP(E3451,E$1:E3450,1,FALSE()))),"OLD",IF(AND(E3451&lt;&gt;"",E3451&lt;&gt;"!!!"),"NEW","")))</f>
        <v> </v>
      </c>
      <c r="G3451" s="23" t="str">
        <f>IF(OR(E3451="",E3451="!!!"),"",IF(OR(J3451=0,AND(J3451=1,K3451=1),AND(J3451=1,I3451="SBJ"),AND(J3451=1,I3451=0)),"?IN_FOCUS",IF(J3451&lt;=2,"?ACTIVATED",IF(J3451&lt;&gt;"","?FAMILIAR",IF(F3451="NEW",IF(ISNA(VLOOKUP(E3451,#REF!,1,FALSE())),"?TYPE_IDENTIFIABLE","?REFERENTIAL"),"_")))))</f>
        <v> </v>
      </c>
      <c r="H3451" s="24" t="str">
        <f>IF(J3451&lt;&gt;1,"",IF(I3451="SBJ","CB","?"))</f>
        <v> </v>
      </c>
      <c r="I3451" s="25" t="str">
        <f>IF(OR(E3451="",E3451="!!!",F3451="NEW"),"",INDEX(B3450:B$2,-1+SUMPRODUCT(MAX(ROW(E3450:E$2)*(E3451=E3450:E$2)))))</f>
        <v> </v>
      </c>
      <c r="J3451" s="25" t="str">
        <f>IF(OR(E3451="",E3451="!!!",F3451="NEW"),"",COUNTBLANK(OFFSET(A$1,,,SUMPRODUCT(MAX(ROW(E$2:E3451)*(E3451=E$2:E3451)))))-COUNTBLANK(OFFSET(A$1,,,SUMPRODUCT(MAX(ROW(E$1:E3450)*(E2=E$1:E3450))))))</f>
        <v> </v>
      </c>
      <c r="K3451" s="25" t="str">
        <f>IF(OR(E3451="",E3451="!!!",F3451="NEW"),"",INDEX(J$1:J3450,SUMPRODUCT(MAX(ROW(E$1:E3450)*(E3451=E$1:E3450)))))</f>
        <v> </v>
      </c>
      <c r="L3451" s="26"/>
    </row>
    <row r="3452" spans="1:12">
      <c r="A3452" s="20" t="s">
        <v>810</v>
      </c>
      <c r="E3452" s="21">
        <f>IF(D3452="?OLD","!!!","")</f>
        <v/>
      </c>
      <c r="F3452" s="22" t="str">
        <f>IF(OR(E3452="",E3452="!!!"),"",IF(NOT(ISNA(VLOOKUP(E3452,E$1:E3451,1,FALSE()))),"OLD",IF(AND(E3452&lt;&gt;"",E3452&lt;&gt;"!!!"),"NEW","")))</f>
        <v> </v>
      </c>
      <c r="G3452" s="23" t="str">
        <f>IF(OR(E3452="",E3452="!!!"),"",IF(OR(J3452=0,AND(J3452=1,K3452=1),AND(J3452=1,I3452="SBJ"),AND(J3452=1,I3452=0)),"?IN_FOCUS",IF(J3452&lt;=2,"?ACTIVATED",IF(J3452&lt;&gt;"","?FAMILIAR",IF(F3452="NEW",IF(ISNA(VLOOKUP(E3452,#REF!,1,FALSE())),"?TYPE_IDENTIFIABLE","?REFERENTIAL"),"_")))))</f>
        <v> </v>
      </c>
      <c r="H3452" s="24" t="str">
        <f>IF(J3452&lt;&gt;1,"",IF(I3452="SBJ","CB","?"))</f>
        <v> </v>
      </c>
      <c r="I3452" s="25" t="str">
        <f>IF(OR(E3452="",E3452="!!!",F3452="NEW"),"",INDEX(B3451:B$2,-1+SUMPRODUCT(MAX(ROW(E3451:E$2)*(E3452=E3451:E$2)))))</f>
        <v> </v>
      </c>
      <c r="J3452" s="25" t="str">
        <f>IF(OR(E3452="",E3452="!!!",F3452="NEW"),"",COUNTBLANK(OFFSET(A$1,,,SUMPRODUCT(MAX(ROW(E$2:E3452)*(E3452=E$2:E3452)))))-COUNTBLANK(OFFSET(A$1,,,SUMPRODUCT(MAX(ROW(E$1:E3451)*(E2=E$1:E3451))))))</f>
        <v> </v>
      </c>
      <c r="K3452" s="25" t="str">
        <f>IF(OR(E3452="",E3452="!!!",F3452="NEW"),"",INDEX(J$1:J3451,SUMPRODUCT(MAX(ROW(E$1:E3451)*(E3452=E$1:E3451)))))</f>
        <v> </v>
      </c>
      <c r="L3452" s="26"/>
    </row>
    <row r="3453" spans="1:12">
      <c r="A3453" s="20" t="s">
        <v>887</v>
      </c>
      <c r="E3453" s="21">
        <f>IF(D3453="?OLD","!!!","")</f>
        <v/>
      </c>
      <c r="F3453" s="22" t="str">
        <f>IF(OR(E3453="",E3453="!!!"),"",IF(NOT(ISNA(VLOOKUP(E3453,E$1:E3452,1,FALSE()))),"OLD",IF(AND(E3453&lt;&gt;"",E3453&lt;&gt;"!!!"),"NEW","")))</f>
        <v> </v>
      </c>
      <c r="G3453" s="23" t="str">
        <f>IF(OR(E3453="",E3453="!!!"),"",IF(OR(J3453=0,AND(J3453=1,K3453=1),AND(J3453=1,I3453="SBJ"),AND(J3453=1,I3453=0)),"?IN_FOCUS",IF(J3453&lt;=2,"?ACTIVATED",IF(J3453&lt;&gt;"","?FAMILIAR",IF(F3453="NEW",IF(ISNA(VLOOKUP(E3453,#REF!,1,FALSE())),"?TYPE_IDENTIFIABLE","?REFERENTIAL"),"_")))))</f>
        <v> </v>
      </c>
      <c r="H3453" s="24" t="str">
        <f>IF(J3453&lt;&gt;1,"",IF(I3453="SBJ","CB","?"))</f>
        <v> </v>
      </c>
      <c r="I3453" s="25" t="str">
        <f>IF(OR(E3453="",E3453="!!!",F3453="NEW"),"",INDEX(B3452:B$2,-1+SUMPRODUCT(MAX(ROW(E3452:E$2)*(E3453=E3452:E$2)))))</f>
        <v> </v>
      </c>
      <c r="J3453" s="25" t="str">
        <f>IF(OR(E3453="",E3453="!!!",F3453="NEW"),"",COUNTBLANK(OFFSET(A$1,,,SUMPRODUCT(MAX(ROW(E$2:E3453)*(E3453=E$2:E3453)))))-COUNTBLANK(OFFSET(A$1,,,SUMPRODUCT(MAX(ROW(E$1:E3452)*(E2=E$1:E3452))))))</f>
        <v> </v>
      </c>
      <c r="K3453" s="25" t="str">
        <f>IF(OR(E3453="",E3453="!!!",F3453="NEW"),"",INDEX(J$1:J3452,SUMPRODUCT(MAX(ROW(E$1:E3452)*(E3453=E$1:E3452)))))</f>
        <v> </v>
      </c>
      <c r="L3453" s="26"/>
    </row>
    <row r="3454" spans="1:12">
      <c r="A3454" s="20" t="s">
        <v>888</v>
      </c>
      <c r="E3454" s="21">
        <f>IF(D3454="?OLD","!!!","")</f>
        <v/>
      </c>
      <c r="F3454" s="22" t="str">
        <f>IF(OR(E3454="",E3454="!!!"),"",IF(NOT(ISNA(VLOOKUP(E3454,E$1:E3453,1,FALSE()))),"OLD",IF(AND(E3454&lt;&gt;"",E3454&lt;&gt;"!!!"),"NEW","")))</f>
        <v> </v>
      </c>
      <c r="G3454" s="23" t="str">
        <f>IF(OR(E3454="",E3454="!!!"),"",IF(OR(J3454=0,AND(J3454=1,K3454=1),AND(J3454=1,I3454="SBJ"),AND(J3454=1,I3454=0)),"?IN_FOCUS",IF(J3454&lt;=2,"?ACTIVATED",IF(J3454&lt;&gt;"","?FAMILIAR",IF(F3454="NEW",IF(ISNA(VLOOKUP(E3454,#REF!,1,FALSE())),"?TYPE_IDENTIFIABLE","?REFERENTIAL"),"_")))))</f>
        <v> </v>
      </c>
      <c r="H3454" s="24" t="str">
        <f>IF(J3454&lt;&gt;1,"",IF(I3454="SBJ","CB","?"))</f>
        <v> </v>
      </c>
      <c r="I3454" s="25" t="str">
        <f>IF(OR(E3454="",E3454="!!!",F3454="NEW"),"",INDEX(B3453:B$2,-1+SUMPRODUCT(MAX(ROW(E3453:E$2)*(E3454=E3453:E$2)))))</f>
        <v> </v>
      </c>
      <c r="J3454" s="25" t="str">
        <f>IF(OR(E3454="",E3454="!!!",F3454="NEW"),"",COUNTBLANK(OFFSET(A$1,,,SUMPRODUCT(MAX(ROW(E$2:E3454)*(E3454=E$2:E3454)))))-COUNTBLANK(OFFSET(A$1,,,SUMPRODUCT(MAX(ROW(E$1:E3453)*(E2=E$1:E3453))))))</f>
        <v> </v>
      </c>
      <c r="K3454" s="25" t="str">
        <f>IF(OR(E3454="",E3454="!!!",F3454="NEW"),"",INDEX(J$1:J3453,SUMPRODUCT(MAX(ROW(E$1:E3453)*(E3454=E$1:E3453)))))</f>
        <v> </v>
      </c>
      <c r="L3454" s="26"/>
    </row>
    <row r="3455" spans="1:12">
      <c r="A3455" s="20" t="s">
        <v>757</v>
      </c>
      <c r="E3455" s="21">
        <f>IF(D3455="?OLD","!!!","")</f>
        <v/>
      </c>
      <c r="F3455" s="22" t="str">
        <f>IF(OR(E3455="",E3455="!!!"),"",IF(NOT(ISNA(VLOOKUP(E3455,E$1:E3454,1,FALSE()))),"OLD",IF(AND(E3455&lt;&gt;"",E3455&lt;&gt;"!!!"),"NEW","")))</f>
        <v> </v>
      </c>
      <c r="G3455" s="23" t="str">
        <f>IF(OR(E3455="",E3455="!!!"),"",IF(OR(J3455=0,AND(J3455=1,K3455=1),AND(J3455=1,I3455="SBJ"),AND(J3455=1,I3455=0)),"?IN_FOCUS",IF(J3455&lt;=2,"?ACTIVATED",IF(J3455&lt;&gt;"","?FAMILIAR",IF(F3455="NEW",IF(ISNA(VLOOKUP(E3455,#REF!,1,FALSE())),"?TYPE_IDENTIFIABLE","?REFERENTIAL"),"_")))))</f>
        <v> </v>
      </c>
      <c r="H3455" s="24" t="str">
        <f>IF(J3455&lt;&gt;1,"",IF(I3455="SBJ","CB","?"))</f>
        <v> </v>
      </c>
      <c r="I3455" s="25" t="str">
        <f>IF(OR(E3455="",E3455="!!!",F3455="NEW"),"",INDEX(B3454:B$2,-1+SUMPRODUCT(MAX(ROW(E3454:E$2)*(E3455=E3454:E$2)))))</f>
        <v> </v>
      </c>
      <c r="J3455" s="25" t="str">
        <f>IF(OR(E3455="",E3455="!!!",F3455="NEW"),"",COUNTBLANK(OFFSET(A$1,,,SUMPRODUCT(MAX(ROW(E$2:E3455)*(E3455=E$2:E3455)))))-COUNTBLANK(OFFSET(A$1,,,SUMPRODUCT(MAX(ROW(E$1:E3454)*(E2=E$1:E3454))))))</f>
        <v> </v>
      </c>
      <c r="K3455" s="25" t="str">
        <f>IF(OR(E3455="",E3455="!!!",F3455="NEW"),"",INDEX(J$1:J3454,SUMPRODUCT(MAX(ROW(E$1:E3454)*(E3455=E$1:E3454)))))</f>
        <v> </v>
      </c>
      <c r="L3455" s="26"/>
    </row>
    <row r="3456" spans="1:12">
      <c r="A3456" s="20" t="s">
        <v>749</v>
      </c>
      <c r="E3456" s="21">
        <f>IF(D3456="?OLD","!!!","")</f>
        <v/>
      </c>
      <c r="F3456" s="22" t="str">
        <f>IF(OR(E3456="",E3456="!!!"),"",IF(NOT(ISNA(VLOOKUP(E3456,E$1:E3455,1,FALSE()))),"OLD",IF(AND(E3456&lt;&gt;"",E3456&lt;&gt;"!!!"),"NEW","")))</f>
        <v> </v>
      </c>
      <c r="G3456" s="23" t="str">
        <f>IF(OR(E3456="",E3456="!!!"),"",IF(OR(J3456=0,AND(J3456=1,K3456=1),AND(J3456=1,I3456="SBJ"),AND(J3456=1,I3456=0)),"?IN_FOCUS",IF(J3456&lt;=2,"?ACTIVATED",IF(J3456&lt;&gt;"","?FAMILIAR",IF(F3456="NEW",IF(ISNA(VLOOKUP(E3456,#REF!,1,FALSE())),"?TYPE_IDENTIFIABLE","?REFERENTIAL"),"_")))))</f>
        <v> </v>
      </c>
      <c r="H3456" s="24" t="str">
        <f>IF(J3456&lt;&gt;1,"",IF(I3456="SBJ","CB","?"))</f>
        <v> </v>
      </c>
      <c r="I3456" s="25" t="str">
        <f>IF(OR(E3456="",E3456="!!!",F3456="NEW"),"",INDEX(B3455:B$2,-1+SUMPRODUCT(MAX(ROW(E3455:E$2)*(E3456=E3455:E$2)))))</f>
        <v> </v>
      </c>
      <c r="J3456" s="25" t="str">
        <f>IF(OR(E3456="",E3456="!!!",F3456="NEW"),"",COUNTBLANK(OFFSET(A$1,,,SUMPRODUCT(MAX(ROW(E$2:E3456)*(E3456=E$2:E3456)))))-COUNTBLANK(OFFSET(A$1,,,SUMPRODUCT(MAX(ROW(E$1:E3455)*(E2=E$1:E3455))))))</f>
        <v> </v>
      </c>
      <c r="K3456" s="25" t="str">
        <f>IF(OR(E3456="",E3456="!!!",F3456="NEW"),"",INDEX(J$1:J3455,SUMPRODUCT(MAX(ROW(E$1:E3455)*(E3456=E$1:E3455)))))</f>
        <v> </v>
      </c>
      <c r="L3456" s="26"/>
    </row>
    <row r="3457" spans="1:12">
      <c r="A3457" s="20" t="s">
        <v>983</v>
      </c>
      <c r="B3457" s="27" t="s">
        <v>956</v>
      </c>
      <c r="C3457" s="27" t="s">
        <v>797</v>
      </c>
      <c r="D3457" s="27" t="s">
        <v>762</v>
      </c>
      <c r="E3457" s="21">
        <f>IF(D3457="?OLD","!!!","")</f>
        <v/>
      </c>
      <c r="F3457" s="22" t="str">
        <f>IF(OR(E3457="",E3457="!!!"),"",IF(NOT(ISNA(VLOOKUP(E3457,E$1:E3456,1,FALSE()))),"OLD",IF(AND(E3457&lt;&gt;"",E3457&lt;&gt;"!!!"),"NEW","")))</f>
        <v> </v>
      </c>
      <c r="G3457" s="23" t="str">
        <f>IF(OR(E3457="",E3457="!!!"),"",IF(OR(J3457=0,AND(J3457=1,K3457=1),AND(J3457=1,I3457="SBJ"),AND(J3457=1,I3457=0)),"?IN_FOCUS",IF(J3457&lt;=2,"?ACTIVATED",IF(J3457&lt;&gt;"","?FAMILIAR",IF(F3457="NEW",IF(ISNA(VLOOKUP(E3457,#REF!,1,FALSE())),"?TYPE_IDENTIFIABLE","?REFERENTIAL"),"_")))))</f>
        <v> </v>
      </c>
      <c r="H3457" s="24" t="str">
        <f>IF(J3457&lt;&gt;1,"",IF(I3457="SBJ","CB","?"))</f>
        <v> </v>
      </c>
      <c r="I3457" s="25" t="str">
        <f>IF(OR(E3457="",E3457="!!!",F3457="NEW"),"",INDEX(B3456:B$2,-1+SUMPRODUCT(MAX(ROW(E3456:E$2)*(E3457=E3456:E$2)))))</f>
        <v> </v>
      </c>
      <c r="J3457" s="25" t="str">
        <f>IF(OR(E3457="",E3457="!!!",F3457="NEW"),"",COUNTBLANK(OFFSET(A$1,,,SUMPRODUCT(MAX(ROW(E$2:E3457)*(E3457=E$2:E3457)))))-COUNTBLANK(OFFSET(A$1,,,SUMPRODUCT(MAX(ROW(E$1:E3456)*(E2=E$1:E3456))))))</f>
        <v> </v>
      </c>
      <c r="K3457" s="25" t="str">
        <f>IF(OR(E3457="",E3457="!!!",F3457="NEW"),"",INDEX(J$1:J3456,SUMPRODUCT(MAX(ROW(E$1:E3456)*(E3457=E$1:E3456)))))</f>
        <v> </v>
      </c>
      <c r="L3457" s="26"/>
    </row>
    <row r="3458" spans="1:12">
      <c r="A3458" s="20" t="s">
        <v>984</v>
      </c>
      <c r="B3458" s="27" t="s">
        <v>894</v>
      </c>
      <c r="C3458" s="27" t="s">
        <v>797</v>
      </c>
      <c r="D3458" s="27" t="s">
        <v>762</v>
      </c>
      <c r="E3458" s="21">
        <f>IF(D3458="?OLD","!!!","")</f>
        <v/>
      </c>
      <c r="F3458" s="22" t="str">
        <f>IF(OR(E3458="",E3458="!!!"),"",IF(NOT(ISNA(VLOOKUP(E3458,E$1:E3457,1,FALSE()))),"OLD",IF(AND(E3458&lt;&gt;"",E3458&lt;&gt;"!!!"),"NEW","")))</f>
        <v> </v>
      </c>
      <c r="G3458" s="23" t="str">
        <f>IF(OR(E3458="",E3458="!!!"),"",IF(OR(J3458=0,AND(J3458=1,K3458=1),AND(J3458=1,I3458="SBJ"),AND(J3458=1,I3458=0)),"?IN_FOCUS",IF(J3458&lt;=2,"?ACTIVATED",IF(J3458&lt;&gt;"","?FAMILIAR",IF(F3458="NEW",IF(ISNA(VLOOKUP(E3458,#REF!,1,FALSE())),"?TYPE_IDENTIFIABLE","?REFERENTIAL"),"_")))))</f>
        <v> </v>
      </c>
      <c r="H3458" s="24" t="str">
        <f>IF(J3458&lt;&gt;1,"",IF(I3458="SBJ","CB","?"))</f>
        <v> </v>
      </c>
      <c r="I3458" s="25" t="str">
        <f>IF(OR(E3458="",E3458="!!!",F3458="NEW"),"",INDEX(B3457:B$2,-1+SUMPRODUCT(MAX(ROW(E3457:E$2)*(E3458=E3457:E$2)))))</f>
        <v> </v>
      </c>
      <c r="J3458" s="25" t="str">
        <f>IF(OR(E3458="",E3458="!!!",F3458="NEW"),"",COUNTBLANK(OFFSET(A$1,,,SUMPRODUCT(MAX(ROW(E$2:E3458)*(E3458=E$2:E3458)))))-COUNTBLANK(OFFSET(A$1,,,SUMPRODUCT(MAX(ROW(E$1:E3457)*(E2=E$1:E3457))))))</f>
        <v> </v>
      </c>
      <c r="K3458" s="25" t="str">
        <f>IF(OR(E3458="",E3458="!!!",F3458="NEW"),"",INDEX(J$1:J3457,SUMPRODUCT(MAX(ROW(E$1:E3457)*(E3458=E$1:E3457)))))</f>
        <v> </v>
      </c>
      <c r="L3458" s="26"/>
    </row>
    <row r="3459" spans="1:12">
      <c r="A3459" s="20" t="s">
        <v>547</v>
      </c>
      <c r="E3459" s="21">
        <f>IF(D3459="?OLD","!!!","")</f>
        <v/>
      </c>
      <c r="F3459" s="22" t="str">
        <f>IF(OR(E3459="",E3459="!!!"),"",IF(NOT(ISNA(VLOOKUP(E3459,E$1:E3458,1,FALSE()))),"OLD",IF(AND(E3459&lt;&gt;"",E3459&lt;&gt;"!!!"),"NEW","")))</f>
        <v> </v>
      </c>
      <c r="G3459" s="23" t="str">
        <f>IF(OR(E3459="",E3459="!!!"),"",IF(OR(J3459=0,AND(J3459=1,K3459=1),AND(J3459=1,I3459="SBJ"),AND(J3459=1,I3459=0)),"?IN_FOCUS",IF(J3459&lt;=2,"?ACTIVATED",IF(J3459&lt;&gt;"","?FAMILIAR",IF(F3459="NEW",IF(ISNA(VLOOKUP(E3459,#REF!,1,FALSE())),"?TYPE_IDENTIFIABLE","?REFERENTIAL"),"_")))))</f>
        <v> </v>
      </c>
      <c r="H3459" s="24" t="str">
        <f>IF(J3459&lt;&gt;1,"",IF(I3459="SBJ","CB","?"))</f>
        <v> </v>
      </c>
      <c r="I3459" s="25" t="str">
        <f>IF(OR(E3459="",E3459="!!!",F3459="NEW"),"",INDEX(B3458:B$2,-1+SUMPRODUCT(MAX(ROW(E3458:E$2)*(E3459=E3458:E$2)))))</f>
        <v> </v>
      </c>
      <c r="J3459" s="25" t="str">
        <f>IF(OR(E3459="",E3459="!!!",F3459="NEW"),"",COUNTBLANK(OFFSET(A$1,,,SUMPRODUCT(MAX(ROW(E$2:E3459)*(E3459=E$2:E3459)))))-COUNTBLANK(OFFSET(A$1,,,SUMPRODUCT(MAX(ROW(E$1:E3458)*(E2=E$1:E3458))))))</f>
        <v> </v>
      </c>
      <c r="K3459" s="25" t="str">
        <f>IF(OR(E3459="",E3459="!!!",F3459="NEW"),"",INDEX(J$1:J3458,SUMPRODUCT(MAX(ROW(E$1:E3458)*(E3459=E$1:E3458)))))</f>
        <v> </v>
      </c>
      <c r="L3459" s="26"/>
    </row>
    <row r="3460" spans="1:12">
      <c r="A3460" s="20" t="s">
        <v>769</v>
      </c>
      <c r="E3460" s="21">
        <f>IF(D3460="?OLD","!!!","")</f>
        <v/>
      </c>
      <c r="F3460" s="22" t="str">
        <f>IF(OR(E3460="",E3460="!!!"),"",IF(NOT(ISNA(VLOOKUP(E3460,E$1:E3459,1,FALSE()))),"OLD",IF(AND(E3460&lt;&gt;"",E3460&lt;&gt;"!!!"),"NEW","")))</f>
        <v> </v>
      </c>
      <c r="G3460" s="23" t="str">
        <f>IF(OR(E3460="",E3460="!!!"),"",IF(OR(J3460=0,AND(J3460=1,K3460=1),AND(J3460=1,I3460="SBJ"),AND(J3460=1,I3460=0)),"?IN_FOCUS",IF(J3460&lt;=2,"?ACTIVATED",IF(J3460&lt;&gt;"","?FAMILIAR",IF(F3460="NEW",IF(ISNA(VLOOKUP(E3460,#REF!,1,FALSE())),"?TYPE_IDENTIFIABLE","?REFERENTIAL"),"_")))))</f>
        <v> </v>
      </c>
      <c r="H3460" s="24" t="str">
        <f>IF(J3460&lt;&gt;1,"",IF(I3460="SBJ","CB","?"))</f>
        <v> </v>
      </c>
      <c r="I3460" s="25" t="str">
        <f>IF(OR(E3460="",E3460="!!!",F3460="NEW"),"",INDEX(B3459:B$2,-1+SUMPRODUCT(MAX(ROW(E3459:E$2)*(E3460=E3459:E$2)))))</f>
        <v> </v>
      </c>
      <c r="J3460" s="25" t="str">
        <f>IF(OR(E3460="",E3460="!!!",F3460="NEW"),"",COUNTBLANK(OFFSET(A$1,,,SUMPRODUCT(MAX(ROW(E$2:E3460)*(E3460=E$2:E3460)))))-COUNTBLANK(OFFSET(A$1,,,SUMPRODUCT(MAX(ROW(E$1:E3459)*(E2=E$1:E3459))))))</f>
        <v> </v>
      </c>
      <c r="K3460" s="25" t="str">
        <f>IF(OR(E3460="",E3460="!!!",F3460="NEW"),"",INDEX(J$1:J3459,SUMPRODUCT(MAX(ROW(E$1:E3459)*(E3460=E$1:E3459)))))</f>
        <v> </v>
      </c>
      <c r="L3460" s="26"/>
    </row>
    <row r="3461" spans="1:12">
      <c r="A3461" s="20" t="s">
        <v>975</v>
      </c>
      <c r="B3461" s="27" t="s">
        <v>940</v>
      </c>
      <c r="C3461" s="27" t="s">
        <v>797</v>
      </c>
      <c r="D3461" s="27" t="s">
        <v>762</v>
      </c>
      <c r="E3461" s="21">
        <f>IF(D3461="?OLD","!!!","")</f>
        <v/>
      </c>
      <c r="F3461" s="22" t="str">
        <f>IF(OR(E3461="",E3461="!!!"),"",IF(NOT(ISNA(VLOOKUP(E3461,E$1:E3460,1,FALSE()))),"OLD",IF(AND(E3461&lt;&gt;"",E3461&lt;&gt;"!!!"),"NEW","")))</f>
        <v> </v>
      </c>
      <c r="G3461" s="23" t="str">
        <f>IF(OR(E3461="",E3461="!!!"),"",IF(OR(J3461=0,AND(J3461=1,K3461=1),AND(J3461=1,I3461="SBJ"),AND(J3461=1,I3461=0)),"?IN_FOCUS",IF(J3461&lt;=2,"?ACTIVATED",IF(J3461&lt;&gt;"","?FAMILIAR",IF(F3461="NEW",IF(ISNA(VLOOKUP(E3461,#REF!,1,FALSE())),"?TYPE_IDENTIFIABLE","?REFERENTIAL"),"_")))))</f>
        <v> </v>
      </c>
      <c r="H3461" s="24" t="str">
        <f>IF(J3461&lt;&gt;1,"",IF(I3461="SBJ","CB","?"))</f>
        <v> </v>
      </c>
      <c r="I3461" s="25" t="str">
        <f>IF(OR(E3461="",E3461="!!!",F3461="NEW"),"",INDEX(B3460:B$2,-1+SUMPRODUCT(MAX(ROW(E3460:E$2)*(E3461=E3460:E$2)))))</f>
        <v> </v>
      </c>
      <c r="J3461" s="25" t="str">
        <f>IF(OR(E3461="",E3461="!!!",F3461="NEW"),"",COUNTBLANK(OFFSET(A$1,,,SUMPRODUCT(MAX(ROW(E$2:E3461)*(E3461=E$2:E3461)))))-COUNTBLANK(OFFSET(A$1,,,SUMPRODUCT(MAX(ROW(E$1:E3460)*(E2=E$1:E3460))))))</f>
        <v> </v>
      </c>
      <c r="K3461" s="25" t="str">
        <f>IF(OR(E3461="",E3461="!!!",F3461="NEW"),"",INDEX(J$1:J3460,SUMPRODUCT(MAX(ROW(E$1:E3460)*(E3461=E$1:E3460)))))</f>
        <v> </v>
      </c>
      <c r="L3461" s="26"/>
    </row>
    <row r="3462" spans="1:12">
      <c r="A3462" s="20" t="s">
        <v>1791</v>
      </c>
      <c r="E3462" s="21">
        <f>IF(D3462="?OLD","!!!","")</f>
        <v/>
      </c>
      <c r="F3462" s="22" t="str">
        <f>IF(OR(E3462="",E3462="!!!"),"",IF(NOT(ISNA(VLOOKUP(E3462,E$1:E3461,1,FALSE()))),"OLD",IF(AND(E3462&lt;&gt;"",E3462&lt;&gt;"!!!"),"NEW","")))</f>
        <v> </v>
      </c>
      <c r="G3462" s="23" t="str">
        <f>IF(OR(E3462="",E3462="!!!"),"",IF(OR(J3462=0,AND(J3462=1,K3462=1),AND(J3462=1,I3462="SBJ"),AND(J3462=1,I3462=0)),"?IN_FOCUS",IF(J3462&lt;=2,"?ACTIVATED",IF(J3462&lt;&gt;"","?FAMILIAR",IF(F3462="NEW",IF(ISNA(VLOOKUP(E3462,#REF!,1,FALSE())),"?TYPE_IDENTIFIABLE","?REFERENTIAL"),"_")))))</f>
        <v> </v>
      </c>
      <c r="H3462" s="24" t="str">
        <f>IF(J3462&lt;&gt;1,"",IF(I3462="SBJ","CB","?"))</f>
        <v> </v>
      </c>
      <c r="I3462" s="25" t="str">
        <f>IF(OR(E3462="",E3462="!!!",F3462="NEW"),"",INDEX(B3461:B$2,-1+SUMPRODUCT(MAX(ROW(E3461:E$2)*(E3462=E3461:E$2)))))</f>
        <v> </v>
      </c>
      <c r="J3462" s="25" t="str">
        <f>IF(OR(E3462="",E3462="!!!",F3462="NEW"),"",COUNTBLANK(OFFSET(A$1,,,SUMPRODUCT(MAX(ROW(E$2:E3462)*(E3462=E$2:E3462)))))-COUNTBLANK(OFFSET(A$1,,,SUMPRODUCT(MAX(ROW(E$1:E3461)*(E2=E$1:E3461))))))</f>
        <v> </v>
      </c>
      <c r="K3462" s="25" t="str">
        <f>IF(OR(E3462="",E3462="!!!",F3462="NEW"),"",INDEX(J$1:J3461,SUMPRODUCT(MAX(ROW(E$1:E3461)*(E3462=E$1:E3461)))))</f>
        <v> </v>
      </c>
      <c r="L3462" s="26"/>
    </row>
    <row r="3463" spans="1:12">
      <c r="A3463" s="20" t="s">
        <v>805</v>
      </c>
      <c r="E3463" s="21">
        <f>IF(D3463="?OLD","!!!","")</f>
        <v/>
      </c>
      <c r="F3463" s="22" t="str">
        <f>IF(OR(E3463="",E3463="!!!"),"",IF(NOT(ISNA(VLOOKUP(E3463,E$1:E3462,1,FALSE()))),"OLD",IF(AND(E3463&lt;&gt;"",E3463&lt;&gt;"!!!"),"NEW","")))</f>
        <v> </v>
      </c>
      <c r="G3463" s="23" t="str">
        <f>IF(OR(E3463="",E3463="!!!"),"",IF(OR(J3463=0,AND(J3463=1,K3463=1),AND(J3463=1,I3463="SBJ"),AND(J3463=1,I3463=0)),"?IN_FOCUS",IF(J3463&lt;=2,"?ACTIVATED",IF(J3463&lt;&gt;"","?FAMILIAR",IF(F3463="NEW",IF(ISNA(VLOOKUP(E3463,#REF!,1,FALSE())),"?TYPE_IDENTIFIABLE","?REFERENTIAL"),"_")))))</f>
        <v> </v>
      </c>
      <c r="H3463" s="24" t="str">
        <f>IF(J3463&lt;&gt;1,"",IF(I3463="SBJ","CB","?"))</f>
        <v> </v>
      </c>
      <c r="I3463" s="25" t="str">
        <f>IF(OR(E3463="",E3463="!!!",F3463="NEW"),"",INDEX(B3462:B$2,-1+SUMPRODUCT(MAX(ROW(E3462:E$2)*(E3463=E3462:E$2)))))</f>
        <v> </v>
      </c>
      <c r="J3463" s="25" t="str">
        <f>IF(OR(E3463="",E3463="!!!",F3463="NEW"),"",COUNTBLANK(OFFSET(A$1,,,SUMPRODUCT(MAX(ROW(E$2:E3463)*(E3463=E$2:E3463)))))-COUNTBLANK(OFFSET(A$1,,,SUMPRODUCT(MAX(ROW(E$1:E3462)*(E2=E$1:E3462))))))</f>
        <v> </v>
      </c>
      <c r="K3463" s="25" t="str">
        <f>IF(OR(E3463="",E3463="!!!",F3463="NEW"),"",INDEX(J$1:J3462,SUMPRODUCT(MAX(ROW(E$1:E3462)*(E3463=E$1:E3462)))))</f>
        <v> </v>
      </c>
      <c r="L3463" s="26"/>
    </row>
    <row r="3464" spans="1:12">
      <c r="A3464" s="20" t="s">
        <v>129</v>
      </c>
      <c r="E3464" s="21">
        <f>IF(D3464="?OLD","!!!","")</f>
        <v/>
      </c>
      <c r="F3464" s="22" t="str">
        <f>IF(OR(E3464="",E3464="!!!"),"",IF(NOT(ISNA(VLOOKUP(E3464,E$1:E3463,1,FALSE()))),"OLD",IF(AND(E3464&lt;&gt;"",E3464&lt;&gt;"!!!"),"NEW","")))</f>
        <v> </v>
      </c>
      <c r="G3464" s="23" t="str">
        <f>IF(OR(E3464="",E3464="!!!"),"",IF(OR(J3464=0,AND(J3464=1,K3464=1),AND(J3464=1,I3464="SBJ"),AND(J3464=1,I3464=0)),"?IN_FOCUS",IF(J3464&lt;=2,"?ACTIVATED",IF(J3464&lt;&gt;"","?FAMILIAR",IF(F3464="NEW",IF(ISNA(VLOOKUP(E3464,#REF!,1,FALSE())),"?TYPE_IDENTIFIABLE","?REFERENTIAL"),"_")))))</f>
        <v> </v>
      </c>
      <c r="H3464" s="24" t="str">
        <f>IF(J3464&lt;&gt;1,"",IF(I3464="SBJ","CB","?"))</f>
        <v> </v>
      </c>
      <c r="I3464" s="25" t="str">
        <f>IF(OR(E3464="",E3464="!!!",F3464="NEW"),"",INDEX(B3463:B$2,-1+SUMPRODUCT(MAX(ROW(E3463:E$2)*(E3464=E3463:E$2)))))</f>
        <v> </v>
      </c>
      <c r="J3464" s="25" t="str">
        <f>IF(OR(E3464="",E3464="!!!",F3464="NEW"),"",COUNTBLANK(OFFSET(A$1,,,SUMPRODUCT(MAX(ROW(E$2:E3464)*(E3464=E$2:E3464)))))-COUNTBLANK(OFFSET(A$1,,,SUMPRODUCT(MAX(ROW(E$1:E3463)*(E2=E$1:E3463))))))</f>
        <v> </v>
      </c>
      <c r="K3464" s="25" t="str">
        <f>IF(OR(E3464="",E3464="!!!",F3464="NEW"),"",INDEX(J$1:J3463,SUMPRODUCT(MAX(ROW(E$1:E3463)*(E3464=E$1:E3463)))))</f>
        <v> </v>
      </c>
      <c r="L3464" s="26"/>
    </row>
    <row r="3465" spans="1:12">
      <c r="A3465" s="20" t="s">
        <v>1364</v>
      </c>
      <c r="E3465" s="21">
        <f>IF(D3465="?OLD","!!!","")</f>
        <v/>
      </c>
      <c r="F3465" s="22" t="str">
        <f>IF(OR(E3465="",E3465="!!!"),"",IF(NOT(ISNA(VLOOKUP(E3465,E$1:E3464,1,FALSE()))),"OLD",IF(AND(E3465&lt;&gt;"",E3465&lt;&gt;"!!!"),"NEW","")))</f>
        <v> </v>
      </c>
      <c r="G3465" s="23" t="str">
        <f>IF(OR(E3465="",E3465="!!!"),"",IF(OR(J3465=0,AND(J3465=1,K3465=1),AND(J3465=1,I3465="SBJ"),AND(J3465=1,I3465=0)),"?IN_FOCUS",IF(J3465&lt;=2,"?ACTIVATED",IF(J3465&lt;&gt;"","?FAMILIAR",IF(F3465="NEW",IF(ISNA(VLOOKUP(E3465,#REF!,1,FALSE())),"?TYPE_IDENTIFIABLE","?REFERENTIAL"),"_")))))</f>
        <v> </v>
      </c>
      <c r="H3465" s="24" t="str">
        <f>IF(J3465&lt;&gt;1,"",IF(I3465="SBJ","CB","?"))</f>
        <v> </v>
      </c>
      <c r="I3465" s="25" t="str">
        <f>IF(OR(E3465="",E3465="!!!",F3465="NEW"),"",INDEX(B3464:B$2,-1+SUMPRODUCT(MAX(ROW(E3464:E$2)*(E3465=E3464:E$2)))))</f>
        <v> </v>
      </c>
      <c r="J3465" s="25" t="str">
        <f>IF(OR(E3465="",E3465="!!!",F3465="NEW"),"",COUNTBLANK(OFFSET(A$1,,,SUMPRODUCT(MAX(ROW(E$2:E3465)*(E3465=E$2:E3465)))))-COUNTBLANK(OFFSET(A$1,,,SUMPRODUCT(MAX(ROW(E$1:E3464)*(E2=E$1:E3464))))))</f>
        <v> </v>
      </c>
      <c r="K3465" s="25" t="str">
        <f>IF(OR(E3465="",E3465="!!!",F3465="NEW"),"",INDEX(J$1:J3464,SUMPRODUCT(MAX(ROW(E$1:E3464)*(E3465=E$1:E3464)))))</f>
        <v> </v>
      </c>
      <c r="L3465" s="26"/>
    </row>
    <row r="3466" spans="1:12">
      <c r="A3466" s="20" t="s">
        <v>1099</v>
      </c>
      <c r="B3466" s="27" t="s">
        <v>815</v>
      </c>
      <c r="C3466" s="27" t="s">
        <v>851</v>
      </c>
      <c r="D3466" s="27" t="s">
        <v>762</v>
      </c>
      <c r="E3466" s="21">
        <f>IF(D3466="?OLD","!!!","")</f>
        <v/>
      </c>
      <c r="F3466" s="22" t="str">
        <f>IF(OR(E3466="",E3466="!!!"),"",IF(NOT(ISNA(VLOOKUP(E3466,E$1:E3465,1,FALSE()))),"OLD",IF(AND(E3466&lt;&gt;"",E3466&lt;&gt;"!!!"),"NEW","")))</f>
        <v> </v>
      </c>
      <c r="G3466" s="23" t="str">
        <f>IF(OR(E3466="",E3466="!!!"),"",IF(OR(J3466=0,AND(J3466=1,K3466=1),AND(J3466=1,I3466="SBJ"),AND(J3466=1,I3466=0)),"?IN_FOCUS",IF(J3466&lt;=2,"?ACTIVATED",IF(J3466&lt;&gt;"","?FAMILIAR",IF(F3466="NEW",IF(ISNA(VLOOKUP(E3466,#REF!,1,FALSE())),"?TYPE_IDENTIFIABLE","?REFERENTIAL"),"_")))))</f>
        <v> </v>
      </c>
      <c r="H3466" s="24" t="str">
        <f>IF(J3466&lt;&gt;1,"",IF(I3466="SBJ","CB","?"))</f>
        <v> </v>
      </c>
      <c r="I3466" s="25" t="str">
        <f>IF(OR(E3466="",E3466="!!!",F3466="NEW"),"",INDEX(B3465:B$2,-1+SUMPRODUCT(MAX(ROW(E3465:E$2)*(E3466=E3465:E$2)))))</f>
        <v> </v>
      </c>
      <c r="J3466" s="25" t="str">
        <f>IF(OR(E3466="",E3466="!!!",F3466="NEW"),"",COUNTBLANK(OFFSET(A$1,,,SUMPRODUCT(MAX(ROW(E$2:E3466)*(E3466=E$2:E3466)))))-COUNTBLANK(OFFSET(A$1,,,SUMPRODUCT(MAX(ROW(E$1:E3465)*(E2=E$1:E3465))))))</f>
        <v> </v>
      </c>
      <c r="K3466" s="25" t="str">
        <f>IF(OR(E3466="",E3466="!!!",F3466="NEW"),"",INDEX(J$1:J3465,SUMPRODUCT(MAX(ROW(E$1:E3465)*(E3466=E$1:E3465)))))</f>
        <v> </v>
      </c>
      <c r="L3466" s="26"/>
    </row>
    <row r="3467" spans="1:12">
      <c r="A3467" s="20" t="s">
        <v>877</v>
      </c>
      <c r="B3467" s="27" t="s">
        <v>901</v>
      </c>
      <c r="C3467" s="27" t="s">
        <v>837</v>
      </c>
      <c r="D3467" s="27" t="s">
        <v>762</v>
      </c>
      <c r="E3467" s="21">
        <f>IF(D3467="?OLD","!!!","")</f>
        <v/>
      </c>
      <c r="F3467" s="22" t="str">
        <f>IF(OR(E3467="",E3467="!!!"),"",IF(NOT(ISNA(VLOOKUP(E3467,E$1:E3466,1,FALSE()))),"OLD",IF(AND(E3467&lt;&gt;"",E3467&lt;&gt;"!!!"),"NEW","")))</f>
        <v> </v>
      </c>
      <c r="G3467" s="23" t="str">
        <f>IF(OR(E3467="",E3467="!!!"),"",IF(OR(J3467=0,AND(J3467=1,K3467=1),AND(J3467=1,I3467="SBJ"),AND(J3467=1,I3467=0)),"?IN_FOCUS",IF(J3467&lt;=2,"?ACTIVATED",IF(J3467&lt;&gt;"","?FAMILIAR",IF(F3467="NEW",IF(ISNA(VLOOKUP(E3467,#REF!,1,FALSE())),"?TYPE_IDENTIFIABLE","?REFERENTIAL"),"_")))))</f>
        <v> </v>
      </c>
      <c r="H3467" s="24" t="str">
        <f>IF(J3467&lt;&gt;1,"",IF(I3467="SBJ","CB","?"))</f>
        <v> </v>
      </c>
      <c r="I3467" s="25" t="str">
        <f>IF(OR(E3467="",E3467="!!!",F3467="NEW"),"",INDEX(B3466:B$2,-1+SUMPRODUCT(MAX(ROW(E3466:E$2)*(E3467=E3466:E$2)))))</f>
        <v> </v>
      </c>
      <c r="J3467" s="25" t="str">
        <f>IF(OR(E3467="",E3467="!!!",F3467="NEW"),"",COUNTBLANK(OFFSET(A$1,,,SUMPRODUCT(MAX(ROW(E$2:E3467)*(E3467=E$2:E3467)))))-COUNTBLANK(OFFSET(A$1,,,SUMPRODUCT(MAX(ROW(E$1:E3466)*(E2=E$1:E3466))))))</f>
        <v> </v>
      </c>
      <c r="K3467" s="25" t="str">
        <f>IF(OR(E3467="",E3467="!!!",F3467="NEW"),"",INDEX(J$1:J3466,SUMPRODUCT(MAX(ROW(E$1:E3466)*(E3467=E$1:E3466)))))</f>
        <v> </v>
      </c>
      <c r="L3467" s="26"/>
    </row>
    <row r="3468" spans="1:12">
      <c r="A3468" s="20" t="s">
        <v>810</v>
      </c>
      <c r="E3468" s="21">
        <f>IF(D3468="?OLD","!!!","")</f>
        <v/>
      </c>
      <c r="F3468" s="22" t="str">
        <f>IF(OR(E3468="",E3468="!!!"),"",IF(NOT(ISNA(VLOOKUP(E3468,E$1:E3467,1,FALSE()))),"OLD",IF(AND(E3468&lt;&gt;"",E3468&lt;&gt;"!!!"),"NEW","")))</f>
        <v> </v>
      </c>
      <c r="G3468" s="23" t="str">
        <f>IF(OR(E3468="",E3468="!!!"),"",IF(OR(J3468=0,AND(J3468=1,K3468=1),AND(J3468=1,I3468="SBJ"),AND(J3468=1,I3468=0)),"?IN_FOCUS",IF(J3468&lt;=2,"?ACTIVATED",IF(J3468&lt;&gt;"","?FAMILIAR",IF(F3468="NEW",IF(ISNA(VLOOKUP(E3468,#REF!,1,FALSE())),"?TYPE_IDENTIFIABLE","?REFERENTIAL"),"_")))))</f>
        <v> </v>
      </c>
      <c r="H3468" s="24" t="str">
        <f>IF(J3468&lt;&gt;1,"",IF(I3468="SBJ","CB","?"))</f>
        <v> </v>
      </c>
      <c r="I3468" s="25" t="str">
        <f>IF(OR(E3468="",E3468="!!!",F3468="NEW"),"",INDEX(B3467:B$2,-1+SUMPRODUCT(MAX(ROW(E3467:E$2)*(E3468=E3467:E$2)))))</f>
        <v> </v>
      </c>
      <c r="J3468" s="25" t="str">
        <f>IF(OR(E3468="",E3468="!!!",F3468="NEW"),"",COUNTBLANK(OFFSET(A$1,,,SUMPRODUCT(MAX(ROW(E$2:E3468)*(E3468=E$2:E3468)))))-COUNTBLANK(OFFSET(A$1,,,SUMPRODUCT(MAX(ROW(E$1:E3467)*(E2=E$1:E3467))))))</f>
        <v> </v>
      </c>
      <c r="K3468" s="25" t="str">
        <f>IF(OR(E3468="",E3468="!!!",F3468="NEW"),"",INDEX(J$1:J3467,SUMPRODUCT(MAX(ROW(E$1:E3467)*(E3468=E$1:E3467)))))</f>
        <v> </v>
      </c>
      <c r="L3468" s="26"/>
    </row>
    <row r="3469" spans="1:12">
      <c r="A3469" s="20" t="s">
        <v>769</v>
      </c>
      <c r="E3469" s="21">
        <f>IF(D3469="?OLD","!!!","")</f>
        <v/>
      </c>
      <c r="F3469" s="22" t="str">
        <f>IF(OR(E3469="",E3469="!!!"),"",IF(NOT(ISNA(VLOOKUP(E3469,E$1:E3468,1,FALSE()))),"OLD",IF(AND(E3469&lt;&gt;"",E3469&lt;&gt;"!!!"),"NEW","")))</f>
        <v> </v>
      </c>
      <c r="G3469" s="23" t="str">
        <f>IF(OR(E3469="",E3469="!!!"),"",IF(OR(J3469=0,AND(J3469=1,K3469=1),AND(J3469=1,I3469="SBJ"),AND(J3469=1,I3469=0)),"?IN_FOCUS",IF(J3469&lt;=2,"?ACTIVATED",IF(J3469&lt;&gt;"","?FAMILIAR",IF(F3469="NEW",IF(ISNA(VLOOKUP(E3469,#REF!,1,FALSE())),"?TYPE_IDENTIFIABLE","?REFERENTIAL"),"_")))))</f>
        <v> </v>
      </c>
      <c r="H3469" s="24" t="str">
        <f>IF(J3469&lt;&gt;1,"",IF(I3469="SBJ","CB","?"))</f>
        <v> </v>
      </c>
      <c r="I3469" s="25" t="str">
        <f>IF(OR(E3469="",E3469="!!!",F3469="NEW"),"",INDEX(B3468:B$2,-1+SUMPRODUCT(MAX(ROW(E3468:E$2)*(E3469=E3468:E$2)))))</f>
        <v> </v>
      </c>
      <c r="J3469" s="25" t="str">
        <f>IF(OR(E3469="",E3469="!!!",F3469="NEW"),"",COUNTBLANK(OFFSET(A$1,,,SUMPRODUCT(MAX(ROW(E$2:E3469)*(E3469=E$2:E3469)))))-COUNTBLANK(OFFSET(A$1,,,SUMPRODUCT(MAX(ROW(E$1:E3468)*(E2=E$1:E3468))))))</f>
        <v> </v>
      </c>
      <c r="K3469" s="25" t="str">
        <f>IF(OR(E3469="",E3469="!!!",F3469="NEW"),"",INDEX(J$1:J3468,SUMPRODUCT(MAX(ROW(E$1:E3468)*(E3469=E$1:E3468)))))</f>
        <v> </v>
      </c>
      <c r="L3469" s="26"/>
    </row>
    <row r="3470" spans="1:12">
      <c r="A3470" s="20" t="s">
        <v>811</v>
      </c>
      <c r="E3470" s="21">
        <f>IF(D3470="?OLD","!!!","")</f>
        <v/>
      </c>
      <c r="F3470" s="22" t="str">
        <f>IF(OR(E3470="",E3470="!!!"),"",IF(NOT(ISNA(VLOOKUP(E3470,E$1:E3469,1,FALSE()))),"OLD",IF(AND(E3470&lt;&gt;"",E3470&lt;&gt;"!!!"),"NEW","")))</f>
        <v> </v>
      </c>
      <c r="G3470" s="23" t="str">
        <f>IF(OR(E3470="",E3470="!!!"),"",IF(OR(J3470=0,AND(J3470=1,K3470=1),AND(J3470=1,I3470="SBJ"),AND(J3470=1,I3470=0)),"?IN_FOCUS",IF(J3470&lt;=2,"?ACTIVATED",IF(J3470&lt;&gt;"","?FAMILIAR",IF(F3470="NEW",IF(ISNA(VLOOKUP(E3470,#REF!,1,FALSE())),"?TYPE_IDENTIFIABLE","?REFERENTIAL"),"_")))))</f>
        <v> </v>
      </c>
      <c r="H3470" s="24" t="str">
        <f>IF(J3470&lt;&gt;1,"",IF(I3470="SBJ","CB","?"))</f>
        <v> </v>
      </c>
      <c r="I3470" s="25" t="str">
        <f>IF(OR(E3470="",E3470="!!!",F3470="NEW"),"",INDEX(B3469:B$2,-1+SUMPRODUCT(MAX(ROW(E3469:E$2)*(E3470=E3469:E$2)))))</f>
        <v> </v>
      </c>
      <c r="J3470" s="25" t="str">
        <f>IF(OR(E3470="",E3470="!!!",F3470="NEW"),"",COUNTBLANK(OFFSET(A$1,,,SUMPRODUCT(MAX(ROW(E$2:E3470)*(E3470=E$2:E3470)))))-COUNTBLANK(OFFSET(A$1,,,SUMPRODUCT(MAX(ROW(E$1:E3469)*(E2=E$1:E3469))))))</f>
        <v> </v>
      </c>
      <c r="K3470" s="25" t="str">
        <f>IF(OR(E3470="",E3470="!!!",F3470="NEW"),"",INDEX(J$1:J3469,SUMPRODUCT(MAX(ROW(E$1:E3469)*(E3470=E$1:E3469)))))</f>
        <v> </v>
      </c>
      <c r="L3470" s="26"/>
    </row>
    <row r="3471" spans="1:12">
      <c r="A3471" s="20" t="s">
        <v>129</v>
      </c>
      <c r="E3471" s="21">
        <f>IF(D3471="?OLD","!!!","")</f>
        <v/>
      </c>
      <c r="F3471" s="22" t="str">
        <f>IF(OR(E3471="",E3471="!!!"),"",IF(NOT(ISNA(VLOOKUP(E3471,E$1:E3470,1,FALSE()))),"OLD",IF(AND(E3471&lt;&gt;"",E3471&lt;&gt;"!!!"),"NEW","")))</f>
        <v> </v>
      </c>
      <c r="G3471" s="23" t="str">
        <f>IF(OR(E3471="",E3471="!!!"),"",IF(OR(J3471=0,AND(J3471=1,K3471=1),AND(J3471=1,I3471="SBJ"),AND(J3471=1,I3471=0)),"?IN_FOCUS",IF(J3471&lt;=2,"?ACTIVATED",IF(J3471&lt;&gt;"","?FAMILIAR",IF(F3471="NEW",IF(ISNA(VLOOKUP(E3471,#REF!,1,FALSE())),"?TYPE_IDENTIFIABLE","?REFERENTIAL"),"_")))))</f>
        <v> </v>
      </c>
      <c r="H3471" s="24" t="str">
        <f>IF(J3471&lt;&gt;1,"",IF(I3471="SBJ","CB","?"))</f>
        <v> </v>
      </c>
      <c r="I3471" s="25" t="str">
        <f>IF(OR(E3471="",E3471="!!!",F3471="NEW"),"",INDEX(B3470:B$2,-1+SUMPRODUCT(MAX(ROW(E3470:E$2)*(E3471=E3470:E$2)))))</f>
        <v> </v>
      </c>
      <c r="J3471" s="25" t="str">
        <f>IF(OR(E3471="",E3471="!!!",F3471="NEW"),"",COUNTBLANK(OFFSET(A$1,,,SUMPRODUCT(MAX(ROW(E$2:E3471)*(E3471=E$2:E3471)))))-COUNTBLANK(OFFSET(A$1,,,SUMPRODUCT(MAX(ROW(E$1:E3470)*(E2=E$1:E3470))))))</f>
        <v> </v>
      </c>
      <c r="K3471" s="25" t="str">
        <f>IF(OR(E3471="",E3471="!!!",F3471="NEW"),"",INDEX(J$1:J3470,SUMPRODUCT(MAX(ROW(E$1:E3470)*(E3471=E$1:E3470)))))</f>
        <v> </v>
      </c>
      <c r="L3471" s="26"/>
    </row>
    <row r="3472" spans="1:12">
      <c r="A3472" s="20" t="s">
        <v>1300</v>
      </c>
      <c r="E3472" s="21">
        <f>IF(D3472="?OLD","!!!","")</f>
        <v/>
      </c>
      <c r="F3472" s="22" t="str">
        <f>IF(OR(E3472="",E3472="!!!"),"",IF(NOT(ISNA(VLOOKUP(E3472,E$1:E3471,1,FALSE()))),"OLD",IF(AND(E3472&lt;&gt;"",E3472&lt;&gt;"!!!"),"NEW","")))</f>
        <v> </v>
      </c>
      <c r="G3472" s="23" t="str">
        <f>IF(OR(E3472="",E3472="!!!"),"",IF(OR(J3472=0,AND(J3472=1,K3472=1),AND(J3472=1,I3472="SBJ"),AND(J3472=1,I3472=0)),"?IN_FOCUS",IF(J3472&lt;=2,"?ACTIVATED",IF(J3472&lt;&gt;"","?FAMILIAR",IF(F3472="NEW",IF(ISNA(VLOOKUP(E3472,#REF!,1,FALSE())),"?TYPE_IDENTIFIABLE","?REFERENTIAL"),"_")))))</f>
        <v> </v>
      </c>
      <c r="H3472" s="24" t="str">
        <f>IF(J3472&lt;&gt;1,"",IF(I3472="SBJ","CB","?"))</f>
        <v> </v>
      </c>
      <c r="I3472" s="25" t="str">
        <f>IF(OR(E3472="",E3472="!!!",F3472="NEW"),"",INDEX(B3471:B$2,-1+SUMPRODUCT(MAX(ROW(E3471:E$2)*(E3472=E3471:E$2)))))</f>
        <v> </v>
      </c>
      <c r="J3472" s="25" t="str">
        <f>IF(OR(E3472="",E3472="!!!",F3472="NEW"),"",COUNTBLANK(OFFSET(A$1,,,SUMPRODUCT(MAX(ROW(E$2:E3472)*(E3472=E$2:E3472)))))-COUNTBLANK(OFFSET(A$1,,,SUMPRODUCT(MAX(ROW(E$1:E3471)*(E2=E$1:E3471))))))</f>
        <v> </v>
      </c>
      <c r="K3472" s="25" t="str">
        <f>IF(OR(E3472="",E3472="!!!",F3472="NEW"),"",INDEX(J$1:J3471,SUMPRODUCT(MAX(ROW(E$1:E3471)*(E3472=E$1:E3471)))))</f>
        <v> </v>
      </c>
      <c r="L3472" s="26"/>
    </row>
    <row r="3473" spans="1:12">
      <c r="A3473" s="20" t="s">
        <v>1792</v>
      </c>
      <c r="E3473" s="21">
        <f>IF(D3473="?OLD","!!!","")</f>
        <v/>
      </c>
      <c r="F3473" s="22" t="str">
        <f>IF(OR(E3473="",E3473="!!!"),"",IF(NOT(ISNA(VLOOKUP(E3473,E$1:E3472,1,FALSE()))),"OLD",IF(AND(E3473&lt;&gt;"",E3473&lt;&gt;"!!!"),"NEW","")))</f>
        <v> </v>
      </c>
      <c r="G3473" s="23" t="str">
        <f>IF(OR(E3473="",E3473="!!!"),"",IF(OR(J3473=0,AND(J3473=1,K3473=1),AND(J3473=1,I3473="SBJ"),AND(J3473=1,I3473=0)),"?IN_FOCUS",IF(J3473&lt;=2,"?ACTIVATED",IF(J3473&lt;&gt;"","?FAMILIAR",IF(F3473="NEW",IF(ISNA(VLOOKUP(E3473,#REF!,1,FALSE())),"?TYPE_IDENTIFIABLE","?REFERENTIAL"),"_")))))</f>
        <v> </v>
      </c>
      <c r="H3473" s="24" t="str">
        <f>IF(J3473&lt;&gt;1,"",IF(I3473="SBJ","CB","?"))</f>
        <v> </v>
      </c>
      <c r="I3473" s="25" t="str">
        <f>IF(OR(E3473="",E3473="!!!",F3473="NEW"),"",INDEX(B3472:B$2,-1+SUMPRODUCT(MAX(ROW(E3472:E$2)*(E3473=E3472:E$2)))))</f>
        <v> </v>
      </c>
      <c r="J3473" s="25" t="str">
        <f>IF(OR(E3473="",E3473="!!!",F3473="NEW"),"",COUNTBLANK(OFFSET(A$1,,,SUMPRODUCT(MAX(ROW(E$2:E3473)*(E3473=E$2:E3473)))))-COUNTBLANK(OFFSET(A$1,,,SUMPRODUCT(MAX(ROW(E$1:E3472)*(E2=E$1:E3472))))))</f>
        <v> </v>
      </c>
      <c r="K3473" s="25" t="str">
        <f>IF(OR(E3473="",E3473="!!!",F3473="NEW"),"",INDEX(J$1:J3472,SUMPRODUCT(MAX(ROW(E$1:E3472)*(E3473=E$1:E3472)))))</f>
        <v> </v>
      </c>
      <c r="L3473" s="26"/>
    </row>
    <row r="3474" spans="1:12">
      <c r="A3474" s="20" t="s">
        <v>954</v>
      </c>
      <c r="B3474" s="27" t="s">
        <v>1236</v>
      </c>
      <c r="C3474" s="27" t="s">
        <v>777</v>
      </c>
      <c r="D3474" s="27" t="s">
        <v>762</v>
      </c>
      <c r="E3474" s="21">
        <f>IF(D3474="?OLD","!!!","")</f>
        <v/>
      </c>
      <c r="F3474" s="22" t="str">
        <f>IF(OR(E3474="",E3474="!!!"),"",IF(NOT(ISNA(VLOOKUP(E3474,E$1:E3473,1,FALSE()))),"OLD",IF(AND(E3474&lt;&gt;"",E3474&lt;&gt;"!!!"),"NEW","")))</f>
        <v> </v>
      </c>
      <c r="G3474" s="23" t="str">
        <f>IF(OR(E3474="",E3474="!!!"),"",IF(OR(J3474=0,AND(J3474=1,K3474=1),AND(J3474=1,I3474="SBJ"),AND(J3474=1,I3474=0)),"?IN_FOCUS",IF(J3474&lt;=2,"?ACTIVATED",IF(J3474&lt;&gt;"","?FAMILIAR",IF(F3474="NEW",IF(ISNA(VLOOKUP(E3474,#REF!,1,FALSE())),"?TYPE_IDENTIFIABLE","?REFERENTIAL"),"_")))))</f>
        <v> </v>
      </c>
      <c r="H3474" s="24" t="str">
        <f>IF(J3474&lt;&gt;1,"",IF(I3474="SBJ","CB","?"))</f>
        <v> </v>
      </c>
      <c r="I3474" s="25" t="str">
        <f>IF(OR(E3474="",E3474="!!!",F3474="NEW"),"",INDEX(B3473:B$2,-1+SUMPRODUCT(MAX(ROW(E3473:E$2)*(E3474=E3473:E$2)))))</f>
        <v> </v>
      </c>
      <c r="J3474" s="25" t="str">
        <f>IF(OR(E3474="",E3474="!!!",F3474="NEW"),"",COUNTBLANK(OFFSET(A$1,,,SUMPRODUCT(MAX(ROW(E$2:E3474)*(E3474=E$2:E3474)))))-COUNTBLANK(OFFSET(A$1,,,SUMPRODUCT(MAX(ROW(E$1:E3473)*(E2=E$1:E3473))))))</f>
        <v> </v>
      </c>
      <c r="K3474" s="25" t="str">
        <f>IF(OR(E3474="",E3474="!!!",F3474="NEW"),"",INDEX(J$1:J3473,SUMPRODUCT(MAX(ROW(E$1:E3473)*(E3474=E$1:E3473)))))</f>
        <v> </v>
      </c>
      <c r="L3474" s="26"/>
    </row>
    <row r="3475" spans="1:12">
      <c r="A3475" s="20" t="s">
        <v>1020</v>
      </c>
      <c r="B3475" s="27" t="s">
        <v>1063</v>
      </c>
      <c r="E3475" s="21">
        <f>IF(D3475="?OLD","!!!","")</f>
        <v/>
      </c>
      <c r="F3475" s="22" t="str">
        <f>IF(OR(E3475="",E3475="!!!"),"",IF(NOT(ISNA(VLOOKUP(E3475,E$1:E3474,1,FALSE()))),"OLD",IF(AND(E3475&lt;&gt;"",E3475&lt;&gt;"!!!"),"NEW","")))</f>
        <v> </v>
      </c>
      <c r="G3475" s="23" t="str">
        <f>IF(OR(E3475="",E3475="!!!"),"",IF(OR(J3475=0,AND(J3475=1,K3475=1),AND(J3475=1,I3475="SBJ"),AND(J3475=1,I3475=0)),"?IN_FOCUS",IF(J3475&lt;=2,"?ACTIVATED",IF(J3475&lt;&gt;"","?FAMILIAR",IF(F3475="NEW",IF(ISNA(VLOOKUP(E3475,#REF!,1,FALSE())),"?TYPE_IDENTIFIABLE","?REFERENTIAL"),"_")))))</f>
        <v> </v>
      </c>
      <c r="H3475" s="24" t="str">
        <f>IF(J3475&lt;&gt;1,"",IF(I3475="SBJ","CB","?"))</f>
        <v> </v>
      </c>
      <c r="I3475" s="25" t="str">
        <f>IF(OR(E3475="",E3475="!!!",F3475="NEW"),"",INDEX(B3474:B$2,-1+SUMPRODUCT(MAX(ROW(E3474:E$2)*(E3475=E3474:E$2)))))</f>
        <v> </v>
      </c>
      <c r="J3475" s="25" t="str">
        <f>IF(OR(E3475="",E3475="!!!",F3475="NEW"),"",COUNTBLANK(OFFSET(A$1,,,SUMPRODUCT(MAX(ROW(E$2:E3475)*(E3475=E$2:E3475)))))-COUNTBLANK(OFFSET(A$1,,,SUMPRODUCT(MAX(ROW(E$1:E3474)*(E2=E$1:E3474))))))</f>
        <v> </v>
      </c>
      <c r="K3475" s="25" t="str">
        <f>IF(OR(E3475="",E3475="!!!",F3475="NEW"),"",INDEX(J$1:J3474,SUMPRODUCT(MAX(ROW(E$1:E3474)*(E3475=E$1:E3474)))))</f>
        <v> </v>
      </c>
      <c r="L3475" s="26"/>
    </row>
    <row r="3476" spans="1:12">
      <c r="A3476" s="20" t="s">
        <v>1051</v>
      </c>
      <c r="E3476" s="21">
        <f>IF(D3476="?OLD","!!!","")</f>
        <v/>
      </c>
      <c r="F3476" s="22" t="str">
        <f>IF(OR(E3476="",E3476="!!!"),"",IF(NOT(ISNA(VLOOKUP(E3476,E$1:E3475,1,FALSE()))),"OLD",IF(AND(E3476&lt;&gt;"",E3476&lt;&gt;"!!!"),"NEW","")))</f>
        <v> </v>
      </c>
      <c r="G3476" s="23" t="str">
        <f>IF(OR(E3476="",E3476="!!!"),"",IF(OR(J3476=0,AND(J3476=1,K3476=1),AND(J3476=1,I3476="SBJ"),AND(J3476=1,I3476=0)),"?IN_FOCUS",IF(J3476&lt;=2,"?ACTIVATED",IF(J3476&lt;&gt;"","?FAMILIAR",IF(F3476="NEW",IF(ISNA(VLOOKUP(E3476,#REF!,1,FALSE())),"?TYPE_IDENTIFIABLE","?REFERENTIAL"),"_")))))</f>
        <v> </v>
      </c>
      <c r="H3476" s="24" t="str">
        <f>IF(J3476&lt;&gt;1,"",IF(I3476="SBJ","CB","?"))</f>
        <v> </v>
      </c>
      <c r="I3476" s="25" t="str">
        <f>IF(OR(E3476="",E3476="!!!",F3476="NEW"),"",INDEX(B3475:B$2,-1+SUMPRODUCT(MAX(ROW(E3475:E$2)*(E3476=E3475:E$2)))))</f>
        <v> </v>
      </c>
      <c r="J3476" s="25" t="str">
        <f>IF(OR(E3476="",E3476="!!!",F3476="NEW"),"",COUNTBLANK(OFFSET(A$1,,,SUMPRODUCT(MAX(ROW(E$2:E3476)*(E3476=E$2:E3476)))))-COUNTBLANK(OFFSET(A$1,,,SUMPRODUCT(MAX(ROW(E$1:E3475)*(E2=E$1:E3475))))))</f>
        <v> </v>
      </c>
      <c r="K3476" s="25" t="str">
        <f>IF(OR(E3476="",E3476="!!!",F3476="NEW"),"",INDEX(J$1:J3475,SUMPRODUCT(MAX(ROW(E$1:E3475)*(E3476=E$1:E3475)))))</f>
        <v> </v>
      </c>
      <c r="L3476" s="26"/>
    </row>
    <row r="3477" spans="1:12">
      <c r="A3477" s="20" t="s">
        <v>1793</v>
      </c>
      <c r="E3477" s="21">
        <f>IF(D3477="?OLD","!!!","")</f>
        <v/>
      </c>
      <c r="F3477" s="22" t="str">
        <f>IF(OR(E3477="",E3477="!!!"),"",IF(NOT(ISNA(VLOOKUP(E3477,E$1:E3476,1,FALSE()))),"OLD",IF(AND(E3477&lt;&gt;"",E3477&lt;&gt;"!!!"),"NEW","")))</f>
        <v> </v>
      </c>
      <c r="G3477" s="23" t="str">
        <f>IF(OR(E3477="",E3477="!!!"),"",IF(OR(J3477=0,AND(J3477=1,K3477=1),AND(J3477=1,I3477="SBJ"),AND(J3477=1,I3477=0)),"?IN_FOCUS",IF(J3477&lt;=2,"?ACTIVATED",IF(J3477&lt;&gt;"","?FAMILIAR",IF(F3477="NEW",IF(ISNA(VLOOKUP(E3477,#REF!,1,FALSE())),"?TYPE_IDENTIFIABLE","?REFERENTIAL"),"_")))))</f>
        <v> </v>
      </c>
      <c r="H3477" s="24" t="str">
        <f>IF(J3477&lt;&gt;1,"",IF(I3477="SBJ","CB","?"))</f>
        <v> </v>
      </c>
      <c r="I3477" s="25" t="str">
        <f>IF(OR(E3477="",E3477="!!!",F3477="NEW"),"",INDEX(B3476:B$2,-1+SUMPRODUCT(MAX(ROW(E3476:E$2)*(E3477=E3476:E$2)))))</f>
        <v> </v>
      </c>
      <c r="J3477" s="25" t="str">
        <f>IF(OR(E3477="",E3477="!!!",F3477="NEW"),"",COUNTBLANK(OFFSET(A$1,,,SUMPRODUCT(MAX(ROW(E$2:E3477)*(E3477=E$2:E3477)))))-COUNTBLANK(OFFSET(A$1,,,SUMPRODUCT(MAX(ROW(E$1:E3476)*(E2=E$1:E3476))))))</f>
        <v> </v>
      </c>
      <c r="K3477" s="25" t="str">
        <f>IF(OR(E3477="",E3477="!!!",F3477="NEW"),"",INDEX(J$1:J3476,SUMPRODUCT(MAX(ROW(E$1:E3476)*(E3477=E$1:E3476)))))</f>
        <v> </v>
      </c>
      <c r="L3477" s="26"/>
    </row>
    <row r="3478" spans="1:12">
      <c r="A3478" s="20" t="s">
        <v>872</v>
      </c>
      <c r="E3478" s="21">
        <f>IF(D3478="?OLD","!!!","")</f>
        <v/>
      </c>
      <c r="F3478" s="22" t="str">
        <f>IF(OR(E3478="",E3478="!!!"),"",IF(NOT(ISNA(VLOOKUP(E3478,E$1:E3477,1,FALSE()))),"OLD",IF(AND(E3478&lt;&gt;"",E3478&lt;&gt;"!!!"),"NEW","")))</f>
        <v> </v>
      </c>
      <c r="G3478" s="23" t="str">
        <f>IF(OR(E3478="",E3478="!!!"),"",IF(OR(J3478=0,AND(J3478=1,K3478=1),AND(J3478=1,I3478="SBJ"),AND(J3478=1,I3478=0)),"?IN_FOCUS",IF(J3478&lt;=2,"?ACTIVATED",IF(J3478&lt;&gt;"","?FAMILIAR",IF(F3478="NEW",IF(ISNA(VLOOKUP(E3478,#REF!,1,FALSE())),"?TYPE_IDENTIFIABLE","?REFERENTIAL"),"_")))))</f>
        <v> </v>
      </c>
      <c r="H3478" s="24" t="str">
        <f>IF(J3478&lt;&gt;1,"",IF(I3478="SBJ","CB","?"))</f>
        <v> </v>
      </c>
      <c r="I3478" s="25" t="str">
        <f>IF(OR(E3478="",E3478="!!!",F3478="NEW"),"",INDEX(B3477:B$2,-1+SUMPRODUCT(MAX(ROW(E3477:E$2)*(E3478=E3477:E$2)))))</f>
        <v> </v>
      </c>
      <c r="J3478" s="25" t="str">
        <f>IF(OR(E3478="",E3478="!!!",F3478="NEW"),"",COUNTBLANK(OFFSET(A$1,,,SUMPRODUCT(MAX(ROW(E$2:E3478)*(E3478=E$2:E3478)))))-COUNTBLANK(OFFSET(A$1,,,SUMPRODUCT(MAX(ROW(E$1:E3477)*(E2=E$1:E3477))))))</f>
        <v> </v>
      </c>
      <c r="K3478" s="25" t="str">
        <f>IF(OR(E3478="",E3478="!!!",F3478="NEW"),"",INDEX(J$1:J3477,SUMPRODUCT(MAX(ROW(E$1:E3477)*(E3478=E$1:E3477)))))</f>
        <v> </v>
      </c>
      <c r="L3478" s="26"/>
    </row>
    <row r="3479" spans="1:12">
      <c r="A3479" s="20" t="s">
        <v>1099</v>
      </c>
      <c r="B3479" s="27" t="s">
        <v>1130</v>
      </c>
      <c r="C3479" s="27" t="s">
        <v>851</v>
      </c>
      <c r="D3479" s="27" t="s">
        <v>762</v>
      </c>
      <c r="E3479" s="21">
        <f>IF(D3479="?OLD","!!!","")</f>
        <v/>
      </c>
      <c r="F3479" s="22" t="str">
        <f>IF(OR(E3479="",E3479="!!!"),"",IF(NOT(ISNA(VLOOKUP(E3479,E$1:E3478,1,FALSE()))),"OLD",IF(AND(E3479&lt;&gt;"",E3479&lt;&gt;"!!!"),"NEW","")))</f>
        <v> </v>
      </c>
      <c r="G3479" s="23" t="str">
        <f>IF(OR(E3479="",E3479="!!!"),"",IF(OR(J3479=0,AND(J3479=1,K3479=1),AND(J3479=1,I3479="SBJ"),AND(J3479=1,I3479=0)),"?IN_FOCUS",IF(J3479&lt;=2,"?ACTIVATED",IF(J3479&lt;&gt;"","?FAMILIAR",IF(F3479="NEW",IF(ISNA(VLOOKUP(E3479,#REF!,1,FALSE())),"?TYPE_IDENTIFIABLE","?REFERENTIAL"),"_")))))</f>
        <v> </v>
      </c>
      <c r="H3479" s="24" t="str">
        <f>IF(J3479&lt;&gt;1,"",IF(I3479="SBJ","CB","?"))</f>
        <v> </v>
      </c>
      <c r="I3479" s="25" t="str">
        <f>IF(OR(E3479="",E3479="!!!",F3479="NEW"),"",INDEX(B3478:B$2,-1+SUMPRODUCT(MAX(ROW(E3478:E$2)*(E3479=E3478:E$2)))))</f>
        <v> </v>
      </c>
      <c r="J3479" s="25" t="str">
        <f>IF(OR(E3479="",E3479="!!!",F3479="NEW"),"",COUNTBLANK(OFFSET(A$1,,,SUMPRODUCT(MAX(ROW(E$2:E3479)*(E3479=E$2:E3479)))))-COUNTBLANK(OFFSET(A$1,,,SUMPRODUCT(MAX(ROW(E$1:E3478)*(E2=E$1:E3478))))))</f>
        <v> </v>
      </c>
      <c r="K3479" s="25" t="str">
        <f>IF(OR(E3479="",E3479="!!!",F3479="NEW"),"",INDEX(J$1:J3478,SUMPRODUCT(MAX(ROW(E$1:E3478)*(E3479=E$1:E3478)))))</f>
        <v> </v>
      </c>
      <c r="L3479" s="26"/>
    </row>
    <row r="3480" spans="1:12">
      <c r="A3480" s="20" t="s">
        <v>1794</v>
      </c>
      <c r="B3480" s="27" t="s">
        <v>1129</v>
      </c>
      <c r="C3480" s="27" t="s">
        <v>837</v>
      </c>
      <c r="D3480" s="27" t="s">
        <v>762</v>
      </c>
      <c r="E3480" s="21">
        <f>IF(D3480="?OLD","!!!","")</f>
        <v/>
      </c>
      <c r="F3480" s="22" t="str">
        <f>IF(OR(E3480="",E3480="!!!"),"",IF(NOT(ISNA(VLOOKUP(E3480,E$1:E3479,1,FALSE()))),"OLD",IF(AND(E3480&lt;&gt;"",E3480&lt;&gt;"!!!"),"NEW","")))</f>
        <v> </v>
      </c>
      <c r="G3480" s="23" t="str">
        <f>IF(OR(E3480="",E3480="!!!"),"",IF(OR(J3480=0,AND(J3480=1,K3480=1),AND(J3480=1,I3480="SBJ"),AND(J3480=1,I3480=0)),"?IN_FOCUS",IF(J3480&lt;=2,"?ACTIVATED",IF(J3480&lt;&gt;"","?FAMILIAR",IF(F3480="NEW",IF(ISNA(VLOOKUP(E3480,#REF!,1,FALSE())),"?TYPE_IDENTIFIABLE","?REFERENTIAL"),"_")))))</f>
        <v> </v>
      </c>
      <c r="H3480" s="24" t="str">
        <f>IF(J3480&lt;&gt;1,"",IF(I3480="SBJ","CB","?"))</f>
        <v> </v>
      </c>
      <c r="I3480" s="25" t="str">
        <f>IF(OR(E3480="",E3480="!!!",F3480="NEW"),"",INDEX(B3479:B$2,-1+SUMPRODUCT(MAX(ROW(E3479:E$2)*(E3480=E3479:E$2)))))</f>
        <v> </v>
      </c>
      <c r="J3480" s="25" t="str">
        <f>IF(OR(E3480="",E3480="!!!",F3480="NEW"),"",COUNTBLANK(OFFSET(A$1,,,SUMPRODUCT(MAX(ROW(E$2:E3480)*(E3480=E$2:E3480)))))-COUNTBLANK(OFFSET(A$1,,,SUMPRODUCT(MAX(ROW(E$1:E3479)*(E2=E$1:E3479))))))</f>
        <v> </v>
      </c>
      <c r="K3480" s="25" t="str">
        <f>IF(OR(E3480="",E3480="!!!",F3480="NEW"),"",INDEX(J$1:J3479,SUMPRODUCT(MAX(ROW(E$1:E3479)*(E3480=E$1:E3479)))))</f>
        <v> </v>
      </c>
      <c r="L3480" s="26"/>
    </row>
    <row r="3481" spans="1:12">
      <c r="A3481" s="20" t="s">
        <v>774</v>
      </c>
      <c r="E3481" s="21">
        <f>IF(D3481="?OLD","!!!","")</f>
        <v/>
      </c>
      <c r="F3481" s="22" t="str">
        <f>IF(OR(E3481="",E3481="!!!"),"",IF(NOT(ISNA(VLOOKUP(E3481,E$1:E3480,1,FALSE()))),"OLD",IF(AND(E3481&lt;&gt;"",E3481&lt;&gt;"!!!"),"NEW","")))</f>
        <v> </v>
      </c>
      <c r="G3481" s="23" t="str">
        <f>IF(OR(E3481="",E3481="!!!"),"",IF(OR(J3481=0,AND(J3481=1,K3481=1),AND(J3481=1,I3481="SBJ"),AND(J3481=1,I3481=0)),"?IN_FOCUS",IF(J3481&lt;=2,"?ACTIVATED",IF(J3481&lt;&gt;"","?FAMILIAR",IF(F3481="NEW",IF(ISNA(VLOOKUP(E3481,#REF!,1,FALSE())),"?TYPE_IDENTIFIABLE","?REFERENTIAL"),"_")))))</f>
        <v> </v>
      </c>
      <c r="H3481" s="24" t="str">
        <f>IF(J3481&lt;&gt;1,"",IF(I3481="SBJ","CB","?"))</f>
        <v> </v>
      </c>
      <c r="I3481" s="25" t="str">
        <f>IF(OR(E3481="",E3481="!!!",F3481="NEW"),"",INDEX(B3480:B$2,-1+SUMPRODUCT(MAX(ROW(E3480:E$2)*(E3481=E3480:E$2)))))</f>
        <v> </v>
      </c>
      <c r="J3481" s="25" t="str">
        <f>IF(OR(E3481="",E3481="!!!",F3481="NEW"),"",COUNTBLANK(OFFSET(A$1,,,SUMPRODUCT(MAX(ROW(E$2:E3481)*(E3481=E$2:E3481)))))-COUNTBLANK(OFFSET(A$1,,,SUMPRODUCT(MAX(ROW(E$1:E3480)*(E2=E$1:E3480))))))</f>
        <v> </v>
      </c>
      <c r="K3481" s="25" t="str">
        <f>IF(OR(E3481="",E3481="!!!",F3481="NEW"),"",INDEX(J$1:J3480,SUMPRODUCT(MAX(ROW(E$1:E3480)*(E3481=E$1:E3480)))))</f>
        <v> </v>
      </c>
      <c r="L3481" s="26"/>
    </row>
    <row r="3482" spans="1:12">
      <c r="A3482" s="20"/>
    </row>
    <row r="3483" spans="1:12">
      <c r="A3483" s="20" t="s">
        <v>1795</v>
      </c>
    </row>
    <row r="3484" spans="1:12">
      <c r="A3484" s="20" t="s">
        <v>818</v>
      </c>
      <c r="E3484" s="21">
        <f>IF(D3484="?OLD","!!!","")</f>
        <v/>
      </c>
      <c r="F3484" s="22" t="str">
        <f>IF(OR(E3484="",E3484="!!!"),"",IF(NOT(ISNA(VLOOKUP(E3484,E$1:E3483,1,FALSE()))),"OLD",IF(AND(E3484&lt;&gt;"",E3484&lt;&gt;"!!!"),"NEW","")))</f>
        <v> </v>
      </c>
      <c r="G3484" s="23" t="str">
        <f>IF(OR(E3484="",E3484="!!!"),"",IF(OR(J3484=0,AND(J3484=1,K3484=1),AND(J3484=1,I3484="SBJ"),AND(J3484=1,I3484=0)),"?IN_FOCUS",IF(J3484&lt;=2,"?ACTIVATED",IF(J3484&lt;&gt;"","?FAMILIAR",IF(F3484="NEW",IF(ISNA(VLOOKUP(E3484,#REF!,1,FALSE())),"?TYPE_IDENTIFIABLE","?REFERENTIAL"),"_")))))</f>
        <v> </v>
      </c>
      <c r="H3484" s="24" t="str">
        <f>IF(J3484&lt;&gt;1,"",IF(I3484="SBJ","CB","?"))</f>
        <v> </v>
      </c>
      <c r="I3484" s="25" t="str">
        <f>IF(OR(E3484="",E3484="!!!",F3484="NEW"),"",INDEX(B3483:B$2,-1+SUMPRODUCT(MAX(ROW(E3483:E$2)*(E3484=E3483:E$2)))))</f>
        <v> </v>
      </c>
      <c r="J3484" s="25" t="str">
        <f>IF(OR(E3484="",E3484="!!!",F3484="NEW"),"",COUNTBLANK(OFFSET(A$1,,,SUMPRODUCT(MAX(ROW(E$2:E3484)*(E3484=E$2:E3484)))))-COUNTBLANK(OFFSET(A$1,,,SUMPRODUCT(MAX(ROW(E$1:E3483)*(E2=E$1:E3483))))))</f>
        <v> </v>
      </c>
      <c r="K3484" s="25" t="str">
        <f>IF(OR(E3484="",E3484="!!!",F3484="NEW"),"",INDEX(J$1:J3483,SUMPRODUCT(MAX(ROW(E$1:E3483)*(E3484=E$1:E3483)))))</f>
        <v> </v>
      </c>
      <c r="L3484" s="26"/>
    </row>
    <row r="3485" spans="1:12">
      <c r="A3485" s="20" t="s">
        <v>866</v>
      </c>
      <c r="E3485" s="21">
        <f>IF(D3485="?OLD","!!!","")</f>
        <v/>
      </c>
      <c r="F3485" s="22" t="str">
        <f>IF(OR(E3485="",E3485="!!!"),"",IF(NOT(ISNA(VLOOKUP(E3485,E$1:E3484,1,FALSE()))),"OLD",IF(AND(E3485&lt;&gt;"",E3485&lt;&gt;"!!!"),"NEW","")))</f>
        <v> </v>
      </c>
      <c r="G3485" s="23" t="str">
        <f>IF(OR(E3485="",E3485="!!!"),"",IF(OR(J3485=0,AND(J3485=1,K3485=1),AND(J3485=1,I3485="SBJ"),AND(J3485=1,I3485=0)),"?IN_FOCUS",IF(J3485&lt;=2,"?ACTIVATED",IF(J3485&lt;&gt;"","?FAMILIAR",IF(F3485="NEW",IF(ISNA(VLOOKUP(E3485,#REF!,1,FALSE())),"?TYPE_IDENTIFIABLE","?REFERENTIAL"),"_")))))</f>
        <v> </v>
      </c>
      <c r="H3485" s="24" t="str">
        <f>IF(J3485&lt;&gt;1,"",IF(I3485="SBJ","CB","?"))</f>
        <v> </v>
      </c>
      <c r="I3485" s="25" t="str">
        <f>IF(OR(E3485="",E3485="!!!",F3485="NEW"),"",INDEX(B3484:B$2,-1+SUMPRODUCT(MAX(ROW(E3484:E$2)*(E3485=E3484:E$2)))))</f>
        <v> </v>
      </c>
      <c r="J3485" s="25" t="str">
        <f>IF(OR(E3485="",E3485="!!!",F3485="NEW"),"",COUNTBLANK(OFFSET(A$1,,,SUMPRODUCT(MAX(ROW(E$2:E3485)*(E3485=E$2:E3485)))))-COUNTBLANK(OFFSET(A$1,,,SUMPRODUCT(MAX(ROW(E$1:E3484)*(E2=E$1:E3484))))))</f>
        <v> </v>
      </c>
      <c r="K3485" s="25" t="str">
        <f>IF(OR(E3485="",E3485="!!!",F3485="NEW"),"",INDEX(J$1:J3484,SUMPRODUCT(MAX(ROW(E$1:E3484)*(E3485=E$1:E3484)))))</f>
        <v> </v>
      </c>
      <c r="L3485" s="26"/>
    </row>
    <row r="3486" spans="1:12">
      <c r="A3486" s="20" t="s">
        <v>827</v>
      </c>
      <c r="B3486" s="27" t="s">
        <v>796</v>
      </c>
      <c r="C3486" s="27" t="s">
        <v>797</v>
      </c>
      <c r="D3486" s="27" t="s">
        <v>762</v>
      </c>
      <c r="E3486" s="21">
        <f>IF(D3486="?OLD","!!!","")</f>
        <v/>
      </c>
      <c r="F3486" s="22" t="str">
        <f>IF(OR(E3486="",E3486="!!!"),"",IF(NOT(ISNA(VLOOKUP(E3486,E$1:E3485,1,FALSE()))),"OLD",IF(AND(E3486&lt;&gt;"",E3486&lt;&gt;"!!!"),"NEW","")))</f>
        <v> </v>
      </c>
      <c r="G3486" s="23" t="str">
        <f>IF(OR(E3486="",E3486="!!!"),"",IF(OR(J3486=0,AND(J3486=1,K3486=1),AND(J3486=1,I3486="SBJ"),AND(J3486=1,I3486=0)),"?IN_FOCUS",IF(J3486&lt;=2,"?ACTIVATED",IF(J3486&lt;&gt;"","?FAMILIAR",IF(F3486="NEW",IF(ISNA(VLOOKUP(E3486,#REF!,1,FALSE())),"?TYPE_IDENTIFIABLE","?REFERENTIAL"),"_")))))</f>
        <v> </v>
      </c>
      <c r="H3486" s="24" t="str">
        <f>IF(J3486&lt;&gt;1,"",IF(I3486="SBJ","CB","?"))</f>
        <v> </v>
      </c>
      <c r="I3486" s="25" t="str">
        <f>IF(OR(E3486="",E3486="!!!",F3486="NEW"),"",INDEX(B3485:B$2,-1+SUMPRODUCT(MAX(ROW(E3485:E$2)*(E3486=E3485:E$2)))))</f>
        <v> </v>
      </c>
      <c r="J3486" s="25" t="str">
        <f>IF(OR(E3486="",E3486="!!!",F3486="NEW"),"",COUNTBLANK(OFFSET(A$1,,,SUMPRODUCT(MAX(ROW(E$2:E3486)*(E3486=E$2:E3486)))))-COUNTBLANK(OFFSET(A$1,,,SUMPRODUCT(MAX(ROW(E$1:E3485)*(E2=E$1:E3485))))))</f>
        <v> </v>
      </c>
      <c r="K3486" s="25" t="str">
        <f>IF(OR(E3486="",E3486="!!!",F3486="NEW"),"",INDEX(J$1:J3485,SUMPRODUCT(MAX(ROW(E$1:E3485)*(E3486=E$1:E3485)))))</f>
        <v> </v>
      </c>
      <c r="L3486" s="26"/>
    </row>
    <row r="3487" spans="1:12">
      <c r="A3487" s="20" t="s">
        <v>909</v>
      </c>
      <c r="E3487" s="21">
        <f>IF(D3487="?OLD","!!!","")</f>
        <v/>
      </c>
      <c r="F3487" s="22" t="str">
        <f>IF(OR(E3487="",E3487="!!!"),"",IF(NOT(ISNA(VLOOKUP(E3487,E$1:E3486,1,FALSE()))),"OLD",IF(AND(E3487&lt;&gt;"",E3487&lt;&gt;"!!!"),"NEW","")))</f>
        <v> </v>
      </c>
      <c r="G3487" s="23" t="str">
        <f>IF(OR(E3487="",E3487="!!!"),"",IF(OR(J3487=0,AND(J3487=1,K3487=1),AND(J3487=1,I3487="SBJ"),AND(J3487=1,I3487=0)),"?IN_FOCUS",IF(J3487&lt;=2,"?ACTIVATED",IF(J3487&lt;&gt;"","?FAMILIAR",IF(F3487="NEW",IF(ISNA(VLOOKUP(E3487,#REF!,1,FALSE())),"?TYPE_IDENTIFIABLE","?REFERENTIAL"),"_")))))</f>
        <v> </v>
      </c>
      <c r="H3487" s="24" t="str">
        <f>IF(J3487&lt;&gt;1,"",IF(I3487="SBJ","CB","?"))</f>
        <v> </v>
      </c>
      <c r="I3487" s="25" t="str">
        <f>IF(OR(E3487="",E3487="!!!",F3487="NEW"),"",INDEX(B3486:B$2,-1+SUMPRODUCT(MAX(ROW(E3486:E$2)*(E3487=E3486:E$2)))))</f>
        <v> </v>
      </c>
      <c r="J3487" s="25" t="str">
        <f>IF(OR(E3487="",E3487="!!!",F3487="NEW"),"",COUNTBLANK(OFFSET(A$1,,,SUMPRODUCT(MAX(ROW(E$2:E3487)*(E3487=E$2:E3487)))))-COUNTBLANK(OFFSET(A$1,,,SUMPRODUCT(MAX(ROW(E$1:E3486)*(E2=E$1:E3486))))))</f>
        <v> </v>
      </c>
      <c r="K3487" s="25" t="str">
        <f>IF(OR(E3487="",E3487="!!!",F3487="NEW"),"",INDEX(J$1:J3486,SUMPRODUCT(MAX(ROW(E$1:E3486)*(E3487=E$1:E3486)))))</f>
        <v> </v>
      </c>
      <c r="L3487" s="26"/>
    </row>
    <row r="3488" spans="1:12">
      <c r="A3488" s="20" t="s">
        <v>1796</v>
      </c>
      <c r="E3488" s="21">
        <f>IF(D3488="?OLD","!!!","")</f>
        <v/>
      </c>
      <c r="F3488" s="22" t="str">
        <f>IF(OR(E3488="",E3488="!!!"),"",IF(NOT(ISNA(VLOOKUP(E3488,E$1:E3487,1,FALSE()))),"OLD",IF(AND(E3488&lt;&gt;"",E3488&lt;&gt;"!!!"),"NEW","")))</f>
        <v> </v>
      </c>
      <c r="G3488" s="23" t="str">
        <f>IF(OR(E3488="",E3488="!!!"),"",IF(OR(J3488=0,AND(J3488=1,K3488=1),AND(J3488=1,I3488="SBJ"),AND(J3488=1,I3488=0)),"?IN_FOCUS",IF(J3488&lt;=2,"?ACTIVATED",IF(J3488&lt;&gt;"","?FAMILIAR",IF(F3488="NEW",IF(ISNA(VLOOKUP(E3488,#REF!,1,FALSE())),"?TYPE_IDENTIFIABLE","?REFERENTIAL"),"_")))))</f>
        <v> </v>
      </c>
      <c r="H3488" s="24" t="str">
        <f>IF(J3488&lt;&gt;1,"",IF(I3488="SBJ","CB","?"))</f>
        <v> </v>
      </c>
      <c r="I3488" s="25" t="str">
        <f>IF(OR(E3488="",E3488="!!!",F3488="NEW"),"",INDEX(B3487:B$2,-1+SUMPRODUCT(MAX(ROW(E3487:E$2)*(E3488=E3487:E$2)))))</f>
        <v> </v>
      </c>
      <c r="J3488" s="25" t="str">
        <f>IF(OR(E3488="",E3488="!!!",F3488="NEW"),"",COUNTBLANK(OFFSET(A$1,,,SUMPRODUCT(MAX(ROW(E$2:E3488)*(E3488=E$2:E3488)))))-COUNTBLANK(OFFSET(A$1,,,SUMPRODUCT(MAX(ROW(E$1:E3487)*(E2=E$1:E3487))))))</f>
        <v> </v>
      </c>
      <c r="K3488" s="25" t="str">
        <f>IF(OR(E3488="",E3488="!!!",F3488="NEW"),"",INDEX(J$1:J3487,SUMPRODUCT(MAX(ROW(E$1:E3487)*(E3488=E$1:E3487)))))</f>
        <v> </v>
      </c>
      <c r="L3488" s="26"/>
    </row>
    <row r="3489" spans="1:12">
      <c r="A3489" s="20" t="s">
        <v>875</v>
      </c>
      <c r="E3489" s="21">
        <f>IF(D3489="?OLD","!!!","")</f>
        <v/>
      </c>
      <c r="F3489" s="22" t="str">
        <f>IF(OR(E3489="",E3489="!!!"),"",IF(NOT(ISNA(VLOOKUP(E3489,E$1:E3488,1,FALSE()))),"OLD",IF(AND(E3489&lt;&gt;"",E3489&lt;&gt;"!!!"),"NEW","")))</f>
        <v> </v>
      </c>
      <c r="G3489" s="23" t="str">
        <f>IF(OR(E3489="",E3489="!!!"),"",IF(OR(J3489=0,AND(J3489=1,K3489=1),AND(J3489=1,I3489="SBJ"),AND(J3489=1,I3489=0)),"?IN_FOCUS",IF(J3489&lt;=2,"?ACTIVATED",IF(J3489&lt;&gt;"","?FAMILIAR",IF(F3489="NEW",IF(ISNA(VLOOKUP(E3489,#REF!,1,FALSE())),"?TYPE_IDENTIFIABLE","?REFERENTIAL"),"_")))))</f>
        <v> </v>
      </c>
      <c r="H3489" s="24" t="str">
        <f>IF(J3489&lt;&gt;1,"",IF(I3489="SBJ","CB","?"))</f>
        <v> </v>
      </c>
      <c r="I3489" s="25" t="str">
        <f>IF(OR(E3489="",E3489="!!!",F3489="NEW"),"",INDEX(B3488:B$2,-1+SUMPRODUCT(MAX(ROW(E3488:E$2)*(E3489=E3488:E$2)))))</f>
        <v> </v>
      </c>
      <c r="J3489" s="25" t="str">
        <f>IF(OR(E3489="",E3489="!!!",F3489="NEW"),"",COUNTBLANK(OFFSET(A$1,,,SUMPRODUCT(MAX(ROW(E$2:E3489)*(E3489=E$2:E3489)))))-COUNTBLANK(OFFSET(A$1,,,SUMPRODUCT(MAX(ROW(E$1:E3488)*(E2=E$1:E3488))))))</f>
        <v> </v>
      </c>
      <c r="K3489" s="25" t="str">
        <f>IF(OR(E3489="",E3489="!!!",F3489="NEW"),"",INDEX(J$1:J3488,SUMPRODUCT(MAX(ROW(E$1:E3488)*(E3489=E$1:E3488)))))</f>
        <v> </v>
      </c>
      <c r="L3489" s="26"/>
    </row>
    <row r="3490" spans="1:12">
      <c r="A3490" s="20" t="s">
        <v>795</v>
      </c>
      <c r="B3490" s="27" t="s">
        <v>772</v>
      </c>
      <c r="C3490" s="27" t="s">
        <v>797</v>
      </c>
      <c r="D3490" s="27" t="s">
        <v>762</v>
      </c>
      <c r="E3490" s="21">
        <f>IF(D3490="?OLD","!!!","")</f>
        <v/>
      </c>
      <c r="F3490" s="22" t="str">
        <f>IF(OR(E3490="",E3490="!!!"),"",IF(NOT(ISNA(VLOOKUP(E3490,E$1:E3489,1,FALSE()))),"OLD",IF(AND(E3490&lt;&gt;"",E3490&lt;&gt;"!!!"),"NEW","")))</f>
        <v> </v>
      </c>
      <c r="G3490" s="23" t="str">
        <f>IF(OR(E3490="",E3490="!!!"),"",IF(OR(J3490=0,AND(J3490=1,K3490=1),AND(J3490=1,I3490="SBJ"),AND(J3490=1,I3490=0)),"?IN_FOCUS",IF(J3490&lt;=2,"?ACTIVATED",IF(J3490&lt;&gt;"","?FAMILIAR",IF(F3490="NEW",IF(ISNA(VLOOKUP(E3490,#REF!,1,FALSE())),"?TYPE_IDENTIFIABLE","?REFERENTIAL"),"_")))))</f>
        <v> </v>
      </c>
      <c r="H3490" s="24" t="str">
        <f>IF(J3490&lt;&gt;1,"",IF(I3490="SBJ","CB","?"))</f>
        <v> </v>
      </c>
      <c r="I3490" s="25" t="str">
        <f>IF(OR(E3490="",E3490="!!!",F3490="NEW"),"",INDEX(B3489:B$2,-1+SUMPRODUCT(MAX(ROW(E3489:E$2)*(E3490=E3489:E$2)))))</f>
        <v> </v>
      </c>
      <c r="J3490" s="25" t="str">
        <f>IF(OR(E3490="",E3490="!!!",F3490="NEW"),"",COUNTBLANK(OFFSET(A$1,,,SUMPRODUCT(MAX(ROW(E$2:E3490)*(E3490=E$2:E3490)))))-COUNTBLANK(OFFSET(A$1,,,SUMPRODUCT(MAX(ROW(E$1:E3489)*(E2=E$1:E3489))))))</f>
        <v> </v>
      </c>
      <c r="K3490" s="25" t="str">
        <f>IF(OR(E3490="",E3490="!!!",F3490="NEW"),"",INDEX(J$1:J3489,SUMPRODUCT(MAX(ROW(E$1:E3489)*(E3490=E$1:E3489)))))</f>
        <v> </v>
      </c>
      <c r="L3490" s="26"/>
    </row>
    <row r="3491" spans="1:12">
      <c r="A3491" s="20" t="s">
        <v>1528</v>
      </c>
      <c r="E3491" s="21">
        <f>IF(D3491="?OLD","!!!","")</f>
        <v/>
      </c>
      <c r="F3491" s="22" t="str">
        <f>IF(OR(E3491="",E3491="!!!"),"",IF(NOT(ISNA(VLOOKUP(E3491,E$1:E3490,1,FALSE()))),"OLD",IF(AND(E3491&lt;&gt;"",E3491&lt;&gt;"!!!"),"NEW","")))</f>
        <v> </v>
      </c>
      <c r="G3491" s="23" t="str">
        <f>IF(OR(E3491="",E3491="!!!"),"",IF(OR(J3491=0,AND(J3491=1,K3491=1),AND(J3491=1,I3491="SBJ"),AND(J3491=1,I3491=0)),"?IN_FOCUS",IF(J3491&lt;=2,"?ACTIVATED",IF(J3491&lt;&gt;"","?FAMILIAR",IF(F3491="NEW",IF(ISNA(VLOOKUP(E3491,#REF!,1,FALSE())),"?TYPE_IDENTIFIABLE","?REFERENTIAL"),"_")))))</f>
        <v> </v>
      </c>
      <c r="H3491" s="24" t="str">
        <f>IF(J3491&lt;&gt;1,"",IF(I3491="SBJ","CB","?"))</f>
        <v> </v>
      </c>
      <c r="I3491" s="25" t="str">
        <f>IF(OR(E3491="",E3491="!!!",F3491="NEW"),"",INDEX(B3490:B$2,-1+SUMPRODUCT(MAX(ROW(E3490:E$2)*(E3491=E3490:E$2)))))</f>
        <v> </v>
      </c>
      <c r="J3491" s="25" t="str">
        <f>IF(OR(E3491="",E3491="!!!",F3491="NEW"),"",COUNTBLANK(OFFSET(A$1,,,SUMPRODUCT(MAX(ROW(E$2:E3491)*(E3491=E$2:E3491)))))-COUNTBLANK(OFFSET(A$1,,,SUMPRODUCT(MAX(ROW(E$1:E3490)*(E2=E$1:E3490))))))</f>
        <v> </v>
      </c>
      <c r="K3491" s="25" t="str">
        <f>IF(OR(E3491="",E3491="!!!",F3491="NEW"),"",INDEX(J$1:J3490,SUMPRODUCT(MAX(ROW(E$1:E3490)*(E3491=E$1:E3490)))))</f>
        <v> </v>
      </c>
      <c r="L3491" s="26"/>
    </row>
    <row r="3492" spans="1:12">
      <c r="A3492" s="20" t="s">
        <v>1444</v>
      </c>
      <c r="B3492" s="27" t="s">
        <v>772</v>
      </c>
      <c r="C3492" s="27" t="s">
        <v>803</v>
      </c>
      <c r="E3492" s="21">
        <f>IF(D3492="?OLD","!!!","")</f>
        <v/>
      </c>
      <c r="F3492" s="22" t="str">
        <f>IF(OR(E3492="",E3492="!!!"),"",IF(NOT(ISNA(VLOOKUP(E3492,E$1:E3491,1,FALSE()))),"OLD",IF(AND(E3492&lt;&gt;"",E3492&lt;&gt;"!!!"),"NEW","")))</f>
        <v> </v>
      </c>
      <c r="G3492" s="23" t="str">
        <f>IF(OR(E3492="",E3492="!!!"),"",IF(OR(J3492=0,AND(J3492=1,K3492=1),AND(J3492=1,I3492="SBJ"),AND(J3492=1,I3492=0)),"?IN_FOCUS",IF(J3492&lt;=2,"?ACTIVATED",IF(J3492&lt;&gt;"","?FAMILIAR",IF(F3492="NEW",IF(ISNA(VLOOKUP(E3492,#REF!,1,FALSE())),"?TYPE_IDENTIFIABLE","?REFERENTIAL"),"_")))))</f>
        <v> </v>
      </c>
      <c r="H3492" s="24" t="str">
        <f>IF(J3492&lt;&gt;1,"",IF(I3492="SBJ","CB","?"))</f>
        <v> </v>
      </c>
      <c r="I3492" s="25" t="str">
        <f>IF(OR(E3492="",E3492="!!!",F3492="NEW"),"",INDEX(B3491:B$2,-1+SUMPRODUCT(MAX(ROW(E3491:E$2)*(E3492=E3491:E$2)))))</f>
        <v> </v>
      </c>
      <c r="J3492" s="25" t="str">
        <f>IF(OR(E3492="",E3492="!!!",F3492="NEW"),"",COUNTBLANK(OFFSET(A$1,,,SUMPRODUCT(MAX(ROW(E$2:E3492)*(E3492=E$2:E3492)))))-COUNTBLANK(OFFSET(A$1,,,SUMPRODUCT(MAX(ROW(E$1:E3491)*(E2=E$1:E3491))))))</f>
        <v> </v>
      </c>
      <c r="K3492" s="25" t="str">
        <f>IF(OR(E3492="",E3492="!!!",F3492="NEW"),"",INDEX(J$1:J3491,SUMPRODUCT(MAX(ROW(E$1:E3491)*(E3492=E$1:E3491)))))</f>
        <v> </v>
      </c>
      <c r="L3492" s="26"/>
    </row>
    <row r="3493" spans="1:12">
      <c r="A3493" s="20" t="s">
        <v>960</v>
      </c>
      <c r="E3493" s="21">
        <f>IF(D3493="?OLD","!!!","")</f>
        <v/>
      </c>
      <c r="F3493" s="22" t="str">
        <f>IF(OR(E3493="",E3493="!!!"),"",IF(NOT(ISNA(VLOOKUP(E3493,E$1:E3492,1,FALSE()))),"OLD",IF(AND(E3493&lt;&gt;"",E3493&lt;&gt;"!!!"),"NEW","")))</f>
        <v> </v>
      </c>
      <c r="G3493" s="23" t="str">
        <f>IF(OR(E3493="",E3493="!!!"),"",IF(OR(J3493=0,AND(J3493=1,K3493=1),AND(J3493=1,I3493="SBJ"),AND(J3493=1,I3493=0)),"?IN_FOCUS",IF(J3493&lt;=2,"?ACTIVATED",IF(J3493&lt;&gt;"","?FAMILIAR",IF(F3493="NEW",IF(ISNA(VLOOKUP(E3493,#REF!,1,FALSE())),"?TYPE_IDENTIFIABLE","?REFERENTIAL"),"_")))))</f>
        <v> </v>
      </c>
      <c r="H3493" s="24" t="str">
        <f>IF(J3493&lt;&gt;1,"",IF(I3493="SBJ","CB","?"))</f>
        <v> </v>
      </c>
      <c r="I3493" s="25" t="str">
        <f>IF(OR(E3493="",E3493="!!!",F3493="NEW"),"",INDEX(B3492:B$2,-1+SUMPRODUCT(MAX(ROW(E3492:E$2)*(E3493=E3492:E$2)))))</f>
        <v> </v>
      </c>
      <c r="J3493" s="25" t="str">
        <f>IF(OR(E3493="",E3493="!!!",F3493="NEW"),"",COUNTBLANK(OFFSET(A$1,,,SUMPRODUCT(MAX(ROW(E$2:E3493)*(E3493=E$2:E3493)))))-COUNTBLANK(OFFSET(A$1,,,SUMPRODUCT(MAX(ROW(E$1:E3492)*(E2=E$1:E3492))))))</f>
        <v> </v>
      </c>
      <c r="K3493" s="25" t="str">
        <f>IF(OR(E3493="",E3493="!!!",F3493="NEW"),"",INDEX(J$1:J3492,SUMPRODUCT(MAX(ROW(E$1:E3492)*(E3493=E$1:E3492)))))</f>
        <v> </v>
      </c>
      <c r="L3493" s="26"/>
    </row>
    <row r="3494" spans="1:12">
      <c r="A3494" s="20" t="s">
        <v>1162</v>
      </c>
      <c r="E3494" s="21">
        <f>IF(D3494="?OLD","!!!","")</f>
        <v/>
      </c>
      <c r="F3494" s="22" t="str">
        <f>IF(OR(E3494="",E3494="!!!"),"",IF(NOT(ISNA(VLOOKUP(E3494,E$1:E3493,1,FALSE()))),"OLD",IF(AND(E3494&lt;&gt;"",E3494&lt;&gt;"!!!"),"NEW","")))</f>
        <v> </v>
      </c>
      <c r="G3494" s="23" t="str">
        <f>IF(OR(E3494="",E3494="!!!"),"",IF(OR(J3494=0,AND(J3494=1,K3494=1),AND(J3494=1,I3494="SBJ"),AND(J3494=1,I3494=0)),"?IN_FOCUS",IF(J3494&lt;=2,"?ACTIVATED",IF(J3494&lt;&gt;"","?FAMILIAR",IF(F3494="NEW",IF(ISNA(VLOOKUP(E3494,#REF!,1,FALSE())),"?TYPE_IDENTIFIABLE","?REFERENTIAL"),"_")))))</f>
        <v> </v>
      </c>
      <c r="H3494" s="24" t="str">
        <f>IF(J3494&lt;&gt;1,"",IF(I3494="SBJ","CB","?"))</f>
        <v> </v>
      </c>
      <c r="I3494" s="25" t="str">
        <f>IF(OR(E3494="",E3494="!!!",F3494="NEW"),"",INDEX(B3493:B$2,-1+SUMPRODUCT(MAX(ROW(E3493:E$2)*(E3494=E3493:E$2)))))</f>
        <v> </v>
      </c>
      <c r="J3494" s="25" t="str">
        <f>IF(OR(E3494="",E3494="!!!",F3494="NEW"),"",COUNTBLANK(OFFSET(A$1,,,SUMPRODUCT(MAX(ROW(E$2:E3494)*(E3494=E$2:E3494)))))-COUNTBLANK(OFFSET(A$1,,,SUMPRODUCT(MAX(ROW(E$1:E3493)*(E2=E$1:E3493))))))</f>
        <v> </v>
      </c>
      <c r="K3494" s="25" t="str">
        <f>IF(OR(E3494="",E3494="!!!",F3494="NEW"),"",INDEX(J$1:J3493,SUMPRODUCT(MAX(ROW(E$1:E3493)*(E3494=E$1:E3493)))))</f>
        <v> </v>
      </c>
      <c r="L3494" s="26"/>
    </row>
    <row r="3495" spans="1:12">
      <c r="A3495" s="20" t="s">
        <v>16</v>
      </c>
      <c r="E3495" s="21">
        <f>IF(D3495="?OLD","!!!","")</f>
        <v/>
      </c>
      <c r="F3495" s="22" t="str">
        <f>IF(OR(E3495="",E3495="!!!"),"",IF(NOT(ISNA(VLOOKUP(E3495,E$1:E3494,1,FALSE()))),"OLD",IF(AND(E3495&lt;&gt;"",E3495&lt;&gt;"!!!"),"NEW","")))</f>
        <v> </v>
      </c>
      <c r="G3495" s="23" t="str">
        <f>IF(OR(E3495="",E3495="!!!"),"",IF(OR(J3495=0,AND(J3495=1,K3495=1),AND(J3495=1,I3495="SBJ"),AND(J3495=1,I3495=0)),"?IN_FOCUS",IF(J3495&lt;=2,"?ACTIVATED",IF(J3495&lt;&gt;"","?FAMILIAR",IF(F3495="NEW",IF(ISNA(VLOOKUP(E3495,#REF!,1,FALSE())),"?TYPE_IDENTIFIABLE","?REFERENTIAL"),"_")))))</f>
        <v> </v>
      </c>
      <c r="H3495" s="24" t="str">
        <f>IF(J3495&lt;&gt;1,"",IF(I3495="SBJ","CB","?"))</f>
        <v> </v>
      </c>
      <c r="I3495" s="25" t="str">
        <f>IF(OR(E3495="",E3495="!!!",F3495="NEW"),"",INDEX(B3494:B$2,-1+SUMPRODUCT(MAX(ROW(E3494:E$2)*(E3495=E3494:E$2)))))</f>
        <v> </v>
      </c>
      <c r="J3495" s="25" t="str">
        <f>IF(OR(E3495="",E3495="!!!",F3495="NEW"),"",COUNTBLANK(OFFSET(A$1,,,SUMPRODUCT(MAX(ROW(E$2:E3495)*(E3495=E$2:E3495)))))-COUNTBLANK(OFFSET(A$1,,,SUMPRODUCT(MAX(ROW(E$1:E3494)*(E2=E$1:E3494))))))</f>
        <v> </v>
      </c>
      <c r="K3495" s="25" t="str">
        <f>IF(OR(E3495="",E3495="!!!",F3495="NEW"),"",INDEX(J$1:J3494,SUMPRODUCT(MAX(ROW(E$1:E3494)*(E3495=E$1:E3494)))))</f>
        <v> </v>
      </c>
      <c r="L3495" s="26"/>
    </row>
    <row r="3496" spans="1:12">
      <c r="A3496" s="20" t="s">
        <v>779</v>
      </c>
      <c r="B3496" s="27" t="s">
        <v>802</v>
      </c>
      <c r="C3496" s="27" t="s">
        <v>820</v>
      </c>
      <c r="D3496" s="27" t="s">
        <v>762</v>
      </c>
      <c r="E3496" s="21">
        <f>IF(D3496="?OLD","!!!","")</f>
        <v/>
      </c>
      <c r="F3496" s="22" t="str">
        <f>IF(OR(E3496="",E3496="!!!"),"",IF(NOT(ISNA(VLOOKUP(E3496,E$1:E3495,1,FALSE()))),"OLD",IF(AND(E3496&lt;&gt;"",E3496&lt;&gt;"!!!"),"NEW","")))</f>
        <v> </v>
      </c>
      <c r="G3496" s="23" t="str">
        <f>IF(OR(E3496="",E3496="!!!"),"",IF(OR(J3496=0,AND(J3496=1,K3496=1),AND(J3496=1,I3496="SBJ"),AND(J3496=1,I3496=0)),"?IN_FOCUS",IF(J3496&lt;=2,"?ACTIVATED",IF(J3496&lt;&gt;"","?FAMILIAR",IF(F3496="NEW",IF(ISNA(VLOOKUP(E3496,#REF!,1,FALSE())),"?TYPE_IDENTIFIABLE","?REFERENTIAL"),"_")))))</f>
        <v> </v>
      </c>
      <c r="H3496" s="24" t="str">
        <f>IF(J3496&lt;&gt;1,"",IF(I3496="SBJ","CB","?"))</f>
        <v> </v>
      </c>
      <c r="I3496" s="25" t="str">
        <f>IF(OR(E3496="",E3496="!!!",F3496="NEW"),"",INDEX(B3495:B$2,-1+SUMPRODUCT(MAX(ROW(E3495:E$2)*(E3496=E3495:E$2)))))</f>
        <v> </v>
      </c>
      <c r="J3496" s="25" t="str">
        <f>IF(OR(E3496="",E3496="!!!",F3496="NEW"),"",COUNTBLANK(OFFSET(A$1,,,SUMPRODUCT(MAX(ROW(E$2:E3496)*(E3496=E$2:E3496)))))-COUNTBLANK(OFFSET(A$1,,,SUMPRODUCT(MAX(ROW(E$1:E3495)*(E2=E$1:E3495))))))</f>
        <v> </v>
      </c>
      <c r="K3496" s="25" t="str">
        <f>IF(OR(E3496="",E3496="!!!",F3496="NEW"),"",INDEX(J$1:J3495,SUMPRODUCT(MAX(ROW(E$1:E3495)*(E3496=E$1:E3495)))))</f>
        <v> </v>
      </c>
      <c r="L3496" s="26"/>
    </row>
    <row r="3497" spans="1:12">
      <c r="A3497" s="20" t="s">
        <v>769</v>
      </c>
      <c r="E3497" s="21">
        <f>IF(D3497="?OLD","!!!","")</f>
        <v/>
      </c>
      <c r="F3497" s="22" t="str">
        <f>IF(OR(E3497="",E3497="!!!"),"",IF(NOT(ISNA(VLOOKUP(E3497,E$1:E3496,1,FALSE()))),"OLD",IF(AND(E3497&lt;&gt;"",E3497&lt;&gt;"!!!"),"NEW","")))</f>
        <v> </v>
      </c>
      <c r="G3497" s="23" t="str">
        <f>IF(OR(E3497="",E3497="!!!"),"",IF(OR(J3497=0,AND(J3497=1,K3497=1),AND(J3497=1,I3497="SBJ"),AND(J3497=1,I3497=0)),"?IN_FOCUS",IF(J3497&lt;=2,"?ACTIVATED",IF(J3497&lt;&gt;"","?FAMILIAR",IF(F3497="NEW",IF(ISNA(VLOOKUP(E3497,#REF!,1,FALSE())),"?TYPE_IDENTIFIABLE","?REFERENTIAL"),"_")))))</f>
        <v> </v>
      </c>
      <c r="H3497" s="24" t="str">
        <f>IF(J3497&lt;&gt;1,"",IF(I3497="SBJ","CB","?"))</f>
        <v> </v>
      </c>
      <c r="I3497" s="25" t="str">
        <f>IF(OR(E3497="",E3497="!!!",F3497="NEW"),"",INDEX(B3496:B$2,-1+SUMPRODUCT(MAX(ROW(E3496:E$2)*(E3497=E3496:E$2)))))</f>
        <v> </v>
      </c>
      <c r="J3497" s="25" t="str">
        <f>IF(OR(E3497="",E3497="!!!",F3497="NEW"),"",COUNTBLANK(OFFSET(A$1,,,SUMPRODUCT(MAX(ROW(E$2:E3497)*(E3497=E$2:E3497)))))-COUNTBLANK(OFFSET(A$1,,,SUMPRODUCT(MAX(ROW(E$1:E3496)*(E2=E$1:E3496))))))</f>
        <v> </v>
      </c>
      <c r="K3497" s="25" t="str">
        <f>IF(OR(E3497="",E3497="!!!",F3497="NEW"),"",INDEX(J$1:J3496,SUMPRODUCT(MAX(ROW(E$1:E3496)*(E3497=E$1:E3496)))))</f>
        <v> </v>
      </c>
      <c r="L3497" s="26"/>
    </row>
    <row r="3498" spans="1:12">
      <c r="A3498" s="20" t="s">
        <v>838</v>
      </c>
      <c r="E3498" s="21">
        <f>IF(D3498="?OLD","!!!","")</f>
        <v/>
      </c>
      <c r="F3498" s="22" t="str">
        <f>IF(OR(E3498="",E3498="!!!"),"",IF(NOT(ISNA(VLOOKUP(E3498,E$1:E3497,1,FALSE()))),"OLD",IF(AND(E3498&lt;&gt;"",E3498&lt;&gt;"!!!"),"NEW","")))</f>
        <v> </v>
      </c>
      <c r="G3498" s="23" t="str">
        <f>IF(OR(E3498="",E3498="!!!"),"",IF(OR(J3498=0,AND(J3498=1,K3498=1),AND(J3498=1,I3498="SBJ"),AND(J3498=1,I3498=0)),"?IN_FOCUS",IF(J3498&lt;=2,"?ACTIVATED",IF(J3498&lt;&gt;"","?FAMILIAR",IF(F3498="NEW",IF(ISNA(VLOOKUP(E3498,#REF!,1,FALSE())),"?TYPE_IDENTIFIABLE","?REFERENTIAL"),"_")))))</f>
        <v> </v>
      </c>
      <c r="H3498" s="24" t="str">
        <f>IF(J3498&lt;&gt;1,"",IF(I3498="SBJ","CB","?"))</f>
        <v> </v>
      </c>
      <c r="I3498" s="25" t="str">
        <f>IF(OR(E3498="",E3498="!!!",F3498="NEW"),"",INDEX(B3497:B$2,-1+SUMPRODUCT(MAX(ROW(E3497:E$2)*(E3498=E3497:E$2)))))</f>
        <v> </v>
      </c>
      <c r="J3498" s="25" t="str">
        <f>IF(OR(E3498="",E3498="!!!",F3498="NEW"),"",COUNTBLANK(OFFSET(A$1,,,SUMPRODUCT(MAX(ROW(E$2:E3498)*(E3498=E$2:E3498)))))-COUNTBLANK(OFFSET(A$1,,,SUMPRODUCT(MAX(ROW(E$1:E3497)*(E2=E$1:E3497))))))</f>
        <v> </v>
      </c>
      <c r="K3498" s="25" t="str">
        <f>IF(OR(E3498="",E3498="!!!",F3498="NEW"),"",INDEX(J$1:J3497,SUMPRODUCT(MAX(ROW(E$1:E3497)*(E3498=E$1:E3497)))))</f>
        <v> </v>
      </c>
      <c r="L3498" s="26"/>
    </row>
    <row r="3499" spans="1:12">
      <c r="A3499" s="20" t="s">
        <v>1759</v>
      </c>
      <c r="E3499" s="21">
        <f>IF(D3499="?OLD","!!!","")</f>
        <v/>
      </c>
      <c r="F3499" s="22" t="str">
        <f>IF(OR(E3499="",E3499="!!!"),"",IF(NOT(ISNA(VLOOKUP(E3499,E$1:E3498,1,FALSE()))),"OLD",IF(AND(E3499&lt;&gt;"",E3499&lt;&gt;"!!!"),"NEW","")))</f>
        <v> </v>
      </c>
      <c r="G3499" s="23" t="str">
        <f>IF(OR(E3499="",E3499="!!!"),"",IF(OR(J3499=0,AND(J3499=1,K3499=1),AND(J3499=1,I3499="SBJ"),AND(J3499=1,I3499=0)),"?IN_FOCUS",IF(J3499&lt;=2,"?ACTIVATED",IF(J3499&lt;&gt;"","?FAMILIAR",IF(F3499="NEW",IF(ISNA(VLOOKUP(E3499,#REF!,1,FALSE())),"?TYPE_IDENTIFIABLE","?REFERENTIAL"),"_")))))</f>
        <v> </v>
      </c>
      <c r="H3499" s="24" t="str">
        <f>IF(J3499&lt;&gt;1,"",IF(I3499="SBJ","CB","?"))</f>
        <v> </v>
      </c>
      <c r="I3499" s="25" t="str">
        <f>IF(OR(E3499="",E3499="!!!",F3499="NEW"),"",INDEX(B3498:B$2,-1+SUMPRODUCT(MAX(ROW(E3498:E$2)*(E3499=E3498:E$2)))))</f>
        <v> </v>
      </c>
      <c r="J3499" s="25" t="str">
        <f>IF(OR(E3499="",E3499="!!!",F3499="NEW"),"",COUNTBLANK(OFFSET(A$1,,,SUMPRODUCT(MAX(ROW(E$2:E3499)*(E3499=E$2:E3499)))))-COUNTBLANK(OFFSET(A$1,,,SUMPRODUCT(MAX(ROW(E$1:E3498)*(E2=E$1:E3498))))))</f>
        <v> </v>
      </c>
      <c r="K3499" s="25" t="str">
        <f>IF(OR(E3499="",E3499="!!!",F3499="NEW"),"",INDEX(J$1:J3498,SUMPRODUCT(MAX(ROW(E$1:E3498)*(E3499=E$1:E3498)))))</f>
        <v> </v>
      </c>
      <c r="L3499" s="26"/>
    </row>
    <row r="3500" spans="1:12">
      <c r="A3500" s="20" t="s">
        <v>1797</v>
      </c>
      <c r="B3500" s="27" t="s">
        <v>879</v>
      </c>
      <c r="C3500" s="27" t="s">
        <v>761</v>
      </c>
      <c r="D3500" s="27" t="s">
        <v>762</v>
      </c>
      <c r="E3500" s="21">
        <f>IF(D3500="?OLD","!!!","")</f>
        <v/>
      </c>
      <c r="F3500" s="22" t="str">
        <f>IF(OR(E3500="",E3500="!!!"),"",IF(NOT(ISNA(VLOOKUP(E3500,E$1:E3499,1,FALSE()))),"OLD",IF(AND(E3500&lt;&gt;"",E3500&lt;&gt;"!!!"),"NEW","")))</f>
        <v> </v>
      </c>
      <c r="G3500" s="23" t="str">
        <f>IF(OR(E3500="",E3500="!!!"),"",IF(OR(J3500=0,AND(J3500=1,K3500=1),AND(J3500=1,I3500="SBJ"),AND(J3500=1,I3500=0)),"?IN_FOCUS",IF(J3500&lt;=2,"?ACTIVATED",IF(J3500&lt;&gt;"","?FAMILIAR",IF(F3500="NEW",IF(ISNA(VLOOKUP(E3500,#REF!,1,FALSE())),"?TYPE_IDENTIFIABLE","?REFERENTIAL"),"_")))))</f>
        <v> </v>
      </c>
      <c r="H3500" s="24" t="str">
        <f>IF(J3500&lt;&gt;1,"",IF(I3500="SBJ","CB","?"))</f>
        <v> </v>
      </c>
      <c r="I3500" s="25" t="str">
        <f>IF(OR(E3500="",E3500="!!!",F3500="NEW"),"",INDEX(B3499:B$2,-1+SUMPRODUCT(MAX(ROW(E3499:E$2)*(E3500=E3499:E$2)))))</f>
        <v> </v>
      </c>
      <c r="J3500" s="25" t="str">
        <f>IF(OR(E3500="",E3500="!!!",F3500="NEW"),"",COUNTBLANK(OFFSET(A$1,,,SUMPRODUCT(MAX(ROW(E$2:E3500)*(E3500=E$2:E3500)))))-COUNTBLANK(OFFSET(A$1,,,SUMPRODUCT(MAX(ROW(E$1:E3499)*(E2=E$1:E3499))))))</f>
        <v> </v>
      </c>
      <c r="K3500" s="25" t="str">
        <f>IF(OR(E3500="",E3500="!!!",F3500="NEW"),"",INDEX(J$1:J3499,SUMPRODUCT(MAX(ROW(E$1:E3499)*(E3500=E$1:E3499)))))</f>
        <v> </v>
      </c>
      <c r="L3500" s="26"/>
    </row>
    <row r="3501" spans="1:12">
      <c r="A3501" s="20" t="s">
        <v>793</v>
      </c>
      <c r="B3501" s="27" t="s">
        <v>1076</v>
      </c>
      <c r="E3501" s="21">
        <f>IF(D3501="?OLD","!!!","")</f>
        <v/>
      </c>
      <c r="F3501" s="22" t="str">
        <f>IF(OR(E3501="",E3501="!!!"),"",IF(NOT(ISNA(VLOOKUP(E3501,E$1:E3500,1,FALSE()))),"OLD",IF(AND(E3501&lt;&gt;"",E3501&lt;&gt;"!!!"),"NEW","")))</f>
        <v> </v>
      </c>
      <c r="G3501" s="23" t="str">
        <f>IF(OR(E3501="",E3501="!!!"),"",IF(OR(J3501=0,AND(J3501=1,K3501=1),AND(J3501=1,I3501="SBJ"),AND(J3501=1,I3501=0)),"?IN_FOCUS",IF(J3501&lt;=2,"?ACTIVATED",IF(J3501&lt;&gt;"","?FAMILIAR",IF(F3501="NEW",IF(ISNA(VLOOKUP(E3501,#REF!,1,FALSE())),"?TYPE_IDENTIFIABLE","?REFERENTIAL"),"_")))))</f>
        <v> </v>
      </c>
      <c r="H3501" s="24" t="str">
        <f>IF(J3501&lt;&gt;1,"",IF(I3501="SBJ","CB","?"))</f>
        <v> </v>
      </c>
      <c r="I3501" s="25" t="str">
        <f>IF(OR(E3501="",E3501="!!!",F3501="NEW"),"",INDEX(B3500:B$2,-1+SUMPRODUCT(MAX(ROW(E3500:E$2)*(E3501=E3500:E$2)))))</f>
        <v> </v>
      </c>
      <c r="J3501" s="25" t="str">
        <f>IF(OR(E3501="",E3501="!!!",F3501="NEW"),"",COUNTBLANK(OFFSET(A$1,,,SUMPRODUCT(MAX(ROW(E$2:E3501)*(E3501=E$2:E3501)))))-COUNTBLANK(OFFSET(A$1,,,SUMPRODUCT(MAX(ROW(E$1:E3500)*(E2=E$1:E3500))))))</f>
        <v> </v>
      </c>
      <c r="K3501" s="25" t="str">
        <f>IF(OR(E3501="",E3501="!!!",F3501="NEW"),"",INDEX(J$1:J3500,SUMPRODUCT(MAX(ROW(E$1:E3500)*(E3501=E$1:E3500)))))</f>
        <v> </v>
      </c>
      <c r="L3501" s="26"/>
    </row>
    <row r="3502" spans="1:12">
      <c r="A3502" s="20" t="s">
        <v>886</v>
      </c>
      <c r="B3502" s="27" t="s">
        <v>1272</v>
      </c>
      <c r="C3502" s="27" t="s">
        <v>797</v>
      </c>
      <c r="D3502" s="27" t="s">
        <v>762</v>
      </c>
      <c r="E3502" s="21">
        <f>IF(D3502="?OLD","!!!","")</f>
        <v/>
      </c>
      <c r="F3502" s="22" t="str">
        <f>IF(OR(E3502="",E3502="!!!"),"",IF(NOT(ISNA(VLOOKUP(E3502,E$1:E3501,1,FALSE()))),"OLD",IF(AND(E3502&lt;&gt;"",E3502&lt;&gt;"!!!"),"NEW","")))</f>
        <v> </v>
      </c>
      <c r="G3502" s="23" t="str">
        <f>IF(OR(E3502="",E3502="!!!"),"",IF(OR(J3502=0,AND(J3502=1,K3502=1),AND(J3502=1,I3502="SBJ"),AND(J3502=1,I3502=0)),"?IN_FOCUS",IF(J3502&lt;=2,"?ACTIVATED",IF(J3502&lt;&gt;"","?FAMILIAR",IF(F3502="NEW",IF(ISNA(VLOOKUP(E3502,#REF!,1,FALSE())),"?TYPE_IDENTIFIABLE","?REFERENTIAL"),"_")))))</f>
        <v> </v>
      </c>
      <c r="H3502" s="24" t="str">
        <f>IF(J3502&lt;&gt;1,"",IF(I3502="SBJ","CB","?"))</f>
        <v> </v>
      </c>
      <c r="I3502" s="25" t="str">
        <f>IF(OR(E3502="",E3502="!!!",F3502="NEW"),"",INDEX(B3501:B$2,-1+SUMPRODUCT(MAX(ROW(E3501:E$2)*(E3502=E3501:E$2)))))</f>
        <v> </v>
      </c>
      <c r="J3502" s="25" t="str">
        <f>IF(OR(E3502="",E3502="!!!",F3502="NEW"),"",COUNTBLANK(OFFSET(A$1,,,SUMPRODUCT(MAX(ROW(E$2:E3502)*(E3502=E$2:E3502)))))-COUNTBLANK(OFFSET(A$1,,,SUMPRODUCT(MAX(ROW(E$1:E3501)*(E2=E$1:E3501))))))</f>
        <v> </v>
      </c>
      <c r="K3502" s="25" t="str">
        <f>IF(OR(E3502="",E3502="!!!",F3502="NEW"),"",INDEX(J$1:J3501,SUMPRODUCT(MAX(ROW(E$1:E3501)*(E3502=E$1:E3501)))))</f>
        <v> </v>
      </c>
      <c r="L3502" s="26"/>
    </row>
    <row r="3503" spans="1:12">
      <c r="A3503" s="20" t="s">
        <v>1438</v>
      </c>
      <c r="E3503" s="21">
        <f>IF(D3503="?OLD","!!!","")</f>
        <v/>
      </c>
      <c r="F3503" s="22" t="str">
        <f>IF(OR(E3503="",E3503="!!!"),"",IF(NOT(ISNA(VLOOKUP(E3503,E$1:E3502,1,FALSE()))),"OLD",IF(AND(E3503&lt;&gt;"",E3503&lt;&gt;"!!!"),"NEW","")))</f>
        <v> </v>
      </c>
      <c r="G3503" s="23" t="str">
        <f>IF(OR(E3503="",E3503="!!!"),"",IF(OR(J3503=0,AND(J3503=1,K3503=1),AND(J3503=1,I3503="SBJ"),AND(J3503=1,I3503=0)),"?IN_FOCUS",IF(J3503&lt;=2,"?ACTIVATED",IF(J3503&lt;&gt;"","?FAMILIAR",IF(F3503="NEW",IF(ISNA(VLOOKUP(E3503,#REF!,1,FALSE())),"?TYPE_IDENTIFIABLE","?REFERENTIAL"),"_")))))</f>
        <v> </v>
      </c>
      <c r="H3503" s="24" t="str">
        <f>IF(J3503&lt;&gt;1,"",IF(I3503="SBJ","CB","?"))</f>
        <v> </v>
      </c>
      <c r="I3503" s="25" t="str">
        <f>IF(OR(E3503="",E3503="!!!",F3503="NEW"),"",INDEX(B3502:B$2,-1+SUMPRODUCT(MAX(ROW(E3502:E$2)*(E3503=E3502:E$2)))))</f>
        <v> </v>
      </c>
      <c r="J3503" s="25" t="str">
        <f>IF(OR(E3503="",E3503="!!!",F3503="NEW"),"",COUNTBLANK(OFFSET(A$1,,,SUMPRODUCT(MAX(ROW(E$2:E3503)*(E3503=E$2:E3503)))))-COUNTBLANK(OFFSET(A$1,,,SUMPRODUCT(MAX(ROW(E$1:E3502)*(E2=E$1:E3502))))))</f>
        <v> </v>
      </c>
      <c r="K3503" s="25" t="str">
        <f>IF(OR(E3503="",E3503="!!!",F3503="NEW"),"",INDEX(J$1:J3502,SUMPRODUCT(MAX(ROW(E$1:E3502)*(E3503=E$1:E3502)))))</f>
        <v> </v>
      </c>
      <c r="L3503" s="26"/>
    </row>
    <row r="3504" spans="1:12">
      <c r="A3504" s="20" t="s">
        <v>1752</v>
      </c>
      <c r="E3504" s="21">
        <f>IF(D3504="?OLD","!!!","")</f>
        <v/>
      </c>
      <c r="F3504" s="22" t="str">
        <f>IF(OR(E3504="",E3504="!!!"),"",IF(NOT(ISNA(VLOOKUP(E3504,E$1:E3503,1,FALSE()))),"OLD",IF(AND(E3504&lt;&gt;"",E3504&lt;&gt;"!!!"),"NEW","")))</f>
        <v> </v>
      </c>
      <c r="G3504" s="23" t="str">
        <f>IF(OR(E3504="",E3504="!!!"),"",IF(OR(J3504=0,AND(J3504=1,K3504=1),AND(J3504=1,I3504="SBJ"),AND(J3504=1,I3504=0)),"?IN_FOCUS",IF(J3504&lt;=2,"?ACTIVATED",IF(J3504&lt;&gt;"","?FAMILIAR",IF(F3504="NEW",IF(ISNA(VLOOKUP(E3504,#REF!,1,FALSE())),"?TYPE_IDENTIFIABLE","?REFERENTIAL"),"_")))))</f>
        <v> </v>
      </c>
      <c r="H3504" s="24" t="str">
        <f>IF(J3504&lt;&gt;1,"",IF(I3504="SBJ","CB","?"))</f>
        <v> </v>
      </c>
      <c r="I3504" s="25" t="str">
        <f>IF(OR(E3504="",E3504="!!!",F3504="NEW"),"",INDEX(B3503:B$2,-1+SUMPRODUCT(MAX(ROW(E3503:E$2)*(E3504=E3503:E$2)))))</f>
        <v> </v>
      </c>
      <c r="J3504" s="25" t="str">
        <f>IF(OR(E3504="",E3504="!!!",F3504="NEW"),"",COUNTBLANK(OFFSET(A$1,,,SUMPRODUCT(MAX(ROW(E$2:E3504)*(E3504=E$2:E3504)))))-COUNTBLANK(OFFSET(A$1,,,SUMPRODUCT(MAX(ROW(E$1:E3503)*(E2=E$1:E3503))))))</f>
        <v> </v>
      </c>
      <c r="K3504" s="25" t="str">
        <f>IF(OR(E3504="",E3504="!!!",F3504="NEW"),"",INDEX(J$1:J3503,SUMPRODUCT(MAX(ROW(E$1:E3503)*(E3504=E$1:E3503)))))</f>
        <v> </v>
      </c>
      <c r="L3504" s="26"/>
    </row>
    <row r="3505" spans="1:12">
      <c r="A3505" s="20" t="s">
        <v>1798</v>
      </c>
      <c r="B3505" s="27" t="s">
        <v>1076</v>
      </c>
      <c r="C3505" s="27" t="s">
        <v>754</v>
      </c>
      <c r="E3505" s="21">
        <f>IF(D3505="?OLD","!!!","")</f>
        <v/>
      </c>
      <c r="F3505" s="22" t="str">
        <f>IF(OR(E3505="",E3505="!!!"),"",IF(NOT(ISNA(VLOOKUP(E3505,E$1:E3504,1,FALSE()))),"OLD",IF(AND(E3505&lt;&gt;"",E3505&lt;&gt;"!!!"),"NEW","")))</f>
        <v> </v>
      </c>
      <c r="G3505" s="23" t="str">
        <f>IF(OR(E3505="",E3505="!!!"),"",IF(OR(J3505=0,AND(J3505=1,K3505=1),AND(J3505=1,I3505="SBJ"),AND(J3505=1,I3505=0)),"?IN_FOCUS",IF(J3505&lt;=2,"?ACTIVATED",IF(J3505&lt;&gt;"","?FAMILIAR",IF(F3505="NEW",IF(ISNA(VLOOKUP(E3505,#REF!,1,FALSE())),"?TYPE_IDENTIFIABLE","?REFERENTIAL"),"_")))))</f>
        <v> </v>
      </c>
      <c r="H3505" s="24" t="str">
        <f>IF(J3505&lt;&gt;1,"",IF(I3505="SBJ","CB","?"))</f>
        <v> </v>
      </c>
      <c r="I3505" s="25" t="str">
        <f>IF(OR(E3505="",E3505="!!!",F3505="NEW"),"",INDEX(B3504:B$2,-1+SUMPRODUCT(MAX(ROW(E3504:E$2)*(E3505=E3504:E$2)))))</f>
        <v> </v>
      </c>
      <c r="J3505" s="25" t="str">
        <f>IF(OR(E3505="",E3505="!!!",F3505="NEW"),"",COUNTBLANK(OFFSET(A$1,,,SUMPRODUCT(MAX(ROW(E$2:E3505)*(E3505=E$2:E3505)))))-COUNTBLANK(OFFSET(A$1,,,SUMPRODUCT(MAX(ROW(E$1:E3504)*(E2=E$1:E3504))))))</f>
        <v> </v>
      </c>
      <c r="K3505" s="25" t="str">
        <f>IF(OR(E3505="",E3505="!!!",F3505="NEW"),"",INDEX(J$1:J3504,SUMPRODUCT(MAX(ROW(E$1:E3504)*(E3505=E$1:E3504)))))</f>
        <v> </v>
      </c>
      <c r="L3505" s="26"/>
    </row>
    <row r="3506" spans="1:12">
      <c r="A3506" s="20" t="s">
        <v>16</v>
      </c>
      <c r="E3506" s="21">
        <f>IF(D3506="?OLD","!!!","")</f>
        <v/>
      </c>
      <c r="F3506" s="22" t="str">
        <f>IF(OR(E3506="",E3506="!!!"),"",IF(NOT(ISNA(VLOOKUP(E3506,E$1:E3505,1,FALSE()))),"OLD",IF(AND(E3506&lt;&gt;"",E3506&lt;&gt;"!!!"),"NEW","")))</f>
        <v> </v>
      </c>
      <c r="G3506" s="23" t="str">
        <f>IF(OR(E3506="",E3506="!!!"),"",IF(OR(J3506=0,AND(J3506=1,K3506=1),AND(J3506=1,I3506="SBJ"),AND(J3506=1,I3506=0)),"?IN_FOCUS",IF(J3506&lt;=2,"?ACTIVATED",IF(J3506&lt;&gt;"","?FAMILIAR",IF(F3506="NEW",IF(ISNA(VLOOKUP(E3506,#REF!,1,FALSE())),"?TYPE_IDENTIFIABLE","?REFERENTIAL"),"_")))))</f>
        <v> </v>
      </c>
      <c r="H3506" s="24" t="str">
        <f>IF(J3506&lt;&gt;1,"",IF(I3506="SBJ","CB","?"))</f>
        <v> </v>
      </c>
      <c r="I3506" s="25" t="str">
        <f>IF(OR(E3506="",E3506="!!!",F3506="NEW"),"",INDEX(B3505:B$2,-1+SUMPRODUCT(MAX(ROW(E3505:E$2)*(E3506=E3505:E$2)))))</f>
        <v> </v>
      </c>
      <c r="J3506" s="25" t="str">
        <f>IF(OR(E3506="",E3506="!!!",F3506="NEW"),"",COUNTBLANK(OFFSET(A$1,,,SUMPRODUCT(MAX(ROW(E$2:E3506)*(E3506=E$2:E3506)))))-COUNTBLANK(OFFSET(A$1,,,SUMPRODUCT(MAX(ROW(E$1:E3505)*(E2=E$1:E3505))))))</f>
        <v> </v>
      </c>
      <c r="K3506" s="25" t="str">
        <f>IF(OR(E3506="",E3506="!!!",F3506="NEW"),"",INDEX(J$1:J3505,SUMPRODUCT(MAX(ROW(E$1:E3505)*(E3506=E$1:E3505)))))</f>
        <v> </v>
      </c>
      <c r="L3506" s="26"/>
    </row>
    <row r="3507" spans="1:12">
      <c r="A3507" s="20" t="s">
        <v>795</v>
      </c>
      <c r="B3507" s="27" t="s">
        <v>760</v>
      </c>
      <c r="C3507" s="27" t="s">
        <v>797</v>
      </c>
      <c r="D3507" s="27" t="s">
        <v>762</v>
      </c>
      <c r="E3507" s="21">
        <f>IF(D3507="?OLD","!!!","")</f>
        <v/>
      </c>
      <c r="F3507" s="22" t="str">
        <f>IF(OR(E3507="",E3507="!!!"),"",IF(NOT(ISNA(VLOOKUP(E3507,E$1:E3506,1,FALSE()))),"OLD",IF(AND(E3507&lt;&gt;"",E3507&lt;&gt;"!!!"),"NEW","")))</f>
        <v> </v>
      </c>
      <c r="G3507" s="23" t="str">
        <f>IF(OR(E3507="",E3507="!!!"),"",IF(OR(J3507=0,AND(J3507=1,K3507=1),AND(J3507=1,I3507="SBJ"),AND(J3507=1,I3507=0)),"?IN_FOCUS",IF(J3507&lt;=2,"?ACTIVATED",IF(J3507&lt;&gt;"","?FAMILIAR",IF(F3507="NEW",IF(ISNA(VLOOKUP(E3507,#REF!,1,FALSE())),"?TYPE_IDENTIFIABLE","?REFERENTIAL"),"_")))))</f>
        <v> </v>
      </c>
      <c r="H3507" s="24" t="str">
        <f>IF(J3507&lt;&gt;1,"",IF(I3507="SBJ","CB","?"))</f>
        <v> </v>
      </c>
      <c r="I3507" s="25" t="str">
        <f>IF(OR(E3507="",E3507="!!!",F3507="NEW"),"",INDEX(B3506:B$2,-1+SUMPRODUCT(MAX(ROW(E3506:E$2)*(E3507=E3506:E$2)))))</f>
        <v> </v>
      </c>
      <c r="J3507" s="25" t="str">
        <f>IF(OR(E3507="",E3507="!!!",F3507="NEW"),"",COUNTBLANK(OFFSET(A$1,,,SUMPRODUCT(MAX(ROW(E$2:E3507)*(E3507=E$2:E3507)))))-COUNTBLANK(OFFSET(A$1,,,SUMPRODUCT(MAX(ROW(E$1:E3506)*(E2=E$1:E3506))))))</f>
        <v> </v>
      </c>
      <c r="K3507" s="25" t="str">
        <f>IF(OR(E3507="",E3507="!!!",F3507="NEW"),"",INDEX(J$1:J3506,SUMPRODUCT(MAX(ROW(E$1:E3506)*(E3507=E$1:E3506)))))</f>
        <v> </v>
      </c>
      <c r="L3507" s="26"/>
    </row>
    <row r="3508" spans="1:12">
      <c r="A3508" s="20" t="s">
        <v>903</v>
      </c>
      <c r="B3508" s="27" t="s">
        <v>767</v>
      </c>
      <c r="C3508" s="27" t="s">
        <v>797</v>
      </c>
      <c r="D3508" s="27" t="s">
        <v>762</v>
      </c>
      <c r="E3508" s="21">
        <f>IF(D3508="?OLD","!!!","")</f>
        <v/>
      </c>
      <c r="F3508" s="22" t="str">
        <f>IF(OR(E3508="",E3508="!!!"),"",IF(NOT(ISNA(VLOOKUP(E3508,E$1:E3507,1,FALSE()))),"OLD",IF(AND(E3508&lt;&gt;"",E3508&lt;&gt;"!!!"),"NEW","")))</f>
        <v> </v>
      </c>
      <c r="G3508" s="23" t="str">
        <f>IF(OR(E3508="",E3508="!!!"),"",IF(OR(J3508=0,AND(J3508=1,K3508=1),AND(J3508=1,I3508="SBJ"),AND(J3508=1,I3508=0)),"?IN_FOCUS",IF(J3508&lt;=2,"?ACTIVATED",IF(J3508&lt;&gt;"","?FAMILIAR",IF(F3508="NEW",IF(ISNA(VLOOKUP(E3508,#REF!,1,FALSE())),"?TYPE_IDENTIFIABLE","?REFERENTIAL"),"_")))))</f>
        <v> </v>
      </c>
      <c r="H3508" s="24" t="str">
        <f>IF(J3508&lt;&gt;1,"",IF(I3508="SBJ","CB","?"))</f>
        <v> </v>
      </c>
      <c r="I3508" s="25" t="str">
        <f>IF(OR(E3508="",E3508="!!!",F3508="NEW"),"",INDEX(B3507:B$2,-1+SUMPRODUCT(MAX(ROW(E3507:E$2)*(E3508=E3507:E$2)))))</f>
        <v> </v>
      </c>
      <c r="J3508" s="25" t="str">
        <f>IF(OR(E3508="",E3508="!!!",F3508="NEW"),"",COUNTBLANK(OFFSET(A$1,,,SUMPRODUCT(MAX(ROW(E$2:E3508)*(E3508=E$2:E3508)))))-COUNTBLANK(OFFSET(A$1,,,SUMPRODUCT(MAX(ROW(E$1:E3507)*(E2=E$1:E3507))))))</f>
        <v> </v>
      </c>
      <c r="K3508" s="25" t="str">
        <f>IF(OR(E3508="",E3508="!!!",F3508="NEW"),"",INDEX(J$1:J3507,SUMPRODUCT(MAX(ROW(E$1:E3507)*(E3508=E$1:E3507)))))</f>
        <v> </v>
      </c>
      <c r="L3508" s="26"/>
    </row>
    <row r="3509" spans="1:12">
      <c r="A3509" s="20" t="s">
        <v>887</v>
      </c>
      <c r="E3509" s="21">
        <f>IF(D3509="?OLD","!!!","")</f>
        <v/>
      </c>
      <c r="F3509" s="22" t="str">
        <f>IF(OR(E3509="",E3509="!!!"),"",IF(NOT(ISNA(VLOOKUP(E3509,E$1:E3508,1,FALSE()))),"OLD",IF(AND(E3509&lt;&gt;"",E3509&lt;&gt;"!!!"),"NEW","")))</f>
        <v> </v>
      </c>
      <c r="G3509" s="23" t="str">
        <f>IF(OR(E3509="",E3509="!!!"),"",IF(OR(J3509=0,AND(J3509=1,K3509=1),AND(J3509=1,I3509="SBJ"),AND(J3509=1,I3509=0)),"?IN_FOCUS",IF(J3509&lt;=2,"?ACTIVATED",IF(J3509&lt;&gt;"","?FAMILIAR",IF(F3509="NEW",IF(ISNA(VLOOKUP(E3509,#REF!,1,FALSE())),"?TYPE_IDENTIFIABLE","?REFERENTIAL"),"_")))))</f>
        <v> </v>
      </c>
      <c r="H3509" s="24" t="str">
        <f>IF(J3509&lt;&gt;1,"",IF(I3509="SBJ","CB","?"))</f>
        <v> </v>
      </c>
      <c r="I3509" s="25" t="str">
        <f>IF(OR(E3509="",E3509="!!!",F3509="NEW"),"",INDEX(B3508:B$2,-1+SUMPRODUCT(MAX(ROW(E3508:E$2)*(E3509=E3508:E$2)))))</f>
        <v> </v>
      </c>
      <c r="J3509" s="25" t="str">
        <f>IF(OR(E3509="",E3509="!!!",F3509="NEW"),"",COUNTBLANK(OFFSET(A$1,,,SUMPRODUCT(MAX(ROW(E$2:E3509)*(E3509=E$2:E3509)))))-COUNTBLANK(OFFSET(A$1,,,SUMPRODUCT(MAX(ROW(E$1:E3508)*(E2=E$1:E3508))))))</f>
        <v> </v>
      </c>
      <c r="K3509" s="25" t="str">
        <f>IF(OR(E3509="",E3509="!!!",F3509="NEW"),"",INDEX(J$1:J3508,SUMPRODUCT(MAX(ROW(E$1:E3508)*(E3509=E$1:E3508)))))</f>
        <v> </v>
      </c>
      <c r="L3509" s="26"/>
    </row>
    <row r="3510" spans="1:12">
      <c r="A3510" s="20" t="s">
        <v>888</v>
      </c>
      <c r="E3510" s="21">
        <f>IF(D3510="?OLD","!!!","")</f>
        <v/>
      </c>
      <c r="F3510" s="22" t="str">
        <f>IF(OR(E3510="",E3510="!!!"),"",IF(NOT(ISNA(VLOOKUP(E3510,E$1:E3509,1,FALSE()))),"OLD",IF(AND(E3510&lt;&gt;"",E3510&lt;&gt;"!!!"),"NEW","")))</f>
        <v> </v>
      </c>
      <c r="G3510" s="23" t="str">
        <f>IF(OR(E3510="",E3510="!!!"),"",IF(OR(J3510=0,AND(J3510=1,K3510=1),AND(J3510=1,I3510="SBJ"),AND(J3510=1,I3510=0)),"?IN_FOCUS",IF(J3510&lt;=2,"?ACTIVATED",IF(J3510&lt;&gt;"","?FAMILIAR",IF(F3510="NEW",IF(ISNA(VLOOKUP(E3510,#REF!,1,FALSE())),"?TYPE_IDENTIFIABLE","?REFERENTIAL"),"_")))))</f>
        <v> </v>
      </c>
      <c r="H3510" s="24" t="str">
        <f>IF(J3510&lt;&gt;1,"",IF(I3510="SBJ","CB","?"))</f>
        <v> </v>
      </c>
      <c r="I3510" s="25" t="str">
        <f>IF(OR(E3510="",E3510="!!!",F3510="NEW"),"",INDEX(B3509:B$2,-1+SUMPRODUCT(MAX(ROW(E3509:E$2)*(E3510=E3509:E$2)))))</f>
        <v> </v>
      </c>
      <c r="J3510" s="25" t="str">
        <f>IF(OR(E3510="",E3510="!!!",F3510="NEW"),"",COUNTBLANK(OFFSET(A$1,,,SUMPRODUCT(MAX(ROW(E$2:E3510)*(E3510=E$2:E3510)))))-COUNTBLANK(OFFSET(A$1,,,SUMPRODUCT(MAX(ROW(E$1:E3509)*(E2=E$1:E3509))))))</f>
        <v> </v>
      </c>
      <c r="K3510" s="25" t="str">
        <f>IF(OR(E3510="",E3510="!!!",F3510="NEW"),"",INDEX(J$1:J3509,SUMPRODUCT(MAX(ROW(E$1:E3509)*(E3510=E$1:E3509)))))</f>
        <v> </v>
      </c>
      <c r="L3510" s="26"/>
    </row>
    <row r="3511" spans="1:12">
      <c r="A3511" s="20" t="s">
        <v>757</v>
      </c>
      <c r="E3511" s="21">
        <f>IF(D3511="?OLD","!!!","")</f>
        <v/>
      </c>
      <c r="F3511" s="22" t="str">
        <f>IF(OR(E3511="",E3511="!!!"),"",IF(NOT(ISNA(VLOOKUP(E3511,E$1:E3510,1,FALSE()))),"OLD",IF(AND(E3511&lt;&gt;"",E3511&lt;&gt;"!!!"),"NEW","")))</f>
        <v> </v>
      </c>
      <c r="G3511" s="23" t="str">
        <f>IF(OR(E3511="",E3511="!!!"),"",IF(OR(J3511=0,AND(J3511=1,K3511=1),AND(J3511=1,I3511="SBJ"),AND(J3511=1,I3511=0)),"?IN_FOCUS",IF(J3511&lt;=2,"?ACTIVATED",IF(J3511&lt;&gt;"","?FAMILIAR",IF(F3511="NEW",IF(ISNA(VLOOKUP(E3511,#REF!,1,FALSE())),"?TYPE_IDENTIFIABLE","?REFERENTIAL"),"_")))))</f>
        <v> </v>
      </c>
      <c r="H3511" s="24" t="str">
        <f>IF(J3511&lt;&gt;1,"",IF(I3511="SBJ","CB","?"))</f>
        <v> </v>
      </c>
      <c r="I3511" s="25" t="str">
        <f>IF(OR(E3511="",E3511="!!!",F3511="NEW"),"",INDEX(B3510:B$2,-1+SUMPRODUCT(MAX(ROW(E3510:E$2)*(E3511=E3510:E$2)))))</f>
        <v> </v>
      </c>
      <c r="J3511" s="25" t="str">
        <f>IF(OR(E3511="",E3511="!!!",F3511="NEW"),"",COUNTBLANK(OFFSET(A$1,,,SUMPRODUCT(MAX(ROW(E$2:E3511)*(E3511=E$2:E3511)))))-COUNTBLANK(OFFSET(A$1,,,SUMPRODUCT(MAX(ROW(E$1:E3510)*(E2=E$1:E3510))))))</f>
        <v> </v>
      </c>
      <c r="K3511" s="25" t="str">
        <f>IF(OR(E3511="",E3511="!!!",F3511="NEW"),"",INDEX(J$1:J3510,SUMPRODUCT(MAX(ROW(E$1:E3510)*(E3511=E$1:E3510)))))</f>
        <v> </v>
      </c>
      <c r="L3511" s="26"/>
    </row>
    <row r="3512" spans="1:12">
      <c r="A3512" s="20" t="s">
        <v>749</v>
      </c>
      <c r="E3512" s="21">
        <f>IF(D3512="?OLD","!!!","")</f>
        <v/>
      </c>
      <c r="F3512" s="22" t="str">
        <f>IF(OR(E3512="",E3512="!!!"),"",IF(NOT(ISNA(VLOOKUP(E3512,E$1:E3511,1,FALSE()))),"OLD",IF(AND(E3512&lt;&gt;"",E3512&lt;&gt;"!!!"),"NEW","")))</f>
        <v> </v>
      </c>
      <c r="G3512" s="23" t="str">
        <f>IF(OR(E3512="",E3512="!!!"),"",IF(OR(J3512=0,AND(J3512=1,K3512=1),AND(J3512=1,I3512="SBJ"),AND(J3512=1,I3512=0)),"?IN_FOCUS",IF(J3512&lt;=2,"?ACTIVATED",IF(J3512&lt;&gt;"","?FAMILIAR",IF(F3512="NEW",IF(ISNA(VLOOKUP(E3512,#REF!,1,FALSE())),"?TYPE_IDENTIFIABLE","?REFERENTIAL"),"_")))))</f>
        <v> </v>
      </c>
      <c r="H3512" s="24" t="str">
        <f>IF(J3512&lt;&gt;1,"",IF(I3512="SBJ","CB","?"))</f>
        <v> </v>
      </c>
      <c r="I3512" s="25" t="str">
        <f>IF(OR(E3512="",E3512="!!!",F3512="NEW"),"",INDEX(B3511:B$2,-1+SUMPRODUCT(MAX(ROW(E3511:E$2)*(E3512=E3511:E$2)))))</f>
        <v> </v>
      </c>
      <c r="J3512" s="25" t="str">
        <f>IF(OR(E3512="",E3512="!!!",F3512="NEW"),"",COUNTBLANK(OFFSET(A$1,,,SUMPRODUCT(MAX(ROW(E$2:E3512)*(E3512=E$2:E3512)))))-COUNTBLANK(OFFSET(A$1,,,SUMPRODUCT(MAX(ROW(E$1:E3511)*(E2=E$1:E3511))))))</f>
        <v> </v>
      </c>
      <c r="K3512" s="25" t="str">
        <f>IF(OR(E3512="",E3512="!!!",F3512="NEW"),"",INDEX(J$1:J3511,SUMPRODUCT(MAX(ROW(E$1:E3511)*(E3512=E$1:E3511)))))</f>
        <v> </v>
      </c>
      <c r="L3512" s="26"/>
    </row>
    <row r="3513" spans="1:12">
      <c r="A3513" s="20" t="s">
        <v>1799</v>
      </c>
      <c r="B3513" s="27" t="s">
        <v>796</v>
      </c>
      <c r="C3513" s="27" t="s">
        <v>797</v>
      </c>
      <c r="D3513" s="27" t="s">
        <v>762</v>
      </c>
      <c r="E3513" s="21">
        <f>IF(D3513="?OLD","!!!","")</f>
        <v/>
      </c>
      <c r="F3513" s="22" t="str">
        <f>IF(OR(E3513="",E3513="!!!"),"",IF(NOT(ISNA(VLOOKUP(E3513,E$1:E3512,1,FALSE()))),"OLD",IF(AND(E3513&lt;&gt;"",E3513&lt;&gt;"!!!"),"NEW","")))</f>
        <v> </v>
      </c>
      <c r="G3513" s="23" t="str">
        <f>IF(OR(E3513="",E3513="!!!"),"",IF(OR(J3513=0,AND(J3513=1,K3513=1),AND(J3513=1,I3513="SBJ"),AND(J3513=1,I3513=0)),"?IN_FOCUS",IF(J3513&lt;=2,"?ACTIVATED",IF(J3513&lt;&gt;"","?FAMILIAR",IF(F3513="NEW",IF(ISNA(VLOOKUP(E3513,#REF!,1,FALSE())),"?TYPE_IDENTIFIABLE","?REFERENTIAL"),"_")))))</f>
        <v> </v>
      </c>
      <c r="H3513" s="24" t="str">
        <f>IF(J3513&lt;&gt;1,"",IF(I3513="SBJ","CB","?"))</f>
        <v> </v>
      </c>
      <c r="I3513" s="25" t="str">
        <f>IF(OR(E3513="",E3513="!!!",F3513="NEW"),"",INDEX(B3512:B$2,-1+SUMPRODUCT(MAX(ROW(E3512:E$2)*(E3513=E3512:E$2)))))</f>
        <v> </v>
      </c>
      <c r="J3513" s="25" t="str">
        <f>IF(OR(E3513="",E3513="!!!",F3513="NEW"),"",COUNTBLANK(OFFSET(A$1,,,SUMPRODUCT(MAX(ROW(E$2:E3513)*(E3513=E$2:E3513)))))-COUNTBLANK(OFFSET(A$1,,,SUMPRODUCT(MAX(ROW(E$1:E3512)*(E2=E$1:E3512))))))</f>
        <v> </v>
      </c>
      <c r="K3513" s="25" t="str">
        <f>IF(OR(E3513="",E3513="!!!",F3513="NEW"),"",INDEX(J$1:J3512,SUMPRODUCT(MAX(ROW(E$1:E3512)*(E3513=E$1:E3512)))))</f>
        <v> </v>
      </c>
      <c r="L3513" s="26"/>
    </row>
    <row r="3514" spans="1:12">
      <c r="A3514" s="20" t="s">
        <v>1800</v>
      </c>
      <c r="E3514" s="21">
        <f>IF(D3514="?OLD","!!!","")</f>
        <v/>
      </c>
      <c r="F3514" s="22" t="str">
        <f>IF(OR(E3514="",E3514="!!!"),"",IF(NOT(ISNA(VLOOKUP(E3514,E$1:E3513,1,FALSE()))),"OLD",IF(AND(E3514&lt;&gt;"",E3514&lt;&gt;"!!!"),"NEW","")))</f>
        <v> </v>
      </c>
      <c r="G3514" s="23" t="str">
        <f>IF(OR(E3514="",E3514="!!!"),"",IF(OR(J3514=0,AND(J3514=1,K3514=1),AND(J3514=1,I3514="SBJ"),AND(J3514=1,I3514=0)),"?IN_FOCUS",IF(J3514&lt;=2,"?ACTIVATED",IF(J3514&lt;&gt;"","?FAMILIAR",IF(F3514="NEW",IF(ISNA(VLOOKUP(E3514,#REF!,1,FALSE())),"?TYPE_IDENTIFIABLE","?REFERENTIAL"),"_")))))</f>
        <v> </v>
      </c>
      <c r="H3514" s="24" t="str">
        <f>IF(J3514&lt;&gt;1,"",IF(I3514="SBJ","CB","?"))</f>
        <v> </v>
      </c>
      <c r="I3514" s="25" t="str">
        <f>IF(OR(E3514="",E3514="!!!",F3514="NEW"),"",INDEX(B3513:B$2,-1+SUMPRODUCT(MAX(ROW(E3513:E$2)*(E3514=E3513:E$2)))))</f>
        <v> </v>
      </c>
      <c r="J3514" s="25" t="str">
        <f>IF(OR(E3514="",E3514="!!!",F3514="NEW"),"",COUNTBLANK(OFFSET(A$1,,,SUMPRODUCT(MAX(ROW(E$2:E3514)*(E3514=E$2:E3514)))))-COUNTBLANK(OFFSET(A$1,,,SUMPRODUCT(MAX(ROW(E$1:E3513)*(E2=E$1:E3513))))))</f>
        <v> </v>
      </c>
      <c r="K3514" s="25" t="str">
        <f>IF(OR(E3514="",E3514="!!!",F3514="NEW"),"",INDEX(J$1:J3513,SUMPRODUCT(MAX(ROW(E$1:E3513)*(E3514=E$1:E3513)))))</f>
        <v> </v>
      </c>
      <c r="L3514" s="26"/>
    </row>
    <row r="3515" spans="1:12">
      <c r="A3515" s="20" t="s">
        <v>757</v>
      </c>
      <c r="E3515" s="21">
        <f>IF(D3515="?OLD","!!!","")</f>
        <v/>
      </c>
      <c r="F3515" s="22" t="str">
        <f>IF(OR(E3515="",E3515="!!!"),"",IF(NOT(ISNA(VLOOKUP(E3515,E$1:E3514,1,FALSE()))),"OLD",IF(AND(E3515&lt;&gt;"",E3515&lt;&gt;"!!!"),"NEW","")))</f>
        <v> </v>
      </c>
      <c r="G3515" s="23" t="str">
        <f>IF(OR(E3515="",E3515="!!!"),"",IF(OR(J3515=0,AND(J3515=1,K3515=1),AND(J3515=1,I3515="SBJ"),AND(J3515=1,I3515=0)),"?IN_FOCUS",IF(J3515&lt;=2,"?ACTIVATED",IF(J3515&lt;&gt;"","?FAMILIAR",IF(F3515="NEW",IF(ISNA(VLOOKUP(E3515,#REF!,1,FALSE())),"?TYPE_IDENTIFIABLE","?REFERENTIAL"),"_")))))</f>
        <v> </v>
      </c>
      <c r="H3515" s="24" t="str">
        <f>IF(J3515&lt;&gt;1,"",IF(I3515="SBJ","CB","?"))</f>
        <v> </v>
      </c>
      <c r="I3515" s="25" t="str">
        <f>IF(OR(E3515="",E3515="!!!",F3515="NEW"),"",INDEX(B3514:B$2,-1+SUMPRODUCT(MAX(ROW(E3514:E$2)*(E3515=E3514:E$2)))))</f>
        <v> </v>
      </c>
      <c r="J3515" s="25" t="str">
        <f>IF(OR(E3515="",E3515="!!!",F3515="NEW"),"",COUNTBLANK(OFFSET(A$1,,,SUMPRODUCT(MAX(ROW(E$2:E3515)*(E3515=E$2:E3515)))))-COUNTBLANK(OFFSET(A$1,,,SUMPRODUCT(MAX(ROW(E$1:E3514)*(E2=E$1:E3514))))))</f>
        <v> </v>
      </c>
      <c r="K3515" s="25" t="str">
        <f>IF(OR(E3515="",E3515="!!!",F3515="NEW"),"",INDEX(J$1:J3514,SUMPRODUCT(MAX(ROW(E$1:E3514)*(E3515=E$1:E3514)))))</f>
        <v> </v>
      </c>
      <c r="L3515" s="26"/>
    </row>
    <row r="3516" spans="1:12">
      <c r="A3516" s="20" t="s">
        <v>826</v>
      </c>
      <c r="E3516" s="21">
        <f>IF(D3516="?OLD","!!!","")</f>
        <v/>
      </c>
      <c r="F3516" s="22" t="str">
        <f>IF(OR(E3516="",E3516="!!!"),"",IF(NOT(ISNA(VLOOKUP(E3516,E$1:E3515,1,FALSE()))),"OLD",IF(AND(E3516&lt;&gt;"",E3516&lt;&gt;"!!!"),"NEW","")))</f>
        <v> </v>
      </c>
      <c r="G3516" s="23" t="str">
        <f>IF(OR(E3516="",E3516="!!!"),"",IF(OR(J3516=0,AND(J3516=1,K3516=1),AND(J3516=1,I3516="SBJ"),AND(J3516=1,I3516=0)),"?IN_FOCUS",IF(J3516&lt;=2,"?ACTIVATED",IF(J3516&lt;&gt;"","?FAMILIAR",IF(F3516="NEW",IF(ISNA(VLOOKUP(E3516,#REF!,1,FALSE())),"?TYPE_IDENTIFIABLE","?REFERENTIAL"),"_")))))</f>
        <v> </v>
      </c>
      <c r="H3516" s="24" t="str">
        <f>IF(J3516&lt;&gt;1,"",IF(I3516="SBJ","CB","?"))</f>
        <v> </v>
      </c>
      <c r="I3516" s="25" t="str">
        <f>IF(OR(E3516="",E3516="!!!",F3516="NEW"),"",INDEX(B3515:B$2,-1+SUMPRODUCT(MAX(ROW(E3515:E$2)*(E3516=E3515:E$2)))))</f>
        <v> </v>
      </c>
      <c r="J3516" s="25" t="str">
        <f>IF(OR(E3516="",E3516="!!!",F3516="NEW"),"",COUNTBLANK(OFFSET(A$1,,,SUMPRODUCT(MAX(ROW(E$2:E3516)*(E3516=E$2:E3516)))))-COUNTBLANK(OFFSET(A$1,,,SUMPRODUCT(MAX(ROW(E$1:E3515)*(E2=E$1:E3515))))))</f>
        <v> </v>
      </c>
      <c r="K3516" s="25" t="str">
        <f>IF(OR(E3516="",E3516="!!!",F3516="NEW"),"",INDEX(J$1:J3515,SUMPRODUCT(MAX(ROW(E$1:E3515)*(E3516=E$1:E3515)))))</f>
        <v> </v>
      </c>
      <c r="L3516" s="26"/>
    </row>
    <row r="3517" spans="1:12">
      <c r="A3517" s="20" t="s">
        <v>955</v>
      </c>
      <c r="B3517" s="27" t="s">
        <v>956</v>
      </c>
      <c r="C3517" s="27" t="s">
        <v>777</v>
      </c>
      <c r="D3517" s="27" t="s">
        <v>762</v>
      </c>
      <c r="E3517" s="21">
        <f>IF(D3517="?OLD","!!!","")</f>
        <v/>
      </c>
      <c r="F3517" s="22" t="str">
        <f>IF(OR(E3517="",E3517="!!!"),"",IF(NOT(ISNA(VLOOKUP(E3517,E$1:E3516,1,FALSE()))),"OLD",IF(AND(E3517&lt;&gt;"",E3517&lt;&gt;"!!!"),"NEW","")))</f>
        <v> </v>
      </c>
      <c r="G3517" s="23" t="str">
        <f>IF(OR(E3517="",E3517="!!!"),"",IF(OR(J3517=0,AND(J3517=1,K3517=1),AND(J3517=1,I3517="SBJ"),AND(J3517=1,I3517=0)),"?IN_FOCUS",IF(J3517&lt;=2,"?ACTIVATED",IF(J3517&lt;&gt;"","?FAMILIAR",IF(F3517="NEW",IF(ISNA(VLOOKUP(E3517,#REF!,1,FALSE())),"?TYPE_IDENTIFIABLE","?REFERENTIAL"),"_")))))</f>
        <v> </v>
      </c>
      <c r="H3517" s="24" t="str">
        <f>IF(J3517&lt;&gt;1,"",IF(I3517="SBJ","CB","?"))</f>
        <v> </v>
      </c>
      <c r="I3517" s="25" t="str">
        <f>IF(OR(E3517="",E3517="!!!",F3517="NEW"),"",INDEX(B3516:B$2,-1+SUMPRODUCT(MAX(ROW(E3516:E$2)*(E3517=E3516:E$2)))))</f>
        <v> </v>
      </c>
      <c r="J3517" s="25" t="str">
        <f>IF(OR(E3517="",E3517="!!!",F3517="NEW"),"",COUNTBLANK(OFFSET(A$1,,,SUMPRODUCT(MAX(ROW(E$2:E3517)*(E3517=E$2:E3517)))))-COUNTBLANK(OFFSET(A$1,,,SUMPRODUCT(MAX(ROW(E$1:E3516)*(E2=E$1:E3516))))))</f>
        <v> </v>
      </c>
      <c r="K3517" s="25" t="str">
        <f>IF(OR(E3517="",E3517="!!!",F3517="NEW"),"",INDEX(J$1:J3516,SUMPRODUCT(MAX(ROW(E$1:E3516)*(E3517=E$1:E3516)))))</f>
        <v> </v>
      </c>
      <c r="L3517" s="26"/>
    </row>
    <row r="3518" spans="1:12">
      <c r="A3518" s="20" t="s">
        <v>778</v>
      </c>
      <c r="E3518" s="21">
        <f>IF(D3518="?OLD","!!!","")</f>
        <v/>
      </c>
      <c r="F3518" s="22" t="str">
        <f>IF(OR(E3518="",E3518="!!!"),"",IF(NOT(ISNA(VLOOKUP(E3518,E$1:E3517,1,FALSE()))),"OLD",IF(AND(E3518&lt;&gt;"",E3518&lt;&gt;"!!!"),"NEW","")))</f>
        <v> </v>
      </c>
      <c r="G3518" s="23" t="str">
        <f>IF(OR(E3518="",E3518="!!!"),"",IF(OR(J3518=0,AND(J3518=1,K3518=1),AND(J3518=1,I3518="SBJ"),AND(J3518=1,I3518=0)),"?IN_FOCUS",IF(J3518&lt;=2,"?ACTIVATED",IF(J3518&lt;&gt;"","?FAMILIAR",IF(F3518="NEW",IF(ISNA(VLOOKUP(E3518,#REF!,1,FALSE())),"?TYPE_IDENTIFIABLE","?REFERENTIAL"),"_")))))</f>
        <v> </v>
      </c>
      <c r="H3518" s="24" t="str">
        <f>IF(J3518&lt;&gt;1,"",IF(I3518="SBJ","CB","?"))</f>
        <v> </v>
      </c>
      <c r="I3518" s="25" t="str">
        <f>IF(OR(E3518="",E3518="!!!",F3518="NEW"),"",INDEX(B3517:B$2,-1+SUMPRODUCT(MAX(ROW(E3517:E$2)*(E3518=E3517:E$2)))))</f>
        <v> </v>
      </c>
      <c r="J3518" s="25" t="str">
        <f>IF(OR(E3518="",E3518="!!!",F3518="NEW"),"",COUNTBLANK(OFFSET(A$1,,,SUMPRODUCT(MAX(ROW(E$2:E3518)*(E3518=E$2:E3518)))))-COUNTBLANK(OFFSET(A$1,,,SUMPRODUCT(MAX(ROW(E$1:E3517)*(E2=E$1:E3517))))))</f>
        <v> </v>
      </c>
      <c r="K3518" s="25" t="str">
        <f>IF(OR(E3518="",E3518="!!!",F3518="NEW"),"",INDEX(J$1:J3517,SUMPRODUCT(MAX(ROW(E$1:E3517)*(E3518=E$1:E3517)))))</f>
        <v> </v>
      </c>
      <c r="L3518" s="26"/>
    </row>
    <row r="3519" spans="1:12">
      <c r="A3519" s="20" t="s">
        <v>857</v>
      </c>
      <c r="E3519" s="21">
        <f>IF(D3519="?OLD","!!!","")</f>
        <v/>
      </c>
      <c r="F3519" s="22" t="str">
        <f>IF(OR(E3519="",E3519="!!!"),"",IF(NOT(ISNA(VLOOKUP(E3519,E$1:E3518,1,FALSE()))),"OLD",IF(AND(E3519&lt;&gt;"",E3519&lt;&gt;"!!!"),"NEW","")))</f>
        <v> </v>
      </c>
      <c r="G3519" s="23" t="str">
        <f>IF(OR(E3519="",E3519="!!!"),"",IF(OR(J3519=0,AND(J3519=1,K3519=1),AND(J3519=1,I3519="SBJ"),AND(J3519=1,I3519=0)),"?IN_FOCUS",IF(J3519&lt;=2,"?ACTIVATED",IF(J3519&lt;&gt;"","?FAMILIAR",IF(F3519="NEW",IF(ISNA(VLOOKUP(E3519,#REF!,1,FALSE())),"?TYPE_IDENTIFIABLE","?REFERENTIAL"),"_")))))</f>
        <v> </v>
      </c>
      <c r="H3519" s="24" t="str">
        <f>IF(J3519&lt;&gt;1,"",IF(I3519="SBJ","CB","?"))</f>
        <v> </v>
      </c>
      <c r="I3519" s="25" t="str">
        <f>IF(OR(E3519="",E3519="!!!",F3519="NEW"),"",INDEX(B3518:B$2,-1+SUMPRODUCT(MAX(ROW(E3518:E$2)*(E3519=E3518:E$2)))))</f>
        <v> </v>
      </c>
      <c r="J3519" s="25" t="str">
        <f>IF(OR(E3519="",E3519="!!!",F3519="NEW"),"",COUNTBLANK(OFFSET(A$1,,,SUMPRODUCT(MAX(ROW(E$2:E3519)*(E3519=E$2:E3519)))))-COUNTBLANK(OFFSET(A$1,,,SUMPRODUCT(MAX(ROW(E$1:E3518)*(E2=E$1:E3518))))))</f>
        <v> </v>
      </c>
      <c r="K3519" s="25" t="str">
        <f>IF(OR(E3519="",E3519="!!!",F3519="NEW"),"",INDEX(J$1:J3518,SUMPRODUCT(MAX(ROW(E$1:E3518)*(E3519=E$1:E3518)))))</f>
        <v> </v>
      </c>
      <c r="L3519" s="26"/>
    </row>
    <row r="3520" spans="1:12">
      <c r="A3520" s="20" t="s">
        <v>785</v>
      </c>
      <c r="E3520" s="21">
        <f>IF(D3520="?OLD","!!!","")</f>
        <v/>
      </c>
      <c r="F3520" s="22" t="str">
        <f>IF(OR(E3520="",E3520="!!!"),"",IF(NOT(ISNA(VLOOKUP(E3520,E$1:E3519,1,FALSE()))),"OLD",IF(AND(E3520&lt;&gt;"",E3520&lt;&gt;"!!!"),"NEW","")))</f>
        <v> </v>
      </c>
      <c r="G3520" s="23" t="str">
        <f>IF(OR(E3520="",E3520="!!!"),"",IF(OR(J3520=0,AND(J3520=1,K3520=1),AND(J3520=1,I3520="SBJ"),AND(J3520=1,I3520=0)),"?IN_FOCUS",IF(J3520&lt;=2,"?ACTIVATED",IF(J3520&lt;&gt;"","?FAMILIAR",IF(F3520="NEW",IF(ISNA(VLOOKUP(E3520,#REF!,1,FALSE())),"?TYPE_IDENTIFIABLE","?REFERENTIAL"),"_")))))</f>
        <v> </v>
      </c>
      <c r="H3520" s="24" t="str">
        <f>IF(J3520&lt;&gt;1,"",IF(I3520="SBJ","CB","?"))</f>
        <v> </v>
      </c>
      <c r="I3520" s="25" t="str">
        <f>IF(OR(E3520="",E3520="!!!",F3520="NEW"),"",INDEX(B3519:B$2,-1+SUMPRODUCT(MAX(ROW(E3519:E$2)*(E3520=E3519:E$2)))))</f>
        <v> </v>
      </c>
      <c r="J3520" s="25" t="str">
        <f>IF(OR(E3520="",E3520="!!!",F3520="NEW"),"",COUNTBLANK(OFFSET(A$1,,,SUMPRODUCT(MAX(ROW(E$2:E3520)*(E3520=E$2:E3520)))))-COUNTBLANK(OFFSET(A$1,,,SUMPRODUCT(MAX(ROW(E$1:E3519)*(E2=E$1:E3519))))))</f>
        <v> </v>
      </c>
      <c r="K3520" s="25" t="str">
        <f>IF(OR(E3520="",E3520="!!!",F3520="NEW"),"",INDEX(J$1:J3519,SUMPRODUCT(MAX(ROW(E$1:E3519)*(E3520=E$1:E3519)))))</f>
        <v> </v>
      </c>
      <c r="L3520" s="26"/>
    </row>
    <row r="3521" spans="1:12">
      <c r="A3521" s="20" t="s">
        <v>822</v>
      </c>
      <c r="E3521" s="21">
        <f>IF(D3521="?OLD","!!!","")</f>
        <v/>
      </c>
      <c r="F3521" s="22" t="str">
        <f>IF(OR(E3521="",E3521="!!!"),"",IF(NOT(ISNA(VLOOKUP(E3521,E$1:E3520,1,FALSE()))),"OLD",IF(AND(E3521&lt;&gt;"",E3521&lt;&gt;"!!!"),"NEW","")))</f>
        <v> </v>
      </c>
      <c r="G3521" s="23" t="str">
        <f>IF(OR(E3521="",E3521="!!!"),"",IF(OR(J3521=0,AND(J3521=1,K3521=1),AND(J3521=1,I3521="SBJ"),AND(J3521=1,I3521=0)),"?IN_FOCUS",IF(J3521&lt;=2,"?ACTIVATED",IF(J3521&lt;&gt;"","?FAMILIAR",IF(F3521="NEW",IF(ISNA(VLOOKUP(E3521,#REF!,1,FALSE())),"?TYPE_IDENTIFIABLE","?REFERENTIAL"),"_")))))</f>
        <v> </v>
      </c>
      <c r="H3521" s="24" t="str">
        <f>IF(J3521&lt;&gt;1,"",IF(I3521="SBJ","CB","?"))</f>
        <v> </v>
      </c>
      <c r="I3521" s="25" t="str">
        <f>IF(OR(E3521="",E3521="!!!",F3521="NEW"),"",INDEX(B3520:B$2,-1+SUMPRODUCT(MAX(ROW(E3520:E$2)*(E3521=E3520:E$2)))))</f>
        <v> </v>
      </c>
      <c r="J3521" s="25" t="str">
        <f>IF(OR(E3521="",E3521="!!!",F3521="NEW"),"",COUNTBLANK(OFFSET(A$1,,,SUMPRODUCT(MAX(ROW(E$2:E3521)*(E3521=E$2:E3521)))))-COUNTBLANK(OFFSET(A$1,,,SUMPRODUCT(MAX(ROW(E$1:E3520)*(E2=E$1:E3520))))))</f>
        <v> </v>
      </c>
      <c r="K3521" s="25" t="str">
        <f>IF(OR(E3521="",E3521="!!!",F3521="NEW"),"",INDEX(J$1:J3520,SUMPRODUCT(MAX(ROW(E$1:E3520)*(E3521=E$1:E3520)))))</f>
        <v> </v>
      </c>
      <c r="L3521" s="26"/>
    </row>
    <row r="3522" spans="1:12">
      <c r="A3522" s="20" t="s">
        <v>1801</v>
      </c>
      <c r="B3522" s="27" t="s">
        <v>879</v>
      </c>
      <c r="C3522" s="27" t="s">
        <v>761</v>
      </c>
      <c r="D3522" s="27" t="s">
        <v>762</v>
      </c>
      <c r="E3522" s="21">
        <f>IF(D3522="?OLD","!!!","")</f>
        <v/>
      </c>
      <c r="F3522" s="22" t="str">
        <f>IF(OR(E3522="",E3522="!!!"),"",IF(NOT(ISNA(VLOOKUP(E3522,E$1:E3521,1,FALSE()))),"OLD",IF(AND(E3522&lt;&gt;"",E3522&lt;&gt;"!!!"),"NEW","")))</f>
        <v> </v>
      </c>
      <c r="G3522" s="23" t="str">
        <f>IF(OR(E3522="",E3522="!!!"),"",IF(OR(J3522=0,AND(J3522=1,K3522=1),AND(J3522=1,I3522="SBJ"),AND(J3522=1,I3522=0)),"?IN_FOCUS",IF(J3522&lt;=2,"?ACTIVATED",IF(J3522&lt;&gt;"","?FAMILIAR",IF(F3522="NEW",IF(ISNA(VLOOKUP(E3522,#REF!,1,FALSE())),"?TYPE_IDENTIFIABLE","?REFERENTIAL"),"_")))))</f>
        <v> </v>
      </c>
      <c r="H3522" s="24" t="str">
        <f>IF(J3522&lt;&gt;1,"",IF(I3522="SBJ","CB","?"))</f>
        <v> </v>
      </c>
      <c r="I3522" s="25" t="str">
        <f>IF(OR(E3522="",E3522="!!!",F3522="NEW"),"",INDEX(B3521:B$2,-1+SUMPRODUCT(MAX(ROW(E3521:E$2)*(E3522=E3521:E$2)))))</f>
        <v> </v>
      </c>
      <c r="J3522" s="25" t="str">
        <f>IF(OR(E3522="",E3522="!!!",F3522="NEW"),"",COUNTBLANK(OFFSET(A$1,,,SUMPRODUCT(MAX(ROW(E$2:E3522)*(E3522=E$2:E3522)))))-COUNTBLANK(OFFSET(A$1,,,SUMPRODUCT(MAX(ROW(E$1:E3521)*(E2=E$1:E3521))))))</f>
        <v> </v>
      </c>
      <c r="K3522" s="25" t="str">
        <f>IF(OR(E3522="",E3522="!!!",F3522="NEW"),"",INDEX(J$1:J3521,SUMPRODUCT(MAX(ROW(E$1:E3521)*(E3522=E$1:E3521)))))</f>
        <v> </v>
      </c>
      <c r="L3522" s="26"/>
    </row>
    <row r="3523" spans="1:12">
      <c r="A3523" s="20" t="s">
        <v>757</v>
      </c>
      <c r="E3523" s="21">
        <f>IF(D3523="?OLD","!!!","")</f>
        <v/>
      </c>
      <c r="F3523" s="22" t="str">
        <f>IF(OR(E3523="",E3523="!!!"),"",IF(NOT(ISNA(VLOOKUP(E3523,E$1:E3522,1,FALSE()))),"OLD",IF(AND(E3523&lt;&gt;"",E3523&lt;&gt;"!!!"),"NEW","")))</f>
        <v> </v>
      </c>
      <c r="G3523" s="23" t="str">
        <f>IF(OR(E3523="",E3523="!!!"),"",IF(OR(J3523=0,AND(J3523=1,K3523=1),AND(J3523=1,I3523="SBJ"),AND(J3523=1,I3523=0)),"?IN_FOCUS",IF(J3523&lt;=2,"?ACTIVATED",IF(J3523&lt;&gt;"","?FAMILIAR",IF(F3523="NEW",IF(ISNA(VLOOKUP(E3523,#REF!,1,FALSE())),"?TYPE_IDENTIFIABLE","?REFERENTIAL"),"_")))))</f>
        <v> </v>
      </c>
      <c r="H3523" s="24" t="str">
        <f>IF(J3523&lt;&gt;1,"",IF(I3523="SBJ","CB","?"))</f>
        <v> </v>
      </c>
      <c r="I3523" s="25" t="str">
        <f>IF(OR(E3523="",E3523="!!!",F3523="NEW"),"",INDEX(B3522:B$2,-1+SUMPRODUCT(MAX(ROW(E3522:E$2)*(E3523=E3522:E$2)))))</f>
        <v> </v>
      </c>
      <c r="J3523" s="25" t="str">
        <f>IF(OR(E3523="",E3523="!!!",F3523="NEW"),"",COUNTBLANK(OFFSET(A$1,,,SUMPRODUCT(MAX(ROW(E$2:E3523)*(E3523=E$2:E3523)))))-COUNTBLANK(OFFSET(A$1,,,SUMPRODUCT(MAX(ROW(E$1:E3522)*(E2=E$1:E3522))))))</f>
        <v> </v>
      </c>
      <c r="K3523" s="25" t="str">
        <f>IF(OR(E3523="",E3523="!!!",F3523="NEW"),"",INDEX(J$1:J3522,SUMPRODUCT(MAX(ROW(E$1:E3522)*(E3523=E$1:E3522)))))</f>
        <v> </v>
      </c>
      <c r="L3523" s="26"/>
    </row>
    <row r="3524" spans="1:12">
      <c r="A3524" s="20" t="s">
        <v>869</v>
      </c>
      <c r="B3524" s="27" t="s">
        <v>796</v>
      </c>
      <c r="C3524" s="27" t="s">
        <v>797</v>
      </c>
      <c r="D3524" s="27" t="s">
        <v>762</v>
      </c>
      <c r="E3524" s="21">
        <f>IF(D3524="?OLD","!!!","")</f>
        <v/>
      </c>
      <c r="F3524" s="22" t="str">
        <f>IF(OR(E3524="",E3524="!!!"),"",IF(NOT(ISNA(VLOOKUP(E3524,E$1:E3523,1,FALSE()))),"OLD",IF(AND(E3524&lt;&gt;"",E3524&lt;&gt;"!!!"),"NEW","")))</f>
        <v> </v>
      </c>
      <c r="G3524" s="23" t="str">
        <f>IF(OR(E3524="",E3524="!!!"),"",IF(OR(J3524=0,AND(J3524=1,K3524=1),AND(J3524=1,I3524="SBJ"),AND(J3524=1,I3524=0)),"?IN_FOCUS",IF(J3524&lt;=2,"?ACTIVATED",IF(J3524&lt;&gt;"","?FAMILIAR",IF(F3524="NEW",IF(ISNA(VLOOKUP(E3524,#REF!,1,FALSE())),"?TYPE_IDENTIFIABLE","?REFERENTIAL"),"_")))))</f>
        <v> </v>
      </c>
      <c r="H3524" s="24" t="str">
        <f>IF(J3524&lt;&gt;1,"",IF(I3524="SBJ","CB","?"))</f>
        <v> </v>
      </c>
      <c r="I3524" s="25" t="str">
        <f>IF(OR(E3524="",E3524="!!!",F3524="NEW"),"",INDEX(B3523:B$2,-1+SUMPRODUCT(MAX(ROW(E3523:E$2)*(E3524=E3523:E$2)))))</f>
        <v> </v>
      </c>
      <c r="J3524" s="25" t="str">
        <f>IF(OR(E3524="",E3524="!!!",F3524="NEW"),"",COUNTBLANK(OFFSET(A$1,,,SUMPRODUCT(MAX(ROW(E$2:E3524)*(E3524=E$2:E3524)))))-COUNTBLANK(OFFSET(A$1,,,SUMPRODUCT(MAX(ROW(E$1:E3523)*(E2=E$1:E3523))))))</f>
        <v> </v>
      </c>
      <c r="K3524" s="25" t="str">
        <f>IF(OR(E3524="",E3524="!!!",F3524="NEW"),"",INDEX(J$1:J3523,SUMPRODUCT(MAX(ROW(E$1:E3523)*(E3524=E$1:E3523)))))</f>
        <v> </v>
      </c>
      <c r="L3524" s="26"/>
    </row>
    <row r="3525" spans="1:12">
      <c r="A3525" s="20" t="s">
        <v>1802</v>
      </c>
      <c r="E3525" s="21">
        <f>IF(D3525="?OLD","!!!","")</f>
        <v/>
      </c>
      <c r="F3525" s="22" t="str">
        <f>IF(OR(E3525="",E3525="!!!"),"",IF(NOT(ISNA(VLOOKUP(E3525,E$1:E3524,1,FALSE()))),"OLD",IF(AND(E3525&lt;&gt;"",E3525&lt;&gt;"!!!"),"NEW","")))</f>
        <v> </v>
      </c>
      <c r="G3525" s="23" t="str">
        <f>IF(OR(E3525="",E3525="!!!"),"",IF(OR(J3525=0,AND(J3525=1,K3525=1),AND(J3525=1,I3525="SBJ"),AND(J3525=1,I3525=0)),"?IN_FOCUS",IF(J3525&lt;=2,"?ACTIVATED",IF(J3525&lt;&gt;"","?FAMILIAR",IF(F3525="NEW",IF(ISNA(VLOOKUP(E3525,#REF!,1,FALSE())),"?TYPE_IDENTIFIABLE","?REFERENTIAL"),"_")))))</f>
        <v> </v>
      </c>
      <c r="H3525" s="24" t="str">
        <f>IF(J3525&lt;&gt;1,"",IF(I3525="SBJ","CB","?"))</f>
        <v> </v>
      </c>
      <c r="I3525" s="25" t="str">
        <f>IF(OR(E3525="",E3525="!!!",F3525="NEW"),"",INDEX(B3524:B$2,-1+SUMPRODUCT(MAX(ROW(E3524:E$2)*(E3525=E3524:E$2)))))</f>
        <v> </v>
      </c>
      <c r="J3525" s="25" t="str">
        <f>IF(OR(E3525="",E3525="!!!",F3525="NEW"),"",COUNTBLANK(OFFSET(A$1,,,SUMPRODUCT(MAX(ROW(E$2:E3525)*(E3525=E$2:E3525)))))-COUNTBLANK(OFFSET(A$1,,,SUMPRODUCT(MAX(ROW(E$1:E3524)*(E2=E$1:E3524))))))</f>
        <v> </v>
      </c>
      <c r="K3525" s="25" t="str">
        <f>IF(OR(E3525="",E3525="!!!",F3525="NEW"),"",INDEX(J$1:J3524,SUMPRODUCT(MAX(ROW(E$1:E3524)*(E3525=E$1:E3524)))))</f>
        <v> </v>
      </c>
      <c r="L3525" s="26"/>
    </row>
    <row r="3526" spans="1:12">
      <c r="A3526" s="20" t="s">
        <v>937</v>
      </c>
      <c r="E3526" s="21">
        <f>IF(D3526="?OLD","!!!","")</f>
        <v/>
      </c>
      <c r="F3526" s="22" t="str">
        <f>IF(OR(E3526="",E3526="!!!"),"",IF(NOT(ISNA(VLOOKUP(E3526,E$1:E3525,1,FALSE()))),"OLD",IF(AND(E3526&lt;&gt;"",E3526&lt;&gt;"!!!"),"NEW","")))</f>
        <v> </v>
      </c>
      <c r="G3526" s="23" t="str">
        <f>IF(OR(E3526="",E3526="!!!"),"",IF(OR(J3526=0,AND(J3526=1,K3526=1),AND(J3526=1,I3526="SBJ"),AND(J3526=1,I3526=0)),"?IN_FOCUS",IF(J3526&lt;=2,"?ACTIVATED",IF(J3526&lt;&gt;"","?FAMILIAR",IF(F3526="NEW",IF(ISNA(VLOOKUP(E3526,#REF!,1,FALSE())),"?TYPE_IDENTIFIABLE","?REFERENTIAL"),"_")))))</f>
        <v> </v>
      </c>
      <c r="H3526" s="24" t="str">
        <f>IF(J3526&lt;&gt;1,"",IF(I3526="SBJ","CB","?"))</f>
        <v> </v>
      </c>
      <c r="I3526" s="25" t="str">
        <f>IF(OR(E3526="",E3526="!!!",F3526="NEW"),"",INDEX(B3525:B$2,-1+SUMPRODUCT(MAX(ROW(E3525:E$2)*(E3526=E3525:E$2)))))</f>
        <v> </v>
      </c>
      <c r="J3526" s="25" t="str">
        <f>IF(OR(E3526="",E3526="!!!",F3526="NEW"),"",COUNTBLANK(OFFSET(A$1,,,SUMPRODUCT(MAX(ROW(E$2:E3526)*(E3526=E$2:E3526)))))-COUNTBLANK(OFFSET(A$1,,,SUMPRODUCT(MAX(ROW(E$1:E3525)*(E2=E$1:E3525))))))</f>
        <v> </v>
      </c>
      <c r="K3526" s="25" t="str">
        <f>IF(OR(E3526="",E3526="!!!",F3526="NEW"),"",INDEX(J$1:J3525,SUMPRODUCT(MAX(ROW(E$1:E3525)*(E3526=E$1:E3525)))))</f>
        <v> </v>
      </c>
      <c r="L3526" s="26"/>
    </row>
    <row r="3527" spans="1:12">
      <c r="A3527" s="20" t="s">
        <v>811</v>
      </c>
      <c r="E3527" s="21">
        <f>IF(D3527="?OLD","!!!","")</f>
        <v/>
      </c>
      <c r="F3527" s="22" t="str">
        <f>IF(OR(E3527="",E3527="!!!"),"",IF(NOT(ISNA(VLOOKUP(E3527,E$1:E3526,1,FALSE()))),"OLD",IF(AND(E3527&lt;&gt;"",E3527&lt;&gt;"!!!"),"NEW","")))</f>
        <v> </v>
      </c>
      <c r="G3527" s="23" t="str">
        <f>IF(OR(E3527="",E3527="!!!"),"",IF(OR(J3527=0,AND(J3527=1,K3527=1),AND(J3527=1,I3527="SBJ"),AND(J3527=1,I3527=0)),"?IN_FOCUS",IF(J3527&lt;=2,"?ACTIVATED",IF(J3527&lt;&gt;"","?FAMILIAR",IF(F3527="NEW",IF(ISNA(VLOOKUP(E3527,#REF!,1,FALSE())),"?TYPE_IDENTIFIABLE","?REFERENTIAL"),"_")))))</f>
        <v> </v>
      </c>
      <c r="H3527" s="24" t="str">
        <f>IF(J3527&lt;&gt;1,"",IF(I3527="SBJ","CB","?"))</f>
        <v> </v>
      </c>
      <c r="I3527" s="25" t="str">
        <f>IF(OR(E3527="",E3527="!!!",F3527="NEW"),"",INDEX(B3526:B$2,-1+SUMPRODUCT(MAX(ROW(E3526:E$2)*(E3527=E3526:E$2)))))</f>
        <v> </v>
      </c>
      <c r="J3527" s="25" t="str">
        <f>IF(OR(E3527="",E3527="!!!",F3527="NEW"),"",COUNTBLANK(OFFSET(A$1,,,SUMPRODUCT(MAX(ROW(E$2:E3527)*(E3527=E$2:E3527)))))-COUNTBLANK(OFFSET(A$1,,,SUMPRODUCT(MAX(ROW(E$1:E3526)*(E2=E$1:E3526))))))</f>
        <v> </v>
      </c>
      <c r="K3527" s="25" t="str">
        <f>IF(OR(E3527="",E3527="!!!",F3527="NEW"),"",INDEX(J$1:J3526,SUMPRODUCT(MAX(ROW(E$1:E3526)*(E3527=E$1:E3526)))))</f>
        <v> </v>
      </c>
      <c r="L3527" s="26"/>
    </row>
    <row r="3528" spans="1:12">
      <c r="A3528" s="20" t="s">
        <v>129</v>
      </c>
      <c r="E3528" s="21">
        <f>IF(D3528="?OLD","!!!","")</f>
        <v/>
      </c>
      <c r="F3528" s="22" t="str">
        <f>IF(OR(E3528="",E3528="!!!"),"",IF(NOT(ISNA(VLOOKUP(E3528,E$1:E3527,1,FALSE()))),"OLD",IF(AND(E3528&lt;&gt;"",E3528&lt;&gt;"!!!"),"NEW","")))</f>
        <v> </v>
      </c>
      <c r="G3528" s="23" t="str">
        <f>IF(OR(E3528="",E3528="!!!"),"",IF(OR(J3528=0,AND(J3528=1,K3528=1),AND(J3528=1,I3528="SBJ"),AND(J3528=1,I3528=0)),"?IN_FOCUS",IF(J3528&lt;=2,"?ACTIVATED",IF(J3528&lt;&gt;"","?FAMILIAR",IF(F3528="NEW",IF(ISNA(VLOOKUP(E3528,#REF!,1,FALSE())),"?TYPE_IDENTIFIABLE","?REFERENTIAL"),"_")))))</f>
        <v> </v>
      </c>
      <c r="H3528" s="24" t="str">
        <f>IF(J3528&lt;&gt;1,"",IF(I3528="SBJ","CB","?"))</f>
        <v> </v>
      </c>
      <c r="I3528" s="25" t="str">
        <f>IF(OR(E3528="",E3528="!!!",F3528="NEW"),"",INDEX(B3527:B$2,-1+SUMPRODUCT(MAX(ROW(E3527:E$2)*(E3528=E3527:E$2)))))</f>
        <v> </v>
      </c>
      <c r="J3528" s="25" t="str">
        <f>IF(OR(E3528="",E3528="!!!",F3528="NEW"),"",COUNTBLANK(OFFSET(A$1,,,SUMPRODUCT(MAX(ROW(E$2:E3528)*(E3528=E$2:E3528)))))-COUNTBLANK(OFFSET(A$1,,,SUMPRODUCT(MAX(ROW(E$1:E3527)*(E2=E$1:E3527))))))</f>
        <v> </v>
      </c>
      <c r="K3528" s="25" t="str">
        <f>IF(OR(E3528="",E3528="!!!",F3528="NEW"),"",INDEX(J$1:J3527,SUMPRODUCT(MAX(ROW(E$1:E3527)*(E3528=E$1:E3527)))))</f>
        <v> </v>
      </c>
      <c r="L3528" s="26"/>
    </row>
    <row r="3529" spans="1:12">
      <c r="A3529" s="20" t="s">
        <v>1300</v>
      </c>
      <c r="E3529" s="21">
        <f>IF(D3529="?OLD","!!!","")</f>
        <v/>
      </c>
      <c r="F3529" s="22" t="str">
        <f>IF(OR(E3529="",E3529="!!!"),"",IF(NOT(ISNA(VLOOKUP(E3529,E$1:E3528,1,FALSE()))),"OLD",IF(AND(E3529&lt;&gt;"",E3529&lt;&gt;"!!!"),"NEW","")))</f>
        <v> </v>
      </c>
      <c r="G3529" s="23" t="str">
        <f>IF(OR(E3529="",E3529="!!!"),"",IF(OR(J3529=0,AND(J3529=1,K3529=1),AND(J3529=1,I3529="SBJ"),AND(J3529=1,I3529=0)),"?IN_FOCUS",IF(J3529&lt;=2,"?ACTIVATED",IF(J3529&lt;&gt;"","?FAMILIAR",IF(F3529="NEW",IF(ISNA(VLOOKUP(E3529,#REF!,1,FALSE())),"?TYPE_IDENTIFIABLE","?REFERENTIAL"),"_")))))</f>
        <v> </v>
      </c>
      <c r="H3529" s="24" t="str">
        <f>IF(J3529&lt;&gt;1,"",IF(I3529="SBJ","CB","?"))</f>
        <v> </v>
      </c>
      <c r="I3529" s="25" t="str">
        <f>IF(OR(E3529="",E3529="!!!",F3529="NEW"),"",INDEX(B3528:B$2,-1+SUMPRODUCT(MAX(ROW(E3528:E$2)*(E3529=E3528:E$2)))))</f>
        <v> </v>
      </c>
      <c r="J3529" s="25" t="str">
        <f>IF(OR(E3529="",E3529="!!!",F3529="NEW"),"",COUNTBLANK(OFFSET(A$1,,,SUMPRODUCT(MAX(ROW(E$2:E3529)*(E3529=E$2:E3529)))))-COUNTBLANK(OFFSET(A$1,,,SUMPRODUCT(MAX(ROW(E$1:E3528)*(E2=E$1:E3528))))))</f>
        <v> </v>
      </c>
      <c r="K3529" s="25" t="str">
        <f>IF(OR(E3529="",E3529="!!!",F3529="NEW"),"",INDEX(J$1:J3528,SUMPRODUCT(MAX(ROW(E$1:E3528)*(E3529=E$1:E3528)))))</f>
        <v> </v>
      </c>
      <c r="L3529" s="26"/>
    </row>
    <row r="3530" spans="1:12">
      <c r="A3530" s="20" t="s">
        <v>1364</v>
      </c>
      <c r="E3530" s="21">
        <f>IF(D3530="?OLD","!!!","")</f>
        <v/>
      </c>
      <c r="F3530" s="22" t="str">
        <f>IF(OR(E3530="",E3530="!!!"),"",IF(NOT(ISNA(VLOOKUP(E3530,E$1:E3529,1,FALSE()))),"OLD",IF(AND(E3530&lt;&gt;"",E3530&lt;&gt;"!!!"),"NEW","")))</f>
        <v> </v>
      </c>
      <c r="G3530" s="23" t="str">
        <f>IF(OR(E3530="",E3530="!!!"),"",IF(OR(J3530=0,AND(J3530=1,K3530=1),AND(J3530=1,I3530="SBJ"),AND(J3530=1,I3530=0)),"?IN_FOCUS",IF(J3530&lt;=2,"?ACTIVATED",IF(J3530&lt;&gt;"","?FAMILIAR",IF(F3530="NEW",IF(ISNA(VLOOKUP(E3530,#REF!,1,FALSE())),"?TYPE_IDENTIFIABLE","?REFERENTIAL"),"_")))))</f>
        <v> </v>
      </c>
      <c r="H3530" s="24" t="str">
        <f>IF(J3530&lt;&gt;1,"",IF(I3530="SBJ","CB","?"))</f>
        <v> </v>
      </c>
      <c r="I3530" s="25" t="str">
        <f>IF(OR(E3530="",E3530="!!!",F3530="NEW"),"",INDEX(B3529:B$2,-1+SUMPRODUCT(MAX(ROW(E3529:E$2)*(E3530=E3529:E$2)))))</f>
        <v> </v>
      </c>
      <c r="J3530" s="25" t="str">
        <f>IF(OR(E3530="",E3530="!!!",F3530="NEW"),"",COUNTBLANK(OFFSET(A$1,,,SUMPRODUCT(MAX(ROW(E$2:E3530)*(E3530=E$2:E3530)))))-COUNTBLANK(OFFSET(A$1,,,SUMPRODUCT(MAX(ROW(E$1:E3529)*(E2=E$1:E3529))))))</f>
        <v> </v>
      </c>
      <c r="K3530" s="25" t="str">
        <f>IF(OR(E3530="",E3530="!!!",F3530="NEW"),"",INDEX(J$1:J3529,SUMPRODUCT(MAX(ROW(E$1:E3529)*(E3530=E$1:E3529)))))</f>
        <v> </v>
      </c>
      <c r="L3530" s="26"/>
    </row>
    <row r="3531" spans="1:12">
      <c r="A3531" s="20" t="s">
        <v>1803</v>
      </c>
      <c r="E3531" s="21">
        <f>IF(D3531="?OLD","!!!","")</f>
        <v/>
      </c>
      <c r="F3531" s="22" t="str">
        <f>IF(OR(E3531="",E3531="!!!"),"",IF(NOT(ISNA(VLOOKUP(E3531,E$1:E3530,1,FALSE()))),"OLD",IF(AND(E3531&lt;&gt;"",E3531&lt;&gt;"!!!"),"NEW","")))</f>
        <v> </v>
      </c>
      <c r="G3531" s="23" t="str">
        <f>IF(OR(E3531="",E3531="!!!"),"",IF(OR(J3531=0,AND(J3531=1,K3531=1),AND(J3531=1,I3531="SBJ"),AND(J3531=1,I3531=0)),"?IN_FOCUS",IF(J3531&lt;=2,"?ACTIVATED",IF(J3531&lt;&gt;"","?FAMILIAR",IF(F3531="NEW",IF(ISNA(VLOOKUP(E3531,#REF!,1,FALSE())),"?TYPE_IDENTIFIABLE","?REFERENTIAL"),"_")))))</f>
        <v> </v>
      </c>
      <c r="H3531" s="24" t="str">
        <f>IF(J3531&lt;&gt;1,"",IF(I3531="SBJ","CB","?"))</f>
        <v> </v>
      </c>
      <c r="I3531" s="25" t="str">
        <f>IF(OR(E3531="",E3531="!!!",F3531="NEW"),"",INDEX(B3530:B$2,-1+SUMPRODUCT(MAX(ROW(E3530:E$2)*(E3531=E3530:E$2)))))</f>
        <v> </v>
      </c>
      <c r="J3531" s="25" t="str">
        <f>IF(OR(E3531="",E3531="!!!",F3531="NEW"),"",COUNTBLANK(OFFSET(A$1,,,SUMPRODUCT(MAX(ROW(E$2:E3531)*(E3531=E$2:E3531)))))-COUNTBLANK(OFFSET(A$1,,,SUMPRODUCT(MAX(ROW(E$1:E3530)*(E2=E$1:E3530))))))</f>
        <v> </v>
      </c>
      <c r="K3531" s="25" t="str">
        <f>IF(OR(E3531="",E3531="!!!",F3531="NEW"),"",INDEX(J$1:J3530,SUMPRODUCT(MAX(ROW(E$1:E3530)*(E3531=E$1:E3530)))))</f>
        <v> </v>
      </c>
      <c r="L3531" s="26"/>
    </row>
    <row r="3532" spans="1:12">
      <c r="A3532" s="20" t="s">
        <v>757</v>
      </c>
      <c r="E3532" s="21">
        <f>IF(D3532="?OLD","!!!","")</f>
        <v/>
      </c>
      <c r="F3532" s="22" t="str">
        <f>IF(OR(E3532="",E3532="!!!"),"",IF(NOT(ISNA(VLOOKUP(E3532,E$1:E3531,1,FALSE()))),"OLD",IF(AND(E3532&lt;&gt;"",E3532&lt;&gt;"!!!"),"NEW","")))</f>
        <v> </v>
      </c>
      <c r="G3532" s="23" t="str">
        <f>IF(OR(E3532="",E3532="!!!"),"",IF(OR(J3532=0,AND(J3532=1,K3532=1),AND(J3532=1,I3532="SBJ"),AND(J3532=1,I3532=0)),"?IN_FOCUS",IF(J3532&lt;=2,"?ACTIVATED",IF(J3532&lt;&gt;"","?FAMILIAR",IF(F3532="NEW",IF(ISNA(VLOOKUP(E3532,#REF!,1,FALSE())),"?TYPE_IDENTIFIABLE","?REFERENTIAL"),"_")))))</f>
        <v> </v>
      </c>
      <c r="H3532" s="24" t="str">
        <f>IF(J3532&lt;&gt;1,"",IF(I3532="SBJ","CB","?"))</f>
        <v> </v>
      </c>
      <c r="I3532" s="25" t="str">
        <f>IF(OR(E3532="",E3532="!!!",F3532="NEW"),"",INDEX(B3531:B$2,-1+SUMPRODUCT(MAX(ROW(E3531:E$2)*(E3532=E3531:E$2)))))</f>
        <v> </v>
      </c>
      <c r="J3532" s="25" t="str">
        <f>IF(OR(E3532="",E3532="!!!",F3532="NEW"),"",COUNTBLANK(OFFSET(A$1,,,SUMPRODUCT(MAX(ROW(E$2:E3532)*(E3532=E$2:E3532)))))-COUNTBLANK(OFFSET(A$1,,,SUMPRODUCT(MAX(ROW(E$1:E3531)*(E2=E$1:E3531))))))</f>
        <v> </v>
      </c>
      <c r="K3532" s="25" t="str">
        <f>IF(OR(E3532="",E3532="!!!",F3532="NEW"),"",INDEX(J$1:J3531,SUMPRODUCT(MAX(ROW(E$1:E3531)*(E3532=E$1:E3531)))))</f>
        <v> </v>
      </c>
      <c r="L3532" s="26"/>
    </row>
    <row r="3533" spans="1:12">
      <c r="A3533" s="20" t="s">
        <v>811</v>
      </c>
      <c r="E3533" s="21">
        <f>IF(D3533="?OLD","!!!","")</f>
        <v/>
      </c>
      <c r="F3533" s="22" t="str">
        <f>IF(OR(E3533="",E3533="!!!"),"",IF(NOT(ISNA(VLOOKUP(E3533,E$1:E3532,1,FALSE()))),"OLD",IF(AND(E3533&lt;&gt;"",E3533&lt;&gt;"!!!"),"NEW","")))</f>
        <v> </v>
      </c>
      <c r="G3533" s="23" t="str">
        <f>IF(OR(E3533="",E3533="!!!"),"",IF(OR(J3533=0,AND(J3533=1,K3533=1),AND(J3533=1,I3533="SBJ"),AND(J3533=1,I3533=0)),"?IN_FOCUS",IF(J3533&lt;=2,"?ACTIVATED",IF(J3533&lt;&gt;"","?FAMILIAR",IF(F3533="NEW",IF(ISNA(VLOOKUP(E3533,#REF!,1,FALSE())),"?TYPE_IDENTIFIABLE","?REFERENTIAL"),"_")))))</f>
        <v> </v>
      </c>
      <c r="H3533" s="24" t="str">
        <f>IF(J3533&lt;&gt;1,"",IF(I3533="SBJ","CB","?"))</f>
        <v> </v>
      </c>
      <c r="I3533" s="25" t="str">
        <f>IF(OR(E3533="",E3533="!!!",F3533="NEW"),"",INDEX(B3532:B$2,-1+SUMPRODUCT(MAX(ROW(E3532:E$2)*(E3533=E3532:E$2)))))</f>
        <v> </v>
      </c>
      <c r="J3533" s="25" t="str">
        <f>IF(OR(E3533="",E3533="!!!",F3533="NEW"),"",COUNTBLANK(OFFSET(A$1,,,SUMPRODUCT(MAX(ROW(E$2:E3533)*(E3533=E$2:E3533)))))-COUNTBLANK(OFFSET(A$1,,,SUMPRODUCT(MAX(ROW(E$1:E3532)*(E2=E$1:E3532))))))</f>
        <v> </v>
      </c>
      <c r="K3533" s="25" t="str">
        <f>IF(OR(E3533="",E3533="!!!",F3533="NEW"),"",INDEX(J$1:J3532,SUMPRODUCT(MAX(ROW(E$1:E3532)*(E3533=E$1:E3532)))))</f>
        <v> </v>
      </c>
      <c r="L3533" s="26"/>
    </row>
    <row r="3534" spans="1:12">
      <c r="A3534" s="20" t="s">
        <v>129</v>
      </c>
      <c r="E3534" s="21">
        <f>IF(D3534="?OLD","!!!","")</f>
        <v/>
      </c>
      <c r="F3534" s="22" t="str">
        <f>IF(OR(E3534="",E3534="!!!"),"",IF(NOT(ISNA(VLOOKUP(E3534,E$1:E3533,1,FALSE()))),"OLD",IF(AND(E3534&lt;&gt;"",E3534&lt;&gt;"!!!"),"NEW","")))</f>
        <v> </v>
      </c>
      <c r="G3534" s="23" t="str">
        <f>IF(OR(E3534="",E3534="!!!"),"",IF(OR(J3534=0,AND(J3534=1,K3534=1),AND(J3534=1,I3534="SBJ"),AND(J3534=1,I3534=0)),"?IN_FOCUS",IF(J3534&lt;=2,"?ACTIVATED",IF(J3534&lt;&gt;"","?FAMILIAR",IF(F3534="NEW",IF(ISNA(VLOOKUP(E3534,#REF!,1,FALSE())),"?TYPE_IDENTIFIABLE","?REFERENTIAL"),"_")))))</f>
        <v> </v>
      </c>
      <c r="H3534" s="24" t="str">
        <f>IF(J3534&lt;&gt;1,"",IF(I3534="SBJ","CB","?"))</f>
        <v> </v>
      </c>
      <c r="I3534" s="25" t="str">
        <f>IF(OR(E3534="",E3534="!!!",F3534="NEW"),"",INDEX(B3533:B$2,-1+SUMPRODUCT(MAX(ROW(E3533:E$2)*(E3534=E3533:E$2)))))</f>
        <v> </v>
      </c>
      <c r="J3534" s="25" t="str">
        <f>IF(OR(E3534="",E3534="!!!",F3534="NEW"),"",COUNTBLANK(OFFSET(A$1,,,SUMPRODUCT(MAX(ROW(E$2:E3534)*(E3534=E$2:E3534)))))-COUNTBLANK(OFFSET(A$1,,,SUMPRODUCT(MAX(ROW(E$1:E3533)*(E2=E$1:E3533))))))</f>
        <v> </v>
      </c>
      <c r="K3534" s="25" t="str">
        <f>IF(OR(E3534="",E3534="!!!",F3534="NEW"),"",INDEX(J$1:J3533,SUMPRODUCT(MAX(ROW(E$1:E3533)*(E3534=E$1:E3533)))))</f>
        <v> </v>
      </c>
      <c r="L3534" s="26"/>
    </row>
    <row r="3535" spans="1:12">
      <c r="A3535" s="20" t="s">
        <v>1300</v>
      </c>
      <c r="E3535" s="21">
        <f>IF(D3535="?OLD","!!!","")</f>
        <v/>
      </c>
      <c r="F3535" s="22" t="str">
        <f>IF(OR(E3535="",E3535="!!!"),"",IF(NOT(ISNA(VLOOKUP(E3535,E$1:E3534,1,FALSE()))),"OLD",IF(AND(E3535&lt;&gt;"",E3535&lt;&gt;"!!!"),"NEW","")))</f>
        <v> </v>
      </c>
      <c r="G3535" s="23" t="str">
        <f>IF(OR(E3535="",E3535="!!!"),"",IF(OR(J3535=0,AND(J3535=1,K3535=1),AND(J3535=1,I3535="SBJ"),AND(J3535=1,I3535=0)),"?IN_FOCUS",IF(J3535&lt;=2,"?ACTIVATED",IF(J3535&lt;&gt;"","?FAMILIAR",IF(F3535="NEW",IF(ISNA(VLOOKUP(E3535,#REF!,1,FALSE())),"?TYPE_IDENTIFIABLE","?REFERENTIAL"),"_")))))</f>
        <v> </v>
      </c>
      <c r="H3535" s="24" t="str">
        <f>IF(J3535&lt;&gt;1,"",IF(I3535="SBJ","CB","?"))</f>
        <v> </v>
      </c>
      <c r="I3535" s="25" t="str">
        <f>IF(OR(E3535="",E3535="!!!",F3535="NEW"),"",INDEX(B3534:B$2,-1+SUMPRODUCT(MAX(ROW(E3534:E$2)*(E3535=E3534:E$2)))))</f>
        <v> </v>
      </c>
      <c r="J3535" s="25" t="str">
        <f>IF(OR(E3535="",E3535="!!!",F3535="NEW"),"",COUNTBLANK(OFFSET(A$1,,,SUMPRODUCT(MAX(ROW(E$2:E3535)*(E3535=E$2:E3535)))))-COUNTBLANK(OFFSET(A$1,,,SUMPRODUCT(MAX(ROW(E$1:E3534)*(E2=E$1:E3534))))))</f>
        <v> </v>
      </c>
      <c r="K3535" s="25" t="str">
        <f>IF(OR(E3535="",E3535="!!!",F3535="NEW"),"",INDEX(J$1:J3534,SUMPRODUCT(MAX(ROW(E$1:E3534)*(E3535=E$1:E3534)))))</f>
        <v> </v>
      </c>
      <c r="L3535" s="26"/>
    </row>
    <row r="3536" spans="1:12">
      <c r="A3536" s="20" t="s">
        <v>1095</v>
      </c>
      <c r="E3536" s="21">
        <f>IF(D3536="?OLD","!!!","")</f>
        <v/>
      </c>
      <c r="F3536" s="22" t="str">
        <f>IF(OR(E3536="",E3536="!!!"),"",IF(NOT(ISNA(VLOOKUP(E3536,E$1:E3535,1,FALSE()))),"OLD",IF(AND(E3536&lt;&gt;"",E3536&lt;&gt;"!!!"),"NEW","")))</f>
        <v> </v>
      </c>
      <c r="G3536" s="23" t="str">
        <f>IF(OR(E3536="",E3536="!!!"),"",IF(OR(J3536=0,AND(J3536=1,K3536=1),AND(J3536=1,I3536="SBJ"),AND(J3536=1,I3536=0)),"?IN_FOCUS",IF(J3536&lt;=2,"?ACTIVATED",IF(J3536&lt;&gt;"","?FAMILIAR",IF(F3536="NEW",IF(ISNA(VLOOKUP(E3536,#REF!,1,FALSE())),"?TYPE_IDENTIFIABLE","?REFERENTIAL"),"_")))))</f>
        <v> </v>
      </c>
      <c r="H3536" s="24" t="str">
        <f>IF(J3536&lt;&gt;1,"",IF(I3536="SBJ","CB","?"))</f>
        <v> </v>
      </c>
      <c r="I3536" s="25" t="str">
        <f>IF(OR(E3536="",E3536="!!!",F3536="NEW"),"",INDEX(B3535:B$2,-1+SUMPRODUCT(MAX(ROW(E3535:E$2)*(E3536=E3535:E$2)))))</f>
        <v> </v>
      </c>
      <c r="J3536" s="25" t="str">
        <f>IF(OR(E3536="",E3536="!!!",F3536="NEW"),"",COUNTBLANK(OFFSET(A$1,,,SUMPRODUCT(MAX(ROW(E$2:E3536)*(E3536=E$2:E3536)))))-COUNTBLANK(OFFSET(A$1,,,SUMPRODUCT(MAX(ROW(E$1:E3535)*(E2=E$1:E3535))))))</f>
        <v> </v>
      </c>
      <c r="K3536" s="25" t="str">
        <f>IF(OR(E3536="",E3536="!!!",F3536="NEW"),"",INDEX(J$1:J3535,SUMPRODUCT(MAX(ROW(E$1:E3535)*(E3536=E$1:E3535)))))</f>
        <v> </v>
      </c>
      <c r="L3536" s="26"/>
    </row>
    <row r="3537" spans="1:12">
      <c r="A3537" s="20" t="s">
        <v>805</v>
      </c>
      <c r="E3537" s="21">
        <f>IF(D3537="?OLD","!!!","")</f>
        <v/>
      </c>
      <c r="F3537" s="22" t="str">
        <f>IF(OR(E3537="",E3537="!!!"),"",IF(NOT(ISNA(VLOOKUP(E3537,E$1:E3536,1,FALSE()))),"OLD",IF(AND(E3537&lt;&gt;"",E3537&lt;&gt;"!!!"),"NEW","")))</f>
        <v> </v>
      </c>
      <c r="G3537" s="23" t="str">
        <f>IF(OR(E3537="",E3537="!!!"),"",IF(OR(J3537=0,AND(J3537=1,K3537=1),AND(J3537=1,I3537="SBJ"),AND(J3537=1,I3537=0)),"?IN_FOCUS",IF(J3537&lt;=2,"?ACTIVATED",IF(J3537&lt;&gt;"","?FAMILIAR",IF(F3537="NEW",IF(ISNA(VLOOKUP(E3537,#REF!,1,FALSE())),"?TYPE_IDENTIFIABLE","?REFERENTIAL"),"_")))))</f>
        <v> </v>
      </c>
      <c r="H3537" s="24" t="str">
        <f>IF(J3537&lt;&gt;1,"",IF(I3537="SBJ","CB","?"))</f>
        <v> </v>
      </c>
      <c r="I3537" s="25" t="str">
        <f>IF(OR(E3537="",E3537="!!!",F3537="NEW"),"",INDEX(B3536:B$2,-1+SUMPRODUCT(MAX(ROW(E3536:E$2)*(E3537=E3536:E$2)))))</f>
        <v> </v>
      </c>
      <c r="J3537" s="25" t="str">
        <f>IF(OR(E3537="",E3537="!!!",F3537="NEW"),"",COUNTBLANK(OFFSET(A$1,,,SUMPRODUCT(MAX(ROW(E$2:E3537)*(E3537=E$2:E3537)))))-COUNTBLANK(OFFSET(A$1,,,SUMPRODUCT(MAX(ROW(E$1:E3536)*(E2=E$1:E3536))))))</f>
        <v> </v>
      </c>
      <c r="K3537" s="25" t="str">
        <f>IF(OR(E3537="",E3537="!!!",F3537="NEW"),"",INDEX(J$1:J3536,SUMPRODUCT(MAX(ROW(E$1:E3536)*(E3537=E$1:E3536)))))</f>
        <v> </v>
      </c>
      <c r="L3537" s="26"/>
    </row>
    <row r="3538" spans="1:12">
      <c r="A3538" s="20" t="s">
        <v>952</v>
      </c>
      <c r="B3538" s="27" t="s">
        <v>879</v>
      </c>
      <c r="C3538" s="27" t="s">
        <v>754</v>
      </c>
      <c r="E3538" s="21">
        <f>IF(D3538="?OLD","!!!","")</f>
        <v/>
      </c>
      <c r="F3538" s="22" t="str">
        <f>IF(OR(E3538="",E3538="!!!"),"",IF(NOT(ISNA(VLOOKUP(E3538,E$1:E3537,1,FALSE()))),"OLD",IF(AND(E3538&lt;&gt;"",E3538&lt;&gt;"!!!"),"NEW","")))</f>
        <v> </v>
      </c>
      <c r="G3538" s="23" t="str">
        <f>IF(OR(E3538="",E3538="!!!"),"",IF(OR(J3538=0,AND(J3538=1,K3538=1),AND(J3538=1,I3538="SBJ"),AND(J3538=1,I3538=0)),"?IN_FOCUS",IF(J3538&lt;=2,"?ACTIVATED",IF(J3538&lt;&gt;"","?FAMILIAR",IF(F3538="NEW",IF(ISNA(VLOOKUP(E3538,#REF!,1,FALSE())),"?TYPE_IDENTIFIABLE","?REFERENTIAL"),"_")))))</f>
        <v> </v>
      </c>
      <c r="H3538" s="24" t="str">
        <f>IF(J3538&lt;&gt;1,"",IF(I3538="SBJ","CB","?"))</f>
        <v> </v>
      </c>
      <c r="I3538" s="25" t="str">
        <f>IF(OR(E3538="",E3538="!!!",F3538="NEW"),"",INDEX(B3537:B$2,-1+SUMPRODUCT(MAX(ROW(E3537:E$2)*(E3538=E3537:E$2)))))</f>
        <v> </v>
      </c>
      <c r="J3538" s="25" t="str">
        <f>IF(OR(E3538="",E3538="!!!",F3538="NEW"),"",COUNTBLANK(OFFSET(A$1,,,SUMPRODUCT(MAX(ROW(E$2:E3538)*(E3538=E$2:E3538)))))-COUNTBLANK(OFFSET(A$1,,,SUMPRODUCT(MAX(ROW(E$1:E3537)*(E2=E$1:E3537))))))</f>
        <v> </v>
      </c>
      <c r="K3538" s="25" t="str">
        <f>IF(OR(E3538="",E3538="!!!",F3538="NEW"),"",INDEX(J$1:J3537,SUMPRODUCT(MAX(ROW(E$1:E3537)*(E3538=E$1:E3537)))))</f>
        <v> </v>
      </c>
      <c r="L3538" s="26"/>
    </row>
    <row r="3539" spans="1:12">
      <c r="A3539" s="20" t="s">
        <v>774</v>
      </c>
      <c r="E3539" s="21">
        <f>IF(D3539="?OLD","!!!","")</f>
        <v/>
      </c>
      <c r="F3539" s="22" t="str">
        <f>IF(OR(E3539="",E3539="!!!"),"",IF(NOT(ISNA(VLOOKUP(E3539,E$1:E3538,1,FALSE()))),"OLD",IF(AND(E3539&lt;&gt;"",E3539&lt;&gt;"!!!"),"NEW","")))</f>
        <v> </v>
      </c>
      <c r="G3539" s="23" t="str">
        <f>IF(OR(E3539="",E3539="!!!"),"",IF(OR(J3539=0,AND(J3539=1,K3539=1),AND(J3539=1,I3539="SBJ"),AND(J3539=1,I3539=0)),"?IN_FOCUS",IF(J3539&lt;=2,"?ACTIVATED",IF(J3539&lt;&gt;"","?FAMILIAR",IF(F3539="NEW",IF(ISNA(VLOOKUP(E3539,#REF!,1,FALSE())),"?TYPE_IDENTIFIABLE","?REFERENTIAL"),"_")))))</f>
        <v> </v>
      </c>
      <c r="H3539" s="24" t="str">
        <f>IF(J3539&lt;&gt;1,"",IF(I3539="SBJ","CB","?"))</f>
        <v> </v>
      </c>
      <c r="I3539" s="25" t="str">
        <f>IF(OR(E3539="",E3539="!!!",F3539="NEW"),"",INDEX(B3538:B$2,-1+SUMPRODUCT(MAX(ROW(E3538:E$2)*(E3539=E3538:E$2)))))</f>
        <v> </v>
      </c>
      <c r="J3539" s="25" t="str">
        <f>IF(OR(E3539="",E3539="!!!",F3539="NEW"),"",COUNTBLANK(OFFSET(A$1,,,SUMPRODUCT(MAX(ROW(E$2:E3539)*(E3539=E$2:E3539)))))-COUNTBLANK(OFFSET(A$1,,,SUMPRODUCT(MAX(ROW(E$1:E3538)*(E2=E$1:E3538))))))</f>
        <v> </v>
      </c>
      <c r="K3539" s="25" t="str">
        <f>IF(OR(E3539="",E3539="!!!",F3539="NEW"),"",INDEX(J$1:J3538,SUMPRODUCT(MAX(ROW(E$1:E3538)*(E3539=E$1:E3538)))))</f>
        <v> </v>
      </c>
      <c r="L3539" s="26"/>
    </row>
    <row r="3540" spans="1:12">
      <c r="A3540" s="20"/>
    </row>
    <row r="3541" spans="1:12">
      <c r="A3541" s="20" t="s">
        <v>1804</v>
      </c>
    </row>
    <row r="3542" spans="1:12">
      <c r="A3542" s="20" t="s">
        <v>1776</v>
      </c>
      <c r="E3542" s="21">
        <f>IF(D3542="?OLD","!!!","")</f>
        <v/>
      </c>
      <c r="F3542" s="22" t="str">
        <f>IF(OR(E3542="",E3542="!!!"),"",IF(NOT(ISNA(VLOOKUP(E3542,E$1:E3541,1,FALSE()))),"OLD",IF(AND(E3542&lt;&gt;"",E3542&lt;&gt;"!!!"),"NEW","")))</f>
        <v> </v>
      </c>
      <c r="G3542" s="23" t="str">
        <f>IF(OR(E3542="",E3542="!!!"),"",IF(OR(J3542=0,AND(J3542=1,K3542=1),AND(J3542=1,I3542="SBJ"),AND(J3542=1,I3542=0)),"?IN_FOCUS",IF(J3542&lt;=2,"?ACTIVATED",IF(J3542&lt;&gt;"","?FAMILIAR",IF(F3542="NEW",IF(ISNA(VLOOKUP(E3542,#REF!,1,FALSE())),"?TYPE_IDENTIFIABLE","?REFERENTIAL"),"_")))))</f>
        <v> </v>
      </c>
      <c r="H3542" s="24" t="str">
        <f>IF(J3542&lt;&gt;1,"",IF(I3542="SBJ","CB","?"))</f>
        <v> </v>
      </c>
      <c r="I3542" s="25" t="str">
        <f>IF(OR(E3542="",E3542="!!!",F3542="NEW"),"",INDEX(B3541:B$2,-1+SUMPRODUCT(MAX(ROW(E3541:E$2)*(E3542=E3541:E$2)))))</f>
        <v> </v>
      </c>
      <c r="J3542" s="25" t="str">
        <f>IF(OR(E3542="",E3542="!!!",F3542="NEW"),"",COUNTBLANK(OFFSET(A$1,,,SUMPRODUCT(MAX(ROW(E$2:E3542)*(E3542=E$2:E3542)))))-COUNTBLANK(OFFSET(A$1,,,SUMPRODUCT(MAX(ROW(E$1:E3541)*(E2=E$1:E3541))))))</f>
        <v> </v>
      </c>
      <c r="K3542" s="25" t="str">
        <f>IF(OR(E3542="",E3542="!!!",F3542="NEW"),"",INDEX(J$1:J3541,SUMPRODUCT(MAX(ROW(E$1:E3541)*(E3542=E$1:E3541)))))</f>
        <v> </v>
      </c>
      <c r="L3542" s="26"/>
    </row>
    <row r="3543" spans="1:12">
      <c r="A3543" s="20" t="s">
        <v>869</v>
      </c>
      <c r="B3543" s="27" t="s">
        <v>796</v>
      </c>
      <c r="C3543" s="27" t="s">
        <v>797</v>
      </c>
      <c r="D3543" s="27" t="s">
        <v>762</v>
      </c>
      <c r="E3543" s="21">
        <f>IF(D3543="?OLD","!!!","")</f>
        <v/>
      </c>
      <c r="F3543" s="22" t="str">
        <f>IF(OR(E3543="",E3543="!!!"),"",IF(NOT(ISNA(VLOOKUP(E3543,E$1:E3542,1,FALSE()))),"OLD",IF(AND(E3543&lt;&gt;"",E3543&lt;&gt;"!!!"),"NEW","")))</f>
        <v> </v>
      </c>
      <c r="G3543" s="23" t="str">
        <f>IF(OR(E3543="",E3543="!!!"),"",IF(OR(J3543=0,AND(J3543=1,K3543=1),AND(J3543=1,I3543="SBJ"),AND(J3543=1,I3543=0)),"?IN_FOCUS",IF(J3543&lt;=2,"?ACTIVATED",IF(J3543&lt;&gt;"","?FAMILIAR",IF(F3543="NEW",IF(ISNA(VLOOKUP(E3543,#REF!,1,FALSE())),"?TYPE_IDENTIFIABLE","?REFERENTIAL"),"_")))))</f>
        <v> </v>
      </c>
      <c r="H3543" s="24" t="str">
        <f>IF(J3543&lt;&gt;1,"",IF(I3543="SBJ","CB","?"))</f>
        <v> </v>
      </c>
      <c r="I3543" s="25" t="str">
        <f>IF(OR(E3543="",E3543="!!!",F3543="NEW"),"",INDEX(B3542:B$2,-1+SUMPRODUCT(MAX(ROW(E3542:E$2)*(E3543=E3542:E$2)))))</f>
        <v> </v>
      </c>
      <c r="J3543" s="25" t="str">
        <f>IF(OR(E3543="",E3543="!!!",F3543="NEW"),"",COUNTBLANK(OFFSET(A$1,,,SUMPRODUCT(MAX(ROW(E$2:E3543)*(E3543=E$2:E3543)))))-COUNTBLANK(OFFSET(A$1,,,SUMPRODUCT(MAX(ROW(E$1:E3542)*(E2=E$1:E3542))))))</f>
        <v> </v>
      </c>
      <c r="K3543" s="25" t="str">
        <f>IF(OR(E3543="",E3543="!!!",F3543="NEW"),"",INDEX(J$1:J3542,SUMPRODUCT(MAX(ROW(E$1:E3542)*(E3543=E$1:E3542)))))</f>
        <v> </v>
      </c>
      <c r="L3543" s="26"/>
    </row>
    <row r="3544" spans="1:12">
      <c r="A3544" s="20" t="s">
        <v>811</v>
      </c>
      <c r="E3544" s="21">
        <f>IF(D3544="?OLD","!!!","")</f>
        <v/>
      </c>
      <c r="F3544" s="22" t="str">
        <f>IF(OR(E3544="",E3544="!!!"),"",IF(NOT(ISNA(VLOOKUP(E3544,E$1:E3543,1,FALSE()))),"OLD",IF(AND(E3544&lt;&gt;"",E3544&lt;&gt;"!!!"),"NEW","")))</f>
        <v> </v>
      </c>
      <c r="G3544" s="23" t="str">
        <f>IF(OR(E3544="",E3544="!!!"),"",IF(OR(J3544=0,AND(J3544=1,K3544=1),AND(J3544=1,I3544="SBJ"),AND(J3544=1,I3544=0)),"?IN_FOCUS",IF(J3544&lt;=2,"?ACTIVATED",IF(J3544&lt;&gt;"","?FAMILIAR",IF(F3544="NEW",IF(ISNA(VLOOKUP(E3544,#REF!,1,FALSE())),"?TYPE_IDENTIFIABLE","?REFERENTIAL"),"_")))))</f>
        <v> </v>
      </c>
      <c r="H3544" s="24" t="str">
        <f>IF(J3544&lt;&gt;1,"",IF(I3544="SBJ","CB","?"))</f>
        <v> </v>
      </c>
      <c r="I3544" s="25" t="str">
        <f>IF(OR(E3544="",E3544="!!!",F3544="NEW"),"",INDEX(B3543:B$2,-1+SUMPRODUCT(MAX(ROW(E3543:E$2)*(E3544=E3543:E$2)))))</f>
        <v> </v>
      </c>
      <c r="J3544" s="25" t="str">
        <f>IF(OR(E3544="",E3544="!!!",F3544="NEW"),"",COUNTBLANK(OFFSET(A$1,,,SUMPRODUCT(MAX(ROW(E$2:E3544)*(E3544=E$2:E3544)))))-COUNTBLANK(OFFSET(A$1,,,SUMPRODUCT(MAX(ROW(E$1:E3543)*(E2=E$1:E3543))))))</f>
        <v> </v>
      </c>
      <c r="K3544" s="25" t="str">
        <f>IF(OR(E3544="",E3544="!!!",F3544="NEW"),"",INDEX(J$1:J3543,SUMPRODUCT(MAX(ROW(E$1:E3543)*(E3544=E$1:E3543)))))</f>
        <v> </v>
      </c>
      <c r="L3544" s="26"/>
    </row>
    <row r="3545" spans="1:12">
      <c r="A3545" s="20" t="s">
        <v>828</v>
      </c>
      <c r="E3545" s="21">
        <f>IF(D3545="?OLD","!!!","")</f>
        <v/>
      </c>
      <c r="F3545" s="22" t="str">
        <f>IF(OR(E3545="",E3545="!!!"),"",IF(NOT(ISNA(VLOOKUP(E3545,E$1:E3544,1,FALSE()))),"OLD",IF(AND(E3545&lt;&gt;"",E3545&lt;&gt;"!!!"),"NEW","")))</f>
        <v> </v>
      </c>
      <c r="G3545" s="23" t="str">
        <f>IF(OR(E3545="",E3545="!!!"),"",IF(OR(J3545=0,AND(J3545=1,K3545=1),AND(J3545=1,I3545="SBJ"),AND(J3545=1,I3545=0)),"?IN_FOCUS",IF(J3545&lt;=2,"?ACTIVATED",IF(J3545&lt;&gt;"","?FAMILIAR",IF(F3545="NEW",IF(ISNA(VLOOKUP(E3545,#REF!,1,FALSE())),"?TYPE_IDENTIFIABLE","?REFERENTIAL"),"_")))))</f>
        <v> </v>
      </c>
      <c r="H3545" s="24" t="str">
        <f>IF(J3545&lt;&gt;1,"",IF(I3545="SBJ","CB","?"))</f>
        <v> </v>
      </c>
      <c r="I3545" s="25" t="str">
        <f>IF(OR(E3545="",E3545="!!!",F3545="NEW"),"",INDEX(B3544:B$2,-1+SUMPRODUCT(MAX(ROW(E3544:E$2)*(E3545=E3544:E$2)))))</f>
        <v> </v>
      </c>
      <c r="J3545" s="25" t="str">
        <f>IF(OR(E3545="",E3545="!!!",F3545="NEW"),"",COUNTBLANK(OFFSET(A$1,,,SUMPRODUCT(MAX(ROW(E$2:E3545)*(E3545=E$2:E3545)))))-COUNTBLANK(OFFSET(A$1,,,SUMPRODUCT(MAX(ROW(E$1:E3544)*(E2=E$1:E3544))))))</f>
        <v> </v>
      </c>
      <c r="K3545" s="25" t="str">
        <f>IF(OR(E3545="",E3545="!!!",F3545="NEW"),"",INDEX(J$1:J3544,SUMPRODUCT(MAX(ROW(E$1:E3544)*(E3545=E$1:E3544)))))</f>
        <v> </v>
      </c>
      <c r="L3545" s="26"/>
    </row>
    <row r="3546" spans="1:12">
      <c r="A3546" s="20" t="s">
        <v>804</v>
      </c>
      <c r="E3546" s="21">
        <f>IF(D3546="?OLD","!!!","")</f>
        <v/>
      </c>
      <c r="F3546" s="22" t="str">
        <f>IF(OR(E3546="",E3546="!!!"),"",IF(NOT(ISNA(VLOOKUP(E3546,E$1:E3545,1,FALSE()))),"OLD",IF(AND(E3546&lt;&gt;"",E3546&lt;&gt;"!!!"),"NEW","")))</f>
        <v> </v>
      </c>
      <c r="G3546" s="23" t="str">
        <f>IF(OR(E3546="",E3546="!!!"),"",IF(OR(J3546=0,AND(J3546=1,K3546=1),AND(J3546=1,I3546="SBJ"),AND(J3546=1,I3546=0)),"?IN_FOCUS",IF(J3546&lt;=2,"?ACTIVATED",IF(J3546&lt;&gt;"","?FAMILIAR",IF(F3546="NEW",IF(ISNA(VLOOKUP(E3546,#REF!,1,FALSE())),"?TYPE_IDENTIFIABLE","?REFERENTIAL"),"_")))))</f>
        <v> </v>
      </c>
      <c r="H3546" s="24" t="str">
        <f>IF(J3546&lt;&gt;1,"",IF(I3546="SBJ","CB","?"))</f>
        <v> </v>
      </c>
      <c r="I3546" s="25" t="str">
        <f>IF(OR(E3546="",E3546="!!!",F3546="NEW"),"",INDEX(B3545:B$2,-1+SUMPRODUCT(MAX(ROW(E3545:E$2)*(E3546=E3545:E$2)))))</f>
        <v> </v>
      </c>
      <c r="J3546" s="25" t="str">
        <f>IF(OR(E3546="",E3546="!!!",F3546="NEW"),"",COUNTBLANK(OFFSET(A$1,,,SUMPRODUCT(MAX(ROW(E$2:E3546)*(E3546=E$2:E3546)))))-COUNTBLANK(OFFSET(A$1,,,SUMPRODUCT(MAX(ROW(E$1:E3545)*(E2=E$1:E3545))))))</f>
        <v> </v>
      </c>
      <c r="K3546" s="25" t="str">
        <f>IF(OR(E3546="",E3546="!!!",F3546="NEW"),"",INDEX(J$1:J3545,SUMPRODUCT(MAX(ROW(E$1:E3545)*(E3546=E$1:E3545)))))</f>
        <v> </v>
      </c>
      <c r="L3546" s="26"/>
    </row>
    <row r="3547" spans="1:12">
      <c r="A3547" s="20" t="s">
        <v>1364</v>
      </c>
      <c r="E3547" s="21">
        <f>IF(D3547="?OLD","!!!","")</f>
        <v/>
      </c>
      <c r="F3547" s="22" t="str">
        <f>IF(OR(E3547="",E3547="!!!"),"",IF(NOT(ISNA(VLOOKUP(E3547,E$1:E3546,1,FALSE()))),"OLD",IF(AND(E3547&lt;&gt;"",E3547&lt;&gt;"!!!"),"NEW","")))</f>
        <v> </v>
      </c>
      <c r="G3547" s="23" t="str">
        <f>IF(OR(E3547="",E3547="!!!"),"",IF(OR(J3547=0,AND(J3547=1,K3547=1),AND(J3547=1,I3547="SBJ"),AND(J3547=1,I3547=0)),"?IN_FOCUS",IF(J3547&lt;=2,"?ACTIVATED",IF(J3547&lt;&gt;"","?FAMILIAR",IF(F3547="NEW",IF(ISNA(VLOOKUP(E3547,#REF!,1,FALSE())),"?TYPE_IDENTIFIABLE","?REFERENTIAL"),"_")))))</f>
        <v> </v>
      </c>
      <c r="H3547" s="24" t="str">
        <f>IF(J3547&lt;&gt;1,"",IF(I3547="SBJ","CB","?"))</f>
        <v> </v>
      </c>
      <c r="I3547" s="25" t="str">
        <f>IF(OR(E3547="",E3547="!!!",F3547="NEW"),"",INDEX(B3546:B$2,-1+SUMPRODUCT(MAX(ROW(E3546:E$2)*(E3547=E3546:E$2)))))</f>
        <v> </v>
      </c>
      <c r="J3547" s="25" t="str">
        <f>IF(OR(E3547="",E3547="!!!",F3547="NEW"),"",COUNTBLANK(OFFSET(A$1,,,SUMPRODUCT(MAX(ROW(E$2:E3547)*(E3547=E$2:E3547)))))-COUNTBLANK(OFFSET(A$1,,,SUMPRODUCT(MAX(ROW(E$1:E3546)*(E2=E$1:E3546))))))</f>
        <v> </v>
      </c>
      <c r="K3547" s="25" t="str">
        <f>IF(OR(E3547="",E3547="!!!",F3547="NEW"),"",INDEX(J$1:J3546,SUMPRODUCT(MAX(ROW(E$1:E3546)*(E3547=E$1:E3546)))))</f>
        <v> </v>
      </c>
      <c r="L3547" s="26"/>
    </row>
    <row r="3548" spans="1:12">
      <c r="A3548" s="20" t="s">
        <v>872</v>
      </c>
      <c r="E3548" s="21">
        <f>IF(D3548="?OLD","!!!","")</f>
        <v/>
      </c>
      <c r="F3548" s="22" t="str">
        <f>IF(OR(E3548="",E3548="!!!"),"",IF(NOT(ISNA(VLOOKUP(E3548,E$1:E3547,1,FALSE()))),"OLD",IF(AND(E3548&lt;&gt;"",E3548&lt;&gt;"!!!"),"NEW","")))</f>
        <v> </v>
      </c>
      <c r="G3548" s="23" t="str">
        <f>IF(OR(E3548="",E3548="!!!"),"",IF(OR(J3548=0,AND(J3548=1,K3548=1),AND(J3548=1,I3548="SBJ"),AND(J3548=1,I3548=0)),"?IN_FOCUS",IF(J3548&lt;=2,"?ACTIVATED",IF(J3548&lt;&gt;"","?FAMILIAR",IF(F3548="NEW",IF(ISNA(VLOOKUP(E3548,#REF!,1,FALSE())),"?TYPE_IDENTIFIABLE","?REFERENTIAL"),"_")))))</f>
        <v> </v>
      </c>
      <c r="H3548" s="24" t="str">
        <f>IF(J3548&lt;&gt;1,"",IF(I3548="SBJ","CB","?"))</f>
        <v> </v>
      </c>
      <c r="I3548" s="25" t="str">
        <f>IF(OR(E3548="",E3548="!!!",F3548="NEW"),"",INDEX(B3547:B$2,-1+SUMPRODUCT(MAX(ROW(E3547:E$2)*(E3548=E3547:E$2)))))</f>
        <v> </v>
      </c>
      <c r="J3548" s="25" t="str">
        <f>IF(OR(E3548="",E3548="!!!",F3548="NEW"),"",COUNTBLANK(OFFSET(A$1,,,SUMPRODUCT(MAX(ROW(E$2:E3548)*(E3548=E$2:E3548)))))-COUNTBLANK(OFFSET(A$1,,,SUMPRODUCT(MAX(ROW(E$1:E3547)*(E2=E$1:E3547))))))</f>
        <v> </v>
      </c>
      <c r="K3548" s="25" t="str">
        <f>IF(OR(E3548="",E3548="!!!",F3548="NEW"),"",INDEX(J$1:J3547,SUMPRODUCT(MAX(ROW(E$1:E3547)*(E3548=E$1:E3547)))))</f>
        <v> </v>
      </c>
      <c r="L3548" s="26"/>
    </row>
    <row r="3549" spans="1:12">
      <c r="A3549" s="20" t="s">
        <v>758</v>
      </c>
      <c r="E3549" s="21">
        <f>IF(D3549="?OLD","!!!","")</f>
        <v/>
      </c>
      <c r="F3549" s="22" t="str">
        <f>IF(OR(E3549="",E3549="!!!"),"",IF(NOT(ISNA(VLOOKUP(E3549,E$1:E3548,1,FALSE()))),"OLD",IF(AND(E3549&lt;&gt;"",E3549&lt;&gt;"!!!"),"NEW","")))</f>
        <v> </v>
      </c>
      <c r="G3549" s="23" t="str">
        <f>IF(OR(E3549="",E3549="!!!"),"",IF(OR(J3549=0,AND(J3549=1,K3549=1),AND(J3549=1,I3549="SBJ"),AND(J3549=1,I3549=0)),"?IN_FOCUS",IF(J3549&lt;=2,"?ACTIVATED",IF(J3549&lt;&gt;"","?FAMILIAR",IF(F3549="NEW",IF(ISNA(VLOOKUP(E3549,#REF!,1,FALSE())),"?TYPE_IDENTIFIABLE","?REFERENTIAL"),"_")))))</f>
        <v> </v>
      </c>
      <c r="H3549" s="24" t="str">
        <f>IF(J3549&lt;&gt;1,"",IF(I3549="SBJ","CB","?"))</f>
        <v> </v>
      </c>
      <c r="I3549" s="25" t="str">
        <f>IF(OR(E3549="",E3549="!!!",F3549="NEW"),"",INDEX(B3548:B$2,-1+SUMPRODUCT(MAX(ROW(E3548:E$2)*(E3549=E3548:E$2)))))</f>
        <v> </v>
      </c>
      <c r="J3549" s="25" t="str">
        <f>IF(OR(E3549="",E3549="!!!",F3549="NEW"),"",COUNTBLANK(OFFSET(A$1,,,SUMPRODUCT(MAX(ROW(E$2:E3549)*(E3549=E$2:E3549)))))-COUNTBLANK(OFFSET(A$1,,,SUMPRODUCT(MAX(ROW(E$1:E3548)*(E2=E$1:E3548))))))</f>
        <v> </v>
      </c>
      <c r="K3549" s="25" t="str">
        <f>IF(OR(E3549="",E3549="!!!",F3549="NEW"),"",INDEX(J$1:J3548,SUMPRODUCT(MAX(ROW(E$1:E3548)*(E3549=E$1:E3548)))))</f>
        <v> </v>
      </c>
      <c r="L3549" s="26"/>
    </row>
    <row r="3550" spans="1:12">
      <c r="A3550" s="20" t="s">
        <v>1805</v>
      </c>
      <c r="B3550" s="27" t="s">
        <v>753</v>
      </c>
      <c r="C3550" s="27" t="s">
        <v>798</v>
      </c>
      <c r="D3550" s="27" t="s">
        <v>762</v>
      </c>
      <c r="E3550" s="21">
        <f>IF(D3550="?OLD","!!!","")</f>
        <v/>
      </c>
      <c r="F3550" s="22" t="str">
        <f>IF(OR(E3550="",E3550="!!!"),"",IF(NOT(ISNA(VLOOKUP(E3550,E$1:E3549,1,FALSE()))),"OLD",IF(AND(E3550&lt;&gt;"",E3550&lt;&gt;"!!!"),"NEW","")))</f>
        <v> </v>
      </c>
      <c r="G3550" s="23" t="str">
        <f>IF(OR(E3550="",E3550="!!!"),"",IF(OR(J3550=0,AND(J3550=1,K3550=1),AND(J3550=1,I3550="SBJ"),AND(J3550=1,I3550=0)),"?IN_FOCUS",IF(J3550&lt;=2,"?ACTIVATED",IF(J3550&lt;&gt;"","?FAMILIAR",IF(F3550="NEW",IF(ISNA(VLOOKUP(E3550,#REF!,1,FALSE())),"?TYPE_IDENTIFIABLE","?REFERENTIAL"),"_")))))</f>
        <v> </v>
      </c>
      <c r="H3550" s="24" t="str">
        <f>IF(J3550&lt;&gt;1,"",IF(I3550="SBJ","CB","?"))</f>
        <v> </v>
      </c>
      <c r="I3550" s="25" t="str">
        <f>IF(OR(E3550="",E3550="!!!",F3550="NEW"),"",INDEX(B3549:B$2,-1+SUMPRODUCT(MAX(ROW(E3549:E$2)*(E3550=E3549:E$2)))))</f>
        <v> </v>
      </c>
      <c r="J3550" s="25" t="str">
        <f>IF(OR(E3550="",E3550="!!!",F3550="NEW"),"",COUNTBLANK(OFFSET(A$1,,,SUMPRODUCT(MAX(ROW(E$2:E3550)*(E3550=E$2:E3550)))))-COUNTBLANK(OFFSET(A$1,,,SUMPRODUCT(MAX(ROW(E$1:E3549)*(E2=E$1:E3549))))))</f>
        <v> </v>
      </c>
      <c r="K3550" s="25" t="str">
        <f>IF(OR(E3550="",E3550="!!!",F3550="NEW"),"",INDEX(J$1:J3549,SUMPRODUCT(MAX(ROW(E$1:E3549)*(E3550=E$1:E3549)))))</f>
        <v> </v>
      </c>
      <c r="L3550" s="26"/>
    </row>
    <row r="3551" spans="1:12">
      <c r="A3551" s="20" t="s">
        <v>810</v>
      </c>
      <c r="E3551" s="21">
        <f>IF(D3551="?OLD","!!!","")</f>
        <v/>
      </c>
      <c r="F3551" s="22" t="str">
        <f>IF(OR(E3551="",E3551="!!!"),"",IF(NOT(ISNA(VLOOKUP(E3551,E$1:E3550,1,FALSE()))),"OLD",IF(AND(E3551&lt;&gt;"",E3551&lt;&gt;"!!!"),"NEW","")))</f>
        <v> </v>
      </c>
      <c r="G3551" s="23" t="str">
        <f>IF(OR(E3551="",E3551="!!!"),"",IF(OR(J3551=0,AND(J3551=1,K3551=1),AND(J3551=1,I3551="SBJ"),AND(J3551=1,I3551=0)),"?IN_FOCUS",IF(J3551&lt;=2,"?ACTIVATED",IF(J3551&lt;&gt;"","?FAMILIAR",IF(F3551="NEW",IF(ISNA(VLOOKUP(E3551,#REF!,1,FALSE())),"?TYPE_IDENTIFIABLE","?REFERENTIAL"),"_")))))</f>
        <v> </v>
      </c>
      <c r="H3551" s="24" t="str">
        <f>IF(J3551&lt;&gt;1,"",IF(I3551="SBJ","CB","?"))</f>
        <v> </v>
      </c>
      <c r="I3551" s="25" t="str">
        <f>IF(OR(E3551="",E3551="!!!",F3551="NEW"),"",INDEX(B3550:B$2,-1+SUMPRODUCT(MAX(ROW(E3550:E$2)*(E3551=E3550:E$2)))))</f>
        <v> </v>
      </c>
      <c r="J3551" s="25" t="str">
        <f>IF(OR(E3551="",E3551="!!!",F3551="NEW"),"",COUNTBLANK(OFFSET(A$1,,,SUMPRODUCT(MAX(ROW(E$2:E3551)*(E3551=E$2:E3551)))))-COUNTBLANK(OFFSET(A$1,,,SUMPRODUCT(MAX(ROW(E$1:E3550)*(E2=E$1:E3550))))))</f>
        <v> </v>
      </c>
      <c r="K3551" s="25" t="str">
        <f>IF(OR(E3551="",E3551="!!!",F3551="NEW"),"",INDEX(J$1:J3550,SUMPRODUCT(MAX(ROW(E$1:E3550)*(E3551=E$1:E3550)))))</f>
        <v> </v>
      </c>
      <c r="L3551" s="26"/>
    </row>
    <row r="3552" spans="1:12">
      <c r="A3552" s="20" t="s">
        <v>1806</v>
      </c>
      <c r="E3552" s="21">
        <f>IF(D3552="?OLD","!!!","")</f>
        <v/>
      </c>
      <c r="F3552" s="22" t="str">
        <f>IF(OR(E3552="",E3552="!!!"),"",IF(NOT(ISNA(VLOOKUP(E3552,E$1:E3551,1,FALSE()))),"OLD",IF(AND(E3552&lt;&gt;"",E3552&lt;&gt;"!!!"),"NEW","")))</f>
        <v> </v>
      </c>
      <c r="G3552" s="23" t="str">
        <f>IF(OR(E3552="",E3552="!!!"),"",IF(OR(J3552=0,AND(J3552=1,K3552=1),AND(J3552=1,I3552="SBJ"),AND(J3552=1,I3552=0)),"?IN_FOCUS",IF(J3552&lt;=2,"?ACTIVATED",IF(J3552&lt;&gt;"","?FAMILIAR",IF(F3552="NEW",IF(ISNA(VLOOKUP(E3552,#REF!,1,FALSE())),"?TYPE_IDENTIFIABLE","?REFERENTIAL"),"_")))))</f>
        <v> </v>
      </c>
      <c r="H3552" s="24" t="str">
        <f>IF(J3552&lt;&gt;1,"",IF(I3552="SBJ","CB","?"))</f>
        <v> </v>
      </c>
      <c r="I3552" s="25" t="str">
        <f>IF(OR(E3552="",E3552="!!!",F3552="NEW"),"",INDEX(B3551:B$2,-1+SUMPRODUCT(MAX(ROW(E3551:E$2)*(E3552=E3551:E$2)))))</f>
        <v> </v>
      </c>
      <c r="J3552" s="25" t="str">
        <f>IF(OR(E3552="",E3552="!!!",F3552="NEW"),"",COUNTBLANK(OFFSET(A$1,,,SUMPRODUCT(MAX(ROW(E$2:E3552)*(E3552=E$2:E3552)))))-COUNTBLANK(OFFSET(A$1,,,SUMPRODUCT(MAX(ROW(E$1:E3551)*(E2=E$1:E3551))))))</f>
        <v> </v>
      </c>
      <c r="K3552" s="25" t="str">
        <f>IF(OR(E3552="",E3552="!!!",F3552="NEW"),"",INDEX(J$1:J3551,SUMPRODUCT(MAX(ROW(E$1:E3551)*(E3552=E$1:E3551)))))</f>
        <v> </v>
      </c>
      <c r="L3552" s="26"/>
    </row>
    <row r="3553" spans="1:12">
      <c r="A3553" s="20" t="s">
        <v>822</v>
      </c>
      <c r="E3553" s="21">
        <f>IF(D3553="?OLD","!!!","")</f>
        <v/>
      </c>
      <c r="F3553" s="22" t="str">
        <f>IF(OR(E3553="",E3553="!!!"),"",IF(NOT(ISNA(VLOOKUP(E3553,E$1:E3552,1,FALSE()))),"OLD",IF(AND(E3553&lt;&gt;"",E3553&lt;&gt;"!!!"),"NEW","")))</f>
        <v> </v>
      </c>
      <c r="G3553" s="23" t="str">
        <f>IF(OR(E3553="",E3553="!!!"),"",IF(OR(J3553=0,AND(J3553=1,K3553=1),AND(J3553=1,I3553="SBJ"),AND(J3553=1,I3553=0)),"?IN_FOCUS",IF(J3553&lt;=2,"?ACTIVATED",IF(J3553&lt;&gt;"","?FAMILIAR",IF(F3553="NEW",IF(ISNA(VLOOKUP(E3553,#REF!,1,FALSE())),"?TYPE_IDENTIFIABLE","?REFERENTIAL"),"_")))))</f>
        <v> </v>
      </c>
      <c r="H3553" s="24" t="str">
        <f>IF(J3553&lt;&gt;1,"",IF(I3553="SBJ","CB","?"))</f>
        <v> </v>
      </c>
      <c r="I3553" s="25" t="str">
        <f>IF(OR(E3553="",E3553="!!!",F3553="NEW"),"",INDEX(B3552:B$2,-1+SUMPRODUCT(MAX(ROW(E3552:E$2)*(E3553=E3552:E$2)))))</f>
        <v> </v>
      </c>
      <c r="J3553" s="25" t="str">
        <f>IF(OR(E3553="",E3553="!!!",F3553="NEW"),"",COUNTBLANK(OFFSET(A$1,,,SUMPRODUCT(MAX(ROW(E$2:E3553)*(E3553=E$2:E3553)))))-COUNTBLANK(OFFSET(A$1,,,SUMPRODUCT(MAX(ROW(E$1:E3552)*(E2=E$1:E3552))))))</f>
        <v> </v>
      </c>
      <c r="K3553" s="25" t="str">
        <f>IF(OR(E3553="",E3553="!!!",F3553="NEW"),"",INDEX(J$1:J3552,SUMPRODUCT(MAX(ROW(E$1:E3552)*(E3553=E$1:E3552)))))</f>
        <v> </v>
      </c>
      <c r="L3553" s="26"/>
    </row>
    <row r="3554" spans="1:12">
      <c r="A3554" s="20" t="s">
        <v>1807</v>
      </c>
      <c r="B3554" s="27" t="s">
        <v>894</v>
      </c>
      <c r="C3554" s="27" t="s">
        <v>837</v>
      </c>
      <c r="D3554" s="27" t="s">
        <v>762</v>
      </c>
      <c r="E3554" s="21">
        <f>IF(D3554="?OLD","!!!","")</f>
        <v/>
      </c>
      <c r="F3554" s="22" t="str">
        <f>IF(OR(E3554="",E3554="!!!"),"",IF(NOT(ISNA(VLOOKUP(E3554,E$1:E3553,1,FALSE()))),"OLD",IF(AND(E3554&lt;&gt;"",E3554&lt;&gt;"!!!"),"NEW","")))</f>
        <v> </v>
      </c>
      <c r="G3554" s="23" t="str">
        <f>IF(OR(E3554="",E3554="!!!"),"",IF(OR(J3554=0,AND(J3554=1,K3554=1),AND(J3554=1,I3554="SBJ"),AND(J3554=1,I3554=0)),"?IN_FOCUS",IF(J3554&lt;=2,"?ACTIVATED",IF(J3554&lt;&gt;"","?FAMILIAR",IF(F3554="NEW",IF(ISNA(VLOOKUP(E3554,#REF!,1,FALSE())),"?TYPE_IDENTIFIABLE","?REFERENTIAL"),"_")))))</f>
        <v> </v>
      </c>
      <c r="H3554" s="24" t="str">
        <f>IF(J3554&lt;&gt;1,"",IF(I3554="SBJ","CB","?"))</f>
        <v> </v>
      </c>
      <c r="I3554" s="25" t="str">
        <f>IF(OR(E3554="",E3554="!!!",F3554="NEW"),"",INDEX(B3553:B$2,-1+SUMPRODUCT(MAX(ROW(E3553:E$2)*(E3554=E3553:E$2)))))</f>
        <v> </v>
      </c>
      <c r="J3554" s="25" t="str">
        <f>IF(OR(E3554="",E3554="!!!",F3554="NEW"),"",COUNTBLANK(OFFSET(A$1,,,SUMPRODUCT(MAX(ROW(E$2:E3554)*(E3554=E$2:E3554)))))-COUNTBLANK(OFFSET(A$1,,,SUMPRODUCT(MAX(ROW(E$1:E3553)*(E2=E$1:E3553))))))</f>
        <v> </v>
      </c>
      <c r="K3554" s="25" t="str">
        <f>IF(OR(E3554="",E3554="!!!",F3554="NEW"),"",INDEX(J$1:J3553,SUMPRODUCT(MAX(ROW(E$1:E3553)*(E3554=E$1:E3553)))))</f>
        <v> </v>
      </c>
      <c r="L3554" s="26"/>
    </row>
    <row r="3555" spans="1:12">
      <c r="A3555" s="20" t="s">
        <v>769</v>
      </c>
      <c r="E3555" s="21">
        <f>IF(D3555="?OLD","!!!","")</f>
        <v/>
      </c>
      <c r="F3555" s="22" t="str">
        <f>IF(OR(E3555="",E3555="!!!"),"",IF(NOT(ISNA(VLOOKUP(E3555,E$1:E3554,1,FALSE()))),"OLD",IF(AND(E3555&lt;&gt;"",E3555&lt;&gt;"!!!"),"NEW","")))</f>
        <v> </v>
      </c>
      <c r="G3555" s="23" t="str">
        <f>IF(OR(E3555="",E3555="!!!"),"",IF(OR(J3555=0,AND(J3555=1,K3555=1),AND(J3555=1,I3555="SBJ"),AND(J3555=1,I3555=0)),"?IN_FOCUS",IF(J3555&lt;=2,"?ACTIVATED",IF(J3555&lt;&gt;"","?FAMILIAR",IF(F3555="NEW",IF(ISNA(VLOOKUP(E3555,#REF!,1,FALSE())),"?TYPE_IDENTIFIABLE","?REFERENTIAL"),"_")))))</f>
        <v> </v>
      </c>
      <c r="H3555" s="24" t="str">
        <f>IF(J3555&lt;&gt;1,"",IF(I3555="SBJ","CB","?"))</f>
        <v> </v>
      </c>
      <c r="I3555" s="25" t="str">
        <f>IF(OR(E3555="",E3555="!!!",F3555="NEW"),"",INDEX(B3554:B$2,-1+SUMPRODUCT(MAX(ROW(E3554:E$2)*(E3555=E3554:E$2)))))</f>
        <v> </v>
      </c>
      <c r="J3555" s="25" t="str">
        <f>IF(OR(E3555="",E3555="!!!",F3555="NEW"),"",COUNTBLANK(OFFSET(A$1,,,SUMPRODUCT(MAX(ROW(E$2:E3555)*(E3555=E$2:E3555)))))-COUNTBLANK(OFFSET(A$1,,,SUMPRODUCT(MAX(ROW(E$1:E3554)*(E2=E$1:E3554))))))</f>
        <v> </v>
      </c>
      <c r="K3555" s="25" t="str">
        <f>IF(OR(E3555="",E3555="!!!",F3555="NEW"),"",INDEX(J$1:J3554,SUMPRODUCT(MAX(ROW(E$1:E3554)*(E3555=E$1:E3554)))))</f>
        <v> </v>
      </c>
      <c r="L3555" s="26"/>
    </row>
    <row r="3556" spans="1:12">
      <c r="A3556" s="20" t="s">
        <v>1510</v>
      </c>
      <c r="B3556" s="27" t="s">
        <v>901</v>
      </c>
      <c r="C3556" s="27" t="s">
        <v>798</v>
      </c>
      <c r="D3556" s="27" t="s">
        <v>762</v>
      </c>
      <c r="E3556" s="21">
        <f>IF(D3556="?OLD","!!!","")</f>
        <v/>
      </c>
      <c r="F3556" s="22" t="str">
        <f>IF(OR(E3556="",E3556="!!!"),"",IF(NOT(ISNA(VLOOKUP(E3556,E$1:E3555,1,FALSE()))),"OLD",IF(AND(E3556&lt;&gt;"",E3556&lt;&gt;"!!!"),"NEW","")))</f>
        <v> </v>
      </c>
      <c r="G3556" s="23" t="str">
        <f>IF(OR(E3556="",E3556="!!!"),"",IF(OR(J3556=0,AND(J3556=1,K3556=1),AND(J3556=1,I3556="SBJ"),AND(J3556=1,I3556=0)),"?IN_FOCUS",IF(J3556&lt;=2,"?ACTIVATED",IF(J3556&lt;&gt;"","?FAMILIAR",IF(F3556="NEW",IF(ISNA(VLOOKUP(E3556,#REF!,1,FALSE())),"?TYPE_IDENTIFIABLE","?REFERENTIAL"),"_")))))</f>
        <v> </v>
      </c>
      <c r="H3556" s="24" t="str">
        <f>IF(J3556&lt;&gt;1,"",IF(I3556="SBJ","CB","?"))</f>
        <v> </v>
      </c>
      <c r="I3556" s="25" t="str">
        <f>IF(OR(E3556="",E3556="!!!",F3556="NEW"),"",INDEX(B3555:B$2,-1+SUMPRODUCT(MAX(ROW(E3555:E$2)*(E3556=E3555:E$2)))))</f>
        <v> </v>
      </c>
      <c r="J3556" s="25" t="str">
        <f>IF(OR(E3556="",E3556="!!!",F3556="NEW"),"",COUNTBLANK(OFFSET(A$1,,,SUMPRODUCT(MAX(ROW(E$2:E3556)*(E3556=E$2:E3556)))))-COUNTBLANK(OFFSET(A$1,,,SUMPRODUCT(MAX(ROW(E$1:E3555)*(E2=E$1:E3555))))))</f>
        <v> </v>
      </c>
      <c r="K3556" s="25" t="str">
        <f>IF(OR(E3556="",E3556="!!!",F3556="NEW"),"",INDEX(J$1:J3555,SUMPRODUCT(MAX(ROW(E$1:E3555)*(E3556=E$1:E3555)))))</f>
        <v> </v>
      </c>
      <c r="L3556" s="26"/>
    </row>
    <row r="3557" spans="1:12">
      <c r="A3557" s="20" t="s">
        <v>757</v>
      </c>
      <c r="E3557" s="21">
        <f>IF(D3557="?OLD","!!!","")</f>
        <v/>
      </c>
      <c r="F3557" s="22" t="str">
        <f>IF(OR(E3557="",E3557="!!!"),"",IF(NOT(ISNA(VLOOKUP(E3557,E$1:E3556,1,FALSE()))),"OLD",IF(AND(E3557&lt;&gt;"",E3557&lt;&gt;"!!!"),"NEW","")))</f>
        <v> </v>
      </c>
      <c r="G3557" s="23" t="str">
        <f>IF(OR(E3557="",E3557="!!!"),"",IF(OR(J3557=0,AND(J3557=1,K3557=1),AND(J3557=1,I3557="SBJ"),AND(J3557=1,I3557=0)),"?IN_FOCUS",IF(J3557&lt;=2,"?ACTIVATED",IF(J3557&lt;&gt;"","?FAMILIAR",IF(F3557="NEW",IF(ISNA(VLOOKUP(E3557,#REF!,1,FALSE())),"?TYPE_IDENTIFIABLE","?REFERENTIAL"),"_")))))</f>
        <v> </v>
      </c>
      <c r="H3557" s="24" t="str">
        <f>IF(J3557&lt;&gt;1,"",IF(I3557="SBJ","CB","?"))</f>
        <v> </v>
      </c>
      <c r="I3557" s="25" t="str">
        <f>IF(OR(E3557="",E3557="!!!",F3557="NEW"),"",INDEX(B3556:B$2,-1+SUMPRODUCT(MAX(ROW(E3556:E$2)*(E3557=E3556:E$2)))))</f>
        <v> </v>
      </c>
      <c r="J3557" s="25" t="str">
        <f>IF(OR(E3557="",E3557="!!!",F3557="NEW"),"",COUNTBLANK(OFFSET(A$1,,,SUMPRODUCT(MAX(ROW(E$2:E3557)*(E3557=E$2:E3557)))))-COUNTBLANK(OFFSET(A$1,,,SUMPRODUCT(MAX(ROW(E$1:E3556)*(E2=E$1:E3556))))))</f>
        <v> </v>
      </c>
      <c r="K3557" s="25" t="str">
        <f>IF(OR(E3557="",E3557="!!!",F3557="NEW"),"",INDEX(J$1:J3556,SUMPRODUCT(MAX(ROW(E$1:E3556)*(E3557=E$1:E3556)))))</f>
        <v> </v>
      </c>
      <c r="L3557" s="26"/>
    </row>
    <row r="3558" spans="1:12">
      <c r="A3558" s="20" t="s">
        <v>1808</v>
      </c>
      <c r="E3558" s="21">
        <f>IF(D3558="?OLD","!!!","")</f>
        <v/>
      </c>
      <c r="F3558" s="22" t="str">
        <f>IF(OR(E3558="",E3558="!!!"),"",IF(NOT(ISNA(VLOOKUP(E3558,E$1:E3557,1,FALSE()))),"OLD",IF(AND(E3558&lt;&gt;"",E3558&lt;&gt;"!!!"),"NEW","")))</f>
        <v> </v>
      </c>
      <c r="G3558" s="23" t="str">
        <f>IF(OR(E3558="",E3558="!!!"),"",IF(OR(J3558=0,AND(J3558=1,K3558=1),AND(J3558=1,I3558="SBJ"),AND(J3558=1,I3558=0)),"?IN_FOCUS",IF(J3558&lt;=2,"?ACTIVATED",IF(J3558&lt;&gt;"","?FAMILIAR",IF(F3558="NEW",IF(ISNA(VLOOKUP(E3558,#REF!,1,FALSE())),"?TYPE_IDENTIFIABLE","?REFERENTIAL"),"_")))))</f>
        <v> </v>
      </c>
      <c r="H3558" s="24" t="str">
        <f>IF(J3558&lt;&gt;1,"",IF(I3558="SBJ","CB","?"))</f>
        <v> </v>
      </c>
      <c r="I3558" s="25" t="str">
        <f>IF(OR(E3558="",E3558="!!!",F3558="NEW"),"",INDEX(B3557:B$2,-1+SUMPRODUCT(MAX(ROW(E3557:E$2)*(E3558=E3557:E$2)))))</f>
        <v> </v>
      </c>
      <c r="J3558" s="25" t="str">
        <f>IF(OR(E3558="",E3558="!!!",F3558="NEW"),"",COUNTBLANK(OFFSET(A$1,,,SUMPRODUCT(MAX(ROW(E$2:E3558)*(E3558=E$2:E3558)))))-COUNTBLANK(OFFSET(A$1,,,SUMPRODUCT(MAX(ROW(E$1:E3557)*(E2=E$1:E3557))))))</f>
        <v> </v>
      </c>
      <c r="K3558" s="25" t="str">
        <f>IF(OR(E3558="",E3558="!!!",F3558="NEW"),"",INDEX(J$1:J3557,SUMPRODUCT(MAX(ROW(E$1:E3557)*(E3558=E$1:E3557)))))</f>
        <v> </v>
      </c>
      <c r="L3558" s="26"/>
    </row>
    <row r="3559" spans="1:12">
      <c r="A3559" s="20" t="s">
        <v>952</v>
      </c>
      <c r="B3559" s="27" t="s">
        <v>760</v>
      </c>
      <c r="C3559" s="27" t="s">
        <v>1019</v>
      </c>
      <c r="D3559" s="27" t="s">
        <v>762</v>
      </c>
      <c r="E3559" s="21">
        <f>IF(D3559="?OLD","!!!","")</f>
        <v/>
      </c>
      <c r="F3559" s="22" t="str">
        <f>IF(OR(E3559="",E3559="!!!"),"",IF(NOT(ISNA(VLOOKUP(E3559,E$1:E3558,1,FALSE()))),"OLD",IF(AND(E3559&lt;&gt;"",E3559&lt;&gt;"!!!"),"NEW","")))</f>
        <v> </v>
      </c>
      <c r="G3559" s="23" t="str">
        <f>IF(OR(E3559="",E3559="!!!"),"",IF(OR(J3559=0,AND(J3559=1,K3559=1),AND(J3559=1,I3559="SBJ"),AND(J3559=1,I3559=0)),"?IN_FOCUS",IF(J3559&lt;=2,"?ACTIVATED",IF(J3559&lt;&gt;"","?FAMILIAR",IF(F3559="NEW",IF(ISNA(VLOOKUP(E3559,#REF!,1,FALSE())),"?TYPE_IDENTIFIABLE","?REFERENTIAL"),"_")))))</f>
        <v> </v>
      </c>
      <c r="H3559" s="24" t="str">
        <f>IF(J3559&lt;&gt;1,"",IF(I3559="SBJ","CB","?"))</f>
        <v> </v>
      </c>
      <c r="I3559" s="25" t="str">
        <f>IF(OR(E3559="",E3559="!!!",F3559="NEW"),"",INDEX(B3558:B$2,-1+SUMPRODUCT(MAX(ROW(E3558:E$2)*(E3559=E3558:E$2)))))</f>
        <v> </v>
      </c>
      <c r="J3559" s="25" t="str">
        <f>IF(OR(E3559="",E3559="!!!",F3559="NEW"),"",COUNTBLANK(OFFSET(A$1,,,SUMPRODUCT(MAX(ROW(E$2:E3559)*(E3559=E$2:E3559)))))-COUNTBLANK(OFFSET(A$1,,,SUMPRODUCT(MAX(ROW(E$1:E3558)*(E2=E$1:E3558))))))</f>
        <v> </v>
      </c>
      <c r="K3559" s="25" t="str">
        <f>IF(OR(E3559="",E3559="!!!",F3559="NEW"),"",INDEX(J$1:J3558,SUMPRODUCT(MAX(ROW(E$1:E3558)*(E3559=E$1:E3558)))))</f>
        <v> </v>
      </c>
      <c r="L3559" s="26"/>
    </row>
    <row r="3560" spans="1:12">
      <c r="A3560" s="20" t="s">
        <v>811</v>
      </c>
      <c r="E3560" s="21">
        <f>IF(D3560="?OLD","!!!","")</f>
        <v/>
      </c>
      <c r="F3560" s="22" t="str">
        <f>IF(OR(E3560="",E3560="!!!"),"",IF(NOT(ISNA(VLOOKUP(E3560,E$1:E3559,1,FALSE()))),"OLD",IF(AND(E3560&lt;&gt;"",E3560&lt;&gt;"!!!"),"NEW","")))</f>
        <v> </v>
      </c>
      <c r="G3560" s="23" t="str">
        <f>IF(OR(E3560="",E3560="!!!"),"",IF(OR(J3560=0,AND(J3560=1,K3560=1),AND(J3560=1,I3560="SBJ"),AND(J3560=1,I3560=0)),"?IN_FOCUS",IF(J3560&lt;=2,"?ACTIVATED",IF(J3560&lt;&gt;"","?FAMILIAR",IF(F3560="NEW",IF(ISNA(VLOOKUP(E3560,#REF!,1,FALSE())),"?TYPE_IDENTIFIABLE","?REFERENTIAL"),"_")))))</f>
        <v> </v>
      </c>
      <c r="H3560" s="24" t="str">
        <f>IF(J3560&lt;&gt;1,"",IF(I3560="SBJ","CB","?"))</f>
        <v> </v>
      </c>
      <c r="I3560" s="25" t="str">
        <f>IF(OR(E3560="",E3560="!!!",F3560="NEW"),"",INDEX(B3559:B$2,-1+SUMPRODUCT(MAX(ROW(E3559:E$2)*(E3560=E3559:E$2)))))</f>
        <v> </v>
      </c>
      <c r="J3560" s="25" t="str">
        <f>IF(OR(E3560="",E3560="!!!",F3560="NEW"),"",COUNTBLANK(OFFSET(A$1,,,SUMPRODUCT(MAX(ROW(E$2:E3560)*(E3560=E$2:E3560)))))-COUNTBLANK(OFFSET(A$1,,,SUMPRODUCT(MAX(ROW(E$1:E3559)*(E2=E$1:E3559))))))</f>
        <v> </v>
      </c>
      <c r="K3560" s="25" t="str">
        <f>IF(OR(E3560="",E3560="!!!",F3560="NEW"),"",INDEX(J$1:J3559,SUMPRODUCT(MAX(ROW(E$1:E3559)*(E3560=E$1:E3559)))))</f>
        <v> </v>
      </c>
      <c r="L3560" s="26"/>
    </row>
    <row r="3561" spans="1:12">
      <c r="A3561" s="20" t="s">
        <v>1302</v>
      </c>
      <c r="E3561" s="21">
        <f>IF(D3561="?OLD","!!!","")</f>
        <v/>
      </c>
      <c r="F3561" s="22" t="str">
        <f>IF(OR(E3561="",E3561="!!!"),"",IF(NOT(ISNA(VLOOKUP(E3561,E$1:E3560,1,FALSE()))),"OLD",IF(AND(E3561&lt;&gt;"",E3561&lt;&gt;"!!!"),"NEW","")))</f>
        <v> </v>
      </c>
      <c r="G3561" s="23" t="str">
        <f>IF(OR(E3561="",E3561="!!!"),"",IF(OR(J3561=0,AND(J3561=1,K3561=1),AND(J3561=1,I3561="SBJ"),AND(J3561=1,I3561=0)),"?IN_FOCUS",IF(J3561&lt;=2,"?ACTIVATED",IF(J3561&lt;&gt;"","?FAMILIAR",IF(F3561="NEW",IF(ISNA(VLOOKUP(E3561,#REF!,1,FALSE())),"?TYPE_IDENTIFIABLE","?REFERENTIAL"),"_")))))</f>
        <v> </v>
      </c>
      <c r="H3561" s="24" t="str">
        <f>IF(J3561&lt;&gt;1,"",IF(I3561="SBJ","CB","?"))</f>
        <v> </v>
      </c>
      <c r="I3561" s="25" t="str">
        <f>IF(OR(E3561="",E3561="!!!",F3561="NEW"),"",INDEX(B3560:B$2,-1+SUMPRODUCT(MAX(ROW(E3560:E$2)*(E3561=E3560:E$2)))))</f>
        <v> </v>
      </c>
      <c r="J3561" s="25" t="str">
        <f>IF(OR(E3561="",E3561="!!!",F3561="NEW"),"",COUNTBLANK(OFFSET(A$1,,,SUMPRODUCT(MAX(ROW(E$2:E3561)*(E3561=E$2:E3561)))))-COUNTBLANK(OFFSET(A$1,,,SUMPRODUCT(MAX(ROW(E$1:E3560)*(E2=E$1:E3560))))))</f>
        <v> </v>
      </c>
      <c r="K3561" s="25" t="str">
        <f>IF(OR(E3561="",E3561="!!!",F3561="NEW"),"",INDEX(J$1:J3560,SUMPRODUCT(MAX(ROW(E$1:E3560)*(E3561=E$1:E3560)))))</f>
        <v> </v>
      </c>
      <c r="L3561" s="26"/>
    </row>
    <row r="3562" spans="1:12">
      <c r="A3562" s="20" t="s">
        <v>1300</v>
      </c>
      <c r="E3562" s="21">
        <f>IF(D3562="?OLD","!!!","")</f>
        <v/>
      </c>
      <c r="F3562" s="22" t="str">
        <f>IF(OR(E3562="",E3562="!!!"),"",IF(NOT(ISNA(VLOOKUP(E3562,E$1:E3561,1,FALSE()))),"OLD",IF(AND(E3562&lt;&gt;"",E3562&lt;&gt;"!!!"),"NEW","")))</f>
        <v> </v>
      </c>
      <c r="G3562" s="23" t="str">
        <f>IF(OR(E3562="",E3562="!!!"),"",IF(OR(J3562=0,AND(J3562=1,K3562=1),AND(J3562=1,I3562="SBJ"),AND(J3562=1,I3562=0)),"?IN_FOCUS",IF(J3562&lt;=2,"?ACTIVATED",IF(J3562&lt;&gt;"","?FAMILIAR",IF(F3562="NEW",IF(ISNA(VLOOKUP(E3562,#REF!,1,FALSE())),"?TYPE_IDENTIFIABLE","?REFERENTIAL"),"_")))))</f>
        <v> </v>
      </c>
      <c r="H3562" s="24" t="str">
        <f>IF(J3562&lt;&gt;1,"",IF(I3562="SBJ","CB","?"))</f>
        <v> </v>
      </c>
      <c r="I3562" s="25" t="str">
        <f>IF(OR(E3562="",E3562="!!!",F3562="NEW"),"",INDEX(B3561:B$2,-1+SUMPRODUCT(MAX(ROW(E3561:E$2)*(E3562=E3561:E$2)))))</f>
        <v> </v>
      </c>
      <c r="J3562" s="25" t="str">
        <f>IF(OR(E3562="",E3562="!!!",F3562="NEW"),"",COUNTBLANK(OFFSET(A$1,,,SUMPRODUCT(MAX(ROW(E$2:E3562)*(E3562=E$2:E3562)))))-COUNTBLANK(OFFSET(A$1,,,SUMPRODUCT(MAX(ROW(E$1:E3561)*(E2=E$1:E3561))))))</f>
        <v> </v>
      </c>
      <c r="K3562" s="25" t="str">
        <f>IF(OR(E3562="",E3562="!!!",F3562="NEW"),"",INDEX(J$1:J3561,SUMPRODUCT(MAX(ROW(E$1:E3561)*(E3562=E$1:E3561)))))</f>
        <v> </v>
      </c>
      <c r="L3562" s="26"/>
    </row>
    <row r="3563" spans="1:12">
      <c r="A3563" s="20" t="s">
        <v>1709</v>
      </c>
      <c r="E3563" s="21">
        <f>IF(D3563="?OLD","!!!","")</f>
        <v/>
      </c>
      <c r="F3563" s="22" t="str">
        <f>IF(OR(E3563="",E3563="!!!"),"",IF(NOT(ISNA(VLOOKUP(E3563,E$1:E3562,1,FALSE()))),"OLD",IF(AND(E3563&lt;&gt;"",E3563&lt;&gt;"!!!"),"NEW","")))</f>
        <v> </v>
      </c>
      <c r="G3563" s="23" t="str">
        <f>IF(OR(E3563="",E3563="!!!"),"",IF(OR(J3563=0,AND(J3563=1,K3563=1),AND(J3563=1,I3563="SBJ"),AND(J3563=1,I3563=0)),"?IN_FOCUS",IF(J3563&lt;=2,"?ACTIVATED",IF(J3563&lt;&gt;"","?FAMILIAR",IF(F3563="NEW",IF(ISNA(VLOOKUP(E3563,#REF!,1,FALSE())),"?TYPE_IDENTIFIABLE","?REFERENTIAL"),"_")))))</f>
        <v> </v>
      </c>
      <c r="H3563" s="24" t="str">
        <f>IF(J3563&lt;&gt;1,"",IF(I3563="SBJ","CB","?"))</f>
        <v> </v>
      </c>
      <c r="I3563" s="25" t="str">
        <f>IF(OR(E3563="",E3563="!!!",F3563="NEW"),"",INDEX(B3562:B$2,-1+SUMPRODUCT(MAX(ROW(E3562:E$2)*(E3563=E3562:E$2)))))</f>
        <v> </v>
      </c>
      <c r="J3563" s="25" t="str">
        <f>IF(OR(E3563="",E3563="!!!",F3563="NEW"),"",COUNTBLANK(OFFSET(A$1,,,SUMPRODUCT(MAX(ROW(E$2:E3563)*(E3563=E$2:E3563)))))-COUNTBLANK(OFFSET(A$1,,,SUMPRODUCT(MAX(ROW(E$1:E3562)*(E2=E$1:E3562))))))</f>
        <v> </v>
      </c>
      <c r="K3563" s="25" t="str">
        <f>IF(OR(E3563="",E3563="!!!",F3563="NEW"),"",INDEX(J$1:J3562,SUMPRODUCT(MAX(ROW(E$1:E3562)*(E3563=E$1:E3562)))))</f>
        <v> </v>
      </c>
      <c r="L3563" s="26"/>
    </row>
    <row r="3564" spans="1:12">
      <c r="A3564" s="20" t="s">
        <v>810</v>
      </c>
      <c r="E3564" s="21">
        <f>IF(D3564="?OLD","!!!","")</f>
        <v/>
      </c>
      <c r="F3564" s="22" t="str">
        <f>IF(OR(E3564="",E3564="!!!"),"",IF(NOT(ISNA(VLOOKUP(E3564,E$1:E3563,1,FALSE()))),"OLD",IF(AND(E3564&lt;&gt;"",E3564&lt;&gt;"!!!"),"NEW","")))</f>
        <v> </v>
      </c>
      <c r="G3564" s="23" t="str">
        <f>IF(OR(E3564="",E3564="!!!"),"",IF(OR(J3564=0,AND(J3564=1,K3564=1),AND(J3564=1,I3564="SBJ"),AND(J3564=1,I3564=0)),"?IN_FOCUS",IF(J3564&lt;=2,"?ACTIVATED",IF(J3564&lt;&gt;"","?FAMILIAR",IF(F3564="NEW",IF(ISNA(VLOOKUP(E3564,#REF!,1,FALSE())),"?TYPE_IDENTIFIABLE","?REFERENTIAL"),"_")))))</f>
        <v> </v>
      </c>
      <c r="H3564" s="24" t="str">
        <f>IF(J3564&lt;&gt;1,"",IF(I3564="SBJ","CB","?"))</f>
        <v> </v>
      </c>
      <c r="I3564" s="25" t="str">
        <f>IF(OR(E3564="",E3564="!!!",F3564="NEW"),"",INDEX(B3563:B$2,-1+SUMPRODUCT(MAX(ROW(E3563:E$2)*(E3564=E3563:E$2)))))</f>
        <v> </v>
      </c>
      <c r="J3564" s="25" t="str">
        <f>IF(OR(E3564="",E3564="!!!",F3564="NEW"),"",COUNTBLANK(OFFSET(A$1,,,SUMPRODUCT(MAX(ROW(E$2:E3564)*(E3564=E$2:E3564)))))-COUNTBLANK(OFFSET(A$1,,,SUMPRODUCT(MAX(ROW(E$1:E3563)*(E2=E$1:E3563))))))</f>
        <v> </v>
      </c>
      <c r="K3564" s="25" t="str">
        <f>IF(OR(E3564="",E3564="!!!",F3564="NEW"),"",INDEX(J$1:J3563,SUMPRODUCT(MAX(ROW(E$1:E3563)*(E3564=E$1:E3563)))))</f>
        <v> </v>
      </c>
      <c r="L3564" s="26"/>
    </row>
    <row r="3565" spans="1:12">
      <c r="A3565" s="20" t="s">
        <v>1026</v>
      </c>
      <c r="E3565" s="21">
        <f>IF(D3565="?OLD","!!!","")</f>
        <v/>
      </c>
      <c r="F3565" s="22" t="str">
        <f>IF(OR(E3565="",E3565="!!!"),"",IF(NOT(ISNA(VLOOKUP(E3565,E$1:E3564,1,FALSE()))),"OLD",IF(AND(E3565&lt;&gt;"",E3565&lt;&gt;"!!!"),"NEW","")))</f>
        <v> </v>
      </c>
      <c r="G3565" s="23" t="str">
        <f>IF(OR(E3565="",E3565="!!!"),"",IF(OR(J3565=0,AND(J3565=1,K3565=1),AND(J3565=1,I3565="SBJ"),AND(J3565=1,I3565=0)),"?IN_FOCUS",IF(J3565&lt;=2,"?ACTIVATED",IF(J3565&lt;&gt;"","?FAMILIAR",IF(F3565="NEW",IF(ISNA(VLOOKUP(E3565,#REF!,1,FALSE())),"?TYPE_IDENTIFIABLE","?REFERENTIAL"),"_")))))</f>
        <v> </v>
      </c>
      <c r="H3565" s="24" t="str">
        <f>IF(J3565&lt;&gt;1,"",IF(I3565="SBJ","CB","?"))</f>
        <v> </v>
      </c>
      <c r="I3565" s="25" t="str">
        <f>IF(OR(E3565="",E3565="!!!",F3565="NEW"),"",INDEX(B3564:B$2,-1+SUMPRODUCT(MAX(ROW(E3564:E$2)*(E3565=E3564:E$2)))))</f>
        <v> </v>
      </c>
      <c r="J3565" s="25" t="str">
        <f>IF(OR(E3565="",E3565="!!!",F3565="NEW"),"",COUNTBLANK(OFFSET(A$1,,,SUMPRODUCT(MAX(ROW(E$2:E3565)*(E3565=E$2:E3565)))))-COUNTBLANK(OFFSET(A$1,,,SUMPRODUCT(MAX(ROW(E$1:E3564)*(E2=E$1:E3564))))))</f>
        <v> </v>
      </c>
      <c r="K3565" s="25" t="str">
        <f>IF(OR(E3565="",E3565="!!!",F3565="NEW"),"",INDEX(J$1:J3564,SUMPRODUCT(MAX(ROW(E$1:E3564)*(E3565=E$1:E3564)))))</f>
        <v> </v>
      </c>
      <c r="L3565" s="26"/>
    </row>
    <row r="3566" spans="1:12">
      <c r="A3566" s="20" t="s">
        <v>1070</v>
      </c>
      <c r="B3566" s="27" t="s">
        <v>796</v>
      </c>
      <c r="C3566" s="27" t="s">
        <v>1019</v>
      </c>
      <c r="D3566" s="27" t="s">
        <v>762</v>
      </c>
      <c r="E3566" s="21">
        <f>IF(D3566="?OLD","!!!","")</f>
        <v/>
      </c>
      <c r="F3566" s="22" t="str">
        <f>IF(OR(E3566="",E3566="!!!"),"",IF(NOT(ISNA(VLOOKUP(E3566,E$1:E3565,1,FALSE()))),"OLD",IF(AND(E3566&lt;&gt;"",E3566&lt;&gt;"!!!"),"NEW","")))</f>
        <v> </v>
      </c>
      <c r="G3566" s="23" t="str">
        <f>IF(OR(E3566="",E3566="!!!"),"",IF(OR(J3566=0,AND(J3566=1,K3566=1),AND(J3566=1,I3566="SBJ"),AND(J3566=1,I3566=0)),"?IN_FOCUS",IF(J3566&lt;=2,"?ACTIVATED",IF(J3566&lt;&gt;"","?FAMILIAR",IF(F3566="NEW",IF(ISNA(VLOOKUP(E3566,#REF!,1,FALSE())),"?TYPE_IDENTIFIABLE","?REFERENTIAL"),"_")))))</f>
        <v> </v>
      </c>
      <c r="H3566" s="24" t="str">
        <f>IF(J3566&lt;&gt;1,"",IF(I3566="SBJ","CB","?"))</f>
        <v> </v>
      </c>
      <c r="I3566" s="25" t="str">
        <f>IF(OR(E3566="",E3566="!!!",F3566="NEW"),"",INDEX(B3565:B$2,-1+SUMPRODUCT(MAX(ROW(E3565:E$2)*(E3566=E3565:E$2)))))</f>
        <v> </v>
      </c>
      <c r="J3566" s="25" t="str">
        <f>IF(OR(E3566="",E3566="!!!",F3566="NEW"),"",COUNTBLANK(OFFSET(A$1,,,SUMPRODUCT(MAX(ROW(E$2:E3566)*(E3566=E$2:E3566)))))-COUNTBLANK(OFFSET(A$1,,,SUMPRODUCT(MAX(ROW(E$1:E3565)*(E2=E$1:E3565))))))</f>
        <v> </v>
      </c>
      <c r="K3566" s="25" t="str">
        <f>IF(OR(E3566="",E3566="!!!",F3566="NEW"),"",INDEX(J$1:J3565,SUMPRODUCT(MAX(ROW(E$1:E3565)*(E3566=E$1:E3565)))))</f>
        <v> </v>
      </c>
      <c r="L3566" s="26"/>
    </row>
    <row r="3567" spans="1:12">
      <c r="A3567" s="20" t="s">
        <v>1809</v>
      </c>
      <c r="E3567" s="21">
        <f>IF(D3567="?OLD","!!!","")</f>
        <v/>
      </c>
      <c r="F3567" s="22" t="str">
        <f>IF(OR(E3567="",E3567="!!!"),"",IF(NOT(ISNA(VLOOKUP(E3567,E$1:E3566,1,FALSE()))),"OLD",IF(AND(E3567&lt;&gt;"",E3567&lt;&gt;"!!!"),"NEW","")))</f>
        <v> </v>
      </c>
      <c r="G3567" s="23" t="str">
        <f>IF(OR(E3567="",E3567="!!!"),"",IF(OR(J3567=0,AND(J3567=1,K3567=1),AND(J3567=1,I3567="SBJ"),AND(J3567=1,I3567=0)),"?IN_FOCUS",IF(J3567&lt;=2,"?ACTIVATED",IF(J3567&lt;&gt;"","?FAMILIAR",IF(F3567="NEW",IF(ISNA(VLOOKUP(E3567,#REF!,1,FALSE())),"?TYPE_IDENTIFIABLE","?REFERENTIAL"),"_")))))</f>
        <v> </v>
      </c>
      <c r="H3567" s="24" t="str">
        <f>IF(J3567&lt;&gt;1,"",IF(I3567="SBJ","CB","?"))</f>
        <v> </v>
      </c>
      <c r="I3567" s="25" t="str">
        <f>IF(OR(E3567="",E3567="!!!",F3567="NEW"),"",INDEX(B3566:B$2,-1+SUMPRODUCT(MAX(ROW(E3566:E$2)*(E3567=E3566:E$2)))))</f>
        <v> </v>
      </c>
      <c r="J3567" s="25" t="str">
        <f>IF(OR(E3567="",E3567="!!!",F3567="NEW"),"",COUNTBLANK(OFFSET(A$1,,,SUMPRODUCT(MAX(ROW(E$2:E3567)*(E3567=E$2:E3567)))))-COUNTBLANK(OFFSET(A$1,,,SUMPRODUCT(MAX(ROW(E$1:E3566)*(E2=E$1:E3566))))))</f>
        <v> </v>
      </c>
      <c r="K3567" s="25" t="str">
        <f>IF(OR(E3567="",E3567="!!!",F3567="NEW"),"",INDEX(J$1:J3566,SUMPRODUCT(MAX(ROW(E$1:E3566)*(E3567=E$1:E3566)))))</f>
        <v> </v>
      </c>
      <c r="L3567" s="26"/>
    </row>
    <row r="3568" spans="1:12">
      <c r="A3568" s="20" t="s">
        <v>811</v>
      </c>
      <c r="E3568" s="21">
        <f>IF(D3568="?OLD","!!!","")</f>
        <v/>
      </c>
      <c r="F3568" s="22" t="str">
        <f>IF(OR(E3568="",E3568="!!!"),"",IF(NOT(ISNA(VLOOKUP(E3568,E$1:E3567,1,FALSE()))),"OLD",IF(AND(E3568&lt;&gt;"",E3568&lt;&gt;"!!!"),"NEW","")))</f>
        <v> </v>
      </c>
      <c r="G3568" s="23" t="str">
        <f>IF(OR(E3568="",E3568="!!!"),"",IF(OR(J3568=0,AND(J3568=1,K3568=1),AND(J3568=1,I3568="SBJ"),AND(J3568=1,I3568=0)),"?IN_FOCUS",IF(J3568&lt;=2,"?ACTIVATED",IF(J3568&lt;&gt;"","?FAMILIAR",IF(F3568="NEW",IF(ISNA(VLOOKUP(E3568,#REF!,1,FALSE())),"?TYPE_IDENTIFIABLE","?REFERENTIAL"),"_")))))</f>
        <v> </v>
      </c>
      <c r="H3568" s="24" t="str">
        <f>IF(J3568&lt;&gt;1,"",IF(I3568="SBJ","CB","?"))</f>
        <v> </v>
      </c>
      <c r="I3568" s="25" t="str">
        <f>IF(OR(E3568="",E3568="!!!",F3568="NEW"),"",INDEX(B3567:B$2,-1+SUMPRODUCT(MAX(ROW(E3567:E$2)*(E3568=E3567:E$2)))))</f>
        <v> </v>
      </c>
      <c r="J3568" s="25" t="str">
        <f>IF(OR(E3568="",E3568="!!!",F3568="NEW"),"",COUNTBLANK(OFFSET(A$1,,,SUMPRODUCT(MAX(ROW(E$2:E3568)*(E3568=E$2:E3568)))))-COUNTBLANK(OFFSET(A$1,,,SUMPRODUCT(MAX(ROW(E$1:E3567)*(E2=E$1:E3567))))))</f>
        <v> </v>
      </c>
      <c r="K3568" s="25" t="str">
        <f>IF(OR(E3568="",E3568="!!!",F3568="NEW"),"",INDEX(J$1:J3567,SUMPRODUCT(MAX(ROW(E$1:E3567)*(E3568=E$1:E3567)))))</f>
        <v> </v>
      </c>
      <c r="L3568" s="26"/>
    </row>
    <row r="3569" spans="1:12">
      <c r="A3569" s="20" t="s">
        <v>1302</v>
      </c>
      <c r="E3569" s="21">
        <f>IF(D3569="?OLD","!!!","")</f>
        <v/>
      </c>
      <c r="F3569" s="22" t="str">
        <f>IF(OR(E3569="",E3569="!!!"),"",IF(NOT(ISNA(VLOOKUP(E3569,E$1:E3568,1,FALSE()))),"OLD",IF(AND(E3569&lt;&gt;"",E3569&lt;&gt;"!!!"),"NEW","")))</f>
        <v> </v>
      </c>
      <c r="G3569" s="23" t="str">
        <f>IF(OR(E3569="",E3569="!!!"),"",IF(OR(J3569=0,AND(J3569=1,K3569=1),AND(J3569=1,I3569="SBJ"),AND(J3569=1,I3569=0)),"?IN_FOCUS",IF(J3569&lt;=2,"?ACTIVATED",IF(J3569&lt;&gt;"","?FAMILIAR",IF(F3569="NEW",IF(ISNA(VLOOKUP(E3569,#REF!,1,FALSE())),"?TYPE_IDENTIFIABLE","?REFERENTIAL"),"_")))))</f>
        <v> </v>
      </c>
      <c r="H3569" s="24" t="str">
        <f>IF(J3569&lt;&gt;1,"",IF(I3569="SBJ","CB","?"))</f>
        <v> </v>
      </c>
      <c r="I3569" s="25" t="str">
        <f>IF(OR(E3569="",E3569="!!!",F3569="NEW"),"",INDEX(B3568:B$2,-1+SUMPRODUCT(MAX(ROW(E3568:E$2)*(E3569=E3568:E$2)))))</f>
        <v> </v>
      </c>
      <c r="J3569" s="25" t="str">
        <f>IF(OR(E3569="",E3569="!!!",F3569="NEW"),"",COUNTBLANK(OFFSET(A$1,,,SUMPRODUCT(MAX(ROW(E$2:E3569)*(E3569=E$2:E3569)))))-COUNTBLANK(OFFSET(A$1,,,SUMPRODUCT(MAX(ROW(E$1:E3568)*(E2=E$1:E3568))))))</f>
        <v> </v>
      </c>
      <c r="K3569" s="25" t="str">
        <f>IF(OR(E3569="",E3569="!!!",F3569="NEW"),"",INDEX(J$1:J3568,SUMPRODUCT(MAX(ROW(E$1:E3568)*(E3569=E$1:E3568)))))</f>
        <v> </v>
      </c>
      <c r="L3569" s="26"/>
    </row>
    <row r="3570" spans="1:12">
      <c r="A3570" s="20" t="s">
        <v>1300</v>
      </c>
      <c r="E3570" s="21">
        <f>IF(D3570="?OLD","!!!","")</f>
        <v/>
      </c>
      <c r="F3570" s="22" t="str">
        <f>IF(OR(E3570="",E3570="!!!"),"",IF(NOT(ISNA(VLOOKUP(E3570,E$1:E3569,1,FALSE()))),"OLD",IF(AND(E3570&lt;&gt;"",E3570&lt;&gt;"!!!"),"NEW","")))</f>
        <v> </v>
      </c>
      <c r="G3570" s="23" t="str">
        <f>IF(OR(E3570="",E3570="!!!"),"",IF(OR(J3570=0,AND(J3570=1,K3570=1),AND(J3570=1,I3570="SBJ"),AND(J3570=1,I3570=0)),"?IN_FOCUS",IF(J3570&lt;=2,"?ACTIVATED",IF(J3570&lt;&gt;"","?FAMILIAR",IF(F3570="NEW",IF(ISNA(VLOOKUP(E3570,#REF!,1,FALSE())),"?TYPE_IDENTIFIABLE","?REFERENTIAL"),"_")))))</f>
        <v> </v>
      </c>
      <c r="H3570" s="24" t="str">
        <f>IF(J3570&lt;&gt;1,"",IF(I3570="SBJ","CB","?"))</f>
        <v> </v>
      </c>
      <c r="I3570" s="25" t="str">
        <f>IF(OR(E3570="",E3570="!!!",F3570="NEW"),"",INDEX(B3569:B$2,-1+SUMPRODUCT(MAX(ROW(E3569:E$2)*(E3570=E3569:E$2)))))</f>
        <v> </v>
      </c>
      <c r="J3570" s="25" t="str">
        <f>IF(OR(E3570="",E3570="!!!",F3570="NEW"),"",COUNTBLANK(OFFSET(A$1,,,SUMPRODUCT(MAX(ROW(E$2:E3570)*(E3570=E$2:E3570)))))-COUNTBLANK(OFFSET(A$1,,,SUMPRODUCT(MAX(ROW(E$1:E3569)*(E2=E$1:E3569))))))</f>
        <v> </v>
      </c>
      <c r="K3570" s="25" t="str">
        <f>IF(OR(E3570="",E3570="!!!",F3570="NEW"),"",INDEX(J$1:J3569,SUMPRODUCT(MAX(ROW(E$1:E3569)*(E3570=E$1:E3569)))))</f>
        <v> </v>
      </c>
      <c r="L3570" s="26"/>
    </row>
    <row r="3571" spans="1:12">
      <c r="A3571" s="20" t="s">
        <v>1095</v>
      </c>
      <c r="E3571" s="21">
        <f>IF(D3571="?OLD","!!!","")</f>
        <v/>
      </c>
      <c r="F3571" s="22" t="str">
        <f>IF(OR(E3571="",E3571="!!!"),"",IF(NOT(ISNA(VLOOKUP(E3571,E$1:E3570,1,FALSE()))),"OLD",IF(AND(E3571&lt;&gt;"",E3571&lt;&gt;"!!!"),"NEW","")))</f>
        <v> </v>
      </c>
      <c r="G3571" s="23" t="str">
        <f>IF(OR(E3571="",E3571="!!!"),"",IF(OR(J3571=0,AND(J3571=1,K3571=1),AND(J3571=1,I3571="SBJ"),AND(J3571=1,I3571=0)),"?IN_FOCUS",IF(J3571&lt;=2,"?ACTIVATED",IF(J3571&lt;&gt;"","?FAMILIAR",IF(F3571="NEW",IF(ISNA(VLOOKUP(E3571,#REF!,1,FALSE())),"?TYPE_IDENTIFIABLE","?REFERENTIAL"),"_")))))</f>
        <v> </v>
      </c>
      <c r="H3571" s="24" t="str">
        <f>IF(J3571&lt;&gt;1,"",IF(I3571="SBJ","CB","?"))</f>
        <v> </v>
      </c>
      <c r="I3571" s="25" t="str">
        <f>IF(OR(E3571="",E3571="!!!",F3571="NEW"),"",INDEX(B3570:B$2,-1+SUMPRODUCT(MAX(ROW(E3570:E$2)*(E3571=E3570:E$2)))))</f>
        <v> </v>
      </c>
      <c r="J3571" s="25" t="str">
        <f>IF(OR(E3571="",E3571="!!!",F3571="NEW"),"",COUNTBLANK(OFFSET(A$1,,,SUMPRODUCT(MAX(ROW(E$2:E3571)*(E3571=E$2:E3571)))))-COUNTBLANK(OFFSET(A$1,,,SUMPRODUCT(MAX(ROW(E$1:E3570)*(E2=E$1:E3570))))))</f>
        <v> </v>
      </c>
      <c r="K3571" s="25" t="str">
        <f>IF(OR(E3571="",E3571="!!!",F3571="NEW"),"",INDEX(J$1:J3570,SUMPRODUCT(MAX(ROW(E$1:E3570)*(E3571=E$1:E3570)))))</f>
        <v> </v>
      </c>
      <c r="L3571" s="26"/>
    </row>
    <row r="3572" spans="1:12">
      <c r="A3572" s="20" t="s">
        <v>1810</v>
      </c>
      <c r="B3572" s="27" t="s">
        <v>802</v>
      </c>
      <c r="C3572" s="27" t="s">
        <v>754</v>
      </c>
      <c r="E3572" s="21">
        <f>IF(D3572="?OLD","!!!","")</f>
        <v/>
      </c>
      <c r="F3572" s="22" t="str">
        <f>IF(OR(E3572="",E3572="!!!"),"",IF(NOT(ISNA(VLOOKUP(E3572,E$1:E3571,1,FALSE()))),"OLD",IF(AND(E3572&lt;&gt;"",E3572&lt;&gt;"!!!"),"NEW","")))</f>
        <v> </v>
      </c>
      <c r="G3572" s="23" t="str">
        <f>IF(OR(E3572="",E3572="!!!"),"",IF(OR(J3572=0,AND(J3572=1,K3572=1),AND(J3572=1,I3572="SBJ"),AND(J3572=1,I3572=0)),"?IN_FOCUS",IF(J3572&lt;=2,"?ACTIVATED",IF(J3572&lt;&gt;"","?FAMILIAR",IF(F3572="NEW",IF(ISNA(VLOOKUP(E3572,#REF!,1,FALSE())),"?TYPE_IDENTIFIABLE","?REFERENTIAL"),"_")))))</f>
        <v> </v>
      </c>
      <c r="H3572" s="24" t="str">
        <f>IF(J3572&lt;&gt;1,"",IF(I3572="SBJ","CB","?"))</f>
        <v> </v>
      </c>
      <c r="I3572" s="25" t="str">
        <f>IF(OR(E3572="",E3572="!!!",F3572="NEW"),"",INDEX(B3571:B$2,-1+SUMPRODUCT(MAX(ROW(E3571:E$2)*(E3572=E3571:E$2)))))</f>
        <v> </v>
      </c>
      <c r="J3572" s="25" t="str">
        <f>IF(OR(E3572="",E3572="!!!",F3572="NEW"),"",COUNTBLANK(OFFSET(A$1,,,SUMPRODUCT(MAX(ROW(E$2:E3572)*(E3572=E$2:E3572)))))-COUNTBLANK(OFFSET(A$1,,,SUMPRODUCT(MAX(ROW(E$1:E3571)*(E2=E$1:E3571))))))</f>
        <v> </v>
      </c>
      <c r="K3572" s="25" t="str">
        <f>IF(OR(E3572="",E3572="!!!",F3572="NEW"),"",INDEX(J$1:J3571,SUMPRODUCT(MAX(ROW(E$1:E3571)*(E3572=E$1:E3571)))))</f>
        <v> </v>
      </c>
      <c r="L3572" s="26"/>
    </row>
    <row r="3573" spans="1:12">
      <c r="A3573" s="20" t="s">
        <v>774</v>
      </c>
      <c r="E3573" s="21">
        <f>IF(D3573="?OLD","!!!","")</f>
        <v/>
      </c>
      <c r="F3573" s="22" t="str">
        <f>IF(OR(E3573="",E3573="!!!"),"",IF(NOT(ISNA(VLOOKUP(E3573,E$1:E3572,1,FALSE()))),"OLD",IF(AND(E3573&lt;&gt;"",E3573&lt;&gt;"!!!"),"NEW","")))</f>
        <v> </v>
      </c>
      <c r="G3573" s="23" t="str">
        <f>IF(OR(E3573="",E3573="!!!"),"",IF(OR(J3573=0,AND(J3573=1,K3573=1),AND(J3573=1,I3573="SBJ"),AND(J3573=1,I3573=0)),"?IN_FOCUS",IF(J3573&lt;=2,"?ACTIVATED",IF(J3573&lt;&gt;"","?FAMILIAR",IF(F3573="NEW",IF(ISNA(VLOOKUP(E3573,#REF!,1,FALSE())),"?TYPE_IDENTIFIABLE","?REFERENTIAL"),"_")))))</f>
        <v> </v>
      </c>
      <c r="H3573" s="24" t="str">
        <f>IF(J3573&lt;&gt;1,"",IF(I3573="SBJ","CB","?"))</f>
        <v> </v>
      </c>
      <c r="I3573" s="25" t="str">
        <f>IF(OR(E3573="",E3573="!!!",F3573="NEW"),"",INDEX(B3572:B$2,-1+SUMPRODUCT(MAX(ROW(E3572:E$2)*(E3573=E3572:E$2)))))</f>
        <v> </v>
      </c>
      <c r="J3573" s="25" t="str">
        <f>IF(OR(E3573="",E3573="!!!",F3573="NEW"),"",COUNTBLANK(OFFSET(A$1,,,SUMPRODUCT(MAX(ROW(E$2:E3573)*(E3573=E$2:E3573)))))-COUNTBLANK(OFFSET(A$1,,,SUMPRODUCT(MAX(ROW(E$1:E3572)*(E2=E$1:E3572))))))</f>
        <v> </v>
      </c>
      <c r="K3573" s="25" t="str">
        <f>IF(OR(E3573="",E3573="!!!",F3573="NEW"),"",INDEX(J$1:J3572,SUMPRODUCT(MAX(ROW(E$1:E3572)*(E3573=E$1:E3572)))))</f>
        <v> </v>
      </c>
      <c r="L3573" s="26"/>
    </row>
    <row r="3574" spans="1:12">
      <c r="A3574" s="20"/>
    </row>
    <row r="3575" spans="1:12">
      <c r="A3575" s="20" t="s">
        <v>1811</v>
      </c>
    </row>
    <row r="3576" spans="1:12">
      <c r="A3576" s="20" t="s">
        <v>908</v>
      </c>
      <c r="E3576" s="21">
        <f>IF(D3576="?OLD","!!!","")</f>
        <v/>
      </c>
      <c r="F3576" s="22" t="str">
        <f>IF(OR(E3576="",E3576="!!!"),"",IF(NOT(ISNA(VLOOKUP(E3576,E$1:E3575,1,FALSE()))),"OLD",IF(AND(E3576&lt;&gt;"",E3576&lt;&gt;"!!!"),"NEW","")))</f>
        <v> </v>
      </c>
      <c r="G3576" s="23" t="str">
        <f>IF(OR(E3576="",E3576="!!!"),"",IF(OR(J3576=0,AND(J3576=1,K3576=1),AND(J3576=1,I3576="SBJ"),AND(J3576=1,I3576=0)),"?IN_FOCUS",IF(J3576&lt;=2,"?ACTIVATED",IF(J3576&lt;&gt;"","?FAMILIAR",IF(F3576="NEW",IF(ISNA(VLOOKUP(E3576,#REF!,1,FALSE())),"?TYPE_IDENTIFIABLE","?REFERENTIAL"),"_")))))</f>
        <v> </v>
      </c>
      <c r="H3576" s="24" t="str">
        <f>IF(J3576&lt;&gt;1,"",IF(I3576="SBJ","CB","?"))</f>
        <v> </v>
      </c>
      <c r="I3576" s="25" t="str">
        <f>IF(OR(E3576="",E3576="!!!",F3576="NEW"),"",INDEX(B3575:B$2,-1+SUMPRODUCT(MAX(ROW(E3575:E$2)*(E3576=E3575:E$2)))))</f>
        <v> </v>
      </c>
      <c r="J3576" s="25" t="str">
        <f>IF(OR(E3576="",E3576="!!!",F3576="NEW"),"",COUNTBLANK(OFFSET(A$1,,,SUMPRODUCT(MAX(ROW(E$2:E3576)*(E3576=E$2:E3576)))))-COUNTBLANK(OFFSET(A$1,,,SUMPRODUCT(MAX(ROW(E$1:E3575)*(E2=E$1:E3575))))))</f>
        <v> </v>
      </c>
      <c r="K3576" s="25" t="str">
        <f>IF(OR(E3576="",E3576="!!!",F3576="NEW"),"",INDEX(J$1:J3575,SUMPRODUCT(MAX(ROW(E$1:E3575)*(E3576=E$1:E3575)))))</f>
        <v> </v>
      </c>
      <c r="L3576" s="26"/>
    </row>
    <row r="3577" spans="1:12">
      <c r="A3577" s="20" t="s">
        <v>827</v>
      </c>
      <c r="B3577" s="27" t="s">
        <v>760</v>
      </c>
      <c r="C3577" s="27" t="s">
        <v>797</v>
      </c>
      <c r="D3577" s="27" t="s">
        <v>762</v>
      </c>
      <c r="E3577" s="21">
        <f>IF(D3577="?OLD","!!!","")</f>
        <v/>
      </c>
      <c r="F3577" s="22" t="str">
        <f>IF(OR(E3577="",E3577="!!!"),"",IF(NOT(ISNA(VLOOKUP(E3577,E$1:E3576,1,FALSE()))),"OLD",IF(AND(E3577&lt;&gt;"",E3577&lt;&gt;"!!!"),"NEW","")))</f>
        <v> </v>
      </c>
      <c r="G3577" s="23" t="str">
        <f>IF(OR(E3577="",E3577="!!!"),"",IF(OR(J3577=0,AND(J3577=1,K3577=1),AND(J3577=1,I3577="SBJ"),AND(J3577=1,I3577=0)),"?IN_FOCUS",IF(J3577&lt;=2,"?ACTIVATED",IF(J3577&lt;&gt;"","?FAMILIAR",IF(F3577="NEW",IF(ISNA(VLOOKUP(E3577,#REF!,1,FALSE())),"?TYPE_IDENTIFIABLE","?REFERENTIAL"),"_")))))</f>
        <v> </v>
      </c>
      <c r="H3577" s="24" t="str">
        <f>IF(J3577&lt;&gt;1,"",IF(I3577="SBJ","CB","?"))</f>
        <v> </v>
      </c>
      <c r="I3577" s="25" t="str">
        <f>IF(OR(E3577="",E3577="!!!",F3577="NEW"),"",INDEX(B3576:B$2,-1+SUMPRODUCT(MAX(ROW(E3576:E$2)*(E3577=E3576:E$2)))))</f>
        <v> </v>
      </c>
      <c r="J3577" s="25" t="str">
        <f>IF(OR(E3577="",E3577="!!!",F3577="NEW"),"",COUNTBLANK(OFFSET(A$1,,,SUMPRODUCT(MAX(ROW(E$2:E3577)*(E3577=E$2:E3577)))))-COUNTBLANK(OFFSET(A$1,,,SUMPRODUCT(MAX(ROW(E$1:E3576)*(E2=E$1:E3576))))))</f>
        <v> </v>
      </c>
      <c r="K3577" s="25" t="str">
        <f>IF(OR(E3577="",E3577="!!!",F3577="NEW"),"",INDEX(J$1:J3576,SUMPRODUCT(MAX(ROW(E$1:E3576)*(E3577=E$1:E3576)))))</f>
        <v> </v>
      </c>
      <c r="L3577" s="26"/>
    </row>
    <row r="3578" spans="1:12">
      <c r="A3578" s="20" t="s">
        <v>751</v>
      </c>
      <c r="B3578" s="27" t="s">
        <v>767</v>
      </c>
      <c r="C3578" s="27" t="s">
        <v>820</v>
      </c>
      <c r="D3578" s="27" t="s">
        <v>762</v>
      </c>
      <c r="E3578" s="21">
        <f>IF(D3578="?OLD","!!!","")</f>
        <v/>
      </c>
      <c r="F3578" s="22" t="str">
        <f>IF(OR(E3578="",E3578="!!!"),"",IF(NOT(ISNA(VLOOKUP(E3578,E$1:E3577,1,FALSE()))),"OLD",IF(AND(E3578&lt;&gt;"",E3578&lt;&gt;"!!!"),"NEW","")))</f>
        <v> </v>
      </c>
      <c r="G3578" s="23" t="str">
        <f>IF(OR(E3578="",E3578="!!!"),"",IF(OR(J3578=0,AND(J3578=1,K3578=1),AND(J3578=1,I3578="SBJ"),AND(J3578=1,I3578=0)),"?IN_FOCUS",IF(J3578&lt;=2,"?ACTIVATED",IF(J3578&lt;&gt;"","?FAMILIAR",IF(F3578="NEW",IF(ISNA(VLOOKUP(E3578,#REF!,1,FALSE())),"?TYPE_IDENTIFIABLE","?REFERENTIAL"),"_")))))</f>
        <v> </v>
      </c>
      <c r="H3578" s="24" t="str">
        <f>IF(J3578&lt;&gt;1,"",IF(I3578="SBJ","CB","?"))</f>
        <v> </v>
      </c>
      <c r="I3578" s="25" t="str">
        <f>IF(OR(E3578="",E3578="!!!",F3578="NEW"),"",INDEX(B3577:B$2,-1+SUMPRODUCT(MAX(ROW(E3577:E$2)*(E3578=E3577:E$2)))))</f>
        <v> </v>
      </c>
      <c r="J3578" s="25" t="str">
        <f>IF(OR(E3578="",E3578="!!!",F3578="NEW"),"",COUNTBLANK(OFFSET(A$1,,,SUMPRODUCT(MAX(ROW(E$2:E3578)*(E3578=E$2:E3578)))))-COUNTBLANK(OFFSET(A$1,,,SUMPRODUCT(MAX(ROW(E$1:E3577)*(E2=E$1:E3577))))))</f>
        <v> </v>
      </c>
      <c r="K3578" s="25" t="str">
        <f>IF(OR(E3578="",E3578="!!!",F3578="NEW"),"",INDEX(J$1:J3577,SUMPRODUCT(MAX(ROW(E$1:E3577)*(E3578=E$1:E3577)))))</f>
        <v> </v>
      </c>
      <c r="L3578" s="26"/>
    </row>
    <row r="3579" spans="1:12">
      <c r="A3579" s="20" t="s">
        <v>870</v>
      </c>
      <c r="E3579" s="21">
        <f>IF(D3579="?OLD","!!!","")</f>
        <v/>
      </c>
      <c r="F3579" s="22" t="str">
        <f>IF(OR(E3579="",E3579="!!!"),"",IF(NOT(ISNA(VLOOKUP(E3579,E$1:E3578,1,FALSE()))),"OLD",IF(AND(E3579&lt;&gt;"",E3579&lt;&gt;"!!!"),"NEW","")))</f>
        <v> </v>
      </c>
      <c r="G3579" s="23" t="str">
        <f>IF(OR(E3579="",E3579="!!!"),"",IF(OR(J3579=0,AND(J3579=1,K3579=1),AND(J3579=1,I3579="SBJ"),AND(J3579=1,I3579=0)),"?IN_FOCUS",IF(J3579&lt;=2,"?ACTIVATED",IF(J3579&lt;&gt;"","?FAMILIAR",IF(F3579="NEW",IF(ISNA(VLOOKUP(E3579,#REF!,1,FALSE())),"?TYPE_IDENTIFIABLE","?REFERENTIAL"),"_")))))</f>
        <v> </v>
      </c>
      <c r="H3579" s="24" t="str">
        <f>IF(J3579&lt;&gt;1,"",IF(I3579="SBJ","CB","?"))</f>
        <v> </v>
      </c>
      <c r="I3579" s="25" t="str">
        <f>IF(OR(E3579="",E3579="!!!",F3579="NEW"),"",INDEX(B3578:B$2,-1+SUMPRODUCT(MAX(ROW(E3578:E$2)*(E3579=E3578:E$2)))))</f>
        <v> </v>
      </c>
      <c r="J3579" s="25" t="str">
        <f>IF(OR(E3579="",E3579="!!!",F3579="NEW"),"",COUNTBLANK(OFFSET(A$1,,,SUMPRODUCT(MAX(ROW(E$2:E3579)*(E3579=E$2:E3579)))))-COUNTBLANK(OFFSET(A$1,,,SUMPRODUCT(MAX(ROW(E$1:E3578)*(E2=E$1:E3578))))))</f>
        <v> </v>
      </c>
      <c r="K3579" s="25" t="str">
        <f>IF(OR(E3579="",E3579="!!!",F3579="NEW"),"",INDEX(J$1:J3578,SUMPRODUCT(MAX(ROW(E$1:E3578)*(E3579=E$1:E3578)))))</f>
        <v> </v>
      </c>
      <c r="L3579" s="26"/>
    </row>
    <row r="3580" spans="1:12">
      <c r="A3580" s="20" t="s">
        <v>1812</v>
      </c>
      <c r="E3580" s="21">
        <f>IF(D3580="?OLD","!!!","")</f>
        <v/>
      </c>
      <c r="F3580" s="22" t="str">
        <f>IF(OR(E3580="",E3580="!!!"),"",IF(NOT(ISNA(VLOOKUP(E3580,E$1:E3579,1,FALSE()))),"OLD",IF(AND(E3580&lt;&gt;"",E3580&lt;&gt;"!!!"),"NEW","")))</f>
        <v> </v>
      </c>
      <c r="G3580" s="23" t="str">
        <f>IF(OR(E3580="",E3580="!!!"),"",IF(OR(J3580=0,AND(J3580=1,K3580=1),AND(J3580=1,I3580="SBJ"),AND(J3580=1,I3580=0)),"?IN_FOCUS",IF(J3580&lt;=2,"?ACTIVATED",IF(J3580&lt;&gt;"","?FAMILIAR",IF(F3580="NEW",IF(ISNA(VLOOKUP(E3580,#REF!,1,FALSE())),"?TYPE_IDENTIFIABLE","?REFERENTIAL"),"_")))))</f>
        <v> </v>
      </c>
      <c r="H3580" s="24" t="str">
        <f>IF(J3580&lt;&gt;1,"",IF(I3580="SBJ","CB","?"))</f>
        <v> </v>
      </c>
      <c r="I3580" s="25" t="str">
        <f>IF(OR(E3580="",E3580="!!!",F3580="NEW"),"",INDEX(B3579:B$2,-1+SUMPRODUCT(MAX(ROW(E3579:E$2)*(E3580=E3579:E$2)))))</f>
        <v> </v>
      </c>
      <c r="J3580" s="25" t="str">
        <f>IF(OR(E3580="",E3580="!!!",F3580="NEW"),"",COUNTBLANK(OFFSET(A$1,,,SUMPRODUCT(MAX(ROW(E$2:E3580)*(E3580=E$2:E3580)))))-COUNTBLANK(OFFSET(A$1,,,SUMPRODUCT(MAX(ROW(E$1:E3579)*(E2=E$1:E3579))))))</f>
        <v> </v>
      </c>
      <c r="K3580" s="25" t="str">
        <f>IF(OR(E3580="",E3580="!!!",F3580="NEW"),"",INDEX(J$1:J3579,SUMPRODUCT(MAX(ROW(E$1:E3579)*(E3580=E$1:E3579)))))</f>
        <v> </v>
      </c>
      <c r="L3580" s="26"/>
    </row>
    <row r="3581" spans="1:12">
      <c r="A3581" s="20" t="s">
        <v>785</v>
      </c>
      <c r="E3581" s="21">
        <f>IF(D3581="?OLD","!!!","")</f>
        <v/>
      </c>
      <c r="F3581" s="22" t="str">
        <f>IF(OR(E3581="",E3581="!!!"),"",IF(NOT(ISNA(VLOOKUP(E3581,E$1:E3580,1,FALSE()))),"OLD",IF(AND(E3581&lt;&gt;"",E3581&lt;&gt;"!!!"),"NEW","")))</f>
        <v> </v>
      </c>
      <c r="G3581" s="23" t="str">
        <f>IF(OR(E3581="",E3581="!!!"),"",IF(OR(J3581=0,AND(J3581=1,K3581=1),AND(J3581=1,I3581="SBJ"),AND(J3581=1,I3581=0)),"?IN_FOCUS",IF(J3581&lt;=2,"?ACTIVATED",IF(J3581&lt;&gt;"","?FAMILIAR",IF(F3581="NEW",IF(ISNA(VLOOKUP(E3581,#REF!,1,FALSE())),"?TYPE_IDENTIFIABLE","?REFERENTIAL"),"_")))))</f>
        <v> </v>
      </c>
      <c r="H3581" s="24" t="str">
        <f>IF(J3581&lt;&gt;1,"",IF(I3581="SBJ","CB","?"))</f>
        <v> </v>
      </c>
      <c r="I3581" s="25" t="str">
        <f>IF(OR(E3581="",E3581="!!!",F3581="NEW"),"",INDEX(B3580:B$2,-1+SUMPRODUCT(MAX(ROW(E3580:E$2)*(E3581=E3580:E$2)))))</f>
        <v> </v>
      </c>
      <c r="J3581" s="25" t="str">
        <f>IF(OR(E3581="",E3581="!!!",F3581="NEW"),"",COUNTBLANK(OFFSET(A$1,,,SUMPRODUCT(MAX(ROW(E$2:E3581)*(E3581=E$2:E3581)))))-COUNTBLANK(OFFSET(A$1,,,SUMPRODUCT(MAX(ROW(E$1:E3580)*(E2=E$1:E3580))))))</f>
        <v> </v>
      </c>
      <c r="K3581" s="25" t="str">
        <f>IF(OR(E3581="",E3581="!!!",F3581="NEW"),"",INDEX(J$1:J3580,SUMPRODUCT(MAX(ROW(E$1:E3580)*(E3581=E$1:E3580)))))</f>
        <v> </v>
      </c>
      <c r="L3581" s="26"/>
    </row>
    <row r="3582" spans="1:12">
      <c r="A3582" s="20" t="s">
        <v>92</v>
      </c>
      <c r="E3582" s="21">
        <f>IF(D3582="?OLD","!!!","")</f>
        <v/>
      </c>
      <c r="F3582" s="22" t="str">
        <f>IF(OR(E3582="",E3582="!!!"),"",IF(NOT(ISNA(VLOOKUP(E3582,E$1:E3581,1,FALSE()))),"OLD",IF(AND(E3582&lt;&gt;"",E3582&lt;&gt;"!!!"),"NEW","")))</f>
        <v> </v>
      </c>
      <c r="G3582" s="23" t="str">
        <f>IF(OR(E3582="",E3582="!!!"),"",IF(OR(J3582=0,AND(J3582=1,K3582=1),AND(J3582=1,I3582="SBJ"),AND(J3582=1,I3582=0)),"?IN_FOCUS",IF(J3582&lt;=2,"?ACTIVATED",IF(J3582&lt;&gt;"","?FAMILIAR",IF(F3582="NEW",IF(ISNA(VLOOKUP(E3582,#REF!,1,FALSE())),"?TYPE_IDENTIFIABLE","?REFERENTIAL"),"_")))))</f>
        <v> </v>
      </c>
      <c r="H3582" s="24" t="str">
        <f>IF(J3582&lt;&gt;1,"",IF(I3582="SBJ","CB","?"))</f>
        <v> </v>
      </c>
      <c r="I3582" s="25" t="str">
        <f>IF(OR(E3582="",E3582="!!!",F3582="NEW"),"",INDEX(B3581:B$2,-1+SUMPRODUCT(MAX(ROW(E3581:E$2)*(E3582=E3581:E$2)))))</f>
        <v> </v>
      </c>
      <c r="J3582" s="25" t="str">
        <f>IF(OR(E3582="",E3582="!!!",F3582="NEW"),"",COUNTBLANK(OFFSET(A$1,,,SUMPRODUCT(MAX(ROW(E$2:E3582)*(E3582=E$2:E3582)))))-COUNTBLANK(OFFSET(A$1,,,SUMPRODUCT(MAX(ROW(E$1:E3581)*(E2=E$1:E3581))))))</f>
        <v> </v>
      </c>
      <c r="K3582" s="25" t="str">
        <f>IF(OR(E3582="",E3582="!!!",F3582="NEW"),"",INDEX(J$1:J3581,SUMPRODUCT(MAX(ROW(E$1:E3581)*(E3582=E$1:E3581)))))</f>
        <v> </v>
      </c>
      <c r="L3582" s="26"/>
    </row>
    <row r="3583" spans="1:12">
      <c r="A3583" s="20" t="s">
        <v>793</v>
      </c>
      <c r="E3583" s="21">
        <f>IF(D3583="?OLD","!!!","")</f>
        <v/>
      </c>
      <c r="F3583" s="22" t="str">
        <f>IF(OR(E3583="",E3583="!!!"),"",IF(NOT(ISNA(VLOOKUP(E3583,E$1:E3582,1,FALSE()))),"OLD",IF(AND(E3583&lt;&gt;"",E3583&lt;&gt;"!!!"),"NEW","")))</f>
        <v> </v>
      </c>
      <c r="G3583" s="23" t="str">
        <f>IF(OR(E3583="",E3583="!!!"),"",IF(OR(J3583=0,AND(J3583=1,K3583=1),AND(J3583=1,I3583="SBJ"),AND(J3583=1,I3583=0)),"?IN_FOCUS",IF(J3583&lt;=2,"?ACTIVATED",IF(J3583&lt;&gt;"","?FAMILIAR",IF(F3583="NEW",IF(ISNA(VLOOKUP(E3583,#REF!,1,FALSE())),"?TYPE_IDENTIFIABLE","?REFERENTIAL"),"_")))))</f>
        <v> </v>
      </c>
      <c r="H3583" s="24" t="str">
        <f>IF(J3583&lt;&gt;1,"",IF(I3583="SBJ","CB","?"))</f>
        <v> </v>
      </c>
      <c r="I3583" s="25" t="str">
        <f>IF(OR(E3583="",E3583="!!!",F3583="NEW"),"",INDEX(B3582:B$2,-1+SUMPRODUCT(MAX(ROW(E3582:E$2)*(E3583=E3582:E$2)))))</f>
        <v> </v>
      </c>
      <c r="J3583" s="25" t="str">
        <f>IF(OR(E3583="",E3583="!!!",F3583="NEW"),"",COUNTBLANK(OFFSET(A$1,,,SUMPRODUCT(MAX(ROW(E$2:E3583)*(E3583=E$2:E3583)))))-COUNTBLANK(OFFSET(A$1,,,SUMPRODUCT(MAX(ROW(E$1:E3582)*(E2=E$1:E3582))))))</f>
        <v> </v>
      </c>
      <c r="K3583" s="25" t="str">
        <f>IF(OR(E3583="",E3583="!!!",F3583="NEW"),"",INDEX(J$1:J3582,SUMPRODUCT(MAX(ROW(E$1:E3582)*(E3583=E$1:E3582)))))</f>
        <v> </v>
      </c>
      <c r="L3583" s="26"/>
    </row>
    <row r="3584" spans="1:12">
      <c r="A3584" s="20" t="s">
        <v>827</v>
      </c>
      <c r="B3584" s="27" t="s">
        <v>956</v>
      </c>
      <c r="C3584" s="27" t="s">
        <v>797</v>
      </c>
      <c r="D3584" s="27" t="s">
        <v>762</v>
      </c>
      <c r="E3584" s="21">
        <f>IF(D3584="?OLD","!!!","")</f>
        <v/>
      </c>
      <c r="F3584" s="22" t="str">
        <f>IF(OR(E3584="",E3584="!!!"),"",IF(NOT(ISNA(VLOOKUP(E3584,E$1:E3583,1,FALSE()))),"OLD",IF(AND(E3584&lt;&gt;"",E3584&lt;&gt;"!!!"),"NEW","")))</f>
        <v> </v>
      </c>
      <c r="G3584" s="23" t="str">
        <f>IF(OR(E3584="",E3584="!!!"),"",IF(OR(J3584=0,AND(J3584=1,K3584=1),AND(J3584=1,I3584="SBJ"),AND(J3584=1,I3584=0)),"?IN_FOCUS",IF(J3584&lt;=2,"?ACTIVATED",IF(J3584&lt;&gt;"","?FAMILIAR",IF(F3584="NEW",IF(ISNA(VLOOKUP(E3584,#REF!,1,FALSE())),"?TYPE_IDENTIFIABLE","?REFERENTIAL"),"_")))))</f>
        <v> </v>
      </c>
      <c r="H3584" s="24" t="str">
        <f>IF(J3584&lt;&gt;1,"",IF(I3584="SBJ","CB","?"))</f>
        <v> </v>
      </c>
      <c r="I3584" s="25" t="str">
        <f>IF(OR(E3584="",E3584="!!!",F3584="NEW"),"",INDEX(B3583:B$2,-1+SUMPRODUCT(MAX(ROW(E3583:E$2)*(E3584=E3583:E$2)))))</f>
        <v> </v>
      </c>
      <c r="J3584" s="25" t="str">
        <f>IF(OR(E3584="",E3584="!!!",F3584="NEW"),"",COUNTBLANK(OFFSET(A$1,,,SUMPRODUCT(MAX(ROW(E$2:E3584)*(E3584=E$2:E3584)))))-COUNTBLANK(OFFSET(A$1,,,SUMPRODUCT(MAX(ROW(E$1:E3583)*(E2=E$1:E3583))))))</f>
        <v> </v>
      </c>
      <c r="K3584" s="25" t="str">
        <f>IF(OR(E3584="",E3584="!!!",F3584="NEW"),"",INDEX(J$1:J3583,SUMPRODUCT(MAX(ROW(E$1:E3583)*(E3584=E$1:E3583)))))</f>
        <v> </v>
      </c>
      <c r="L3584" s="26"/>
    </row>
    <row r="3585" spans="1:12">
      <c r="A3585" s="20" t="s">
        <v>1685</v>
      </c>
      <c r="E3585" s="21">
        <f>IF(D3585="?OLD","!!!","")</f>
        <v/>
      </c>
      <c r="F3585" s="22" t="str">
        <f>IF(OR(E3585="",E3585="!!!"),"",IF(NOT(ISNA(VLOOKUP(E3585,E$1:E3584,1,FALSE()))),"OLD",IF(AND(E3585&lt;&gt;"",E3585&lt;&gt;"!!!"),"NEW","")))</f>
        <v> </v>
      </c>
      <c r="G3585" s="23" t="str">
        <f>IF(OR(E3585="",E3585="!!!"),"",IF(OR(J3585=0,AND(J3585=1,K3585=1),AND(J3585=1,I3585="SBJ"),AND(J3585=1,I3585=0)),"?IN_FOCUS",IF(J3585&lt;=2,"?ACTIVATED",IF(J3585&lt;&gt;"","?FAMILIAR",IF(F3585="NEW",IF(ISNA(VLOOKUP(E3585,#REF!,1,FALSE())),"?TYPE_IDENTIFIABLE","?REFERENTIAL"),"_")))))</f>
        <v> </v>
      </c>
      <c r="H3585" s="24" t="str">
        <f>IF(J3585&lt;&gt;1,"",IF(I3585="SBJ","CB","?"))</f>
        <v> </v>
      </c>
      <c r="I3585" s="25" t="str">
        <f>IF(OR(E3585="",E3585="!!!",F3585="NEW"),"",INDEX(B3584:B$2,-1+SUMPRODUCT(MAX(ROW(E3584:E$2)*(E3585=E3584:E$2)))))</f>
        <v> </v>
      </c>
      <c r="J3585" s="25" t="str">
        <f>IF(OR(E3585="",E3585="!!!",F3585="NEW"),"",COUNTBLANK(OFFSET(A$1,,,SUMPRODUCT(MAX(ROW(E$2:E3585)*(E3585=E$2:E3585)))))-COUNTBLANK(OFFSET(A$1,,,SUMPRODUCT(MAX(ROW(E$1:E3584)*(E2=E$1:E3584))))))</f>
        <v> </v>
      </c>
      <c r="K3585" s="25" t="str">
        <f>IF(OR(E3585="",E3585="!!!",F3585="NEW"),"",INDEX(J$1:J3584,SUMPRODUCT(MAX(ROW(E$1:E3584)*(E3585=E$1:E3584)))))</f>
        <v> </v>
      </c>
      <c r="L3585" s="26"/>
    </row>
    <row r="3586" spans="1:12">
      <c r="A3586" s="20" t="s">
        <v>1593</v>
      </c>
      <c r="E3586" s="21">
        <f>IF(D3586="?OLD","!!!","")</f>
        <v/>
      </c>
      <c r="F3586" s="22" t="str">
        <f>IF(OR(E3586="",E3586="!!!"),"",IF(NOT(ISNA(VLOOKUP(E3586,E$1:E3585,1,FALSE()))),"OLD",IF(AND(E3586&lt;&gt;"",E3586&lt;&gt;"!!!"),"NEW","")))</f>
        <v> </v>
      </c>
      <c r="G3586" s="23" t="str">
        <f>IF(OR(E3586="",E3586="!!!"),"",IF(OR(J3586=0,AND(J3586=1,K3586=1),AND(J3586=1,I3586="SBJ"),AND(J3586=1,I3586=0)),"?IN_FOCUS",IF(J3586&lt;=2,"?ACTIVATED",IF(J3586&lt;&gt;"","?FAMILIAR",IF(F3586="NEW",IF(ISNA(VLOOKUP(E3586,#REF!,1,FALSE())),"?TYPE_IDENTIFIABLE","?REFERENTIAL"),"_")))))</f>
        <v> </v>
      </c>
      <c r="H3586" s="24" t="str">
        <f>IF(J3586&lt;&gt;1,"",IF(I3586="SBJ","CB","?"))</f>
        <v> </v>
      </c>
      <c r="I3586" s="25" t="str">
        <f>IF(OR(E3586="",E3586="!!!",F3586="NEW"),"",INDEX(B3585:B$2,-1+SUMPRODUCT(MAX(ROW(E3585:E$2)*(E3586=E3585:E$2)))))</f>
        <v> </v>
      </c>
      <c r="J3586" s="25" t="str">
        <f>IF(OR(E3586="",E3586="!!!",F3586="NEW"),"",COUNTBLANK(OFFSET(A$1,,,SUMPRODUCT(MAX(ROW(E$2:E3586)*(E3586=E$2:E3586)))))-COUNTBLANK(OFFSET(A$1,,,SUMPRODUCT(MAX(ROW(E$1:E3585)*(E2=E$1:E3585))))))</f>
        <v> </v>
      </c>
      <c r="K3586" s="25" t="str">
        <f>IF(OR(E3586="",E3586="!!!",F3586="NEW"),"",INDEX(J$1:J3585,SUMPRODUCT(MAX(ROW(E$1:E3585)*(E3586=E$1:E3585)))))</f>
        <v> </v>
      </c>
      <c r="L3586" s="26"/>
    </row>
    <row r="3587" spans="1:12">
      <c r="A3587" s="20" t="s">
        <v>838</v>
      </c>
      <c r="E3587" s="21">
        <f>IF(D3587="?OLD","!!!","")</f>
        <v/>
      </c>
      <c r="F3587" s="22" t="str">
        <f>IF(OR(E3587="",E3587="!!!"),"",IF(NOT(ISNA(VLOOKUP(E3587,E$1:E3586,1,FALSE()))),"OLD",IF(AND(E3587&lt;&gt;"",E3587&lt;&gt;"!!!"),"NEW","")))</f>
        <v> </v>
      </c>
      <c r="G3587" s="23" t="str">
        <f>IF(OR(E3587="",E3587="!!!"),"",IF(OR(J3587=0,AND(J3587=1,K3587=1),AND(J3587=1,I3587="SBJ"),AND(J3587=1,I3587=0)),"?IN_FOCUS",IF(J3587&lt;=2,"?ACTIVATED",IF(J3587&lt;&gt;"","?FAMILIAR",IF(F3587="NEW",IF(ISNA(VLOOKUP(E3587,#REF!,1,FALSE())),"?TYPE_IDENTIFIABLE","?REFERENTIAL"),"_")))))</f>
        <v> </v>
      </c>
      <c r="H3587" s="24" t="str">
        <f>IF(J3587&lt;&gt;1,"",IF(I3587="SBJ","CB","?"))</f>
        <v> </v>
      </c>
      <c r="I3587" s="25" t="str">
        <f>IF(OR(E3587="",E3587="!!!",F3587="NEW"),"",INDEX(B3586:B$2,-1+SUMPRODUCT(MAX(ROW(E3586:E$2)*(E3587=E3586:E$2)))))</f>
        <v> </v>
      </c>
      <c r="J3587" s="25" t="str">
        <f>IF(OR(E3587="",E3587="!!!",F3587="NEW"),"",COUNTBLANK(OFFSET(A$1,,,SUMPRODUCT(MAX(ROW(E$2:E3587)*(E3587=E$2:E3587)))))-COUNTBLANK(OFFSET(A$1,,,SUMPRODUCT(MAX(ROW(E$1:E3586)*(E2=E$1:E3586))))))</f>
        <v> </v>
      </c>
      <c r="K3587" s="25" t="str">
        <f>IF(OR(E3587="",E3587="!!!",F3587="NEW"),"",INDEX(J$1:J3586,SUMPRODUCT(MAX(ROW(E$1:E3586)*(E3587=E$1:E3586)))))</f>
        <v> </v>
      </c>
      <c r="L3587" s="26"/>
    </row>
    <row r="3588" spans="1:12">
      <c r="A3588" s="20" t="s">
        <v>952</v>
      </c>
      <c r="B3588" s="27" t="s">
        <v>894</v>
      </c>
      <c r="C3588" s="27" t="s">
        <v>761</v>
      </c>
      <c r="D3588" s="27" t="s">
        <v>762</v>
      </c>
      <c r="E3588" s="21">
        <f>IF(D3588="?OLD","!!!","")</f>
        <v/>
      </c>
      <c r="F3588" s="22" t="str">
        <f>IF(OR(E3588="",E3588="!!!"),"",IF(NOT(ISNA(VLOOKUP(E3588,E$1:E3587,1,FALSE()))),"OLD",IF(AND(E3588&lt;&gt;"",E3588&lt;&gt;"!!!"),"NEW","")))</f>
        <v> </v>
      </c>
      <c r="G3588" s="23" t="str">
        <f>IF(OR(E3588="",E3588="!!!"),"",IF(OR(J3588=0,AND(J3588=1,K3588=1),AND(J3588=1,I3588="SBJ"),AND(J3588=1,I3588=0)),"?IN_FOCUS",IF(J3588&lt;=2,"?ACTIVATED",IF(J3588&lt;&gt;"","?FAMILIAR",IF(F3588="NEW",IF(ISNA(VLOOKUP(E3588,#REF!,1,FALSE())),"?TYPE_IDENTIFIABLE","?REFERENTIAL"),"_")))))</f>
        <v> </v>
      </c>
      <c r="H3588" s="24" t="str">
        <f>IF(J3588&lt;&gt;1,"",IF(I3588="SBJ","CB","?"))</f>
        <v> </v>
      </c>
      <c r="I3588" s="25" t="str">
        <f>IF(OR(E3588="",E3588="!!!",F3588="NEW"),"",INDEX(B3587:B$2,-1+SUMPRODUCT(MAX(ROW(E3587:E$2)*(E3588=E3587:E$2)))))</f>
        <v> </v>
      </c>
      <c r="J3588" s="25" t="str">
        <f>IF(OR(E3588="",E3588="!!!",F3588="NEW"),"",COUNTBLANK(OFFSET(A$1,,,SUMPRODUCT(MAX(ROW(E$2:E3588)*(E3588=E$2:E3588)))))-COUNTBLANK(OFFSET(A$1,,,SUMPRODUCT(MAX(ROW(E$1:E3587)*(E2=E$1:E3587))))))</f>
        <v> </v>
      </c>
      <c r="K3588" s="25" t="str">
        <f>IF(OR(E3588="",E3588="!!!",F3588="NEW"),"",INDEX(J$1:J3587,SUMPRODUCT(MAX(ROW(E$1:E3587)*(E3588=E$1:E3587)))))</f>
        <v> </v>
      </c>
      <c r="L3588" s="26"/>
    </row>
    <row r="3589" spans="1:12">
      <c r="A3589" s="20" t="s">
        <v>793</v>
      </c>
      <c r="B3589" s="27" t="s">
        <v>1076</v>
      </c>
      <c r="E3589" s="21">
        <f>IF(D3589="?OLD","!!!","")</f>
        <v/>
      </c>
      <c r="F3589" s="22" t="str">
        <f>IF(OR(E3589="",E3589="!!!"),"",IF(NOT(ISNA(VLOOKUP(E3589,E$1:E3588,1,FALSE()))),"OLD",IF(AND(E3589&lt;&gt;"",E3589&lt;&gt;"!!!"),"NEW","")))</f>
        <v> </v>
      </c>
      <c r="G3589" s="23" t="str">
        <f>IF(OR(E3589="",E3589="!!!"),"",IF(OR(J3589=0,AND(J3589=1,K3589=1),AND(J3589=1,I3589="SBJ"),AND(J3589=1,I3589=0)),"?IN_FOCUS",IF(J3589&lt;=2,"?ACTIVATED",IF(J3589&lt;&gt;"","?FAMILIAR",IF(F3589="NEW",IF(ISNA(VLOOKUP(E3589,#REF!,1,FALSE())),"?TYPE_IDENTIFIABLE","?REFERENTIAL"),"_")))))</f>
        <v> </v>
      </c>
      <c r="H3589" s="24" t="str">
        <f>IF(J3589&lt;&gt;1,"",IF(I3589="SBJ","CB","?"))</f>
        <v> </v>
      </c>
      <c r="I3589" s="25" t="str">
        <f>IF(OR(E3589="",E3589="!!!",F3589="NEW"),"",INDEX(B3588:B$2,-1+SUMPRODUCT(MAX(ROW(E3588:E$2)*(E3589=E3588:E$2)))))</f>
        <v> </v>
      </c>
      <c r="J3589" s="25" t="str">
        <f>IF(OR(E3589="",E3589="!!!",F3589="NEW"),"",COUNTBLANK(OFFSET(A$1,,,SUMPRODUCT(MAX(ROW(E$2:E3589)*(E3589=E$2:E3589)))))-COUNTBLANK(OFFSET(A$1,,,SUMPRODUCT(MAX(ROW(E$1:E3588)*(E2=E$1:E3588))))))</f>
        <v> </v>
      </c>
      <c r="K3589" s="25" t="str">
        <f>IF(OR(E3589="",E3589="!!!",F3589="NEW"),"",INDEX(J$1:J3588,SUMPRODUCT(MAX(ROW(E$1:E3588)*(E3589=E$1:E3588)))))</f>
        <v> </v>
      </c>
      <c r="L3589" s="26"/>
    </row>
    <row r="3590" spans="1:12">
      <c r="A3590" s="20" t="s">
        <v>827</v>
      </c>
      <c r="B3590" s="27" t="s">
        <v>1272</v>
      </c>
      <c r="C3590" s="27" t="s">
        <v>797</v>
      </c>
      <c r="D3590" s="27" t="s">
        <v>762</v>
      </c>
      <c r="E3590" s="21">
        <f>IF(D3590="?OLD","!!!","")</f>
        <v/>
      </c>
      <c r="F3590" s="22" t="str">
        <f>IF(OR(E3590="",E3590="!!!"),"",IF(NOT(ISNA(VLOOKUP(E3590,E$1:E3589,1,FALSE()))),"OLD",IF(AND(E3590&lt;&gt;"",E3590&lt;&gt;"!!!"),"NEW","")))</f>
        <v> </v>
      </c>
      <c r="G3590" s="23" t="str">
        <f>IF(OR(E3590="",E3590="!!!"),"",IF(OR(J3590=0,AND(J3590=1,K3590=1),AND(J3590=1,I3590="SBJ"),AND(J3590=1,I3590=0)),"?IN_FOCUS",IF(J3590&lt;=2,"?ACTIVATED",IF(J3590&lt;&gt;"","?FAMILIAR",IF(F3590="NEW",IF(ISNA(VLOOKUP(E3590,#REF!,1,FALSE())),"?TYPE_IDENTIFIABLE","?REFERENTIAL"),"_")))))</f>
        <v> </v>
      </c>
      <c r="H3590" s="24" t="str">
        <f>IF(J3590&lt;&gt;1,"",IF(I3590="SBJ","CB","?"))</f>
        <v> </v>
      </c>
      <c r="I3590" s="25" t="str">
        <f>IF(OR(E3590="",E3590="!!!",F3590="NEW"),"",INDEX(B3589:B$2,-1+SUMPRODUCT(MAX(ROW(E3589:E$2)*(E3590=E3589:E$2)))))</f>
        <v> </v>
      </c>
      <c r="J3590" s="25" t="str">
        <f>IF(OR(E3590="",E3590="!!!",F3590="NEW"),"",COUNTBLANK(OFFSET(A$1,,,SUMPRODUCT(MAX(ROW(E$2:E3590)*(E3590=E$2:E3590)))))-COUNTBLANK(OFFSET(A$1,,,SUMPRODUCT(MAX(ROW(E$1:E3589)*(E2=E$1:E3589))))))</f>
        <v> </v>
      </c>
      <c r="K3590" s="25" t="str">
        <f>IF(OR(E3590="",E3590="!!!",F3590="NEW"),"",INDEX(J$1:J3589,SUMPRODUCT(MAX(ROW(E$1:E3589)*(E3590=E$1:E3589)))))</f>
        <v> </v>
      </c>
      <c r="L3590" s="26"/>
    </row>
    <row r="3591" spans="1:12">
      <c r="A3591" s="20" t="s">
        <v>909</v>
      </c>
      <c r="E3591" s="21">
        <f>IF(D3591="?OLD","!!!","")</f>
        <v/>
      </c>
      <c r="F3591" s="22" t="str">
        <f>IF(OR(E3591="",E3591="!!!"),"",IF(NOT(ISNA(VLOOKUP(E3591,E$1:E3590,1,FALSE()))),"OLD",IF(AND(E3591&lt;&gt;"",E3591&lt;&gt;"!!!"),"NEW","")))</f>
        <v> </v>
      </c>
      <c r="G3591" s="23" t="str">
        <f>IF(OR(E3591="",E3591="!!!"),"",IF(OR(J3591=0,AND(J3591=1,K3591=1),AND(J3591=1,I3591="SBJ"),AND(J3591=1,I3591=0)),"?IN_FOCUS",IF(J3591&lt;=2,"?ACTIVATED",IF(J3591&lt;&gt;"","?FAMILIAR",IF(F3591="NEW",IF(ISNA(VLOOKUP(E3591,#REF!,1,FALSE())),"?TYPE_IDENTIFIABLE","?REFERENTIAL"),"_")))))</f>
        <v> </v>
      </c>
      <c r="H3591" s="24" t="str">
        <f>IF(J3591&lt;&gt;1,"",IF(I3591="SBJ","CB","?"))</f>
        <v> </v>
      </c>
      <c r="I3591" s="25" t="str">
        <f>IF(OR(E3591="",E3591="!!!",F3591="NEW"),"",INDEX(B3590:B$2,-1+SUMPRODUCT(MAX(ROW(E3590:E$2)*(E3591=E3590:E$2)))))</f>
        <v> </v>
      </c>
      <c r="J3591" s="25" t="str">
        <f>IF(OR(E3591="",E3591="!!!",F3591="NEW"),"",COUNTBLANK(OFFSET(A$1,,,SUMPRODUCT(MAX(ROW(E$2:E3591)*(E3591=E$2:E3591)))))-COUNTBLANK(OFFSET(A$1,,,SUMPRODUCT(MAX(ROW(E$1:E3590)*(E2=E$1:E3590))))))</f>
        <v> </v>
      </c>
      <c r="K3591" s="25" t="str">
        <f>IF(OR(E3591="",E3591="!!!",F3591="NEW"),"",INDEX(J$1:J3590,SUMPRODUCT(MAX(ROW(E$1:E3590)*(E3591=E$1:E3590)))))</f>
        <v> </v>
      </c>
      <c r="L3591" s="26"/>
    </row>
    <row r="3592" spans="1:12">
      <c r="A3592" s="20" t="s">
        <v>1813</v>
      </c>
      <c r="E3592" s="21">
        <f>IF(D3592="?OLD","!!!","")</f>
        <v/>
      </c>
      <c r="F3592" s="22" t="str">
        <f>IF(OR(E3592="",E3592="!!!"),"",IF(NOT(ISNA(VLOOKUP(E3592,E$1:E3591,1,FALSE()))),"OLD",IF(AND(E3592&lt;&gt;"",E3592&lt;&gt;"!!!"),"NEW","")))</f>
        <v> </v>
      </c>
      <c r="G3592" s="23" t="str">
        <f>IF(OR(E3592="",E3592="!!!"),"",IF(OR(J3592=0,AND(J3592=1,K3592=1),AND(J3592=1,I3592="SBJ"),AND(J3592=1,I3592=0)),"?IN_FOCUS",IF(J3592&lt;=2,"?ACTIVATED",IF(J3592&lt;&gt;"","?FAMILIAR",IF(F3592="NEW",IF(ISNA(VLOOKUP(E3592,#REF!,1,FALSE())),"?TYPE_IDENTIFIABLE","?REFERENTIAL"),"_")))))</f>
        <v> </v>
      </c>
      <c r="H3592" s="24" t="str">
        <f>IF(J3592&lt;&gt;1,"",IF(I3592="SBJ","CB","?"))</f>
        <v> </v>
      </c>
      <c r="I3592" s="25" t="str">
        <f>IF(OR(E3592="",E3592="!!!",F3592="NEW"),"",INDEX(B3591:B$2,-1+SUMPRODUCT(MAX(ROW(E3591:E$2)*(E3592=E3591:E$2)))))</f>
        <v> </v>
      </c>
      <c r="J3592" s="25" t="str">
        <f>IF(OR(E3592="",E3592="!!!",F3592="NEW"),"",COUNTBLANK(OFFSET(A$1,,,SUMPRODUCT(MAX(ROW(E$2:E3592)*(E3592=E$2:E3592)))))-COUNTBLANK(OFFSET(A$1,,,SUMPRODUCT(MAX(ROW(E$1:E3591)*(E2=E$1:E3591))))))</f>
        <v> </v>
      </c>
      <c r="K3592" s="25" t="str">
        <f>IF(OR(E3592="",E3592="!!!",F3592="NEW"),"",INDEX(J$1:J3591,SUMPRODUCT(MAX(ROW(E$1:E3591)*(E3592=E$1:E3591)))))</f>
        <v> </v>
      </c>
      <c r="L3592" s="26"/>
    </row>
    <row r="3593" spans="1:12">
      <c r="A3593" s="20" t="s">
        <v>793</v>
      </c>
      <c r="E3593" s="21">
        <f>IF(D3593="?OLD","!!!","")</f>
        <v/>
      </c>
      <c r="F3593" s="22" t="str">
        <f>IF(OR(E3593="",E3593="!!!"),"",IF(NOT(ISNA(VLOOKUP(E3593,E$1:E3592,1,FALSE()))),"OLD",IF(AND(E3593&lt;&gt;"",E3593&lt;&gt;"!!!"),"NEW","")))</f>
        <v> </v>
      </c>
      <c r="G3593" s="23" t="str">
        <f>IF(OR(E3593="",E3593="!!!"),"",IF(OR(J3593=0,AND(J3593=1,K3593=1),AND(J3593=1,I3593="SBJ"),AND(J3593=1,I3593=0)),"?IN_FOCUS",IF(J3593&lt;=2,"?ACTIVATED",IF(J3593&lt;&gt;"","?FAMILIAR",IF(F3593="NEW",IF(ISNA(VLOOKUP(E3593,#REF!,1,FALSE())),"?TYPE_IDENTIFIABLE","?REFERENTIAL"),"_")))))</f>
        <v> </v>
      </c>
      <c r="H3593" s="24" t="str">
        <f>IF(J3593&lt;&gt;1,"",IF(I3593="SBJ","CB","?"))</f>
        <v> </v>
      </c>
      <c r="I3593" s="25" t="str">
        <f>IF(OR(E3593="",E3593="!!!",F3593="NEW"),"",INDEX(B3592:B$2,-1+SUMPRODUCT(MAX(ROW(E3592:E$2)*(E3593=E3592:E$2)))))</f>
        <v> </v>
      </c>
      <c r="J3593" s="25" t="str">
        <f>IF(OR(E3593="",E3593="!!!",F3593="NEW"),"",COUNTBLANK(OFFSET(A$1,,,SUMPRODUCT(MAX(ROW(E$2:E3593)*(E3593=E$2:E3593)))))-COUNTBLANK(OFFSET(A$1,,,SUMPRODUCT(MAX(ROW(E$1:E3592)*(E2=E$1:E3592))))))</f>
        <v> </v>
      </c>
      <c r="K3593" s="25" t="str">
        <f>IF(OR(E3593="",E3593="!!!",F3593="NEW"),"",INDEX(J$1:J3592,SUMPRODUCT(MAX(ROW(E$1:E3592)*(E3593=E$1:E3592)))))</f>
        <v> </v>
      </c>
      <c r="L3593" s="26"/>
    </row>
    <row r="3594" spans="1:12">
      <c r="A3594" s="20" t="s">
        <v>869</v>
      </c>
      <c r="B3594" s="27" t="s">
        <v>1080</v>
      </c>
      <c r="C3594" s="27" t="s">
        <v>797</v>
      </c>
      <c r="D3594" s="27" t="s">
        <v>762</v>
      </c>
      <c r="E3594" s="21">
        <f>IF(D3594="?OLD","!!!","")</f>
        <v/>
      </c>
      <c r="F3594" s="22" t="str">
        <f>IF(OR(E3594="",E3594="!!!"),"",IF(NOT(ISNA(VLOOKUP(E3594,E$1:E3593,1,FALSE()))),"OLD",IF(AND(E3594&lt;&gt;"",E3594&lt;&gt;"!!!"),"NEW","")))</f>
        <v> </v>
      </c>
      <c r="G3594" s="23" t="str">
        <f>IF(OR(E3594="",E3594="!!!"),"",IF(OR(J3594=0,AND(J3594=1,K3594=1),AND(J3594=1,I3594="SBJ"),AND(J3594=1,I3594=0)),"?IN_FOCUS",IF(J3594&lt;=2,"?ACTIVATED",IF(J3594&lt;&gt;"","?FAMILIAR",IF(F3594="NEW",IF(ISNA(VLOOKUP(E3594,#REF!,1,FALSE())),"?TYPE_IDENTIFIABLE","?REFERENTIAL"),"_")))))</f>
        <v> </v>
      </c>
      <c r="H3594" s="24" t="str">
        <f>IF(J3594&lt;&gt;1,"",IF(I3594="SBJ","CB","?"))</f>
        <v> </v>
      </c>
      <c r="I3594" s="25" t="str">
        <f>IF(OR(E3594="",E3594="!!!",F3594="NEW"),"",INDEX(B3593:B$2,-1+SUMPRODUCT(MAX(ROW(E3593:E$2)*(E3594=E3593:E$2)))))</f>
        <v> </v>
      </c>
      <c r="J3594" s="25" t="str">
        <f>IF(OR(E3594="",E3594="!!!",F3594="NEW"),"",COUNTBLANK(OFFSET(A$1,,,SUMPRODUCT(MAX(ROW(E$2:E3594)*(E3594=E$2:E3594)))))-COUNTBLANK(OFFSET(A$1,,,SUMPRODUCT(MAX(ROW(E$1:E3593)*(E2=E$1:E3593))))))</f>
        <v> </v>
      </c>
      <c r="K3594" s="25" t="str">
        <f>IF(OR(E3594="",E3594="!!!",F3594="NEW"),"",INDEX(J$1:J3593,SUMPRODUCT(MAX(ROW(E$1:E3593)*(E3594=E$1:E3593)))))</f>
        <v> </v>
      </c>
      <c r="L3594" s="26"/>
    </row>
    <row r="3595" spans="1:12">
      <c r="A3595" s="20" t="s">
        <v>798</v>
      </c>
      <c r="E3595" s="21">
        <f>IF(D3595="?OLD","!!!","")</f>
        <v/>
      </c>
      <c r="F3595" s="22" t="str">
        <f>IF(OR(E3595="",E3595="!!!"),"",IF(NOT(ISNA(VLOOKUP(E3595,E$1:E3594,1,FALSE()))),"OLD",IF(AND(E3595&lt;&gt;"",E3595&lt;&gt;"!!!"),"NEW","")))</f>
        <v> </v>
      </c>
      <c r="G3595" s="23" t="str">
        <f>IF(OR(E3595="",E3595="!!!"),"",IF(OR(J3595=0,AND(J3595=1,K3595=1),AND(J3595=1,I3595="SBJ"),AND(J3595=1,I3595=0)),"?IN_FOCUS",IF(J3595&lt;=2,"?ACTIVATED",IF(J3595&lt;&gt;"","?FAMILIAR",IF(F3595="NEW",IF(ISNA(VLOOKUP(E3595,#REF!,1,FALSE())),"?TYPE_IDENTIFIABLE","?REFERENTIAL"),"_")))))</f>
        <v> </v>
      </c>
      <c r="H3595" s="24" t="str">
        <f>IF(J3595&lt;&gt;1,"",IF(I3595="SBJ","CB","?"))</f>
        <v> </v>
      </c>
      <c r="I3595" s="25" t="str">
        <f>IF(OR(E3595="",E3595="!!!",F3595="NEW"),"",INDEX(B3594:B$2,-1+SUMPRODUCT(MAX(ROW(E3594:E$2)*(E3595=E3594:E$2)))))</f>
        <v> </v>
      </c>
      <c r="J3595" s="25" t="str">
        <f>IF(OR(E3595="",E3595="!!!",F3595="NEW"),"",COUNTBLANK(OFFSET(A$1,,,SUMPRODUCT(MAX(ROW(E$2:E3595)*(E3595=E$2:E3595)))))-COUNTBLANK(OFFSET(A$1,,,SUMPRODUCT(MAX(ROW(E$1:E3594)*(E2=E$1:E3594))))))</f>
        <v> </v>
      </c>
      <c r="K3595" s="25" t="str">
        <f>IF(OR(E3595="",E3595="!!!",F3595="NEW"),"",INDEX(J$1:J3594,SUMPRODUCT(MAX(ROW(E$1:E3594)*(E3595=E$1:E3594)))))</f>
        <v> </v>
      </c>
      <c r="L3595" s="26"/>
    </row>
    <row r="3596" spans="1:12">
      <c r="A3596" s="20" t="s">
        <v>992</v>
      </c>
      <c r="E3596" s="21">
        <f>IF(D3596="?OLD","!!!","")</f>
        <v/>
      </c>
      <c r="F3596" s="22" t="str">
        <f>IF(OR(E3596="",E3596="!!!"),"",IF(NOT(ISNA(VLOOKUP(E3596,E$1:E3595,1,FALSE()))),"OLD",IF(AND(E3596&lt;&gt;"",E3596&lt;&gt;"!!!"),"NEW","")))</f>
        <v> </v>
      </c>
      <c r="G3596" s="23" t="str">
        <f>IF(OR(E3596="",E3596="!!!"),"",IF(OR(J3596=0,AND(J3596=1,K3596=1),AND(J3596=1,I3596="SBJ"),AND(J3596=1,I3596=0)),"?IN_FOCUS",IF(J3596&lt;=2,"?ACTIVATED",IF(J3596&lt;&gt;"","?FAMILIAR",IF(F3596="NEW",IF(ISNA(VLOOKUP(E3596,#REF!,1,FALSE())),"?TYPE_IDENTIFIABLE","?REFERENTIAL"),"_")))))</f>
        <v> </v>
      </c>
      <c r="H3596" s="24" t="str">
        <f>IF(J3596&lt;&gt;1,"",IF(I3596="SBJ","CB","?"))</f>
        <v> </v>
      </c>
      <c r="I3596" s="25" t="str">
        <f>IF(OR(E3596="",E3596="!!!",F3596="NEW"),"",INDEX(B3595:B$2,-1+SUMPRODUCT(MAX(ROW(E3595:E$2)*(E3596=E3595:E$2)))))</f>
        <v> </v>
      </c>
      <c r="J3596" s="25" t="str">
        <f>IF(OR(E3596="",E3596="!!!",F3596="NEW"),"",COUNTBLANK(OFFSET(A$1,,,SUMPRODUCT(MAX(ROW(E$2:E3596)*(E3596=E$2:E3596)))))-COUNTBLANK(OFFSET(A$1,,,SUMPRODUCT(MAX(ROW(E$1:E3595)*(E2=E$1:E3595))))))</f>
        <v> </v>
      </c>
      <c r="K3596" s="25" t="str">
        <f>IF(OR(E3596="",E3596="!!!",F3596="NEW"),"",INDEX(J$1:J3595,SUMPRODUCT(MAX(ROW(E$1:E3595)*(E3596=E$1:E3595)))))</f>
        <v> </v>
      </c>
      <c r="L3596" s="26"/>
    </row>
    <row r="3597" spans="1:12">
      <c r="A3597" s="20" t="s">
        <v>804</v>
      </c>
      <c r="E3597" s="21">
        <f>IF(D3597="?OLD","!!!","")</f>
        <v/>
      </c>
      <c r="F3597" s="22" t="str">
        <f>IF(OR(E3597="",E3597="!!!"),"",IF(NOT(ISNA(VLOOKUP(E3597,E$1:E3596,1,FALSE()))),"OLD",IF(AND(E3597&lt;&gt;"",E3597&lt;&gt;"!!!"),"NEW","")))</f>
        <v> </v>
      </c>
      <c r="G3597" s="23" t="str">
        <f>IF(OR(E3597="",E3597="!!!"),"",IF(OR(J3597=0,AND(J3597=1,K3597=1),AND(J3597=1,I3597="SBJ"),AND(J3597=1,I3597=0)),"?IN_FOCUS",IF(J3597&lt;=2,"?ACTIVATED",IF(J3597&lt;&gt;"","?FAMILIAR",IF(F3597="NEW",IF(ISNA(VLOOKUP(E3597,#REF!,1,FALSE())),"?TYPE_IDENTIFIABLE","?REFERENTIAL"),"_")))))</f>
        <v> </v>
      </c>
      <c r="H3597" s="24" t="str">
        <f>IF(J3597&lt;&gt;1,"",IF(I3597="SBJ","CB","?"))</f>
        <v> </v>
      </c>
      <c r="I3597" s="25" t="str">
        <f>IF(OR(E3597="",E3597="!!!",F3597="NEW"),"",INDEX(B3596:B$2,-1+SUMPRODUCT(MAX(ROW(E3596:E$2)*(E3597=E3596:E$2)))))</f>
        <v> </v>
      </c>
      <c r="J3597" s="25" t="str">
        <f>IF(OR(E3597="",E3597="!!!",F3597="NEW"),"",COUNTBLANK(OFFSET(A$1,,,SUMPRODUCT(MAX(ROW(E$2:E3597)*(E3597=E$2:E3597)))))-COUNTBLANK(OFFSET(A$1,,,SUMPRODUCT(MAX(ROW(E$1:E3596)*(E2=E$1:E3596))))))</f>
        <v> </v>
      </c>
      <c r="K3597" s="25" t="str">
        <f>IF(OR(E3597="",E3597="!!!",F3597="NEW"),"",INDEX(J$1:J3596,SUMPRODUCT(MAX(ROW(E$1:E3596)*(E3597=E$1:E3596)))))</f>
        <v> </v>
      </c>
      <c r="L3597" s="26"/>
    </row>
    <row r="3598" spans="1:12">
      <c r="A3598" s="20" t="s">
        <v>1814</v>
      </c>
      <c r="E3598" s="21">
        <f>IF(D3598="?OLD","!!!","")</f>
        <v/>
      </c>
      <c r="F3598" s="22" t="str">
        <f>IF(OR(E3598="",E3598="!!!"),"",IF(NOT(ISNA(VLOOKUP(E3598,E$1:E3597,1,FALSE()))),"OLD",IF(AND(E3598&lt;&gt;"",E3598&lt;&gt;"!!!"),"NEW","")))</f>
        <v> </v>
      </c>
      <c r="G3598" s="23" t="str">
        <f>IF(OR(E3598="",E3598="!!!"),"",IF(OR(J3598=0,AND(J3598=1,K3598=1),AND(J3598=1,I3598="SBJ"),AND(J3598=1,I3598=0)),"?IN_FOCUS",IF(J3598&lt;=2,"?ACTIVATED",IF(J3598&lt;&gt;"","?FAMILIAR",IF(F3598="NEW",IF(ISNA(VLOOKUP(E3598,#REF!,1,FALSE())),"?TYPE_IDENTIFIABLE","?REFERENTIAL"),"_")))))</f>
        <v> </v>
      </c>
      <c r="H3598" s="24" t="str">
        <f>IF(J3598&lt;&gt;1,"",IF(I3598="SBJ","CB","?"))</f>
        <v> </v>
      </c>
      <c r="I3598" s="25" t="str">
        <f>IF(OR(E3598="",E3598="!!!",F3598="NEW"),"",INDEX(B3597:B$2,-1+SUMPRODUCT(MAX(ROW(E3597:E$2)*(E3598=E3597:E$2)))))</f>
        <v> </v>
      </c>
      <c r="J3598" s="25" t="str">
        <f>IF(OR(E3598="",E3598="!!!",F3598="NEW"),"",COUNTBLANK(OFFSET(A$1,,,SUMPRODUCT(MAX(ROW(E$2:E3598)*(E3598=E$2:E3598)))))-COUNTBLANK(OFFSET(A$1,,,SUMPRODUCT(MAX(ROW(E$1:E3597)*(E2=E$1:E3597))))))</f>
        <v> </v>
      </c>
      <c r="K3598" s="25" t="str">
        <f>IF(OR(E3598="",E3598="!!!",F3598="NEW"),"",INDEX(J$1:J3597,SUMPRODUCT(MAX(ROW(E$1:E3597)*(E3598=E$1:E3597)))))</f>
        <v> </v>
      </c>
      <c r="L3598" s="26"/>
    </row>
    <row r="3599" spans="1:12">
      <c r="A3599" s="20" t="s">
        <v>764</v>
      </c>
      <c r="E3599" s="21">
        <f>IF(D3599="?OLD","!!!","")</f>
        <v/>
      </c>
      <c r="F3599" s="22" t="str">
        <f>IF(OR(E3599="",E3599="!!!"),"",IF(NOT(ISNA(VLOOKUP(E3599,E$1:E3598,1,FALSE()))),"OLD",IF(AND(E3599&lt;&gt;"",E3599&lt;&gt;"!!!"),"NEW","")))</f>
        <v> </v>
      </c>
      <c r="G3599" s="23" t="str">
        <f>IF(OR(E3599="",E3599="!!!"),"",IF(OR(J3599=0,AND(J3599=1,K3599=1),AND(J3599=1,I3599="SBJ"),AND(J3599=1,I3599=0)),"?IN_FOCUS",IF(J3599&lt;=2,"?ACTIVATED",IF(J3599&lt;&gt;"","?FAMILIAR",IF(F3599="NEW",IF(ISNA(VLOOKUP(E3599,#REF!,1,FALSE())),"?TYPE_IDENTIFIABLE","?REFERENTIAL"),"_")))))</f>
        <v> </v>
      </c>
      <c r="H3599" s="24" t="str">
        <f>IF(J3599&lt;&gt;1,"",IF(I3599="SBJ","CB","?"))</f>
        <v> </v>
      </c>
      <c r="I3599" s="25" t="str">
        <f>IF(OR(E3599="",E3599="!!!",F3599="NEW"),"",INDEX(B3598:B$2,-1+SUMPRODUCT(MAX(ROW(E3598:E$2)*(E3599=E3598:E$2)))))</f>
        <v> </v>
      </c>
      <c r="J3599" s="25" t="str">
        <f>IF(OR(E3599="",E3599="!!!",F3599="NEW"),"",COUNTBLANK(OFFSET(A$1,,,SUMPRODUCT(MAX(ROW(E$2:E3599)*(E3599=E$2:E3599)))))-COUNTBLANK(OFFSET(A$1,,,SUMPRODUCT(MAX(ROW(E$1:E3598)*(E2=E$1:E3598))))))</f>
        <v> </v>
      </c>
      <c r="K3599" s="25" t="str">
        <f>IF(OR(E3599="",E3599="!!!",F3599="NEW"),"",INDEX(J$1:J3598,SUMPRODUCT(MAX(ROW(E$1:E3598)*(E3599=E$1:E3598)))))</f>
        <v> </v>
      </c>
      <c r="L3599" s="26"/>
    </row>
    <row r="3600" spans="1:12">
      <c r="A3600" s="20" t="s">
        <v>789</v>
      </c>
      <c r="B3600" s="27" t="s">
        <v>1131</v>
      </c>
      <c r="C3600" s="27" t="s">
        <v>768</v>
      </c>
      <c r="E3600" s="21">
        <f>IF(D3600="?OLD","!!!","")</f>
        <v/>
      </c>
      <c r="F3600" s="22" t="str">
        <f>IF(OR(E3600="",E3600="!!!"),"",IF(NOT(ISNA(VLOOKUP(E3600,E$1:E3599,1,FALSE()))),"OLD",IF(AND(E3600&lt;&gt;"",E3600&lt;&gt;"!!!"),"NEW","")))</f>
        <v> </v>
      </c>
      <c r="G3600" s="23" t="str">
        <f>IF(OR(E3600="",E3600="!!!"),"",IF(OR(J3600=0,AND(J3600=1,K3600=1),AND(J3600=1,I3600="SBJ"),AND(J3600=1,I3600=0)),"?IN_FOCUS",IF(J3600&lt;=2,"?ACTIVATED",IF(J3600&lt;&gt;"","?FAMILIAR",IF(F3600="NEW",IF(ISNA(VLOOKUP(E3600,#REF!,1,FALSE())),"?TYPE_IDENTIFIABLE","?REFERENTIAL"),"_")))))</f>
        <v> </v>
      </c>
      <c r="H3600" s="24" t="str">
        <f>IF(J3600&lt;&gt;1,"",IF(I3600="SBJ","CB","?"))</f>
        <v> </v>
      </c>
      <c r="I3600" s="25" t="str">
        <f>IF(OR(E3600="",E3600="!!!",F3600="NEW"),"",INDEX(B3599:B$2,-1+SUMPRODUCT(MAX(ROW(E3599:E$2)*(E3600=E3599:E$2)))))</f>
        <v> </v>
      </c>
      <c r="J3600" s="25" t="str">
        <f>IF(OR(E3600="",E3600="!!!",F3600="NEW"),"",COUNTBLANK(OFFSET(A$1,,,SUMPRODUCT(MAX(ROW(E$2:E3600)*(E3600=E$2:E3600)))))-COUNTBLANK(OFFSET(A$1,,,SUMPRODUCT(MAX(ROW(E$1:E3599)*(E2=E$1:E3599))))))</f>
        <v> </v>
      </c>
      <c r="K3600" s="25" t="str">
        <f>IF(OR(E3600="",E3600="!!!",F3600="NEW"),"",INDEX(J$1:J3599,SUMPRODUCT(MAX(ROW(E$1:E3599)*(E3600=E$1:E3599)))))</f>
        <v> </v>
      </c>
      <c r="L3600" s="26"/>
    </row>
    <row r="3601" spans="1:12">
      <c r="A3601" s="20" t="s">
        <v>1815</v>
      </c>
      <c r="E3601" s="21">
        <f>IF(D3601="?OLD","!!!","")</f>
        <v/>
      </c>
      <c r="F3601" s="22" t="str">
        <f>IF(OR(E3601="",E3601="!!!"),"",IF(NOT(ISNA(VLOOKUP(E3601,E$1:E3600,1,FALSE()))),"OLD",IF(AND(E3601&lt;&gt;"",E3601&lt;&gt;"!!!"),"NEW","")))</f>
        <v> </v>
      </c>
      <c r="G3601" s="23" t="str">
        <f>IF(OR(E3601="",E3601="!!!"),"",IF(OR(J3601=0,AND(J3601=1,K3601=1),AND(J3601=1,I3601="SBJ"),AND(J3601=1,I3601=0)),"?IN_FOCUS",IF(J3601&lt;=2,"?ACTIVATED",IF(J3601&lt;&gt;"","?FAMILIAR",IF(F3601="NEW",IF(ISNA(VLOOKUP(E3601,#REF!,1,FALSE())),"?TYPE_IDENTIFIABLE","?REFERENTIAL"),"_")))))</f>
        <v> </v>
      </c>
      <c r="H3601" s="24" t="str">
        <f>IF(J3601&lt;&gt;1,"",IF(I3601="SBJ","CB","?"))</f>
        <v> </v>
      </c>
      <c r="I3601" s="25" t="str">
        <f>IF(OR(E3601="",E3601="!!!",F3601="NEW"),"",INDEX(B3600:B$2,-1+SUMPRODUCT(MAX(ROW(E3600:E$2)*(E3601=E3600:E$2)))))</f>
        <v> </v>
      </c>
      <c r="J3601" s="25" t="str">
        <f>IF(OR(E3601="",E3601="!!!",F3601="NEW"),"",COUNTBLANK(OFFSET(A$1,,,SUMPRODUCT(MAX(ROW(E$2:E3601)*(E3601=E$2:E3601)))))-COUNTBLANK(OFFSET(A$1,,,SUMPRODUCT(MAX(ROW(E$1:E3600)*(E2=E$1:E3600))))))</f>
        <v> </v>
      </c>
      <c r="K3601" s="25" t="str">
        <f>IF(OR(E3601="",E3601="!!!",F3601="NEW"),"",INDEX(J$1:J3600,SUMPRODUCT(MAX(ROW(E$1:E3600)*(E3601=E$1:E3600)))))</f>
        <v> </v>
      </c>
      <c r="L3601" s="26"/>
    </row>
    <row r="3602" spans="1:12">
      <c r="A3602" s="20" t="s">
        <v>1029</v>
      </c>
      <c r="B3602" s="27" t="s">
        <v>1127</v>
      </c>
      <c r="C3602" s="27" t="s">
        <v>820</v>
      </c>
      <c r="D3602" s="27" t="s">
        <v>762</v>
      </c>
      <c r="E3602" s="21">
        <f>IF(D3602="?OLD","!!!","")</f>
        <v/>
      </c>
      <c r="F3602" s="22" t="str">
        <f>IF(OR(E3602="",E3602="!!!"),"",IF(NOT(ISNA(VLOOKUP(E3602,E$1:E3601,1,FALSE()))),"OLD",IF(AND(E3602&lt;&gt;"",E3602&lt;&gt;"!!!"),"NEW","")))</f>
        <v> </v>
      </c>
      <c r="G3602" s="23" t="str">
        <f>IF(OR(E3602="",E3602="!!!"),"",IF(OR(J3602=0,AND(J3602=1,K3602=1),AND(J3602=1,I3602="SBJ"),AND(J3602=1,I3602=0)),"?IN_FOCUS",IF(J3602&lt;=2,"?ACTIVATED",IF(J3602&lt;&gt;"","?FAMILIAR",IF(F3602="NEW",IF(ISNA(VLOOKUP(E3602,#REF!,1,FALSE())),"?TYPE_IDENTIFIABLE","?REFERENTIAL"),"_")))))</f>
        <v> </v>
      </c>
      <c r="H3602" s="24" t="str">
        <f>IF(J3602&lt;&gt;1,"",IF(I3602="SBJ","CB","?"))</f>
        <v> </v>
      </c>
      <c r="I3602" s="25" t="str">
        <f>IF(OR(E3602="",E3602="!!!",F3602="NEW"),"",INDEX(B3601:B$2,-1+SUMPRODUCT(MAX(ROW(E3601:E$2)*(E3602=E3601:E$2)))))</f>
        <v> </v>
      </c>
      <c r="J3602" s="25" t="str">
        <f>IF(OR(E3602="",E3602="!!!",F3602="NEW"),"",COUNTBLANK(OFFSET(A$1,,,SUMPRODUCT(MAX(ROW(E$2:E3602)*(E3602=E$2:E3602)))))-COUNTBLANK(OFFSET(A$1,,,SUMPRODUCT(MAX(ROW(E$1:E3601)*(E2=E$1:E3601))))))</f>
        <v> </v>
      </c>
      <c r="K3602" s="25" t="str">
        <f>IF(OR(E3602="",E3602="!!!",F3602="NEW"),"",INDEX(J$1:J3601,SUMPRODUCT(MAX(ROW(E$1:E3601)*(E3602=E$1:E3601)))))</f>
        <v> </v>
      </c>
      <c r="L3602" s="26"/>
    </row>
    <row r="3603" spans="1:12">
      <c r="A3603" s="20" t="s">
        <v>774</v>
      </c>
      <c r="E3603" s="21">
        <f>IF(D3603="?OLD","!!!","")</f>
        <v/>
      </c>
      <c r="F3603" s="22" t="str">
        <f>IF(OR(E3603="",E3603="!!!"),"",IF(NOT(ISNA(VLOOKUP(E3603,E$1:E3602,1,FALSE()))),"OLD",IF(AND(E3603&lt;&gt;"",E3603&lt;&gt;"!!!"),"NEW","")))</f>
        <v> </v>
      </c>
      <c r="G3603" s="23" t="str">
        <f>IF(OR(E3603="",E3603="!!!"),"",IF(OR(J3603=0,AND(J3603=1,K3603=1),AND(J3603=1,I3603="SBJ"),AND(J3603=1,I3603=0)),"?IN_FOCUS",IF(J3603&lt;=2,"?ACTIVATED",IF(J3603&lt;&gt;"","?FAMILIAR",IF(F3603="NEW",IF(ISNA(VLOOKUP(E3603,#REF!,1,FALSE())),"?TYPE_IDENTIFIABLE","?REFERENTIAL"),"_")))))</f>
        <v> </v>
      </c>
      <c r="H3603" s="24" t="str">
        <f>IF(J3603&lt;&gt;1,"",IF(I3603="SBJ","CB","?"))</f>
        <v> </v>
      </c>
      <c r="I3603" s="25" t="str">
        <f>IF(OR(E3603="",E3603="!!!",F3603="NEW"),"",INDEX(B3602:B$2,-1+SUMPRODUCT(MAX(ROW(E3602:E$2)*(E3603=E3602:E$2)))))</f>
        <v> </v>
      </c>
      <c r="J3603" s="25" t="str">
        <f>IF(OR(E3603="",E3603="!!!",F3603="NEW"),"",COUNTBLANK(OFFSET(A$1,,,SUMPRODUCT(MAX(ROW(E$2:E3603)*(E3603=E$2:E3603)))))-COUNTBLANK(OFFSET(A$1,,,SUMPRODUCT(MAX(ROW(E$1:E3602)*(E2=E$1:E3602))))))</f>
        <v> </v>
      </c>
      <c r="K3603" s="25" t="str">
        <f>IF(OR(E3603="",E3603="!!!",F3603="NEW"),"",INDEX(J$1:J3602,SUMPRODUCT(MAX(ROW(E$1:E3602)*(E3603=E$1:E3602)))))</f>
        <v> </v>
      </c>
      <c r="L3603" s="26"/>
    </row>
    <row r="3604" spans="1:12">
      <c r="A3604" s="20"/>
    </row>
    <row r="3605" spans="1:12">
      <c r="A3605" s="20" t="s">
        <v>1816</v>
      </c>
    </row>
    <row r="3606" spans="1:12">
      <c r="A3606" s="20" t="s">
        <v>983</v>
      </c>
      <c r="B3606" s="27" t="s">
        <v>760</v>
      </c>
      <c r="C3606" s="27" t="s">
        <v>797</v>
      </c>
      <c r="D3606" s="27" t="s">
        <v>762</v>
      </c>
      <c r="E3606" s="21">
        <f>IF(D3606="?OLD","!!!","")</f>
        <v/>
      </c>
      <c r="F3606" s="22" t="str">
        <f>IF(OR(E3606="",E3606="!!!"),"",IF(NOT(ISNA(VLOOKUP(E3606,E$1:E3605,1,FALSE()))),"OLD",IF(AND(E3606&lt;&gt;"",E3606&lt;&gt;"!!!"),"NEW","")))</f>
        <v> </v>
      </c>
      <c r="G3606" s="23" t="str">
        <f>IF(OR(E3606="",E3606="!!!"),"",IF(OR(J3606=0,AND(J3606=1,K3606=1),AND(J3606=1,I3606="SBJ"),AND(J3606=1,I3606=0)),"?IN_FOCUS",IF(J3606&lt;=2,"?ACTIVATED",IF(J3606&lt;&gt;"","?FAMILIAR",IF(F3606="NEW",IF(ISNA(VLOOKUP(E3606,#REF!,1,FALSE())),"?TYPE_IDENTIFIABLE","?REFERENTIAL"),"_")))))</f>
        <v> </v>
      </c>
      <c r="H3606" s="24" t="str">
        <f>IF(J3606&lt;&gt;1,"",IF(I3606="SBJ","CB","?"))</f>
        <v> </v>
      </c>
      <c r="I3606" s="25" t="str">
        <f>IF(OR(E3606="",E3606="!!!",F3606="NEW"),"",INDEX(B3605:B$2,-1+SUMPRODUCT(MAX(ROW(E3605:E$2)*(E3606=E3605:E$2)))))</f>
        <v> </v>
      </c>
      <c r="J3606" s="25" t="str">
        <f>IF(OR(E3606="",E3606="!!!",F3606="NEW"),"",COUNTBLANK(OFFSET(A$1,,,SUMPRODUCT(MAX(ROW(E$2:E3606)*(E3606=E$2:E3606)))))-COUNTBLANK(OFFSET(A$1,,,SUMPRODUCT(MAX(ROW(E$1:E3605)*(E2=E$1:E3605))))))</f>
        <v> </v>
      </c>
      <c r="K3606" s="25" t="str">
        <f>IF(OR(E3606="",E3606="!!!",F3606="NEW"),"",INDEX(J$1:J3605,SUMPRODUCT(MAX(ROW(E$1:E3605)*(E3606=E$1:E3605)))))</f>
        <v> </v>
      </c>
      <c r="L3606" s="26"/>
    </row>
    <row r="3607" spans="1:12">
      <c r="A3607" s="20" t="s">
        <v>1817</v>
      </c>
      <c r="E3607" s="21">
        <f>IF(D3607="?OLD","!!!","")</f>
        <v/>
      </c>
      <c r="F3607" s="22" t="str">
        <f>IF(OR(E3607="",E3607="!!!"),"",IF(NOT(ISNA(VLOOKUP(E3607,E$1:E3606,1,FALSE()))),"OLD",IF(AND(E3607&lt;&gt;"",E3607&lt;&gt;"!!!"),"NEW","")))</f>
        <v> </v>
      </c>
      <c r="G3607" s="23" t="str">
        <f>IF(OR(E3607="",E3607="!!!"),"",IF(OR(J3607=0,AND(J3607=1,K3607=1),AND(J3607=1,I3607="SBJ"),AND(J3607=1,I3607=0)),"?IN_FOCUS",IF(J3607&lt;=2,"?ACTIVATED",IF(J3607&lt;&gt;"","?FAMILIAR",IF(F3607="NEW",IF(ISNA(VLOOKUP(E3607,#REF!,1,FALSE())),"?TYPE_IDENTIFIABLE","?REFERENTIAL"),"_")))))</f>
        <v> </v>
      </c>
      <c r="H3607" s="24" t="str">
        <f>IF(J3607&lt;&gt;1,"",IF(I3607="SBJ","CB","?"))</f>
        <v> </v>
      </c>
      <c r="I3607" s="25" t="str">
        <f>IF(OR(E3607="",E3607="!!!",F3607="NEW"),"",INDEX(B3606:B$2,-1+SUMPRODUCT(MAX(ROW(E3606:E$2)*(E3607=E3606:E$2)))))</f>
        <v> </v>
      </c>
      <c r="J3607" s="25" t="str">
        <f>IF(OR(E3607="",E3607="!!!",F3607="NEW"),"",COUNTBLANK(OFFSET(A$1,,,SUMPRODUCT(MAX(ROW(E$2:E3607)*(E3607=E$2:E3607)))))-COUNTBLANK(OFFSET(A$1,,,SUMPRODUCT(MAX(ROW(E$1:E3606)*(E2=E$1:E3606))))))</f>
        <v> </v>
      </c>
      <c r="K3607" s="25" t="str">
        <f>IF(OR(E3607="",E3607="!!!",F3607="NEW"),"",INDEX(J$1:J3606,SUMPRODUCT(MAX(ROW(E$1:E3606)*(E3607=E$1:E3606)))))</f>
        <v> </v>
      </c>
      <c r="L3607" s="26"/>
    </row>
    <row r="3608" spans="1:12">
      <c r="A3608" s="20" t="s">
        <v>770</v>
      </c>
      <c r="E3608" s="21">
        <f>IF(D3608="?OLD","!!!","")</f>
        <v/>
      </c>
      <c r="F3608" s="22" t="str">
        <f>IF(OR(E3608="",E3608="!!!"),"",IF(NOT(ISNA(VLOOKUP(E3608,E$1:E3607,1,FALSE()))),"OLD",IF(AND(E3608&lt;&gt;"",E3608&lt;&gt;"!!!"),"NEW","")))</f>
        <v> </v>
      </c>
      <c r="G3608" s="23" t="str">
        <f>IF(OR(E3608="",E3608="!!!"),"",IF(OR(J3608=0,AND(J3608=1,K3608=1),AND(J3608=1,I3608="SBJ"),AND(J3608=1,I3608=0)),"?IN_FOCUS",IF(J3608&lt;=2,"?ACTIVATED",IF(J3608&lt;&gt;"","?FAMILIAR",IF(F3608="NEW",IF(ISNA(VLOOKUP(E3608,#REF!,1,FALSE())),"?TYPE_IDENTIFIABLE","?REFERENTIAL"),"_")))))</f>
        <v> </v>
      </c>
      <c r="H3608" s="24" t="str">
        <f>IF(J3608&lt;&gt;1,"",IF(I3608="SBJ","CB","?"))</f>
        <v> </v>
      </c>
      <c r="I3608" s="25" t="str">
        <f>IF(OR(E3608="",E3608="!!!",F3608="NEW"),"",INDEX(B3607:B$2,-1+SUMPRODUCT(MAX(ROW(E3607:E$2)*(E3608=E3607:E$2)))))</f>
        <v> </v>
      </c>
      <c r="J3608" s="25" t="str">
        <f>IF(OR(E3608="",E3608="!!!",F3608="NEW"),"",COUNTBLANK(OFFSET(A$1,,,SUMPRODUCT(MAX(ROW(E$2:E3608)*(E3608=E$2:E3608)))))-COUNTBLANK(OFFSET(A$1,,,SUMPRODUCT(MAX(ROW(E$1:E3607)*(E2=E$1:E3607))))))</f>
        <v> </v>
      </c>
      <c r="K3608" s="25" t="str">
        <f>IF(OR(E3608="",E3608="!!!",F3608="NEW"),"",INDEX(J$1:J3607,SUMPRODUCT(MAX(ROW(E$1:E3607)*(E3608=E$1:E3607)))))</f>
        <v> </v>
      </c>
      <c r="L3608" s="26"/>
    </row>
    <row r="3609" spans="1:12">
      <c r="A3609" s="20" t="s">
        <v>1818</v>
      </c>
      <c r="B3609" s="27" t="s">
        <v>767</v>
      </c>
      <c r="C3609" s="27" t="s">
        <v>761</v>
      </c>
      <c r="D3609" s="27" t="s">
        <v>762</v>
      </c>
      <c r="E3609" s="21">
        <f>IF(D3609="?OLD","!!!","")</f>
        <v/>
      </c>
      <c r="F3609" s="22" t="str">
        <f>IF(OR(E3609="",E3609="!!!"),"",IF(NOT(ISNA(VLOOKUP(E3609,E$1:E3608,1,FALSE()))),"OLD",IF(AND(E3609&lt;&gt;"",E3609&lt;&gt;"!!!"),"NEW","")))</f>
        <v> </v>
      </c>
      <c r="G3609" s="23" t="str">
        <f>IF(OR(E3609="",E3609="!!!"),"",IF(OR(J3609=0,AND(J3609=1,K3609=1),AND(J3609=1,I3609="SBJ"),AND(J3609=1,I3609=0)),"?IN_FOCUS",IF(J3609&lt;=2,"?ACTIVATED",IF(J3609&lt;&gt;"","?FAMILIAR",IF(F3609="NEW",IF(ISNA(VLOOKUP(E3609,#REF!,1,FALSE())),"?TYPE_IDENTIFIABLE","?REFERENTIAL"),"_")))))</f>
        <v> </v>
      </c>
      <c r="H3609" s="24" t="str">
        <f>IF(J3609&lt;&gt;1,"",IF(I3609="SBJ","CB","?"))</f>
        <v> </v>
      </c>
      <c r="I3609" s="25" t="str">
        <f>IF(OR(E3609="",E3609="!!!",F3609="NEW"),"",INDEX(B3608:B$2,-1+SUMPRODUCT(MAX(ROW(E3608:E$2)*(E3609=E3608:E$2)))))</f>
        <v> </v>
      </c>
      <c r="J3609" s="25" t="str">
        <f>IF(OR(E3609="",E3609="!!!",F3609="NEW"),"",COUNTBLANK(OFFSET(A$1,,,SUMPRODUCT(MAX(ROW(E$2:E3609)*(E3609=E$2:E3609)))))-COUNTBLANK(OFFSET(A$1,,,SUMPRODUCT(MAX(ROW(E$1:E3608)*(E2=E$1:E3608))))))</f>
        <v> </v>
      </c>
      <c r="K3609" s="25" t="str">
        <f>IF(OR(E3609="",E3609="!!!",F3609="NEW"),"",INDEX(J$1:J3608,SUMPRODUCT(MAX(ROW(E$1:E3608)*(E3609=E$1:E3608)))))</f>
        <v> </v>
      </c>
      <c r="L3609" s="26"/>
    </row>
    <row r="3610" spans="1:12">
      <c r="A3610" s="20" t="s">
        <v>889</v>
      </c>
      <c r="B3610" s="27" t="s">
        <v>894</v>
      </c>
      <c r="E3610" s="21">
        <f>IF(D3610="?OLD","!!!","")</f>
        <v/>
      </c>
      <c r="F3610" s="22" t="str">
        <f>IF(OR(E3610="",E3610="!!!"),"",IF(NOT(ISNA(VLOOKUP(E3610,E$1:E3609,1,FALSE()))),"OLD",IF(AND(E3610&lt;&gt;"",E3610&lt;&gt;"!!!"),"NEW","")))</f>
        <v> </v>
      </c>
      <c r="G3610" s="23" t="str">
        <f>IF(OR(E3610="",E3610="!!!"),"",IF(OR(J3610=0,AND(J3610=1,K3610=1),AND(J3610=1,I3610="SBJ"),AND(J3610=1,I3610=0)),"?IN_FOCUS",IF(J3610&lt;=2,"?ACTIVATED",IF(J3610&lt;&gt;"","?FAMILIAR",IF(F3610="NEW",IF(ISNA(VLOOKUP(E3610,#REF!,1,FALSE())),"?TYPE_IDENTIFIABLE","?REFERENTIAL"),"_")))))</f>
        <v> </v>
      </c>
      <c r="H3610" s="24" t="str">
        <f>IF(J3610&lt;&gt;1,"",IF(I3610="SBJ","CB","?"))</f>
        <v> </v>
      </c>
      <c r="I3610" s="25" t="str">
        <f>IF(OR(E3610="",E3610="!!!",F3610="NEW"),"",INDEX(B3609:B$2,-1+SUMPRODUCT(MAX(ROW(E3609:E$2)*(E3610=E3609:E$2)))))</f>
        <v> </v>
      </c>
      <c r="J3610" s="25" t="str">
        <f>IF(OR(E3610="",E3610="!!!",F3610="NEW"),"",COUNTBLANK(OFFSET(A$1,,,SUMPRODUCT(MAX(ROW(E$2:E3610)*(E3610=E$2:E3610)))))-COUNTBLANK(OFFSET(A$1,,,SUMPRODUCT(MAX(ROW(E$1:E3609)*(E2=E$1:E3609))))))</f>
        <v> </v>
      </c>
      <c r="K3610" s="25" t="str">
        <f>IF(OR(E3610="",E3610="!!!",F3610="NEW"),"",INDEX(J$1:J3609,SUMPRODUCT(MAX(ROW(E$1:E3609)*(E3610=E$1:E3609)))))</f>
        <v> </v>
      </c>
      <c r="L3610" s="26"/>
    </row>
    <row r="3611" spans="1:12">
      <c r="A3611" s="20" t="s">
        <v>1155</v>
      </c>
      <c r="B3611" s="27" t="s">
        <v>956</v>
      </c>
      <c r="C3611" s="27" t="s">
        <v>797</v>
      </c>
      <c r="D3611" s="27" t="s">
        <v>762</v>
      </c>
      <c r="E3611" s="21">
        <f>IF(D3611="?OLD","!!!","")</f>
        <v/>
      </c>
      <c r="F3611" s="22" t="str">
        <f>IF(OR(E3611="",E3611="!!!"),"",IF(NOT(ISNA(VLOOKUP(E3611,E$1:E3610,1,FALSE()))),"OLD",IF(AND(E3611&lt;&gt;"",E3611&lt;&gt;"!!!"),"NEW","")))</f>
        <v> </v>
      </c>
      <c r="G3611" s="23" t="str">
        <f>IF(OR(E3611="",E3611="!!!"),"",IF(OR(J3611=0,AND(J3611=1,K3611=1),AND(J3611=1,I3611="SBJ"),AND(J3611=1,I3611=0)),"?IN_FOCUS",IF(J3611&lt;=2,"?ACTIVATED",IF(J3611&lt;&gt;"","?FAMILIAR",IF(F3611="NEW",IF(ISNA(VLOOKUP(E3611,#REF!,1,FALSE())),"?TYPE_IDENTIFIABLE","?REFERENTIAL"),"_")))))</f>
        <v> </v>
      </c>
      <c r="H3611" s="24" t="str">
        <f>IF(J3611&lt;&gt;1,"",IF(I3611="SBJ","CB","?"))</f>
        <v> </v>
      </c>
      <c r="I3611" s="25" t="str">
        <f>IF(OR(E3611="",E3611="!!!",F3611="NEW"),"",INDEX(B3610:B$2,-1+SUMPRODUCT(MAX(ROW(E3610:E$2)*(E3611=E3610:E$2)))))</f>
        <v> </v>
      </c>
      <c r="J3611" s="25" t="str">
        <f>IF(OR(E3611="",E3611="!!!",F3611="NEW"),"",COUNTBLANK(OFFSET(A$1,,,SUMPRODUCT(MAX(ROW(E$2:E3611)*(E3611=E$2:E3611)))))-COUNTBLANK(OFFSET(A$1,,,SUMPRODUCT(MAX(ROW(E$1:E3610)*(E2=E$1:E3610))))))</f>
        <v> </v>
      </c>
      <c r="K3611" s="25" t="str">
        <f>IF(OR(E3611="",E3611="!!!",F3611="NEW"),"",INDEX(J$1:J3610,SUMPRODUCT(MAX(ROW(E$1:E3610)*(E3611=E$1:E3610)))))</f>
        <v> </v>
      </c>
      <c r="L3611" s="26"/>
    </row>
    <row r="3612" spans="1:12">
      <c r="A3612" s="20" t="s">
        <v>1004</v>
      </c>
      <c r="E3612" s="21">
        <f>IF(D3612="?OLD","!!!","")</f>
        <v/>
      </c>
      <c r="F3612" s="22" t="str">
        <f>IF(OR(E3612="",E3612="!!!"),"",IF(NOT(ISNA(VLOOKUP(E3612,E$1:E3611,1,FALSE()))),"OLD",IF(AND(E3612&lt;&gt;"",E3612&lt;&gt;"!!!"),"NEW","")))</f>
        <v> </v>
      </c>
      <c r="G3612" s="23" t="str">
        <f>IF(OR(E3612="",E3612="!!!"),"",IF(OR(J3612=0,AND(J3612=1,K3612=1),AND(J3612=1,I3612="SBJ"),AND(J3612=1,I3612=0)),"?IN_FOCUS",IF(J3612&lt;=2,"?ACTIVATED",IF(J3612&lt;&gt;"","?FAMILIAR",IF(F3612="NEW",IF(ISNA(VLOOKUP(E3612,#REF!,1,FALSE())),"?TYPE_IDENTIFIABLE","?REFERENTIAL"),"_")))))</f>
        <v> </v>
      </c>
      <c r="H3612" s="24" t="str">
        <f>IF(J3612&lt;&gt;1,"",IF(I3612="SBJ","CB","?"))</f>
        <v> </v>
      </c>
      <c r="I3612" s="25" t="str">
        <f>IF(OR(E3612="",E3612="!!!",F3612="NEW"),"",INDEX(B3611:B$2,-1+SUMPRODUCT(MAX(ROW(E3611:E$2)*(E3612=E3611:E$2)))))</f>
        <v> </v>
      </c>
      <c r="J3612" s="25" t="str">
        <f>IF(OR(E3612="",E3612="!!!",F3612="NEW"),"",COUNTBLANK(OFFSET(A$1,,,SUMPRODUCT(MAX(ROW(E$2:E3612)*(E3612=E$2:E3612)))))-COUNTBLANK(OFFSET(A$1,,,SUMPRODUCT(MAX(ROW(E$1:E3611)*(E2=E$1:E3611))))))</f>
        <v> </v>
      </c>
      <c r="K3612" s="25" t="str">
        <f>IF(OR(E3612="",E3612="!!!",F3612="NEW"),"",INDEX(J$1:J3611,SUMPRODUCT(MAX(ROW(E$1:E3611)*(E3612=E$1:E3611)))))</f>
        <v> </v>
      </c>
      <c r="L3612" s="26"/>
    </row>
    <row r="3613" spans="1:12">
      <c r="A3613" s="20" t="s">
        <v>1819</v>
      </c>
      <c r="E3613" s="21">
        <f>IF(D3613="?OLD","!!!","")</f>
        <v/>
      </c>
      <c r="F3613" s="22" t="str">
        <f>IF(OR(E3613="",E3613="!!!"),"",IF(NOT(ISNA(VLOOKUP(E3613,E$1:E3612,1,FALSE()))),"OLD",IF(AND(E3613&lt;&gt;"",E3613&lt;&gt;"!!!"),"NEW","")))</f>
        <v> </v>
      </c>
      <c r="G3613" s="23" t="str">
        <f>IF(OR(E3613="",E3613="!!!"),"",IF(OR(J3613=0,AND(J3613=1,K3613=1),AND(J3613=1,I3613="SBJ"),AND(J3613=1,I3613=0)),"?IN_FOCUS",IF(J3613&lt;=2,"?ACTIVATED",IF(J3613&lt;&gt;"","?FAMILIAR",IF(F3613="NEW",IF(ISNA(VLOOKUP(E3613,#REF!,1,FALSE())),"?TYPE_IDENTIFIABLE","?REFERENTIAL"),"_")))))</f>
        <v> </v>
      </c>
      <c r="H3613" s="24" t="str">
        <f>IF(J3613&lt;&gt;1,"",IF(I3613="SBJ","CB","?"))</f>
        <v> </v>
      </c>
      <c r="I3613" s="25" t="str">
        <f>IF(OR(E3613="",E3613="!!!",F3613="NEW"),"",INDEX(B3612:B$2,-1+SUMPRODUCT(MAX(ROW(E3612:E$2)*(E3613=E3612:E$2)))))</f>
        <v> </v>
      </c>
      <c r="J3613" s="25" t="str">
        <f>IF(OR(E3613="",E3613="!!!",F3613="NEW"),"",COUNTBLANK(OFFSET(A$1,,,SUMPRODUCT(MAX(ROW(E$2:E3613)*(E3613=E$2:E3613)))))-COUNTBLANK(OFFSET(A$1,,,SUMPRODUCT(MAX(ROW(E$1:E3612)*(E2=E$1:E3612))))))</f>
        <v> </v>
      </c>
      <c r="K3613" s="25" t="str">
        <f>IF(OR(E3613="",E3613="!!!",F3613="NEW"),"",INDEX(J$1:J3612,SUMPRODUCT(MAX(ROW(E$1:E3612)*(E3613=E$1:E3612)))))</f>
        <v> </v>
      </c>
      <c r="L3613" s="26"/>
    </row>
    <row r="3614" spans="1:12">
      <c r="A3614" s="20" t="s">
        <v>785</v>
      </c>
      <c r="E3614" s="21">
        <f>IF(D3614="?OLD","!!!","")</f>
        <v/>
      </c>
      <c r="F3614" s="22" t="str">
        <f>IF(OR(E3614="",E3614="!!!"),"",IF(NOT(ISNA(VLOOKUP(E3614,E$1:E3613,1,FALSE()))),"OLD",IF(AND(E3614&lt;&gt;"",E3614&lt;&gt;"!!!"),"NEW","")))</f>
        <v> </v>
      </c>
      <c r="G3614" s="23" t="str">
        <f>IF(OR(E3614="",E3614="!!!"),"",IF(OR(J3614=0,AND(J3614=1,K3614=1),AND(J3614=1,I3614="SBJ"),AND(J3614=1,I3614=0)),"?IN_FOCUS",IF(J3614&lt;=2,"?ACTIVATED",IF(J3614&lt;&gt;"","?FAMILIAR",IF(F3614="NEW",IF(ISNA(VLOOKUP(E3614,#REF!,1,FALSE())),"?TYPE_IDENTIFIABLE","?REFERENTIAL"),"_")))))</f>
        <v> </v>
      </c>
      <c r="H3614" s="24" t="str">
        <f>IF(J3614&lt;&gt;1,"",IF(I3614="SBJ","CB","?"))</f>
        <v> </v>
      </c>
      <c r="I3614" s="25" t="str">
        <f>IF(OR(E3614="",E3614="!!!",F3614="NEW"),"",INDEX(B3613:B$2,-1+SUMPRODUCT(MAX(ROW(E3613:E$2)*(E3614=E3613:E$2)))))</f>
        <v> </v>
      </c>
      <c r="J3614" s="25" t="str">
        <f>IF(OR(E3614="",E3614="!!!",F3614="NEW"),"",COUNTBLANK(OFFSET(A$1,,,SUMPRODUCT(MAX(ROW(E$2:E3614)*(E3614=E$2:E3614)))))-COUNTBLANK(OFFSET(A$1,,,SUMPRODUCT(MAX(ROW(E$1:E3613)*(E2=E$1:E3613))))))</f>
        <v> </v>
      </c>
      <c r="K3614" s="25" t="str">
        <f>IF(OR(E3614="",E3614="!!!",F3614="NEW"),"",INDEX(J$1:J3613,SUMPRODUCT(MAX(ROW(E$1:E3613)*(E3614=E$1:E3613)))))</f>
        <v> </v>
      </c>
      <c r="L3614" s="26"/>
    </row>
    <row r="3615" spans="1:12">
      <c r="A3615" s="20" t="s">
        <v>838</v>
      </c>
      <c r="E3615" s="21">
        <f>IF(D3615="?OLD","!!!","")</f>
        <v/>
      </c>
      <c r="F3615" s="22" t="str">
        <f>IF(OR(E3615="",E3615="!!!"),"",IF(NOT(ISNA(VLOOKUP(E3615,E$1:E3614,1,FALSE()))),"OLD",IF(AND(E3615&lt;&gt;"",E3615&lt;&gt;"!!!"),"NEW","")))</f>
        <v> </v>
      </c>
      <c r="G3615" s="23" t="str">
        <f>IF(OR(E3615="",E3615="!!!"),"",IF(OR(J3615=0,AND(J3615=1,K3615=1),AND(J3615=1,I3615="SBJ"),AND(J3615=1,I3615=0)),"?IN_FOCUS",IF(J3615&lt;=2,"?ACTIVATED",IF(J3615&lt;&gt;"","?FAMILIAR",IF(F3615="NEW",IF(ISNA(VLOOKUP(E3615,#REF!,1,FALSE())),"?TYPE_IDENTIFIABLE","?REFERENTIAL"),"_")))))</f>
        <v> </v>
      </c>
      <c r="H3615" s="24" t="str">
        <f>IF(J3615&lt;&gt;1,"",IF(I3615="SBJ","CB","?"))</f>
        <v> </v>
      </c>
      <c r="I3615" s="25" t="str">
        <f>IF(OR(E3615="",E3615="!!!",F3615="NEW"),"",INDEX(B3614:B$2,-1+SUMPRODUCT(MAX(ROW(E3614:E$2)*(E3615=E3614:E$2)))))</f>
        <v> </v>
      </c>
      <c r="J3615" s="25" t="str">
        <f>IF(OR(E3615="",E3615="!!!",F3615="NEW"),"",COUNTBLANK(OFFSET(A$1,,,SUMPRODUCT(MAX(ROW(E$2:E3615)*(E3615=E$2:E3615)))))-COUNTBLANK(OFFSET(A$1,,,SUMPRODUCT(MAX(ROW(E$1:E3614)*(E2=E$1:E3614))))))</f>
        <v> </v>
      </c>
      <c r="K3615" s="25" t="str">
        <f>IF(OR(E3615="",E3615="!!!",F3615="NEW"),"",INDEX(J$1:J3614,SUMPRODUCT(MAX(ROW(E$1:E3614)*(E3615=E$1:E3614)))))</f>
        <v> </v>
      </c>
      <c r="L3615" s="26"/>
    </row>
    <row r="3616" spans="1:12">
      <c r="A3616" s="20" t="s">
        <v>1222</v>
      </c>
      <c r="B3616" s="27" t="s">
        <v>879</v>
      </c>
      <c r="C3616" s="27" t="s">
        <v>820</v>
      </c>
      <c r="D3616" s="27" t="s">
        <v>762</v>
      </c>
      <c r="E3616" s="21">
        <f>IF(D3616="?OLD","!!!","")</f>
        <v/>
      </c>
      <c r="F3616" s="22" t="str">
        <f>IF(OR(E3616="",E3616="!!!"),"",IF(NOT(ISNA(VLOOKUP(E3616,E$1:E3615,1,FALSE()))),"OLD",IF(AND(E3616&lt;&gt;"",E3616&lt;&gt;"!!!"),"NEW","")))</f>
        <v> </v>
      </c>
      <c r="G3616" s="23" t="str">
        <f>IF(OR(E3616="",E3616="!!!"),"",IF(OR(J3616=0,AND(J3616=1,K3616=1),AND(J3616=1,I3616="SBJ"),AND(J3616=1,I3616=0)),"?IN_FOCUS",IF(J3616&lt;=2,"?ACTIVATED",IF(J3616&lt;&gt;"","?FAMILIAR",IF(F3616="NEW",IF(ISNA(VLOOKUP(E3616,#REF!,1,FALSE())),"?TYPE_IDENTIFIABLE","?REFERENTIAL"),"_")))))</f>
        <v> </v>
      </c>
      <c r="H3616" s="24" t="str">
        <f>IF(J3616&lt;&gt;1,"",IF(I3616="SBJ","CB","?"))</f>
        <v> </v>
      </c>
      <c r="I3616" s="25" t="str">
        <f>IF(OR(E3616="",E3616="!!!",F3616="NEW"),"",INDEX(B3615:B$2,-1+SUMPRODUCT(MAX(ROW(E3615:E$2)*(E3616=E3615:E$2)))))</f>
        <v> </v>
      </c>
      <c r="J3616" s="25" t="str">
        <f>IF(OR(E3616="",E3616="!!!",F3616="NEW"),"",COUNTBLANK(OFFSET(A$1,,,SUMPRODUCT(MAX(ROW(E$2:E3616)*(E3616=E$2:E3616)))))-COUNTBLANK(OFFSET(A$1,,,SUMPRODUCT(MAX(ROW(E$1:E3615)*(E2=E$1:E3615))))))</f>
        <v> </v>
      </c>
      <c r="K3616" s="25" t="str">
        <f>IF(OR(E3616="",E3616="!!!",F3616="NEW"),"",INDEX(J$1:J3615,SUMPRODUCT(MAX(ROW(E$1:E3615)*(E3616=E$1:E3615)))))</f>
        <v> </v>
      </c>
      <c r="L3616" s="26"/>
    </row>
    <row r="3617" spans="1:12">
      <c r="A3617" s="20" t="s">
        <v>757</v>
      </c>
      <c r="E3617" s="21">
        <f>IF(D3617="?OLD","!!!","")</f>
        <v/>
      </c>
      <c r="F3617" s="22" t="str">
        <f>IF(OR(E3617="",E3617="!!!"),"",IF(NOT(ISNA(VLOOKUP(E3617,E$1:E3616,1,FALSE()))),"OLD",IF(AND(E3617&lt;&gt;"",E3617&lt;&gt;"!!!"),"NEW","")))</f>
        <v> </v>
      </c>
      <c r="G3617" s="23" t="str">
        <f>IF(OR(E3617="",E3617="!!!"),"",IF(OR(J3617=0,AND(J3617=1,K3617=1),AND(J3617=1,I3617="SBJ"),AND(J3617=1,I3617=0)),"?IN_FOCUS",IF(J3617&lt;=2,"?ACTIVATED",IF(J3617&lt;&gt;"","?FAMILIAR",IF(F3617="NEW",IF(ISNA(VLOOKUP(E3617,#REF!,1,FALSE())),"?TYPE_IDENTIFIABLE","?REFERENTIAL"),"_")))))</f>
        <v> </v>
      </c>
      <c r="H3617" s="24" t="str">
        <f>IF(J3617&lt;&gt;1,"",IF(I3617="SBJ","CB","?"))</f>
        <v> </v>
      </c>
      <c r="I3617" s="25" t="str">
        <f>IF(OR(E3617="",E3617="!!!",F3617="NEW"),"",INDEX(B3616:B$2,-1+SUMPRODUCT(MAX(ROW(E3616:E$2)*(E3617=E3616:E$2)))))</f>
        <v> </v>
      </c>
      <c r="J3617" s="25" t="str">
        <f>IF(OR(E3617="",E3617="!!!",F3617="NEW"),"",COUNTBLANK(OFFSET(A$1,,,SUMPRODUCT(MAX(ROW(E$2:E3617)*(E3617=E$2:E3617)))))-COUNTBLANK(OFFSET(A$1,,,SUMPRODUCT(MAX(ROW(E$1:E3616)*(E2=E$1:E3616))))))</f>
        <v> </v>
      </c>
      <c r="K3617" s="25" t="str">
        <f>IF(OR(E3617="",E3617="!!!",F3617="NEW"),"",INDEX(J$1:J3616,SUMPRODUCT(MAX(ROW(E$1:E3616)*(E3617=E$1:E3616)))))</f>
        <v> </v>
      </c>
      <c r="L3617" s="26"/>
    </row>
    <row r="3618" spans="1:12">
      <c r="A3618" s="20" t="s">
        <v>1020</v>
      </c>
      <c r="B3618" s="27" t="s">
        <v>956</v>
      </c>
      <c r="E3618" s="21">
        <f>IF(D3618="?OLD","!!!","")</f>
        <v/>
      </c>
      <c r="F3618" s="22" t="str">
        <f>IF(OR(E3618="",E3618="!!!"),"",IF(NOT(ISNA(VLOOKUP(E3618,E$1:E3617,1,FALSE()))),"OLD",IF(AND(E3618&lt;&gt;"",E3618&lt;&gt;"!!!"),"NEW","")))</f>
        <v> </v>
      </c>
      <c r="G3618" s="23" t="str">
        <f>IF(OR(E3618="",E3618="!!!"),"",IF(OR(J3618=0,AND(J3618=1,K3618=1),AND(J3618=1,I3618="SBJ"),AND(J3618=1,I3618=0)),"?IN_FOCUS",IF(J3618&lt;=2,"?ACTIVATED",IF(J3618&lt;&gt;"","?FAMILIAR",IF(F3618="NEW",IF(ISNA(VLOOKUP(E3618,#REF!,1,FALSE())),"?TYPE_IDENTIFIABLE","?REFERENTIAL"),"_")))))</f>
        <v> </v>
      </c>
      <c r="H3618" s="24" t="str">
        <f>IF(J3618&lt;&gt;1,"",IF(I3618="SBJ","CB","?"))</f>
        <v> </v>
      </c>
      <c r="I3618" s="25" t="str">
        <f>IF(OR(E3618="",E3618="!!!",F3618="NEW"),"",INDEX(B3617:B$2,-1+SUMPRODUCT(MAX(ROW(E3617:E$2)*(E3618=E3617:E$2)))))</f>
        <v> </v>
      </c>
      <c r="J3618" s="25" t="str">
        <f>IF(OR(E3618="",E3618="!!!",F3618="NEW"),"",COUNTBLANK(OFFSET(A$1,,,SUMPRODUCT(MAX(ROW(E$2:E3618)*(E3618=E$2:E3618)))))-COUNTBLANK(OFFSET(A$1,,,SUMPRODUCT(MAX(ROW(E$1:E3617)*(E2=E$1:E3617))))))</f>
        <v> </v>
      </c>
      <c r="K3618" s="25" t="str">
        <f>IF(OR(E3618="",E3618="!!!",F3618="NEW"),"",INDEX(J$1:J3617,SUMPRODUCT(MAX(ROW(E$1:E3617)*(E3618=E$1:E3617)))))</f>
        <v> </v>
      </c>
      <c r="L3618" s="26"/>
    </row>
    <row r="3619" spans="1:12">
      <c r="A3619" s="20" t="s">
        <v>778</v>
      </c>
      <c r="E3619" s="21">
        <f>IF(D3619="?OLD","!!!","")</f>
        <v/>
      </c>
      <c r="F3619" s="22" t="str">
        <f>IF(OR(E3619="",E3619="!!!"),"",IF(NOT(ISNA(VLOOKUP(E3619,E$1:E3618,1,FALSE()))),"OLD",IF(AND(E3619&lt;&gt;"",E3619&lt;&gt;"!!!"),"NEW","")))</f>
        <v> </v>
      </c>
      <c r="G3619" s="23" t="str">
        <f>IF(OR(E3619="",E3619="!!!"),"",IF(OR(J3619=0,AND(J3619=1,K3619=1),AND(J3619=1,I3619="SBJ"),AND(J3619=1,I3619=0)),"?IN_FOCUS",IF(J3619&lt;=2,"?ACTIVATED",IF(J3619&lt;&gt;"","?FAMILIAR",IF(F3619="NEW",IF(ISNA(VLOOKUP(E3619,#REF!,1,FALSE())),"?TYPE_IDENTIFIABLE","?REFERENTIAL"),"_")))))</f>
        <v> </v>
      </c>
      <c r="H3619" s="24" t="str">
        <f>IF(J3619&lt;&gt;1,"",IF(I3619="SBJ","CB","?"))</f>
        <v> </v>
      </c>
      <c r="I3619" s="25" t="str">
        <f>IF(OR(E3619="",E3619="!!!",F3619="NEW"),"",INDEX(B3618:B$2,-1+SUMPRODUCT(MAX(ROW(E3618:E$2)*(E3619=E3618:E$2)))))</f>
        <v> </v>
      </c>
      <c r="J3619" s="25" t="str">
        <f>IF(OR(E3619="",E3619="!!!",F3619="NEW"),"",COUNTBLANK(OFFSET(A$1,,,SUMPRODUCT(MAX(ROW(E$2:E3619)*(E3619=E$2:E3619)))))-COUNTBLANK(OFFSET(A$1,,,SUMPRODUCT(MAX(ROW(E$1:E3618)*(E2=E$1:E3618))))))</f>
        <v> </v>
      </c>
      <c r="K3619" s="25" t="str">
        <f>IF(OR(E3619="",E3619="!!!",F3619="NEW"),"",INDEX(J$1:J3618,SUMPRODUCT(MAX(ROW(E$1:E3618)*(E3619=E$1:E3618)))))</f>
        <v> </v>
      </c>
      <c r="L3619" s="26"/>
    </row>
    <row r="3620" spans="1:12">
      <c r="A3620" s="20" t="s">
        <v>1820</v>
      </c>
      <c r="E3620" s="21">
        <f>IF(D3620="?OLD","!!!","")</f>
        <v/>
      </c>
      <c r="F3620" s="22" t="str">
        <f>IF(OR(E3620="",E3620="!!!"),"",IF(NOT(ISNA(VLOOKUP(E3620,E$1:E3619,1,FALSE()))),"OLD",IF(AND(E3620&lt;&gt;"",E3620&lt;&gt;"!!!"),"NEW","")))</f>
        <v> </v>
      </c>
      <c r="G3620" s="23" t="str">
        <f>IF(OR(E3620="",E3620="!!!"),"",IF(OR(J3620=0,AND(J3620=1,K3620=1),AND(J3620=1,I3620="SBJ"),AND(J3620=1,I3620=0)),"?IN_FOCUS",IF(J3620&lt;=2,"?ACTIVATED",IF(J3620&lt;&gt;"","?FAMILIAR",IF(F3620="NEW",IF(ISNA(VLOOKUP(E3620,#REF!,1,FALSE())),"?TYPE_IDENTIFIABLE","?REFERENTIAL"),"_")))))</f>
        <v> </v>
      </c>
      <c r="H3620" s="24" t="str">
        <f>IF(J3620&lt;&gt;1,"",IF(I3620="SBJ","CB","?"))</f>
        <v> </v>
      </c>
      <c r="I3620" s="25" t="str">
        <f>IF(OR(E3620="",E3620="!!!",F3620="NEW"),"",INDEX(B3619:B$2,-1+SUMPRODUCT(MAX(ROW(E3619:E$2)*(E3620=E3619:E$2)))))</f>
        <v> </v>
      </c>
      <c r="J3620" s="25" t="str">
        <f>IF(OR(E3620="",E3620="!!!",F3620="NEW"),"",COUNTBLANK(OFFSET(A$1,,,SUMPRODUCT(MAX(ROW(E$2:E3620)*(E3620=E$2:E3620)))))-COUNTBLANK(OFFSET(A$1,,,SUMPRODUCT(MAX(ROW(E$1:E3619)*(E2=E$1:E3619))))))</f>
        <v> </v>
      </c>
      <c r="K3620" s="25" t="str">
        <f>IF(OR(E3620="",E3620="!!!",F3620="NEW"),"",INDEX(J$1:J3619,SUMPRODUCT(MAX(ROW(E$1:E3619)*(E3620=E$1:E3619)))))</f>
        <v> </v>
      </c>
      <c r="L3620" s="26"/>
    </row>
    <row r="3621" spans="1:12">
      <c r="A3621" s="20" t="s">
        <v>757</v>
      </c>
      <c r="E3621" s="21">
        <f>IF(D3621="?OLD","!!!","")</f>
        <v/>
      </c>
      <c r="F3621" s="22" t="str">
        <f>IF(OR(E3621="",E3621="!!!"),"",IF(NOT(ISNA(VLOOKUP(E3621,E$1:E3620,1,FALSE()))),"OLD",IF(AND(E3621&lt;&gt;"",E3621&lt;&gt;"!!!"),"NEW","")))</f>
        <v> </v>
      </c>
      <c r="G3621" s="23" t="str">
        <f>IF(OR(E3621="",E3621="!!!"),"",IF(OR(J3621=0,AND(J3621=1,K3621=1),AND(J3621=1,I3621="SBJ"),AND(J3621=1,I3621=0)),"?IN_FOCUS",IF(J3621&lt;=2,"?ACTIVATED",IF(J3621&lt;&gt;"","?FAMILIAR",IF(F3621="NEW",IF(ISNA(VLOOKUP(E3621,#REF!,1,FALSE())),"?TYPE_IDENTIFIABLE","?REFERENTIAL"),"_")))))</f>
        <v> </v>
      </c>
      <c r="H3621" s="24" t="str">
        <f>IF(J3621&lt;&gt;1,"",IF(I3621="SBJ","CB","?"))</f>
        <v> </v>
      </c>
      <c r="I3621" s="25" t="str">
        <f>IF(OR(E3621="",E3621="!!!",F3621="NEW"),"",INDEX(B3620:B$2,-1+SUMPRODUCT(MAX(ROW(E3620:E$2)*(E3621=E3620:E$2)))))</f>
        <v> </v>
      </c>
      <c r="J3621" s="25" t="str">
        <f>IF(OR(E3621="",E3621="!!!",F3621="NEW"),"",COUNTBLANK(OFFSET(A$1,,,SUMPRODUCT(MAX(ROW(E$2:E3621)*(E3621=E$2:E3621)))))-COUNTBLANK(OFFSET(A$1,,,SUMPRODUCT(MAX(ROW(E$1:E3620)*(E2=E$1:E3620))))))</f>
        <v> </v>
      </c>
      <c r="K3621" s="25" t="str">
        <f>IF(OR(E3621="",E3621="!!!",F3621="NEW"),"",INDEX(J$1:J3620,SUMPRODUCT(MAX(ROW(E$1:E3620)*(E3621=E$1:E3620)))))</f>
        <v> </v>
      </c>
      <c r="L3621" s="26"/>
    </row>
    <row r="3622" spans="1:12">
      <c r="A3622" s="20" t="s">
        <v>921</v>
      </c>
      <c r="E3622" s="21">
        <f>IF(D3622="?OLD","!!!","")</f>
        <v/>
      </c>
      <c r="F3622" s="22" t="str">
        <f>IF(OR(E3622="",E3622="!!!"),"",IF(NOT(ISNA(VLOOKUP(E3622,E$1:E3621,1,FALSE()))),"OLD",IF(AND(E3622&lt;&gt;"",E3622&lt;&gt;"!!!"),"NEW","")))</f>
        <v> </v>
      </c>
      <c r="G3622" s="23" t="str">
        <f>IF(OR(E3622="",E3622="!!!"),"",IF(OR(J3622=0,AND(J3622=1,K3622=1),AND(J3622=1,I3622="SBJ"),AND(J3622=1,I3622=0)),"?IN_FOCUS",IF(J3622&lt;=2,"?ACTIVATED",IF(J3622&lt;&gt;"","?FAMILIAR",IF(F3622="NEW",IF(ISNA(VLOOKUP(E3622,#REF!,1,FALSE())),"?TYPE_IDENTIFIABLE","?REFERENTIAL"),"_")))))</f>
        <v> </v>
      </c>
      <c r="H3622" s="24" t="str">
        <f>IF(J3622&lt;&gt;1,"",IF(I3622="SBJ","CB","?"))</f>
        <v> </v>
      </c>
      <c r="I3622" s="25" t="str">
        <f>IF(OR(E3622="",E3622="!!!",F3622="NEW"),"",INDEX(B3621:B$2,-1+SUMPRODUCT(MAX(ROW(E3621:E$2)*(E3622=E3621:E$2)))))</f>
        <v> </v>
      </c>
      <c r="J3622" s="25" t="str">
        <f>IF(OR(E3622="",E3622="!!!",F3622="NEW"),"",COUNTBLANK(OFFSET(A$1,,,SUMPRODUCT(MAX(ROW(E$2:E3622)*(E3622=E$2:E3622)))))-COUNTBLANK(OFFSET(A$1,,,SUMPRODUCT(MAX(ROW(E$1:E3621)*(E2=E$1:E3621))))))</f>
        <v> </v>
      </c>
      <c r="K3622" s="25" t="str">
        <f>IF(OR(E3622="",E3622="!!!",F3622="NEW"),"",INDEX(J$1:J3621,SUMPRODUCT(MAX(ROW(E$1:E3621)*(E3622=E$1:E3621)))))</f>
        <v> </v>
      </c>
      <c r="L3622" s="26"/>
    </row>
    <row r="3623" spans="1:12">
      <c r="A3623" s="20" t="s">
        <v>770</v>
      </c>
      <c r="E3623" s="21">
        <f>IF(D3623="?OLD","!!!","")</f>
        <v/>
      </c>
      <c r="F3623" s="22" t="str">
        <f>IF(OR(E3623="",E3623="!!!"),"",IF(NOT(ISNA(VLOOKUP(E3623,E$1:E3622,1,FALSE()))),"OLD",IF(AND(E3623&lt;&gt;"",E3623&lt;&gt;"!!!"),"NEW","")))</f>
        <v> </v>
      </c>
      <c r="G3623" s="23" t="str">
        <f>IF(OR(E3623="",E3623="!!!"),"",IF(OR(J3623=0,AND(J3623=1,K3623=1),AND(J3623=1,I3623="SBJ"),AND(J3623=1,I3623=0)),"?IN_FOCUS",IF(J3623&lt;=2,"?ACTIVATED",IF(J3623&lt;&gt;"","?FAMILIAR",IF(F3623="NEW",IF(ISNA(VLOOKUP(E3623,#REF!,1,FALSE())),"?TYPE_IDENTIFIABLE","?REFERENTIAL"),"_")))))</f>
        <v> </v>
      </c>
      <c r="H3623" s="24" t="str">
        <f>IF(J3623&lt;&gt;1,"",IF(I3623="SBJ","CB","?"))</f>
        <v> </v>
      </c>
      <c r="I3623" s="25" t="str">
        <f>IF(OR(E3623="",E3623="!!!",F3623="NEW"),"",INDEX(B3622:B$2,-1+SUMPRODUCT(MAX(ROW(E3622:E$2)*(E3623=E3622:E$2)))))</f>
        <v> </v>
      </c>
      <c r="J3623" s="25" t="str">
        <f>IF(OR(E3623="",E3623="!!!",F3623="NEW"),"",COUNTBLANK(OFFSET(A$1,,,SUMPRODUCT(MAX(ROW(E$2:E3623)*(E3623=E$2:E3623)))))-COUNTBLANK(OFFSET(A$1,,,SUMPRODUCT(MAX(ROW(E$1:E3622)*(E2=E$1:E3622))))))</f>
        <v> </v>
      </c>
      <c r="K3623" s="25" t="str">
        <f>IF(OR(E3623="",E3623="!!!",F3623="NEW"),"",INDEX(J$1:J3622,SUMPRODUCT(MAX(ROW(E$1:E3622)*(E3623=E$1:E3622)))))</f>
        <v> </v>
      </c>
      <c r="L3623" s="26"/>
    </row>
    <row r="3624" spans="1:12">
      <c r="A3624" s="20" t="s">
        <v>1818</v>
      </c>
      <c r="B3624" s="27" t="s">
        <v>941</v>
      </c>
      <c r="C3624" s="27" t="s">
        <v>761</v>
      </c>
      <c r="D3624" s="27" t="s">
        <v>762</v>
      </c>
      <c r="E3624" s="21">
        <f>IF(D3624="?OLD","!!!","")</f>
        <v/>
      </c>
      <c r="F3624" s="22" t="str">
        <f>IF(OR(E3624="",E3624="!!!"),"",IF(NOT(ISNA(VLOOKUP(E3624,E$1:E3623,1,FALSE()))),"OLD",IF(AND(E3624&lt;&gt;"",E3624&lt;&gt;"!!!"),"NEW","")))</f>
        <v> </v>
      </c>
      <c r="G3624" s="23" t="str">
        <f>IF(OR(E3624="",E3624="!!!"),"",IF(OR(J3624=0,AND(J3624=1,K3624=1),AND(J3624=1,I3624="SBJ"),AND(J3624=1,I3624=0)),"?IN_FOCUS",IF(J3624&lt;=2,"?ACTIVATED",IF(J3624&lt;&gt;"","?FAMILIAR",IF(F3624="NEW",IF(ISNA(VLOOKUP(E3624,#REF!,1,FALSE())),"?TYPE_IDENTIFIABLE","?REFERENTIAL"),"_")))))</f>
        <v> </v>
      </c>
      <c r="H3624" s="24" t="str">
        <f>IF(J3624&lt;&gt;1,"",IF(I3624="SBJ","CB","?"))</f>
        <v> </v>
      </c>
      <c r="I3624" s="25" t="str">
        <f>IF(OR(E3624="",E3624="!!!",F3624="NEW"),"",INDEX(B3623:B$2,-1+SUMPRODUCT(MAX(ROW(E3623:E$2)*(E3624=E3623:E$2)))))</f>
        <v> </v>
      </c>
      <c r="J3624" s="25" t="str">
        <f>IF(OR(E3624="",E3624="!!!",F3624="NEW"),"",COUNTBLANK(OFFSET(A$1,,,SUMPRODUCT(MAX(ROW(E$2:E3624)*(E3624=E$2:E3624)))))-COUNTBLANK(OFFSET(A$1,,,SUMPRODUCT(MAX(ROW(E$1:E3623)*(E2=E$1:E3623))))))</f>
        <v> </v>
      </c>
      <c r="K3624" s="25" t="str">
        <f>IF(OR(E3624="",E3624="!!!",F3624="NEW"),"",INDEX(J$1:J3623,SUMPRODUCT(MAX(ROW(E$1:E3623)*(E3624=E$1:E3623)))))</f>
        <v> </v>
      </c>
      <c r="L3624" s="26"/>
    </row>
    <row r="3625" spans="1:12">
      <c r="A3625" s="20" t="s">
        <v>889</v>
      </c>
      <c r="B3625" s="27" t="s">
        <v>1236</v>
      </c>
      <c r="E3625" s="21">
        <f>IF(D3625="?OLD","!!!","")</f>
        <v/>
      </c>
      <c r="F3625" s="22" t="str">
        <f>IF(OR(E3625="",E3625="!!!"),"",IF(NOT(ISNA(VLOOKUP(E3625,E$1:E3624,1,FALSE()))),"OLD",IF(AND(E3625&lt;&gt;"",E3625&lt;&gt;"!!!"),"NEW","")))</f>
        <v> </v>
      </c>
      <c r="G3625" s="23" t="str">
        <f>IF(OR(E3625="",E3625="!!!"),"",IF(OR(J3625=0,AND(J3625=1,K3625=1),AND(J3625=1,I3625="SBJ"),AND(J3625=1,I3625=0)),"?IN_FOCUS",IF(J3625&lt;=2,"?ACTIVATED",IF(J3625&lt;&gt;"","?FAMILIAR",IF(F3625="NEW",IF(ISNA(VLOOKUP(E3625,#REF!,1,FALSE())),"?TYPE_IDENTIFIABLE","?REFERENTIAL"),"_")))))</f>
        <v> </v>
      </c>
      <c r="H3625" s="24" t="str">
        <f>IF(J3625&lt;&gt;1,"",IF(I3625="SBJ","CB","?"))</f>
        <v> </v>
      </c>
      <c r="I3625" s="25" t="str">
        <f>IF(OR(E3625="",E3625="!!!",F3625="NEW"),"",INDEX(B3624:B$2,-1+SUMPRODUCT(MAX(ROW(E3624:E$2)*(E3625=E3624:E$2)))))</f>
        <v> </v>
      </c>
      <c r="J3625" s="25" t="str">
        <f>IF(OR(E3625="",E3625="!!!",F3625="NEW"),"",COUNTBLANK(OFFSET(A$1,,,SUMPRODUCT(MAX(ROW(E$2:E3625)*(E3625=E$2:E3625)))))-COUNTBLANK(OFFSET(A$1,,,SUMPRODUCT(MAX(ROW(E$1:E3624)*(E2=E$1:E3624))))))</f>
        <v> </v>
      </c>
      <c r="K3625" s="25" t="str">
        <f>IF(OR(E3625="",E3625="!!!",F3625="NEW"),"",INDEX(J$1:J3624,SUMPRODUCT(MAX(ROW(E$1:E3624)*(E3625=E$1:E3624)))))</f>
        <v> </v>
      </c>
      <c r="L3625" s="26"/>
    </row>
    <row r="3626" spans="1:12">
      <c r="A3626" s="20" t="s">
        <v>1155</v>
      </c>
      <c r="B3626" s="27" t="s">
        <v>1080</v>
      </c>
      <c r="C3626" s="27" t="s">
        <v>797</v>
      </c>
      <c r="D3626" s="27" t="s">
        <v>762</v>
      </c>
      <c r="E3626" s="21">
        <f>IF(D3626="?OLD","!!!","")</f>
        <v/>
      </c>
      <c r="F3626" s="22" t="str">
        <f>IF(OR(E3626="",E3626="!!!"),"",IF(NOT(ISNA(VLOOKUP(E3626,E$1:E3625,1,FALSE()))),"OLD",IF(AND(E3626&lt;&gt;"",E3626&lt;&gt;"!!!"),"NEW","")))</f>
        <v> </v>
      </c>
      <c r="G3626" s="23" t="str">
        <f>IF(OR(E3626="",E3626="!!!"),"",IF(OR(J3626=0,AND(J3626=1,K3626=1),AND(J3626=1,I3626="SBJ"),AND(J3626=1,I3626=0)),"?IN_FOCUS",IF(J3626&lt;=2,"?ACTIVATED",IF(J3626&lt;&gt;"","?FAMILIAR",IF(F3626="NEW",IF(ISNA(VLOOKUP(E3626,#REF!,1,FALSE())),"?TYPE_IDENTIFIABLE","?REFERENTIAL"),"_")))))</f>
        <v> </v>
      </c>
      <c r="H3626" s="24" t="str">
        <f>IF(J3626&lt;&gt;1,"",IF(I3626="SBJ","CB","?"))</f>
        <v> </v>
      </c>
      <c r="I3626" s="25" t="str">
        <f>IF(OR(E3626="",E3626="!!!",F3626="NEW"),"",INDEX(B3625:B$2,-1+SUMPRODUCT(MAX(ROW(E3625:E$2)*(E3626=E3625:E$2)))))</f>
        <v> </v>
      </c>
      <c r="J3626" s="25" t="str">
        <f>IF(OR(E3626="",E3626="!!!",F3626="NEW"),"",COUNTBLANK(OFFSET(A$1,,,SUMPRODUCT(MAX(ROW(E$2:E3626)*(E3626=E$2:E3626)))))-COUNTBLANK(OFFSET(A$1,,,SUMPRODUCT(MAX(ROW(E$1:E3625)*(E2=E$1:E3625))))))</f>
        <v> </v>
      </c>
      <c r="K3626" s="25" t="str">
        <f>IF(OR(E3626="",E3626="!!!",F3626="NEW"),"",INDEX(J$1:J3625,SUMPRODUCT(MAX(ROW(E$1:E3625)*(E3626=E$1:E3625)))))</f>
        <v> </v>
      </c>
      <c r="L3626" s="26"/>
    </row>
    <row r="3627" spans="1:12">
      <c r="A3627" s="20" t="s">
        <v>903</v>
      </c>
      <c r="B3627" s="27" t="s">
        <v>1236</v>
      </c>
      <c r="C3627" s="27" t="s">
        <v>797</v>
      </c>
      <c r="D3627" s="27" t="s">
        <v>762</v>
      </c>
      <c r="E3627" s="21">
        <f>IF(D3627="?OLD","!!!","")</f>
        <v/>
      </c>
      <c r="F3627" s="22" t="str">
        <f>IF(OR(E3627="",E3627="!!!"),"",IF(NOT(ISNA(VLOOKUP(E3627,E$1:E3626,1,FALSE()))),"OLD",IF(AND(E3627&lt;&gt;"",E3627&lt;&gt;"!!!"),"NEW","")))</f>
        <v> </v>
      </c>
      <c r="G3627" s="23" t="str">
        <f>IF(OR(E3627="",E3627="!!!"),"",IF(OR(J3627=0,AND(J3627=1,K3627=1),AND(J3627=1,I3627="SBJ"),AND(J3627=1,I3627=0)),"?IN_FOCUS",IF(J3627&lt;=2,"?ACTIVATED",IF(J3627&lt;&gt;"","?FAMILIAR",IF(F3627="NEW",IF(ISNA(VLOOKUP(E3627,#REF!,1,FALSE())),"?TYPE_IDENTIFIABLE","?REFERENTIAL"),"_")))))</f>
        <v> </v>
      </c>
      <c r="H3627" s="24" t="str">
        <f>IF(J3627&lt;&gt;1,"",IF(I3627="SBJ","CB","?"))</f>
        <v> </v>
      </c>
      <c r="I3627" s="25" t="str">
        <f>IF(OR(E3627="",E3627="!!!",F3627="NEW"),"",INDEX(B3626:B$2,-1+SUMPRODUCT(MAX(ROW(E3626:E$2)*(E3627=E3626:E$2)))))</f>
        <v> </v>
      </c>
      <c r="J3627" s="25" t="str">
        <f>IF(OR(E3627="",E3627="!!!",F3627="NEW"),"",COUNTBLANK(OFFSET(A$1,,,SUMPRODUCT(MAX(ROW(E$2:E3627)*(E3627=E$2:E3627)))))-COUNTBLANK(OFFSET(A$1,,,SUMPRODUCT(MAX(ROW(E$1:E3626)*(E2=E$1:E3626))))))</f>
        <v> </v>
      </c>
      <c r="K3627" s="25" t="str">
        <f>IF(OR(E3627="",E3627="!!!",F3627="NEW"),"",INDEX(J$1:J3626,SUMPRODUCT(MAX(ROW(E$1:E3626)*(E3627=E$1:E3626)))))</f>
        <v> </v>
      </c>
      <c r="L3627" s="26"/>
    </row>
    <row r="3628" spans="1:12">
      <c r="A3628" s="20" t="s">
        <v>1004</v>
      </c>
      <c r="E3628" s="21">
        <f>IF(D3628="?OLD","!!!","")</f>
        <v/>
      </c>
      <c r="F3628" s="22" t="str">
        <f>IF(OR(E3628="",E3628="!!!"),"",IF(NOT(ISNA(VLOOKUP(E3628,E$1:E3627,1,FALSE()))),"OLD",IF(AND(E3628&lt;&gt;"",E3628&lt;&gt;"!!!"),"NEW","")))</f>
        <v> </v>
      </c>
      <c r="G3628" s="23" t="str">
        <f>IF(OR(E3628="",E3628="!!!"),"",IF(OR(J3628=0,AND(J3628=1,K3628=1),AND(J3628=1,I3628="SBJ"),AND(J3628=1,I3628=0)),"?IN_FOCUS",IF(J3628&lt;=2,"?ACTIVATED",IF(J3628&lt;&gt;"","?FAMILIAR",IF(F3628="NEW",IF(ISNA(VLOOKUP(E3628,#REF!,1,FALSE())),"?TYPE_IDENTIFIABLE","?REFERENTIAL"),"_")))))</f>
        <v> </v>
      </c>
      <c r="H3628" s="24" t="str">
        <f>IF(J3628&lt;&gt;1,"",IF(I3628="SBJ","CB","?"))</f>
        <v> </v>
      </c>
      <c r="I3628" s="25" t="str">
        <f>IF(OR(E3628="",E3628="!!!",F3628="NEW"),"",INDEX(B3627:B$2,-1+SUMPRODUCT(MAX(ROW(E3627:E$2)*(E3628=E3627:E$2)))))</f>
        <v> </v>
      </c>
      <c r="J3628" s="25" t="str">
        <f>IF(OR(E3628="",E3628="!!!",F3628="NEW"),"",COUNTBLANK(OFFSET(A$1,,,SUMPRODUCT(MAX(ROW(E$2:E3628)*(E3628=E$2:E3628)))))-COUNTBLANK(OFFSET(A$1,,,SUMPRODUCT(MAX(ROW(E$1:E3627)*(E2=E$1:E3627))))))</f>
        <v> </v>
      </c>
      <c r="K3628" s="25" t="str">
        <f>IF(OR(E3628="",E3628="!!!",F3628="NEW"),"",INDEX(J$1:J3627,SUMPRODUCT(MAX(ROW(E$1:E3627)*(E3628=E$1:E3627)))))</f>
        <v> </v>
      </c>
      <c r="L3628" s="26"/>
    </row>
    <row r="3629" spans="1:12">
      <c r="A3629" s="20" t="s">
        <v>1819</v>
      </c>
      <c r="E3629" s="21">
        <f>IF(D3629="?OLD","!!!","")</f>
        <v/>
      </c>
      <c r="F3629" s="22" t="str">
        <f>IF(OR(E3629="",E3629="!!!"),"",IF(NOT(ISNA(VLOOKUP(E3629,E$1:E3628,1,FALSE()))),"OLD",IF(AND(E3629&lt;&gt;"",E3629&lt;&gt;"!!!"),"NEW","")))</f>
        <v> </v>
      </c>
      <c r="G3629" s="23" t="str">
        <f>IF(OR(E3629="",E3629="!!!"),"",IF(OR(J3629=0,AND(J3629=1,K3629=1),AND(J3629=1,I3629="SBJ"),AND(J3629=1,I3629=0)),"?IN_FOCUS",IF(J3629&lt;=2,"?ACTIVATED",IF(J3629&lt;&gt;"","?FAMILIAR",IF(F3629="NEW",IF(ISNA(VLOOKUP(E3629,#REF!,1,FALSE())),"?TYPE_IDENTIFIABLE","?REFERENTIAL"),"_")))))</f>
        <v> </v>
      </c>
      <c r="H3629" s="24" t="str">
        <f>IF(J3629&lt;&gt;1,"",IF(I3629="SBJ","CB","?"))</f>
        <v> </v>
      </c>
      <c r="I3629" s="25" t="str">
        <f>IF(OR(E3629="",E3629="!!!",F3629="NEW"),"",INDEX(B3628:B$2,-1+SUMPRODUCT(MAX(ROW(E3628:E$2)*(E3629=E3628:E$2)))))</f>
        <v> </v>
      </c>
      <c r="J3629" s="25" t="str">
        <f>IF(OR(E3629="",E3629="!!!",F3629="NEW"),"",COUNTBLANK(OFFSET(A$1,,,SUMPRODUCT(MAX(ROW(E$2:E3629)*(E3629=E$2:E3629)))))-COUNTBLANK(OFFSET(A$1,,,SUMPRODUCT(MAX(ROW(E$1:E3628)*(E2=E$1:E3628))))))</f>
        <v> </v>
      </c>
      <c r="K3629" s="25" t="str">
        <f>IF(OR(E3629="",E3629="!!!",F3629="NEW"),"",INDEX(J$1:J3628,SUMPRODUCT(MAX(ROW(E$1:E3628)*(E3629=E$1:E3628)))))</f>
        <v> </v>
      </c>
      <c r="L3629" s="26"/>
    </row>
    <row r="3630" spans="1:12">
      <c r="A3630" s="20" t="s">
        <v>1202</v>
      </c>
      <c r="E3630" s="21">
        <f>IF(D3630="?OLD","!!!","")</f>
        <v/>
      </c>
      <c r="F3630" s="22" t="str">
        <f>IF(OR(E3630="",E3630="!!!"),"",IF(NOT(ISNA(VLOOKUP(E3630,E$1:E3629,1,FALSE()))),"OLD",IF(AND(E3630&lt;&gt;"",E3630&lt;&gt;"!!!"),"NEW","")))</f>
        <v> </v>
      </c>
      <c r="G3630" s="23" t="str">
        <f>IF(OR(E3630="",E3630="!!!"),"",IF(OR(J3630=0,AND(J3630=1,K3630=1),AND(J3630=1,I3630="SBJ"),AND(J3630=1,I3630=0)),"?IN_FOCUS",IF(J3630&lt;=2,"?ACTIVATED",IF(J3630&lt;&gt;"","?FAMILIAR",IF(F3630="NEW",IF(ISNA(VLOOKUP(E3630,#REF!,1,FALSE())),"?TYPE_IDENTIFIABLE","?REFERENTIAL"),"_")))))</f>
        <v> </v>
      </c>
      <c r="H3630" s="24" t="str">
        <f>IF(J3630&lt;&gt;1,"",IF(I3630="SBJ","CB","?"))</f>
        <v> </v>
      </c>
      <c r="I3630" s="25" t="str">
        <f>IF(OR(E3630="",E3630="!!!",F3630="NEW"),"",INDEX(B3629:B$2,-1+SUMPRODUCT(MAX(ROW(E3629:E$2)*(E3630=E3629:E$2)))))</f>
        <v> </v>
      </c>
      <c r="J3630" s="25" t="str">
        <f>IF(OR(E3630="",E3630="!!!",F3630="NEW"),"",COUNTBLANK(OFFSET(A$1,,,SUMPRODUCT(MAX(ROW(E$2:E3630)*(E3630=E$2:E3630)))))-COUNTBLANK(OFFSET(A$1,,,SUMPRODUCT(MAX(ROW(E$1:E3629)*(E2=E$1:E3629))))))</f>
        <v> </v>
      </c>
      <c r="K3630" s="25" t="str">
        <f>IF(OR(E3630="",E3630="!!!",F3630="NEW"),"",INDEX(J$1:J3629,SUMPRODUCT(MAX(ROW(E$1:E3629)*(E3630=E$1:E3629)))))</f>
        <v> </v>
      </c>
      <c r="L3630" s="26"/>
    </row>
    <row r="3631" spans="1:12">
      <c r="A3631" s="20" t="s">
        <v>421</v>
      </c>
      <c r="E3631" s="21">
        <f>IF(D3631="?OLD","!!!","")</f>
        <v/>
      </c>
      <c r="F3631" s="22" t="str">
        <f>IF(OR(E3631="",E3631="!!!"),"",IF(NOT(ISNA(VLOOKUP(E3631,E$1:E3630,1,FALSE()))),"OLD",IF(AND(E3631&lt;&gt;"",E3631&lt;&gt;"!!!"),"NEW","")))</f>
        <v> </v>
      </c>
      <c r="G3631" s="23" t="str">
        <f>IF(OR(E3631="",E3631="!!!"),"",IF(OR(J3631=0,AND(J3631=1,K3631=1),AND(J3631=1,I3631="SBJ"),AND(J3631=1,I3631=0)),"?IN_FOCUS",IF(J3631&lt;=2,"?ACTIVATED",IF(J3631&lt;&gt;"","?FAMILIAR",IF(F3631="NEW",IF(ISNA(VLOOKUP(E3631,#REF!,1,FALSE())),"?TYPE_IDENTIFIABLE","?REFERENTIAL"),"_")))))</f>
        <v> </v>
      </c>
      <c r="H3631" s="24" t="str">
        <f>IF(J3631&lt;&gt;1,"",IF(I3631="SBJ","CB","?"))</f>
        <v> </v>
      </c>
      <c r="I3631" s="25" t="str">
        <f>IF(OR(E3631="",E3631="!!!",F3631="NEW"),"",INDEX(B3630:B$2,-1+SUMPRODUCT(MAX(ROW(E3630:E$2)*(E3631=E3630:E$2)))))</f>
        <v> </v>
      </c>
      <c r="J3631" s="25" t="str">
        <f>IF(OR(E3631="",E3631="!!!",F3631="NEW"),"",COUNTBLANK(OFFSET(A$1,,,SUMPRODUCT(MAX(ROW(E$2:E3631)*(E3631=E$2:E3631)))))-COUNTBLANK(OFFSET(A$1,,,SUMPRODUCT(MAX(ROW(E$1:E3630)*(E2=E$1:E3630))))))</f>
        <v> </v>
      </c>
      <c r="K3631" s="25" t="str">
        <f>IF(OR(E3631="",E3631="!!!",F3631="NEW"),"",INDEX(J$1:J3630,SUMPRODUCT(MAX(ROW(E$1:E3630)*(E3631=E$1:E3630)))))</f>
        <v> </v>
      </c>
      <c r="L3631" s="26"/>
    </row>
    <row r="3632" spans="1:12">
      <c r="A3632" s="20" t="s">
        <v>1821</v>
      </c>
      <c r="E3632" s="21">
        <f>IF(D3632="?OLD","!!!","")</f>
        <v/>
      </c>
      <c r="F3632" s="22" t="str">
        <f>IF(OR(E3632="",E3632="!!!"),"",IF(NOT(ISNA(VLOOKUP(E3632,E$1:E3631,1,FALSE()))),"OLD",IF(AND(E3632&lt;&gt;"",E3632&lt;&gt;"!!!"),"NEW","")))</f>
        <v> </v>
      </c>
      <c r="G3632" s="23" t="str">
        <f>IF(OR(E3632="",E3632="!!!"),"",IF(OR(J3632=0,AND(J3632=1,K3632=1),AND(J3632=1,I3632="SBJ"),AND(J3632=1,I3632=0)),"?IN_FOCUS",IF(J3632&lt;=2,"?ACTIVATED",IF(J3632&lt;&gt;"","?FAMILIAR",IF(F3632="NEW",IF(ISNA(VLOOKUP(E3632,#REF!,1,FALSE())),"?TYPE_IDENTIFIABLE","?REFERENTIAL"),"_")))))</f>
        <v> </v>
      </c>
      <c r="H3632" s="24" t="str">
        <f>IF(J3632&lt;&gt;1,"",IF(I3632="SBJ","CB","?"))</f>
        <v> </v>
      </c>
      <c r="I3632" s="25" t="str">
        <f>IF(OR(E3632="",E3632="!!!",F3632="NEW"),"",INDEX(B3631:B$2,-1+SUMPRODUCT(MAX(ROW(E3631:E$2)*(E3632=E3631:E$2)))))</f>
        <v> </v>
      </c>
      <c r="J3632" s="25" t="str">
        <f>IF(OR(E3632="",E3632="!!!",F3632="NEW"),"",COUNTBLANK(OFFSET(A$1,,,SUMPRODUCT(MAX(ROW(E$2:E3632)*(E3632=E$2:E3632)))))-COUNTBLANK(OFFSET(A$1,,,SUMPRODUCT(MAX(ROW(E$1:E3631)*(E2=E$1:E3631))))))</f>
        <v> </v>
      </c>
      <c r="K3632" s="25" t="str">
        <f>IF(OR(E3632="",E3632="!!!",F3632="NEW"),"",INDEX(J$1:J3631,SUMPRODUCT(MAX(ROW(E$1:E3631)*(E3632=E$1:E3631)))))</f>
        <v> </v>
      </c>
      <c r="L3632" s="26"/>
    </row>
    <row r="3633" spans="1:12">
      <c r="A3633" s="20" t="s">
        <v>818</v>
      </c>
      <c r="E3633" s="21">
        <f>IF(D3633="?OLD","!!!","")</f>
        <v/>
      </c>
      <c r="F3633" s="22" t="str">
        <f>IF(OR(E3633="",E3633="!!!"),"",IF(NOT(ISNA(VLOOKUP(E3633,E$1:E3632,1,FALSE()))),"OLD",IF(AND(E3633&lt;&gt;"",E3633&lt;&gt;"!!!"),"NEW","")))</f>
        <v> </v>
      </c>
      <c r="G3633" s="23" t="str">
        <f>IF(OR(E3633="",E3633="!!!"),"",IF(OR(J3633=0,AND(J3633=1,K3633=1),AND(J3633=1,I3633="SBJ"),AND(J3633=1,I3633=0)),"?IN_FOCUS",IF(J3633&lt;=2,"?ACTIVATED",IF(J3633&lt;&gt;"","?FAMILIAR",IF(F3633="NEW",IF(ISNA(VLOOKUP(E3633,#REF!,1,FALSE())),"?TYPE_IDENTIFIABLE","?REFERENTIAL"),"_")))))</f>
        <v> </v>
      </c>
      <c r="H3633" s="24" t="str">
        <f>IF(J3633&lt;&gt;1,"",IF(I3633="SBJ","CB","?"))</f>
        <v> </v>
      </c>
      <c r="I3633" s="25" t="str">
        <f>IF(OR(E3633="",E3633="!!!",F3633="NEW"),"",INDEX(B3632:B$2,-1+SUMPRODUCT(MAX(ROW(E3632:E$2)*(E3633=E3632:E$2)))))</f>
        <v> </v>
      </c>
      <c r="J3633" s="25" t="str">
        <f>IF(OR(E3633="",E3633="!!!",F3633="NEW"),"",COUNTBLANK(OFFSET(A$1,,,SUMPRODUCT(MAX(ROW(E$2:E3633)*(E3633=E$2:E3633)))))-COUNTBLANK(OFFSET(A$1,,,SUMPRODUCT(MAX(ROW(E$1:E3632)*(E2=E$1:E3632))))))</f>
        <v> </v>
      </c>
      <c r="K3633" s="25" t="str">
        <f>IF(OR(E3633="",E3633="!!!",F3633="NEW"),"",INDEX(J$1:J3632,SUMPRODUCT(MAX(ROW(E$1:E3632)*(E3633=E$1:E3632)))))</f>
        <v> </v>
      </c>
      <c r="L3633" s="26"/>
    </row>
    <row r="3634" spans="1:12">
      <c r="A3634" s="20" t="s">
        <v>903</v>
      </c>
      <c r="B3634" s="27" t="s">
        <v>802</v>
      </c>
      <c r="C3634" s="27" t="s">
        <v>797</v>
      </c>
      <c r="D3634" s="27" t="s">
        <v>762</v>
      </c>
      <c r="E3634" s="21">
        <f>IF(D3634="?OLD","!!!","")</f>
        <v/>
      </c>
      <c r="F3634" s="22" t="str">
        <f>IF(OR(E3634="",E3634="!!!"),"",IF(NOT(ISNA(VLOOKUP(E3634,E$1:E3633,1,FALSE()))),"OLD",IF(AND(E3634&lt;&gt;"",E3634&lt;&gt;"!!!"),"NEW","")))</f>
        <v> </v>
      </c>
      <c r="G3634" s="23" t="str">
        <f>IF(OR(E3634="",E3634="!!!"),"",IF(OR(J3634=0,AND(J3634=1,K3634=1),AND(J3634=1,I3634="SBJ"),AND(J3634=1,I3634=0)),"?IN_FOCUS",IF(J3634&lt;=2,"?ACTIVATED",IF(J3634&lt;&gt;"","?FAMILIAR",IF(F3634="NEW",IF(ISNA(VLOOKUP(E3634,#REF!,1,FALSE())),"?TYPE_IDENTIFIABLE","?REFERENTIAL"),"_")))))</f>
        <v> </v>
      </c>
      <c r="H3634" s="24" t="str">
        <f>IF(J3634&lt;&gt;1,"",IF(I3634="SBJ","CB","?"))</f>
        <v> </v>
      </c>
      <c r="I3634" s="25" t="str">
        <f>IF(OR(E3634="",E3634="!!!",F3634="NEW"),"",INDEX(B3633:B$2,-1+SUMPRODUCT(MAX(ROW(E3633:E$2)*(E3634=E3633:E$2)))))</f>
        <v> </v>
      </c>
      <c r="J3634" s="25" t="str">
        <f>IF(OR(E3634="",E3634="!!!",F3634="NEW"),"",COUNTBLANK(OFFSET(A$1,,,SUMPRODUCT(MAX(ROW(E$2:E3634)*(E3634=E$2:E3634)))))-COUNTBLANK(OFFSET(A$1,,,SUMPRODUCT(MAX(ROW(E$1:E3633)*(E2=E$1:E3633))))))</f>
        <v> </v>
      </c>
      <c r="K3634" s="25" t="str">
        <f>IF(OR(E3634="",E3634="!!!",F3634="NEW"),"",INDEX(J$1:J3633,SUMPRODUCT(MAX(ROW(E$1:E3633)*(E3634=E$1:E3633)))))</f>
        <v> </v>
      </c>
      <c r="L3634" s="26"/>
    </row>
    <row r="3635" spans="1:12">
      <c r="A3635" s="20" t="s">
        <v>887</v>
      </c>
      <c r="E3635" s="21">
        <f>IF(D3635="?OLD","!!!","")</f>
        <v/>
      </c>
      <c r="F3635" s="22" t="str">
        <f>IF(OR(E3635="",E3635="!!!"),"",IF(NOT(ISNA(VLOOKUP(E3635,E$1:E3634,1,FALSE()))),"OLD",IF(AND(E3635&lt;&gt;"",E3635&lt;&gt;"!!!"),"NEW","")))</f>
        <v> </v>
      </c>
      <c r="G3635" s="23" t="str">
        <f>IF(OR(E3635="",E3635="!!!"),"",IF(OR(J3635=0,AND(J3635=1,K3635=1),AND(J3635=1,I3635="SBJ"),AND(J3635=1,I3635=0)),"?IN_FOCUS",IF(J3635&lt;=2,"?ACTIVATED",IF(J3635&lt;&gt;"","?FAMILIAR",IF(F3635="NEW",IF(ISNA(VLOOKUP(E3635,#REF!,1,FALSE())),"?TYPE_IDENTIFIABLE","?REFERENTIAL"),"_")))))</f>
        <v> </v>
      </c>
      <c r="H3635" s="24" t="str">
        <f>IF(J3635&lt;&gt;1,"",IF(I3635="SBJ","CB","?"))</f>
        <v> </v>
      </c>
      <c r="I3635" s="25" t="str">
        <f>IF(OR(E3635="",E3635="!!!",F3635="NEW"),"",INDEX(B3634:B$2,-1+SUMPRODUCT(MAX(ROW(E3634:E$2)*(E3635=E3634:E$2)))))</f>
        <v> </v>
      </c>
      <c r="J3635" s="25" t="str">
        <f>IF(OR(E3635="",E3635="!!!",F3635="NEW"),"",COUNTBLANK(OFFSET(A$1,,,SUMPRODUCT(MAX(ROW(E$2:E3635)*(E3635=E$2:E3635)))))-COUNTBLANK(OFFSET(A$1,,,SUMPRODUCT(MAX(ROW(E$1:E3634)*(E2=E$1:E3634))))))</f>
        <v> </v>
      </c>
      <c r="K3635" s="25" t="str">
        <f>IF(OR(E3635="",E3635="!!!",F3635="NEW"),"",INDEX(J$1:J3634,SUMPRODUCT(MAX(ROW(E$1:E3634)*(E3635=E$1:E3634)))))</f>
        <v> </v>
      </c>
      <c r="L3635" s="26"/>
    </row>
    <row r="3636" spans="1:12">
      <c r="A3636" s="20" t="s">
        <v>1822</v>
      </c>
      <c r="E3636" s="21">
        <f>IF(D3636="?OLD","!!!","")</f>
        <v/>
      </c>
      <c r="F3636" s="22" t="str">
        <f>IF(OR(E3636="",E3636="!!!"),"",IF(NOT(ISNA(VLOOKUP(E3636,E$1:E3635,1,FALSE()))),"OLD",IF(AND(E3636&lt;&gt;"",E3636&lt;&gt;"!!!"),"NEW","")))</f>
        <v> </v>
      </c>
      <c r="G3636" s="23" t="str">
        <f>IF(OR(E3636="",E3636="!!!"),"",IF(OR(J3636=0,AND(J3636=1,K3636=1),AND(J3636=1,I3636="SBJ"),AND(J3636=1,I3636=0)),"?IN_FOCUS",IF(J3636&lt;=2,"?ACTIVATED",IF(J3636&lt;&gt;"","?FAMILIAR",IF(F3636="NEW",IF(ISNA(VLOOKUP(E3636,#REF!,1,FALSE())),"?TYPE_IDENTIFIABLE","?REFERENTIAL"),"_")))))</f>
        <v> </v>
      </c>
      <c r="H3636" s="24" t="str">
        <f>IF(J3636&lt;&gt;1,"",IF(I3636="SBJ","CB","?"))</f>
        <v> </v>
      </c>
      <c r="I3636" s="25" t="str">
        <f>IF(OR(E3636="",E3636="!!!",F3636="NEW"),"",INDEX(B3635:B$2,-1+SUMPRODUCT(MAX(ROW(E3635:E$2)*(E3636=E3635:E$2)))))</f>
        <v> </v>
      </c>
      <c r="J3636" s="25" t="str">
        <f>IF(OR(E3636="",E3636="!!!",F3636="NEW"),"",COUNTBLANK(OFFSET(A$1,,,SUMPRODUCT(MAX(ROW(E$2:E3636)*(E3636=E$2:E3636)))))-COUNTBLANK(OFFSET(A$1,,,SUMPRODUCT(MAX(ROW(E$1:E3635)*(E2=E$1:E3635))))))</f>
        <v> </v>
      </c>
      <c r="K3636" s="25" t="str">
        <f>IF(OR(E3636="",E3636="!!!",F3636="NEW"),"",INDEX(J$1:J3635,SUMPRODUCT(MAX(ROW(E$1:E3635)*(E3636=E$1:E3635)))))</f>
        <v> </v>
      </c>
      <c r="L3636" s="26"/>
    </row>
    <row r="3637" spans="1:12">
      <c r="A3637" s="20" t="s">
        <v>862</v>
      </c>
      <c r="B3637" s="27" t="s">
        <v>796</v>
      </c>
      <c r="C3637" s="27" t="s">
        <v>797</v>
      </c>
      <c r="D3637" s="27" t="s">
        <v>762</v>
      </c>
      <c r="E3637" s="21">
        <f>IF(D3637="?OLD","!!!","")</f>
        <v/>
      </c>
      <c r="F3637" s="22" t="str">
        <f>IF(OR(E3637="",E3637="!!!"),"",IF(NOT(ISNA(VLOOKUP(E3637,E$1:E3636,1,FALSE()))),"OLD",IF(AND(E3637&lt;&gt;"",E3637&lt;&gt;"!!!"),"NEW","")))</f>
        <v> </v>
      </c>
      <c r="G3637" s="23" t="str">
        <f>IF(OR(E3637="",E3637="!!!"),"",IF(OR(J3637=0,AND(J3637=1,K3637=1),AND(J3637=1,I3637="SBJ"),AND(J3637=1,I3637=0)),"?IN_FOCUS",IF(J3637&lt;=2,"?ACTIVATED",IF(J3637&lt;&gt;"","?FAMILIAR",IF(F3637="NEW",IF(ISNA(VLOOKUP(E3637,#REF!,1,FALSE())),"?TYPE_IDENTIFIABLE","?REFERENTIAL"),"_")))))</f>
        <v> </v>
      </c>
      <c r="H3637" s="24" t="str">
        <f>IF(J3637&lt;&gt;1,"",IF(I3637="SBJ","CB","?"))</f>
        <v> </v>
      </c>
      <c r="I3637" s="25" t="str">
        <f>IF(OR(E3637="",E3637="!!!",F3637="NEW"),"",INDEX(B3636:B$2,-1+SUMPRODUCT(MAX(ROW(E3636:E$2)*(E3637=E3636:E$2)))))</f>
        <v> </v>
      </c>
      <c r="J3637" s="25" t="str">
        <f>IF(OR(E3637="",E3637="!!!",F3637="NEW"),"",COUNTBLANK(OFFSET(A$1,,,SUMPRODUCT(MAX(ROW(E$2:E3637)*(E3637=E$2:E3637)))))-COUNTBLANK(OFFSET(A$1,,,SUMPRODUCT(MAX(ROW(E$1:E3636)*(E2=E$1:E3636))))))</f>
        <v> </v>
      </c>
      <c r="K3637" s="25" t="str">
        <f>IF(OR(E3637="",E3637="!!!",F3637="NEW"),"",INDEX(J$1:J3636,SUMPRODUCT(MAX(ROW(E$1:E3636)*(E3637=E$1:E3636)))))</f>
        <v> </v>
      </c>
      <c r="L3637" s="26"/>
    </row>
    <row r="3638" spans="1:12">
      <c r="A3638" s="20" t="s">
        <v>888</v>
      </c>
      <c r="E3638" s="21">
        <f>IF(D3638="?OLD","!!!","")</f>
        <v/>
      </c>
      <c r="F3638" s="22" t="str">
        <f>IF(OR(E3638="",E3638="!!!"),"",IF(NOT(ISNA(VLOOKUP(E3638,E$1:E3637,1,FALSE()))),"OLD",IF(AND(E3638&lt;&gt;"",E3638&lt;&gt;"!!!"),"NEW","")))</f>
        <v> </v>
      </c>
      <c r="G3638" s="23" t="str">
        <f>IF(OR(E3638="",E3638="!!!"),"",IF(OR(J3638=0,AND(J3638=1,K3638=1),AND(J3638=1,I3638="SBJ"),AND(J3638=1,I3638=0)),"?IN_FOCUS",IF(J3638&lt;=2,"?ACTIVATED",IF(J3638&lt;&gt;"","?FAMILIAR",IF(F3638="NEW",IF(ISNA(VLOOKUP(E3638,#REF!,1,FALSE())),"?TYPE_IDENTIFIABLE","?REFERENTIAL"),"_")))))</f>
        <v> </v>
      </c>
      <c r="H3638" s="24" t="str">
        <f>IF(J3638&lt;&gt;1,"",IF(I3638="SBJ","CB","?"))</f>
        <v> </v>
      </c>
      <c r="I3638" s="25" t="str">
        <f>IF(OR(E3638="",E3638="!!!",F3638="NEW"),"",INDEX(B3637:B$2,-1+SUMPRODUCT(MAX(ROW(E3637:E$2)*(E3638=E3637:E$2)))))</f>
        <v> </v>
      </c>
      <c r="J3638" s="25" t="str">
        <f>IF(OR(E3638="",E3638="!!!",F3638="NEW"),"",COUNTBLANK(OFFSET(A$1,,,SUMPRODUCT(MAX(ROW(E$2:E3638)*(E3638=E$2:E3638)))))-COUNTBLANK(OFFSET(A$1,,,SUMPRODUCT(MAX(ROW(E$1:E3637)*(E2=E$1:E3637))))))</f>
        <v> </v>
      </c>
      <c r="K3638" s="25" t="str">
        <f>IF(OR(E3638="",E3638="!!!",F3638="NEW"),"",INDEX(J$1:J3637,SUMPRODUCT(MAX(ROW(E$1:E3637)*(E3638=E$1:E3637)))))</f>
        <v> </v>
      </c>
      <c r="L3638" s="26"/>
    </row>
    <row r="3639" spans="1:12">
      <c r="A3639" s="20" t="s">
        <v>774</v>
      </c>
      <c r="E3639" s="21">
        <f>IF(D3639="?OLD","!!!","")</f>
        <v/>
      </c>
      <c r="F3639" s="22" t="str">
        <f>IF(OR(E3639="",E3639="!!!"),"",IF(NOT(ISNA(VLOOKUP(E3639,E$1:E3638,1,FALSE()))),"OLD",IF(AND(E3639&lt;&gt;"",E3639&lt;&gt;"!!!"),"NEW","")))</f>
        <v> </v>
      </c>
      <c r="G3639" s="23" t="str">
        <f>IF(OR(E3639="",E3639="!!!"),"",IF(OR(J3639=0,AND(J3639=1,K3639=1),AND(J3639=1,I3639="SBJ"),AND(J3639=1,I3639=0)),"?IN_FOCUS",IF(J3639&lt;=2,"?ACTIVATED",IF(J3639&lt;&gt;"","?FAMILIAR",IF(F3639="NEW",IF(ISNA(VLOOKUP(E3639,#REF!,1,FALSE())),"?TYPE_IDENTIFIABLE","?REFERENTIAL"),"_")))))</f>
        <v> </v>
      </c>
      <c r="H3639" s="24" t="str">
        <f>IF(J3639&lt;&gt;1,"",IF(I3639="SBJ","CB","?"))</f>
        <v> </v>
      </c>
      <c r="I3639" s="25" t="str">
        <f>IF(OR(E3639="",E3639="!!!",F3639="NEW"),"",INDEX(B3638:B$2,-1+SUMPRODUCT(MAX(ROW(E3638:E$2)*(E3639=E3638:E$2)))))</f>
        <v> </v>
      </c>
      <c r="J3639" s="25" t="str">
        <f>IF(OR(E3639="",E3639="!!!",F3639="NEW"),"",COUNTBLANK(OFFSET(A$1,,,SUMPRODUCT(MAX(ROW(E$2:E3639)*(E3639=E$2:E3639)))))-COUNTBLANK(OFFSET(A$1,,,SUMPRODUCT(MAX(ROW(E$1:E3638)*(E2=E$1:E3638))))))</f>
        <v> </v>
      </c>
      <c r="K3639" s="25" t="str">
        <f>IF(OR(E3639="",E3639="!!!",F3639="NEW"),"",INDEX(J$1:J3638,SUMPRODUCT(MAX(ROW(E$1:E3638)*(E3639=E$1:E3638)))))</f>
        <v> </v>
      </c>
      <c r="L3639" s="26"/>
    </row>
    <row r="3640" spans="1:12">
      <c r="A3640" s="20"/>
    </row>
    <row r="3641" spans="1:12">
      <c r="A3641" s="20" t="s">
        <v>1823</v>
      </c>
    </row>
    <row r="3642" spans="1:12">
      <c r="A3642" s="20" t="s">
        <v>749</v>
      </c>
      <c r="E3642" s="21">
        <f>IF(D3642="?OLD","!!!","")</f>
        <v/>
      </c>
      <c r="F3642" s="22" t="str">
        <f>IF(OR(E3642="",E3642="!!!"),"",IF(NOT(ISNA(VLOOKUP(E3642,E$1:E3641,1,FALSE()))),"OLD",IF(AND(E3642&lt;&gt;"",E3642&lt;&gt;"!!!"),"NEW","")))</f>
        <v> </v>
      </c>
      <c r="G3642" s="23" t="str">
        <f>IF(OR(E3642="",E3642="!!!"),"",IF(OR(J3642=0,AND(J3642=1,K3642=1),AND(J3642=1,I3642="SBJ"),AND(J3642=1,I3642=0)),"?IN_FOCUS",IF(J3642&lt;=2,"?ACTIVATED",IF(J3642&lt;&gt;"","?FAMILIAR",IF(F3642="NEW",IF(ISNA(VLOOKUP(E3642,#REF!,1,FALSE())),"?TYPE_IDENTIFIABLE","?REFERENTIAL"),"_")))))</f>
        <v> </v>
      </c>
      <c r="H3642" s="24" t="str">
        <f>IF(J3642&lt;&gt;1,"",IF(I3642="SBJ","CB","?"))</f>
        <v> </v>
      </c>
      <c r="I3642" s="25" t="str">
        <f>IF(OR(E3642="",E3642="!!!",F3642="NEW"),"",INDEX(B3641:B$2,-1+SUMPRODUCT(MAX(ROW(E3641:E$2)*(E3642=E3641:E$2)))))</f>
        <v> </v>
      </c>
      <c r="J3642" s="25" t="str">
        <f>IF(OR(E3642="",E3642="!!!",F3642="NEW"),"",COUNTBLANK(OFFSET(A$1,,,SUMPRODUCT(MAX(ROW(E$2:E3642)*(E3642=E$2:E3642)))))-COUNTBLANK(OFFSET(A$1,,,SUMPRODUCT(MAX(ROW(E$1:E3641)*(E2=E$1:E3641))))))</f>
        <v> </v>
      </c>
      <c r="K3642" s="25" t="str">
        <f>IF(OR(E3642="",E3642="!!!",F3642="NEW"),"",INDEX(J$1:J3641,SUMPRODUCT(MAX(ROW(E$1:E3641)*(E3642=E$1:E3641)))))</f>
        <v> </v>
      </c>
      <c r="L3642" s="26"/>
    </row>
    <row r="3643" spans="1:12">
      <c r="A3643" s="20" t="s">
        <v>1058</v>
      </c>
      <c r="E3643" s="21">
        <f>IF(D3643="?OLD","!!!","")</f>
        <v/>
      </c>
      <c r="F3643" s="22" t="str">
        <f>IF(OR(E3643="",E3643="!!!"),"",IF(NOT(ISNA(VLOOKUP(E3643,E$1:E3642,1,FALSE()))),"OLD",IF(AND(E3643&lt;&gt;"",E3643&lt;&gt;"!!!"),"NEW","")))</f>
        <v> </v>
      </c>
      <c r="G3643" s="23" t="str">
        <f>IF(OR(E3643="",E3643="!!!"),"",IF(OR(J3643=0,AND(J3643=1,K3643=1),AND(J3643=1,I3643="SBJ"),AND(J3643=1,I3643=0)),"?IN_FOCUS",IF(J3643&lt;=2,"?ACTIVATED",IF(J3643&lt;&gt;"","?FAMILIAR",IF(F3643="NEW",IF(ISNA(VLOOKUP(E3643,#REF!,1,FALSE())),"?TYPE_IDENTIFIABLE","?REFERENTIAL"),"_")))))</f>
        <v> </v>
      </c>
      <c r="H3643" s="24" t="str">
        <f>IF(J3643&lt;&gt;1,"",IF(I3643="SBJ","CB","?"))</f>
        <v> </v>
      </c>
      <c r="I3643" s="25" t="str">
        <f>IF(OR(E3643="",E3643="!!!",F3643="NEW"),"",INDEX(B3642:B$2,-1+SUMPRODUCT(MAX(ROW(E3642:E$2)*(E3643=E3642:E$2)))))</f>
        <v> </v>
      </c>
      <c r="J3643" s="25" t="str">
        <f>IF(OR(E3643="",E3643="!!!",F3643="NEW"),"",COUNTBLANK(OFFSET(A$1,,,SUMPRODUCT(MAX(ROW(E$2:E3643)*(E3643=E$2:E3643)))))-COUNTBLANK(OFFSET(A$1,,,SUMPRODUCT(MAX(ROW(E$1:E3642)*(E2=E$1:E3642))))))</f>
        <v> </v>
      </c>
      <c r="K3643" s="25" t="str">
        <f>IF(OR(E3643="",E3643="!!!",F3643="NEW"),"",INDEX(J$1:J3642,SUMPRODUCT(MAX(ROW(E$1:E3642)*(E3643=E$1:E3642)))))</f>
        <v> </v>
      </c>
      <c r="L3643" s="26"/>
    </row>
    <row r="3644" spans="1:12">
      <c r="A3644" s="20" t="s">
        <v>1824</v>
      </c>
      <c r="E3644" s="21">
        <f>IF(D3644="?OLD","!!!","")</f>
        <v/>
      </c>
      <c r="F3644" s="22" t="str">
        <f>IF(OR(E3644="",E3644="!!!"),"",IF(NOT(ISNA(VLOOKUP(E3644,E$1:E3643,1,FALSE()))),"OLD",IF(AND(E3644&lt;&gt;"",E3644&lt;&gt;"!!!"),"NEW","")))</f>
        <v> </v>
      </c>
      <c r="G3644" s="23" t="str">
        <f>IF(OR(E3644="",E3644="!!!"),"",IF(OR(J3644=0,AND(J3644=1,K3644=1),AND(J3644=1,I3644="SBJ"),AND(J3644=1,I3644=0)),"?IN_FOCUS",IF(J3644&lt;=2,"?ACTIVATED",IF(J3644&lt;&gt;"","?FAMILIAR",IF(F3644="NEW",IF(ISNA(VLOOKUP(E3644,#REF!,1,FALSE())),"?TYPE_IDENTIFIABLE","?REFERENTIAL"),"_")))))</f>
        <v> </v>
      </c>
      <c r="H3644" s="24" t="str">
        <f>IF(J3644&lt;&gt;1,"",IF(I3644="SBJ","CB","?"))</f>
        <v> </v>
      </c>
      <c r="I3644" s="25" t="str">
        <f>IF(OR(E3644="",E3644="!!!",F3644="NEW"),"",INDEX(B3643:B$2,-1+SUMPRODUCT(MAX(ROW(E3643:E$2)*(E3644=E3643:E$2)))))</f>
        <v> </v>
      </c>
      <c r="J3644" s="25" t="str">
        <f>IF(OR(E3644="",E3644="!!!",F3644="NEW"),"",COUNTBLANK(OFFSET(A$1,,,SUMPRODUCT(MAX(ROW(E$2:E3644)*(E3644=E$2:E3644)))))-COUNTBLANK(OFFSET(A$1,,,SUMPRODUCT(MAX(ROW(E$1:E3643)*(E2=E$1:E3643))))))</f>
        <v> </v>
      </c>
      <c r="K3644" s="25" t="str">
        <f>IF(OR(E3644="",E3644="!!!",F3644="NEW"),"",INDEX(J$1:J3643,SUMPRODUCT(MAX(ROW(E$1:E3643)*(E3644=E$1:E3643)))))</f>
        <v> </v>
      </c>
      <c r="L3644" s="26"/>
    </row>
    <row r="3645" spans="1:12">
      <c r="A3645" s="20" t="s">
        <v>869</v>
      </c>
      <c r="B3645" s="27" t="s">
        <v>796</v>
      </c>
      <c r="C3645" s="27" t="s">
        <v>797</v>
      </c>
      <c r="D3645" s="27" t="s">
        <v>762</v>
      </c>
      <c r="E3645" s="21">
        <f>IF(D3645="?OLD","!!!","")</f>
        <v/>
      </c>
      <c r="F3645" s="22" t="str">
        <f>IF(OR(E3645="",E3645="!!!"),"",IF(NOT(ISNA(VLOOKUP(E3645,E$1:E3644,1,FALSE()))),"OLD",IF(AND(E3645&lt;&gt;"",E3645&lt;&gt;"!!!"),"NEW","")))</f>
        <v> </v>
      </c>
      <c r="G3645" s="23" t="str">
        <f>IF(OR(E3645="",E3645="!!!"),"",IF(OR(J3645=0,AND(J3645=1,K3645=1),AND(J3645=1,I3645="SBJ"),AND(J3645=1,I3645=0)),"?IN_FOCUS",IF(J3645&lt;=2,"?ACTIVATED",IF(J3645&lt;&gt;"","?FAMILIAR",IF(F3645="NEW",IF(ISNA(VLOOKUP(E3645,#REF!,1,FALSE())),"?TYPE_IDENTIFIABLE","?REFERENTIAL"),"_")))))</f>
        <v> </v>
      </c>
      <c r="H3645" s="24" t="str">
        <f>IF(J3645&lt;&gt;1,"",IF(I3645="SBJ","CB","?"))</f>
        <v> </v>
      </c>
      <c r="I3645" s="25" t="str">
        <f>IF(OR(E3645="",E3645="!!!",F3645="NEW"),"",INDEX(B3644:B$2,-1+SUMPRODUCT(MAX(ROW(E3644:E$2)*(E3645=E3644:E$2)))))</f>
        <v> </v>
      </c>
      <c r="J3645" s="25" t="str">
        <f>IF(OR(E3645="",E3645="!!!",F3645="NEW"),"",COUNTBLANK(OFFSET(A$1,,,SUMPRODUCT(MAX(ROW(E$2:E3645)*(E3645=E$2:E3645)))))-COUNTBLANK(OFFSET(A$1,,,SUMPRODUCT(MAX(ROW(E$1:E3644)*(E2=E$1:E3644))))))</f>
        <v> </v>
      </c>
      <c r="K3645" s="25" t="str">
        <f>IF(OR(E3645="",E3645="!!!",F3645="NEW"),"",INDEX(J$1:J3644,SUMPRODUCT(MAX(ROW(E$1:E3644)*(E3645=E$1:E3644)))))</f>
        <v> </v>
      </c>
      <c r="L3645" s="26"/>
    </row>
    <row r="3646" spans="1:12">
      <c r="A3646" s="20" t="s">
        <v>1817</v>
      </c>
      <c r="E3646" s="21">
        <f>IF(D3646="?OLD","!!!","")</f>
        <v/>
      </c>
      <c r="F3646" s="22" t="str">
        <f>IF(OR(E3646="",E3646="!!!"),"",IF(NOT(ISNA(VLOOKUP(E3646,E$1:E3645,1,FALSE()))),"OLD",IF(AND(E3646&lt;&gt;"",E3646&lt;&gt;"!!!"),"NEW","")))</f>
        <v> </v>
      </c>
      <c r="G3646" s="23" t="str">
        <f>IF(OR(E3646="",E3646="!!!"),"",IF(OR(J3646=0,AND(J3646=1,K3646=1),AND(J3646=1,I3646="SBJ"),AND(J3646=1,I3646=0)),"?IN_FOCUS",IF(J3646&lt;=2,"?ACTIVATED",IF(J3646&lt;&gt;"","?FAMILIAR",IF(F3646="NEW",IF(ISNA(VLOOKUP(E3646,#REF!,1,FALSE())),"?TYPE_IDENTIFIABLE","?REFERENTIAL"),"_")))))</f>
        <v> </v>
      </c>
      <c r="H3646" s="24" t="str">
        <f>IF(J3646&lt;&gt;1,"",IF(I3646="SBJ","CB","?"))</f>
        <v> </v>
      </c>
      <c r="I3646" s="25" t="str">
        <f>IF(OR(E3646="",E3646="!!!",F3646="NEW"),"",INDEX(B3645:B$2,-1+SUMPRODUCT(MAX(ROW(E3645:E$2)*(E3646=E3645:E$2)))))</f>
        <v> </v>
      </c>
      <c r="J3646" s="25" t="str">
        <f>IF(OR(E3646="",E3646="!!!",F3646="NEW"),"",COUNTBLANK(OFFSET(A$1,,,SUMPRODUCT(MAX(ROW(E$2:E3646)*(E3646=E$2:E3646)))))-COUNTBLANK(OFFSET(A$1,,,SUMPRODUCT(MAX(ROW(E$1:E3645)*(E2=E$1:E3645))))))</f>
        <v> </v>
      </c>
      <c r="K3646" s="25" t="str">
        <f>IF(OR(E3646="",E3646="!!!",F3646="NEW"),"",INDEX(J$1:J3645,SUMPRODUCT(MAX(ROW(E$1:E3645)*(E3646=E$1:E3645)))))</f>
        <v> </v>
      </c>
      <c r="L3646" s="26"/>
    </row>
    <row r="3647" spans="1:12">
      <c r="A3647" s="20" t="s">
        <v>793</v>
      </c>
      <c r="E3647" s="21">
        <f>IF(D3647="?OLD","!!!","")</f>
        <v/>
      </c>
      <c r="F3647" s="22" t="str">
        <f>IF(OR(E3647="",E3647="!!!"),"",IF(NOT(ISNA(VLOOKUP(E3647,E$1:E3646,1,FALSE()))),"OLD",IF(AND(E3647&lt;&gt;"",E3647&lt;&gt;"!!!"),"NEW","")))</f>
        <v> </v>
      </c>
      <c r="G3647" s="23" t="str">
        <f>IF(OR(E3647="",E3647="!!!"),"",IF(OR(J3647=0,AND(J3647=1,K3647=1),AND(J3647=1,I3647="SBJ"),AND(J3647=1,I3647=0)),"?IN_FOCUS",IF(J3647&lt;=2,"?ACTIVATED",IF(J3647&lt;&gt;"","?FAMILIAR",IF(F3647="NEW",IF(ISNA(VLOOKUP(E3647,#REF!,1,FALSE())),"?TYPE_IDENTIFIABLE","?REFERENTIAL"),"_")))))</f>
        <v> </v>
      </c>
      <c r="H3647" s="24" t="str">
        <f>IF(J3647&lt;&gt;1,"",IF(I3647="SBJ","CB","?"))</f>
        <v> </v>
      </c>
      <c r="I3647" s="25" t="str">
        <f>IF(OR(E3647="",E3647="!!!",F3647="NEW"),"",INDEX(B3646:B$2,-1+SUMPRODUCT(MAX(ROW(E3646:E$2)*(E3647=E3646:E$2)))))</f>
        <v> </v>
      </c>
      <c r="J3647" s="25" t="str">
        <f>IF(OR(E3647="",E3647="!!!",F3647="NEW"),"",COUNTBLANK(OFFSET(A$1,,,SUMPRODUCT(MAX(ROW(E$2:E3647)*(E3647=E$2:E3647)))))-COUNTBLANK(OFFSET(A$1,,,SUMPRODUCT(MAX(ROW(E$1:E3646)*(E2=E$1:E3646))))))</f>
        <v> </v>
      </c>
      <c r="K3647" s="25" t="str">
        <f>IF(OR(E3647="",E3647="!!!",F3647="NEW"),"",INDEX(J$1:J3646,SUMPRODUCT(MAX(ROW(E$1:E3646)*(E3647=E$1:E3646)))))</f>
        <v> </v>
      </c>
      <c r="L3647" s="26"/>
    </row>
    <row r="3648" spans="1:12">
      <c r="A3648" s="20" t="s">
        <v>959</v>
      </c>
      <c r="B3648" s="27" t="s">
        <v>956</v>
      </c>
      <c r="C3648" s="27" t="s">
        <v>777</v>
      </c>
      <c r="D3648" s="27" t="s">
        <v>762</v>
      </c>
      <c r="E3648" s="21">
        <f>IF(D3648="?OLD","!!!","")</f>
        <v/>
      </c>
      <c r="F3648" s="22" t="str">
        <f>IF(OR(E3648="",E3648="!!!"),"",IF(NOT(ISNA(VLOOKUP(E3648,E$1:E3647,1,FALSE()))),"OLD",IF(AND(E3648&lt;&gt;"",E3648&lt;&gt;"!!!"),"NEW","")))</f>
        <v> </v>
      </c>
      <c r="G3648" s="23" t="str">
        <f>IF(OR(E3648="",E3648="!!!"),"",IF(OR(J3648=0,AND(J3648=1,K3648=1),AND(J3648=1,I3648="SBJ"),AND(J3648=1,I3648=0)),"?IN_FOCUS",IF(J3648&lt;=2,"?ACTIVATED",IF(J3648&lt;&gt;"","?FAMILIAR",IF(F3648="NEW",IF(ISNA(VLOOKUP(E3648,#REF!,1,FALSE())),"?TYPE_IDENTIFIABLE","?REFERENTIAL"),"_")))))</f>
        <v> </v>
      </c>
      <c r="H3648" s="24" t="str">
        <f>IF(J3648&lt;&gt;1,"",IF(I3648="SBJ","CB","?"))</f>
        <v> </v>
      </c>
      <c r="I3648" s="25" t="str">
        <f>IF(OR(E3648="",E3648="!!!",F3648="NEW"),"",INDEX(B3647:B$2,-1+SUMPRODUCT(MAX(ROW(E3647:E$2)*(E3648=E3647:E$2)))))</f>
        <v> </v>
      </c>
      <c r="J3648" s="25" t="str">
        <f>IF(OR(E3648="",E3648="!!!",F3648="NEW"),"",COUNTBLANK(OFFSET(A$1,,,SUMPRODUCT(MAX(ROW(E$2:E3648)*(E3648=E$2:E3648)))))-COUNTBLANK(OFFSET(A$1,,,SUMPRODUCT(MAX(ROW(E$1:E3647)*(E2=E$1:E3647))))))</f>
        <v> </v>
      </c>
      <c r="K3648" s="25" t="str">
        <f>IF(OR(E3648="",E3648="!!!",F3648="NEW"),"",INDEX(J$1:J3647,SUMPRODUCT(MAX(ROW(E$1:E3647)*(E3648=E$1:E3647)))))</f>
        <v> </v>
      </c>
      <c r="L3648" s="26"/>
    </row>
    <row r="3649" spans="1:12">
      <c r="A3649" s="20" t="s">
        <v>1302</v>
      </c>
      <c r="E3649" s="21">
        <f>IF(D3649="?OLD","!!!","")</f>
        <v/>
      </c>
      <c r="F3649" s="22" t="str">
        <f>IF(OR(E3649="",E3649="!!!"),"",IF(NOT(ISNA(VLOOKUP(E3649,E$1:E3648,1,FALSE()))),"OLD",IF(AND(E3649&lt;&gt;"",E3649&lt;&gt;"!!!"),"NEW","")))</f>
        <v> </v>
      </c>
      <c r="G3649" s="23" t="str">
        <f>IF(OR(E3649="",E3649="!!!"),"",IF(OR(J3649=0,AND(J3649=1,K3649=1),AND(J3649=1,I3649="SBJ"),AND(J3649=1,I3649=0)),"?IN_FOCUS",IF(J3649&lt;=2,"?ACTIVATED",IF(J3649&lt;&gt;"","?FAMILIAR",IF(F3649="NEW",IF(ISNA(VLOOKUP(E3649,#REF!,1,FALSE())),"?TYPE_IDENTIFIABLE","?REFERENTIAL"),"_")))))</f>
        <v> </v>
      </c>
      <c r="H3649" s="24" t="str">
        <f>IF(J3649&lt;&gt;1,"",IF(I3649="SBJ","CB","?"))</f>
        <v> </v>
      </c>
      <c r="I3649" s="25" t="str">
        <f>IF(OR(E3649="",E3649="!!!",F3649="NEW"),"",INDEX(B3648:B$2,-1+SUMPRODUCT(MAX(ROW(E3648:E$2)*(E3649=E3648:E$2)))))</f>
        <v> </v>
      </c>
      <c r="J3649" s="25" t="str">
        <f>IF(OR(E3649="",E3649="!!!",F3649="NEW"),"",COUNTBLANK(OFFSET(A$1,,,SUMPRODUCT(MAX(ROW(E$2:E3649)*(E3649=E$2:E3649)))))-COUNTBLANK(OFFSET(A$1,,,SUMPRODUCT(MAX(ROW(E$1:E3648)*(E2=E$1:E3648))))))</f>
        <v> </v>
      </c>
      <c r="K3649" s="25" t="str">
        <f>IF(OR(E3649="",E3649="!!!",F3649="NEW"),"",INDEX(J$1:J3648,SUMPRODUCT(MAX(ROW(E$1:E3648)*(E3649=E$1:E3648)))))</f>
        <v> </v>
      </c>
      <c r="L3649" s="26"/>
    </row>
    <row r="3650" spans="1:12">
      <c r="A3650" s="20" t="s">
        <v>1364</v>
      </c>
      <c r="E3650" s="21">
        <f>IF(D3650="?OLD","!!!","")</f>
        <v/>
      </c>
      <c r="F3650" s="22" t="str">
        <f>IF(OR(E3650="",E3650="!!!"),"",IF(NOT(ISNA(VLOOKUP(E3650,E$1:E3649,1,FALSE()))),"OLD",IF(AND(E3650&lt;&gt;"",E3650&lt;&gt;"!!!"),"NEW","")))</f>
        <v> </v>
      </c>
      <c r="G3650" s="23" t="str">
        <f>IF(OR(E3650="",E3650="!!!"),"",IF(OR(J3650=0,AND(J3650=1,K3650=1),AND(J3650=1,I3650="SBJ"),AND(J3650=1,I3650=0)),"?IN_FOCUS",IF(J3650&lt;=2,"?ACTIVATED",IF(J3650&lt;&gt;"","?FAMILIAR",IF(F3650="NEW",IF(ISNA(VLOOKUP(E3650,#REF!,1,FALSE())),"?TYPE_IDENTIFIABLE","?REFERENTIAL"),"_")))))</f>
        <v> </v>
      </c>
      <c r="H3650" s="24" t="str">
        <f>IF(J3650&lt;&gt;1,"",IF(I3650="SBJ","CB","?"))</f>
        <v> </v>
      </c>
      <c r="I3650" s="25" t="str">
        <f>IF(OR(E3650="",E3650="!!!",F3650="NEW"),"",INDEX(B3649:B$2,-1+SUMPRODUCT(MAX(ROW(E3649:E$2)*(E3650=E3649:E$2)))))</f>
        <v> </v>
      </c>
      <c r="J3650" s="25" t="str">
        <f>IF(OR(E3650="",E3650="!!!",F3650="NEW"),"",COUNTBLANK(OFFSET(A$1,,,SUMPRODUCT(MAX(ROW(E$2:E3650)*(E3650=E$2:E3650)))))-COUNTBLANK(OFFSET(A$1,,,SUMPRODUCT(MAX(ROW(E$1:E3649)*(E2=E$1:E3649))))))</f>
        <v> </v>
      </c>
      <c r="K3650" s="25" t="str">
        <f>IF(OR(E3650="",E3650="!!!",F3650="NEW"),"",INDEX(J$1:J3649,SUMPRODUCT(MAX(ROW(E$1:E3649)*(E3650=E$1:E3649)))))</f>
        <v> </v>
      </c>
      <c r="L3650" s="26"/>
    </row>
    <row r="3651" spans="1:12">
      <c r="A3651" s="20" t="s">
        <v>1825</v>
      </c>
      <c r="E3651" s="21">
        <f>IF(D3651="?OLD","!!!","")</f>
        <v/>
      </c>
      <c r="F3651" s="22" t="str">
        <f>IF(OR(E3651="",E3651="!!!"),"",IF(NOT(ISNA(VLOOKUP(E3651,E$1:E3650,1,FALSE()))),"OLD",IF(AND(E3651&lt;&gt;"",E3651&lt;&gt;"!!!"),"NEW","")))</f>
        <v> </v>
      </c>
      <c r="G3651" s="23" t="str">
        <f>IF(OR(E3651="",E3651="!!!"),"",IF(OR(J3651=0,AND(J3651=1,K3651=1),AND(J3651=1,I3651="SBJ"),AND(J3651=1,I3651=0)),"?IN_FOCUS",IF(J3651&lt;=2,"?ACTIVATED",IF(J3651&lt;&gt;"","?FAMILIAR",IF(F3651="NEW",IF(ISNA(VLOOKUP(E3651,#REF!,1,FALSE())),"?TYPE_IDENTIFIABLE","?REFERENTIAL"),"_")))))</f>
        <v> </v>
      </c>
      <c r="H3651" s="24" t="str">
        <f>IF(J3651&lt;&gt;1,"",IF(I3651="SBJ","CB","?"))</f>
        <v> </v>
      </c>
      <c r="I3651" s="25" t="str">
        <f>IF(OR(E3651="",E3651="!!!",F3651="NEW"),"",INDEX(B3650:B$2,-1+SUMPRODUCT(MAX(ROW(E3650:E$2)*(E3651=E3650:E$2)))))</f>
        <v> </v>
      </c>
      <c r="J3651" s="25" t="str">
        <f>IF(OR(E3651="",E3651="!!!",F3651="NEW"),"",COUNTBLANK(OFFSET(A$1,,,SUMPRODUCT(MAX(ROW(E$2:E3651)*(E3651=E$2:E3651)))))-COUNTBLANK(OFFSET(A$1,,,SUMPRODUCT(MAX(ROW(E$1:E3650)*(E2=E$1:E3650))))))</f>
        <v> </v>
      </c>
      <c r="K3651" s="25" t="str">
        <f>IF(OR(E3651="",E3651="!!!",F3651="NEW"),"",INDEX(J$1:J3650,SUMPRODUCT(MAX(ROW(E$1:E3650)*(E3651=E$1:E3650)))))</f>
        <v> </v>
      </c>
      <c r="L3651" s="26"/>
    </row>
    <row r="3652" spans="1:12">
      <c r="A3652" s="20" t="s">
        <v>942</v>
      </c>
      <c r="E3652" s="21">
        <f>IF(D3652="?OLD","!!!","")</f>
        <v/>
      </c>
      <c r="F3652" s="22" t="str">
        <f>IF(OR(E3652="",E3652="!!!"),"",IF(NOT(ISNA(VLOOKUP(E3652,E$1:E3651,1,FALSE()))),"OLD",IF(AND(E3652&lt;&gt;"",E3652&lt;&gt;"!!!"),"NEW","")))</f>
        <v> </v>
      </c>
      <c r="G3652" s="23" t="str">
        <f>IF(OR(E3652="",E3652="!!!"),"",IF(OR(J3652=0,AND(J3652=1,K3652=1),AND(J3652=1,I3652="SBJ"),AND(J3652=1,I3652=0)),"?IN_FOCUS",IF(J3652&lt;=2,"?ACTIVATED",IF(J3652&lt;&gt;"","?FAMILIAR",IF(F3652="NEW",IF(ISNA(VLOOKUP(E3652,#REF!,1,FALSE())),"?TYPE_IDENTIFIABLE","?REFERENTIAL"),"_")))))</f>
        <v> </v>
      </c>
      <c r="H3652" s="24" t="str">
        <f>IF(J3652&lt;&gt;1,"",IF(I3652="SBJ","CB","?"))</f>
        <v> </v>
      </c>
      <c r="I3652" s="25" t="str">
        <f>IF(OR(E3652="",E3652="!!!",F3652="NEW"),"",INDEX(B3651:B$2,-1+SUMPRODUCT(MAX(ROW(E3651:E$2)*(E3652=E3651:E$2)))))</f>
        <v> </v>
      </c>
      <c r="J3652" s="25" t="str">
        <f>IF(OR(E3652="",E3652="!!!",F3652="NEW"),"",COUNTBLANK(OFFSET(A$1,,,SUMPRODUCT(MAX(ROW(E$2:E3652)*(E3652=E$2:E3652)))))-COUNTBLANK(OFFSET(A$1,,,SUMPRODUCT(MAX(ROW(E$1:E3651)*(E2=E$1:E3651))))))</f>
        <v> </v>
      </c>
      <c r="K3652" s="25" t="str">
        <f>IF(OR(E3652="",E3652="!!!",F3652="NEW"),"",INDEX(J$1:J3651,SUMPRODUCT(MAX(ROW(E$1:E3651)*(E3652=E$1:E3651)))))</f>
        <v> </v>
      </c>
      <c r="L3652" s="26"/>
    </row>
    <row r="3653" spans="1:12">
      <c r="A3653" s="20" t="s">
        <v>822</v>
      </c>
      <c r="E3653" s="21">
        <f>IF(D3653="?OLD","!!!","")</f>
        <v/>
      </c>
      <c r="F3653" s="22" t="str">
        <f>IF(OR(E3653="",E3653="!!!"),"",IF(NOT(ISNA(VLOOKUP(E3653,E$1:E3652,1,FALSE()))),"OLD",IF(AND(E3653&lt;&gt;"",E3653&lt;&gt;"!!!"),"NEW","")))</f>
        <v> </v>
      </c>
      <c r="G3653" s="23" t="str">
        <f>IF(OR(E3653="",E3653="!!!"),"",IF(OR(J3653=0,AND(J3653=1,K3653=1),AND(J3653=1,I3653="SBJ"),AND(J3653=1,I3653=0)),"?IN_FOCUS",IF(J3653&lt;=2,"?ACTIVATED",IF(J3653&lt;&gt;"","?FAMILIAR",IF(F3653="NEW",IF(ISNA(VLOOKUP(E3653,#REF!,1,FALSE())),"?TYPE_IDENTIFIABLE","?REFERENTIAL"),"_")))))</f>
        <v> </v>
      </c>
      <c r="H3653" s="24" t="str">
        <f>IF(J3653&lt;&gt;1,"",IF(I3653="SBJ","CB","?"))</f>
        <v> </v>
      </c>
      <c r="I3653" s="25" t="str">
        <f>IF(OR(E3653="",E3653="!!!",F3653="NEW"),"",INDEX(B3652:B$2,-1+SUMPRODUCT(MAX(ROW(E3652:E$2)*(E3653=E3652:E$2)))))</f>
        <v> </v>
      </c>
      <c r="J3653" s="25" t="str">
        <f>IF(OR(E3653="",E3653="!!!",F3653="NEW"),"",COUNTBLANK(OFFSET(A$1,,,SUMPRODUCT(MAX(ROW(E$2:E3653)*(E3653=E$2:E3653)))))-COUNTBLANK(OFFSET(A$1,,,SUMPRODUCT(MAX(ROW(E$1:E3652)*(E2=E$1:E3652))))))</f>
        <v> </v>
      </c>
      <c r="K3653" s="25" t="str">
        <f>IF(OR(E3653="",E3653="!!!",F3653="NEW"),"",INDEX(J$1:J3652,SUMPRODUCT(MAX(ROW(E$1:E3652)*(E3653=E$1:E3652)))))</f>
        <v> </v>
      </c>
      <c r="L3653" s="26"/>
    </row>
    <row r="3654" spans="1:12">
      <c r="A3654" s="20" t="s">
        <v>948</v>
      </c>
      <c r="B3654" s="27" t="s">
        <v>879</v>
      </c>
      <c r="C3654" s="27" t="s">
        <v>761</v>
      </c>
      <c r="D3654" s="27" t="s">
        <v>762</v>
      </c>
      <c r="E3654" s="21">
        <f>IF(D3654="?OLD","!!!","")</f>
        <v/>
      </c>
      <c r="F3654" s="22" t="str">
        <f>IF(OR(E3654="",E3654="!!!"),"",IF(NOT(ISNA(VLOOKUP(E3654,E$1:E3653,1,FALSE()))),"OLD",IF(AND(E3654&lt;&gt;"",E3654&lt;&gt;"!!!"),"NEW","")))</f>
        <v> </v>
      </c>
      <c r="G3654" s="23" t="str">
        <f>IF(OR(E3654="",E3654="!!!"),"",IF(OR(J3654=0,AND(J3654=1,K3654=1),AND(J3654=1,I3654="SBJ"),AND(J3654=1,I3654=0)),"?IN_FOCUS",IF(J3654&lt;=2,"?ACTIVATED",IF(J3654&lt;&gt;"","?FAMILIAR",IF(F3654="NEW",IF(ISNA(VLOOKUP(E3654,#REF!,1,FALSE())),"?TYPE_IDENTIFIABLE","?REFERENTIAL"),"_")))))</f>
        <v> </v>
      </c>
      <c r="H3654" s="24" t="str">
        <f>IF(J3654&lt;&gt;1,"",IF(I3654="SBJ","CB","?"))</f>
        <v> </v>
      </c>
      <c r="I3654" s="25" t="str">
        <f>IF(OR(E3654="",E3654="!!!",F3654="NEW"),"",INDEX(B3653:B$2,-1+SUMPRODUCT(MAX(ROW(E3653:E$2)*(E3654=E3653:E$2)))))</f>
        <v> </v>
      </c>
      <c r="J3654" s="25" t="str">
        <f>IF(OR(E3654="",E3654="!!!",F3654="NEW"),"",COUNTBLANK(OFFSET(A$1,,,SUMPRODUCT(MAX(ROW(E$2:E3654)*(E3654=E$2:E3654)))))-COUNTBLANK(OFFSET(A$1,,,SUMPRODUCT(MAX(ROW(E$1:E3653)*(E2=E$1:E3653))))))</f>
        <v> </v>
      </c>
      <c r="K3654" s="25" t="str">
        <f>IF(OR(E3654="",E3654="!!!",F3654="NEW"),"",INDEX(J$1:J3653,SUMPRODUCT(MAX(ROW(E$1:E3653)*(E3654=E$1:E3653)))))</f>
        <v> </v>
      </c>
      <c r="L3654" s="26"/>
    </row>
    <row r="3655" spans="1:12">
      <c r="A3655" s="20" t="s">
        <v>1322</v>
      </c>
      <c r="E3655" s="21">
        <f>IF(D3655="?OLD","!!!","")</f>
        <v/>
      </c>
      <c r="F3655" s="22" t="str">
        <f>IF(OR(E3655="",E3655="!!!"),"",IF(NOT(ISNA(VLOOKUP(E3655,E$1:E3654,1,FALSE()))),"OLD",IF(AND(E3655&lt;&gt;"",E3655&lt;&gt;"!!!"),"NEW","")))</f>
        <v> </v>
      </c>
      <c r="G3655" s="23" t="str">
        <f>IF(OR(E3655="",E3655="!!!"),"",IF(OR(J3655=0,AND(J3655=1,K3655=1),AND(J3655=1,I3655="SBJ"),AND(J3655=1,I3655=0)),"?IN_FOCUS",IF(J3655&lt;=2,"?ACTIVATED",IF(J3655&lt;&gt;"","?FAMILIAR",IF(F3655="NEW",IF(ISNA(VLOOKUP(E3655,#REF!,1,FALSE())),"?TYPE_IDENTIFIABLE","?REFERENTIAL"),"_")))))</f>
        <v> </v>
      </c>
      <c r="H3655" s="24" t="str">
        <f>IF(J3655&lt;&gt;1,"",IF(I3655="SBJ","CB","?"))</f>
        <v> </v>
      </c>
      <c r="I3655" s="25" t="str">
        <f>IF(OR(E3655="",E3655="!!!",F3655="NEW"),"",INDEX(B3654:B$2,-1+SUMPRODUCT(MAX(ROW(E3654:E$2)*(E3655=E3654:E$2)))))</f>
        <v> </v>
      </c>
      <c r="J3655" s="25" t="str">
        <f>IF(OR(E3655="",E3655="!!!",F3655="NEW"),"",COUNTBLANK(OFFSET(A$1,,,SUMPRODUCT(MAX(ROW(E$2:E3655)*(E3655=E$2:E3655)))))-COUNTBLANK(OFFSET(A$1,,,SUMPRODUCT(MAX(ROW(E$1:E3654)*(E2=E$1:E3654))))))</f>
        <v> </v>
      </c>
      <c r="K3655" s="25" t="str">
        <f>IF(OR(E3655="",E3655="!!!",F3655="NEW"),"",INDEX(J$1:J3654,SUMPRODUCT(MAX(ROW(E$1:E3654)*(E3655=E$1:E3654)))))</f>
        <v> </v>
      </c>
      <c r="L3655" s="26"/>
    </row>
    <row r="3656" spans="1:12">
      <c r="A3656" s="20" t="s">
        <v>1745</v>
      </c>
      <c r="B3656" s="27" t="s">
        <v>941</v>
      </c>
      <c r="C3656" s="27" t="s">
        <v>798</v>
      </c>
      <c r="D3656" s="27" t="s">
        <v>762</v>
      </c>
      <c r="E3656" s="21">
        <f>IF(D3656="?OLD","!!!","")</f>
        <v/>
      </c>
      <c r="F3656" s="22" t="str">
        <f>IF(OR(E3656="",E3656="!!!"),"",IF(NOT(ISNA(VLOOKUP(E3656,E$1:E3655,1,FALSE()))),"OLD",IF(AND(E3656&lt;&gt;"",E3656&lt;&gt;"!!!"),"NEW","")))</f>
        <v> </v>
      </c>
      <c r="G3656" s="23" t="str">
        <f>IF(OR(E3656="",E3656="!!!"),"",IF(OR(J3656=0,AND(J3656=1,K3656=1),AND(J3656=1,I3656="SBJ"),AND(J3656=1,I3656=0)),"?IN_FOCUS",IF(J3656&lt;=2,"?ACTIVATED",IF(J3656&lt;&gt;"","?FAMILIAR",IF(F3656="NEW",IF(ISNA(VLOOKUP(E3656,#REF!,1,FALSE())),"?TYPE_IDENTIFIABLE","?REFERENTIAL"),"_")))))</f>
        <v> </v>
      </c>
      <c r="H3656" s="24" t="str">
        <f>IF(J3656&lt;&gt;1,"",IF(I3656="SBJ","CB","?"))</f>
        <v> </v>
      </c>
      <c r="I3656" s="25" t="str">
        <f>IF(OR(E3656="",E3656="!!!",F3656="NEW"),"",INDEX(B3655:B$2,-1+SUMPRODUCT(MAX(ROW(E3655:E$2)*(E3656=E3655:E$2)))))</f>
        <v> </v>
      </c>
      <c r="J3656" s="25" t="str">
        <f>IF(OR(E3656="",E3656="!!!",F3656="NEW"),"",COUNTBLANK(OFFSET(A$1,,,SUMPRODUCT(MAX(ROW(E$2:E3656)*(E3656=E$2:E3656)))))-COUNTBLANK(OFFSET(A$1,,,SUMPRODUCT(MAX(ROW(E$1:E3655)*(E2=E$1:E3655))))))</f>
        <v> </v>
      </c>
      <c r="K3656" s="25" t="str">
        <f>IF(OR(E3656="",E3656="!!!",F3656="NEW"),"",INDEX(J$1:J3655,SUMPRODUCT(MAX(ROW(E$1:E3655)*(E3656=E$1:E3655)))))</f>
        <v> </v>
      </c>
      <c r="L3656" s="26"/>
    </row>
    <row r="3657" spans="1:12">
      <c r="A3657" s="20" t="s">
        <v>811</v>
      </c>
      <c r="E3657" s="21">
        <f>IF(D3657="?OLD","!!!","")</f>
        <v/>
      </c>
      <c r="F3657" s="22" t="str">
        <f>IF(OR(E3657="",E3657="!!!"),"",IF(NOT(ISNA(VLOOKUP(E3657,E$1:E3656,1,FALSE()))),"OLD",IF(AND(E3657&lt;&gt;"",E3657&lt;&gt;"!!!"),"NEW","")))</f>
        <v> </v>
      </c>
      <c r="G3657" s="23" t="str">
        <f>IF(OR(E3657="",E3657="!!!"),"",IF(OR(J3657=0,AND(J3657=1,K3657=1),AND(J3657=1,I3657="SBJ"),AND(J3657=1,I3657=0)),"?IN_FOCUS",IF(J3657&lt;=2,"?ACTIVATED",IF(J3657&lt;&gt;"","?FAMILIAR",IF(F3657="NEW",IF(ISNA(VLOOKUP(E3657,#REF!,1,FALSE())),"?TYPE_IDENTIFIABLE","?REFERENTIAL"),"_")))))</f>
        <v> </v>
      </c>
      <c r="H3657" s="24" t="str">
        <f>IF(J3657&lt;&gt;1,"",IF(I3657="SBJ","CB","?"))</f>
        <v> </v>
      </c>
      <c r="I3657" s="25" t="str">
        <f>IF(OR(E3657="",E3657="!!!",F3657="NEW"),"",INDEX(B3656:B$2,-1+SUMPRODUCT(MAX(ROW(E3656:E$2)*(E3657=E3656:E$2)))))</f>
        <v> </v>
      </c>
      <c r="J3657" s="25" t="str">
        <f>IF(OR(E3657="",E3657="!!!",F3657="NEW"),"",COUNTBLANK(OFFSET(A$1,,,SUMPRODUCT(MAX(ROW(E$2:E3657)*(E3657=E$2:E3657)))))-COUNTBLANK(OFFSET(A$1,,,SUMPRODUCT(MAX(ROW(E$1:E3656)*(E2=E$1:E3656))))))</f>
        <v> </v>
      </c>
      <c r="K3657" s="25" t="str">
        <f>IF(OR(E3657="",E3657="!!!",F3657="NEW"),"",INDEX(J$1:J3656,SUMPRODUCT(MAX(ROW(E$1:E3656)*(E3657=E$1:E3656)))))</f>
        <v> </v>
      </c>
      <c r="L3657" s="26"/>
    </row>
    <row r="3658" spans="1:12">
      <c r="A3658" s="20" t="s">
        <v>915</v>
      </c>
      <c r="E3658" s="21">
        <f>IF(D3658="?OLD","!!!","")</f>
        <v/>
      </c>
      <c r="F3658" s="22" t="str">
        <f>IF(OR(E3658="",E3658="!!!"),"",IF(NOT(ISNA(VLOOKUP(E3658,E$1:E3657,1,FALSE()))),"OLD",IF(AND(E3658&lt;&gt;"",E3658&lt;&gt;"!!!"),"NEW","")))</f>
        <v> </v>
      </c>
      <c r="G3658" s="23" t="str">
        <f>IF(OR(E3658="",E3658="!!!"),"",IF(OR(J3658=0,AND(J3658=1,K3658=1),AND(J3658=1,I3658="SBJ"),AND(J3658=1,I3658=0)),"?IN_FOCUS",IF(J3658&lt;=2,"?ACTIVATED",IF(J3658&lt;&gt;"","?FAMILIAR",IF(F3658="NEW",IF(ISNA(VLOOKUP(E3658,#REF!,1,FALSE())),"?TYPE_IDENTIFIABLE","?REFERENTIAL"),"_")))))</f>
        <v> </v>
      </c>
      <c r="H3658" s="24" t="str">
        <f>IF(J3658&lt;&gt;1,"",IF(I3658="SBJ","CB","?"))</f>
        <v> </v>
      </c>
      <c r="I3658" s="25" t="str">
        <f>IF(OR(E3658="",E3658="!!!",F3658="NEW"),"",INDEX(B3657:B$2,-1+SUMPRODUCT(MAX(ROW(E3657:E$2)*(E3658=E3657:E$2)))))</f>
        <v> </v>
      </c>
      <c r="J3658" s="25" t="str">
        <f>IF(OR(E3658="",E3658="!!!",F3658="NEW"),"",COUNTBLANK(OFFSET(A$1,,,SUMPRODUCT(MAX(ROW(E$2:E3658)*(E3658=E$2:E3658)))))-COUNTBLANK(OFFSET(A$1,,,SUMPRODUCT(MAX(ROW(E$1:E3657)*(E2=E$1:E3657))))))</f>
        <v> </v>
      </c>
      <c r="K3658" s="25" t="str">
        <f>IF(OR(E3658="",E3658="!!!",F3658="NEW"),"",INDEX(J$1:J3657,SUMPRODUCT(MAX(ROW(E$1:E3657)*(E3658=E$1:E3657)))))</f>
        <v> </v>
      </c>
      <c r="L3658" s="26"/>
    </row>
    <row r="3659" spans="1:12">
      <c r="A3659" s="20" t="s">
        <v>1300</v>
      </c>
      <c r="E3659" s="21">
        <f>IF(D3659="?OLD","!!!","")</f>
        <v/>
      </c>
      <c r="F3659" s="22" t="str">
        <f>IF(OR(E3659="",E3659="!!!"),"",IF(NOT(ISNA(VLOOKUP(E3659,E$1:E3658,1,FALSE()))),"OLD",IF(AND(E3659&lt;&gt;"",E3659&lt;&gt;"!!!"),"NEW","")))</f>
        <v> </v>
      </c>
      <c r="G3659" s="23" t="str">
        <f>IF(OR(E3659="",E3659="!!!"),"",IF(OR(J3659=0,AND(J3659=1,K3659=1),AND(J3659=1,I3659="SBJ"),AND(J3659=1,I3659=0)),"?IN_FOCUS",IF(J3659&lt;=2,"?ACTIVATED",IF(J3659&lt;&gt;"","?FAMILIAR",IF(F3659="NEW",IF(ISNA(VLOOKUP(E3659,#REF!,1,FALSE())),"?TYPE_IDENTIFIABLE","?REFERENTIAL"),"_")))))</f>
        <v> </v>
      </c>
      <c r="H3659" s="24" t="str">
        <f>IF(J3659&lt;&gt;1,"",IF(I3659="SBJ","CB","?"))</f>
        <v> </v>
      </c>
      <c r="I3659" s="25" t="str">
        <f>IF(OR(E3659="",E3659="!!!",F3659="NEW"),"",INDEX(B3658:B$2,-1+SUMPRODUCT(MAX(ROW(E3658:E$2)*(E3659=E3658:E$2)))))</f>
        <v> </v>
      </c>
      <c r="J3659" s="25" t="str">
        <f>IF(OR(E3659="",E3659="!!!",F3659="NEW"),"",COUNTBLANK(OFFSET(A$1,,,SUMPRODUCT(MAX(ROW(E$2:E3659)*(E3659=E$2:E3659)))))-COUNTBLANK(OFFSET(A$1,,,SUMPRODUCT(MAX(ROW(E$1:E3658)*(E2=E$1:E3658))))))</f>
        <v> </v>
      </c>
      <c r="K3659" s="25" t="str">
        <f>IF(OR(E3659="",E3659="!!!",F3659="NEW"),"",INDEX(J$1:J3658,SUMPRODUCT(MAX(ROW(E$1:E3658)*(E3659=E$1:E3658)))))</f>
        <v> </v>
      </c>
      <c r="L3659" s="26"/>
    </row>
    <row r="3660" spans="1:12">
      <c r="A3660" s="20" t="s">
        <v>1294</v>
      </c>
      <c r="E3660" s="21">
        <f>IF(D3660="?OLD","!!!","")</f>
        <v/>
      </c>
      <c r="F3660" s="22" t="str">
        <f>IF(OR(E3660="",E3660="!!!"),"",IF(NOT(ISNA(VLOOKUP(E3660,E$1:E3659,1,FALSE()))),"OLD",IF(AND(E3660&lt;&gt;"",E3660&lt;&gt;"!!!"),"NEW","")))</f>
        <v> </v>
      </c>
      <c r="G3660" s="23" t="str">
        <f>IF(OR(E3660="",E3660="!!!"),"",IF(OR(J3660=0,AND(J3660=1,K3660=1),AND(J3660=1,I3660="SBJ"),AND(J3660=1,I3660=0)),"?IN_FOCUS",IF(J3660&lt;=2,"?ACTIVATED",IF(J3660&lt;&gt;"","?FAMILIAR",IF(F3660="NEW",IF(ISNA(VLOOKUP(E3660,#REF!,1,FALSE())),"?TYPE_IDENTIFIABLE","?REFERENTIAL"),"_")))))</f>
        <v> </v>
      </c>
      <c r="H3660" s="24" t="str">
        <f>IF(J3660&lt;&gt;1,"",IF(I3660="SBJ","CB","?"))</f>
        <v> </v>
      </c>
      <c r="I3660" s="25" t="str">
        <f>IF(OR(E3660="",E3660="!!!",F3660="NEW"),"",INDEX(B3659:B$2,-1+SUMPRODUCT(MAX(ROW(E3659:E$2)*(E3660=E3659:E$2)))))</f>
        <v> </v>
      </c>
      <c r="J3660" s="25" t="str">
        <f>IF(OR(E3660="",E3660="!!!",F3660="NEW"),"",COUNTBLANK(OFFSET(A$1,,,SUMPRODUCT(MAX(ROW(E$2:E3660)*(E3660=E$2:E3660)))))-COUNTBLANK(OFFSET(A$1,,,SUMPRODUCT(MAX(ROW(E$1:E3659)*(E2=E$1:E3659))))))</f>
        <v> </v>
      </c>
      <c r="K3660" s="25" t="str">
        <f>IF(OR(E3660="",E3660="!!!",F3660="NEW"),"",INDEX(J$1:J3659,SUMPRODUCT(MAX(ROW(E$1:E3659)*(E3660=E$1:E3659)))))</f>
        <v> </v>
      </c>
      <c r="L3660" s="26"/>
    </row>
    <row r="3661" spans="1:12">
      <c r="A3661" s="20" t="s">
        <v>757</v>
      </c>
      <c r="E3661" s="21">
        <f>IF(D3661="?OLD","!!!","")</f>
        <v/>
      </c>
      <c r="F3661" s="22" t="str">
        <f>IF(OR(E3661="",E3661="!!!"),"",IF(NOT(ISNA(VLOOKUP(E3661,E$1:E3660,1,FALSE()))),"OLD",IF(AND(E3661&lt;&gt;"",E3661&lt;&gt;"!!!"),"NEW","")))</f>
        <v> </v>
      </c>
      <c r="G3661" s="23" t="str">
        <f>IF(OR(E3661="",E3661="!!!"),"",IF(OR(J3661=0,AND(J3661=1,K3661=1),AND(J3661=1,I3661="SBJ"),AND(J3661=1,I3661=0)),"?IN_FOCUS",IF(J3661&lt;=2,"?ACTIVATED",IF(J3661&lt;&gt;"","?FAMILIAR",IF(F3661="NEW",IF(ISNA(VLOOKUP(E3661,#REF!,1,FALSE())),"?TYPE_IDENTIFIABLE","?REFERENTIAL"),"_")))))</f>
        <v> </v>
      </c>
      <c r="H3661" s="24" t="str">
        <f>IF(J3661&lt;&gt;1,"",IF(I3661="SBJ","CB","?"))</f>
        <v> </v>
      </c>
      <c r="I3661" s="25" t="str">
        <f>IF(OR(E3661="",E3661="!!!",F3661="NEW"),"",INDEX(B3660:B$2,-1+SUMPRODUCT(MAX(ROW(E3660:E$2)*(E3661=E3660:E$2)))))</f>
        <v> </v>
      </c>
      <c r="J3661" s="25" t="str">
        <f>IF(OR(E3661="",E3661="!!!",F3661="NEW"),"",COUNTBLANK(OFFSET(A$1,,,SUMPRODUCT(MAX(ROW(E$2:E3661)*(E3661=E$2:E3661)))))-COUNTBLANK(OFFSET(A$1,,,SUMPRODUCT(MAX(ROW(E$1:E3660)*(E2=E$1:E3660))))))</f>
        <v> </v>
      </c>
      <c r="K3661" s="25" t="str">
        <f>IF(OR(E3661="",E3661="!!!",F3661="NEW"),"",INDEX(J$1:J3660,SUMPRODUCT(MAX(ROW(E$1:E3660)*(E3661=E$1:E3660)))))</f>
        <v> </v>
      </c>
      <c r="L3661" s="26"/>
    </row>
    <row r="3662" spans="1:12">
      <c r="A3662" s="20" t="s">
        <v>827</v>
      </c>
      <c r="B3662" s="27" t="s">
        <v>760</v>
      </c>
      <c r="C3662" s="27" t="s">
        <v>797</v>
      </c>
      <c r="D3662" s="27" t="s">
        <v>762</v>
      </c>
      <c r="E3662" s="21">
        <f>IF(D3662="?OLD","!!!","")</f>
        <v/>
      </c>
      <c r="F3662" s="22" t="str">
        <f>IF(OR(E3662="",E3662="!!!"),"",IF(NOT(ISNA(VLOOKUP(E3662,E$1:E3661,1,FALSE()))),"OLD",IF(AND(E3662&lt;&gt;"",E3662&lt;&gt;"!!!"),"NEW","")))</f>
        <v> </v>
      </c>
      <c r="G3662" s="23" t="str">
        <f>IF(OR(E3662="",E3662="!!!"),"",IF(OR(J3662=0,AND(J3662=1,K3662=1),AND(J3662=1,I3662="SBJ"),AND(J3662=1,I3662=0)),"?IN_FOCUS",IF(J3662&lt;=2,"?ACTIVATED",IF(J3662&lt;&gt;"","?FAMILIAR",IF(F3662="NEW",IF(ISNA(VLOOKUP(E3662,#REF!,1,FALSE())),"?TYPE_IDENTIFIABLE","?REFERENTIAL"),"_")))))</f>
        <v> </v>
      </c>
      <c r="H3662" s="24" t="str">
        <f>IF(J3662&lt;&gt;1,"",IF(I3662="SBJ","CB","?"))</f>
        <v> </v>
      </c>
      <c r="I3662" s="25" t="str">
        <f>IF(OR(E3662="",E3662="!!!",F3662="NEW"),"",INDEX(B3661:B$2,-1+SUMPRODUCT(MAX(ROW(E3661:E$2)*(E3662=E3661:E$2)))))</f>
        <v> </v>
      </c>
      <c r="J3662" s="25" t="str">
        <f>IF(OR(E3662="",E3662="!!!",F3662="NEW"),"",COUNTBLANK(OFFSET(A$1,,,SUMPRODUCT(MAX(ROW(E$2:E3662)*(E3662=E$2:E3662)))))-COUNTBLANK(OFFSET(A$1,,,SUMPRODUCT(MAX(ROW(E$1:E3661)*(E2=E$1:E3661))))))</f>
        <v> </v>
      </c>
      <c r="K3662" s="25" t="str">
        <f>IF(OR(E3662="",E3662="!!!",F3662="NEW"),"",INDEX(J$1:J3661,SUMPRODUCT(MAX(ROW(E$1:E3661)*(E3662=E$1:E3661)))))</f>
        <v> </v>
      </c>
      <c r="L3662" s="26"/>
    </row>
    <row r="3663" spans="1:12">
      <c r="A3663" s="20" t="s">
        <v>909</v>
      </c>
      <c r="E3663" s="21">
        <f>IF(D3663="?OLD","!!!","")</f>
        <v/>
      </c>
      <c r="F3663" s="22" t="str">
        <f>IF(OR(E3663="",E3663="!!!"),"",IF(NOT(ISNA(VLOOKUP(E3663,E$1:E3662,1,FALSE()))),"OLD",IF(AND(E3663&lt;&gt;"",E3663&lt;&gt;"!!!"),"NEW","")))</f>
        <v> </v>
      </c>
      <c r="G3663" s="23" t="str">
        <f>IF(OR(E3663="",E3663="!!!"),"",IF(OR(J3663=0,AND(J3663=1,K3663=1),AND(J3663=1,I3663="SBJ"),AND(J3663=1,I3663=0)),"?IN_FOCUS",IF(J3663&lt;=2,"?ACTIVATED",IF(J3663&lt;&gt;"","?FAMILIAR",IF(F3663="NEW",IF(ISNA(VLOOKUP(E3663,#REF!,1,FALSE())),"?TYPE_IDENTIFIABLE","?REFERENTIAL"),"_")))))</f>
        <v> </v>
      </c>
      <c r="H3663" s="24" t="str">
        <f>IF(J3663&lt;&gt;1,"",IF(I3663="SBJ","CB","?"))</f>
        <v> </v>
      </c>
      <c r="I3663" s="25" t="str">
        <f>IF(OR(E3663="",E3663="!!!",F3663="NEW"),"",INDEX(B3662:B$2,-1+SUMPRODUCT(MAX(ROW(E3662:E$2)*(E3663=E3662:E$2)))))</f>
        <v> </v>
      </c>
      <c r="J3663" s="25" t="str">
        <f>IF(OR(E3663="",E3663="!!!",F3663="NEW"),"",COUNTBLANK(OFFSET(A$1,,,SUMPRODUCT(MAX(ROW(E$2:E3663)*(E3663=E$2:E3663)))))-COUNTBLANK(OFFSET(A$1,,,SUMPRODUCT(MAX(ROW(E$1:E3662)*(E2=E$1:E3662))))))</f>
        <v> </v>
      </c>
      <c r="K3663" s="25" t="str">
        <f>IF(OR(E3663="",E3663="!!!",F3663="NEW"),"",INDEX(J$1:J3662,SUMPRODUCT(MAX(ROW(E$1:E3662)*(E3663=E$1:E3662)))))</f>
        <v> </v>
      </c>
      <c r="L3663" s="26"/>
    </row>
    <row r="3664" spans="1:12">
      <c r="A3664" s="20" t="s">
        <v>1522</v>
      </c>
      <c r="E3664" s="21">
        <f>IF(D3664="?OLD","!!!","")</f>
        <v/>
      </c>
      <c r="F3664" s="22" t="str">
        <f>IF(OR(E3664="",E3664="!!!"),"",IF(NOT(ISNA(VLOOKUP(E3664,E$1:E3663,1,FALSE()))),"OLD",IF(AND(E3664&lt;&gt;"",E3664&lt;&gt;"!!!"),"NEW","")))</f>
        <v> </v>
      </c>
      <c r="G3664" s="23" t="str">
        <f>IF(OR(E3664="",E3664="!!!"),"",IF(OR(J3664=0,AND(J3664=1,K3664=1),AND(J3664=1,I3664="SBJ"),AND(J3664=1,I3664=0)),"?IN_FOCUS",IF(J3664&lt;=2,"?ACTIVATED",IF(J3664&lt;&gt;"","?FAMILIAR",IF(F3664="NEW",IF(ISNA(VLOOKUP(E3664,#REF!,1,FALSE())),"?TYPE_IDENTIFIABLE","?REFERENTIAL"),"_")))))</f>
        <v> </v>
      </c>
      <c r="H3664" s="24" t="str">
        <f>IF(J3664&lt;&gt;1,"",IF(I3664="SBJ","CB","?"))</f>
        <v> </v>
      </c>
      <c r="I3664" s="25" t="str">
        <f>IF(OR(E3664="",E3664="!!!",F3664="NEW"),"",INDEX(B3663:B$2,-1+SUMPRODUCT(MAX(ROW(E3663:E$2)*(E3664=E3663:E$2)))))</f>
        <v> </v>
      </c>
      <c r="J3664" s="25" t="str">
        <f>IF(OR(E3664="",E3664="!!!",F3664="NEW"),"",COUNTBLANK(OFFSET(A$1,,,SUMPRODUCT(MAX(ROW(E$2:E3664)*(E3664=E$2:E3664)))))-COUNTBLANK(OFFSET(A$1,,,SUMPRODUCT(MAX(ROW(E$1:E3663)*(E2=E$1:E3663))))))</f>
        <v> </v>
      </c>
      <c r="K3664" s="25" t="str">
        <f>IF(OR(E3664="",E3664="!!!",F3664="NEW"),"",INDEX(J$1:J3663,SUMPRODUCT(MAX(ROW(E$1:E3663)*(E3664=E$1:E3663)))))</f>
        <v> </v>
      </c>
      <c r="L3664" s="26"/>
    </row>
    <row r="3665" spans="1:12">
      <c r="A3665" s="20" t="s">
        <v>793</v>
      </c>
      <c r="E3665" s="21">
        <f>IF(D3665="?OLD","!!!","")</f>
        <v/>
      </c>
      <c r="F3665" s="22" t="str">
        <f>IF(OR(E3665="",E3665="!!!"),"",IF(NOT(ISNA(VLOOKUP(E3665,E$1:E3664,1,FALSE()))),"OLD",IF(AND(E3665&lt;&gt;"",E3665&lt;&gt;"!!!"),"NEW","")))</f>
        <v> </v>
      </c>
      <c r="G3665" s="23" t="str">
        <f>IF(OR(E3665="",E3665="!!!"),"",IF(OR(J3665=0,AND(J3665=1,K3665=1),AND(J3665=1,I3665="SBJ"),AND(J3665=1,I3665=0)),"?IN_FOCUS",IF(J3665&lt;=2,"?ACTIVATED",IF(J3665&lt;&gt;"","?FAMILIAR",IF(F3665="NEW",IF(ISNA(VLOOKUP(E3665,#REF!,1,FALSE())),"?TYPE_IDENTIFIABLE","?REFERENTIAL"),"_")))))</f>
        <v> </v>
      </c>
      <c r="H3665" s="24" t="str">
        <f>IF(J3665&lt;&gt;1,"",IF(I3665="SBJ","CB","?"))</f>
        <v> </v>
      </c>
      <c r="I3665" s="25" t="str">
        <f>IF(OR(E3665="",E3665="!!!",F3665="NEW"),"",INDEX(B3664:B$2,-1+SUMPRODUCT(MAX(ROW(E3664:E$2)*(E3665=E3664:E$2)))))</f>
        <v> </v>
      </c>
      <c r="J3665" s="25" t="str">
        <f>IF(OR(E3665="",E3665="!!!",F3665="NEW"),"",COUNTBLANK(OFFSET(A$1,,,SUMPRODUCT(MAX(ROW(E$2:E3665)*(E3665=E$2:E3665)))))-COUNTBLANK(OFFSET(A$1,,,SUMPRODUCT(MAX(ROW(E$1:E3664)*(E2=E$1:E3664))))))</f>
        <v> </v>
      </c>
      <c r="K3665" s="25" t="str">
        <f>IF(OR(E3665="",E3665="!!!",F3665="NEW"),"",INDEX(J$1:J3664,SUMPRODUCT(MAX(ROW(E$1:E3664)*(E3665=E$1:E3664)))))</f>
        <v> </v>
      </c>
      <c r="L3665" s="26"/>
    </row>
    <row r="3666" spans="1:12">
      <c r="A3666" s="20" t="s">
        <v>959</v>
      </c>
      <c r="B3666" s="27" t="s">
        <v>796</v>
      </c>
      <c r="C3666" s="27" t="s">
        <v>777</v>
      </c>
      <c r="D3666" s="27" t="s">
        <v>762</v>
      </c>
      <c r="E3666" s="21">
        <f>IF(D3666="?OLD","!!!","")</f>
        <v/>
      </c>
      <c r="F3666" s="22" t="str">
        <f>IF(OR(E3666="",E3666="!!!"),"",IF(NOT(ISNA(VLOOKUP(E3666,E$1:E3665,1,FALSE()))),"OLD",IF(AND(E3666&lt;&gt;"",E3666&lt;&gt;"!!!"),"NEW","")))</f>
        <v> </v>
      </c>
      <c r="G3666" s="23" t="str">
        <f>IF(OR(E3666="",E3666="!!!"),"",IF(OR(J3666=0,AND(J3666=1,K3666=1),AND(J3666=1,I3666="SBJ"),AND(J3666=1,I3666=0)),"?IN_FOCUS",IF(J3666&lt;=2,"?ACTIVATED",IF(J3666&lt;&gt;"","?FAMILIAR",IF(F3666="NEW",IF(ISNA(VLOOKUP(E3666,#REF!,1,FALSE())),"?TYPE_IDENTIFIABLE","?REFERENTIAL"),"_")))))</f>
        <v> </v>
      </c>
      <c r="H3666" s="24" t="str">
        <f>IF(J3666&lt;&gt;1,"",IF(I3666="SBJ","CB","?"))</f>
        <v> </v>
      </c>
      <c r="I3666" s="25" t="str">
        <f>IF(OR(E3666="",E3666="!!!",F3666="NEW"),"",INDEX(B3665:B$2,-1+SUMPRODUCT(MAX(ROW(E3665:E$2)*(E3666=E3665:E$2)))))</f>
        <v> </v>
      </c>
      <c r="J3666" s="25" t="str">
        <f>IF(OR(E3666="",E3666="!!!",F3666="NEW"),"",COUNTBLANK(OFFSET(A$1,,,SUMPRODUCT(MAX(ROW(E$2:E3666)*(E3666=E$2:E3666)))))-COUNTBLANK(OFFSET(A$1,,,SUMPRODUCT(MAX(ROW(E$1:E3665)*(E2=E$1:E3665))))))</f>
        <v> </v>
      </c>
      <c r="K3666" s="25" t="str">
        <f>IF(OR(E3666="",E3666="!!!",F3666="NEW"),"",INDEX(J$1:J3665,SUMPRODUCT(MAX(ROW(E$1:E3665)*(E3666=E$1:E3665)))))</f>
        <v> </v>
      </c>
      <c r="L3666" s="26"/>
    </row>
    <row r="3667" spans="1:12">
      <c r="A3667" s="20" t="s">
        <v>811</v>
      </c>
      <c r="E3667" s="21">
        <f>IF(D3667="?OLD","!!!","")</f>
        <v/>
      </c>
      <c r="F3667" s="22" t="str">
        <f>IF(OR(E3667="",E3667="!!!"),"",IF(NOT(ISNA(VLOOKUP(E3667,E$1:E3666,1,FALSE()))),"OLD",IF(AND(E3667&lt;&gt;"",E3667&lt;&gt;"!!!"),"NEW","")))</f>
        <v> </v>
      </c>
      <c r="G3667" s="23" t="str">
        <f>IF(OR(E3667="",E3667="!!!"),"",IF(OR(J3667=0,AND(J3667=1,K3667=1),AND(J3667=1,I3667="SBJ"),AND(J3667=1,I3667=0)),"?IN_FOCUS",IF(J3667&lt;=2,"?ACTIVATED",IF(J3667&lt;&gt;"","?FAMILIAR",IF(F3667="NEW",IF(ISNA(VLOOKUP(E3667,#REF!,1,FALSE())),"?TYPE_IDENTIFIABLE","?REFERENTIAL"),"_")))))</f>
        <v> </v>
      </c>
      <c r="H3667" s="24" t="str">
        <f>IF(J3667&lt;&gt;1,"",IF(I3667="SBJ","CB","?"))</f>
        <v> </v>
      </c>
      <c r="I3667" s="25" t="str">
        <f>IF(OR(E3667="",E3667="!!!",F3667="NEW"),"",INDEX(B3666:B$2,-1+SUMPRODUCT(MAX(ROW(E3666:E$2)*(E3667=E3666:E$2)))))</f>
        <v> </v>
      </c>
      <c r="J3667" s="25" t="str">
        <f>IF(OR(E3667="",E3667="!!!",F3667="NEW"),"",COUNTBLANK(OFFSET(A$1,,,SUMPRODUCT(MAX(ROW(E$2:E3667)*(E3667=E$2:E3667)))))-COUNTBLANK(OFFSET(A$1,,,SUMPRODUCT(MAX(ROW(E$1:E3666)*(E2=E$1:E3666))))))</f>
        <v> </v>
      </c>
      <c r="K3667" s="25" t="str">
        <f>IF(OR(E3667="",E3667="!!!",F3667="NEW"),"",INDEX(J$1:J3666,SUMPRODUCT(MAX(ROW(E$1:E3666)*(E3667=E$1:E3666)))))</f>
        <v> </v>
      </c>
      <c r="L3667" s="26"/>
    </row>
    <row r="3668" spans="1:12">
      <c r="A3668" s="20" t="s">
        <v>1302</v>
      </c>
      <c r="E3668" s="21">
        <f>IF(D3668="?OLD","!!!","")</f>
        <v/>
      </c>
      <c r="F3668" s="22" t="str">
        <f>IF(OR(E3668="",E3668="!!!"),"",IF(NOT(ISNA(VLOOKUP(E3668,E$1:E3667,1,FALSE()))),"OLD",IF(AND(E3668&lt;&gt;"",E3668&lt;&gt;"!!!"),"NEW","")))</f>
        <v> </v>
      </c>
      <c r="G3668" s="23" t="str">
        <f>IF(OR(E3668="",E3668="!!!"),"",IF(OR(J3668=0,AND(J3668=1,K3668=1),AND(J3668=1,I3668="SBJ"),AND(J3668=1,I3668=0)),"?IN_FOCUS",IF(J3668&lt;=2,"?ACTIVATED",IF(J3668&lt;&gt;"","?FAMILIAR",IF(F3668="NEW",IF(ISNA(VLOOKUP(E3668,#REF!,1,FALSE())),"?TYPE_IDENTIFIABLE","?REFERENTIAL"),"_")))))</f>
        <v> </v>
      </c>
      <c r="H3668" s="24" t="str">
        <f>IF(J3668&lt;&gt;1,"",IF(I3668="SBJ","CB","?"))</f>
        <v> </v>
      </c>
      <c r="I3668" s="25" t="str">
        <f>IF(OR(E3668="",E3668="!!!",F3668="NEW"),"",INDEX(B3667:B$2,-1+SUMPRODUCT(MAX(ROW(E3667:E$2)*(E3668=E3667:E$2)))))</f>
        <v> </v>
      </c>
      <c r="J3668" s="25" t="str">
        <f>IF(OR(E3668="",E3668="!!!",F3668="NEW"),"",COUNTBLANK(OFFSET(A$1,,,SUMPRODUCT(MAX(ROW(E$2:E3668)*(E3668=E$2:E3668)))))-COUNTBLANK(OFFSET(A$1,,,SUMPRODUCT(MAX(ROW(E$1:E3667)*(E2=E$1:E3667))))))</f>
        <v> </v>
      </c>
      <c r="K3668" s="25" t="str">
        <f>IF(OR(E3668="",E3668="!!!",F3668="NEW"),"",INDEX(J$1:J3667,SUMPRODUCT(MAX(ROW(E$1:E3667)*(E3668=E$1:E3667)))))</f>
        <v> </v>
      </c>
      <c r="L3668" s="26"/>
    </row>
    <row r="3669" spans="1:12">
      <c r="A3669" s="20" t="s">
        <v>804</v>
      </c>
      <c r="E3669" s="21">
        <f>IF(D3669="?OLD","!!!","")</f>
        <v/>
      </c>
      <c r="F3669" s="22" t="str">
        <f>IF(OR(E3669="",E3669="!!!"),"",IF(NOT(ISNA(VLOOKUP(E3669,E$1:E3668,1,FALSE()))),"OLD",IF(AND(E3669&lt;&gt;"",E3669&lt;&gt;"!!!"),"NEW","")))</f>
        <v> </v>
      </c>
      <c r="G3669" s="23" t="str">
        <f>IF(OR(E3669="",E3669="!!!"),"",IF(OR(J3669=0,AND(J3669=1,K3669=1),AND(J3669=1,I3669="SBJ"),AND(J3669=1,I3669=0)),"?IN_FOCUS",IF(J3669&lt;=2,"?ACTIVATED",IF(J3669&lt;&gt;"","?FAMILIAR",IF(F3669="NEW",IF(ISNA(VLOOKUP(E3669,#REF!,1,FALSE())),"?TYPE_IDENTIFIABLE","?REFERENTIAL"),"_")))))</f>
        <v> </v>
      </c>
      <c r="H3669" s="24" t="str">
        <f>IF(J3669&lt;&gt;1,"",IF(I3669="SBJ","CB","?"))</f>
        <v> </v>
      </c>
      <c r="I3669" s="25" t="str">
        <f>IF(OR(E3669="",E3669="!!!",F3669="NEW"),"",INDEX(B3668:B$2,-1+SUMPRODUCT(MAX(ROW(E3668:E$2)*(E3669=E3668:E$2)))))</f>
        <v> </v>
      </c>
      <c r="J3669" s="25" t="str">
        <f>IF(OR(E3669="",E3669="!!!",F3669="NEW"),"",COUNTBLANK(OFFSET(A$1,,,SUMPRODUCT(MAX(ROW(E$2:E3669)*(E3669=E$2:E3669)))))-COUNTBLANK(OFFSET(A$1,,,SUMPRODUCT(MAX(ROW(E$1:E3668)*(E2=E$1:E3668))))))</f>
        <v> </v>
      </c>
      <c r="K3669" s="25" t="str">
        <f>IF(OR(E3669="",E3669="!!!",F3669="NEW"),"",INDEX(J$1:J3668,SUMPRODUCT(MAX(ROW(E$1:E3668)*(E3669=E$1:E3668)))))</f>
        <v> </v>
      </c>
      <c r="L3669" s="26"/>
    </row>
    <row r="3670" spans="1:12">
      <c r="A3670" s="20" t="s">
        <v>1364</v>
      </c>
      <c r="E3670" s="21">
        <f>IF(D3670="?OLD","!!!","")</f>
        <v/>
      </c>
      <c r="F3670" s="22" t="str">
        <f>IF(OR(E3670="",E3670="!!!"),"",IF(NOT(ISNA(VLOOKUP(E3670,E$1:E3669,1,FALSE()))),"OLD",IF(AND(E3670&lt;&gt;"",E3670&lt;&gt;"!!!"),"NEW","")))</f>
        <v> </v>
      </c>
      <c r="G3670" s="23" t="str">
        <f>IF(OR(E3670="",E3670="!!!"),"",IF(OR(J3670=0,AND(J3670=1,K3670=1),AND(J3670=1,I3670="SBJ"),AND(J3670=1,I3670=0)),"?IN_FOCUS",IF(J3670&lt;=2,"?ACTIVATED",IF(J3670&lt;&gt;"","?FAMILIAR",IF(F3670="NEW",IF(ISNA(VLOOKUP(E3670,#REF!,1,FALSE())),"?TYPE_IDENTIFIABLE","?REFERENTIAL"),"_")))))</f>
        <v> </v>
      </c>
      <c r="H3670" s="24" t="str">
        <f>IF(J3670&lt;&gt;1,"",IF(I3670="SBJ","CB","?"))</f>
        <v> </v>
      </c>
      <c r="I3670" s="25" t="str">
        <f>IF(OR(E3670="",E3670="!!!",F3670="NEW"),"",INDEX(B3669:B$2,-1+SUMPRODUCT(MAX(ROW(E3669:E$2)*(E3670=E3669:E$2)))))</f>
        <v> </v>
      </c>
      <c r="J3670" s="25" t="str">
        <f>IF(OR(E3670="",E3670="!!!",F3670="NEW"),"",COUNTBLANK(OFFSET(A$1,,,SUMPRODUCT(MAX(ROW(E$2:E3670)*(E3670=E$2:E3670)))))-COUNTBLANK(OFFSET(A$1,,,SUMPRODUCT(MAX(ROW(E$1:E3669)*(E2=E$1:E3669))))))</f>
        <v> </v>
      </c>
      <c r="K3670" s="25" t="str">
        <f>IF(OR(E3670="",E3670="!!!",F3670="NEW"),"",INDEX(J$1:J3669,SUMPRODUCT(MAX(ROW(E$1:E3669)*(E3670=E$1:E3669)))))</f>
        <v> </v>
      </c>
      <c r="L3670" s="26"/>
    </row>
    <row r="3671" spans="1:12">
      <c r="A3671" s="20" t="s">
        <v>1825</v>
      </c>
      <c r="E3671" s="21">
        <f>IF(D3671="?OLD","!!!","")</f>
        <v/>
      </c>
      <c r="F3671" s="22" t="str">
        <f>IF(OR(E3671="",E3671="!!!"),"",IF(NOT(ISNA(VLOOKUP(E3671,E$1:E3670,1,FALSE()))),"OLD",IF(AND(E3671&lt;&gt;"",E3671&lt;&gt;"!!!"),"NEW","")))</f>
        <v> </v>
      </c>
      <c r="G3671" s="23" t="str">
        <f>IF(OR(E3671="",E3671="!!!"),"",IF(OR(J3671=0,AND(J3671=1,K3671=1),AND(J3671=1,I3671="SBJ"),AND(J3671=1,I3671=0)),"?IN_FOCUS",IF(J3671&lt;=2,"?ACTIVATED",IF(J3671&lt;&gt;"","?FAMILIAR",IF(F3671="NEW",IF(ISNA(VLOOKUP(E3671,#REF!,1,FALSE())),"?TYPE_IDENTIFIABLE","?REFERENTIAL"),"_")))))</f>
        <v> </v>
      </c>
      <c r="H3671" s="24" t="str">
        <f>IF(J3671&lt;&gt;1,"",IF(I3671="SBJ","CB","?"))</f>
        <v> </v>
      </c>
      <c r="I3671" s="25" t="str">
        <f>IF(OR(E3671="",E3671="!!!",F3671="NEW"),"",INDEX(B3670:B$2,-1+SUMPRODUCT(MAX(ROW(E3670:E$2)*(E3671=E3670:E$2)))))</f>
        <v> </v>
      </c>
      <c r="J3671" s="25" t="str">
        <f>IF(OR(E3671="",E3671="!!!",F3671="NEW"),"",COUNTBLANK(OFFSET(A$1,,,SUMPRODUCT(MAX(ROW(E$2:E3671)*(E3671=E$2:E3671)))))-COUNTBLANK(OFFSET(A$1,,,SUMPRODUCT(MAX(ROW(E$1:E3670)*(E2=E$1:E3670))))))</f>
        <v> </v>
      </c>
      <c r="K3671" s="25" t="str">
        <f>IF(OR(E3671="",E3671="!!!",F3671="NEW"),"",INDEX(J$1:J3670,SUMPRODUCT(MAX(ROW(E$1:E3670)*(E3671=E$1:E3670)))))</f>
        <v> </v>
      </c>
      <c r="L3671" s="26"/>
    </row>
    <row r="3672" spans="1:12">
      <c r="A3672" s="20" t="s">
        <v>942</v>
      </c>
      <c r="E3672" s="21">
        <f>IF(D3672="?OLD","!!!","")</f>
        <v/>
      </c>
      <c r="F3672" s="22" t="str">
        <f>IF(OR(E3672="",E3672="!!!"),"",IF(NOT(ISNA(VLOOKUP(E3672,E$1:E3671,1,FALSE()))),"OLD",IF(AND(E3672&lt;&gt;"",E3672&lt;&gt;"!!!"),"NEW","")))</f>
        <v> </v>
      </c>
      <c r="G3672" s="23" t="str">
        <f>IF(OR(E3672="",E3672="!!!"),"",IF(OR(J3672=0,AND(J3672=1,K3672=1),AND(J3672=1,I3672="SBJ"),AND(J3672=1,I3672=0)),"?IN_FOCUS",IF(J3672&lt;=2,"?ACTIVATED",IF(J3672&lt;&gt;"","?FAMILIAR",IF(F3672="NEW",IF(ISNA(VLOOKUP(E3672,#REF!,1,FALSE())),"?TYPE_IDENTIFIABLE","?REFERENTIAL"),"_")))))</f>
        <v> </v>
      </c>
      <c r="H3672" s="24" t="str">
        <f>IF(J3672&lt;&gt;1,"",IF(I3672="SBJ","CB","?"))</f>
        <v> </v>
      </c>
      <c r="I3672" s="25" t="str">
        <f>IF(OR(E3672="",E3672="!!!",F3672="NEW"),"",INDEX(B3671:B$2,-1+SUMPRODUCT(MAX(ROW(E3671:E$2)*(E3672=E3671:E$2)))))</f>
        <v> </v>
      </c>
      <c r="J3672" s="25" t="str">
        <f>IF(OR(E3672="",E3672="!!!",F3672="NEW"),"",COUNTBLANK(OFFSET(A$1,,,SUMPRODUCT(MAX(ROW(E$2:E3672)*(E3672=E$2:E3672)))))-COUNTBLANK(OFFSET(A$1,,,SUMPRODUCT(MAX(ROW(E$1:E3671)*(E2=E$1:E3671))))))</f>
        <v> </v>
      </c>
      <c r="K3672" s="25" t="str">
        <f>IF(OR(E3672="",E3672="!!!",F3672="NEW"),"",INDEX(J$1:J3671,SUMPRODUCT(MAX(ROW(E$1:E3671)*(E3672=E$1:E3671)))))</f>
        <v> </v>
      </c>
      <c r="L3672" s="26"/>
    </row>
    <row r="3673" spans="1:12">
      <c r="A3673" s="20" t="s">
        <v>899</v>
      </c>
      <c r="B3673" s="27" t="s">
        <v>753</v>
      </c>
      <c r="C3673" s="27" t="s">
        <v>820</v>
      </c>
      <c r="D3673" s="27" t="s">
        <v>762</v>
      </c>
      <c r="E3673" s="21">
        <f>IF(D3673="?OLD","!!!","")</f>
        <v/>
      </c>
      <c r="F3673" s="22" t="str">
        <f>IF(OR(E3673="",E3673="!!!"),"",IF(NOT(ISNA(VLOOKUP(E3673,E$1:E3672,1,FALSE()))),"OLD",IF(AND(E3673&lt;&gt;"",E3673&lt;&gt;"!!!"),"NEW","")))</f>
        <v> </v>
      </c>
      <c r="G3673" s="23" t="str">
        <f>IF(OR(E3673="",E3673="!!!"),"",IF(OR(J3673=0,AND(J3673=1,K3673=1),AND(J3673=1,I3673="SBJ"),AND(J3673=1,I3673=0)),"?IN_FOCUS",IF(J3673&lt;=2,"?ACTIVATED",IF(J3673&lt;&gt;"","?FAMILIAR",IF(F3673="NEW",IF(ISNA(VLOOKUP(E3673,#REF!,1,FALSE())),"?TYPE_IDENTIFIABLE","?REFERENTIAL"),"_")))))</f>
        <v> </v>
      </c>
      <c r="H3673" s="24" t="str">
        <f>IF(J3673&lt;&gt;1,"",IF(I3673="SBJ","CB","?"))</f>
        <v> </v>
      </c>
      <c r="I3673" s="25" t="str">
        <f>IF(OR(E3673="",E3673="!!!",F3673="NEW"),"",INDEX(B3672:B$2,-1+SUMPRODUCT(MAX(ROW(E3672:E$2)*(E3673=E3672:E$2)))))</f>
        <v> </v>
      </c>
      <c r="J3673" s="25" t="str">
        <f>IF(OR(E3673="",E3673="!!!",F3673="NEW"),"",COUNTBLANK(OFFSET(A$1,,,SUMPRODUCT(MAX(ROW(E$2:E3673)*(E3673=E$2:E3673)))))-COUNTBLANK(OFFSET(A$1,,,SUMPRODUCT(MAX(ROW(E$1:E3672)*(E2=E$1:E3672))))))</f>
        <v> </v>
      </c>
      <c r="K3673" s="25" t="str">
        <f>IF(OR(E3673="",E3673="!!!",F3673="NEW"),"",INDEX(J$1:J3672,SUMPRODUCT(MAX(ROW(E$1:E3672)*(E3673=E$1:E3672)))))</f>
        <v> </v>
      </c>
      <c r="L3673" s="26"/>
    </row>
    <row r="3674" spans="1:12">
      <c r="A3674" s="20" t="s">
        <v>774</v>
      </c>
      <c r="E3674" s="21">
        <f>IF(D3674="?OLD","!!!","")</f>
        <v/>
      </c>
      <c r="F3674" s="22" t="str">
        <f>IF(OR(E3674="",E3674="!!!"),"",IF(NOT(ISNA(VLOOKUP(E3674,E$1:E3673,1,FALSE()))),"OLD",IF(AND(E3674&lt;&gt;"",E3674&lt;&gt;"!!!"),"NEW","")))</f>
        <v> </v>
      </c>
      <c r="G3674" s="23" t="str">
        <f>IF(OR(E3674="",E3674="!!!"),"",IF(OR(J3674=0,AND(J3674=1,K3674=1),AND(J3674=1,I3674="SBJ"),AND(J3674=1,I3674=0)),"?IN_FOCUS",IF(J3674&lt;=2,"?ACTIVATED",IF(J3674&lt;&gt;"","?FAMILIAR",IF(F3674="NEW",IF(ISNA(VLOOKUP(E3674,#REF!,1,FALSE())),"?TYPE_IDENTIFIABLE","?REFERENTIAL"),"_")))))</f>
        <v> </v>
      </c>
      <c r="H3674" s="24" t="str">
        <f>IF(J3674&lt;&gt;1,"",IF(I3674="SBJ","CB","?"))</f>
        <v> </v>
      </c>
      <c r="I3674" s="25" t="str">
        <f>IF(OR(E3674="",E3674="!!!",F3674="NEW"),"",INDEX(B3673:B$2,-1+SUMPRODUCT(MAX(ROW(E3673:E$2)*(E3674=E3673:E$2)))))</f>
        <v> </v>
      </c>
      <c r="J3674" s="25" t="str">
        <f>IF(OR(E3674="",E3674="!!!",F3674="NEW"),"",COUNTBLANK(OFFSET(A$1,,,SUMPRODUCT(MAX(ROW(E$2:E3674)*(E3674=E$2:E3674)))))-COUNTBLANK(OFFSET(A$1,,,SUMPRODUCT(MAX(ROW(E$1:E3673)*(E2=E$1:E3673))))))</f>
        <v> </v>
      </c>
      <c r="K3674" s="25" t="str">
        <f>IF(OR(E3674="",E3674="!!!",F3674="NEW"),"",INDEX(J$1:J3673,SUMPRODUCT(MAX(ROW(E$1:E3673)*(E3674=E$1:E3673)))))</f>
        <v> </v>
      </c>
      <c r="L3674" s="26"/>
    </row>
    <row r="3675" spans="1:12">
      <c r="A3675" s="20"/>
    </row>
    <row r="3676" spans="1:12">
      <c r="A3676" s="20" t="s">
        <v>1826</v>
      </c>
    </row>
    <row r="3677" spans="1:12">
      <c r="A3677" s="20" t="s">
        <v>818</v>
      </c>
      <c r="E3677" s="21">
        <f>IF(D3677="?OLD","!!!","")</f>
        <v/>
      </c>
      <c r="F3677" s="22" t="str">
        <f>IF(OR(E3677="",E3677="!!!"),"",IF(NOT(ISNA(VLOOKUP(E3677,E$1:E3676,1,FALSE()))),"OLD",IF(AND(E3677&lt;&gt;"",E3677&lt;&gt;"!!!"),"NEW","")))</f>
        <v> </v>
      </c>
      <c r="G3677" s="23" t="str">
        <f>IF(OR(E3677="",E3677="!!!"),"",IF(OR(J3677=0,AND(J3677=1,K3677=1),AND(J3677=1,I3677="SBJ"),AND(J3677=1,I3677=0)),"?IN_FOCUS",IF(J3677&lt;=2,"?ACTIVATED",IF(J3677&lt;&gt;"","?FAMILIAR",IF(F3677="NEW",IF(ISNA(VLOOKUP(E3677,#REF!,1,FALSE())),"?TYPE_IDENTIFIABLE","?REFERENTIAL"),"_")))))</f>
        <v> </v>
      </c>
      <c r="H3677" s="24" t="str">
        <f>IF(J3677&lt;&gt;1,"",IF(I3677="SBJ","CB","?"))</f>
        <v> </v>
      </c>
      <c r="I3677" s="25" t="str">
        <f>IF(OR(E3677="",E3677="!!!",F3677="NEW"),"",INDEX(B3676:B$2,-1+SUMPRODUCT(MAX(ROW(E3676:E$2)*(E3677=E3676:E$2)))))</f>
        <v> </v>
      </c>
      <c r="J3677" s="25" t="str">
        <f>IF(OR(E3677="",E3677="!!!",F3677="NEW"),"",COUNTBLANK(OFFSET(A$1,,,SUMPRODUCT(MAX(ROW(E$2:E3677)*(E3677=E$2:E3677)))))-COUNTBLANK(OFFSET(A$1,,,SUMPRODUCT(MAX(ROW(E$1:E3676)*(E2=E$1:E3676))))))</f>
        <v> </v>
      </c>
      <c r="K3677" s="25" t="str">
        <f>IF(OR(E3677="",E3677="!!!",F3677="NEW"),"",INDEX(J$1:J3676,SUMPRODUCT(MAX(ROW(E$1:E3676)*(E3677=E$1:E3676)))))</f>
        <v> </v>
      </c>
      <c r="L3677" s="26"/>
    </row>
    <row r="3678" spans="1:12">
      <c r="A3678" s="20" t="s">
        <v>983</v>
      </c>
      <c r="B3678" s="27" t="s">
        <v>760</v>
      </c>
      <c r="C3678" s="27" t="s">
        <v>797</v>
      </c>
      <c r="D3678" s="27" t="s">
        <v>762</v>
      </c>
      <c r="E3678" s="21">
        <f>IF(D3678="?OLD","!!!","")</f>
        <v/>
      </c>
      <c r="F3678" s="22" t="str">
        <f>IF(OR(E3678="",E3678="!!!"),"",IF(NOT(ISNA(VLOOKUP(E3678,E$1:E3677,1,FALSE()))),"OLD",IF(AND(E3678&lt;&gt;"",E3678&lt;&gt;"!!!"),"NEW","")))</f>
        <v> </v>
      </c>
      <c r="G3678" s="23" t="str">
        <f>IF(OR(E3678="",E3678="!!!"),"",IF(OR(J3678=0,AND(J3678=1,K3678=1),AND(J3678=1,I3678="SBJ"),AND(J3678=1,I3678=0)),"?IN_FOCUS",IF(J3678&lt;=2,"?ACTIVATED",IF(J3678&lt;&gt;"","?FAMILIAR",IF(F3678="NEW",IF(ISNA(VLOOKUP(E3678,#REF!,1,FALSE())),"?TYPE_IDENTIFIABLE","?REFERENTIAL"),"_")))))</f>
        <v> </v>
      </c>
      <c r="H3678" s="24" t="str">
        <f>IF(J3678&lt;&gt;1,"",IF(I3678="SBJ","CB","?"))</f>
        <v> </v>
      </c>
      <c r="I3678" s="25" t="str">
        <f>IF(OR(E3678="",E3678="!!!",F3678="NEW"),"",INDEX(B3677:B$2,-1+SUMPRODUCT(MAX(ROW(E3677:E$2)*(E3678=E3677:E$2)))))</f>
        <v> </v>
      </c>
      <c r="J3678" s="25" t="str">
        <f>IF(OR(E3678="",E3678="!!!",F3678="NEW"),"",COUNTBLANK(OFFSET(A$1,,,SUMPRODUCT(MAX(ROW(E$2:E3678)*(E3678=E$2:E3678)))))-COUNTBLANK(OFFSET(A$1,,,SUMPRODUCT(MAX(ROW(E$1:E3677)*(E2=E$1:E3677))))))</f>
        <v> </v>
      </c>
      <c r="K3678" s="25" t="str">
        <f>IF(OR(E3678="",E3678="!!!",F3678="NEW"),"",INDEX(J$1:J3677,SUMPRODUCT(MAX(ROW(E$1:E3677)*(E3678=E$1:E3677)))))</f>
        <v> </v>
      </c>
      <c r="L3678" s="26"/>
    </row>
    <row r="3679" spans="1:12">
      <c r="A3679" s="20" t="s">
        <v>1827</v>
      </c>
      <c r="E3679" s="21">
        <f>IF(D3679="?OLD","!!!","")</f>
        <v/>
      </c>
      <c r="F3679" s="22" t="str">
        <f>IF(OR(E3679="",E3679="!!!"),"",IF(NOT(ISNA(VLOOKUP(E3679,E$1:E3678,1,FALSE()))),"OLD",IF(AND(E3679&lt;&gt;"",E3679&lt;&gt;"!!!"),"NEW","")))</f>
        <v> </v>
      </c>
      <c r="G3679" s="23" t="str">
        <f>IF(OR(E3679="",E3679="!!!"),"",IF(OR(J3679=0,AND(J3679=1,K3679=1),AND(J3679=1,I3679="SBJ"),AND(J3679=1,I3679=0)),"?IN_FOCUS",IF(J3679&lt;=2,"?ACTIVATED",IF(J3679&lt;&gt;"","?FAMILIAR",IF(F3679="NEW",IF(ISNA(VLOOKUP(E3679,#REF!,1,FALSE())),"?TYPE_IDENTIFIABLE","?REFERENTIAL"),"_")))))</f>
        <v> </v>
      </c>
      <c r="H3679" s="24" t="str">
        <f>IF(J3679&lt;&gt;1,"",IF(I3679="SBJ","CB","?"))</f>
        <v> </v>
      </c>
      <c r="I3679" s="25" t="str">
        <f>IF(OR(E3679="",E3679="!!!",F3679="NEW"),"",INDEX(B3678:B$2,-1+SUMPRODUCT(MAX(ROW(E3678:E$2)*(E3679=E3678:E$2)))))</f>
        <v> </v>
      </c>
      <c r="J3679" s="25" t="str">
        <f>IF(OR(E3679="",E3679="!!!",F3679="NEW"),"",COUNTBLANK(OFFSET(A$1,,,SUMPRODUCT(MAX(ROW(E$2:E3679)*(E3679=E$2:E3679)))))-COUNTBLANK(OFFSET(A$1,,,SUMPRODUCT(MAX(ROW(E$1:E3678)*(E2=E$1:E3678))))))</f>
        <v> </v>
      </c>
      <c r="K3679" s="25" t="str">
        <f>IF(OR(E3679="",E3679="!!!",F3679="NEW"),"",INDEX(J$1:J3678,SUMPRODUCT(MAX(ROW(E$1:E3678)*(E3679=E$1:E3678)))))</f>
        <v> </v>
      </c>
      <c r="L3679" s="26"/>
    </row>
    <row r="3680" spans="1:12">
      <c r="A3680" s="20" t="s">
        <v>959</v>
      </c>
      <c r="B3680" s="27" t="s">
        <v>796</v>
      </c>
      <c r="C3680" s="27" t="s">
        <v>777</v>
      </c>
      <c r="D3680" s="27" t="s">
        <v>762</v>
      </c>
      <c r="E3680" s="21">
        <f>IF(D3680="?OLD","!!!","")</f>
        <v/>
      </c>
      <c r="F3680" s="22" t="str">
        <f>IF(OR(E3680="",E3680="!!!"),"",IF(NOT(ISNA(VLOOKUP(E3680,E$1:E3679,1,FALSE()))),"OLD",IF(AND(E3680&lt;&gt;"",E3680&lt;&gt;"!!!"),"NEW","")))</f>
        <v> </v>
      </c>
      <c r="G3680" s="23" t="str">
        <f>IF(OR(E3680="",E3680="!!!"),"",IF(OR(J3680=0,AND(J3680=1,K3680=1),AND(J3680=1,I3680="SBJ"),AND(J3680=1,I3680=0)),"?IN_FOCUS",IF(J3680&lt;=2,"?ACTIVATED",IF(J3680&lt;&gt;"","?FAMILIAR",IF(F3680="NEW",IF(ISNA(VLOOKUP(E3680,#REF!,1,FALSE())),"?TYPE_IDENTIFIABLE","?REFERENTIAL"),"_")))))</f>
        <v> </v>
      </c>
      <c r="H3680" s="24" t="str">
        <f>IF(J3680&lt;&gt;1,"",IF(I3680="SBJ","CB","?"))</f>
        <v> </v>
      </c>
      <c r="I3680" s="25" t="str">
        <f>IF(OR(E3680="",E3680="!!!",F3680="NEW"),"",INDEX(B3679:B$2,-1+SUMPRODUCT(MAX(ROW(E3679:E$2)*(E3680=E3679:E$2)))))</f>
        <v> </v>
      </c>
      <c r="J3680" s="25" t="str">
        <f>IF(OR(E3680="",E3680="!!!",F3680="NEW"),"",COUNTBLANK(OFFSET(A$1,,,SUMPRODUCT(MAX(ROW(E$2:E3680)*(E3680=E$2:E3680)))))-COUNTBLANK(OFFSET(A$1,,,SUMPRODUCT(MAX(ROW(E$1:E3679)*(E2=E$1:E3679))))))</f>
        <v> </v>
      </c>
      <c r="K3680" s="25" t="str">
        <f>IF(OR(E3680="",E3680="!!!",F3680="NEW"),"",INDEX(J$1:J3679,SUMPRODUCT(MAX(ROW(E$1:E3679)*(E3680=E$1:E3679)))))</f>
        <v> </v>
      </c>
      <c r="L3680" s="26"/>
    </row>
    <row r="3681" spans="1:12">
      <c r="A3681" s="20" t="s">
        <v>1828</v>
      </c>
      <c r="E3681" s="21">
        <f>IF(D3681="?OLD","!!!","")</f>
        <v/>
      </c>
      <c r="F3681" s="22" t="str">
        <f>IF(OR(E3681="",E3681="!!!"),"",IF(NOT(ISNA(VLOOKUP(E3681,E$1:E3680,1,FALSE()))),"OLD",IF(AND(E3681&lt;&gt;"",E3681&lt;&gt;"!!!"),"NEW","")))</f>
        <v> </v>
      </c>
      <c r="G3681" s="23" t="str">
        <f>IF(OR(E3681="",E3681="!!!"),"",IF(OR(J3681=0,AND(J3681=1,K3681=1),AND(J3681=1,I3681="SBJ"),AND(J3681=1,I3681=0)),"?IN_FOCUS",IF(J3681&lt;=2,"?ACTIVATED",IF(J3681&lt;&gt;"","?FAMILIAR",IF(F3681="NEW",IF(ISNA(VLOOKUP(E3681,#REF!,1,FALSE())),"?TYPE_IDENTIFIABLE","?REFERENTIAL"),"_")))))</f>
        <v> </v>
      </c>
      <c r="H3681" s="24" t="str">
        <f>IF(J3681&lt;&gt;1,"",IF(I3681="SBJ","CB","?"))</f>
        <v> </v>
      </c>
      <c r="I3681" s="25" t="str">
        <f>IF(OR(E3681="",E3681="!!!",F3681="NEW"),"",INDEX(B3680:B$2,-1+SUMPRODUCT(MAX(ROW(E3680:E$2)*(E3681=E3680:E$2)))))</f>
        <v> </v>
      </c>
      <c r="J3681" s="25" t="str">
        <f>IF(OR(E3681="",E3681="!!!",F3681="NEW"),"",COUNTBLANK(OFFSET(A$1,,,SUMPRODUCT(MAX(ROW(E$2:E3681)*(E3681=E$2:E3681)))))-COUNTBLANK(OFFSET(A$1,,,SUMPRODUCT(MAX(ROW(E$1:E3680)*(E2=E$1:E3680))))))</f>
        <v> </v>
      </c>
      <c r="K3681" s="25" t="str">
        <f>IF(OR(E3681="",E3681="!!!",F3681="NEW"),"",INDEX(J$1:J3680,SUMPRODUCT(MAX(ROW(E$1:E3680)*(E3681=E$1:E3680)))))</f>
        <v> </v>
      </c>
      <c r="L3681" s="26"/>
    </row>
    <row r="3682" spans="1:12">
      <c r="A3682" s="20" t="s">
        <v>855</v>
      </c>
      <c r="E3682" s="21">
        <f>IF(D3682="?OLD","!!!","")</f>
        <v/>
      </c>
      <c r="F3682" s="22" t="str">
        <f>IF(OR(E3682="",E3682="!!!"),"",IF(NOT(ISNA(VLOOKUP(E3682,E$1:E3681,1,FALSE()))),"OLD",IF(AND(E3682&lt;&gt;"",E3682&lt;&gt;"!!!"),"NEW","")))</f>
        <v> </v>
      </c>
      <c r="G3682" s="23" t="str">
        <f>IF(OR(E3682="",E3682="!!!"),"",IF(OR(J3682=0,AND(J3682=1,K3682=1),AND(J3682=1,I3682="SBJ"),AND(J3682=1,I3682=0)),"?IN_FOCUS",IF(J3682&lt;=2,"?ACTIVATED",IF(J3682&lt;&gt;"","?FAMILIAR",IF(F3682="NEW",IF(ISNA(VLOOKUP(E3682,#REF!,1,FALSE())),"?TYPE_IDENTIFIABLE","?REFERENTIAL"),"_")))))</f>
        <v> </v>
      </c>
      <c r="H3682" s="24" t="str">
        <f>IF(J3682&lt;&gt;1,"",IF(I3682="SBJ","CB","?"))</f>
        <v> </v>
      </c>
      <c r="I3682" s="25" t="str">
        <f>IF(OR(E3682="",E3682="!!!",F3682="NEW"),"",INDEX(B3681:B$2,-1+SUMPRODUCT(MAX(ROW(E3681:E$2)*(E3682=E3681:E$2)))))</f>
        <v> </v>
      </c>
      <c r="J3682" s="25" t="str">
        <f>IF(OR(E3682="",E3682="!!!",F3682="NEW"),"",COUNTBLANK(OFFSET(A$1,,,SUMPRODUCT(MAX(ROW(E$2:E3682)*(E3682=E$2:E3682)))))-COUNTBLANK(OFFSET(A$1,,,SUMPRODUCT(MAX(ROW(E$1:E3681)*(E2=E$1:E3681))))))</f>
        <v> </v>
      </c>
      <c r="K3682" s="25" t="str">
        <f>IF(OR(E3682="",E3682="!!!",F3682="NEW"),"",INDEX(J$1:J3681,SUMPRODUCT(MAX(ROW(E$1:E3681)*(E3682=E$1:E3681)))))</f>
        <v> </v>
      </c>
      <c r="L3682" s="26"/>
    </row>
    <row r="3683" spans="1:12">
      <c r="A3683" s="20" t="s">
        <v>1829</v>
      </c>
      <c r="E3683" s="21">
        <f>IF(D3683="?OLD","!!!","")</f>
        <v/>
      </c>
      <c r="F3683" s="22" t="str">
        <f>IF(OR(E3683="",E3683="!!!"),"",IF(NOT(ISNA(VLOOKUP(E3683,E$1:E3682,1,FALSE()))),"OLD",IF(AND(E3683&lt;&gt;"",E3683&lt;&gt;"!!!"),"NEW","")))</f>
        <v> </v>
      </c>
      <c r="G3683" s="23" t="str">
        <f>IF(OR(E3683="",E3683="!!!"),"",IF(OR(J3683=0,AND(J3683=1,K3683=1),AND(J3683=1,I3683="SBJ"),AND(J3683=1,I3683=0)),"?IN_FOCUS",IF(J3683&lt;=2,"?ACTIVATED",IF(J3683&lt;&gt;"","?FAMILIAR",IF(F3683="NEW",IF(ISNA(VLOOKUP(E3683,#REF!,1,FALSE())),"?TYPE_IDENTIFIABLE","?REFERENTIAL"),"_")))))</f>
        <v> </v>
      </c>
      <c r="H3683" s="24" t="str">
        <f>IF(J3683&lt;&gt;1,"",IF(I3683="SBJ","CB","?"))</f>
        <v> </v>
      </c>
      <c r="I3683" s="25" t="str">
        <f>IF(OR(E3683="",E3683="!!!",F3683="NEW"),"",INDEX(B3682:B$2,-1+SUMPRODUCT(MAX(ROW(E3682:E$2)*(E3683=E3682:E$2)))))</f>
        <v> </v>
      </c>
      <c r="J3683" s="25" t="str">
        <f>IF(OR(E3683="",E3683="!!!",F3683="NEW"),"",COUNTBLANK(OFFSET(A$1,,,SUMPRODUCT(MAX(ROW(E$2:E3683)*(E3683=E$2:E3683)))))-COUNTBLANK(OFFSET(A$1,,,SUMPRODUCT(MAX(ROW(E$1:E3682)*(E2=E$1:E3682))))))</f>
        <v> </v>
      </c>
      <c r="K3683" s="25" t="str">
        <f>IF(OR(E3683="",E3683="!!!",F3683="NEW"),"",INDEX(J$1:J3682,SUMPRODUCT(MAX(ROW(E$1:E3682)*(E3683=E$1:E3682)))))</f>
        <v> </v>
      </c>
      <c r="L3683" s="26"/>
    </row>
    <row r="3684" spans="1:12">
      <c r="A3684" s="20" t="s">
        <v>1159</v>
      </c>
      <c r="E3684" s="21">
        <f>IF(D3684="?OLD","!!!","")</f>
        <v/>
      </c>
      <c r="F3684" s="22" t="str">
        <f>IF(OR(E3684="",E3684="!!!"),"",IF(NOT(ISNA(VLOOKUP(E3684,E$1:E3683,1,FALSE()))),"OLD",IF(AND(E3684&lt;&gt;"",E3684&lt;&gt;"!!!"),"NEW","")))</f>
        <v> </v>
      </c>
      <c r="G3684" s="23" t="str">
        <f>IF(OR(E3684="",E3684="!!!"),"",IF(OR(J3684=0,AND(J3684=1,K3684=1),AND(J3684=1,I3684="SBJ"),AND(J3684=1,I3684=0)),"?IN_FOCUS",IF(J3684&lt;=2,"?ACTIVATED",IF(J3684&lt;&gt;"","?FAMILIAR",IF(F3684="NEW",IF(ISNA(VLOOKUP(E3684,#REF!,1,FALSE())),"?TYPE_IDENTIFIABLE","?REFERENTIAL"),"_")))))</f>
        <v> </v>
      </c>
      <c r="H3684" s="24" t="str">
        <f>IF(J3684&lt;&gt;1,"",IF(I3684="SBJ","CB","?"))</f>
        <v> </v>
      </c>
      <c r="I3684" s="25" t="str">
        <f>IF(OR(E3684="",E3684="!!!",F3684="NEW"),"",INDEX(B3683:B$2,-1+SUMPRODUCT(MAX(ROW(E3683:E$2)*(E3684=E3683:E$2)))))</f>
        <v> </v>
      </c>
      <c r="J3684" s="25" t="str">
        <f>IF(OR(E3684="",E3684="!!!",F3684="NEW"),"",COUNTBLANK(OFFSET(A$1,,,SUMPRODUCT(MAX(ROW(E$2:E3684)*(E3684=E$2:E3684)))))-COUNTBLANK(OFFSET(A$1,,,SUMPRODUCT(MAX(ROW(E$1:E3683)*(E2=E$1:E3683))))))</f>
        <v> </v>
      </c>
      <c r="K3684" s="25" t="str">
        <f>IF(OR(E3684="",E3684="!!!",F3684="NEW"),"",INDEX(J$1:J3683,SUMPRODUCT(MAX(ROW(E$1:E3683)*(E3684=E$1:E3683)))))</f>
        <v> </v>
      </c>
      <c r="L3684" s="26"/>
    </row>
    <row r="3685" spans="1:12">
      <c r="A3685" s="20" t="s">
        <v>1508</v>
      </c>
      <c r="B3685" s="27" t="s">
        <v>802</v>
      </c>
      <c r="C3685" s="27" t="s">
        <v>1019</v>
      </c>
      <c r="D3685" s="27" t="s">
        <v>762</v>
      </c>
      <c r="E3685" s="21">
        <f>IF(D3685="?OLD","!!!","")</f>
        <v/>
      </c>
      <c r="F3685" s="22" t="str">
        <f>IF(OR(E3685="",E3685="!!!"),"",IF(NOT(ISNA(VLOOKUP(E3685,E$1:E3684,1,FALSE()))),"OLD",IF(AND(E3685&lt;&gt;"",E3685&lt;&gt;"!!!"),"NEW","")))</f>
        <v> </v>
      </c>
      <c r="G3685" s="23" t="str">
        <f>IF(OR(E3685="",E3685="!!!"),"",IF(OR(J3685=0,AND(J3685=1,K3685=1),AND(J3685=1,I3685="SBJ"),AND(J3685=1,I3685=0)),"?IN_FOCUS",IF(J3685&lt;=2,"?ACTIVATED",IF(J3685&lt;&gt;"","?FAMILIAR",IF(F3685="NEW",IF(ISNA(VLOOKUP(E3685,#REF!,1,FALSE())),"?TYPE_IDENTIFIABLE","?REFERENTIAL"),"_")))))</f>
        <v> </v>
      </c>
      <c r="H3685" s="24" t="str">
        <f>IF(J3685&lt;&gt;1,"",IF(I3685="SBJ","CB","?"))</f>
        <v> </v>
      </c>
      <c r="I3685" s="25" t="str">
        <f>IF(OR(E3685="",E3685="!!!",F3685="NEW"),"",INDEX(B3684:B$2,-1+SUMPRODUCT(MAX(ROW(E3684:E$2)*(E3685=E3684:E$2)))))</f>
        <v> </v>
      </c>
      <c r="J3685" s="25" t="str">
        <f>IF(OR(E3685="",E3685="!!!",F3685="NEW"),"",COUNTBLANK(OFFSET(A$1,,,SUMPRODUCT(MAX(ROW(E$2:E3685)*(E3685=E$2:E3685)))))-COUNTBLANK(OFFSET(A$1,,,SUMPRODUCT(MAX(ROW(E$1:E3684)*(E2=E$1:E3684))))))</f>
        <v> </v>
      </c>
      <c r="K3685" s="25" t="str">
        <f>IF(OR(E3685="",E3685="!!!",F3685="NEW"),"",INDEX(J$1:J3684,SUMPRODUCT(MAX(ROW(E$1:E3684)*(E3685=E$1:E3684)))))</f>
        <v> </v>
      </c>
      <c r="L3685" s="26"/>
    </row>
    <row r="3686" spans="1:12">
      <c r="A3686" s="20" t="s">
        <v>1020</v>
      </c>
      <c r="B3686" s="27" t="s">
        <v>941</v>
      </c>
      <c r="E3686" s="21">
        <f>IF(D3686="?OLD","!!!","")</f>
        <v/>
      </c>
      <c r="F3686" s="22" t="str">
        <f>IF(OR(E3686="",E3686="!!!"),"",IF(NOT(ISNA(VLOOKUP(E3686,E$1:E3685,1,FALSE()))),"OLD",IF(AND(E3686&lt;&gt;"",E3686&lt;&gt;"!!!"),"NEW","")))</f>
        <v> </v>
      </c>
      <c r="G3686" s="23" t="str">
        <f>IF(OR(E3686="",E3686="!!!"),"",IF(OR(J3686=0,AND(J3686=1,K3686=1),AND(J3686=1,I3686="SBJ"),AND(J3686=1,I3686=0)),"?IN_FOCUS",IF(J3686&lt;=2,"?ACTIVATED",IF(J3686&lt;&gt;"","?FAMILIAR",IF(F3686="NEW",IF(ISNA(VLOOKUP(E3686,#REF!,1,FALSE())),"?TYPE_IDENTIFIABLE","?REFERENTIAL"),"_")))))</f>
        <v> </v>
      </c>
      <c r="H3686" s="24" t="str">
        <f>IF(J3686&lt;&gt;1,"",IF(I3686="SBJ","CB","?"))</f>
        <v> </v>
      </c>
      <c r="I3686" s="25" t="str">
        <f>IF(OR(E3686="",E3686="!!!",F3686="NEW"),"",INDEX(B3685:B$2,-1+SUMPRODUCT(MAX(ROW(E3685:E$2)*(E3686=E3685:E$2)))))</f>
        <v> </v>
      </c>
      <c r="J3686" s="25" t="str">
        <f>IF(OR(E3686="",E3686="!!!",F3686="NEW"),"",COUNTBLANK(OFFSET(A$1,,,SUMPRODUCT(MAX(ROW(E$2:E3686)*(E3686=E$2:E3686)))))-COUNTBLANK(OFFSET(A$1,,,SUMPRODUCT(MAX(ROW(E$1:E3685)*(E2=E$1:E3685))))))</f>
        <v> </v>
      </c>
      <c r="K3686" s="25" t="str">
        <f>IF(OR(E3686="",E3686="!!!",F3686="NEW"),"",INDEX(J$1:J3685,SUMPRODUCT(MAX(ROW(E$1:E3685)*(E3686=E$1:E3685)))))</f>
        <v> </v>
      </c>
      <c r="L3686" s="26"/>
    </row>
    <row r="3687" spans="1:12">
      <c r="A3687" s="20" t="s">
        <v>1025</v>
      </c>
      <c r="E3687" s="21">
        <f>IF(D3687="?OLD","!!!","")</f>
        <v/>
      </c>
      <c r="F3687" s="22" t="str">
        <f>IF(OR(E3687="",E3687="!!!"),"",IF(NOT(ISNA(VLOOKUP(E3687,E$1:E3686,1,FALSE()))),"OLD",IF(AND(E3687&lt;&gt;"",E3687&lt;&gt;"!!!"),"NEW","")))</f>
        <v> </v>
      </c>
      <c r="G3687" s="23" t="str">
        <f>IF(OR(E3687="",E3687="!!!"),"",IF(OR(J3687=0,AND(J3687=1,K3687=1),AND(J3687=1,I3687="SBJ"),AND(J3687=1,I3687=0)),"?IN_FOCUS",IF(J3687&lt;=2,"?ACTIVATED",IF(J3687&lt;&gt;"","?FAMILIAR",IF(F3687="NEW",IF(ISNA(VLOOKUP(E3687,#REF!,1,FALSE())),"?TYPE_IDENTIFIABLE","?REFERENTIAL"),"_")))))</f>
        <v> </v>
      </c>
      <c r="H3687" s="24" t="str">
        <f>IF(J3687&lt;&gt;1,"",IF(I3687="SBJ","CB","?"))</f>
        <v> </v>
      </c>
      <c r="I3687" s="25" t="str">
        <f>IF(OR(E3687="",E3687="!!!",F3687="NEW"),"",INDEX(B3686:B$2,-1+SUMPRODUCT(MAX(ROW(E3686:E$2)*(E3687=E3686:E$2)))))</f>
        <v> </v>
      </c>
      <c r="J3687" s="25" t="str">
        <f>IF(OR(E3687="",E3687="!!!",F3687="NEW"),"",COUNTBLANK(OFFSET(A$1,,,SUMPRODUCT(MAX(ROW(E$2:E3687)*(E3687=E$2:E3687)))))-COUNTBLANK(OFFSET(A$1,,,SUMPRODUCT(MAX(ROW(E$1:E3686)*(E2=E$1:E3686))))))</f>
        <v> </v>
      </c>
      <c r="K3687" s="25" t="str">
        <f>IF(OR(E3687="",E3687="!!!",F3687="NEW"),"",INDEX(J$1:J3686,SUMPRODUCT(MAX(ROW(E$1:E3686)*(E3687=E$1:E3686)))))</f>
        <v> </v>
      </c>
      <c r="L3687" s="26"/>
    </row>
    <row r="3688" spans="1:12">
      <c r="A3688" s="20" t="s">
        <v>1095</v>
      </c>
      <c r="E3688" s="21">
        <f>IF(D3688="?OLD","!!!","")</f>
        <v/>
      </c>
      <c r="F3688" s="22" t="str">
        <f>IF(OR(E3688="",E3688="!!!"),"",IF(NOT(ISNA(VLOOKUP(E3688,E$1:E3687,1,FALSE()))),"OLD",IF(AND(E3688&lt;&gt;"",E3688&lt;&gt;"!!!"),"NEW","")))</f>
        <v> </v>
      </c>
      <c r="G3688" s="23" t="str">
        <f>IF(OR(E3688="",E3688="!!!"),"",IF(OR(J3688=0,AND(J3688=1,K3688=1),AND(J3688=1,I3688="SBJ"),AND(J3688=1,I3688=0)),"?IN_FOCUS",IF(J3688&lt;=2,"?ACTIVATED",IF(J3688&lt;&gt;"","?FAMILIAR",IF(F3688="NEW",IF(ISNA(VLOOKUP(E3688,#REF!,1,FALSE())),"?TYPE_IDENTIFIABLE","?REFERENTIAL"),"_")))))</f>
        <v> </v>
      </c>
      <c r="H3688" s="24" t="str">
        <f>IF(J3688&lt;&gt;1,"",IF(I3688="SBJ","CB","?"))</f>
        <v> </v>
      </c>
      <c r="I3688" s="25" t="str">
        <f>IF(OR(E3688="",E3688="!!!",F3688="NEW"),"",INDEX(B3687:B$2,-1+SUMPRODUCT(MAX(ROW(E3687:E$2)*(E3688=E3687:E$2)))))</f>
        <v> </v>
      </c>
      <c r="J3688" s="25" t="str">
        <f>IF(OR(E3688="",E3688="!!!",F3688="NEW"),"",COUNTBLANK(OFFSET(A$1,,,SUMPRODUCT(MAX(ROW(E$2:E3688)*(E3688=E$2:E3688)))))-COUNTBLANK(OFFSET(A$1,,,SUMPRODUCT(MAX(ROW(E$1:E3687)*(E2=E$1:E3687))))))</f>
        <v> </v>
      </c>
      <c r="K3688" s="25" t="str">
        <f>IF(OR(E3688="",E3688="!!!",F3688="NEW"),"",INDEX(J$1:J3687,SUMPRODUCT(MAX(ROW(E$1:E3687)*(E3688=E$1:E3687)))))</f>
        <v> </v>
      </c>
      <c r="L3688" s="26"/>
    </row>
    <row r="3689" spans="1:12">
      <c r="A3689" s="20" t="s">
        <v>1278</v>
      </c>
      <c r="E3689" s="21">
        <f>IF(D3689="?OLD","!!!","")</f>
        <v/>
      </c>
      <c r="F3689" s="22" t="str">
        <f>IF(OR(E3689="",E3689="!!!"),"",IF(NOT(ISNA(VLOOKUP(E3689,E$1:E3688,1,FALSE()))),"OLD",IF(AND(E3689&lt;&gt;"",E3689&lt;&gt;"!!!"),"NEW","")))</f>
        <v> </v>
      </c>
      <c r="G3689" s="23" t="str">
        <f>IF(OR(E3689="",E3689="!!!"),"",IF(OR(J3689=0,AND(J3689=1,K3689=1),AND(J3689=1,I3689="SBJ"),AND(J3689=1,I3689=0)),"?IN_FOCUS",IF(J3689&lt;=2,"?ACTIVATED",IF(J3689&lt;&gt;"","?FAMILIAR",IF(F3689="NEW",IF(ISNA(VLOOKUP(E3689,#REF!,1,FALSE())),"?TYPE_IDENTIFIABLE","?REFERENTIAL"),"_")))))</f>
        <v> </v>
      </c>
      <c r="H3689" s="24" t="str">
        <f>IF(J3689&lt;&gt;1,"",IF(I3689="SBJ","CB","?"))</f>
        <v> </v>
      </c>
      <c r="I3689" s="25" t="str">
        <f>IF(OR(E3689="",E3689="!!!",F3689="NEW"),"",INDEX(B3688:B$2,-1+SUMPRODUCT(MAX(ROW(E3688:E$2)*(E3689=E3688:E$2)))))</f>
        <v> </v>
      </c>
      <c r="J3689" s="25" t="str">
        <f>IF(OR(E3689="",E3689="!!!",F3689="NEW"),"",COUNTBLANK(OFFSET(A$1,,,SUMPRODUCT(MAX(ROW(E$2:E3689)*(E3689=E$2:E3689)))))-COUNTBLANK(OFFSET(A$1,,,SUMPRODUCT(MAX(ROW(E$1:E3688)*(E2=E$1:E3688))))))</f>
        <v> </v>
      </c>
      <c r="K3689" s="25" t="str">
        <f>IF(OR(E3689="",E3689="!!!",F3689="NEW"),"",INDEX(J$1:J3688,SUMPRODUCT(MAX(ROW(E$1:E3688)*(E3689=E$1:E3688)))))</f>
        <v> </v>
      </c>
      <c r="L3689" s="26"/>
    </row>
    <row r="3690" spans="1:12">
      <c r="A3690" s="20" t="s">
        <v>1159</v>
      </c>
      <c r="E3690" s="21">
        <f>IF(D3690="?OLD","!!!","")</f>
        <v/>
      </c>
      <c r="F3690" s="22" t="str">
        <f>IF(OR(E3690="",E3690="!!!"),"",IF(NOT(ISNA(VLOOKUP(E3690,E$1:E3689,1,FALSE()))),"OLD",IF(AND(E3690&lt;&gt;"",E3690&lt;&gt;"!!!"),"NEW","")))</f>
        <v> </v>
      </c>
      <c r="G3690" s="23" t="str">
        <f>IF(OR(E3690="",E3690="!!!"),"",IF(OR(J3690=0,AND(J3690=1,K3690=1),AND(J3690=1,I3690="SBJ"),AND(J3690=1,I3690=0)),"?IN_FOCUS",IF(J3690&lt;=2,"?ACTIVATED",IF(J3690&lt;&gt;"","?FAMILIAR",IF(F3690="NEW",IF(ISNA(VLOOKUP(E3690,#REF!,1,FALSE())),"?TYPE_IDENTIFIABLE","?REFERENTIAL"),"_")))))</f>
        <v> </v>
      </c>
      <c r="H3690" s="24" t="str">
        <f>IF(J3690&lt;&gt;1,"",IF(I3690="SBJ","CB","?"))</f>
        <v> </v>
      </c>
      <c r="I3690" s="25" t="str">
        <f>IF(OR(E3690="",E3690="!!!",F3690="NEW"),"",INDEX(B3689:B$2,-1+SUMPRODUCT(MAX(ROW(E3689:E$2)*(E3690=E3689:E$2)))))</f>
        <v> </v>
      </c>
      <c r="J3690" s="25" t="str">
        <f>IF(OR(E3690="",E3690="!!!",F3690="NEW"),"",COUNTBLANK(OFFSET(A$1,,,SUMPRODUCT(MAX(ROW(E$2:E3690)*(E3690=E$2:E3690)))))-COUNTBLANK(OFFSET(A$1,,,SUMPRODUCT(MAX(ROW(E$1:E3689)*(E2=E$1:E3689))))))</f>
        <v> </v>
      </c>
      <c r="K3690" s="25" t="str">
        <f>IF(OR(E3690="",E3690="!!!",F3690="NEW"),"",INDEX(J$1:J3689,SUMPRODUCT(MAX(ROW(E$1:E3689)*(E3690=E$1:E3689)))))</f>
        <v> </v>
      </c>
      <c r="L3690" s="26"/>
    </row>
    <row r="3691" spans="1:12">
      <c r="A3691" s="20" t="s">
        <v>943</v>
      </c>
      <c r="B3691" s="27" t="s">
        <v>940</v>
      </c>
      <c r="C3691" s="27" t="s">
        <v>1019</v>
      </c>
      <c r="D3691" s="27" t="s">
        <v>762</v>
      </c>
      <c r="E3691" s="21">
        <f>IF(D3691="?OLD","!!!","")</f>
        <v/>
      </c>
      <c r="F3691" s="22" t="str">
        <f>IF(OR(E3691="",E3691="!!!"),"",IF(NOT(ISNA(VLOOKUP(E3691,E$1:E3690,1,FALSE()))),"OLD",IF(AND(E3691&lt;&gt;"",E3691&lt;&gt;"!!!"),"NEW","")))</f>
        <v> </v>
      </c>
      <c r="G3691" s="23" t="str">
        <f>IF(OR(E3691="",E3691="!!!"),"",IF(OR(J3691=0,AND(J3691=1,K3691=1),AND(J3691=1,I3691="SBJ"),AND(J3691=1,I3691=0)),"?IN_FOCUS",IF(J3691&lt;=2,"?ACTIVATED",IF(J3691&lt;&gt;"","?FAMILIAR",IF(F3691="NEW",IF(ISNA(VLOOKUP(E3691,#REF!,1,FALSE())),"?TYPE_IDENTIFIABLE","?REFERENTIAL"),"_")))))</f>
        <v> </v>
      </c>
      <c r="H3691" s="24" t="str">
        <f>IF(J3691&lt;&gt;1,"",IF(I3691="SBJ","CB","?"))</f>
        <v> </v>
      </c>
      <c r="I3691" s="25" t="str">
        <f>IF(OR(E3691="",E3691="!!!",F3691="NEW"),"",INDEX(B3690:B$2,-1+SUMPRODUCT(MAX(ROW(E3690:E$2)*(E3691=E3690:E$2)))))</f>
        <v> </v>
      </c>
      <c r="J3691" s="25" t="str">
        <f>IF(OR(E3691="",E3691="!!!",F3691="NEW"),"",COUNTBLANK(OFFSET(A$1,,,SUMPRODUCT(MAX(ROW(E$2:E3691)*(E3691=E$2:E3691)))))-COUNTBLANK(OFFSET(A$1,,,SUMPRODUCT(MAX(ROW(E$1:E3690)*(E2=E$1:E3690))))))</f>
        <v> </v>
      </c>
      <c r="K3691" s="25" t="str">
        <f>IF(OR(E3691="",E3691="!!!",F3691="NEW"),"",INDEX(J$1:J3690,SUMPRODUCT(MAX(ROW(E$1:E3690)*(E3691=E$1:E3690)))))</f>
        <v> </v>
      </c>
      <c r="L3691" s="26"/>
    </row>
    <row r="3692" spans="1:12">
      <c r="A3692" s="20" t="s">
        <v>875</v>
      </c>
      <c r="E3692" s="21">
        <f>IF(D3692="?OLD","!!!","")</f>
        <v/>
      </c>
      <c r="F3692" s="22" t="str">
        <f>IF(OR(E3692="",E3692="!!!"),"",IF(NOT(ISNA(VLOOKUP(E3692,E$1:E3691,1,FALSE()))),"OLD",IF(AND(E3692&lt;&gt;"",E3692&lt;&gt;"!!!"),"NEW","")))</f>
        <v> </v>
      </c>
      <c r="G3692" s="23" t="str">
        <f>IF(OR(E3692="",E3692="!!!"),"",IF(OR(J3692=0,AND(J3692=1,K3692=1),AND(J3692=1,I3692="SBJ"),AND(J3692=1,I3692=0)),"?IN_FOCUS",IF(J3692&lt;=2,"?ACTIVATED",IF(J3692&lt;&gt;"","?FAMILIAR",IF(F3692="NEW",IF(ISNA(VLOOKUP(E3692,#REF!,1,FALSE())),"?TYPE_IDENTIFIABLE","?REFERENTIAL"),"_")))))</f>
        <v> </v>
      </c>
      <c r="H3692" s="24" t="str">
        <f>IF(J3692&lt;&gt;1,"",IF(I3692="SBJ","CB","?"))</f>
        <v> </v>
      </c>
      <c r="I3692" s="25" t="str">
        <f>IF(OR(E3692="",E3692="!!!",F3692="NEW"),"",INDEX(B3691:B$2,-1+SUMPRODUCT(MAX(ROW(E3691:E$2)*(E3692=E3691:E$2)))))</f>
        <v> </v>
      </c>
      <c r="J3692" s="25" t="str">
        <f>IF(OR(E3692="",E3692="!!!",F3692="NEW"),"",COUNTBLANK(OFFSET(A$1,,,SUMPRODUCT(MAX(ROW(E$2:E3692)*(E3692=E$2:E3692)))))-COUNTBLANK(OFFSET(A$1,,,SUMPRODUCT(MAX(ROW(E$1:E3691)*(E2=E$1:E3691))))))</f>
        <v> </v>
      </c>
      <c r="K3692" s="25" t="str">
        <f>IF(OR(E3692="",E3692="!!!",F3692="NEW"),"",INDEX(J$1:J3691,SUMPRODUCT(MAX(ROW(E$1:E3691)*(E3692=E$1:E3691)))))</f>
        <v> </v>
      </c>
      <c r="L3692" s="26"/>
    </row>
    <row r="3693" spans="1:12">
      <c r="A3693" s="20" t="s">
        <v>1278</v>
      </c>
      <c r="E3693" s="21">
        <f>IF(D3693="?OLD","!!!","")</f>
        <v/>
      </c>
      <c r="F3693" s="22" t="str">
        <f>IF(OR(E3693="",E3693="!!!"),"",IF(NOT(ISNA(VLOOKUP(E3693,E$1:E3692,1,FALSE()))),"OLD",IF(AND(E3693&lt;&gt;"",E3693&lt;&gt;"!!!"),"NEW","")))</f>
        <v> </v>
      </c>
      <c r="G3693" s="23" t="str">
        <f>IF(OR(E3693="",E3693="!!!"),"",IF(OR(J3693=0,AND(J3693=1,K3693=1),AND(J3693=1,I3693="SBJ"),AND(J3693=1,I3693=0)),"?IN_FOCUS",IF(J3693&lt;=2,"?ACTIVATED",IF(J3693&lt;&gt;"","?FAMILIAR",IF(F3693="NEW",IF(ISNA(VLOOKUP(E3693,#REF!,1,FALSE())),"?TYPE_IDENTIFIABLE","?REFERENTIAL"),"_")))))</f>
        <v> </v>
      </c>
      <c r="H3693" s="24" t="str">
        <f>IF(J3693&lt;&gt;1,"",IF(I3693="SBJ","CB","?"))</f>
        <v> </v>
      </c>
      <c r="I3693" s="25" t="str">
        <f>IF(OR(E3693="",E3693="!!!",F3693="NEW"),"",INDEX(B3692:B$2,-1+SUMPRODUCT(MAX(ROW(E3692:E$2)*(E3693=E3692:E$2)))))</f>
        <v> </v>
      </c>
      <c r="J3693" s="25" t="str">
        <f>IF(OR(E3693="",E3693="!!!",F3693="NEW"),"",COUNTBLANK(OFFSET(A$1,,,SUMPRODUCT(MAX(ROW(E$2:E3693)*(E3693=E$2:E3693)))))-COUNTBLANK(OFFSET(A$1,,,SUMPRODUCT(MAX(ROW(E$1:E3692)*(E2=E$1:E3692))))))</f>
        <v> </v>
      </c>
      <c r="K3693" s="25" t="str">
        <f>IF(OR(E3693="",E3693="!!!",F3693="NEW"),"",INDEX(J$1:J3692,SUMPRODUCT(MAX(ROW(E$1:E3692)*(E3693=E$1:E3692)))))</f>
        <v> </v>
      </c>
      <c r="L3693" s="26"/>
    </row>
    <row r="3694" spans="1:12">
      <c r="A3694" s="20" t="s">
        <v>1159</v>
      </c>
      <c r="E3694" s="21">
        <f>IF(D3694="?OLD","!!!","")</f>
        <v/>
      </c>
      <c r="F3694" s="22" t="str">
        <f>IF(OR(E3694="",E3694="!!!"),"",IF(NOT(ISNA(VLOOKUP(E3694,E$1:E3693,1,FALSE()))),"OLD",IF(AND(E3694&lt;&gt;"",E3694&lt;&gt;"!!!"),"NEW","")))</f>
        <v> </v>
      </c>
      <c r="G3694" s="23" t="str">
        <f>IF(OR(E3694="",E3694="!!!"),"",IF(OR(J3694=0,AND(J3694=1,K3694=1),AND(J3694=1,I3694="SBJ"),AND(J3694=1,I3694=0)),"?IN_FOCUS",IF(J3694&lt;=2,"?ACTIVATED",IF(J3694&lt;&gt;"","?FAMILIAR",IF(F3694="NEW",IF(ISNA(VLOOKUP(E3694,#REF!,1,FALSE())),"?TYPE_IDENTIFIABLE","?REFERENTIAL"),"_")))))</f>
        <v> </v>
      </c>
      <c r="H3694" s="24" t="str">
        <f>IF(J3694&lt;&gt;1,"",IF(I3694="SBJ","CB","?"))</f>
        <v> </v>
      </c>
      <c r="I3694" s="25" t="str">
        <f>IF(OR(E3694="",E3694="!!!",F3694="NEW"),"",INDEX(B3693:B$2,-1+SUMPRODUCT(MAX(ROW(E3693:E$2)*(E3694=E3693:E$2)))))</f>
        <v> </v>
      </c>
      <c r="J3694" s="25" t="str">
        <f>IF(OR(E3694="",E3694="!!!",F3694="NEW"),"",COUNTBLANK(OFFSET(A$1,,,SUMPRODUCT(MAX(ROW(E$2:E3694)*(E3694=E$2:E3694)))))-COUNTBLANK(OFFSET(A$1,,,SUMPRODUCT(MAX(ROW(E$1:E3693)*(E2=E$1:E3693))))))</f>
        <v> </v>
      </c>
      <c r="K3694" s="25" t="str">
        <f>IF(OR(E3694="",E3694="!!!",F3694="NEW"),"",INDEX(J$1:J3693,SUMPRODUCT(MAX(ROW(E$1:E3693)*(E3694=E$1:E3693)))))</f>
        <v> </v>
      </c>
      <c r="L3694" s="26"/>
    </row>
    <row r="3695" spans="1:12">
      <c r="A3695" s="20" t="s">
        <v>1266</v>
      </c>
      <c r="B3695" s="27" t="s">
        <v>901</v>
      </c>
      <c r="C3695" s="27" t="s">
        <v>1019</v>
      </c>
      <c r="D3695" s="27" t="s">
        <v>762</v>
      </c>
      <c r="E3695" s="21">
        <f>IF(D3695="?OLD","!!!","")</f>
        <v/>
      </c>
      <c r="F3695" s="22" t="str">
        <f>IF(OR(E3695="",E3695="!!!"),"",IF(NOT(ISNA(VLOOKUP(E3695,E$1:E3694,1,FALSE()))),"OLD",IF(AND(E3695&lt;&gt;"",E3695&lt;&gt;"!!!"),"NEW","")))</f>
        <v> </v>
      </c>
      <c r="G3695" s="23" t="str">
        <f>IF(OR(E3695="",E3695="!!!"),"",IF(OR(J3695=0,AND(J3695=1,K3695=1),AND(J3695=1,I3695="SBJ"),AND(J3695=1,I3695=0)),"?IN_FOCUS",IF(J3695&lt;=2,"?ACTIVATED",IF(J3695&lt;&gt;"","?FAMILIAR",IF(F3695="NEW",IF(ISNA(VLOOKUP(E3695,#REF!,1,FALSE())),"?TYPE_IDENTIFIABLE","?REFERENTIAL"),"_")))))</f>
        <v> </v>
      </c>
      <c r="H3695" s="24" t="str">
        <f>IF(J3695&lt;&gt;1,"",IF(I3695="SBJ","CB","?"))</f>
        <v> </v>
      </c>
      <c r="I3695" s="25" t="str">
        <f>IF(OR(E3695="",E3695="!!!",F3695="NEW"),"",INDEX(B3694:B$2,-1+SUMPRODUCT(MAX(ROW(E3694:E$2)*(E3695=E3694:E$2)))))</f>
        <v> </v>
      </c>
      <c r="J3695" s="25" t="str">
        <f>IF(OR(E3695="",E3695="!!!",F3695="NEW"),"",COUNTBLANK(OFFSET(A$1,,,SUMPRODUCT(MAX(ROW(E$2:E3695)*(E3695=E$2:E3695)))))-COUNTBLANK(OFFSET(A$1,,,SUMPRODUCT(MAX(ROW(E$1:E3694)*(E2=E$1:E3694))))))</f>
        <v> </v>
      </c>
      <c r="K3695" s="25" t="str">
        <f>IF(OR(E3695="",E3695="!!!",F3695="NEW"),"",INDEX(J$1:J3694,SUMPRODUCT(MAX(ROW(E$1:E3694)*(E3695=E$1:E3694)))))</f>
        <v> </v>
      </c>
      <c r="L3695" s="26"/>
    </row>
    <row r="3696" spans="1:12">
      <c r="A3696" s="20" t="s">
        <v>757</v>
      </c>
      <c r="E3696" s="21">
        <f>IF(D3696="?OLD","!!!","")</f>
        <v/>
      </c>
      <c r="F3696" s="22" t="str">
        <f>IF(OR(E3696="",E3696="!!!"),"",IF(NOT(ISNA(VLOOKUP(E3696,E$1:E3695,1,FALSE()))),"OLD",IF(AND(E3696&lt;&gt;"",E3696&lt;&gt;"!!!"),"NEW","")))</f>
        <v> </v>
      </c>
      <c r="G3696" s="23" t="str">
        <f>IF(OR(E3696="",E3696="!!!"),"",IF(OR(J3696=0,AND(J3696=1,K3696=1),AND(J3696=1,I3696="SBJ"),AND(J3696=1,I3696=0)),"?IN_FOCUS",IF(J3696&lt;=2,"?ACTIVATED",IF(J3696&lt;&gt;"","?FAMILIAR",IF(F3696="NEW",IF(ISNA(VLOOKUP(E3696,#REF!,1,FALSE())),"?TYPE_IDENTIFIABLE","?REFERENTIAL"),"_")))))</f>
        <v> </v>
      </c>
      <c r="H3696" s="24" t="str">
        <f>IF(J3696&lt;&gt;1,"",IF(I3696="SBJ","CB","?"))</f>
        <v> </v>
      </c>
      <c r="I3696" s="25" t="str">
        <f>IF(OR(E3696="",E3696="!!!",F3696="NEW"),"",INDEX(B3695:B$2,-1+SUMPRODUCT(MAX(ROW(E3695:E$2)*(E3696=E3695:E$2)))))</f>
        <v> </v>
      </c>
      <c r="J3696" s="25" t="str">
        <f>IF(OR(E3696="",E3696="!!!",F3696="NEW"),"",COUNTBLANK(OFFSET(A$1,,,SUMPRODUCT(MAX(ROW(E$2:E3696)*(E3696=E$2:E3696)))))-COUNTBLANK(OFFSET(A$1,,,SUMPRODUCT(MAX(ROW(E$1:E3695)*(E2=E$1:E3695))))))</f>
        <v> </v>
      </c>
      <c r="K3696" s="25" t="str">
        <f>IF(OR(E3696="",E3696="!!!",F3696="NEW"),"",INDEX(J$1:J3695,SUMPRODUCT(MAX(ROW(E$1:E3695)*(E3696=E$1:E3695)))))</f>
        <v> </v>
      </c>
      <c r="L3696" s="26"/>
    </row>
    <row r="3697" spans="1:12">
      <c r="A3697" s="20" t="s">
        <v>769</v>
      </c>
      <c r="E3697" s="21">
        <f>IF(D3697="?OLD","!!!","")</f>
        <v/>
      </c>
      <c r="F3697" s="22" t="str">
        <f>IF(OR(E3697="",E3697="!!!"),"",IF(NOT(ISNA(VLOOKUP(E3697,E$1:E3696,1,FALSE()))),"OLD",IF(AND(E3697&lt;&gt;"",E3697&lt;&gt;"!!!"),"NEW","")))</f>
        <v> </v>
      </c>
      <c r="G3697" s="23" t="str">
        <f>IF(OR(E3697="",E3697="!!!"),"",IF(OR(J3697=0,AND(J3697=1,K3697=1),AND(J3697=1,I3697="SBJ"),AND(J3697=1,I3697=0)),"?IN_FOCUS",IF(J3697&lt;=2,"?ACTIVATED",IF(J3697&lt;&gt;"","?FAMILIAR",IF(F3697="NEW",IF(ISNA(VLOOKUP(E3697,#REF!,1,FALSE())),"?TYPE_IDENTIFIABLE","?REFERENTIAL"),"_")))))</f>
        <v> </v>
      </c>
      <c r="H3697" s="24" t="str">
        <f>IF(J3697&lt;&gt;1,"",IF(I3697="SBJ","CB","?"))</f>
        <v> </v>
      </c>
      <c r="I3697" s="25" t="str">
        <f>IF(OR(E3697="",E3697="!!!",F3697="NEW"),"",INDEX(B3696:B$2,-1+SUMPRODUCT(MAX(ROW(E3696:E$2)*(E3697=E3696:E$2)))))</f>
        <v> </v>
      </c>
      <c r="J3697" s="25" t="str">
        <f>IF(OR(E3697="",E3697="!!!",F3697="NEW"),"",COUNTBLANK(OFFSET(A$1,,,SUMPRODUCT(MAX(ROW(E$2:E3697)*(E3697=E$2:E3697)))))-COUNTBLANK(OFFSET(A$1,,,SUMPRODUCT(MAX(ROW(E$1:E3696)*(E2=E$1:E3696))))))</f>
        <v> </v>
      </c>
      <c r="K3697" s="25" t="str">
        <f>IF(OR(E3697="",E3697="!!!",F3697="NEW"),"",INDEX(J$1:J3696,SUMPRODUCT(MAX(ROW(E$1:E3696)*(E3697=E$1:E3696)))))</f>
        <v> </v>
      </c>
      <c r="L3697" s="26"/>
    </row>
    <row r="3698" spans="1:12">
      <c r="A3698" s="20" t="s">
        <v>838</v>
      </c>
      <c r="E3698" s="21">
        <f>IF(D3698="?OLD","!!!","")</f>
        <v/>
      </c>
      <c r="F3698" s="22" t="str">
        <f>IF(OR(E3698="",E3698="!!!"),"",IF(NOT(ISNA(VLOOKUP(E3698,E$1:E3697,1,FALSE()))),"OLD",IF(AND(E3698&lt;&gt;"",E3698&lt;&gt;"!!!"),"NEW","")))</f>
        <v> </v>
      </c>
      <c r="G3698" s="23" t="str">
        <f>IF(OR(E3698="",E3698="!!!"),"",IF(OR(J3698=0,AND(J3698=1,K3698=1),AND(J3698=1,I3698="SBJ"),AND(J3698=1,I3698=0)),"?IN_FOCUS",IF(J3698&lt;=2,"?ACTIVATED",IF(J3698&lt;&gt;"","?FAMILIAR",IF(F3698="NEW",IF(ISNA(VLOOKUP(E3698,#REF!,1,FALSE())),"?TYPE_IDENTIFIABLE","?REFERENTIAL"),"_")))))</f>
        <v> </v>
      </c>
      <c r="H3698" s="24" t="str">
        <f>IF(J3698&lt;&gt;1,"",IF(I3698="SBJ","CB","?"))</f>
        <v> </v>
      </c>
      <c r="I3698" s="25" t="str">
        <f>IF(OR(E3698="",E3698="!!!",F3698="NEW"),"",INDEX(B3697:B$2,-1+SUMPRODUCT(MAX(ROW(E3697:E$2)*(E3698=E3697:E$2)))))</f>
        <v> </v>
      </c>
      <c r="J3698" s="25" t="str">
        <f>IF(OR(E3698="",E3698="!!!",F3698="NEW"),"",COUNTBLANK(OFFSET(A$1,,,SUMPRODUCT(MAX(ROW(E$2:E3698)*(E3698=E$2:E3698)))))-COUNTBLANK(OFFSET(A$1,,,SUMPRODUCT(MAX(ROW(E$1:E3697)*(E2=E$1:E3697))))))</f>
        <v> </v>
      </c>
      <c r="K3698" s="25" t="str">
        <f>IF(OR(E3698="",E3698="!!!",F3698="NEW"),"",INDEX(J$1:J3697,SUMPRODUCT(MAX(ROW(E$1:E3697)*(E3698=E$1:E3697)))))</f>
        <v> </v>
      </c>
      <c r="L3698" s="26"/>
    </row>
    <row r="3699" spans="1:12">
      <c r="A3699" s="20" t="s">
        <v>1266</v>
      </c>
      <c r="B3699" s="27" t="s">
        <v>815</v>
      </c>
      <c r="C3699" s="27" t="s">
        <v>761</v>
      </c>
      <c r="D3699" s="27" t="s">
        <v>762</v>
      </c>
      <c r="E3699" s="21">
        <f>IF(D3699="?OLD","!!!","")</f>
        <v/>
      </c>
      <c r="F3699" s="22" t="str">
        <f>IF(OR(E3699="",E3699="!!!"),"",IF(NOT(ISNA(VLOOKUP(E3699,E$1:E3698,1,FALSE()))),"OLD",IF(AND(E3699&lt;&gt;"",E3699&lt;&gt;"!!!"),"NEW","")))</f>
        <v> </v>
      </c>
      <c r="G3699" s="23" t="str">
        <f>IF(OR(E3699="",E3699="!!!"),"",IF(OR(J3699=0,AND(J3699=1,K3699=1),AND(J3699=1,I3699="SBJ"),AND(J3699=1,I3699=0)),"?IN_FOCUS",IF(J3699&lt;=2,"?ACTIVATED",IF(J3699&lt;&gt;"","?FAMILIAR",IF(F3699="NEW",IF(ISNA(VLOOKUP(E3699,#REF!,1,FALSE())),"?TYPE_IDENTIFIABLE","?REFERENTIAL"),"_")))))</f>
        <v> </v>
      </c>
      <c r="H3699" s="24" t="str">
        <f>IF(J3699&lt;&gt;1,"",IF(I3699="SBJ","CB","?"))</f>
        <v> </v>
      </c>
      <c r="I3699" s="25" t="str">
        <f>IF(OR(E3699="",E3699="!!!",F3699="NEW"),"",INDEX(B3698:B$2,-1+SUMPRODUCT(MAX(ROW(E3698:E$2)*(E3699=E3698:E$2)))))</f>
        <v> </v>
      </c>
      <c r="J3699" s="25" t="str">
        <f>IF(OR(E3699="",E3699="!!!",F3699="NEW"),"",COUNTBLANK(OFFSET(A$1,,,SUMPRODUCT(MAX(ROW(E$2:E3699)*(E3699=E$2:E3699)))))-COUNTBLANK(OFFSET(A$1,,,SUMPRODUCT(MAX(ROW(E$1:E3698)*(E2=E$1:E3698))))))</f>
        <v> </v>
      </c>
      <c r="K3699" s="25" t="str">
        <f>IF(OR(E3699="",E3699="!!!",F3699="NEW"),"",INDEX(J$1:J3698,SUMPRODUCT(MAX(ROW(E$1:E3698)*(E3699=E$1:E3698)))))</f>
        <v> </v>
      </c>
      <c r="L3699" s="26"/>
    </row>
    <row r="3700" spans="1:12">
      <c r="A3700" s="20" t="s">
        <v>889</v>
      </c>
      <c r="B3700" s="27" t="s">
        <v>1131</v>
      </c>
      <c r="E3700" s="21">
        <f>IF(D3700="?OLD","!!!","")</f>
        <v/>
      </c>
      <c r="F3700" s="22" t="str">
        <f>IF(OR(E3700="",E3700="!!!"),"",IF(NOT(ISNA(VLOOKUP(E3700,E$1:E3699,1,FALSE()))),"OLD",IF(AND(E3700&lt;&gt;"",E3700&lt;&gt;"!!!"),"NEW","")))</f>
        <v> </v>
      </c>
      <c r="G3700" s="23" t="str">
        <f>IF(OR(E3700="",E3700="!!!"),"",IF(OR(J3700=0,AND(J3700=1,K3700=1),AND(J3700=1,I3700="SBJ"),AND(J3700=1,I3700=0)),"?IN_FOCUS",IF(J3700&lt;=2,"?ACTIVATED",IF(J3700&lt;&gt;"","?FAMILIAR",IF(F3700="NEW",IF(ISNA(VLOOKUP(E3700,#REF!,1,FALSE())),"?TYPE_IDENTIFIABLE","?REFERENTIAL"),"_")))))</f>
        <v> </v>
      </c>
      <c r="H3700" s="24" t="str">
        <f>IF(J3700&lt;&gt;1,"",IF(I3700="SBJ","CB","?"))</f>
        <v> </v>
      </c>
      <c r="I3700" s="25" t="str">
        <f>IF(OR(E3700="",E3700="!!!",F3700="NEW"),"",INDEX(B3699:B$2,-1+SUMPRODUCT(MAX(ROW(E3699:E$2)*(E3700=E3699:E$2)))))</f>
        <v> </v>
      </c>
      <c r="J3700" s="25" t="str">
        <f>IF(OR(E3700="",E3700="!!!",F3700="NEW"),"",COUNTBLANK(OFFSET(A$1,,,SUMPRODUCT(MAX(ROW(E$2:E3700)*(E3700=E$2:E3700)))))-COUNTBLANK(OFFSET(A$1,,,SUMPRODUCT(MAX(ROW(E$1:E3699)*(E2=E$1:E3699))))))</f>
        <v> </v>
      </c>
      <c r="K3700" s="25" t="str">
        <f>IF(OR(E3700="",E3700="!!!",F3700="NEW"),"",INDEX(J$1:J3699,SUMPRODUCT(MAX(ROW(E$1:E3699)*(E3700=E$1:E3699)))))</f>
        <v> </v>
      </c>
      <c r="L3700" s="26"/>
    </row>
    <row r="3701" spans="1:12">
      <c r="A3701" s="20" t="s">
        <v>1155</v>
      </c>
      <c r="B3701" s="27" t="s">
        <v>1172</v>
      </c>
      <c r="C3701" s="27" t="s">
        <v>797</v>
      </c>
      <c r="D3701" s="27" t="s">
        <v>762</v>
      </c>
      <c r="E3701" s="21">
        <f>IF(D3701="?OLD","!!!","")</f>
        <v/>
      </c>
      <c r="F3701" s="22" t="str">
        <f>IF(OR(E3701="",E3701="!!!"),"",IF(NOT(ISNA(VLOOKUP(E3701,E$1:E3700,1,FALSE()))),"OLD",IF(AND(E3701&lt;&gt;"",E3701&lt;&gt;"!!!"),"NEW","")))</f>
        <v> </v>
      </c>
      <c r="G3701" s="23" t="str">
        <f>IF(OR(E3701="",E3701="!!!"),"",IF(OR(J3701=0,AND(J3701=1,K3701=1),AND(J3701=1,I3701="SBJ"),AND(J3701=1,I3701=0)),"?IN_FOCUS",IF(J3701&lt;=2,"?ACTIVATED",IF(J3701&lt;&gt;"","?FAMILIAR",IF(F3701="NEW",IF(ISNA(VLOOKUP(E3701,#REF!,1,FALSE())),"?TYPE_IDENTIFIABLE","?REFERENTIAL"),"_")))))</f>
        <v> </v>
      </c>
      <c r="H3701" s="24" t="str">
        <f>IF(J3701&lt;&gt;1,"",IF(I3701="SBJ","CB","?"))</f>
        <v> </v>
      </c>
      <c r="I3701" s="25" t="str">
        <f>IF(OR(E3701="",E3701="!!!",F3701="NEW"),"",INDEX(B3700:B$2,-1+SUMPRODUCT(MAX(ROW(E3700:E$2)*(E3701=E3700:E$2)))))</f>
        <v> </v>
      </c>
      <c r="J3701" s="25" t="str">
        <f>IF(OR(E3701="",E3701="!!!",F3701="NEW"),"",COUNTBLANK(OFFSET(A$1,,,SUMPRODUCT(MAX(ROW(E$2:E3701)*(E3701=E$2:E3701)))))-COUNTBLANK(OFFSET(A$1,,,SUMPRODUCT(MAX(ROW(E$1:E3700)*(E2=E$1:E3700))))))</f>
        <v> </v>
      </c>
      <c r="K3701" s="25" t="str">
        <f>IF(OR(E3701="",E3701="!!!",F3701="NEW"),"",INDEX(J$1:J3700,SUMPRODUCT(MAX(ROW(E$1:E3700)*(E3701=E$1:E3700)))))</f>
        <v> </v>
      </c>
      <c r="L3701" s="26"/>
    </row>
    <row r="3702" spans="1:12">
      <c r="A3702" s="20" t="s">
        <v>1830</v>
      </c>
      <c r="E3702" s="21">
        <f>IF(D3702="?OLD","!!!","")</f>
        <v/>
      </c>
      <c r="F3702" s="22" t="str">
        <f>IF(OR(E3702="",E3702="!!!"),"",IF(NOT(ISNA(VLOOKUP(E3702,E$1:E3701,1,FALSE()))),"OLD",IF(AND(E3702&lt;&gt;"",E3702&lt;&gt;"!!!"),"NEW","")))</f>
        <v> </v>
      </c>
      <c r="G3702" s="23" t="str">
        <f>IF(OR(E3702="",E3702="!!!"),"",IF(OR(J3702=0,AND(J3702=1,K3702=1),AND(J3702=1,I3702="SBJ"),AND(J3702=1,I3702=0)),"?IN_FOCUS",IF(J3702&lt;=2,"?ACTIVATED",IF(J3702&lt;&gt;"","?FAMILIAR",IF(F3702="NEW",IF(ISNA(VLOOKUP(E3702,#REF!,1,FALSE())),"?TYPE_IDENTIFIABLE","?REFERENTIAL"),"_")))))</f>
        <v> </v>
      </c>
      <c r="H3702" s="24" t="str">
        <f>IF(J3702&lt;&gt;1,"",IF(I3702="SBJ","CB","?"))</f>
        <v> </v>
      </c>
      <c r="I3702" s="25" t="str">
        <f>IF(OR(E3702="",E3702="!!!",F3702="NEW"),"",INDEX(B3701:B$2,-1+SUMPRODUCT(MAX(ROW(E3701:E$2)*(E3702=E3701:E$2)))))</f>
        <v> </v>
      </c>
      <c r="J3702" s="25" t="str">
        <f>IF(OR(E3702="",E3702="!!!",F3702="NEW"),"",COUNTBLANK(OFFSET(A$1,,,SUMPRODUCT(MAX(ROW(E$2:E3702)*(E3702=E$2:E3702)))))-COUNTBLANK(OFFSET(A$1,,,SUMPRODUCT(MAX(ROW(E$1:E3701)*(E2=E$1:E3701))))))</f>
        <v> </v>
      </c>
      <c r="K3702" s="25" t="str">
        <f>IF(OR(E3702="",E3702="!!!",F3702="NEW"),"",INDEX(J$1:J3701,SUMPRODUCT(MAX(ROW(E$1:E3701)*(E3702=E$1:E3701)))))</f>
        <v> </v>
      </c>
      <c r="L3702" s="26"/>
    </row>
    <row r="3703" spans="1:12">
      <c r="A3703" s="20" t="s">
        <v>1115</v>
      </c>
      <c r="E3703" s="21">
        <f>IF(D3703="?OLD","!!!","")</f>
        <v/>
      </c>
      <c r="F3703" s="22" t="str">
        <f>IF(OR(E3703="",E3703="!!!"),"",IF(NOT(ISNA(VLOOKUP(E3703,E$1:E3702,1,FALSE()))),"OLD",IF(AND(E3703&lt;&gt;"",E3703&lt;&gt;"!!!"),"NEW","")))</f>
        <v> </v>
      </c>
      <c r="G3703" s="23" t="str">
        <f>IF(OR(E3703="",E3703="!!!"),"",IF(OR(J3703=0,AND(J3703=1,K3703=1),AND(J3703=1,I3703="SBJ"),AND(J3703=1,I3703=0)),"?IN_FOCUS",IF(J3703&lt;=2,"?ACTIVATED",IF(J3703&lt;&gt;"","?FAMILIAR",IF(F3703="NEW",IF(ISNA(VLOOKUP(E3703,#REF!,1,FALSE())),"?TYPE_IDENTIFIABLE","?REFERENTIAL"),"_")))))</f>
        <v> </v>
      </c>
      <c r="H3703" s="24" t="str">
        <f>IF(J3703&lt;&gt;1,"",IF(I3703="SBJ","CB","?"))</f>
        <v> </v>
      </c>
      <c r="I3703" s="25" t="str">
        <f>IF(OR(E3703="",E3703="!!!",F3703="NEW"),"",INDEX(B3702:B$2,-1+SUMPRODUCT(MAX(ROW(E3702:E$2)*(E3703=E3702:E$2)))))</f>
        <v> </v>
      </c>
      <c r="J3703" s="25" t="str">
        <f>IF(OR(E3703="",E3703="!!!",F3703="NEW"),"",COUNTBLANK(OFFSET(A$1,,,SUMPRODUCT(MAX(ROW(E$2:E3703)*(E3703=E$2:E3703)))))-COUNTBLANK(OFFSET(A$1,,,SUMPRODUCT(MAX(ROW(E$1:E3702)*(E2=E$1:E3702))))))</f>
        <v> </v>
      </c>
      <c r="K3703" s="25" t="str">
        <f>IF(OR(E3703="",E3703="!!!",F3703="NEW"),"",INDEX(J$1:J3702,SUMPRODUCT(MAX(ROW(E$1:E3702)*(E3703=E$1:E3702)))))</f>
        <v> </v>
      </c>
      <c r="L3703" s="26"/>
    </row>
    <row r="3704" spans="1:12">
      <c r="A3704" s="20" t="s">
        <v>918</v>
      </c>
      <c r="B3704" s="27" t="s">
        <v>772</v>
      </c>
      <c r="C3704" s="27" t="s">
        <v>803</v>
      </c>
      <c r="E3704" s="21">
        <f>IF(D3704="?OLD","!!!","")</f>
        <v/>
      </c>
      <c r="F3704" s="22" t="str">
        <f>IF(OR(E3704="",E3704="!!!"),"",IF(NOT(ISNA(VLOOKUP(E3704,E$1:E3703,1,FALSE()))),"OLD",IF(AND(E3704&lt;&gt;"",E3704&lt;&gt;"!!!"),"NEW","")))</f>
        <v> </v>
      </c>
      <c r="G3704" s="23" t="str">
        <f>IF(OR(E3704="",E3704="!!!"),"",IF(OR(J3704=0,AND(J3704=1,K3704=1),AND(J3704=1,I3704="SBJ"),AND(J3704=1,I3704=0)),"?IN_FOCUS",IF(J3704&lt;=2,"?ACTIVATED",IF(J3704&lt;&gt;"","?FAMILIAR",IF(F3704="NEW",IF(ISNA(VLOOKUP(E3704,#REF!,1,FALSE())),"?TYPE_IDENTIFIABLE","?REFERENTIAL"),"_")))))</f>
        <v> </v>
      </c>
      <c r="H3704" s="24" t="str">
        <f>IF(J3704&lt;&gt;1,"",IF(I3704="SBJ","CB","?"))</f>
        <v> </v>
      </c>
      <c r="I3704" s="25" t="str">
        <f>IF(OR(E3704="",E3704="!!!",F3704="NEW"),"",INDEX(B3703:B$2,-1+SUMPRODUCT(MAX(ROW(E3703:E$2)*(E3704=E3703:E$2)))))</f>
        <v> </v>
      </c>
      <c r="J3704" s="25" t="str">
        <f>IF(OR(E3704="",E3704="!!!",F3704="NEW"),"",COUNTBLANK(OFFSET(A$1,,,SUMPRODUCT(MAX(ROW(E$2:E3704)*(E3704=E$2:E3704)))))-COUNTBLANK(OFFSET(A$1,,,SUMPRODUCT(MAX(ROW(E$1:E3703)*(E2=E$1:E3703))))))</f>
        <v> </v>
      </c>
      <c r="K3704" s="25" t="str">
        <f>IF(OR(E3704="",E3704="!!!",F3704="NEW"),"",INDEX(J$1:J3703,SUMPRODUCT(MAX(ROW(E$1:E3703)*(E3704=E$1:E3703)))))</f>
        <v> </v>
      </c>
      <c r="L3704" s="26"/>
    </row>
    <row r="3705" spans="1:12">
      <c r="A3705" s="20" t="s">
        <v>942</v>
      </c>
      <c r="E3705" s="21">
        <f>IF(D3705="?OLD","!!!","")</f>
        <v/>
      </c>
      <c r="F3705" s="22" t="str">
        <f>IF(OR(E3705="",E3705="!!!"),"",IF(NOT(ISNA(VLOOKUP(E3705,E$1:E3704,1,FALSE()))),"OLD",IF(AND(E3705&lt;&gt;"",E3705&lt;&gt;"!!!"),"NEW","")))</f>
        <v> </v>
      </c>
      <c r="G3705" s="23" t="str">
        <f>IF(OR(E3705="",E3705="!!!"),"",IF(OR(J3705=0,AND(J3705=1,K3705=1),AND(J3705=1,I3705="SBJ"),AND(J3705=1,I3705=0)),"?IN_FOCUS",IF(J3705&lt;=2,"?ACTIVATED",IF(J3705&lt;&gt;"","?FAMILIAR",IF(F3705="NEW",IF(ISNA(VLOOKUP(E3705,#REF!,1,FALSE())),"?TYPE_IDENTIFIABLE","?REFERENTIAL"),"_")))))</f>
        <v> </v>
      </c>
      <c r="H3705" s="24" t="str">
        <f>IF(J3705&lt;&gt;1,"",IF(I3705="SBJ","CB","?"))</f>
        <v> </v>
      </c>
      <c r="I3705" s="25" t="str">
        <f>IF(OR(E3705="",E3705="!!!",F3705="NEW"),"",INDEX(B3704:B$2,-1+SUMPRODUCT(MAX(ROW(E3704:E$2)*(E3705=E3704:E$2)))))</f>
        <v> </v>
      </c>
      <c r="J3705" s="25" t="str">
        <f>IF(OR(E3705="",E3705="!!!",F3705="NEW"),"",COUNTBLANK(OFFSET(A$1,,,SUMPRODUCT(MAX(ROW(E$2:E3705)*(E3705=E$2:E3705)))))-COUNTBLANK(OFFSET(A$1,,,SUMPRODUCT(MAX(ROW(E$1:E3704)*(E2=E$1:E3704))))))</f>
        <v> </v>
      </c>
      <c r="K3705" s="25" t="str">
        <f>IF(OR(E3705="",E3705="!!!",F3705="NEW"),"",INDEX(J$1:J3704,SUMPRODUCT(MAX(ROW(E$1:E3704)*(E3705=E$1:E3704)))))</f>
        <v> </v>
      </c>
      <c r="L3705" s="26"/>
    </row>
    <row r="3706" spans="1:12">
      <c r="A3706" s="20" t="s">
        <v>1660</v>
      </c>
      <c r="E3706" s="21">
        <f>IF(D3706="?OLD","!!!","")</f>
        <v/>
      </c>
      <c r="F3706" s="22" t="str">
        <f>IF(OR(E3706="",E3706="!!!"),"",IF(NOT(ISNA(VLOOKUP(E3706,E$1:E3705,1,FALSE()))),"OLD",IF(AND(E3706&lt;&gt;"",E3706&lt;&gt;"!!!"),"NEW","")))</f>
        <v> </v>
      </c>
      <c r="G3706" s="23" t="str">
        <f>IF(OR(E3706="",E3706="!!!"),"",IF(OR(J3706=0,AND(J3706=1,K3706=1),AND(J3706=1,I3706="SBJ"),AND(J3706=1,I3706=0)),"?IN_FOCUS",IF(J3706&lt;=2,"?ACTIVATED",IF(J3706&lt;&gt;"","?FAMILIAR",IF(F3706="NEW",IF(ISNA(VLOOKUP(E3706,#REF!,1,FALSE())),"?TYPE_IDENTIFIABLE","?REFERENTIAL"),"_")))))</f>
        <v> </v>
      </c>
      <c r="H3706" s="24" t="str">
        <f>IF(J3706&lt;&gt;1,"",IF(I3706="SBJ","CB","?"))</f>
        <v> </v>
      </c>
      <c r="I3706" s="25" t="str">
        <f>IF(OR(E3706="",E3706="!!!",F3706="NEW"),"",INDEX(B3705:B$2,-1+SUMPRODUCT(MAX(ROW(E3705:E$2)*(E3706=E3705:E$2)))))</f>
        <v> </v>
      </c>
      <c r="J3706" s="25" t="str">
        <f>IF(OR(E3706="",E3706="!!!",F3706="NEW"),"",COUNTBLANK(OFFSET(A$1,,,SUMPRODUCT(MAX(ROW(E$2:E3706)*(E3706=E$2:E3706)))))-COUNTBLANK(OFFSET(A$1,,,SUMPRODUCT(MAX(ROW(E$1:E3705)*(E2=E$1:E3705))))))</f>
        <v> </v>
      </c>
      <c r="K3706" s="25" t="str">
        <f>IF(OR(E3706="",E3706="!!!",F3706="NEW"),"",INDEX(J$1:J3705,SUMPRODUCT(MAX(ROW(E$1:E3705)*(E3706=E$1:E3705)))))</f>
        <v> </v>
      </c>
      <c r="L3706" s="26"/>
    </row>
    <row r="3707" spans="1:12">
      <c r="A3707" s="20" t="s">
        <v>757</v>
      </c>
      <c r="E3707" s="21">
        <f>IF(D3707="?OLD","!!!","")</f>
        <v/>
      </c>
      <c r="F3707" s="22" t="str">
        <f>IF(OR(E3707="",E3707="!!!"),"",IF(NOT(ISNA(VLOOKUP(E3707,E$1:E3706,1,FALSE()))),"OLD",IF(AND(E3707&lt;&gt;"",E3707&lt;&gt;"!!!"),"NEW","")))</f>
        <v> </v>
      </c>
      <c r="G3707" s="23" t="str">
        <f>IF(OR(E3707="",E3707="!!!"),"",IF(OR(J3707=0,AND(J3707=1,K3707=1),AND(J3707=1,I3707="SBJ"),AND(J3707=1,I3707=0)),"?IN_FOCUS",IF(J3707&lt;=2,"?ACTIVATED",IF(J3707&lt;&gt;"","?FAMILIAR",IF(F3707="NEW",IF(ISNA(VLOOKUP(E3707,#REF!,1,FALSE())),"?TYPE_IDENTIFIABLE","?REFERENTIAL"),"_")))))</f>
        <v> </v>
      </c>
      <c r="H3707" s="24" t="str">
        <f>IF(J3707&lt;&gt;1,"",IF(I3707="SBJ","CB","?"))</f>
        <v> </v>
      </c>
      <c r="I3707" s="25" t="str">
        <f>IF(OR(E3707="",E3707="!!!",F3707="NEW"),"",INDEX(B3706:B$2,-1+SUMPRODUCT(MAX(ROW(E3706:E$2)*(E3707=E3706:E$2)))))</f>
        <v> </v>
      </c>
      <c r="J3707" s="25" t="str">
        <f>IF(OR(E3707="",E3707="!!!",F3707="NEW"),"",COUNTBLANK(OFFSET(A$1,,,SUMPRODUCT(MAX(ROW(E$2:E3707)*(E3707=E$2:E3707)))))-COUNTBLANK(OFFSET(A$1,,,SUMPRODUCT(MAX(ROW(E$1:E3706)*(E2=E$1:E3706))))))</f>
        <v> </v>
      </c>
      <c r="K3707" s="25" t="str">
        <f>IF(OR(E3707="",E3707="!!!",F3707="NEW"),"",INDEX(J$1:J3706,SUMPRODUCT(MAX(ROW(E$1:E3706)*(E3707=E$1:E3706)))))</f>
        <v> </v>
      </c>
      <c r="L3707" s="26"/>
    </row>
    <row r="3708" spans="1:12">
      <c r="A3708" s="20" t="s">
        <v>855</v>
      </c>
      <c r="E3708" s="21">
        <f>IF(D3708="?OLD","!!!","")</f>
        <v/>
      </c>
      <c r="F3708" s="22" t="str">
        <f>IF(OR(E3708="",E3708="!!!"),"",IF(NOT(ISNA(VLOOKUP(E3708,E$1:E3707,1,FALSE()))),"OLD",IF(AND(E3708&lt;&gt;"",E3708&lt;&gt;"!!!"),"NEW","")))</f>
        <v> </v>
      </c>
      <c r="G3708" s="23" t="str">
        <f>IF(OR(E3708="",E3708="!!!"),"",IF(OR(J3708=0,AND(J3708=1,K3708=1),AND(J3708=1,I3708="SBJ"),AND(J3708=1,I3708=0)),"?IN_FOCUS",IF(J3708&lt;=2,"?ACTIVATED",IF(J3708&lt;&gt;"","?FAMILIAR",IF(F3708="NEW",IF(ISNA(VLOOKUP(E3708,#REF!,1,FALSE())),"?TYPE_IDENTIFIABLE","?REFERENTIAL"),"_")))))</f>
        <v> </v>
      </c>
      <c r="H3708" s="24" t="str">
        <f>IF(J3708&lt;&gt;1,"",IF(I3708="SBJ","CB","?"))</f>
        <v> </v>
      </c>
      <c r="I3708" s="25" t="str">
        <f>IF(OR(E3708="",E3708="!!!",F3708="NEW"),"",INDEX(B3707:B$2,-1+SUMPRODUCT(MAX(ROW(E3707:E$2)*(E3708=E3707:E$2)))))</f>
        <v> </v>
      </c>
      <c r="J3708" s="25" t="str">
        <f>IF(OR(E3708="",E3708="!!!",F3708="NEW"),"",COUNTBLANK(OFFSET(A$1,,,SUMPRODUCT(MAX(ROW(E$2:E3708)*(E3708=E$2:E3708)))))-COUNTBLANK(OFFSET(A$1,,,SUMPRODUCT(MAX(ROW(E$1:E3707)*(E2=E$1:E3707))))))</f>
        <v> </v>
      </c>
      <c r="K3708" s="25" t="str">
        <f>IF(OR(E3708="",E3708="!!!",F3708="NEW"),"",INDEX(J$1:J3707,SUMPRODUCT(MAX(ROW(E$1:E3707)*(E3708=E$1:E3707)))))</f>
        <v> </v>
      </c>
      <c r="L3708" s="26"/>
    </row>
    <row r="3709" spans="1:12">
      <c r="A3709" s="20" t="s">
        <v>1021</v>
      </c>
      <c r="E3709" s="21">
        <f>IF(D3709="?OLD","!!!","")</f>
        <v/>
      </c>
      <c r="F3709" s="22" t="str">
        <f>IF(OR(E3709="",E3709="!!!"),"",IF(NOT(ISNA(VLOOKUP(E3709,E$1:E3708,1,FALSE()))),"OLD",IF(AND(E3709&lt;&gt;"",E3709&lt;&gt;"!!!"),"NEW","")))</f>
        <v> </v>
      </c>
      <c r="G3709" s="23" t="str">
        <f>IF(OR(E3709="",E3709="!!!"),"",IF(OR(J3709=0,AND(J3709=1,K3709=1),AND(J3709=1,I3709="SBJ"),AND(J3709=1,I3709=0)),"?IN_FOCUS",IF(J3709&lt;=2,"?ACTIVATED",IF(J3709&lt;&gt;"","?FAMILIAR",IF(F3709="NEW",IF(ISNA(VLOOKUP(E3709,#REF!,1,FALSE())),"?TYPE_IDENTIFIABLE","?REFERENTIAL"),"_")))))</f>
        <v> </v>
      </c>
      <c r="H3709" s="24" t="str">
        <f>IF(J3709&lt;&gt;1,"",IF(I3709="SBJ","CB","?"))</f>
        <v> </v>
      </c>
      <c r="I3709" s="25" t="str">
        <f>IF(OR(E3709="",E3709="!!!",F3709="NEW"),"",INDEX(B3708:B$2,-1+SUMPRODUCT(MAX(ROW(E3708:E$2)*(E3709=E3708:E$2)))))</f>
        <v> </v>
      </c>
      <c r="J3709" s="25" t="str">
        <f>IF(OR(E3709="",E3709="!!!",F3709="NEW"),"",COUNTBLANK(OFFSET(A$1,,,SUMPRODUCT(MAX(ROW(E$2:E3709)*(E3709=E$2:E3709)))))-COUNTBLANK(OFFSET(A$1,,,SUMPRODUCT(MAX(ROW(E$1:E3708)*(E2=E$1:E3708))))))</f>
        <v> </v>
      </c>
      <c r="K3709" s="25" t="str">
        <f>IF(OR(E3709="",E3709="!!!",F3709="NEW"),"",INDEX(J$1:J3708,SUMPRODUCT(MAX(ROW(E$1:E3708)*(E3709=E$1:E3708)))))</f>
        <v> </v>
      </c>
      <c r="L3709" s="26"/>
    </row>
    <row r="3710" spans="1:12">
      <c r="A3710" s="20" t="s">
        <v>1831</v>
      </c>
      <c r="B3710" s="27" t="s">
        <v>956</v>
      </c>
      <c r="C3710" s="27" t="s">
        <v>797</v>
      </c>
      <c r="D3710" s="27" t="s">
        <v>762</v>
      </c>
      <c r="E3710" s="21">
        <f>IF(D3710="?OLD","!!!","")</f>
        <v/>
      </c>
      <c r="F3710" s="22" t="str">
        <f>IF(OR(E3710="",E3710="!!!"),"",IF(NOT(ISNA(VLOOKUP(E3710,E$1:E3709,1,FALSE()))),"OLD",IF(AND(E3710&lt;&gt;"",E3710&lt;&gt;"!!!"),"NEW","")))</f>
        <v> </v>
      </c>
      <c r="G3710" s="23" t="str">
        <f>IF(OR(E3710="",E3710="!!!"),"",IF(OR(J3710=0,AND(J3710=1,K3710=1),AND(J3710=1,I3710="SBJ"),AND(J3710=1,I3710=0)),"?IN_FOCUS",IF(J3710&lt;=2,"?ACTIVATED",IF(J3710&lt;&gt;"","?FAMILIAR",IF(F3710="NEW",IF(ISNA(VLOOKUP(E3710,#REF!,1,FALSE())),"?TYPE_IDENTIFIABLE","?REFERENTIAL"),"_")))))</f>
        <v> </v>
      </c>
      <c r="H3710" s="24" t="str">
        <f>IF(J3710&lt;&gt;1,"",IF(I3710="SBJ","CB","?"))</f>
        <v> </v>
      </c>
      <c r="I3710" s="25" t="str">
        <f>IF(OR(E3710="",E3710="!!!",F3710="NEW"),"",INDEX(B3709:B$2,-1+SUMPRODUCT(MAX(ROW(E3709:E$2)*(E3710=E3709:E$2)))))</f>
        <v> </v>
      </c>
      <c r="J3710" s="25" t="str">
        <f>IF(OR(E3710="",E3710="!!!",F3710="NEW"),"",COUNTBLANK(OFFSET(A$1,,,SUMPRODUCT(MAX(ROW(E$2:E3710)*(E3710=E$2:E3710)))))-COUNTBLANK(OFFSET(A$1,,,SUMPRODUCT(MAX(ROW(E$1:E3709)*(E2=E$1:E3709))))))</f>
        <v> </v>
      </c>
      <c r="K3710" s="25" t="str">
        <f>IF(OR(E3710="",E3710="!!!",F3710="NEW"),"",INDEX(J$1:J3709,SUMPRODUCT(MAX(ROW(E$1:E3709)*(E3710=E$1:E3709)))))</f>
        <v> </v>
      </c>
      <c r="L3710" s="26"/>
    </row>
    <row r="3711" spans="1:12">
      <c r="A3711" s="20" t="s">
        <v>1278</v>
      </c>
      <c r="B3711" s="27" t="s">
        <v>940</v>
      </c>
      <c r="C3711" s="27" t="s">
        <v>820</v>
      </c>
      <c r="D3711" s="27" t="s">
        <v>762</v>
      </c>
      <c r="E3711" s="21">
        <f>IF(D3711="?OLD","!!!","")</f>
        <v/>
      </c>
      <c r="F3711" s="22" t="str">
        <f>IF(OR(E3711="",E3711="!!!"),"",IF(NOT(ISNA(VLOOKUP(E3711,E$1:E3710,1,FALSE()))),"OLD",IF(AND(E3711&lt;&gt;"",E3711&lt;&gt;"!!!"),"NEW","")))</f>
        <v> </v>
      </c>
      <c r="G3711" s="23" t="str">
        <f>IF(OR(E3711="",E3711="!!!"),"",IF(OR(J3711=0,AND(J3711=1,K3711=1),AND(J3711=1,I3711="SBJ"),AND(J3711=1,I3711=0)),"?IN_FOCUS",IF(J3711&lt;=2,"?ACTIVATED",IF(J3711&lt;&gt;"","?FAMILIAR",IF(F3711="NEW",IF(ISNA(VLOOKUP(E3711,#REF!,1,FALSE())),"?TYPE_IDENTIFIABLE","?REFERENTIAL"),"_")))))</f>
        <v> </v>
      </c>
      <c r="H3711" s="24" t="str">
        <f>IF(J3711&lt;&gt;1,"",IF(I3711="SBJ","CB","?"))</f>
        <v> </v>
      </c>
      <c r="I3711" s="25" t="str">
        <f>IF(OR(E3711="",E3711="!!!",F3711="NEW"),"",INDEX(B3710:B$2,-1+SUMPRODUCT(MAX(ROW(E3710:E$2)*(E3711=E3710:E$2)))))</f>
        <v> </v>
      </c>
      <c r="J3711" s="25" t="str">
        <f>IF(OR(E3711="",E3711="!!!",F3711="NEW"),"",COUNTBLANK(OFFSET(A$1,,,SUMPRODUCT(MAX(ROW(E$2:E3711)*(E3711=E$2:E3711)))))-COUNTBLANK(OFFSET(A$1,,,SUMPRODUCT(MAX(ROW(E$1:E3710)*(E2=E$1:E3710))))))</f>
        <v> </v>
      </c>
      <c r="K3711" s="25" t="str">
        <f>IF(OR(E3711="",E3711="!!!",F3711="NEW"),"",INDEX(J$1:J3710,SUMPRODUCT(MAX(ROW(E$1:E3710)*(E3711=E$1:E3710)))))</f>
        <v> </v>
      </c>
      <c r="L3711" s="26"/>
    </row>
    <row r="3712" spans="1:12">
      <c r="A3712" s="20" t="s">
        <v>299</v>
      </c>
      <c r="E3712" s="21">
        <f>IF(D3712="?OLD","!!!","")</f>
        <v/>
      </c>
      <c r="F3712" s="22" t="str">
        <f>IF(OR(E3712="",E3712="!!!"),"",IF(NOT(ISNA(VLOOKUP(E3712,E$1:E3711,1,FALSE()))),"OLD",IF(AND(E3712&lt;&gt;"",E3712&lt;&gt;"!!!"),"NEW","")))</f>
        <v> </v>
      </c>
      <c r="G3712" s="23" t="str">
        <f>IF(OR(E3712="",E3712="!!!"),"",IF(OR(J3712=0,AND(J3712=1,K3712=1),AND(J3712=1,I3712="SBJ"),AND(J3712=1,I3712=0)),"?IN_FOCUS",IF(J3712&lt;=2,"?ACTIVATED",IF(J3712&lt;&gt;"","?FAMILIAR",IF(F3712="NEW",IF(ISNA(VLOOKUP(E3712,#REF!,1,FALSE())),"?TYPE_IDENTIFIABLE","?REFERENTIAL"),"_")))))</f>
        <v> </v>
      </c>
      <c r="H3712" s="24" t="str">
        <f>IF(J3712&lt;&gt;1,"",IF(I3712="SBJ","CB","?"))</f>
        <v> </v>
      </c>
      <c r="I3712" s="25" t="str">
        <f>IF(OR(E3712="",E3712="!!!",F3712="NEW"),"",INDEX(B3711:B$2,-1+SUMPRODUCT(MAX(ROW(E3711:E$2)*(E3712=E3711:E$2)))))</f>
        <v> </v>
      </c>
      <c r="J3712" s="25" t="str">
        <f>IF(OR(E3712="",E3712="!!!",F3712="NEW"),"",COUNTBLANK(OFFSET(A$1,,,SUMPRODUCT(MAX(ROW(E$2:E3712)*(E3712=E$2:E3712)))))-COUNTBLANK(OFFSET(A$1,,,SUMPRODUCT(MAX(ROW(E$1:E3711)*(E2=E$1:E3711))))))</f>
        <v> </v>
      </c>
      <c r="K3712" s="25" t="str">
        <f>IF(OR(E3712="",E3712="!!!",F3712="NEW"),"",INDEX(J$1:J3711,SUMPRODUCT(MAX(ROW(E$1:E3711)*(E3712=E$1:E3711)))))</f>
        <v> </v>
      </c>
      <c r="L3712" s="26"/>
    </row>
    <row r="3713" spans="1:12">
      <c r="A3713" s="20" t="s">
        <v>1824</v>
      </c>
      <c r="E3713" s="21">
        <f>IF(D3713="?OLD","!!!","")</f>
        <v/>
      </c>
      <c r="F3713" s="22" t="str">
        <f>IF(OR(E3713="",E3713="!!!"),"",IF(NOT(ISNA(VLOOKUP(E3713,E$1:E3712,1,FALSE()))),"OLD",IF(AND(E3713&lt;&gt;"",E3713&lt;&gt;"!!!"),"NEW","")))</f>
        <v> </v>
      </c>
      <c r="G3713" s="23" t="str">
        <f>IF(OR(E3713="",E3713="!!!"),"",IF(OR(J3713=0,AND(J3713=1,K3713=1),AND(J3713=1,I3713="SBJ"),AND(J3713=1,I3713=0)),"?IN_FOCUS",IF(J3713&lt;=2,"?ACTIVATED",IF(J3713&lt;&gt;"","?FAMILIAR",IF(F3713="NEW",IF(ISNA(VLOOKUP(E3713,#REF!,1,FALSE())),"?TYPE_IDENTIFIABLE","?REFERENTIAL"),"_")))))</f>
        <v> </v>
      </c>
      <c r="H3713" s="24" t="str">
        <f>IF(J3713&lt;&gt;1,"",IF(I3713="SBJ","CB","?"))</f>
        <v> </v>
      </c>
      <c r="I3713" s="25" t="str">
        <f>IF(OR(E3713="",E3713="!!!",F3713="NEW"),"",INDEX(B3712:B$2,-1+SUMPRODUCT(MAX(ROW(E3712:E$2)*(E3713=E3712:E$2)))))</f>
        <v> </v>
      </c>
      <c r="J3713" s="25" t="str">
        <f>IF(OR(E3713="",E3713="!!!",F3713="NEW"),"",COUNTBLANK(OFFSET(A$1,,,SUMPRODUCT(MAX(ROW(E$2:E3713)*(E3713=E$2:E3713)))))-COUNTBLANK(OFFSET(A$1,,,SUMPRODUCT(MAX(ROW(E$1:E3712)*(E2=E$1:E3712))))))</f>
        <v> </v>
      </c>
      <c r="K3713" s="25" t="str">
        <f>IF(OR(E3713="",E3713="!!!",F3713="NEW"),"",INDEX(J$1:J3712,SUMPRODUCT(MAX(ROW(E$1:E3712)*(E3713=E$1:E3712)))))</f>
        <v> </v>
      </c>
      <c r="L3713" s="26"/>
    </row>
    <row r="3714" spans="1:12">
      <c r="A3714" s="20" t="s">
        <v>769</v>
      </c>
      <c r="E3714" s="21">
        <f>IF(D3714="?OLD","!!!","")</f>
        <v/>
      </c>
      <c r="F3714" s="22" t="str">
        <f>IF(OR(E3714="",E3714="!!!"),"",IF(NOT(ISNA(VLOOKUP(E3714,E$1:E3713,1,FALSE()))),"OLD",IF(AND(E3714&lt;&gt;"",E3714&lt;&gt;"!!!"),"NEW","")))</f>
        <v> </v>
      </c>
      <c r="G3714" s="23" t="str">
        <f>IF(OR(E3714="",E3714="!!!"),"",IF(OR(J3714=0,AND(J3714=1,K3714=1),AND(J3714=1,I3714="SBJ"),AND(J3714=1,I3714=0)),"?IN_FOCUS",IF(J3714&lt;=2,"?ACTIVATED",IF(J3714&lt;&gt;"","?FAMILIAR",IF(F3714="NEW",IF(ISNA(VLOOKUP(E3714,#REF!,1,FALSE())),"?TYPE_IDENTIFIABLE","?REFERENTIAL"),"_")))))</f>
        <v> </v>
      </c>
      <c r="H3714" s="24" t="str">
        <f>IF(J3714&lt;&gt;1,"",IF(I3714="SBJ","CB","?"))</f>
        <v> </v>
      </c>
      <c r="I3714" s="25" t="str">
        <f>IF(OR(E3714="",E3714="!!!",F3714="NEW"),"",INDEX(B3713:B$2,-1+SUMPRODUCT(MAX(ROW(E3713:E$2)*(E3714=E3713:E$2)))))</f>
        <v> </v>
      </c>
      <c r="J3714" s="25" t="str">
        <f>IF(OR(E3714="",E3714="!!!",F3714="NEW"),"",COUNTBLANK(OFFSET(A$1,,,SUMPRODUCT(MAX(ROW(E$2:E3714)*(E3714=E$2:E3714)))))-COUNTBLANK(OFFSET(A$1,,,SUMPRODUCT(MAX(ROW(E$1:E3713)*(E2=E$1:E3713))))))</f>
        <v> </v>
      </c>
      <c r="K3714" s="25" t="str">
        <f>IF(OR(E3714="",E3714="!!!",F3714="NEW"),"",INDEX(J$1:J3713,SUMPRODUCT(MAX(ROW(E$1:E3713)*(E3714=E$1:E3713)))))</f>
        <v> </v>
      </c>
      <c r="L3714" s="26"/>
    </row>
    <row r="3715" spans="1:12">
      <c r="A3715" s="20" t="s">
        <v>1108</v>
      </c>
      <c r="B3715" s="27" t="s">
        <v>815</v>
      </c>
      <c r="C3715" s="27" t="s">
        <v>754</v>
      </c>
      <c r="E3715" s="21">
        <f>IF(D3715="?OLD","!!!","")</f>
        <v/>
      </c>
      <c r="F3715" s="22" t="str">
        <f>IF(OR(E3715="",E3715="!!!"),"",IF(NOT(ISNA(VLOOKUP(E3715,E$1:E3714,1,FALSE()))),"OLD",IF(AND(E3715&lt;&gt;"",E3715&lt;&gt;"!!!"),"NEW","")))</f>
        <v> </v>
      </c>
      <c r="G3715" s="23" t="str">
        <f>IF(OR(E3715="",E3715="!!!"),"",IF(OR(J3715=0,AND(J3715=1,K3715=1),AND(J3715=1,I3715="SBJ"),AND(J3715=1,I3715=0)),"?IN_FOCUS",IF(J3715&lt;=2,"?ACTIVATED",IF(J3715&lt;&gt;"","?FAMILIAR",IF(F3715="NEW",IF(ISNA(VLOOKUP(E3715,#REF!,1,FALSE())),"?TYPE_IDENTIFIABLE","?REFERENTIAL"),"_")))))</f>
        <v> </v>
      </c>
      <c r="H3715" s="24" t="str">
        <f>IF(J3715&lt;&gt;1,"",IF(I3715="SBJ","CB","?"))</f>
        <v> </v>
      </c>
      <c r="I3715" s="25" t="str">
        <f>IF(OR(E3715="",E3715="!!!",F3715="NEW"),"",INDEX(B3714:B$2,-1+SUMPRODUCT(MAX(ROW(E3714:E$2)*(E3715=E3714:E$2)))))</f>
        <v> </v>
      </c>
      <c r="J3715" s="25" t="str">
        <f>IF(OR(E3715="",E3715="!!!",F3715="NEW"),"",COUNTBLANK(OFFSET(A$1,,,SUMPRODUCT(MAX(ROW(E$2:E3715)*(E3715=E$2:E3715)))))-COUNTBLANK(OFFSET(A$1,,,SUMPRODUCT(MAX(ROW(E$1:E3714)*(E2=E$1:E3714))))))</f>
        <v> </v>
      </c>
      <c r="K3715" s="25" t="str">
        <f>IF(OR(E3715="",E3715="!!!",F3715="NEW"),"",INDEX(J$1:J3714,SUMPRODUCT(MAX(ROW(E$1:E3714)*(E3715=E$1:E3714)))))</f>
        <v> </v>
      </c>
      <c r="L3715" s="26"/>
    </row>
    <row r="3716" spans="1:12">
      <c r="A3716" s="20" t="s">
        <v>872</v>
      </c>
      <c r="E3716" s="21">
        <f>IF(D3716="?OLD","!!!","")</f>
        <v/>
      </c>
      <c r="F3716" s="22" t="str">
        <f>IF(OR(E3716="",E3716="!!!"),"",IF(NOT(ISNA(VLOOKUP(E3716,E$1:E3715,1,FALSE()))),"OLD",IF(AND(E3716&lt;&gt;"",E3716&lt;&gt;"!!!"),"NEW","")))</f>
        <v> </v>
      </c>
      <c r="G3716" s="23" t="str">
        <f>IF(OR(E3716="",E3716="!!!"),"",IF(OR(J3716=0,AND(J3716=1,K3716=1),AND(J3716=1,I3716="SBJ"),AND(J3716=1,I3716=0)),"?IN_FOCUS",IF(J3716&lt;=2,"?ACTIVATED",IF(J3716&lt;&gt;"","?FAMILIAR",IF(F3716="NEW",IF(ISNA(VLOOKUP(E3716,#REF!,1,FALSE())),"?TYPE_IDENTIFIABLE","?REFERENTIAL"),"_")))))</f>
        <v> </v>
      </c>
      <c r="H3716" s="24" t="str">
        <f>IF(J3716&lt;&gt;1,"",IF(I3716="SBJ","CB","?"))</f>
        <v> </v>
      </c>
      <c r="I3716" s="25" t="str">
        <f>IF(OR(E3716="",E3716="!!!",F3716="NEW"),"",INDEX(B3715:B$2,-1+SUMPRODUCT(MAX(ROW(E3715:E$2)*(E3716=E3715:E$2)))))</f>
        <v> </v>
      </c>
      <c r="J3716" s="25" t="str">
        <f>IF(OR(E3716="",E3716="!!!",F3716="NEW"),"",COUNTBLANK(OFFSET(A$1,,,SUMPRODUCT(MAX(ROW(E$2:E3716)*(E3716=E$2:E3716)))))-COUNTBLANK(OFFSET(A$1,,,SUMPRODUCT(MAX(ROW(E$1:E3715)*(E2=E$1:E3715))))))</f>
        <v> </v>
      </c>
      <c r="K3716" s="25" t="str">
        <f>IF(OR(E3716="",E3716="!!!",F3716="NEW"),"",INDEX(J$1:J3715,SUMPRODUCT(MAX(ROW(E$1:E3715)*(E3716=E$1:E3715)))))</f>
        <v> </v>
      </c>
      <c r="L3716" s="26"/>
    </row>
    <row r="3717" spans="1:12">
      <c r="A3717" s="20" t="s">
        <v>1161</v>
      </c>
      <c r="B3717" s="27" t="s">
        <v>815</v>
      </c>
      <c r="C3717" s="27" t="s">
        <v>851</v>
      </c>
      <c r="D3717" s="27" t="s">
        <v>762</v>
      </c>
      <c r="E3717" s="21">
        <f>IF(D3717="?OLD","!!!","")</f>
        <v/>
      </c>
      <c r="F3717" s="22" t="str">
        <f>IF(OR(E3717="",E3717="!!!"),"",IF(NOT(ISNA(VLOOKUP(E3717,E$1:E3716,1,FALSE()))),"OLD",IF(AND(E3717&lt;&gt;"",E3717&lt;&gt;"!!!"),"NEW","")))</f>
        <v> </v>
      </c>
      <c r="G3717" s="23" t="str">
        <f>IF(OR(E3717="",E3717="!!!"),"",IF(OR(J3717=0,AND(J3717=1,K3717=1),AND(J3717=1,I3717="SBJ"),AND(J3717=1,I3717=0)),"?IN_FOCUS",IF(J3717&lt;=2,"?ACTIVATED",IF(J3717&lt;&gt;"","?FAMILIAR",IF(F3717="NEW",IF(ISNA(VLOOKUP(E3717,#REF!,1,FALSE())),"?TYPE_IDENTIFIABLE","?REFERENTIAL"),"_")))))</f>
        <v> </v>
      </c>
      <c r="H3717" s="24" t="str">
        <f>IF(J3717&lt;&gt;1,"",IF(I3717="SBJ","CB","?"))</f>
        <v> </v>
      </c>
      <c r="I3717" s="25" t="str">
        <f>IF(OR(E3717="",E3717="!!!",F3717="NEW"),"",INDEX(B3716:B$2,-1+SUMPRODUCT(MAX(ROW(E3716:E$2)*(E3717=E3716:E$2)))))</f>
        <v> </v>
      </c>
      <c r="J3717" s="25" t="str">
        <f>IF(OR(E3717="",E3717="!!!",F3717="NEW"),"",COUNTBLANK(OFFSET(A$1,,,SUMPRODUCT(MAX(ROW(E$2:E3717)*(E3717=E$2:E3717)))))-COUNTBLANK(OFFSET(A$1,,,SUMPRODUCT(MAX(ROW(E$1:E3716)*(E2=E$1:E3716))))))</f>
        <v> </v>
      </c>
      <c r="K3717" s="25" t="str">
        <f>IF(OR(E3717="",E3717="!!!",F3717="NEW"),"",INDEX(J$1:J3716,SUMPRODUCT(MAX(ROW(E$1:E3716)*(E3717=E$1:E3716)))))</f>
        <v> </v>
      </c>
      <c r="L3717" s="26"/>
    </row>
    <row r="3718" spans="1:12">
      <c r="A3718" s="20" t="s">
        <v>1231</v>
      </c>
      <c r="B3718" s="27" t="s">
        <v>901</v>
      </c>
      <c r="C3718" s="27" t="s">
        <v>837</v>
      </c>
      <c r="D3718" s="27" t="s">
        <v>762</v>
      </c>
      <c r="E3718" s="21">
        <f>IF(D3718="?OLD","!!!","")</f>
        <v/>
      </c>
      <c r="F3718" s="22" t="str">
        <f>IF(OR(E3718="",E3718="!!!"),"",IF(NOT(ISNA(VLOOKUP(E3718,E$1:E3717,1,FALSE()))),"OLD",IF(AND(E3718&lt;&gt;"",E3718&lt;&gt;"!!!"),"NEW","")))</f>
        <v> </v>
      </c>
      <c r="G3718" s="23" t="str">
        <f>IF(OR(E3718="",E3718="!!!"),"",IF(OR(J3718=0,AND(J3718=1,K3718=1),AND(J3718=1,I3718="SBJ"),AND(J3718=1,I3718=0)),"?IN_FOCUS",IF(J3718&lt;=2,"?ACTIVATED",IF(J3718&lt;&gt;"","?FAMILIAR",IF(F3718="NEW",IF(ISNA(VLOOKUP(E3718,#REF!,1,FALSE())),"?TYPE_IDENTIFIABLE","?REFERENTIAL"),"_")))))</f>
        <v> </v>
      </c>
      <c r="H3718" s="24" t="str">
        <f>IF(J3718&lt;&gt;1,"",IF(I3718="SBJ","CB","?"))</f>
        <v> </v>
      </c>
      <c r="I3718" s="25" t="str">
        <f>IF(OR(E3718="",E3718="!!!",F3718="NEW"),"",INDEX(B3717:B$2,-1+SUMPRODUCT(MAX(ROW(E3717:E$2)*(E3718=E3717:E$2)))))</f>
        <v> </v>
      </c>
      <c r="J3718" s="25" t="str">
        <f>IF(OR(E3718="",E3718="!!!",F3718="NEW"),"",COUNTBLANK(OFFSET(A$1,,,SUMPRODUCT(MAX(ROW(E$2:E3718)*(E3718=E$2:E3718)))))-COUNTBLANK(OFFSET(A$1,,,SUMPRODUCT(MAX(ROW(E$1:E3717)*(E2=E$1:E3717))))))</f>
        <v> </v>
      </c>
      <c r="K3718" s="25" t="str">
        <f>IF(OR(E3718="",E3718="!!!",F3718="NEW"),"",INDEX(J$1:J3717,SUMPRODUCT(MAX(ROW(E$1:E3717)*(E3718=E$1:E3717)))))</f>
        <v> </v>
      </c>
      <c r="L3718" s="26"/>
    </row>
    <row r="3719" spans="1:12">
      <c r="A3719" s="20" t="s">
        <v>769</v>
      </c>
      <c r="E3719" s="21">
        <f>IF(D3719="?OLD","!!!","")</f>
        <v/>
      </c>
      <c r="F3719" s="22" t="str">
        <f>IF(OR(E3719="",E3719="!!!"),"",IF(NOT(ISNA(VLOOKUP(E3719,E$1:E3718,1,FALSE()))),"OLD",IF(AND(E3719&lt;&gt;"",E3719&lt;&gt;"!!!"),"NEW","")))</f>
        <v> </v>
      </c>
      <c r="G3719" s="23" t="str">
        <f>IF(OR(E3719="",E3719="!!!"),"",IF(OR(J3719=0,AND(J3719=1,K3719=1),AND(J3719=1,I3719="SBJ"),AND(J3719=1,I3719=0)),"?IN_FOCUS",IF(J3719&lt;=2,"?ACTIVATED",IF(J3719&lt;&gt;"","?FAMILIAR",IF(F3719="NEW",IF(ISNA(VLOOKUP(E3719,#REF!,1,FALSE())),"?TYPE_IDENTIFIABLE","?REFERENTIAL"),"_")))))</f>
        <v> </v>
      </c>
      <c r="H3719" s="24" t="str">
        <f>IF(J3719&lt;&gt;1,"",IF(I3719="SBJ","CB","?"))</f>
        <v> </v>
      </c>
      <c r="I3719" s="25" t="str">
        <f>IF(OR(E3719="",E3719="!!!",F3719="NEW"),"",INDEX(B3718:B$2,-1+SUMPRODUCT(MAX(ROW(E3718:E$2)*(E3719=E3718:E$2)))))</f>
        <v> </v>
      </c>
      <c r="J3719" s="25" t="str">
        <f>IF(OR(E3719="",E3719="!!!",F3719="NEW"),"",COUNTBLANK(OFFSET(A$1,,,SUMPRODUCT(MAX(ROW(E$2:E3719)*(E3719=E$2:E3719)))))-COUNTBLANK(OFFSET(A$1,,,SUMPRODUCT(MAX(ROW(E$1:E3718)*(E2=E$1:E3718))))))</f>
        <v> </v>
      </c>
      <c r="K3719" s="25" t="str">
        <f>IF(OR(E3719="",E3719="!!!",F3719="NEW"),"",INDEX(J$1:J3718,SUMPRODUCT(MAX(ROW(E$1:E3718)*(E3719=E$1:E3718)))))</f>
        <v> </v>
      </c>
      <c r="L3719" s="26"/>
    </row>
    <row r="3720" spans="1:12">
      <c r="A3720" s="20" t="s">
        <v>1696</v>
      </c>
      <c r="B3720" s="27" t="s">
        <v>815</v>
      </c>
      <c r="C3720" s="27" t="s">
        <v>754</v>
      </c>
      <c r="E3720" s="21">
        <f>IF(D3720="?OLD","!!!","")</f>
        <v/>
      </c>
      <c r="F3720" s="22" t="str">
        <f>IF(OR(E3720="",E3720="!!!"),"",IF(NOT(ISNA(VLOOKUP(E3720,E$1:E3719,1,FALSE()))),"OLD",IF(AND(E3720&lt;&gt;"",E3720&lt;&gt;"!!!"),"NEW","")))</f>
        <v> </v>
      </c>
      <c r="G3720" s="23" t="str">
        <f>IF(OR(E3720="",E3720="!!!"),"",IF(OR(J3720=0,AND(J3720=1,K3720=1),AND(J3720=1,I3720="SBJ"),AND(J3720=1,I3720=0)),"?IN_FOCUS",IF(J3720&lt;=2,"?ACTIVATED",IF(J3720&lt;&gt;"","?FAMILIAR",IF(F3720="NEW",IF(ISNA(VLOOKUP(E3720,#REF!,1,FALSE())),"?TYPE_IDENTIFIABLE","?REFERENTIAL"),"_")))))</f>
        <v> </v>
      </c>
      <c r="H3720" s="24" t="str">
        <f>IF(J3720&lt;&gt;1,"",IF(I3720="SBJ","CB","?"))</f>
        <v> </v>
      </c>
      <c r="I3720" s="25" t="str">
        <f>IF(OR(E3720="",E3720="!!!",F3720="NEW"),"",INDEX(B3719:B$2,-1+SUMPRODUCT(MAX(ROW(E3719:E$2)*(E3720=E3719:E$2)))))</f>
        <v> </v>
      </c>
      <c r="J3720" s="25" t="str">
        <f>IF(OR(E3720="",E3720="!!!",F3720="NEW"),"",COUNTBLANK(OFFSET(A$1,,,SUMPRODUCT(MAX(ROW(E$2:E3720)*(E3720=E$2:E3720)))))-COUNTBLANK(OFFSET(A$1,,,SUMPRODUCT(MAX(ROW(E$1:E3719)*(E2=E$1:E3719))))))</f>
        <v> </v>
      </c>
      <c r="K3720" s="25" t="str">
        <f>IF(OR(E3720="",E3720="!!!",F3720="NEW"),"",INDEX(J$1:J3719,SUMPRODUCT(MAX(ROW(E$1:E3719)*(E3720=E$1:E3719)))))</f>
        <v> </v>
      </c>
      <c r="L3720" s="26"/>
    </row>
    <row r="3721" spans="1:12">
      <c r="A3721" s="20" t="s">
        <v>774</v>
      </c>
      <c r="E3721" s="21">
        <f>IF(D3721="?OLD","!!!","")</f>
        <v/>
      </c>
      <c r="F3721" s="22" t="str">
        <f>IF(OR(E3721="",E3721="!!!"),"",IF(NOT(ISNA(VLOOKUP(E3721,E$1:E3720,1,FALSE()))),"OLD",IF(AND(E3721&lt;&gt;"",E3721&lt;&gt;"!!!"),"NEW","")))</f>
        <v> </v>
      </c>
      <c r="G3721" s="23" t="str">
        <f>IF(OR(E3721="",E3721="!!!"),"",IF(OR(J3721=0,AND(J3721=1,K3721=1),AND(J3721=1,I3721="SBJ"),AND(J3721=1,I3721=0)),"?IN_FOCUS",IF(J3721&lt;=2,"?ACTIVATED",IF(J3721&lt;&gt;"","?FAMILIAR",IF(F3721="NEW",IF(ISNA(VLOOKUP(E3721,#REF!,1,FALSE())),"?TYPE_IDENTIFIABLE","?REFERENTIAL"),"_")))))</f>
        <v> </v>
      </c>
      <c r="H3721" s="24" t="str">
        <f>IF(J3721&lt;&gt;1,"",IF(I3721="SBJ","CB","?"))</f>
        <v> </v>
      </c>
      <c r="I3721" s="25" t="str">
        <f>IF(OR(E3721="",E3721="!!!",F3721="NEW"),"",INDEX(B3720:B$2,-1+SUMPRODUCT(MAX(ROW(E3720:E$2)*(E3721=E3720:E$2)))))</f>
        <v> </v>
      </c>
      <c r="J3721" s="25" t="str">
        <f>IF(OR(E3721="",E3721="!!!",F3721="NEW"),"",COUNTBLANK(OFFSET(A$1,,,SUMPRODUCT(MAX(ROW(E$2:E3721)*(E3721=E$2:E3721)))))-COUNTBLANK(OFFSET(A$1,,,SUMPRODUCT(MAX(ROW(E$1:E3720)*(E2=E$1:E3720))))))</f>
        <v> </v>
      </c>
      <c r="K3721" s="25" t="str">
        <f>IF(OR(E3721="",E3721="!!!",F3721="NEW"),"",INDEX(J$1:J3720,SUMPRODUCT(MAX(ROW(E$1:E3720)*(E3721=E$1:E3720)))))</f>
        <v> </v>
      </c>
      <c r="L3721" s="26"/>
    </row>
    <row r="3722" spans="1:12">
      <c r="A3722" s="20"/>
    </row>
    <row r="3723" spans="1:12">
      <c r="A3723" s="20" t="s">
        <v>1832</v>
      </c>
    </row>
    <row r="3724" spans="1:12">
      <c r="A3724" s="20" t="s">
        <v>1407</v>
      </c>
      <c r="E3724" s="21">
        <f>IF(D3724="?OLD","!!!","")</f>
        <v/>
      </c>
      <c r="F3724" s="22" t="str">
        <f>IF(OR(E3724="",E3724="!!!"),"",IF(NOT(ISNA(VLOOKUP(E3724,E$1:E3723,1,FALSE()))),"OLD",IF(AND(E3724&lt;&gt;"",E3724&lt;&gt;"!!!"),"NEW","")))</f>
        <v> </v>
      </c>
      <c r="G3724" s="23" t="str">
        <f>IF(OR(E3724="",E3724="!!!"),"",IF(OR(J3724=0,AND(J3724=1,K3724=1),AND(J3724=1,I3724="SBJ"),AND(J3724=1,I3724=0)),"?IN_FOCUS",IF(J3724&lt;=2,"?ACTIVATED",IF(J3724&lt;&gt;"","?FAMILIAR",IF(F3724="NEW",IF(ISNA(VLOOKUP(E3724,#REF!,1,FALSE())),"?TYPE_IDENTIFIABLE","?REFERENTIAL"),"_")))))</f>
        <v> </v>
      </c>
      <c r="H3724" s="24" t="str">
        <f>IF(J3724&lt;&gt;1,"",IF(I3724="SBJ","CB","?"))</f>
        <v> </v>
      </c>
      <c r="I3724" s="25" t="str">
        <f>IF(OR(E3724="",E3724="!!!",F3724="NEW"),"",INDEX(B3723:B$2,-1+SUMPRODUCT(MAX(ROW(E3723:E$2)*(E3724=E3723:E$2)))))</f>
        <v> </v>
      </c>
      <c r="J3724" s="25" t="str">
        <f>IF(OR(E3724="",E3724="!!!",F3724="NEW"),"",COUNTBLANK(OFFSET(A$1,,,SUMPRODUCT(MAX(ROW(E$2:E3724)*(E3724=E$2:E3724)))))-COUNTBLANK(OFFSET(A$1,,,SUMPRODUCT(MAX(ROW(E$1:E3723)*(E2=E$1:E3723))))))</f>
        <v> </v>
      </c>
      <c r="K3724" s="25" t="str">
        <f>IF(OR(E3724="",E3724="!!!",F3724="NEW"),"",INDEX(J$1:J3723,SUMPRODUCT(MAX(ROW(E$1:E3723)*(E3724=E$1:E3723)))))</f>
        <v> </v>
      </c>
      <c r="L3724" s="26"/>
    </row>
    <row r="3725" spans="1:12">
      <c r="A3725" s="20" t="s">
        <v>869</v>
      </c>
      <c r="B3725" s="27" t="s">
        <v>760</v>
      </c>
      <c r="C3725" s="27" t="s">
        <v>797</v>
      </c>
      <c r="D3725" s="27" t="s">
        <v>762</v>
      </c>
      <c r="E3725" s="21">
        <f>IF(D3725="?OLD","!!!","")</f>
        <v/>
      </c>
      <c r="F3725" s="22" t="str">
        <f>IF(OR(E3725="",E3725="!!!"),"",IF(NOT(ISNA(VLOOKUP(E3725,E$1:E3724,1,FALSE()))),"OLD",IF(AND(E3725&lt;&gt;"",E3725&lt;&gt;"!!!"),"NEW","")))</f>
        <v> </v>
      </c>
      <c r="G3725" s="23" t="str">
        <f>IF(OR(E3725="",E3725="!!!"),"",IF(OR(J3725=0,AND(J3725=1,K3725=1),AND(J3725=1,I3725="SBJ"),AND(J3725=1,I3725=0)),"?IN_FOCUS",IF(J3725&lt;=2,"?ACTIVATED",IF(J3725&lt;&gt;"","?FAMILIAR",IF(F3725="NEW",IF(ISNA(VLOOKUP(E3725,#REF!,1,FALSE())),"?TYPE_IDENTIFIABLE","?REFERENTIAL"),"_")))))</f>
        <v> </v>
      </c>
      <c r="H3725" s="24" t="str">
        <f>IF(J3725&lt;&gt;1,"",IF(I3725="SBJ","CB","?"))</f>
        <v> </v>
      </c>
      <c r="I3725" s="25" t="str">
        <f>IF(OR(E3725="",E3725="!!!",F3725="NEW"),"",INDEX(B3724:B$2,-1+SUMPRODUCT(MAX(ROW(E3724:E$2)*(E3725=E3724:E$2)))))</f>
        <v> </v>
      </c>
      <c r="J3725" s="25" t="str">
        <f>IF(OR(E3725="",E3725="!!!",F3725="NEW"),"",COUNTBLANK(OFFSET(A$1,,,SUMPRODUCT(MAX(ROW(E$2:E3725)*(E3725=E$2:E3725)))))-COUNTBLANK(OFFSET(A$1,,,SUMPRODUCT(MAX(ROW(E$1:E3724)*(E2=E$1:E3724))))))</f>
        <v> </v>
      </c>
      <c r="K3725" s="25" t="str">
        <f>IF(OR(E3725="",E3725="!!!",F3725="NEW"),"",INDEX(J$1:J3724,SUMPRODUCT(MAX(ROW(E$1:E3724)*(E3725=E$1:E3724)))))</f>
        <v> </v>
      </c>
      <c r="L3725" s="26"/>
    </row>
    <row r="3726" spans="1:12">
      <c r="A3726" s="20" t="s">
        <v>975</v>
      </c>
      <c r="B3726" s="27" t="s">
        <v>767</v>
      </c>
      <c r="C3726" s="27" t="s">
        <v>797</v>
      </c>
      <c r="D3726" s="27" t="s">
        <v>762</v>
      </c>
      <c r="E3726" s="21">
        <f>IF(D3726="?OLD","!!!","")</f>
        <v/>
      </c>
      <c r="F3726" s="22" t="str">
        <f>IF(OR(E3726="",E3726="!!!"),"",IF(NOT(ISNA(VLOOKUP(E3726,E$1:E3725,1,FALSE()))),"OLD",IF(AND(E3726&lt;&gt;"",E3726&lt;&gt;"!!!"),"NEW","")))</f>
        <v> </v>
      </c>
      <c r="G3726" s="23" t="str">
        <f>IF(OR(E3726="",E3726="!!!"),"",IF(OR(J3726=0,AND(J3726=1,K3726=1),AND(J3726=1,I3726="SBJ"),AND(J3726=1,I3726=0)),"?IN_FOCUS",IF(J3726&lt;=2,"?ACTIVATED",IF(J3726&lt;&gt;"","?FAMILIAR",IF(F3726="NEW",IF(ISNA(VLOOKUP(E3726,#REF!,1,FALSE())),"?TYPE_IDENTIFIABLE","?REFERENTIAL"),"_")))))</f>
        <v> </v>
      </c>
      <c r="H3726" s="24" t="str">
        <f>IF(J3726&lt;&gt;1,"",IF(I3726="SBJ","CB","?"))</f>
        <v> </v>
      </c>
      <c r="I3726" s="25" t="str">
        <f>IF(OR(E3726="",E3726="!!!",F3726="NEW"),"",INDEX(B3725:B$2,-1+SUMPRODUCT(MAX(ROW(E3725:E$2)*(E3726=E3725:E$2)))))</f>
        <v> </v>
      </c>
      <c r="J3726" s="25" t="str">
        <f>IF(OR(E3726="",E3726="!!!",F3726="NEW"),"",COUNTBLANK(OFFSET(A$1,,,SUMPRODUCT(MAX(ROW(E$2:E3726)*(E3726=E$2:E3726)))))-COUNTBLANK(OFFSET(A$1,,,SUMPRODUCT(MAX(ROW(E$1:E3725)*(E2=E$1:E3725))))))</f>
        <v> </v>
      </c>
      <c r="K3726" s="25" t="str">
        <f>IF(OR(E3726="",E3726="!!!",F3726="NEW"),"",INDEX(J$1:J3725,SUMPRODUCT(MAX(ROW(E$1:E3725)*(E3726=E$1:E3725)))))</f>
        <v> </v>
      </c>
      <c r="L3726" s="26"/>
    </row>
    <row r="3727" spans="1:12">
      <c r="A3727" s="20" t="s">
        <v>870</v>
      </c>
      <c r="E3727" s="21">
        <f>IF(D3727="?OLD","!!!","")</f>
        <v/>
      </c>
      <c r="F3727" s="22" t="str">
        <f>IF(OR(E3727="",E3727="!!!"),"",IF(NOT(ISNA(VLOOKUP(E3727,E$1:E3726,1,FALSE()))),"OLD",IF(AND(E3727&lt;&gt;"",E3727&lt;&gt;"!!!"),"NEW","")))</f>
        <v> </v>
      </c>
      <c r="G3727" s="23" t="str">
        <f>IF(OR(E3727="",E3727="!!!"),"",IF(OR(J3727=0,AND(J3727=1,K3727=1),AND(J3727=1,I3727="SBJ"),AND(J3727=1,I3727=0)),"?IN_FOCUS",IF(J3727&lt;=2,"?ACTIVATED",IF(J3727&lt;&gt;"","?FAMILIAR",IF(F3727="NEW",IF(ISNA(VLOOKUP(E3727,#REF!,1,FALSE())),"?TYPE_IDENTIFIABLE","?REFERENTIAL"),"_")))))</f>
        <v> </v>
      </c>
      <c r="H3727" s="24" t="str">
        <f>IF(J3727&lt;&gt;1,"",IF(I3727="SBJ","CB","?"))</f>
        <v> </v>
      </c>
      <c r="I3727" s="25" t="str">
        <f>IF(OR(E3727="",E3727="!!!",F3727="NEW"),"",INDEX(B3726:B$2,-1+SUMPRODUCT(MAX(ROW(E3726:E$2)*(E3727=E3726:E$2)))))</f>
        <v> </v>
      </c>
      <c r="J3727" s="25" t="str">
        <f>IF(OR(E3727="",E3727="!!!",F3727="NEW"),"",COUNTBLANK(OFFSET(A$1,,,SUMPRODUCT(MAX(ROW(E$2:E3727)*(E3727=E$2:E3727)))))-COUNTBLANK(OFFSET(A$1,,,SUMPRODUCT(MAX(ROW(E$1:E3726)*(E2=E$1:E3726))))))</f>
        <v> </v>
      </c>
      <c r="K3727" s="25" t="str">
        <f>IF(OR(E3727="",E3727="!!!",F3727="NEW"),"",INDEX(J$1:J3726,SUMPRODUCT(MAX(ROW(E$1:E3726)*(E3727=E$1:E3726)))))</f>
        <v> </v>
      </c>
      <c r="L3727" s="26"/>
    </row>
    <row r="3728" spans="1:12">
      <c r="A3728" s="20" t="s">
        <v>888</v>
      </c>
      <c r="E3728" s="21">
        <f>IF(D3728="?OLD","!!!","")</f>
        <v/>
      </c>
      <c r="F3728" s="22" t="str">
        <f>IF(OR(E3728="",E3728="!!!"),"",IF(NOT(ISNA(VLOOKUP(E3728,E$1:E3727,1,FALSE()))),"OLD",IF(AND(E3728&lt;&gt;"",E3728&lt;&gt;"!!!"),"NEW","")))</f>
        <v> </v>
      </c>
      <c r="G3728" s="23" t="str">
        <f>IF(OR(E3728="",E3728="!!!"),"",IF(OR(J3728=0,AND(J3728=1,K3728=1),AND(J3728=1,I3728="SBJ"),AND(J3728=1,I3728=0)),"?IN_FOCUS",IF(J3728&lt;=2,"?ACTIVATED",IF(J3728&lt;&gt;"","?FAMILIAR",IF(F3728="NEW",IF(ISNA(VLOOKUP(E3728,#REF!,1,FALSE())),"?TYPE_IDENTIFIABLE","?REFERENTIAL"),"_")))))</f>
        <v> </v>
      </c>
      <c r="H3728" s="24" t="str">
        <f>IF(J3728&lt;&gt;1,"",IF(I3728="SBJ","CB","?"))</f>
        <v> </v>
      </c>
      <c r="I3728" s="25" t="str">
        <f>IF(OR(E3728="",E3728="!!!",F3728="NEW"),"",INDEX(B3727:B$2,-1+SUMPRODUCT(MAX(ROW(E3727:E$2)*(E3728=E3727:E$2)))))</f>
        <v> </v>
      </c>
      <c r="J3728" s="25" t="str">
        <f>IF(OR(E3728="",E3728="!!!",F3728="NEW"),"",COUNTBLANK(OFFSET(A$1,,,SUMPRODUCT(MAX(ROW(E$2:E3728)*(E3728=E$2:E3728)))))-COUNTBLANK(OFFSET(A$1,,,SUMPRODUCT(MAX(ROW(E$1:E3727)*(E2=E$1:E3727))))))</f>
        <v> </v>
      </c>
      <c r="K3728" s="25" t="str">
        <f>IF(OR(E3728="",E3728="!!!",F3728="NEW"),"",INDEX(J$1:J3727,SUMPRODUCT(MAX(ROW(E$1:E3727)*(E3728=E$1:E3727)))))</f>
        <v> </v>
      </c>
      <c r="L3728" s="26"/>
    </row>
    <row r="3729" spans="1:12">
      <c r="A3729" s="20" t="s">
        <v>757</v>
      </c>
      <c r="E3729" s="21">
        <f>IF(D3729="?OLD","!!!","")</f>
        <v/>
      </c>
      <c r="F3729" s="22" t="str">
        <f>IF(OR(E3729="",E3729="!!!"),"",IF(NOT(ISNA(VLOOKUP(E3729,E$1:E3728,1,FALSE()))),"OLD",IF(AND(E3729&lt;&gt;"",E3729&lt;&gt;"!!!"),"NEW","")))</f>
        <v> </v>
      </c>
      <c r="G3729" s="23" t="str">
        <f>IF(OR(E3729="",E3729="!!!"),"",IF(OR(J3729=0,AND(J3729=1,K3729=1),AND(J3729=1,I3729="SBJ"),AND(J3729=1,I3729=0)),"?IN_FOCUS",IF(J3729&lt;=2,"?ACTIVATED",IF(J3729&lt;&gt;"","?FAMILIAR",IF(F3729="NEW",IF(ISNA(VLOOKUP(E3729,#REF!,1,FALSE())),"?TYPE_IDENTIFIABLE","?REFERENTIAL"),"_")))))</f>
        <v> </v>
      </c>
      <c r="H3729" s="24" t="str">
        <f>IF(J3729&lt;&gt;1,"",IF(I3729="SBJ","CB","?"))</f>
        <v> </v>
      </c>
      <c r="I3729" s="25" t="str">
        <f>IF(OR(E3729="",E3729="!!!",F3729="NEW"),"",INDEX(B3728:B$2,-1+SUMPRODUCT(MAX(ROW(E3728:E$2)*(E3729=E3728:E$2)))))</f>
        <v> </v>
      </c>
      <c r="J3729" s="25" t="str">
        <f>IF(OR(E3729="",E3729="!!!",F3729="NEW"),"",COUNTBLANK(OFFSET(A$1,,,SUMPRODUCT(MAX(ROW(E$2:E3729)*(E3729=E$2:E3729)))))-COUNTBLANK(OFFSET(A$1,,,SUMPRODUCT(MAX(ROW(E$1:E3728)*(E2=E$1:E3728))))))</f>
        <v> </v>
      </c>
      <c r="K3729" s="25" t="str">
        <f>IF(OR(E3729="",E3729="!!!",F3729="NEW"),"",INDEX(J$1:J3728,SUMPRODUCT(MAX(ROW(E$1:E3728)*(E3729=E$1:E3728)))))</f>
        <v> </v>
      </c>
      <c r="L3729" s="26"/>
    </row>
    <row r="3730" spans="1:12">
      <c r="A3730" s="20" t="s">
        <v>1278</v>
      </c>
      <c r="E3730" s="21">
        <f>IF(D3730="?OLD","!!!","")</f>
        <v/>
      </c>
      <c r="F3730" s="22" t="str">
        <f>IF(OR(E3730="",E3730="!!!"),"",IF(NOT(ISNA(VLOOKUP(E3730,E$1:E3729,1,FALSE()))),"OLD",IF(AND(E3730&lt;&gt;"",E3730&lt;&gt;"!!!"),"NEW","")))</f>
        <v> </v>
      </c>
      <c r="G3730" s="23" t="str">
        <f>IF(OR(E3730="",E3730="!!!"),"",IF(OR(J3730=0,AND(J3730=1,K3730=1),AND(J3730=1,I3730="SBJ"),AND(J3730=1,I3730=0)),"?IN_FOCUS",IF(J3730&lt;=2,"?ACTIVATED",IF(J3730&lt;&gt;"","?FAMILIAR",IF(F3730="NEW",IF(ISNA(VLOOKUP(E3730,#REF!,1,FALSE())),"?TYPE_IDENTIFIABLE","?REFERENTIAL"),"_")))))</f>
        <v> </v>
      </c>
      <c r="H3730" s="24" t="str">
        <f>IF(J3730&lt;&gt;1,"",IF(I3730="SBJ","CB","?"))</f>
        <v> </v>
      </c>
      <c r="I3730" s="25" t="str">
        <f>IF(OR(E3730="",E3730="!!!",F3730="NEW"),"",INDEX(B3729:B$2,-1+SUMPRODUCT(MAX(ROW(E3729:E$2)*(E3730=E3729:E$2)))))</f>
        <v> </v>
      </c>
      <c r="J3730" s="25" t="str">
        <f>IF(OR(E3730="",E3730="!!!",F3730="NEW"),"",COUNTBLANK(OFFSET(A$1,,,SUMPRODUCT(MAX(ROW(E$2:E3730)*(E3730=E$2:E3730)))))-COUNTBLANK(OFFSET(A$1,,,SUMPRODUCT(MAX(ROW(E$1:E3729)*(E2=E$1:E3729))))))</f>
        <v> </v>
      </c>
      <c r="K3730" s="25" t="str">
        <f>IF(OR(E3730="",E3730="!!!",F3730="NEW"),"",INDEX(J$1:J3729,SUMPRODUCT(MAX(ROW(E$1:E3729)*(E3730=E$1:E3729)))))</f>
        <v> </v>
      </c>
      <c r="L3730" s="26"/>
    </row>
    <row r="3731" spans="1:12">
      <c r="A3731" s="20" t="s">
        <v>1079</v>
      </c>
      <c r="B3731" s="27" t="s">
        <v>767</v>
      </c>
      <c r="C3731" s="27" t="s">
        <v>777</v>
      </c>
      <c r="D3731" s="27" t="s">
        <v>762</v>
      </c>
      <c r="E3731" s="21">
        <f>IF(D3731="?OLD","!!!","")</f>
        <v/>
      </c>
      <c r="F3731" s="22" t="str">
        <f>IF(OR(E3731="",E3731="!!!"),"",IF(NOT(ISNA(VLOOKUP(E3731,E$1:E3730,1,FALSE()))),"OLD",IF(AND(E3731&lt;&gt;"",E3731&lt;&gt;"!!!"),"NEW","")))</f>
        <v> </v>
      </c>
      <c r="G3731" s="23" t="str">
        <f>IF(OR(E3731="",E3731="!!!"),"",IF(OR(J3731=0,AND(J3731=1,K3731=1),AND(J3731=1,I3731="SBJ"),AND(J3731=1,I3731=0)),"?IN_FOCUS",IF(J3731&lt;=2,"?ACTIVATED",IF(J3731&lt;&gt;"","?FAMILIAR",IF(F3731="NEW",IF(ISNA(VLOOKUP(E3731,#REF!,1,FALSE())),"?TYPE_IDENTIFIABLE","?REFERENTIAL"),"_")))))</f>
        <v> </v>
      </c>
      <c r="H3731" s="24" t="str">
        <f>IF(J3731&lt;&gt;1,"",IF(I3731="SBJ","CB","?"))</f>
        <v> </v>
      </c>
      <c r="I3731" s="25" t="str">
        <f>IF(OR(E3731="",E3731="!!!",F3731="NEW"),"",INDEX(B3730:B$2,-1+SUMPRODUCT(MAX(ROW(E3730:E$2)*(E3731=E3730:E$2)))))</f>
        <v> </v>
      </c>
      <c r="J3731" s="25" t="str">
        <f>IF(OR(E3731="",E3731="!!!",F3731="NEW"),"",COUNTBLANK(OFFSET(A$1,,,SUMPRODUCT(MAX(ROW(E$2:E3731)*(E3731=E$2:E3731)))))-COUNTBLANK(OFFSET(A$1,,,SUMPRODUCT(MAX(ROW(E$1:E3730)*(E2=E$1:E3730))))))</f>
        <v> </v>
      </c>
      <c r="K3731" s="25" t="str">
        <f>IF(OR(E3731="",E3731="!!!",F3731="NEW"),"",INDEX(J$1:J3730,SUMPRODUCT(MAX(ROW(E$1:E3730)*(E3731=E$1:E3730)))))</f>
        <v> </v>
      </c>
      <c r="L3731" s="26"/>
    </row>
    <row r="3732" spans="1:12">
      <c r="A3732" s="20" t="s">
        <v>805</v>
      </c>
      <c r="E3732" s="21">
        <f>IF(D3732="?OLD","!!!","")</f>
        <v/>
      </c>
      <c r="F3732" s="22" t="str">
        <f>IF(OR(E3732="",E3732="!!!"),"",IF(NOT(ISNA(VLOOKUP(E3732,E$1:E3731,1,FALSE()))),"OLD",IF(AND(E3732&lt;&gt;"",E3732&lt;&gt;"!!!"),"NEW","")))</f>
        <v> </v>
      </c>
      <c r="G3732" s="23" t="str">
        <f>IF(OR(E3732="",E3732="!!!"),"",IF(OR(J3732=0,AND(J3732=1,K3732=1),AND(J3732=1,I3732="SBJ"),AND(J3732=1,I3732=0)),"?IN_FOCUS",IF(J3732&lt;=2,"?ACTIVATED",IF(J3732&lt;&gt;"","?FAMILIAR",IF(F3732="NEW",IF(ISNA(VLOOKUP(E3732,#REF!,1,FALSE())),"?TYPE_IDENTIFIABLE","?REFERENTIAL"),"_")))))</f>
        <v> </v>
      </c>
      <c r="H3732" s="24" t="str">
        <f>IF(J3732&lt;&gt;1,"",IF(I3732="SBJ","CB","?"))</f>
        <v> </v>
      </c>
      <c r="I3732" s="25" t="str">
        <f>IF(OR(E3732="",E3732="!!!",F3732="NEW"),"",INDEX(B3731:B$2,-1+SUMPRODUCT(MAX(ROW(E3731:E$2)*(E3732=E3731:E$2)))))</f>
        <v> </v>
      </c>
      <c r="J3732" s="25" t="str">
        <f>IF(OR(E3732="",E3732="!!!",F3732="NEW"),"",COUNTBLANK(OFFSET(A$1,,,SUMPRODUCT(MAX(ROW(E$2:E3732)*(E3732=E$2:E3732)))))-COUNTBLANK(OFFSET(A$1,,,SUMPRODUCT(MAX(ROW(E$1:E3731)*(E2=E$1:E3731))))))</f>
        <v> </v>
      </c>
      <c r="K3732" s="25" t="str">
        <f>IF(OR(E3732="",E3732="!!!",F3732="NEW"),"",INDEX(J$1:J3731,SUMPRODUCT(MAX(ROW(E$1:E3731)*(E3732=E$1:E3731)))))</f>
        <v> </v>
      </c>
      <c r="L3732" s="26"/>
    </row>
    <row r="3733" spans="1:12">
      <c r="A3733" s="20" t="s">
        <v>1195</v>
      </c>
      <c r="E3733" s="21">
        <f>IF(D3733="?OLD","!!!","")</f>
        <v/>
      </c>
      <c r="F3733" s="22" t="str">
        <f>IF(OR(E3733="",E3733="!!!"),"",IF(NOT(ISNA(VLOOKUP(E3733,E$1:E3732,1,FALSE()))),"OLD",IF(AND(E3733&lt;&gt;"",E3733&lt;&gt;"!!!"),"NEW","")))</f>
        <v> </v>
      </c>
      <c r="G3733" s="23" t="str">
        <f>IF(OR(E3733="",E3733="!!!"),"",IF(OR(J3733=0,AND(J3733=1,K3733=1),AND(J3733=1,I3733="SBJ"),AND(J3733=1,I3733=0)),"?IN_FOCUS",IF(J3733&lt;=2,"?ACTIVATED",IF(J3733&lt;&gt;"","?FAMILIAR",IF(F3733="NEW",IF(ISNA(VLOOKUP(E3733,#REF!,1,FALSE())),"?TYPE_IDENTIFIABLE","?REFERENTIAL"),"_")))))</f>
        <v> </v>
      </c>
      <c r="H3733" s="24" t="str">
        <f>IF(J3733&lt;&gt;1,"",IF(I3733="SBJ","CB","?"))</f>
        <v> </v>
      </c>
      <c r="I3733" s="25" t="str">
        <f>IF(OR(E3733="",E3733="!!!",F3733="NEW"),"",INDEX(B3732:B$2,-1+SUMPRODUCT(MAX(ROW(E3732:E$2)*(E3733=E3732:E$2)))))</f>
        <v> </v>
      </c>
      <c r="J3733" s="25" t="str">
        <f>IF(OR(E3733="",E3733="!!!",F3733="NEW"),"",COUNTBLANK(OFFSET(A$1,,,SUMPRODUCT(MAX(ROW(E$2:E3733)*(E3733=E$2:E3733)))))-COUNTBLANK(OFFSET(A$1,,,SUMPRODUCT(MAX(ROW(E$1:E3732)*(E2=E$1:E3732))))))</f>
        <v> </v>
      </c>
      <c r="K3733" s="25" t="str">
        <f>IF(OR(E3733="",E3733="!!!",F3733="NEW"),"",INDEX(J$1:J3732,SUMPRODUCT(MAX(ROW(E$1:E3732)*(E3733=E$1:E3732)))))</f>
        <v> </v>
      </c>
      <c r="L3733" s="26"/>
    </row>
    <row r="3734" spans="1:12">
      <c r="A3734" s="20" t="s">
        <v>886</v>
      </c>
      <c r="B3734" s="27" t="s">
        <v>772</v>
      </c>
      <c r="C3734" s="27" t="s">
        <v>797</v>
      </c>
      <c r="D3734" s="27" t="s">
        <v>762</v>
      </c>
      <c r="E3734" s="21">
        <f>IF(D3734="?OLD","!!!","")</f>
        <v/>
      </c>
      <c r="F3734" s="22" t="str">
        <f>IF(OR(E3734="",E3734="!!!"),"",IF(NOT(ISNA(VLOOKUP(E3734,E$1:E3733,1,FALSE()))),"OLD",IF(AND(E3734&lt;&gt;"",E3734&lt;&gt;"!!!"),"NEW","")))</f>
        <v> </v>
      </c>
      <c r="G3734" s="23" t="str">
        <f>IF(OR(E3734="",E3734="!!!"),"",IF(OR(J3734=0,AND(J3734=1,K3734=1),AND(J3734=1,I3734="SBJ"),AND(J3734=1,I3734=0)),"?IN_FOCUS",IF(J3734&lt;=2,"?ACTIVATED",IF(J3734&lt;&gt;"","?FAMILIAR",IF(F3734="NEW",IF(ISNA(VLOOKUP(E3734,#REF!,1,FALSE())),"?TYPE_IDENTIFIABLE","?REFERENTIAL"),"_")))))</f>
        <v> </v>
      </c>
      <c r="H3734" s="24" t="str">
        <f>IF(J3734&lt;&gt;1,"",IF(I3734="SBJ","CB","?"))</f>
        <v> </v>
      </c>
      <c r="I3734" s="25" t="str">
        <f>IF(OR(E3734="",E3734="!!!",F3734="NEW"),"",INDEX(B3733:B$2,-1+SUMPRODUCT(MAX(ROW(E3733:E$2)*(E3734=E3733:E$2)))))</f>
        <v> </v>
      </c>
      <c r="J3734" s="25" t="str">
        <f>IF(OR(E3734="",E3734="!!!",F3734="NEW"),"",COUNTBLANK(OFFSET(A$1,,,SUMPRODUCT(MAX(ROW(E$2:E3734)*(E3734=E$2:E3734)))))-COUNTBLANK(OFFSET(A$1,,,SUMPRODUCT(MAX(ROW(E$1:E3733)*(E2=E$1:E3733))))))</f>
        <v> </v>
      </c>
      <c r="K3734" s="25" t="str">
        <f>IF(OR(E3734="",E3734="!!!",F3734="NEW"),"",INDEX(J$1:J3733,SUMPRODUCT(MAX(ROW(E$1:E3733)*(E3734=E$1:E3733)))))</f>
        <v> </v>
      </c>
      <c r="L3734" s="26"/>
    </row>
    <row r="3735" spans="1:12">
      <c r="A3735" s="20" t="s">
        <v>1020</v>
      </c>
      <c r="B3735" s="27" t="s">
        <v>956</v>
      </c>
      <c r="E3735" s="21">
        <f>IF(D3735="?OLD","!!!","")</f>
        <v/>
      </c>
      <c r="F3735" s="22" t="str">
        <f>IF(OR(E3735="",E3735="!!!"),"",IF(NOT(ISNA(VLOOKUP(E3735,E$1:E3734,1,FALSE()))),"OLD",IF(AND(E3735&lt;&gt;"",E3735&lt;&gt;"!!!"),"NEW","")))</f>
        <v> </v>
      </c>
      <c r="G3735" s="23" t="str">
        <f>IF(OR(E3735="",E3735="!!!"),"",IF(OR(J3735=0,AND(J3735=1,K3735=1),AND(J3735=1,I3735="SBJ"),AND(J3735=1,I3735=0)),"?IN_FOCUS",IF(J3735&lt;=2,"?ACTIVATED",IF(J3735&lt;&gt;"","?FAMILIAR",IF(F3735="NEW",IF(ISNA(VLOOKUP(E3735,#REF!,1,FALSE())),"?TYPE_IDENTIFIABLE","?REFERENTIAL"),"_")))))</f>
        <v> </v>
      </c>
      <c r="H3735" s="24" t="str">
        <f>IF(J3735&lt;&gt;1,"",IF(I3735="SBJ","CB","?"))</f>
        <v> </v>
      </c>
      <c r="I3735" s="25" t="str">
        <f>IF(OR(E3735="",E3735="!!!",F3735="NEW"),"",INDEX(B3734:B$2,-1+SUMPRODUCT(MAX(ROW(E3734:E$2)*(E3735=E3734:E$2)))))</f>
        <v> </v>
      </c>
      <c r="J3735" s="25" t="str">
        <f>IF(OR(E3735="",E3735="!!!",F3735="NEW"),"",COUNTBLANK(OFFSET(A$1,,,SUMPRODUCT(MAX(ROW(E$2:E3735)*(E3735=E$2:E3735)))))-COUNTBLANK(OFFSET(A$1,,,SUMPRODUCT(MAX(ROW(E$1:E3734)*(E2=E$1:E3734))))))</f>
        <v> </v>
      </c>
      <c r="K3735" s="25" t="str">
        <f>IF(OR(E3735="",E3735="!!!",F3735="NEW"),"",INDEX(J$1:J3734,SUMPRODUCT(MAX(ROW(E$1:E3734)*(E3735=E$1:E3734)))))</f>
        <v> </v>
      </c>
      <c r="L3735" s="26"/>
    </row>
    <row r="3736" spans="1:12">
      <c r="A3736" s="20" t="s">
        <v>1438</v>
      </c>
      <c r="E3736" s="21">
        <f>IF(D3736="?OLD","!!!","")</f>
        <v/>
      </c>
      <c r="F3736" s="22" t="str">
        <f>IF(OR(E3736="",E3736="!!!"),"",IF(NOT(ISNA(VLOOKUP(E3736,E$1:E3735,1,FALSE()))),"OLD",IF(AND(E3736&lt;&gt;"",E3736&lt;&gt;"!!!"),"NEW","")))</f>
        <v> </v>
      </c>
      <c r="G3736" s="23" t="str">
        <f>IF(OR(E3736="",E3736="!!!"),"",IF(OR(J3736=0,AND(J3736=1,K3736=1),AND(J3736=1,I3736="SBJ"),AND(J3736=1,I3736=0)),"?IN_FOCUS",IF(J3736&lt;=2,"?ACTIVATED",IF(J3736&lt;&gt;"","?FAMILIAR",IF(F3736="NEW",IF(ISNA(VLOOKUP(E3736,#REF!,1,FALSE())),"?TYPE_IDENTIFIABLE","?REFERENTIAL"),"_")))))</f>
        <v> </v>
      </c>
      <c r="H3736" s="24" t="str">
        <f>IF(J3736&lt;&gt;1,"",IF(I3736="SBJ","CB","?"))</f>
        <v> </v>
      </c>
      <c r="I3736" s="25" t="str">
        <f>IF(OR(E3736="",E3736="!!!",F3736="NEW"),"",INDEX(B3735:B$2,-1+SUMPRODUCT(MAX(ROW(E3735:E$2)*(E3736=E3735:E$2)))))</f>
        <v> </v>
      </c>
      <c r="J3736" s="25" t="str">
        <f>IF(OR(E3736="",E3736="!!!",F3736="NEW"),"",COUNTBLANK(OFFSET(A$1,,,SUMPRODUCT(MAX(ROW(E$2:E3736)*(E3736=E$2:E3736)))))-COUNTBLANK(OFFSET(A$1,,,SUMPRODUCT(MAX(ROW(E$1:E3735)*(E2=E$1:E3735))))))</f>
        <v> </v>
      </c>
      <c r="K3736" s="25" t="str">
        <f>IF(OR(E3736="",E3736="!!!",F3736="NEW"),"",INDEX(J$1:J3735,SUMPRODUCT(MAX(ROW(E$1:E3735)*(E3736=E$1:E3735)))))</f>
        <v> </v>
      </c>
      <c r="L3736" s="26"/>
    </row>
    <row r="3737" spans="1:12">
      <c r="A3737" s="20" t="s">
        <v>769</v>
      </c>
      <c r="E3737" s="21">
        <f>IF(D3737="?OLD","!!!","")</f>
        <v/>
      </c>
      <c r="F3737" s="22" t="str">
        <f>IF(OR(E3737="",E3737="!!!"),"",IF(NOT(ISNA(VLOOKUP(E3737,E$1:E3736,1,FALSE()))),"OLD",IF(AND(E3737&lt;&gt;"",E3737&lt;&gt;"!!!"),"NEW","")))</f>
        <v> </v>
      </c>
      <c r="G3737" s="23" t="str">
        <f>IF(OR(E3737="",E3737="!!!"),"",IF(OR(J3737=0,AND(J3737=1,K3737=1),AND(J3737=1,I3737="SBJ"),AND(J3737=1,I3737=0)),"?IN_FOCUS",IF(J3737&lt;=2,"?ACTIVATED",IF(J3737&lt;&gt;"","?FAMILIAR",IF(F3737="NEW",IF(ISNA(VLOOKUP(E3737,#REF!,1,FALSE())),"?TYPE_IDENTIFIABLE","?REFERENTIAL"),"_")))))</f>
        <v> </v>
      </c>
      <c r="H3737" s="24" t="str">
        <f>IF(J3737&lt;&gt;1,"",IF(I3737="SBJ","CB","?"))</f>
        <v> </v>
      </c>
      <c r="I3737" s="25" t="str">
        <f>IF(OR(E3737="",E3737="!!!",F3737="NEW"),"",INDEX(B3736:B$2,-1+SUMPRODUCT(MAX(ROW(E3736:E$2)*(E3737=E3736:E$2)))))</f>
        <v> </v>
      </c>
      <c r="J3737" s="25" t="str">
        <f>IF(OR(E3737="",E3737="!!!",F3737="NEW"),"",COUNTBLANK(OFFSET(A$1,,,SUMPRODUCT(MAX(ROW(E$2:E3737)*(E3737=E$2:E3737)))))-COUNTBLANK(OFFSET(A$1,,,SUMPRODUCT(MAX(ROW(E$1:E3736)*(E2=E$1:E3736))))))</f>
        <v> </v>
      </c>
      <c r="K3737" s="25" t="str">
        <f>IF(OR(E3737="",E3737="!!!",F3737="NEW"),"",INDEX(J$1:J3736,SUMPRODUCT(MAX(ROW(E$1:E3736)*(E3737=E$1:E3736)))))</f>
        <v> </v>
      </c>
      <c r="L3737" s="26"/>
    </row>
    <row r="3738" spans="1:12">
      <c r="A3738" s="20" t="s">
        <v>838</v>
      </c>
      <c r="E3738" s="21">
        <f>IF(D3738="?OLD","!!!","")</f>
        <v/>
      </c>
      <c r="F3738" s="22" t="str">
        <f>IF(OR(E3738="",E3738="!!!"),"",IF(NOT(ISNA(VLOOKUP(E3738,E$1:E3737,1,FALSE()))),"OLD",IF(AND(E3738&lt;&gt;"",E3738&lt;&gt;"!!!"),"NEW","")))</f>
        <v> </v>
      </c>
      <c r="G3738" s="23" t="str">
        <f>IF(OR(E3738="",E3738="!!!"),"",IF(OR(J3738=0,AND(J3738=1,K3738=1),AND(J3738=1,I3738="SBJ"),AND(J3738=1,I3738=0)),"?IN_FOCUS",IF(J3738&lt;=2,"?ACTIVATED",IF(J3738&lt;&gt;"","?FAMILIAR",IF(F3738="NEW",IF(ISNA(VLOOKUP(E3738,#REF!,1,FALSE())),"?TYPE_IDENTIFIABLE","?REFERENTIAL"),"_")))))</f>
        <v> </v>
      </c>
      <c r="H3738" s="24" t="str">
        <f>IF(J3738&lt;&gt;1,"",IF(I3738="SBJ","CB","?"))</f>
        <v> </v>
      </c>
      <c r="I3738" s="25" t="str">
        <f>IF(OR(E3738="",E3738="!!!",F3738="NEW"),"",INDEX(B3737:B$2,-1+SUMPRODUCT(MAX(ROW(E3737:E$2)*(E3738=E3737:E$2)))))</f>
        <v> </v>
      </c>
      <c r="J3738" s="25" t="str">
        <f>IF(OR(E3738="",E3738="!!!",F3738="NEW"),"",COUNTBLANK(OFFSET(A$1,,,SUMPRODUCT(MAX(ROW(E$2:E3738)*(E3738=E$2:E3738)))))-COUNTBLANK(OFFSET(A$1,,,SUMPRODUCT(MAX(ROW(E$1:E3737)*(E2=E$1:E3737))))))</f>
        <v> </v>
      </c>
      <c r="K3738" s="25" t="str">
        <f>IF(OR(E3738="",E3738="!!!",F3738="NEW"),"",INDEX(J$1:J3737,SUMPRODUCT(MAX(ROW(E$1:E3737)*(E3738=E$1:E3737)))))</f>
        <v> </v>
      </c>
      <c r="L3738" s="26"/>
    </row>
    <row r="3739" spans="1:12">
      <c r="A3739" s="20" t="s">
        <v>943</v>
      </c>
      <c r="B3739" s="27" t="s">
        <v>879</v>
      </c>
      <c r="C3739" s="27" t="s">
        <v>761</v>
      </c>
      <c r="D3739" s="27" t="s">
        <v>762</v>
      </c>
      <c r="E3739" s="21">
        <f>IF(D3739="?OLD","!!!","")</f>
        <v/>
      </c>
      <c r="F3739" s="22" t="str">
        <f>IF(OR(E3739="",E3739="!!!"),"",IF(NOT(ISNA(VLOOKUP(E3739,E$1:E3738,1,FALSE()))),"OLD",IF(AND(E3739&lt;&gt;"",E3739&lt;&gt;"!!!"),"NEW","")))</f>
        <v> </v>
      </c>
      <c r="G3739" s="23" t="str">
        <f>IF(OR(E3739="",E3739="!!!"),"",IF(OR(J3739=0,AND(J3739=1,K3739=1),AND(J3739=1,I3739="SBJ"),AND(J3739=1,I3739=0)),"?IN_FOCUS",IF(J3739&lt;=2,"?ACTIVATED",IF(J3739&lt;&gt;"","?FAMILIAR",IF(F3739="NEW",IF(ISNA(VLOOKUP(E3739,#REF!,1,FALSE())),"?TYPE_IDENTIFIABLE","?REFERENTIAL"),"_")))))</f>
        <v> </v>
      </c>
      <c r="H3739" s="24" t="str">
        <f>IF(J3739&lt;&gt;1,"",IF(I3739="SBJ","CB","?"))</f>
        <v> </v>
      </c>
      <c r="I3739" s="25" t="str">
        <f>IF(OR(E3739="",E3739="!!!",F3739="NEW"),"",INDEX(B3738:B$2,-1+SUMPRODUCT(MAX(ROW(E3738:E$2)*(E3739=E3738:E$2)))))</f>
        <v> </v>
      </c>
      <c r="J3739" s="25" t="str">
        <f>IF(OR(E3739="",E3739="!!!",F3739="NEW"),"",COUNTBLANK(OFFSET(A$1,,,SUMPRODUCT(MAX(ROW(E$2:E3739)*(E3739=E$2:E3739)))))-COUNTBLANK(OFFSET(A$1,,,SUMPRODUCT(MAX(ROW(E$1:E3738)*(E2=E$1:E3738))))))</f>
        <v> </v>
      </c>
      <c r="K3739" s="25" t="str">
        <f>IF(OR(E3739="",E3739="!!!",F3739="NEW"),"",INDEX(J$1:J3738,SUMPRODUCT(MAX(ROW(E$1:E3738)*(E3739=E$1:E3738)))))</f>
        <v> </v>
      </c>
      <c r="L3739" s="26"/>
    </row>
    <row r="3740" spans="1:12">
      <c r="A3740" s="20" t="s">
        <v>1833</v>
      </c>
      <c r="E3740" s="21">
        <f>IF(D3740="?OLD","!!!","")</f>
        <v/>
      </c>
      <c r="F3740" s="22" t="str">
        <f>IF(OR(E3740="",E3740="!!!"),"",IF(NOT(ISNA(VLOOKUP(E3740,E$1:E3739,1,FALSE()))),"OLD",IF(AND(E3740&lt;&gt;"",E3740&lt;&gt;"!!!"),"NEW","")))</f>
        <v> </v>
      </c>
      <c r="G3740" s="23" t="str">
        <f>IF(OR(E3740="",E3740="!!!"),"",IF(OR(J3740=0,AND(J3740=1,K3740=1),AND(J3740=1,I3740="SBJ"),AND(J3740=1,I3740=0)),"?IN_FOCUS",IF(J3740&lt;=2,"?ACTIVATED",IF(J3740&lt;&gt;"","?FAMILIAR",IF(F3740="NEW",IF(ISNA(VLOOKUP(E3740,#REF!,1,FALSE())),"?TYPE_IDENTIFIABLE","?REFERENTIAL"),"_")))))</f>
        <v> </v>
      </c>
      <c r="H3740" s="24" t="str">
        <f>IF(J3740&lt;&gt;1,"",IF(I3740="SBJ","CB","?"))</f>
        <v> </v>
      </c>
      <c r="I3740" s="25" t="str">
        <f>IF(OR(E3740="",E3740="!!!",F3740="NEW"),"",INDEX(B3739:B$2,-1+SUMPRODUCT(MAX(ROW(E3739:E$2)*(E3740=E3739:E$2)))))</f>
        <v> </v>
      </c>
      <c r="J3740" s="25" t="str">
        <f>IF(OR(E3740="",E3740="!!!",F3740="NEW"),"",COUNTBLANK(OFFSET(A$1,,,SUMPRODUCT(MAX(ROW(E$2:E3740)*(E3740=E$2:E3740)))))-COUNTBLANK(OFFSET(A$1,,,SUMPRODUCT(MAX(ROW(E$1:E3739)*(E2=E$1:E3739))))))</f>
        <v> </v>
      </c>
      <c r="K3740" s="25" t="str">
        <f>IF(OR(E3740="",E3740="!!!",F3740="NEW"),"",INDEX(J$1:J3739,SUMPRODUCT(MAX(ROW(E$1:E3739)*(E3740=E$1:E3739)))))</f>
        <v> </v>
      </c>
      <c r="L3740" s="26"/>
    </row>
    <row r="3741" spans="1:12">
      <c r="A3741" s="20" t="s">
        <v>838</v>
      </c>
      <c r="E3741" s="21">
        <f>IF(D3741="?OLD","!!!","")</f>
        <v/>
      </c>
      <c r="F3741" s="22" t="str">
        <f>IF(OR(E3741="",E3741="!!!"),"",IF(NOT(ISNA(VLOOKUP(E3741,E$1:E3740,1,FALSE()))),"OLD",IF(AND(E3741&lt;&gt;"",E3741&lt;&gt;"!!!"),"NEW","")))</f>
        <v> </v>
      </c>
      <c r="G3741" s="23" t="str">
        <f>IF(OR(E3741="",E3741="!!!"),"",IF(OR(J3741=0,AND(J3741=1,K3741=1),AND(J3741=1,I3741="SBJ"),AND(J3741=1,I3741=0)),"?IN_FOCUS",IF(J3741&lt;=2,"?ACTIVATED",IF(J3741&lt;&gt;"","?FAMILIAR",IF(F3741="NEW",IF(ISNA(VLOOKUP(E3741,#REF!,1,FALSE())),"?TYPE_IDENTIFIABLE","?REFERENTIAL"),"_")))))</f>
        <v> </v>
      </c>
      <c r="H3741" s="24" t="str">
        <f>IF(J3741&lt;&gt;1,"",IF(I3741="SBJ","CB","?"))</f>
        <v> </v>
      </c>
      <c r="I3741" s="25" t="str">
        <f>IF(OR(E3741="",E3741="!!!",F3741="NEW"),"",INDEX(B3740:B$2,-1+SUMPRODUCT(MAX(ROW(E3740:E$2)*(E3741=E3740:E$2)))))</f>
        <v> </v>
      </c>
      <c r="J3741" s="25" t="str">
        <f>IF(OR(E3741="",E3741="!!!",F3741="NEW"),"",COUNTBLANK(OFFSET(A$1,,,SUMPRODUCT(MAX(ROW(E$2:E3741)*(E3741=E$2:E3741)))))-COUNTBLANK(OFFSET(A$1,,,SUMPRODUCT(MAX(ROW(E$1:E3740)*(E2=E$1:E3740))))))</f>
        <v> </v>
      </c>
      <c r="K3741" s="25" t="str">
        <f>IF(OR(E3741="",E3741="!!!",F3741="NEW"),"",INDEX(J$1:J3740,SUMPRODUCT(MAX(ROW(E$1:E3740)*(E3741=E$1:E3740)))))</f>
        <v> </v>
      </c>
      <c r="L3741" s="26"/>
    </row>
    <row r="3742" spans="1:12">
      <c r="A3742" s="20" t="s">
        <v>943</v>
      </c>
      <c r="B3742" s="27" t="s">
        <v>894</v>
      </c>
      <c r="C3742" s="27" t="s">
        <v>761</v>
      </c>
      <c r="D3742" s="27" t="s">
        <v>762</v>
      </c>
      <c r="E3742" s="21">
        <f>IF(D3742="?OLD","!!!","")</f>
        <v/>
      </c>
      <c r="F3742" s="22" t="str">
        <f>IF(OR(E3742="",E3742="!!!"),"",IF(NOT(ISNA(VLOOKUP(E3742,E$1:E3741,1,FALSE()))),"OLD",IF(AND(E3742&lt;&gt;"",E3742&lt;&gt;"!!!"),"NEW","")))</f>
        <v> </v>
      </c>
      <c r="G3742" s="23" t="str">
        <f>IF(OR(E3742="",E3742="!!!"),"",IF(OR(J3742=0,AND(J3742=1,K3742=1),AND(J3742=1,I3742="SBJ"),AND(J3742=1,I3742=0)),"?IN_FOCUS",IF(J3742&lt;=2,"?ACTIVATED",IF(J3742&lt;&gt;"","?FAMILIAR",IF(F3742="NEW",IF(ISNA(VLOOKUP(E3742,#REF!,1,FALSE())),"?TYPE_IDENTIFIABLE","?REFERENTIAL"),"_")))))</f>
        <v> </v>
      </c>
      <c r="H3742" s="24" t="str">
        <f>IF(J3742&lt;&gt;1,"",IF(I3742="SBJ","CB","?"))</f>
        <v> </v>
      </c>
      <c r="I3742" s="25" t="str">
        <f>IF(OR(E3742="",E3742="!!!",F3742="NEW"),"",INDEX(B3741:B$2,-1+SUMPRODUCT(MAX(ROW(E3741:E$2)*(E3742=E3741:E$2)))))</f>
        <v> </v>
      </c>
      <c r="J3742" s="25" t="str">
        <f>IF(OR(E3742="",E3742="!!!",F3742="NEW"),"",COUNTBLANK(OFFSET(A$1,,,SUMPRODUCT(MAX(ROW(E$2:E3742)*(E3742=E$2:E3742)))))-COUNTBLANK(OFFSET(A$1,,,SUMPRODUCT(MAX(ROW(E$1:E3741)*(E2=E$1:E3741))))))</f>
        <v> </v>
      </c>
      <c r="K3742" s="25" t="str">
        <f>IF(OR(E3742="",E3742="!!!",F3742="NEW"),"",INDEX(J$1:J3741,SUMPRODUCT(MAX(ROW(E$1:E3741)*(E3742=E$1:E3741)))))</f>
        <v> </v>
      </c>
      <c r="L3742" s="26"/>
    </row>
    <row r="3743" spans="1:12">
      <c r="A3743" s="20" t="s">
        <v>793</v>
      </c>
      <c r="E3743" s="21">
        <f>IF(D3743="?OLD","!!!","")</f>
        <v/>
      </c>
      <c r="F3743" s="22" t="str">
        <f>IF(OR(E3743="",E3743="!!!"),"",IF(NOT(ISNA(VLOOKUP(E3743,E$1:E3742,1,FALSE()))),"OLD",IF(AND(E3743&lt;&gt;"",E3743&lt;&gt;"!!!"),"NEW","")))</f>
        <v> </v>
      </c>
      <c r="G3743" s="23" t="str">
        <f>IF(OR(E3743="",E3743="!!!"),"",IF(OR(J3743=0,AND(J3743=1,K3743=1),AND(J3743=1,I3743="SBJ"),AND(J3743=1,I3743=0)),"?IN_FOCUS",IF(J3743&lt;=2,"?ACTIVATED",IF(J3743&lt;&gt;"","?FAMILIAR",IF(F3743="NEW",IF(ISNA(VLOOKUP(E3743,#REF!,1,FALSE())),"?TYPE_IDENTIFIABLE","?REFERENTIAL"),"_")))))</f>
        <v> </v>
      </c>
      <c r="H3743" s="24" t="str">
        <f>IF(J3743&lt;&gt;1,"",IF(I3743="SBJ","CB","?"))</f>
        <v> </v>
      </c>
      <c r="I3743" s="25" t="str">
        <f>IF(OR(E3743="",E3743="!!!",F3743="NEW"),"",INDEX(B3742:B$2,-1+SUMPRODUCT(MAX(ROW(E3742:E$2)*(E3743=E3742:E$2)))))</f>
        <v> </v>
      </c>
      <c r="J3743" s="25" t="str">
        <f>IF(OR(E3743="",E3743="!!!",F3743="NEW"),"",COUNTBLANK(OFFSET(A$1,,,SUMPRODUCT(MAX(ROW(E$2:E3743)*(E3743=E$2:E3743)))))-COUNTBLANK(OFFSET(A$1,,,SUMPRODUCT(MAX(ROW(E$1:E3742)*(E2=E$1:E3742))))))</f>
        <v> </v>
      </c>
      <c r="K3743" s="25" t="str">
        <f>IF(OR(E3743="",E3743="!!!",F3743="NEW"),"",INDEX(J$1:J3742,SUMPRODUCT(MAX(ROW(E$1:E3742)*(E3743=E$1:E3742)))))</f>
        <v> </v>
      </c>
      <c r="L3743" s="26"/>
    </row>
    <row r="3744" spans="1:12">
      <c r="A3744" s="20" t="s">
        <v>886</v>
      </c>
      <c r="B3744" s="27" t="s">
        <v>1272</v>
      </c>
      <c r="C3744" s="27" t="s">
        <v>797</v>
      </c>
      <c r="D3744" s="27" t="s">
        <v>762</v>
      </c>
      <c r="E3744" s="21">
        <f>IF(D3744="?OLD","!!!","")</f>
        <v/>
      </c>
      <c r="F3744" s="22" t="str">
        <f>IF(OR(E3744="",E3744="!!!"),"",IF(NOT(ISNA(VLOOKUP(E3744,E$1:E3743,1,FALSE()))),"OLD",IF(AND(E3744&lt;&gt;"",E3744&lt;&gt;"!!!"),"NEW","")))</f>
        <v> </v>
      </c>
      <c r="G3744" s="23" t="str">
        <f>IF(OR(E3744="",E3744="!!!"),"",IF(OR(J3744=0,AND(J3744=1,K3744=1),AND(J3744=1,I3744="SBJ"),AND(J3744=1,I3744=0)),"?IN_FOCUS",IF(J3744&lt;=2,"?ACTIVATED",IF(J3744&lt;&gt;"","?FAMILIAR",IF(F3744="NEW",IF(ISNA(VLOOKUP(E3744,#REF!,1,FALSE())),"?TYPE_IDENTIFIABLE","?REFERENTIAL"),"_")))))</f>
        <v> </v>
      </c>
      <c r="H3744" s="24" t="str">
        <f>IF(J3744&lt;&gt;1,"",IF(I3744="SBJ","CB","?"))</f>
        <v> </v>
      </c>
      <c r="I3744" s="25" t="str">
        <f>IF(OR(E3744="",E3744="!!!",F3744="NEW"),"",INDEX(B3743:B$2,-1+SUMPRODUCT(MAX(ROW(E3743:E$2)*(E3744=E3743:E$2)))))</f>
        <v> </v>
      </c>
      <c r="J3744" s="25" t="str">
        <f>IF(OR(E3744="",E3744="!!!",F3744="NEW"),"",COUNTBLANK(OFFSET(A$1,,,SUMPRODUCT(MAX(ROW(E$2:E3744)*(E3744=E$2:E3744)))))-COUNTBLANK(OFFSET(A$1,,,SUMPRODUCT(MAX(ROW(E$1:E3743)*(E2=E$1:E3743))))))</f>
        <v> </v>
      </c>
      <c r="K3744" s="25" t="str">
        <f>IF(OR(E3744="",E3744="!!!",F3744="NEW"),"",INDEX(J$1:J3743,SUMPRODUCT(MAX(ROW(E$1:E3743)*(E3744=E$1:E3743)))))</f>
        <v> </v>
      </c>
      <c r="L3744" s="26"/>
    </row>
    <row r="3745" spans="1:12">
      <c r="A3745" s="20" t="s">
        <v>1438</v>
      </c>
      <c r="E3745" s="21">
        <f>IF(D3745="?OLD","!!!","")</f>
        <v/>
      </c>
      <c r="F3745" s="22" t="str">
        <f>IF(OR(E3745="",E3745="!!!"),"",IF(NOT(ISNA(VLOOKUP(E3745,E$1:E3744,1,FALSE()))),"OLD",IF(AND(E3745&lt;&gt;"",E3745&lt;&gt;"!!!"),"NEW","")))</f>
        <v> </v>
      </c>
      <c r="G3745" s="23" t="str">
        <f>IF(OR(E3745="",E3745="!!!"),"",IF(OR(J3745=0,AND(J3745=1,K3745=1),AND(J3745=1,I3745="SBJ"),AND(J3745=1,I3745=0)),"?IN_FOCUS",IF(J3745&lt;=2,"?ACTIVATED",IF(J3745&lt;&gt;"","?FAMILIAR",IF(F3745="NEW",IF(ISNA(VLOOKUP(E3745,#REF!,1,FALSE())),"?TYPE_IDENTIFIABLE","?REFERENTIAL"),"_")))))</f>
        <v> </v>
      </c>
      <c r="H3745" s="24" t="str">
        <f>IF(J3745&lt;&gt;1,"",IF(I3745="SBJ","CB","?"))</f>
        <v> </v>
      </c>
      <c r="I3745" s="25" t="str">
        <f>IF(OR(E3745="",E3745="!!!",F3745="NEW"),"",INDEX(B3744:B$2,-1+SUMPRODUCT(MAX(ROW(E3744:E$2)*(E3745=E3744:E$2)))))</f>
        <v> </v>
      </c>
      <c r="J3745" s="25" t="str">
        <f>IF(OR(E3745="",E3745="!!!",F3745="NEW"),"",COUNTBLANK(OFFSET(A$1,,,SUMPRODUCT(MAX(ROW(E$2:E3745)*(E3745=E$2:E3745)))))-COUNTBLANK(OFFSET(A$1,,,SUMPRODUCT(MAX(ROW(E$1:E3744)*(E2=E$1:E3744))))))</f>
        <v> </v>
      </c>
      <c r="K3745" s="25" t="str">
        <f>IF(OR(E3745="",E3745="!!!",F3745="NEW"),"",INDEX(J$1:J3744,SUMPRODUCT(MAX(ROW(E$1:E3744)*(E3745=E$1:E3744)))))</f>
        <v> </v>
      </c>
      <c r="L3745" s="26"/>
    </row>
    <row r="3746" spans="1:12">
      <c r="A3746" s="20" t="s">
        <v>757</v>
      </c>
      <c r="E3746" s="21">
        <f>IF(D3746="?OLD","!!!","")</f>
        <v/>
      </c>
      <c r="F3746" s="22" t="str">
        <f>IF(OR(E3746="",E3746="!!!"),"",IF(NOT(ISNA(VLOOKUP(E3746,E$1:E3745,1,FALSE()))),"OLD",IF(AND(E3746&lt;&gt;"",E3746&lt;&gt;"!!!"),"NEW","")))</f>
        <v> </v>
      </c>
      <c r="G3746" s="23" t="str">
        <f>IF(OR(E3746="",E3746="!!!"),"",IF(OR(J3746=0,AND(J3746=1,K3746=1),AND(J3746=1,I3746="SBJ"),AND(J3746=1,I3746=0)),"?IN_FOCUS",IF(J3746&lt;=2,"?ACTIVATED",IF(J3746&lt;&gt;"","?FAMILIAR",IF(F3746="NEW",IF(ISNA(VLOOKUP(E3746,#REF!,1,FALSE())),"?TYPE_IDENTIFIABLE","?REFERENTIAL"),"_")))))</f>
        <v> </v>
      </c>
      <c r="H3746" s="24" t="str">
        <f>IF(J3746&lt;&gt;1,"",IF(I3746="SBJ","CB","?"))</f>
        <v> </v>
      </c>
      <c r="I3746" s="25" t="str">
        <f>IF(OR(E3746="",E3746="!!!",F3746="NEW"),"",INDEX(B3745:B$2,-1+SUMPRODUCT(MAX(ROW(E3745:E$2)*(E3746=E3745:E$2)))))</f>
        <v> </v>
      </c>
      <c r="J3746" s="25" t="str">
        <f>IF(OR(E3746="",E3746="!!!",F3746="NEW"),"",COUNTBLANK(OFFSET(A$1,,,SUMPRODUCT(MAX(ROW(E$2:E3746)*(E3746=E$2:E3746)))))-COUNTBLANK(OFFSET(A$1,,,SUMPRODUCT(MAX(ROW(E$1:E3745)*(E2=E$1:E3745))))))</f>
        <v> </v>
      </c>
      <c r="K3746" s="25" t="str">
        <f>IF(OR(E3746="",E3746="!!!",F3746="NEW"),"",INDEX(J$1:J3745,SUMPRODUCT(MAX(ROW(E$1:E3745)*(E3746=E$1:E3745)))))</f>
        <v> </v>
      </c>
      <c r="L3746" s="26"/>
    </row>
    <row r="3747" spans="1:12">
      <c r="A3747" s="20" t="s">
        <v>875</v>
      </c>
      <c r="E3747" s="21">
        <f>IF(D3747="?OLD","!!!","")</f>
        <v/>
      </c>
      <c r="F3747" s="22" t="str">
        <f>IF(OR(E3747="",E3747="!!!"),"",IF(NOT(ISNA(VLOOKUP(E3747,E$1:E3746,1,FALSE()))),"OLD",IF(AND(E3747&lt;&gt;"",E3747&lt;&gt;"!!!"),"NEW","")))</f>
        <v> </v>
      </c>
      <c r="G3747" s="23" t="str">
        <f>IF(OR(E3747="",E3747="!!!"),"",IF(OR(J3747=0,AND(J3747=1,K3747=1),AND(J3747=1,I3747="SBJ"),AND(J3747=1,I3747=0)),"?IN_FOCUS",IF(J3747&lt;=2,"?ACTIVATED",IF(J3747&lt;&gt;"","?FAMILIAR",IF(F3747="NEW",IF(ISNA(VLOOKUP(E3747,#REF!,1,FALSE())),"?TYPE_IDENTIFIABLE","?REFERENTIAL"),"_")))))</f>
        <v> </v>
      </c>
      <c r="H3747" s="24" t="str">
        <f>IF(J3747&lt;&gt;1,"",IF(I3747="SBJ","CB","?"))</f>
        <v> </v>
      </c>
      <c r="I3747" s="25" t="str">
        <f>IF(OR(E3747="",E3747="!!!",F3747="NEW"),"",INDEX(B3746:B$2,-1+SUMPRODUCT(MAX(ROW(E3746:E$2)*(E3747=E3746:E$2)))))</f>
        <v> </v>
      </c>
      <c r="J3747" s="25" t="str">
        <f>IF(OR(E3747="",E3747="!!!",F3747="NEW"),"",COUNTBLANK(OFFSET(A$1,,,SUMPRODUCT(MAX(ROW(E$2:E3747)*(E3747=E$2:E3747)))))-COUNTBLANK(OFFSET(A$1,,,SUMPRODUCT(MAX(ROW(E$1:E3746)*(E2=E$1:E3746))))))</f>
        <v> </v>
      </c>
      <c r="K3747" s="25" t="str">
        <f>IF(OR(E3747="",E3747="!!!",F3747="NEW"),"",INDEX(J$1:J3746,SUMPRODUCT(MAX(ROW(E$1:E3746)*(E3747=E$1:E3746)))))</f>
        <v> </v>
      </c>
      <c r="L3747" s="26"/>
    </row>
    <row r="3748" spans="1:12">
      <c r="A3748" s="20" t="s">
        <v>1270</v>
      </c>
      <c r="B3748" s="27" t="s">
        <v>1062</v>
      </c>
      <c r="C3748" s="27" t="s">
        <v>851</v>
      </c>
      <c r="D3748" s="27" t="s">
        <v>762</v>
      </c>
      <c r="E3748" s="21">
        <f>IF(D3748="?OLD","!!!","")</f>
        <v/>
      </c>
      <c r="F3748" s="22" t="str">
        <f>IF(OR(E3748="",E3748="!!!"),"",IF(NOT(ISNA(VLOOKUP(E3748,E$1:E3747,1,FALSE()))),"OLD",IF(AND(E3748&lt;&gt;"",E3748&lt;&gt;"!!!"),"NEW","")))</f>
        <v> </v>
      </c>
      <c r="G3748" s="23" t="str">
        <f>IF(OR(E3748="",E3748="!!!"),"",IF(OR(J3748=0,AND(J3748=1,K3748=1),AND(J3748=1,I3748="SBJ"),AND(J3748=1,I3748=0)),"?IN_FOCUS",IF(J3748&lt;=2,"?ACTIVATED",IF(J3748&lt;&gt;"","?FAMILIAR",IF(F3748="NEW",IF(ISNA(VLOOKUP(E3748,#REF!,1,FALSE())),"?TYPE_IDENTIFIABLE","?REFERENTIAL"),"_")))))</f>
        <v> </v>
      </c>
      <c r="H3748" s="24" t="str">
        <f>IF(J3748&lt;&gt;1,"",IF(I3748="SBJ","CB","?"))</f>
        <v> </v>
      </c>
      <c r="I3748" s="25" t="str">
        <f>IF(OR(E3748="",E3748="!!!",F3748="NEW"),"",INDEX(B3747:B$2,-1+SUMPRODUCT(MAX(ROW(E3747:E$2)*(E3748=E3747:E$2)))))</f>
        <v> </v>
      </c>
      <c r="J3748" s="25" t="str">
        <f>IF(OR(E3748="",E3748="!!!",F3748="NEW"),"",COUNTBLANK(OFFSET(A$1,,,SUMPRODUCT(MAX(ROW(E$2:E3748)*(E3748=E$2:E3748)))))-COUNTBLANK(OFFSET(A$1,,,SUMPRODUCT(MAX(ROW(E$1:E3747)*(E2=E$1:E3747))))))</f>
        <v> </v>
      </c>
      <c r="K3748" s="25" t="str">
        <f>IF(OR(E3748="",E3748="!!!",F3748="NEW"),"",INDEX(J$1:J3747,SUMPRODUCT(MAX(ROW(E$1:E3747)*(E3748=E$1:E3747)))))</f>
        <v> </v>
      </c>
      <c r="L3748" s="26"/>
    </row>
    <row r="3749" spans="1:12">
      <c r="A3749" s="20" t="s">
        <v>1834</v>
      </c>
      <c r="B3749" s="27" t="s">
        <v>815</v>
      </c>
      <c r="C3749" s="27" t="s">
        <v>837</v>
      </c>
      <c r="D3749" s="27" t="s">
        <v>762</v>
      </c>
      <c r="E3749" s="21">
        <f>IF(D3749="?OLD","!!!","")</f>
        <v/>
      </c>
      <c r="F3749" s="22" t="str">
        <f>IF(OR(E3749="",E3749="!!!"),"",IF(NOT(ISNA(VLOOKUP(E3749,E$1:E3748,1,FALSE()))),"OLD",IF(AND(E3749&lt;&gt;"",E3749&lt;&gt;"!!!"),"NEW","")))</f>
        <v> </v>
      </c>
      <c r="G3749" s="23" t="str">
        <f>IF(OR(E3749="",E3749="!!!"),"",IF(OR(J3749=0,AND(J3749=1,K3749=1),AND(J3749=1,I3749="SBJ"),AND(J3749=1,I3749=0)),"?IN_FOCUS",IF(J3749&lt;=2,"?ACTIVATED",IF(J3749&lt;&gt;"","?FAMILIAR",IF(F3749="NEW",IF(ISNA(VLOOKUP(E3749,#REF!,1,FALSE())),"?TYPE_IDENTIFIABLE","?REFERENTIAL"),"_")))))</f>
        <v> </v>
      </c>
      <c r="H3749" s="24" t="str">
        <f>IF(J3749&lt;&gt;1,"",IF(I3749="SBJ","CB","?"))</f>
        <v> </v>
      </c>
      <c r="I3749" s="25" t="str">
        <f>IF(OR(E3749="",E3749="!!!",F3749="NEW"),"",INDEX(B3748:B$2,-1+SUMPRODUCT(MAX(ROW(E3748:E$2)*(E3749=E3748:E$2)))))</f>
        <v> </v>
      </c>
      <c r="J3749" s="25" t="str">
        <f>IF(OR(E3749="",E3749="!!!",F3749="NEW"),"",COUNTBLANK(OFFSET(A$1,,,SUMPRODUCT(MAX(ROW(E$2:E3749)*(E3749=E$2:E3749)))))-COUNTBLANK(OFFSET(A$1,,,SUMPRODUCT(MAX(ROW(E$1:E3748)*(E2=E$1:E3748))))))</f>
        <v> </v>
      </c>
      <c r="K3749" s="25" t="str">
        <f>IF(OR(E3749="",E3749="!!!",F3749="NEW"),"",INDEX(J$1:J3748,SUMPRODUCT(MAX(ROW(E$1:E3748)*(E3749=E$1:E3748)))))</f>
        <v> </v>
      </c>
      <c r="L3749" s="26"/>
    </row>
    <row r="3750" spans="1:12">
      <c r="A3750" s="20" t="s">
        <v>774</v>
      </c>
      <c r="E3750" s="21">
        <f>IF(D3750="?OLD","!!!","")</f>
        <v/>
      </c>
      <c r="F3750" s="22" t="str">
        <f>IF(OR(E3750="",E3750="!!!"),"",IF(NOT(ISNA(VLOOKUP(E3750,E$1:E3749,1,FALSE()))),"OLD",IF(AND(E3750&lt;&gt;"",E3750&lt;&gt;"!!!"),"NEW","")))</f>
        <v> </v>
      </c>
      <c r="G3750" s="23" t="str">
        <f>IF(OR(E3750="",E3750="!!!"),"",IF(OR(J3750=0,AND(J3750=1,K3750=1),AND(J3750=1,I3750="SBJ"),AND(J3750=1,I3750=0)),"?IN_FOCUS",IF(J3750&lt;=2,"?ACTIVATED",IF(J3750&lt;&gt;"","?FAMILIAR",IF(F3750="NEW",IF(ISNA(VLOOKUP(E3750,#REF!,1,FALSE())),"?TYPE_IDENTIFIABLE","?REFERENTIAL"),"_")))))</f>
        <v> </v>
      </c>
      <c r="H3750" s="24" t="str">
        <f>IF(J3750&lt;&gt;1,"",IF(I3750="SBJ","CB","?"))</f>
        <v> </v>
      </c>
      <c r="I3750" s="25" t="str">
        <f>IF(OR(E3750="",E3750="!!!",F3750="NEW"),"",INDEX(B3749:B$2,-1+SUMPRODUCT(MAX(ROW(E3749:E$2)*(E3750=E3749:E$2)))))</f>
        <v> </v>
      </c>
      <c r="J3750" s="25" t="str">
        <f>IF(OR(E3750="",E3750="!!!",F3750="NEW"),"",COUNTBLANK(OFFSET(A$1,,,SUMPRODUCT(MAX(ROW(E$2:E3750)*(E3750=E$2:E3750)))))-COUNTBLANK(OFFSET(A$1,,,SUMPRODUCT(MAX(ROW(E$1:E3749)*(E2=E$1:E3749))))))</f>
        <v> </v>
      </c>
      <c r="K3750" s="25" t="str">
        <f>IF(OR(E3750="",E3750="!!!",F3750="NEW"),"",INDEX(J$1:J3749,SUMPRODUCT(MAX(ROW(E$1:E3749)*(E3750=E$1:E3749)))))</f>
        <v> </v>
      </c>
      <c r="L3750" s="26"/>
    </row>
    <row r="3751" spans="1:12">
      <c r="A3751" s="20"/>
    </row>
    <row r="3752" spans="1:12">
      <c r="A3752" s="20" t="s">
        <v>1835</v>
      </c>
    </row>
    <row r="3753" spans="1:12">
      <c r="A3753" s="20" t="s">
        <v>1776</v>
      </c>
      <c r="E3753" s="21">
        <f>IF(D3753="?OLD","!!!","")</f>
        <v/>
      </c>
      <c r="F3753" s="22" t="str">
        <f>IF(OR(E3753="",E3753="!!!"),"",IF(NOT(ISNA(VLOOKUP(E3753,E$1:E3752,1,FALSE()))),"OLD",IF(AND(E3753&lt;&gt;"",E3753&lt;&gt;"!!!"),"NEW","")))</f>
        <v> </v>
      </c>
      <c r="G3753" s="23" t="str">
        <f>IF(OR(E3753="",E3753="!!!"),"",IF(OR(J3753=0,AND(J3753=1,K3753=1),AND(J3753=1,I3753="SBJ"),AND(J3753=1,I3753=0)),"?IN_FOCUS",IF(J3753&lt;=2,"?ACTIVATED",IF(J3753&lt;&gt;"","?FAMILIAR",IF(F3753="NEW",IF(ISNA(VLOOKUP(E3753,#REF!,1,FALSE())),"?TYPE_IDENTIFIABLE","?REFERENTIAL"),"_")))))</f>
        <v> </v>
      </c>
      <c r="H3753" s="24" t="str">
        <f>IF(J3753&lt;&gt;1,"",IF(I3753="SBJ","CB","?"))</f>
        <v> </v>
      </c>
      <c r="I3753" s="25" t="str">
        <f>IF(OR(E3753="",E3753="!!!",F3753="NEW"),"",INDEX(B3752:B$2,-1+SUMPRODUCT(MAX(ROW(E3752:E$2)*(E3753=E3752:E$2)))))</f>
        <v> </v>
      </c>
      <c r="J3753" s="25" t="str">
        <f>IF(OR(E3753="",E3753="!!!",F3753="NEW"),"",COUNTBLANK(OFFSET(A$1,,,SUMPRODUCT(MAX(ROW(E$2:E3753)*(E3753=E$2:E3753)))))-COUNTBLANK(OFFSET(A$1,,,SUMPRODUCT(MAX(ROW(E$1:E3752)*(E2=E$1:E3752))))))</f>
        <v> </v>
      </c>
      <c r="K3753" s="25" t="str">
        <f>IF(OR(E3753="",E3753="!!!",F3753="NEW"),"",INDEX(J$1:J3752,SUMPRODUCT(MAX(ROW(E$1:E3752)*(E3753=E$1:E3752)))))</f>
        <v> </v>
      </c>
      <c r="L3753" s="26"/>
    </row>
    <row r="3754" spans="1:12">
      <c r="A3754" s="20" t="s">
        <v>779</v>
      </c>
      <c r="E3754" s="21">
        <f>IF(D3754="?OLD","!!!","")</f>
        <v/>
      </c>
      <c r="F3754" s="22" t="str">
        <f>IF(OR(E3754="",E3754="!!!"),"",IF(NOT(ISNA(VLOOKUP(E3754,E$1:E3753,1,FALSE()))),"OLD",IF(AND(E3754&lt;&gt;"",E3754&lt;&gt;"!!!"),"NEW","")))</f>
        <v> </v>
      </c>
      <c r="G3754" s="23" t="str">
        <f>IF(OR(E3754="",E3754="!!!"),"",IF(OR(J3754=0,AND(J3754=1,K3754=1),AND(J3754=1,I3754="SBJ"),AND(J3754=1,I3754=0)),"?IN_FOCUS",IF(J3754&lt;=2,"?ACTIVATED",IF(J3754&lt;&gt;"","?FAMILIAR",IF(F3754="NEW",IF(ISNA(VLOOKUP(E3754,#REF!,1,FALSE())),"?TYPE_IDENTIFIABLE","?REFERENTIAL"),"_")))))</f>
        <v> </v>
      </c>
      <c r="H3754" s="24" t="str">
        <f>IF(J3754&lt;&gt;1,"",IF(I3754="SBJ","CB","?"))</f>
        <v> </v>
      </c>
      <c r="I3754" s="25" t="str">
        <f>IF(OR(E3754="",E3754="!!!",F3754="NEW"),"",INDEX(B3753:B$2,-1+SUMPRODUCT(MAX(ROW(E3753:E$2)*(E3754=E3753:E$2)))))</f>
        <v> </v>
      </c>
      <c r="J3754" s="25" t="str">
        <f>IF(OR(E3754="",E3754="!!!",F3754="NEW"),"",COUNTBLANK(OFFSET(A$1,,,SUMPRODUCT(MAX(ROW(E$2:E3754)*(E3754=E$2:E3754)))))-COUNTBLANK(OFFSET(A$1,,,SUMPRODUCT(MAX(ROW(E$1:E3753)*(E2=E$1:E3753))))))</f>
        <v> </v>
      </c>
      <c r="K3754" s="25" t="str">
        <f>IF(OR(E3754="",E3754="!!!",F3754="NEW"),"",INDEX(J$1:J3753,SUMPRODUCT(MAX(ROW(E$1:E3753)*(E3754=E$1:E3753)))))</f>
        <v> </v>
      </c>
      <c r="L3754" s="26"/>
    </row>
    <row r="3755" spans="1:12">
      <c r="A3755" s="20" t="s">
        <v>1836</v>
      </c>
      <c r="B3755" s="27" t="s">
        <v>796</v>
      </c>
      <c r="C3755" s="27" t="s">
        <v>768</v>
      </c>
      <c r="E3755" s="21">
        <f>IF(D3755="?OLD","!!!","")</f>
        <v/>
      </c>
      <c r="F3755" s="22" t="str">
        <f>IF(OR(E3755="",E3755="!!!"),"",IF(NOT(ISNA(VLOOKUP(E3755,E$1:E3754,1,FALSE()))),"OLD",IF(AND(E3755&lt;&gt;"",E3755&lt;&gt;"!!!"),"NEW","")))</f>
        <v> </v>
      </c>
      <c r="G3755" s="23" t="str">
        <f>IF(OR(E3755="",E3755="!!!"),"",IF(OR(J3755=0,AND(J3755=1,K3755=1),AND(J3755=1,I3755="SBJ"),AND(J3755=1,I3755=0)),"?IN_FOCUS",IF(J3755&lt;=2,"?ACTIVATED",IF(J3755&lt;&gt;"","?FAMILIAR",IF(F3755="NEW",IF(ISNA(VLOOKUP(E3755,#REF!,1,FALSE())),"?TYPE_IDENTIFIABLE","?REFERENTIAL"),"_")))))</f>
        <v> </v>
      </c>
      <c r="H3755" s="24" t="str">
        <f>IF(J3755&lt;&gt;1,"",IF(I3755="SBJ","CB","?"))</f>
        <v> </v>
      </c>
      <c r="I3755" s="25" t="str">
        <f>IF(OR(E3755="",E3755="!!!",F3755="NEW"),"",INDEX(B3754:B$2,-1+SUMPRODUCT(MAX(ROW(E3754:E$2)*(E3755=E3754:E$2)))))</f>
        <v> </v>
      </c>
      <c r="J3755" s="25" t="str">
        <f>IF(OR(E3755="",E3755="!!!",F3755="NEW"),"",COUNTBLANK(OFFSET(A$1,,,SUMPRODUCT(MAX(ROW(E$2:E3755)*(E3755=E$2:E3755)))))-COUNTBLANK(OFFSET(A$1,,,SUMPRODUCT(MAX(ROW(E$1:E3754)*(E2=E$1:E3754))))))</f>
        <v> </v>
      </c>
      <c r="K3755" s="25" t="str">
        <f>IF(OR(E3755="",E3755="!!!",F3755="NEW"),"",INDEX(J$1:J3754,SUMPRODUCT(MAX(ROW(E$1:E3754)*(E3755=E$1:E3754)))))</f>
        <v> </v>
      </c>
      <c r="L3755" s="26"/>
    </row>
    <row r="3756" spans="1:12">
      <c r="A3756" s="20" t="s">
        <v>1837</v>
      </c>
      <c r="E3756" s="21">
        <f>IF(D3756="?OLD","!!!","")</f>
        <v/>
      </c>
      <c r="F3756" s="22" t="str">
        <f>IF(OR(E3756="",E3756="!!!"),"",IF(NOT(ISNA(VLOOKUP(E3756,E$1:E3755,1,FALSE()))),"OLD",IF(AND(E3756&lt;&gt;"",E3756&lt;&gt;"!!!"),"NEW","")))</f>
        <v> </v>
      </c>
      <c r="G3756" s="23" t="str">
        <f>IF(OR(E3756="",E3756="!!!"),"",IF(OR(J3756=0,AND(J3756=1,K3756=1),AND(J3756=1,I3756="SBJ"),AND(J3756=1,I3756=0)),"?IN_FOCUS",IF(J3756&lt;=2,"?ACTIVATED",IF(J3756&lt;&gt;"","?FAMILIAR",IF(F3756="NEW",IF(ISNA(VLOOKUP(E3756,#REF!,1,FALSE())),"?TYPE_IDENTIFIABLE","?REFERENTIAL"),"_")))))</f>
        <v> </v>
      </c>
      <c r="H3756" s="24" t="str">
        <f>IF(J3756&lt;&gt;1,"",IF(I3756="SBJ","CB","?"))</f>
        <v> </v>
      </c>
      <c r="I3756" s="25" t="str">
        <f>IF(OR(E3756="",E3756="!!!",F3756="NEW"),"",INDEX(B3755:B$2,-1+SUMPRODUCT(MAX(ROW(E3755:E$2)*(E3756=E3755:E$2)))))</f>
        <v> </v>
      </c>
      <c r="J3756" s="25" t="str">
        <f>IF(OR(E3756="",E3756="!!!",F3756="NEW"),"",COUNTBLANK(OFFSET(A$1,,,SUMPRODUCT(MAX(ROW(E$2:E3756)*(E3756=E$2:E3756)))))-COUNTBLANK(OFFSET(A$1,,,SUMPRODUCT(MAX(ROW(E$1:E3755)*(E2=E$1:E3755))))))</f>
        <v> </v>
      </c>
      <c r="K3756" s="25" t="str">
        <f>IF(OR(E3756="",E3756="!!!",F3756="NEW"),"",INDEX(J$1:J3755,SUMPRODUCT(MAX(ROW(E$1:E3755)*(E3756=E$1:E3755)))))</f>
        <v> </v>
      </c>
      <c r="L3756" s="26"/>
    </row>
    <row r="3757" spans="1:12">
      <c r="A3757" s="20" t="s">
        <v>1838</v>
      </c>
      <c r="E3757" s="21">
        <f>IF(D3757="?OLD","!!!","")</f>
        <v/>
      </c>
      <c r="F3757" s="22" t="str">
        <f>IF(OR(E3757="",E3757="!!!"),"",IF(NOT(ISNA(VLOOKUP(E3757,E$1:E3756,1,FALSE()))),"OLD",IF(AND(E3757&lt;&gt;"",E3757&lt;&gt;"!!!"),"NEW","")))</f>
        <v> </v>
      </c>
      <c r="G3757" s="23" t="str">
        <f>IF(OR(E3757="",E3757="!!!"),"",IF(OR(J3757=0,AND(J3757=1,K3757=1),AND(J3757=1,I3757="SBJ"),AND(J3757=1,I3757=0)),"?IN_FOCUS",IF(J3757&lt;=2,"?ACTIVATED",IF(J3757&lt;&gt;"","?FAMILIAR",IF(F3757="NEW",IF(ISNA(VLOOKUP(E3757,#REF!,1,FALSE())),"?TYPE_IDENTIFIABLE","?REFERENTIAL"),"_")))))</f>
        <v> </v>
      </c>
      <c r="H3757" s="24" t="str">
        <f>IF(J3757&lt;&gt;1,"",IF(I3757="SBJ","CB","?"))</f>
        <v> </v>
      </c>
      <c r="I3757" s="25" t="str">
        <f>IF(OR(E3757="",E3757="!!!",F3757="NEW"),"",INDEX(B3756:B$2,-1+SUMPRODUCT(MAX(ROW(E3756:E$2)*(E3757=E3756:E$2)))))</f>
        <v> </v>
      </c>
      <c r="J3757" s="25" t="str">
        <f>IF(OR(E3757="",E3757="!!!",F3757="NEW"),"",COUNTBLANK(OFFSET(A$1,,,SUMPRODUCT(MAX(ROW(E$2:E3757)*(E3757=E$2:E3757)))))-COUNTBLANK(OFFSET(A$1,,,SUMPRODUCT(MAX(ROW(E$1:E3756)*(E2=E$1:E3756))))))</f>
        <v> </v>
      </c>
      <c r="K3757" s="25" t="str">
        <f>IF(OR(E3757="",E3757="!!!",F3757="NEW"),"",INDEX(J$1:J3756,SUMPRODUCT(MAX(ROW(E$1:E3756)*(E3757=E$1:E3756)))))</f>
        <v> </v>
      </c>
      <c r="L3757" s="26"/>
    </row>
    <row r="3758" spans="1:12">
      <c r="A3758" s="20" t="s">
        <v>1101</v>
      </c>
      <c r="E3758" s="21">
        <f>IF(D3758="?OLD","!!!","")</f>
        <v/>
      </c>
      <c r="F3758" s="22" t="str">
        <f>IF(OR(E3758="",E3758="!!!"),"",IF(NOT(ISNA(VLOOKUP(E3758,E$1:E3757,1,FALSE()))),"OLD",IF(AND(E3758&lt;&gt;"",E3758&lt;&gt;"!!!"),"NEW","")))</f>
        <v> </v>
      </c>
      <c r="G3758" s="23" t="str">
        <f>IF(OR(E3758="",E3758="!!!"),"",IF(OR(J3758=0,AND(J3758=1,K3758=1),AND(J3758=1,I3758="SBJ"),AND(J3758=1,I3758=0)),"?IN_FOCUS",IF(J3758&lt;=2,"?ACTIVATED",IF(J3758&lt;&gt;"","?FAMILIAR",IF(F3758="NEW",IF(ISNA(VLOOKUP(E3758,#REF!,1,FALSE())),"?TYPE_IDENTIFIABLE","?REFERENTIAL"),"_")))))</f>
        <v> </v>
      </c>
      <c r="H3758" s="24" t="str">
        <f>IF(J3758&lt;&gt;1,"",IF(I3758="SBJ","CB","?"))</f>
        <v> </v>
      </c>
      <c r="I3758" s="25" t="str">
        <f>IF(OR(E3758="",E3758="!!!",F3758="NEW"),"",INDEX(B3757:B$2,-1+SUMPRODUCT(MAX(ROW(E3757:E$2)*(E3758=E3757:E$2)))))</f>
        <v> </v>
      </c>
      <c r="J3758" s="25" t="str">
        <f>IF(OR(E3758="",E3758="!!!",F3758="NEW"),"",COUNTBLANK(OFFSET(A$1,,,SUMPRODUCT(MAX(ROW(E$2:E3758)*(E3758=E$2:E3758)))))-COUNTBLANK(OFFSET(A$1,,,SUMPRODUCT(MAX(ROW(E$1:E3757)*(E2=E$1:E3757))))))</f>
        <v> </v>
      </c>
      <c r="K3758" s="25" t="str">
        <f>IF(OR(E3758="",E3758="!!!",F3758="NEW"),"",INDEX(J$1:J3757,SUMPRODUCT(MAX(ROW(E$1:E3757)*(E3758=E$1:E3757)))))</f>
        <v> </v>
      </c>
      <c r="L3758" s="26"/>
    </row>
    <row r="3759" spans="1:12">
      <c r="A3759" s="20" t="s">
        <v>785</v>
      </c>
      <c r="E3759" s="21">
        <f>IF(D3759="?OLD","!!!","")</f>
        <v/>
      </c>
      <c r="F3759" s="22" t="str">
        <f>IF(OR(E3759="",E3759="!!!"),"",IF(NOT(ISNA(VLOOKUP(E3759,E$1:E3758,1,FALSE()))),"OLD",IF(AND(E3759&lt;&gt;"",E3759&lt;&gt;"!!!"),"NEW","")))</f>
        <v> </v>
      </c>
      <c r="G3759" s="23" t="str">
        <f>IF(OR(E3759="",E3759="!!!"),"",IF(OR(J3759=0,AND(J3759=1,K3759=1),AND(J3759=1,I3759="SBJ"),AND(J3759=1,I3759=0)),"?IN_FOCUS",IF(J3759&lt;=2,"?ACTIVATED",IF(J3759&lt;&gt;"","?FAMILIAR",IF(F3759="NEW",IF(ISNA(VLOOKUP(E3759,#REF!,1,FALSE())),"?TYPE_IDENTIFIABLE","?REFERENTIAL"),"_")))))</f>
        <v> </v>
      </c>
      <c r="H3759" s="24" t="str">
        <f>IF(J3759&lt;&gt;1,"",IF(I3759="SBJ","CB","?"))</f>
        <v> </v>
      </c>
      <c r="I3759" s="25" t="str">
        <f>IF(OR(E3759="",E3759="!!!",F3759="NEW"),"",INDEX(B3758:B$2,-1+SUMPRODUCT(MAX(ROW(E3758:E$2)*(E3759=E3758:E$2)))))</f>
        <v> </v>
      </c>
      <c r="J3759" s="25" t="str">
        <f>IF(OR(E3759="",E3759="!!!",F3759="NEW"),"",COUNTBLANK(OFFSET(A$1,,,SUMPRODUCT(MAX(ROW(E$2:E3759)*(E3759=E$2:E3759)))))-COUNTBLANK(OFFSET(A$1,,,SUMPRODUCT(MAX(ROW(E$1:E3758)*(E2=E$1:E3758))))))</f>
        <v> </v>
      </c>
      <c r="K3759" s="25" t="str">
        <f>IF(OR(E3759="",E3759="!!!",F3759="NEW"),"",INDEX(J$1:J3758,SUMPRODUCT(MAX(ROW(E$1:E3758)*(E3759=E$1:E3758)))))</f>
        <v> </v>
      </c>
      <c r="L3759" s="26"/>
    </row>
    <row r="3760" spans="1:12">
      <c r="A3760" s="20" t="s">
        <v>1246</v>
      </c>
      <c r="B3760" s="27" t="s">
        <v>901</v>
      </c>
      <c r="C3760" s="27" t="s">
        <v>754</v>
      </c>
      <c r="E3760" s="21">
        <f>IF(D3760="?OLD","!!!","")</f>
        <v/>
      </c>
      <c r="F3760" s="22" t="str">
        <f>IF(OR(E3760="",E3760="!!!"),"",IF(NOT(ISNA(VLOOKUP(E3760,E$1:E3759,1,FALSE()))),"OLD",IF(AND(E3760&lt;&gt;"",E3760&lt;&gt;"!!!"),"NEW","")))</f>
        <v> </v>
      </c>
      <c r="G3760" s="23" t="str">
        <f>IF(OR(E3760="",E3760="!!!"),"",IF(OR(J3760=0,AND(J3760=1,K3760=1),AND(J3760=1,I3760="SBJ"),AND(J3760=1,I3760=0)),"?IN_FOCUS",IF(J3760&lt;=2,"?ACTIVATED",IF(J3760&lt;&gt;"","?FAMILIAR",IF(F3760="NEW",IF(ISNA(VLOOKUP(E3760,#REF!,1,FALSE())),"?TYPE_IDENTIFIABLE","?REFERENTIAL"),"_")))))</f>
        <v> </v>
      </c>
      <c r="H3760" s="24" t="str">
        <f>IF(J3760&lt;&gt;1,"",IF(I3760="SBJ","CB","?"))</f>
        <v> </v>
      </c>
      <c r="I3760" s="25" t="str">
        <f>IF(OR(E3760="",E3760="!!!",F3760="NEW"),"",INDEX(B3759:B$2,-1+SUMPRODUCT(MAX(ROW(E3759:E$2)*(E3760=E3759:E$2)))))</f>
        <v> </v>
      </c>
      <c r="J3760" s="25" t="str">
        <f>IF(OR(E3760="",E3760="!!!",F3760="NEW"),"",COUNTBLANK(OFFSET(A$1,,,SUMPRODUCT(MAX(ROW(E$2:E3760)*(E3760=E$2:E3760)))))-COUNTBLANK(OFFSET(A$1,,,SUMPRODUCT(MAX(ROW(E$1:E3759)*(E2=E$1:E3759))))))</f>
        <v> </v>
      </c>
      <c r="K3760" s="25" t="str">
        <f>IF(OR(E3760="",E3760="!!!",F3760="NEW"),"",INDEX(J$1:J3759,SUMPRODUCT(MAX(ROW(E$1:E3759)*(E3760=E$1:E3759)))))</f>
        <v> </v>
      </c>
      <c r="L3760" s="26"/>
    </row>
    <row r="3761" spans="1:12">
      <c r="A3761" s="20" t="s">
        <v>822</v>
      </c>
      <c r="E3761" s="21">
        <f>IF(D3761="?OLD","!!!","")</f>
        <v/>
      </c>
      <c r="F3761" s="22" t="str">
        <f>IF(OR(E3761="",E3761="!!!"),"",IF(NOT(ISNA(VLOOKUP(E3761,E$1:E3760,1,FALSE()))),"OLD",IF(AND(E3761&lt;&gt;"",E3761&lt;&gt;"!!!"),"NEW","")))</f>
        <v> </v>
      </c>
      <c r="G3761" s="23" t="str">
        <f>IF(OR(E3761="",E3761="!!!"),"",IF(OR(J3761=0,AND(J3761=1,K3761=1),AND(J3761=1,I3761="SBJ"),AND(J3761=1,I3761=0)),"?IN_FOCUS",IF(J3761&lt;=2,"?ACTIVATED",IF(J3761&lt;&gt;"","?FAMILIAR",IF(F3761="NEW",IF(ISNA(VLOOKUP(E3761,#REF!,1,FALSE())),"?TYPE_IDENTIFIABLE","?REFERENTIAL"),"_")))))</f>
        <v> </v>
      </c>
      <c r="H3761" s="24" t="str">
        <f>IF(J3761&lt;&gt;1,"",IF(I3761="SBJ","CB","?"))</f>
        <v> </v>
      </c>
      <c r="I3761" s="25" t="str">
        <f>IF(OR(E3761="",E3761="!!!",F3761="NEW"),"",INDEX(B3760:B$2,-1+SUMPRODUCT(MAX(ROW(E3760:E$2)*(E3761=E3760:E$2)))))</f>
        <v> </v>
      </c>
      <c r="J3761" s="25" t="str">
        <f>IF(OR(E3761="",E3761="!!!",F3761="NEW"),"",COUNTBLANK(OFFSET(A$1,,,SUMPRODUCT(MAX(ROW(E$2:E3761)*(E3761=E$2:E3761)))))-COUNTBLANK(OFFSET(A$1,,,SUMPRODUCT(MAX(ROW(E$1:E3760)*(E2=E$1:E3760))))))</f>
        <v> </v>
      </c>
      <c r="K3761" s="25" t="str">
        <f>IF(OR(E3761="",E3761="!!!",F3761="NEW"),"",INDEX(J$1:J3760,SUMPRODUCT(MAX(ROW(E$1:E3760)*(E3761=E$1:E3760)))))</f>
        <v> </v>
      </c>
      <c r="L3761" s="26"/>
    </row>
    <row r="3762" spans="1:12">
      <c r="A3762" s="20" t="s">
        <v>1839</v>
      </c>
      <c r="B3762" s="27" t="s">
        <v>772</v>
      </c>
      <c r="C3762" s="27" t="s">
        <v>837</v>
      </c>
      <c r="D3762" s="27" t="s">
        <v>762</v>
      </c>
      <c r="E3762" s="21">
        <f>IF(D3762="?OLD","!!!","")</f>
        <v/>
      </c>
      <c r="F3762" s="22" t="str">
        <f>IF(OR(E3762="",E3762="!!!"),"",IF(NOT(ISNA(VLOOKUP(E3762,E$1:E3761,1,FALSE()))),"OLD",IF(AND(E3762&lt;&gt;"",E3762&lt;&gt;"!!!"),"NEW","")))</f>
        <v> </v>
      </c>
      <c r="G3762" s="23" t="str">
        <f>IF(OR(E3762="",E3762="!!!"),"",IF(OR(J3762=0,AND(J3762=1,K3762=1),AND(J3762=1,I3762="SBJ"),AND(J3762=1,I3762=0)),"?IN_FOCUS",IF(J3762&lt;=2,"?ACTIVATED",IF(J3762&lt;&gt;"","?FAMILIAR",IF(F3762="NEW",IF(ISNA(VLOOKUP(E3762,#REF!,1,FALSE())),"?TYPE_IDENTIFIABLE","?REFERENTIAL"),"_")))))</f>
        <v> </v>
      </c>
      <c r="H3762" s="24" t="str">
        <f>IF(J3762&lt;&gt;1,"",IF(I3762="SBJ","CB","?"))</f>
        <v> </v>
      </c>
      <c r="I3762" s="25" t="str">
        <f>IF(OR(E3762="",E3762="!!!",F3762="NEW"),"",INDEX(B3761:B$2,-1+SUMPRODUCT(MAX(ROW(E3761:E$2)*(E3762=E3761:E$2)))))</f>
        <v> </v>
      </c>
      <c r="J3762" s="25" t="str">
        <f>IF(OR(E3762="",E3762="!!!",F3762="NEW"),"",COUNTBLANK(OFFSET(A$1,,,SUMPRODUCT(MAX(ROW(E$2:E3762)*(E3762=E$2:E3762)))))-COUNTBLANK(OFFSET(A$1,,,SUMPRODUCT(MAX(ROW(E$1:E3761)*(E2=E$1:E3761))))))</f>
        <v> </v>
      </c>
      <c r="K3762" s="25" t="str">
        <f>IF(OR(E3762="",E3762="!!!",F3762="NEW"),"",INDEX(J$1:J3761,SUMPRODUCT(MAX(ROW(E$1:E3761)*(E3762=E$1:E3761)))))</f>
        <v> </v>
      </c>
      <c r="L3762" s="26"/>
    </row>
    <row r="3763" spans="1:12">
      <c r="A3763" s="20" t="s">
        <v>769</v>
      </c>
      <c r="E3763" s="21">
        <f>IF(D3763="?OLD","!!!","")</f>
        <v/>
      </c>
      <c r="F3763" s="22" t="str">
        <f>IF(OR(E3763="",E3763="!!!"),"",IF(NOT(ISNA(VLOOKUP(E3763,E$1:E3762,1,FALSE()))),"OLD",IF(AND(E3763&lt;&gt;"",E3763&lt;&gt;"!!!"),"NEW","")))</f>
        <v> </v>
      </c>
      <c r="G3763" s="23" t="str">
        <f>IF(OR(E3763="",E3763="!!!"),"",IF(OR(J3763=0,AND(J3763=1,K3763=1),AND(J3763=1,I3763="SBJ"),AND(J3763=1,I3763=0)),"?IN_FOCUS",IF(J3763&lt;=2,"?ACTIVATED",IF(J3763&lt;&gt;"","?FAMILIAR",IF(F3763="NEW",IF(ISNA(VLOOKUP(E3763,#REF!,1,FALSE())),"?TYPE_IDENTIFIABLE","?REFERENTIAL"),"_")))))</f>
        <v> </v>
      </c>
      <c r="H3763" s="24" t="str">
        <f>IF(J3763&lt;&gt;1,"",IF(I3763="SBJ","CB","?"))</f>
        <v> </v>
      </c>
      <c r="I3763" s="25" t="str">
        <f>IF(OR(E3763="",E3763="!!!",F3763="NEW"),"",INDEX(B3762:B$2,-1+SUMPRODUCT(MAX(ROW(E3762:E$2)*(E3763=E3762:E$2)))))</f>
        <v> </v>
      </c>
      <c r="J3763" s="25" t="str">
        <f>IF(OR(E3763="",E3763="!!!",F3763="NEW"),"",COUNTBLANK(OFFSET(A$1,,,SUMPRODUCT(MAX(ROW(E$2:E3763)*(E3763=E$2:E3763)))))-COUNTBLANK(OFFSET(A$1,,,SUMPRODUCT(MAX(ROW(E$1:E3762)*(E2=E$1:E3762))))))</f>
        <v> </v>
      </c>
      <c r="K3763" s="25" t="str">
        <f>IF(OR(E3763="",E3763="!!!",F3763="NEW"),"",INDEX(J$1:J3762,SUMPRODUCT(MAX(ROW(E$1:E3762)*(E3763=E$1:E3762)))))</f>
        <v> </v>
      </c>
      <c r="L3763" s="26"/>
    </row>
    <row r="3764" spans="1:12">
      <c r="A3764" s="20" t="s">
        <v>878</v>
      </c>
      <c r="B3764" s="27" t="s">
        <v>901</v>
      </c>
      <c r="C3764" s="27" t="s">
        <v>851</v>
      </c>
      <c r="D3764" s="27" t="s">
        <v>762</v>
      </c>
      <c r="E3764" s="21">
        <f>IF(D3764="?OLD","!!!","")</f>
        <v/>
      </c>
      <c r="F3764" s="22" t="str">
        <f>IF(OR(E3764="",E3764="!!!"),"",IF(NOT(ISNA(VLOOKUP(E3764,E$1:E3763,1,FALSE()))),"OLD",IF(AND(E3764&lt;&gt;"",E3764&lt;&gt;"!!!"),"NEW","")))</f>
        <v> </v>
      </c>
      <c r="G3764" s="23" t="str">
        <f>IF(OR(E3764="",E3764="!!!"),"",IF(OR(J3764=0,AND(J3764=1,K3764=1),AND(J3764=1,I3764="SBJ"),AND(J3764=1,I3764=0)),"?IN_FOCUS",IF(J3764&lt;=2,"?ACTIVATED",IF(J3764&lt;&gt;"","?FAMILIAR",IF(F3764="NEW",IF(ISNA(VLOOKUP(E3764,#REF!,1,FALSE())),"?TYPE_IDENTIFIABLE","?REFERENTIAL"),"_")))))</f>
        <v> </v>
      </c>
      <c r="H3764" s="24" t="str">
        <f>IF(J3764&lt;&gt;1,"",IF(I3764="SBJ","CB","?"))</f>
        <v> </v>
      </c>
      <c r="I3764" s="25" t="str">
        <f>IF(OR(E3764="",E3764="!!!",F3764="NEW"),"",INDEX(B3763:B$2,-1+SUMPRODUCT(MAX(ROW(E3763:E$2)*(E3764=E3763:E$2)))))</f>
        <v> </v>
      </c>
      <c r="J3764" s="25" t="str">
        <f>IF(OR(E3764="",E3764="!!!",F3764="NEW"),"",COUNTBLANK(OFFSET(A$1,,,SUMPRODUCT(MAX(ROW(E$2:E3764)*(E3764=E$2:E3764)))))-COUNTBLANK(OFFSET(A$1,,,SUMPRODUCT(MAX(ROW(E$1:E3763)*(E2=E$1:E3763))))))</f>
        <v> </v>
      </c>
      <c r="K3764" s="25" t="str">
        <f>IF(OR(E3764="",E3764="!!!",F3764="NEW"),"",INDEX(J$1:J3763,SUMPRODUCT(MAX(ROW(E$1:E3763)*(E3764=E$1:E3763)))))</f>
        <v> </v>
      </c>
      <c r="L3764" s="26"/>
    </row>
    <row r="3765" spans="1:12">
      <c r="A3765" s="20" t="s">
        <v>1840</v>
      </c>
      <c r="B3765" s="27" t="s">
        <v>879</v>
      </c>
      <c r="C3765" s="27" t="s">
        <v>837</v>
      </c>
      <c r="D3765" s="27" t="s">
        <v>762</v>
      </c>
      <c r="E3765" s="21">
        <f>IF(D3765="?OLD","!!!","")</f>
        <v/>
      </c>
      <c r="F3765" s="22" t="str">
        <f>IF(OR(E3765="",E3765="!!!"),"",IF(NOT(ISNA(VLOOKUP(E3765,E$1:E3764,1,FALSE()))),"OLD",IF(AND(E3765&lt;&gt;"",E3765&lt;&gt;"!!!"),"NEW","")))</f>
        <v> </v>
      </c>
      <c r="G3765" s="23" t="str">
        <f>IF(OR(E3765="",E3765="!!!"),"",IF(OR(J3765=0,AND(J3765=1,K3765=1),AND(J3765=1,I3765="SBJ"),AND(J3765=1,I3765=0)),"?IN_FOCUS",IF(J3765&lt;=2,"?ACTIVATED",IF(J3765&lt;&gt;"","?FAMILIAR",IF(F3765="NEW",IF(ISNA(VLOOKUP(E3765,#REF!,1,FALSE())),"?TYPE_IDENTIFIABLE","?REFERENTIAL"),"_")))))</f>
        <v> </v>
      </c>
      <c r="H3765" s="24" t="str">
        <f>IF(J3765&lt;&gt;1,"",IF(I3765="SBJ","CB","?"))</f>
        <v> </v>
      </c>
      <c r="I3765" s="25" t="str">
        <f>IF(OR(E3765="",E3765="!!!",F3765="NEW"),"",INDEX(B3764:B$2,-1+SUMPRODUCT(MAX(ROW(E3764:E$2)*(E3765=E3764:E$2)))))</f>
        <v> </v>
      </c>
      <c r="J3765" s="25" t="str">
        <f>IF(OR(E3765="",E3765="!!!",F3765="NEW"),"",COUNTBLANK(OFFSET(A$1,,,SUMPRODUCT(MAX(ROW(E$2:E3765)*(E3765=E$2:E3765)))))-COUNTBLANK(OFFSET(A$1,,,SUMPRODUCT(MAX(ROW(E$1:E3764)*(E2=E$1:E3764))))))</f>
        <v> </v>
      </c>
      <c r="K3765" s="25" t="str">
        <f>IF(OR(E3765="",E3765="!!!",F3765="NEW"),"",INDEX(J$1:J3764,SUMPRODUCT(MAX(ROW(E$1:E3764)*(E3765=E$1:E3764)))))</f>
        <v> </v>
      </c>
      <c r="L3765" s="26"/>
    </row>
    <row r="3766" spans="1:12">
      <c r="A3766" s="20" t="s">
        <v>810</v>
      </c>
      <c r="E3766" s="21">
        <f>IF(D3766="?OLD","!!!","")</f>
        <v/>
      </c>
      <c r="F3766" s="22" t="str">
        <f>IF(OR(E3766="",E3766="!!!"),"",IF(NOT(ISNA(VLOOKUP(E3766,E$1:E3765,1,FALSE()))),"OLD",IF(AND(E3766&lt;&gt;"",E3766&lt;&gt;"!!!"),"NEW","")))</f>
        <v> </v>
      </c>
      <c r="G3766" s="23" t="str">
        <f>IF(OR(E3766="",E3766="!!!"),"",IF(OR(J3766=0,AND(J3766=1,K3766=1),AND(J3766=1,I3766="SBJ"),AND(J3766=1,I3766=0)),"?IN_FOCUS",IF(J3766&lt;=2,"?ACTIVATED",IF(J3766&lt;&gt;"","?FAMILIAR",IF(F3766="NEW",IF(ISNA(VLOOKUP(E3766,#REF!,1,FALSE())),"?TYPE_IDENTIFIABLE","?REFERENTIAL"),"_")))))</f>
        <v> </v>
      </c>
      <c r="H3766" s="24" t="str">
        <f>IF(J3766&lt;&gt;1,"",IF(I3766="SBJ","CB","?"))</f>
        <v> </v>
      </c>
      <c r="I3766" s="25" t="str">
        <f>IF(OR(E3766="",E3766="!!!",F3766="NEW"),"",INDEX(B3765:B$2,-1+SUMPRODUCT(MAX(ROW(E3765:E$2)*(E3766=E3765:E$2)))))</f>
        <v> </v>
      </c>
      <c r="J3766" s="25" t="str">
        <f>IF(OR(E3766="",E3766="!!!",F3766="NEW"),"",COUNTBLANK(OFFSET(A$1,,,SUMPRODUCT(MAX(ROW(E$2:E3766)*(E3766=E$2:E3766)))))-COUNTBLANK(OFFSET(A$1,,,SUMPRODUCT(MAX(ROW(E$1:E3765)*(E2=E$1:E3765))))))</f>
        <v> </v>
      </c>
      <c r="K3766" s="25" t="str">
        <f>IF(OR(E3766="",E3766="!!!",F3766="NEW"),"",INDEX(J$1:J3765,SUMPRODUCT(MAX(ROW(E$1:E3765)*(E3766=E$1:E3765)))))</f>
        <v> </v>
      </c>
      <c r="L3766" s="26"/>
    </row>
    <row r="3767" spans="1:12">
      <c r="A3767" s="20" t="s">
        <v>975</v>
      </c>
      <c r="B3767" s="27" t="s">
        <v>894</v>
      </c>
      <c r="C3767" s="27" t="s">
        <v>797</v>
      </c>
      <c r="D3767" s="27" t="s">
        <v>762</v>
      </c>
      <c r="E3767" s="21">
        <f>IF(D3767="?OLD","!!!","")</f>
        <v/>
      </c>
      <c r="F3767" s="22" t="str">
        <f>IF(OR(E3767="",E3767="!!!"),"",IF(NOT(ISNA(VLOOKUP(E3767,E$1:E3766,1,FALSE()))),"OLD",IF(AND(E3767&lt;&gt;"",E3767&lt;&gt;"!!!"),"NEW","")))</f>
        <v> </v>
      </c>
      <c r="G3767" s="23" t="str">
        <f>IF(OR(E3767="",E3767="!!!"),"",IF(OR(J3767=0,AND(J3767=1,K3767=1),AND(J3767=1,I3767="SBJ"),AND(J3767=1,I3767=0)),"?IN_FOCUS",IF(J3767&lt;=2,"?ACTIVATED",IF(J3767&lt;&gt;"","?FAMILIAR",IF(F3767="NEW",IF(ISNA(VLOOKUP(E3767,#REF!,1,FALSE())),"?TYPE_IDENTIFIABLE","?REFERENTIAL"),"_")))))</f>
        <v> </v>
      </c>
      <c r="H3767" s="24" t="str">
        <f>IF(J3767&lt;&gt;1,"",IF(I3767="SBJ","CB","?"))</f>
        <v> </v>
      </c>
      <c r="I3767" s="25" t="str">
        <f>IF(OR(E3767="",E3767="!!!",F3767="NEW"),"",INDEX(B3766:B$2,-1+SUMPRODUCT(MAX(ROW(E3766:E$2)*(E3767=E3766:E$2)))))</f>
        <v> </v>
      </c>
      <c r="J3767" s="25" t="str">
        <f>IF(OR(E3767="",E3767="!!!",F3767="NEW"),"",COUNTBLANK(OFFSET(A$1,,,SUMPRODUCT(MAX(ROW(E$2:E3767)*(E3767=E$2:E3767)))))-COUNTBLANK(OFFSET(A$1,,,SUMPRODUCT(MAX(ROW(E$1:E3766)*(E2=E$1:E3766))))))</f>
        <v> </v>
      </c>
      <c r="K3767" s="25" t="str">
        <f>IF(OR(E3767="",E3767="!!!",F3767="NEW"),"",INDEX(J$1:J3766,SUMPRODUCT(MAX(ROW(E$1:E3766)*(E3767=E$1:E3766)))))</f>
        <v> </v>
      </c>
      <c r="L3767" s="26"/>
    </row>
    <row r="3768" spans="1:12">
      <c r="A3768" s="20" t="s">
        <v>1841</v>
      </c>
      <c r="E3768" s="21">
        <f>IF(D3768="?OLD","!!!","")</f>
        <v/>
      </c>
      <c r="F3768" s="22" t="str">
        <f>IF(OR(E3768="",E3768="!!!"),"",IF(NOT(ISNA(VLOOKUP(E3768,E$1:E3767,1,FALSE()))),"OLD",IF(AND(E3768&lt;&gt;"",E3768&lt;&gt;"!!!"),"NEW","")))</f>
        <v> </v>
      </c>
      <c r="G3768" s="23" t="str">
        <f>IF(OR(E3768="",E3768="!!!"),"",IF(OR(J3768=0,AND(J3768=1,K3768=1),AND(J3768=1,I3768="SBJ"),AND(J3768=1,I3768=0)),"?IN_FOCUS",IF(J3768&lt;=2,"?ACTIVATED",IF(J3768&lt;&gt;"","?FAMILIAR",IF(F3768="NEW",IF(ISNA(VLOOKUP(E3768,#REF!,1,FALSE())),"?TYPE_IDENTIFIABLE","?REFERENTIAL"),"_")))))</f>
        <v> </v>
      </c>
      <c r="H3768" s="24" t="str">
        <f>IF(J3768&lt;&gt;1,"",IF(I3768="SBJ","CB","?"))</f>
        <v> </v>
      </c>
      <c r="I3768" s="25" t="str">
        <f>IF(OR(E3768="",E3768="!!!",F3768="NEW"),"",INDEX(B3767:B$2,-1+SUMPRODUCT(MAX(ROW(E3767:E$2)*(E3768=E3767:E$2)))))</f>
        <v> </v>
      </c>
      <c r="J3768" s="25" t="str">
        <f>IF(OR(E3768="",E3768="!!!",F3768="NEW"),"",COUNTBLANK(OFFSET(A$1,,,SUMPRODUCT(MAX(ROW(E$2:E3768)*(E3768=E$2:E3768)))))-COUNTBLANK(OFFSET(A$1,,,SUMPRODUCT(MAX(ROW(E$1:E3767)*(E2=E$1:E3767))))))</f>
        <v> </v>
      </c>
      <c r="K3768" s="25" t="str">
        <f>IF(OR(E3768="",E3768="!!!",F3768="NEW"),"",INDEX(J$1:J3767,SUMPRODUCT(MAX(ROW(E$1:E3767)*(E3768=E$1:E3767)))))</f>
        <v> </v>
      </c>
      <c r="L3768" s="26"/>
    </row>
    <row r="3769" spans="1:12">
      <c r="A3769" s="20" t="s">
        <v>805</v>
      </c>
      <c r="E3769" s="21">
        <f>IF(D3769="?OLD","!!!","")</f>
        <v/>
      </c>
      <c r="F3769" s="22" t="str">
        <f>IF(OR(E3769="",E3769="!!!"),"",IF(NOT(ISNA(VLOOKUP(E3769,E$1:E3768,1,FALSE()))),"OLD",IF(AND(E3769&lt;&gt;"",E3769&lt;&gt;"!!!"),"NEW","")))</f>
        <v> </v>
      </c>
      <c r="G3769" s="23" t="str">
        <f>IF(OR(E3769="",E3769="!!!"),"",IF(OR(J3769=0,AND(J3769=1,K3769=1),AND(J3769=1,I3769="SBJ"),AND(J3769=1,I3769=0)),"?IN_FOCUS",IF(J3769&lt;=2,"?ACTIVATED",IF(J3769&lt;&gt;"","?FAMILIAR",IF(F3769="NEW",IF(ISNA(VLOOKUP(E3769,#REF!,1,FALSE())),"?TYPE_IDENTIFIABLE","?REFERENTIAL"),"_")))))</f>
        <v> </v>
      </c>
      <c r="H3769" s="24" t="str">
        <f>IF(J3769&lt;&gt;1,"",IF(I3769="SBJ","CB","?"))</f>
        <v> </v>
      </c>
      <c r="I3769" s="25" t="str">
        <f>IF(OR(E3769="",E3769="!!!",F3769="NEW"),"",INDEX(B3768:B$2,-1+SUMPRODUCT(MAX(ROW(E3768:E$2)*(E3769=E3768:E$2)))))</f>
        <v> </v>
      </c>
      <c r="J3769" s="25" t="str">
        <f>IF(OR(E3769="",E3769="!!!",F3769="NEW"),"",COUNTBLANK(OFFSET(A$1,,,SUMPRODUCT(MAX(ROW(E$2:E3769)*(E3769=E$2:E3769)))))-COUNTBLANK(OFFSET(A$1,,,SUMPRODUCT(MAX(ROW(E$1:E3768)*(E2=E$1:E3768))))))</f>
        <v> </v>
      </c>
      <c r="K3769" s="25" t="str">
        <f>IF(OR(E3769="",E3769="!!!",F3769="NEW"),"",INDEX(J$1:J3768,SUMPRODUCT(MAX(ROW(E$1:E3768)*(E3769=E$1:E3768)))))</f>
        <v> </v>
      </c>
      <c r="L3769" s="26"/>
    </row>
    <row r="3770" spans="1:12">
      <c r="A3770" s="20" t="s">
        <v>1842</v>
      </c>
      <c r="E3770" s="21">
        <f>IF(D3770="?OLD","!!!","")</f>
        <v/>
      </c>
      <c r="F3770" s="22" t="str">
        <f>IF(OR(E3770="",E3770="!!!"),"",IF(NOT(ISNA(VLOOKUP(E3770,E$1:E3769,1,FALSE()))),"OLD",IF(AND(E3770&lt;&gt;"",E3770&lt;&gt;"!!!"),"NEW","")))</f>
        <v> </v>
      </c>
      <c r="G3770" s="23" t="str">
        <f>IF(OR(E3770="",E3770="!!!"),"",IF(OR(J3770=0,AND(J3770=1,K3770=1),AND(J3770=1,I3770="SBJ"),AND(J3770=1,I3770=0)),"?IN_FOCUS",IF(J3770&lt;=2,"?ACTIVATED",IF(J3770&lt;&gt;"","?FAMILIAR",IF(F3770="NEW",IF(ISNA(VLOOKUP(E3770,#REF!,1,FALSE())),"?TYPE_IDENTIFIABLE","?REFERENTIAL"),"_")))))</f>
        <v> </v>
      </c>
      <c r="H3770" s="24" t="str">
        <f>IF(J3770&lt;&gt;1,"",IF(I3770="SBJ","CB","?"))</f>
        <v> </v>
      </c>
      <c r="I3770" s="25" t="str">
        <f>IF(OR(E3770="",E3770="!!!",F3770="NEW"),"",INDEX(B3769:B$2,-1+SUMPRODUCT(MAX(ROW(E3769:E$2)*(E3770=E3769:E$2)))))</f>
        <v> </v>
      </c>
      <c r="J3770" s="25" t="str">
        <f>IF(OR(E3770="",E3770="!!!",F3770="NEW"),"",COUNTBLANK(OFFSET(A$1,,,SUMPRODUCT(MAX(ROW(E$2:E3770)*(E3770=E$2:E3770)))))-COUNTBLANK(OFFSET(A$1,,,SUMPRODUCT(MAX(ROW(E$1:E3769)*(E2=E$1:E3769))))))</f>
        <v> </v>
      </c>
      <c r="K3770" s="25" t="str">
        <f>IF(OR(E3770="",E3770="!!!",F3770="NEW"),"",INDEX(J$1:J3769,SUMPRODUCT(MAX(ROW(E$1:E3769)*(E3770=E$1:E3769)))))</f>
        <v> </v>
      </c>
      <c r="L3770" s="26"/>
    </row>
    <row r="3771" spans="1:12">
      <c r="A3771" s="20" t="s">
        <v>838</v>
      </c>
      <c r="E3771" s="21">
        <f>IF(D3771="?OLD","!!!","")</f>
        <v/>
      </c>
      <c r="F3771" s="22" t="str">
        <f>IF(OR(E3771="",E3771="!!!"),"",IF(NOT(ISNA(VLOOKUP(E3771,E$1:E3770,1,FALSE()))),"OLD",IF(AND(E3771&lt;&gt;"",E3771&lt;&gt;"!!!"),"NEW","")))</f>
        <v> </v>
      </c>
      <c r="G3771" s="23" t="str">
        <f>IF(OR(E3771="",E3771="!!!"),"",IF(OR(J3771=0,AND(J3771=1,K3771=1),AND(J3771=1,I3771="SBJ"),AND(J3771=1,I3771=0)),"?IN_FOCUS",IF(J3771&lt;=2,"?ACTIVATED",IF(J3771&lt;&gt;"","?FAMILIAR",IF(F3771="NEW",IF(ISNA(VLOOKUP(E3771,#REF!,1,FALSE())),"?TYPE_IDENTIFIABLE","?REFERENTIAL"),"_")))))</f>
        <v> </v>
      </c>
      <c r="H3771" s="24" t="str">
        <f>IF(J3771&lt;&gt;1,"",IF(I3771="SBJ","CB","?"))</f>
        <v> </v>
      </c>
      <c r="I3771" s="25" t="str">
        <f>IF(OR(E3771="",E3771="!!!",F3771="NEW"),"",INDEX(B3770:B$2,-1+SUMPRODUCT(MAX(ROW(E3770:E$2)*(E3771=E3770:E$2)))))</f>
        <v> </v>
      </c>
      <c r="J3771" s="25" t="str">
        <f>IF(OR(E3771="",E3771="!!!",F3771="NEW"),"",COUNTBLANK(OFFSET(A$1,,,SUMPRODUCT(MAX(ROW(E$2:E3771)*(E3771=E$2:E3771)))))-COUNTBLANK(OFFSET(A$1,,,SUMPRODUCT(MAX(ROW(E$1:E3770)*(E2=E$1:E3770))))))</f>
        <v> </v>
      </c>
      <c r="K3771" s="25" t="str">
        <f>IF(OR(E3771="",E3771="!!!",F3771="NEW"),"",INDEX(J$1:J3770,SUMPRODUCT(MAX(ROW(E$1:E3770)*(E3771=E$1:E3770)))))</f>
        <v> </v>
      </c>
      <c r="L3771" s="26"/>
    </row>
    <row r="3772" spans="1:12">
      <c r="A3772" s="20" t="s">
        <v>943</v>
      </c>
      <c r="B3772" s="27" t="s">
        <v>940</v>
      </c>
      <c r="C3772" s="27" t="s">
        <v>761</v>
      </c>
      <c r="D3772" s="27" t="s">
        <v>762</v>
      </c>
      <c r="E3772" s="21">
        <f>IF(D3772="?OLD","!!!","")</f>
        <v/>
      </c>
      <c r="F3772" s="22" t="str">
        <f>IF(OR(E3772="",E3772="!!!"),"",IF(NOT(ISNA(VLOOKUP(E3772,E$1:E3771,1,FALSE()))),"OLD",IF(AND(E3772&lt;&gt;"",E3772&lt;&gt;"!!!"),"NEW","")))</f>
        <v> </v>
      </c>
      <c r="G3772" s="23" t="str">
        <f>IF(OR(E3772="",E3772="!!!"),"",IF(OR(J3772=0,AND(J3772=1,K3772=1),AND(J3772=1,I3772="SBJ"),AND(J3772=1,I3772=0)),"?IN_FOCUS",IF(J3772&lt;=2,"?ACTIVATED",IF(J3772&lt;&gt;"","?FAMILIAR",IF(F3772="NEW",IF(ISNA(VLOOKUP(E3772,#REF!,1,FALSE())),"?TYPE_IDENTIFIABLE","?REFERENTIAL"),"_")))))</f>
        <v> </v>
      </c>
      <c r="H3772" s="24" t="str">
        <f>IF(J3772&lt;&gt;1,"",IF(I3772="SBJ","CB","?"))</f>
        <v> </v>
      </c>
      <c r="I3772" s="25" t="str">
        <f>IF(OR(E3772="",E3772="!!!",F3772="NEW"),"",INDEX(B3771:B$2,-1+SUMPRODUCT(MAX(ROW(E3771:E$2)*(E3772=E3771:E$2)))))</f>
        <v> </v>
      </c>
      <c r="J3772" s="25" t="str">
        <f>IF(OR(E3772="",E3772="!!!",F3772="NEW"),"",COUNTBLANK(OFFSET(A$1,,,SUMPRODUCT(MAX(ROW(E$2:E3772)*(E3772=E$2:E3772)))))-COUNTBLANK(OFFSET(A$1,,,SUMPRODUCT(MAX(ROW(E$1:E3771)*(E2=E$1:E3771))))))</f>
        <v> </v>
      </c>
      <c r="K3772" s="25" t="str">
        <f>IF(OR(E3772="",E3772="!!!",F3772="NEW"),"",INDEX(J$1:J3771,SUMPRODUCT(MAX(ROW(E$1:E3771)*(E3772=E$1:E3771)))))</f>
        <v> </v>
      </c>
      <c r="L3772" s="26"/>
    </row>
    <row r="3773" spans="1:12">
      <c r="A3773" s="20" t="s">
        <v>793</v>
      </c>
      <c r="B3773" s="27" t="s">
        <v>1236</v>
      </c>
      <c r="E3773" s="21">
        <f>IF(D3773="?OLD","!!!","")</f>
        <v/>
      </c>
      <c r="F3773" s="22" t="str">
        <f>IF(OR(E3773="",E3773="!!!"),"",IF(NOT(ISNA(VLOOKUP(E3773,E$1:E3772,1,FALSE()))),"OLD",IF(AND(E3773&lt;&gt;"",E3773&lt;&gt;"!!!"),"NEW","")))</f>
        <v> </v>
      </c>
      <c r="G3773" s="23" t="str">
        <f>IF(OR(E3773="",E3773="!!!"),"",IF(OR(J3773=0,AND(J3773=1,K3773=1),AND(J3773=1,I3773="SBJ"),AND(J3773=1,I3773=0)),"?IN_FOCUS",IF(J3773&lt;=2,"?ACTIVATED",IF(J3773&lt;&gt;"","?FAMILIAR",IF(F3773="NEW",IF(ISNA(VLOOKUP(E3773,#REF!,1,FALSE())),"?TYPE_IDENTIFIABLE","?REFERENTIAL"),"_")))))</f>
        <v> </v>
      </c>
      <c r="H3773" s="24" t="str">
        <f>IF(J3773&lt;&gt;1,"",IF(I3773="SBJ","CB","?"))</f>
        <v> </v>
      </c>
      <c r="I3773" s="25" t="str">
        <f>IF(OR(E3773="",E3773="!!!",F3773="NEW"),"",INDEX(B3772:B$2,-1+SUMPRODUCT(MAX(ROW(E3772:E$2)*(E3773=E3772:E$2)))))</f>
        <v> </v>
      </c>
      <c r="J3773" s="25" t="str">
        <f>IF(OR(E3773="",E3773="!!!",F3773="NEW"),"",COUNTBLANK(OFFSET(A$1,,,SUMPRODUCT(MAX(ROW(E$2:E3773)*(E3773=E$2:E3773)))))-COUNTBLANK(OFFSET(A$1,,,SUMPRODUCT(MAX(ROW(E$1:E3772)*(E2=E$1:E3772))))))</f>
        <v> </v>
      </c>
      <c r="K3773" s="25" t="str">
        <f>IF(OR(E3773="",E3773="!!!",F3773="NEW"),"",INDEX(J$1:J3772,SUMPRODUCT(MAX(ROW(E$1:E3772)*(E3773=E$1:E3772)))))</f>
        <v> </v>
      </c>
      <c r="L3773" s="26"/>
    </row>
    <row r="3774" spans="1:12">
      <c r="A3774" s="20" t="s">
        <v>827</v>
      </c>
      <c r="B3774" s="27" t="s">
        <v>1080</v>
      </c>
      <c r="C3774" s="27" t="s">
        <v>797</v>
      </c>
      <c r="D3774" s="27" t="s">
        <v>762</v>
      </c>
      <c r="E3774" s="21">
        <f>IF(D3774="?OLD","!!!","")</f>
        <v/>
      </c>
      <c r="F3774" s="22" t="str">
        <f>IF(OR(E3774="",E3774="!!!"),"",IF(NOT(ISNA(VLOOKUP(E3774,E$1:E3773,1,FALSE()))),"OLD",IF(AND(E3774&lt;&gt;"",E3774&lt;&gt;"!!!"),"NEW","")))</f>
        <v> </v>
      </c>
      <c r="G3774" s="23" t="str">
        <f>IF(OR(E3774="",E3774="!!!"),"",IF(OR(J3774=0,AND(J3774=1,K3774=1),AND(J3774=1,I3774="SBJ"),AND(J3774=1,I3774=0)),"?IN_FOCUS",IF(J3774&lt;=2,"?ACTIVATED",IF(J3774&lt;&gt;"","?FAMILIAR",IF(F3774="NEW",IF(ISNA(VLOOKUP(E3774,#REF!,1,FALSE())),"?TYPE_IDENTIFIABLE","?REFERENTIAL"),"_")))))</f>
        <v> </v>
      </c>
      <c r="H3774" s="24" t="str">
        <f>IF(J3774&lt;&gt;1,"",IF(I3774="SBJ","CB","?"))</f>
        <v> </v>
      </c>
      <c r="I3774" s="25" t="str">
        <f>IF(OR(E3774="",E3774="!!!",F3774="NEW"),"",INDEX(B3773:B$2,-1+SUMPRODUCT(MAX(ROW(E3773:E$2)*(E3774=E3773:E$2)))))</f>
        <v> </v>
      </c>
      <c r="J3774" s="25" t="str">
        <f>IF(OR(E3774="",E3774="!!!",F3774="NEW"),"",COUNTBLANK(OFFSET(A$1,,,SUMPRODUCT(MAX(ROW(E$2:E3774)*(E3774=E$2:E3774)))))-COUNTBLANK(OFFSET(A$1,,,SUMPRODUCT(MAX(ROW(E$1:E3773)*(E2=E$1:E3773))))))</f>
        <v> </v>
      </c>
      <c r="K3774" s="25" t="str">
        <f>IF(OR(E3774="",E3774="!!!",F3774="NEW"),"",INDEX(J$1:J3773,SUMPRODUCT(MAX(ROW(E$1:E3773)*(E3774=E$1:E3773)))))</f>
        <v> </v>
      </c>
      <c r="L3774" s="26"/>
    </row>
    <row r="3775" spans="1:12">
      <c r="A3775" s="20" t="s">
        <v>909</v>
      </c>
      <c r="E3775" s="21">
        <f>IF(D3775="?OLD","!!!","")</f>
        <v/>
      </c>
      <c r="F3775" s="22" t="str">
        <f>IF(OR(E3775="",E3775="!!!"),"",IF(NOT(ISNA(VLOOKUP(E3775,E$1:E3774,1,FALSE()))),"OLD",IF(AND(E3775&lt;&gt;"",E3775&lt;&gt;"!!!"),"NEW","")))</f>
        <v> </v>
      </c>
      <c r="G3775" s="23" t="str">
        <f>IF(OR(E3775="",E3775="!!!"),"",IF(OR(J3775=0,AND(J3775=1,K3775=1),AND(J3775=1,I3775="SBJ"),AND(J3775=1,I3775=0)),"?IN_FOCUS",IF(J3775&lt;=2,"?ACTIVATED",IF(J3775&lt;&gt;"","?FAMILIAR",IF(F3775="NEW",IF(ISNA(VLOOKUP(E3775,#REF!,1,FALSE())),"?TYPE_IDENTIFIABLE","?REFERENTIAL"),"_")))))</f>
        <v> </v>
      </c>
      <c r="H3775" s="24" t="str">
        <f>IF(J3775&lt;&gt;1,"",IF(I3775="SBJ","CB","?"))</f>
        <v> </v>
      </c>
      <c r="I3775" s="25" t="str">
        <f>IF(OR(E3775="",E3775="!!!",F3775="NEW"),"",INDEX(B3774:B$2,-1+SUMPRODUCT(MAX(ROW(E3774:E$2)*(E3775=E3774:E$2)))))</f>
        <v> </v>
      </c>
      <c r="J3775" s="25" t="str">
        <f>IF(OR(E3775="",E3775="!!!",F3775="NEW"),"",COUNTBLANK(OFFSET(A$1,,,SUMPRODUCT(MAX(ROW(E$2:E3775)*(E3775=E$2:E3775)))))-COUNTBLANK(OFFSET(A$1,,,SUMPRODUCT(MAX(ROW(E$1:E3774)*(E2=E$1:E3774))))))</f>
        <v> </v>
      </c>
      <c r="K3775" s="25" t="str">
        <f>IF(OR(E3775="",E3775="!!!",F3775="NEW"),"",INDEX(J$1:J3774,SUMPRODUCT(MAX(ROW(E$1:E3774)*(E3775=E$1:E3774)))))</f>
        <v> </v>
      </c>
      <c r="L3775" s="26"/>
    </row>
    <row r="3776" spans="1:12">
      <c r="A3776" s="20" t="s">
        <v>810</v>
      </c>
      <c r="E3776" s="21">
        <f>IF(D3776="?OLD","!!!","")</f>
        <v/>
      </c>
      <c r="F3776" s="22" t="str">
        <f>IF(OR(E3776="",E3776="!!!"),"",IF(NOT(ISNA(VLOOKUP(E3776,E$1:E3775,1,FALSE()))),"OLD",IF(AND(E3776&lt;&gt;"",E3776&lt;&gt;"!!!"),"NEW","")))</f>
        <v> </v>
      </c>
      <c r="G3776" s="23" t="str">
        <f>IF(OR(E3776="",E3776="!!!"),"",IF(OR(J3776=0,AND(J3776=1,K3776=1),AND(J3776=1,I3776="SBJ"),AND(J3776=1,I3776=0)),"?IN_FOCUS",IF(J3776&lt;=2,"?ACTIVATED",IF(J3776&lt;&gt;"","?FAMILIAR",IF(F3776="NEW",IF(ISNA(VLOOKUP(E3776,#REF!,1,FALSE())),"?TYPE_IDENTIFIABLE","?REFERENTIAL"),"_")))))</f>
        <v> </v>
      </c>
      <c r="H3776" s="24" t="str">
        <f>IF(J3776&lt;&gt;1,"",IF(I3776="SBJ","CB","?"))</f>
        <v> </v>
      </c>
      <c r="I3776" s="25" t="str">
        <f>IF(OR(E3776="",E3776="!!!",F3776="NEW"),"",INDEX(B3775:B$2,-1+SUMPRODUCT(MAX(ROW(E3775:E$2)*(E3776=E3775:E$2)))))</f>
        <v> </v>
      </c>
      <c r="J3776" s="25" t="str">
        <f>IF(OR(E3776="",E3776="!!!",F3776="NEW"),"",COUNTBLANK(OFFSET(A$1,,,SUMPRODUCT(MAX(ROW(E$2:E3776)*(E3776=E$2:E3776)))))-COUNTBLANK(OFFSET(A$1,,,SUMPRODUCT(MAX(ROW(E$1:E3775)*(E2=E$1:E3775))))))</f>
        <v> </v>
      </c>
      <c r="K3776" s="25" t="str">
        <f>IF(OR(E3776="",E3776="!!!",F3776="NEW"),"",INDEX(J$1:J3775,SUMPRODUCT(MAX(ROW(E$1:E3775)*(E3776=E$1:E3775)))))</f>
        <v> </v>
      </c>
      <c r="L3776" s="26"/>
    </row>
    <row r="3777" spans="1:12">
      <c r="A3777" s="20" t="s">
        <v>769</v>
      </c>
      <c r="E3777" s="21">
        <f>IF(D3777="?OLD","!!!","")</f>
        <v/>
      </c>
      <c r="F3777" s="22" t="str">
        <f>IF(OR(E3777="",E3777="!!!"),"",IF(NOT(ISNA(VLOOKUP(E3777,E$1:E3776,1,FALSE()))),"OLD",IF(AND(E3777&lt;&gt;"",E3777&lt;&gt;"!!!"),"NEW","")))</f>
        <v> </v>
      </c>
      <c r="G3777" s="23" t="str">
        <f>IF(OR(E3777="",E3777="!!!"),"",IF(OR(J3777=0,AND(J3777=1,K3777=1),AND(J3777=1,I3777="SBJ"),AND(J3777=1,I3777=0)),"?IN_FOCUS",IF(J3777&lt;=2,"?ACTIVATED",IF(J3777&lt;&gt;"","?FAMILIAR",IF(F3777="NEW",IF(ISNA(VLOOKUP(E3777,#REF!,1,FALSE())),"?TYPE_IDENTIFIABLE","?REFERENTIAL"),"_")))))</f>
        <v> </v>
      </c>
      <c r="H3777" s="24" t="str">
        <f>IF(J3777&lt;&gt;1,"",IF(I3777="SBJ","CB","?"))</f>
        <v> </v>
      </c>
      <c r="I3777" s="25" t="str">
        <f>IF(OR(E3777="",E3777="!!!",F3777="NEW"),"",INDEX(B3776:B$2,-1+SUMPRODUCT(MAX(ROW(E3776:E$2)*(E3777=E3776:E$2)))))</f>
        <v> </v>
      </c>
      <c r="J3777" s="25" t="str">
        <f>IF(OR(E3777="",E3777="!!!",F3777="NEW"),"",COUNTBLANK(OFFSET(A$1,,,SUMPRODUCT(MAX(ROW(E$2:E3777)*(E3777=E$2:E3777)))))-COUNTBLANK(OFFSET(A$1,,,SUMPRODUCT(MAX(ROW(E$1:E3776)*(E2=E$1:E3776))))))</f>
        <v> </v>
      </c>
      <c r="K3777" s="25" t="str">
        <f>IF(OR(E3777="",E3777="!!!",F3777="NEW"),"",INDEX(J$1:J3776,SUMPRODUCT(MAX(ROW(E$1:E3776)*(E3777=E$1:E3776)))))</f>
        <v> </v>
      </c>
      <c r="L3777" s="26"/>
    </row>
    <row r="3778" spans="1:12">
      <c r="A3778" s="20" t="s">
        <v>903</v>
      </c>
      <c r="B3778" s="27" t="s">
        <v>815</v>
      </c>
      <c r="C3778" s="27" t="s">
        <v>797</v>
      </c>
      <c r="D3778" s="27" t="s">
        <v>762</v>
      </c>
      <c r="E3778" s="21">
        <f>IF(D3778="?OLD","!!!","")</f>
        <v/>
      </c>
      <c r="F3778" s="22" t="str">
        <f>IF(OR(E3778="",E3778="!!!"),"",IF(NOT(ISNA(VLOOKUP(E3778,E$1:E3777,1,FALSE()))),"OLD",IF(AND(E3778&lt;&gt;"",E3778&lt;&gt;"!!!"),"NEW","")))</f>
        <v> </v>
      </c>
      <c r="G3778" s="23" t="str">
        <f>IF(OR(E3778="",E3778="!!!"),"",IF(OR(J3778=0,AND(J3778=1,K3778=1),AND(J3778=1,I3778="SBJ"),AND(J3778=1,I3778=0)),"?IN_FOCUS",IF(J3778&lt;=2,"?ACTIVATED",IF(J3778&lt;&gt;"","?FAMILIAR",IF(F3778="NEW",IF(ISNA(VLOOKUP(E3778,#REF!,1,FALSE())),"?TYPE_IDENTIFIABLE","?REFERENTIAL"),"_")))))</f>
        <v> </v>
      </c>
      <c r="H3778" s="24" t="str">
        <f>IF(J3778&lt;&gt;1,"",IF(I3778="SBJ","CB","?"))</f>
        <v> </v>
      </c>
      <c r="I3778" s="25" t="str">
        <f>IF(OR(E3778="",E3778="!!!",F3778="NEW"),"",INDEX(B3777:B$2,-1+SUMPRODUCT(MAX(ROW(E3777:E$2)*(E3778=E3777:E$2)))))</f>
        <v> </v>
      </c>
      <c r="J3778" s="25" t="str">
        <f>IF(OR(E3778="",E3778="!!!",F3778="NEW"),"",COUNTBLANK(OFFSET(A$1,,,SUMPRODUCT(MAX(ROW(E$2:E3778)*(E3778=E$2:E3778)))))-COUNTBLANK(OFFSET(A$1,,,SUMPRODUCT(MAX(ROW(E$1:E3777)*(E2=E$1:E3777))))))</f>
        <v> </v>
      </c>
      <c r="K3778" s="25" t="str">
        <f>IF(OR(E3778="",E3778="!!!",F3778="NEW"),"",INDEX(J$1:J3777,SUMPRODUCT(MAX(ROW(E$1:E3777)*(E3778=E$1:E3777)))))</f>
        <v> </v>
      </c>
      <c r="L3778" s="26"/>
    </row>
    <row r="3779" spans="1:12">
      <c r="A3779" s="20" t="s">
        <v>751</v>
      </c>
      <c r="B3779" s="27" t="s">
        <v>772</v>
      </c>
      <c r="C3779" s="27" t="s">
        <v>820</v>
      </c>
      <c r="D3779" s="27" t="s">
        <v>762</v>
      </c>
      <c r="E3779" s="21">
        <f>IF(D3779="?OLD","!!!","")</f>
        <v/>
      </c>
      <c r="F3779" s="22" t="str">
        <f>IF(OR(E3779="",E3779="!!!"),"",IF(NOT(ISNA(VLOOKUP(E3779,E$1:E3778,1,FALSE()))),"OLD",IF(AND(E3779&lt;&gt;"",E3779&lt;&gt;"!!!"),"NEW","")))</f>
        <v> </v>
      </c>
      <c r="G3779" s="23" t="str">
        <f>IF(OR(E3779="",E3779="!!!"),"",IF(OR(J3779=0,AND(J3779=1,K3779=1),AND(J3779=1,I3779="SBJ"),AND(J3779=1,I3779=0)),"?IN_FOCUS",IF(J3779&lt;=2,"?ACTIVATED",IF(J3779&lt;&gt;"","?FAMILIAR",IF(F3779="NEW",IF(ISNA(VLOOKUP(E3779,#REF!,1,FALSE())),"?TYPE_IDENTIFIABLE","?REFERENTIAL"),"_")))))</f>
        <v> </v>
      </c>
      <c r="H3779" s="24" t="str">
        <f>IF(J3779&lt;&gt;1,"",IF(I3779="SBJ","CB","?"))</f>
        <v> </v>
      </c>
      <c r="I3779" s="25" t="str">
        <f>IF(OR(E3779="",E3779="!!!",F3779="NEW"),"",INDEX(B3778:B$2,-1+SUMPRODUCT(MAX(ROW(E3778:E$2)*(E3779=E3778:E$2)))))</f>
        <v> </v>
      </c>
      <c r="J3779" s="25" t="str">
        <f>IF(OR(E3779="",E3779="!!!",F3779="NEW"),"",COUNTBLANK(OFFSET(A$1,,,SUMPRODUCT(MAX(ROW(E$2:E3779)*(E3779=E$2:E3779)))))-COUNTBLANK(OFFSET(A$1,,,SUMPRODUCT(MAX(ROW(E$1:E3778)*(E2=E$1:E3778))))))</f>
        <v> </v>
      </c>
      <c r="K3779" s="25" t="str">
        <f>IF(OR(E3779="",E3779="!!!",F3779="NEW"),"",INDEX(J$1:J3778,SUMPRODUCT(MAX(ROW(E$1:E3778)*(E3779=E$1:E3778)))))</f>
        <v> </v>
      </c>
      <c r="L3779" s="26"/>
    </row>
    <row r="3780" spans="1:12">
      <c r="A3780" s="20" t="s">
        <v>586</v>
      </c>
      <c r="E3780" s="21">
        <f>IF(D3780="?OLD","!!!","")</f>
        <v/>
      </c>
      <c r="F3780" s="22" t="str">
        <f>IF(OR(E3780="",E3780="!!!"),"",IF(NOT(ISNA(VLOOKUP(E3780,E$1:E3779,1,FALSE()))),"OLD",IF(AND(E3780&lt;&gt;"",E3780&lt;&gt;"!!!"),"NEW","")))</f>
        <v> </v>
      </c>
      <c r="G3780" s="23" t="str">
        <f>IF(OR(E3780="",E3780="!!!"),"",IF(OR(J3780=0,AND(J3780=1,K3780=1),AND(J3780=1,I3780="SBJ"),AND(J3780=1,I3780=0)),"?IN_FOCUS",IF(J3780&lt;=2,"?ACTIVATED",IF(J3780&lt;&gt;"","?FAMILIAR",IF(F3780="NEW",IF(ISNA(VLOOKUP(E3780,#REF!,1,FALSE())),"?TYPE_IDENTIFIABLE","?REFERENTIAL"),"_")))))</f>
        <v> </v>
      </c>
      <c r="H3780" s="24" t="str">
        <f>IF(J3780&lt;&gt;1,"",IF(I3780="SBJ","CB","?"))</f>
        <v> </v>
      </c>
      <c r="I3780" s="25" t="str">
        <f>IF(OR(E3780="",E3780="!!!",F3780="NEW"),"",INDEX(B3779:B$2,-1+SUMPRODUCT(MAX(ROW(E3779:E$2)*(E3780=E3779:E$2)))))</f>
        <v> </v>
      </c>
      <c r="J3780" s="25" t="str">
        <f>IF(OR(E3780="",E3780="!!!",F3780="NEW"),"",COUNTBLANK(OFFSET(A$1,,,SUMPRODUCT(MAX(ROW(E$2:E3780)*(E3780=E$2:E3780)))))-COUNTBLANK(OFFSET(A$1,,,SUMPRODUCT(MAX(ROW(E$1:E3779)*(E2=E$1:E3779))))))</f>
        <v> </v>
      </c>
      <c r="K3780" s="25" t="str">
        <f>IF(OR(E3780="",E3780="!!!",F3780="NEW"),"",INDEX(J$1:J3779,SUMPRODUCT(MAX(ROW(E$1:E3779)*(E3780=E$1:E3779)))))</f>
        <v> </v>
      </c>
      <c r="L3780" s="26"/>
    </row>
    <row r="3781" spans="1:12">
      <c r="A3781" s="20" t="s">
        <v>779</v>
      </c>
      <c r="E3781" s="21">
        <f>IF(D3781="?OLD","!!!","")</f>
        <v/>
      </c>
      <c r="F3781" s="22" t="str">
        <f>IF(OR(E3781="",E3781="!!!"),"",IF(NOT(ISNA(VLOOKUP(E3781,E$1:E3780,1,FALSE()))),"OLD",IF(AND(E3781&lt;&gt;"",E3781&lt;&gt;"!!!"),"NEW","")))</f>
        <v> </v>
      </c>
      <c r="G3781" s="23" t="str">
        <f>IF(OR(E3781="",E3781="!!!"),"",IF(OR(J3781=0,AND(J3781=1,K3781=1),AND(J3781=1,I3781="SBJ"),AND(J3781=1,I3781=0)),"?IN_FOCUS",IF(J3781&lt;=2,"?ACTIVATED",IF(J3781&lt;&gt;"","?FAMILIAR",IF(F3781="NEW",IF(ISNA(VLOOKUP(E3781,#REF!,1,FALSE())),"?TYPE_IDENTIFIABLE","?REFERENTIAL"),"_")))))</f>
        <v> </v>
      </c>
      <c r="H3781" s="24" t="str">
        <f>IF(J3781&lt;&gt;1,"",IF(I3781="SBJ","CB","?"))</f>
        <v> </v>
      </c>
      <c r="I3781" s="25" t="str">
        <f>IF(OR(E3781="",E3781="!!!",F3781="NEW"),"",INDEX(B3780:B$2,-1+SUMPRODUCT(MAX(ROW(E3780:E$2)*(E3781=E3780:E$2)))))</f>
        <v> </v>
      </c>
      <c r="J3781" s="25" t="str">
        <f>IF(OR(E3781="",E3781="!!!",F3781="NEW"),"",COUNTBLANK(OFFSET(A$1,,,SUMPRODUCT(MAX(ROW(E$2:E3781)*(E3781=E$2:E3781)))))-COUNTBLANK(OFFSET(A$1,,,SUMPRODUCT(MAX(ROW(E$1:E3780)*(E2=E$1:E3780))))))</f>
        <v> </v>
      </c>
      <c r="K3781" s="25" t="str">
        <f>IF(OR(E3781="",E3781="!!!",F3781="NEW"),"",INDEX(J$1:J3780,SUMPRODUCT(MAX(ROW(E$1:E3780)*(E3781=E$1:E3780)))))</f>
        <v> </v>
      </c>
      <c r="L3781" s="26"/>
    </row>
    <row r="3782" spans="1:12">
      <c r="A3782" s="20" t="s">
        <v>946</v>
      </c>
      <c r="B3782" s="27" t="s">
        <v>767</v>
      </c>
      <c r="C3782" s="27" t="s">
        <v>768</v>
      </c>
      <c r="E3782" s="21">
        <f>IF(D3782="?OLD","!!!","")</f>
        <v/>
      </c>
      <c r="F3782" s="22" t="str">
        <f>IF(OR(E3782="",E3782="!!!"),"",IF(NOT(ISNA(VLOOKUP(E3782,E$1:E3781,1,FALSE()))),"OLD",IF(AND(E3782&lt;&gt;"",E3782&lt;&gt;"!!!"),"NEW","")))</f>
        <v> </v>
      </c>
      <c r="G3782" s="23" t="str">
        <f>IF(OR(E3782="",E3782="!!!"),"",IF(OR(J3782=0,AND(J3782=1,K3782=1),AND(J3782=1,I3782="SBJ"),AND(J3782=1,I3782=0)),"?IN_FOCUS",IF(J3782&lt;=2,"?ACTIVATED",IF(J3782&lt;&gt;"","?FAMILIAR",IF(F3782="NEW",IF(ISNA(VLOOKUP(E3782,#REF!,1,FALSE())),"?TYPE_IDENTIFIABLE","?REFERENTIAL"),"_")))))</f>
        <v> </v>
      </c>
      <c r="H3782" s="24" t="str">
        <f>IF(J3782&lt;&gt;1,"",IF(I3782="SBJ","CB","?"))</f>
        <v> </v>
      </c>
      <c r="I3782" s="25" t="str">
        <f>IF(OR(E3782="",E3782="!!!",F3782="NEW"),"",INDEX(B3781:B$2,-1+SUMPRODUCT(MAX(ROW(E3781:E$2)*(E3782=E3781:E$2)))))</f>
        <v> </v>
      </c>
      <c r="J3782" s="25" t="str">
        <f>IF(OR(E3782="",E3782="!!!",F3782="NEW"),"",COUNTBLANK(OFFSET(A$1,,,SUMPRODUCT(MAX(ROW(E$2:E3782)*(E3782=E$2:E3782)))))-COUNTBLANK(OFFSET(A$1,,,SUMPRODUCT(MAX(ROW(E$1:E3781)*(E2=E$1:E3781))))))</f>
        <v> </v>
      </c>
      <c r="K3782" s="25" t="str">
        <f>IF(OR(E3782="",E3782="!!!",F3782="NEW"),"",INDEX(J$1:J3781,SUMPRODUCT(MAX(ROW(E$1:E3781)*(E3782=E$1:E3781)))))</f>
        <v> </v>
      </c>
      <c r="L3782" s="26"/>
    </row>
    <row r="3783" spans="1:12">
      <c r="A3783" s="20" t="s">
        <v>757</v>
      </c>
      <c r="E3783" s="21">
        <f>IF(D3783="?OLD","!!!","")</f>
        <v/>
      </c>
      <c r="F3783" s="22" t="str">
        <f>IF(OR(E3783="",E3783="!!!"),"",IF(NOT(ISNA(VLOOKUP(E3783,E$1:E3782,1,FALSE()))),"OLD",IF(AND(E3783&lt;&gt;"",E3783&lt;&gt;"!!!"),"NEW","")))</f>
        <v> </v>
      </c>
      <c r="G3783" s="23" t="str">
        <f>IF(OR(E3783="",E3783="!!!"),"",IF(OR(J3783=0,AND(J3783=1,K3783=1),AND(J3783=1,I3783="SBJ"),AND(J3783=1,I3783=0)),"?IN_FOCUS",IF(J3783&lt;=2,"?ACTIVATED",IF(J3783&lt;&gt;"","?FAMILIAR",IF(F3783="NEW",IF(ISNA(VLOOKUP(E3783,#REF!,1,FALSE())),"?TYPE_IDENTIFIABLE","?REFERENTIAL"),"_")))))</f>
        <v> </v>
      </c>
      <c r="H3783" s="24" t="str">
        <f>IF(J3783&lt;&gt;1,"",IF(I3783="SBJ","CB","?"))</f>
        <v> </v>
      </c>
      <c r="I3783" s="25" t="str">
        <f>IF(OR(E3783="",E3783="!!!",F3783="NEW"),"",INDEX(B3782:B$2,-1+SUMPRODUCT(MAX(ROW(E3782:E$2)*(E3783=E3782:E$2)))))</f>
        <v> </v>
      </c>
      <c r="J3783" s="25" t="str">
        <f>IF(OR(E3783="",E3783="!!!",F3783="NEW"),"",COUNTBLANK(OFFSET(A$1,,,SUMPRODUCT(MAX(ROW(E$2:E3783)*(E3783=E$2:E3783)))))-COUNTBLANK(OFFSET(A$1,,,SUMPRODUCT(MAX(ROW(E$1:E3782)*(E2=E$1:E3782))))))</f>
        <v> </v>
      </c>
      <c r="K3783" s="25" t="str">
        <f>IF(OR(E3783="",E3783="!!!",F3783="NEW"),"",INDEX(J$1:J3782,SUMPRODUCT(MAX(ROW(E$1:E3782)*(E3783=E$1:E3782)))))</f>
        <v> </v>
      </c>
      <c r="L3783" s="26"/>
    </row>
    <row r="3784" spans="1:12">
      <c r="A3784" s="20" t="s">
        <v>769</v>
      </c>
      <c r="E3784" s="21">
        <f>IF(D3784="?OLD","!!!","")</f>
        <v/>
      </c>
      <c r="F3784" s="22" t="str">
        <f>IF(OR(E3784="",E3784="!!!"),"",IF(NOT(ISNA(VLOOKUP(E3784,E$1:E3783,1,FALSE()))),"OLD",IF(AND(E3784&lt;&gt;"",E3784&lt;&gt;"!!!"),"NEW","")))</f>
        <v> </v>
      </c>
      <c r="G3784" s="23" t="str">
        <f>IF(OR(E3784="",E3784="!!!"),"",IF(OR(J3784=0,AND(J3784=1,K3784=1),AND(J3784=1,I3784="SBJ"),AND(J3784=1,I3784=0)),"?IN_FOCUS",IF(J3784&lt;=2,"?ACTIVATED",IF(J3784&lt;&gt;"","?FAMILIAR",IF(F3784="NEW",IF(ISNA(VLOOKUP(E3784,#REF!,1,FALSE())),"?TYPE_IDENTIFIABLE","?REFERENTIAL"),"_")))))</f>
        <v> </v>
      </c>
      <c r="H3784" s="24" t="str">
        <f>IF(J3784&lt;&gt;1,"",IF(I3784="SBJ","CB","?"))</f>
        <v> </v>
      </c>
      <c r="I3784" s="25" t="str">
        <f>IF(OR(E3784="",E3784="!!!",F3784="NEW"),"",INDEX(B3783:B$2,-1+SUMPRODUCT(MAX(ROW(E3783:E$2)*(E3784=E3783:E$2)))))</f>
        <v> </v>
      </c>
      <c r="J3784" s="25" t="str">
        <f>IF(OR(E3784="",E3784="!!!",F3784="NEW"),"",COUNTBLANK(OFFSET(A$1,,,SUMPRODUCT(MAX(ROW(E$2:E3784)*(E3784=E$2:E3784)))))-COUNTBLANK(OFFSET(A$1,,,SUMPRODUCT(MAX(ROW(E$1:E3783)*(E2=E$1:E3783))))))</f>
        <v> </v>
      </c>
      <c r="K3784" s="25" t="str">
        <f>IF(OR(E3784="",E3784="!!!",F3784="NEW"),"",INDEX(J$1:J3783,SUMPRODUCT(MAX(ROW(E$1:E3783)*(E3784=E$1:E3783)))))</f>
        <v> </v>
      </c>
      <c r="L3784" s="26"/>
    </row>
    <row r="3785" spans="1:12">
      <c r="A3785" s="20" t="s">
        <v>1843</v>
      </c>
      <c r="E3785" s="21">
        <f>IF(D3785="?OLD","!!!","")</f>
        <v/>
      </c>
      <c r="F3785" s="22" t="str">
        <f>IF(OR(E3785="",E3785="!!!"),"",IF(NOT(ISNA(VLOOKUP(E3785,E$1:E3784,1,FALSE()))),"OLD",IF(AND(E3785&lt;&gt;"",E3785&lt;&gt;"!!!"),"NEW","")))</f>
        <v> </v>
      </c>
      <c r="G3785" s="23" t="str">
        <f>IF(OR(E3785="",E3785="!!!"),"",IF(OR(J3785=0,AND(J3785=1,K3785=1),AND(J3785=1,I3785="SBJ"),AND(J3785=1,I3785=0)),"?IN_FOCUS",IF(J3785&lt;=2,"?ACTIVATED",IF(J3785&lt;&gt;"","?FAMILIAR",IF(F3785="NEW",IF(ISNA(VLOOKUP(E3785,#REF!,1,FALSE())),"?TYPE_IDENTIFIABLE","?REFERENTIAL"),"_")))))</f>
        <v> </v>
      </c>
      <c r="H3785" s="24" t="str">
        <f>IF(J3785&lt;&gt;1,"",IF(I3785="SBJ","CB","?"))</f>
        <v> </v>
      </c>
      <c r="I3785" s="25" t="str">
        <f>IF(OR(E3785="",E3785="!!!",F3785="NEW"),"",INDEX(B3784:B$2,-1+SUMPRODUCT(MAX(ROW(E3784:E$2)*(E3785=E3784:E$2)))))</f>
        <v> </v>
      </c>
      <c r="J3785" s="25" t="str">
        <f>IF(OR(E3785="",E3785="!!!",F3785="NEW"),"",COUNTBLANK(OFFSET(A$1,,,SUMPRODUCT(MAX(ROW(E$2:E3785)*(E3785=E$2:E3785)))))-COUNTBLANK(OFFSET(A$1,,,SUMPRODUCT(MAX(ROW(E$1:E3784)*(E2=E$1:E3784))))))</f>
        <v> </v>
      </c>
      <c r="K3785" s="25" t="str">
        <f>IF(OR(E3785="",E3785="!!!",F3785="NEW"),"",INDEX(J$1:J3784,SUMPRODUCT(MAX(ROW(E$1:E3784)*(E3785=E$1:E3784)))))</f>
        <v> </v>
      </c>
      <c r="L3785" s="26"/>
    </row>
    <row r="3786" spans="1:12">
      <c r="A3786" s="20" t="s">
        <v>943</v>
      </c>
      <c r="B3786" s="27" t="s">
        <v>753</v>
      </c>
      <c r="C3786" s="27" t="s">
        <v>768</v>
      </c>
      <c r="E3786" s="21">
        <f>IF(D3786="?OLD","!!!","")</f>
        <v/>
      </c>
      <c r="F3786" s="22" t="str">
        <f>IF(OR(E3786="",E3786="!!!"),"",IF(NOT(ISNA(VLOOKUP(E3786,E$1:E3785,1,FALSE()))),"OLD",IF(AND(E3786&lt;&gt;"",E3786&lt;&gt;"!!!"),"NEW","")))</f>
        <v> </v>
      </c>
      <c r="G3786" s="23" t="str">
        <f>IF(OR(E3786="",E3786="!!!"),"",IF(OR(J3786=0,AND(J3786=1,K3786=1),AND(J3786=1,I3786="SBJ"),AND(J3786=1,I3786=0)),"?IN_FOCUS",IF(J3786&lt;=2,"?ACTIVATED",IF(J3786&lt;&gt;"","?FAMILIAR",IF(F3786="NEW",IF(ISNA(VLOOKUP(E3786,#REF!,1,FALSE())),"?TYPE_IDENTIFIABLE","?REFERENTIAL"),"_")))))</f>
        <v> </v>
      </c>
      <c r="H3786" s="24" t="str">
        <f>IF(J3786&lt;&gt;1,"",IF(I3786="SBJ","CB","?"))</f>
        <v> </v>
      </c>
      <c r="I3786" s="25" t="str">
        <f>IF(OR(E3786="",E3786="!!!",F3786="NEW"),"",INDEX(B3785:B$2,-1+SUMPRODUCT(MAX(ROW(E3785:E$2)*(E3786=E3785:E$2)))))</f>
        <v> </v>
      </c>
      <c r="J3786" s="25" t="str">
        <f>IF(OR(E3786="",E3786="!!!",F3786="NEW"),"",COUNTBLANK(OFFSET(A$1,,,SUMPRODUCT(MAX(ROW(E$2:E3786)*(E3786=E$2:E3786)))))-COUNTBLANK(OFFSET(A$1,,,SUMPRODUCT(MAX(ROW(E$1:E3785)*(E2=E$1:E3785))))))</f>
        <v> </v>
      </c>
      <c r="K3786" s="25" t="str">
        <f>IF(OR(E3786="",E3786="!!!",F3786="NEW"),"",INDEX(J$1:J3785,SUMPRODUCT(MAX(ROW(E$1:E3785)*(E3786=E$1:E3785)))))</f>
        <v> </v>
      </c>
      <c r="L3786" s="26"/>
    </row>
    <row r="3787" spans="1:12">
      <c r="A3787" s="20" t="s">
        <v>16</v>
      </c>
      <c r="E3787" s="21">
        <f>IF(D3787="?OLD","!!!","")</f>
        <v/>
      </c>
      <c r="F3787" s="22" t="str">
        <f>IF(OR(E3787="",E3787="!!!"),"",IF(NOT(ISNA(VLOOKUP(E3787,E$1:E3786,1,FALSE()))),"OLD",IF(AND(E3787&lt;&gt;"",E3787&lt;&gt;"!!!"),"NEW","")))</f>
        <v> </v>
      </c>
      <c r="G3787" s="23" t="str">
        <f>IF(OR(E3787="",E3787="!!!"),"",IF(OR(J3787=0,AND(J3787=1,K3787=1),AND(J3787=1,I3787="SBJ"),AND(J3787=1,I3787=0)),"?IN_FOCUS",IF(J3787&lt;=2,"?ACTIVATED",IF(J3787&lt;&gt;"","?FAMILIAR",IF(F3787="NEW",IF(ISNA(VLOOKUP(E3787,#REF!,1,FALSE())),"?TYPE_IDENTIFIABLE","?REFERENTIAL"),"_")))))</f>
        <v> </v>
      </c>
      <c r="H3787" s="24" t="str">
        <f>IF(J3787&lt;&gt;1,"",IF(I3787="SBJ","CB","?"))</f>
        <v> </v>
      </c>
      <c r="I3787" s="25" t="str">
        <f>IF(OR(E3787="",E3787="!!!",F3787="NEW"),"",INDEX(B3786:B$2,-1+SUMPRODUCT(MAX(ROW(E3786:E$2)*(E3787=E3786:E$2)))))</f>
        <v> </v>
      </c>
      <c r="J3787" s="25" t="str">
        <f>IF(OR(E3787="",E3787="!!!",F3787="NEW"),"",COUNTBLANK(OFFSET(A$1,,,SUMPRODUCT(MAX(ROW(E$2:E3787)*(E3787=E$2:E3787)))))-COUNTBLANK(OFFSET(A$1,,,SUMPRODUCT(MAX(ROW(E$1:E3786)*(E2=E$1:E3786))))))</f>
        <v> </v>
      </c>
      <c r="K3787" s="25" t="str">
        <f>IF(OR(E3787="",E3787="!!!",F3787="NEW"),"",INDEX(J$1:J3786,SUMPRODUCT(MAX(ROW(E$1:E3786)*(E3787=E$1:E3786)))))</f>
        <v> </v>
      </c>
      <c r="L3787" s="26"/>
    </row>
    <row r="3788" spans="1:12">
      <c r="A3788" s="20" t="s">
        <v>16</v>
      </c>
      <c r="E3788" s="21">
        <f>IF(D3788="?OLD","!!!","")</f>
        <v/>
      </c>
      <c r="F3788" s="22" t="str">
        <f>IF(OR(E3788="",E3788="!!!"),"",IF(NOT(ISNA(VLOOKUP(E3788,E$1:E3787,1,FALSE()))),"OLD",IF(AND(E3788&lt;&gt;"",E3788&lt;&gt;"!!!"),"NEW","")))</f>
        <v> </v>
      </c>
      <c r="G3788" s="23" t="str">
        <f>IF(OR(E3788="",E3788="!!!"),"",IF(OR(J3788=0,AND(J3788=1,K3788=1),AND(J3788=1,I3788="SBJ"),AND(J3788=1,I3788=0)),"?IN_FOCUS",IF(J3788&lt;=2,"?ACTIVATED",IF(J3788&lt;&gt;"","?FAMILIAR",IF(F3788="NEW",IF(ISNA(VLOOKUP(E3788,#REF!,1,FALSE())),"?TYPE_IDENTIFIABLE","?REFERENTIAL"),"_")))))</f>
        <v> </v>
      </c>
      <c r="H3788" s="24" t="str">
        <f>IF(J3788&lt;&gt;1,"",IF(I3788="SBJ","CB","?"))</f>
        <v> </v>
      </c>
      <c r="I3788" s="25" t="str">
        <f>IF(OR(E3788="",E3788="!!!",F3788="NEW"),"",INDEX(B3787:B$2,-1+SUMPRODUCT(MAX(ROW(E3787:E$2)*(E3788=E3787:E$2)))))</f>
        <v> </v>
      </c>
      <c r="J3788" s="25" t="str">
        <f>IF(OR(E3788="",E3788="!!!",F3788="NEW"),"",COUNTBLANK(OFFSET(A$1,,,SUMPRODUCT(MAX(ROW(E$2:E3788)*(E3788=E$2:E3788)))))-COUNTBLANK(OFFSET(A$1,,,SUMPRODUCT(MAX(ROW(E$1:E3787)*(E2=E$1:E3787))))))</f>
        <v> </v>
      </c>
      <c r="K3788" s="25" t="str">
        <f>IF(OR(E3788="",E3788="!!!",F3788="NEW"),"",INDEX(J$1:J3787,SUMPRODUCT(MAX(ROW(E$1:E3787)*(E3788=E$1:E3787)))))</f>
        <v> </v>
      </c>
      <c r="L3788" s="26"/>
    </row>
    <row r="3789" spans="1:12">
      <c r="A3789" s="20" t="s">
        <v>960</v>
      </c>
      <c r="E3789" s="21">
        <f>IF(D3789="?OLD","!!!","")</f>
        <v/>
      </c>
      <c r="F3789" s="22" t="str">
        <f>IF(OR(E3789="",E3789="!!!"),"",IF(NOT(ISNA(VLOOKUP(E3789,E$1:E3788,1,FALSE()))),"OLD",IF(AND(E3789&lt;&gt;"",E3789&lt;&gt;"!!!"),"NEW","")))</f>
        <v> </v>
      </c>
      <c r="G3789" s="23" t="str">
        <f>IF(OR(E3789="",E3789="!!!"),"",IF(OR(J3789=0,AND(J3789=1,K3789=1),AND(J3789=1,I3789="SBJ"),AND(J3789=1,I3789=0)),"?IN_FOCUS",IF(J3789&lt;=2,"?ACTIVATED",IF(J3789&lt;&gt;"","?FAMILIAR",IF(F3789="NEW",IF(ISNA(VLOOKUP(E3789,#REF!,1,FALSE())),"?TYPE_IDENTIFIABLE","?REFERENTIAL"),"_")))))</f>
        <v> </v>
      </c>
      <c r="H3789" s="24" t="str">
        <f>IF(J3789&lt;&gt;1,"",IF(I3789="SBJ","CB","?"))</f>
        <v> </v>
      </c>
      <c r="I3789" s="25" t="str">
        <f>IF(OR(E3789="",E3789="!!!",F3789="NEW"),"",INDEX(B3788:B$2,-1+SUMPRODUCT(MAX(ROW(E3788:E$2)*(E3789=E3788:E$2)))))</f>
        <v> </v>
      </c>
      <c r="J3789" s="25" t="str">
        <f>IF(OR(E3789="",E3789="!!!",F3789="NEW"),"",COUNTBLANK(OFFSET(A$1,,,SUMPRODUCT(MAX(ROW(E$2:E3789)*(E3789=E$2:E3789)))))-COUNTBLANK(OFFSET(A$1,,,SUMPRODUCT(MAX(ROW(E$1:E3788)*(E2=E$1:E3788))))))</f>
        <v> </v>
      </c>
      <c r="K3789" s="25" t="str">
        <f>IF(OR(E3789="",E3789="!!!",F3789="NEW"),"",INDEX(J$1:J3788,SUMPRODUCT(MAX(ROW(E$1:E3788)*(E3789=E$1:E3788)))))</f>
        <v> </v>
      </c>
      <c r="L3789" s="26"/>
    </row>
    <row r="3790" spans="1:12">
      <c r="A3790" s="20" t="s">
        <v>1844</v>
      </c>
      <c r="E3790" s="21">
        <f>IF(D3790="?OLD","!!!","")</f>
        <v/>
      </c>
      <c r="F3790" s="22" t="str">
        <f>IF(OR(E3790="",E3790="!!!"),"",IF(NOT(ISNA(VLOOKUP(E3790,E$1:E3789,1,FALSE()))),"OLD",IF(AND(E3790&lt;&gt;"",E3790&lt;&gt;"!!!"),"NEW","")))</f>
        <v> </v>
      </c>
      <c r="G3790" s="23" t="str">
        <f>IF(OR(E3790="",E3790="!!!"),"",IF(OR(J3790=0,AND(J3790=1,K3790=1),AND(J3790=1,I3790="SBJ"),AND(J3790=1,I3790=0)),"?IN_FOCUS",IF(J3790&lt;=2,"?ACTIVATED",IF(J3790&lt;&gt;"","?FAMILIAR",IF(F3790="NEW",IF(ISNA(VLOOKUP(E3790,#REF!,1,FALSE())),"?TYPE_IDENTIFIABLE","?REFERENTIAL"),"_")))))</f>
        <v> </v>
      </c>
      <c r="H3790" s="24" t="str">
        <f>IF(J3790&lt;&gt;1,"",IF(I3790="SBJ","CB","?"))</f>
        <v> </v>
      </c>
      <c r="I3790" s="25" t="str">
        <f>IF(OR(E3790="",E3790="!!!",F3790="NEW"),"",INDEX(B3789:B$2,-1+SUMPRODUCT(MAX(ROW(E3789:E$2)*(E3790=E3789:E$2)))))</f>
        <v> </v>
      </c>
      <c r="J3790" s="25" t="str">
        <f>IF(OR(E3790="",E3790="!!!",F3790="NEW"),"",COUNTBLANK(OFFSET(A$1,,,SUMPRODUCT(MAX(ROW(E$2:E3790)*(E3790=E$2:E3790)))))-COUNTBLANK(OFFSET(A$1,,,SUMPRODUCT(MAX(ROW(E$1:E3789)*(E2=E$1:E3789))))))</f>
        <v> </v>
      </c>
      <c r="K3790" s="25" t="str">
        <f>IF(OR(E3790="",E3790="!!!",F3790="NEW"),"",INDEX(J$1:J3789,SUMPRODUCT(MAX(ROW(E$1:E3789)*(E3790=E$1:E3789)))))</f>
        <v> </v>
      </c>
      <c r="L3790" s="26"/>
    </row>
    <row r="3791" spans="1:12">
      <c r="A3791" s="20" t="s">
        <v>757</v>
      </c>
      <c r="E3791" s="21">
        <f>IF(D3791="?OLD","!!!","")</f>
        <v/>
      </c>
      <c r="F3791" s="22" t="str">
        <f>IF(OR(E3791="",E3791="!!!"),"",IF(NOT(ISNA(VLOOKUP(E3791,E$1:E3790,1,FALSE()))),"OLD",IF(AND(E3791&lt;&gt;"",E3791&lt;&gt;"!!!"),"NEW","")))</f>
        <v> </v>
      </c>
      <c r="G3791" s="23" t="str">
        <f>IF(OR(E3791="",E3791="!!!"),"",IF(OR(J3791=0,AND(J3791=1,K3791=1),AND(J3791=1,I3791="SBJ"),AND(J3791=1,I3791=0)),"?IN_FOCUS",IF(J3791&lt;=2,"?ACTIVATED",IF(J3791&lt;&gt;"","?FAMILIAR",IF(F3791="NEW",IF(ISNA(VLOOKUP(E3791,#REF!,1,FALSE())),"?TYPE_IDENTIFIABLE","?REFERENTIAL"),"_")))))</f>
        <v> </v>
      </c>
      <c r="H3791" s="24" t="str">
        <f>IF(J3791&lt;&gt;1,"",IF(I3791="SBJ","CB","?"))</f>
        <v> </v>
      </c>
      <c r="I3791" s="25" t="str">
        <f>IF(OR(E3791="",E3791="!!!",F3791="NEW"),"",INDEX(B3790:B$2,-1+SUMPRODUCT(MAX(ROW(E3790:E$2)*(E3791=E3790:E$2)))))</f>
        <v> </v>
      </c>
      <c r="J3791" s="25" t="str">
        <f>IF(OR(E3791="",E3791="!!!",F3791="NEW"),"",COUNTBLANK(OFFSET(A$1,,,SUMPRODUCT(MAX(ROW(E$2:E3791)*(E3791=E$2:E3791)))))-COUNTBLANK(OFFSET(A$1,,,SUMPRODUCT(MAX(ROW(E$1:E3790)*(E2=E$1:E3790))))))</f>
        <v> </v>
      </c>
      <c r="K3791" s="25" t="str">
        <f>IF(OR(E3791="",E3791="!!!",F3791="NEW"),"",INDEX(J$1:J3790,SUMPRODUCT(MAX(ROW(E$1:E3790)*(E3791=E$1:E3790)))))</f>
        <v> </v>
      </c>
      <c r="L3791" s="26"/>
    </row>
    <row r="3792" spans="1:12">
      <c r="A3792" s="20" t="s">
        <v>960</v>
      </c>
      <c r="E3792" s="21">
        <f>IF(D3792="?OLD","!!!","")</f>
        <v/>
      </c>
      <c r="F3792" s="22" t="str">
        <f>IF(OR(E3792="",E3792="!!!"),"",IF(NOT(ISNA(VLOOKUP(E3792,E$1:E3791,1,FALSE()))),"OLD",IF(AND(E3792&lt;&gt;"",E3792&lt;&gt;"!!!"),"NEW","")))</f>
        <v> </v>
      </c>
      <c r="G3792" s="23" t="str">
        <f>IF(OR(E3792="",E3792="!!!"),"",IF(OR(J3792=0,AND(J3792=1,K3792=1),AND(J3792=1,I3792="SBJ"),AND(J3792=1,I3792=0)),"?IN_FOCUS",IF(J3792&lt;=2,"?ACTIVATED",IF(J3792&lt;&gt;"","?FAMILIAR",IF(F3792="NEW",IF(ISNA(VLOOKUP(E3792,#REF!,1,FALSE())),"?TYPE_IDENTIFIABLE","?REFERENTIAL"),"_")))))</f>
        <v> </v>
      </c>
      <c r="H3792" s="24" t="str">
        <f>IF(J3792&lt;&gt;1,"",IF(I3792="SBJ","CB","?"))</f>
        <v> </v>
      </c>
      <c r="I3792" s="25" t="str">
        <f>IF(OR(E3792="",E3792="!!!",F3792="NEW"),"",INDEX(B3791:B$2,-1+SUMPRODUCT(MAX(ROW(E3791:E$2)*(E3792=E3791:E$2)))))</f>
        <v> </v>
      </c>
      <c r="J3792" s="25" t="str">
        <f>IF(OR(E3792="",E3792="!!!",F3792="NEW"),"",COUNTBLANK(OFFSET(A$1,,,SUMPRODUCT(MAX(ROW(E$2:E3792)*(E3792=E$2:E3792)))))-COUNTBLANK(OFFSET(A$1,,,SUMPRODUCT(MAX(ROW(E$1:E3791)*(E2=E$1:E3791))))))</f>
        <v> </v>
      </c>
      <c r="K3792" s="25" t="str">
        <f>IF(OR(E3792="",E3792="!!!",F3792="NEW"),"",INDEX(J$1:J3791,SUMPRODUCT(MAX(ROW(E$1:E3791)*(E3792=E$1:E3791)))))</f>
        <v> </v>
      </c>
      <c r="L3792" s="26"/>
    </row>
    <row r="3793" spans="1:12">
      <c r="A3793" s="20" t="s">
        <v>1845</v>
      </c>
      <c r="E3793" s="21">
        <f>IF(D3793="?OLD","!!!","")</f>
        <v/>
      </c>
      <c r="F3793" s="22" t="str">
        <f>IF(OR(E3793="",E3793="!!!"),"",IF(NOT(ISNA(VLOOKUP(E3793,E$1:E3792,1,FALSE()))),"OLD",IF(AND(E3793&lt;&gt;"",E3793&lt;&gt;"!!!"),"NEW","")))</f>
        <v> </v>
      </c>
      <c r="G3793" s="23" t="str">
        <f>IF(OR(E3793="",E3793="!!!"),"",IF(OR(J3793=0,AND(J3793=1,K3793=1),AND(J3793=1,I3793="SBJ"),AND(J3793=1,I3793=0)),"?IN_FOCUS",IF(J3793&lt;=2,"?ACTIVATED",IF(J3793&lt;&gt;"","?FAMILIAR",IF(F3793="NEW",IF(ISNA(VLOOKUP(E3793,#REF!,1,FALSE())),"?TYPE_IDENTIFIABLE","?REFERENTIAL"),"_")))))</f>
        <v> </v>
      </c>
      <c r="H3793" s="24" t="str">
        <f>IF(J3793&lt;&gt;1,"",IF(I3793="SBJ","CB","?"))</f>
        <v> </v>
      </c>
      <c r="I3793" s="25" t="str">
        <f>IF(OR(E3793="",E3793="!!!",F3793="NEW"),"",INDEX(B3792:B$2,-1+SUMPRODUCT(MAX(ROW(E3792:E$2)*(E3793=E3792:E$2)))))</f>
        <v> </v>
      </c>
      <c r="J3793" s="25" t="str">
        <f>IF(OR(E3793="",E3793="!!!",F3793="NEW"),"",COUNTBLANK(OFFSET(A$1,,,SUMPRODUCT(MAX(ROW(E$2:E3793)*(E3793=E$2:E3793)))))-COUNTBLANK(OFFSET(A$1,,,SUMPRODUCT(MAX(ROW(E$1:E3792)*(E2=E$1:E3792))))))</f>
        <v> </v>
      </c>
      <c r="K3793" s="25" t="str">
        <f>IF(OR(E3793="",E3793="!!!",F3793="NEW"),"",INDEX(J$1:J3792,SUMPRODUCT(MAX(ROW(E$1:E3792)*(E3793=E$1:E3792)))))</f>
        <v> </v>
      </c>
      <c r="L3793" s="26"/>
    </row>
    <row r="3794" spans="1:12">
      <c r="A3794" s="20" t="s">
        <v>757</v>
      </c>
      <c r="E3794" s="21">
        <f>IF(D3794="?OLD","!!!","")</f>
        <v/>
      </c>
      <c r="F3794" s="22" t="str">
        <f>IF(OR(E3794="",E3794="!!!"),"",IF(NOT(ISNA(VLOOKUP(E3794,E$1:E3793,1,FALSE()))),"OLD",IF(AND(E3794&lt;&gt;"",E3794&lt;&gt;"!!!"),"NEW","")))</f>
        <v> </v>
      </c>
      <c r="G3794" s="23" t="str">
        <f>IF(OR(E3794="",E3794="!!!"),"",IF(OR(J3794=0,AND(J3794=1,K3794=1),AND(J3794=1,I3794="SBJ"),AND(J3794=1,I3794=0)),"?IN_FOCUS",IF(J3794&lt;=2,"?ACTIVATED",IF(J3794&lt;&gt;"","?FAMILIAR",IF(F3794="NEW",IF(ISNA(VLOOKUP(E3794,#REF!,1,FALSE())),"?TYPE_IDENTIFIABLE","?REFERENTIAL"),"_")))))</f>
        <v> </v>
      </c>
      <c r="H3794" s="24" t="str">
        <f>IF(J3794&lt;&gt;1,"",IF(I3794="SBJ","CB","?"))</f>
        <v> </v>
      </c>
      <c r="I3794" s="25" t="str">
        <f>IF(OR(E3794="",E3794="!!!",F3794="NEW"),"",INDEX(B3793:B$2,-1+SUMPRODUCT(MAX(ROW(E3793:E$2)*(E3794=E3793:E$2)))))</f>
        <v> </v>
      </c>
      <c r="J3794" s="25" t="str">
        <f>IF(OR(E3794="",E3794="!!!",F3794="NEW"),"",COUNTBLANK(OFFSET(A$1,,,SUMPRODUCT(MAX(ROW(E$2:E3794)*(E3794=E$2:E3794)))))-COUNTBLANK(OFFSET(A$1,,,SUMPRODUCT(MAX(ROW(E$1:E3793)*(E2=E$1:E3793))))))</f>
        <v> </v>
      </c>
      <c r="K3794" s="25" t="str">
        <f>IF(OR(E3794="",E3794="!!!",F3794="NEW"),"",INDEX(J$1:J3793,SUMPRODUCT(MAX(ROW(E$1:E3793)*(E3794=E$1:E3793)))))</f>
        <v> </v>
      </c>
      <c r="L3794" s="26"/>
    </row>
    <row r="3795" spans="1:12">
      <c r="A3795" s="20" t="s">
        <v>960</v>
      </c>
      <c r="E3795" s="21">
        <f>IF(D3795="?OLD","!!!","")</f>
        <v/>
      </c>
      <c r="F3795" s="22" t="str">
        <f>IF(OR(E3795="",E3795="!!!"),"",IF(NOT(ISNA(VLOOKUP(E3795,E$1:E3794,1,FALSE()))),"OLD",IF(AND(E3795&lt;&gt;"",E3795&lt;&gt;"!!!"),"NEW","")))</f>
        <v> </v>
      </c>
      <c r="G3795" s="23" t="str">
        <f>IF(OR(E3795="",E3795="!!!"),"",IF(OR(J3795=0,AND(J3795=1,K3795=1),AND(J3795=1,I3795="SBJ"),AND(J3795=1,I3795=0)),"?IN_FOCUS",IF(J3795&lt;=2,"?ACTIVATED",IF(J3795&lt;&gt;"","?FAMILIAR",IF(F3795="NEW",IF(ISNA(VLOOKUP(E3795,#REF!,1,FALSE())),"?TYPE_IDENTIFIABLE","?REFERENTIAL"),"_")))))</f>
        <v> </v>
      </c>
      <c r="H3795" s="24" t="str">
        <f>IF(J3795&lt;&gt;1,"",IF(I3795="SBJ","CB","?"))</f>
        <v> </v>
      </c>
      <c r="I3795" s="25" t="str">
        <f>IF(OR(E3795="",E3795="!!!",F3795="NEW"),"",INDEX(B3794:B$2,-1+SUMPRODUCT(MAX(ROW(E3794:E$2)*(E3795=E3794:E$2)))))</f>
        <v> </v>
      </c>
      <c r="J3795" s="25" t="str">
        <f>IF(OR(E3795="",E3795="!!!",F3795="NEW"),"",COUNTBLANK(OFFSET(A$1,,,SUMPRODUCT(MAX(ROW(E$2:E3795)*(E3795=E$2:E3795)))))-COUNTBLANK(OFFSET(A$1,,,SUMPRODUCT(MAX(ROW(E$1:E3794)*(E2=E$1:E3794))))))</f>
        <v> </v>
      </c>
      <c r="K3795" s="25" t="str">
        <f>IF(OR(E3795="",E3795="!!!",F3795="NEW"),"",INDEX(J$1:J3794,SUMPRODUCT(MAX(ROW(E$1:E3794)*(E3795=E$1:E3794)))))</f>
        <v> </v>
      </c>
      <c r="L3795" s="26"/>
    </row>
    <row r="3796" spans="1:12">
      <c r="A3796" s="20" t="s">
        <v>1846</v>
      </c>
      <c r="E3796" s="21">
        <f>IF(D3796="?OLD","!!!","")</f>
        <v/>
      </c>
      <c r="F3796" s="22" t="str">
        <f>IF(OR(E3796="",E3796="!!!"),"",IF(NOT(ISNA(VLOOKUP(E3796,E$1:E3795,1,FALSE()))),"OLD",IF(AND(E3796&lt;&gt;"",E3796&lt;&gt;"!!!"),"NEW","")))</f>
        <v> </v>
      </c>
      <c r="G3796" s="23" t="str">
        <f>IF(OR(E3796="",E3796="!!!"),"",IF(OR(J3796=0,AND(J3796=1,K3796=1),AND(J3796=1,I3796="SBJ"),AND(J3796=1,I3796=0)),"?IN_FOCUS",IF(J3796&lt;=2,"?ACTIVATED",IF(J3796&lt;&gt;"","?FAMILIAR",IF(F3796="NEW",IF(ISNA(VLOOKUP(E3796,#REF!,1,FALSE())),"?TYPE_IDENTIFIABLE","?REFERENTIAL"),"_")))))</f>
        <v> </v>
      </c>
      <c r="H3796" s="24" t="str">
        <f>IF(J3796&lt;&gt;1,"",IF(I3796="SBJ","CB","?"))</f>
        <v> </v>
      </c>
      <c r="I3796" s="25" t="str">
        <f>IF(OR(E3796="",E3796="!!!",F3796="NEW"),"",INDEX(B3795:B$2,-1+SUMPRODUCT(MAX(ROW(E3795:E$2)*(E3796=E3795:E$2)))))</f>
        <v> </v>
      </c>
      <c r="J3796" s="25" t="str">
        <f>IF(OR(E3796="",E3796="!!!",F3796="NEW"),"",COUNTBLANK(OFFSET(A$1,,,SUMPRODUCT(MAX(ROW(E$2:E3796)*(E3796=E$2:E3796)))))-COUNTBLANK(OFFSET(A$1,,,SUMPRODUCT(MAX(ROW(E$1:E3795)*(E2=E$1:E3795))))))</f>
        <v> </v>
      </c>
      <c r="K3796" s="25" t="str">
        <f>IF(OR(E3796="",E3796="!!!",F3796="NEW"),"",INDEX(J$1:J3795,SUMPRODUCT(MAX(ROW(E$1:E3795)*(E3796=E$1:E3795)))))</f>
        <v> </v>
      </c>
      <c r="L3796" s="26"/>
    </row>
    <row r="3797" spans="1:12">
      <c r="A3797" s="20" t="s">
        <v>757</v>
      </c>
      <c r="E3797" s="21">
        <f>IF(D3797="?OLD","!!!","")</f>
        <v/>
      </c>
      <c r="F3797" s="22" t="str">
        <f>IF(OR(E3797="",E3797="!!!"),"",IF(NOT(ISNA(VLOOKUP(E3797,E$1:E3796,1,FALSE()))),"OLD",IF(AND(E3797&lt;&gt;"",E3797&lt;&gt;"!!!"),"NEW","")))</f>
        <v> </v>
      </c>
      <c r="G3797" s="23" t="str">
        <f>IF(OR(E3797="",E3797="!!!"),"",IF(OR(J3797=0,AND(J3797=1,K3797=1),AND(J3797=1,I3797="SBJ"),AND(J3797=1,I3797=0)),"?IN_FOCUS",IF(J3797&lt;=2,"?ACTIVATED",IF(J3797&lt;&gt;"","?FAMILIAR",IF(F3797="NEW",IF(ISNA(VLOOKUP(E3797,#REF!,1,FALSE())),"?TYPE_IDENTIFIABLE","?REFERENTIAL"),"_")))))</f>
        <v> </v>
      </c>
      <c r="H3797" s="24" t="str">
        <f>IF(J3797&lt;&gt;1,"",IF(I3797="SBJ","CB","?"))</f>
        <v> </v>
      </c>
      <c r="I3797" s="25" t="str">
        <f>IF(OR(E3797="",E3797="!!!",F3797="NEW"),"",INDEX(B3796:B$2,-1+SUMPRODUCT(MAX(ROW(E3796:E$2)*(E3797=E3796:E$2)))))</f>
        <v> </v>
      </c>
      <c r="J3797" s="25" t="str">
        <f>IF(OR(E3797="",E3797="!!!",F3797="NEW"),"",COUNTBLANK(OFFSET(A$1,,,SUMPRODUCT(MAX(ROW(E$2:E3797)*(E3797=E$2:E3797)))))-COUNTBLANK(OFFSET(A$1,,,SUMPRODUCT(MAX(ROW(E$1:E3796)*(E2=E$1:E3796))))))</f>
        <v> </v>
      </c>
      <c r="K3797" s="25" t="str">
        <f>IF(OR(E3797="",E3797="!!!",F3797="NEW"),"",INDEX(J$1:J3796,SUMPRODUCT(MAX(ROW(E$1:E3796)*(E3797=E$1:E3796)))))</f>
        <v> </v>
      </c>
      <c r="L3797" s="26"/>
    </row>
    <row r="3798" spans="1:12">
      <c r="A3798" s="20" t="s">
        <v>960</v>
      </c>
      <c r="E3798" s="21">
        <f>IF(D3798="?OLD","!!!","")</f>
        <v/>
      </c>
      <c r="F3798" s="22" t="str">
        <f>IF(OR(E3798="",E3798="!!!"),"",IF(NOT(ISNA(VLOOKUP(E3798,E$1:E3797,1,FALSE()))),"OLD",IF(AND(E3798&lt;&gt;"",E3798&lt;&gt;"!!!"),"NEW","")))</f>
        <v> </v>
      </c>
      <c r="G3798" s="23" t="str">
        <f>IF(OR(E3798="",E3798="!!!"),"",IF(OR(J3798=0,AND(J3798=1,K3798=1),AND(J3798=1,I3798="SBJ"),AND(J3798=1,I3798=0)),"?IN_FOCUS",IF(J3798&lt;=2,"?ACTIVATED",IF(J3798&lt;&gt;"","?FAMILIAR",IF(F3798="NEW",IF(ISNA(VLOOKUP(E3798,#REF!,1,FALSE())),"?TYPE_IDENTIFIABLE","?REFERENTIAL"),"_")))))</f>
        <v> </v>
      </c>
      <c r="H3798" s="24" t="str">
        <f>IF(J3798&lt;&gt;1,"",IF(I3798="SBJ","CB","?"))</f>
        <v> </v>
      </c>
      <c r="I3798" s="25" t="str">
        <f>IF(OR(E3798="",E3798="!!!",F3798="NEW"),"",INDEX(B3797:B$2,-1+SUMPRODUCT(MAX(ROW(E3797:E$2)*(E3798=E3797:E$2)))))</f>
        <v> </v>
      </c>
      <c r="J3798" s="25" t="str">
        <f>IF(OR(E3798="",E3798="!!!",F3798="NEW"),"",COUNTBLANK(OFFSET(A$1,,,SUMPRODUCT(MAX(ROW(E$2:E3798)*(E3798=E$2:E3798)))))-COUNTBLANK(OFFSET(A$1,,,SUMPRODUCT(MAX(ROW(E$1:E3797)*(E2=E$1:E3797))))))</f>
        <v> </v>
      </c>
      <c r="K3798" s="25" t="str">
        <f>IF(OR(E3798="",E3798="!!!",F3798="NEW"),"",INDEX(J$1:J3797,SUMPRODUCT(MAX(ROW(E$1:E3797)*(E3798=E$1:E3797)))))</f>
        <v> </v>
      </c>
      <c r="L3798" s="26"/>
    </row>
    <row r="3799" spans="1:12">
      <c r="A3799" s="20" t="s">
        <v>1847</v>
      </c>
      <c r="E3799" s="21">
        <f>IF(D3799="?OLD","!!!","")</f>
        <v/>
      </c>
      <c r="F3799" s="22" t="str">
        <f>IF(OR(E3799="",E3799="!!!"),"",IF(NOT(ISNA(VLOOKUP(E3799,E$1:E3798,1,FALSE()))),"OLD",IF(AND(E3799&lt;&gt;"",E3799&lt;&gt;"!!!"),"NEW","")))</f>
        <v> </v>
      </c>
      <c r="G3799" s="23" t="str">
        <f>IF(OR(E3799="",E3799="!!!"),"",IF(OR(J3799=0,AND(J3799=1,K3799=1),AND(J3799=1,I3799="SBJ"),AND(J3799=1,I3799=0)),"?IN_FOCUS",IF(J3799&lt;=2,"?ACTIVATED",IF(J3799&lt;&gt;"","?FAMILIAR",IF(F3799="NEW",IF(ISNA(VLOOKUP(E3799,#REF!,1,FALSE())),"?TYPE_IDENTIFIABLE","?REFERENTIAL"),"_")))))</f>
        <v> </v>
      </c>
      <c r="H3799" s="24" t="str">
        <f>IF(J3799&lt;&gt;1,"",IF(I3799="SBJ","CB","?"))</f>
        <v> </v>
      </c>
      <c r="I3799" s="25" t="str">
        <f>IF(OR(E3799="",E3799="!!!",F3799="NEW"),"",INDEX(B3798:B$2,-1+SUMPRODUCT(MAX(ROW(E3798:E$2)*(E3799=E3798:E$2)))))</f>
        <v> </v>
      </c>
      <c r="J3799" s="25" t="str">
        <f>IF(OR(E3799="",E3799="!!!",F3799="NEW"),"",COUNTBLANK(OFFSET(A$1,,,SUMPRODUCT(MAX(ROW(E$2:E3799)*(E3799=E$2:E3799)))))-COUNTBLANK(OFFSET(A$1,,,SUMPRODUCT(MAX(ROW(E$1:E3798)*(E2=E$1:E3798))))))</f>
        <v> </v>
      </c>
      <c r="K3799" s="25" t="str">
        <f>IF(OR(E3799="",E3799="!!!",F3799="NEW"),"",INDEX(J$1:J3798,SUMPRODUCT(MAX(ROW(E$1:E3798)*(E3799=E$1:E3798)))))</f>
        <v> </v>
      </c>
      <c r="L3799" s="26"/>
    </row>
    <row r="3800" spans="1:12">
      <c r="A3800" s="20" t="s">
        <v>16</v>
      </c>
      <c r="E3800" s="21">
        <f>IF(D3800="?OLD","!!!","")</f>
        <v/>
      </c>
      <c r="F3800" s="22" t="str">
        <f>IF(OR(E3800="",E3800="!!!"),"",IF(NOT(ISNA(VLOOKUP(E3800,E$1:E3799,1,FALSE()))),"OLD",IF(AND(E3800&lt;&gt;"",E3800&lt;&gt;"!!!"),"NEW","")))</f>
        <v> </v>
      </c>
      <c r="G3800" s="23" t="str">
        <f>IF(OR(E3800="",E3800="!!!"),"",IF(OR(J3800=0,AND(J3800=1,K3800=1),AND(J3800=1,I3800="SBJ"),AND(J3800=1,I3800=0)),"?IN_FOCUS",IF(J3800&lt;=2,"?ACTIVATED",IF(J3800&lt;&gt;"","?FAMILIAR",IF(F3800="NEW",IF(ISNA(VLOOKUP(E3800,#REF!,1,FALSE())),"?TYPE_IDENTIFIABLE","?REFERENTIAL"),"_")))))</f>
        <v> </v>
      </c>
      <c r="H3800" s="24" t="str">
        <f>IF(J3800&lt;&gt;1,"",IF(I3800="SBJ","CB","?"))</f>
        <v> </v>
      </c>
      <c r="I3800" s="25" t="str">
        <f>IF(OR(E3800="",E3800="!!!",F3800="NEW"),"",INDEX(B3799:B$2,-1+SUMPRODUCT(MAX(ROW(E3799:E$2)*(E3800=E3799:E$2)))))</f>
        <v> </v>
      </c>
      <c r="J3800" s="25" t="str">
        <f>IF(OR(E3800="",E3800="!!!",F3800="NEW"),"",COUNTBLANK(OFFSET(A$1,,,SUMPRODUCT(MAX(ROW(E$2:E3800)*(E3800=E$2:E3800)))))-COUNTBLANK(OFFSET(A$1,,,SUMPRODUCT(MAX(ROW(E$1:E3799)*(E2=E$1:E3799))))))</f>
        <v> </v>
      </c>
      <c r="K3800" s="25" t="str">
        <f>IF(OR(E3800="",E3800="!!!",F3800="NEW"),"",INDEX(J$1:J3799,SUMPRODUCT(MAX(ROW(E$1:E3799)*(E3800=E$1:E3799)))))</f>
        <v> </v>
      </c>
      <c r="L3800" s="26"/>
    </row>
    <row r="3801" spans="1:12">
      <c r="A3801" s="20" t="s">
        <v>16</v>
      </c>
      <c r="E3801" s="21">
        <f>IF(D3801="?OLD","!!!","")</f>
        <v/>
      </c>
      <c r="F3801" s="22" t="str">
        <f>IF(OR(E3801="",E3801="!!!"),"",IF(NOT(ISNA(VLOOKUP(E3801,E$1:E3800,1,FALSE()))),"OLD",IF(AND(E3801&lt;&gt;"",E3801&lt;&gt;"!!!"),"NEW","")))</f>
        <v> </v>
      </c>
      <c r="G3801" s="23" t="str">
        <f>IF(OR(E3801="",E3801="!!!"),"",IF(OR(J3801=0,AND(J3801=1,K3801=1),AND(J3801=1,I3801="SBJ"),AND(J3801=1,I3801=0)),"?IN_FOCUS",IF(J3801&lt;=2,"?ACTIVATED",IF(J3801&lt;&gt;"","?FAMILIAR",IF(F3801="NEW",IF(ISNA(VLOOKUP(E3801,#REF!,1,FALSE())),"?TYPE_IDENTIFIABLE","?REFERENTIAL"),"_")))))</f>
        <v> </v>
      </c>
      <c r="H3801" s="24" t="str">
        <f>IF(J3801&lt;&gt;1,"",IF(I3801="SBJ","CB","?"))</f>
        <v> </v>
      </c>
      <c r="I3801" s="25" t="str">
        <f>IF(OR(E3801="",E3801="!!!",F3801="NEW"),"",INDEX(B3800:B$2,-1+SUMPRODUCT(MAX(ROW(E3800:E$2)*(E3801=E3800:E$2)))))</f>
        <v> </v>
      </c>
      <c r="J3801" s="25" t="str">
        <f>IF(OR(E3801="",E3801="!!!",F3801="NEW"),"",COUNTBLANK(OFFSET(A$1,,,SUMPRODUCT(MAX(ROW(E$2:E3801)*(E3801=E$2:E3801)))))-COUNTBLANK(OFFSET(A$1,,,SUMPRODUCT(MAX(ROW(E$1:E3800)*(E2=E$1:E3800))))))</f>
        <v> </v>
      </c>
      <c r="K3801" s="25" t="str">
        <f>IF(OR(E3801="",E3801="!!!",F3801="NEW"),"",INDEX(J$1:J3800,SUMPRODUCT(MAX(ROW(E$1:E3800)*(E3801=E$1:E3800)))))</f>
        <v> </v>
      </c>
      <c r="L3801" s="26"/>
    </row>
    <row r="3802" spans="1:12">
      <c r="A3802" s="20" t="s">
        <v>869</v>
      </c>
      <c r="B3802" s="27" t="s">
        <v>796</v>
      </c>
      <c r="C3802" s="27" t="s">
        <v>797</v>
      </c>
      <c r="D3802" s="27" t="s">
        <v>762</v>
      </c>
      <c r="E3802" s="21">
        <f>IF(D3802="?OLD","!!!","")</f>
        <v/>
      </c>
      <c r="F3802" s="22" t="str">
        <f>IF(OR(E3802="",E3802="!!!"),"",IF(NOT(ISNA(VLOOKUP(E3802,E$1:E3801,1,FALSE()))),"OLD",IF(AND(E3802&lt;&gt;"",E3802&lt;&gt;"!!!"),"NEW","")))</f>
        <v> </v>
      </c>
      <c r="G3802" s="23" t="str">
        <f>IF(OR(E3802="",E3802="!!!"),"",IF(OR(J3802=0,AND(J3802=1,K3802=1),AND(J3802=1,I3802="SBJ"),AND(J3802=1,I3802=0)),"?IN_FOCUS",IF(J3802&lt;=2,"?ACTIVATED",IF(J3802&lt;&gt;"","?FAMILIAR",IF(F3802="NEW",IF(ISNA(VLOOKUP(E3802,#REF!,1,FALSE())),"?TYPE_IDENTIFIABLE","?REFERENTIAL"),"_")))))</f>
        <v> </v>
      </c>
      <c r="H3802" s="24" t="str">
        <f>IF(J3802&lt;&gt;1,"",IF(I3802="SBJ","CB","?"))</f>
        <v> </v>
      </c>
      <c r="I3802" s="25" t="str">
        <f>IF(OR(E3802="",E3802="!!!",F3802="NEW"),"",INDEX(B3801:B$2,-1+SUMPRODUCT(MAX(ROW(E3801:E$2)*(E3802=E3801:E$2)))))</f>
        <v> </v>
      </c>
      <c r="J3802" s="25" t="str">
        <f>IF(OR(E3802="",E3802="!!!",F3802="NEW"),"",COUNTBLANK(OFFSET(A$1,,,SUMPRODUCT(MAX(ROW(E$2:E3802)*(E3802=E$2:E3802)))))-COUNTBLANK(OFFSET(A$1,,,SUMPRODUCT(MAX(ROW(E$1:E3801)*(E2=E$1:E3801))))))</f>
        <v> </v>
      </c>
      <c r="K3802" s="25" t="str">
        <f>IF(OR(E3802="",E3802="!!!",F3802="NEW"),"",INDEX(J$1:J3801,SUMPRODUCT(MAX(ROW(E$1:E3801)*(E3802=E$1:E3801)))))</f>
        <v> </v>
      </c>
      <c r="L3802" s="26"/>
    </row>
    <row r="3803" spans="1:12">
      <c r="A3803" s="20" t="s">
        <v>903</v>
      </c>
      <c r="B3803" s="27" t="s">
        <v>802</v>
      </c>
      <c r="C3803" s="27" t="s">
        <v>797</v>
      </c>
      <c r="D3803" s="27" t="s">
        <v>762</v>
      </c>
      <c r="E3803" s="21">
        <f>IF(D3803="?OLD","!!!","")</f>
        <v/>
      </c>
      <c r="F3803" s="22" t="str">
        <f>IF(OR(E3803="",E3803="!!!"),"",IF(NOT(ISNA(VLOOKUP(E3803,E$1:E3802,1,FALSE()))),"OLD",IF(AND(E3803&lt;&gt;"",E3803&lt;&gt;"!!!"),"NEW","")))</f>
        <v> </v>
      </c>
      <c r="G3803" s="23" t="str">
        <f>IF(OR(E3803="",E3803="!!!"),"",IF(OR(J3803=0,AND(J3803=1,K3803=1),AND(J3803=1,I3803="SBJ"),AND(J3803=1,I3803=0)),"?IN_FOCUS",IF(J3803&lt;=2,"?ACTIVATED",IF(J3803&lt;&gt;"","?FAMILIAR",IF(F3803="NEW",IF(ISNA(VLOOKUP(E3803,#REF!,1,FALSE())),"?TYPE_IDENTIFIABLE","?REFERENTIAL"),"_")))))</f>
        <v> </v>
      </c>
      <c r="H3803" s="24" t="str">
        <f>IF(J3803&lt;&gt;1,"",IF(I3803="SBJ","CB","?"))</f>
        <v> </v>
      </c>
      <c r="I3803" s="25" t="str">
        <f>IF(OR(E3803="",E3803="!!!",F3803="NEW"),"",INDEX(B3802:B$2,-1+SUMPRODUCT(MAX(ROW(E3802:E$2)*(E3803=E3802:E$2)))))</f>
        <v> </v>
      </c>
      <c r="J3803" s="25" t="str">
        <f>IF(OR(E3803="",E3803="!!!",F3803="NEW"),"",COUNTBLANK(OFFSET(A$1,,,SUMPRODUCT(MAX(ROW(E$2:E3803)*(E3803=E$2:E3803)))))-COUNTBLANK(OFFSET(A$1,,,SUMPRODUCT(MAX(ROW(E$1:E3802)*(E2=E$1:E3802))))))</f>
        <v> </v>
      </c>
      <c r="K3803" s="25" t="str">
        <f>IF(OR(E3803="",E3803="!!!",F3803="NEW"),"",INDEX(J$1:J3802,SUMPRODUCT(MAX(ROW(E$1:E3802)*(E3803=E$1:E3802)))))</f>
        <v> </v>
      </c>
      <c r="L3803" s="26"/>
    </row>
    <row r="3804" spans="1:12">
      <c r="A3804" s="20" t="s">
        <v>1848</v>
      </c>
      <c r="E3804" s="21">
        <f>IF(D3804="?OLD","!!!","")</f>
        <v/>
      </c>
      <c r="F3804" s="22" t="str">
        <f>IF(OR(E3804="",E3804="!!!"),"",IF(NOT(ISNA(VLOOKUP(E3804,E$1:E3803,1,FALSE()))),"OLD",IF(AND(E3804&lt;&gt;"",E3804&lt;&gt;"!!!"),"NEW","")))</f>
        <v> </v>
      </c>
      <c r="G3804" s="23" t="str">
        <f>IF(OR(E3804="",E3804="!!!"),"",IF(OR(J3804=0,AND(J3804=1,K3804=1),AND(J3804=1,I3804="SBJ"),AND(J3804=1,I3804=0)),"?IN_FOCUS",IF(J3804&lt;=2,"?ACTIVATED",IF(J3804&lt;&gt;"","?FAMILIAR",IF(F3804="NEW",IF(ISNA(VLOOKUP(E3804,#REF!,1,FALSE())),"?TYPE_IDENTIFIABLE","?REFERENTIAL"),"_")))))</f>
        <v> </v>
      </c>
      <c r="H3804" s="24" t="str">
        <f>IF(J3804&lt;&gt;1,"",IF(I3804="SBJ","CB","?"))</f>
        <v> </v>
      </c>
      <c r="I3804" s="25" t="str">
        <f>IF(OR(E3804="",E3804="!!!",F3804="NEW"),"",INDEX(B3803:B$2,-1+SUMPRODUCT(MAX(ROW(E3803:E$2)*(E3804=E3803:E$2)))))</f>
        <v> </v>
      </c>
      <c r="J3804" s="25" t="str">
        <f>IF(OR(E3804="",E3804="!!!",F3804="NEW"),"",COUNTBLANK(OFFSET(A$1,,,SUMPRODUCT(MAX(ROW(E$2:E3804)*(E3804=E$2:E3804)))))-COUNTBLANK(OFFSET(A$1,,,SUMPRODUCT(MAX(ROW(E$1:E3803)*(E2=E$1:E3803))))))</f>
        <v> </v>
      </c>
      <c r="K3804" s="25" t="str">
        <f>IF(OR(E3804="",E3804="!!!",F3804="NEW"),"",INDEX(J$1:J3803,SUMPRODUCT(MAX(ROW(E$1:E3803)*(E3804=E$1:E3803)))))</f>
        <v> </v>
      </c>
      <c r="L3804" s="26"/>
    </row>
    <row r="3805" spans="1:12">
      <c r="A3805" s="20" t="s">
        <v>785</v>
      </c>
      <c r="E3805" s="21">
        <f>IF(D3805="?OLD","!!!","")</f>
        <v/>
      </c>
      <c r="F3805" s="22" t="str">
        <f>IF(OR(E3805="",E3805="!!!"),"",IF(NOT(ISNA(VLOOKUP(E3805,E$1:E3804,1,FALSE()))),"OLD",IF(AND(E3805&lt;&gt;"",E3805&lt;&gt;"!!!"),"NEW","")))</f>
        <v> </v>
      </c>
      <c r="G3805" s="23" t="str">
        <f>IF(OR(E3805="",E3805="!!!"),"",IF(OR(J3805=0,AND(J3805=1,K3805=1),AND(J3805=1,I3805="SBJ"),AND(J3805=1,I3805=0)),"?IN_FOCUS",IF(J3805&lt;=2,"?ACTIVATED",IF(J3805&lt;&gt;"","?FAMILIAR",IF(F3805="NEW",IF(ISNA(VLOOKUP(E3805,#REF!,1,FALSE())),"?TYPE_IDENTIFIABLE","?REFERENTIAL"),"_")))))</f>
        <v> </v>
      </c>
      <c r="H3805" s="24" t="str">
        <f>IF(J3805&lt;&gt;1,"",IF(I3805="SBJ","CB","?"))</f>
        <v> </v>
      </c>
      <c r="I3805" s="25" t="str">
        <f>IF(OR(E3805="",E3805="!!!",F3805="NEW"),"",INDEX(B3804:B$2,-1+SUMPRODUCT(MAX(ROW(E3804:E$2)*(E3805=E3804:E$2)))))</f>
        <v> </v>
      </c>
      <c r="J3805" s="25" t="str">
        <f>IF(OR(E3805="",E3805="!!!",F3805="NEW"),"",COUNTBLANK(OFFSET(A$1,,,SUMPRODUCT(MAX(ROW(E$2:E3805)*(E3805=E$2:E3805)))))-COUNTBLANK(OFFSET(A$1,,,SUMPRODUCT(MAX(ROW(E$1:E3804)*(E2=E$1:E3804))))))</f>
        <v> </v>
      </c>
      <c r="K3805" s="25" t="str">
        <f>IF(OR(E3805="",E3805="!!!",F3805="NEW"),"",INDEX(J$1:J3804,SUMPRODUCT(MAX(ROW(E$1:E3804)*(E3805=E$1:E3804)))))</f>
        <v> </v>
      </c>
      <c r="L3805" s="26"/>
    </row>
    <row r="3806" spans="1:12">
      <c r="A3806" s="20" t="s">
        <v>838</v>
      </c>
      <c r="E3806" s="21">
        <f>IF(D3806="?OLD","!!!","")</f>
        <v/>
      </c>
      <c r="F3806" s="22" t="str">
        <f>IF(OR(E3806="",E3806="!!!"),"",IF(NOT(ISNA(VLOOKUP(E3806,E$1:E3805,1,FALSE()))),"OLD",IF(AND(E3806&lt;&gt;"",E3806&lt;&gt;"!!!"),"NEW","")))</f>
        <v> </v>
      </c>
      <c r="G3806" s="23" t="str">
        <f>IF(OR(E3806="",E3806="!!!"),"",IF(OR(J3806=0,AND(J3806=1,K3806=1),AND(J3806=1,I3806="SBJ"),AND(J3806=1,I3806=0)),"?IN_FOCUS",IF(J3806&lt;=2,"?ACTIVATED",IF(J3806&lt;&gt;"","?FAMILIAR",IF(F3806="NEW",IF(ISNA(VLOOKUP(E3806,#REF!,1,FALSE())),"?TYPE_IDENTIFIABLE","?REFERENTIAL"),"_")))))</f>
        <v> </v>
      </c>
      <c r="H3806" s="24" t="str">
        <f>IF(J3806&lt;&gt;1,"",IF(I3806="SBJ","CB","?"))</f>
        <v> </v>
      </c>
      <c r="I3806" s="25" t="str">
        <f>IF(OR(E3806="",E3806="!!!",F3806="NEW"),"",INDEX(B3805:B$2,-1+SUMPRODUCT(MAX(ROW(E3805:E$2)*(E3806=E3805:E$2)))))</f>
        <v> </v>
      </c>
      <c r="J3806" s="25" t="str">
        <f>IF(OR(E3806="",E3806="!!!",F3806="NEW"),"",COUNTBLANK(OFFSET(A$1,,,SUMPRODUCT(MAX(ROW(E$2:E3806)*(E3806=E$2:E3806)))))-COUNTBLANK(OFFSET(A$1,,,SUMPRODUCT(MAX(ROW(E$1:E3805)*(E2=E$1:E3805))))))</f>
        <v> </v>
      </c>
      <c r="K3806" s="25" t="str">
        <f>IF(OR(E3806="",E3806="!!!",F3806="NEW"),"",INDEX(J$1:J3805,SUMPRODUCT(MAX(ROW(E$1:E3805)*(E3806=E$1:E3805)))))</f>
        <v> </v>
      </c>
      <c r="L3806" s="26"/>
    </row>
    <row r="3807" spans="1:12">
      <c r="A3807" s="20" t="s">
        <v>943</v>
      </c>
      <c r="B3807" s="27" t="s">
        <v>772</v>
      </c>
      <c r="C3807" s="27" t="s">
        <v>761</v>
      </c>
      <c r="D3807" s="27" t="s">
        <v>762</v>
      </c>
      <c r="E3807" s="21">
        <f>IF(D3807="?OLD","!!!","")</f>
        <v/>
      </c>
      <c r="F3807" s="22" t="str">
        <f>IF(OR(E3807="",E3807="!!!"),"",IF(NOT(ISNA(VLOOKUP(E3807,E$1:E3806,1,FALSE()))),"OLD",IF(AND(E3807&lt;&gt;"",E3807&lt;&gt;"!!!"),"NEW","")))</f>
        <v> </v>
      </c>
      <c r="G3807" s="23" t="str">
        <f>IF(OR(E3807="",E3807="!!!"),"",IF(OR(J3807=0,AND(J3807=1,K3807=1),AND(J3807=1,I3807="SBJ"),AND(J3807=1,I3807=0)),"?IN_FOCUS",IF(J3807&lt;=2,"?ACTIVATED",IF(J3807&lt;&gt;"","?FAMILIAR",IF(F3807="NEW",IF(ISNA(VLOOKUP(E3807,#REF!,1,FALSE())),"?TYPE_IDENTIFIABLE","?REFERENTIAL"),"_")))))</f>
        <v> </v>
      </c>
      <c r="H3807" s="24" t="str">
        <f>IF(J3807&lt;&gt;1,"",IF(I3807="SBJ","CB","?"))</f>
        <v> </v>
      </c>
      <c r="I3807" s="25" t="str">
        <f>IF(OR(E3807="",E3807="!!!",F3807="NEW"),"",INDEX(B3806:B$2,-1+SUMPRODUCT(MAX(ROW(E3806:E$2)*(E3807=E3806:E$2)))))</f>
        <v> </v>
      </c>
      <c r="J3807" s="25" t="str">
        <f>IF(OR(E3807="",E3807="!!!",F3807="NEW"),"",COUNTBLANK(OFFSET(A$1,,,SUMPRODUCT(MAX(ROW(E$2:E3807)*(E3807=E$2:E3807)))))-COUNTBLANK(OFFSET(A$1,,,SUMPRODUCT(MAX(ROW(E$1:E3806)*(E2=E$1:E3806))))))</f>
        <v> </v>
      </c>
      <c r="K3807" s="25" t="str">
        <f>IF(OR(E3807="",E3807="!!!",F3807="NEW"),"",INDEX(J$1:J3806,SUMPRODUCT(MAX(ROW(E$1:E3806)*(E3807=E$1:E3806)))))</f>
        <v> </v>
      </c>
      <c r="L3807" s="26"/>
    </row>
    <row r="3808" spans="1:12">
      <c r="A3808" s="20" t="s">
        <v>793</v>
      </c>
      <c r="B3808" s="27" t="s">
        <v>940</v>
      </c>
      <c r="E3808" s="21">
        <f>IF(D3808="?OLD","!!!","")</f>
        <v/>
      </c>
      <c r="F3808" s="22" t="str">
        <f>IF(OR(E3808="",E3808="!!!"),"",IF(NOT(ISNA(VLOOKUP(E3808,E$1:E3807,1,FALSE()))),"OLD",IF(AND(E3808&lt;&gt;"",E3808&lt;&gt;"!!!"),"NEW","")))</f>
        <v> </v>
      </c>
      <c r="G3808" s="23" t="str">
        <f>IF(OR(E3808="",E3808="!!!"),"",IF(OR(J3808=0,AND(J3808=1,K3808=1),AND(J3808=1,I3808="SBJ"),AND(J3808=1,I3808=0)),"?IN_FOCUS",IF(J3808&lt;=2,"?ACTIVATED",IF(J3808&lt;&gt;"","?FAMILIAR",IF(F3808="NEW",IF(ISNA(VLOOKUP(E3808,#REF!,1,FALSE())),"?TYPE_IDENTIFIABLE","?REFERENTIAL"),"_")))))</f>
        <v> </v>
      </c>
      <c r="H3808" s="24" t="str">
        <f>IF(J3808&lt;&gt;1,"",IF(I3808="SBJ","CB","?"))</f>
        <v> </v>
      </c>
      <c r="I3808" s="25" t="str">
        <f>IF(OR(E3808="",E3808="!!!",F3808="NEW"),"",INDEX(B3807:B$2,-1+SUMPRODUCT(MAX(ROW(E3807:E$2)*(E3808=E3807:E$2)))))</f>
        <v> </v>
      </c>
      <c r="J3808" s="25" t="str">
        <f>IF(OR(E3808="",E3808="!!!",F3808="NEW"),"",COUNTBLANK(OFFSET(A$1,,,SUMPRODUCT(MAX(ROW(E$2:E3808)*(E3808=E$2:E3808)))))-COUNTBLANK(OFFSET(A$1,,,SUMPRODUCT(MAX(ROW(E$1:E3807)*(E2=E$1:E3807))))))</f>
        <v> </v>
      </c>
      <c r="K3808" s="25" t="str">
        <f>IF(OR(E3808="",E3808="!!!",F3808="NEW"),"",INDEX(J$1:J3807,SUMPRODUCT(MAX(ROW(E$1:E3807)*(E3808=E$1:E3807)))))</f>
        <v> </v>
      </c>
      <c r="L3808" s="26"/>
    </row>
    <row r="3809" spans="1:12">
      <c r="A3809" s="20" t="s">
        <v>827</v>
      </c>
      <c r="B3809" s="27" t="s">
        <v>941</v>
      </c>
      <c r="C3809" s="27" t="s">
        <v>797</v>
      </c>
      <c r="D3809" s="27" t="s">
        <v>762</v>
      </c>
      <c r="E3809" s="21">
        <f>IF(D3809="?OLD","!!!","")</f>
        <v/>
      </c>
      <c r="F3809" s="22" t="str">
        <f>IF(OR(E3809="",E3809="!!!"),"",IF(NOT(ISNA(VLOOKUP(E3809,E$1:E3808,1,FALSE()))),"OLD",IF(AND(E3809&lt;&gt;"",E3809&lt;&gt;"!!!"),"NEW","")))</f>
        <v> </v>
      </c>
      <c r="G3809" s="23" t="str">
        <f>IF(OR(E3809="",E3809="!!!"),"",IF(OR(J3809=0,AND(J3809=1,K3809=1),AND(J3809=1,I3809="SBJ"),AND(J3809=1,I3809=0)),"?IN_FOCUS",IF(J3809&lt;=2,"?ACTIVATED",IF(J3809&lt;&gt;"","?FAMILIAR",IF(F3809="NEW",IF(ISNA(VLOOKUP(E3809,#REF!,1,FALSE())),"?TYPE_IDENTIFIABLE","?REFERENTIAL"),"_")))))</f>
        <v> </v>
      </c>
      <c r="H3809" s="24" t="str">
        <f>IF(J3809&lt;&gt;1,"",IF(I3809="SBJ","CB","?"))</f>
        <v> </v>
      </c>
      <c r="I3809" s="25" t="str">
        <f>IF(OR(E3809="",E3809="!!!",F3809="NEW"),"",INDEX(B3808:B$2,-1+SUMPRODUCT(MAX(ROW(E3808:E$2)*(E3809=E3808:E$2)))))</f>
        <v> </v>
      </c>
      <c r="J3809" s="25" t="str">
        <f>IF(OR(E3809="",E3809="!!!",F3809="NEW"),"",COUNTBLANK(OFFSET(A$1,,,SUMPRODUCT(MAX(ROW(E$2:E3809)*(E3809=E$2:E3809)))))-COUNTBLANK(OFFSET(A$1,,,SUMPRODUCT(MAX(ROW(E$1:E3808)*(E2=E$1:E3808))))))</f>
        <v> </v>
      </c>
      <c r="K3809" s="25" t="str">
        <f>IF(OR(E3809="",E3809="!!!",F3809="NEW"),"",INDEX(J$1:J3808,SUMPRODUCT(MAX(ROW(E$1:E3808)*(E3809=E$1:E3808)))))</f>
        <v> </v>
      </c>
      <c r="L3809" s="26"/>
    </row>
    <row r="3810" spans="1:12">
      <c r="A3810" s="20" t="s">
        <v>909</v>
      </c>
      <c r="E3810" s="21">
        <f>IF(D3810="?OLD","!!!","")</f>
        <v/>
      </c>
      <c r="F3810" s="22" t="str">
        <f>IF(OR(E3810="",E3810="!!!"),"",IF(NOT(ISNA(VLOOKUP(E3810,E$1:E3809,1,FALSE()))),"OLD",IF(AND(E3810&lt;&gt;"",E3810&lt;&gt;"!!!"),"NEW","")))</f>
        <v> </v>
      </c>
      <c r="G3810" s="23" t="str">
        <f>IF(OR(E3810="",E3810="!!!"),"",IF(OR(J3810=0,AND(J3810=1,K3810=1),AND(J3810=1,I3810="SBJ"),AND(J3810=1,I3810=0)),"?IN_FOCUS",IF(J3810&lt;=2,"?ACTIVATED",IF(J3810&lt;&gt;"","?FAMILIAR",IF(F3810="NEW",IF(ISNA(VLOOKUP(E3810,#REF!,1,FALSE())),"?TYPE_IDENTIFIABLE","?REFERENTIAL"),"_")))))</f>
        <v> </v>
      </c>
      <c r="H3810" s="24" t="str">
        <f>IF(J3810&lt;&gt;1,"",IF(I3810="SBJ","CB","?"))</f>
        <v> </v>
      </c>
      <c r="I3810" s="25" t="str">
        <f>IF(OR(E3810="",E3810="!!!",F3810="NEW"),"",INDEX(B3809:B$2,-1+SUMPRODUCT(MAX(ROW(E3809:E$2)*(E3810=E3809:E$2)))))</f>
        <v> </v>
      </c>
      <c r="J3810" s="25" t="str">
        <f>IF(OR(E3810="",E3810="!!!",F3810="NEW"),"",COUNTBLANK(OFFSET(A$1,,,SUMPRODUCT(MAX(ROW(E$2:E3810)*(E3810=E$2:E3810)))))-COUNTBLANK(OFFSET(A$1,,,SUMPRODUCT(MAX(ROW(E$1:E3809)*(E2=E$1:E3809))))))</f>
        <v> </v>
      </c>
      <c r="K3810" s="25" t="str">
        <f>IF(OR(E3810="",E3810="!!!",F3810="NEW"),"",INDEX(J$1:J3809,SUMPRODUCT(MAX(ROW(E$1:E3809)*(E3810=E$1:E3809)))))</f>
        <v> </v>
      </c>
      <c r="L3810" s="26"/>
    </row>
    <row r="3811" spans="1:12">
      <c r="A3811" s="20" t="s">
        <v>810</v>
      </c>
      <c r="E3811" s="21">
        <f>IF(D3811="?OLD","!!!","")</f>
        <v/>
      </c>
      <c r="F3811" s="22" t="str">
        <f>IF(OR(E3811="",E3811="!!!"),"",IF(NOT(ISNA(VLOOKUP(E3811,E$1:E3810,1,FALSE()))),"OLD",IF(AND(E3811&lt;&gt;"",E3811&lt;&gt;"!!!"),"NEW","")))</f>
        <v> </v>
      </c>
      <c r="G3811" s="23" t="str">
        <f>IF(OR(E3811="",E3811="!!!"),"",IF(OR(J3811=0,AND(J3811=1,K3811=1),AND(J3811=1,I3811="SBJ"),AND(J3811=1,I3811=0)),"?IN_FOCUS",IF(J3811&lt;=2,"?ACTIVATED",IF(J3811&lt;&gt;"","?FAMILIAR",IF(F3811="NEW",IF(ISNA(VLOOKUP(E3811,#REF!,1,FALSE())),"?TYPE_IDENTIFIABLE","?REFERENTIAL"),"_")))))</f>
        <v> </v>
      </c>
      <c r="H3811" s="24" t="str">
        <f>IF(J3811&lt;&gt;1,"",IF(I3811="SBJ","CB","?"))</f>
        <v> </v>
      </c>
      <c r="I3811" s="25" t="str">
        <f>IF(OR(E3811="",E3811="!!!",F3811="NEW"),"",INDEX(B3810:B$2,-1+SUMPRODUCT(MAX(ROW(E3810:E$2)*(E3811=E3810:E$2)))))</f>
        <v> </v>
      </c>
      <c r="J3811" s="25" t="str">
        <f>IF(OR(E3811="",E3811="!!!",F3811="NEW"),"",COUNTBLANK(OFFSET(A$1,,,SUMPRODUCT(MAX(ROW(E$2:E3811)*(E3811=E$2:E3811)))))-COUNTBLANK(OFFSET(A$1,,,SUMPRODUCT(MAX(ROW(E$1:E3810)*(E2=E$1:E3810))))))</f>
        <v> </v>
      </c>
      <c r="K3811" s="25" t="str">
        <f>IF(OR(E3811="",E3811="!!!",F3811="NEW"),"",INDEX(J$1:J3810,SUMPRODUCT(MAX(ROW(E$1:E3810)*(E3811=E$1:E3810)))))</f>
        <v> </v>
      </c>
      <c r="L3811" s="26"/>
    </row>
    <row r="3812" spans="1:12">
      <c r="A3812" s="20" t="s">
        <v>1849</v>
      </c>
      <c r="E3812" s="21">
        <f>IF(D3812="?OLD","!!!","")</f>
        <v/>
      </c>
      <c r="F3812" s="22" t="str">
        <f>IF(OR(E3812="",E3812="!!!"),"",IF(NOT(ISNA(VLOOKUP(E3812,E$1:E3811,1,FALSE()))),"OLD",IF(AND(E3812&lt;&gt;"",E3812&lt;&gt;"!!!"),"NEW","")))</f>
        <v> </v>
      </c>
      <c r="G3812" s="23" t="str">
        <f>IF(OR(E3812="",E3812="!!!"),"",IF(OR(J3812=0,AND(J3812=1,K3812=1),AND(J3812=1,I3812="SBJ"),AND(J3812=1,I3812=0)),"?IN_FOCUS",IF(J3812&lt;=2,"?ACTIVATED",IF(J3812&lt;&gt;"","?FAMILIAR",IF(F3812="NEW",IF(ISNA(VLOOKUP(E3812,#REF!,1,FALSE())),"?TYPE_IDENTIFIABLE","?REFERENTIAL"),"_")))))</f>
        <v> </v>
      </c>
      <c r="H3812" s="24" t="str">
        <f>IF(J3812&lt;&gt;1,"",IF(I3812="SBJ","CB","?"))</f>
        <v> </v>
      </c>
      <c r="I3812" s="25" t="str">
        <f>IF(OR(E3812="",E3812="!!!",F3812="NEW"),"",INDEX(B3811:B$2,-1+SUMPRODUCT(MAX(ROW(E3811:E$2)*(E3812=E3811:E$2)))))</f>
        <v> </v>
      </c>
      <c r="J3812" s="25" t="str">
        <f>IF(OR(E3812="",E3812="!!!",F3812="NEW"),"",COUNTBLANK(OFFSET(A$1,,,SUMPRODUCT(MAX(ROW(E$2:E3812)*(E3812=E$2:E3812)))))-COUNTBLANK(OFFSET(A$1,,,SUMPRODUCT(MAX(ROW(E$1:E3811)*(E2=E$1:E3811))))))</f>
        <v> </v>
      </c>
      <c r="K3812" s="25" t="str">
        <f>IF(OR(E3812="",E3812="!!!",F3812="NEW"),"",INDEX(J$1:J3811,SUMPRODUCT(MAX(ROW(E$1:E3811)*(E3812=E$1:E3811)))))</f>
        <v> </v>
      </c>
      <c r="L3812" s="26"/>
    </row>
    <row r="3813" spans="1:12">
      <c r="A3813" s="20" t="s">
        <v>942</v>
      </c>
      <c r="E3813" s="21">
        <f>IF(D3813="?OLD","!!!","")</f>
        <v/>
      </c>
      <c r="F3813" s="22" t="str">
        <f>IF(OR(E3813="",E3813="!!!"),"",IF(NOT(ISNA(VLOOKUP(E3813,E$1:E3812,1,FALSE()))),"OLD",IF(AND(E3813&lt;&gt;"",E3813&lt;&gt;"!!!"),"NEW","")))</f>
        <v> </v>
      </c>
      <c r="G3813" s="23" t="str">
        <f>IF(OR(E3813="",E3813="!!!"),"",IF(OR(J3813=0,AND(J3813=1,K3813=1),AND(J3813=1,I3813="SBJ"),AND(J3813=1,I3813=0)),"?IN_FOCUS",IF(J3813&lt;=2,"?ACTIVATED",IF(J3813&lt;&gt;"","?FAMILIAR",IF(F3813="NEW",IF(ISNA(VLOOKUP(E3813,#REF!,1,FALSE())),"?TYPE_IDENTIFIABLE","?REFERENTIAL"),"_")))))</f>
        <v> </v>
      </c>
      <c r="H3813" s="24" t="str">
        <f>IF(J3813&lt;&gt;1,"",IF(I3813="SBJ","CB","?"))</f>
        <v> </v>
      </c>
      <c r="I3813" s="25" t="str">
        <f>IF(OR(E3813="",E3813="!!!",F3813="NEW"),"",INDEX(B3812:B$2,-1+SUMPRODUCT(MAX(ROW(E3812:E$2)*(E3813=E3812:E$2)))))</f>
        <v> </v>
      </c>
      <c r="J3813" s="25" t="str">
        <f>IF(OR(E3813="",E3813="!!!",F3813="NEW"),"",COUNTBLANK(OFFSET(A$1,,,SUMPRODUCT(MAX(ROW(E$2:E3813)*(E3813=E$2:E3813)))))-COUNTBLANK(OFFSET(A$1,,,SUMPRODUCT(MAX(ROW(E$1:E3812)*(E2=E$1:E3812))))))</f>
        <v> </v>
      </c>
      <c r="K3813" s="25" t="str">
        <f>IF(OR(E3813="",E3813="!!!",F3813="NEW"),"",INDEX(J$1:J3812,SUMPRODUCT(MAX(ROW(E$1:E3812)*(E3813=E$1:E3812)))))</f>
        <v> </v>
      </c>
      <c r="L3813" s="26"/>
    </row>
    <row r="3814" spans="1:12">
      <c r="A3814" s="20" t="s">
        <v>793</v>
      </c>
      <c r="E3814" s="21">
        <f>IF(D3814="?OLD","!!!","")</f>
        <v/>
      </c>
      <c r="F3814" s="22" t="str">
        <f>IF(OR(E3814="",E3814="!!!"),"",IF(NOT(ISNA(VLOOKUP(E3814,E$1:E3813,1,FALSE()))),"OLD",IF(AND(E3814&lt;&gt;"",E3814&lt;&gt;"!!!"),"NEW","")))</f>
        <v> </v>
      </c>
      <c r="G3814" s="23" t="str">
        <f>IF(OR(E3814="",E3814="!!!"),"",IF(OR(J3814=0,AND(J3814=1,K3814=1),AND(J3814=1,I3814="SBJ"),AND(J3814=1,I3814=0)),"?IN_FOCUS",IF(J3814&lt;=2,"?ACTIVATED",IF(J3814&lt;&gt;"","?FAMILIAR",IF(F3814="NEW",IF(ISNA(VLOOKUP(E3814,#REF!,1,FALSE())),"?TYPE_IDENTIFIABLE","?REFERENTIAL"),"_")))))</f>
        <v> </v>
      </c>
      <c r="H3814" s="24" t="str">
        <f>IF(J3814&lt;&gt;1,"",IF(I3814="SBJ","CB","?"))</f>
        <v> </v>
      </c>
      <c r="I3814" s="25" t="str">
        <f>IF(OR(E3814="",E3814="!!!",F3814="NEW"),"",INDEX(B3813:B$2,-1+SUMPRODUCT(MAX(ROW(E3813:E$2)*(E3814=E3813:E$2)))))</f>
        <v> </v>
      </c>
      <c r="J3814" s="25" t="str">
        <f>IF(OR(E3814="",E3814="!!!",F3814="NEW"),"",COUNTBLANK(OFFSET(A$1,,,SUMPRODUCT(MAX(ROW(E$2:E3814)*(E3814=E$2:E3814)))))-COUNTBLANK(OFFSET(A$1,,,SUMPRODUCT(MAX(ROW(E$1:E3813)*(E2=E$1:E3813))))))</f>
        <v> </v>
      </c>
      <c r="K3814" s="25" t="str">
        <f>IF(OR(E3814="",E3814="!!!",F3814="NEW"),"",INDEX(J$1:J3813,SUMPRODUCT(MAX(ROW(E$1:E3813)*(E3814=E$1:E3813)))))</f>
        <v> </v>
      </c>
      <c r="L3814" s="26"/>
    </row>
    <row r="3815" spans="1:12">
      <c r="A3815" s="20" t="s">
        <v>1850</v>
      </c>
      <c r="E3815" s="21">
        <f>IF(D3815="?OLD","!!!","")</f>
        <v/>
      </c>
      <c r="F3815" s="22" t="str">
        <f>IF(OR(E3815="",E3815="!!!"),"",IF(NOT(ISNA(VLOOKUP(E3815,E$1:E3814,1,FALSE()))),"OLD",IF(AND(E3815&lt;&gt;"",E3815&lt;&gt;"!!!"),"NEW","")))</f>
        <v> </v>
      </c>
      <c r="G3815" s="23" t="str">
        <f>IF(OR(E3815="",E3815="!!!"),"",IF(OR(J3815=0,AND(J3815=1,K3815=1),AND(J3815=1,I3815="SBJ"),AND(J3815=1,I3815=0)),"?IN_FOCUS",IF(J3815&lt;=2,"?ACTIVATED",IF(J3815&lt;&gt;"","?FAMILIAR",IF(F3815="NEW",IF(ISNA(VLOOKUP(E3815,#REF!,1,FALSE())),"?TYPE_IDENTIFIABLE","?REFERENTIAL"),"_")))))</f>
        <v> </v>
      </c>
      <c r="H3815" s="24" t="str">
        <f>IF(J3815&lt;&gt;1,"",IF(I3815="SBJ","CB","?"))</f>
        <v> </v>
      </c>
      <c r="I3815" s="25" t="str">
        <f>IF(OR(E3815="",E3815="!!!",F3815="NEW"),"",INDEX(B3814:B$2,-1+SUMPRODUCT(MAX(ROW(E3814:E$2)*(E3815=E3814:E$2)))))</f>
        <v> </v>
      </c>
      <c r="J3815" s="25" t="str">
        <f>IF(OR(E3815="",E3815="!!!",F3815="NEW"),"",COUNTBLANK(OFFSET(A$1,,,SUMPRODUCT(MAX(ROW(E$2:E3815)*(E3815=E$2:E3815)))))-COUNTBLANK(OFFSET(A$1,,,SUMPRODUCT(MAX(ROW(E$1:E3814)*(E2=E$1:E3814))))))</f>
        <v> </v>
      </c>
      <c r="K3815" s="25" t="str">
        <f>IF(OR(E3815="",E3815="!!!",F3815="NEW"),"",INDEX(J$1:J3814,SUMPRODUCT(MAX(ROW(E$1:E3814)*(E3815=E$1:E3814)))))</f>
        <v> </v>
      </c>
      <c r="L3815" s="26"/>
    </row>
    <row r="3816" spans="1:12">
      <c r="A3816" s="20" t="s">
        <v>1808</v>
      </c>
      <c r="E3816" s="21">
        <f>IF(D3816="?OLD","!!!","")</f>
        <v/>
      </c>
      <c r="F3816" s="22" t="str">
        <f>IF(OR(E3816="",E3816="!!!"),"",IF(NOT(ISNA(VLOOKUP(E3816,E$1:E3815,1,FALSE()))),"OLD",IF(AND(E3816&lt;&gt;"",E3816&lt;&gt;"!!!"),"NEW","")))</f>
        <v> </v>
      </c>
      <c r="G3816" s="23" t="str">
        <f>IF(OR(E3816="",E3816="!!!"),"",IF(OR(J3816=0,AND(J3816=1,K3816=1),AND(J3816=1,I3816="SBJ"),AND(J3816=1,I3816=0)),"?IN_FOCUS",IF(J3816&lt;=2,"?ACTIVATED",IF(J3816&lt;&gt;"","?FAMILIAR",IF(F3816="NEW",IF(ISNA(VLOOKUP(E3816,#REF!,1,FALSE())),"?TYPE_IDENTIFIABLE","?REFERENTIAL"),"_")))))</f>
        <v> </v>
      </c>
      <c r="H3816" s="24" t="str">
        <f>IF(J3816&lt;&gt;1,"",IF(I3816="SBJ","CB","?"))</f>
        <v> </v>
      </c>
      <c r="I3816" s="25" t="str">
        <f>IF(OR(E3816="",E3816="!!!",F3816="NEW"),"",INDEX(B3815:B$2,-1+SUMPRODUCT(MAX(ROW(E3815:E$2)*(E3816=E3815:E$2)))))</f>
        <v> </v>
      </c>
      <c r="J3816" s="25" t="str">
        <f>IF(OR(E3816="",E3816="!!!",F3816="NEW"),"",COUNTBLANK(OFFSET(A$1,,,SUMPRODUCT(MAX(ROW(E$2:E3816)*(E3816=E$2:E3816)))))-COUNTBLANK(OFFSET(A$1,,,SUMPRODUCT(MAX(ROW(E$1:E3815)*(E2=E$1:E3815))))))</f>
        <v> </v>
      </c>
      <c r="K3816" s="25" t="str">
        <f>IF(OR(E3816="",E3816="!!!",F3816="NEW"),"",INDEX(J$1:J3815,SUMPRODUCT(MAX(ROW(E$1:E3815)*(E3816=E$1:E3815)))))</f>
        <v> </v>
      </c>
      <c r="L3816" s="26"/>
    </row>
    <row r="3817" spans="1:12">
      <c r="A3817" s="20" t="s">
        <v>1851</v>
      </c>
      <c r="B3817" s="27" t="s">
        <v>956</v>
      </c>
      <c r="C3817" s="27" t="s">
        <v>1019</v>
      </c>
      <c r="D3817" s="27" t="s">
        <v>762</v>
      </c>
      <c r="E3817" s="21">
        <f>IF(D3817="?OLD","!!!","")</f>
        <v/>
      </c>
      <c r="F3817" s="22" t="str">
        <f>IF(OR(E3817="",E3817="!!!"),"",IF(NOT(ISNA(VLOOKUP(E3817,E$1:E3816,1,FALSE()))),"OLD",IF(AND(E3817&lt;&gt;"",E3817&lt;&gt;"!!!"),"NEW","")))</f>
        <v> </v>
      </c>
      <c r="G3817" s="23" t="str">
        <f>IF(OR(E3817="",E3817="!!!"),"",IF(OR(J3817=0,AND(J3817=1,K3817=1),AND(J3817=1,I3817="SBJ"),AND(J3817=1,I3817=0)),"?IN_FOCUS",IF(J3817&lt;=2,"?ACTIVATED",IF(J3817&lt;&gt;"","?FAMILIAR",IF(F3817="NEW",IF(ISNA(VLOOKUP(E3817,#REF!,1,FALSE())),"?TYPE_IDENTIFIABLE","?REFERENTIAL"),"_")))))</f>
        <v> </v>
      </c>
      <c r="H3817" s="24" t="str">
        <f>IF(J3817&lt;&gt;1,"",IF(I3817="SBJ","CB","?"))</f>
        <v> </v>
      </c>
      <c r="I3817" s="25" t="str">
        <f>IF(OR(E3817="",E3817="!!!",F3817="NEW"),"",INDEX(B3816:B$2,-1+SUMPRODUCT(MAX(ROW(E3816:E$2)*(E3817=E3816:E$2)))))</f>
        <v> </v>
      </c>
      <c r="J3817" s="25" t="str">
        <f>IF(OR(E3817="",E3817="!!!",F3817="NEW"),"",COUNTBLANK(OFFSET(A$1,,,SUMPRODUCT(MAX(ROW(E$2:E3817)*(E3817=E$2:E3817)))))-COUNTBLANK(OFFSET(A$1,,,SUMPRODUCT(MAX(ROW(E$1:E3816)*(E2=E$1:E3816))))))</f>
        <v> </v>
      </c>
      <c r="K3817" s="25" t="str">
        <f>IF(OR(E3817="",E3817="!!!",F3817="NEW"),"",INDEX(J$1:J3816,SUMPRODUCT(MAX(ROW(E$1:E3816)*(E3817=E$1:E3816)))))</f>
        <v> </v>
      </c>
      <c r="L3817" s="26"/>
    </row>
    <row r="3818" spans="1:12">
      <c r="A3818" s="20" t="s">
        <v>1852</v>
      </c>
      <c r="B3818" s="27" t="s">
        <v>901</v>
      </c>
      <c r="C3818" s="27" t="s">
        <v>754</v>
      </c>
      <c r="E3818" s="21">
        <f>IF(D3818="?OLD","!!!","")</f>
        <v/>
      </c>
      <c r="F3818" s="22" t="str">
        <f>IF(OR(E3818="",E3818="!!!"),"",IF(NOT(ISNA(VLOOKUP(E3818,E$1:E3817,1,FALSE()))),"OLD",IF(AND(E3818&lt;&gt;"",E3818&lt;&gt;"!!!"),"NEW","")))</f>
        <v> </v>
      </c>
      <c r="G3818" s="23" t="str">
        <f>IF(OR(E3818="",E3818="!!!"),"",IF(OR(J3818=0,AND(J3818=1,K3818=1),AND(J3818=1,I3818="SBJ"),AND(J3818=1,I3818=0)),"?IN_FOCUS",IF(J3818&lt;=2,"?ACTIVATED",IF(J3818&lt;&gt;"","?FAMILIAR",IF(F3818="NEW",IF(ISNA(VLOOKUP(E3818,#REF!,1,FALSE())),"?TYPE_IDENTIFIABLE","?REFERENTIAL"),"_")))))</f>
        <v> </v>
      </c>
      <c r="H3818" s="24" t="str">
        <f>IF(J3818&lt;&gt;1,"",IF(I3818="SBJ","CB","?"))</f>
        <v> </v>
      </c>
      <c r="I3818" s="25" t="str">
        <f>IF(OR(E3818="",E3818="!!!",F3818="NEW"),"",INDEX(B3817:B$2,-1+SUMPRODUCT(MAX(ROW(E3817:E$2)*(E3818=E3817:E$2)))))</f>
        <v> </v>
      </c>
      <c r="J3818" s="25" t="str">
        <f>IF(OR(E3818="",E3818="!!!",F3818="NEW"),"",COUNTBLANK(OFFSET(A$1,,,SUMPRODUCT(MAX(ROW(E$2:E3818)*(E3818=E$2:E3818)))))-COUNTBLANK(OFFSET(A$1,,,SUMPRODUCT(MAX(ROW(E$1:E3817)*(E2=E$1:E3817))))))</f>
        <v> </v>
      </c>
      <c r="K3818" s="25" t="str">
        <f>IF(OR(E3818="",E3818="!!!",F3818="NEW"),"",INDEX(J$1:J3817,SUMPRODUCT(MAX(ROW(E$1:E3817)*(E3818=E$1:E3817)))))</f>
        <v> </v>
      </c>
      <c r="L3818" s="26"/>
    </row>
    <row r="3819" spans="1:12">
      <c r="A3819" s="20" t="s">
        <v>774</v>
      </c>
      <c r="E3819" s="21">
        <f>IF(D3819="?OLD","!!!","")</f>
        <v/>
      </c>
      <c r="F3819" s="22" t="str">
        <f>IF(OR(E3819="",E3819="!!!"),"",IF(NOT(ISNA(VLOOKUP(E3819,E$1:E3818,1,FALSE()))),"OLD",IF(AND(E3819&lt;&gt;"",E3819&lt;&gt;"!!!"),"NEW","")))</f>
        <v> </v>
      </c>
      <c r="G3819" s="23" t="str">
        <f>IF(OR(E3819="",E3819="!!!"),"",IF(OR(J3819=0,AND(J3819=1,K3819=1),AND(J3819=1,I3819="SBJ"),AND(J3819=1,I3819=0)),"?IN_FOCUS",IF(J3819&lt;=2,"?ACTIVATED",IF(J3819&lt;&gt;"","?FAMILIAR",IF(F3819="NEW",IF(ISNA(VLOOKUP(E3819,#REF!,1,FALSE())),"?TYPE_IDENTIFIABLE","?REFERENTIAL"),"_")))))</f>
        <v> </v>
      </c>
      <c r="H3819" s="24" t="str">
        <f>IF(J3819&lt;&gt;1,"",IF(I3819="SBJ","CB","?"))</f>
        <v> </v>
      </c>
      <c r="I3819" s="25" t="str">
        <f>IF(OR(E3819="",E3819="!!!",F3819="NEW"),"",INDEX(B3818:B$2,-1+SUMPRODUCT(MAX(ROW(E3818:E$2)*(E3819=E3818:E$2)))))</f>
        <v> </v>
      </c>
      <c r="J3819" s="25" t="str">
        <f>IF(OR(E3819="",E3819="!!!",F3819="NEW"),"",COUNTBLANK(OFFSET(A$1,,,SUMPRODUCT(MAX(ROW(E$2:E3819)*(E3819=E$2:E3819)))))-COUNTBLANK(OFFSET(A$1,,,SUMPRODUCT(MAX(ROW(E$1:E3818)*(E2=E$1:E3818))))))</f>
        <v> </v>
      </c>
      <c r="K3819" s="25" t="str">
        <f>IF(OR(E3819="",E3819="!!!",F3819="NEW"),"",INDEX(J$1:J3818,SUMPRODUCT(MAX(ROW(E$1:E3818)*(E3819=E$1:E3818)))))</f>
        <v> </v>
      </c>
      <c r="L3819" s="26"/>
    </row>
    <row r="3820" spans="1:12">
      <c r="A3820" s="20"/>
    </row>
    <row r="3821" spans="1:12">
      <c r="A3821" s="20" t="s">
        <v>1853</v>
      </c>
    </row>
    <row r="3822" spans="1:12">
      <c r="A3822" s="20" t="s">
        <v>833</v>
      </c>
      <c r="E3822" s="21">
        <f>IF(D3822="?OLD","!!!","")</f>
        <v/>
      </c>
      <c r="F3822" s="22" t="str">
        <f>IF(OR(E3822="",E3822="!!!"),"",IF(NOT(ISNA(VLOOKUP(E3822,E$1:E3821,1,FALSE()))),"OLD",IF(AND(E3822&lt;&gt;"",E3822&lt;&gt;"!!!"),"NEW","")))</f>
        <v> </v>
      </c>
      <c r="G3822" s="23" t="str">
        <f>IF(OR(E3822="",E3822="!!!"),"",IF(OR(J3822=0,AND(J3822=1,K3822=1),AND(J3822=1,I3822="SBJ"),AND(J3822=1,I3822=0)),"?IN_FOCUS",IF(J3822&lt;=2,"?ACTIVATED",IF(J3822&lt;&gt;"","?FAMILIAR",IF(F3822="NEW",IF(ISNA(VLOOKUP(E3822,#REF!,1,FALSE())),"?TYPE_IDENTIFIABLE","?REFERENTIAL"),"_")))))</f>
        <v> </v>
      </c>
      <c r="H3822" s="24" t="str">
        <f>IF(J3822&lt;&gt;1,"",IF(I3822="SBJ","CB","?"))</f>
        <v> </v>
      </c>
      <c r="I3822" s="25" t="str">
        <f>IF(OR(E3822="",E3822="!!!",F3822="NEW"),"",INDEX(B3821:B$2,-1+SUMPRODUCT(MAX(ROW(E3821:E$2)*(E3822=E3821:E$2)))))</f>
        <v> </v>
      </c>
      <c r="J3822" s="25" t="str">
        <f>IF(OR(E3822="",E3822="!!!",F3822="NEW"),"",COUNTBLANK(OFFSET(A$1,,,SUMPRODUCT(MAX(ROW(E$2:E3822)*(E3822=E$2:E3822)))))-COUNTBLANK(OFFSET(A$1,,,SUMPRODUCT(MAX(ROW(E$1:E3821)*(E2=E$1:E3821))))))</f>
        <v> </v>
      </c>
      <c r="K3822" s="25" t="str">
        <f>IF(OR(E3822="",E3822="!!!",F3822="NEW"),"",INDEX(J$1:J3821,SUMPRODUCT(MAX(ROW(E$1:E3821)*(E3822=E$1:E3821)))))</f>
        <v> </v>
      </c>
      <c r="L3822" s="26"/>
    </row>
    <row r="3823" spans="1:12">
      <c r="A3823" s="20" t="s">
        <v>1854</v>
      </c>
      <c r="E3823" s="21">
        <f>IF(D3823="?OLD","!!!","")</f>
        <v/>
      </c>
      <c r="F3823" s="22" t="str">
        <f>IF(OR(E3823="",E3823="!!!"),"",IF(NOT(ISNA(VLOOKUP(E3823,E$1:E3822,1,FALSE()))),"OLD",IF(AND(E3823&lt;&gt;"",E3823&lt;&gt;"!!!"),"NEW","")))</f>
        <v> </v>
      </c>
      <c r="G3823" s="23" t="str">
        <f>IF(OR(E3823="",E3823="!!!"),"",IF(OR(J3823=0,AND(J3823=1,K3823=1),AND(J3823=1,I3823="SBJ"),AND(J3823=1,I3823=0)),"?IN_FOCUS",IF(J3823&lt;=2,"?ACTIVATED",IF(J3823&lt;&gt;"","?FAMILIAR",IF(F3823="NEW",IF(ISNA(VLOOKUP(E3823,#REF!,1,FALSE())),"?TYPE_IDENTIFIABLE","?REFERENTIAL"),"_")))))</f>
        <v> </v>
      </c>
      <c r="H3823" s="24" t="str">
        <f>IF(J3823&lt;&gt;1,"",IF(I3823="SBJ","CB","?"))</f>
        <v> </v>
      </c>
      <c r="I3823" s="25" t="str">
        <f>IF(OR(E3823="",E3823="!!!",F3823="NEW"),"",INDEX(B3822:B$2,-1+SUMPRODUCT(MAX(ROW(E3822:E$2)*(E3823=E3822:E$2)))))</f>
        <v> </v>
      </c>
      <c r="J3823" s="25" t="str">
        <f>IF(OR(E3823="",E3823="!!!",F3823="NEW"),"",COUNTBLANK(OFFSET(A$1,,,SUMPRODUCT(MAX(ROW(E$2:E3823)*(E3823=E$2:E3823)))))-COUNTBLANK(OFFSET(A$1,,,SUMPRODUCT(MAX(ROW(E$1:E3822)*(E2=E$1:E3822))))))</f>
        <v> </v>
      </c>
      <c r="K3823" s="25" t="str">
        <f>IF(OR(E3823="",E3823="!!!",F3823="NEW"),"",INDEX(J$1:J3822,SUMPRODUCT(MAX(ROW(E$1:E3822)*(E3823=E$1:E3822)))))</f>
        <v> </v>
      </c>
      <c r="L3823" s="26"/>
    </row>
    <row r="3824" spans="1:12">
      <c r="A3824" s="20" t="s">
        <v>1855</v>
      </c>
      <c r="E3824" s="21">
        <f>IF(D3824="?OLD","!!!","")</f>
        <v/>
      </c>
      <c r="F3824" s="22" t="str">
        <f>IF(OR(E3824="",E3824="!!!"),"",IF(NOT(ISNA(VLOOKUP(E3824,E$1:E3823,1,FALSE()))),"OLD",IF(AND(E3824&lt;&gt;"",E3824&lt;&gt;"!!!"),"NEW","")))</f>
        <v> </v>
      </c>
      <c r="G3824" s="23" t="str">
        <f>IF(OR(E3824="",E3824="!!!"),"",IF(OR(J3824=0,AND(J3824=1,K3824=1),AND(J3824=1,I3824="SBJ"),AND(J3824=1,I3824=0)),"?IN_FOCUS",IF(J3824&lt;=2,"?ACTIVATED",IF(J3824&lt;&gt;"","?FAMILIAR",IF(F3824="NEW",IF(ISNA(VLOOKUP(E3824,#REF!,1,FALSE())),"?TYPE_IDENTIFIABLE","?REFERENTIAL"),"_")))))</f>
        <v> </v>
      </c>
      <c r="H3824" s="24" t="str">
        <f>IF(J3824&lt;&gt;1,"",IF(I3824="SBJ","CB","?"))</f>
        <v> </v>
      </c>
      <c r="I3824" s="25" t="str">
        <f>IF(OR(E3824="",E3824="!!!",F3824="NEW"),"",INDEX(B3823:B$2,-1+SUMPRODUCT(MAX(ROW(E3823:E$2)*(E3824=E3823:E$2)))))</f>
        <v> </v>
      </c>
      <c r="J3824" s="25" t="str">
        <f>IF(OR(E3824="",E3824="!!!",F3824="NEW"),"",COUNTBLANK(OFFSET(A$1,,,SUMPRODUCT(MAX(ROW(E$2:E3824)*(E3824=E$2:E3824)))))-COUNTBLANK(OFFSET(A$1,,,SUMPRODUCT(MAX(ROW(E$1:E3823)*(E2=E$1:E3823))))))</f>
        <v> </v>
      </c>
      <c r="K3824" s="25" t="str">
        <f>IF(OR(E3824="",E3824="!!!",F3824="NEW"),"",INDEX(J$1:J3823,SUMPRODUCT(MAX(ROW(E$1:E3823)*(E3824=E$1:E3823)))))</f>
        <v> </v>
      </c>
      <c r="L3824" s="26"/>
    </row>
    <row r="3825" spans="1:12">
      <c r="A3825" s="20" t="s">
        <v>909</v>
      </c>
      <c r="E3825" s="21">
        <f>IF(D3825="?OLD","!!!","")</f>
        <v/>
      </c>
      <c r="F3825" s="22" t="str">
        <f>IF(OR(E3825="",E3825="!!!"),"",IF(NOT(ISNA(VLOOKUP(E3825,E$1:E3824,1,FALSE()))),"OLD",IF(AND(E3825&lt;&gt;"",E3825&lt;&gt;"!!!"),"NEW","")))</f>
        <v> </v>
      </c>
      <c r="G3825" s="23" t="str">
        <f>IF(OR(E3825="",E3825="!!!"),"",IF(OR(J3825=0,AND(J3825=1,K3825=1),AND(J3825=1,I3825="SBJ"),AND(J3825=1,I3825=0)),"?IN_FOCUS",IF(J3825&lt;=2,"?ACTIVATED",IF(J3825&lt;&gt;"","?FAMILIAR",IF(F3825="NEW",IF(ISNA(VLOOKUP(E3825,#REF!,1,FALSE())),"?TYPE_IDENTIFIABLE","?REFERENTIAL"),"_")))))</f>
        <v> </v>
      </c>
      <c r="H3825" s="24" t="str">
        <f>IF(J3825&lt;&gt;1,"",IF(I3825="SBJ","CB","?"))</f>
        <v> </v>
      </c>
      <c r="I3825" s="25" t="str">
        <f>IF(OR(E3825="",E3825="!!!",F3825="NEW"),"",INDEX(B3824:B$2,-1+SUMPRODUCT(MAX(ROW(E3824:E$2)*(E3825=E3824:E$2)))))</f>
        <v> </v>
      </c>
      <c r="J3825" s="25" t="str">
        <f>IF(OR(E3825="",E3825="!!!",F3825="NEW"),"",COUNTBLANK(OFFSET(A$1,,,SUMPRODUCT(MAX(ROW(E$2:E3825)*(E3825=E$2:E3825)))))-COUNTBLANK(OFFSET(A$1,,,SUMPRODUCT(MAX(ROW(E$1:E3824)*(E2=E$1:E3824))))))</f>
        <v> </v>
      </c>
      <c r="K3825" s="25" t="str">
        <f>IF(OR(E3825="",E3825="!!!",F3825="NEW"),"",INDEX(J$1:J3824,SUMPRODUCT(MAX(ROW(E$1:E3824)*(E3825=E$1:E3824)))))</f>
        <v> </v>
      </c>
      <c r="L3825" s="26"/>
    </row>
    <row r="3826" spans="1:12">
      <c r="A3826" s="20" t="s">
        <v>758</v>
      </c>
      <c r="E3826" s="21">
        <f>IF(D3826="?OLD","!!!","")</f>
        <v/>
      </c>
      <c r="F3826" s="22" t="str">
        <f>IF(OR(E3826="",E3826="!!!"),"",IF(NOT(ISNA(VLOOKUP(E3826,E$1:E3825,1,FALSE()))),"OLD",IF(AND(E3826&lt;&gt;"",E3826&lt;&gt;"!!!"),"NEW","")))</f>
        <v> </v>
      </c>
      <c r="G3826" s="23" t="str">
        <f>IF(OR(E3826="",E3826="!!!"),"",IF(OR(J3826=0,AND(J3826=1,K3826=1),AND(J3826=1,I3826="SBJ"),AND(J3826=1,I3826=0)),"?IN_FOCUS",IF(J3826&lt;=2,"?ACTIVATED",IF(J3826&lt;&gt;"","?FAMILIAR",IF(F3826="NEW",IF(ISNA(VLOOKUP(E3826,#REF!,1,FALSE())),"?TYPE_IDENTIFIABLE","?REFERENTIAL"),"_")))))</f>
        <v> </v>
      </c>
      <c r="H3826" s="24" t="str">
        <f>IF(J3826&lt;&gt;1,"",IF(I3826="SBJ","CB","?"))</f>
        <v> </v>
      </c>
      <c r="I3826" s="25" t="str">
        <f>IF(OR(E3826="",E3826="!!!",F3826="NEW"),"",INDEX(B3825:B$2,-1+SUMPRODUCT(MAX(ROW(E3825:E$2)*(E3826=E3825:E$2)))))</f>
        <v> </v>
      </c>
      <c r="J3826" s="25" t="str">
        <f>IF(OR(E3826="",E3826="!!!",F3826="NEW"),"",COUNTBLANK(OFFSET(A$1,,,SUMPRODUCT(MAX(ROW(E$2:E3826)*(E3826=E$2:E3826)))))-COUNTBLANK(OFFSET(A$1,,,SUMPRODUCT(MAX(ROW(E$1:E3825)*(E2=E$1:E3825))))))</f>
        <v> </v>
      </c>
      <c r="K3826" s="25" t="str">
        <f>IF(OR(E3826="",E3826="!!!",F3826="NEW"),"",INDEX(J$1:J3825,SUMPRODUCT(MAX(ROW(E$1:E3825)*(E3826=E$1:E3825)))))</f>
        <v> </v>
      </c>
      <c r="L3826" s="26"/>
    </row>
    <row r="3827" spans="1:12">
      <c r="A3827" s="20" t="s">
        <v>1269</v>
      </c>
      <c r="B3827" s="27" t="s">
        <v>802</v>
      </c>
      <c r="C3827" s="27" t="s">
        <v>761</v>
      </c>
      <c r="D3827" s="27" t="s">
        <v>762</v>
      </c>
      <c r="E3827" s="21">
        <f>IF(D3827="?OLD","!!!","")</f>
        <v/>
      </c>
      <c r="F3827" s="22" t="str">
        <f>IF(OR(E3827="",E3827="!!!"),"",IF(NOT(ISNA(VLOOKUP(E3827,E$1:E3826,1,FALSE()))),"OLD",IF(AND(E3827&lt;&gt;"",E3827&lt;&gt;"!!!"),"NEW","")))</f>
        <v> </v>
      </c>
      <c r="G3827" s="23" t="str">
        <f>IF(OR(E3827="",E3827="!!!"),"",IF(OR(J3827=0,AND(J3827=1,K3827=1),AND(J3827=1,I3827="SBJ"),AND(J3827=1,I3827=0)),"?IN_FOCUS",IF(J3827&lt;=2,"?ACTIVATED",IF(J3827&lt;&gt;"","?FAMILIAR",IF(F3827="NEW",IF(ISNA(VLOOKUP(E3827,#REF!,1,FALSE())),"?TYPE_IDENTIFIABLE","?REFERENTIAL"),"_")))))</f>
        <v> </v>
      </c>
      <c r="H3827" s="24" t="str">
        <f>IF(J3827&lt;&gt;1,"",IF(I3827="SBJ","CB","?"))</f>
        <v> </v>
      </c>
      <c r="I3827" s="25" t="str">
        <f>IF(OR(E3827="",E3827="!!!",F3827="NEW"),"",INDEX(B3826:B$2,-1+SUMPRODUCT(MAX(ROW(E3826:E$2)*(E3827=E3826:E$2)))))</f>
        <v> </v>
      </c>
      <c r="J3827" s="25" t="str">
        <f>IF(OR(E3827="",E3827="!!!",F3827="NEW"),"",COUNTBLANK(OFFSET(A$1,,,SUMPRODUCT(MAX(ROW(E$2:E3827)*(E3827=E$2:E3827)))))-COUNTBLANK(OFFSET(A$1,,,SUMPRODUCT(MAX(ROW(E$1:E3826)*(E2=E$1:E3826))))))</f>
        <v> </v>
      </c>
      <c r="K3827" s="25" t="str">
        <f>IF(OR(E3827="",E3827="!!!",F3827="NEW"),"",INDEX(J$1:J3826,SUMPRODUCT(MAX(ROW(E$1:E3826)*(E3827=E$1:E3826)))))</f>
        <v> </v>
      </c>
      <c r="L3827" s="26"/>
    </row>
    <row r="3828" spans="1:12">
      <c r="A3828" s="20" t="s">
        <v>793</v>
      </c>
      <c r="E3828" s="21">
        <f>IF(D3828="?OLD","!!!","")</f>
        <v/>
      </c>
      <c r="F3828" s="22" t="str">
        <f>IF(OR(E3828="",E3828="!!!"),"",IF(NOT(ISNA(VLOOKUP(E3828,E$1:E3827,1,FALSE()))),"OLD",IF(AND(E3828&lt;&gt;"",E3828&lt;&gt;"!!!"),"NEW","")))</f>
        <v> </v>
      </c>
      <c r="G3828" s="23" t="str">
        <f>IF(OR(E3828="",E3828="!!!"),"",IF(OR(J3828=0,AND(J3828=1,K3828=1),AND(J3828=1,I3828="SBJ"),AND(J3828=1,I3828=0)),"?IN_FOCUS",IF(J3828&lt;=2,"?ACTIVATED",IF(J3828&lt;&gt;"","?FAMILIAR",IF(F3828="NEW",IF(ISNA(VLOOKUP(E3828,#REF!,1,FALSE())),"?TYPE_IDENTIFIABLE","?REFERENTIAL"),"_")))))</f>
        <v> </v>
      </c>
      <c r="H3828" s="24" t="str">
        <f>IF(J3828&lt;&gt;1,"",IF(I3828="SBJ","CB","?"))</f>
        <v> </v>
      </c>
      <c r="I3828" s="25" t="str">
        <f>IF(OR(E3828="",E3828="!!!",F3828="NEW"),"",INDEX(B3827:B$2,-1+SUMPRODUCT(MAX(ROW(E3827:E$2)*(E3828=E3827:E$2)))))</f>
        <v> </v>
      </c>
      <c r="J3828" s="25" t="str">
        <f>IF(OR(E3828="",E3828="!!!",F3828="NEW"),"",COUNTBLANK(OFFSET(A$1,,,SUMPRODUCT(MAX(ROW(E$2:E3828)*(E3828=E$2:E3828)))))-COUNTBLANK(OFFSET(A$1,,,SUMPRODUCT(MAX(ROW(E$1:E3827)*(E2=E$1:E3827))))))</f>
        <v> </v>
      </c>
      <c r="K3828" s="25" t="str">
        <f>IF(OR(E3828="",E3828="!!!",F3828="NEW"),"",INDEX(J$1:J3827,SUMPRODUCT(MAX(ROW(E$1:E3827)*(E3828=E$1:E3827)))))</f>
        <v> </v>
      </c>
      <c r="L3828" s="26"/>
    </row>
    <row r="3829" spans="1:12">
      <c r="A3829" s="20" t="s">
        <v>769</v>
      </c>
      <c r="E3829" s="21">
        <f>IF(D3829="?OLD","!!!","")</f>
        <v/>
      </c>
      <c r="F3829" s="22" t="str">
        <f>IF(OR(E3829="",E3829="!!!"),"",IF(NOT(ISNA(VLOOKUP(E3829,E$1:E3828,1,FALSE()))),"OLD",IF(AND(E3829&lt;&gt;"",E3829&lt;&gt;"!!!"),"NEW","")))</f>
        <v> </v>
      </c>
      <c r="G3829" s="23" t="str">
        <f>IF(OR(E3829="",E3829="!!!"),"",IF(OR(J3829=0,AND(J3829=1,K3829=1),AND(J3829=1,I3829="SBJ"),AND(J3829=1,I3829=0)),"?IN_FOCUS",IF(J3829&lt;=2,"?ACTIVATED",IF(J3829&lt;&gt;"","?FAMILIAR",IF(F3829="NEW",IF(ISNA(VLOOKUP(E3829,#REF!,1,FALSE())),"?TYPE_IDENTIFIABLE","?REFERENTIAL"),"_")))))</f>
        <v> </v>
      </c>
      <c r="H3829" s="24" t="str">
        <f>IF(J3829&lt;&gt;1,"",IF(I3829="SBJ","CB","?"))</f>
        <v> </v>
      </c>
      <c r="I3829" s="25" t="str">
        <f>IF(OR(E3829="",E3829="!!!",F3829="NEW"),"",INDEX(B3828:B$2,-1+SUMPRODUCT(MAX(ROW(E3828:E$2)*(E3829=E3828:E$2)))))</f>
        <v> </v>
      </c>
      <c r="J3829" s="25" t="str">
        <f>IF(OR(E3829="",E3829="!!!",F3829="NEW"),"",COUNTBLANK(OFFSET(A$1,,,SUMPRODUCT(MAX(ROW(E$2:E3829)*(E3829=E$2:E3829)))))-COUNTBLANK(OFFSET(A$1,,,SUMPRODUCT(MAX(ROW(E$1:E3828)*(E2=E$1:E3828))))))</f>
        <v> </v>
      </c>
      <c r="K3829" s="25" t="str">
        <f>IF(OR(E3829="",E3829="!!!",F3829="NEW"),"",INDEX(J$1:J3828,SUMPRODUCT(MAX(ROW(E$1:E3828)*(E3829=E$1:E3828)))))</f>
        <v> </v>
      </c>
      <c r="L3829" s="26"/>
    </row>
    <row r="3830" spans="1:12">
      <c r="A3830" s="20" t="s">
        <v>770</v>
      </c>
      <c r="E3830" s="21">
        <f>IF(D3830="?OLD","!!!","")</f>
        <v/>
      </c>
      <c r="F3830" s="22" t="str">
        <f>IF(OR(E3830="",E3830="!!!"),"",IF(NOT(ISNA(VLOOKUP(E3830,E$1:E3829,1,FALSE()))),"OLD",IF(AND(E3830&lt;&gt;"",E3830&lt;&gt;"!!!"),"NEW","")))</f>
        <v> </v>
      </c>
      <c r="G3830" s="23" t="str">
        <f>IF(OR(E3830="",E3830="!!!"),"",IF(OR(J3830=0,AND(J3830=1,K3830=1),AND(J3830=1,I3830="SBJ"),AND(J3830=1,I3830=0)),"?IN_FOCUS",IF(J3830&lt;=2,"?ACTIVATED",IF(J3830&lt;&gt;"","?FAMILIAR",IF(F3830="NEW",IF(ISNA(VLOOKUP(E3830,#REF!,1,FALSE())),"?TYPE_IDENTIFIABLE","?REFERENTIAL"),"_")))))</f>
        <v> </v>
      </c>
      <c r="H3830" s="24" t="str">
        <f>IF(J3830&lt;&gt;1,"",IF(I3830="SBJ","CB","?"))</f>
        <v> </v>
      </c>
      <c r="I3830" s="25" t="str">
        <f>IF(OR(E3830="",E3830="!!!",F3830="NEW"),"",INDEX(B3829:B$2,-1+SUMPRODUCT(MAX(ROW(E3829:E$2)*(E3830=E3829:E$2)))))</f>
        <v> </v>
      </c>
      <c r="J3830" s="25" t="str">
        <f>IF(OR(E3830="",E3830="!!!",F3830="NEW"),"",COUNTBLANK(OFFSET(A$1,,,SUMPRODUCT(MAX(ROW(E$2:E3830)*(E3830=E$2:E3830)))))-COUNTBLANK(OFFSET(A$1,,,SUMPRODUCT(MAX(ROW(E$1:E3829)*(E2=E$1:E3829))))))</f>
        <v> </v>
      </c>
      <c r="K3830" s="25" t="str">
        <f>IF(OR(E3830="",E3830="!!!",F3830="NEW"),"",INDEX(J$1:J3829,SUMPRODUCT(MAX(ROW(E$1:E3829)*(E3830=E$1:E3829)))))</f>
        <v> </v>
      </c>
      <c r="L3830" s="26"/>
    </row>
    <row r="3831" spans="1:12">
      <c r="A3831" s="20" t="s">
        <v>1043</v>
      </c>
      <c r="E3831" s="21">
        <f>IF(D3831="?OLD","!!!","")</f>
        <v/>
      </c>
      <c r="F3831" s="22" t="str">
        <f>IF(OR(E3831="",E3831="!!!"),"",IF(NOT(ISNA(VLOOKUP(E3831,E$1:E3830,1,FALSE()))),"OLD",IF(AND(E3831&lt;&gt;"",E3831&lt;&gt;"!!!"),"NEW","")))</f>
        <v> </v>
      </c>
      <c r="G3831" s="23" t="str">
        <f>IF(OR(E3831="",E3831="!!!"),"",IF(OR(J3831=0,AND(J3831=1,K3831=1),AND(J3831=1,I3831="SBJ"),AND(J3831=1,I3831=0)),"?IN_FOCUS",IF(J3831&lt;=2,"?ACTIVATED",IF(J3831&lt;&gt;"","?FAMILIAR",IF(F3831="NEW",IF(ISNA(VLOOKUP(E3831,#REF!,1,FALSE())),"?TYPE_IDENTIFIABLE","?REFERENTIAL"),"_")))))</f>
        <v> </v>
      </c>
      <c r="H3831" s="24" t="str">
        <f>IF(J3831&lt;&gt;1,"",IF(I3831="SBJ","CB","?"))</f>
        <v> </v>
      </c>
      <c r="I3831" s="25" t="str">
        <f>IF(OR(E3831="",E3831="!!!",F3831="NEW"),"",INDEX(B3830:B$2,-1+SUMPRODUCT(MAX(ROW(E3830:E$2)*(E3831=E3830:E$2)))))</f>
        <v> </v>
      </c>
      <c r="J3831" s="25" t="str">
        <f>IF(OR(E3831="",E3831="!!!",F3831="NEW"),"",COUNTBLANK(OFFSET(A$1,,,SUMPRODUCT(MAX(ROW(E$2:E3831)*(E3831=E$2:E3831)))))-COUNTBLANK(OFFSET(A$1,,,SUMPRODUCT(MAX(ROW(E$1:E3830)*(E2=E$1:E3830))))))</f>
        <v> </v>
      </c>
      <c r="K3831" s="25" t="str">
        <f>IF(OR(E3831="",E3831="!!!",F3831="NEW"),"",INDEX(J$1:J3830,SUMPRODUCT(MAX(ROW(E$1:E3830)*(E3831=E$1:E3830)))))</f>
        <v> </v>
      </c>
      <c r="L3831" s="26"/>
    </row>
    <row r="3832" spans="1:12">
      <c r="A3832" s="20" t="s">
        <v>1856</v>
      </c>
      <c r="B3832" s="27" t="s">
        <v>879</v>
      </c>
      <c r="C3832" s="27" t="s">
        <v>761</v>
      </c>
      <c r="D3832" s="27" t="s">
        <v>762</v>
      </c>
      <c r="E3832" s="21">
        <f>IF(D3832="?OLD","!!!","")</f>
        <v/>
      </c>
      <c r="F3832" s="22" t="str">
        <f>IF(OR(E3832="",E3832="!!!"),"",IF(NOT(ISNA(VLOOKUP(E3832,E$1:E3831,1,FALSE()))),"OLD",IF(AND(E3832&lt;&gt;"",E3832&lt;&gt;"!!!"),"NEW","")))</f>
        <v> </v>
      </c>
      <c r="G3832" s="23" t="str">
        <f>IF(OR(E3832="",E3832="!!!"),"",IF(OR(J3832=0,AND(J3832=1,K3832=1),AND(J3832=1,I3832="SBJ"),AND(J3832=1,I3832=0)),"?IN_FOCUS",IF(J3832&lt;=2,"?ACTIVATED",IF(J3832&lt;&gt;"","?FAMILIAR",IF(F3832="NEW",IF(ISNA(VLOOKUP(E3832,#REF!,1,FALSE())),"?TYPE_IDENTIFIABLE","?REFERENTIAL"),"_")))))</f>
        <v> </v>
      </c>
      <c r="H3832" s="24" t="str">
        <f>IF(J3832&lt;&gt;1,"",IF(I3832="SBJ","CB","?"))</f>
        <v> </v>
      </c>
      <c r="I3832" s="25" t="str">
        <f>IF(OR(E3832="",E3832="!!!",F3832="NEW"),"",INDEX(B3831:B$2,-1+SUMPRODUCT(MAX(ROW(E3831:E$2)*(E3832=E3831:E$2)))))</f>
        <v> </v>
      </c>
      <c r="J3832" s="25" t="str">
        <f>IF(OR(E3832="",E3832="!!!",F3832="NEW"),"",COUNTBLANK(OFFSET(A$1,,,SUMPRODUCT(MAX(ROW(E$2:E3832)*(E3832=E$2:E3832)))))-COUNTBLANK(OFFSET(A$1,,,SUMPRODUCT(MAX(ROW(E$1:E3831)*(E2=E$1:E3831))))))</f>
        <v> </v>
      </c>
      <c r="K3832" s="25" t="str">
        <f>IF(OR(E3832="",E3832="!!!",F3832="NEW"),"",INDEX(J$1:J3831,SUMPRODUCT(MAX(ROW(E$1:E3831)*(E3832=E$1:E3831)))))</f>
        <v> </v>
      </c>
      <c r="L3832" s="26"/>
    </row>
    <row r="3833" spans="1:12">
      <c r="A3833" s="20" t="s">
        <v>793</v>
      </c>
      <c r="E3833" s="21">
        <f>IF(D3833="?OLD","!!!","")</f>
        <v/>
      </c>
      <c r="F3833" s="22" t="str">
        <f>IF(OR(E3833="",E3833="!!!"),"",IF(NOT(ISNA(VLOOKUP(E3833,E$1:E3832,1,FALSE()))),"OLD",IF(AND(E3833&lt;&gt;"",E3833&lt;&gt;"!!!"),"NEW","")))</f>
        <v> </v>
      </c>
      <c r="G3833" s="23" t="str">
        <f>IF(OR(E3833="",E3833="!!!"),"",IF(OR(J3833=0,AND(J3833=1,K3833=1),AND(J3833=1,I3833="SBJ"),AND(J3833=1,I3833=0)),"?IN_FOCUS",IF(J3833&lt;=2,"?ACTIVATED",IF(J3833&lt;&gt;"","?FAMILIAR",IF(F3833="NEW",IF(ISNA(VLOOKUP(E3833,#REF!,1,FALSE())),"?TYPE_IDENTIFIABLE","?REFERENTIAL"),"_")))))</f>
        <v> </v>
      </c>
      <c r="H3833" s="24" t="str">
        <f>IF(J3833&lt;&gt;1,"",IF(I3833="SBJ","CB","?"))</f>
        <v> </v>
      </c>
      <c r="I3833" s="25" t="str">
        <f>IF(OR(E3833="",E3833="!!!",F3833="NEW"),"",INDEX(B3832:B$2,-1+SUMPRODUCT(MAX(ROW(E3832:E$2)*(E3833=E3832:E$2)))))</f>
        <v> </v>
      </c>
      <c r="J3833" s="25" t="str">
        <f>IF(OR(E3833="",E3833="!!!",F3833="NEW"),"",COUNTBLANK(OFFSET(A$1,,,SUMPRODUCT(MAX(ROW(E$2:E3833)*(E3833=E$2:E3833)))))-COUNTBLANK(OFFSET(A$1,,,SUMPRODUCT(MAX(ROW(E$1:E3832)*(E2=E$1:E3832))))))</f>
        <v> </v>
      </c>
      <c r="K3833" s="25" t="str">
        <f>IF(OR(E3833="",E3833="!!!",F3833="NEW"),"",INDEX(J$1:J3832,SUMPRODUCT(MAX(ROW(E$1:E3832)*(E3833=E$1:E3832)))))</f>
        <v> </v>
      </c>
      <c r="L3833" s="26"/>
    </row>
    <row r="3834" spans="1:12">
      <c r="A3834" s="20" t="s">
        <v>1235</v>
      </c>
      <c r="E3834" s="21">
        <f>IF(D3834="?OLD","!!!","")</f>
        <v/>
      </c>
      <c r="F3834" s="22" t="str">
        <f>IF(OR(E3834="",E3834="!!!"),"",IF(NOT(ISNA(VLOOKUP(E3834,E$1:E3833,1,FALSE()))),"OLD",IF(AND(E3834&lt;&gt;"",E3834&lt;&gt;"!!!"),"NEW","")))</f>
        <v> </v>
      </c>
      <c r="G3834" s="23" t="str">
        <f>IF(OR(E3834="",E3834="!!!"),"",IF(OR(J3834=0,AND(J3834=1,K3834=1),AND(J3834=1,I3834="SBJ"),AND(J3834=1,I3834=0)),"?IN_FOCUS",IF(J3834&lt;=2,"?ACTIVATED",IF(J3834&lt;&gt;"","?FAMILIAR",IF(F3834="NEW",IF(ISNA(VLOOKUP(E3834,#REF!,1,FALSE())),"?TYPE_IDENTIFIABLE","?REFERENTIAL"),"_")))))</f>
        <v> </v>
      </c>
      <c r="H3834" s="24" t="str">
        <f>IF(J3834&lt;&gt;1,"",IF(I3834="SBJ","CB","?"))</f>
        <v> </v>
      </c>
      <c r="I3834" s="25" t="str">
        <f>IF(OR(E3834="",E3834="!!!",F3834="NEW"),"",INDEX(B3833:B$2,-1+SUMPRODUCT(MAX(ROW(E3833:E$2)*(E3834=E3833:E$2)))))</f>
        <v> </v>
      </c>
      <c r="J3834" s="25" t="str">
        <f>IF(OR(E3834="",E3834="!!!",F3834="NEW"),"",COUNTBLANK(OFFSET(A$1,,,SUMPRODUCT(MAX(ROW(E$2:E3834)*(E3834=E$2:E3834)))))-COUNTBLANK(OFFSET(A$1,,,SUMPRODUCT(MAX(ROW(E$1:E3833)*(E2=E$1:E3833))))))</f>
        <v> </v>
      </c>
      <c r="K3834" s="25" t="str">
        <f>IF(OR(E3834="",E3834="!!!",F3834="NEW"),"",INDEX(J$1:J3833,SUMPRODUCT(MAX(ROW(E$1:E3833)*(E3834=E$1:E3833)))))</f>
        <v> </v>
      </c>
      <c r="L3834" s="26"/>
    </row>
    <row r="3835" spans="1:12">
      <c r="A3835" s="20" t="s">
        <v>890</v>
      </c>
      <c r="B3835" s="27" t="s">
        <v>956</v>
      </c>
      <c r="C3835" s="27" t="s">
        <v>820</v>
      </c>
      <c r="D3835" s="27" t="s">
        <v>762</v>
      </c>
      <c r="E3835" s="21">
        <f>IF(D3835="?OLD","!!!","")</f>
        <v/>
      </c>
      <c r="F3835" s="22" t="str">
        <f>IF(OR(E3835="",E3835="!!!"),"",IF(NOT(ISNA(VLOOKUP(E3835,E$1:E3834,1,FALSE()))),"OLD",IF(AND(E3835&lt;&gt;"",E3835&lt;&gt;"!!!"),"NEW","")))</f>
        <v> </v>
      </c>
      <c r="G3835" s="23" t="str">
        <f>IF(OR(E3835="",E3835="!!!"),"",IF(OR(J3835=0,AND(J3835=1,K3835=1),AND(J3835=1,I3835="SBJ"),AND(J3835=1,I3835=0)),"?IN_FOCUS",IF(J3835&lt;=2,"?ACTIVATED",IF(J3835&lt;&gt;"","?FAMILIAR",IF(F3835="NEW",IF(ISNA(VLOOKUP(E3835,#REF!,1,FALSE())),"?TYPE_IDENTIFIABLE","?REFERENTIAL"),"_")))))</f>
        <v> </v>
      </c>
      <c r="H3835" s="24" t="str">
        <f>IF(J3835&lt;&gt;1,"",IF(I3835="SBJ","CB","?"))</f>
        <v> </v>
      </c>
      <c r="I3835" s="25" t="str">
        <f>IF(OR(E3835="",E3835="!!!",F3835="NEW"),"",INDEX(B3834:B$2,-1+SUMPRODUCT(MAX(ROW(E3834:E$2)*(E3835=E3834:E$2)))))</f>
        <v> </v>
      </c>
      <c r="J3835" s="25" t="str">
        <f>IF(OR(E3835="",E3835="!!!",F3835="NEW"),"",COUNTBLANK(OFFSET(A$1,,,SUMPRODUCT(MAX(ROW(E$2:E3835)*(E3835=E$2:E3835)))))-COUNTBLANK(OFFSET(A$1,,,SUMPRODUCT(MAX(ROW(E$1:E3834)*(E2=E$1:E3834))))))</f>
        <v> </v>
      </c>
      <c r="K3835" s="25" t="str">
        <f>IF(OR(E3835="",E3835="!!!",F3835="NEW"),"",INDEX(J$1:J3834,SUMPRODUCT(MAX(ROW(E$1:E3834)*(E3835=E$1:E3834)))))</f>
        <v> </v>
      </c>
      <c r="L3835" s="26"/>
    </row>
    <row r="3836" spans="1:12">
      <c r="A3836" s="20" t="s">
        <v>1857</v>
      </c>
      <c r="E3836" s="21">
        <f>IF(D3836="?OLD","!!!","")</f>
        <v/>
      </c>
      <c r="F3836" s="22" t="str">
        <f>IF(OR(E3836="",E3836="!!!"),"",IF(NOT(ISNA(VLOOKUP(E3836,E$1:E3835,1,FALSE()))),"OLD",IF(AND(E3836&lt;&gt;"",E3836&lt;&gt;"!!!"),"NEW","")))</f>
        <v> </v>
      </c>
      <c r="G3836" s="23" t="str">
        <f>IF(OR(E3836="",E3836="!!!"),"",IF(OR(J3836=0,AND(J3836=1,K3836=1),AND(J3836=1,I3836="SBJ"),AND(J3836=1,I3836=0)),"?IN_FOCUS",IF(J3836&lt;=2,"?ACTIVATED",IF(J3836&lt;&gt;"","?FAMILIAR",IF(F3836="NEW",IF(ISNA(VLOOKUP(E3836,#REF!,1,FALSE())),"?TYPE_IDENTIFIABLE","?REFERENTIAL"),"_")))))</f>
        <v> </v>
      </c>
      <c r="H3836" s="24" t="str">
        <f>IF(J3836&lt;&gt;1,"",IF(I3836="SBJ","CB","?"))</f>
        <v> </v>
      </c>
      <c r="I3836" s="25" t="str">
        <f>IF(OR(E3836="",E3836="!!!",F3836="NEW"),"",INDEX(B3835:B$2,-1+SUMPRODUCT(MAX(ROW(E3835:E$2)*(E3836=E3835:E$2)))))</f>
        <v> </v>
      </c>
      <c r="J3836" s="25" t="str">
        <f>IF(OR(E3836="",E3836="!!!",F3836="NEW"),"",COUNTBLANK(OFFSET(A$1,,,SUMPRODUCT(MAX(ROW(E$2:E3836)*(E3836=E$2:E3836)))))-COUNTBLANK(OFFSET(A$1,,,SUMPRODUCT(MAX(ROW(E$1:E3835)*(E2=E$1:E3835))))))</f>
        <v> </v>
      </c>
      <c r="K3836" s="25" t="str">
        <f>IF(OR(E3836="",E3836="!!!",F3836="NEW"),"",INDEX(J$1:J3835,SUMPRODUCT(MAX(ROW(E$1:E3835)*(E3836=E$1:E3835)))))</f>
        <v> </v>
      </c>
      <c r="L3836" s="26"/>
    </row>
    <row r="3837" spans="1:12">
      <c r="A3837" s="20" t="s">
        <v>769</v>
      </c>
      <c r="E3837" s="21">
        <f>IF(D3837="?OLD","!!!","")</f>
        <v/>
      </c>
      <c r="F3837" s="22" t="str">
        <f>IF(OR(E3837="",E3837="!!!"),"",IF(NOT(ISNA(VLOOKUP(E3837,E$1:E3836,1,FALSE()))),"OLD",IF(AND(E3837&lt;&gt;"",E3837&lt;&gt;"!!!"),"NEW","")))</f>
        <v> </v>
      </c>
      <c r="G3837" s="23" t="str">
        <f>IF(OR(E3837="",E3837="!!!"),"",IF(OR(J3837=0,AND(J3837=1,K3837=1),AND(J3837=1,I3837="SBJ"),AND(J3837=1,I3837=0)),"?IN_FOCUS",IF(J3837&lt;=2,"?ACTIVATED",IF(J3837&lt;&gt;"","?FAMILIAR",IF(F3837="NEW",IF(ISNA(VLOOKUP(E3837,#REF!,1,FALSE())),"?TYPE_IDENTIFIABLE","?REFERENTIAL"),"_")))))</f>
        <v> </v>
      </c>
      <c r="H3837" s="24" t="str">
        <f>IF(J3837&lt;&gt;1,"",IF(I3837="SBJ","CB","?"))</f>
        <v> </v>
      </c>
      <c r="I3837" s="25" t="str">
        <f>IF(OR(E3837="",E3837="!!!",F3837="NEW"),"",INDEX(B3836:B$2,-1+SUMPRODUCT(MAX(ROW(E3836:E$2)*(E3837=E3836:E$2)))))</f>
        <v> </v>
      </c>
      <c r="J3837" s="25" t="str">
        <f>IF(OR(E3837="",E3837="!!!",F3837="NEW"),"",COUNTBLANK(OFFSET(A$1,,,SUMPRODUCT(MAX(ROW(E$2:E3837)*(E3837=E$2:E3837)))))-COUNTBLANK(OFFSET(A$1,,,SUMPRODUCT(MAX(ROW(E$1:E3836)*(E2=E$1:E3836))))))</f>
        <v> </v>
      </c>
      <c r="K3837" s="25" t="str">
        <f>IF(OR(E3837="",E3837="!!!",F3837="NEW"),"",INDEX(J$1:J3836,SUMPRODUCT(MAX(ROW(E$1:E3836)*(E3837=E$1:E3836)))))</f>
        <v> </v>
      </c>
      <c r="L3837" s="26"/>
    </row>
    <row r="3838" spans="1:12">
      <c r="A3838" s="20" t="s">
        <v>838</v>
      </c>
      <c r="E3838" s="21">
        <f>IF(D3838="?OLD","!!!","")</f>
        <v/>
      </c>
      <c r="F3838" s="22" t="str">
        <f>IF(OR(E3838="",E3838="!!!"),"",IF(NOT(ISNA(VLOOKUP(E3838,E$1:E3837,1,FALSE()))),"OLD",IF(AND(E3838&lt;&gt;"",E3838&lt;&gt;"!!!"),"NEW","")))</f>
        <v> </v>
      </c>
      <c r="G3838" s="23" t="str">
        <f>IF(OR(E3838="",E3838="!!!"),"",IF(OR(J3838=0,AND(J3838=1,K3838=1),AND(J3838=1,I3838="SBJ"),AND(J3838=1,I3838=0)),"?IN_FOCUS",IF(J3838&lt;=2,"?ACTIVATED",IF(J3838&lt;&gt;"","?FAMILIAR",IF(F3838="NEW",IF(ISNA(VLOOKUP(E3838,#REF!,1,FALSE())),"?TYPE_IDENTIFIABLE","?REFERENTIAL"),"_")))))</f>
        <v> </v>
      </c>
      <c r="H3838" s="24" t="str">
        <f>IF(J3838&lt;&gt;1,"",IF(I3838="SBJ","CB","?"))</f>
        <v> </v>
      </c>
      <c r="I3838" s="25" t="str">
        <f>IF(OR(E3838="",E3838="!!!",F3838="NEW"),"",INDEX(B3837:B$2,-1+SUMPRODUCT(MAX(ROW(E3837:E$2)*(E3838=E3837:E$2)))))</f>
        <v> </v>
      </c>
      <c r="J3838" s="25" t="str">
        <f>IF(OR(E3838="",E3838="!!!",F3838="NEW"),"",COUNTBLANK(OFFSET(A$1,,,SUMPRODUCT(MAX(ROW(E$2:E3838)*(E3838=E$2:E3838)))))-COUNTBLANK(OFFSET(A$1,,,SUMPRODUCT(MAX(ROW(E$1:E3837)*(E2=E$1:E3837))))))</f>
        <v> </v>
      </c>
      <c r="K3838" s="25" t="str">
        <f>IF(OR(E3838="",E3838="!!!",F3838="NEW"),"",INDEX(J$1:J3837,SUMPRODUCT(MAX(ROW(E$1:E3837)*(E3838=E$1:E3837)))))</f>
        <v> </v>
      </c>
      <c r="L3838" s="26"/>
    </row>
    <row r="3839" spans="1:12">
      <c r="A3839" s="20" t="s">
        <v>1858</v>
      </c>
      <c r="B3839" s="27" t="s">
        <v>879</v>
      </c>
      <c r="C3839" s="27" t="s">
        <v>761</v>
      </c>
      <c r="D3839" s="27" t="s">
        <v>762</v>
      </c>
      <c r="E3839" s="21">
        <f>IF(D3839="?OLD","!!!","")</f>
        <v/>
      </c>
      <c r="F3839" s="22" t="str">
        <f>IF(OR(E3839="",E3839="!!!"),"",IF(NOT(ISNA(VLOOKUP(E3839,E$1:E3838,1,FALSE()))),"OLD",IF(AND(E3839&lt;&gt;"",E3839&lt;&gt;"!!!"),"NEW","")))</f>
        <v> </v>
      </c>
      <c r="G3839" s="23" t="str">
        <f>IF(OR(E3839="",E3839="!!!"),"",IF(OR(J3839=0,AND(J3839=1,K3839=1),AND(J3839=1,I3839="SBJ"),AND(J3839=1,I3839=0)),"?IN_FOCUS",IF(J3839&lt;=2,"?ACTIVATED",IF(J3839&lt;&gt;"","?FAMILIAR",IF(F3839="NEW",IF(ISNA(VLOOKUP(E3839,#REF!,1,FALSE())),"?TYPE_IDENTIFIABLE","?REFERENTIAL"),"_")))))</f>
        <v> </v>
      </c>
      <c r="H3839" s="24" t="str">
        <f>IF(J3839&lt;&gt;1,"",IF(I3839="SBJ","CB","?"))</f>
        <v> </v>
      </c>
      <c r="I3839" s="25" t="str">
        <f>IF(OR(E3839="",E3839="!!!",F3839="NEW"),"",INDEX(B3838:B$2,-1+SUMPRODUCT(MAX(ROW(E3838:E$2)*(E3839=E3838:E$2)))))</f>
        <v> </v>
      </c>
      <c r="J3839" s="25" t="str">
        <f>IF(OR(E3839="",E3839="!!!",F3839="NEW"),"",COUNTBLANK(OFFSET(A$1,,,SUMPRODUCT(MAX(ROW(E$2:E3839)*(E3839=E$2:E3839)))))-COUNTBLANK(OFFSET(A$1,,,SUMPRODUCT(MAX(ROW(E$1:E3838)*(E2=E$1:E3838))))))</f>
        <v> </v>
      </c>
      <c r="K3839" s="25" t="str">
        <f>IF(OR(E3839="",E3839="!!!",F3839="NEW"),"",INDEX(J$1:J3838,SUMPRODUCT(MAX(ROW(E$1:E3838)*(E3839=E$1:E3838)))))</f>
        <v> </v>
      </c>
      <c r="L3839" s="26"/>
    </row>
    <row r="3840" spans="1:12">
      <c r="A3840" s="20" t="s">
        <v>1859</v>
      </c>
      <c r="E3840" s="21">
        <f>IF(D3840="?OLD","!!!","")</f>
        <v/>
      </c>
      <c r="F3840" s="22" t="str">
        <f>IF(OR(E3840="",E3840="!!!"),"",IF(NOT(ISNA(VLOOKUP(E3840,E$1:E3839,1,FALSE()))),"OLD",IF(AND(E3840&lt;&gt;"",E3840&lt;&gt;"!!!"),"NEW","")))</f>
        <v> </v>
      </c>
      <c r="G3840" s="23" t="str">
        <f>IF(OR(E3840="",E3840="!!!"),"",IF(OR(J3840=0,AND(J3840=1,K3840=1),AND(J3840=1,I3840="SBJ"),AND(J3840=1,I3840=0)),"?IN_FOCUS",IF(J3840&lt;=2,"?ACTIVATED",IF(J3840&lt;&gt;"","?FAMILIAR",IF(F3840="NEW",IF(ISNA(VLOOKUP(E3840,#REF!,1,FALSE())),"?TYPE_IDENTIFIABLE","?REFERENTIAL"),"_")))))</f>
        <v> </v>
      </c>
      <c r="H3840" s="24" t="str">
        <f>IF(J3840&lt;&gt;1,"",IF(I3840="SBJ","CB","?"))</f>
        <v> </v>
      </c>
      <c r="I3840" s="25" t="str">
        <f>IF(OR(E3840="",E3840="!!!",F3840="NEW"),"",INDEX(B3839:B$2,-1+SUMPRODUCT(MAX(ROW(E3839:E$2)*(E3840=E3839:E$2)))))</f>
        <v> </v>
      </c>
      <c r="J3840" s="25" t="str">
        <f>IF(OR(E3840="",E3840="!!!",F3840="NEW"),"",COUNTBLANK(OFFSET(A$1,,,SUMPRODUCT(MAX(ROW(E$2:E3840)*(E3840=E$2:E3840)))))-COUNTBLANK(OFFSET(A$1,,,SUMPRODUCT(MAX(ROW(E$1:E3839)*(E2=E$1:E3839))))))</f>
        <v> </v>
      </c>
      <c r="K3840" s="25" t="str">
        <f>IF(OR(E3840="",E3840="!!!",F3840="NEW"),"",INDEX(J$1:J3839,SUMPRODUCT(MAX(ROW(E$1:E3839)*(E3840=E$1:E3839)))))</f>
        <v> </v>
      </c>
      <c r="L3840" s="26"/>
    </row>
    <row r="3841" spans="1:12">
      <c r="A3841" s="20" t="s">
        <v>872</v>
      </c>
      <c r="E3841" s="21">
        <f>IF(D3841="?OLD","!!!","")</f>
        <v/>
      </c>
      <c r="F3841" s="22" t="str">
        <f>IF(OR(E3841="",E3841="!!!"),"",IF(NOT(ISNA(VLOOKUP(E3841,E$1:E3840,1,FALSE()))),"OLD",IF(AND(E3841&lt;&gt;"",E3841&lt;&gt;"!!!"),"NEW","")))</f>
        <v> </v>
      </c>
      <c r="G3841" s="23" t="str">
        <f>IF(OR(E3841="",E3841="!!!"),"",IF(OR(J3841=0,AND(J3841=1,K3841=1),AND(J3841=1,I3841="SBJ"),AND(J3841=1,I3841=0)),"?IN_FOCUS",IF(J3841&lt;=2,"?ACTIVATED",IF(J3841&lt;&gt;"","?FAMILIAR",IF(F3841="NEW",IF(ISNA(VLOOKUP(E3841,#REF!,1,FALSE())),"?TYPE_IDENTIFIABLE","?REFERENTIAL"),"_")))))</f>
        <v> </v>
      </c>
      <c r="H3841" s="24" t="str">
        <f>IF(J3841&lt;&gt;1,"",IF(I3841="SBJ","CB","?"))</f>
        <v> </v>
      </c>
      <c r="I3841" s="25" t="str">
        <f>IF(OR(E3841="",E3841="!!!",F3841="NEW"),"",INDEX(B3840:B$2,-1+SUMPRODUCT(MAX(ROW(E3840:E$2)*(E3841=E3840:E$2)))))</f>
        <v> </v>
      </c>
      <c r="J3841" s="25" t="str">
        <f>IF(OR(E3841="",E3841="!!!",F3841="NEW"),"",COUNTBLANK(OFFSET(A$1,,,SUMPRODUCT(MAX(ROW(E$2:E3841)*(E3841=E$2:E3841)))))-COUNTBLANK(OFFSET(A$1,,,SUMPRODUCT(MAX(ROW(E$1:E3840)*(E2=E$1:E3840))))))</f>
        <v> </v>
      </c>
      <c r="K3841" s="25" t="str">
        <f>IF(OR(E3841="",E3841="!!!",F3841="NEW"),"",INDEX(J$1:J3840,SUMPRODUCT(MAX(ROW(E$1:E3840)*(E3841=E$1:E3840)))))</f>
        <v> </v>
      </c>
      <c r="L3841" s="26"/>
    </row>
    <row r="3842" spans="1:12">
      <c r="A3842" s="20" t="s">
        <v>779</v>
      </c>
      <c r="E3842" s="21">
        <f>IF(D3842="?OLD","!!!","")</f>
        <v/>
      </c>
      <c r="F3842" s="22" t="str">
        <f>IF(OR(E3842="",E3842="!!!"),"",IF(NOT(ISNA(VLOOKUP(E3842,E$1:E3841,1,FALSE()))),"OLD",IF(AND(E3842&lt;&gt;"",E3842&lt;&gt;"!!!"),"NEW","")))</f>
        <v> </v>
      </c>
      <c r="G3842" s="23" t="str">
        <f>IF(OR(E3842="",E3842="!!!"),"",IF(OR(J3842=0,AND(J3842=1,K3842=1),AND(J3842=1,I3842="SBJ"),AND(J3842=1,I3842=0)),"?IN_FOCUS",IF(J3842&lt;=2,"?ACTIVATED",IF(J3842&lt;&gt;"","?FAMILIAR",IF(F3842="NEW",IF(ISNA(VLOOKUP(E3842,#REF!,1,FALSE())),"?TYPE_IDENTIFIABLE","?REFERENTIAL"),"_")))))</f>
        <v> </v>
      </c>
      <c r="H3842" s="24" t="str">
        <f>IF(J3842&lt;&gt;1,"",IF(I3842="SBJ","CB","?"))</f>
        <v> </v>
      </c>
      <c r="I3842" s="25" t="str">
        <f>IF(OR(E3842="",E3842="!!!",F3842="NEW"),"",INDEX(B3841:B$2,-1+SUMPRODUCT(MAX(ROW(E3841:E$2)*(E3842=E3841:E$2)))))</f>
        <v> </v>
      </c>
      <c r="J3842" s="25" t="str">
        <f>IF(OR(E3842="",E3842="!!!",F3842="NEW"),"",COUNTBLANK(OFFSET(A$1,,,SUMPRODUCT(MAX(ROW(E$2:E3842)*(E3842=E$2:E3842)))))-COUNTBLANK(OFFSET(A$1,,,SUMPRODUCT(MAX(ROW(E$1:E3841)*(E2=E$1:E3841))))))</f>
        <v> </v>
      </c>
      <c r="K3842" s="25" t="str">
        <f>IF(OR(E3842="",E3842="!!!",F3842="NEW"),"",INDEX(J$1:J3841,SUMPRODUCT(MAX(ROW(E$1:E3841)*(E3842=E$1:E3841)))))</f>
        <v> </v>
      </c>
      <c r="L3842" s="26"/>
    </row>
    <row r="3843" spans="1:12">
      <c r="A3843" s="20" t="s">
        <v>1860</v>
      </c>
      <c r="B3843" s="27" t="s">
        <v>815</v>
      </c>
      <c r="C3843" s="27" t="s">
        <v>768</v>
      </c>
      <c r="E3843" s="21">
        <f>IF(D3843="?OLD","!!!","")</f>
        <v/>
      </c>
      <c r="F3843" s="22" t="str">
        <f>IF(OR(E3843="",E3843="!!!"),"",IF(NOT(ISNA(VLOOKUP(E3843,E$1:E3842,1,FALSE()))),"OLD",IF(AND(E3843&lt;&gt;"",E3843&lt;&gt;"!!!"),"NEW","")))</f>
        <v> </v>
      </c>
      <c r="G3843" s="23" t="str">
        <f>IF(OR(E3843="",E3843="!!!"),"",IF(OR(J3843=0,AND(J3843=1,K3843=1),AND(J3843=1,I3843="SBJ"),AND(J3843=1,I3843=0)),"?IN_FOCUS",IF(J3843&lt;=2,"?ACTIVATED",IF(J3843&lt;&gt;"","?FAMILIAR",IF(F3843="NEW",IF(ISNA(VLOOKUP(E3843,#REF!,1,FALSE())),"?TYPE_IDENTIFIABLE","?REFERENTIAL"),"_")))))</f>
        <v> </v>
      </c>
      <c r="H3843" s="24" t="str">
        <f>IF(J3843&lt;&gt;1,"",IF(I3843="SBJ","CB","?"))</f>
        <v> </v>
      </c>
      <c r="I3843" s="25" t="str">
        <f>IF(OR(E3843="",E3843="!!!",F3843="NEW"),"",INDEX(B3842:B$2,-1+SUMPRODUCT(MAX(ROW(E3842:E$2)*(E3843=E3842:E$2)))))</f>
        <v> </v>
      </c>
      <c r="J3843" s="25" t="str">
        <f>IF(OR(E3843="",E3843="!!!",F3843="NEW"),"",COUNTBLANK(OFFSET(A$1,,,SUMPRODUCT(MAX(ROW(E$2:E3843)*(E3843=E$2:E3843)))))-COUNTBLANK(OFFSET(A$1,,,SUMPRODUCT(MAX(ROW(E$1:E3842)*(E2=E$1:E3842))))))</f>
        <v> </v>
      </c>
      <c r="K3843" s="25" t="str">
        <f>IF(OR(E3843="",E3843="!!!",F3843="NEW"),"",INDEX(J$1:J3842,SUMPRODUCT(MAX(ROW(E$1:E3842)*(E3843=E$1:E3842)))))</f>
        <v> </v>
      </c>
      <c r="L3843" s="26"/>
    </row>
    <row r="3844" spans="1:12">
      <c r="A3844" s="20" t="s">
        <v>942</v>
      </c>
      <c r="E3844" s="21">
        <f>IF(D3844="?OLD","!!!","")</f>
        <v/>
      </c>
      <c r="F3844" s="22" t="str">
        <f>IF(OR(E3844="",E3844="!!!"),"",IF(NOT(ISNA(VLOOKUP(E3844,E$1:E3843,1,FALSE()))),"OLD",IF(AND(E3844&lt;&gt;"",E3844&lt;&gt;"!!!"),"NEW","")))</f>
        <v> </v>
      </c>
      <c r="G3844" s="23" t="str">
        <f>IF(OR(E3844="",E3844="!!!"),"",IF(OR(J3844=0,AND(J3844=1,K3844=1),AND(J3844=1,I3844="SBJ"),AND(J3844=1,I3844=0)),"?IN_FOCUS",IF(J3844&lt;=2,"?ACTIVATED",IF(J3844&lt;&gt;"","?FAMILIAR",IF(F3844="NEW",IF(ISNA(VLOOKUP(E3844,#REF!,1,FALSE())),"?TYPE_IDENTIFIABLE","?REFERENTIAL"),"_")))))</f>
        <v> </v>
      </c>
      <c r="H3844" s="24" t="str">
        <f>IF(J3844&lt;&gt;1,"",IF(I3844="SBJ","CB","?"))</f>
        <v> </v>
      </c>
      <c r="I3844" s="25" t="str">
        <f>IF(OR(E3844="",E3844="!!!",F3844="NEW"),"",INDEX(B3843:B$2,-1+SUMPRODUCT(MAX(ROW(E3843:E$2)*(E3844=E3843:E$2)))))</f>
        <v> </v>
      </c>
      <c r="J3844" s="25" t="str">
        <f>IF(OR(E3844="",E3844="!!!",F3844="NEW"),"",COUNTBLANK(OFFSET(A$1,,,SUMPRODUCT(MAX(ROW(E$2:E3844)*(E3844=E$2:E3844)))))-COUNTBLANK(OFFSET(A$1,,,SUMPRODUCT(MAX(ROW(E$1:E3843)*(E2=E$1:E3843))))))</f>
        <v> </v>
      </c>
      <c r="K3844" s="25" t="str">
        <f>IF(OR(E3844="",E3844="!!!",F3844="NEW"),"",INDEX(J$1:J3843,SUMPRODUCT(MAX(ROW(E$1:E3843)*(E3844=E$1:E3843)))))</f>
        <v> </v>
      </c>
      <c r="L3844" s="26"/>
    </row>
    <row r="3845" spans="1:12">
      <c r="A3845" s="20" t="s">
        <v>840</v>
      </c>
      <c r="B3845" s="27" t="s">
        <v>940</v>
      </c>
      <c r="C3845" s="27" t="s">
        <v>797</v>
      </c>
      <c r="D3845" s="27" t="s">
        <v>762</v>
      </c>
      <c r="E3845" s="21">
        <f>IF(D3845="?OLD","!!!","")</f>
        <v/>
      </c>
      <c r="F3845" s="22" t="str">
        <f>IF(OR(E3845="",E3845="!!!"),"",IF(NOT(ISNA(VLOOKUP(E3845,E$1:E3844,1,FALSE()))),"OLD",IF(AND(E3845&lt;&gt;"",E3845&lt;&gt;"!!!"),"NEW","")))</f>
        <v> </v>
      </c>
      <c r="G3845" s="23" t="str">
        <f>IF(OR(E3845="",E3845="!!!"),"",IF(OR(J3845=0,AND(J3845=1,K3845=1),AND(J3845=1,I3845="SBJ"),AND(J3845=1,I3845=0)),"?IN_FOCUS",IF(J3845&lt;=2,"?ACTIVATED",IF(J3845&lt;&gt;"","?FAMILIAR",IF(F3845="NEW",IF(ISNA(VLOOKUP(E3845,#REF!,1,FALSE())),"?TYPE_IDENTIFIABLE","?REFERENTIAL"),"_")))))</f>
        <v> </v>
      </c>
      <c r="H3845" s="24" t="str">
        <f>IF(J3845&lt;&gt;1,"",IF(I3845="SBJ","CB","?"))</f>
        <v> </v>
      </c>
      <c r="I3845" s="25" t="str">
        <f>IF(OR(E3845="",E3845="!!!",F3845="NEW"),"",INDEX(B3844:B$2,-1+SUMPRODUCT(MAX(ROW(E3844:E$2)*(E3845=E3844:E$2)))))</f>
        <v> </v>
      </c>
      <c r="J3845" s="25" t="str">
        <f>IF(OR(E3845="",E3845="!!!",F3845="NEW"),"",COUNTBLANK(OFFSET(A$1,,,SUMPRODUCT(MAX(ROW(E$2:E3845)*(E3845=E$2:E3845)))))-COUNTBLANK(OFFSET(A$1,,,SUMPRODUCT(MAX(ROW(E$1:E3844)*(E2=E$1:E3844))))))</f>
        <v> </v>
      </c>
      <c r="K3845" s="25" t="str">
        <f>IF(OR(E3845="",E3845="!!!",F3845="NEW"),"",INDEX(J$1:J3844,SUMPRODUCT(MAX(ROW(E$1:E3844)*(E3845=E$1:E3844)))))</f>
        <v> </v>
      </c>
      <c r="L3845" s="26"/>
    </row>
    <row r="3846" spans="1:12">
      <c r="A3846" s="20" t="s">
        <v>1211</v>
      </c>
      <c r="E3846" s="21">
        <f>IF(D3846="?OLD","!!!","")</f>
        <v/>
      </c>
      <c r="F3846" s="22" t="str">
        <f>IF(OR(E3846="",E3846="!!!"),"",IF(NOT(ISNA(VLOOKUP(E3846,E$1:E3845,1,FALSE()))),"OLD",IF(AND(E3846&lt;&gt;"",E3846&lt;&gt;"!!!"),"NEW","")))</f>
        <v> </v>
      </c>
      <c r="G3846" s="23" t="str">
        <f>IF(OR(E3846="",E3846="!!!"),"",IF(OR(J3846=0,AND(J3846=1,K3846=1),AND(J3846=1,I3846="SBJ"),AND(J3846=1,I3846=0)),"?IN_FOCUS",IF(J3846&lt;=2,"?ACTIVATED",IF(J3846&lt;&gt;"","?FAMILIAR",IF(F3846="NEW",IF(ISNA(VLOOKUP(E3846,#REF!,1,FALSE())),"?TYPE_IDENTIFIABLE","?REFERENTIAL"),"_")))))</f>
        <v> </v>
      </c>
      <c r="H3846" s="24" t="str">
        <f>IF(J3846&lt;&gt;1,"",IF(I3846="SBJ","CB","?"))</f>
        <v> </v>
      </c>
      <c r="I3846" s="25" t="str">
        <f>IF(OR(E3846="",E3846="!!!",F3846="NEW"),"",INDEX(B3845:B$2,-1+SUMPRODUCT(MAX(ROW(E3845:E$2)*(E3846=E3845:E$2)))))</f>
        <v> </v>
      </c>
      <c r="J3846" s="25" t="str">
        <f>IF(OR(E3846="",E3846="!!!",F3846="NEW"),"",COUNTBLANK(OFFSET(A$1,,,SUMPRODUCT(MAX(ROW(E$2:E3846)*(E3846=E$2:E3846)))))-COUNTBLANK(OFFSET(A$1,,,SUMPRODUCT(MAX(ROW(E$1:E3845)*(E2=E$1:E3845))))))</f>
        <v> </v>
      </c>
      <c r="K3846" s="25" t="str">
        <f>IF(OR(E3846="",E3846="!!!",F3846="NEW"),"",INDEX(J$1:J3845,SUMPRODUCT(MAX(ROW(E$1:E3845)*(E3846=E$1:E3845)))))</f>
        <v> </v>
      </c>
      <c r="L3846" s="26"/>
    </row>
    <row r="3847" spans="1:12">
      <c r="A3847" s="20" t="s">
        <v>889</v>
      </c>
      <c r="E3847" s="21">
        <f>IF(D3847="?OLD","!!!","")</f>
        <v/>
      </c>
      <c r="F3847" s="22" t="str">
        <f>IF(OR(E3847="",E3847="!!!"),"",IF(NOT(ISNA(VLOOKUP(E3847,E$1:E3846,1,FALSE()))),"OLD",IF(AND(E3847&lt;&gt;"",E3847&lt;&gt;"!!!"),"NEW","")))</f>
        <v> </v>
      </c>
      <c r="G3847" s="23" t="str">
        <f>IF(OR(E3847="",E3847="!!!"),"",IF(OR(J3847=0,AND(J3847=1,K3847=1),AND(J3847=1,I3847="SBJ"),AND(J3847=1,I3847=0)),"?IN_FOCUS",IF(J3847&lt;=2,"?ACTIVATED",IF(J3847&lt;&gt;"","?FAMILIAR",IF(F3847="NEW",IF(ISNA(VLOOKUP(E3847,#REF!,1,FALSE())),"?TYPE_IDENTIFIABLE","?REFERENTIAL"),"_")))))</f>
        <v> </v>
      </c>
      <c r="H3847" s="24" t="str">
        <f>IF(J3847&lt;&gt;1,"",IF(I3847="SBJ","CB","?"))</f>
        <v> </v>
      </c>
      <c r="I3847" s="25" t="str">
        <f>IF(OR(E3847="",E3847="!!!",F3847="NEW"),"",INDEX(B3846:B$2,-1+SUMPRODUCT(MAX(ROW(E3846:E$2)*(E3847=E3846:E$2)))))</f>
        <v> </v>
      </c>
      <c r="J3847" s="25" t="str">
        <f>IF(OR(E3847="",E3847="!!!",F3847="NEW"),"",COUNTBLANK(OFFSET(A$1,,,SUMPRODUCT(MAX(ROW(E$2:E3847)*(E3847=E$2:E3847)))))-COUNTBLANK(OFFSET(A$1,,,SUMPRODUCT(MAX(ROW(E$1:E3846)*(E2=E$1:E3846))))))</f>
        <v> </v>
      </c>
      <c r="K3847" s="25" t="str">
        <f>IF(OR(E3847="",E3847="!!!",F3847="NEW"),"",INDEX(J$1:J3846,SUMPRODUCT(MAX(ROW(E$1:E3846)*(E3847=E$1:E3846)))))</f>
        <v> </v>
      </c>
      <c r="L3847" s="26"/>
    </row>
    <row r="3848" spans="1:12">
      <c r="A3848" s="20" t="s">
        <v>1155</v>
      </c>
      <c r="B3848" s="27" t="s">
        <v>1272</v>
      </c>
      <c r="C3848" s="27" t="s">
        <v>797</v>
      </c>
      <c r="D3848" s="27" t="s">
        <v>762</v>
      </c>
      <c r="E3848" s="21">
        <f>IF(D3848="?OLD","!!!","")</f>
        <v/>
      </c>
      <c r="F3848" s="22" t="str">
        <f>IF(OR(E3848="",E3848="!!!"),"",IF(NOT(ISNA(VLOOKUP(E3848,E$1:E3847,1,FALSE()))),"OLD",IF(AND(E3848&lt;&gt;"",E3848&lt;&gt;"!!!"),"NEW","")))</f>
        <v> </v>
      </c>
      <c r="G3848" s="23" t="str">
        <f>IF(OR(E3848="",E3848="!!!"),"",IF(OR(J3848=0,AND(J3848=1,K3848=1),AND(J3848=1,I3848="SBJ"),AND(J3848=1,I3848=0)),"?IN_FOCUS",IF(J3848&lt;=2,"?ACTIVATED",IF(J3848&lt;&gt;"","?FAMILIAR",IF(F3848="NEW",IF(ISNA(VLOOKUP(E3848,#REF!,1,FALSE())),"?TYPE_IDENTIFIABLE","?REFERENTIAL"),"_")))))</f>
        <v> </v>
      </c>
      <c r="H3848" s="24" t="str">
        <f>IF(J3848&lt;&gt;1,"",IF(I3848="SBJ","CB","?"))</f>
        <v> </v>
      </c>
      <c r="I3848" s="25" t="str">
        <f>IF(OR(E3848="",E3848="!!!",F3848="NEW"),"",INDEX(B3847:B$2,-1+SUMPRODUCT(MAX(ROW(E3847:E$2)*(E3848=E3847:E$2)))))</f>
        <v> </v>
      </c>
      <c r="J3848" s="25" t="str">
        <f>IF(OR(E3848="",E3848="!!!",F3848="NEW"),"",COUNTBLANK(OFFSET(A$1,,,SUMPRODUCT(MAX(ROW(E$2:E3848)*(E3848=E$2:E3848)))))-COUNTBLANK(OFFSET(A$1,,,SUMPRODUCT(MAX(ROW(E$1:E3847)*(E2=E$1:E3847))))))</f>
        <v> </v>
      </c>
      <c r="K3848" s="25" t="str">
        <f>IF(OR(E3848="",E3848="!!!",F3848="NEW"),"",INDEX(J$1:J3847,SUMPRODUCT(MAX(ROW(E$1:E3847)*(E3848=E$1:E3847)))))</f>
        <v> </v>
      </c>
      <c r="L3848" s="26"/>
    </row>
    <row r="3849" spans="1:12">
      <c r="A3849" s="20" t="s">
        <v>798</v>
      </c>
      <c r="E3849" s="21">
        <f>IF(D3849="?OLD","!!!","")</f>
        <v/>
      </c>
      <c r="F3849" s="22" t="str">
        <f>IF(OR(E3849="",E3849="!!!"),"",IF(NOT(ISNA(VLOOKUP(E3849,E$1:E3848,1,FALSE()))),"OLD",IF(AND(E3849&lt;&gt;"",E3849&lt;&gt;"!!!"),"NEW","")))</f>
        <v> </v>
      </c>
      <c r="G3849" s="23" t="str">
        <f>IF(OR(E3849="",E3849="!!!"),"",IF(OR(J3849=0,AND(J3849=1,K3849=1),AND(J3849=1,I3849="SBJ"),AND(J3849=1,I3849=0)),"?IN_FOCUS",IF(J3849&lt;=2,"?ACTIVATED",IF(J3849&lt;&gt;"","?FAMILIAR",IF(F3849="NEW",IF(ISNA(VLOOKUP(E3849,#REF!,1,FALSE())),"?TYPE_IDENTIFIABLE","?REFERENTIAL"),"_")))))</f>
        <v> </v>
      </c>
      <c r="H3849" s="24" t="str">
        <f>IF(J3849&lt;&gt;1,"",IF(I3849="SBJ","CB","?"))</f>
        <v> </v>
      </c>
      <c r="I3849" s="25" t="str">
        <f>IF(OR(E3849="",E3849="!!!",F3849="NEW"),"",INDEX(B3848:B$2,-1+SUMPRODUCT(MAX(ROW(E3848:E$2)*(E3849=E3848:E$2)))))</f>
        <v> </v>
      </c>
      <c r="J3849" s="25" t="str">
        <f>IF(OR(E3849="",E3849="!!!",F3849="NEW"),"",COUNTBLANK(OFFSET(A$1,,,SUMPRODUCT(MAX(ROW(E$2:E3849)*(E3849=E$2:E3849)))))-COUNTBLANK(OFFSET(A$1,,,SUMPRODUCT(MAX(ROW(E$1:E3848)*(E2=E$1:E3848))))))</f>
        <v> </v>
      </c>
      <c r="K3849" s="25" t="str">
        <f>IF(OR(E3849="",E3849="!!!",F3849="NEW"),"",INDEX(J$1:J3848,SUMPRODUCT(MAX(ROW(E$1:E3848)*(E3849=E$1:E3848)))))</f>
        <v> </v>
      </c>
      <c r="L3849" s="26"/>
    </row>
    <row r="3850" spans="1:12">
      <c r="A3850" s="20" t="s">
        <v>1861</v>
      </c>
      <c r="E3850" s="21">
        <f>IF(D3850="?OLD","!!!","")</f>
        <v/>
      </c>
      <c r="F3850" s="22" t="str">
        <f>IF(OR(E3850="",E3850="!!!"),"",IF(NOT(ISNA(VLOOKUP(E3850,E$1:E3849,1,FALSE()))),"OLD",IF(AND(E3850&lt;&gt;"",E3850&lt;&gt;"!!!"),"NEW","")))</f>
        <v> </v>
      </c>
      <c r="G3850" s="23" t="str">
        <f>IF(OR(E3850="",E3850="!!!"),"",IF(OR(J3850=0,AND(J3850=1,K3850=1),AND(J3850=1,I3850="SBJ"),AND(J3850=1,I3850=0)),"?IN_FOCUS",IF(J3850&lt;=2,"?ACTIVATED",IF(J3850&lt;&gt;"","?FAMILIAR",IF(F3850="NEW",IF(ISNA(VLOOKUP(E3850,#REF!,1,FALSE())),"?TYPE_IDENTIFIABLE","?REFERENTIAL"),"_")))))</f>
        <v> </v>
      </c>
      <c r="H3850" s="24" t="str">
        <f>IF(J3850&lt;&gt;1,"",IF(I3850="SBJ","CB","?"))</f>
        <v> </v>
      </c>
      <c r="I3850" s="25" t="str">
        <f>IF(OR(E3850="",E3850="!!!",F3850="NEW"),"",INDEX(B3849:B$2,-1+SUMPRODUCT(MAX(ROW(E3849:E$2)*(E3850=E3849:E$2)))))</f>
        <v> </v>
      </c>
      <c r="J3850" s="25" t="str">
        <f>IF(OR(E3850="",E3850="!!!",F3850="NEW"),"",COUNTBLANK(OFFSET(A$1,,,SUMPRODUCT(MAX(ROW(E$2:E3850)*(E3850=E$2:E3850)))))-COUNTBLANK(OFFSET(A$1,,,SUMPRODUCT(MAX(ROW(E$1:E3849)*(E2=E$1:E3849))))))</f>
        <v> </v>
      </c>
      <c r="K3850" s="25" t="str">
        <f>IF(OR(E3850="",E3850="!!!",F3850="NEW"),"",INDEX(J$1:J3849,SUMPRODUCT(MAX(ROW(E$1:E3849)*(E3850=E$1:E3849)))))</f>
        <v> </v>
      </c>
      <c r="L3850" s="26"/>
    </row>
    <row r="3851" spans="1:12">
      <c r="A3851" s="20" t="s">
        <v>804</v>
      </c>
      <c r="E3851" s="21">
        <f>IF(D3851="?OLD","!!!","")</f>
        <v/>
      </c>
      <c r="F3851" s="22" t="str">
        <f>IF(OR(E3851="",E3851="!!!"),"",IF(NOT(ISNA(VLOOKUP(E3851,E$1:E3850,1,FALSE()))),"OLD",IF(AND(E3851&lt;&gt;"",E3851&lt;&gt;"!!!"),"NEW","")))</f>
        <v> </v>
      </c>
      <c r="G3851" s="23" t="str">
        <f>IF(OR(E3851="",E3851="!!!"),"",IF(OR(J3851=0,AND(J3851=1,K3851=1),AND(J3851=1,I3851="SBJ"),AND(J3851=1,I3851=0)),"?IN_FOCUS",IF(J3851&lt;=2,"?ACTIVATED",IF(J3851&lt;&gt;"","?FAMILIAR",IF(F3851="NEW",IF(ISNA(VLOOKUP(E3851,#REF!,1,FALSE())),"?TYPE_IDENTIFIABLE","?REFERENTIAL"),"_")))))</f>
        <v> </v>
      </c>
      <c r="H3851" s="24" t="str">
        <f>IF(J3851&lt;&gt;1,"",IF(I3851="SBJ","CB","?"))</f>
        <v> </v>
      </c>
      <c r="I3851" s="25" t="str">
        <f>IF(OR(E3851="",E3851="!!!",F3851="NEW"),"",INDEX(B3850:B$2,-1+SUMPRODUCT(MAX(ROW(E3850:E$2)*(E3851=E3850:E$2)))))</f>
        <v> </v>
      </c>
      <c r="J3851" s="25" t="str">
        <f>IF(OR(E3851="",E3851="!!!",F3851="NEW"),"",COUNTBLANK(OFFSET(A$1,,,SUMPRODUCT(MAX(ROW(E$2:E3851)*(E3851=E$2:E3851)))))-COUNTBLANK(OFFSET(A$1,,,SUMPRODUCT(MAX(ROW(E$1:E3850)*(E2=E$1:E3850))))))</f>
        <v> </v>
      </c>
      <c r="K3851" s="25" t="str">
        <f>IF(OR(E3851="",E3851="!!!",F3851="NEW"),"",INDEX(J$1:J3850,SUMPRODUCT(MAX(ROW(E$1:E3850)*(E3851=E$1:E3850)))))</f>
        <v> </v>
      </c>
      <c r="L3851" s="26"/>
    </row>
    <row r="3852" spans="1:12">
      <c r="A3852" s="20" t="s">
        <v>1862</v>
      </c>
      <c r="E3852" s="21">
        <f>IF(D3852="?OLD","!!!","")</f>
        <v/>
      </c>
      <c r="F3852" s="22" t="str">
        <f>IF(OR(E3852="",E3852="!!!"),"",IF(NOT(ISNA(VLOOKUP(E3852,E$1:E3851,1,FALSE()))),"OLD",IF(AND(E3852&lt;&gt;"",E3852&lt;&gt;"!!!"),"NEW","")))</f>
        <v> </v>
      </c>
      <c r="G3852" s="23" t="str">
        <f>IF(OR(E3852="",E3852="!!!"),"",IF(OR(J3852=0,AND(J3852=1,K3852=1),AND(J3852=1,I3852="SBJ"),AND(J3852=1,I3852=0)),"?IN_FOCUS",IF(J3852&lt;=2,"?ACTIVATED",IF(J3852&lt;&gt;"","?FAMILIAR",IF(F3852="NEW",IF(ISNA(VLOOKUP(E3852,#REF!,1,FALSE())),"?TYPE_IDENTIFIABLE","?REFERENTIAL"),"_")))))</f>
        <v> </v>
      </c>
      <c r="H3852" s="24" t="str">
        <f>IF(J3852&lt;&gt;1,"",IF(I3852="SBJ","CB","?"))</f>
        <v> </v>
      </c>
      <c r="I3852" s="25" t="str">
        <f>IF(OR(E3852="",E3852="!!!",F3852="NEW"),"",INDEX(B3851:B$2,-1+SUMPRODUCT(MAX(ROW(E3851:E$2)*(E3852=E3851:E$2)))))</f>
        <v> </v>
      </c>
      <c r="J3852" s="25" t="str">
        <f>IF(OR(E3852="",E3852="!!!",F3852="NEW"),"",COUNTBLANK(OFFSET(A$1,,,SUMPRODUCT(MAX(ROW(E$2:E3852)*(E3852=E$2:E3852)))))-COUNTBLANK(OFFSET(A$1,,,SUMPRODUCT(MAX(ROW(E$1:E3851)*(E2=E$1:E3851))))))</f>
        <v> </v>
      </c>
      <c r="K3852" s="25" t="str">
        <f>IF(OR(E3852="",E3852="!!!",F3852="NEW"),"",INDEX(J$1:J3851,SUMPRODUCT(MAX(ROW(E$1:E3851)*(E3852=E$1:E3851)))))</f>
        <v> </v>
      </c>
      <c r="L3852" s="26"/>
    </row>
    <row r="3853" spans="1:12">
      <c r="A3853" s="20" t="s">
        <v>826</v>
      </c>
      <c r="E3853" s="21">
        <f>IF(D3853="?OLD","!!!","")</f>
        <v/>
      </c>
      <c r="F3853" s="22" t="str">
        <f>IF(OR(E3853="",E3853="!!!"),"",IF(NOT(ISNA(VLOOKUP(E3853,E$1:E3852,1,FALSE()))),"OLD",IF(AND(E3853&lt;&gt;"",E3853&lt;&gt;"!!!"),"NEW","")))</f>
        <v> </v>
      </c>
      <c r="G3853" s="23" t="str">
        <f>IF(OR(E3853="",E3853="!!!"),"",IF(OR(J3853=0,AND(J3853=1,K3853=1),AND(J3853=1,I3853="SBJ"),AND(J3853=1,I3853=0)),"?IN_FOCUS",IF(J3853&lt;=2,"?ACTIVATED",IF(J3853&lt;&gt;"","?FAMILIAR",IF(F3853="NEW",IF(ISNA(VLOOKUP(E3853,#REF!,1,FALSE())),"?TYPE_IDENTIFIABLE","?REFERENTIAL"),"_")))))</f>
        <v> </v>
      </c>
      <c r="H3853" s="24" t="str">
        <f>IF(J3853&lt;&gt;1,"",IF(I3853="SBJ","CB","?"))</f>
        <v> </v>
      </c>
      <c r="I3853" s="25" t="str">
        <f>IF(OR(E3853="",E3853="!!!",F3853="NEW"),"",INDEX(B3852:B$2,-1+SUMPRODUCT(MAX(ROW(E3852:E$2)*(E3853=E3852:E$2)))))</f>
        <v> </v>
      </c>
      <c r="J3853" s="25" t="str">
        <f>IF(OR(E3853="",E3853="!!!",F3853="NEW"),"",COUNTBLANK(OFFSET(A$1,,,SUMPRODUCT(MAX(ROW(E$2:E3853)*(E3853=E$2:E3853)))))-COUNTBLANK(OFFSET(A$1,,,SUMPRODUCT(MAX(ROW(E$1:E3852)*(E2=E$1:E3852))))))</f>
        <v> </v>
      </c>
      <c r="K3853" s="25" t="str">
        <f>IF(OR(E3853="",E3853="!!!",F3853="NEW"),"",INDEX(J$1:J3852,SUMPRODUCT(MAX(ROW(E$1:E3852)*(E3853=E$1:E3852)))))</f>
        <v> </v>
      </c>
      <c r="L3853" s="26"/>
    </row>
    <row r="3854" spans="1:12">
      <c r="A3854" s="20" t="s">
        <v>884</v>
      </c>
      <c r="B3854" s="27" t="s">
        <v>1127</v>
      </c>
      <c r="C3854" s="27" t="s">
        <v>851</v>
      </c>
      <c r="D3854" s="27" t="s">
        <v>762</v>
      </c>
      <c r="E3854" s="21">
        <f>IF(D3854="?OLD","!!!","")</f>
        <v/>
      </c>
      <c r="F3854" s="22" t="str">
        <f>IF(OR(E3854="",E3854="!!!"),"",IF(NOT(ISNA(VLOOKUP(E3854,E$1:E3853,1,FALSE()))),"OLD",IF(AND(E3854&lt;&gt;"",E3854&lt;&gt;"!!!"),"NEW","")))</f>
        <v> </v>
      </c>
      <c r="G3854" s="23" t="str">
        <f>IF(OR(E3854="",E3854="!!!"),"",IF(OR(J3854=0,AND(J3854=1,K3854=1),AND(J3854=1,I3854="SBJ"),AND(J3854=1,I3854=0)),"?IN_FOCUS",IF(J3854&lt;=2,"?ACTIVATED",IF(J3854&lt;&gt;"","?FAMILIAR",IF(F3854="NEW",IF(ISNA(VLOOKUP(E3854,#REF!,1,FALSE())),"?TYPE_IDENTIFIABLE","?REFERENTIAL"),"_")))))</f>
        <v> </v>
      </c>
      <c r="H3854" s="24" t="str">
        <f>IF(J3854&lt;&gt;1,"",IF(I3854="SBJ","CB","?"))</f>
        <v> </v>
      </c>
      <c r="I3854" s="25" t="str">
        <f>IF(OR(E3854="",E3854="!!!",F3854="NEW"),"",INDEX(B3853:B$2,-1+SUMPRODUCT(MAX(ROW(E3853:E$2)*(E3854=E3853:E$2)))))</f>
        <v> </v>
      </c>
      <c r="J3854" s="25" t="str">
        <f>IF(OR(E3854="",E3854="!!!",F3854="NEW"),"",COUNTBLANK(OFFSET(A$1,,,SUMPRODUCT(MAX(ROW(E$2:E3854)*(E3854=E$2:E3854)))))-COUNTBLANK(OFFSET(A$1,,,SUMPRODUCT(MAX(ROW(E$1:E3853)*(E2=E$1:E3853))))))</f>
        <v> </v>
      </c>
      <c r="K3854" s="25" t="str">
        <f>IF(OR(E3854="",E3854="!!!",F3854="NEW"),"",INDEX(J$1:J3853,SUMPRODUCT(MAX(ROW(E$1:E3853)*(E3854=E$1:E3853)))))</f>
        <v> </v>
      </c>
      <c r="L3854" s="26"/>
    </row>
    <row r="3855" spans="1:12">
      <c r="A3855" s="20" t="s">
        <v>943</v>
      </c>
      <c r="B3855" s="27" t="s">
        <v>1080</v>
      </c>
      <c r="C3855" s="27" t="s">
        <v>837</v>
      </c>
      <c r="D3855" s="27" t="s">
        <v>762</v>
      </c>
      <c r="E3855" s="21">
        <f>IF(D3855="?OLD","!!!","")</f>
        <v/>
      </c>
      <c r="F3855" s="22" t="str">
        <f>IF(OR(E3855="",E3855="!!!"),"",IF(NOT(ISNA(VLOOKUP(E3855,E$1:E3854,1,FALSE()))),"OLD",IF(AND(E3855&lt;&gt;"",E3855&lt;&gt;"!!!"),"NEW","")))</f>
        <v> </v>
      </c>
      <c r="G3855" s="23" t="str">
        <f>IF(OR(E3855="",E3855="!!!"),"",IF(OR(J3855=0,AND(J3855=1,K3855=1),AND(J3855=1,I3855="SBJ"),AND(J3855=1,I3855=0)),"?IN_FOCUS",IF(J3855&lt;=2,"?ACTIVATED",IF(J3855&lt;&gt;"","?FAMILIAR",IF(F3855="NEW",IF(ISNA(VLOOKUP(E3855,#REF!,1,FALSE())),"?TYPE_IDENTIFIABLE","?REFERENTIAL"),"_")))))</f>
        <v> </v>
      </c>
      <c r="H3855" s="24" t="str">
        <f>IF(J3855&lt;&gt;1,"",IF(I3855="SBJ","CB","?"))</f>
        <v> </v>
      </c>
      <c r="I3855" s="25" t="str">
        <f>IF(OR(E3855="",E3855="!!!",F3855="NEW"),"",INDEX(B3854:B$2,-1+SUMPRODUCT(MAX(ROW(E3854:E$2)*(E3855=E3854:E$2)))))</f>
        <v> </v>
      </c>
      <c r="J3855" s="25" t="str">
        <f>IF(OR(E3855="",E3855="!!!",F3855="NEW"),"",COUNTBLANK(OFFSET(A$1,,,SUMPRODUCT(MAX(ROW(E$2:E3855)*(E3855=E$2:E3855)))))-COUNTBLANK(OFFSET(A$1,,,SUMPRODUCT(MAX(ROW(E$1:E3854)*(E2=E$1:E3854))))))</f>
        <v> </v>
      </c>
      <c r="K3855" s="25" t="str">
        <f>IF(OR(E3855="",E3855="!!!",F3855="NEW"),"",INDEX(J$1:J3854,SUMPRODUCT(MAX(ROW(E$1:E3854)*(E3855=E$1:E3854)))))</f>
        <v> </v>
      </c>
      <c r="L3855" s="26"/>
    </row>
    <row r="3856" spans="1:12">
      <c r="A3856" s="20" t="s">
        <v>840</v>
      </c>
      <c r="B3856" s="27" t="s">
        <v>1236</v>
      </c>
      <c r="C3856" s="27" t="s">
        <v>797</v>
      </c>
      <c r="D3856" s="27" t="s">
        <v>762</v>
      </c>
      <c r="E3856" s="21">
        <f>IF(D3856="?OLD","!!!","")</f>
        <v/>
      </c>
      <c r="F3856" s="22" t="str">
        <f>IF(OR(E3856="",E3856="!!!"),"",IF(NOT(ISNA(VLOOKUP(E3856,E$1:E3855,1,FALSE()))),"OLD",IF(AND(E3856&lt;&gt;"",E3856&lt;&gt;"!!!"),"NEW","")))</f>
        <v> </v>
      </c>
      <c r="G3856" s="23" t="str">
        <f>IF(OR(E3856="",E3856="!!!"),"",IF(OR(J3856=0,AND(J3856=1,K3856=1),AND(J3856=1,I3856="SBJ"),AND(J3856=1,I3856=0)),"?IN_FOCUS",IF(J3856&lt;=2,"?ACTIVATED",IF(J3856&lt;&gt;"","?FAMILIAR",IF(F3856="NEW",IF(ISNA(VLOOKUP(E3856,#REF!,1,FALSE())),"?TYPE_IDENTIFIABLE","?REFERENTIAL"),"_")))))</f>
        <v> </v>
      </c>
      <c r="H3856" s="24" t="str">
        <f>IF(J3856&lt;&gt;1,"",IF(I3856="SBJ","CB","?"))</f>
        <v> </v>
      </c>
      <c r="I3856" s="25" t="str">
        <f>IF(OR(E3856="",E3856="!!!",F3856="NEW"),"",INDEX(B3855:B$2,-1+SUMPRODUCT(MAX(ROW(E3855:E$2)*(E3856=E3855:E$2)))))</f>
        <v> </v>
      </c>
      <c r="J3856" s="25" t="str">
        <f>IF(OR(E3856="",E3856="!!!",F3856="NEW"),"",COUNTBLANK(OFFSET(A$1,,,SUMPRODUCT(MAX(ROW(E$2:E3856)*(E3856=E$2:E3856)))))-COUNTBLANK(OFFSET(A$1,,,SUMPRODUCT(MAX(ROW(E$1:E3855)*(E2=E$1:E3855))))))</f>
        <v> </v>
      </c>
      <c r="K3856" s="25" t="str">
        <f>IF(OR(E3856="",E3856="!!!",F3856="NEW"),"",INDEX(J$1:J3855,SUMPRODUCT(MAX(ROW(E$1:E3855)*(E3856=E$1:E3855)))))</f>
        <v> </v>
      </c>
      <c r="L3856" s="26"/>
    </row>
    <row r="3857" spans="1:12">
      <c r="A3857" s="20" t="s">
        <v>1863</v>
      </c>
      <c r="E3857" s="21">
        <f>IF(D3857="?OLD","!!!","")</f>
        <v/>
      </c>
      <c r="F3857" s="22" t="str">
        <f>IF(OR(E3857="",E3857="!!!"),"",IF(NOT(ISNA(VLOOKUP(E3857,E$1:E3856,1,FALSE()))),"OLD",IF(AND(E3857&lt;&gt;"",E3857&lt;&gt;"!!!"),"NEW","")))</f>
        <v> </v>
      </c>
      <c r="G3857" s="23" t="str">
        <f>IF(OR(E3857="",E3857="!!!"),"",IF(OR(J3857=0,AND(J3857=1,K3857=1),AND(J3857=1,I3857="SBJ"),AND(J3857=1,I3857=0)),"?IN_FOCUS",IF(J3857&lt;=2,"?ACTIVATED",IF(J3857&lt;&gt;"","?FAMILIAR",IF(F3857="NEW",IF(ISNA(VLOOKUP(E3857,#REF!,1,FALSE())),"?TYPE_IDENTIFIABLE","?REFERENTIAL"),"_")))))</f>
        <v> </v>
      </c>
      <c r="H3857" s="24" t="str">
        <f>IF(J3857&lt;&gt;1,"",IF(I3857="SBJ","CB","?"))</f>
        <v> </v>
      </c>
      <c r="I3857" s="25" t="str">
        <f>IF(OR(E3857="",E3857="!!!",F3857="NEW"),"",INDEX(B3856:B$2,-1+SUMPRODUCT(MAX(ROW(E3856:E$2)*(E3857=E3856:E$2)))))</f>
        <v> </v>
      </c>
      <c r="J3857" s="25" t="str">
        <f>IF(OR(E3857="",E3857="!!!",F3857="NEW"),"",COUNTBLANK(OFFSET(A$1,,,SUMPRODUCT(MAX(ROW(E$2:E3857)*(E3857=E$2:E3857)))))-COUNTBLANK(OFFSET(A$1,,,SUMPRODUCT(MAX(ROW(E$1:E3856)*(E2=E$1:E3856))))))</f>
        <v> </v>
      </c>
      <c r="K3857" s="25" t="str">
        <f>IF(OR(E3857="",E3857="!!!",F3857="NEW"),"",INDEX(J$1:J3856,SUMPRODUCT(MAX(ROW(E$1:E3856)*(E3857=E$1:E3856)))))</f>
        <v> </v>
      </c>
      <c r="L3857" s="26"/>
    </row>
    <row r="3858" spans="1:12">
      <c r="A3858" s="20" t="s">
        <v>1864</v>
      </c>
      <c r="E3858" s="21">
        <f>IF(D3858="?OLD","!!!","")</f>
        <v/>
      </c>
      <c r="F3858" s="22" t="str">
        <f>IF(OR(E3858="",E3858="!!!"),"",IF(NOT(ISNA(VLOOKUP(E3858,E$1:E3857,1,FALSE()))),"OLD",IF(AND(E3858&lt;&gt;"",E3858&lt;&gt;"!!!"),"NEW","")))</f>
        <v> </v>
      </c>
      <c r="G3858" s="23" t="str">
        <f>IF(OR(E3858="",E3858="!!!"),"",IF(OR(J3858=0,AND(J3858=1,K3858=1),AND(J3858=1,I3858="SBJ"),AND(J3858=1,I3858=0)),"?IN_FOCUS",IF(J3858&lt;=2,"?ACTIVATED",IF(J3858&lt;&gt;"","?FAMILIAR",IF(F3858="NEW",IF(ISNA(VLOOKUP(E3858,#REF!,1,FALSE())),"?TYPE_IDENTIFIABLE","?REFERENTIAL"),"_")))))</f>
        <v> </v>
      </c>
      <c r="H3858" s="24" t="str">
        <f>IF(J3858&lt;&gt;1,"",IF(I3858="SBJ","CB","?"))</f>
        <v> </v>
      </c>
      <c r="I3858" s="25" t="str">
        <f>IF(OR(E3858="",E3858="!!!",F3858="NEW"),"",INDEX(B3857:B$2,-1+SUMPRODUCT(MAX(ROW(E3857:E$2)*(E3858=E3857:E$2)))))</f>
        <v> </v>
      </c>
      <c r="J3858" s="25" t="str">
        <f>IF(OR(E3858="",E3858="!!!",F3858="NEW"),"",COUNTBLANK(OFFSET(A$1,,,SUMPRODUCT(MAX(ROW(E$2:E3858)*(E3858=E$2:E3858)))))-COUNTBLANK(OFFSET(A$1,,,SUMPRODUCT(MAX(ROW(E$1:E3857)*(E2=E$1:E3857))))))</f>
        <v> </v>
      </c>
      <c r="K3858" s="25" t="str">
        <f>IF(OR(E3858="",E3858="!!!",F3858="NEW"),"",INDEX(J$1:J3857,SUMPRODUCT(MAX(ROW(E$1:E3857)*(E3858=E$1:E3857)))))</f>
        <v> </v>
      </c>
      <c r="L3858" s="26"/>
    </row>
    <row r="3859" spans="1:12">
      <c r="A3859" s="20" t="s">
        <v>770</v>
      </c>
      <c r="E3859" s="21">
        <f>IF(D3859="?OLD","!!!","")</f>
        <v/>
      </c>
      <c r="F3859" s="22" t="str">
        <f>IF(OR(E3859="",E3859="!!!"),"",IF(NOT(ISNA(VLOOKUP(E3859,E$1:E3858,1,FALSE()))),"OLD",IF(AND(E3859&lt;&gt;"",E3859&lt;&gt;"!!!"),"NEW","")))</f>
        <v> </v>
      </c>
      <c r="G3859" s="23" t="str">
        <f>IF(OR(E3859="",E3859="!!!"),"",IF(OR(J3859=0,AND(J3859=1,K3859=1),AND(J3859=1,I3859="SBJ"),AND(J3859=1,I3859=0)),"?IN_FOCUS",IF(J3859&lt;=2,"?ACTIVATED",IF(J3859&lt;&gt;"","?FAMILIAR",IF(F3859="NEW",IF(ISNA(VLOOKUP(E3859,#REF!,1,FALSE())),"?TYPE_IDENTIFIABLE","?REFERENTIAL"),"_")))))</f>
        <v> </v>
      </c>
      <c r="H3859" s="24" t="str">
        <f>IF(J3859&lt;&gt;1,"",IF(I3859="SBJ","CB","?"))</f>
        <v> </v>
      </c>
      <c r="I3859" s="25" t="str">
        <f>IF(OR(E3859="",E3859="!!!",F3859="NEW"),"",INDEX(B3858:B$2,-1+SUMPRODUCT(MAX(ROW(E3858:E$2)*(E3859=E3858:E$2)))))</f>
        <v> </v>
      </c>
      <c r="J3859" s="25" t="str">
        <f>IF(OR(E3859="",E3859="!!!",F3859="NEW"),"",COUNTBLANK(OFFSET(A$1,,,SUMPRODUCT(MAX(ROW(E$2:E3859)*(E3859=E$2:E3859)))))-COUNTBLANK(OFFSET(A$1,,,SUMPRODUCT(MAX(ROW(E$1:E3858)*(E2=E$1:E3858))))))</f>
        <v> </v>
      </c>
      <c r="K3859" s="25" t="str">
        <f>IF(OR(E3859="",E3859="!!!",F3859="NEW"),"",INDEX(J$1:J3858,SUMPRODUCT(MAX(ROW(E$1:E3858)*(E3859=E$1:E3858)))))</f>
        <v> </v>
      </c>
      <c r="L3859" s="26"/>
    </row>
    <row r="3860" spans="1:12">
      <c r="A3860" s="20" t="s">
        <v>1865</v>
      </c>
      <c r="B3860" s="27" t="s">
        <v>1062</v>
      </c>
      <c r="C3860" s="27" t="s">
        <v>761</v>
      </c>
      <c r="D3860" s="27" t="s">
        <v>762</v>
      </c>
      <c r="E3860" s="21">
        <f>IF(D3860="?OLD","!!!","")</f>
        <v/>
      </c>
      <c r="F3860" s="22" t="str">
        <f>IF(OR(E3860="",E3860="!!!"),"",IF(NOT(ISNA(VLOOKUP(E3860,E$1:E3859,1,FALSE()))),"OLD",IF(AND(E3860&lt;&gt;"",E3860&lt;&gt;"!!!"),"NEW","")))</f>
        <v> </v>
      </c>
      <c r="G3860" s="23" t="str">
        <f>IF(OR(E3860="",E3860="!!!"),"",IF(OR(J3860=0,AND(J3860=1,K3860=1),AND(J3860=1,I3860="SBJ"),AND(J3860=1,I3860=0)),"?IN_FOCUS",IF(J3860&lt;=2,"?ACTIVATED",IF(J3860&lt;&gt;"","?FAMILIAR",IF(F3860="NEW",IF(ISNA(VLOOKUP(E3860,#REF!,1,FALSE())),"?TYPE_IDENTIFIABLE","?REFERENTIAL"),"_")))))</f>
        <v> </v>
      </c>
      <c r="H3860" s="24" t="str">
        <f>IF(J3860&lt;&gt;1,"",IF(I3860="SBJ","CB","?"))</f>
        <v> </v>
      </c>
      <c r="I3860" s="25" t="str">
        <f>IF(OR(E3860="",E3860="!!!",F3860="NEW"),"",INDEX(B3859:B$2,-1+SUMPRODUCT(MAX(ROW(E3859:E$2)*(E3860=E3859:E$2)))))</f>
        <v> </v>
      </c>
      <c r="J3860" s="25" t="str">
        <f>IF(OR(E3860="",E3860="!!!",F3860="NEW"),"",COUNTBLANK(OFFSET(A$1,,,SUMPRODUCT(MAX(ROW(E$2:E3860)*(E3860=E$2:E3860)))))-COUNTBLANK(OFFSET(A$1,,,SUMPRODUCT(MAX(ROW(E$1:E3859)*(E2=E$1:E3859))))))</f>
        <v> </v>
      </c>
      <c r="K3860" s="25" t="str">
        <f>IF(OR(E3860="",E3860="!!!",F3860="NEW"),"",INDEX(J$1:J3859,SUMPRODUCT(MAX(ROW(E$1:E3859)*(E3860=E$1:E3859)))))</f>
        <v> </v>
      </c>
      <c r="L3860" s="26"/>
    </row>
    <row r="3861" spans="1:12">
      <c r="A3861" s="20" t="s">
        <v>757</v>
      </c>
      <c r="E3861" s="21">
        <f>IF(D3861="?OLD","!!!","")</f>
        <v/>
      </c>
      <c r="F3861" s="22" t="str">
        <f>IF(OR(E3861="",E3861="!!!"),"",IF(NOT(ISNA(VLOOKUP(E3861,E$1:E3860,1,FALSE()))),"OLD",IF(AND(E3861&lt;&gt;"",E3861&lt;&gt;"!!!"),"NEW","")))</f>
        <v> </v>
      </c>
      <c r="G3861" s="23" t="str">
        <f>IF(OR(E3861="",E3861="!!!"),"",IF(OR(J3861=0,AND(J3861=1,K3861=1),AND(J3861=1,I3861="SBJ"),AND(J3861=1,I3861=0)),"?IN_FOCUS",IF(J3861&lt;=2,"?ACTIVATED",IF(J3861&lt;&gt;"","?FAMILIAR",IF(F3861="NEW",IF(ISNA(VLOOKUP(E3861,#REF!,1,FALSE())),"?TYPE_IDENTIFIABLE","?REFERENTIAL"),"_")))))</f>
        <v> </v>
      </c>
      <c r="H3861" s="24" t="str">
        <f>IF(J3861&lt;&gt;1,"",IF(I3861="SBJ","CB","?"))</f>
        <v> </v>
      </c>
      <c r="I3861" s="25" t="str">
        <f>IF(OR(E3861="",E3861="!!!",F3861="NEW"),"",INDEX(B3860:B$2,-1+SUMPRODUCT(MAX(ROW(E3860:E$2)*(E3861=E3860:E$2)))))</f>
        <v> </v>
      </c>
      <c r="J3861" s="25" t="str">
        <f>IF(OR(E3861="",E3861="!!!",F3861="NEW"),"",COUNTBLANK(OFFSET(A$1,,,SUMPRODUCT(MAX(ROW(E$2:E3861)*(E3861=E$2:E3861)))))-COUNTBLANK(OFFSET(A$1,,,SUMPRODUCT(MAX(ROW(E$1:E3860)*(E2=E$1:E3860))))))</f>
        <v> </v>
      </c>
      <c r="K3861" s="25" t="str">
        <f>IF(OR(E3861="",E3861="!!!",F3861="NEW"),"",INDEX(J$1:J3860,SUMPRODUCT(MAX(ROW(E$1:E3860)*(E3861=E$1:E3860)))))</f>
        <v> </v>
      </c>
      <c r="L3861" s="26"/>
    </row>
    <row r="3862" spans="1:12">
      <c r="A3862" s="20" t="s">
        <v>1159</v>
      </c>
      <c r="E3862" s="21">
        <f>IF(D3862="?OLD","!!!","")</f>
        <v/>
      </c>
      <c r="F3862" s="22" t="str">
        <f>IF(OR(E3862="",E3862="!!!"),"",IF(NOT(ISNA(VLOOKUP(E3862,E$1:E3861,1,FALSE()))),"OLD",IF(AND(E3862&lt;&gt;"",E3862&lt;&gt;"!!!"),"NEW","")))</f>
        <v> </v>
      </c>
      <c r="G3862" s="23" t="str">
        <f>IF(OR(E3862="",E3862="!!!"),"",IF(OR(J3862=0,AND(J3862=1,K3862=1),AND(J3862=1,I3862="SBJ"),AND(J3862=1,I3862=0)),"?IN_FOCUS",IF(J3862&lt;=2,"?ACTIVATED",IF(J3862&lt;&gt;"","?FAMILIAR",IF(F3862="NEW",IF(ISNA(VLOOKUP(E3862,#REF!,1,FALSE())),"?TYPE_IDENTIFIABLE","?REFERENTIAL"),"_")))))</f>
        <v> </v>
      </c>
      <c r="H3862" s="24" t="str">
        <f>IF(J3862&lt;&gt;1,"",IF(I3862="SBJ","CB","?"))</f>
        <v> </v>
      </c>
      <c r="I3862" s="25" t="str">
        <f>IF(OR(E3862="",E3862="!!!",F3862="NEW"),"",INDEX(B3861:B$2,-1+SUMPRODUCT(MAX(ROW(E3861:E$2)*(E3862=E3861:E$2)))))</f>
        <v> </v>
      </c>
      <c r="J3862" s="25" t="str">
        <f>IF(OR(E3862="",E3862="!!!",F3862="NEW"),"",COUNTBLANK(OFFSET(A$1,,,SUMPRODUCT(MAX(ROW(E$2:E3862)*(E3862=E$2:E3862)))))-COUNTBLANK(OFFSET(A$1,,,SUMPRODUCT(MAX(ROW(E$1:E3861)*(E2=E$1:E3861))))))</f>
        <v> </v>
      </c>
      <c r="K3862" s="25" t="str">
        <f>IF(OR(E3862="",E3862="!!!",F3862="NEW"),"",INDEX(J$1:J3861,SUMPRODUCT(MAX(ROW(E$1:E3861)*(E3862=E$1:E3861)))))</f>
        <v> </v>
      </c>
      <c r="L3862" s="26"/>
    </row>
    <row r="3863" spans="1:12">
      <c r="A3863" s="20" t="s">
        <v>1866</v>
      </c>
      <c r="B3863" s="27" t="s">
        <v>760</v>
      </c>
      <c r="C3863" s="27" t="s">
        <v>1019</v>
      </c>
      <c r="D3863" s="27" t="s">
        <v>762</v>
      </c>
      <c r="E3863" s="21">
        <f>IF(D3863="?OLD","!!!","")</f>
        <v/>
      </c>
      <c r="F3863" s="22" t="str">
        <f>IF(OR(E3863="",E3863="!!!"),"",IF(NOT(ISNA(VLOOKUP(E3863,E$1:E3862,1,FALSE()))),"OLD",IF(AND(E3863&lt;&gt;"",E3863&lt;&gt;"!!!"),"NEW","")))</f>
        <v> </v>
      </c>
      <c r="G3863" s="23" t="str">
        <f>IF(OR(E3863="",E3863="!!!"),"",IF(OR(J3863=0,AND(J3863=1,K3863=1),AND(J3863=1,I3863="SBJ"),AND(J3863=1,I3863=0)),"?IN_FOCUS",IF(J3863&lt;=2,"?ACTIVATED",IF(J3863&lt;&gt;"","?FAMILIAR",IF(F3863="NEW",IF(ISNA(VLOOKUP(E3863,#REF!,1,FALSE())),"?TYPE_IDENTIFIABLE","?REFERENTIAL"),"_")))))</f>
        <v> </v>
      </c>
      <c r="H3863" s="24" t="str">
        <f>IF(J3863&lt;&gt;1,"",IF(I3863="SBJ","CB","?"))</f>
        <v> </v>
      </c>
      <c r="I3863" s="25" t="str">
        <f>IF(OR(E3863="",E3863="!!!",F3863="NEW"),"",INDEX(B3862:B$2,-1+SUMPRODUCT(MAX(ROW(E3862:E$2)*(E3863=E3862:E$2)))))</f>
        <v> </v>
      </c>
      <c r="J3863" s="25" t="str">
        <f>IF(OR(E3863="",E3863="!!!",F3863="NEW"),"",COUNTBLANK(OFFSET(A$1,,,SUMPRODUCT(MAX(ROW(E$2:E3863)*(E3863=E$2:E3863)))))-COUNTBLANK(OFFSET(A$1,,,SUMPRODUCT(MAX(ROW(E$1:E3862)*(E2=E$1:E3862))))))</f>
        <v> </v>
      </c>
      <c r="K3863" s="25" t="str">
        <f>IF(OR(E3863="",E3863="!!!",F3863="NEW"),"",INDEX(J$1:J3862,SUMPRODUCT(MAX(ROW(E$1:E3862)*(E3863=E$1:E3862)))))</f>
        <v> </v>
      </c>
      <c r="L3863" s="26"/>
    </row>
    <row r="3864" spans="1:12">
      <c r="A3864" s="20" t="s">
        <v>769</v>
      </c>
      <c r="E3864" s="21">
        <f>IF(D3864="?OLD","!!!","")</f>
        <v/>
      </c>
      <c r="F3864" s="22" t="str">
        <f>IF(OR(E3864="",E3864="!!!"),"",IF(NOT(ISNA(VLOOKUP(E3864,E$1:E3863,1,FALSE()))),"OLD",IF(AND(E3864&lt;&gt;"",E3864&lt;&gt;"!!!"),"NEW","")))</f>
        <v> </v>
      </c>
      <c r="G3864" s="23" t="str">
        <f>IF(OR(E3864="",E3864="!!!"),"",IF(OR(J3864=0,AND(J3864=1,K3864=1),AND(J3864=1,I3864="SBJ"),AND(J3864=1,I3864=0)),"?IN_FOCUS",IF(J3864&lt;=2,"?ACTIVATED",IF(J3864&lt;&gt;"","?FAMILIAR",IF(F3864="NEW",IF(ISNA(VLOOKUP(E3864,#REF!,1,FALSE())),"?TYPE_IDENTIFIABLE","?REFERENTIAL"),"_")))))</f>
        <v> </v>
      </c>
      <c r="H3864" s="24" t="str">
        <f>IF(J3864&lt;&gt;1,"",IF(I3864="SBJ","CB","?"))</f>
        <v> </v>
      </c>
      <c r="I3864" s="25" t="str">
        <f>IF(OR(E3864="",E3864="!!!",F3864="NEW"),"",INDEX(B3863:B$2,-1+SUMPRODUCT(MAX(ROW(E3863:E$2)*(E3864=E3863:E$2)))))</f>
        <v> </v>
      </c>
      <c r="J3864" s="25" t="str">
        <f>IF(OR(E3864="",E3864="!!!",F3864="NEW"),"",COUNTBLANK(OFFSET(A$1,,,SUMPRODUCT(MAX(ROW(E$2:E3864)*(E3864=E$2:E3864)))))-COUNTBLANK(OFFSET(A$1,,,SUMPRODUCT(MAX(ROW(E$1:E3863)*(E2=E$1:E3863))))))</f>
        <v> </v>
      </c>
      <c r="K3864" s="25" t="str">
        <f>IF(OR(E3864="",E3864="!!!",F3864="NEW"),"",INDEX(J$1:J3863,SUMPRODUCT(MAX(ROW(E$1:E3863)*(E3864=E$1:E3863)))))</f>
        <v> </v>
      </c>
      <c r="L3864" s="26"/>
    </row>
    <row r="3865" spans="1:12">
      <c r="A3865" s="20" t="s">
        <v>1508</v>
      </c>
      <c r="B3865" s="27" t="s">
        <v>772</v>
      </c>
      <c r="C3865" s="27" t="s">
        <v>754</v>
      </c>
      <c r="E3865" s="21">
        <f>IF(D3865="?OLD","!!!","")</f>
        <v/>
      </c>
      <c r="F3865" s="22" t="str">
        <f>IF(OR(E3865="",E3865="!!!"),"",IF(NOT(ISNA(VLOOKUP(E3865,E$1:E3864,1,FALSE()))),"OLD",IF(AND(E3865&lt;&gt;"",E3865&lt;&gt;"!!!"),"NEW","")))</f>
        <v> </v>
      </c>
      <c r="G3865" s="23" t="str">
        <f>IF(OR(E3865="",E3865="!!!"),"",IF(OR(J3865=0,AND(J3865=1,K3865=1),AND(J3865=1,I3865="SBJ"),AND(J3865=1,I3865=0)),"?IN_FOCUS",IF(J3865&lt;=2,"?ACTIVATED",IF(J3865&lt;&gt;"","?FAMILIAR",IF(F3865="NEW",IF(ISNA(VLOOKUP(E3865,#REF!,1,FALSE())),"?TYPE_IDENTIFIABLE","?REFERENTIAL"),"_")))))</f>
        <v> </v>
      </c>
      <c r="H3865" s="24" t="str">
        <f>IF(J3865&lt;&gt;1,"",IF(I3865="SBJ","CB","?"))</f>
        <v> </v>
      </c>
      <c r="I3865" s="25" t="str">
        <f>IF(OR(E3865="",E3865="!!!",F3865="NEW"),"",INDEX(B3864:B$2,-1+SUMPRODUCT(MAX(ROW(E3864:E$2)*(E3865=E3864:E$2)))))</f>
        <v> </v>
      </c>
      <c r="J3865" s="25" t="str">
        <f>IF(OR(E3865="",E3865="!!!",F3865="NEW"),"",COUNTBLANK(OFFSET(A$1,,,SUMPRODUCT(MAX(ROW(E$2:E3865)*(E3865=E$2:E3865)))))-COUNTBLANK(OFFSET(A$1,,,SUMPRODUCT(MAX(ROW(E$1:E3864)*(E2=E$1:E3864))))))</f>
        <v> </v>
      </c>
      <c r="K3865" s="25" t="str">
        <f>IF(OR(E3865="",E3865="!!!",F3865="NEW"),"",INDEX(J$1:J3864,SUMPRODUCT(MAX(ROW(E$1:E3864)*(E3865=E$1:E3864)))))</f>
        <v> </v>
      </c>
      <c r="L3865" s="26"/>
    </row>
    <row r="3866" spans="1:12">
      <c r="A3866" s="20" t="s">
        <v>1020</v>
      </c>
      <c r="B3866" s="27" t="s">
        <v>956</v>
      </c>
      <c r="E3866" s="21">
        <f>IF(D3866="?OLD","!!!","")</f>
        <v/>
      </c>
      <c r="F3866" s="22" t="str">
        <f>IF(OR(E3866="",E3866="!!!"),"",IF(NOT(ISNA(VLOOKUP(E3866,E$1:E3865,1,FALSE()))),"OLD",IF(AND(E3866&lt;&gt;"",E3866&lt;&gt;"!!!"),"NEW","")))</f>
        <v> </v>
      </c>
      <c r="G3866" s="23" t="str">
        <f>IF(OR(E3866="",E3866="!!!"),"",IF(OR(J3866=0,AND(J3866=1,K3866=1),AND(J3866=1,I3866="SBJ"),AND(J3866=1,I3866=0)),"?IN_FOCUS",IF(J3866&lt;=2,"?ACTIVATED",IF(J3866&lt;&gt;"","?FAMILIAR",IF(F3866="NEW",IF(ISNA(VLOOKUP(E3866,#REF!,1,FALSE())),"?TYPE_IDENTIFIABLE","?REFERENTIAL"),"_")))))</f>
        <v> </v>
      </c>
      <c r="H3866" s="24" t="str">
        <f>IF(J3866&lt;&gt;1,"",IF(I3866="SBJ","CB","?"))</f>
        <v> </v>
      </c>
      <c r="I3866" s="25" t="str">
        <f>IF(OR(E3866="",E3866="!!!",F3866="NEW"),"",INDEX(B3865:B$2,-1+SUMPRODUCT(MAX(ROW(E3865:E$2)*(E3866=E3865:E$2)))))</f>
        <v> </v>
      </c>
      <c r="J3866" s="25" t="str">
        <f>IF(OR(E3866="",E3866="!!!",F3866="NEW"),"",COUNTBLANK(OFFSET(A$1,,,SUMPRODUCT(MAX(ROW(E$2:E3866)*(E3866=E$2:E3866)))))-COUNTBLANK(OFFSET(A$1,,,SUMPRODUCT(MAX(ROW(E$1:E3865)*(E2=E$1:E3865))))))</f>
        <v> </v>
      </c>
      <c r="K3866" s="25" t="str">
        <f>IF(OR(E3866="",E3866="!!!",F3866="NEW"),"",INDEX(J$1:J3865,SUMPRODUCT(MAX(ROW(E$1:E3865)*(E3866=E$1:E3865)))))</f>
        <v> </v>
      </c>
      <c r="L3866" s="26"/>
    </row>
    <row r="3867" spans="1:12">
      <c r="A3867" s="20" t="s">
        <v>840</v>
      </c>
      <c r="B3867" s="27" t="s">
        <v>894</v>
      </c>
      <c r="C3867" s="27" t="s">
        <v>797</v>
      </c>
      <c r="D3867" s="27" t="s">
        <v>762</v>
      </c>
      <c r="E3867" s="21">
        <f>IF(D3867="?OLD","!!!","")</f>
        <v/>
      </c>
      <c r="F3867" s="22" t="str">
        <f>IF(OR(E3867="",E3867="!!!"),"",IF(NOT(ISNA(VLOOKUP(E3867,E$1:E3866,1,FALSE()))),"OLD",IF(AND(E3867&lt;&gt;"",E3867&lt;&gt;"!!!"),"NEW","")))</f>
        <v> </v>
      </c>
      <c r="G3867" s="23" t="str">
        <f>IF(OR(E3867="",E3867="!!!"),"",IF(OR(J3867=0,AND(J3867=1,K3867=1),AND(J3867=1,I3867="SBJ"),AND(J3867=1,I3867=0)),"?IN_FOCUS",IF(J3867&lt;=2,"?ACTIVATED",IF(J3867&lt;&gt;"","?FAMILIAR",IF(F3867="NEW",IF(ISNA(VLOOKUP(E3867,#REF!,1,FALSE())),"?TYPE_IDENTIFIABLE","?REFERENTIAL"),"_")))))</f>
        <v> </v>
      </c>
      <c r="H3867" s="24" t="str">
        <f>IF(J3867&lt;&gt;1,"",IF(I3867="SBJ","CB","?"))</f>
        <v> </v>
      </c>
      <c r="I3867" s="25" t="str">
        <f>IF(OR(E3867="",E3867="!!!",F3867="NEW"),"",INDEX(B3866:B$2,-1+SUMPRODUCT(MAX(ROW(E3866:E$2)*(E3867=E3866:E$2)))))</f>
        <v> </v>
      </c>
      <c r="J3867" s="25" t="str">
        <f>IF(OR(E3867="",E3867="!!!",F3867="NEW"),"",COUNTBLANK(OFFSET(A$1,,,SUMPRODUCT(MAX(ROW(E$2:E3867)*(E3867=E$2:E3867)))))-COUNTBLANK(OFFSET(A$1,,,SUMPRODUCT(MAX(ROW(E$1:E3866)*(E2=E$1:E3866))))))</f>
        <v> </v>
      </c>
      <c r="K3867" s="25" t="str">
        <f>IF(OR(E3867="",E3867="!!!",F3867="NEW"),"",INDEX(J$1:J3866,SUMPRODUCT(MAX(ROW(E$1:E3866)*(E3867=E$1:E3866)))))</f>
        <v> </v>
      </c>
      <c r="L3867" s="26"/>
    </row>
    <row r="3868" spans="1:12">
      <c r="A3868" s="20" t="s">
        <v>1867</v>
      </c>
      <c r="E3868" s="21">
        <f>IF(D3868="?OLD","!!!","")</f>
        <v/>
      </c>
      <c r="F3868" s="22" t="str">
        <f>IF(OR(E3868="",E3868="!!!"),"",IF(NOT(ISNA(VLOOKUP(E3868,E$1:E3867,1,FALSE()))),"OLD",IF(AND(E3868&lt;&gt;"",E3868&lt;&gt;"!!!"),"NEW","")))</f>
        <v> </v>
      </c>
      <c r="G3868" s="23" t="str">
        <f>IF(OR(E3868="",E3868="!!!"),"",IF(OR(J3868=0,AND(J3868=1,K3868=1),AND(J3868=1,I3868="SBJ"),AND(J3868=1,I3868=0)),"?IN_FOCUS",IF(J3868&lt;=2,"?ACTIVATED",IF(J3868&lt;&gt;"","?FAMILIAR",IF(F3868="NEW",IF(ISNA(VLOOKUP(E3868,#REF!,1,FALSE())),"?TYPE_IDENTIFIABLE","?REFERENTIAL"),"_")))))</f>
        <v> </v>
      </c>
      <c r="H3868" s="24" t="str">
        <f>IF(J3868&lt;&gt;1,"",IF(I3868="SBJ","CB","?"))</f>
        <v> </v>
      </c>
      <c r="I3868" s="25" t="str">
        <f>IF(OR(E3868="",E3868="!!!",F3868="NEW"),"",INDEX(B3867:B$2,-1+SUMPRODUCT(MAX(ROW(E3867:E$2)*(E3868=E3867:E$2)))))</f>
        <v> </v>
      </c>
      <c r="J3868" s="25" t="str">
        <f>IF(OR(E3868="",E3868="!!!",F3868="NEW"),"",COUNTBLANK(OFFSET(A$1,,,SUMPRODUCT(MAX(ROW(E$2:E3868)*(E3868=E$2:E3868)))))-COUNTBLANK(OFFSET(A$1,,,SUMPRODUCT(MAX(ROW(E$1:E3867)*(E2=E$1:E3867))))))</f>
        <v> </v>
      </c>
      <c r="K3868" s="25" t="str">
        <f>IF(OR(E3868="",E3868="!!!",F3868="NEW"),"",INDEX(J$1:J3867,SUMPRODUCT(MAX(ROW(E$1:E3867)*(E3868=E$1:E3867)))))</f>
        <v> </v>
      </c>
      <c r="L3868" s="26"/>
    </row>
    <row r="3869" spans="1:12">
      <c r="A3869" s="20" t="s">
        <v>875</v>
      </c>
      <c r="E3869" s="21">
        <f>IF(D3869="?OLD","!!!","")</f>
        <v/>
      </c>
      <c r="F3869" s="22" t="str">
        <f>IF(OR(E3869="",E3869="!!!"),"",IF(NOT(ISNA(VLOOKUP(E3869,E$1:E3868,1,FALSE()))),"OLD",IF(AND(E3869&lt;&gt;"",E3869&lt;&gt;"!!!"),"NEW","")))</f>
        <v> </v>
      </c>
      <c r="G3869" s="23" t="str">
        <f>IF(OR(E3869="",E3869="!!!"),"",IF(OR(J3869=0,AND(J3869=1,K3869=1),AND(J3869=1,I3869="SBJ"),AND(J3869=1,I3869=0)),"?IN_FOCUS",IF(J3869&lt;=2,"?ACTIVATED",IF(J3869&lt;&gt;"","?FAMILIAR",IF(F3869="NEW",IF(ISNA(VLOOKUP(E3869,#REF!,1,FALSE())),"?TYPE_IDENTIFIABLE","?REFERENTIAL"),"_")))))</f>
        <v> </v>
      </c>
      <c r="H3869" s="24" t="str">
        <f>IF(J3869&lt;&gt;1,"",IF(I3869="SBJ","CB","?"))</f>
        <v> </v>
      </c>
      <c r="I3869" s="25" t="str">
        <f>IF(OR(E3869="",E3869="!!!",F3869="NEW"),"",INDEX(B3868:B$2,-1+SUMPRODUCT(MAX(ROW(E3868:E$2)*(E3869=E3868:E$2)))))</f>
        <v> </v>
      </c>
      <c r="J3869" s="25" t="str">
        <f>IF(OR(E3869="",E3869="!!!",F3869="NEW"),"",COUNTBLANK(OFFSET(A$1,,,SUMPRODUCT(MAX(ROW(E$2:E3869)*(E3869=E$2:E3869)))))-COUNTBLANK(OFFSET(A$1,,,SUMPRODUCT(MAX(ROW(E$1:E3868)*(E2=E$1:E3868))))))</f>
        <v> </v>
      </c>
      <c r="K3869" s="25" t="str">
        <f>IF(OR(E3869="",E3869="!!!",F3869="NEW"),"",INDEX(J$1:J3868,SUMPRODUCT(MAX(ROW(E$1:E3868)*(E3869=E$1:E3868)))))</f>
        <v> </v>
      </c>
      <c r="L3869" s="26"/>
    </row>
    <row r="3870" spans="1:12">
      <c r="A3870" s="20" t="s">
        <v>1159</v>
      </c>
      <c r="E3870" s="21">
        <f>IF(D3870="?OLD","!!!","")</f>
        <v/>
      </c>
      <c r="F3870" s="22" t="str">
        <f>IF(OR(E3870="",E3870="!!!"),"",IF(NOT(ISNA(VLOOKUP(E3870,E$1:E3869,1,FALSE()))),"OLD",IF(AND(E3870&lt;&gt;"",E3870&lt;&gt;"!!!"),"NEW","")))</f>
        <v> </v>
      </c>
      <c r="G3870" s="23" t="str">
        <f>IF(OR(E3870="",E3870="!!!"),"",IF(OR(J3870=0,AND(J3870=1,K3870=1),AND(J3870=1,I3870="SBJ"),AND(J3870=1,I3870=0)),"?IN_FOCUS",IF(J3870&lt;=2,"?ACTIVATED",IF(J3870&lt;&gt;"","?FAMILIAR",IF(F3870="NEW",IF(ISNA(VLOOKUP(E3870,#REF!,1,FALSE())),"?TYPE_IDENTIFIABLE","?REFERENTIAL"),"_")))))</f>
        <v> </v>
      </c>
      <c r="H3870" s="24" t="str">
        <f>IF(J3870&lt;&gt;1,"",IF(I3870="SBJ","CB","?"))</f>
        <v> </v>
      </c>
      <c r="I3870" s="25" t="str">
        <f>IF(OR(E3870="",E3870="!!!",F3870="NEW"),"",INDEX(B3869:B$2,-1+SUMPRODUCT(MAX(ROW(E3869:E$2)*(E3870=E3869:E$2)))))</f>
        <v> </v>
      </c>
      <c r="J3870" s="25" t="str">
        <f>IF(OR(E3870="",E3870="!!!",F3870="NEW"),"",COUNTBLANK(OFFSET(A$1,,,SUMPRODUCT(MAX(ROW(E$2:E3870)*(E3870=E$2:E3870)))))-COUNTBLANK(OFFSET(A$1,,,SUMPRODUCT(MAX(ROW(E$1:E3869)*(E2=E$1:E3869))))))</f>
        <v> </v>
      </c>
      <c r="K3870" s="25" t="str">
        <f>IF(OR(E3870="",E3870="!!!",F3870="NEW"),"",INDEX(J$1:J3869,SUMPRODUCT(MAX(ROW(E$1:E3869)*(E3870=E$1:E3869)))))</f>
        <v> </v>
      </c>
      <c r="L3870" s="26"/>
    </row>
    <row r="3871" spans="1:12">
      <c r="A3871" s="20" t="s">
        <v>1495</v>
      </c>
      <c r="B3871" s="27" t="s">
        <v>879</v>
      </c>
      <c r="C3871" s="27" t="s">
        <v>1019</v>
      </c>
      <c r="D3871" s="27" t="s">
        <v>762</v>
      </c>
      <c r="E3871" s="21">
        <f>IF(D3871="?OLD","!!!","")</f>
        <v/>
      </c>
      <c r="F3871" s="22" t="str">
        <f>IF(OR(E3871="",E3871="!!!"),"",IF(NOT(ISNA(VLOOKUP(E3871,E$1:E3870,1,FALSE()))),"OLD",IF(AND(E3871&lt;&gt;"",E3871&lt;&gt;"!!!"),"NEW","")))</f>
        <v> </v>
      </c>
      <c r="G3871" s="23" t="str">
        <f>IF(OR(E3871="",E3871="!!!"),"",IF(OR(J3871=0,AND(J3871=1,K3871=1),AND(J3871=1,I3871="SBJ"),AND(J3871=1,I3871=0)),"?IN_FOCUS",IF(J3871&lt;=2,"?ACTIVATED",IF(J3871&lt;&gt;"","?FAMILIAR",IF(F3871="NEW",IF(ISNA(VLOOKUP(E3871,#REF!,1,FALSE())),"?TYPE_IDENTIFIABLE","?REFERENTIAL"),"_")))))</f>
        <v> </v>
      </c>
      <c r="H3871" s="24" t="str">
        <f>IF(J3871&lt;&gt;1,"",IF(I3871="SBJ","CB","?"))</f>
        <v> </v>
      </c>
      <c r="I3871" s="25" t="str">
        <f>IF(OR(E3871="",E3871="!!!",F3871="NEW"),"",INDEX(B3870:B$2,-1+SUMPRODUCT(MAX(ROW(E3870:E$2)*(E3871=E3870:E$2)))))</f>
        <v> </v>
      </c>
      <c r="J3871" s="25" t="str">
        <f>IF(OR(E3871="",E3871="!!!",F3871="NEW"),"",COUNTBLANK(OFFSET(A$1,,,SUMPRODUCT(MAX(ROW(E$2:E3871)*(E3871=E$2:E3871)))))-COUNTBLANK(OFFSET(A$1,,,SUMPRODUCT(MAX(ROW(E$1:E3870)*(E2=E$1:E3870))))))</f>
        <v> </v>
      </c>
      <c r="K3871" s="25" t="str">
        <f>IF(OR(E3871="",E3871="!!!",F3871="NEW"),"",INDEX(J$1:J3870,SUMPRODUCT(MAX(ROW(E$1:E3870)*(E3871=E$1:E3870)))))</f>
        <v> </v>
      </c>
      <c r="L3871" s="26"/>
    </row>
    <row r="3872" spans="1:12">
      <c r="A3872" s="20" t="s">
        <v>1868</v>
      </c>
      <c r="E3872" s="21">
        <f>IF(D3872="?OLD","!!!","")</f>
        <v/>
      </c>
      <c r="F3872" s="22" t="str">
        <f>IF(OR(E3872="",E3872="!!!"),"",IF(NOT(ISNA(VLOOKUP(E3872,E$1:E3871,1,FALSE()))),"OLD",IF(AND(E3872&lt;&gt;"",E3872&lt;&gt;"!!!"),"NEW","")))</f>
        <v> </v>
      </c>
      <c r="G3872" s="23" t="str">
        <f>IF(OR(E3872="",E3872="!!!"),"",IF(OR(J3872=0,AND(J3872=1,K3872=1),AND(J3872=1,I3872="SBJ"),AND(J3872=1,I3872=0)),"?IN_FOCUS",IF(J3872&lt;=2,"?ACTIVATED",IF(J3872&lt;&gt;"","?FAMILIAR",IF(F3872="NEW",IF(ISNA(VLOOKUP(E3872,#REF!,1,FALSE())),"?TYPE_IDENTIFIABLE","?REFERENTIAL"),"_")))))</f>
        <v> </v>
      </c>
      <c r="H3872" s="24" t="str">
        <f>IF(J3872&lt;&gt;1,"",IF(I3872="SBJ","CB","?"))</f>
        <v> </v>
      </c>
      <c r="I3872" s="25" t="str">
        <f>IF(OR(E3872="",E3872="!!!",F3872="NEW"),"",INDEX(B3871:B$2,-1+SUMPRODUCT(MAX(ROW(E3871:E$2)*(E3872=E3871:E$2)))))</f>
        <v> </v>
      </c>
      <c r="J3872" s="25" t="str">
        <f>IF(OR(E3872="",E3872="!!!",F3872="NEW"),"",COUNTBLANK(OFFSET(A$1,,,SUMPRODUCT(MAX(ROW(E$2:E3872)*(E3872=E$2:E3872)))))-COUNTBLANK(OFFSET(A$1,,,SUMPRODUCT(MAX(ROW(E$1:E3871)*(E2=E$1:E3871))))))</f>
        <v> </v>
      </c>
      <c r="K3872" s="25" t="str">
        <f>IF(OR(E3872="",E3872="!!!",F3872="NEW"),"",INDEX(J$1:J3871,SUMPRODUCT(MAX(ROW(E$1:E3871)*(E3872=E$1:E3871)))))</f>
        <v> </v>
      </c>
      <c r="L3872" s="26"/>
    </row>
    <row r="3873" spans="1:12">
      <c r="A3873" s="20" t="s">
        <v>1869</v>
      </c>
      <c r="E3873" s="21">
        <f>IF(D3873="?OLD","!!!","")</f>
        <v/>
      </c>
      <c r="F3873" s="22" t="str">
        <f>IF(OR(E3873="",E3873="!!!"),"",IF(NOT(ISNA(VLOOKUP(E3873,E$1:E3872,1,FALSE()))),"OLD",IF(AND(E3873&lt;&gt;"",E3873&lt;&gt;"!!!"),"NEW","")))</f>
        <v> </v>
      </c>
      <c r="G3873" s="23" t="str">
        <f>IF(OR(E3873="",E3873="!!!"),"",IF(OR(J3873=0,AND(J3873=1,K3873=1),AND(J3873=1,I3873="SBJ"),AND(J3873=1,I3873=0)),"?IN_FOCUS",IF(J3873&lt;=2,"?ACTIVATED",IF(J3873&lt;&gt;"","?FAMILIAR",IF(F3873="NEW",IF(ISNA(VLOOKUP(E3873,#REF!,1,FALSE())),"?TYPE_IDENTIFIABLE","?REFERENTIAL"),"_")))))</f>
        <v> </v>
      </c>
      <c r="H3873" s="24" t="str">
        <f>IF(J3873&lt;&gt;1,"",IF(I3873="SBJ","CB","?"))</f>
        <v> </v>
      </c>
      <c r="I3873" s="25" t="str">
        <f>IF(OR(E3873="",E3873="!!!",F3873="NEW"),"",INDEX(B3872:B$2,-1+SUMPRODUCT(MAX(ROW(E3872:E$2)*(E3873=E3872:E$2)))))</f>
        <v> </v>
      </c>
      <c r="J3873" s="25" t="str">
        <f>IF(OR(E3873="",E3873="!!!",F3873="NEW"),"",COUNTBLANK(OFFSET(A$1,,,SUMPRODUCT(MAX(ROW(E$2:E3873)*(E3873=E$2:E3873)))))-COUNTBLANK(OFFSET(A$1,,,SUMPRODUCT(MAX(ROW(E$1:E3872)*(E2=E$1:E3872))))))</f>
        <v> </v>
      </c>
      <c r="K3873" s="25" t="str">
        <f>IF(OR(E3873="",E3873="!!!",F3873="NEW"),"",INDEX(J$1:J3872,SUMPRODUCT(MAX(ROW(E$1:E3872)*(E3873=E$1:E3872)))))</f>
        <v> </v>
      </c>
      <c r="L3873" s="26"/>
    </row>
    <row r="3874" spans="1:12">
      <c r="A3874" s="20" t="s">
        <v>758</v>
      </c>
      <c r="E3874" s="21">
        <f>IF(D3874="?OLD","!!!","")</f>
        <v/>
      </c>
      <c r="F3874" s="22" t="str">
        <f>IF(OR(E3874="",E3874="!!!"),"",IF(NOT(ISNA(VLOOKUP(E3874,E$1:E3873,1,FALSE()))),"OLD",IF(AND(E3874&lt;&gt;"",E3874&lt;&gt;"!!!"),"NEW","")))</f>
        <v> </v>
      </c>
      <c r="G3874" s="23" t="str">
        <f>IF(OR(E3874="",E3874="!!!"),"",IF(OR(J3874=0,AND(J3874=1,K3874=1),AND(J3874=1,I3874="SBJ"),AND(J3874=1,I3874=0)),"?IN_FOCUS",IF(J3874&lt;=2,"?ACTIVATED",IF(J3874&lt;&gt;"","?FAMILIAR",IF(F3874="NEW",IF(ISNA(VLOOKUP(E3874,#REF!,1,FALSE())),"?TYPE_IDENTIFIABLE","?REFERENTIAL"),"_")))))</f>
        <v> </v>
      </c>
      <c r="H3874" s="24" t="str">
        <f>IF(J3874&lt;&gt;1,"",IF(I3874="SBJ","CB","?"))</f>
        <v> </v>
      </c>
      <c r="I3874" s="25" t="str">
        <f>IF(OR(E3874="",E3874="!!!",F3874="NEW"),"",INDEX(B3873:B$2,-1+SUMPRODUCT(MAX(ROW(E3873:E$2)*(E3874=E3873:E$2)))))</f>
        <v> </v>
      </c>
      <c r="J3874" s="25" t="str">
        <f>IF(OR(E3874="",E3874="!!!",F3874="NEW"),"",COUNTBLANK(OFFSET(A$1,,,SUMPRODUCT(MAX(ROW(E$2:E3874)*(E3874=E$2:E3874)))))-COUNTBLANK(OFFSET(A$1,,,SUMPRODUCT(MAX(ROW(E$1:E3873)*(E2=E$1:E3873))))))</f>
        <v> </v>
      </c>
      <c r="K3874" s="25" t="str">
        <f>IF(OR(E3874="",E3874="!!!",F3874="NEW"),"",INDEX(J$1:J3873,SUMPRODUCT(MAX(ROW(E$1:E3873)*(E3874=E$1:E3873)))))</f>
        <v> </v>
      </c>
      <c r="L3874" s="26"/>
    </row>
    <row r="3875" spans="1:12">
      <c r="A3875" s="20" t="s">
        <v>1231</v>
      </c>
      <c r="B3875" s="27" t="s">
        <v>767</v>
      </c>
      <c r="C3875" s="27" t="s">
        <v>761</v>
      </c>
      <c r="D3875" s="27" t="s">
        <v>762</v>
      </c>
      <c r="E3875" s="21">
        <f>IF(D3875="?OLD","!!!","")</f>
        <v/>
      </c>
      <c r="F3875" s="22" t="str">
        <f>IF(OR(E3875="",E3875="!!!"),"",IF(NOT(ISNA(VLOOKUP(E3875,E$1:E3874,1,FALSE()))),"OLD",IF(AND(E3875&lt;&gt;"",E3875&lt;&gt;"!!!"),"NEW","")))</f>
        <v> </v>
      </c>
      <c r="G3875" s="23" t="str">
        <f>IF(OR(E3875="",E3875="!!!"),"",IF(OR(J3875=0,AND(J3875=1,K3875=1),AND(J3875=1,I3875="SBJ"),AND(J3875=1,I3875=0)),"?IN_FOCUS",IF(J3875&lt;=2,"?ACTIVATED",IF(J3875&lt;&gt;"","?FAMILIAR",IF(F3875="NEW",IF(ISNA(VLOOKUP(E3875,#REF!,1,FALSE())),"?TYPE_IDENTIFIABLE","?REFERENTIAL"),"_")))))</f>
        <v> </v>
      </c>
      <c r="H3875" s="24" t="str">
        <f>IF(J3875&lt;&gt;1,"",IF(I3875="SBJ","CB","?"))</f>
        <v> </v>
      </c>
      <c r="I3875" s="25" t="str">
        <f>IF(OR(E3875="",E3875="!!!",F3875="NEW"),"",INDEX(B3874:B$2,-1+SUMPRODUCT(MAX(ROW(E3874:E$2)*(E3875=E3874:E$2)))))</f>
        <v> </v>
      </c>
      <c r="J3875" s="25" t="str">
        <f>IF(OR(E3875="",E3875="!!!",F3875="NEW"),"",COUNTBLANK(OFFSET(A$1,,,SUMPRODUCT(MAX(ROW(E$2:E3875)*(E3875=E$2:E3875)))))-COUNTBLANK(OFFSET(A$1,,,SUMPRODUCT(MAX(ROW(E$1:E3874)*(E2=E$1:E3874))))))</f>
        <v> </v>
      </c>
      <c r="K3875" s="25" t="str">
        <f>IF(OR(E3875="",E3875="!!!",F3875="NEW"),"",INDEX(J$1:J3874,SUMPRODUCT(MAX(ROW(E$1:E3874)*(E3875=E$1:E3874)))))</f>
        <v> </v>
      </c>
      <c r="L3875" s="26"/>
    </row>
    <row r="3876" spans="1:12">
      <c r="A3876" s="20" t="s">
        <v>1870</v>
      </c>
      <c r="E3876" s="21">
        <f>IF(D3876="?OLD","!!!","")</f>
        <v/>
      </c>
      <c r="F3876" s="22" t="str">
        <f>IF(OR(E3876="",E3876="!!!"),"",IF(NOT(ISNA(VLOOKUP(E3876,E$1:E3875,1,FALSE()))),"OLD",IF(AND(E3876&lt;&gt;"",E3876&lt;&gt;"!!!"),"NEW","")))</f>
        <v> </v>
      </c>
      <c r="G3876" s="23" t="str">
        <f>IF(OR(E3876="",E3876="!!!"),"",IF(OR(J3876=0,AND(J3876=1,K3876=1),AND(J3876=1,I3876="SBJ"),AND(J3876=1,I3876=0)),"?IN_FOCUS",IF(J3876&lt;=2,"?ACTIVATED",IF(J3876&lt;&gt;"","?FAMILIAR",IF(F3876="NEW",IF(ISNA(VLOOKUP(E3876,#REF!,1,FALSE())),"?TYPE_IDENTIFIABLE","?REFERENTIAL"),"_")))))</f>
        <v> </v>
      </c>
      <c r="H3876" s="24" t="str">
        <f>IF(J3876&lt;&gt;1,"",IF(I3876="SBJ","CB","?"))</f>
        <v> </v>
      </c>
      <c r="I3876" s="25" t="str">
        <f>IF(OR(E3876="",E3876="!!!",F3876="NEW"),"",INDEX(B3875:B$2,-1+SUMPRODUCT(MAX(ROW(E3875:E$2)*(E3876=E3875:E$2)))))</f>
        <v> </v>
      </c>
      <c r="J3876" s="25" t="str">
        <f>IF(OR(E3876="",E3876="!!!",F3876="NEW"),"",COUNTBLANK(OFFSET(A$1,,,SUMPRODUCT(MAX(ROW(E$2:E3876)*(E3876=E$2:E3876)))))-COUNTBLANK(OFFSET(A$1,,,SUMPRODUCT(MAX(ROW(E$1:E3875)*(E2=E$1:E3875))))))</f>
        <v> </v>
      </c>
      <c r="K3876" s="25" t="str">
        <f>IF(OR(E3876="",E3876="!!!",F3876="NEW"),"",INDEX(J$1:J3875,SUMPRODUCT(MAX(ROW(E$1:E3875)*(E3876=E$1:E3875)))))</f>
        <v> </v>
      </c>
      <c r="L3876" s="26"/>
    </row>
    <row r="3877" spans="1:12">
      <c r="A3877" s="20" t="s">
        <v>769</v>
      </c>
      <c r="E3877" s="21">
        <f>IF(D3877="?OLD","!!!","")</f>
        <v/>
      </c>
      <c r="F3877" s="22" t="str">
        <f>IF(OR(E3877="",E3877="!!!"),"",IF(NOT(ISNA(VLOOKUP(E3877,E$1:E3876,1,FALSE()))),"OLD",IF(AND(E3877&lt;&gt;"",E3877&lt;&gt;"!!!"),"NEW","")))</f>
        <v> </v>
      </c>
      <c r="G3877" s="23" t="str">
        <f>IF(OR(E3877="",E3877="!!!"),"",IF(OR(J3877=0,AND(J3877=1,K3877=1),AND(J3877=1,I3877="SBJ"),AND(J3877=1,I3877=0)),"?IN_FOCUS",IF(J3877&lt;=2,"?ACTIVATED",IF(J3877&lt;&gt;"","?FAMILIAR",IF(F3877="NEW",IF(ISNA(VLOOKUP(E3877,#REF!,1,FALSE())),"?TYPE_IDENTIFIABLE","?REFERENTIAL"),"_")))))</f>
        <v> </v>
      </c>
      <c r="H3877" s="24" t="str">
        <f>IF(J3877&lt;&gt;1,"",IF(I3877="SBJ","CB","?"))</f>
        <v> </v>
      </c>
      <c r="I3877" s="25" t="str">
        <f>IF(OR(E3877="",E3877="!!!",F3877="NEW"),"",INDEX(B3876:B$2,-1+SUMPRODUCT(MAX(ROW(E3876:E$2)*(E3877=E3876:E$2)))))</f>
        <v> </v>
      </c>
      <c r="J3877" s="25" t="str">
        <f>IF(OR(E3877="",E3877="!!!",F3877="NEW"),"",COUNTBLANK(OFFSET(A$1,,,SUMPRODUCT(MAX(ROW(E$2:E3877)*(E3877=E$2:E3877)))))-COUNTBLANK(OFFSET(A$1,,,SUMPRODUCT(MAX(ROW(E$1:E3876)*(E2=E$1:E3876))))))</f>
        <v> </v>
      </c>
      <c r="K3877" s="25" t="str">
        <f>IF(OR(E3877="",E3877="!!!",F3877="NEW"),"",INDEX(J$1:J3876,SUMPRODUCT(MAX(ROW(E$1:E3876)*(E3877=E$1:E3876)))))</f>
        <v> </v>
      </c>
      <c r="L3877" s="26"/>
    </row>
    <row r="3878" spans="1:12">
      <c r="A3878" s="20" t="s">
        <v>770</v>
      </c>
      <c r="E3878" s="21">
        <f>IF(D3878="?OLD","!!!","")</f>
        <v/>
      </c>
      <c r="F3878" s="22" t="str">
        <f>IF(OR(E3878="",E3878="!!!"),"",IF(NOT(ISNA(VLOOKUP(E3878,E$1:E3877,1,FALSE()))),"OLD",IF(AND(E3878&lt;&gt;"",E3878&lt;&gt;"!!!"),"NEW","")))</f>
        <v> </v>
      </c>
      <c r="G3878" s="23" t="str">
        <f>IF(OR(E3878="",E3878="!!!"),"",IF(OR(J3878=0,AND(J3878=1,K3878=1),AND(J3878=1,I3878="SBJ"),AND(J3878=1,I3878=0)),"?IN_FOCUS",IF(J3878&lt;=2,"?ACTIVATED",IF(J3878&lt;&gt;"","?FAMILIAR",IF(F3878="NEW",IF(ISNA(VLOOKUP(E3878,#REF!,1,FALSE())),"?TYPE_IDENTIFIABLE","?REFERENTIAL"),"_")))))</f>
        <v> </v>
      </c>
      <c r="H3878" s="24" t="str">
        <f>IF(J3878&lt;&gt;1,"",IF(I3878="SBJ","CB","?"))</f>
        <v> </v>
      </c>
      <c r="I3878" s="25" t="str">
        <f>IF(OR(E3878="",E3878="!!!",F3878="NEW"),"",INDEX(B3877:B$2,-1+SUMPRODUCT(MAX(ROW(E3877:E$2)*(E3878=E3877:E$2)))))</f>
        <v> </v>
      </c>
      <c r="J3878" s="25" t="str">
        <f>IF(OR(E3878="",E3878="!!!",F3878="NEW"),"",COUNTBLANK(OFFSET(A$1,,,SUMPRODUCT(MAX(ROW(E$2:E3878)*(E3878=E$2:E3878)))))-COUNTBLANK(OFFSET(A$1,,,SUMPRODUCT(MAX(ROW(E$1:E3877)*(E2=E$1:E3877))))))</f>
        <v> </v>
      </c>
      <c r="K3878" s="25" t="str">
        <f>IF(OR(E3878="",E3878="!!!",F3878="NEW"),"",INDEX(J$1:J3877,SUMPRODUCT(MAX(ROW(E$1:E3877)*(E3878=E$1:E3877)))))</f>
        <v> </v>
      </c>
      <c r="L3878" s="26"/>
    </row>
    <row r="3879" spans="1:12">
      <c r="A3879" s="20" t="s">
        <v>1696</v>
      </c>
      <c r="B3879" s="27" t="s">
        <v>772</v>
      </c>
      <c r="C3879" s="27" t="s">
        <v>761</v>
      </c>
      <c r="D3879" s="27" t="s">
        <v>762</v>
      </c>
      <c r="E3879" s="21">
        <f>IF(D3879="?OLD","!!!","")</f>
        <v/>
      </c>
      <c r="F3879" s="22" t="str">
        <f>IF(OR(E3879="",E3879="!!!"),"",IF(NOT(ISNA(VLOOKUP(E3879,E$1:E3878,1,FALSE()))),"OLD",IF(AND(E3879&lt;&gt;"",E3879&lt;&gt;"!!!"),"NEW","")))</f>
        <v> </v>
      </c>
      <c r="G3879" s="23" t="str">
        <f>IF(OR(E3879="",E3879="!!!"),"",IF(OR(J3879=0,AND(J3879=1,K3879=1),AND(J3879=1,I3879="SBJ"),AND(J3879=1,I3879=0)),"?IN_FOCUS",IF(J3879&lt;=2,"?ACTIVATED",IF(J3879&lt;&gt;"","?FAMILIAR",IF(F3879="NEW",IF(ISNA(VLOOKUP(E3879,#REF!,1,FALSE())),"?TYPE_IDENTIFIABLE","?REFERENTIAL"),"_")))))</f>
        <v> </v>
      </c>
      <c r="H3879" s="24" t="str">
        <f>IF(J3879&lt;&gt;1,"",IF(I3879="SBJ","CB","?"))</f>
        <v> </v>
      </c>
      <c r="I3879" s="25" t="str">
        <f>IF(OR(E3879="",E3879="!!!",F3879="NEW"),"",INDEX(B3878:B$2,-1+SUMPRODUCT(MAX(ROW(E3878:E$2)*(E3879=E3878:E$2)))))</f>
        <v> </v>
      </c>
      <c r="J3879" s="25" t="str">
        <f>IF(OR(E3879="",E3879="!!!",F3879="NEW"),"",COUNTBLANK(OFFSET(A$1,,,SUMPRODUCT(MAX(ROW(E$2:E3879)*(E3879=E$2:E3879)))))-COUNTBLANK(OFFSET(A$1,,,SUMPRODUCT(MAX(ROW(E$1:E3878)*(E2=E$1:E3878))))))</f>
        <v> </v>
      </c>
      <c r="K3879" s="25" t="str">
        <f>IF(OR(E3879="",E3879="!!!",F3879="NEW"),"",INDEX(J$1:J3878,SUMPRODUCT(MAX(ROW(E$1:E3878)*(E3879=E$1:E3878)))))</f>
        <v> </v>
      </c>
      <c r="L3879" s="26"/>
    </row>
    <row r="3880" spans="1:12">
      <c r="A3880" s="20" t="s">
        <v>757</v>
      </c>
      <c r="E3880" s="21">
        <f>IF(D3880="?OLD","!!!","")</f>
        <v/>
      </c>
      <c r="F3880" s="22" t="str">
        <f>IF(OR(E3880="",E3880="!!!"),"",IF(NOT(ISNA(VLOOKUP(E3880,E$1:E3879,1,FALSE()))),"OLD",IF(AND(E3880&lt;&gt;"",E3880&lt;&gt;"!!!"),"NEW","")))</f>
        <v> </v>
      </c>
      <c r="G3880" s="23" t="str">
        <f>IF(OR(E3880="",E3880="!!!"),"",IF(OR(J3880=0,AND(J3880=1,K3880=1),AND(J3880=1,I3880="SBJ"),AND(J3880=1,I3880=0)),"?IN_FOCUS",IF(J3880&lt;=2,"?ACTIVATED",IF(J3880&lt;&gt;"","?FAMILIAR",IF(F3880="NEW",IF(ISNA(VLOOKUP(E3880,#REF!,1,FALSE())),"?TYPE_IDENTIFIABLE","?REFERENTIAL"),"_")))))</f>
        <v> </v>
      </c>
      <c r="H3880" s="24" t="str">
        <f>IF(J3880&lt;&gt;1,"",IF(I3880="SBJ","CB","?"))</f>
        <v> </v>
      </c>
      <c r="I3880" s="25" t="str">
        <f>IF(OR(E3880="",E3880="!!!",F3880="NEW"),"",INDEX(B3879:B$2,-1+SUMPRODUCT(MAX(ROW(E3879:E$2)*(E3880=E3879:E$2)))))</f>
        <v> </v>
      </c>
      <c r="J3880" s="25" t="str">
        <f>IF(OR(E3880="",E3880="!!!",F3880="NEW"),"",COUNTBLANK(OFFSET(A$1,,,SUMPRODUCT(MAX(ROW(E$2:E3880)*(E3880=E$2:E3880)))))-COUNTBLANK(OFFSET(A$1,,,SUMPRODUCT(MAX(ROW(E$1:E3879)*(E2=E$1:E3879))))))</f>
        <v> </v>
      </c>
      <c r="K3880" s="25" t="str">
        <f>IF(OR(E3880="",E3880="!!!",F3880="NEW"),"",INDEX(J$1:J3879,SUMPRODUCT(MAX(ROW(E$1:E3879)*(E3880=E$1:E3879)))))</f>
        <v> </v>
      </c>
      <c r="L3880" s="26"/>
    </row>
    <row r="3881" spans="1:12">
      <c r="A3881" s="20" t="s">
        <v>1020</v>
      </c>
      <c r="B3881" s="27" t="s">
        <v>941</v>
      </c>
      <c r="E3881" s="21">
        <f>IF(D3881="?OLD","!!!","")</f>
        <v/>
      </c>
      <c r="F3881" s="22" t="str">
        <f>IF(OR(E3881="",E3881="!!!"),"",IF(NOT(ISNA(VLOOKUP(E3881,E$1:E3880,1,FALSE()))),"OLD",IF(AND(E3881&lt;&gt;"",E3881&lt;&gt;"!!!"),"NEW","")))</f>
        <v> </v>
      </c>
      <c r="G3881" s="23" t="str">
        <f>IF(OR(E3881="",E3881="!!!"),"",IF(OR(J3881=0,AND(J3881=1,K3881=1),AND(J3881=1,I3881="SBJ"),AND(J3881=1,I3881=0)),"?IN_FOCUS",IF(J3881&lt;=2,"?ACTIVATED",IF(J3881&lt;&gt;"","?FAMILIAR",IF(F3881="NEW",IF(ISNA(VLOOKUP(E3881,#REF!,1,FALSE())),"?TYPE_IDENTIFIABLE","?REFERENTIAL"),"_")))))</f>
        <v> </v>
      </c>
      <c r="H3881" s="24" t="str">
        <f>IF(J3881&lt;&gt;1,"",IF(I3881="SBJ","CB","?"))</f>
        <v> </v>
      </c>
      <c r="I3881" s="25" t="str">
        <f>IF(OR(E3881="",E3881="!!!",F3881="NEW"),"",INDEX(B3880:B$2,-1+SUMPRODUCT(MAX(ROW(E3880:E$2)*(E3881=E3880:E$2)))))</f>
        <v> </v>
      </c>
      <c r="J3881" s="25" t="str">
        <f>IF(OR(E3881="",E3881="!!!",F3881="NEW"),"",COUNTBLANK(OFFSET(A$1,,,SUMPRODUCT(MAX(ROW(E$2:E3881)*(E3881=E$2:E3881)))))-COUNTBLANK(OFFSET(A$1,,,SUMPRODUCT(MAX(ROW(E$1:E3880)*(E2=E$1:E3880))))))</f>
        <v> </v>
      </c>
      <c r="K3881" s="25" t="str">
        <f>IF(OR(E3881="",E3881="!!!",F3881="NEW"),"",INDEX(J$1:J3880,SUMPRODUCT(MAX(ROW(E$1:E3880)*(E3881=E$1:E3880)))))</f>
        <v> </v>
      </c>
      <c r="L3881" s="26"/>
    </row>
    <row r="3882" spans="1:12">
      <c r="A3882" s="20" t="s">
        <v>778</v>
      </c>
      <c r="E3882" s="21">
        <f>IF(D3882="?OLD","!!!","")</f>
        <v/>
      </c>
      <c r="F3882" s="22" t="str">
        <f>IF(OR(E3882="",E3882="!!!"),"",IF(NOT(ISNA(VLOOKUP(E3882,E$1:E3881,1,FALSE()))),"OLD",IF(AND(E3882&lt;&gt;"",E3882&lt;&gt;"!!!"),"NEW","")))</f>
        <v> </v>
      </c>
      <c r="G3882" s="23" t="str">
        <f>IF(OR(E3882="",E3882="!!!"),"",IF(OR(J3882=0,AND(J3882=1,K3882=1),AND(J3882=1,I3882="SBJ"),AND(J3882=1,I3882=0)),"?IN_FOCUS",IF(J3882&lt;=2,"?ACTIVATED",IF(J3882&lt;&gt;"","?FAMILIAR",IF(F3882="NEW",IF(ISNA(VLOOKUP(E3882,#REF!,1,FALSE())),"?TYPE_IDENTIFIABLE","?REFERENTIAL"),"_")))))</f>
        <v> </v>
      </c>
      <c r="H3882" s="24" t="str">
        <f>IF(J3882&lt;&gt;1,"",IF(I3882="SBJ","CB","?"))</f>
        <v> </v>
      </c>
      <c r="I3882" s="25" t="str">
        <f>IF(OR(E3882="",E3882="!!!",F3882="NEW"),"",INDEX(B3881:B$2,-1+SUMPRODUCT(MAX(ROW(E3881:E$2)*(E3882=E3881:E$2)))))</f>
        <v> </v>
      </c>
      <c r="J3882" s="25" t="str">
        <f>IF(OR(E3882="",E3882="!!!",F3882="NEW"),"",COUNTBLANK(OFFSET(A$1,,,SUMPRODUCT(MAX(ROW(E$2:E3882)*(E3882=E$2:E3882)))))-COUNTBLANK(OFFSET(A$1,,,SUMPRODUCT(MAX(ROW(E$1:E3881)*(E2=E$1:E3881))))))</f>
        <v> </v>
      </c>
      <c r="K3882" s="25" t="str">
        <f>IF(OR(E3882="",E3882="!!!",F3882="NEW"),"",INDEX(J$1:J3881,SUMPRODUCT(MAX(ROW(E$1:E3881)*(E3882=E$1:E3881)))))</f>
        <v> </v>
      </c>
      <c r="L3882" s="26"/>
    </row>
    <row r="3883" spans="1:12">
      <c r="A3883" s="20" t="s">
        <v>793</v>
      </c>
      <c r="E3883" s="21">
        <f>IF(D3883="?OLD","!!!","")</f>
        <v/>
      </c>
      <c r="F3883" s="22" t="str">
        <f>IF(OR(E3883="",E3883="!!!"),"",IF(NOT(ISNA(VLOOKUP(E3883,E$1:E3882,1,FALSE()))),"OLD",IF(AND(E3883&lt;&gt;"",E3883&lt;&gt;"!!!"),"NEW","")))</f>
        <v> </v>
      </c>
      <c r="G3883" s="23" t="str">
        <f>IF(OR(E3883="",E3883="!!!"),"",IF(OR(J3883=0,AND(J3883=1,K3883=1),AND(J3883=1,I3883="SBJ"),AND(J3883=1,I3883=0)),"?IN_FOCUS",IF(J3883&lt;=2,"?ACTIVATED",IF(J3883&lt;&gt;"","?FAMILIAR",IF(F3883="NEW",IF(ISNA(VLOOKUP(E3883,#REF!,1,FALSE())),"?TYPE_IDENTIFIABLE","?REFERENTIAL"),"_")))))</f>
        <v> </v>
      </c>
      <c r="H3883" s="24" t="str">
        <f>IF(J3883&lt;&gt;1,"",IF(I3883="SBJ","CB","?"))</f>
        <v> </v>
      </c>
      <c r="I3883" s="25" t="str">
        <f>IF(OR(E3883="",E3883="!!!",F3883="NEW"),"",INDEX(B3882:B$2,-1+SUMPRODUCT(MAX(ROW(E3882:E$2)*(E3883=E3882:E$2)))))</f>
        <v> </v>
      </c>
      <c r="J3883" s="25" t="str">
        <f>IF(OR(E3883="",E3883="!!!",F3883="NEW"),"",COUNTBLANK(OFFSET(A$1,,,SUMPRODUCT(MAX(ROW(E$2:E3883)*(E3883=E$2:E3883)))))-COUNTBLANK(OFFSET(A$1,,,SUMPRODUCT(MAX(ROW(E$1:E3882)*(E2=E$1:E3882))))))</f>
        <v> </v>
      </c>
      <c r="K3883" s="25" t="str">
        <f>IF(OR(E3883="",E3883="!!!",F3883="NEW"),"",INDEX(J$1:J3882,SUMPRODUCT(MAX(ROW(E$1:E3882)*(E3883=E$1:E3882)))))</f>
        <v> </v>
      </c>
      <c r="L3883" s="26"/>
    </row>
    <row r="3884" spans="1:12">
      <c r="A3884" s="20" t="s">
        <v>757</v>
      </c>
      <c r="E3884" s="21">
        <f>IF(D3884="?OLD","!!!","")</f>
        <v/>
      </c>
      <c r="F3884" s="22" t="str">
        <f>IF(OR(E3884="",E3884="!!!"),"",IF(NOT(ISNA(VLOOKUP(E3884,E$1:E3883,1,FALSE()))),"OLD",IF(AND(E3884&lt;&gt;"",E3884&lt;&gt;"!!!"),"NEW","")))</f>
        <v> </v>
      </c>
      <c r="G3884" s="23" t="str">
        <f>IF(OR(E3884="",E3884="!!!"),"",IF(OR(J3884=0,AND(J3884=1,K3884=1),AND(J3884=1,I3884="SBJ"),AND(J3884=1,I3884=0)),"?IN_FOCUS",IF(J3884&lt;=2,"?ACTIVATED",IF(J3884&lt;&gt;"","?FAMILIAR",IF(F3884="NEW",IF(ISNA(VLOOKUP(E3884,#REF!,1,FALSE())),"?TYPE_IDENTIFIABLE","?REFERENTIAL"),"_")))))</f>
        <v> </v>
      </c>
      <c r="H3884" s="24" t="str">
        <f>IF(J3884&lt;&gt;1,"",IF(I3884="SBJ","CB","?"))</f>
        <v> </v>
      </c>
      <c r="I3884" s="25" t="str">
        <f>IF(OR(E3884="",E3884="!!!",F3884="NEW"),"",INDEX(B3883:B$2,-1+SUMPRODUCT(MAX(ROW(E3883:E$2)*(E3884=E3883:E$2)))))</f>
        <v> </v>
      </c>
      <c r="J3884" s="25" t="str">
        <f>IF(OR(E3884="",E3884="!!!",F3884="NEW"),"",COUNTBLANK(OFFSET(A$1,,,SUMPRODUCT(MAX(ROW(E$2:E3884)*(E3884=E$2:E3884)))))-COUNTBLANK(OFFSET(A$1,,,SUMPRODUCT(MAX(ROW(E$1:E3883)*(E2=E$1:E3883))))))</f>
        <v> </v>
      </c>
      <c r="K3884" s="25" t="str">
        <f>IF(OR(E3884="",E3884="!!!",F3884="NEW"),"",INDEX(J$1:J3883,SUMPRODUCT(MAX(ROW(E$1:E3883)*(E3884=E$1:E3883)))))</f>
        <v> </v>
      </c>
      <c r="L3884" s="26"/>
    </row>
    <row r="3885" spans="1:12">
      <c r="A3885" s="20" t="s">
        <v>1679</v>
      </c>
      <c r="E3885" s="21">
        <f>IF(D3885="?OLD","!!!","")</f>
        <v/>
      </c>
      <c r="F3885" s="22" t="str">
        <f>IF(OR(E3885="",E3885="!!!"),"",IF(NOT(ISNA(VLOOKUP(E3885,E$1:E3884,1,FALSE()))),"OLD",IF(AND(E3885&lt;&gt;"",E3885&lt;&gt;"!!!"),"NEW","")))</f>
        <v> </v>
      </c>
      <c r="G3885" s="23" t="str">
        <f>IF(OR(E3885="",E3885="!!!"),"",IF(OR(J3885=0,AND(J3885=1,K3885=1),AND(J3885=1,I3885="SBJ"),AND(J3885=1,I3885=0)),"?IN_FOCUS",IF(J3885&lt;=2,"?ACTIVATED",IF(J3885&lt;&gt;"","?FAMILIAR",IF(F3885="NEW",IF(ISNA(VLOOKUP(E3885,#REF!,1,FALSE())),"?TYPE_IDENTIFIABLE","?REFERENTIAL"),"_")))))</f>
        <v> </v>
      </c>
      <c r="H3885" s="24" t="str">
        <f>IF(J3885&lt;&gt;1,"",IF(I3885="SBJ","CB","?"))</f>
        <v> </v>
      </c>
      <c r="I3885" s="25" t="str">
        <f>IF(OR(E3885="",E3885="!!!",F3885="NEW"),"",INDEX(B3884:B$2,-1+SUMPRODUCT(MAX(ROW(E3884:E$2)*(E3885=E3884:E$2)))))</f>
        <v> </v>
      </c>
      <c r="J3885" s="25" t="str">
        <f>IF(OR(E3885="",E3885="!!!",F3885="NEW"),"",COUNTBLANK(OFFSET(A$1,,,SUMPRODUCT(MAX(ROW(E$2:E3885)*(E3885=E$2:E3885)))))-COUNTBLANK(OFFSET(A$1,,,SUMPRODUCT(MAX(ROW(E$1:E3884)*(E2=E$1:E3884))))))</f>
        <v> </v>
      </c>
      <c r="K3885" s="25" t="str">
        <f>IF(OR(E3885="",E3885="!!!",F3885="NEW"),"",INDEX(J$1:J3884,SUMPRODUCT(MAX(ROW(E$1:E3884)*(E3885=E$1:E3884)))))</f>
        <v> </v>
      </c>
      <c r="L3885" s="26"/>
    </row>
    <row r="3886" spans="1:12">
      <c r="A3886" s="20" t="s">
        <v>757</v>
      </c>
      <c r="E3886" s="21">
        <f>IF(D3886="?OLD","!!!","")</f>
        <v/>
      </c>
      <c r="F3886" s="22" t="str">
        <f>IF(OR(E3886="",E3886="!!!"),"",IF(NOT(ISNA(VLOOKUP(E3886,E$1:E3885,1,FALSE()))),"OLD",IF(AND(E3886&lt;&gt;"",E3886&lt;&gt;"!!!"),"NEW","")))</f>
        <v> </v>
      </c>
      <c r="G3886" s="23" t="str">
        <f>IF(OR(E3886="",E3886="!!!"),"",IF(OR(J3886=0,AND(J3886=1,K3886=1),AND(J3886=1,I3886="SBJ"),AND(J3886=1,I3886=0)),"?IN_FOCUS",IF(J3886&lt;=2,"?ACTIVATED",IF(J3886&lt;&gt;"","?FAMILIAR",IF(F3886="NEW",IF(ISNA(VLOOKUP(E3886,#REF!,1,FALSE())),"?TYPE_IDENTIFIABLE","?REFERENTIAL"),"_")))))</f>
        <v> </v>
      </c>
      <c r="H3886" s="24" t="str">
        <f>IF(J3886&lt;&gt;1,"",IF(I3886="SBJ","CB","?"))</f>
        <v> </v>
      </c>
      <c r="I3886" s="25" t="str">
        <f>IF(OR(E3886="",E3886="!!!",F3886="NEW"),"",INDEX(B3885:B$2,-1+SUMPRODUCT(MAX(ROW(E3885:E$2)*(E3886=E3885:E$2)))))</f>
        <v> </v>
      </c>
      <c r="J3886" s="25" t="str">
        <f>IF(OR(E3886="",E3886="!!!",F3886="NEW"),"",COUNTBLANK(OFFSET(A$1,,,SUMPRODUCT(MAX(ROW(E$2:E3886)*(E3886=E$2:E3886)))))-COUNTBLANK(OFFSET(A$1,,,SUMPRODUCT(MAX(ROW(E$1:E3885)*(E2=E$1:E3885))))))</f>
        <v> </v>
      </c>
      <c r="K3886" s="25" t="str">
        <f>IF(OR(E3886="",E3886="!!!",F3886="NEW"),"",INDEX(J$1:J3885,SUMPRODUCT(MAX(ROW(E$1:E3885)*(E3886=E$1:E3885)))))</f>
        <v> </v>
      </c>
      <c r="L3886" s="26"/>
    </row>
    <row r="3887" spans="1:12">
      <c r="A3887" s="20" t="s">
        <v>1557</v>
      </c>
      <c r="B3887" s="27" t="s">
        <v>1272</v>
      </c>
      <c r="C3887" s="27" t="s">
        <v>797</v>
      </c>
      <c r="D3887" s="27" t="s">
        <v>762</v>
      </c>
      <c r="E3887" s="21">
        <f>IF(D3887="?OLD","!!!","")</f>
        <v/>
      </c>
      <c r="F3887" s="22" t="str">
        <f>IF(OR(E3887="",E3887="!!!"),"",IF(NOT(ISNA(VLOOKUP(E3887,E$1:E3886,1,FALSE()))),"OLD",IF(AND(E3887&lt;&gt;"",E3887&lt;&gt;"!!!"),"NEW","")))</f>
        <v> </v>
      </c>
      <c r="G3887" s="23" t="str">
        <f>IF(OR(E3887="",E3887="!!!"),"",IF(OR(J3887=0,AND(J3887=1,K3887=1),AND(J3887=1,I3887="SBJ"),AND(J3887=1,I3887=0)),"?IN_FOCUS",IF(J3887&lt;=2,"?ACTIVATED",IF(J3887&lt;&gt;"","?FAMILIAR",IF(F3887="NEW",IF(ISNA(VLOOKUP(E3887,#REF!,1,FALSE())),"?TYPE_IDENTIFIABLE","?REFERENTIAL"),"_")))))</f>
        <v> </v>
      </c>
      <c r="H3887" s="24" t="str">
        <f>IF(J3887&lt;&gt;1,"",IF(I3887="SBJ","CB","?"))</f>
        <v> </v>
      </c>
      <c r="I3887" s="25" t="str">
        <f>IF(OR(E3887="",E3887="!!!",F3887="NEW"),"",INDEX(B3886:B$2,-1+SUMPRODUCT(MAX(ROW(E3886:E$2)*(E3887=E3886:E$2)))))</f>
        <v> </v>
      </c>
      <c r="J3887" s="25" t="str">
        <f>IF(OR(E3887="",E3887="!!!",F3887="NEW"),"",COUNTBLANK(OFFSET(A$1,,,SUMPRODUCT(MAX(ROW(E$2:E3887)*(E3887=E$2:E3887)))))-COUNTBLANK(OFFSET(A$1,,,SUMPRODUCT(MAX(ROW(E$1:E3886)*(E2=E$1:E3886))))))</f>
        <v> </v>
      </c>
      <c r="K3887" s="25" t="str">
        <f>IF(OR(E3887="",E3887="!!!",F3887="NEW"),"",INDEX(J$1:J3886,SUMPRODUCT(MAX(ROW(E$1:E3886)*(E3887=E$1:E3886)))))</f>
        <v> </v>
      </c>
      <c r="L3887" s="26"/>
    </row>
    <row r="3888" spans="1:12">
      <c r="A3888" s="20" t="s">
        <v>1871</v>
      </c>
      <c r="E3888" s="21">
        <f>IF(D3888="?OLD","!!!","")</f>
        <v/>
      </c>
      <c r="F3888" s="22" t="str">
        <f>IF(OR(E3888="",E3888="!!!"),"",IF(NOT(ISNA(VLOOKUP(E3888,E$1:E3887,1,FALSE()))),"OLD",IF(AND(E3888&lt;&gt;"",E3888&lt;&gt;"!!!"),"NEW","")))</f>
        <v> </v>
      </c>
      <c r="G3888" s="23" t="str">
        <f>IF(OR(E3888="",E3888="!!!"),"",IF(OR(J3888=0,AND(J3888=1,K3888=1),AND(J3888=1,I3888="SBJ"),AND(J3888=1,I3888=0)),"?IN_FOCUS",IF(J3888&lt;=2,"?ACTIVATED",IF(J3888&lt;&gt;"","?FAMILIAR",IF(F3888="NEW",IF(ISNA(VLOOKUP(E3888,#REF!,1,FALSE())),"?TYPE_IDENTIFIABLE","?REFERENTIAL"),"_")))))</f>
        <v> </v>
      </c>
      <c r="H3888" s="24" t="str">
        <f>IF(J3888&lt;&gt;1,"",IF(I3888="SBJ","CB","?"))</f>
        <v> </v>
      </c>
      <c r="I3888" s="25" t="str">
        <f>IF(OR(E3888="",E3888="!!!",F3888="NEW"),"",INDEX(B3887:B$2,-1+SUMPRODUCT(MAX(ROW(E3887:E$2)*(E3888=E3887:E$2)))))</f>
        <v> </v>
      </c>
      <c r="J3888" s="25" t="str">
        <f>IF(OR(E3888="",E3888="!!!",F3888="NEW"),"",COUNTBLANK(OFFSET(A$1,,,SUMPRODUCT(MAX(ROW(E$2:E3888)*(E3888=E$2:E3888)))))-COUNTBLANK(OFFSET(A$1,,,SUMPRODUCT(MAX(ROW(E$1:E3887)*(E2=E$1:E3887))))))</f>
        <v> </v>
      </c>
      <c r="K3888" s="25" t="str">
        <f>IF(OR(E3888="",E3888="!!!",F3888="NEW"),"",INDEX(J$1:J3887,SUMPRODUCT(MAX(ROW(E$1:E3887)*(E3888=E$1:E3887)))))</f>
        <v> </v>
      </c>
      <c r="L3888" s="26"/>
    </row>
    <row r="3889" spans="1:12">
      <c r="A3889" s="20" t="s">
        <v>1872</v>
      </c>
      <c r="B3889" s="27" t="s">
        <v>1062</v>
      </c>
      <c r="C3889" s="27" t="s">
        <v>851</v>
      </c>
      <c r="D3889" s="27" t="s">
        <v>762</v>
      </c>
      <c r="E3889" s="21">
        <f>IF(D3889="?OLD","!!!","")</f>
        <v/>
      </c>
      <c r="F3889" s="22" t="str">
        <f>IF(OR(E3889="",E3889="!!!"),"",IF(NOT(ISNA(VLOOKUP(E3889,E$1:E3888,1,FALSE()))),"OLD",IF(AND(E3889&lt;&gt;"",E3889&lt;&gt;"!!!"),"NEW","")))</f>
        <v> </v>
      </c>
      <c r="G3889" s="23" t="str">
        <f>IF(OR(E3889="",E3889="!!!"),"",IF(OR(J3889=0,AND(J3889=1,K3889=1),AND(J3889=1,I3889="SBJ"),AND(J3889=1,I3889=0)),"?IN_FOCUS",IF(J3889&lt;=2,"?ACTIVATED",IF(J3889&lt;&gt;"","?FAMILIAR",IF(F3889="NEW",IF(ISNA(VLOOKUP(E3889,#REF!,1,FALSE())),"?TYPE_IDENTIFIABLE","?REFERENTIAL"),"_")))))</f>
        <v> </v>
      </c>
      <c r="H3889" s="24" t="str">
        <f>IF(J3889&lt;&gt;1,"",IF(I3889="SBJ","CB","?"))</f>
        <v> </v>
      </c>
      <c r="I3889" s="25" t="str">
        <f>IF(OR(E3889="",E3889="!!!",F3889="NEW"),"",INDEX(B3888:B$2,-1+SUMPRODUCT(MAX(ROW(E3888:E$2)*(E3889=E3888:E$2)))))</f>
        <v> </v>
      </c>
      <c r="J3889" s="25" t="str">
        <f>IF(OR(E3889="",E3889="!!!",F3889="NEW"),"",COUNTBLANK(OFFSET(A$1,,,SUMPRODUCT(MAX(ROW(E$2:E3889)*(E3889=E$2:E3889)))))-COUNTBLANK(OFFSET(A$1,,,SUMPRODUCT(MAX(ROW(E$1:E3888)*(E2=E$1:E3888))))))</f>
        <v> </v>
      </c>
      <c r="K3889" s="25" t="str">
        <f>IF(OR(E3889="",E3889="!!!",F3889="NEW"),"",INDEX(J$1:J3888,SUMPRODUCT(MAX(ROW(E$1:E3888)*(E3889=E$1:E3888)))))</f>
        <v> </v>
      </c>
      <c r="L3889" s="26"/>
    </row>
    <row r="3890" spans="1:12">
      <c r="A3890" s="20" t="s">
        <v>943</v>
      </c>
      <c r="B3890" s="27" t="s">
        <v>1076</v>
      </c>
      <c r="C3890" s="27" t="s">
        <v>837</v>
      </c>
      <c r="D3890" s="27" t="s">
        <v>762</v>
      </c>
      <c r="E3890" s="21">
        <f>IF(D3890="?OLD","!!!","")</f>
        <v/>
      </c>
      <c r="F3890" s="22" t="str">
        <f>IF(OR(E3890="",E3890="!!!"),"",IF(NOT(ISNA(VLOOKUP(E3890,E$1:E3889,1,FALSE()))),"OLD",IF(AND(E3890&lt;&gt;"",E3890&lt;&gt;"!!!"),"NEW","")))</f>
        <v> </v>
      </c>
      <c r="G3890" s="23" t="str">
        <f>IF(OR(E3890="",E3890="!!!"),"",IF(OR(J3890=0,AND(J3890=1,K3890=1),AND(J3890=1,I3890="SBJ"),AND(J3890=1,I3890=0)),"?IN_FOCUS",IF(J3890&lt;=2,"?ACTIVATED",IF(J3890&lt;&gt;"","?FAMILIAR",IF(F3890="NEW",IF(ISNA(VLOOKUP(E3890,#REF!,1,FALSE())),"?TYPE_IDENTIFIABLE","?REFERENTIAL"),"_")))))</f>
        <v> </v>
      </c>
      <c r="H3890" s="24" t="str">
        <f>IF(J3890&lt;&gt;1,"",IF(I3890="SBJ","CB","?"))</f>
        <v> </v>
      </c>
      <c r="I3890" s="25" t="str">
        <f>IF(OR(E3890="",E3890="!!!",F3890="NEW"),"",INDEX(B3889:B$2,-1+SUMPRODUCT(MAX(ROW(E3889:E$2)*(E3890=E3889:E$2)))))</f>
        <v> </v>
      </c>
      <c r="J3890" s="25" t="str">
        <f>IF(OR(E3890="",E3890="!!!",F3890="NEW"),"",COUNTBLANK(OFFSET(A$1,,,SUMPRODUCT(MAX(ROW(E$2:E3890)*(E3890=E$2:E3890)))))-COUNTBLANK(OFFSET(A$1,,,SUMPRODUCT(MAX(ROW(E$1:E3889)*(E2=E$1:E3889))))))</f>
        <v> </v>
      </c>
      <c r="K3890" s="25" t="str">
        <f>IF(OR(E3890="",E3890="!!!",F3890="NEW"),"",INDEX(J$1:J3889,SUMPRODUCT(MAX(ROW(E$1:E3889)*(E3890=E$1:E3889)))))</f>
        <v> </v>
      </c>
      <c r="L3890" s="26"/>
    </row>
    <row r="3891" spans="1:12">
      <c r="A3891" s="20" t="s">
        <v>810</v>
      </c>
      <c r="E3891" s="21">
        <f>IF(D3891="?OLD","!!!","")</f>
        <v/>
      </c>
      <c r="F3891" s="22" t="str">
        <f>IF(OR(E3891="",E3891="!!!"),"",IF(NOT(ISNA(VLOOKUP(E3891,E$1:E3890,1,FALSE()))),"OLD",IF(AND(E3891&lt;&gt;"",E3891&lt;&gt;"!!!"),"NEW","")))</f>
        <v> </v>
      </c>
      <c r="G3891" s="23" t="str">
        <f>IF(OR(E3891="",E3891="!!!"),"",IF(OR(J3891=0,AND(J3891=1,K3891=1),AND(J3891=1,I3891="SBJ"),AND(J3891=1,I3891=0)),"?IN_FOCUS",IF(J3891&lt;=2,"?ACTIVATED",IF(J3891&lt;&gt;"","?FAMILIAR",IF(F3891="NEW",IF(ISNA(VLOOKUP(E3891,#REF!,1,FALSE())),"?TYPE_IDENTIFIABLE","?REFERENTIAL"),"_")))))</f>
        <v> </v>
      </c>
      <c r="H3891" s="24" t="str">
        <f>IF(J3891&lt;&gt;1,"",IF(I3891="SBJ","CB","?"))</f>
        <v> </v>
      </c>
      <c r="I3891" s="25" t="str">
        <f>IF(OR(E3891="",E3891="!!!",F3891="NEW"),"",INDEX(B3890:B$2,-1+SUMPRODUCT(MAX(ROW(E3890:E$2)*(E3891=E3890:E$2)))))</f>
        <v> </v>
      </c>
      <c r="J3891" s="25" t="str">
        <f>IF(OR(E3891="",E3891="!!!",F3891="NEW"),"",COUNTBLANK(OFFSET(A$1,,,SUMPRODUCT(MAX(ROW(E$2:E3891)*(E3891=E$2:E3891)))))-COUNTBLANK(OFFSET(A$1,,,SUMPRODUCT(MAX(ROW(E$1:E3890)*(E2=E$1:E3890))))))</f>
        <v> </v>
      </c>
      <c r="K3891" s="25" t="str">
        <f>IF(OR(E3891="",E3891="!!!",F3891="NEW"),"",INDEX(J$1:J3890,SUMPRODUCT(MAX(ROW(E$1:E3890)*(E3891=E$1:E3890)))))</f>
        <v> </v>
      </c>
      <c r="L3891" s="26"/>
    </row>
    <row r="3892" spans="1:12">
      <c r="A3892" s="20" t="s">
        <v>1557</v>
      </c>
      <c r="B3892" s="27" t="s">
        <v>1080</v>
      </c>
      <c r="C3892" s="27" t="s">
        <v>797</v>
      </c>
      <c r="D3892" s="27" t="s">
        <v>762</v>
      </c>
      <c r="E3892" s="21">
        <f>IF(D3892="?OLD","!!!","")</f>
        <v/>
      </c>
      <c r="F3892" s="22" t="str">
        <f>IF(OR(E3892="",E3892="!!!"),"",IF(NOT(ISNA(VLOOKUP(E3892,E$1:E3891,1,FALSE()))),"OLD",IF(AND(E3892&lt;&gt;"",E3892&lt;&gt;"!!!"),"NEW","")))</f>
        <v> </v>
      </c>
      <c r="G3892" s="23" t="str">
        <f>IF(OR(E3892="",E3892="!!!"),"",IF(OR(J3892=0,AND(J3892=1,K3892=1),AND(J3892=1,I3892="SBJ"),AND(J3892=1,I3892=0)),"?IN_FOCUS",IF(J3892&lt;=2,"?ACTIVATED",IF(J3892&lt;&gt;"","?FAMILIAR",IF(F3892="NEW",IF(ISNA(VLOOKUP(E3892,#REF!,1,FALSE())),"?TYPE_IDENTIFIABLE","?REFERENTIAL"),"_")))))</f>
        <v> </v>
      </c>
      <c r="H3892" s="24" t="str">
        <f>IF(J3892&lt;&gt;1,"",IF(I3892="SBJ","CB","?"))</f>
        <v> </v>
      </c>
      <c r="I3892" s="25" t="str">
        <f>IF(OR(E3892="",E3892="!!!",F3892="NEW"),"",INDEX(B3891:B$2,-1+SUMPRODUCT(MAX(ROW(E3891:E$2)*(E3892=E3891:E$2)))))</f>
        <v> </v>
      </c>
      <c r="J3892" s="25" t="str">
        <f>IF(OR(E3892="",E3892="!!!",F3892="NEW"),"",COUNTBLANK(OFFSET(A$1,,,SUMPRODUCT(MAX(ROW(E$2:E3892)*(E3892=E$2:E3892)))))-COUNTBLANK(OFFSET(A$1,,,SUMPRODUCT(MAX(ROW(E$1:E3891)*(E2=E$1:E3891))))))</f>
        <v> </v>
      </c>
      <c r="K3892" s="25" t="str">
        <f>IF(OR(E3892="",E3892="!!!",F3892="NEW"),"",INDEX(J$1:J3891,SUMPRODUCT(MAX(ROW(E$1:E3891)*(E3892=E$1:E3891)))))</f>
        <v> </v>
      </c>
      <c r="L3892" s="26"/>
    </row>
    <row r="3893" spans="1:12">
      <c r="A3893" s="20" t="s">
        <v>1557</v>
      </c>
      <c r="B3893" s="27" t="s">
        <v>1236</v>
      </c>
      <c r="C3893" s="27" t="s">
        <v>797</v>
      </c>
      <c r="D3893" s="27" t="s">
        <v>762</v>
      </c>
      <c r="E3893" s="21">
        <f>IF(D3893="?OLD","!!!","")</f>
        <v/>
      </c>
      <c r="F3893" s="22" t="str">
        <f>IF(OR(E3893="",E3893="!!!"),"",IF(NOT(ISNA(VLOOKUP(E3893,E$1:E3892,1,FALSE()))),"OLD",IF(AND(E3893&lt;&gt;"",E3893&lt;&gt;"!!!"),"NEW","")))</f>
        <v> </v>
      </c>
      <c r="G3893" s="23" t="str">
        <f>IF(OR(E3893="",E3893="!!!"),"",IF(OR(J3893=0,AND(J3893=1,K3893=1),AND(J3893=1,I3893="SBJ"),AND(J3893=1,I3893=0)),"?IN_FOCUS",IF(J3893&lt;=2,"?ACTIVATED",IF(J3893&lt;&gt;"","?FAMILIAR",IF(F3893="NEW",IF(ISNA(VLOOKUP(E3893,#REF!,1,FALSE())),"?TYPE_IDENTIFIABLE","?REFERENTIAL"),"_")))))</f>
        <v> </v>
      </c>
      <c r="H3893" s="24" t="str">
        <f>IF(J3893&lt;&gt;1,"",IF(I3893="SBJ","CB","?"))</f>
        <v> </v>
      </c>
      <c r="I3893" s="25" t="str">
        <f>IF(OR(E3893="",E3893="!!!",F3893="NEW"),"",INDEX(B3892:B$2,-1+SUMPRODUCT(MAX(ROW(E3892:E$2)*(E3893=E3892:E$2)))))</f>
        <v> </v>
      </c>
      <c r="J3893" s="25" t="str">
        <f>IF(OR(E3893="",E3893="!!!",F3893="NEW"),"",COUNTBLANK(OFFSET(A$1,,,SUMPRODUCT(MAX(ROW(E$2:E3893)*(E3893=E$2:E3893)))))-COUNTBLANK(OFFSET(A$1,,,SUMPRODUCT(MAX(ROW(E$1:E3892)*(E2=E$1:E3892))))))</f>
        <v> </v>
      </c>
      <c r="K3893" s="25" t="str">
        <f>IF(OR(E3893="",E3893="!!!",F3893="NEW"),"",INDEX(J$1:J3892,SUMPRODUCT(MAX(ROW(E$1:E3892)*(E3893=E$1:E3892)))))</f>
        <v> </v>
      </c>
      <c r="L3893" s="26"/>
    </row>
    <row r="3894" spans="1:12">
      <c r="A3894" s="20" t="s">
        <v>1873</v>
      </c>
      <c r="E3894" s="21">
        <f>IF(D3894="?OLD","!!!","")</f>
        <v/>
      </c>
      <c r="F3894" s="22" t="str">
        <f>IF(OR(E3894="",E3894="!!!"),"",IF(NOT(ISNA(VLOOKUP(E3894,E$1:E3893,1,FALSE()))),"OLD",IF(AND(E3894&lt;&gt;"",E3894&lt;&gt;"!!!"),"NEW","")))</f>
        <v> </v>
      </c>
      <c r="G3894" s="23" t="str">
        <f>IF(OR(E3894="",E3894="!!!"),"",IF(OR(J3894=0,AND(J3894=1,K3894=1),AND(J3894=1,I3894="SBJ"),AND(J3894=1,I3894=0)),"?IN_FOCUS",IF(J3894&lt;=2,"?ACTIVATED",IF(J3894&lt;&gt;"","?FAMILIAR",IF(F3894="NEW",IF(ISNA(VLOOKUP(E3894,#REF!,1,FALSE())),"?TYPE_IDENTIFIABLE","?REFERENTIAL"),"_")))))</f>
        <v> </v>
      </c>
      <c r="H3894" s="24" t="str">
        <f>IF(J3894&lt;&gt;1,"",IF(I3894="SBJ","CB","?"))</f>
        <v> </v>
      </c>
      <c r="I3894" s="25" t="str">
        <f>IF(OR(E3894="",E3894="!!!",F3894="NEW"),"",INDEX(B3893:B$2,-1+SUMPRODUCT(MAX(ROW(E3893:E$2)*(E3894=E3893:E$2)))))</f>
        <v> </v>
      </c>
      <c r="J3894" s="25" t="str">
        <f>IF(OR(E3894="",E3894="!!!",F3894="NEW"),"",COUNTBLANK(OFFSET(A$1,,,SUMPRODUCT(MAX(ROW(E$2:E3894)*(E3894=E$2:E3894)))))-COUNTBLANK(OFFSET(A$1,,,SUMPRODUCT(MAX(ROW(E$1:E3893)*(E2=E$1:E3893))))))</f>
        <v> </v>
      </c>
      <c r="K3894" s="25" t="str">
        <f>IF(OR(E3894="",E3894="!!!",F3894="NEW"),"",INDEX(J$1:J3893,SUMPRODUCT(MAX(ROW(E$1:E3893)*(E3894=E$1:E3893)))))</f>
        <v> </v>
      </c>
      <c r="L3894" s="26"/>
    </row>
    <row r="3895" spans="1:12">
      <c r="A3895" s="20" t="s">
        <v>757</v>
      </c>
      <c r="E3895" s="21">
        <f>IF(D3895="?OLD","!!!","")</f>
        <v/>
      </c>
      <c r="F3895" s="22" t="str">
        <f>IF(OR(E3895="",E3895="!!!"),"",IF(NOT(ISNA(VLOOKUP(E3895,E$1:E3894,1,FALSE()))),"OLD",IF(AND(E3895&lt;&gt;"",E3895&lt;&gt;"!!!"),"NEW","")))</f>
        <v> </v>
      </c>
      <c r="G3895" s="23" t="str">
        <f>IF(OR(E3895="",E3895="!!!"),"",IF(OR(J3895=0,AND(J3895=1,K3895=1),AND(J3895=1,I3895="SBJ"),AND(J3895=1,I3895=0)),"?IN_FOCUS",IF(J3895&lt;=2,"?ACTIVATED",IF(J3895&lt;&gt;"","?FAMILIAR",IF(F3895="NEW",IF(ISNA(VLOOKUP(E3895,#REF!,1,FALSE())),"?TYPE_IDENTIFIABLE","?REFERENTIAL"),"_")))))</f>
        <v> </v>
      </c>
      <c r="H3895" s="24" t="str">
        <f>IF(J3895&lt;&gt;1,"",IF(I3895="SBJ","CB","?"))</f>
        <v> </v>
      </c>
      <c r="I3895" s="25" t="str">
        <f>IF(OR(E3895="",E3895="!!!",F3895="NEW"),"",INDEX(B3894:B$2,-1+SUMPRODUCT(MAX(ROW(E3894:E$2)*(E3895=E3894:E$2)))))</f>
        <v> </v>
      </c>
      <c r="J3895" s="25" t="str">
        <f>IF(OR(E3895="",E3895="!!!",F3895="NEW"),"",COUNTBLANK(OFFSET(A$1,,,SUMPRODUCT(MAX(ROW(E$2:E3895)*(E3895=E$2:E3895)))))-COUNTBLANK(OFFSET(A$1,,,SUMPRODUCT(MAX(ROW(E$1:E3894)*(E2=E$1:E3894))))))</f>
        <v> </v>
      </c>
      <c r="K3895" s="25" t="str">
        <f>IF(OR(E3895="",E3895="!!!",F3895="NEW"),"",INDEX(J$1:J3894,SUMPRODUCT(MAX(ROW(E$1:E3894)*(E3895=E$1:E3894)))))</f>
        <v> </v>
      </c>
      <c r="L3895" s="26"/>
    </row>
    <row r="3896" spans="1:12">
      <c r="A3896" s="20" t="s">
        <v>805</v>
      </c>
      <c r="E3896" s="21">
        <f>IF(D3896="?OLD","!!!","")</f>
        <v/>
      </c>
      <c r="F3896" s="22" t="str">
        <f>IF(OR(E3896="",E3896="!!!"),"",IF(NOT(ISNA(VLOOKUP(E3896,E$1:E3895,1,FALSE()))),"OLD",IF(AND(E3896&lt;&gt;"",E3896&lt;&gt;"!!!"),"NEW","")))</f>
        <v> </v>
      </c>
      <c r="G3896" s="23" t="str">
        <f>IF(OR(E3896="",E3896="!!!"),"",IF(OR(J3896=0,AND(J3896=1,K3896=1),AND(J3896=1,I3896="SBJ"),AND(J3896=1,I3896=0)),"?IN_FOCUS",IF(J3896&lt;=2,"?ACTIVATED",IF(J3896&lt;&gt;"","?FAMILIAR",IF(F3896="NEW",IF(ISNA(VLOOKUP(E3896,#REF!,1,FALSE())),"?TYPE_IDENTIFIABLE","?REFERENTIAL"),"_")))))</f>
        <v> </v>
      </c>
      <c r="H3896" s="24" t="str">
        <f>IF(J3896&lt;&gt;1,"",IF(I3896="SBJ","CB","?"))</f>
        <v> </v>
      </c>
      <c r="I3896" s="25" t="str">
        <f>IF(OR(E3896="",E3896="!!!",F3896="NEW"),"",INDEX(B3895:B$2,-1+SUMPRODUCT(MAX(ROW(E3895:E$2)*(E3896=E3895:E$2)))))</f>
        <v> </v>
      </c>
      <c r="J3896" s="25" t="str">
        <f>IF(OR(E3896="",E3896="!!!",F3896="NEW"),"",COUNTBLANK(OFFSET(A$1,,,SUMPRODUCT(MAX(ROW(E$2:E3896)*(E3896=E$2:E3896)))))-COUNTBLANK(OFFSET(A$1,,,SUMPRODUCT(MAX(ROW(E$1:E3895)*(E2=E$1:E3895))))))</f>
        <v> </v>
      </c>
      <c r="K3896" s="25" t="str">
        <f>IF(OR(E3896="",E3896="!!!",F3896="NEW"),"",INDEX(J$1:J3895,SUMPRODUCT(MAX(ROW(E$1:E3895)*(E3896=E$1:E3895)))))</f>
        <v> </v>
      </c>
      <c r="L3896" s="26"/>
    </row>
    <row r="3897" spans="1:12">
      <c r="A3897" s="20" t="s">
        <v>1050</v>
      </c>
      <c r="E3897" s="21">
        <f>IF(D3897="?OLD","!!!","")</f>
        <v/>
      </c>
      <c r="F3897" s="22" t="str">
        <f>IF(OR(E3897="",E3897="!!!"),"",IF(NOT(ISNA(VLOOKUP(E3897,E$1:E3896,1,FALSE()))),"OLD",IF(AND(E3897&lt;&gt;"",E3897&lt;&gt;"!!!"),"NEW","")))</f>
        <v> </v>
      </c>
      <c r="G3897" s="23" t="str">
        <f>IF(OR(E3897="",E3897="!!!"),"",IF(OR(J3897=0,AND(J3897=1,K3897=1),AND(J3897=1,I3897="SBJ"),AND(J3897=1,I3897=0)),"?IN_FOCUS",IF(J3897&lt;=2,"?ACTIVATED",IF(J3897&lt;&gt;"","?FAMILIAR",IF(F3897="NEW",IF(ISNA(VLOOKUP(E3897,#REF!,1,FALSE())),"?TYPE_IDENTIFIABLE","?REFERENTIAL"),"_")))))</f>
        <v> </v>
      </c>
      <c r="H3897" s="24" t="str">
        <f>IF(J3897&lt;&gt;1,"",IF(I3897="SBJ","CB","?"))</f>
        <v> </v>
      </c>
      <c r="I3897" s="25" t="str">
        <f>IF(OR(E3897="",E3897="!!!",F3897="NEW"),"",INDEX(B3896:B$2,-1+SUMPRODUCT(MAX(ROW(E3896:E$2)*(E3897=E3896:E$2)))))</f>
        <v> </v>
      </c>
      <c r="J3897" s="25" t="str">
        <f>IF(OR(E3897="",E3897="!!!",F3897="NEW"),"",COUNTBLANK(OFFSET(A$1,,,SUMPRODUCT(MAX(ROW(E$2:E3897)*(E3897=E$2:E3897)))))-COUNTBLANK(OFFSET(A$1,,,SUMPRODUCT(MAX(ROW(E$1:E3896)*(E2=E$1:E3896))))))</f>
        <v> </v>
      </c>
      <c r="K3897" s="25" t="str">
        <f>IF(OR(E3897="",E3897="!!!",F3897="NEW"),"",INDEX(J$1:J3896,SUMPRODUCT(MAX(ROW(E$1:E3896)*(E3897=E$1:E3896)))))</f>
        <v> </v>
      </c>
      <c r="L3897" s="26"/>
    </row>
    <row r="3898" spans="1:12">
      <c r="A3898" s="20" t="s">
        <v>778</v>
      </c>
      <c r="E3898" s="21">
        <f>IF(D3898="?OLD","!!!","")</f>
        <v/>
      </c>
      <c r="F3898" s="22" t="str">
        <f>IF(OR(E3898="",E3898="!!!"),"",IF(NOT(ISNA(VLOOKUP(E3898,E$1:E3897,1,FALSE()))),"OLD",IF(AND(E3898&lt;&gt;"",E3898&lt;&gt;"!!!"),"NEW","")))</f>
        <v> </v>
      </c>
      <c r="G3898" s="23" t="str">
        <f>IF(OR(E3898="",E3898="!!!"),"",IF(OR(J3898=0,AND(J3898=1,K3898=1),AND(J3898=1,I3898="SBJ"),AND(J3898=1,I3898=0)),"?IN_FOCUS",IF(J3898&lt;=2,"?ACTIVATED",IF(J3898&lt;&gt;"","?FAMILIAR",IF(F3898="NEW",IF(ISNA(VLOOKUP(E3898,#REF!,1,FALSE())),"?TYPE_IDENTIFIABLE","?REFERENTIAL"),"_")))))</f>
        <v> </v>
      </c>
      <c r="H3898" s="24" t="str">
        <f>IF(J3898&lt;&gt;1,"",IF(I3898="SBJ","CB","?"))</f>
        <v> </v>
      </c>
      <c r="I3898" s="25" t="str">
        <f>IF(OR(E3898="",E3898="!!!",F3898="NEW"),"",INDEX(B3897:B$2,-1+SUMPRODUCT(MAX(ROW(E3897:E$2)*(E3898=E3897:E$2)))))</f>
        <v> </v>
      </c>
      <c r="J3898" s="25" t="str">
        <f>IF(OR(E3898="",E3898="!!!",F3898="NEW"),"",COUNTBLANK(OFFSET(A$1,,,SUMPRODUCT(MAX(ROW(E$2:E3898)*(E3898=E$2:E3898)))))-COUNTBLANK(OFFSET(A$1,,,SUMPRODUCT(MAX(ROW(E$1:E3897)*(E2=E$1:E3897))))))</f>
        <v> </v>
      </c>
      <c r="K3898" s="25" t="str">
        <f>IF(OR(E3898="",E3898="!!!",F3898="NEW"),"",INDEX(J$1:J3897,SUMPRODUCT(MAX(ROW(E$1:E3897)*(E3898=E$1:E3897)))))</f>
        <v> </v>
      </c>
      <c r="L3898" s="26"/>
    </row>
    <row r="3899" spans="1:12">
      <c r="A3899" s="20" t="s">
        <v>1419</v>
      </c>
      <c r="B3899" s="27" t="s">
        <v>1172</v>
      </c>
      <c r="C3899" s="27" t="s">
        <v>777</v>
      </c>
      <c r="D3899" s="27" t="s">
        <v>762</v>
      </c>
      <c r="E3899" s="21">
        <f>IF(D3899="?OLD","!!!","")</f>
        <v/>
      </c>
      <c r="F3899" s="22" t="str">
        <f>IF(OR(E3899="",E3899="!!!"),"",IF(NOT(ISNA(VLOOKUP(E3899,E$1:E3898,1,FALSE()))),"OLD",IF(AND(E3899&lt;&gt;"",E3899&lt;&gt;"!!!"),"NEW","")))</f>
        <v> </v>
      </c>
      <c r="G3899" s="23" t="str">
        <f>IF(OR(E3899="",E3899="!!!"),"",IF(OR(J3899=0,AND(J3899=1,K3899=1),AND(J3899=1,I3899="SBJ"),AND(J3899=1,I3899=0)),"?IN_FOCUS",IF(J3899&lt;=2,"?ACTIVATED",IF(J3899&lt;&gt;"","?FAMILIAR",IF(F3899="NEW",IF(ISNA(VLOOKUP(E3899,#REF!,1,FALSE())),"?TYPE_IDENTIFIABLE","?REFERENTIAL"),"_")))))</f>
        <v> </v>
      </c>
      <c r="H3899" s="24" t="str">
        <f>IF(J3899&lt;&gt;1,"",IF(I3899="SBJ","CB","?"))</f>
        <v> </v>
      </c>
      <c r="I3899" s="25" t="str">
        <f>IF(OR(E3899="",E3899="!!!",F3899="NEW"),"",INDEX(B3898:B$2,-1+SUMPRODUCT(MAX(ROW(E3898:E$2)*(E3899=E3898:E$2)))))</f>
        <v> </v>
      </c>
      <c r="J3899" s="25" t="str">
        <f>IF(OR(E3899="",E3899="!!!",F3899="NEW"),"",COUNTBLANK(OFFSET(A$1,,,SUMPRODUCT(MAX(ROW(E$2:E3899)*(E3899=E$2:E3899)))))-COUNTBLANK(OFFSET(A$1,,,SUMPRODUCT(MAX(ROW(E$1:E3898)*(E2=E$1:E3898))))))</f>
        <v> </v>
      </c>
      <c r="K3899" s="25" t="str">
        <f>IF(OR(E3899="",E3899="!!!",F3899="NEW"),"",INDEX(J$1:J3898,SUMPRODUCT(MAX(ROW(E$1:E3898)*(E3899=E$1:E3898)))))</f>
        <v> </v>
      </c>
      <c r="L3899" s="26"/>
    </row>
    <row r="3900" spans="1:12">
      <c r="A3900" s="20" t="s">
        <v>793</v>
      </c>
      <c r="E3900" s="21">
        <f>IF(D3900="?OLD","!!!","")</f>
        <v/>
      </c>
      <c r="F3900" s="22" t="str">
        <f>IF(OR(E3900="",E3900="!!!"),"",IF(NOT(ISNA(VLOOKUP(E3900,E$1:E3899,1,FALSE()))),"OLD",IF(AND(E3900&lt;&gt;"",E3900&lt;&gt;"!!!"),"NEW","")))</f>
        <v> </v>
      </c>
      <c r="G3900" s="23" t="str">
        <f>IF(OR(E3900="",E3900="!!!"),"",IF(OR(J3900=0,AND(J3900=1,K3900=1),AND(J3900=1,I3900="SBJ"),AND(J3900=1,I3900=0)),"?IN_FOCUS",IF(J3900&lt;=2,"?ACTIVATED",IF(J3900&lt;&gt;"","?FAMILIAR",IF(F3900="NEW",IF(ISNA(VLOOKUP(E3900,#REF!,1,FALSE())),"?TYPE_IDENTIFIABLE","?REFERENTIAL"),"_")))))</f>
        <v> </v>
      </c>
      <c r="H3900" s="24" t="str">
        <f>IF(J3900&lt;&gt;1,"",IF(I3900="SBJ","CB","?"))</f>
        <v> </v>
      </c>
      <c r="I3900" s="25" t="str">
        <f>IF(OR(E3900="",E3900="!!!",F3900="NEW"),"",INDEX(B3899:B$2,-1+SUMPRODUCT(MAX(ROW(E3899:E$2)*(E3900=E3899:E$2)))))</f>
        <v> </v>
      </c>
      <c r="J3900" s="25" t="str">
        <f>IF(OR(E3900="",E3900="!!!",F3900="NEW"),"",COUNTBLANK(OFFSET(A$1,,,SUMPRODUCT(MAX(ROW(E$2:E3900)*(E3900=E$2:E3900)))))-COUNTBLANK(OFFSET(A$1,,,SUMPRODUCT(MAX(ROW(E$1:E3899)*(E2=E$1:E3899))))))</f>
        <v> </v>
      </c>
      <c r="K3900" s="25" t="str">
        <f>IF(OR(E3900="",E3900="!!!",F3900="NEW"),"",INDEX(J$1:J3899,SUMPRODUCT(MAX(ROW(E$1:E3899)*(E3900=E$1:E3899)))))</f>
        <v> </v>
      </c>
      <c r="L3900" s="26"/>
    </row>
    <row r="3901" spans="1:12">
      <c r="A3901" s="20" t="s">
        <v>950</v>
      </c>
      <c r="B3901" s="27" t="s">
        <v>1063</v>
      </c>
      <c r="C3901" s="27" t="s">
        <v>797</v>
      </c>
      <c r="D3901" s="27" t="s">
        <v>762</v>
      </c>
      <c r="E3901" s="21">
        <f>IF(D3901="?OLD","!!!","")</f>
        <v/>
      </c>
      <c r="F3901" s="22" t="str">
        <f>IF(OR(E3901="",E3901="!!!"),"",IF(NOT(ISNA(VLOOKUP(E3901,E$1:E3900,1,FALSE()))),"OLD",IF(AND(E3901&lt;&gt;"",E3901&lt;&gt;"!!!"),"NEW","")))</f>
        <v> </v>
      </c>
      <c r="G3901" s="23" t="str">
        <f>IF(OR(E3901="",E3901="!!!"),"",IF(OR(J3901=0,AND(J3901=1,K3901=1),AND(J3901=1,I3901="SBJ"),AND(J3901=1,I3901=0)),"?IN_FOCUS",IF(J3901&lt;=2,"?ACTIVATED",IF(J3901&lt;&gt;"","?FAMILIAR",IF(F3901="NEW",IF(ISNA(VLOOKUP(E3901,#REF!,1,FALSE())),"?TYPE_IDENTIFIABLE","?REFERENTIAL"),"_")))))</f>
        <v> </v>
      </c>
      <c r="H3901" s="24" t="str">
        <f>IF(J3901&lt;&gt;1,"",IF(I3901="SBJ","CB","?"))</f>
        <v> </v>
      </c>
      <c r="I3901" s="25" t="str">
        <f>IF(OR(E3901="",E3901="!!!",F3901="NEW"),"",INDEX(B3900:B$2,-1+SUMPRODUCT(MAX(ROW(E3900:E$2)*(E3901=E3900:E$2)))))</f>
        <v> </v>
      </c>
      <c r="J3901" s="25" t="str">
        <f>IF(OR(E3901="",E3901="!!!",F3901="NEW"),"",COUNTBLANK(OFFSET(A$1,,,SUMPRODUCT(MAX(ROW(E$2:E3901)*(E3901=E$2:E3901)))))-COUNTBLANK(OFFSET(A$1,,,SUMPRODUCT(MAX(ROW(E$1:E3900)*(E2=E$1:E3900))))))</f>
        <v> </v>
      </c>
      <c r="K3901" s="25" t="str">
        <f>IF(OR(E3901="",E3901="!!!",F3901="NEW"),"",INDEX(J$1:J3900,SUMPRODUCT(MAX(ROW(E$1:E3900)*(E3901=E$1:E3900)))))</f>
        <v> </v>
      </c>
      <c r="L3901" s="26"/>
    </row>
    <row r="3902" spans="1:12">
      <c r="A3902" s="20" t="s">
        <v>1677</v>
      </c>
      <c r="E3902" s="21">
        <f>IF(D3902="?OLD","!!!","")</f>
        <v/>
      </c>
      <c r="F3902" s="22" t="str">
        <f>IF(OR(E3902="",E3902="!!!"),"",IF(NOT(ISNA(VLOOKUP(E3902,E$1:E3901,1,FALSE()))),"OLD",IF(AND(E3902&lt;&gt;"",E3902&lt;&gt;"!!!"),"NEW","")))</f>
        <v> </v>
      </c>
      <c r="G3902" s="23" t="str">
        <f>IF(OR(E3902="",E3902="!!!"),"",IF(OR(J3902=0,AND(J3902=1,K3902=1),AND(J3902=1,I3902="SBJ"),AND(J3902=1,I3902=0)),"?IN_FOCUS",IF(J3902&lt;=2,"?ACTIVATED",IF(J3902&lt;&gt;"","?FAMILIAR",IF(F3902="NEW",IF(ISNA(VLOOKUP(E3902,#REF!,1,FALSE())),"?TYPE_IDENTIFIABLE","?REFERENTIAL"),"_")))))</f>
        <v> </v>
      </c>
      <c r="H3902" s="24" t="str">
        <f>IF(J3902&lt;&gt;1,"",IF(I3902="SBJ","CB","?"))</f>
        <v> </v>
      </c>
      <c r="I3902" s="25" t="str">
        <f>IF(OR(E3902="",E3902="!!!",F3902="NEW"),"",INDEX(B3901:B$2,-1+SUMPRODUCT(MAX(ROW(E3901:E$2)*(E3902=E3901:E$2)))))</f>
        <v> </v>
      </c>
      <c r="J3902" s="25" t="str">
        <f>IF(OR(E3902="",E3902="!!!",F3902="NEW"),"",COUNTBLANK(OFFSET(A$1,,,SUMPRODUCT(MAX(ROW(E$2:E3902)*(E3902=E$2:E3902)))))-COUNTBLANK(OFFSET(A$1,,,SUMPRODUCT(MAX(ROW(E$1:E3901)*(E2=E$1:E3901))))))</f>
        <v> </v>
      </c>
      <c r="K3902" s="25" t="str">
        <f>IF(OR(E3902="",E3902="!!!",F3902="NEW"),"",INDEX(J$1:J3901,SUMPRODUCT(MAX(ROW(E$1:E3901)*(E3902=E$1:E3901)))))</f>
        <v> </v>
      </c>
      <c r="L3902" s="26"/>
    </row>
    <row r="3903" spans="1:12">
      <c r="A3903" s="20" t="s">
        <v>859</v>
      </c>
      <c r="E3903" s="21">
        <f>IF(D3903="?OLD","!!!","")</f>
        <v/>
      </c>
      <c r="F3903" s="22" t="str">
        <f>IF(OR(E3903="",E3903="!!!"),"",IF(NOT(ISNA(VLOOKUP(E3903,E$1:E3902,1,FALSE()))),"OLD",IF(AND(E3903&lt;&gt;"",E3903&lt;&gt;"!!!"),"NEW","")))</f>
        <v> </v>
      </c>
      <c r="G3903" s="23" t="str">
        <f>IF(OR(E3903="",E3903="!!!"),"",IF(OR(J3903=0,AND(J3903=1,K3903=1),AND(J3903=1,I3903="SBJ"),AND(J3903=1,I3903=0)),"?IN_FOCUS",IF(J3903&lt;=2,"?ACTIVATED",IF(J3903&lt;&gt;"","?FAMILIAR",IF(F3903="NEW",IF(ISNA(VLOOKUP(E3903,#REF!,1,FALSE())),"?TYPE_IDENTIFIABLE","?REFERENTIAL"),"_")))))</f>
        <v> </v>
      </c>
      <c r="H3903" s="24" t="str">
        <f>IF(J3903&lt;&gt;1,"",IF(I3903="SBJ","CB","?"))</f>
        <v> </v>
      </c>
      <c r="I3903" s="25" t="str">
        <f>IF(OR(E3903="",E3903="!!!",F3903="NEW"),"",INDEX(B3902:B$2,-1+SUMPRODUCT(MAX(ROW(E3902:E$2)*(E3903=E3902:E$2)))))</f>
        <v> </v>
      </c>
      <c r="J3903" s="25" t="str">
        <f>IF(OR(E3903="",E3903="!!!",F3903="NEW"),"",COUNTBLANK(OFFSET(A$1,,,SUMPRODUCT(MAX(ROW(E$2:E3903)*(E3903=E$2:E3903)))))-COUNTBLANK(OFFSET(A$1,,,SUMPRODUCT(MAX(ROW(E$1:E3902)*(E2=E$1:E3902))))))</f>
        <v> </v>
      </c>
      <c r="K3903" s="25" t="str">
        <f>IF(OR(E3903="",E3903="!!!",F3903="NEW"),"",INDEX(J$1:J3902,SUMPRODUCT(MAX(ROW(E$1:E3902)*(E3903=E$1:E3902)))))</f>
        <v> </v>
      </c>
      <c r="L3903" s="26"/>
    </row>
    <row r="3904" spans="1:12">
      <c r="A3904" s="20"/>
    </row>
    <row r="3905" spans="1:12">
      <c r="A3905" s="20" t="s">
        <v>1874</v>
      </c>
    </row>
    <row r="3906" spans="1:12">
      <c r="A3906" s="20" t="s">
        <v>995</v>
      </c>
      <c r="E3906" s="21">
        <f>IF(D3906="?OLD","!!!","")</f>
        <v/>
      </c>
      <c r="F3906" s="22" t="str">
        <f>IF(OR(E3906="",E3906="!!!"),"",IF(NOT(ISNA(VLOOKUP(E3906,E$1:E3905,1,FALSE()))),"OLD",IF(AND(E3906&lt;&gt;"",E3906&lt;&gt;"!!!"),"NEW","")))</f>
        <v> </v>
      </c>
      <c r="G3906" s="23" t="str">
        <f>IF(OR(E3906="",E3906="!!!"),"",IF(OR(J3906=0,AND(J3906=1,K3906=1),AND(J3906=1,I3906="SBJ"),AND(J3906=1,I3906=0)),"?IN_FOCUS",IF(J3906&lt;=2,"?ACTIVATED",IF(J3906&lt;&gt;"","?FAMILIAR",IF(F3906="NEW",IF(ISNA(VLOOKUP(E3906,#REF!,1,FALSE())),"?TYPE_IDENTIFIABLE","?REFERENTIAL"),"_")))))</f>
        <v> </v>
      </c>
      <c r="H3906" s="24" t="str">
        <f>IF(J3906&lt;&gt;1,"",IF(I3906="SBJ","CB","?"))</f>
        <v> </v>
      </c>
      <c r="I3906" s="25" t="str">
        <f>IF(OR(E3906="",E3906="!!!",F3906="NEW"),"",INDEX(B3905:B$2,-1+SUMPRODUCT(MAX(ROW(E3905:E$2)*(E3906=E3905:E$2)))))</f>
        <v> </v>
      </c>
      <c r="J3906" s="25" t="str">
        <f>IF(OR(E3906="",E3906="!!!",F3906="NEW"),"",COUNTBLANK(OFFSET(A$1,,,SUMPRODUCT(MAX(ROW(E$2:E3906)*(E3906=E$2:E3906)))))-COUNTBLANK(OFFSET(A$1,,,SUMPRODUCT(MAX(ROW(E$1:E3905)*(E2=E$1:E3905))))))</f>
        <v> </v>
      </c>
      <c r="K3906" s="25" t="str">
        <f>IF(OR(E3906="",E3906="!!!",F3906="NEW"),"",INDEX(J$1:J3905,SUMPRODUCT(MAX(ROW(E$1:E3905)*(E3906=E$1:E3905)))))</f>
        <v> </v>
      </c>
      <c r="L3906" s="26"/>
    </row>
    <row r="3907" spans="1:12">
      <c r="A3907" s="20" t="s">
        <v>840</v>
      </c>
      <c r="E3907" s="21">
        <f>IF(D3907="?OLD","!!!","")</f>
        <v/>
      </c>
      <c r="F3907" s="22" t="str">
        <f>IF(OR(E3907="",E3907="!!!"),"",IF(NOT(ISNA(VLOOKUP(E3907,E$1:E3906,1,FALSE()))),"OLD",IF(AND(E3907&lt;&gt;"",E3907&lt;&gt;"!!!"),"NEW","")))</f>
        <v> </v>
      </c>
      <c r="G3907" s="23" t="str">
        <f>IF(OR(E3907="",E3907="!!!"),"",IF(OR(J3907=0,AND(J3907=1,K3907=1),AND(J3907=1,I3907="SBJ"),AND(J3907=1,I3907=0)),"?IN_FOCUS",IF(J3907&lt;=2,"?ACTIVATED",IF(J3907&lt;&gt;"","?FAMILIAR",IF(F3907="NEW",IF(ISNA(VLOOKUP(E3907,#REF!,1,FALSE())),"?TYPE_IDENTIFIABLE","?REFERENTIAL"),"_")))))</f>
        <v> </v>
      </c>
      <c r="H3907" s="24" t="str">
        <f>IF(J3907&lt;&gt;1,"",IF(I3907="SBJ","CB","?"))</f>
        <v> </v>
      </c>
      <c r="I3907" s="25" t="str">
        <f>IF(OR(E3907="",E3907="!!!",F3907="NEW"),"",INDEX(B3906:B$2,-1+SUMPRODUCT(MAX(ROW(E3906:E$2)*(E3907=E3906:E$2)))))</f>
        <v> </v>
      </c>
      <c r="J3907" s="25" t="str">
        <f>IF(OR(E3907="",E3907="!!!",F3907="NEW"),"",COUNTBLANK(OFFSET(A$1,,,SUMPRODUCT(MAX(ROW(E$2:E3907)*(E3907=E$2:E3907)))))-COUNTBLANK(OFFSET(A$1,,,SUMPRODUCT(MAX(ROW(E$1:E3906)*(E2=E$1:E3906))))))</f>
        <v> </v>
      </c>
      <c r="K3907" s="25" t="str">
        <f>IF(OR(E3907="",E3907="!!!",F3907="NEW"),"",INDEX(J$1:J3906,SUMPRODUCT(MAX(ROW(E$1:E3906)*(E3907=E$1:E3906)))))</f>
        <v> </v>
      </c>
      <c r="L3907" s="26"/>
    </row>
    <row r="3908" spans="1:12">
      <c r="A3908" s="20" t="s">
        <v>1875</v>
      </c>
      <c r="E3908" s="21">
        <f>IF(D3908="?OLD","!!!","")</f>
        <v/>
      </c>
      <c r="F3908" s="22" t="str">
        <f>IF(OR(E3908="",E3908="!!!"),"",IF(NOT(ISNA(VLOOKUP(E3908,E$1:E3907,1,FALSE()))),"OLD",IF(AND(E3908&lt;&gt;"",E3908&lt;&gt;"!!!"),"NEW","")))</f>
        <v> </v>
      </c>
      <c r="G3908" s="23" t="str">
        <f>IF(OR(E3908="",E3908="!!!"),"",IF(OR(J3908=0,AND(J3908=1,K3908=1),AND(J3908=1,I3908="SBJ"),AND(J3908=1,I3908=0)),"?IN_FOCUS",IF(J3908&lt;=2,"?ACTIVATED",IF(J3908&lt;&gt;"","?FAMILIAR",IF(F3908="NEW",IF(ISNA(VLOOKUP(E3908,#REF!,1,FALSE())),"?TYPE_IDENTIFIABLE","?REFERENTIAL"),"_")))))</f>
        <v> </v>
      </c>
      <c r="H3908" s="24" t="str">
        <f>IF(J3908&lt;&gt;1,"",IF(I3908="SBJ","CB","?"))</f>
        <v> </v>
      </c>
      <c r="I3908" s="25" t="str">
        <f>IF(OR(E3908="",E3908="!!!",F3908="NEW"),"",INDEX(B3907:B$2,-1+SUMPRODUCT(MAX(ROW(E3907:E$2)*(E3908=E3907:E$2)))))</f>
        <v> </v>
      </c>
      <c r="J3908" s="25" t="str">
        <f>IF(OR(E3908="",E3908="!!!",F3908="NEW"),"",COUNTBLANK(OFFSET(A$1,,,SUMPRODUCT(MAX(ROW(E$2:E3908)*(E3908=E$2:E3908)))))-COUNTBLANK(OFFSET(A$1,,,SUMPRODUCT(MAX(ROW(E$1:E3907)*(E2=E$1:E3907))))))</f>
        <v> </v>
      </c>
      <c r="K3908" s="25" t="str">
        <f>IF(OR(E3908="",E3908="!!!",F3908="NEW"),"",INDEX(J$1:J3907,SUMPRODUCT(MAX(ROW(E$1:E3907)*(E3908=E$1:E3907)))))</f>
        <v> </v>
      </c>
      <c r="L3908" s="26"/>
    </row>
    <row r="3909" spans="1:12">
      <c r="A3909" s="20" t="s">
        <v>889</v>
      </c>
      <c r="E3909" s="21">
        <f>IF(D3909="?OLD","!!!","")</f>
        <v/>
      </c>
      <c r="F3909" s="22" t="str">
        <f>IF(OR(E3909="",E3909="!!!"),"",IF(NOT(ISNA(VLOOKUP(E3909,E$1:E3908,1,FALSE()))),"OLD",IF(AND(E3909&lt;&gt;"",E3909&lt;&gt;"!!!"),"NEW","")))</f>
        <v> </v>
      </c>
      <c r="G3909" s="23" t="str">
        <f>IF(OR(E3909="",E3909="!!!"),"",IF(OR(J3909=0,AND(J3909=1,K3909=1),AND(J3909=1,I3909="SBJ"),AND(J3909=1,I3909=0)),"?IN_FOCUS",IF(J3909&lt;=2,"?ACTIVATED",IF(J3909&lt;&gt;"","?FAMILIAR",IF(F3909="NEW",IF(ISNA(VLOOKUP(E3909,#REF!,1,FALSE())),"?TYPE_IDENTIFIABLE","?REFERENTIAL"),"_")))))</f>
        <v> </v>
      </c>
      <c r="H3909" s="24" t="str">
        <f>IF(J3909&lt;&gt;1,"",IF(I3909="SBJ","CB","?"))</f>
        <v> </v>
      </c>
      <c r="I3909" s="25" t="str">
        <f>IF(OR(E3909="",E3909="!!!",F3909="NEW"),"",INDEX(B3908:B$2,-1+SUMPRODUCT(MAX(ROW(E3908:E$2)*(E3909=E3908:E$2)))))</f>
        <v> </v>
      </c>
      <c r="J3909" s="25" t="str">
        <f>IF(OR(E3909="",E3909="!!!",F3909="NEW"),"",COUNTBLANK(OFFSET(A$1,,,SUMPRODUCT(MAX(ROW(E$2:E3909)*(E3909=E$2:E3909)))))-COUNTBLANK(OFFSET(A$1,,,SUMPRODUCT(MAX(ROW(E$1:E3908)*(E2=E$1:E3908))))))</f>
        <v> </v>
      </c>
      <c r="K3909" s="25" t="str">
        <f>IF(OR(E3909="",E3909="!!!",F3909="NEW"),"",INDEX(J$1:J3908,SUMPRODUCT(MAX(ROW(E$1:E3908)*(E3909=E$1:E3908)))))</f>
        <v> </v>
      </c>
      <c r="L3909" s="26"/>
    </row>
    <row r="3910" spans="1:12">
      <c r="A3910" s="20" t="s">
        <v>1031</v>
      </c>
      <c r="E3910" s="21">
        <f>IF(D3910="?OLD","!!!","")</f>
        <v/>
      </c>
      <c r="F3910" s="22" t="str">
        <f>IF(OR(E3910="",E3910="!!!"),"",IF(NOT(ISNA(VLOOKUP(E3910,E$1:E3909,1,FALSE()))),"OLD",IF(AND(E3910&lt;&gt;"",E3910&lt;&gt;"!!!"),"NEW","")))</f>
        <v> </v>
      </c>
      <c r="G3910" s="23" t="str">
        <f>IF(OR(E3910="",E3910="!!!"),"",IF(OR(J3910=0,AND(J3910=1,K3910=1),AND(J3910=1,I3910="SBJ"),AND(J3910=1,I3910=0)),"?IN_FOCUS",IF(J3910&lt;=2,"?ACTIVATED",IF(J3910&lt;&gt;"","?FAMILIAR",IF(F3910="NEW",IF(ISNA(VLOOKUP(E3910,#REF!,1,FALSE())),"?TYPE_IDENTIFIABLE","?REFERENTIAL"),"_")))))</f>
        <v> </v>
      </c>
      <c r="H3910" s="24" t="str">
        <f>IF(J3910&lt;&gt;1,"",IF(I3910="SBJ","CB","?"))</f>
        <v> </v>
      </c>
      <c r="I3910" s="25" t="str">
        <f>IF(OR(E3910="",E3910="!!!",F3910="NEW"),"",INDEX(B3909:B$2,-1+SUMPRODUCT(MAX(ROW(E3909:E$2)*(E3910=E3909:E$2)))))</f>
        <v> </v>
      </c>
      <c r="J3910" s="25" t="str">
        <f>IF(OR(E3910="",E3910="!!!",F3910="NEW"),"",COUNTBLANK(OFFSET(A$1,,,SUMPRODUCT(MAX(ROW(E$2:E3910)*(E3910=E$2:E3910)))))-COUNTBLANK(OFFSET(A$1,,,SUMPRODUCT(MAX(ROW(E$1:E3909)*(E2=E$1:E3909))))))</f>
        <v> </v>
      </c>
      <c r="K3910" s="25" t="str">
        <f>IF(OR(E3910="",E3910="!!!",F3910="NEW"),"",INDEX(J$1:J3909,SUMPRODUCT(MAX(ROW(E$1:E3909)*(E3910=E$1:E3909)))))</f>
        <v> </v>
      </c>
      <c r="L3910" s="26"/>
    </row>
    <row r="3911" spans="1:12">
      <c r="A3911" s="20" t="s">
        <v>793</v>
      </c>
      <c r="E3911" s="21">
        <f>IF(D3911="?OLD","!!!","")</f>
        <v/>
      </c>
      <c r="F3911" s="22" t="str">
        <f>IF(OR(E3911="",E3911="!!!"),"",IF(NOT(ISNA(VLOOKUP(E3911,E$1:E3910,1,FALSE()))),"OLD",IF(AND(E3911&lt;&gt;"",E3911&lt;&gt;"!!!"),"NEW","")))</f>
        <v> </v>
      </c>
      <c r="G3911" s="23" t="str">
        <f>IF(OR(E3911="",E3911="!!!"),"",IF(OR(J3911=0,AND(J3911=1,K3911=1),AND(J3911=1,I3911="SBJ"),AND(J3911=1,I3911=0)),"?IN_FOCUS",IF(J3911&lt;=2,"?ACTIVATED",IF(J3911&lt;&gt;"","?FAMILIAR",IF(F3911="NEW",IF(ISNA(VLOOKUP(E3911,#REF!,1,FALSE())),"?TYPE_IDENTIFIABLE","?REFERENTIAL"),"_")))))</f>
        <v> </v>
      </c>
      <c r="H3911" s="24" t="str">
        <f>IF(J3911&lt;&gt;1,"",IF(I3911="SBJ","CB","?"))</f>
        <v> </v>
      </c>
      <c r="I3911" s="25" t="str">
        <f>IF(OR(E3911="",E3911="!!!",F3911="NEW"),"",INDEX(B3910:B$2,-1+SUMPRODUCT(MAX(ROW(E3910:E$2)*(E3911=E3910:E$2)))))</f>
        <v> </v>
      </c>
      <c r="J3911" s="25" t="str">
        <f>IF(OR(E3911="",E3911="!!!",F3911="NEW"),"",COUNTBLANK(OFFSET(A$1,,,SUMPRODUCT(MAX(ROW(E$2:E3911)*(E3911=E$2:E3911)))))-COUNTBLANK(OFFSET(A$1,,,SUMPRODUCT(MAX(ROW(E$1:E3910)*(E2=E$1:E3910))))))</f>
        <v> </v>
      </c>
      <c r="K3911" s="25" t="str">
        <f>IF(OR(E3911="",E3911="!!!",F3911="NEW"),"",INDEX(J$1:J3910,SUMPRODUCT(MAX(ROW(E$1:E3910)*(E3911=E$1:E3910)))))</f>
        <v> </v>
      </c>
      <c r="L3911" s="26"/>
    </row>
    <row r="3912" spans="1:12">
      <c r="A3912" s="20" t="s">
        <v>1876</v>
      </c>
      <c r="B3912" s="27" t="s">
        <v>956</v>
      </c>
      <c r="C3912" s="27" t="s">
        <v>820</v>
      </c>
      <c r="D3912" s="27" t="s">
        <v>762</v>
      </c>
      <c r="E3912" s="21">
        <f>IF(D3912="?OLD","!!!","")</f>
        <v/>
      </c>
      <c r="F3912" s="22" t="str">
        <f>IF(OR(E3912="",E3912="!!!"),"",IF(NOT(ISNA(VLOOKUP(E3912,E$1:E3911,1,FALSE()))),"OLD",IF(AND(E3912&lt;&gt;"",E3912&lt;&gt;"!!!"),"NEW","")))</f>
        <v> </v>
      </c>
      <c r="G3912" s="23" t="str">
        <f>IF(OR(E3912="",E3912="!!!"),"",IF(OR(J3912=0,AND(J3912=1,K3912=1),AND(J3912=1,I3912="SBJ"),AND(J3912=1,I3912=0)),"?IN_FOCUS",IF(J3912&lt;=2,"?ACTIVATED",IF(J3912&lt;&gt;"","?FAMILIAR",IF(F3912="NEW",IF(ISNA(VLOOKUP(E3912,#REF!,1,FALSE())),"?TYPE_IDENTIFIABLE","?REFERENTIAL"),"_")))))</f>
        <v> </v>
      </c>
      <c r="H3912" s="24" t="str">
        <f>IF(J3912&lt;&gt;1,"",IF(I3912="SBJ","CB","?"))</f>
        <v> </v>
      </c>
      <c r="I3912" s="25" t="str">
        <f>IF(OR(E3912="",E3912="!!!",F3912="NEW"),"",INDEX(B3911:B$2,-1+SUMPRODUCT(MAX(ROW(E3911:E$2)*(E3912=E3911:E$2)))))</f>
        <v> </v>
      </c>
      <c r="J3912" s="25" t="str">
        <f>IF(OR(E3912="",E3912="!!!",F3912="NEW"),"",COUNTBLANK(OFFSET(A$1,,,SUMPRODUCT(MAX(ROW(E$2:E3912)*(E3912=E$2:E3912)))))-COUNTBLANK(OFFSET(A$1,,,SUMPRODUCT(MAX(ROW(E$1:E3911)*(E2=E$1:E3911))))))</f>
        <v> </v>
      </c>
      <c r="K3912" s="25" t="str">
        <f>IF(OR(E3912="",E3912="!!!",F3912="NEW"),"",INDEX(J$1:J3911,SUMPRODUCT(MAX(ROW(E$1:E3911)*(E3912=E$1:E3911)))))</f>
        <v> </v>
      </c>
      <c r="L3912" s="26"/>
    </row>
    <row r="3913" spans="1:12">
      <c r="A3913" s="20" t="s">
        <v>769</v>
      </c>
      <c r="E3913" s="21">
        <f>IF(D3913="?OLD","!!!","")</f>
        <v/>
      </c>
      <c r="F3913" s="22" t="str">
        <f>IF(OR(E3913="",E3913="!!!"),"",IF(NOT(ISNA(VLOOKUP(E3913,E$1:E3912,1,FALSE()))),"OLD",IF(AND(E3913&lt;&gt;"",E3913&lt;&gt;"!!!"),"NEW","")))</f>
        <v> </v>
      </c>
      <c r="G3913" s="23" t="str">
        <f>IF(OR(E3913="",E3913="!!!"),"",IF(OR(J3913=0,AND(J3913=1,K3913=1),AND(J3913=1,I3913="SBJ"),AND(J3913=1,I3913=0)),"?IN_FOCUS",IF(J3913&lt;=2,"?ACTIVATED",IF(J3913&lt;&gt;"","?FAMILIAR",IF(F3913="NEW",IF(ISNA(VLOOKUP(E3913,#REF!,1,FALSE())),"?TYPE_IDENTIFIABLE","?REFERENTIAL"),"_")))))</f>
        <v> </v>
      </c>
      <c r="H3913" s="24" t="str">
        <f>IF(J3913&lt;&gt;1,"",IF(I3913="SBJ","CB","?"))</f>
        <v> </v>
      </c>
      <c r="I3913" s="25" t="str">
        <f>IF(OR(E3913="",E3913="!!!",F3913="NEW"),"",INDEX(B3912:B$2,-1+SUMPRODUCT(MAX(ROW(E3912:E$2)*(E3913=E3912:E$2)))))</f>
        <v> </v>
      </c>
      <c r="J3913" s="25" t="str">
        <f>IF(OR(E3913="",E3913="!!!",F3913="NEW"),"",COUNTBLANK(OFFSET(A$1,,,SUMPRODUCT(MAX(ROW(E$2:E3913)*(E3913=E$2:E3913)))))-COUNTBLANK(OFFSET(A$1,,,SUMPRODUCT(MAX(ROW(E$1:E3912)*(E2=E$1:E3912))))))</f>
        <v> </v>
      </c>
      <c r="K3913" s="25" t="str">
        <f>IF(OR(E3913="",E3913="!!!",F3913="NEW"),"",INDEX(J$1:J3912,SUMPRODUCT(MAX(ROW(E$1:E3912)*(E3913=E$1:E3912)))))</f>
        <v> </v>
      </c>
      <c r="L3913" s="26"/>
    </row>
    <row r="3914" spans="1:12">
      <c r="A3914" s="20" t="s">
        <v>1159</v>
      </c>
      <c r="E3914" s="21">
        <f>IF(D3914="?OLD","!!!","")</f>
        <v/>
      </c>
      <c r="F3914" s="22" t="str">
        <f>IF(OR(E3914="",E3914="!!!"),"",IF(NOT(ISNA(VLOOKUP(E3914,E$1:E3913,1,FALSE()))),"OLD",IF(AND(E3914&lt;&gt;"",E3914&lt;&gt;"!!!"),"NEW","")))</f>
        <v> </v>
      </c>
      <c r="G3914" s="23" t="str">
        <f>IF(OR(E3914="",E3914="!!!"),"",IF(OR(J3914=0,AND(J3914=1,K3914=1),AND(J3914=1,I3914="SBJ"),AND(J3914=1,I3914=0)),"?IN_FOCUS",IF(J3914&lt;=2,"?ACTIVATED",IF(J3914&lt;&gt;"","?FAMILIAR",IF(F3914="NEW",IF(ISNA(VLOOKUP(E3914,#REF!,1,FALSE())),"?TYPE_IDENTIFIABLE","?REFERENTIAL"),"_")))))</f>
        <v> </v>
      </c>
      <c r="H3914" s="24" t="str">
        <f>IF(J3914&lt;&gt;1,"",IF(I3914="SBJ","CB","?"))</f>
        <v> </v>
      </c>
      <c r="I3914" s="25" t="str">
        <f>IF(OR(E3914="",E3914="!!!",F3914="NEW"),"",INDEX(B3913:B$2,-1+SUMPRODUCT(MAX(ROW(E3913:E$2)*(E3914=E3913:E$2)))))</f>
        <v> </v>
      </c>
      <c r="J3914" s="25" t="str">
        <f>IF(OR(E3914="",E3914="!!!",F3914="NEW"),"",COUNTBLANK(OFFSET(A$1,,,SUMPRODUCT(MAX(ROW(E$2:E3914)*(E3914=E$2:E3914)))))-COUNTBLANK(OFFSET(A$1,,,SUMPRODUCT(MAX(ROW(E$1:E3913)*(E2=E$1:E3913))))))</f>
        <v> </v>
      </c>
      <c r="K3914" s="25" t="str">
        <f>IF(OR(E3914="",E3914="!!!",F3914="NEW"),"",INDEX(J$1:J3913,SUMPRODUCT(MAX(ROW(E$1:E3913)*(E3914=E$1:E3913)))))</f>
        <v> </v>
      </c>
      <c r="L3914" s="26"/>
    </row>
    <row r="3915" spans="1:12">
      <c r="A3915" s="20" t="s">
        <v>1495</v>
      </c>
      <c r="B3915" s="27" t="s">
        <v>901</v>
      </c>
      <c r="C3915" s="27" t="s">
        <v>1019</v>
      </c>
      <c r="D3915" s="27" t="s">
        <v>762</v>
      </c>
      <c r="E3915" s="21">
        <f>IF(D3915="?OLD","!!!","")</f>
        <v/>
      </c>
      <c r="F3915" s="22" t="str">
        <f>IF(OR(E3915="",E3915="!!!"),"",IF(NOT(ISNA(VLOOKUP(E3915,E$1:E3914,1,FALSE()))),"OLD",IF(AND(E3915&lt;&gt;"",E3915&lt;&gt;"!!!"),"NEW","")))</f>
        <v> </v>
      </c>
      <c r="G3915" s="23" t="str">
        <f>IF(OR(E3915="",E3915="!!!"),"",IF(OR(J3915=0,AND(J3915=1,K3915=1),AND(J3915=1,I3915="SBJ"),AND(J3915=1,I3915=0)),"?IN_FOCUS",IF(J3915&lt;=2,"?ACTIVATED",IF(J3915&lt;&gt;"","?FAMILIAR",IF(F3915="NEW",IF(ISNA(VLOOKUP(E3915,#REF!,1,FALSE())),"?TYPE_IDENTIFIABLE","?REFERENTIAL"),"_")))))</f>
        <v> </v>
      </c>
      <c r="H3915" s="24" t="str">
        <f>IF(J3915&lt;&gt;1,"",IF(I3915="SBJ","CB","?"))</f>
        <v> </v>
      </c>
      <c r="I3915" s="25" t="str">
        <f>IF(OR(E3915="",E3915="!!!",F3915="NEW"),"",INDEX(B3914:B$2,-1+SUMPRODUCT(MAX(ROW(E3914:E$2)*(E3915=E3914:E$2)))))</f>
        <v> </v>
      </c>
      <c r="J3915" s="25" t="str">
        <f>IF(OR(E3915="",E3915="!!!",F3915="NEW"),"",COUNTBLANK(OFFSET(A$1,,,SUMPRODUCT(MAX(ROW(E$2:E3915)*(E3915=E$2:E3915)))))-COUNTBLANK(OFFSET(A$1,,,SUMPRODUCT(MAX(ROW(E$1:E3914)*(E2=E$1:E3914))))))</f>
        <v> </v>
      </c>
      <c r="K3915" s="25" t="str">
        <f>IF(OR(E3915="",E3915="!!!",F3915="NEW"),"",INDEX(J$1:J3914,SUMPRODUCT(MAX(ROW(E$1:E3914)*(E3915=E$1:E3914)))))</f>
        <v> </v>
      </c>
      <c r="L3915" s="26"/>
    </row>
    <row r="3916" spans="1:12">
      <c r="A3916" s="20" t="s">
        <v>1877</v>
      </c>
      <c r="E3916" s="21">
        <f>IF(D3916="?OLD","!!!","")</f>
        <v/>
      </c>
      <c r="F3916" s="22" t="str">
        <f>IF(OR(E3916="",E3916="!!!"),"",IF(NOT(ISNA(VLOOKUP(E3916,E$1:E3915,1,FALSE()))),"OLD",IF(AND(E3916&lt;&gt;"",E3916&lt;&gt;"!!!"),"NEW","")))</f>
        <v> </v>
      </c>
      <c r="G3916" s="23" t="str">
        <f>IF(OR(E3916="",E3916="!!!"),"",IF(OR(J3916=0,AND(J3916=1,K3916=1),AND(J3916=1,I3916="SBJ"),AND(J3916=1,I3916=0)),"?IN_FOCUS",IF(J3916&lt;=2,"?ACTIVATED",IF(J3916&lt;&gt;"","?FAMILIAR",IF(F3916="NEW",IF(ISNA(VLOOKUP(E3916,#REF!,1,FALSE())),"?TYPE_IDENTIFIABLE","?REFERENTIAL"),"_")))))</f>
        <v> </v>
      </c>
      <c r="H3916" s="24" t="str">
        <f>IF(J3916&lt;&gt;1,"",IF(I3916="SBJ","CB","?"))</f>
        <v> </v>
      </c>
      <c r="I3916" s="25" t="str">
        <f>IF(OR(E3916="",E3916="!!!",F3916="NEW"),"",INDEX(B3915:B$2,-1+SUMPRODUCT(MAX(ROW(E3915:E$2)*(E3916=E3915:E$2)))))</f>
        <v> </v>
      </c>
      <c r="J3916" s="25" t="str">
        <f>IF(OR(E3916="",E3916="!!!",F3916="NEW"),"",COUNTBLANK(OFFSET(A$1,,,SUMPRODUCT(MAX(ROW(E$2:E3916)*(E3916=E$2:E3916)))))-COUNTBLANK(OFFSET(A$1,,,SUMPRODUCT(MAX(ROW(E$1:E3915)*(E2=E$1:E3915))))))</f>
        <v> </v>
      </c>
      <c r="K3916" s="25" t="str">
        <f>IF(OR(E3916="",E3916="!!!",F3916="NEW"),"",INDEX(J$1:J3915,SUMPRODUCT(MAX(ROW(E$1:E3915)*(E3916=E$1:E3915)))))</f>
        <v> </v>
      </c>
      <c r="L3916" s="26"/>
    </row>
    <row r="3917" spans="1:12">
      <c r="A3917" s="20" t="s">
        <v>778</v>
      </c>
      <c r="E3917" s="21">
        <f>IF(D3917="?OLD","!!!","")</f>
        <v/>
      </c>
      <c r="F3917" s="22" t="str">
        <f>IF(OR(E3917="",E3917="!!!"),"",IF(NOT(ISNA(VLOOKUP(E3917,E$1:E3916,1,FALSE()))),"OLD",IF(AND(E3917&lt;&gt;"",E3917&lt;&gt;"!!!"),"NEW","")))</f>
        <v> </v>
      </c>
      <c r="G3917" s="23" t="str">
        <f>IF(OR(E3917="",E3917="!!!"),"",IF(OR(J3917=0,AND(J3917=1,K3917=1),AND(J3917=1,I3917="SBJ"),AND(J3917=1,I3917=0)),"?IN_FOCUS",IF(J3917&lt;=2,"?ACTIVATED",IF(J3917&lt;&gt;"","?FAMILIAR",IF(F3917="NEW",IF(ISNA(VLOOKUP(E3917,#REF!,1,FALSE())),"?TYPE_IDENTIFIABLE","?REFERENTIAL"),"_")))))</f>
        <v> </v>
      </c>
      <c r="H3917" s="24" t="str">
        <f>IF(J3917&lt;&gt;1,"",IF(I3917="SBJ","CB","?"))</f>
        <v> </v>
      </c>
      <c r="I3917" s="25" t="str">
        <f>IF(OR(E3917="",E3917="!!!",F3917="NEW"),"",INDEX(B3916:B$2,-1+SUMPRODUCT(MAX(ROW(E3916:E$2)*(E3917=E3916:E$2)))))</f>
        <v> </v>
      </c>
      <c r="J3917" s="25" t="str">
        <f>IF(OR(E3917="",E3917="!!!",F3917="NEW"),"",COUNTBLANK(OFFSET(A$1,,,SUMPRODUCT(MAX(ROW(E$2:E3917)*(E3917=E$2:E3917)))))-COUNTBLANK(OFFSET(A$1,,,SUMPRODUCT(MAX(ROW(E$1:E3916)*(E2=E$1:E3916))))))</f>
        <v> </v>
      </c>
      <c r="K3917" s="25" t="str">
        <f>IF(OR(E3917="",E3917="!!!",F3917="NEW"),"",INDEX(J$1:J3916,SUMPRODUCT(MAX(ROW(E$1:E3916)*(E3917=E$1:E3916)))))</f>
        <v> </v>
      </c>
      <c r="L3917" s="26"/>
    </row>
    <row r="3918" spans="1:12">
      <c r="A3918" s="20" t="s">
        <v>1878</v>
      </c>
      <c r="E3918" s="21">
        <f>IF(D3918="?OLD","!!!","")</f>
        <v/>
      </c>
      <c r="F3918" s="22" t="str">
        <f>IF(OR(E3918="",E3918="!!!"),"",IF(NOT(ISNA(VLOOKUP(E3918,E$1:E3917,1,FALSE()))),"OLD",IF(AND(E3918&lt;&gt;"",E3918&lt;&gt;"!!!"),"NEW","")))</f>
        <v> </v>
      </c>
      <c r="G3918" s="23" t="str">
        <f>IF(OR(E3918="",E3918="!!!"),"",IF(OR(J3918=0,AND(J3918=1,K3918=1),AND(J3918=1,I3918="SBJ"),AND(J3918=1,I3918=0)),"?IN_FOCUS",IF(J3918&lt;=2,"?ACTIVATED",IF(J3918&lt;&gt;"","?FAMILIAR",IF(F3918="NEW",IF(ISNA(VLOOKUP(E3918,#REF!,1,FALSE())),"?TYPE_IDENTIFIABLE","?REFERENTIAL"),"_")))))</f>
        <v> </v>
      </c>
      <c r="H3918" s="24" t="str">
        <f>IF(J3918&lt;&gt;1,"",IF(I3918="SBJ","CB","?"))</f>
        <v> </v>
      </c>
      <c r="I3918" s="25" t="str">
        <f>IF(OR(E3918="",E3918="!!!",F3918="NEW"),"",INDEX(B3917:B$2,-1+SUMPRODUCT(MAX(ROW(E3917:E$2)*(E3918=E3917:E$2)))))</f>
        <v> </v>
      </c>
      <c r="J3918" s="25" t="str">
        <f>IF(OR(E3918="",E3918="!!!",F3918="NEW"),"",COUNTBLANK(OFFSET(A$1,,,SUMPRODUCT(MAX(ROW(E$2:E3918)*(E3918=E$2:E3918)))))-COUNTBLANK(OFFSET(A$1,,,SUMPRODUCT(MAX(ROW(E$1:E3917)*(E2=E$1:E3917))))))</f>
        <v> </v>
      </c>
      <c r="K3918" s="25" t="str">
        <f>IF(OR(E3918="",E3918="!!!",F3918="NEW"),"",INDEX(J$1:J3917,SUMPRODUCT(MAX(ROW(E$1:E3917)*(E3918=E$1:E3917)))))</f>
        <v> </v>
      </c>
      <c r="L3918" s="26"/>
    </row>
    <row r="3919" spans="1:12">
      <c r="A3919" s="20" t="s">
        <v>16</v>
      </c>
      <c r="E3919" s="21">
        <f>IF(D3919="?OLD","!!!","")</f>
        <v/>
      </c>
      <c r="F3919" s="22" t="str">
        <f>IF(OR(E3919="",E3919="!!!"),"",IF(NOT(ISNA(VLOOKUP(E3919,E$1:E3918,1,FALSE()))),"OLD",IF(AND(E3919&lt;&gt;"",E3919&lt;&gt;"!!!"),"NEW","")))</f>
        <v> </v>
      </c>
      <c r="G3919" s="23" t="str">
        <f>IF(OR(E3919="",E3919="!!!"),"",IF(OR(J3919=0,AND(J3919=1,K3919=1),AND(J3919=1,I3919="SBJ"),AND(J3919=1,I3919=0)),"?IN_FOCUS",IF(J3919&lt;=2,"?ACTIVATED",IF(J3919&lt;&gt;"","?FAMILIAR",IF(F3919="NEW",IF(ISNA(VLOOKUP(E3919,#REF!,1,FALSE())),"?TYPE_IDENTIFIABLE","?REFERENTIAL"),"_")))))</f>
        <v> </v>
      </c>
      <c r="H3919" s="24" t="str">
        <f>IF(J3919&lt;&gt;1,"",IF(I3919="SBJ","CB","?"))</f>
        <v> </v>
      </c>
      <c r="I3919" s="25" t="str">
        <f>IF(OR(E3919="",E3919="!!!",F3919="NEW"),"",INDEX(B3918:B$2,-1+SUMPRODUCT(MAX(ROW(E3918:E$2)*(E3919=E3918:E$2)))))</f>
        <v> </v>
      </c>
      <c r="J3919" s="25" t="str">
        <f>IF(OR(E3919="",E3919="!!!",F3919="NEW"),"",COUNTBLANK(OFFSET(A$1,,,SUMPRODUCT(MAX(ROW(E$2:E3919)*(E3919=E$2:E3919)))))-COUNTBLANK(OFFSET(A$1,,,SUMPRODUCT(MAX(ROW(E$1:E3918)*(E2=E$1:E3918))))))</f>
        <v> </v>
      </c>
      <c r="K3919" s="25" t="str">
        <f>IF(OR(E3919="",E3919="!!!",F3919="NEW"),"",INDEX(J$1:J3918,SUMPRODUCT(MAX(ROW(E$1:E3918)*(E3919=E$1:E3918)))))</f>
        <v> </v>
      </c>
      <c r="L3919" s="26"/>
    </row>
    <row r="3920" spans="1:12">
      <c r="A3920" s="20" t="s">
        <v>697</v>
      </c>
      <c r="E3920" s="21">
        <f>IF(D3920="?OLD","!!!","")</f>
        <v/>
      </c>
      <c r="F3920" s="22" t="str">
        <f>IF(OR(E3920="",E3920="!!!"),"",IF(NOT(ISNA(VLOOKUP(E3920,E$1:E3919,1,FALSE()))),"OLD",IF(AND(E3920&lt;&gt;"",E3920&lt;&gt;"!!!"),"NEW","")))</f>
        <v> </v>
      </c>
      <c r="G3920" s="23" t="str">
        <f>IF(OR(E3920="",E3920="!!!"),"",IF(OR(J3920=0,AND(J3920=1,K3920=1),AND(J3920=1,I3920="SBJ"),AND(J3920=1,I3920=0)),"?IN_FOCUS",IF(J3920&lt;=2,"?ACTIVATED",IF(J3920&lt;&gt;"","?FAMILIAR",IF(F3920="NEW",IF(ISNA(VLOOKUP(E3920,#REF!,1,FALSE())),"?TYPE_IDENTIFIABLE","?REFERENTIAL"),"_")))))</f>
        <v> </v>
      </c>
      <c r="H3920" s="24" t="str">
        <f>IF(J3920&lt;&gt;1,"",IF(I3920="SBJ","CB","?"))</f>
        <v> </v>
      </c>
      <c r="I3920" s="25" t="str">
        <f>IF(OR(E3920="",E3920="!!!",F3920="NEW"),"",INDEX(B3919:B$2,-1+SUMPRODUCT(MAX(ROW(E3919:E$2)*(E3920=E3919:E$2)))))</f>
        <v> </v>
      </c>
      <c r="J3920" s="25" t="str">
        <f>IF(OR(E3920="",E3920="!!!",F3920="NEW"),"",COUNTBLANK(OFFSET(A$1,,,SUMPRODUCT(MAX(ROW(E$2:E3920)*(E3920=E$2:E3920)))))-COUNTBLANK(OFFSET(A$1,,,SUMPRODUCT(MAX(ROW(E$1:E3919)*(E2=E$1:E3919))))))</f>
        <v> </v>
      </c>
      <c r="K3920" s="25" t="str">
        <f>IF(OR(E3920="",E3920="!!!",F3920="NEW"),"",INDEX(J$1:J3919,SUMPRODUCT(MAX(ROW(E$1:E3919)*(E3920=E$1:E3919)))))</f>
        <v> </v>
      </c>
      <c r="L3920" s="26"/>
    </row>
    <row r="3921" spans="1:12">
      <c r="A3921" s="20" t="s">
        <v>811</v>
      </c>
      <c r="E3921" s="21">
        <f>IF(D3921="?OLD","!!!","")</f>
        <v/>
      </c>
      <c r="F3921" s="22" t="str">
        <f>IF(OR(E3921="",E3921="!!!"),"",IF(NOT(ISNA(VLOOKUP(E3921,E$1:E3920,1,FALSE()))),"OLD",IF(AND(E3921&lt;&gt;"",E3921&lt;&gt;"!!!"),"NEW","")))</f>
        <v> </v>
      </c>
      <c r="G3921" s="23" t="str">
        <f>IF(OR(E3921="",E3921="!!!"),"",IF(OR(J3921=0,AND(J3921=1,K3921=1),AND(J3921=1,I3921="SBJ"),AND(J3921=1,I3921=0)),"?IN_FOCUS",IF(J3921&lt;=2,"?ACTIVATED",IF(J3921&lt;&gt;"","?FAMILIAR",IF(F3921="NEW",IF(ISNA(VLOOKUP(E3921,#REF!,1,FALSE())),"?TYPE_IDENTIFIABLE","?REFERENTIAL"),"_")))))</f>
        <v> </v>
      </c>
      <c r="H3921" s="24" t="str">
        <f>IF(J3921&lt;&gt;1,"",IF(I3921="SBJ","CB","?"))</f>
        <v> </v>
      </c>
      <c r="I3921" s="25" t="str">
        <f>IF(OR(E3921="",E3921="!!!",F3921="NEW"),"",INDEX(B3920:B$2,-1+SUMPRODUCT(MAX(ROW(E3920:E$2)*(E3921=E3920:E$2)))))</f>
        <v> </v>
      </c>
      <c r="J3921" s="25" t="str">
        <f>IF(OR(E3921="",E3921="!!!",F3921="NEW"),"",COUNTBLANK(OFFSET(A$1,,,SUMPRODUCT(MAX(ROW(E$2:E3921)*(E3921=E$2:E3921)))))-COUNTBLANK(OFFSET(A$1,,,SUMPRODUCT(MAX(ROW(E$1:E3920)*(E2=E$1:E3920))))))</f>
        <v> </v>
      </c>
      <c r="K3921" s="25" t="str">
        <f>IF(OR(E3921="",E3921="!!!",F3921="NEW"),"",INDEX(J$1:J3920,SUMPRODUCT(MAX(ROW(E$1:E3920)*(E3921=E$1:E3920)))))</f>
        <v> </v>
      </c>
      <c r="L3921" s="26"/>
    </row>
    <row r="3922" spans="1:12">
      <c r="A3922" s="20" t="s">
        <v>1879</v>
      </c>
      <c r="E3922" s="21">
        <f>IF(D3922="?OLD","!!!","")</f>
        <v/>
      </c>
      <c r="F3922" s="22" t="str">
        <f>IF(OR(E3922="",E3922="!!!"),"",IF(NOT(ISNA(VLOOKUP(E3922,E$1:E3921,1,FALSE()))),"OLD",IF(AND(E3922&lt;&gt;"",E3922&lt;&gt;"!!!"),"NEW","")))</f>
        <v> </v>
      </c>
      <c r="G3922" s="23" t="str">
        <f>IF(OR(E3922="",E3922="!!!"),"",IF(OR(J3922=0,AND(J3922=1,K3922=1),AND(J3922=1,I3922="SBJ"),AND(J3922=1,I3922=0)),"?IN_FOCUS",IF(J3922&lt;=2,"?ACTIVATED",IF(J3922&lt;&gt;"","?FAMILIAR",IF(F3922="NEW",IF(ISNA(VLOOKUP(E3922,#REF!,1,FALSE())),"?TYPE_IDENTIFIABLE","?REFERENTIAL"),"_")))))</f>
        <v> </v>
      </c>
      <c r="H3922" s="24" t="str">
        <f>IF(J3922&lt;&gt;1,"",IF(I3922="SBJ","CB","?"))</f>
        <v> </v>
      </c>
      <c r="I3922" s="25" t="str">
        <f>IF(OR(E3922="",E3922="!!!",F3922="NEW"),"",INDEX(B3921:B$2,-1+SUMPRODUCT(MAX(ROW(E3921:E$2)*(E3922=E3921:E$2)))))</f>
        <v> </v>
      </c>
      <c r="J3922" s="25" t="str">
        <f>IF(OR(E3922="",E3922="!!!",F3922="NEW"),"",COUNTBLANK(OFFSET(A$1,,,SUMPRODUCT(MAX(ROW(E$2:E3922)*(E3922=E$2:E3922)))))-COUNTBLANK(OFFSET(A$1,,,SUMPRODUCT(MAX(ROW(E$1:E3921)*(E2=E$1:E3921))))))</f>
        <v> </v>
      </c>
      <c r="K3922" s="25" t="str">
        <f>IF(OR(E3922="",E3922="!!!",F3922="NEW"),"",INDEX(J$1:J3921,SUMPRODUCT(MAX(ROW(E$1:E3921)*(E3922=E$1:E3921)))))</f>
        <v> </v>
      </c>
      <c r="L3922" s="26"/>
    </row>
    <row r="3923" spans="1:12">
      <c r="A3923" s="20" t="s">
        <v>889</v>
      </c>
      <c r="E3923" s="21">
        <f>IF(D3923="?OLD","!!!","")</f>
        <v/>
      </c>
      <c r="F3923" s="22" t="str">
        <f>IF(OR(E3923="",E3923="!!!"),"",IF(NOT(ISNA(VLOOKUP(E3923,E$1:E3922,1,FALSE()))),"OLD",IF(AND(E3923&lt;&gt;"",E3923&lt;&gt;"!!!"),"NEW","")))</f>
        <v> </v>
      </c>
      <c r="G3923" s="23" t="str">
        <f>IF(OR(E3923="",E3923="!!!"),"",IF(OR(J3923=0,AND(J3923=1,K3923=1),AND(J3923=1,I3923="SBJ"),AND(J3923=1,I3923=0)),"?IN_FOCUS",IF(J3923&lt;=2,"?ACTIVATED",IF(J3923&lt;&gt;"","?FAMILIAR",IF(F3923="NEW",IF(ISNA(VLOOKUP(E3923,#REF!,1,FALSE())),"?TYPE_IDENTIFIABLE","?REFERENTIAL"),"_")))))</f>
        <v> </v>
      </c>
      <c r="H3923" s="24" t="str">
        <f>IF(J3923&lt;&gt;1,"",IF(I3923="SBJ","CB","?"))</f>
        <v> </v>
      </c>
      <c r="I3923" s="25" t="str">
        <f>IF(OR(E3923="",E3923="!!!",F3923="NEW"),"",INDEX(B3922:B$2,-1+SUMPRODUCT(MAX(ROW(E3922:E$2)*(E3923=E3922:E$2)))))</f>
        <v> </v>
      </c>
      <c r="J3923" s="25" t="str">
        <f>IF(OR(E3923="",E3923="!!!",F3923="NEW"),"",COUNTBLANK(OFFSET(A$1,,,SUMPRODUCT(MAX(ROW(E$2:E3923)*(E3923=E$2:E3923)))))-COUNTBLANK(OFFSET(A$1,,,SUMPRODUCT(MAX(ROW(E$1:E3922)*(E2=E$1:E3922))))))</f>
        <v> </v>
      </c>
      <c r="K3923" s="25" t="str">
        <f>IF(OR(E3923="",E3923="!!!",F3923="NEW"),"",INDEX(J$1:J3922,SUMPRODUCT(MAX(ROW(E$1:E3922)*(E3923=E$1:E3922)))))</f>
        <v> </v>
      </c>
      <c r="L3923" s="26"/>
    </row>
    <row r="3924" spans="1:12">
      <c r="A3924" s="20" t="s">
        <v>779</v>
      </c>
      <c r="E3924" s="21">
        <f>IF(D3924="?OLD","!!!","")</f>
        <v/>
      </c>
      <c r="F3924" s="22" t="str">
        <f>IF(OR(E3924="",E3924="!!!"),"",IF(NOT(ISNA(VLOOKUP(E3924,E$1:E3923,1,FALSE()))),"OLD",IF(AND(E3924&lt;&gt;"",E3924&lt;&gt;"!!!"),"NEW","")))</f>
        <v> </v>
      </c>
      <c r="G3924" s="23" t="str">
        <f>IF(OR(E3924="",E3924="!!!"),"",IF(OR(J3924=0,AND(J3924=1,K3924=1),AND(J3924=1,I3924="SBJ"),AND(J3924=1,I3924=0)),"?IN_FOCUS",IF(J3924&lt;=2,"?ACTIVATED",IF(J3924&lt;&gt;"","?FAMILIAR",IF(F3924="NEW",IF(ISNA(VLOOKUP(E3924,#REF!,1,FALSE())),"?TYPE_IDENTIFIABLE","?REFERENTIAL"),"_")))))</f>
        <v> </v>
      </c>
      <c r="H3924" s="24" t="str">
        <f>IF(J3924&lt;&gt;1,"",IF(I3924="SBJ","CB","?"))</f>
        <v> </v>
      </c>
      <c r="I3924" s="25" t="str">
        <f>IF(OR(E3924="",E3924="!!!",F3924="NEW"),"",INDEX(B3923:B$2,-1+SUMPRODUCT(MAX(ROW(E3923:E$2)*(E3924=E3923:E$2)))))</f>
        <v> </v>
      </c>
      <c r="J3924" s="25" t="str">
        <f>IF(OR(E3924="",E3924="!!!",F3924="NEW"),"",COUNTBLANK(OFFSET(A$1,,,SUMPRODUCT(MAX(ROW(E$2:E3924)*(E3924=E$2:E3924)))))-COUNTBLANK(OFFSET(A$1,,,SUMPRODUCT(MAX(ROW(E$1:E3923)*(E2=E$1:E3923))))))</f>
        <v> </v>
      </c>
      <c r="K3924" s="25" t="str">
        <f>IF(OR(E3924="",E3924="!!!",F3924="NEW"),"",INDEX(J$1:J3923,SUMPRODUCT(MAX(ROW(E$1:E3923)*(E3924=E$1:E3923)))))</f>
        <v> </v>
      </c>
      <c r="L3924" s="26"/>
    </row>
    <row r="3925" spans="1:12">
      <c r="A3925" s="20" t="s">
        <v>1880</v>
      </c>
      <c r="B3925" s="27" t="s">
        <v>940</v>
      </c>
      <c r="C3925" s="27" t="s">
        <v>768</v>
      </c>
      <c r="E3925" s="21">
        <f>IF(D3925="?OLD","!!!","")</f>
        <v/>
      </c>
      <c r="F3925" s="22" t="str">
        <f>IF(OR(E3925="",E3925="!!!"),"",IF(NOT(ISNA(VLOOKUP(E3925,E$1:E3924,1,FALSE()))),"OLD",IF(AND(E3925&lt;&gt;"",E3925&lt;&gt;"!!!"),"NEW","")))</f>
        <v> </v>
      </c>
      <c r="G3925" s="23" t="str">
        <f>IF(OR(E3925="",E3925="!!!"),"",IF(OR(J3925=0,AND(J3925=1,K3925=1),AND(J3925=1,I3925="SBJ"),AND(J3925=1,I3925=0)),"?IN_FOCUS",IF(J3925&lt;=2,"?ACTIVATED",IF(J3925&lt;&gt;"","?FAMILIAR",IF(F3925="NEW",IF(ISNA(VLOOKUP(E3925,#REF!,1,FALSE())),"?TYPE_IDENTIFIABLE","?REFERENTIAL"),"_")))))</f>
        <v> </v>
      </c>
      <c r="H3925" s="24" t="str">
        <f>IF(J3925&lt;&gt;1,"",IF(I3925="SBJ","CB","?"))</f>
        <v> </v>
      </c>
      <c r="I3925" s="25" t="str">
        <f>IF(OR(E3925="",E3925="!!!",F3925="NEW"),"",INDEX(B3924:B$2,-1+SUMPRODUCT(MAX(ROW(E3924:E$2)*(E3925=E3924:E$2)))))</f>
        <v> </v>
      </c>
      <c r="J3925" s="25" t="str">
        <f>IF(OR(E3925="",E3925="!!!",F3925="NEW"),"",COUNTBLANK(OFFSET(A$1,,,SUMPRODUCT(MAX(ROW(E$2:E3925)*(E3925=E$2:E3925)))))-COUNTBLANK(OFFSET(A$1,,,SUMPRODUCT(MAX(ROW(E$1:E3924)*(E2=E$1:E3924))))))</f>
        <v> </v>
      </c>
      <c r="K3925" s="25" t="str">
        <f>IF(OR(E3925="",E3925="!!!",F3925="NEW"),"",INDEX(J$1:J3924,SUMPRODUCT(MAX(ROW(E$1:E3924)*(E3925=E$1:E3924)))))</f>
        <v> </v>
      </c>
      <c r="L3925" s="26"/>
    </row>
    <row r="3926" spans="1:12">
      <c r="A3926" s="20" t="s">
        <v>1881</v>
      </c>
      <c r="E3926" s="21">
        <f>IF(D3926="?OLD","!!!","")</f>
        <v/>
      </c>
      <c r="F3926" s="22" t="str">
        <f>IF(OR(E3926="",E3926="!!!"),"",IF(NOT(ISNA(VLOOKUP(E3926,E$1:E3925,1,FALSE()))),"OLD",IF(AND(E3926&lt;&gt;"",E3926&lt;&gt;"!!!"),"NEW","")))</f>
        <v> </v>
      </c>
      <c r="G3926" s="23" t="str">
        <f>IF(OR(E3926="",E3926="!!!"),"",IF(OR(J3926=0,AND(J3926=1,K3926=1),AND(J3926=1,I3926="SBJ"),AND(J3926=1,I3926=0)),"?IN_FOCUS",IF(J3926&lt;=2,"?ACTIVATED",IF(J3926&lt;&gt;"","?FAMILIAR",IF(F3926="NEW",IF(ISNA(VLOOKUP(E3926,#REF!,1,FALSE())),"?TYPE_IDENTIFIABLE","?REFERENTIAL"),"_")))))</f>
        <v> </v>
      </c>
      <c r="H3926" s="24" t="str">
        <f>IF(J3926&lt;&gt;1,"",IF(I3926="SBJ","CB","?"))</f>
        <v> </v>
      </c>
      <c r="I3926" s="25" t="str">
        <f>IF(OR(E3926="",E3926="!!!",F3926="NEW"),"",INDEX(B3925:B$2,-1+SUMPRODUCT(MAX(ROW(E3925:E$2)*(E3926=E3925:E$2)))))</f>
        <v> </v>
      </c>
      <c r="J3926" s="25" t="str">
        <f>IF(OR(E3926="",E3926="!!!",F3926="NEW"),"",COUNTBLANK(OFFSET(A$1,,,SUMPRODUCT(MAX(ROW(E$2:E3926)*(E3926=E$2:E3926)))))-COUNTBLANK(OFFSET(A$1,,,SUMPRODUCT(MAX(ROW(E$1:E3925)*(E2=E$1:E3925))))))</f>
        <v> </v>
      </c>
      <c r="K3926" s="25" t="str">
        <f>IF(OR(E3926="",E3926="!!!",F3926="NEW"),"",INDEX(J$1:J3925,SUMPRODUCT(MAX(ROW(E$1:E3925)*(E3926=E$1:E3925)))))</f>
        <v> </v>
      </c>
      <c r="L3926" s="26"/>
    </row>
    <row r="3927" spans="1:12">
      <c r="A3927" s="20" t="s">
        <v>769</v>
      </c>
      <c r="E3927" s="21">
        <f>IF(D3927="?OLD","!!!","")</f>
        <v/>
      </c>
      <c r="F3927" s="22" t="str">
        <f>IF(OR(E3927="",E3927="!!!"),"",IF(NOT(ISNA(VLOOKUP(E3927,E$1:E3926,1,FALSE()))),"OLD",IF(AND(E3927&lt;&gt;"",E3927&lt;&gt;"!!!"),"NEW","")))</f>
        <v> </v>
      </c>
      <c r="G3927" s="23" t="str">
        <f>IF(OR(E3927="",E3927="!!!"),"",IF(OR(J3927=0,AND(J3927=1,K3927=1),AND(J3927=1,I3927="SBJ"),AND(J3927=1,I3927=0)),"?IN_FOCUS",IF(J3927&lt;=2,"?ACTIVATED",IF(J3927&lt;&gt;"","?FAMILIAR",IF(F3927="NEW",IF(ISNA(VLOOKUP(E3927,#REF!,1,FALSE())),"?TYPE_IDENTIFIABLE","?REFERENTIAL"),"_")))))</f>
        <v> </v>
      </c>
      <c r="H3927" s="24" t="str">
        <f>IF(J3927&lt;&gt;1,"",IF(I3927="SBJ","CB","?"))</f>
        <v> </v>
      </c>
      <c r="I3927" s="25" t="str">
        <f>IF(OR(E3927="",E3927="!!!",F3927="NEW"),"",INDEX(B3926:B$2,-1+SUMPRODUCT(MAX(ROW(E3926:E$2)*(E3927=E3926:E$2)))))</f>
        <v> </v>
      </c>
      <c r="J3927" s="25" t="str">
        <f>IF(OR(E3927="",E3927="!!!",F3927="NEW"),"",COUNTBLANK(OFFSET(A$1,,,SUMPRODUCT(MAX(ROW(E$2:E3927)*(E3927=E$2:E3927)))))-COUNTBLANK(OFFSET(A$1,,,SUMPRODUCT(MAX(ROW(E$1:E3926)*(E2=E$1:E3926))))))</f>
        <v> </v>
      </c>
      <c r="K3927" s="25" t="str">
        <f>IF(OR(E3927="",E3927="!!!",F3927="NEW"),"",INDEX(J$1:J3926,SUMPRODUCT(MAX(ROW(E$1:E3926)*(E3927=E$1:E3926)))))</f>
        <v> </v>
      </c>
      <c r="L3927" s="26"/>
    </row>
    <row r="3928" spans="1:12">
      <c r="A3928" s="20" t="s">
        <v>1508</v>
      </c>
      <c r="B3928" s="27" t="s">
        <v>815</v>
      </c>
      <c r="C3928" s="27" t="s">
        <v>754</v>
      </c>
      <c r="E3928" s="21">
        <f>IF(D3928="?OLD","!!!","")</f>
        <v/>
      </c>
      <c r="F3928" s="22" t="str">
        <f>IF(OR(E3928="",E3928="!!!"),"",IF(NOT(ISNA(VLOOKUP(E3928,E$1:E3927,1,FALSE()))),"OLD",IF(AND(E3928&lt;&gt;"",E3928&lt;&gt;"!!!"),"NEW","")))</f>
        <v> </v>
      </c>
      <c r="G3928" s="23" t="str">
        <f>IF(OR(E3928="",E3928="!!!"),"",IF(OR(J3928=0,AND(J3928=1,K3928=1),AND(J3928=1,I3928="SBJ"),AND(J3928=1,I3928=0)),"?IN_FOCUS",IF(J3928&lt;=2,"?ACTIVATED",IF(J3928&lt;&gt;"","?FAMILIAR",IF(F3928="NEW",IF(ISNA(VLOOKUP(E3928,#REF!,1,FALSE())),"?TYPE_IDENTIFIABLE","?REFERENTIAL"),"_")))))</f>
        <v> </v>
      </c>
      <c r="H3928" s="24" t="str">
        <f>IF(J3928&lt;&gt;1,"",IF(I3928="SBJ","CB","?"))</f>
        <v> </v>
      </c>
      <c r="I3928" s="25" t="str">
        <f>IF(OR(E3928="",E3928="!!!",F3928="NEW"),"",INDEX(B3927:B$2,-1+SUMPRODUCT(MAX(ROW(E3927:E$2)*(E3928=E3927:E$2)))))</f>
        <v> </v>
      </c>
      <c r="J3928" s="25" t="str">
        <f>IF(OR(E3928="",E3928="!!!",F3928="NEW"),"",COUNTBLANK(OFFSET(A$1,,,SUMPRODUCT(MAX(ROW(E$2:E3928)*(E3928=E$2:E3928)))))-COUNTBLANK(OFFSET(A$1,,,SUMPRODUCT(MAX(ROW(E$1:E3927)*(E2=E$1:E3927))))))</f>
        <v> </v>
      </c>
      <c r="K3928" s="25" t="str">
        <f>IF(OR(E3928="",E3928="!!!",F3928="NEW"),"",INDEX(J$1:J3927,SUMPRODUCT(MAX(ROW(E$1:E3927)*(E3928=E$1:E3927)))))</f>
        <v> </v>
      </c>
      <c r="L3928" s="26"/>
    </row>
    <row r="3929" spans="1:12">
      <c r="A3929" s="20" t="s">
        <v>785</v>
      </c>
      <c r="E3929" s="21">
        <f>IF(D3929="?OLD","!!!","")</f>
        <v/>
      </c>
      <c r="F3929" s="22" t="str">
        <f>IF(OR(E3929="",E3929="!!!"),"",IF(NOT(ISNA(VLOOKUP(E3929,E$1:E3928,1,FALSE()))),"OLD",IF(AND(E3929&lt;&gt;"",E3929&lt;&gt;"!!!"),"NEW","")))</f>
        <v> </v>
      </c>
      <c r="G3929" s="23" t="str">
        <f>IF(OR(E3929="",E3929="!!!"),"",IF(OR(J3929=0,AND(J3929=1,K3929=1),AND(J3929=1,I3929="SBJ"),AND(J3929=1,I3929=0)),"?IN_FOCUS",IF(J3929&lt;=2,"?ACTIVATED",IF(J3929&lt;&gt;"","?FAMILIAR",IF(F3929="NEW",IF(ISNA(VLOOKUP(E3929,#REF!,1,FALSE())),"?TYPE_IDENTIFIABLE","?REFERENTIAL"),"_")))))</f>
        <v> </v>
      </c>
      <c r="H3929" s="24" t="str">
        <f>IF(J3929&lt;&gt;1,"",IF(I3929="SBJ","CB","?"))</f>
        <v> </v>
      </c>
      <c r="I3929" s="25" t="str">
        <f>IF(OR(E3929="",E3929="!!!",F3929="NEW"),"",INDEX(B3928:B$2,-1+SUMPRODUCT(MAX(ROW(E3928:E$2)*(E3929=E3928:E$2)))))</f>
        <v> </v>
      </c>
      <c r="J3929" s="25" t="str">
        <f>IF(OR(E3929="",E3929="!!!",F3929="NEW"),"",COUNTBLANK(OFFSET(A$1,,,SUMPRODUCT(MAX(ROW(E$2:E3929)*(E3929=E$2:E3929)))))-COUNTBLANK(OFFSET(A$1,,,SUMPRODUCT(MAX(ROW(E$1:E3928)*(E2=E$1:E3928))))))</f>
        <v> </v>
      </c>
      <c r="K3929" s="25" t="str">
        <f>IF(OR(E3929="",E3929="!!!",F3929="NEW"),"",INDEX(J$1:J3928,SUMPRODUCT(MAX(ROW(E$1:E3928)*(E3929=E$1:E3928)))))</f>
        <v> </v>
      </c>
      <c r="L3929" s="26"/>
    </row>
    <row r="3930" spans="1:12">
      <c r="A3930" s="20" t="s">
        <v>838</v>
      </c>
      <c r="E3930" s="21">
        <f>IF(D3930="?OLD","!!!","")</f>
        <v/>
      </c>
      <c r="F3930" s="22" t="str">
        <f>IF(OR(E3930="",E3930="!!!"),"",IF(NOT(ISNA(VLOOKUP(E3930,E$1:E3929,1,FALSE()))),"OLD",IF(AND(E3930&lt;&gt;"",E3930&lt;&gt;"!!!"),"NEW","")))</f>
        <v> </v>
      </c>
      <c r="G3930" s="23" t="str">
        <f>IF(OR(E3930="",E3930="!!!"),"",IF(OR(J3930=0,AND(J3930=1,K3930=1),AND(J3930=1,I3930="SBJ"),AND(J3930=1,I3930=0)),"?IN_FOCUS",IF(J3930&lt;=2,"?ACTIVATED",IF(J3930&lt;&gt;"","?FAMILIAR",IF(F3930="NEW",IF(ISNA(VLOOKUP(E3930,#REF!,1,FALSE())),"?TYPE_IDENTIFIABLE","?REFERENTIAL"),"_")))))</f>
        <v> </v>
      </c>
      <c r="H3930" s="24" t="str">
        <f>IF(J3930&lt;&gt;1,"",IF(I3930="SBJ","CB","?"))</f>
        <v> </v>
      </c>
      <c r="I3930" s="25" t="str">
        <f>IF(OR(E3930="",E3930="!!!",F3930="NEW"),"",INDEX(B3929:B$2,-1+SUMPRODUCT(MAX(ROW(E3929:E$2)*(E3930=E3929:E$2)))))</f>
        <v> </v>
      </c>
      <c r="J3930" s="25" t="str">
        <f>IF(OR(E3930="",E3930="!!!",F3930="NEW"),"",COUNTBLANK(OFFSET(A$1,,,SUMPRODUCT(MAX(ROW(E$2:E3930)*(E3930=E$2:E3930)))))-COUNTBLANK(OFFSET(A$1,,,SUMPRODUCT(MAX(ROW(E$1:E3929)*(E2=E$1:E3929))))))</f>
        <v> </v>
      </c>
      <c r="K3930" s="25" t="str">
        <f>IF(OR(E3930="",E3930="!!!",F3930="NEW"),"",INDEX(J$1:J3929,SUMPRODUCT(MAX(ROW(E$1:E3929)*(E3930=E$1:E3929)))))</f>
        <v> </v>
      </c>
      <c r="L3930" s="26"/>
    </row>
    <row r="3931" spans="1:12">
      <c r="A3931" s="20" t="s">
        <v>1882</v>
      </c>
      <c r="B3931" s="27" t="s">
        <v>1062</v>
      </c>
      <c r="C3931" s="27" t="s">
        <v>761</v>
      </c>
      <c r="D3931" s="27" t="s">
        <v>762</v>
      </c>
      <c r="E3931" s="21">
        <f>IF(D3931="?OLD","!!!","")</f>
        <v/>
      </c>
      <c r="F3931" s="22" t="str">
        <f>IF(OR(E3931="",E3931="!!!"),"",IF(NOT(ISNA(VLOOKUP(E3931,E$1:E3930,1,FALSE()))),"OLD",IF(AND(E3931&lt;&gt;"",E3931&lt;&gt;"!!!"),"NEW","")))</f>
        <v> </v>
      </c>
      <c r="G3931" s="23" t="str">
        <f>IF(OR(E3931="",E3931="!!!"),"",IF(OR(J3931=0,AND(J3931=1,K3931=1),AND(J3931=1,I3931="SBJ"),AND(J3931=1,I3931=0)),"?IN_FOCUS",IF(J3931&lt;=2,"?ACTIVATED",IF(J3931&lt;&gt;"","?FAMILIAR",IF(F3931="NEW",IF(ISNA(VLOOKUP(E3931,#REF!,1,FALSE())),"?TYPE_IDENTIFIABLE","?REFERENTIAL"),"_")))))</f>
        <v> </v>
      </c>
      <c r="H3931" s="24" t="str">
        <f>IF(J3931&lt;&gt;1,"",IF(I3931="SBJ","CB","?"))</f>
        <v> </v>
      </c>
      <c r="I3931" s="25" t="str">
        <f>IF(OR(E3931="",E3931="!!!",F3931="NEW"),"",INDEX(B3930:B$2,-1+SUMPRODUCT(MAX(ROW(E3930:E$2)*(E3931=E3930:E$2)))))</f>
        <v> </v>
      </c>
      <c r="J3931" s="25" t="str">
        <f>IF(OR(E3931="",E3931="!!!",F3931="NEW"),"",COUNTBLANK(OFFSET(A$1,,,SUMPRODUCT(MAX(ROW(E$2:E3931)*(E3931=E$2:E3931)))))-COUNTBLANK(OFFSET(A$1,,,SUMPRODUCT(MAX(ROW(E$1:E3930)*(E2=E$1:E3930))))))</f>
        <v> </v>
      </c>
      <c r="K3931" s="25" t="str">
        <f>IF(OR(E3931="",E3931="!!!",F3931="NEW"),"",INDEX(J$1:J3930,SUMPRODUCT(MAX(ROW(E$1:E3930)*(E3931=E$1:E3930)))))</f>
        <v> </v>
      </c>
      <c r="L3931" s="26"/>
    </row>
    <row r="3932" spans="1:12">
      <c r="A3932" s="20" t="s">
        <v>875</v>
      </c>
      <c r="E3932" s="21">
        <f>IF(D3932="?OLD","!!!","")</f>
        <v/>
      </c>
      <c r="F3932" s="22" t="str">
        <f>IF(OR(E3932="",E3932="!!!"),"",IF(NOT(ISNA(VLOOKUP(E3932,E$1:E3931,1,FALSE()))),"OLD",IF(AND(E3932&lt;&gt;"",E3932&lt;&gt;"!!!"),"NEW","")))</f>
        <v> </v>
      </c>
      <c r="G3932" s="23" t="str">
        <f>IF(OR(E3932="",E3932="!!!"),"",IF(OR(J3932=0,AND(J3932=1,K3932=1),AND(J3932=1,I3932="SBJ"),AND(J3932=1,I3932=0)),"?IN_FOCUS",IF(J3932&lt;=2,"?ACTIVATED",IF(J3932&lt;&gt;"","?FAMILIAR",IF(F3932="NEW",IF(ISNA(VLOOKUP(E3932,#REF!,1,FALSE())),"?TYPE_IDENTIFIABLE","?REFERENTIAL"),"_")))))</f>
        <v> </v>
      </c>
      <c r="H3932" s="24" t="str">
        <f>IF(J3932&lt;&gt;1,"",IF(I3932="SBJ","CB","?"))</f>
        <v> </v>
      </c>
      <c r="I3932" s="25" t="str">
        <f>IF(OR(E3932="",E3932="!!!",F3932="NEW"),"",INDEX(B3931:B$2,-1+SUMPRODUCT(MAX(ROW(E3931:E$2)*(E3932=E3931:E$2)))))</f>
        <v> </v>
      </c>
      <c r="J3932" s="25" t="str">
        <f>IF(OR(E3932="",E3932="!!!",F3932="NEW"),"",COUNTBLANK(OFFSET(A$1,,,SUMPRODUCT(MAX(ROW(E$2:E3932)*(E3932=E$2:E3932)))))-COUNTBLANK(OFFSET(A$1,,,SUMPRODUCT(MAX(ROW(E$1:E3931)*(E2=E$1:E3931))))))</f>
        <v> </v>
      </c>
      <c r="K3932" s="25" t="str">
        <f>IF(OR(E3932="",E3932="!!!",F3932="NEW"),"",INDEX(J$1:J3931,SUMPRODUCT(MAX(ROW(E$1:E3931)*(E3932=E$1:E3931)))))</f>
        <v> </v>
      </c>
      <c r="L3932" s="26"/>
    </row>
    <row r="3933" spans="1:12">
      <c r="A3933" s="20" t="s">
        <v>770</v>
      </c>
      <c r="E3933" s="21">
        <f>IF(D3933="?OLD","!!!","")</f>
        <v/>
      </c>
      <c r="F3933" s="22" t="str">
        <f>IF(OR(E3933="",E3933="!!!"),"",IF(NOT(ISNA(VLOOKUP(E3933,E$1:E3932,1,FALSE()))),"OLD",IF(AND(E3933&lt;&gt;"",E3933&lt;&gt;"!!!"),"NEW","")))</f>
        <v> </v>
      </c>
      <c r="G3933" s="23" t="str">
        <f>IF(OR(E3933="",E3933="!!!"),"",IF(OR(J3933=0,AND(J3933=1,K3933=1),AND(J3933=1,I3933="SBJ"),AND(J3933=1,I3933=0)),"?IN_FOCUS",IF(J3933&lt;=2,"?ACTIVATED",IF(J3933&lt;&gt;"","?FAMILIAR",IF(F3933="NEW",IF(ISNA(VLOOKUP(E3933,#REF!,1,FALSE())),"?TYPE_IDENTIFIABLE","?REFERENTIAL"),"_")))))</f>
        <v> </v>
      </c>
      <c r="H3933" s="24" t="str">
        <f>IF(J3933&lt;&gt;1,"",IF(I3933="SBJ","CB","?"))</f>
        <v> </v>
      </c>
      <c r="I3933" s="25" t="str">
        <f>IF(OR(E3933="",E3933="!!!",F3933="NEW"),"",INDEX(B3932:B$2,-1+SUMPRODUCT(MAX(ROW(E3932:E$2)*(E3933=E3932:E$2)))))</f>
        <v> </v>
      </c>
      <c r="J3933" s="25" t="str">
        <f>IF(OR(E3933="",E3933="!!!",F3933="NEW"),"",COUNTBLANK(OFFSET(A$1,,,SUMPRODUCT(MAX(ROW(E$2:E3933)*(E3933=E$2:E3933)))))-COUNTBLANK(OFFSET(A$1,,,SUMPRODUCT(MAX(ROW(E$1:E3932)*(E2=E$1:E3932))))))</f>
        <v> </v>
      </c>
      <c r="K3933" s="25" t="str">
        <f>IF(OR(E3933="",E3933="!!!",F3933="NEW"),"",INDEX(J$1:J3932,SUMPRODUCT(MAX(ROW(E$1:E3932)*(E3933=E$1:E3932)))))</f>
        <v> </v>
      </c>
      <c r="L3933" s="26"/>
    </row>
    <row r="3934" spans="1:12">
      <c r="A3934" s="20" t="s">
        <v>1883</v>
      </c>
      <c r="B3934" s="27" t="s">
        <v>815</v>
      </c>
      <c r="C3934" s="27" t="s">
        <v>761</v>
      </c>
      <c r="D3934" s="27" t="s">
        <v>762</v>
      </c>
      <c r="E3934" s="21">
        <f>IF(D3934="?OLD","!!!","")</f>
        <v/>
      </c>
      <c r="F3934" s="22" t="str">
        <f>IF(OR(E3934="",E3934="!!!"),"",IF(NOT(ISNA(VLOOKUP(E3934,E$1:E3933,1,FALSE()))),"OLD",IF(AND(E3934&lt;&gt;"",E3934&lt;&gt;"!!!"),"NEW","")))</f>
        <v> </v>
      </c>
      <c r="G3934" s="23" t="str">
        <f>IF(OR(E3934="",E3934="!!!"),"",IF(OR(J3934=0,AND(J3934=1,K3934=1),AND(J3934=1,I3934="SBJ"),AND(J3934=1,I3934=0)),"?IN_FOCUS",IF(J3934&lt;=2,"?ACTIVATED",IF(J3934&lt;&gt;"","?FAMILIAR",IF(F3934="NEW",IF(ISNA(VLOOKUP(E3934,#REF!,1,FALSE())),"?TYPE_IDENTIFIABLE","?REFERENTIAL"),"_")))))</f>
        <v> </v>
      </c>
      <c r="H3934" s="24" t="str">
        <f>IF(J3934&lt;&gt;1,"",IF(I3934="SBJ","CB","?"))</f>
        <v> </v>
      </c>
      <c r="I3934" s="25" t="str">
        <f>IF(OR(E3934="",E3934="!!!",F3934="NEW"),"",INDEX(B3933:B$2,-1+SUMPRODUCT(MAX(ROW(E3933:E$2)*(E3934=E3933:E$2)))))</f>
        <v> </v>
      </c>
      <c r="J3934" s="25" t="str">
        <f>IF(OR(E3934="",E3934="!!!",F3934="NEW"),"",COUNTBLANK(OFFSET(A$1,,,SUMPRODUCT(MAX(ROW(E$2:E3934)*(E3934=E$2:E3934)))))-COUNTBLANK(OFFSET(A$1,,,SUMPRODUCT(MAX(ROW(E$1:E3933)*(E2=E$1:E3933))))))</f>
        <v> </v>
      </c>
      <c r="K3934" s="25" t="str">
        <f>IF(OR(E3934="",E3934="!!!",F3934="NEW"),"",INDEX(J$1:J3933,SUMPRODUCT(MAX(ROW(E$1:E3933)*(E3934=E$1:E3933)))))</f>
        <v> </v>
      </c>
      <c r="L3934" s="26"/>
    </row>
    <row r="3935" spans="1:12">
      <c r="A3935" s="20" t="s">
        <v>757</v>
      </c>
      <c r="E3935" s="21">
        <f>IF(D3935="?OLD","!!!","")</f>
        <v/>
      </c>
      <c r="F3935" s="22" t="str">
        <f>IF(OR(E3935="",E3935="!!!"),"",IF(NOT(ISNA(VLOOKUP(E3935,E$1:E3934,1,FALSE()))),"OLD",IF(AND(E3935&lt;&gt;"",E3935&lt;&gt;"!!!"),"NEW","")))</f>
        <v> </v>
      </c>
      <c r="G3935" s="23" t="str">
        <f>IF(OR(E3935="",E3935="!!!"),"",IF(OR(J3935=0,AND(J3935=1,K3935=1),AND(J3935=1,I3935="SBJ"),AND(J3935=1,I3935=0)),"?IN_FOCUS",IF(J3935&lt;=2,"?ACTIVATED",IF(J3935&lt;&gt;"","?FAMILIAR",IF(F3935="NEW",IF(ISNA(VLOOKUP(E3935,#REF!,1,FALSE())),"?TYPE_IDENTIFIABLE","?REFERENTIAL"),"_")))))</f>
        <v> </v>
      </c>
      <c r="H3935" s="24" t="str">
        <f>IF(J3935&lt;&gt;1,"",IF(I3935="SBJ","CB","?"))</f>
        <v> </v>
      </c>
      <c r="I3935" s="25" t="str">
        <f>IF(OR(E3935="",E3935="!!!",F3935="NEW"),"",INDEX(B3934:B$2,-1+SUMPRODUCT(MAX(ROW(E3934:E$2)*(E3935=E3934:E$2)))))</f>
        <v> </v>
      </c>
      <c r="J3935" s="25" t="str">
        <f>IF(OR(E3935="",E3935="!!!",F3935="NEW"),"",COUNTBLANK(OFFSET(A$1,,,SUMPRODUCT(MAX(ROW(E$2:E3935)*(E3935=E$2:E3935)))))-COUNTBLANK(OFFSET(A$1,,,SUMPRODUCT(MAX(ROW(E$1:E3934)*(E2=E$1:E3934))))))</f>
        <v> </v>
      </c>
      <c r="K3935" s="25" t="str">
        <f>IF(OR(E3935="",E3935="!!!",F3935="NEW"),"",INDEX(J$1:J3934,SUMPRODUCT(MAX(ROW(E$1:E3934)*(E3935=E$1:E3934)))))</f>
        <v> </v>
      </c>
      <c r="L3935" s="26"/>
    </row>
    <row r="3936" spans="1:12">
      <c r="A3936" s="20" t="s">
        <v>805</v>
      </c>
      <c r="E3936" s="21">
        <f>IF(D3936="?OLD","!!!","")</f>
        <v/>
      </c>
      <c r="F3936" s="22" t="str">
        <f>IF(OR(E3936="",E3936="!!!"),"",IF(NOT(ISNA(VLOOKUP(E3936,E$1:E3935,1,FALSE()))),"OLD",IF(AND(E3936&lt;&gt;"",E3936&lt;&gt;"!!!"),"NEW","")))</f>
        <v> </v>
      </c>
      <c r="G3936" s="23" t="str">
        <f>IF(OR(E3936="",E3936="!!!"),"",IF(OR(J3936=0,AND(J3936=1,K3936=1),AND(J3936=1,I3936="SBJ"),AND(J3936=1,I3936=0)),"?IN_FOCUS",IF(J3936&lt;=2,"?ACTIVATED",IF(J3936&lt;&gt;"","?FAMILIAR",IF(F3936="NEW",IF(ISNA(VLOOKUP(E3936,#REF!,1,FALSE())),"?TYPE_IDENTIFIABLE","?REFERENTIAL"),"_")))))</f>
        <v> </v>
      </c>
      <c r="H3936" s="24" t="str">
        <f>IF(J3936&lt;&gt;1,"",IF(I3936="SBJ","CB","?"))</f>
        <v> </v>
      </c>
      <c r="I3936" s="25" t="str">
        <f>IF(OR(E3936="",E3936="!!!",F3936="NEW"),"",INDEX(B3935:B$2,-1+SUMPRODUCT(MAX(ROW(E3935:E$2)*(E3936=E3935:E$2)))))</f>
        <v> </v>
      </c>
      <c r="J3936" s="25" t="str">
        <f>IF(OR(E3936="",E3936="!!!",F3936="NEW"),"",COUNTBLANK(OFFSET(A$1,,,SUMPRODUCT(MAX(ROW(E$2:E3936)*(E3936=E$2:E3936)))))-COUNTBLANK(OFFSET(A$1,,,SUMPRODUCT(MAX(ROW(E$1:E3935)*(E2=E$1:E3935))))))</f>
        <v> </v>
      </c>
      <c r="K3936" s="25" t="str">
        <f>IF(OR(E3936="",E3936="!!!",F3936="NEW"),"",INDEX(J$1:J3935,SUMPRODUCT(MAX(ROW(E$1:E3935)*(E3936=E$1:E3935)))))</f>
        <v> </v>
      </c>
      <c r="L3936" s="26"/>
    </row>
    <row r="3937" spans="1:12">
      <c r="A3937" s="20" t="s">
        <v>943</v>
      </c>
      <c r="B3937" s="27" t="s">
        <v>1062</v>
      </c>
      <c r="C3937" s="27" t="s">
        <v>754</v>
      </c>
      <c r="E3937" s="21">
        <f>IF(D3937="?OLD","!!!","")</f>
        <v/>
      </c>
      <c r="F3937" s="22" t="str">
        <f>IF(OR(E3937="",E3937="!!!"),"",IF(NOT(ISNA(VLOOKUP(E3937,E$1:E3936,1,FALSE()))),"OLD",IF(AND(E3937&lt;&gt;"",E3937&lt;&gt;"!!!"),"NEW","")))</f>
        <v> </v>
      </c>
      <c r="G3937" s="23" t="str">
        <f>IF(OR(E3937="",E3937="!!!"),"",IF(OR(J3937=0,AND(J3937=1,K3937=1),AND(J3937=1,I3937="SBJ"),AND(J3937=1,I3937=0)),"?IN_FOCUS",IF(J3937&lt;=2,"?ACTIVATED",IF(J3937&lt;&gt;"","?FAMILIAR",IF(F3937="NEW",IF(ISNA(VLOOKUP(E3937,#REF!,1,FALSE())),"?TYPE_IDENTIFIABLE","?REFERENTIAL"),"_")))))</f>
        <v> </v>
      </c>
      <c r="H3937" s="24" t="str">
        <f>IF(J3937&lt;&gt;1,"",IF(I3937="SBJ","CB","?"))</f>
        <v> </v>
      </c>
      <c r="I3937" s="25" t="str">
        <f>IF(OR(E3937="",E3937="!!!",F3937="NEW"),"",INDEX(B3936:B$2,-1+SUMPRODUCT(MAX(ROW(E3936:E$2)*(E3937=E3936:E$2)))))</f>
        <v> </v>
      </c>
      <c r="J3937" s="25" t="str">
        <f>IF(OR(E3937="",E3937="!!!",F3937="NEW"),"",COUNTBLANK(OFFSET(A$1,,,SUMPRODUCT(MAX(ROW(E$2:E3937)*(E3937=E$2:E3937)))))-COUNTBLANK(OFFSET(A$1,,,SUMPRODUCT(MAX(ROW(E$1:E3936)*(E2=E$1:E3936))))))</f>
        <v> </v>
      </c>
      <c r="K3937" s="25" t="str">
        <f>IF(OR(E3937="",E3937="!!!",F3937="NEW"),"",INDEX(J$1:J3936,SUMPRODUCT(MAX(ROW(E$1:E3936)*(E3937=E$1:E3936)))))</f>
        <v> </v>
      </c>
      <c r="L3937" s="26"/>
    </row>
    <row r="3938" spans="1:12">
      <c r="A3938" s="20" t="s">
        <v>1020</v>
      </c>
      <c r="B3938" s="27" t="s">
        <v>1063</v>
      </c>
      <c r="E3938" s="21">
        <f>IF(D3938="?OLD","!!!","")</f>
        <v/>
      </c>
      <c r="F3938" s="22" t="str">
        <f>IF(OR(E3938="",E3938="!!!"),"",IF(NOT(ISNA(VLOOKUP(E3938,E$1:E3937,1,FALSE()))),"OLD",IF(AND(E3938&lt;&gt;"",E3938&lt;&gt;"!!!"),"NEW","")))</f>
        <v> </v>
      </c>
      <c r="G3938" s="23" t="str">
        <f>IF(OR(E3938="",E3938="!!!"),"",IF(OR(J3938=0,AND(J3938=1,K3938=1),AND(J3938=1,I3938="SBJ"),AND(J3938=1,I3938=0)),"?IN_FOCUS",IF(J3938&lt;=2,"?ACTIVATED",IF(J3938&lt;&gt;"","?FAMILIAR",IF(F3938="NEW",IF(ISNA(VLOOKUP(E3938,#REF!,1,FALSE())),"?TYPE_IDENTIFIABLE","?REFERENTIAL"),"_")))))</f>
        <v> </v>
      </c>
      <c r="H3938" s="24" t="str">
        <f>IF(J3938&lt;&gt;1,"",IF(I3938="SBJ","CB","?"))</f>
        <v> </v>
      </c>
      <c r="I3938" s="25" t="str">
        <f>IF(OR(E3938="",E3938="!!!",F3938="NEW"),"",INDEX(B3937:B$2,-1+SUMPRODUCT(MAX(ROW(E3937:E$2)*(E3938=E3937:E$2)))))</f>
        <v> </v>
      </c>
      <c r="J3938" s="25" t="str">
        <f>IF(OR(E3938="",E3938="!!!",F3938="NEW"),"",COUNTBLANK(OFFSET(A$1,,,SUMPRODUCT(MAX(ROW(E$2:E3938)*(E3938=E$2:E3938)))))-COUNTBLANK(OFFSET(A$1,,,SUMPRODUCT(MAX(ROW(E$1:E3937)*(E2=E$1:E3937))))))</f>
        <v> </v>
      </c>
      <c r="K3938" s="25" t="str">
        <f>IF(OR(E3938="",E3938="!!!",F3938="NEW"),"",INDEX(J$1:J3937,SUMPRODUCT(MAX(ROW(E$1:E3937)*(E3938=E$1:E3937)))))</f>
        <v> </v>
      </c>
      <c r="L3938" s="26"/>
    </row>
    <row r="3939" spans="1:12">
      <c r="A3939" s="20" t="s">
        <v>1183</v>
      </c>
      <c r="E3939" s="21">
        <f>IF(D3939="?OLD","!!!","")</f>
        <v/>
      </c>
      <c r="F3939" s="22" t="str">
        <f>IF(OR(E3939="",E3939="!!!"),"",IF(NOT(ISNA(VLOOKUP(E3939,E$1:E3938,1,FALSE()))),"OLD",IF(AND(E3939&lt;&gt;"",E3939&lt;&gt;"!!!"),"NEW","")))</f>
        <v> </v>
      </c>
      <c r="G3939" s="23" t="str">
        <f>IF(OR(E3939="",E3939="!!!"),"",IF(OR(J3939=0,AND(J3939=1,K3939=1),AND(J3939=1,I3939="SBJ"),AND(J3939=1,I3939=0)),"?IN_FOCUS",IF(J3939&lt;=2,"?ACTIVATED",IF(J3939&lt;&gt;"","?FAMILIAR",IF(F3939="NEW",IF(ISNA(VLOOKUP(E3939,#REF!,1,FALSE())),"?TYPE_IDENTIFIABLE","?REFERENTIAL"),"_")))))</f>
        <v> </v>
      </c>
      <c r="H3939" s="24" t="str">
        <f>IF(J3939&lt;&gt;1,"",IF(I3939="SBJ","CB","?"))</f>
        <v> </v>
      </c>
      <c r="I3939" s="25" t="str">
        <f>IF(OR(E3939="",E3939="!!!",F3939="NEW"),"",INDEX(B3938:B$2,-1+SUMPRODUCT(MAX(ROW(E3938:E$2)*(E3939=E3938:E$2)))))</f>
        <v> </v>
      </c>
      <c r="J3939" s="25" t="str">
        <f>IF(OR(E3939="",E3939="!!!",F3939="NEW"),"",COUNTBLANK(OFFSET(A$1,,,SUMPRODUCT(MAX(ROW(E$2:E3939)*(E3939=E$2:E3939)))))-COUNTBLANK(OFFSET(A$1,,,SUMPRODUCT(MAX(ROW(E$1:E3938)*(E2=E$1:E3938))))))</f>
        <v> </v>
      </c>
      <c r="K3939" s="25" t="str">
        <f>IF(OR(E3939="",E3939="!!!",F3939="NEW"),"",INDEX(J$1:J3938,SUMPRODUCT(MAX(ROW(E$1:E3938)*(E3939=E$1:E3938)))))</f>
        <v> </v>
      </c>
      <c r="L3939" s="26"/>
    </row>
    <row r="3940" spans="1:12">
      <c r="A3940" s="20" t="s">
        <v>1884</v>
      </c>
      <c r="B3940" s="27" t="s">
        <v>1127</v>
      </c>
      <c r="C3940" s="27" t="s">
        <v>754</v>
      </c>
      <c r="E3940" s="21">
        <f>IF(D3940="?OLD","!!!","")</f>
        <v/>
      </c>
      <c r="F3940" s="22" t="str">
        <f>IF(OR(E3940="",E3940="!!!"),"",IF(NOT(ISNA(VLOOKUP(E3940,E$1:E3939,1,FALSE()))),"OLD",IF(AND(E3940&lt;&gt;"",E3940&lt;&gt;"!!!"),"NEW","")))</f>
        <v> </v>
      </c>
      <c r="G3940" s="23" t="str">
        <f>IF(OR(E3940="",E3940="!!!"),"",IF(OR(J3940=0,AND(J3940=1,K3940=1),AND(J3940=1,I3940="SBJ"),AND(J3940=1,I3940=0)),"?IN_FOCUS",IF(J3940&lt;=2,"?ACTIVATED",IF(J3940&lt;&gt;"","?FAMILIAR",IF(F3940="NEW",IF(ISNA(VLOOKUP(E3940,#REF!,1,FALSE())),"?TYPE_IDENTIFIABLE","?REFERENTIAL"),"_")))))</f>
        <v> </v>
      </c>
      <c r="H3940" s="24" t="str">
        <f>IF(J3940&lt;&gt;1,"",IF(I3940="SBJ","CB","?"))</f>
        <v> </v>
      </c>
      <c r="I3940" s="25" t="str">
        <f>IF(OR(E3940="",E3940="!!!",F3940="NEW"),"",INDEX(B3939:B$2,-1+SUMPRODUCT(MAX(ROW(E3939:E$2)*(E3940=E3939:E$2)))))</f>
        <v> </v>
      </c>
      <c r="J3940" s="25" t="str">
        <f>IF(OR(E3940="",E3940="!!!",F3940="NEW"),"",COUNTBLANK(OFFSET(A$1,,,SUMPRODUCT(MAX(ROW(E$2:E3940)*(E3940=E$2:E3940)))))-COUNTBLANK(OFFSET(A$1,,,SUMPRODUCT(MAX(ROW(E$1:E3939)*(E2=E$1:E3939))))))</f>
        <v> </v>
      </c>
      <c r="K3940" s="25" t="str">
        <f>IF(OR(E3940="",E3940="!!!",F3940="NEW"),"",INDEX(J$1:J3939,SUMPRODUCT(MAX(ROW(E$1:E3939)*(E3940=E$1:E3939)))))</f>
        <v> </v>
      </c>
      <c r="L3940" s="26"/>
    </row>
    <row r="3941" spans="1:12">
      <c r="A3941" s="20" t="s">
        <v>757</v>
      </c>
      <c r="E3941" s="21">
        <f>IF(D3941="?OLD","!!!","")</f>
        <v/>
      </c>
      <c r="F3941" s="22" t="str">
        <f>IF(OR(E3941="",E3941="!!!"),"",IF(NOT(ISNA(VLOOKUP(E3941,E$1:E3940,1,FALSE()))),"OLD",IF(AND(E3941&lt;&gt;"",E3941&lt;&gt;"!!!"),"NEW","")))</f>
        <v> </v>
      </c>
      <c r="G3941" s="23" t="str">
        <f>IF(OR(E3941="",E3941="!!!"),"",IF(OR(J3941=0,AND(J3941=1,K3941=1),AND(J3941=1,I3941="SBJ"),AND(J3941=1,I3941=0)),"?IN_FOCUS",IF(J3941&lt;=2,"?ACTIVATED",IF(J3941&lt;&gt;"","?FAMILIAR",IF(F3941="NEW",IF(ISNA(VLOOKUP(E3941,#REF!,1,FALSE())),"?TYPE_IDENTIFIABLE","?REFERENTIAL"),"_")))))</f>
        <v> </v>
      </c>
      <c r="H3941" s="24" t="str">
        <f>IF(J3941&lt;&gt;1,"",IF(I3941="SBJ","CB","?"))</f>
        <v> </v>
      </c>
      <c r="I3941" s="25" t="str">
        <f>IF(OR(E3941="",E3941="!!!",F3941="NEW"),"",INDEX(B3940:B$2,-1+SUMPRODUCT(MAX(ROW(E3940:E$2)*(E3941=E3940:E$2)))))</f>
        <v> </v>
      </c>
      <c r="J3941" s="25" t="str">
        <f>IF(OR(E3941="",E3941="!!!",F3941="NEW"),"",COUNTBLANK(OFFSET(A$1,,,SUMPRODUCT(MAX(ROW(E$2:E3941)*(E3941=E$2:E3941)))))-COUNTBLANK(OFFSET(A$1,,,SUMPRODUCT(MAX(ROW(E$1:E3940)*(E2=E$1:E3940))))))</f>
        <v> </v>
      </c>
      <c r="K3941" s="25" t="str">
        <f>IF(OR(E3941="",E3941="!!!",F3941="NEW"),"",INDEX(J$1:J3940,SUMPRODUCT(MAX(ROW(E$1:E3940)*(E3941=E$1:E3940)))))</f>
        <v> </v>
      </c>
      <c r="L3941" s="26"/>
    </row>
    <row r="3942" spans="1:12">
      <c r="A3942" s="20" t="s">
        <v>697</v>
      </c>
      <c r="E3942" s="21">
        <f>IF(D3942="?OLD","!!!","")</f>
        <v/>
      </c>
      <c r="F3942" s="22" t="str">
        <f>IF(OR(E3942="",E3942="!!!"),"",IF(NOT(ISNA(VLOOKUP(E3942,E$1:E3941,1,FALSE()))),"OLD",IF(AND(E3942&lt;&gt;"",E3942&lt;&gt;"!!!"),"NEW","")))</f>
        <v> </v>
      </c>
      <c r="G3942" s="23" t="str">
        <f>IF(OR(E3942="",E3942="!!!"),"",IF(OR(J3942=0,AND(J3942=1,K3942=1),AND(J3942=1,I3942="SBJ"),AND(J3942=1,I3942=0)),"?IN_FOCUS",IF(J3942&lt;=2,"?ACTIVATED",IF(J3942&lt;&gt;"","?FAMILIAR",IF(F3942="NEW",IF(ISNA(VLOOKUP(E3942,#REF!,1,FALSE())),"?TYPE_IDENTIFIABLE","?REFERENTIAL"),"_")))))</f>
        <v> </v>
      </c>
      <c r="H3942" s="24" t="str">
        <f>IF(J3942&lt;&gt;1,"",IF(I3942="SBJ","CB","?"))</f>
        <v> </v>
      </c>
      <c r="I3942" s="25" t="str">
        <f>IF(OR(E3942="",E3942="!!!",F3942="NEW"),"",INDEX(B3941:B$2,-1+SUMPRODUCT(MAX(ROW(E3941:E$2)*(E3942=E3941:E$2)))))</f>
        <v> </v>
      </c>
      <c r="J3942" s="25" t="str">
        <f>IF(OR(E3942="",E3942="!!!",F3942="NEW"),"",COUNTBLANK(OFFSET(A$1,,,SUMPRODUCT(MAX(ROW(E$2:E3942)*(E3942=E$2:E3942)))))-COUNTBLANK(OFFSET(A$1,,,SUMPRODUCT(MAX(ROW(E$1:E3941)*(E2=E$1:E3941))))))</f>
        <v> </v>
      </c>
      <c r="K3942" s="25" t="str">
        <f>IF(OR(E3942="",E3942="!!!",F3942="NEW"),"",INDEX(J$1:J3941,SUMPRODUCT(MAX(ROW(E$1:E3941)*(E3942=E$1:E3941)))))</f>
        <v> </v>
      </c>
      <c r="L3942" s="26"/>
    </row>
    <row r="3943" spans="1:12">
      <c r="A3943" s="20" t="s">
        <v>811</v>
      </c>
      <c r="E3943" s="21">
        <f>IF(D3943="?OLD","!!!","")</f>
        <v/>
      </c>
      <c r="F3943" s="22" t="str">
        <f>IF(OR(E3943="",E3943="!!!"),"",IF(NOT(ISNA(VLOOKUP(E3943,E$1:E3942,1,FALSE()))),"OLD",IF(AND(E3943&lt;&gt;"",E3943&lt;&gt;"!!!"),"NEW","")))</f>
        <v> </v>
      </c>
      <c r="G3943" s="23" t="str">
        <f>IF(OR(E3943="",E3943="!!!"),"",IF(OR(J3943=0,AND(J3943=1,K3943=1),AND(J3943=1,I3943="SBJ"),AND(J3943=1,I3943=0)),"?IN_FOCUS",IF(J3943&lt;=2,"?ACTIVATED",IF(J3943&lt;&gt;"","?FAMILIAR",IF(F3943="NEW",IF(ISNA(VLOOKUP(E3943,#REF!,1,FALSE())),"?TYPE_IDENTIFIABLE","?REFERENTIAL"),"_")))))</f>
        <v> </v>
      </c>
      <c r="H3943" s="24" t="str">
        <f>IF(J3943&lt;&gt;1,"",IF(I3943="SBJ","CB","?"))</f>
        <v> </v>
      </c>
      <c r="I3943" s="25" t="str">
        <f>IF(OR(E3943="",E3943="!!!",F3943="NEW"),"",INDEX(B3942:B$2,-1+SUMPRODUCT(MAX(ROW(E3942:E$2)*(E3943=E3942:E$2)))))</f>
        <v> </v>
      </c>
      <c r="J3943" s="25" t="str">
        <f>IF(OR(E3943="",E3943="!!!",F3943="NEW"),"",COUNTBLANK(OFFSET(A$1,,,SUMPRODUCT(MAX(ROW(E$2:E3943)*(E3943=E$2:E3943)))))-COUNTBLANK(OFFSET(A$1,,,SUMPRODUCT(MAX(ROW(E$1:E3942)*(E2=E$1:E3942))))))</f>
        <v> </v>
      </c>
      <c r="K3943" s="25" t="str">
        <f>IF(OR(E3943="",E3943="!!!",F3943="NEW"),"",INDEX(J$1:J3942,SUMPRODUCT(MAX(ROW(E$1:E3942)*(E3943=E$1:E3942)))))</f>
        <v> </v>
      </c>
      <c r="L3943" s="26"/>
    </row>
    <row r="3944" spans="1:12">
      <c r="A3944" s="20" t="s">
        <v>1879</v>
      </c>
      <c r="E3944" s="21">
        <f>IF(D3944="?OLD","!!!","")</f>
        <v/>
      </c>
      <c r="F3944" s="22" t="str">
        <f>IF(OR(E3944="",E3944="!!!"),"",IF(NOT(ISNA(VLOOKUP(E3944,E$1:E3943,1,FALSE()))),"OLD",IF(AND(E3944&lt;&gt;"",E3944&lt;&gt;"!!!"),"NEW","")))</f>
        <v> </v>
      </c>
      <c r="G3944" s="23" t="str">
        <f>IF(OR(E3944="",E3944="!!!"),"",IF(OR(J3944=0,AND(J3944=1,K3944=1),AND(J3944=1,I3944="SBJ"),AND(J3944=1,I3944=0)),"?IN_FOCUS",IF(J3944&lt;=2,"?ACTIVATED",IF(J3944&lt;&gt;"","?FAMILIAR",IF(F3944="NEW",IF(ISNA(VLOOKUP(E3944,#REF!,1,FALSE())),"?TYPE_IDENTIFIABLE","?REFERENTIAL"),"_")))))</f>
        <v> </v>
      </c>
      <c r="H3944" s="24" t="str">
        <f>IF(J3944&lt;&gt;1,"",IF(I3944="SBJ","CB","?"))</f>
        <v> </v>
      </c>
      <c r="I3944" s="25" t="str">
        <f>IF(OR(E3944="",E3944="!!!",F3944="NEW"),"",INDEX(B3943:B$2,-1+SUMPRODUCT(MAX(ROW(E3943:E$2)*(E3944=E3943:E$2)))))</f>
        <v> </v>
      </c>
      <c r="J3944" s="25" t="str">
        <f>IF(OR(E3944="",E3944="!!!",F3944="NEW"),"",COUNTBLANK(OFFSET(A$1,,,SUMPRODUCT(MAX(ROW(E$2:E3944)*(E3944=E$2:E3944)))))-COUNTBLANK(OFFSET(A$1,,,SUMPRODUCT(MAX(ROW(E$1:E3943)*(E2=E$1:E3943))))))</f>
        <v> </v>
      </c>
      <c r="K3944" s="25" t="str">
        <f>IF(OR(E3944="",E3944="!!!",F3944="NEW"),"",INDEX(J$1:J3943,SUMPRODUCT(MAX(ROW(E$1:E3943)*(E3944=E$1:E3943)))))</f>
        <v> </v>
      </c>
      <c r="L3944" s="26"/>
    </row>
    <row r="3945" spans="1:12">
      <c r="A3945" s="20" t="s">
        <v>889</v>
      </c>
      <c r="E3945" s="21">
        <f>IF(D3945="?OLD","!!!","")</f>
        <v/>
      </c>
      <c r="F3945" s="22" t="str">
        <f>IF(OR(E3945="",E3945="!!!"),"",IF(NOT(ISNA(VLOOKUP(E3945,E$1:E3944,1,FALSE()))),"OLD",IF(AND(E3945&lt;&gt;"",E3945&lt;&gt;"!!!"),"NEW","")))</f>
        <v> </v>
      </c>
      <c r="G3945" s="23" t="str">
        <f>IF(OR(E3945="",E3945="!!!"),"",IF(OR(J3945=0,AND(J3945=1,K3945=1),AND(J3945=1,I3945="SBJ"),AND(J3945=1,I3945=0)),"?IN_FOCUS",IF(J3945&lt;=2,"?ACTIVATED",IF(J3945&lt;&gt;"","?FAMILIAR",IF(F3945="NEW",IF(ISNA(VLOOKUP(E3945,#REF!,1,FALSE())),"?TYPE_IDENTIFIABLE","?REFERENTIAL"),"_")))))</f>
        <v> </v>
      </c>
      <c r="H3945" s="24" t="str">
        <f>IF(J3945&lt;&gt;1,"",IF(I3945="SBJ","CB","?"))</f>
        <v> </v>
      </c>
      <c r="I3945" s="25" t="str">
        <f>IF(OR(E3945="",E3945="!!!",F3945="NEW"),"",INDEX(B3944:B$2,-1+SUMPRODUCT(MAX(ROW(E3944:E$2)*(E3945=E3944:E$2)))))</f>
        <v> </v>
      </c>
      <c r="J3945" s="25" t="str">
        <f>IF(OR(E3945="",E3945="!!!",F3945="NEW"),"",COUNTBLANK(OFFSET(A$1,,,SUMPRODUCT(MAX(ROW(E$2:E3945)*(E3945=E$2:E3945)))))-COUNTBLANK(OFFSET(A$1,,,SUMPRODUCT(MAX(ROW(E$1:E3944)*(E2=E$1:E3944))))))</f>
        <v> </v>
      </c>
      <c r="K3945" s="25" t="str">
        <f>IF(OR(E3945="",E3945="!!!",F3945="NEW"),"",INDEX(J$1:J3944,SUMPRODUCT(MAX(ROW(E$1:E3944)*(E3945=E$1:E3944)))))</f>
        <v> </v>
      </c>
      <c r="L3945" s="26"/>
    </row>
    <row r="3946" spans="1:12">
      <c r="A3946" s="20" t="s">
        <v>779</v>
      </c>
      <c r="E3946" s="21">
        <f>IF(D3946="?OLD","!!!","")</f>
        <v/>
      </c>
      <c r="F3946" s="22" t="str">
        <f>IF(OR(E3946="",E3946="!!!"),"",IF(NOT(ISNA(VLOOKUP(E3946,E$1:E3945,1,FALSE()))),"OLD",IF(AND(E3946&lt;&gt;"",E3946&lt;&gt;"!!!"),"NEW","")))</f>
        <v> </v>
      </c>
      <c r="G3946" s="23" t="str">
        <f>IF(OR(E3946="",E3946="!!!"),"",IF(OR(J3946=0,AND(J3946=1,K3946=1),AND(J3946=1,I3946="SBJ"),AND(J3946=1,I3946=0)),"?IN_FOCUS",IF(J3946&lt;=2,"?ACTIVATED",IF(J3946&lt;&gt;"","?FAMILIAR",IF(F3946="NEW",IF(ISNA(VLOOKUP(E3946,#REF!,1,FALSE())),"?TYPE_IDENTIFIABLE","?REFERENTIAL"),"_")))))</f>
        <v> </v>
      </c>
      <c r="H3946" s="24" t="str">
        <f>IF(J3946&lt;&gt;1,"",IF(I3946="SBJ","CB","?"))</f>
        <v> </v>
      </c>
      <c r="I3946" s="25" t="str">
        <f>IF(OR(E3946="",E3946="!!!",F3946="NEW"),"",INDEX(B3945:B$2,-1+SUMPRODUCT(MAX(ROW(E3945:E$2)*(E3946=E3945:E$2)))))</f>
        <v> </v>
      </c>
      <c r="J3946" s="25" t="str">
        <f>IF(OR(E3946="",E3946="!!!",F3946="NEW"),"",COUNTBLANK(OFFSET(A$1,,,SUMPRODUCT(MAX(ROW(E$2:E3946)*(E3946=E$2:E3946)))))-COUNTBLANK(OFFSET(A$1,,,SUMPRODUCT(MAX(ROW(E$1:E3945)*(E2=E$1:E3945))))))</f>
        <v> </v>
      </c>
      <c r="K3946" s="25" t="str">
        <f>IF(OR(E3946="",E3946="!!!",F3946="NEW"),"",INDEX(J$1:J3945,SUMPRODUCT(MAX(ROW(E$1:E3945)*(E3946=E$1:E3945)))))</f>
        <v> </v>
      </c>
      <c r="L3946" s="26"/>
    </row>
    <row r="3947" spans="1:12">
      <c r="A3947" s="20" t="s">
        <v>1880</v>
      </c>
      <c r="B3947" s="27" t="s">
        <v>796</v>
      </c>
      <c r="C3947" s="27" t="s">
        <v>768</v>
      </c>
      <c r="E3947" s="21">
        <f>IF(D3947="?OLD","!!!","")</f>
        <v/>
      </c>
      <c r="F3947" s="22" t="str">
        <f>IF(OR(E3947="",E3947="!!!"),"",IF(NOT(ISNA(VLOOKUP(E3947,E$1:E3946,1,FALSE()))),"OLD",IF(AND(E3947&lt;&gt;"",E3947&lt;&gt;"!!!"),"NEW","")))</f>
        <v> </v>
      </c>
      <c r="G3947" s="23" t="str">
        <f>IF(OR(E3947="",E3947="!!!"),"",IF(OR(J3947=0,AND(J3947=1,K3947=1),AND(J3947=1,I3947="SBJ"),AND(J3947=1,I3947=0)),"?IN_FOCUS",IF(J3947&lt;=2,"?ACTIVATED",IF(J3947&lt;&gt;"","?FAMILIAR",IF(F3947="NEW",IF(ISNA(VLOOKUP(E3947,#REF!,1,FALSE())),"?TYPE_IDENTIFIABLE","?REFERENTIAL"),"_")))))</f>
        <v> </v>
      </c>
      <c r="H3947" s="24" t="str">
        <f>IF(J3947&lt;&gt;1,"",IF(I3947="SBJ","CB","?"))</f>
        <v> </v>
      </c>
      <c r="I3947" s="25" t="str">
        <f>IF(OR(E3947="",E3947="!!!",F3947="NEW"),"",INDEX(B3946:B$2,-1+SUMPRODUCT(MAX(ROW(E3946:E$2)*(E3947=E3946:E$2)))))</f>
        <v> </v>
      </c>
      <c r="J3947" s="25" t="str">
        <f>IF(OR(E3947="",E3947="!!!",F3947="NEW"),"",COUNTBLANK(OFFSET(A$1,,,SUMPRODUCT(MAX(ROW(E$2:E3947)*(E3947=E$2:E3947)))))-COUNTBLANK(OFFSET(A$1,,,SUMPRODUCT(MAX(ROW(E$1:E3946)*(E2=E$1:E3946))))))</f>
        <v> </v>
      </c>
      <c r="K3947" s="25" t="str">
        <f>IF(OR(E3947="",E3947="!!!",F3947="NEW"),"",INDEX(J$1:J3946,SUMPRODUCT(MAX(ROW(E$1:E3946)*(E3947=E$1:E3946)))))</f>
        <v> </v>
      </c>
      <c r="L3947" s="26"/>
    </row>
    <row r="3948" spans="1:12">
      <c r="A3948" s="20" t="s">
        <v>1881</v>
      </c>
      <c r="E3948" s="21">
        <f>IF(D3948="?OLD","!!!","")</f>
        <v/>
      </c>
      <c r="F3948" s="22" t="str">
        <f>IF(OR(E3948="",E3948="!!!"),"",IF(NOT(ISNA(VLOOKUP(E3948,E$1:E3947,1,FALSE()))),"OLD",IF(AND(E3948&lt;&gt;"",E3948&lt;&gt;"!!!"),"NEW","")))</f>
        <v> </v>
      </c>
      <c r="G3948" s="23" t="str">
        <f>IF(OR(E3948="",E3948="!!!"),"",IF(OR(J3948=0,AND(J3948=1,K3948=1),AND(J3948=1,I3948="SBJ"),AND(J3948=1,I3948=0)),"?IN_FOCUS",IF(J3948&lt;=2,"?ACTIVATED",IF(J3948&lt;&gt;"","?FAMILIAR",IF(F3948="NEW",IF(ISNA(VLOOKUP(E3948,#REF!,1,FALSE())),"?TYPE_IDENTIFIABLE","?REFERENTIAL"),"_")))))</f>
        <v> </v>
      </c>
      <c r="H3948" s="24" t="str">
        <f>IF(J3948&lt;&gt;1,"",IF(I3948="SBJ","CB","?"))</f>
        <v> </v>
      </c>
      <c r="I3948" s="25" t="str">
        <f>IF(OR(E3948="",E3948="!!!",F3948="NEW"),"",INDEX(B3947:B$2,-1+SUMPRODUCT(MAX(ROW(E3947:E$2)*(E3948=E3947:E$2)))))</f>
        <v> </v>
      </c>
      <c r="J3948" s="25" t="str">
        <f>IF(OR(E3948="",E3948="!!!",F3948="NEW"),"",COUNTBLANK(OFFSET(A$1,,,SUMPRODUCT(MAX(ROW(E$2:E3948)*(E3948=E$2:E3948)))))-COUNTBLANK(OFFSET(A$1,,,SUMPRODUCT(MAX(ROW(E$1:E3947)*(E2=E$1:E3947))))))</f>
        <v> </v>
      </c>
      <c r="K3948" s="25" t="str">
        <f>IF(OR(E3948="",E3948="!!!",F3948="NEW"),"",INDEX(J$1:J3947,SUMPRODUCT(MAX(ROW(E$1:E3947)*(E3948=E$1:E3947)))))</f>
        <v> </v>
      </c>
      <c r="L3948" s="26"/>
    </row>
    <row r="3949" spans="1:12">
      <c r="A3949" s="20" t="s">
        <v>769</v>
      </c>
      <c r="E3949" s="21">
        <f>IF(D3949="?OLD","!!!","")</f>
        <v/>
      </c>
      <c r="F3949" s="22" t="str">
        <f>IF(OR(E3949="",E3949="!!!"),"",IF(NOT(ISNA(VLOOKUP(E3949,E$1:E3948,1,FALSE()))),"OLD",IF(AND(E3949&lt;&gt;"",E3949&lt;&gt;"!!!"),"NEW","")))</f>
        <v> </v>
      </c>
      <c r="G3949" s="23" t="str">
        <f>IF(OR(E3949="",E3949="!!!"),"",IF(OR(J3949=0,AND(J3949=1,K3949=1),AND(J3949=1,I3949="SBJ"),AND(J3949=1,I3949=0)),"?IN_FOCUS",IF(J3949&lt;=2,"?ACTIVATED",IF(J3949&lt;&gt;"","?FAMILIAR",IF(F3949="NEW",IF(ISNA(VLOOKUP(E3949,#REF!,1,FALSE())),"?TYPE_IDENTIFIABLE","?REFERENTIAL"),"_")))))</f>
        <v> </v>
      </c>
      <c r="H3949" s="24" t="str">
        <f>IF(J3949&lt;&gt;1,"",IF(I3949="SBJ","CB","?"))</f>
        <v> </v>
      </c>
      <c r="I3949" s="25" t="str">
        <f>IF(OR(E3949="",E3949="!!!",F3949="NEW"),"",INDEX(B3948:B$2,-1+SUMPRODUCT(MAX(ROW(E3948:E$2)*(E3949=E3948:E$2)))))</f>
        <v> </v>
      </c>
      <c r="J3949" s="25" t="str">
        <f>IF(OR(E3949="",E3949="!!!",F3949="NEW"),"",COUNTBLANK(OFFSET(A$1,,,SUMPRODUCT(MAX(ROW(E$2:E3949)*(E3949=E$2:E3949)))))-COUNTBLANK(OFFSET(A$1,,,SUMPRODUCT(MAX(ROW(E$1:E3948)*(E2=E$1:E3948))))))</f>
        <v> </v>
      </c>
      <c r="K3949" s="25" t="str">
        <f>IF(OR(E3949="",E3949="!!!",F3949="NEW"),"",INDEX(J$1:J3948,SUMPRODUCT(MAX(ROW(E$1:E3948)*(E3949=E$1:E3948)))))</f>
        <v> </v>
      </c>
      <c r="L3949" s="26"/>
    </row>
    <row r="3950" spans="1:12">
      <c r="A3950" s="20" t="s">
        <v>1508</v>
      </c>
      <c r="B3950" s="27" t="s">
        <v>879</v>
      </c>
      <c r="C3950" s="27" t="s">
        <v>754</v>
      </c>
      <c r="E3950" s="21">
        <f>IF(D3950="?OLD","!!!","")</f>
        <v/>
      </c>
      <c r="F3950" s="22" t="str">
        <f>IF(OR(E3950="",E3950="!!!"),"",IF(NOT(ISNA(VLOOKUP(E3950,E$1:E3949,1,FALSE()))),"OLD",IF(AND(E3950&lt;&gt;"",E3950&lt;&gt;"!!!"),"NEW","")))</f>
        <v> </v>
      </c>
      <c r="G3950" s="23" t="str">
        <f>IF(OR(E3950="",E3950="!!!"),"",IF(OR(J3950=0,AND(J3950=1,K3950=1),AND(J3950=1,I3950="SBJ"),AND(J3950=1,I3950=0)),"?IN_FOCUS",IF(J3950&lt;=2,"?ACTIVATED",IF(J3950&lt;&gt;"","?FAMILIAR",IF(F3950="NEW",IF(ISNA(VLOOKUP(E3950,#REF!,1,FALSE())),"?TYPE_IDENTIFIABLE","?REFERENTIAL"),"_")))))</f>
        <v> </v>
      </c>
      <c r="H3950" s="24" t="str">
        <f>IF(J3950&lt;&gt;1,"",IF(I3950="SBJ","CB","?"))</f>
        <v> </v>
      </c>
      <c r="I3950" s="25" t="str">
        <f>IF(OR(E3950="",E3950="!!!",F3950="NEW"),"",INDEX(B3949:B$2,-1+SUMPRODUCT(MAX(ROW(E3949:E$2)*(E3950=E3949:E$2)))))</f>
        <v> </v>
      </c>
      <c r="J3950" s="25" t="str">
        <f>IF(OR(E3950="",E3950="!!!",F3950="NEW"),"",COUNTBLANK(OFFSET(A$1,,,SUMPRODUCT(MAX(ROW(E$2:E3950)*(E3950=E$2:E3950)))))-COUNTBLANK(OFFSET(A$1,,,SUMPRODUCT(MAX(ROW(E$1:E3949)*(E2=E$1:E3949))))))</f>
        <v> </v>
      </c>
      <c r="K3950" s="25" t="str">
        <f>IF(OR(E3950="",E3950="!!!",F3950="NEW"),"",INDEX(J$1:J3949,SUMPRODUCT(MAX(ROW(E$1:E3949)*(E3950=E$1:E3949)))))</f>
        <v> </v>
      </c>
      <c r="L3950" s="26"/>
    </row>
    <row r="3951" spans="1:12">
      <c r="A3951" s="20" t="s">
        <v>769</v>
      </c>
      <c r="E3951" s="21">
        <f>IF(D3951="?OLD","!!!","")</f>
        <v/>
      </c>
      <c r="F3951" s="22" t="str">
        <f>IF(OR(E3951="",E3951="!!!"),"",IF(NOT(ISNA(VLOOKUP(E3951,E$1:E3950,1,FALSE()))),"OLD",IF(AND(E3951&lt;&gt;"",E3951&lt;&gt;"!!!"),"NEW","")))</f>
        <v> </v>
      </c>
      <c r="G3951" s="23" t="str">
        <f>IF(OR(E3951="",E3951="!!!"),"",IF(OR(J3951=0,AND(J3951=1,K3951=1),AND(J3951=1,I3951="SBJ"),AND(J3951=1,I3951=0)),"?IN_FOCUS",IF(J3951&lt;=2,"?ACTIVATED",IF(J3951&lt;&gt;"","?FAMILIAR",IF(F3951="NEW",IF(ISNA(VLOOKUP(E3951,#REF!,1,FALSE())),"?TYPE_IDENTIFIABLE","?REFERENTIAL"),"_")))))</f>
        <v> </v>
      </c>
      <c r="H3951" s="24" t="str">
        <f>IF(J3951&lt;&gt;1,"",IF(I3951="SBJ","CB","?"))</f>
        <v> </v>
      </c>
      <c r="I3951" s="25" t="str">
        <f>IF(OR(E3951="",E3951="!!!",F3951="NEW"),"",INDEX(B3950:B$2,-1+SUMPRODUCT(MAX(ROW(E3950:E$2)*(E3951=E3950:E$2)))))</f>
        <v> </v>
      </c>
      <c r="J3951" s="25" t="str">
        <f>IF(OR(E3951="",E3951="!!!",F3951="NEW"),"",COUNTBLANK(OFFSET(A$1,,,SUMPRODUCT(MAX(ROW(E$2:E3951)*(E3951=E$2:E3951)))))-COUNTBLANK(OFFSET(A$1,,,SUMPRODUCT(MAX(ROW(E$1:E3950)*(E2=E$1:E3950))))))</f>
        <v> </v>
      </c>
      <c r="K3951" s="25" t="str">
        <f>IF(OR(E3951="",E3951="!!!",F3951="NEW"),"",INDEX(J$1:J3950,SUMPRODUCT(MAX(ROW(E$1:E3950)*(E3951=E$1:E3950)))))</f>
        <v> </v>
      </c>
      <c r="L3951" s="26"/>
    </row>
    <row r="3952" spans="1:12">
      <c r="A3952" s="20" t="s">
        <v>1885</v>
      </c>
      <c r="B3952" s="27" t="s">
        <v>901</v>
      </c>
      <c r="C3952" s="27" t="s">
        <v>754</v>
      </c>
      <c r="E3952" s="21">
        <f>IF(D3952="?OLD","!!!","")</f>
        <v/>
      </c>
      <c r="F3952" s="22" t="str">
        <f>IF(OR(E3952="",E3952="!!!"),"",IF(NOT(ISNA(VLOOKUP(E3952,E$1:E3951,1,FALSE()))),"OLD",IF(AND(E3952&lt;&gt;"",E3952&lt;&gt;"!!!"),"NEW","")))</f>
        <v> </v>
      </c>
      <c r="G3952" s="23" t="str">
        <f>IF(OR(E3952="",E3952="!!!"),"",IF(OR(J3952=0,AND(J3952=1,K3952=1),AND(J3952=1,I3952="SBJ"),AND(J3952=1,I3952=0)),"?IN_FOCUS",IF(J3952&lt;=2,"?ACTIVATED",IF(J3952&lt;&gt;"","?FAMILIAR",IF(F3952="NEW",IF(ISNA(VLOOKUP(E3952,#REF!,1,FALSE())),"?TYPE_IDENTIFIABLE","?REFERENTIAL"),"_")))))</f>
        <v> </v>
      </c>
      <c r="H3952" s="24" t="str">
        <f>IF(J3952&lt;&gt;1,"",IF(I3952="SBJ","CB","?"))</f>
        <v> </v>
      </c>
      <c r="I3952" s="25" t="str">
        <f>IF(OR(E3952="",E3952="!!!",F3952="NEW"),"",INDEX(B3951:B$2,-1+SUMPRODUCT(MAX(ROW(E3951:E$2)*(E3952=E3951:E$2)))))</f>
        <v> </v>
      </c>
      <c r="J3952" s="25" t="str">
        <f>IF(OR(E3952="",E3952="!!!",F3952="NEW"),"",COUNTBLANK(OFFSET(A$1,,,SUMPRODUCT(MAX(ROW(E$2:E3952)*(E3952=E$2:E3952)))))-COUNTBLANK(OFFSET(A$1,,,SUMPRODUCT(MAX(ROW(E$1:E3951)*(E2=E$1:E3951))))))</f>
        <v> </v>
      </c>
      <c r="K3952" s="25" t="str">
        <f>IF(OR(E3952="",E3952="!!!",F3952="NEW"),"",INDEX(J$1:J3951,SUMPRODUCT(MAX(ROW(E$1:E3951)*(E3952=E$1:E3951)))))</f>
        <v> </v>
      </c>
      <c r="L3952" s="26"/>
    </row>
    <row r="3953" spans="1:12">
      <c r="A3953" s="20" t="s">
        <v>16</v>
      </c>
      <c r="E3953" s="21">
        <f>IF(D3953="?OLD","!!!","")</f>
        <v/>
      </c>
      <c r="F3953" s="22" t="str">
        <f>IF(OR(E3953="",E3953="!!!"),"",IF(NOT(ISNA(VLOOKUP(E3953,E$1:E3952,1,FALSE()))),"OLD",IF(AND(E3953&lt;&gt;"",E3953&lt;&gt;"!!!"),"NEW","")))</f>
        <v> </v>
      </c>
      <c r="G3953" s="23" t="str">
        <f>IF(OR(E3953="",E3953="!!!"),"",IF(OR(J3953=0,AND(J3953=1,K3953=1),AND(J3953=1,I3953="SBJ"),AND(J3953=1,I3953=0)),"?IN_FOCUS",IF(J3953&lt;=2,"?ACTIVATED",IF(J3953&lt;&gt;"","?FAMILIAR",IF(F3953="NEW",IF(ISNA(VLOOKUP(E3953,#REF!,1,FALSE())),"?TYPE_IDENTIFIABLE","?REFERENTIAL"),"_")))))</f>
        <v> </v>
      </c>
      <c r="H3953" s="24" t="str">
        <f>IF(J3953&lt;&gt;1,"",IF(I3953="SBJ","CB","?"))</f>
        <v> </v>
      </c>
      <c r="I3953" s="25" t="str">
        <f>IF(OR(E3953="",E3953="!!!",F3953="NEW"),"",INDEX(B3952:B$2,-1+SUMPRODUCT(MAX(ROW(E3952:E$2)*(E3953=E3952:E$2)))))</f>
        <v> </v>
      </c>
      <c r="J3953" s="25" t="str">
        <f>IF(OR(E3953="",E3953="!!!",F3953="NEW"),"",COUNTBLANK(OFFSET(A$1,,,SUMPRODUCT(MAX(ROW(E$2:E3953)*(E3953=E$2:E3953)))))-COUNTBLANK(OFFSET(A$1,,,SUMPRODUCT(MAX(ROW(E$1:E3952)*(E2=E$1:E3952))))))</f>
        <v> </v>
      </c>
      <c r="K3953" s="25" t="str">
        <f>IF(OR(E3953="",E3953="!!!",F3953="NEW"),"",INDEX(J$1:J3952,SUMPRODUCT(MAX(ROW(E$1:E3952)*(E3953=E$1:E3952)))))</f>
        <v> </v>
      </c>
      <c r="L3953" s="26"/>
    </row>
    <row r="3954" spans="1:12">
      <c r="A3954" s="20" t="s">
        <v>1020</v>
      </c>
      <c r="B3954" s="27" t="s">
        <v>941</v>
      </c>
      <c r="E3954" s="21">
        <f>IF(D3954="?OLD","!!!","")</f>
        <v/>
      </c>
      <c r="F3954" s="22" t="str">
        <f>IF(OR(E3954="",E3954="!!!"),"",IF(NOT(ISNA(VLOOKUP(E3954,E$1:E3953,1,FALSE()))),"OLD",IF(AND(E3954&lt;&gt;"",E3954&lt;&gt;"!!!"),"NEW","")))</f>
        <v> </v>
      </c>
      <c r="G3954" s="23" t="str">
        <f>IF(OR(E3954="",E3954="!!!"),"",IF(OR(J3954=0,AND(J3954=1,K3954=1),AND(J3954=1,I3954="SBJ"),AND(J3954=1,I3954=0)),"?IN_FOCUS",IF(J3954&lt;=2,"?ACTIVATED",IF(J3954&lt;&gt;"","?FAMILIAR",IF(F3954="NEW",IF(ISNA(VLOOKUP(E3954,#REF!,1,FALSE())),"?TYPE_IDENTIFIABLE","?REFERENTIAL"),"_")))))</f>
        <v> </v>
      </c>
      <c r="H3954" s="24" t="str">
        <f>IF(J3954&lt;&gt;1,"",IF(I3954="SBJ","CB","?"))</f>
        <v> </v>
      </c>
      <c r="I3954" s="25" t="str">
        <f>IF(OR(E3954="",E3954="!!!",F3954="NEW"),"",INDEX(B3953:B$2,-1+SUMPRODUCT(MAX(ROW(E3953:E$2)*(E3954=E3953:E$2)))))</f>
        <v> </v>
      </c>
      <c r="J3954" s="25" t="str">
        <f>IF(OR(E3954="",E3954="!!!",F3954="NEW"),"",COUNTBLANK(OFFSET(A$1,,,SUMPRODUCT(MAX(ROW(E$2:E3954)*(E3954=E$2:E3954)))))-COUNTBLANK(OFFSET(A$1,,,SUMPRODUCT(MAX(ROW(E$1:E3953)*(E2=E$1:E3953))))))</f>
        <v> </v>
      </c>
      <c r="K3954" s="25" t="str">
        <f>IF(OR(E3954="",E3954="!!!",F3954="NEW"),"",INDEX(J$1:J3953,SUMPRODUCT(MAX(ROW(E$1:E3953)*(E3954=E$1:E3953)))))</f>
        <v> </v>
      </c>
      <c r="L3954" s="26"/>
    </row>
    <row r="3955" spans="1:12">
      <c r="A3955" s="20" t="s">
        <v>1390</v>
      </c>
      <c r="E3955" s="21">
        <f>IF(D3955="?OLD","!!!","")</f>
        <v/>
      </c>
      <c r="F3955" s="22" t="str">
        <f>IF(OR(E3955="",E3955="!!!"),"",IF(NOT(ISNA(VLOOKUP(E3955,E$1:E3954,1,FALSE()))),"OLD",IF(AND(E3955&lt;&gt;"",E3955&lt;&gt;"!!!"),"NEW","")))</f>
        <v> </v>
      </c>
      <c r="G3955" s="23" t="str">
        <f>IF(OR(E3955="",E3955="!!!"),"",IF(OR(J3955=0,AND(J3955=1,K3955=1),AND(J3955=1,I3955="SBJ"),AND(J3955=1,I3955=0)),"?IN_FOCUS",IF(J3955&lt;=2,"?ACTIVATED",IF(J3955&lt;&gt;"","?FAMILIAR",IF(F3955="NEW",IF(ISNA(VLOOKUP(E3955,#REF!,1,FALSE())),"?TYPE_IDENTIFIABLE","?REFERENTIAL"),"_")))))</f>
        <v> </v>
      </c>
      <c r="H3955" s="24" t="str">
        <f>IF(J3955&lt;&gt;1,"",IF(I3955="SBJ","CB","?"))</f>
        <v> </v>
      </c>
      <c r="I3955" s="25" t="str">
        <f>IF(OR(E3955="",E3955="!!!",F3955="NEW"),"",INDEX(B3954:B$2,-1+SUMPRODUCT(MAX(ROW(E3954:E$2)*(E3955=E3954:E$2)))))</f>
        <v> </v>
      </c>
      <c r="J3955" s="25" t="str">
        <f>IF(OR(E3955="",E3955="!!!",F3955="NEW"),"",COUNTBLANK(OFFSET(A$1,,,SUMPRODUCT(MAX(ROW(E$2:E3955)*(E3955=E$2:E3955)))))-COUNTBLANK(OFFSET(A$1,,,SUMPRODUCT(MAX(ROW(E$1:E3954)*(E2=E$1:E3954))))))</f>
        <v> </v>
      </c>
      <c r="K3955" s="25" t="str">
        <f>IF(OR(E3955="",E3955="!!!",F3955="NEW"),"",INDEX(J$1:J3954,SUMPRODUCT(MAX(ROW(E$1:E3954)*(E3955=E$1:E3954)))))</f>
        <v> </v>
      </c>
      <c r="L3955" s="26"/>
    </row>
    <row r="3956" spans="1:12">
      <c r="A3956" s="20" t="s">
        <v>1604</v>
      </c>
      <c r="E3956" s="21">
        <f>IF(D3956="?OLD","!!!","")</f>
        <v/>
      </c>
      <c r="F3956" s="22" t="str">
        <f>IF(OR(E3956="",E3956="!!!"),"",IF(NOT(ISNA(VLOOKUP(E3956,E$1:E3955,1,FALSE()))),"OLD",IF(AND(E3956&lt;&gt;"",E3956&lt;&gt;"!!!"),"NEW","")))</f>
        <v> </v>
      </c>
      <c r="G3956" s="23" t="str">
        <f>IF(OR(E3956="",E3956="!!!"),"",IF(OR(J3956=0,AND(J3956=1,K3956=1),AND(J3956=1,I3956="SBJ"),AND(J3956=1,I3956=0)),"?IN_FOCUS",IF(J3956&lt;=2,"?ACTIVATED",IF(J3956&lt;&gt;"","?FAMILIAR",IF(F3956="NEW",IF(ISNA(VLOOKUP(E3956,#REF!,1,FALSE())),"?TYPE_IDENTIFIABLE","?REFERENTIAL"),"_")))))</f>
        <v> </v>
      </c>
      <c r="H3956" s="24" t="str">
        <f>IF(J3956&lt;&gt;1,"",IF(I3956="SBJ","CB","?"))</f>
        <v> </v>
      </c>
      <c r="I3956" s="25" t="str">
        <f>IF(OR(E3956="",E3956="!!!",F3956="NEW"),"",INDEX(B3955:B$2,-1+SUMPRODUCT(MAX(ROW(E3955:E$2)*(E3956=E3955:E$2)))))</f>
        <v> </v>
      </c>
      <c r="J3956" s="25" t="str">
        <f>IF(OR(E3956="",E3956="!!!",F3956="NEW"),"",COUNTBLANK(OFFSET(A$1,,,SUMPRODUCT(MAX(ROW(E$2:E3956)*(E3956=E$2:E3956)))))-COUNTBLANK(OFFSET(A$1,,,SUMPRODUCT(MAX(ROW(E$1:E3955)*(E2=E$1:E3955))))))</f>
        <v> </v>
      </c>
      <c r="K3956" s="25" t="str">
        <f>IF(OR(E3956="",E3956="!!!",F3956="NEW"),"",INDEX(J$1:J3955,SUMPRODUCT(MAX(ROW(E$1:E3955)*(E3956=E$1:E3955)))))</f>
        <v> </v>
      </c>
      <c r="L3956" s="26"/>
    </row>
    <row r="3957" spans="1:12">
      <c r="A3957" s="20" t="s">
        <v>1103</v>
      </c>
      <c r="E3957" s="21">
        <f>IF(D3957="?OLD","!!!","")</f>
        <v/>
      </c>
      <c r="F3957" s="22" t="str">
        <f>IF(OR(E3957="",E3957="!!!"),"",IF(NOT(ISNA(VLOOKUP(E3957,E$1:E3956,1,FALSE()))),"OLD",IF(AND(E3957&lt;&gt;"",E3957&lt;&gt;"!!!"),"NEW","")))</f>
        <v> </v>
      </c>
      <c r="G3957" s="23" t="str">
        <f>IF(OR(E3957="",E3957="!!!"),"",IF(OR(J3957=0,AND(J3957=1,K3957=1),AND(J3957=1,I3957="SBJ"),AND(J3957=1,I3957=0)),"?IN_FOCUS",IF(J3957&lt;=2,"?ACTIVATED",IF(J3957&lt;&gt;"","?FAMILIAR",IF(F3957="NEW",IF(ISNA(VLOOKUP(E3957,#REF!,1,FALSE())),"?TYPE_IDENTIFIABLE","?REFERENTIAL"),"_")))))</f>
        <v> </v>
      </c>
      <c r="H3957" s="24" t="str">
        <f>IF(J3957&lt;&gt;1,"",IF(I3957="SBJ","CB","?"))</f>
        <v> </v>
      </c>
      <c r="I3957" s="25" t="str">
        <f>IF(OR(E3957="",E3957="!!!",F3957="NEW"),"",INDEX(B3956:B$2,-1+SUMPRODUCT(MAX(ROW(E3956:E$2)*(E3957=E3956:E$2)))))</f>
        <v> </v>
      </c>
      <c r="J3957" s="25" t="str">
        <f>IF(OR(E3957="",E3957="!!!",F3957="NEW"),"",COUNTBLANK(OFFSET(A$1,,,SUMPRODUCT(MAX(ROW(E$2:E3957)*(E3957=E$2:E3957)))))-COUNTBLANK(OFFSET(A$1,,,SUMPRODUCT(MAX(ROW(E$1:E3956)*(E2=E$1:E3956))))))</f>
        <v> </v>
      </c>
      <c r="K3957" s="25" t="str">
        <f>IF(OR(E3957="",E3957="!!!",F3957="NEW"),"",INDEX(J$1:J3956,SUMPRODUCT(MAX(ROW(E$1:E3956)*(E3957=E$1:E3956)))))</f>
        <v> </v>
      </c>
      <c r="L3957" s="26"/>
    </row>
    <row r="3958" spans="1:12">
      <c r="A3958" s="20" t="s">
        <v>785</v>
      </c>
      <c r="E3958" s="21">
        <f>IF(D3958="?OLD","!!!","")</f>
        <v/>
      </c>
      <c r="F3958" s="22" t="str">
        <f>IF(OR(E3958="",E3958="!!!"),"",IF(NOT(ISNA(VLOOKUP(E3958,E$1:E3957,1,FALSE()))),"OLD",IF(AND(E3958&lt;&gt;"",E3958&lt;&gt;"!!!"),"NEW","")))</f>
        <v> </v>
      </c>
      <c r="G3958" s="23" t="str">
        <f>IF(OR(E3958="",E3958="!!!"),"",IF(OR(J3958=0,AND(J3958=1,K3958=1),AND(J3958=1,I3958="SBJ"),AND(J3958=1,I3958=0)),"?IN_FOCUS",IF(J3958&lt;=2,"?ACTIVATED",IF(J3958&lt;&gt;"","?FAMILIAR",IF(F3958="NEW",IF(ISNA(VLOOKUP(E3958,#REF!,1,FALSE())),"?TYPE_IDENTIFIABLE","?REFERENTIAL"),"_")))))</f>
        <v> </v>
      </c>
      <c r="H3958" s="24" t="str">
        <f>IF(J3958&lt;&gt;1,"",IF(I3958="SBJ","CB","?"))</f>
        <v> </v>
      </c>
      <c r="I3958" s="25" t="str">
        <f>IF(OR(E3958="",E3958="!!!",F3958="NEW"),"",INDEX(B3957:B$2,-1+SUMPRODUCT(MAX(ROW(E3957:E$2)*(E3958=E3957:E$2)))))</f>
        <v> </v>
      </c>
      <c r="J3958" s="25" t="str">
        <f>IF(OR(E3958="",E3958="!!!",F3958="NEW"),"",COUNTBLANK(OFFSET(A$1,,,SUMPRODUCT(MAX(ROW(E$2:E3958)*(E3958=E$2:E3958)))))-COUNTBLANK(OFFSET(A$1,,,SUMPRODUCT(MAX(ROW(E$1:E3957)*(E2=E$1:E3957))))))</f>
        <v> </v>
      </c>
      <c r="K3958" s="25" t="str">
        <f>IF(OR(E3958="",E3958="!!!",F3958="NEW"),"",INDEX(J$1:J3957,SUMPRODUCT(MAX(ROW(E$1:E3957)*(E3958=E$1:E3957)))))</f>
        <v> </v>
      </c>
      <c r="L3958" s="26"/>
    </row>
    <row r="3959" spans="1:12">
      <c r="A3959" s="20" t="s">
        <v>769</v>
      </c>
      <c r="E3959" s="21">
        <f>IF(D3959="?OLD","!!!","")</f>
        <v/>
      </c>
      <c r="F3959" s="22" t="str">
        <f>IF(OR(E3959="",E3959="!!!"),"",IF(NOT(ISNA(VLOOKUP(E3959,E$1:E3958,1,FALSE()))),"OLD",IF(AND(E3959&lt;&gt;"",E3959&lt;&gt;"!!!"),"NEW","")))</f>
        <v> </v>
      </c>
      <c r="G3959" s="23" t="str">
        <f>IF(OR(E3959="",E3959="!!!"),"",IF(OR(J3959=0,AND(J3959=1,K3959=1),AND(J3959=1,I3959="SBJ"),AND(J3959=1,I3959=0)),"?IN_FOCUS",IF(J3959&lt;=2,"?ACTIVATED",IF(J3959&lt;&gt;"","?FAMILIAR",IF(F3959="NEW",IF(ISNA(VLOOKUP(E3959,#REF!,1,FALSE())),"?TYPE_IDENTIFIABLE","?REFERENTIAL"),"_")))))</f>
        <v> </v>
      </c>
      <c r="H3959" s="24" t="str">
        <f>IF(J3959&lt;&gt;1,"",IF(I3959="SBJ","CB","?"))</f>
        <v> </v>
      </c>
      <c r="I3959" s="25" t="str">
        <f>IF(OR(E3959="",E3959="!!!",F3959="NEW"),"",INDEX(B3958:B$2,-1+SUMPRODUCT(MAX(ROW(E3958:E$2)*(E3959=E3958:E$2)))))</f>
        <v> </v>
      </c>
      <c r="J3959" s="25" t="str">
        <f>IF(OR(E3959="",E3959="!!!",F3959="NEW"),"",COUNTBLANK(OFFSET(A$1,,,SUMPRODUCT(MAX(ROW(E$2:E3959)*(E3959=E$2:E3959)))))-COUNTBLANK(OFFSET(A$1,,,SUMPRODUCT(MAX(ROW(E$1:E3958)*(E2=E$1:E3958))))))</f>
        <v> </v>
      </c>
      <c r="K3959" s="25" t="str">
        <f>IF(OR(E3959="",E3959="!!!",F3959="NEW"),"",INDEX(J$1:J3958,SUMPRODUCT(MAX(ROW(E$1:E3958)*(E3959=E$1:E3958)))))</f>
        <v> </v>
      </c>
      <c r="L3959" s="26"/>
    </row>
    <row r="3960" spans="1:12">
      <c r="A3960" s="20" t="s">
        <v>838</v>
      </c>
      <c r="E3960" s="21">
        <f>IF(D3960="?OLD","!!!","")</f>
        <v/>
      </c>
      <c r="F3960" s="22" t="str">
        <f>IF(OR(E3960="",E3960="!!!"),"",IF(NOT(ISNA(VLOOKUP(E3960,E$1:E3959,1,FALSE()))),"OLD",IF(AND(E3960&lt;&gt;"",E3960&lt;&gt;"!!!"),"NEW","")))</f>
        <v> </v>
      </c>
      <c r="G3960" s="23" t="str">
        <f>IF(OR(E3960="",E3960="!!!"),"",IF(OR(J3960=0,AND(J3960=1,K3960=1),AND(J3960=1,I3960="SBJ"),AND(J3960=1,I3960=0)),"?IN_FOCUS",IF(J3960&lt;=2,"?ACTIVATED",IF(J3960&lt;&gt;"","?FAMILIAR",IF(F3960="NEW",IF(ISNA(VLOOKUP(E3960,#REF!,1,FALSE())),"?TYPE_IDENTIFIABLE","?REFERENTIAL"),"_")))))</f>
        <v> </v>
      </c>
      <c r="H3960" s="24" t="str">
        <f>IF(J3960&lt;&gt;1,"",IF(I3960="SBJ","CB","?"))</f>
        <v> </v>
      </c>
      <c r="I3960" s="25" t="str">
        <f>IF(OR(E3960="",E3960="!!!",F3960="NEW"),"",INDEX(B3959:B$2,-1+SUMPRODUCT(MAX(ROW(E3959:E$2)*(E3960=E3959:E$2)))))</f>
        <v> </v>
      </c>
      <c r="J3960" s="25" t="str">
        <f>IF(OR(E3960="",E3960="!!!",F3960="NEW"),"",COUNTBLANK(OFFSET(A$1,,,SUMPRODUCT(MAX(ROW(E$2:E3960)*(E3960=E$2:E3960)))))-COUNTBLANK(OFFSET(A$1,,,SUMPRODUCT(MAX(ROW(E$1:E3959)*(E2=E$1:E3959))))))</f>
        <v> </v>
      </c>
      <c r="K3960" s="25" t="str">
        <f>IF(OR(E3960="",E3960="!!!",F3960="NEW"),"",INDEX(J$1:J3959,SUMPRODUCT(MAX(ROW(E$1:E3959)*(E3960=E$1:E3959)))))</f>
        <v> </v>
      </c>
      <c r="L3960" s="26"/>
    </row>
    <row r="3961" spans="1:12">
      <c r="A3961" s="20" t="s">
        <v>1886</v>
      </c>
      <c r="B3961" s="27" t="s">
        <v>815</v>
      </c>
      <c r="C3961" s="27" t="s">
        <v>761</v>
      </c>
      <c r="D3961" s="27" t="s">
        <v>762</v>
      </c>
      <c r="E3961" s="21">
        <f>IF(D3961="?OLD","!!!","")</f>
        <v/>
      </c>
      <c r="F3961" s="22" t="str">
        <f>IF(OR(E3961="",E3961="!!!"),"",IF(NOT(ISNA(VLOOKUP(E3961,E$1:E3960,1,FALSE()))),"OLD",IF(AND(E3961&lt;&gt;"",E3961&lt;&gt;"!!!"),"NEW","")))</f>
        <v> </v>
      </c>
      <c r="G3961" s="23" t="str">
        <f>IF(OR(E3961="",E3961="!!!"),"",IF(OR(J3961=0,AND(J3961=1,K3961=1),AND(J3961=1,I3961="SBJ"),AND(J3961=1,I3961=0)),"?IN_FOCUS",IF(J3961&lt;=2,"?ACTIVATED",IF(J3961&lt;&gt;"","?FAMILIAR",IF(F3961="NEW",IF(ISNA(VLOOKUP(E3961,#REF!,1,FALSE())),"?TYPE_IDENTIFIABLE","?REFERENTIAL"),"_")))))</f>
        <v> </v>
      </c>
      <c r="H3961" s="24" t="str">
        <f>IF(J3961&lt;&gt;1,"",IF(I3961="SBJ","CB","?"))</f>
        <v> </v>
      </c>
      <c r="I3961" s="25" t="str">
        <f>IF(OR(E3961="",E3961="!!!",F3961="NEW"),"",INDEX(B3960:B$2,-1+SUMPRODUCT(MAX(ROW(E3960:E$2)*(E3961=E3960:E$2)))))</f>
        <v> </v>
      </c>
      <c r="J3961" s="25" t="str">
        <f>IF(OR(E3961="",E3961="!!!",F3961="NEW"),"",COUNTBLANK(OFFSET(A$1,,,SUMPRODUCT(MAX(ROW(E$2:E3961)*(E3961=E$2:E3961)))))-COUNTBLANK(OFFSET(A$1,,,SUMPRODUCT(MAX(ROW(E$1:E3960)*(E2=E$1:E3960))))))</f>
        <v> </v>
      </c>
      <c r="K3961" s="25" t="str">
        <f>IF(OR(E3961="",E3961="!!!",F3961="NEW"),"",INDEX(J$1:J3960,SUMPRODUCT(MAX(ROW(E$1:E3960)*(E3961=E$1:E3960)))))</f>
        <v> </v>
      </c>
      <c r="L3961" s="26"/>
    </row>
    <row r="3962" spans="1:12">
      <c r="A3962" s="20" t="s">
        <v>1887</v>
      </c>
      <c r="E3962" s="21">
        <f>IF(D3962="?OLD","!!!","")</f>
        <v/>
      </c>
      <c r="F3962" s="22" t="str">
        <f>IF(OR(E3962="",E3962="!!!"),"",IF(NOT(ISNA(VLOOKUP(E3962,E$1:E3961,1,FALSE()))),"OLD",IF(AND(E3962&lt;&gt;"",E3962&lt;&gt;"!!!"),"NEW","")))</f>
        <v> </v>
      </c>
      <c r="G3962" s="23" t="str">
        <f>IF(OR(E3962="",E3962="!!!"),"",IF(OR(J3962=0,AND(J3962=1,K3962=1),AND(J3962=1,I3962="SBJ"),AND(J3962=1,I3962=0)),"?IN_FOCUS",IF(J3962&lt;=2,"?ACTIVATED",IF(J3962&lt;&gt;"","?FAMILIAR",IF(F3962="NEW",IF(ISNA(VLOOKUP(E3962,#REF!,1,FALSE())),"?TYPE_IDENTIFIABLE","?REFERENTIAL"),"_")))))</f>
        <v> </v>
      </c>
      <c r="H3962" s="24" t="str">
        <f>IF(J3962&lt;&gt;1,"",IF(I3962="SBJ","CB","?"))</f>
        <v> </v>
      </c>
      <c r="I3962" s="25" t="str">
        <f>IF(OR(E3962="",E3962="!!!",F3962="NEW"),"",INDEX(B3961:B$2,-1+SUMPRODUCT(MAX(ROW(E3961:E$2)*(E3962=E3961:E$2)))))</f>
        <v> </v>
      </c>
      <c r="J3962" s="25" t="str">
        <f>IF(OR(E3962="",E3962="!!!",F3962="NEW"),"",COUNTBLANK(OFFSET(A$1,,,SUMPRODUCT(MAX(ROW(E$2:E3962)*(E3962=E$2:E3962)))))-COUNTBLANK(OFFSET(A$1,,,SUMPRODUCT(MAX(ROW(E$1:E3961)*(E2=E$1:E3961))))))</f>
        <v> </v>
      </c>
      <c r="K3962" s="25" t="str">
        <f>IF(OR(E3962="",E3962="!!!",F3962="NEW"),"",INDEX(J$1:J3961,SUMPRODUCT(MAX(ROW(E$1:E3961)*(E3962=E$1:E3961)))))</f>
        <v> </v>
      </c>
      <c r="L3962" s="26"/>
    </row>
    <row r="3963" spans="1:12">
      <c r="A3963" s="20" t="s">
        <v>769</v>
      </c>
      <c r="E3963" s="21">
        <f>IF(D3963="?OLD","!!!","")</f>
        <v/>
      </c>
      <c r="F3963" s="22" t="str">
        <f>IF(OR(E3963="",E3963="!!!"),"",IF(NOT(ISNA(VLOOKUP(E3963,E$1:E3962,1,FALSE()))),"OLD",IF(AND(E3963&lt;&gt;"",E3963&lt;&gt;"!!!"),"NEW","")))</f>
        <v> </v>
      </c>
      <c r="G3963" s="23" t="str">
        <f>IF(OR(E3963="",E3963="!!!"),"",IF(OR(J3963=0,AND(J3963=1,K3963=1),AND(J3963=1,I3963="SBJ"),AND(J3963=1,I3963=0)),"?IN_FOCUS",IF(J3963&lt;=2,"?ACTIVATED",IF(J3963&lt;&gt;"","?FAMILIAR",IF(F3963="NEW",IF(ISNA(VLOOKUP(E3963,#REF!,1,FALSE())),"?TYPE_IDENTIFIABLE","?REFERENTIAL"),"_")))))</f>
        <v> </v>
      </c>
      <c r="H3963" s="24" t="str">
        <f>IF(J3963&lt;&gt;1,"",IF(I3963="SBJ","CB","?"))</f>
        <v> </v>
      </c>
      <c r="I3963" s="25" t="str">
        <f>IF(OR(E3963="",E3963="!!!",F3963="NEW"),"",INDEX(B3962:B$2,-1+SUMPRODUCT(MAX(ROW(E3962:E$2)*(E3963=E3962:E$2)))))</f>
        <v> </v>
      </c>
      <c r="J3963" s="25" t="str">
        <f>IF(OR(E3963="",E3963="!!!",F3963="NEW"),"",COUNTBLANK(OFFSET(A$1,,,SUMPRODUCT(MAX(ROW(E$2:E3963)*(E3963=E$2:E3963)))))-COUNTBLANK(OFFSET(A$1,,,SUMPRODUCT(MAX(ROW(E$1:E3962)*(E2=E$1:E3962))))))</f>
        <v> </v>
      </c>
      <c r="K3963" s="25" t="str">
        <f>IF(OR(E3963="",E3963="!!!",F3963="NEW"),"",INDEX(J$1:J3962,SUMPRODUCT(MAX(ROW(E$1:E3962)*(E3963=E$1:E3962)))))</f>
        <v> </v>
      </c>
      <c r="L3963" s="26"/>
    </row>
    <row r="3964" spans="1:12">
      <c r="A3964" s="20" t="s">
        <v>1120</v>
      </c>
      <c r="B3964" s="27" t="s">
        <v>1062</v>
      </c>
      <c r="C3964" s="27" t="s">
        <v>754</v>
      </c>
      <c r="E3964" s="21">
        <f>IF(D3964="?OLD","!!!","")</f>
        <v/>
      </c>
      <c r="F3964" s="22" t="str">
        <f>IF(OR(E3964="",E3964="!!!"),"",IF(NOT(ISNA(VLOOKUP(E3964,E$1:E3963,1,FALSE()))),"OLD",IF(AND(E3964&lt;&gt;"",E3964&lt;&gt;"!!!"),"NEW","")))</f>
        <v> </v>
      </c>
      <c r="G3964" s="23" t="str">
        <f>IF(OR(E3964="",E3964="!!!"),"",IF(OR(J3964=0,AND(J3964=1,K3964=1),AND(J3964=1,I3964="SBJ"),AND(J3964=1,I3964=0)),"?IN_FOCUS",IF(J3964&lt;=2,"?ACTIVATED",IF(J3964&lt;&gt;"","?FAMILIAR",IF(F3964="NEW",IF(ISNA(VLOOKUP(E3964,#REF!,1,FALSE())),"?TYPE_IDENTIFIABLE","?REFERENTIAL"),"_")))))</f>
        <v> </v>
      </c>
      <c r="H3964" s="24" t="str">
        <f>IF(J3964&lt;&gt;1,"",IF(I3964="SBJ","CB","?"))</f>
        <v> </v>
      </c>
      <c r="I3964" s="25" t="str">
        <f>IF(OR(E3964="",E3964="!!!",F3964="NEW"),"",INDEX(B3963:B$2,-1+SUMPRODUCT(MAX(ROW(E3963:E$2)*(E3964=E3963:E$2)))))</f>
        <v> </v>
      </c>
      <c r="J3964" s="25" t="str">
        <f>IF(OR(E3964="",E3964="!!!",F3964="NEW"),"",COUNTBLANK(OFFSET(A$1,,,SUMPRODUCT(MAX(ROW(E$2:E3964)*(E3964=E$2:E3964)))))-COUNTBLANK(OFFSET(A$1,,,SUMPRODUCT(MAX(ROW(E$1:E3963)*(E2=E$1:E3963))))))</f>
        <v> </v>
      </c>
      <c r="K3964" s="25" t="str">
        <f>IF(OR(E3964="",E3964="!!!",F3964="NEW"),"",INDEX(J$1:J3963,SUMPRODUCT(MAX(ROW(E$1:E3963)*(E3964=E$1:E3963)))))</f>
        <v> </v>
      </c>
      <c r="L3964" s="26"/>
    </row>
    <row r="3965" spans="1:12">
      <c r="A3965" s="20" t="s">
        <v>769</v>
      </c>
      <c r="E3965" s="21">
        <f>IF(D3965="?OLD","!!!","")</f>
        <v/>
      </c>
      <c r="F3965" s="22" t="str">
        <f>IF(OR(E3965="",E3965="!!!"),"",IF(NOT(ISNA(VLOOKUP(E3965,E$1:E3964,1,FALSE()))),"OLD",IF(AND(E3965&lt;&gt;"",E3965&lt;&gt;"!!!"),"NEW","")))</f>
        <v> </v>
      </c>
      <c r="G3965" s="23" t="str">
        <f>IF(OR(E3965="",E3965="!!!"),"",IF(OR(J3965=0,AND(J3965=1,K3965=1),AND(J3965=1,I3965="SBJ"),AND(J3965=1,I3965=0)),"?IN_FOCUS",IF(J3965&lt;=2,"?ACTIVATED",IF(J3965&lt;&gt;"","?FAMILIAR",IF(F3965="NEW",IF(ISNA(VLOOKUP(E3965,#REF!,1,FALSE())),"?TYPE_IDENTIFIABLE","?REFERENTIAL"),"_")))))</f>
        <v> </v>
      </c>
      <c r="H3965" s="24" t="str">
        <f>IF(J3965&lt;&gt;1,"",IF(I3965="SBJ","CB","?"))</f>
        <v> </v>
      </c>
      <c r="I3965" s="25" t="str">
        <f>IF(OR(E3965="",E3965="!!!",F3965="NEW"),"",INDEX(B3964:B$2,-1+SUMPRODUCT(MAX(ROW(E3964:E$2)*(E3965=E3964:E$2)))))</f>
        <v> </v>
      </c>
      <c r="J3965" s="25" t="str">
        <f>IF(OR(E3965="",E3965="!!!",F3965="NEW"),"",COUNTBLANK(OFFSET(A$1,,,SUMPRODUCT(MAX(ROW(E$2:E3965)*(E3965=E$2:E3965)))))-COUNTBLANK(OFFSET(A$1,,,SUMPRODUCT(MAX(ROW(E$1:E3964)*(E2=E$1:E3964))))))</f>
        <v> </v>
      </c>
      <c r="K3965" s="25" t="str">
        <f>IF(OR(E3965="",E3965="!!!",F3965="NEW"),"",INDEX(J$1:J3964,SUMPRODUCT(MAX(ROW(E$1:E3964)*(E3965=E$1:E3964)))))</f>
        <v> </v>
      </c>
      <c r="L3965" s="26"/>
    </row>
    <row r="3966" spans="1:12">
      <c r="A3966" s="20" t="s">
        <v>838</v>
      </c>
      <c r="E3966" s="21">
        <f>IF(D3966="?OLD","!!!","")</f>
        <v/>
      </c>
      <c r="F3966" s="22" t="str">
        <f>IF(OR(E3966="",E3966="!!!"),"",IF(NOT(ISNA(VLOOKUP(E3966,E$1:E3965,1,FALSE()))),"OLD",IF(AND(E3966&lt;&gt;"",E3966&lt;&gt;"!!!"),"NEW","")))</f>
        <v> </v>
      </c>
      <c r="G3966" s="23" t="str">
        <f>IF(OR(E3966="",E3966="!!!"),"",IF(OR(J3966=0,AND(J3966=1,K3966=1),AND(J3966=1,I3966="SBJ"),AND(J3966=1,I3966=0)),"?IN_FOCUS",IF(J3966&lt;=2,"?ACTIVATED",IF(J3966&lt;&gt;"","?FAMILIAR",IF(F3966="NEW",IF(ISNA(VLOOKUP(E3966,#REF!,1,FALSE())),"?TYPE_IDENTIFIABLE","?REFERENTIAL"),"_")))))</f>
        <v> </v>
      </c>
      <c r="H3966" s="24" t="str">
        <f>IF(J3966&lt;&gt;1,"",IF(I3966="SBJ","CB","?"))</f>
        <v> </v>
      </c>
      <c r="I3966" s="25" t="str">
        <f>IF(OR(E3966="",E3966="!!!",F3966="NEW"),"",INDEX(B3965:B$2,-1+SUMPRODUCT(MAX(ROW(E3965:E$2)*(E3966=E3965:E$2)))))</f>
        <v> </v>
      </c>
      <c r="J3966" s="25" t="str">
        <f>IF(OR(E3966="",E3966="!!!",F3966="NEW"),"",COUNTBLANK(OFFSET(A$1,,,SUMPRODUCT(MAX(ROW(E$2:E3966)*(E3966=E$2:E3966)))))-COUNTBLANK(OFFSET(A$1,,,SUMPRODUCT(MAX(ROW(E$1:E3965)*(E2=E$1:E3965))))))</f>
        <v> </v>
      </c>
      <c r="K3966" s="25" t="str">
        <f>IF(OR(E3966="",E3966="!!!",F3966="NEW"),"",INDEX(J$1:J3965,SUMPRODUCT(MAX(ROW(E$1:E3965)*(E3966=E$1:E3965)))))</f>
        <v> </v>
      </c>
      <c r="L3966" s="26"/>
    </row>
    <row r="3967" spans="1:12">
      <c r="A3967" s="20" t="s">
        <v>1888</v>
      </c>
      <c r="B3967" s="27" t="s">
        <v>1062</v>
      </c>
      <c r="C3967" s="27" t="s">
        <v>761</v>
      </c>
      <c r="D3967" s="27" t="s">
        <v>762</v>
      </c>
      <c r="E3967" s="21">
        <f>IF(D3967="?OLD","!!!","")</f>
        <v/>
      </c>
      <c r="F3967" s="22" t="str">
        <f>IF(OR(E3967="",E3967="!!!"),"",IF(NOT(ISNA(VLOOKUP(E3967,E$1:E3966,1,FALSE()))),"OLD",IF(AND(E3967&lt;&gt;"",E3967&lt;&gt;"!!!"),"NEW","")))</f>
        <v> </v>
      </c>
      <c r="G3967" s="23" t="str">
        <f>IF(OR(E3967="",E3967="!!!"),"",IF(OR(J3967=0,AND(J3967=1,K3967=1),AND(J3967=1,I3967="SBJ"),AND(J3967=1,I3967=0)),"?IN_FOCUS",IF(J3967&lt;=2,"?ACTIVATED",IF(J3967&lt;&gt;"","?FAMILIAR",IF(F3967="NEW",IF(ISNA(VLOOKUP(E3967,#REF!,1,FALSE())),"?TYPE_IDENTIFIABLE","?REFERENTIAL"),"_")))))</f>
        <v> </v>
      </c>
      <c r="H3967" s="24" t="str">
        <f>IF(J3967&lt;&gt;1,"",IF(I3967="SBJ","CB","?"))</f>
        <v> </v>
      </c>
      <c r="I3967" s="25" t="str">
        <f>IF(OR(E3967="",E3967="!!!",F3967="NEW"),"",INDEX(B3966:B$2,-1+SUMPRODUCT(MAX(ROW(E3966:E$2)*(E3967=E3966:E$2)))))</f>
        <v> </v>
      </c>
      <c r="J3967" s="25" t="str">
        <f>IF(OR(E3967="",E3967="!!!",F3967="NEW"),"",COUNTBLANK(OFFSET(A$1,,,SUMPRODUCT(MAX(ROW(E$2:E3967)*(E3967=E$2:E3967)))))-COUNTBLANK(OFFSET(A$1,,,SUMPRODUCT(MAX(ROW(E$1:E3966)*(E2=E$1:E3966))))))</f>
        <v> </v>
      </c>
      <c r="K3967" s="25" t="str">
        <f>IF(OR(E3967="",E3967="!!!",F3967="NEW"),"",INDEX(J$1:J3966,SUMPRODUCT(MAX(ROW(E$1:E3966)*(E3967=E$1:E3966)))))</f>
        <v> </v>
      </c>
      <c r="L3967" s="26"/>
    </row>
    <row r="3968" spans="1:12">
      <c r="A3968" s="20" t="s">
        <v>16</v>
      </c>
      <c r="E3968" s="21">
        <f>IF(D3968="?OLD","!!!","")</f>
        <v/>
      </c>
      <c r="F3968" s="22" t="str">
        <f>IF(OR(E3968="",E3968="!!!"),"",IF(NOT(ISNA(VLOOKUP(E3968,E$1:E3967,1,FALSE()))),"OLD",IF(AND(E3968&lt;&gt;"",E3968&lt;&gt;"!!!"),"NEW","")))</f>
        <v> </v>
      </c>
      <c r="G3968" s="23" t="str">
        <f>IF(OR(E3968="",E3968="!!!"),"",IF(OR(J3968=0,AND(J3968=1,K3968=1),AND(J3968=1,I3968="SBJ"),AND(J3968=1,I3968=0)),"?IN_FOCUS",IF(J3968&lt;=2,"?ACTIVATED",IF(J3968&lt;&gt;"","?FAMILIAR",IF(F3968="NEW",IF(ISNA(VLOOKUP(E3968,#REF!,1,FALSE())),"?TYPE_IDENTIFIABLE","?REFERENTIAL"),"_")))))</f>
        <v> </v>
      </c>
      <c r="H3968" s="24" t="str">
        <f>IF(J3968&lt;&gt;1,"",IF(I3968="SBJ","CB","?"))</f>
        <v> </v>
      </c>
      <c r="I3968" s="25" t="str">
        <f>IF(OR(E3968="",E3968="!!!",F3968="NEW"),"",INDEX(B3967:B$2,-1+SUMPRODUCT(MAX(ROW(E3967:E$2)*(E3968=E3967:E$2)))))</f>
        <v> </v>
      </c>
      <c r="J3968" s="25" t="str">
        <f>IF(OR(E3968="",E3968="!!!",F3968="NEW"),"",COUNTBLANK(OFFSET(A$1,,,SUMPRODUCT(MAX(ROW(E$2:E3968)*(E3968=E$2:E3968)))))-COUNTBLANK(OFFSET(A$1,,,SUMPRODUCT(MAX(ROW(E$1:E3967)*(E2=E$1:E3967))))))</f>
        <v> </v>
      </c>
      <c r="K3968" s="25" t="str">
        <f>IF(OR(E3968="",E3968="!!!",F3968="NEW"),"",INDEX(J$1:J3967,SUMPRODUCT(MAX(ROW(E$1:E3967)*(E3968=E$1:E3967)))))</f>
        <v> </v>
      </c>
      <c r="L3968" s="26"/>
    </row>
    <row r="3969" spans="1:12">
      <c r="A3969" s="20" t="s">
        <v>697</v>
      </c>
      <c r="E3969" s="21">
        <f>IF(D3969="?OLD","!!!","")</f>
        <v/>
      </c>
      <c r="F3969" s="22" t="str">
        <f>IF(OR(E3969="",E3969="!!!"),"",IF(NOT(ISNA(VLOOKUP(E3969,E$1:E3968,1,FALSE()))),"OLD",IF(AND(E3969&lt;&gt;"",E3969&lt;&gt;"!!!"),"NEW","")))</f>
        <v> </v>
      </c>
      <c r="G3969" s="23" t="str">
        <f>IF(OR(E3969="",E3969="!!!"),"",IF(OR(J3969=0,AND(J3969=1,K3969=1),AND(J3969=1,I3969="SBJ"),AND(J3969=1,I3969=0)),"?IN_FOCUS",IF(J3969&lt;=2,"?ACTIVATED",IF(J3969&lt;&gt;"","?FAMILIAR",IF(F3969="NEW",IF(ISNA(VLOOKUP(E3969,#REF!,1,FALSE())),"?TYPE_IDENTIFIABLE","?REFERENTIAL"),"_")))))</f>
        <v> </v>
      </c>
      <c r="H3969" s="24" t="str">
        <f>IF(J3969&lt;&gt;1,"",IF(I3969="SBJ","CB","?"))</f>
        <v> </v>
      </c>
      <c r="I3969" s="25" t="str">
        <f>IF(OR(E3969="",E3969="!!!",F3969="NEW"),"",INDEX(B3968:B$2,-1+SUMPRODUCT(MAX(ROW(E3968:E$2)*(E3969=E3968:E$2)))))</f>
        <v> </v>
      </c>
      <c r="J3969" s="25" t="str">
        <f>IF(OR(E3969="",E3969="!!!",F3969="NEW"),"",COUNTBLANK(OFFSET(A$1,,,SUMPRODUCT(MAX(ROW(E$2:E3969)*(E3969=E$2:E3969)))))-COUNTBLANK(OFFSET(A$1,,,SUMPRODUCT(MAX(ROW(E$1:E3968)*(E2=E$1:E3968))))))</f>
        <v> </v>
      </c>
      <c r="K3969" s="25" t="str">
        <f>IF(OR(E3969="",E3969="!!!",F3969="NEW"),"",INDEX(J$1:J3968,SUMPRODUCT(MAX(ROW(E$1:E3968)*(E3969=E$1:E3968)))))</f>
        <v> </v>
      </c>
      <c r="L3969" s="26"/>
    </row>
    <row r="3970" spans="1:12">
      <c r="A3970" s="20" t="s">
        <v>811</v>
      </c>
      <c r="E3970" s="21">
        <f>IF(D3970="?OLD","!!!","")</f>
        <v/>
      </c>
      <c r="F3970" s="22" t="str">
        <f>IF(OR(E3970="",E3970="!!!"),"",IF(NOT(ISNA(VLOOKUP(E3970,E$1:E3969,1,FALSE()))),"OLD",IF(AND(E3970&lt;&gt;"",E3970&lt;&gt;"!!!"),"NEW","")))</f>
        <v> </v>
      </c>
      <c r="G3970" s="23" t="str">
        <f>IF(OR(E3970="",E3970="!!!"),"",IF(OR(J3970=0,AND(J3970=1,K3970=1),AND(J3970=1,I3970="SBJ"),AND(J3970=1,I3970=0)),"?IN_FOCUS",IF(J3970&lt;=2,"?ACTIVATED",IF(J3970&lt;&gt;"","?FAMILIAR",IF(F3970="NEW",IF(ISNA(VLOOKUP(E3970,#REF!,1,FALSE())),"?TYPE_IDENTIFIABLE","?REFERENTIAL"),"_")))))</f>
        <v> </v>
      </c>
      <c r="H3970" s="24" t="str">
        <f>IF(J3970&lt;&gt;1,"",IF(I3970="SBJ","CB","?"))</f>
        <v> </v>
      </c>
      <c r="I3970" s="25" t="str">
        <f>IF(OR(E3970="",E3970="!!!",F3970="NEW"),"",INDEX(B3969:B$2,-1+SUMPRODUCT(MAX(ROW(E3969:E$2)*(E3970=E3969:E$2)))))</f>
        <v> </v>
      </c>
      <c r="J3970" s="25" t="str">
        <f>IF(OR(E3970="",E3970="!!!",F3970="NEW"),"",COUNTBLANK(OFFSET(A$1,,,SUMPRODUCT(MAX(ROW(E$2:E3970)*(E3970=E$2:E3970)))))-COUNTBLANK(OFFSET(A$1,,,SUMPRODUCT(MAX(ROW(E$1:E3969)*(E2=E$1:E3969))))))</f>
        <v> </v>
      </c>
      <c r="K3970" s="25" t="str">
        <f>IF(OR(E3970="",E3970="!!!",F3970="NEW"),"",INDEX(J$1:J3969,SUMPRODUCT(MAX(ROW(E$1:E3969)*(E3970=E$1:E3969)))))</f>
        <v> </v>
      </c>
      <c r="L3970" s="26"/>
    </row>
    <row r="3971" spans="1:12">
      <c r="A3971" s="20" t="s">
        <v>1879</v>
      </c>
      <c r="E3971" s="21">
        <f>IF(D3971="?OLD","!!!","")</f>
        <v/>
      </c>
      <c r="F3971" s="22" t="str">
        <f>IF(OR(E3971="",E3971="!!!"),"",IF(NOT(ISNA(VLOOKUP(E3971,E$1:E3970,1,FALSE()))),"OLD",IF(AND(E3971&lt;&gt;"",E3971&lt;&gt;"!!!"),"NEW","")))</f>
        <v> </v>
      </c>
      <c r="G3971" s="23" t="str">
        <f>IF(OR(E3971="",E3971="!!!"),"",IF(OR(J3971=0,AND(J3971=1,K3971=1),AND(J3971=1,I3971="SBJ"),AND(J3971=1,I3971=0)),"?IN_FOCUS",IF(J3971&lt;=2,"?ACTIVATED",IF(J3971&lt;&gt;"","?FAMILIAR",IF(F3971="NEW",IF(ISNA(VLOOKUP(E3971,#REF!,1,FALSE())),"?TYPE_IDENTIFIABLE","?REFERENTIAL"),"_")))))</f>
        <v> </v>
      </c>
      <c r="H3971" s="24" t="str">
        <f>IF(J3971&lt;&gt;1,"",IF(I3971="SBJ","CB","?"))</f>
        <v> </v>
      </c>
      <c r="I3971" s="25" t="str">
        <f>IF(OR(E3971="",E3971="!!!",F3971="NEW"),"",INDEX(B3970:B$2,-1+SUMPRODUCT(MAX(ROW(E3970:E$2)*(E3971=E3970:E$2)))))</f>
        <v> </v>
      </c>
      <c r="J3971" s="25" t="str">
        <f>IF(OR(E3971="",E3971="!!!",F3971="NEW"),"",COUNTBLANK(OFFSET(A$1,,,SUMPRODUCT(MAX(ROW(E$2:E3971)*(E3971=E$2:E3971)))))-COUNTBLANK(OFFSET(A$1,,,SUMPRODUCT(MAX(ROW(E$1:E3970)*(E2=E$1:E3970))))))</f>
        <v> </v>
      </c>
      <c r="K3971" s="25" t="str">
        <f>IF(OR(E3971="",E3971="!!!",F3971="NEW"),"",INDEX(J$1:J3970,SUMPRODUCT(MAX(ROW(E$1:E3970)*(E3971=E$1:E3970)))))</f>
        <v> </v>
      </c>
      <c r="L3971" s="26"/>
    </row>
    <row r="3972" spans="1:12">
      <c r="A3972" s="20" t="s">
        <v>889</v>
      </c>
      <c r="E3972" s="21">
        <f>IF(D3972="?OLD","!!!","")</f>
        <v/>
      </c>
      <c r="F3972" s="22" t="str">
        <f>IF(OR(E3972="",E3972="!!!"),"",IF(NOT(ISNA(VLOOKUP(E3972,E$1:E3971,1,FALSE()))),"OLD",IF(AND(E3972&lt;&gt;"",E3972&lt;&gt;"!!!"),"NEW","")))</f>
        <v> </v>
      </c>
      <c r="G3972" s="23" t="str">
        <f>IF(OR(E3972="",E3972="!!!"),"",IF(OR(J3972=0,AND(J3972=1,K3972=1),AND(J3972=1,I3972="SBJ"),AND(J3972=1,I3972=0)),"?IN_FOCUS",IF(J3972&lt;=2,"?ACTIVATED",IF(J3972&lt;&gt;"","?FAMILIAR",IF(F3972="NEW",IF(ISNA(VLOOKUP(E3972,#REF!,1,FALSE())),"?TYPE_IDENTIFIABLE","?REFERENTIAL"),"_")))))</f>
        <v> </v>
      </c>
      <c r="H3972" s="24" t="str">
        <f>IF(J3972&lt;&gt;1,"",IF(I3972="SBJ","CB","?"))</f>
        <v> </v>
      </c>
      <c r="I3972" s="25" t="str">
        <f>IF(OR(E3972="",E3972="!!!",F3972="NEW"),"",INDEX(B3971:B$2,-1+SUMPRODUCT(MAX(ROW(E3971:E$2)*(E3972=E3971:E$2)))))</f>
        <v> </v>
      </c>
      <c r="J3972" s="25" t="str">
        <f>IF(OR(E3972="",E3972="!!!",F3972="NEW"),"",COUNTBLANK(OFFSET(A$1,,,SUMPRODUCT(MAX(ROW(E$2:E3972)*(E3972=E$2:E3972)))))-COUNTBLANK(OFFSET(A$1,,,SUMPRODUCT(MAX(ROW(E$1:E3971)*(E2=E$1:E3971))))))</f>
        <v> </v>
      </c>
      <c r="K3972" s="25" t="str">
        <f>IF(OR(E3972="",E3972="!!!",F3972="NEW"),"",INDEX(J$1:J3971,SUMPRODUCT(MAX(ROW(E$1:E3971)*(E3972=E$1:E3971)))))</f>
        <v> </v>
      </c>
      <c r="L3972" s="26"/>
    </row>
    <row r="3973" spans="1:12">
      <c r="A3973" s="20" t="s">
        <v>779</v>
      </c>
      <c r="E3973" s="21">
        <f>IF(D3973="?OLD","!!!","")</f>
        <v/>
      </c>
      <c r="F3973" s="22" t="str">
        <f>IF(OR(E3973="",E3973="!!!"),"",IF(NOT(ISNA(VLOOKUP(E3973,E$1:E3972,1,FALSE()))),"OLD",IF(AND(E3973&lt;&gt;"",E3973&lt;&gt;"!!!"),"NEW","")))</f>
        <v> </v>
      </c>
      <c r="G3973" s="23" t="str">
        <f>IF(OR(E3973="",E3973="!!!"),"",IF(OR(J3973=0,AND(J3973=1,K3973=1),AND(J3973=1,I3973="SBJ"),AND(J3973=1,I3973=0)),"?IN_FOCUS",IF(J3973&lt;=2,"?ACTIVATED",IF(J3973&lt;&gt;"","?FAMILIAR",IF(F3973="NEW",IF(ISNA(VLOOKUP(E3973,#REF!,1,FALSE())),"?TYPE_IDENTIFIABLE","?REFERENTIAL"),"_")))))</f>
        <v> </v>
      </c>
      <c r="H3973" s="24" t="str">
        <f>IF(J3973&lt;&gt;1,"",IF(I3973="SBJ","CB","?"))</f>
        <v> </v>
      </c>
      <c r="I3973" s="25" t="str">
        <f>IF(OR(E3973="",E3973="!!!",F3973="NEW"),"",INDEX(B3972:B$2,-1+SUMPRODUCT(MAX(ROW(E3972:E$2)*(E3973=E3972:E$2)))))</f>
        <v> </v>
      </c>
      <c r="J3973" s="25" t="str">
        <f>IF(OR(E3973="",E3973="!!!",F3973="NEW"),"",COUNTBLANK(OFFSET(A$1,,,SUMPRODUCT(MAX(ROW(E$2:E3973)*(E3973=E$2:E3973)))))-COUNTBLANK(OFFSET(A$1,,,SUMPRODUCT(MAX(ROW(E$1:E3972)*(E2=E$1:E3972))))))</f>
        <v> </v>
      </c>
      <c r="K3973" s="25" t="str">
        <f>IF(OR(E3973="",E3973="!!!",F3973="NEW"),"",INDEX(J$1:J3972,SUMPRODUCT(MAX(ROW(E$1:E3972)*(E3973=E$1:E3972)))))</f>
        <v> </v>
      </c>
      <c r="L3973" s="26"/>
    </row>
    <row r="3974" spans="1:12">
      <c r="A3974" s="20" t="s">
        <v>1880</v>
      </c>
      <c r="B3974" s="27" t="s">
        <v>956</v>
      </c>
      <c r="C3974" s="27" t="s">
        <v>768</v>
      </c>
      <c r="E3974" s="21">
        <f>IF(D3974="?OLD","!!!","")</f>
        <v/>
      </c>
      <c r="F3974" s="22" t="str">
        <f>IF(OR(E3974="",E3974="!!!"),"",IF(NOT(ISNA(VLOOKUP(E3974,E$1:E3973,1,FALSE()))),"OLD",IF(AND(E3974&lt;&gt;"",E3974&lt;&gt;"!!!"),"NEW","")))</f>
        <v> </v>
      </c>
      <c r="G3974" s="23" t="str">
        <f>IF(OR(E3974="",E3974="!!!"),"",IF(OR(J3974=0,AND(J3974=1,K3974=1),AND(J3974=1,I3974="SBJ"),AND(J3974=1,I3974=0)),"?IN_FOCUS",IF(J3974&lt;=2,"?ACTIVATED",IF(J3974&lt;&gt;"","?FAMILIAR",IF(F3974="NEW",IF(ISNA(VLOOKUP(E3974,#REF!,1,FALSE())),"?TYPE_IDENTIFIABLE","?REFERENTIAL"),"_")))))</f>
        <v> </v>
      </c>
      <c r="H3974" s="24" t="str">
        <f>IF(J3974&lt;&gt;1,"",IF(I3974="SBJ","CB","?"))</f>
        <v> </v>
      </c>
      <c r="I3974" s="25" t="str">
        <f>IF(OR(E3974="",E3974="!!!",F3974="NEW"),"",INDEX(B3973:B$2,-1+SUMPRODUCT(MAX(ROW(E3973:E$2)*(E3974=E3973:E$2)))))</f>
        <v> </v>
      </c>
      <c r="J3974" s="25" t="str">
        <f>IF(OR(E3974="",E3974="!!!",F3974="NEW"),"",COUNTBLANK(OFFSET(A$1,,,SUMPRODUCT(MAX(ROW(E$2:E3974)*(E3974=E$2:E3974)))))-COUNTBLANK(OFFSET(A$1,,,SUMPRODUCT(MAX(ROW(E$1:E3973)*(E2=E$1:E3973))))))</f>
        <v> </v>
      </c>
      <c r="K3974" s="25" t="str">
        <f>IF(OR(E3974="",E3974="!!!",F3974="NEW"),"",INDEX(J$1:J3973,SUMPRODUCT(MAX(ROW(E$1:E3973)*(E3974=E$1:E3973)))))</f>
        <v> </v>
      </c>
      <c r="L3974" s="26"/>
    </row>
    <row r="3975" spans="1:12">
      <c r="A3975" s="20" t="s">
        <v>1881</v>
      </c>
      <c r="E3975" s="21">
        <f>IF(D3975="?OLD","!!!","")</f>
        <v/>
      </c>
      <c r="F3975" s="22" t="str">
        <f>IF(OR(E3975="",E3975="!!!"),"",IF(NOT(ISNA(VLOOKUP(E3975,E$1:E3974,1,FALSE()))),"OLD",IF(AND(E3975&lt;&gt;"",E3975&lt;&gt;"!!!"),"NEW","")))</f>
        <v> </v>
      </c>
      <c r="G3975" s="23" t="str">
        <f>IF(OR(E3975="",E3975="!!!"),"",IF(OR(J3975=0,AND(J3975=1,K3975=1),AND(J3975=1,I3975="SBJ"),AND(J3975=1,I3975=0)),"?IN_FOCUS",IF(J3975&lt;=2,"?ACTIVATED",IF(J3975&lt;&gt;"","?FAMILIAR",IF(F3975="NEW",IF(ISNA(VLOOKUP(E3975,#REF!,1,FALSE())),"?TYPE_IDENTIFIABLE","?REFERENTIAL"),"_")))))</f>
        <v> </v>
      </c>
      <c r="H3975" s="24" t="str">
        <f>IF(J3975&lt;&gt;1,"",IF(I3975="SBJ","CB","?"))</f>
        <v> </v>
      </c>
      <c r="I3975" s="25" t="str">
        <f>IF(OR(E3975="",E3975="!!!",F3975="NEW"),"",INDEX(B3974:B$2,-1+SUMPRODUCT(MAX(ROW(E3974:E$2)*(E3975=E3974:E$2)))))</f>
        <v> </v>
      </c>
      <c r="J3975" s="25" t="str">
        <f>IF(OR(E3975="",E3975="!!!",F3975="NEW"),"",COUNTBLANK(OFFSET(A$1,,,SUMPRODUCT(MAX(ROW(E$2:E3975)*(E3975=E$2:E3975)))))-COUNTBLANK(OFFSET(A$1,,,SUMPRODUCT(MAX(ROW(E$1:E3974)*(E2=E$1:E3974))))))</f>
        <v> </v>
      </c>
      <c r="K3975" s="25" t="str">
        <f>IF(OR(E3975="",E3975="!!!",F3975="NEW"),"",INDEX(J$1:J3974,SUMPRODUCT(MAX(ROW(E$1:E3974)*(E3975=E$1:E3974)))))</f>
        <v> </v>
      </c>
      <c r="L3975" s="26"/>
    </row>
    <row r="3976" spans="1:12">
      <c r="A3976" s="20" t="s">
        <v>769</v>
      </c>
      <c r="E3976" s="21">
        <f>IF(D3976="?OLD","!!!","")</f>
        <v/>
      </c>
      <c r="F3976" s="22" t="str">
        <f>IF(OR(E3976="",E3976="!!!"),"",IF(NOT(ISNA(VLOOKUP(E3976,E$1:E3975,1,FALSE()))),"OLD",IF(AND(E3976&lt;&gt;"",E3976&lt;&gt;"!!!"),"NEW","")))</f>
        <v> </v>
      </c>
      <c r="G3976" s="23" t="str">
        <f>IF(OR(E3976="",E3976="!!!"),"",IF(OR(J3976=0,AND(J3976=1,K3976=1),AND(J3976=1,I3976="SBJ"),AND(J3976=1,I3976=0)),"?IN_FOCUS",IF(J3976&lt;=2,"?ACTIVATED",IF(J3976&lt;&gt;"","?FAMILIAR",IF(F3976="NEW",IF(ISNA(VLOOKUP(E3976,#REF!,1,FALSE())),"?TYPE_IDENTIFIABLE","?REFERENTIAL"),"_")))))</f>
        <v> </v>
      </c>
      <c r="H3976" s="24" t="str">
        <f>IF(J3976&lt;&gt;1,"",IF(I3976="SBJ","CB","?"))</f>
        <v> </v>
      </c>
      <c r="I3976" s="25" t="str">
        <f>IF(OR(E3976="",E3976="!!!",F3976="NEW"),"",INDEX(B3975:B$2,-1+SUMPRODUCT(MAX(ROW(E3975:E$2)*(E3976=E3975:E$2)))))</f>
        <v> </v>
      </c>
      <c r="J3976" s="25" t="str">
        <f>IF(OR(E3976="",E3976="!!!",F3976="NEW"),"",COUNTBLANK(OFFSET(A$1,,,SUMPRODUCT(MAX(ROW(E$2:E3976)*(E3976=E$2:E3976)))))-COUNTBLANK(OFFSET(A$1,,,SUMPRODUCT(MAX(ROW(E$1:E3975)*(E2=E$1:E3975))))))</f>
        <v> </v>
      </c>
      <c r="K3976" s="25" t="str">
        <f>IF(OR(E3976="",E3976="!!!",F3976="NEW"),"",INDEX(J$1:J3975,SUMPRODUCT(MAX(ROW(E$1:E3975)*(E3976=E$1:E3975)))))</f>
        <v> </v>
      </c>
      <c r="L3976" s="26"/>
    </row>
    <row r="3977" spans="1:12">
      <c r="A3977" s="20" t="s">
        <v>972</v>
      </c>
      <c r="B3977" s="27" t="s">
        <v>901</v>
      </c>
      <c r="C3977" s="27" t="s">
        <v>754</v>
      </c>
      <c r="E3977" s="21">
        <f>IF(D3977="?OLD","!!!","")</f>
        <v/>
      </c>
      <c r="F3977" s="22" t="str">
        <f>IF(OR(E3977="",E3977="!!!"),"",IF(NOT(ISNA(VLOOKUP(E3977,E$1:E3976,1,FALSE()))),"OLD",IF(AND(E3977&lt;&gt;"",E3977&lt;&gt;"!!!"),"NEW","")))</f>
        <v> </v>
      </c>
      <c r="G3977" s="23" t="str">
        <f>IF(OR(E3977="",E3977="!!!"),"",IF(OR(J3977=0,AND(J3977=1,K3977=1),AND(J3977=1,I3977="SBJ"),AND(J3977=1,I3977=0)),"?IN_FOCUS",IF(J3977&lt;=2,"?ACTIVATED",IF(J3977&lt;&gt;"","?FAMILIAR",IF(F3977="NEW",IF(ISNA(VLOOKUP(E3977,#REF!,1,FALSE())),"?TYPE_IDENTIFIABLE","?REFERENTIAL"),"_")))))</f>
        <v> </v>
      </c>
      <c r="H3977" s="24" t="str">
        <f>IF(J3977&lt;&gt;1,"",IF(I3977="SBJ","CB","?"))</f>
        <v> </v>
      </c>
      <c r="I3977" s="25" t="str">
        <f>IF(OR(E3977="",E3977="!!!",F3977="NEW"),"",INDEX(B3976:B$2,-1+SUMPRODUCT(MAX(ROW(E3976:E$2)*(E3977=E3976:E$2)))))</f>
        <v> </v>
      </c>
      <c r="J3977" s="25" t="str">
        <f>IF(OR(E3977="",E3977="!!!",F3977="NEW"),"",COUNTBLANK(OFFSET(A$1,,,SUMPRODUCT(MAX(ROW(E$2:E3977)*(E3977=E$2:E3977)))))-COUNTBLANK(OFFSET(A$1,,,SUMPRODUCT(MAX(ROW(E$1:E3976)*(E2=E$1:E3976))))))</f>
        <v> </v>
      </c>
      <c r="K3977" s="25" t="str">
        <f>IF(OR(E3977="",E3977="!!!",F3977="NEW"),"",INDEX(J$1:J3976,SUMPRODUCT(MAX(ROW(E$1:E3976)*(E3977=E$1:E3976)))))</f>
        <v> </v>
      </c>
      <c r="L3977" s="26"/>
    </row>
    <row r="3978" spans="1:12">
      <c r="A3978" s="20" t="s">
        <v>872</v>
      </c>
      <c r="E3978" s="21">
        <f>IF(D3978="?OLD","!!!","")</f>
        <v/>
      </c>
      <c r="F3978" s="22" t="str">
        <f>IF(OR(E3978="",E3978="!!!"),"",IF(NOT(ISNA(VLOOKUP(E3978,E$1:E3977,1,FALSE()))),"OLD",IF(AND(E3978&lt;&gt;"",E3978&lt;&gt;"!!!"),"NEW","")))</f>
        <v> </v>
      </c>
      <c r="G3978" s="23" t="str">
        <f>IF(OR(E3978="",E3978="!!!"),"",IF(OR(J3978=0,AND(J3978=1,K3978=1),AND(J3978=1,I3978="SBJ"),AND(J3978=1,I3978=0)),"?IN_FOCUS",IF(J3978&lt;=2,"?ACTIVATED",IF(J3978&lt;&gt;"","?FAMILIAR",IF(F3978="NEW",IF(ISNA(VLOOKUP(E3978,#REF!,1,FALSE())),"?TYPE_IDENTIFIABLE","?REFERENTIAL"),"_")))))</f>
        <v> </v>
      </c>
      <c r="H3978" s="24" t="str">
        <f>IF(J3978&lt;&gt;1,"",IF(I3978="SBJ","CB","?"))</f>
        <v> </v>
      </c>
      <c r="I3978" s="25" t="str">
        <f>IF(OR(E3978="",E3978="!!!",F3978="NEW"),"",INDEX(B3977:B$2,-1+SUMPRODUCT(MAX(ROW(E3977:E$2)*(E3978=E3977:E$2)))))</f>
        <v> </v>
      </c>
      <c r="J3978" s="25" t="str">
        <f>IF(OR(E3978="",E3978="!!!",F3978="NEW"),"",COUNTBLANK(OFFSET(A$1,,,SUMPRODUCT(MAX(ROW(E$2:E3978)*(E3978=E$2:E3978)))))-COUNTBLANK(OFFSET(A$1,,,SUMPRODUCT(MAX(ROW(E$1:E3977)*(E2=E$1:E3977))))))</f>
        <v> </v>
      </c>
      <c r="K3978" s="25" t="str">
        <f>IF(OR(E3978="",E3978="!!!",F3978="NEW"),"",INDEX(J$1:J3977,SUMPRODUCT(MAX(ROW(E$1:E3977)*(E3978=E$1:E3977)))))</f>
        <v> </v>
      </c>
      <c r="L3978" s="26"/>
    </row>
    <row r="3979" spans="1:12">
      <c r="A3979" s="20" t="s">
        <v>1876</v>
      </c>
      <c r="B3979" s="27" t="s">
        <v>879</v>
      </c>
      <c r="C3979" s="27" t="s">
        <v>820</v>
      </c>
      <c r="D3979" s="27" t="s">
        <v>762</v>
      </c>
      <c r="E3979" s="21">
        <f>IF(D3979="?OLD","!!!","")</f>
        <v/>
      </c>
      <c r="F3979" s="22" t="str">
        <f>IF(OR(E3979="",E3979="!!!"),"",IF(NOT(ISNA(VLOOKUP(E3979,E$1:E3978,1,FALSE()))),"OLD",IF(AND(E3979&lt;&gt;"",E3979&lt;&gt;"!!!"),"NEW","")))</f>
        <v> </v>
      </c>
      <c r="G3979" s="23" t="str">
        <f>IF(OR(E3979="",E3979="!!!"),"",IF(OR(J3979=0,AND(J3979=1,K3979=1),AND(J3979=1,I3979="SBJ"),AND(J3979=1,I3979=0)),"?IN_FOCUS",IF(J3979&lt;=2,"?ACTIVATED",IF(J3979&lt;&gt;"","?FAMILIAR",IF(F3979="NEW",IF(ISNA(VLOOKUP(E3979,#REF!,1,FALSE())),"?TYPE_IDENTIFIABLE","?REFERENTIAL"),"_")))))</f>
        <v> </v>
      </c>
      <c r="H3979" s="24" t="str">
        <f>IF(J3979&lt;&gt;1,"",IF(I3979="SBJ","CB","?"))</f>
        <v> </v>
      </c>
      <c r="I3979" s="25" t="str">
        <f>IF(OR(E3979="",E3979="!!!",F3979="NEW"),"",INDEX(B3978:B$2,-1+SUMPRODUCT(MAX(ROW(E3978:E$2)*(E3979=E3978:E$2)))))</f>
        <v> </v>
      </c>
      <c r="J3979" s="25" t="str">
        <f>IF(OR(E3979="",E3979="!!!",F3979="NEW"),"",COUNTBLANK(OFFSET(A$1,,,SUMPRODUCT(MAX(ROW(E$2:E3979)*(E3979=E$2:E3979)))))-COUNTBLANK(OFFSET(A$1,,,SUMPRODUCT(MAX(ROW(E$1:E3978)*(E2=E$1:E3978))))))</f>
        <v> </v>
      </c>
      <c r="K3979" s="25" t="str">
        <f>IF(OR(E3979="",E3979="!!!",F3979="NEW"),"",INDEX(J$1:J3978,SUMPRODUCT(MAX(ROW(E$1:E3978)*(E3979=E$1:E3978)))))</f>
        <v> </v>
      </c>
      <c r="L3979" s="26"/>
    </row>
    <row r="3980" spans="1:12">
      <c r="A3980" s="20" t="s">
        <v>769</v>
      </c>
      <c r="E3980" s="21">
        <f>IF(D3980="?OLD","!!!","")</f>
        <v/>
      </c>
      <c r="F3980" s="22" t="str">
        <f>IF(OR(E3980="",E3980="!!!"),"",IF(NOT(ISNA(VLOOKUP(E3980,E$1:E3979,1,FALSE()))),"OLD",IF(AND(E3980&lt;&gt;"",E3980&lt;&gt;"!!!"),"NEW","")))</f>
        <v> </v>
      </c>
      <c r="G3980" s="23" t="str">
        <f>IF(OR(E3980="",E3980="!!!"),"",IF(OR(J3980=0,AND(J3980=1,K3980=1),AND(J3980=1,I3980="SBJ"),AND(J3980=1,I3980=0)),"?IN_FOCUS",IF(J3980&lt;=2,"?ACTIVATED",IF(J3980&lt;&gt;"","?FAMILIAR",IF(F3980="NEW",IF(ISNA(VLOOKUP(E3980,#REF!,1,FALSE())),"?TYPE_IDENTIFIABLE","?REFERENTIAL"),"_")))))</f>
        <v> </v>
      </c>
      <c r="H3980" s="24" t="str">
        <f>IF(J3980&lt;&gt;1,"",IF(I3980="SBJ","CB","?"))</f>
        <v> </v>
      </c>
      <c r="I3980" s="25" t="str">
        <f>IF(OR(E3980="",E3980="!!!",F3980="NEW"),"",INDEX(B3979:B$2,-1+SUMPRODUCT(MAX(ROW(E3979:E$2)*(E3980=E3979:E$2)))))</f>
        <v> </v>
      </c>
      <c r="J3980" s="25" t="str">
        <f>IF(OR(E3980="",E3980="!!!",F3980="NEW"),"",COUNTBLANK(OFFSET(A$1,,,SUMPRODUCT(MAX(ROW(E$2:E3980)*(E3980=E$2:E3980)))))-COUNTBLANK(OFFSET(A$1,,,SUMPRODUCT(MAX(ROW(E$1:E3979)*(E2=E$1:E3979))))))</f>
        <v> </v>
      </c>
      <c r="K3980" s="25" t="str">
        <f>IF(OR(E3980="",E3980="!!!",F3980="NEW"),"",INDEX(J$1:J3979,SUMPRODUCT(MAX(ROW(E$1:E3979)*(E3980=E$1:E3979)))))</f>
        <v> </v>
      </c>
      <c r="L3980" s="26"/>
    </row>
    <row r="3981" spans="1:12">
      <c r="A3981" s="20" t="s">
        <v>1159</v>
      </c>
      <c r="E3981" s="21">
        <f>IF(D3981="?OLD","!!!","")</f>
        <v/>
      </c>
      <c r="F3981" s="22" t="str">
        <f>IF(OR(E3981="",E3981="!!!"),"",IF(NOT(ISNA(VLOOKUP(E3981,E$1:E3980,1,FALSE()))),"OLD",IF(AND(E3981&lt;&gt;"",E3981&lt;&gt;"!!!"),"NEW","")))</f>
        <v> </v>
      </c>
      <c r="G3981" s="23" t="str">
        <f>IF(OR(E3981="",E3981="!!!"),"",IF(OR(J3981=0,AND(J3981=1,K3981=1),AND(J3981=1,I3981="SBJ"),AND(J3981=1,I3981=0)),"?IN_FOCUS",IF(J3981&lt;=2,"?ACTIVATED",IF(J3981&lt;&gt;"","?FAMILIAR",IF(F3981="NEW",IF(ISNA(VLOOKUP(E3981,#REF!,1,FALSE())),"?TYPE_IDENTIFIABLE","?REFERENTIAL"),"_")))))</f>
        <v> </v>
      </c>
      <c r="H3981" s="24" t="str">
        <f>IF(J3981&lt;&gt;1,"",IF(I3981="SBJ","CB","?"))</f>
        <v> </v>
      </c>
      <c r="I3981" s="25" t="str">
        <f>IF(OR(E3981="",E3981="!!!",F3981="NEW"),"",INDEX(B3980:B$2,-1+SUMPRODUCT(MAX(ROW(E3980:E$2)*(E3981=E3980:E$2)))))</f>
        <v> </v>
      </c>
      <c r="J3981" s="25" t="str">
        <f>IF(OR(E3981="",E3981="!!!",F3981="NEW"),"",COUNTBLANK(OFFSET(A$1,,,SUMPRODUCT(MAX(ROW(E$2:E3981)*(E3981=E$2:E3981)))))-COUNTBLANK(OFFSET(A$1,,,SUMPRODUCT(MAX(ROW(E$1:E3980)*(E2=E$1:E3980))))))</f>
        <v> </v>
      </c>
      <c r="K3981" s="25" t="str">
        <f>IF(OR(E3981="",E3981="!!!",F3981="NEW"),"",INDEX(J$1:J3980,SUMPRODUCT(MAX(ROW(E$1:E3980)*(E3981=E$1:E3980)))))</f>
        <v> </v>
      </c>
      <c r="L3981" s="26"/>
    </row>
    <row r="3982" spans="1:12">
      <c r="A3982" s="20" t="s">
        <v>1889</v>
      </c>
      <c r="B3982" s="27" t="s">
        <v>879</v>
      </c>
      <c r="C3982" s="27" t="s">
        <v>1019</v>
      </c>
      <c r="D3982" s="27" t="s">
        <v>762</v>
      </c>
      <c r="E3982" s="21">
        <f>IF(D3982="?OLD","!!!","")</f>
        <v/>
      </c>
      <c r="F3982" s="22" t="str">
        <f>IF(OR(E3982="",E3982="!!!"),"",IF(NOT(ISNA(VLOOKUP(E3982,E$1:E3981,1,FALSE()))),"OLD",IF(AND(E3982&lt;&gt;"",E3982&lt;&gt;"!!!"),"NEW","")))</f>
        <v> </v>
      </c>
      <c r="G3982" s="23" t="str">
        <f>IF(OR(E3982="",E3982="!!!"),"",IF(OR(J3982=0,AND(J3982=1,K3982=1),AND(J3982=1,I3982="SBJ"),AND(J3982=1,I3982=0)),"?IN_FOCUS",IF(J3982&lt;=2,"?ACTIVATED",IF(J3982&lt;&gt;"","?FAMILIAR",IF(F3982="NEW",IF(ISNA(VLOOKUP(E3982,#REF!,1,FALSE())),"?TYPE_IDENTIFIABLE","?REFERENTIAL"),"_")))))</f>
        <v> </v>
      </c>
      <c r="H3982" s="24" t="str">
        <f>IF(J3982&lt;&gt;1,"",IF(I3982="SBJ","CB","?"))</f>
        <v> </v>
      </c>
      <c r="I3982" s="25" t="str">
        <f>IF(OR(E3982="",E3982="!!!",F3982="NEW"),"",INDEX(B3981:B$2,-1+SUMPRODUCT(MAX(ROW(E3981:E$2)*(E3982=E3981:E$2)))))</f>
        <v> </v>
      </c>
      <c r="J3982" s="25" t="str">
        <f>IF(OR(E3982="",E3982="!!!",F3982="NEW"),"",COUNTBLANK(OFFSET(A$1,,,SUMPRODUCT(MAX(ROW(E$2:E3982)*(E3982=E$2:E3982)))))-COUNTBLANK(OFFSET(A$1,,,SUMPRODUCT(MAX(ROW(E$1:E3981)*(E2=E$1:E3981))))))</f>
        <v> </v>
      </c>
      <c r="K3982" s="25" t="str">
        <f>IF(OR(E3982="",E3982="!!!",F3982="NEW"),"",INDEX(J$1:J3981,SUMPRODUCT(MAX(ROW(E$1:E3981)*(E3982=E$1:E3981)))))</f>
        <v> </v>
      </c>
      <c r="L3982" s="26"/>
    </row>
    <row r="3983" spans="1:12">
      <c r="A3983" s="20" t="s">
        <v>16</v>
      </c>
      <c r="E3983" s="21">
        <f>IF(D3983="?OLD","!!!","")</f>
        <v/>
      </c>
      <c r="F3983" s="22" t="str">
        <f>IF(OR(E3983="",E3983="!!!"),"",IF(NOT(ISNA(VLOOKUP(E3983,E$1:E3982,1,FALSE()))),"OLD",IF(AND(E3983&lt;&gt;"",E3983&lt;&gt;"!!!"),"NEW","")))</f>
        <v> </v>
      </c>
      <c r="G3983" s="23" t="str">
        <f>IF(OR(E3983="",E3983="!!!"),"",IF(OR(J3983=0,AND(J3983=1,K3983=1),AND(J3983=1,I3983="SBJ"),AND(J3983=1,I3983=0)),"?IN_FOCUS",IF(J3983&lt;=2,"?ACTIVATED",IF(J3983&lt;&gt;"","?FAMILIAR",IF(F3983="NEW",IF(ISNA(VLOOKUP(E3983,#REF!,1,FALSE())),"?TYPE_IDENTIFIABLE","?REFERENTIAL"),"_")))))</f>
        <v> </v>
      </c>
      <c r="H3983" s="24" t="str">
        <f>IF(J3983&lt;&gt;1,"",IF(I3983="SBJ","CB","?"))</f>
        <v> </v>
      </c>
      <c r="I3983" s="25" t="str">
        <f>IF(OR(E3983="",E3983="!!!",F3983="NEW"),"",INDEX(B3982:B$2,-1+SUMPRODUCT(MAX(ROW(E3982:E$2)*(E3983=E3982:E$2)))))</f>
        <v> </v>
      </c>
      <c r="J3983" s="25" t="str">
        <f>IF(OR(E3983="",E3983="!!!",F3983="NEW"),"",COUNTBLANK(OFFSET(A$1,,,SUMPRODUCT(MAX(ROW(E$2:E3983)*(E3983=E$2:E3983)))))-COUNTBLANK(OFFSET(A$1,,,SUMPRODUCT(MAX(ROW(E$1:E3982)*(E2=E$1:E3982))))))</f>
        <v> </v>
      </c>
      <c r="K3983" s="25" t="str">
        <f>IF(OR(E3983="",E3983="!!!",F3983="NEW"),"",INDEX(J$1:J3982,SUMPRODUCT(MAX(ROW(E$1:E3982)*(E3983=E$1:E3982)))))</f>
        <v> </v>
      </c>
      <c r="L3983" s="26"/>
    </row>
    <row r="3984" spans="1:12">
      <c r="A3984" s="20" t="s">
        <v>16</v>
      </c>
      <c r="E3984" s="21">
        <f>IF(D3984="?OLD","!!!","")</f>
        <v/>
      </c>
      <c r="F3984" s="22" t="str">
        <f>IF(OR(E3984="",E3984="!!!"),"",IF(NOT(ISNA(VLOOKUP(E3984,E$1:E3983,1,FALSE()))),"OLD",IF(AND(E3984&lt;&gt;"",E3984&lt;&gt;"!!!"),"NEW","")))</f>
        <v> </v>
      </c>
      <c r="G3984" s="23" t="str">
        <f>IF(OR(E3984="",E3984="!!!"),"",IF(OR(J3984=0,AND(J3984=1,K3984=1),AND(J3984=1,I3984="SBJ"),AND(J3984=1,I3984=0)),"?IN_FOCUS",IF(J3984&lt;=2,"?ACTIVATED",IF(J3984&lt;&gt;"","?FAMILIAR",IF(F3984="NEW",IF(ISNA(VLOOKUP(E3984,#REF!,1,FALSE())),"?TYPE_IDENTIFIABLE","?REFERENTIAL"),"_")))))</f>
        <v> </v>
      </c>
      <c r="H3984" s="24" t="str">
        <f>IF(J3984&lt;&gt;1,"",IF(I3984="SBJ","CB","?"))</f>
        <v> </v>
      </c>
      <c r="I3984" s="25" t="str">
        <f>IF(OR(E3984="",E3984="!!!",F3984="NEW"),"",INDEX(B3983:B$2,-1+SUMPRODUCT(MAX(ROW(E3983:E$2)*(E3984=E3983:E$2)))))</f>
        <v> </v>
      </c>
      <c r="J3984" s="25" t="str">
        <f>IF(OR(E3984="",E3984="!!!",F3984="NEW"),"",COUNTBLANK(OFFSET(A$1,,,SUMPRODUCT(MAX(ROW(E$2:E3984)*(E3984=E$2:E3984)))))-COUNTBLANK(OFFSET(A$1,,,SUMPRODUCT(MAX(ROW(E$1:E3983)*(E2=E$1:E3983))))))</f>
        <v> </v>
      </c>
      <c r="K3984" s="25" t="str">
        <f>IF(OR(E3984="",E3984="!!!",F3984="NEW"),"",INDEX(J$1:J3983,SUMPRODUCT(MAX(ROW(E$1:E3983)*(E3984=E$1:E3983)))))</f>
        <v> </v>
      </c>
      <c r="L3984" s="26"/>
    </row>
    <row r="3985" spans="1:12">
      <c r="A3985" s="20" t="s">
        <v>921</v>
      </c>
      <c r="E3985" s="21">
        <f>IF(D3985="?OLD","!!!","")</f>
        <v/>
      </c>
      <c r="F3985" s="22" t="str">
        <f>IF(OR(E3985="",E3985="!!!"),"",IF(NOT(ISNA(VLOOKUP(E3985,E$1:E3984,1,FALSE()))),"OLD",IF(AND(E3985&lt;&gt;"",E3985&lt;&gt;"!!!"),"NEW","")))</f>
        <v> </v>
      </c>
      <c r="G3985" s="23" t="str">
        <f>IF(OR(E3985="",E3985="!!!"),"",IF(OR(J3985=0,AND(J3985=1,K3985=1),AND(J3985=1,I3985="SBJ"),AND(J3985=1,I3985=0)),"?IN_FOCUS",IF(J3985&lt;=2,"?ACTIVATED",IF(J3985&lt;&gt;"","?FAMILIAR",IF(F3985="NEW",IF(ISNA(VLOOKUP(E3985,#REF!,1,FALSE())),"?TYPE_IDENTIFIABLE","?REFERENTIAL"),"_")))))</f>
        <v> </v>
      </c>
      <c r="H3985" s="24" t="str">
        <f>IF(J3985&lt;&gt;1,"",IF(I3985="SBJ","CB","?"))</f>
        <v> </v>
      </c>
      <c r="I3985" s="25" t="str">
        <f>IF(OR(E3985="",E3985="!!!",F3985="NEW"),"",INDEX(B3984:B$2,-1+SUMPRODUCT(MAX(ROW(E3984:E$2)*(E3985=E3984:E$2)))))</f>
        <v> </v>
      </c>
      <c r="J3985" s="25" t="str">
        <f>IF(OR(E3985="",E3985="!!!",F3985="NEW"),"",COUNTBLANK(OFFSET(A$1,,,SUMPRODUCT(MAX(ROW(E$2:E3985)*(E3985=E$2:E3985)))))-COUNTBLANK(OFFSET(A$1,,,SUMPRODUCT(MAX(ROW(E$1:E3984)*(E2=E$1:E3984))))))</f>
        <v> </v>
      </c>
      <c r="K3985" s="25" t="str">
        <f>IF(OR(E3985="",E3985="!!!",F3985="NEW"),"",INDEX(J$1:J3984,SUMPRODUCT(MAX(ROW(E$1:E3984)*(E3985=E$1:E3984)))))</f>
        <v> </v>
      </c>
      <c r="L3985" s="26"/>
    </row>
    <row r="3986" spans="1:12">
      <c r="A3986" s="20" t="s">
        <v>1322</v>
      </c>
      <c r="E3986" s="21">
        <f>IF(D3986="?OLD","!!!","")</f>
        <v/>
      </c>
      <c r="F3986" s="22" t="str">
        <f>IF(OR(E3986="",E3986="!!!"),"",IF(NOT(ISNA(VLOOKUP(E3986,E$1:E3985,1,FALSE()))),"OLD",IF(AND(E3986&lt;&gt;"",E3986&lt;&gt;"!!!"),"NEW","")))</f>
        <v> </v>
      </c>
      <c r="G3986" s="23" t="str">
        <f>IF(OR(E3986="",E3986="!!!"),"",IF(OR(J3986=0,AND(J3986=1,K3986=1),AND(J3986=1,I3986="SBJ"),AND(J3986=1,I3986=0)),"?IN_FOCUS",IF(J3986&lt;=2,"?ACTIVATED",IF(J3986&lt;&gt;"","?FAMILIAR",IF(F3986="NEW",IF(ISNA(VLOOKUP(E3986,#REF!,1,FALSE())),"?TYPE_IDENTIFIABLE","?REFERENTIAL"),"_")))))</f>
        <v> </v>
      </c>
      <c r="H3986" s="24" t="str">
        <f>IF(J3986&lt;&gt;1,"",IF(I3986="SBJ","CB","?"))</f>
        <v> </v>
      </c>
      <c r="I3986" s="25" t="str">
        <f>IF(OR(E3986="",E3986="!!!",F3986="NEW"),"",INDEX(B3985:B$2,-1+SUMPRODUCT(MAX(ROW(E3985:E$2)*(E3986=E3985:E$2)))))</f>
        <v> </v>
      </c>
      <c r="J3986" s="25" t="str">
        <f>IF(OR(E3986="",E3986="!!!",F3986="NEW"),"",COUNTBLANK(OFFSET(A$1,,,SUMPRODUCT(MAX(ROW(E$2:E3986)*(E3986=E$2:E3986)))))-COUNTBLANK(OFFSET(A$1,,,SUMPRODUCT(MAX(ROW(E$1:E3985)*(E2=E$1:E3985))))))</f>
        <v> </v>
      </c>
      <c r="K3986" s="25" t="str">
        <f>IF(OR(E3986="",E3986="!!!",F3986="NEW"),"",INDEX(J$1:J3985,SUMPRODUCT(MAX(ROW(E$1:E3985)*(E3986=E$1:E3985)))))</f>
        <v> </v>
      </c>
      <c r="L3986" s="26"/>
    </row>
    <row r="3987" spans="1:12">
      <c r="A3987" s="20" t="s">
        <v>1557</v>
      </c>
      <c r="B3987" s="27" t="s">
        <v>1076</v>
      </c>
      <c r="C3987" s="27" t="s">
        <v>797</v>
      </c>
      <c r="D3987" s="27" t="s">
        <v>762</v>
      </c>
      <c r="E3987" s="21">
        <f>IF(D3987="?OLD","!!!","")</f>
        <v/>
      </c>
      <c r="F3987" s="22" t="str">
        <f>IF(OR(E3987="",E3987="!!!"),"",IF(NOT(ISNA(VLOOKUP(E3987,E$1:E3986,1,FALSE()))),"OLD",IF(AND(E3987&lt;&gt;"",E3987&lt;&gt;"!!!"),"NEW","")))</f>
        <v> </v>
      </c>
      <c r="G3987" s="23" t="str">
        <f>IF(OR(E3987="",E3987="!!!"),"",IF(OR(J3987=0,AND(J3987=1,K3987=1),AND(J3987=1,I3987="SBJ"),AND(J3987=1,I3987=0)),"?IN_FOCUS",IF(J3987&lt;=2,"?ACTIVATED",IF(J3987&lt;&gt;"","?FAMILIAR",IF(F3987="NEW",IF(ISNA(VLOOKUP(E3987,#REF!,1,FALSE())),"?TYPE_IDENTIFIABLE","?REFERENTIAL"),"_")))))</f>
        <v> </v>
      </c>
      <c r="H3987" s="24" t="str">
        <f>IF(J3987&lt;&gt;1,"",IF(I3987="SBJ","CB","?"))</f>
        <v> </v>
      </c>
      <c r="I3987" s="25" t="str">
        <f>IF(OR(E3987="",E3987="!!!",F3987="NEW"),"",INDEX(B3986:B$2,-1+SUMPRODUCT(MAX(ROW(E3986:E$2)*(E3987=E3986:E$2)))))</f>
        <v> </v>
      </c>
      <c r="J3987" s="25" t="str">
        <f>IF(OR(E3987="",E3987="!!!",F3987="NEW"),"",COUNTBLANK(OFFSET(A$1,,,SUMPRODUCT(MAX(ROW(E$2:E3987)*(E3987=E$2:E3987)))))-COUNTBLANK(OFFSET(A$1,,,SUMPRODUCT(MAX(ROW(E$1:E3986)*(E2=E$1:E3986))))))</f>
        <v> </v>
      </c>
      <c r="K3987" s="25" t="str">
        <f>IF(OR(E3987="",E3987="!!!",F3987="NEW"),"",INDEX(J$1:J3986,SUMPRODUCT(MAX(ROW(E$1:E3986)*(E3987=E$1:E3986)))))</f>
        <v> </v>
      </c>
      <c r="L3987" s="26"/>
    </row>
    <row r="3988" spans="1:12">
      <c r="A3988" s="20" t="s">
        <v>1890</v>
      </c>
      <c r="E3988" s="21">
        <f>IF(D3988="?OLD","!!!","")</f>
        <v/>
      </c>
      <c r="F3988" s="22" t="str">
        <f>IF(OR(E3988="",E3988="!!!"),"",IF(NOT(ISNA(VLOOKUP(E3988,E$1:E3987,1,FALSE()))),"OLD",IF(AND(E3988&lt;&gt;"",E3988&lt;&gt;"!!!"),"NEW","")))</f>
        <v> </v>
      </c>
      <c r="G3988" s="23" t="str">
        <f>IF(OR(E3988="",E3988="!!!"),"",IF(OR(J3988=0,AND(J3988=1,K3988=1),AND(J3988=1,I3988="SBJ"),AND(J3988=1,I3988=0)),"?IN_FOCUS",IF(J3988&lt;=2,"?ACTIVATED",IF(J3988&lt;&gt;"","?FAMILIAR",IF(F3988="NEW",IF(ISNA(VLOOKUP(E3988,#REF!,1,FALSE())),"?TYPE_IDENTIFIABLE","?REFERENTIAL"),"_")))))</f>
        <v> </v>
      </c>
      <c r="H3988" s="24" t="str">
        <f>IF(J3988&lt;&gt;1,"",IF(I3988="SBJ","CB","?"))</f>
        <v> </v>
      </c>
      <c r="I3988" s="25" t="str">
        <f>IF(OR(E3988="",E3988="!!!",F3988="NEW"),"",INDEX(B3987:B$2,-1+SUMPRODUCT(MAX(ROW(E3987:E$2)*(E3988=E3987:E$2)))))</f>
        <v> </v>
      </c>
      <c r="J3988" s="25" t="str">
        <f>IF(OR(E3988="",E3988="!!!",F3988="NEW"),"",COUNTBLANK(OFFSET(A$1,,,SUMPRODUCT(MAX(ROW(E$2:E3988)*(E3988=E$2:E3988)))))-COUNTBLANK(OFFSET(A$1,,,SUMPRODUCT(MAX(ROW(E$1:E3987)*(E2=E$1:E3987))))))</f>
        <v> </v>
      </c>
      <c r="K3988" s="25" t="str">
        <f>IF(OR(E3988="",E3988="!!!",F3988="NEW"),"",INDEX(J$1:J3987,SUMPRODUCT(MAX(ROW(E$1:E3987)*(E3988=E$1:E3987)))))</f>
        <v> </v>
      </c>
      <c r="L3988" s="26"/>
    </row>
    <row r="3989" spans="1:12">
      <c r="A3989" s="20" t="s">
        <v>785</v>
      </c>
      <c r="E3989" s="21">
        <f>IF(D3989="?OLD","!!!","")</f>
        <v/>
      </c>
      <c r="F3989" s="22" t="str">
        <f>IF(OR(E3989="",E3989="!!!"),"",IF(NOT(ISNA(VLOOKUP(E3989,E$1:E3988,1,FALSE()))),"OLD",IF(AND(E3989&lt;&gt;"",E3989&lt;&gt;"!!!"),"NEW","")))</f>
        <v> </v>
      </c>
      <c r="G3989" s="23" t="str">
        <f>IF(OR(E3989="",E3989="!!!"),"",IF(OR(J3989=0,AND(J3989=1,K3989=1),AND(J3989=1,I3989="SBJ"),AND(J3989=1,I3989=0)),"?IN_FOCUS",IF(J3989&lt;=2,"?ACTIVATED",IF(J3989&lt;&gt;"","?FAMILIAR",IF(F3989="NEW",IF(ISNA(VLOOKUP(E3989,#REF!,1,FALSE())),"?TYPE_IDENTIFIABLE","?REFERENTIAL"),"_")))))</f>
        <v> </v>
      </c>
      <c r="H3989" s="24" t="str">
        <f>IF(J3989&lt;&gt;1,"",IF(I3989="SBJ","CB","?"))</f>
        <v> </v>
      </c>
      <c r="I3989" s="25" t="str">
        <f>IF(OR(E3989="",E3989="!!!",F3989="NEW"),"",INDEX(B3988:B$2,-1+SUMPRODUCT(MAX(ROW(E3988:E$2)*(E3989=E3988:E$2)))))</f>
        <v> </v>
      </c>
      <c r="J3989" s="25" t="str">
        <f>IF(OR(E3989="",E3989="!!!",F3989="NEW"),"",COUNTBLANK(OFFSET(A$1,,,SUMPRODUCT(MAX(ROW(E$2:E3989)*(E3989=E$2:E3989)))))-COUNTBLANK(OFFSET(A$1,,,SUMPRODUCT(MAX(ROW(E$1:E3988)*(E2=E$1:E3988))))))</f>
        <v> </v>
      </c>
      <c r="K3989" s="25" t="str">
        <f>IF(OR(E3989="",E3989="!!!",F3989="NEW"),"",INDEX(J$1:J3988,SUMPRODUCT(MAX(ROW(E$1:E3988)*(E3989=E$1:E3988)))))</f>
        <v> </v>
      </c>
      <c r="L3989" s="26"/>
    </row>
    <row r="3990" spans="1:12">
      <c r="A3990" s="20" t="s">
        <v>92</v>
      </c>
      <c r="E3990" s="21">
        <f>IF(D3990="?OLD","!!!","")</f>
        <v/>
      </c>
      <c r="F3990" s="22" t="str">
        <f>IF(OR(E3990="",E3990="!!!"),"",IF(NOT(ISNA(VLOOKUP(E3990,E$1:E3989,1,FALSE()))),"OLD",IF(AND(E3990&lt;&gt;"",E3990&lt;&gt;"!!!"),"NEW","")))</f>
        <v> </v>
      </c>
      <c r="G3990" s="23" t="str">
        <f>IF(OR(E3990="",E3990="!!!"),"",IF(OR(J3990=0,AND(J3990=1,K3990=1),AND(J3990=1,I3990="SBJ"),AND(J3990=1,I3990=0)),"?IN_FOCUS",IF(J3990&lt;=2,"?ACTIVATED",IF(J3990&lt;&gt;"","?FAMILIAR",IF(F3990="NEW",IF(ISNA(VLOOKUP(E3990,#REF!,1,FALSE())),"?TYPE_IDENTIFIABLE","?REFERENTIAL"),"_")))))</f>
        <v> </v>
      </c>
      <c r="H3990" s="24" t="str">
        <f>IF(J3990&lt;&gt;1,"",IF(I3990="SBJ","CB","?"))</f>
        <v> </v>
      </c>
      <c r="I3990" s="25" t="str">
        <f>IF(OR(E3990="",E3990="!!!",F3990="NEW"),"",INDEX(B3989:B$2,-1+SUMPRODUCT(MAX(ROW(E3989:E$2)*(E3990=E3989:E$2)))))</f>
        <v> </v>
      </c>
      <c r="J3990" s="25" t="str">
        <f>IF(OR(E3990="",E3990="!!!",F3990="NEW"),"",COUNTBLANK(OFFSET(A$1,,,SUMPRODUCT(MAX(ROW(E$2:E3990)*(E3990=E$2:E3990)))))-COUNTBLANK(OFFSET(A$1,,,SUMPRODUCT(MAX(ROW(E$1:E3989)*(E2=E$1:E3989))))))</f>
        <v> </v>
      </c>
      <c r="K3990" s="25" t="str">
        <f>IF(OR(E3990="",E3990="!!!",F3990="NEW"),"",INDEX(J$1:J3989,SUMPRODUCT(MAX(ROW(E$1:E3989)*(E3990=E$1:E3989)))))</f>
        <v> </v>
      </c>
      <c r="L3990" s="26"/>
    </row>
    <row r="3991" spans="1:12">
      <c r="A3991" s="20" t="s">
        <v>793</v>
      </c>
      <c r="E3991" s="21">
        <f>IF(D3991="?OLD","!!!","")</f>
        <v/>
      </c>
      <c r="F3991" s="22" t="str">
        <f>IF(OR(E3991="",E3991="!!!"),"",IF(NOT(ISNA(VLOOKUP(E3991,E$1:E3990,1,FALSE()))),"OLD",IF(AND(E3991&lt;&gt;"",E3991&lt;&gt;"!!!"),"NEW","")))</f>
        <v> </v>
      </c>
      <c r="G3991" s="23" t="str">
        <f>IF(OR(E3991="",E3991="!!!"),"",IF(OR(J3991=0,AND(J3991=1,K3991=1),AND(J3991=1,I3991="SBJ"),AND(J3991=1,I3991=0)),"?IN_FOCUS",IF(J3991&lt;=2,"?ACTIVATED",IF(J3991&lt;&gt;"","?FAMILIAR",IF(F3991="NEW",IF(ISNA(VLOOKUP(E3991,#REF!,1,FALSE())),"?TYPE_IDENTIFIABLE","?REFERENTIAL"),"_")))))</f>
        <v> </v>
      </c>
      <c r="H3991" s="24" t="str">
        <f>IF(J3991&lt;&gt;1,"",IF(I3991="SBJ","CB","?"))</f>
        <v> </v>
      </c>
      <c r="I3991" s="25" t="str">
        <f>IF(OR(E3991="",E3991="!!!",F3991="NEW"),"",INDEX(B3990:B$2,-1+SUMPRODUCT(MAX(ROW(E3990:E$2)*(E3991=E3990:E$2)))))</f>
        <v> </v>
      </c>
      <c r="J3991" s="25" t="str">
        <f>IF(OR(E3991="",E3991="!!!",F3991="NEW"),"",COUNTBLANK(OFFSET(A$1,,,SUMPRODUCT(MAX(ROW(E$2:E3991)*(E3991=E$2:E3991)))))-COUNTBLANK(OFFSET(A$1,,,SUMPRODUCT(MAX(ROW(E$1:E3990)*(E2=E$1:E3990))))))</f>
        <v> </v>
      </c>
      <c r="K3991" s="25" t="str">
        <f>IF(OR(E3991="",E3991="!!!",F3991="NEW"),"",INDEX(J$1:J3990,SUMPRODUCT(MAX(ROW(E$1:E3990)*(E3991=E$1:E3990)))))</f>
        <v> </v>
      </c>
      <c r="L3991" s="26"/>
    </row>
    <row r="3992" spans="1:12">
      <c r="A3992" s="20" t="s">
        <v>840</v>
      </c>
      <c r="E3992" s="21">
        <f>IF(D3992="?OLD","!!!","")</f>
        <v/>
      </c>
      <c r="F3992" s="22" t="str">
        <f>IF(OR(E3992="",E3992="!!!"),"",IF(NOT(ISNA(VLOOKUP(E3992,E$1:E3991,1,FALSE()))),"OLD",IF(AND(E3992&lt;&gt;"",E3992&lt;&gt;"!!!"),"NEW","")))</f>
        <v> </v>
      </c>
      <c r="G3992" s="23" t="str">
        <f>IF(OR(E3992="",E3992="!!!"),"",IF(OR(J3992=0,AND(J3992=1,K3992=1),AND(J3992=1,I3992="SBJ"),AND(J3992=1,I3992=0)),"?IN_FOCUS",IF(J3992&lt;=2,"?ACTIVATED",IF(J3992&lt;&gt;"","?FAMILIAR",IF(F3992="NEW",IF(ISNA(VLOOKUP(E3992,#REF!,1,FALSE())),"?TYPE_IDENTIFIABLE","?REFERENTIAL"),"_")))))</f>
        <v> </v>
      </c>
      <c r="H3992" s="24" t="str">
        <f>IF(J3992&lt;&gt;1,"",IF(I3992="SBJ","CB","?"))</f>
        <v> </v>
      </c>
      <c r="I3992" s="25" t="str">
        <f>IF(OR(E3992="",E3992="!!!",F3992="NEW"),"",INDEX(B3991:B$2,-1+SUMPRODUCT(MAX(ROW(E3991:E$2)*(E3992=E3991:E$2)))))</f>
        <v> </v>
      </c>
      <c r="J3992" s="25" t="str">
        <f>IF(OR(E3992="",E3992="!!!",F3992="NEW"),"",COUNTBLANK(OFFSET(A$1,,,SUMPRODUCT(MAX(ROW(E$2:E3992)*(E3992=E$2:E3992)))))-COUNTBLANK(OFFSET(A$1,,,SUMPRODUCT(MAX(ROW(E$1:E3991)*(E2=E$1:E3991))))))</f>
        <v> </v>
      </c>
      <c r="K3992" s="25" t="str">
        <f>IF(OR(E3992="",E3992="!!!",F3992="NEW"),"",INDEX(J$1:J3991,SUMPRODUCT(MAX(ROW(E$1:E3991)*(E3992=E$1:E3991)))))</f>
        <v> </v>
      </c>
      <c r="L3992" s="26"/>
    </row>
    <row r="3993" spans="1:12">
      <c r="A3993" s="20" t="s">
        <v>1891</v>
      </c>
      <c r="E3993" s="21">
        <f>IF(D3993="?OLD","!!!","")</f>
        <v/>
      </c>
      <c r="F3993" s="22" t="str">
        <f>IF(OR(E3993="",E3993="!!!"),"",IF(NOT(ISNA(VLOOKUP(E3993,E$1:E3992,1,FALSE()))),"OLD",IF(AND(E3993&lt;&gt;"",E3993&lt;&gt;"!!!"),"NEW","")))</f>
        <v> </v>
      </c>
      <c r="G3993" s="23" t="str">
        <f>IF(OR(E3993="",E3993="!!!"),"",IF(OR(J3993=0,AND(J3993=1,K3993=1),AND(J3993=1,I3993="SBJ"),AND(J3993=1,I3993=0)),"?IN_FOCUS",IF(J3993&lt;=2,"?ACTIVATED",IF(J3993&lt;&gt;"","?FAMILIAR",IF(F3993="NEW",IF(ISNA(VLOOKUP(E3993,#REF!,1,FALSE())),"?TYPE_IDENTIFIABLE","?REFERENTIAL"),"_")))))</f>
        <v> </v>
      </c>
      <c r="H3993" s="24" t="str">
        <f>IF(J3993&lt;&gt;1,"",IF(I3993="SBJ","CB","?"))</f>
        <v> </v>
      </c>
      <c r="I3993" s="25" t="str">
        <f>IF(OR(E3993="",E3993="!!!",F3993="NEW"),"",INDEX(B3992:B$2,-1+SUMPRODUCT(MAX(ROW(E3992:E$2)*(E3993=E3992:E$2)))))</f>
        <v> </v>
      </c>
      <c r="J3993" s="25" t="str">
        <f>IF(OR(E3993="",E3993="!!!",F3993="NEW"),"",COUNTBLANK(OFFSET(A$1,,,SUMPRODUCT(MAX(ROW(E$2:E3993)*(E3993=E$2:E3993)))))-COUNTBLANK(OFFSET(A$1,,,SUMPRODUCT(MAX(ROW(E$1:E3992)*(E2=E$1:E3992))))))</f>
        <v> </v>
      </c>
      <c r="K3993" s="25" t="str">
        <f>IF(OR(E3993="",E3993="!!!",F3993="NEW"),"",INDEX(J$1:J3992,SUMPRODUCT(MAX(ROW(E$1:E3992)*(E3993=E$1:E3992)))))</f>
        <v> </v>
      </c>
      <c r="L3993" s="26"/>
    </row>
    <row r="3994" spans="1:12">
      <c r="A3994" s="20" t="s">
        <v>875</v>
      </c>
      <c r="E3994" s="21">
        <f>IF(D3994="?OLD","!!!","")</f>
        <v/>
      </c>
      <c r="F3994" s="22" t="str">
        <f>IF(OR(E3994="",E3994="!!!"),"",IF(NOT(ISNA(VLOOKUP(E3994,E$1:E3993,1,FALSE()))),"OLD",IF(AND(E3994&lt;&gt;"",E3994&lt;&gt;"!!!"),"NEW","")))</f>
        <v> </v>
      </c>
      <c r="G3994" s="23" t="str">
        <f>IF(OR(E3994="",E3994="!!!"),"",IF(OR(J3994=0,AND(J3994=1,K3994=1),AND(J3994=1,I3994="SBJ"),AND(J3994=1,I3994=0)),"?IN_FOCUS",IF(J3994&lt;=2,"?ACTIVATED",IF(J3994&lt;&gt;"","?FAMILIAR",IF(F3994="NEW",IF(ISNA(VLOOKUP(E3994,#REF!,1,FALSE())),"?TYPE_IDENTIFIABLE","?REFERENTIAL"),"_")))))</f>
        <v> </v>
      </c>
      <c r="H3994" s="24" t="str">
        <f>IF(J3994&lt;&gt;1,"",IF(I3994="SBJ","CB","?"))</f>
        <v> </v>
      </c>
      <c r="I3994" s="25" t="str">
        <f>IF(OR(E3994="",E3994="!!!",F3994="NEW"),"",INDEX(B3993:B$2,-1+SUMPRODUCT(MAX(ROW(E3993:E$2)*(E3994=E3993:E$2)))))</f>
        <v> </v>
      </c>
      <c r="J3994" s="25" t="str">
        <f>IF(OR(E3994="",E3994="!!!",F3994="NEW"),"",COUNTBLANK(OFFSET(A$1,,,SUMPRODUCT(MAX(ROW(E$2:E3994)*(E3994=E$2:E3994)))))-COUNTBLANK(OFFSET(A$1,,,SUMPRODUCT(MAX(ROW(E$1:E3993)*(E2=E$1:E3993))))))</f>
        <v> </v>
      </c>
      <c r="K3994" s="25" t="str">
        <f>IF(OR(E3994="",E3994="!!!",F3994="NEW"),"",INDEX(J$1:J3993,SUMPRODUCT(MAX(ROW(E$1:E3993)*(E3994=E$1:E3993)))))</f>
        <v> </v>
      </c>
      <c r="L3994" s="26"/>
    </row>
    <row r="3995" spans="1:12">
      <c r="A3995" s="20" t="s">
        <v>769</v>
      </c>
      <c r="E3995" s="21">
        <f>IF(D3995="?OLD","!!!","")</f>
        <v/>
      </c>
      <c r="F3995" s="22" t="str">
        <f>IF(OR(E3995="",E3995="!!!"),"",IF(NOT(ISNA(VLOOKUP(E3995,E$1:E3994,1,FALSE()))),"OLD",IF(AND(E3995&lt;&gt;"",E3995&lt;&gt;"!!!"),"NEW","")))</f>
        <v> </v>
      </c>
      <c r="G3995" s="23" t="str">
        <f>IF(OR(E3995="",E3995="!!!"),"",IF(OR(J3995=0,AND(J3995=1,K3995=1),AND(J3995=1,I3995="SBJ"),AND(J3995=1,I3995=0)),"?IN_FOCUS",IF(J3995&lt;=2,"?ACTIVATED",IF(J3995&lt;&gt;"","?FAMILIAR",IF(F3995="NEW",IF(ISNA(VLOOKUP(E3995,#REF!,1,FALSE())),"?TYPE_IDENTIFIABLE","?REFERENTIAL"),"_")))))</f>
        <v> </v>
      </c>
      <c r="H3995" s="24" t="str">
        <f>IF(J3995&lt;&gt;1,"",IF(I3995="SBJ","CB","?"))</f>
        <v> </v>
      </c>
      <c r="I3995" s="25" t="str">
        <f>IF(OR(E3995="",E3995="!!!",F3995="NEW"),"",INDEX(B3994:B$2,-1+SUMPRODUCT(MAX(ROW(E3994:E$2)*(E3995=E3994:E$2)))))</f>
        <v> </v>
      </c>
      <c r="J3995" s="25" t="str">
        <f>IF(OR(E3995="",E3995="!!!",F3995="NEW"),"",COUNTBLANK(OFFSET(A$1,,,SUMPRODUCT(MAX(ROW(E$2:E3995)*(E3995=E$2:E3995)))))-COUNTBLANK(OFFSET(A$1,,,SUMPRODUCT(MAX(ROW(E$1:E3994)*(E2=E$1:E3994))))))</f>
        <v> </v>
      </c>
      <c r="K3995" s="25" t="str">
        <f>IF(OR(E3995="",E3995="!!!",F3995="NEW"),"",INDEX(J$1:J3994,SUMPRODUCT(MAX(ROW(E$1:E3994)*(E3995=E$1:E3994)))))</f>
        <v> </v>
      </c>
      <c r="L3995" s="26"/>
    </row>
    <row r="3996" spans="1:12">
      <c r="A3996" s="20" t="s">
        <v>838</v>
      </c>
      <c r="E3996" s="21">
        <f>IF(D3996="?OLD","!!!","")</f>
        <v/>
      </c>
      <c r="F3996" s="22" t="str">
        <f>IF(OR(E3996="",E3996="!!!"),"",IF(NOT(ISNA(VLOOKUP(E3996,E$1:E3995,1,FALSE()))),"OLD",IF(AND(E3996&lt;&gt;"",E3996&lt;&gt;"!!!"),"NEW","")))</f>
        <v> </v>
      </c>
      <c r="G3996" s="23" t="str">
        <f>IF(OR(E3996="",E3996="!!!"),"",IF(OR(J3996=0,AND(J3996=1,K3996=1),AND(J3996=1,I3996="SBJ"),AND(J3996=1,I3996=0)),"?IN_FOCUS",IF(J3996&lt;=2,"?ACTIVATED",IF(J3996&lt;&gt;"","?FAMILIAR",IF(F3996="NEW",IF(ISNA(VLOOKUP(E3996,#REF!,1,FALSE())),"?TYPE_IDENTIFIABLE","?REFERENTIAL"),"_")))))</f>
        <v> </v>
      </c>
      <c r="H3996" s="24" t="str">
        <f>IF(J3996&lt;&gt;1,"",IF(I3996="SBJ","CB","?"))</f>
        <v> </v>
      </c>
      <c r="I3996" s="25" t="str">
        <f>IF(OR(E3996="",E3996="!!!",F3996="NEW"),"",INDEX(B3995:B$2,-1+SUMPRODUCT(MAX(ROW(E3995:E$2)*(E3996=E3995:E$2)))))</f>
        <v> </v>
      </c>
      <c r="J3996" s="25" t="str">
        <f>IF(OR(E3996="",E3996="!!!",F3996="NEW"),"",COUNTBLANK(OFFSET(A$1,,,SUMPRODUCT(MAX(ROW(E$2:E3996)*(E3996=E$2:E3996)))))-COUNTBLANK(OFFSET(A$1,,,SUMPRODUCT(MAX(ROW(E$1:E3995)*(E2=E$1:E3995))))))</f>
        <v> </v>
      </c>
      <c r="K3996" s="25" t="str">
        <f>IF(OR(E3996="",E3996="!!!",F3996="NEW"),"",INDEX(J$1:J3995,SUMPRODUCT(MAX(ROW(E$1:E3995)*(E3996=E$1:E3995)))))</f>
        <v> </v>
      </c>
      <c r="L3996" s="26"/>
    </row>
    <row r="3997" spans="1:12">
      <c r="A3997" s="20" t="s">
        <v>1495</v>
      </c>
      <c r="B3997" s="27" t="s">
        <v>1127</v>
      </c>
      <c r="C3997" s="27" t="s">
        <v>837</v>
      </c>
      <c r="D3997" s="27" t="s">
        <v>762</v>
      </c>
      <c r="E3997" s="21">
        <f>IF(D3997="?OLD","!!!","")</f>
        <v/>
      </c>
      <c r="F3997" s="22" t="str">
        <f>IF(OR(E3997="",E3997="!!!"),"",IF(NOT(ISNA(VLOOKUP(E3997,E$1:E3996,1,FALSE()))),"OLD",IF(AND(E3997&lt;&gt;"",E3997&lt;&gt;"!!!"),"NEW","")))</f>
        <v> </v>
      </c>
      <c r="G3997" s="23" t="str">
        <f>IF(OR(E3997="",E3997="!!!"),"",IF(OR(J3997=0,AND(J3997=1,K3997=1),AND(J3997=1,I3997="SBJ"),AND(J3997=1,I3997=0)),"?IN_FOCUS",IF(J3997&lt;=2,"?ACTIVATED",IF(J3997&lt;&gt;"","?FAMILIAR",IF(F3997="NEW",IF(ISNA(VLOOKUP(E3997,#REF!,1,FALSE())),"?TYPE_IDENTIFIABLE","?REFERENTIAL"),"_")))))</f>
        <v> </v>
      </c>
      <c r="H3997" s="24" t="str">
        <f>IF(J3997&lt;&gt;1,"",IF(I3997="SBJ","CB","?"))</f>
        <v> </v>
      </c>
      <c r="I3997" s="25" t="str">
        <f>IF(OR(E3997="",E3997="!!!",F3997="NEW"),"",INDEX(B3996:B$2,-1+SUMPRODUCT(MAX(ROW(E3996:E$2)*(E3997=E3996:E$2)))))</f>
        <v> </v>
      </c>
      <c r="J3997" s="25" t="str">
        <f>IF(OR(E3997="",E3997="!!!",F3997="NEW"),"",COUNTBLANK(OFFSET(A$1,,,SUMPRODUCT(MAX(ROW(E$2:E3997)*(E3997=E$2:E3997)))))-COUNTBLANK(OFFSET(A$1,,,SUMPRODUCT(MAX(ROW(E$1:E3996)*(E2=E$1:E3996))))))</f>
        <v> </v>
      </c>
      <c r="K3997" s="25" t="str">
        <f>IF(OR(E3997="",E3997="!!!",F3997="NEW"),"",INDEX(J$1:J3996,SUMPRODUCT(MAX(ROW(E$1:E3996)*(E3997=E$1:E3996)))))</f>
        <v> </v>
      </c>
      <c r="L3997" s="26"/>
    </row>
    <row r="3998" spans="1:12">
      <c r="A3998" s="20" t="s">
        <v>785</v>
      </c>
      <c r="E3998" s="21">
        <f>IF(D3998="?OLD","!!!","")</f>
        <v/>
      </c>
      <c r="F3998" s="22" t="str">
        <f>IF(OR(E3998="",E3998="!!!"),"",IF(NOT(ISNA(VLOOKUP(E3998,E$1:E3997,1,FALSE()))),"OLD",IF(AND(E3998&lt;&gt;"",E3998&lt;&gt;"!!!"),"NEW","")))</f>
        <v> </v>
      </c>
      <c r="G3998" s="23" t="str">
        <f>IF(OR(E3998="",E3998="!!!"),"",IF(OR(J3998=0,AND(J3998=1,K3998=1),AND(J3998=1,I3998="SBJ"),AND(J3998=1,I3998=0)),"?IN_FOCUS",IF(J3998&lt;=2,"?ACTIVATED",IF(J3998&lt;&gt;"","?FAMILIAR",IF(F3998="NEW",IF(ISNA(VLOOKUP(E3998,#REF!,1,FALSE())),"?TYPE_IDENTIFIABLE","?REFERENTIAL"),"_")))))</f>
        <v> </v>
      </c>
      <c r="H3998" s="24" t="str">
        <f>IF(J3998&lt;&gt;1,"",IF(I3998="SBJ","CB","?"))</f>
        <v> </v>
      </c>
      <c r="I3998" s="25" t="str">
        <f>IF(OR(E3998="",E3998="!!!",F3998="NEW"),"",INDEX(B3997:B$2,-1+SUMPRODUCT(MAX(ROW(E3997:E$2)*(E3998=E3997:E$2)))))</f>
        <v> </v>
      </c>
      <c r="J3998" s="25" t="str">
        <f>IF(OR(E3998="",E3998="!!!",F3998="NEW"),"",COUNTBLANK(OFFSET(A$1,,,SUMPRODUCT(MAX(ROW(E$2:E3998)*(E3998=E$2:E3998)))))-COUNTBLANK(OFFSET(A$1,,,SUMPRODUCT(MAX(ROW(E$1:E3997)*(E2=E$1:E3997))))))</f>
        <v> </v>
      </c>
      <c r="K3998" s="25" t="str">
        <f>IF(OR(E3998="",E3998="!!!",F3998="NEW"),"",INDEX(J$1:J3997,SUMPRODUCT(MAX(ROW(E$1:E3997)*(E3998=E$1:E3997)))))</f>
        <v> </v>
      </c>
      <c r="L3998" s="26"/>
    </row>
    <row r="3999" spans="1:12">
      <c r="A3999" s="20" t="s">
        <v>822</v>
      </c>
      <c r="E3999" s="21">
        <f>IF(D3999="?OLD","!!!","")</f>
        <v/>
      </c>
      <c r="F3999" s="22" t="str">
        <f>IF(OR(E3999="",E3999="!!!"),"",IF(NOT(ISNA(VLOOKUP(E3999,E$1:E3998,1,FALSE()))),"OLD",IF(AND(E3999&lt;&gt;"",E3999&lt;&gt;"!!!"),"NEW","")))</f>
        <v> </v>
      </c>
      <c r="G3999" s="23" t="str">
        <f>IF(OR(E3999="",E3999="!!!"),"",IF(OR(J3999=0,AND(J3999=1,K3999=1),AND(J3999=1,I3999="SBJ"),AND(J3999=1,I3999=0)),"?IN_FOCUS",IF(J3999&lt;=2,"?ACTIVATED",IF(J3999&lt;&gt;"","?FAMILIAR",IF(F3999="NEW",IF(ISNA(VLOOKUP(E3999,#REF!,1,FALSE())),"?TYPE_IDENTIFIABLE","?REFERENTIAL"),"_")))))</f>
        <v> </v>
      </c>
      <c r="H3999" s="24" t="str">
        <f>IF(J3999&lt;&gt;1,"",IF(I3999="SBJ","CB","?"))</f>
        <v> </v>
      </c>
      <c r="I3999" s="25" t="str">
        <f>IF(OR(E3999="",E3999="!!!",F3999="NEW"),"",INDEX(B3998:B$2,-1+SUMPRODUCT(MAX(ROW(E3998:E$2)*(E3999=E3998:E$2)))))</f>
        <v> </v>
      </c>
      <c r="J3999" s="25" t="str">
        <f>IF(OR(E3999="",E3999="!!!",F3999="NEW"),"",COUNTBLANK(OFFSET(A$1,,,SUMPRODUCT(MAX(ROW(E$2:E3999)*(E3999=E$2:E3999)))))-COUNTBLANK(OFFSET(A$1,,,SUMPRODUCT(MAX(ROW(E$1:E3998)*(E2=E$1:E3998))))))</f>
        <v> </v>
      </c>
      <c r="K3999" s="25" t="str">
        <f>IF(OR(E3999="",E3999="!!!",F3999="NEW"),"",INDEX(J$1:J3998,SUMPRODUCT(MAX(ROW(E$1:E3998)*(E3999=E$1:E3998)))))</f>
        <v> </v>
      </c>
      <c r="L3999" s="26"/>
    </row>
    <row r="4000" spans="1:12">
      <c r="A4000" s="20" t="s">
        <v>1892</v>
      </c>
      <c r="B4000" s="27" t="s">
        <v>1129</v>
      </c>
      <c r="C4000" s="27" t="s">
        <v>761</v>
      </c>
      <c r="D4000" s="27" t="s">
        <v>762</v>
      </c>
      <c r="E4000" s="21">
        <f>IF(D4000="?OLD","!!!","")</f>
        <v/>
      </c>
      <c r="F4000" s="22" t="str">
        <f>IF(OR(E4000="",E4000="!!!"),"",IF(NOT(ISNA(VLOOKUP(E4000,E$1:E3999,1,FALSE()))),"OLD",IF(AND(E4000&lt;&gt;"",E4000&lt;&gt;"!!!"),"NEW","")))</f>
        <v> </v>
      </c>
      <c r="G4000" s="23" t="str">
        <f>IF(OR(E4000="",E4000="!!!"),"",IF(OR(J4000=0,AND(J4000=1,K4000=1),AND(J4000=1,I4000="SBJ"),AND(J4000=1,I4000=0)),"?IN_FOCUS",IF(J4000&lt;=2,"?ACTIVATED",IF(J4000&lt;&gt;"","?FAMILIAR",IF(F4000="NEW",IF(ISNA(VLOOKUP(E4000,#REF!,1,FALSE())),"?TYPE_IDENTIFIABLE","?REFERENTIAL"),"_")))))</f>
        <v> </v>
      </c>
      <c r="H4000" s="24" t="str">
        <f>IF(J4000&lt;&gt;1,"",IF(I4000="SBJ","CB","?"))</f>
        <v> </v>
      </c>
      <c r="I4000" s="25" t="str">
        <f>IF(OR(E4000="",E4000="!!!",F4000="NEW"),"",INDEX(B3999:B$2,-1+SUMPRODUCT(MAX(ROW(E3999:E$2)*(E4000=E3999:E$2)))))</f>
        <v> </v>
      </c>
      <c r="J4000" s="25" t="str">
        <f>IF(OR(E4000="",E4000="!!!",F4000="NEW"),"",COUNTBLANK(OFFSET(A$1,,,SUMPRODUCT(MAX(ROW(E$2:E4000)*(E4000=E$2:E4000)))))-COUNTBLANK(OFFSET(A$1,,,SUMPRODUCT(MAX(ROW(E$1:E3999)*(E2=E$1:E3999))))))</f>
        <v> </v>
      </c>
      <c r="K4000" s="25" t="str">
        <f>IF(OR(E4000="",E4000="!!!",F4000="NEW"),"",INDEX(J$1:J3999,SUMPRODUCT(MAX(ROW(E$1:E3999)*(E4000=E$1:E3999)))))</f>
        <v> </v>
      </c>
      <c r="L4000" s="26"/>
    </row>
    <row r="4001" spans="1:12">
      <c r="A4001" s="20" t="s">
        <v>769</v>
      </c>
      <c r="E4001" s="21">
        <f>IF(D4001="?OLD","!!!","")</f>
        <v/>
      </c>
      <c r="F4001" s="22" t="str">
        <f>IF(OR(E4001="",E4001="!!!"),"",IF(NOT(ISNA(VLOOKUP(E4001,E$1:E4000,1,FALSE()))),"OLD",IF(AND(E4001&lt;&gt;"",E4001&lt;&gt;"!!!"),"NEW","")))</f>
        <v> </v>
      </c>
      <c r="G4001" s="23" t="str">
        <f>IF(OR(E4001="",E4001="!!!"),"",IF(OR(J4001=0,AND(J4001=1,K4001=1),AND(J4001=1,I4001="SBJ"),AND(J4001=1,I4001=0)),"?IN_FOCUS",IF(J4001&lt;=2,"?ACTIVATED",IF(J4001&lt;&gt;"","?FAMILIAR",IF(F4001="NEW",IF(ISNA(VLOOKUP(E4001,#REF!,1,FALSE())),"?TYPE_IDENTIFIABLE","?REFERENTIAL"),"_")))))</f>
        <v> </v>
      </c>
      <c r="H4001" s="24" t="str">
        <f>IF(J4001&lt;&gt;1,"",IF(I4001="SBJ","CB","?"))</f>
        <v> </v>
      </c>
      <c r="I4001" s="25" t="str">
        <f>IF(OR(E4001="",E4001="!!!",F4001="NEW"),"",INDEX(B4000:B$2,-1+SUMPRODUCT(MAX(ROW(E4000:E$2)*(E4001=E4000:E$2)))))</f>
        <v> </v>
      </c>
      <c r="J4001" s="25" t="str">
        <f>IF(OR(E4001="",E4001="!!!",F4001="NEW"),"",COUNTBLANK(OFFSET(A$1,,,SUMPRODUCT(MAX(ROW(E$2:E4001)*(E4001=E$2:E4001)))))-COUNTBLANK(OFFSET(A$1,,,SUMPRODUCT(MAX(ROW(E$1:E4000)*(E2=E$1:E4000))))))</f>
        <v> </v>
      </c>
      <c r="K4001" s="25" t="str">
        <f>IF(OR(E4001="",E4001="!!!",F4001="NEW"),"",INDEX(J$1:J4000,SUMPRODUCT(MAX(ROW(E$1:E4000)*(E4001=E$1:E4000)))))</f>
        <v> </v>
      </c>
      <c r="L4001" s="26"/>
    </row>
    <row r="4002" spans="1:12">
      <c r="A4002" s="20" t="s">
        <v>1563</v>
      </c>
      <c r="B4002" s="27" t="s">
        <v>1130</v>
      </c>
      <c r="C4002" s="27" t="s">
        <v>851</v>
      </c>
      <c r="D4002" s="27" t="s">
        <v>762</v>
      </c>
      <c r="E4002" s="21">
        <f>IF(D4002="?OLD","!!!","")</f>
        <v/>
      </c>
      <c r="F4002" s="22" t="str">
        <f>IF(OR(E4002="",E4002="!!!"),"",IF(NOT(ISNA(VLOOKUP(E4002,E$1:E4001,1,FALSE()))),"OLD",IF(AND(E4002&lt;&gt;"",E4002&lt;&gt;"!!!"),"NEW","")))</f>
        <v> </v>
      </c>
      <c r="G4002" s="23" t="str">
        <f>IF(OR(E4002="",E4002="!!!"),"",IF(OR(J4002=0,AND(J4002=1,K4002=1),AND(J4002=1,I4002="SBJ"),AND(J4002=1,I4002=0)),"?IN_FOCUS",IF(J4002&lt;=2,"?ACTIVATED",IF(J4002&lt;&gt;"","?FAMILIAR",IF(F4002="NEW",IF(ISNA(VLOOKUP(E4002,#REF!,1,FALSE())),"?TYPE_IDENTIFIABLE","?REFERENTIAL"),"_")))))</f>
        <v> </v>
      </c>
      <c r="H4002" s="24" t="str">
        <f>IF(J4002&lt;&gt;1,"",IF(I4002="SBJ","CB","?"))</f>
        <v> </v>
      </c>
      <c r="I4002" s="25" t="str">
        <f>IF(OR(E4002="",E4002="!!!",F4002="NEW"),"",INDEX(B4001:B$2,-1+SUMPRODUCT(MAX(ROW(E4001:E$2)*(E4002=E4001:E$2)))))</f>
        <v> </v>
      </c>
      <c r="J4002" s="25" t="str">
        <f>IF(OR(E4002="",E4002="!!!",F4002="NEW"),"",COUNTBLANK(OFFSET(A$1,,,SUMPRODUCT(MAX(ROW(E$2:E4002)*(E4002=E$2:E4002)))))-COUNTBLANK(OFFSET(A$1,,,SUMPRODUCT(MAX(ROW(E$1:E4001)*(E2=E$1:E4001))))))</f>
        <v> </v>
      </c>
      <c r="K4002" s="25" t="str">
        <f>IF(OR(E4002="",E4002="!!!",F4002="NEW"),"",INDEX(J$1:J4001,SUMPRODUCT(MAX(ROW(E$1:E4001)*(E4002=E$1:E4001)))))</f>
        <v> </v>
      </c>
      <c r="L4002" s="26"/>
    </row>
    <row r="4003" spans="1:12">
      <c r="A4003" s="20" t="s">
        <v>972</v>
      </c>
      <c r="B4003" s="27" t="s">
        <v>1129</v>
      </c>
      <c r="C4003" s="27" t="s">
        <v>837</v>
      </c>
      <c r="D4003" s="27" t="s">
        <v>762</v>
      </c>
      <c r="E4003" s="21">
        <f>IF(D4003="?OLD","!!!","")</f>
        <v/>
      </c>
      <c r="F4003" s="22" t="str">
        <f>IF(OR(E4003="",E4003="!!!"),"",IF(NOT(ISNA(VLOOKUP(E4003,E$1:E4002,1,FALSE()))),"OLD",IF(AND(E4003&lt;&gt;"",E4003&lt;&gt;"!!!"),"NEW","")))</f>
        <v> </v>
      </c>
      <c r="G4003" s="23" t="str">
        <f>IF(OR(E4003="",E4003="!!!"),"",IF(OR(J4003=0,AND(J4003=1,K4003=1),AND(J4003=1,I4003="SBJ"),AND(J4003=1,I4003=0)),"?IN_FOCUS",IF(J4003&lt;=2,"?ACTIVATED",IF(J4003&lt;&gt;"","?FAMILIAR",IF(F4003="NEW",IF(ISNA(VLOOKUP(E4003,#REF!,1,FALSE())),"?TYPE_IDENTIFIABLE","?REFERENTIAL"),"_")))))</f>
        <v> </v>
      </c>
      <c r="H4003" s="24" t="str">
        <f>IF(J4003&lt;&gt;1,"",IF(I4003="SBJ","CB","?"))</f>
        <v> </v>
      </c>
      <c r="I4003" s="25" t="str">
        <f>IF(OR(E4003="",E4003="!!!",F4003="NEW"),"",INDEX(B4002:B$2,-1+SUMPRODUCT(MAX(ROW(E4002:E$2)*(E4003=E4002:E$2)))))</f>
        <v> </v>
      </c>
      <c r="J4003" s="25" t="str">
        <f>IF(OR(E4003="",E4003="!!!",F4003="NEW"),"",COUNTBLANK(OFFSET(A$1,,,SUMPRODUCT(MAX(ROW(E$2:E4003)*(E4003=E$2:E4003)))))-COUNTBLANK(OFFSET(A$1,,,SUMPRODUCT(MAX(ROW(E$1:E4002)*(E2=E$1:E4002))))))</f>
        <v> </v>
      </c>
      <c r="K4003" s="25" t="str">
        <f>IF(OR(E4003="",E4003="!!!",F4003="NEW"),"",INDEX(J$1:J4002,SUMPRODUCT(MAX(ROW(E$1:E4002)*(E4003=E$1:E4002)))))</f>
        <v> </v>
      </c>
      <c r="L4003" s="26"/>
    </row>
    <row r="4004" spans="1:12">
      <c r="A4004" s="20" t="s">
        <v>778</v>
      </c>
      <c r="E4004" s="21">
        <f>IF(D4004="?OLD","!!!","")</f>
        <v/>
      </c>
      <c r="F4004" s="22" t="str">
        <f>IF(OR(E4004="",E4004="!!!"),"",IF(NOT(ISNA(VLOOKUP(E4004,E$1:E4003,1,FALSE()))),"OLD",IF(AND(E4004&lt;&gt;"",E4004&lt;&gt;"!!!"),"NEW","")))</f>
        <v> </v>
      </c>
      <c r="G4004" s="23" t="str">
        <f>IF(OR(E4004="",E4004="!!!"),"",IF(OR(J4004=0,AND(J4004=1,K4004=1),AND(J4004=1,I4004="SBJ"),AND(J4004=1,I4004=0)),"?IN_FOCUS",IF(J4004&lt;=2,"?ACTIVATED",IF(J4004&lt;&gt;"","?FAMILIAR",IF(F4004="NEW",IF(ISNA(VLOOKUP(E4004,#REF!,1,FALSE())),"?TYPE_IDENTIFIABLE","?REFERENTIAL"),"_")))))</f>
        <v> </v>
      </c>
      <c r="H4004" s="24" t="str">
        <f>IF(J4004&lt;&gt;1,"",IF(I4004="SBJ","CB","?"))</f>
        <v> </v>
      </c>
      <c r="I4004" s="25" t="str">
        <f>IF(OR(E4004="",E4004="!!!",F4004="NEW"),"",INDEX(B4003:B$2,-1+SUMPRODUCT(MAX(ROW(E4003:E$2)*(E4004=E4003:E$2)))))</f>
        <v> </v>
      </c>
      <c r="J4004" s="25" t="str">
        <f>IF(OR(E4004="",E4004="!!!",F4004="NEW"),"",COUNTBLANK(OFFSET(A$1,,,SUMPRODUCT(MAX(ROW(E$2:E4004)*(E4004=E$2:E4004)))))-COUNTBLANK(OFFSET(A$1,,,SUMPRODUCT(MAX(ROW(E$1:E4003)*(E2=E$1:E4003))))))</f>
        <v> </v>
      </c>
      <c r="K4004" s="25" t="str">
        <f>IF(OR(E4004="",E4004="!!!",F4004="NEW"),"",INDEX(J$1:J4003,SUMPRODUCT(MAX(ROW(E$1:E4003)*(E4004=E$1:E4003)))))</f>
        <v> </v>
      </c>
      <c r="L4004" s="26"/>
    </row>
    <row r="4005" spans="1:12">
      <c r="A4005" s="20" t="s">
        <v>954</v>
      </c>
      <c r="B4005" s="27" t="s">
        <v>901</v>
      </c>
      <c r="C4005" s="27" t="s">
        <v>777</v>
      </c>
      <c r="D4005" s="27" t="s">
        <v>762</v>
      </c>
      <c r="E4005" s="21">
        <f>IF(D4005="?OLD","!!!","")</f>
        <v/>
      </c>
      <c r="F4005" s="22" t="str">
        <f>IF(OR(E4005="",E4005="!!!"),"",IF(NOT(ISNA(VLOOKUP(E4005,E$1:E4004,1,FALSE()))),"OLD",IF(AND(E4005&lt;&gt;"",E4005&lt;&gt;"!!!"),"NEW","")))</f>
        <v> </v>
      </c>
      <c r="G4005" s="23" t="str">
        <f>IF(OR(E4005="",E4005="!!!"),"",IF(OR(J4005=0,AND(J4005=1,K4005=1),AND(J4005=1,I4005="SBJ"),AND(J4005=1,I4005=0)),"?IN_FOCUS",IF(J4005&lt;=2,"?ACTIVATED",IF(J4005&lt;&gt;"","?FAMILIAR",IF(F4005="NEW",IF(ISNA(VLOOKUP(E4005,#REF!,1,FALSE())),"?TYPE_IDENTIFIABLE","?REFERENTIAL"),"_")))))</f>
        <v> </v>
      </c>
      <c r="H4005" s="24" t="str">
        <f>IF(J4005&lt;&gt;1,"",IF(I4005="SBJ","CB","?"))</f>
        <v> </v>
      </c>
      <c r="I4005" s="25" t="str">
        <f>IF(OR(E4005="",E4005="!!!",F4005="NEW"),"",INDEX(B4004:B$2,-1+SUMPRODUCT(MAX(ROW(E4004:E$2)*(E4005=E4004:E$2)))))</f>
        <v> </v>
      </c>
      <c r="J4005" s="25" t="str">
        <f>IF(OR(E4005="",E4005="!!!",F4005="NEW"),"",COUNTBLANK(OFFSET(A$1,,,SUMPRODUCT(MAX(ROW(E$2:E4005)*(E4005=E$2:E4005)))))-COUNTBLANK(OFFSET(A$1,,,SUMPRODUCT(MAX(ROW(E$1:E4004)*(E2=E$1:E4004))))))</f>
        <v> </v>
      </c>
      <c r="K4005" s="25" t="str">
        <f>IF(OR(E4005="",E4005="!!!",F4005="NEW"),"",INDEX(J$1:J4004,SUMPRODUCT(MAX(ROW(E$1:E4004)*(E4005=E$1:E4004)))))</f>
        <v> </v>
      </c>
      <c r="L4005" s="26"/>
    </row>
    <row r="4006" spans="1:12">
      <c r="A4006" s="20" t="s">
        <v>1007</v>
      </c>
      <c r="E4006" s="21">
        <f>IF(D4006="?OLD","!!!","")</f>
        <v/>
      </c>
      <c r="F4006" s="22" t="str">
        <f>IF(OR(E4006="",E4006="!!!"),"",IF(NOT(ISNA(VLOOKUP(E4006,E$1:E4005,1,FALSE()))),"OLD",IF(AND(E4006&lt;&gt;"",E4006&lt;&gt;"!!!"),"NEW","")))</f>
        <v> </v>
      </c>
      <c r="G4006" s="23" t="str">
        <f>IF(OR(E4006="",E4006="!!!"),"",IF(OR(J4006=0,AND(J4006=1,K4006=1),AND(J4006=1,I4006="SBJ"),AND(J4006=1,I4006=0)),"?IN_FOCUS",IF(J4006&lt;=2,"?ACTIVATED",IF(J4006&lt;&gt;"","?FAMILIAR",IF(F4006="NEW",IF(ISNA(VLOOKUP(E4006,#REF!,1,FALSE())),"?TYPE_IDENTIFIABLE","?REFERENTIAL"),"_")))))</f>
        <v> </v>
      </c>
      <c r="H4006" s="24" t="str">
        <f>IF(J4006&lt;&gt;1,"",IF(I4006="SBJ","CB","?"))</f>
        <v> </v>
      </c>
      <c r="I4006" s="25" t="str">
        <f>IF(OR(E4006="",E4006="!!!",F4006="NEW"),"",INDEX(B4005:B$2,-1+SUMPRODUCT(MAX(ROW(E4005:E$2)*(E4006=E4005:E$2)))))</f>
        <v> </v>
      </c>
      <c r="J4006" s="25" t="str">
        <f>IF(OR(E4006="",E4006="!!!",F4006="NEW"),"",COUNTBLANK(OFFSET(A$1,,,SUMPRODUCT(MAX(ROW(E$2:E4006)*(E4006=E$2:E4006)))))-COUNTBLANK(OFFSET(A$1,,,SUMPRODUCT(MAX(ROW(E$1:E4005)*(E2=E$1:E4005))))))</f>
        <v> </v>
      </c>
      <c r="K4006" s="25" t="str">
        <f>IF(OR(E4006="",E4006="!!!",F4006="NEW"),"",INDEX(J$1:J4005,SUMPRODUCT(MAX(ROW(E$1:E4005)*(E4006=E$1:E4005)))))</f>
        <v> </v>
      </c>
      <c r="L4006" s="26"/>
    </row>
    <row r="4007" spans="1:12">
      <c r="A4007" s="20" t="s">
        <v>1110</v>
      </c>
      <c r="B4007" s="27" t="s">
        <v>1062</v>
      </c>
      <c r="C4007" s="27" t="s">
        <v>820</v>
      </c>
      <c r="D4007" s="27" t="s">
        <v>762</v>
      </c>
      <c r="E4007" s="21">
        <f>IF(D4007="?OLD","!!!","")</f>
        <v/>
      </c>
      <c r="F4007" s="22" t="str">
        <f>IF(OR(E4007="",E4007="!!!"),"",IF(NOT(ISNA(VLOOKUP(E4007,E$1:E4006,1,FALSE()))),"OLD",IF(AND(E4007&lt;&gt;"",E4007&lt;&gt;"!!!"),"NEW","")))</f>
        <v> </v>
      </c>
      <c r="G4007" s="23" t="str">
        <f>IF(OR(E4007="",E4007="!!!"),"",IF(OR(J4007=0,AND(J4007=1,K4007=1),AND(J4007=1,I4007="SBJ"),AND(J4007=1,I4007=0)),"?IN_FOCUS",IF(J4007&lt;=2,"?ACTIVATED",IF(J4007&lt;&gt;"","?FAMILIAR",IF(F4007="NEW",IF(ISNA(VLOOKUP(E4007,#REF!,1,FALSE())),"?TYPE_IDENTIFIABLE","?REFERENTIAL"),"_")))))</f>
        <v> </v>
      </c>
      <c r="H4007" s="24" t="str">
        <f>IF(J4007&lt;&gt;1,"",IF(I4007="SBJ","CB","?"))</f>
        <v> </v>
      </c>
      <c r="I4007" s="25" t="str">
        <f>IF(OR(E4007="",E4007="!!!",F4007="NEW"),"",INDEX(B4006:B$2,-1+SUMPRODUCT(MAX(ROW(E4006:E$2)*(E4007=E4006:E$2)))))</f>
        <v> </v>
      </c>
      <c r="J4007" s="25" t="str">
        <f>IF(OR(E4007="",E4007="!!!",F4007="NEW"),"",COUNTBLANK(OFFSET(A$1,,,SUMPRODUCT(MAX(ROW(E$2:E4007)*(E4007=E$2:E4007)))))-COUNTBLANK(OFFSET(A$1,,,SUMPRODUCT(MAX(ROW(E$1:E4006)*(E2=E$1:E4006))))))</f>
        <v> </v>
      </c>
      <c r="K4007" s="25" t="str">
        <f>IF(OR(E4007="",E4007="!!!",F4007="NEW"),"",INDEX(J$1:J4006,SUMPRODUCT(MAX(ROW(E$1:E4006)*(E4007=E$1:E4006)))))</f>
        <v> </v>
      </c>
      <c r="L4007" s="26"/>
    </row>
    <row r="4008" spans="1:12">
      <c r="A4008" s="20" t="s">
        <v>838</v>
      </c>
      <c r="E4008" s="21">
        <f>IF(D4008="?OLD","!!!","")</f>
        <v/>
      </c>
      <c r="F4008" s="22" t="str">
        <f>IF(OR(E4008="",E4008="!!!"),"",IF(NOT(ISNA(VLOOKUP(E4008,E$1:E4007,1,FALSE()))),"OLD",IF(AND(E4008&lt;&gt;"",E4008&lt;&gt;"!!!"),"NEW","")))</f>
        <v> </v>
      </c>
      <c r="G4008" s="23" t="str">
        <f>IF(OR(E4008="",E4008="!!!"),"",IF(OR(J4008=0,AND(J4008=1,K4008=1),AND(J4008=1,I4008="SBJ"),AND(J4008=1,I4008=0)),"?IN_FOCUS",IF(J4008&lt;=2,"?ACTIVATED",IF(J4008&lt;&gt;"","?FAMILIAR",IF(F4008="NEW",IF(ISNA(VLOOKUP(E4008,#REF!,1,FALSE())),"?TYPE_IDENTIFIABLE","?REFERENTIAL"),"_")))))</f>
        <v> </v>
      </c>
      <c r="H4008" s="24" t="str">
        <f>IF(J4008&lt;&gt;1,"",IF(I4008="SBJ","CB","?"))</f>
        <v> </v>
      </c>
      <c r="I4008" s="25" t="str">
        <f>IF(OR(E4008="",E4008="!!!",F4008="NEW"),"",INDEX(B4007:B$2,-1+SUMPRODUCT(MAX(ROW(E4007:E$2)*(E4008=E4007:E$2)))))</f>
        <v> </v>
      </c>
      <c r="J4008" s="25" t="str">
        <f>IF(OR(E4008="",E4008="!!!",F4008="NEW"),"",COUNTBLANK(OFFSET(A$1,,,SUMPRODUCT(MAX(ROW(E$2:E4008)*(E4008=E$2:E4008)))))-COUNTBLANK(OFFSET(A$1,,,SUMPRODUCT(MAX(ROW(E$1:E4007)*(E2=E$1:E4007))))))</f>
        <v> </v>
      </c>
      <c r="K4008" s="25" t="str">
        <f>IF(OR(E4008="",E4008="!!!",F4008="NEW"),"",INDEX(J$1:J4007,SUMPRODUCT(MAX(ROW(E$1:E4007)*(E4008=E$1:E4007)))))</f>
        <v> </v>
      </c>
      <c r="L4008" s="26"/>
    </row>
    <row r="4009" spans="1:12">
      <c r="A4009" s="20" t="s">
        <v>125</v>
      </c>
      <c r="B4009" s="27" t="s">
        <v>1080</v>
      </c>
      <c r="C4009" s="27" t="s">
        <v>761</v>
      </c>
      <c r="D4009" s="27" t="s">
        <v>762</v>
      </c>
      <c r="E4009" s="21">
        <f>IF(D4009="?OLD","!!!","")</f>
        <v/>
      </c>
      <c r="F4009" s="22" t="str">
        <f>IF(OR(E4009="",E4009="!!!"),"",IF(NOT(ISNA(VLOOKUP(E4009,E$1:E4008,1,FALSE()))),"OLD",IF(AND(E4009&lt;&gt;"",E4009&lt;&gt;"!!!"),"NEW","")))</f>
        <v> </v>
      </c>
      <c r="G4009" s="23" t="str">
        <f>IF(OR(E4009="",E4009="!!!"),"",IF(OR(J4009=0,AND(J4009=1,K4009=1),AND(J4009=1,I4009="SBJ"),AND(J4009=1,I4009=0)),"?IN_FOCUS",IF(J4009&lt;=2,"?ACTIVATED",IF(J4009&lt;&gt;"","?FAMILIAR",IF(F4009="NEW",IF(ISNA(VLOOKUP(E4009,#REF!,1,FALSE())),"?TYPE_IDENTIFIABLE","?REFERENTIAL"),"_")))))</f>
        <v> </v>
      </c>
      <c r="H4009" s="24" t="str">
        <f>IF(J4009&lt;&gt;1,"",IF(I4009="SBJ","CB","?"))</f>
        <v> </v>
      </c>
      <c r="I4009" s="25" t="str">
        <f>IF(OR(E4009="",E4009="!!!",F4009="NEW"),"",INDEX(B4008:B$2,-1+SUMPRODUCT(MAX(ROW(E4008:E$2)*(E4009=E4008:E$2)))))</f>
        <v> </v>
      </c>
      <c r="J4009" s="25" t="str">
        <f>IF(OR(E4009="",E4009="!!!",F4009="NEW"),"",COUNTBLANK(OFFSET(A$1,,,SUMPRODUCT(MAX(ROW(E$2:E4009)*(E4009=E$2:E4009)))))-COUNTBLANK(OFFSET(A$1,,,SUMPRODUCT(MAX(ROW(E$1:E4008)*(E2=E$1:E4008))))))</f>
        <v> </v>
      </c>
      <c r="K4009" s="25" t="str">
        <f>IF(OR(E4009="",E4009="!!!",F4009="NEW"),"",INDEX(J$1:J4008,SUMPRODUCT(MAX(ROW(E$1:E4008)*(E4009=E$1:E4008)))))</f>
        <v> </v>
      </c>
      <c r="L4009" s="26"/>
    </row>
    <row r="4010" spans="1:12">
      <c r="A4010" s="20" t="s">
        <v>1051</v>
      </c>
      <c r="B4010" s="27" t="s">
        <v>1236</v>
      </c>
      <c r="C4010" s="27" t="s">
        <v>797</v>
      </c>
      <c r="D4010" s="27" t="s">
        <v>762</v>
      </c>
      <c r="E4010" s="21">
        <f>IF(D4010="?OLD","!!!","")</f>
        <v/>
      </c>
      <c r="F4010" s="22" t="str">
        <f>IF(OR(E4010="",E4010="!!!"),"",IF(NOT(ISNA(VLOOKUP(E4010,E$1:E4009,1,FALSE()))),"OLD",IF(AND(E4010&lt;&gt;"",E4010&lt;&gt;"!!!"),"NEW","")))</f>
        <v> </v>
      </c>
      <c r="G4010" s="23" t="str">
        <f>IF(OR(E4010="",E4010="!!!"),"",IF(OR(J4010=0,AND(J4010=1,K4010=1),AND(J4010=1,I4010="SBJ"),AND(J4010=1,I4010=0)),"?IN_FOCUS",IF(J4010&lt;=2,"?ACTIVATED",IF(J4010&lt;&gt;"","?FAMILIAR",IF(F4010="NEW",IF(ISNA(VLOOKUP(E4010,#REF!,1,FALSE())),"?TYPE_IDENTIFIABLE","?REFERENTIAL"),"_")))))</f>
        <v> </v>
      </c>
      <c r="H4010" s="24" t="str">
        <f>IF(J4010&lt;&gt;1,"",IF(I4010="SBJ","CB","?"))</f>
        <v> </v>
      </c>
      <c r="I4010" s="25" t="str">
        <f>IF(OR(E4010="",E4010="!!!",F4010="NEW"),"",INDEX(B4009:B$2,-1+SUMPRODUCT(MAX(ROW(E4009:E$2)*(E4010=E4009:E$2)))))</f>
        <v> </v>
      </c>
      <c r="J4010" s="25" t="str">
        <f>IF(OR(E4010="",E4010="!!!",F4010="NEW"),"",COUNTBLANK(OFFSET(A$1,,,SUMPRODUCT(MAX(ROW(E$2:E4010)*(E4010=E$2:E4010)))))-COUNTBLANK(OFFSET(A$1,,,SUMPRODUCT(MAX(ROW(E$1:E4009)*(E2=E$1:E4009))))))</f>
        <v> </v>
      </c>
      <c r="K4010" s="25" t="str">
        <f>IF(OR(E4010="",E4010="!!!",F4010="NEW"),"",INDEX(J$1:J4009,SUMPRODUCT(MAX(ROW(E$1:E4009)*(E4010=E$1:E4009)))))</f>
        <v> </v>
      </c>
      <c r="L4010" s="26"/>
    </row>
    <row r="4011" spans="1:12">
      <c r="A4011" s="20" t="s">
        <v>1893</v>
      </c>
      <c r="E4011" s="21">
        <f>IF(D4011="?OLD","!!!","")</f>
        <v/>
      </c>
      <c r="F4011" s="22" t="str">
        <f>IF(OR(E4011="",E4011="!!!"),"",IF(NOT(ISNA(VLOOKUP(E4011,E$1:E4010,1,FALSE()))),"OLD",IF(AND(E4011&lt;&gt;"",E4011&lt;&gt;"!!!"),"NEW","")))</f>
        <v> </v>
      </c>
      <c r="G4011" s="23" t="str">
        <f>IF(OR(E4011="",E4011="!!!"),"",IF(OR(J4011=0,AND(J4011=1,K4011=1),AND(J4011=1,I4011="SBJ"),AND(J4011=1,I4011=0)),"?IN_FOCUS",IF(J4011&lt;=2,"?ACTIVATED",IF(J4011&lt;&gt;"","?FAMILIAR",IF(F4011="NEW",IF(ISNA(VLOOKUP(E4011,#REF!,1,FALSE())),"?TYPE_IDENTIFIABLE","?REFERENTIAL"),"_")))))</f>
        <v> </v>
      </c>
      <c r="H4011" s="24" t="str">
        <f>IF(J4011&lt;&gt;1,"",IF(I4011="SBJ","CB","?"))</f>
        <v> </v>
      </c>
      <c r="I4011" s="25" t="str">
        <f>IF(OR(E4011="",E4011="!!!",F4011="NEW"),"",INDEX(B4010:B$2,-1+SUMPRODUCT(MAX(ROW(E4010:E$2)*(E4011=E4010:E$2)))))</f>
        <v> </v>
      </c>
      <c r="J4011" s="25" t="str">
        <f>IF(OR(E4011="",E4011="!!!",F4011="NEW"),"",COUNTBLANK(OFFSET(A$1,,,SUMPRODUCT(MAX(ROW(E$2:E4011)*(E4011=E$2:E4011)))))-COUNTBLANK(OFFSET(A$1,,,SUMPRODUCT(MAX(ROW(E$1:E4010)*(E2=E$1:E4010))))))</f>
        <v> </v>
      </c>
      <c r="K4011" s="25" t="str">
        <f>IF(OR(E4011="",E4011="!!!",F4011="NEW"),"",INDEX(J$1:J4010,SUMPRODUCT(MAX(ROW(E$1:E4010)*(E4011=E$1:E4010)))))</f>
        <v> </v>
      </c>
      <c r="L4011" s="26"/>
    </row>
    <row r="4012" spans="1:12">
      <c r="A4012" s="20" t="s">
        <v>757</v>
      </c>
      <c r="E4012" s="21">
        <f>IF(D4012="?OLD","!!!","")</f>
        <v/>
      </c>
      <c r="F4012" s="22" t="str">
        <f>IF(OR(E4012="",E4012="!!!"),"",IF(NOT(ISNA(VLOOKUP(E4012,E$1:E4011,1,FALSE()))),"OLD",IF(AND(E4012&lt;&gt;"",E4012&lt;&gt;"!!!"),"NEW","")))</f>
        <v> </v>
      </c>
      <c r="G4012" s="23" t="str">
        <f>IF(OR(E4012="",E4012="!!!"),"",IF(OR(J4012=0,AND(J4012=1,K4012=1),AND(J4012=1,I4012="SBJ"),AND(J4012=1,I4012=0)),"?IN_FOCUS",IF(J4012&lt;=2,"?ACTIVATED",IF(J4012&lt;&gt;"","?FAMILIAR",IF(F4012="NEW",IF(ISNA(VLOOKUP(E4012,#REF!,1,FALSE())),"?TYPE_IDENTIFIABLE","?REFERENTIAL"),"_")))))</f>
        <v> </v>
      </c>
      <c r="H4012" s="24" t="str">
        <f>IF(J4012&lt;&gt;1,"",IF(I4012="SBJ","CB","?"))</f>
        <v> </v>
      </c>
      <c r="I4012" s="25" t="str">
        <f>IF(OR(E4012="",E4012="!!!",F4012="NEW"),"",INDEX(B4011:B$2,-1+SUMPRODUCT(MAX(ROW(E4011:E$2)*(E4012=E4011:E$2)))))</f>
        <v> </v>
      </c>
      <c r="J4012" s="25" t="str">
        <f>IF(OR(E4012="",E4012="!!!",F4012="NEW"),"",COUNTBLANK(OFFSET(A$1,,,SUMPRODUCT(MAX(ROW(E$2:E4012)*(E4012=E$2:E4012)))))-COUNTBLANK(OFFSET(A$1,,,SUMPRODUCT(MAX(ROW(E$1:E4011)*(E2=E$1:E4011))))))</f>
        <v> </v>
      </c>
      <c r="K4012" s="25" t="str">
        <f>IF(OR(E4012="",E4012="!!!",F4012="NEW"),"",INDEX(J$1:J4011,SUMPRODUCT(MAX(ROW(E$1:E4011)*(E4012=E$1:E4011)))))</f>
        <v> </v>
      </c>
      <c r="L4012" s="26"/>
    </row>
    <row r="4013" spans="1:12">
      <c r="A4013" s="20" t="s">
        <v>1031</v>
      </c>
      <c r="E4013" s="21">
        <f>IF(D4013="?OLD","!!!","")</f>
        <v/>
      </c>
      <c r="F4013" s="22" t="str">
        <f>IF(OR(E4013="",E4013="!!!"),"",IF(NOT(ISNA(VLOOKUP(E4013,E$1:E4012,1,FALSE()))),"OLD",IF(AND(E4013&lt;&gt;"",E4013&lt;&gt;"!!!"),"NEW","")))</f>
        <v> </v>
      </c>
      <c r="G4013" s="23" t="str">
        <f>IF(OR(E4013="",E4013="!!!"),"",IF(OR(J4013=0,AND(J4013=1,K4013=1),AND(J4013=1,I4013="SBJ"),AND(J4013=1,I4013=0)),"?IN_FOCUS",IF(J4013&lt;=2,"?ACTIVATED",IF(J4013&lt;&gt;"","?FAMILIAR",IF(F4013="NEW",IF(ISNA(VLOOKUP(E4013,#REF!,1,FALSE())),"?TYPE_IDENTIFIABLE","?REFERENTIAL"),"_")))))</f>
        <v> </v>
      </c>
      <c r="H4013" s="24" t="str">
        <f>IF(J4013&lt;&gt;1,"",IF(I4013="SBJ","CB","?"))</f>
        <v> </v>
      </c>
      <c r="I4013" s="25" t="str">
        <f>IF(OR(E4013="",E4013="!!!",F4013="NEW"),"",INDEX(B4012:B$2,-1+SUMPRODUCT(MAX(ROW(E4012:E$2)*(E4013=E4012:E$2)))))</f>
        <v> </v>
      </c>
      <c r="J4013" s="25" t="str">
        <f>IF(OR(E4013="",E4013="!!!",F4013="NEW"),"",COUNTBLANK(OFFSET(A$1,,,SUMPRODUCT(MAX(ROW(E$2:E4013)*(E4013=E$2:E4013)))))-COUNTBLANK(OFFSET(A$1,,,SUMPRODUCT(MAX(ROW(E$1:E4012)*(E2=E$1:E4012))))))</f>
        <v> </v>
      </c>
      <c r="K4013" s="25" t="str">
        <f>IF(OR(E4013="",E4013="!!!",F4013="NEW"),"",INDEX(J$1:J4012,SUMPRODUCT(MAX(ROW(E$1:E4012)*(E4013=E$1:E4012)))))</f>
        <v> </v>
      </c>
      <c r="L4013" s="26"/>
    </row>
    <row r="4014" spans="1:12">
      <c r="A4014" s="20" t="s">
        <v>1557</v>
      </c>
      <c r="B4014" s="27" t="s">
        <v>941</v>
      </c>
      <c r="C4014" s="27" t="s">
        <v>797</v>
      </c>
      <c r="D4014" s="27" t="s">
        <v>762</v>
      </c>
      <c r="E4014" s="21">
        <f>IF(D4014="?OLD","!!!","")</f>
        <v/>
      </c>
      <c r="F4014" s="22" t="str">
        <f>IF(OR(E4014="",E4014="!!!"),"",IF(NOT(ISNA(VLOOKUP(E4014,E$1:E4013,1,FALSE()))),"OLD",IF(AND(E4014&lt;&gt;"",E4014&lt;&gt;"!!!"),"NEW","")))</f>
        <v> </v>
      </c>
      <c r="G4014" s="23" t="str">
        <f>IF(OR(E4014="",E4014="!!!"),"",IF(OR(J4014=0,AND(J4014=1,K4014=1),AND(J4014=1,I4014="SBJ"),AND(J4014=1,I4014=0)),"?IN_FOCUS",IF(J4014&lt;=2,"?ACTIVATED",IF(J4014&lt;&gt;"","?FAMILIAR",IF(F4014="NEW",IF(ISNA(VLOOKUP(E4014,#REF!,1,FALSE())),"?TYPE_IDENTIFIABLE","?REFERENTIAL"),"_")))))</f>
        <v> </v>
      </c>
      <c r="H4014" s="24" t="str">
        <f>IF(J4014&lt;&gt;1,"",IF(I4014="SBJ","CB","?"))</f>
        <v> </v>
      </c>
      <c r="I4014" s="25" t="str">
        <f>IF(OR(E4014="",E4014="!!!",F4014="NEW"),"",INDEX(B4013:B$2,-1+SUMPRODUCT(MAX(ROW(E4013:E$2)*(E4014=E4013:E$2)))))</f>
        <v> </v>
      </c>
      <c r="J4014" s="25" t="str">
        <f>IF(OR(E4014="",E4014="!!!",F4014="NEW"),"",COUNTBLANK(OFFSET(A$1,,,SUMPRODUCT(MAX(ROW(E$2:E4014)*(E4014=E$2:E4014)))))-COUNTBLANK(OFFSET(A$1,,,SUMPRODUCT(MAX(ROW(E$1:E4013)*(E2=E$1:E4013))))))</f>
        <v> </v>
      </c>
      <c r="K4014" s="25" t="str">
        <f>IF(OR(E4014="",E4014="!!!",F4014="NEW"),"",INDEX(J$1:J4013,SUMPRODUCT(MAX(ROW(E$1:E4013)*(E4014=E$1:E4013)))))</f>
        <v> </v>
      </c>
      <c r="L4014" s="26"/>
    </row>
    <row r="4015" spans="1:12">
      <c r="A4015" s="20" t="s">
        <v>1894</v>
      </c>
      <c r="E4015" s="21">
        <f>IF(D4015="?OLD","!!!","")</f>
        <v/>
      </c>
      <c r="F4015" s="22" t="str">
        <f>IF(OR(E4015="",E4015="!!!"),"",IF(NOT(ISNA(VLOOKUP(E4015,E$1:E4014,1,FALSE()))),"OLD",IF(AND(E4015&lt;&gt;"",E4015&lt;&gt;"!!!"),"NEW","")))</f>
        <v> </v>
      </c>
      <c r="G4015" s="23" t="str">
        <f>IF(OR(E4015="",E4015="!!!"),"",IF(OR(J4015=0,AND(J4015=1,K4015=1),AND(J4015=1,I4015="SBJ"),AND(J4015=1,I4015=0)),"?IN_FOCUS",IF(J4015&lt;=2,"?ACTIVATED",IF(J4015&lt;&gt;"","?FAMILIAR",IF(F4015="NEW",IF(ISNA(VLOOKUP(E4015,#REF!,1,FALSE())),"?TYPE_IDENTIFIABLE","?REFERENTIAL"),"_")))))</f>
        <v> </v>
      </c>
      <c r="H4015" s="24" t="str">
        <f>IF(J4015&lt;&gt;1,"",IF(I4015="SBJ","CB","?"))</f>
        <v> </v>
      </c>
      <c r="I4015" s="25" t="str">
        <f>IF(OR(E4015="",E4015="!!!",F4015="NEW"),"",INDEX(B4014:B$2,-1+SUMPRODUCT(MAX(ROW(E4014:E$2)*(E4015=E4014:E$2)))))</f>
        <v> </v>
      </c>
      <c r="J4015" s="25" t="str">
        <f>IF(OR(E4015="",E4015="!!!",F4015="NEW"),"",COUNTBLANK(OFFSET(A$1,,,SUMPRODUCT(MAX(ROW(E$2:E4015)*(E4015=E$2:E4015)))))-COUNTBLANK(OFFSET(A$1,,,SUMPRODUCT(MAX(ROW(E$1:E4014)*(E2=E$1:E4014))))))</f>
        <v> </v>
      </c>
      <c r="K4015" s="25" t="str">
        <f>IF(OR(E4015="",E4015="!!!",F4015="NEW"),"",INDEX(J$1:J4014,SUMPRODUCT(MAX(ROW(E$1:E4014)*(E4015=E$1:E4014)))))</f>
        <v> </v>
      </c>
      <c r="L4015" s="26"/>
    </row>
    <row r="4016" spans="1:12">
      <c r="A4016" s="20" t="s">
        <v>793</v>
      </c>
      <c r="E4016" s="21">
        <f>IF(D4016="?OLD","!!!","")</f>
        <v/>
      </c>
      <c r="F4016" s="22" t="str">
        <f>IF(OR(E4016="",E4016="!!!"),"",IF(NOT(ISNA(VLOOKUP(E4016,E$1:E4015,1,FALSE()))),"OLD",IF(AND(E4016&lt;&gt;"",E4016&lt;&gt;"!!!"),"NEW","")))</f>
        <v> </v>
      </c>
      <c r="G4016" s="23" t="str">
        <f>IF(OR(E4016="",E4016="!!!"),"",IF(OR(J4016=0,AND(J4016=1,K4016=1),AND(J4016=1,I4016="SBJ"),AND(J4016=1,I4016=0)),"?IN_FOCUS",IF(J4016&lt;=2,"?ACTIVATED",IF(J4016&lt;&gt;"","?FAMILIAR",IF(F4016="NEW",IF(ISNA(VLOOKUP(E4016,#REF!,1,FALSE())),"?TYPE_IDENTIFIABLE","?REFERENTIAL"),"_")))))</f>
        <v> </v>
      </c>
      <c r="H4016" s="24" t="str">
        <f>IF(J4016&lt;&gt;1,"",IF(I4016="SBJ","CB","?"))</f>
        <v> </v>
      </c>
      <c r="I4016" s="25" t="str">
        <f>IF(OR(E4016="",E4016="!!!",F4016="NEW"),"",INDEX(B4015:B$2,-1+SUMPRODUCT(MAX(ROW(E4015:E$2)*(E4016=E4015:E$2)))))</f>
        <v> </v>
      </c>
      <c r="J4016" s="25" t="str">
        <f>IF(OR(E4016="",E4016="!!!",F4016="NEW"),"",COUNTBLANK(OFFSET(A$1,,,SUMPRODUCT(MAX(ROW(E$2:E4016)*(E4016=E$2:E4016)))))-COUNTBLANK(OFFSET(A$1,,,SUMPRODUCT(MAX(ROW(E$1:E4015)*(E2=E$1:E4015))))))</f>
        <v> </v>
      </c>
      <c r="K4016" s="25" t="str">
        <f>IF(OR(E4016="",E4016="!!!",F4016="NEW"),"",INDEX(J$1:J4015,SUMPRODUCT(MAX(ROW(E$1:E4015)*(E4016=E$1:E4015)))))</f>
        <v> </v>
      </c>
      <c r="L4016" s="26"/>
    </row>
    <row r="4017" spans="1:12">
      <c r="A4017" s="20" t="s">
        <v>955</v>
      </c>
      <c r="B4017" s="27" t="s">
        <v>1272</v>
      </c>
      <c r="C4017" s="27" t="s">
        <v>777</v>
      </c>
      <c r="D4017" s="27" t="s">
        <v>762</v>
      </c>
      <c r="E4017" s="21">
        <f>IF(D4017="?OLD","!!!","")</f>
        <v/>
      </c>
      <c r="F4017" s="22" t="str">
        <f>IF(OR(E4017="",E4017="!!!"),"",IF(NOT(ISNA(VLOOKUP(E4017,E$1:E4016,1,FALSE()))),"OLD",IF(AND(E4017&lt;&gt;"",E4017&lt;&gt;"!!!"),"NEW","")))</f>
        <v> </v>
      </c>
      <c r="G4017" s="23" t="str">
        <f>IF(OR(E4017="",E4017="!!!"),"",IF(OR(J4017=0,AND(J4017=1,K4017=1),AND(J4017=1,I4017="SBJ"),AND(J4017=1,I4017=0)),"?IN_FOCUS",IF(J4017&lt;=2,"?ACTIVATED",IF(J4017&lt;&gt;"","?FAMILIAR",IF(F4017="NEW",IF(ISNA(VLOOKUP(E4017,#REF!,1,FALSE())),"?TYPE_IDENTIFIABLE","?REFERENTIAL"),"_")))))</f>
        <v> </v>
      </c>
      <c r="H4017" s="24" t="str">
        <f>IF(J4017&lt;&gt;1,"",IF(I4017="SBJ","CB","?"))</f>
        <v> </v>
      </c>
      <c r="I4017" s="25" t="str">
        <f>IF(OR(E4017="",E4017="!!!",F4017="NEW"),"",INDEX(B4016:B$2,-1+SUMPRODUCT(MAX(ROW(E4016:E$2)*(E4017=E4016:E$2)))))</f>
        <v> </v>
      </c>
      <c r="J4017" s="25" t="str">
        <f>IF(OR(E4017="",E4017="!!!",F4017="NEW"),"",COUNTBLANK(OFFSET(A$1,,,SUMPRODUCT(MAX(ROW(E$2:E4017)*(E4017=E$2:E4017)))))-COUNTBLANK(OFFSET(A$1,,,SUMPRODUCT(MAX(ROW(E$1:E4016)*(E2=E$1:E4016))))))</f>
        <v> </v>
      </c>
      <c r="K4017" s="25" t="str">
        <f>IF(OR(E4017="",E4017="!!!",F4017="NEW"),"",INDEX(J$1:J4016,SUMPRODUCT(MAX(ROW(E$1:E4016)*(E4017=E$1:E4016)))))</f>
        <v> </v>
      </c>
      <c r="L4017" s="26"/>
    </row>
    <row r="4018" spans="1:12">
      <c r="A4018" s="20" t="s">
        <v>778</v>
      </c>
      <c r="E4018" s="21">
        <f>IF(D4018="?OLD","!!!","")</f>
        <v/>
      </c>
      <c r="F4018" s="22" t="str">
        <f>IF(OR(E4018="",E4018="!!!"),"",IF(NOT(ISNA(VLOOKUP(E4018,E$1:E4017,1,FALSE()))),"OLD",IF(AND(E4018&lt;&gt;"",E4018&lt;&gt;"!!!"),"NEW","")))</f>
        <v> </v>
      </c>
      <c r="G4018" s="23" t="str">
        <f>IF(OR(E4018="",E4018="!!!"),"",IF(OR(J4018=0,AND(J4018=1,K4018=1),AND(J4018=1,I4018="SBJ"),AND(J4018=1,I4018=0)),"?IN_FOCUS",IF(J4018&lt;=2,"?ACTIVATED",IF(J4018&lt;&gt;"","?FAMILIAR",IF(F4018="NEW",IF(ISNA(VLOOKUP(E4018,#REF!,1,FALSE())),"?TYPE_IDENTIFIABLE","?REFERENTIAL"),"_")))))</f>
        <v> </v>
      </c>
      <c r="H4018" s="24" t="str">
        <f>IF(J4018&lt;&gt;1,"",IF(I4018="SBJ","CB","?"))</f>
        <v> </v>
      </c>
      <c r="I4018" s="25" t="str">
        <f>IF(OR(E4018="",E4018="!!!",F4018="NEW"),"",INDEX(B4017:B$2,-1+SUMPRODUCT(MAX(ROW(E4017:E$2)*(E4018=E4017:E$2)))))</f>
        <v> </v>
      </c>
      <c r="J4018" s="25" t="str">
        <f>IF(OR(E4018="",E4018="!!!",F4018="NEW"),"",COUNTBLANK(OFFSET(A$1,,,SUMPRODUCT(MAX(ROW(E$2:E4018)*(E4018=E$2:E4018)))))-COUNTBLANK(OFFSET(A$1,,,SUMPRODUCT(MAX(ROW(E$1:E4017)*(E2=E$1:E4017))))))</f>
        <v> </v>
      </c>
      <c r="K4018" s="25" t="str">
        <f>IF(OR(E4018="",E4018="!!!",F4018="NEW"),"",INDEX(J$1:J4017,SUMPRODUCT(MAX(ROW(E$1:E4017)*(E4018=E$1:E4017)))))</f>
        <v> </v>
      </c>
      <c r="L4018" s="26"/>
    </row>
    <row r="4019" spans="1:12">
      <c r="A4019" s="20" t="s">
        <v>779</v>
      </c>
      <c r="E4019" s="21">
        <f>IF(D4019="?OLD","!!!","")</f>
        <v/>
      </c>
      <c r="F4019" s="22" t="str">
        <f>IF(OR(E4019="",E4019="!!!"),"",IF(NOT(ISNA(VLOOKUP(E4019,E$1:E4018,1,FALSE()))),"OLD",IF(AND(E4019&lt;&gt;"",E4019&lt;&gt;"!!!"),"NEW","")))</f>
        <v> </v>
      </c>
      <c r="G4019" s="23" t="str">
        <f>IF(OR(E4019="",E4019="!!!"),"",IF(OR(J4019=0,AND(J4019=1,K4019=1),AND(J4019=1,I4019="SBJ"),AND(J4019=1,I4019=0)),"?IN_FOCUS",IF(J4019&lt;=2,"?ACTIVATED",IF(J4019&lt;&gt;"","?FAMILIAR",IF(F4019="NEW",IF(ISNA(VLOOKUP(E4019,#REF!,1,FALSE())),"?TYPE_IDENTIFIABLE","?REFERENTIAL"),"_")))))</f>
        <v> </v>
      </c>
      <c r="H4019" s="24" t="str">
        <f>IF(J4019&lt;&gt;1,"",IF(I4019="SBJ","CB","?"))</f>
        <v> </v>
      </c>
      <c r="I4019" s="25" t="str">
        <f>IF(OR(E4019="",E4019="!!!",F4019="NEW"),"",INDEX(B4018:B$2,-1+SUMPRODUCT(MAX(ROW(E4018:E$2)*(E4019=E4018:E$2)))))</f>
        <v> </v>
      </c>
      <c r="J4019" s="25" t="str">
        <f>IF(OR(E4019="",E4019="!!!",F4019="NEW"),"",COUNTBLANK(OFFSET(A$1,,,SUMPRODUCT(MAX(ROW(E$2:E4019)*(E4019=E$2:E4019)))))-COUNTBLANK(OFFSET(A$1,,,SUMPRODUCT(MAX(ROW(E$1:E4018)*(E2=E$1:E4018))))))</f>
        <v> </v>
      </c>
      <c r="K4019" s="25" t="str">
        <f>IF(OR(E4019="",E4019="!!!",F4019="NEW"),"",INDEX(J$1:J4018,SUMPRODUCT(MAX(ROW(E$1:E4018)*(E4019=E$1:E4018)))))</f>
        <v> </v>
      </c>
      <c r="L4019" s="26"/>
    </row>
    <row r="4020" spans="1:12">
      <c r="A4020" s="20" t="s">
        <v>1895</v>
      </c>
      <c r="B4020" s="27" t="s">
        <v>901</v>
      </c>
      <c r="C4020" s="27" t="s">
        <v>768</v>
      </c>
      <c r="E4020" s="21">
        <f>IF(D4020="?OLD","!!!","")</f>
        <v/>
      </c>
      <c r="F4020" s="22" t="str">
        <f>IF(OR(E4020="",E4020="!!!"),"",IF(NOT(ISNA(VLOOKUP(E4020,E$1:E4019,1,FALSE()))),"OLD",IF(AND(E4020&lt;&gt;"",E4020&lt;&gt;"!!!"),"NEW","")))</f>
        <v> </v>
      </c>
      <c r="G4020" s="23" t="str">
        <f>IF(OR(E4020="",E4020="!!!"),"",IF(OR(J4020=0,AND(J4020=1,K4020=1),AND(J4020=1,I4020="SBJ"),AND(J4020=1,I4020=0)),"?IN_FOCUS",IF(J4020&lt;=2,"?ACTIVATED",IF(J4020&lt;&gt;"","?FAMILIAR",IF(F4020="NEW",IF(ISNA(VLOOKUP(E4020,#REF!,1,FALSE())),"?TYPE_IDENTIFIABLE","?REFERENTIAL"),"_")))))</f>
        <v> </v>
      </c>
      <c r="H4020" s="24" t="str">
        <f>IF(J4020&lt;&gt;1,"",IF(I4020="SBJ","CB","?"))</f>
        <v> </v>
      </c>
      <c r="I4020" s="25" t="str">
        <f>IF(OR(E4020="",E4020="!!!",F4020="NEW"),"",INDEX(B4019:B$2,-1+SUMPRODUCT(MAX(ROW(E4019:E$2)*(E4020=E4019:E$2)))))</f>
        <v> </v>
      </c>
      <c r="J4020" s="25" t="str">
        <f>IF(OR(E4020="",E4020="!!!",F4020="NEW"),"",COUNTBLANK(OFFSET(A$1,,,SUMPRODUCT(MAX(ROW(E$2:E4020)*(E4020=E$2:E4020)))))-COUNTBLANK(OFFSET(A$1,,,SUMPRODUCT(MAX(ROW(E$1:E4019)*(E2=E$1:E4019))))))</f>
        <v> </v>
      </c>
      <c r="K4020" s="25" t="str">
        <f>IF(OR(E4020="",E4020="!!!",F4020="NEW"),"",INDEX(J$1:J4019,SUMPRODUCT(MAX(ROW(E$1:E4019)*(E4020=E$1:E4019)))))</f>
        <v> </v>
      </c>
      <c r="L4020" s="26"/>
    </row>
    <row r="4021" spans="1:12">
      <c r="A4021" s="20" t="s">
        <v>1896</v>
      </c>
      <c r="E4021" s="21">
        <f>IF(D4021="?OLD","!!!","")</f>
        <v/>
      </c>
      <c r="F4021" s="22" t="str">
        <f>IF(OR(E4021="",E4021="!!!"),"",IF(NOT(ISNA(VLOOKUP(E4021,E$1:E4020,1,FALSE()))),"OLD",IF(AND(E4021&lt;&gt;"",E4021&lt;&gt;"!!!"),"NEW","")))</f>
        <v> </v>
      </c>
      <c r="G4021" s="23" t="str">
        <f>IF(OR(E4021="",E4021="!!!"),"",IF(OR(J4021=0,AND(J4021=1,K4021=1),AND(J4021=1,I4021="SBJ"),AND(J4021=1,I4021=0)),"?IN_FOCUS",IF(J4021&lt;=2,"?ACTIVATED",IF(J4021&lt;&gt;"","?FAMILIAR",IF(F4021="NEW",IF(ISNA(VLOOKUP(E4021,#REF!,1,FALSE())),"?TYPE_IDENTIFIABLE","?REFERENTIAL"),"_")))))</f>
        <v> </v>
      </c>
      <c r="H4021" s="24" t="str">
        <f>IF(J4021&lt;&gt;1,"",IF(I4021="SBJ","CB","?"))</f>
        <v> </v>
      </c>
      <c r="I4021" s="25" t="str">
        <f>IF(OR(E4021="",E4021="!!!",F4021="NEW"),"",INDEX(B4020:B$2,-1+SUMPRODUCT(MAX(ROW(E4020:E$2)*(E4021=E4020:E$2)))))</f>
        <v> </v>
      </c>
      <c r="J4021" s="25" t="str">
        <f>IF(OR(E4021="",E4021="!!!",F4021="NEW"),"",COUNTBLANK(OFFSET(A$1,,,SUMPRODUCT(MAX(ROW(E$2:E4021)*(E4021=E$2:E4021)))))-COUNTBLANK(OFFSET(A$1,,,SUMPRODUCT(MAX(ROW(E$1:E4020)*(E2=E$1:E4020))))))</f>
        <v> </v>
      </c>
      <c r="K4021" s="25" t="str">
        <f>IF(OR(E4021="",E4021="!!!",F4021="NEW"),"",INDEX(J$1:J4020,SUMPRODUCT(MAX(ROW(E$1:E4020)*(E4021=E$1:E4020)))))</f>
        <v> </v>
      </c>
      <c r="L4021" s="26"/>
    </row>
    <row r="4022" spans="1:12">
      <c r="A4022" s="20" t="s">
        <v>1897</v>
      </c>
      <c r="E4022" s="21">
        <f>IF(D4022="?OLD","!!!","")</f>
        <v/>
      </c>
      <c r="F4022" s="22" t="str">
        <f>IF(OR(E4022="",E4022="!!!"),"",IF(NOT(ISNA(VLOOKUP(E4022,E$1:E4021,1,FALSE()))),"OLD",IF(AND(E4022&lt;&gt;"",E4022&lt;&gt;"!!!"),"NEW","")))</f>
        <v> </v>
      </c>
      <c r="G4022" s="23" t="str">
        <f>IF(OR(E4022="",E4022="!!!"),"",IF(OR(J4022=0,AND(J4022=1,K4022=1),AND(J4022=1,I4022="SBJ"),AND(J4022=1,I4022=0)),"?IN_FOCUS",IF(J4022&lt;=2,"?ACTIVATED",IF(J4022&lt;&gt;"","?FAMILIAR",IF(F4022="NEW",IF(ISNA(VLOOKUP(E4022,#REF!,1,FALSE())),"?TYPE_IDENTIFIABLE","?REFERENTIAL"),"_")))))</f>
        <v> </v>
      </c>
      <c r="H4022" s="24" t="str">
        <f>IF(J4022&lt;&gt;1,"",IF(I4022="SBJ","CB","?"))</f>
        <v> </v>
      </c>
      <c r="I4022" s="25" t="str">
        <f>IF(OR(E4022="",E4022="!!!",F4022="NEW"),"",INDEX(B4021:B$2,-1+SUMPRODUCT(MAX(ROW(E4021:E$2)*(E4022=E4021:E$2)))))</f>
        <v> </v>
      </c>
      <c r="J4022" s="25" t="str">
        <f>IF(OR(E4022="",E4022="!!!",F4022="NEW"),"",COUNTBLANK(OFFSET(A$1,,,SUMPRODUCT(MAX(ROW(E$2:E4022)*(E4022=E$2:E4022)))))-COUNTBLANK(OFFSET(A$1,,,SUMPRODUCT(MAX(ROW(E$1:E4021)*(E2=E$1:E4021))))))</f>
        <v> </v>
      </c>
      <c r="K4022" s="25" t="str">
        <f>IF(OR(E4022="",E4022="!!!",F4022="NEW"),"",INDEX(J$1:J4021,SUMPRODUCT(MAX(ROW(E$1:E4021)*(E4022=E$1:E4021)))))</f>
        <v> </v>
      </c>
      <c r="L4022" s="26"/>
    </row>
    <row r="4023" spans="1:12">
      <c r="A4023" s="20" t="s">
        <v>774</v>
      </c>
      <c r="E4023" s="21">
        <f>IF(D4023="?OLD","!!!","")</f>
        <v/>
      </c>
      <c r="F4023" s="22" t="str">
        <f>IF(OR(E4023="",E4023="!!!"),"",IF(NOT(ISNA(VLOOKUP(E4023,E$1:E4022,1,FALSE()))),"OLD",IF(AND(E4023&lt;&gt;"",E4023&lt;&gt;"!!!"),"NEW","")))</f>
        <v> </v>
      </c>
      <c r="G4023" s="23" t="str">
        <f>IF(OR(E4023="",E4023="!!!"),"",IF(OR(J4023=0,AND(J4023=1,K4023=1),AND(J4023=1,I4023="SBJ"),AND(J4023=1,I4023=0)),"?IN_FOCUS",IF(J4023&lt;=2,"?ACTIVATED",IF(J4023&lt;&gt;"","?FAMILIAR",IF(F4023="NEW",IF(ISNA(VLOOKUP(E4023,#REF!,1,FALSE())),"?TYPE_IDENTIFIABLE","?REFERENTIAL"),"_")))))</f>
        <v> </v>
      </c>
      <c r="H4023" s="24" t="str">
        <f>IF(J4023&lt;&gt;1,"",IF(I4023="SBJ","CB","?"))</f>
        <v> </v>
      </c>
      <c r="I4023" s="25" t="str">
        <f>IF(OR(E4023="",E4023="!!!",F4023="NEW"),"",INDEX(B4022:B$2,-1+SUMPRODUCT(MAX(ROW(E4022:E$2)*(E4023=E4022:E$2)))))</f>
        <v> </v>
      </c>
      <c r="J4023" s="25" t="str">
        <f>IF(OR(E4023="",E4023="!!!",F4023="NEW"),"",COUNTBLANK(OFFSET(A$1,,,SUMPRODUCT(MAX(ROW(E$2:E4023)*(E4023=E$2:E4023)))))-COUNTBLANK(OFFSET(A$1,,,SUMPRODUCT(MAX(ROW(E$1:E4022)*(E2=E$1:E4022))))))</f>
        <v> </v>
      </c>
      <c r="K4023" s="25" t="str">
        <f>IF(OR(E4023="",E4023="!!!",F4023="NEW"),"",INDEX(J$1:J4022,SUMPRODUCT(MAX(ROW(E$1:E4022)*(E4023=E$1:E4022)))))</f>
        <v> </v>
      </c>
      <c r="L4023" s="26"/>
    </row>
    <row r="4024" spans="1:12">
      <c r="A4024" s="20"/>
    </row>
    <row r="4025" spans="1:12">
      <c r="A4025" s="20" t="s">
        <v>1898</v>
      </c>
    </row>
    <row r="4026" spans="1:12">
      <c r="A4026" s="20" t="s">
        <v>1899</v>
      </c>
      <c r="E4026" s="21">
        <f>IF(D4026="?OLD","!!!","")</f>
        <v/>
      </c>
      <c r="F4026" s="22" t="str">
        <f>IF(OR(E4026="",E4026="!!!"),"",IF(NOT(ISNA(VLOOKUP(E4026,E$1:E4025,1,FALSE()))),"OLD",IF(AND(E4026&lt;&gt;"",E4026&lt;&gt;"!!!"),"NEW","")))</f>
        <v> </v>
      </c>
      <c r="G4026" s="23" t="str">
        <f>IF(OR(E4026="",E4026="!!!"),"",IF(OR(J4026=0,AND(J4026=1,K4026=1),AND(J4026=1,I4026="SBJ"),AND(J4026=1,I4026=0)),"?IN_FOCUS",IF(J4026&lt;=2,"?ACTIVATED",IF(J4026&lt;&gt;"","?FAMILIAR",IF(F4026="NEW",IF(ISNA(VLOOKUP(E4026,#REF!,1,FALSE())),"?TYPE_IDENTIFIABLE","?REFERENTIAL"),"_")))))</f>
        <v> </v>
      </c>
      <c r="H4026" s="24" t="str">
        <f>IF(J4026&lt;&gt;1,"",IF(I4026="SBJ","CB","?"))</f>
        <v> </v>
      </c>
      <c r="I4026" s="25" t="str">
        <f>IF(OR(E4026="",E4026="!!!",F4026="NEW"),"",INDEX(B4025:B$2,-1+SUMPRODUCT(MAX(ROW(E4025:E$2)*(E4026=E4025:E$2)))))</f>
        <v> </v>
      </c>
      <c r="J4026" s="25" t="str">
        <f>IF(OR(E4026="",E4026="!!!",F4026="NEW"),"",COUNTBLANK(OFFSET(A$1,,,SUMPRODUCT(MAX(ROW(E$2:E4026)*(E4026=E$2:E4026)))))-COUNTBLANK(OFFSET(A$1,,,SUMPRODUCT(MAX(ROW(E$1:E4025)*(E2=E$1:E4025))))))</f>
        <v> </v>
      </c>
      <c r="K4026" s="25" t="str">
        <f>IF(OR(E4026="",E4026="!!!",F4026="NEW"),"",INDEX(J$1:J4025,SUMPRODUCT(MAX(ROW(E$1:E4025)*(E4026=E$1:E4025)))))</f>
        <v> </v>
      </c>
      <c r="L4026" s="26"/>
    </row>
    <row r="4027" spans="1:12">
      <c r="A4027" s="20" t="s">
        <v>757</v>
      </c>
      <c r="E4027" s="21">
        <f>IF(D4027="?OLD","!!!","")</f>
        <v/>
      </c>
      <c r="F4027" s="22" t="str">
        <f>IF(OR(E4027="",E4027="!!!"),"",IF(NOT(ISNA(VLOOKUP(E4027,E$1:E4026,1,FALSE()))),"OLD",IF(AND(E4027&lt;&gt;"",E4027&lt;&gt;"!!!"),"NEW","")))</f>
        <v> </v>
      </c>
      <c r="G4027" s="23" t="str">
        <f>IF(OR(E4027="",E4027="!!!"),"",IF(OR(J4027=0,AND(J4027=1,K4027=1),AND(J4027=1,I4027="SBJ"),AND(J4027=1,I4027=0)),"?IN_FOCUS",IF(J4027&lt;=2,"?ACTIVATED",IF(J4027&lt;&gt;"","?FAMILIAR",IF(F4027="NEW",IF(ISNA(VLOOKUP(E4027,#REF!,1,FALSE())),"?TYPE_IDENTIFIABLE","?REFERENTIAL"),"_")))))</f>
        <v> </v>
      </c>
      <c r="H4027" s="24" t="str">
        <f>IF(J4027&lt;&gt;1,"",IF(I4027="SBJ","CB","?"))</f>
        <v> </v>
      </c>
      <c r="I4027" s="25" t="str">
        <f>IF(OR(E4027="",E4027="!!!",F4027="NEW"),"",INDEX(B4026:B$2,-1+SUMPRODUCT(MAX(ROW(E4026:E$2)*(E4027=E4026:E$2)))))</f>
        <v> </v>
      </c>
      <c r="J4027" s="25" t="str">
        <f>IF(OR(E4027="",E4027="!!!",F4027="NEW"),"",COUNTBLANK(OFFSET(A$1,,,SUMPRODUCT(MAX(ROW(E$2:E4027)*(E4027=E$2:E4027)))))-COUNTBLANK(OFFSET(A$1,,,SUMPRODUCT(MAX(ROW(E$1:E4026)*(E2=E$1:E4026))))))</f>
        <v> </v>
      </c>
      <c r="K4027" s="25" t="str">
        <f>IF(OR(E4027="",E4027="!!!",F4027="NEW"),"",INDEX(J$1:J4026,SUMPRODUCT(MAX(ROW(E$1:E4026)*(E4027=E$1:E4026)))))</f>
        <v> </v>
      </c>
      <c r="L4027" s="26"/>
    </row>
    <row r="4028" spans="1:12">
      <c r="A4028" s="20" t="s">
        <v>697</v>
      </c>
      <c r="E4028" s="21">
        <f>IF(D4028="?OLD","!!!","")</f>
        <v/>
      </c>
      <c r="F4028" s="22" t="str">
        <f>IF(OR(E4028="",E4028="!!!"),"",IF(NOT(ISNA(VLOOKUP(E4028,E$1:E4027,1,FALSE()))),"OLD",IF(AND(E4028&lt;&gt;"",E4028&lt;&gt;"!!!"),"NEW","")))</f>
        <v> </v>
      </c>
      <c r="G4028" s="23" t="str">
        <f>IF(OR(E4028="",E4028="!!!"),"",IF(OR(J4028=0,AND(J4028=1,K4028=1),AND(J4028=1,I4028="SBJ"),AND(J4028=1,I4028=0)),"?IN_FOCUS",IF(J4028&lt;=2,"?ACTIVATED",IF(J4028&lt;&gt;"","?FAMILIAR",IF(F4028="NEW",IF(ISNA(VLOOKUP(E4028,#REF!,1,FALSE())),"?TYPE_IDENTIFIABLE","?REFERENTIAL"),"_")))))</f>
        <v> </v>
      </c>
      <c r="H4028" s="24" t="str">
        <f>IF(J4028&lt;&gt;1,"",IF(I4028="SBJ","CB","?"))</f>
        <v> </v>
      </c>
      <c r="I4028" s="25" t="str">
        <f>IF(OR(E4028="",E4028="!!!",F4028="NEW"),"",INDEX(B4027:B$2,-1+SUMPRODUCT(MAX(ROW(E4027:E$2)*(E4028=E4027:E$2)))))</f>
        <v> </v>
      </c>
      <c r="J4028" s="25" t="str">
        <f>IF(OR(E4028="",E4028="!!!",F4028="NEW"),"",COUNTBLANK(OFFSET(A$1,,,SUMPRODUCT(MAX(ROW(E$2:E4028)*(E4028=E$2:E4028)))))-COUNTBLANK(OFFSET(A$1,,,SUMPRODUCT(MAX(ROW(E$1:E4027)*(E2=E$1:E4027))))))</f>
        <v> </v>
      </c>
      <c r="K4028" s="25" t="str">
        <f>IF(OR(E4028="",E4028="!!!",F4028="NEW"),"",INDEX(J$1:J4027,SUMPRODUCT(MAX(ROW(E$1:E4027)*(E4028=E$1:E4027)))))</f>
        <v> </v>
      </c>
      <c r="L4028" s="26"/>
    </row>
    <row r="4029" spans="1:12">
      <c r="A4029" s="20" t="s">
        <v>840</v>
      </c>
      <c r="E4029" s="21">
        <f>IF(D4029="?OLD","!!!","")</f>
        <v/>
      </c>
      <c r="F4029" s="22" t="str">
        <f>IF(OR(E4029="",E4029="!!!"),"",IF(NOT(ISNA(VLOOKUP(E4029,E$1:E4028,1,FALSE()))),"OLD",IF(AND(E4029&lt;&gt;"",E4029&lt;&gt;"!!!"),"NEW","")))</f>
        <v> </v>
      </c>
      <c r="G4029" s="23" t="str">
        <f>IF(OR(E4029="",E4029="!!!"),"",IF(OR(J4029=0,AND(J4029=1,K4029=1),AND(J4029=1,I4029="SBJ"),AND(J4029=1,I4029=0)),"?IN_FOCUS",IF(J4029&lt;=2,"?ACTIVATED",IF(J4029&lt;&gt;"","?FAMILIAR",IF(F4029="NEW",IF(ISNA(VLOOKUP(E4029,#REF!,1,FALSE())),"?TYPE_IDENTIFIABLE","?REFERENTIAL"),"_")))))</f>
        <v> </v>
      </c>
      <c r="H4029" s="24" t="str">
        <f>IF(J4029&lt;&gt;1,"",IF(I4029="SBJ","CB","?"))</f>
        <v> </v>
      </c>
      <c r="I4029" s="25" t="str">
        <f>IF(OR(E4029="",E4029="!!!",F4029="NEW"),"",INDEX(B4028:B$2,-1+SUMPRODUCT(MAX(ROW(E4028:E$2)*(E4029=E4028:E$2)))))</f>
        <v> </v>
      </c>
      <c r="J4029" s="25" t="str">
        <f>IF(OR(E4029="",E4029="!!!",F4029="NEW"),"",COUNTBLANK(OFFSET(A$1,,,SUMPRODUCT(MAX(ROW(E$2:E4029)*(E4029=E$2:E4029)))))-COUNTBLANK(OFFSET(A$1,,,SUMPRODUCT(MAX(ROW(E$1:E4028)*(E2=E$1:E4028))))))</f>
        <v> </v>
      </c>
      <c r="K4029" s="25" t="str">
        <f>IF(OR(E4029="",E4029="!!!",F4029="NEW"),"",INDEX(J$1:J4028,SUMPRODUCT(MAX(ROW(E$1:E4028)*(E4029=E$1:E4028)))))</f>
        <v> </v>
      </c>
      <c r="L4029" s="26"/>
    </row>
    <row r="4030" spans="1:12">
      <c r="A4030" s="20" t="s">
        <v>1875</v>
      </c>
      <c r="E4030" s="21">
        <f>IF(D4030="?OLD","!!!","")</f>
        <v/>
      </c>
      <c r="F4030" s="22" t="str">
        <f>IF(OR(E4030="",E4030="!!!"),"",IF(NOT(ISNA(VLOOKUP(E4030,E$1:E4029,1,FALSE()))),"OLD",IF(AND(E4030&lt;&gt;"",E4030&lt;&gt;"!!!"),"NEW","")))</f>
        <v> </v>
      </c>
      <c r="G4030" s="23" t="str">
        <f>IF(OR(E4030="",E4030="!!!"),"",IF(OR(J4030=0,AND(J4030=1,K4030=1),AND(J4030=1,I4030="SBJ"),AND(J4030=1,I4030=0)),"?IN_FOCUS",IF(J4030&lt;=2,"?ACTIVATED",IF(J4030&lt;&gt;"","?FAMILIAR",IF(F4030="NEW",IF(ISNA(VLOOKUP(E4030,#REF!,1,FALSE())),"?TYPE_IDENTIFIABLE","?REFERENTIAL"),"_")))))</f>
        <v> </v>
      </c>
      <c r="H4030" s="24" t="str">
        <f>IF(J4030&lt;&gt;1,"",IF(I4030="SBJ","CB","?"))</f>
        <v> </v>
      </c>
      <c r="I4030" s="25" t="str">
        <f>IF(OR(E4030="",E4030="!!!",F4030="NEW"),"",INDEX(B4029:B$2,-1+SUMPRODUCT(MAX(ROW(E4029:E$2)*(E4030=E4029:E$2)))))</f>
        <v> </v>
      </c>
      <c r="J4030" s="25" t="str">
        <f>IF(OR(E4030="",E4030="!!!",F4030="NEW"),"",COUNTBLANK(OFFSET(A$1,,,SUMPRODUCT(MAX(ROW(E$2:E4030)*(E4030=E$2:E4030)))))-COUNTBLANK(OFFSET(A$1,,,SUMPRODUCT(MAX(ROW(E$1:E4029)*(E2=E$1:E4029))))))</f>
        <v> </v>
      </c>
      <c r="K4030" s="25" t="str">
        <f>IF(OR(E4030="",E4030="!!!",F4030="NEW"),"",INDEX(J$1:J4029,SUMPRODUCT(MAX(ROW(E$1:E4029)*(E4030=E$1:E4029)))))</f>
        <v> </v>
      </c>
      <c r="L4030" s="26"/>
    </row>
    <row r="4031" spans="1:12">
      <c r="A4031" s="20" t="s">
        <v>793</v>
      </c>
      <c r="E4031" s="21">
        <f>IF(D4031="?OLD","!!!","")</f>
        <v/>
      </c>
      <c r="F4031" s="22" t="str">
        <f>IF(OR(E4031="",E4031="!!!"),"",IF(NOT(ISNA(VLOOKUP(E4031,E$1:E4030,1,FALSE()))),"OLD",IF(AND(E4031&lt;&gt;"",E4031&lt;&gt;"!!!"),"NEW","")))</f>
        <v> </v>
      </c>
      <c r="G4031" s="23" t="str">
        <f>IF(OR(E4031="",E4031="!!!"),"",IF(OR(J4031=0,AND(J4031=1,K4031=1),AND(J4031=1,I4031="SBJ"),AND(J4031=1,I4031=0)),"?IN_FOCUS",IF(J4031&lt;=2,"?ACTIVATED",IF(J4031&lt;&gt;"","?FAMILIAR",IF(F4031="NEW",IF(ISNA(VLOOKUP(E4031,#REF!,1,FALSE())),"?TYPE_IDENTIFIABLE","?REFERENTIAL"),"_")))))</f>
        <v> </v>
      </c>
      <c r="H4031" s="24" t="str">
        <f>IF(J4031&lt;&gt;1,"",IF(I4031="SBJ","CB","?"))</f>
        <v> </v>
      </c>
      <c r="I4031" s="25" t="str">
        <f>IF(OR(E4031="",E4031="!!!",F4031="NEW"),"",INDEX(B4030:B$2,-1+SUMPRODUCT(MAX(ROW(E4030:E$2)*(E4031=E4030:E$2)))))</f>
        <v> </v>
      </c>
      <c r="J4031" s="25" t="str">
        <f>IF(OR(E4031="",E4031="!!!",F4031="NEW"),"",COUNTBLANK(OFFSET(A$1,,,SUMPRODUCT(MAX(ROW(E$2:E4031)*(E4031=E$2:E4031)))))-COUNTBLANK(OFFSET(A$1,,,SUMPRODUCT(MAX(ROW(E$1:E4030)*(E2=E$1:E4030))))))</f>
        <v> </v>
      </c>
      <c r="K4031" s="25" t="str">
        <f>IF(OR(E4031="",E4031="!!!",F4031="NEW"),"",INDEX(J$1:J4030,SUMPRODUCT(MAX(ROW(E$1:E4030)*(E4031=E$1:E4030)))))</f>
        <v> </v>
      </c>
      <c r="L4031" s="26"/>
    </row>
    <row r="4032" spans="1:12">
      <c r="A4032" s="20" t="s">
        <v>757</v>
      </c>
      <c r="E4032" s="21">
        <f>IF(D4032="?OLD","!!!","")</f>
        <v/>
      </c>
      <c r="F4032" s="22" t="str">
        <f>IF(OR(E4032="",E4032="!!!"),"",IF(NOT(ISNA(VLOOKUP(E4032,E$1:E4031,1,FALSE()))),"OLD",IF(AND(E4032&lt;&gt;"",E4032&lt;&gt;"!!!"),"NEW","")))</f>
        <v> </v>
      </c>
      <c r="G4032" s="23" t="str">
        <f>IF(OR(E4032="",E4032="!!!"),"",IF(OR(J4032=0,AND(J4032=1,K4032=1),AND(J4032=1,I4032="SBJ"),AND(J4032=1,I4032=0)),"?IN_FOCUS",IF(J4032&lt;=2,"?ACTIVATED",IF(J4032&lt;&gt;"","?FAMILIAR",IF(F4032="NEW",IF(ISNA(VLOOKUP(E4032,#REF!,1,FALSE())),"?TYPE_IDENTIFIABLE","?REFERENTIAL"),"_")))))</f>
        <v> </v>
      </c>
      <c r="H4032" s="24" t="str">
        <f>IF(J4032&lt;&gt;1,"",IF(I4032="SBJ","CB","?"))</f>
        <v> </v>
      </c>
      <c r="I4032" s="25" t="str">
        <f>IF(OR(E4032="",E4032="!!!",F4032="NEW"),"",INDEX(B4031:B$2,-1+SUMPRODUCT(MAX(ROW(E4031:E$2)*(E4032=E4031:E$2)))))</f>
        <v> </v>
      </c>
      <c r="J4032" s="25" t="str">
        <f>IF(OR(E4032="",E4032="!!!",F4032="NEW"),"",COUNTBLANK(OFFSET(A$1,,,SUMPRODUCT(MAX(ROW(E$2:E4032)*(E4032=E$2:E4032)))))-COUNTBLANK(OFFSET(A$1,,,SUMPRODUCT(MAX(ROW(E$1:E4031)*(E2=E$1:E4031))))))</f>
        <v> </v>
      </c>
      <c r="K4032" s="25" t="str">
        <f>IF(OR(E4032="",E4032="!!!",F4032="NEW"),"",INDEX(J$1:J4031,SUMPRODUCT(MAX(ROW(E$1:E4031)*(E4032=E$1:E4031)))))</f>
        <v> </v>
      </c>
      <c r="L4032" s="26"/>
    </row>
    <row r="4033" spans="1:12">
      <c r="A4033" s="20" t="s">
        <v>954</v>
      </c>
      <c r="B4033" s="27" t="s">
        <v>796</v>
      </c>
      <c r="C4033" s="27" t="s">
        <v>777</v>
      </c>
      <c r="D4033" s="27" t="s">
        <v>762</v>
      </c>
      <c r="E4033" s="21">
        <f>IF(D4033="?OLD","!!!","")</f>
        <v/>
      </c>
      <c r="F4033" s="22" t="str">
        <f>IF(OR(E4033="",E4033="!!!"),"",IF(NOT(ISNA(VLOOKUP(E4033,E$1:E4032,1,FALSE()))),"OLD",IF(AND(E4033&lt;&gt;"",E4033&lt;&gt;"!!!"),"NEW","")))</f>
        <v> </v>
      </c>
      <c r="G4033" s="23" t="str">
        <f>IF(OR(E4033="",E4033="!!!"),"",IF(OR(J4033=0,AND(J4033=1,K4033=1),AND(J4033=1,I4033="SBJ"),AND(J4033=1,I4033=0)),"?IN_FOCUS",IF(J4033&lt;=2,"?ACTIVATED",IF(J4033&lt;&gt;"","?FAMILIAR",IF(F4033="NEW",IF(ISNA(VLOOKUP(E4033,#REF!,1,FALSE())),"?TYPE_IDENTIFIABLE","?REFERENTIAL"),"_")))))</f>
        <v> </v>
      </c>
      <c r="H4033" s="24" t="str">
        <f>IF(J4033&lt;&gt;1,"",IF(I4033="SBJ","CB","?"))</f>
        <v> </v>
      </c>
      <c r="I4033" s="25" t="str">
        <f>IF(OR(E4033="",E4033="!!!",F4033="NEW"),"",INDEX(B4032:B$2,-1+SUMPRODUCT(MAX(ROW(E4032:E$2)*(E4033=E4032:E$2)))))</f>
        <v> </v>
      </c>
      <c r="J4033" s="25" t="str">
        <f>IF(OR(E4033="",E4033="!!!",F4033="NEW"),"",COUNTBLANK(OFFSET(A$1,,,SUMPRODUCT(MAX(ROW(E$2:E4033)*(E4033=E$2:E4033)))))-COUNTBLANK(OFFSET(A$1,,,SUMPRODUCT(MAX(ROW(E$1:E4032)*(E2=E$1:E4032))))))</f>
        <v> </v>
      </c>
      <c r="K4033" s="25" t="str">
        <f>IF(OR(E4033="",E4033="!!!",F4033="NEW"),"",INDEX(J$1:J4032,SUMPRODUCT(MAX(ROW(E$1:E4032)*(E4033=E$1:E4032)))))</f>
        <v> </v>
      </c>
      <c r="L4033" s="26"/>
    </row>
    <row r="4034" spans="1:12">
      <c r="A4034" s="20" t="s">
        <v>1183</v>
      </c>
      <c r="E4034" s="21">
        <f>IF(D4034="?OLD","!!!","")</f>
        <v/>
      </c>
      <c r="F4034" s="22" t="str">
        <f>IF(OR(E4034="",E4034="!!!"),"",IF(NOT(ISNA(VLOOKUP(E4034,E$1:E4033,1,FALSE()))),"OLD",IF(AND(E4034&lt;&gt;"",E4034&lt;&gt;"!!!"),"NEW","")))</f>
        <v> </v>
      </c>
      <c r="G4034" s="23" t="str">
        <f>IF(OR(E4034="",E4034="!!!"),"",IF(OR(J4034=0,AND(J4034=1,K4034=1),AND(J4034=1,I4034="SBJ"),AND(J4034=1,I4034=0)),"?IN_FOCUS",IF(J4034&lt;=2,"?ACTIVATED",IF(J4034&lt;&gt;"","?FAMILIAR",IF(F4034="NEW",IF(ISNA(VLOOKUP(E4034,#REF!,1,FALSE())),"?TYPE_IDENTIFIABLE","?REFERENTIAL"),"_")))))</f>
        <v> </v>
      </c>
      <c r="H4034" s="24" t="str">
        <f>IF(J4034&lt;&gt;1,"",IF(I4034="SBJ","CB","?"))</f>
        <v> </v>
      </c>
      <c r="I4034" s="25" t="str">
        <f>IF(OR(E4034="",E4034="!!!",F4034="NEW"),"",INDEX(B4033:B$2,-1+SUMPRODUCT(MAX(ROW(E4033:E$2)*(E4034=E4033:E$2)))))</f>
        <v> </v>
      </c>
      <c r="J4034" s="25" t="str">
        <f>IF(OR(E4034="",E4034="!!!",F4034="NEW"),"",COUNTBLANK(OFFSET(A$1,,,SUMPRODUCT(MAX(ROW(E$2:E4034)*(E4034=E$2:E4034)))))-COUNTBLANK(OFFSET(A$1,,,SUMPRODUCT(MAX(ROW(E$1:E4033)*(E2=E$1:E4033))))))</f>
        <v> </v>
      </c>
      <c r="K4034" s="25" t="str">
        <f>IF(OR(E4034="",E4034="!!!",F4034="NEW"),"",INDEX(J$1:J4033,SUMPRODUCT(MAX(ROW(E$1:E4033)*(E4034=E$1:E4033)))))</f>
        <v> </v>
      </c>
      <c r="L4034" s="26"/>
    </row>
    <row r="4035" spans="1:12">
      <c r="A4035" s="20" t="s">
        <v>884</v>
      </c>
      <c r="B4035" s="27" t="s">
        <v>772</v>
      </c>
      <c r="C4035" s="27" t="s">
        <v>851</v>
      </c>
      <c r="D4035" s="27" t="s">
        <v>762</v>
      </c>
      <c r="E4035" s="21">
        <f>IF(D4035="?OLD","!!!","")</f>
        <v/>
      </c>
      <c r="F4035" s="22" t="str">
        <f>IF(OR(E4035="",E4035="!!!"),"",IF(NOT(ISNA(VLOOKUP(E4035,E$1:E4034,1,FALSE()))),"OLD",IF(AND(E4035&lt;&gt;"",E4035&lt;&gt;"!!!"),"NEW","")))</f>
        <v> </v>
      </c>
      <c r="G4035" s="23" t="str">
        <f>IF(OR(E4035="",E4035="!!!"),"",IF(OR(J4035=0,AND(J4035=1,K4035=1),AND(J4035=1,I4035="SBJ"),AND(J4035=1,I4035=0)),"?IN_FOCUS",IF(J4035&lt;=2,"?ACTIVATED",IF(J4035&lt;&gt;"","?FAMILIAR",IF(F4035="NEW",IF(ISNA(VLOOKUP(E4035,#REF!,1,FALSE())),"?TYPE_IDENTIFIABLE","?REFERENTIAL"),"_")))))</f>
        <v> </v>
      </c>
      <c r="H4035" s="24" t="str">
        <f>IF(J4035&lt;&gt;1,"",IF(I4035="SBJ","CB","?"))</f>
        <v> </v>
      </c>
      <c r="I4035" s="25" t="str">
        <f>IF(OR(E4035="",E4035="!!!",F4035="NEW"),"",INDEX(B4034:B$2,-1+SUMPRODUCT(MAX(ROW(E4034:E$2)*(E4035=E4034:E$2)))))</f>
        <v> </v>
      </c>
      <c r="J4035" s="25" t="str">
        <f>IF(OR(E4035="",E4035="!!!",F4035="NEW"),"",COUNTBLANK(OFFSET(A$1,,,SUMPRODUCT(MAX(ROW(E$2:E4035)*(E4035=E$2:E4035)))))-COUNTBLANK(OFFSET(A$1,,,SUMPRODUCT(MAX(ROW(E$1:E4034)*(E2=E$1:E4034))))))</f>
        <v> </v>
      </c>
      <c r="K4035" s="25" t="str">
        <f>IF(OR(E4035="",E4035="!!!",F4035="NEW"),"",INDEX(J$1:J4034,SUMPRODUCT(MAX(ROW(E$1:E4034)*(E4035=E$1:E4034)))))</f>
        <v> </v>
      </c>
      <c r="L4035" s="26"/>
    </row>
    <row r="4036" spans="1:12">
      <c r="A4036" s="20" t="s">
        <v>1495</v>
      </c>
      <c r="B4036" s="27" t="s">
        <v>753</v>
      </c>
      <c r="C4036" s="27" t="s">
        <v>837</v>
      </c>
      <c r="D4036" s="27" t="s">
        <v>762</v>
      </c>
      <c r="E4036" s="21">
        <f>IF(D4036="?OLD","!!!","")</f>
        <v/>
      </c>
      <c r="F4036" s="22" t="str">
        <f>IF(OR(E4036="",E4036="!!!"),"",IF(NOT(ISNA(VLOOKUP(E4036,E$1:E4035,1,FALSE()))),"OLD",IF(AND(E4036&lt;&gt;"",E4036&lt;&gt;"!!!"),"NEW","")))</f>
        <v> </v>
      </c>
      <c r="G4036" s="23" t="str">
        <f>IF(OR(E4036="",E4036="!!!"),"",IF(OR(J4036=0,AND(J4036=1,K4036=1),AND(J4036=1,I4036="SBJ"),AND(J4036=1,I4036=0)),"?IN_FOCUS",IF(J4036&lt;=2,"?ACTIVATED",IF(J4036&lt;&gt;"","?FAMILIAR",IF(F4036="NEW",IF(ISNA(VLOOKUP(E4036,#REF!,1,FALSE())),"?TYPE_IDENTIFIABLE","?REFERENTIAL"),"_")))))</f>
        <v> </v>
      </c>
      <c r="H4036" s="24" t="str">
        <f>IF(J4036&lt;&gt;1,"",IF(I4036="SBJ","CB","?"))</f>
        <v> </v>
      </c>
      <c r="I4036" s="25" t="str">
        <f>IF(OR(E4036="",E4036="!!!",F4036="NEW"),"",INDEX(B4035:B$2,-1+SUMPRODUCT(MAX(ROW(E4035:E$2)*(E4036=E4035:E$2)))))</f>
        <v> </v>
      </c>
      <c r="J4036" s="25" t="str">
        <f>IF(OR(E4036="",E4036="!!!",F4036="NEW"),"",COUNTBLANK(OFFSET(A$1,,,SUMPRODUCT(MAX(ROW(E$2:E4036)*(E4036=E$2:E4036)))))-COUNTBLANK(OFFSET(A$1,,,SUMPRODUCT(MAX(ROW(E$1:E4035)*(E2=E$1:E4035))))))</f>
        <v> </v>
      </c>
      <c r="K4036" s="25" t="str">
        <f>IF(OR(E4036="",E4036="!!!",F4036="NEW"),"",INDEX(J$1:J4035,SUMPRODUCT(MAX(ROW(E$1:E4035)*(E4036=E$1:E4035)))))</f>
        <v> </v>
      </c>
      <c r="L4036" s="26"/>
    </row>
    <row r="4037" spans="1:12">
      <c r="A4037" s="20" t="s">
        <v>810</v>
      </c>
      <c r="E4037" s="21">
        <f>IF(D4037="?OLD","!!!","")</f>
        <v/>
      </c>
      <c r="F4037" s="22" t="str">
        <f>IF(OR(E4037="",E4037="!!!"),"",IF(NOT(ISNA(VLOOKUP(E4037,E$1:E4036,1,FALSE()))),"OLD",IF(AND(E4037&lt;&gt;"",E4037&lt;&gt;"!!!"),"NEW","")))</f>
        <v> </v>
      </c>
      <c r="G4037" s="23" t="str">
        <f>IF(OR(E4037="",E4037="!!!"),"",IF(OR(J4037=0,AND(J4037=1,K4037=1),AND(J4037=1,I4037="SBJ"),AND(J4037=1,I4037=0)),"?IN_FOCUS",IF(J4037&lt;=2,"?ACTIVATED",IF(J4037&lt;&gt;"","?FAMILIAR",IF(F4037="NEW",IF(ISNA(VLOOKUP(E4037,#REF!,1,FALSE())),"?TYPE_IDENTIFIABLE","?REFERENTIAL"),"_")))))</f>
        <v> </v>
      </c>
      <c r="H4037" s="24" t="str">
        <f>IF(J4037&lt;&gt;1,"",IF(I4037="SBJ","CB","?"))</f>
        <v> </v>
      </c>
      <c r="I4037" s="25" t="str">
        <f>IF(OR(E4037="",E4037="!!!",F4037="NEW"),"",INDEX(B4036:B$2,-1+SUMPRODUCT(MAX(ROW(E4036:E$2)*(E4037=E4036:E$2)))))</f>
        <v> </v>
      </c>
      <c r="J4037" s="25" t="str">
        <f>IF(OR(E4037="",E4037="!!!",F4037="NEW"),"",COUNTBLANK(OFFSET(A$1,,,SUMPRODUCT(MAX(ROW(E$2:E4037)*(E4037=E$2:E4037)))))-COUNTBLANK(OFFSET(A$1,,,SUMPRODUCT(MAX(ROW(E$1:E4036)*(E2=E$1:E4036))))))</f>
        <v> </v>
      </c>
      <c r="K4037" s="25" t="str">
        <f>IF(OR(E4037="",E4037="!!!",F4037="NEW"),"",INDEX(J$1:J4036,SUMPRODUCT(MAX(ROW(E$1:E4036)*(E4037=E$1:E4036)))))</f>
        <v> </v>
      </c>
      <c r="L4037" s="26"/>
    </row>
    <row r="4038" spans="1:12">
      <c r="A4038" s="20" t="s">
        <v>965</v>
      </c>
      <c r="B4038" s="27" t="s">
        <v>879</v>
      </c>
      <c r="C4038" s="27" t="s">
        <v>851</v>
      </c>
      <c r="D4038" s="27" t="s">
        <v>762</v>
      </c>
      <c r="E4038" s="21">
        <f>IF(D4038="?OLD","!!!","")</f>
        <v/>
      </c>
      <c r="F4038" s="22" t="str">
        <f>IF(OR(E4038="",E4038="!!!"),"",IF(NOT(ISNA(VLOOKUP(E4038,E$1:E4037,1,FALSE()))),"OLD",IF(AND(E4038&lt;&gt;"",E4038&lt;&gt;"!!!"),"NEW","")))</f>
        <v> </v>
      </c>
      <c r="G4038" s="23" t="str">
        <f>IF(OR(E4038="",E4038="!!!"),"",IF(OR(J4038=0,AND(J4038=1,K4038=1),AND(J4038=1,I4038="SBJ"),AND(J4038=1,I4038=0)),"?IN_FOCUS",IF(J4038&lt;=2,"?ACTIVATED",IF(J4038&lt;&gt;"","?FAMILIAR",IF(F4038="NEW",IF(ISNA(VLOOKUP(E4038,#REF!,1,FALSE())),"?TYPE_IDENTIFIABLE","?REFERENTIAL"),"_")))))</f>
        <v> </v>
      </c>
      <c r="H4038" s="24" t="str">
        <f>IF(J4038&lt;&gt;1,"",IF(I4038="SBJ","CB","?"))</f>
        <v> </v>
      </c>
      <c r="I4038" s="25" t="str">
        <f>IF(OR(E4038="",E4038="!!!",F4038="NEW"),"",INDEX(B4037:B$2,-1+SUMPRODUCT(MAX(ROW(E4037:E$2)*(E4038=E4037:E$2)))))</f>
        <v> </v>
      </c>
      <c r="J4038" s="25" t="str">
        <f>IF(OR(E4038="",E4038="!!!",F4038="NEW"),"",COUNTBLANK(OFFSET(A$1,,,SUMPRODUCT(MAX(ROW(E$2:E4038)*(E4038=E$2:E4038)))))-COUNTBLANK(OFFSET(A$1,,,SUMPRODUCT(MAX(ROW(E$1:E4037)*(E2=E$1:E4037))))))</f>
        <v> </v>
      </c>
      <c r="K4038" s="25" t="str">
        <f>IF(OR(E4038="",E4038="!!!",F4038="NEW"),"",INDEX(J$1:J4037,SUMPRODUCT(MAX(ROW(E$1:E4037)*(E4038=E$1:E4037)))))</f>
        <v> </v>
      </c>
      <c r="L4038" s="26"/>
    </row>
    <row r="4039" spans="1:12">
      <c r="A4039" s="20" t="s">
        <v>1900</v>
      </c>
      <c r="B4039" s="27" t="s">
        <v>772</v>
      </c>
      <c r="C4039" s="27" t="s">
        <v>837</v>
      </c>
      <c r="D4039" s="27" t="s">
        <v>762</v>
      </c>
      <c r="E4039" s="21">
        <f>IF(D4039="?OLD","!!!","")</f>
        <v/>
      </c>
      <c r="F4039" s="22" t="str">
        <f>IF(OR(E4039="",E4039="!!!"),"",IF(NOT(ISNA(VLOOKUP(E4039,E$1:E4038,1,FALSE()))),"OLD",IF(AND(E4039&lt;&gt;"",E4039&lt;&gt;"!!!"),"NEW","")))</f>
        <v> </v>
      </c>
      <c r="G4039" s="23" t="str">
        <f>IF(OR(E4039="",E4039="!!!"),"",IF(OR(J4039=0,AND(J4039=1,K4039=1),AND(J4039=1,I4039="SBJ"),AND(J4039=1,I4039=0)),"?IN_FOCUS",IF(J4039&lt;=2,"?ACTIVATED",IF(J4039&lt;&gt;"","?FAMILIAR",IF(F4039="NEW",IF(ISNA(VLOOKUP(E4039,#REF!,1,FALSE())),"?TYPE_IDENTIFIABLE","?REFERENTIAL"),"_")))))</f>
        <v> </v>
      </c>
      <c r="H4039" s="24" t="str">
        <f>IF(J4039&lt;&gt;1,"",IF(I4039="SBJ","CB","?"))</f>
        <v> </v>
      </c>
      <c r="I4039" s="25" t="str">
        <f>IF(OR(E4039="",E4039="!!!",F4039="NEW"),"",INDEX(B4038:B$2,-1+SUMPRODUCT(MAX(ROW(E4038:E$2)*(E4039=E4038:E$2)))))</f>
        <v> </v>
      </c>
      <c r="J4039" s="25" t="str">
        <f>IF(OR(E4039="",E4039="!!!",F4039="NEW"),"",COUNTBLANK(OFFSET(A$1,,,SUMPRODUCT(MAX(ROW(E$2:E4039)*(E4039=E$2:E4039)))))-COUNTBLANK(OFFSET(A$1,,,SUMPRODUCT(MAX(ROW(E$1:E4038)*(E2=E$1:E4038))))))</f>
        <v> </v>
      </c>
      <c r="K4039" s="25" t="str">
        <f>IF(OR(E4039="",E4039="!!!",F4039="NEW"),"",INDEX(J$1:J4038,SUMPRODUCT(MAX(ROW(E$1:E4038)*(E4039=E$1:E4038)))))</f>
        <v> </v>
      </c>
      <c r="L4039" s="26"/>
    </row>
    <row r="4040" spans="1:12">
      <c r="A4040" s="20" t="s">
        <v>769</v>
      </c>
      <c r="E4040" s="21">
        <f>IF(D4040="?OLD","!!!","")</f>
        <v/>
      </c>
      <c r="F4040" s="22" t="str">
        <f>IF(OR(E4040="",E4040="!!!"),"",IF(NOT(ISNA(VLOOKUP(E4040,E$1:E4039,1,FALSE()))),"OLD",IF(AND(E4040&lt;&gt;"",E4040&lt;&gt;"!!!"),"NEW","")))</f>
        <v> </v>
      </c>
      <c r="G4040" s="23" t="str">
        <f>IF(OR(E4040="",E4040="!!!"),"",IF(OR(J4040=0,AND(J4040=1,K4040=1),AND(J4040=1,I4040="SBJ"),AND(J4040=1,I4040=0)),"?IN_FOCUS",IF(J4040&lt;=2,"?ACTIVATED",IF(J4040&lt;&gt;"","?FAMILIAR",IF(F4040="NEW",IF(ISNA(VLOOKUP(E4040,#REF!,1,FALSE())),"?TYPE_IDENTIFIABLE","?REFERENTIAL"),"_")))))</f>
        <v> </v>
      </c>
      <c r="H4040" s="24" t="str">
        <f>IF(J4040&lt;&gt;1,"",IF(I4040="SBJ","CB","?"))</f>
        <v> </v>
      </c>
      <c r="I4040" s="25" t="str">
        <f>IF(OR(E4040="",E4040="!!!",F4040="NEW"),"",INDEX(B4039:B$2,-1+SUMPRODUCT(MAX(ROW(E4039:E$2)*(E4040=E4039:E$2)))))</f>
        <v> </v>
      </c>
      <c r="J4040" s="25" t="str">
        <f>IF(OR(E4040="",E4040="!!!",F4040="NEW"),"",COUNTBLANK(OFFSET(A$1,,,SUMPRODUCT(MAX(ROW(E$2:E4040)*(E4040=E$2:E4040)))))-COUNTBLANK(OFFSET(A$1,,,SUMPRODUCT(MAX(ROW(E$1:E4039)*(E2=E$1:E4039))))))</f>
        <v> </v>
      </c>
      <c r="K4040" s="25" t="str">
        <f>IF(OR(E4040="",E4040="!!!",F4040="NEW"),"",INDEX(J$1:J4039,SUMPRODUCT(MAX(ROW(E$1:E4039)*(E4040=E$1:E4039)))))</f>
        <v> </v>
      </c>
      <c r="L4040" s="26"/>
    </row>
    <row r="4041" spans="1:12">
      <c r="A4041" s="20" t="s">
        <v>770</v>
      </c>
      <c r="E4041" s="21">
        <f>IF(D4041="?OLD","!!!","")</f>
        <v/>
      </c>
      <c r="F4041" s="22" t="str">
        <f>IF(OR(E4041="",E4041="!!!"),"",IF(NOT(ISNA(VLOOKUP(E4041,E$1:E4040,1,FALSE()))),"OLD",IF(AND(E4041&lt;&gt;"",E4041&lt;&gt;"!!!"),"NEW","")))</f>
        <v> </v>
      </c>
      <c r="G4041" s="23" t="str">
        <f>IF(OR(E4041="",E4041="!!!"),"",IF(OR(J4041=0,AND(J4041=1,K4041=1),AND(J4041=1,I4041="SBJ"),AND(J4041=1,I4041=0)),"?IN_FOCUS",IF(J4041&lt;=2,"?ACTIVATED",IF(J4041&lt;&gt;"","?FAMILIAR",IF(F4041="NEW",IF(ISNA(VLOOKUP(E4041,#REF!,1,FALSE())),"?TYPE_IDENTIFIABLE","?REFERENTIAL"),"_")))))</f>
        <v> </v>
      </c>
      <c r="H4041" s="24" t="str">
        <f>IF(J4041&lt;&gt;1,"",IF(I4041="SBJ","CB","?"))</f>
        <v> </v>
      </c>
      <c r="I4041" s="25" t="str">
        <f>IF(OR(E4041="",E4041="!!!",F4041="NEW"),"",INDEX(B4040:B$2,-1+SUMPRODUCT(MAX(ROW(E4040:E$2)*(E4041=E4040:E$2)))))</f>
        <v> </v>
      </c>
      <c r="J4041" s="25" t="str">
        <f>IF(OR(E4041="",E4041="!!!",F4041="NEW"),"",COUNTBLANK(OFFSET(A$1,,,SUMPRODUCT(MAX(ROW(E$2:E4041)*(E4041=E$2:E4041)))))-COUNTBLANK(OFFSET(A$1,,,SUMPRODUCT(MAX(ROW(E$1:E4040)*(E2=E$1:E4040))))))</f>
        <v> </v>
      </c>
      <c r="K4041" s="25" t="str">
        <f>IF(OR(E4041="",E4041="!!!",F4041="NEW"),"",INDEX(J$1:J4040,SUMPRODUCT(MAX(ROW(E$1:E4040)*(E4041=E$1:E4040)))))</f>
        <v> </v>
      </c>
      <c r="L4041" s="26"/>
    </row>
    <row r="4042" spans="1:12">
      <c r="A4042" s="20" t="s">
        <v>1901</v>
      </c>
      <c r="B4042" s="27" t="s">
        <v>772</v>
      </c>
      <c r="C4042" s="27" t="s">
        <v>761</v>
      </c>
      <c r="D4042" s="27" t="s">
        <v>762</v>
      </c>
      <c r="E4042" s="21">
        <f>IF(D4042="?OLD","!!!","")</f>
        <v/>
      </c>
      <c r="F4042" s="22" t="str">
        <f>IF(OR(E4042="",E4042="!!!"),"",IF(NOT(ISNA(VLOOKUP(E4042,E$1:E4041,1,FALSE()))),"OLD",IF(AND(E4042&lt;&gt;"",E4042&lt;&gt;"!!!"),"NEW","")))</f>
        <v> </v>
      </c>
      <c r="G4042" s="23" t="str">
        <f>IF(OR(E4042="",E4042="!!!"),"",IF(OR(J4042=0,AND(J4042=1,K4042=1),AND(J4042=1,I4042="SBJ"),AND(J4042=1,I4042=0)),"?IN_FOCUS",IF(J4042&lt;=2,"?ACTIVATED",IF(J4042&lt;&gt;"","?FAMILIAR",IF(F4042="NEW",IF(ISNA(VLOOKUP(E4042,#REF!,1,FALSE())),"?TYPE_IDENTIFIABLE","?REFERENTIAL"),"_")))))</f>
        <v> </v>
      </c>
      <c r="H4042" s="24" t="str">
        <f>IF(J4042&lt;&gt;1,"",IF(I4042="SBJ","CB","?"))</f>
        <v> </v>
      </c>
      <c r="I4042" s="25" t="str">
        <f>IF(OR(E4042="",E4042="!!!",F4042="NEW"),"",INDEX(B4041:B$2,-1+SUMPRODUCT(MAX(ROW(E4041:E$2)*(E4042=E4041:E$2)))))</f>
        <v> </v>
      </c>
      <c r="J4042" s="25" t="str">
        <f>IF(OR(E4042="",E4042="!!!",F4042="NEW"),"",COUNTBLANK(OFFSET(A$1,,,SUMPRODUCT(MAX(ROW(E$2:E4042)*(E4042=E$2:E4042)))))-COUNTBLANK(OFFSET(A$1,,,SUMPRODUCT(MAX(ROW(E$1:E4041)*(E2=E$1:E4041))))))</f>
        <v> </v>
      </c>
      <c r="K4042" s="25" t="str">
        <f>IF(OR(E4042="",E4042="!!!",F4042="NEW"),"",INDEX(J$1:J4041,SUMPRODUCT(MAX(ROW(E$1:E4041)*(E4042=E$1:E4041)))))</f>
        <v> </v>
      </c>
      <c r="L4042" s="26"/>
    </row>
    <row r="4043" spans="1:12">
      <c r="A4043" s="20" t="s">
        <v>757</v>
      </c>
      <c r="E4043" s="21">
        <f>IF(D4043="?OLD","!!!","")</f>
        <v/>
      </c>
      <c r="F4043" s="22" t="str">
        <f>IF(OR(E4043="",E4043="!!!"),"",IF(NOT(ISNA(VLOOKUP(E4043,E$1:E4042,1,FALSE()))),"OLD",IF(AND(E4043&lt;&gt;"",E4043&lt;&gt;"!!!"),"NEW","")))</f>
        <v> </v>
      </c>
      <c r="G4043" s="23" t="str">
        <f>IF(OR(E4043="",E4043="!!!"),"",IF(OR(J4043=0,AND(J4043=1,K4043=1),AND(J4043=1,I4043="SBJ"),AND(J4043=1,I4043=0)),"?IN_FOCUS",IF(J4043&lt;=2,"?ACTIVATED",IF(J4043&lt;&gt;"","?FAMILIAR",IF(F4043="NEW",IF(ISNA(VLOOKUP(E4043,#REF!,1,FALSE())),"?TYPE_IDENTIFIABLE","?REFERENTIAL"),"_")))))</f>
        <v> </v>
      </c>
      <c r="H4043" s="24" t="str">
        <f>IF(J4043&lt;&gt;1,"",IF(I4043="SBJ","CB","?"))</f>
        <v> </v>
      </c>
      <c r="I4043" s="25" t="str">
        <f>IF(OR(E4043="",E4043="!!!",F4043="NEW"),"",INDEX(B4042:B$2,-1+SUMPRODUCT(MAX(ROW(E4042:E$2)*(E4043=E4042:E$2)))))</f>
        <v> </v>
      </c>
      <c r="J4043" s="25" t="str">
        <f>IF(OR(E4043="",E4043="!!!",F4043="NEW"),"",COUNTBLANK(OFFSET(A$1,,,SUMPRODUCT(MAX(ROW(E$2:E4043)*(E4043=E$2:E4043)))))-COUNTBLANK(OFFSET(A$1,,,SUMPRODUCT(MAX(ROW(E$1:E4042)*(E2=E$1:E4042))))))</f>
        <v> </v>
      </c>
      <c r="K4043" s="25" t="str">
        <f>IF(OR(E4043="",E4043="!!!",F4043="NEW"),"",INDEX(J$1:J4042,SUMPRODUCT(MAX(ROW(E$1:E4042)*(E4043=E$1:E4042)))))</f>
        <v> </v>
      </c>
      <c r="L4043" s="26"/>
    </row>
    <row r="4044" spans="1:12">
      <c r="A4044" s="20" t="s">
        <v>1020</v>
      </c>
      <c r="B4044" s="27" t="s">
        <v>956</v>
      </c>
      <c r="E4044" s="21">
        <f>IF(D4044="?OLD","!!!","")</f>
        <v/>
      </c>
      <c r="F4044" s="22" t="str">
        <f>IF(OR(E4044="",E4044="!!!"),"",IF(NOT(ISNA(VLOOKUP(E4044,E$1:E4043,1,FALSE()))),"OLD",IF(AND(E4044&lt;&gt;"",E4044&lt;&gt;"!!!"),"NEW","")))</f>
        <v> </v>
      </c>
      <c r="G4044" s="23" t="str">
        <f>IF(OR(E4044="",E4044="!!!"),"",IF(OR(J4044=0,AND(J4044=1,K4044=1),AND(J4044=1,I4044="SBJ"),AND(J4044=1,I4044=0)),"?IN_FOCUS",IF(J4044&lt;=2,"?ACTIVATED",IF(J4044&lt;&gt;"","?FAMILIAR",IF(F4044="NEW",IF(ISNA(VLOOKUP(E4044,#REF!,1,FALSE())),"?TYPE_IDENTIFIABLE","?REFERENTIAL"),"_")))))</f>
        <v> </v>
      </c>
      <c r="H4044" s="24" t="str">
        <f>IF(J4044&lt;&gt;1,"",IF(I4044="SBJ","CB","?"))</f>
        <v> </v>
      </c>
      <c r="I4044" s="25" t="str">
        <f>IF(OR(E4044="",E4044="!!!",F4044="NEW"),"",INDEX(B4043:B$2,-1+SUMPRODUCT(MAX(ROW(E4043:E$2)*(E4044=E4043:E$2)))))</f>
        <v> </v>
      </c>
      <c r="J4044" s="25" t="str">
        <f>IF(OR(E4044="",E4044="!!!",F4044="NEW"),"",COUNTBLANK(OFFSET(A$1,,,SUMPRODUCT(MAX(ROW(E$2:E4044)*(E4044=E$2:E4044)))))-COUNTBLANK(OFFSET(A$1,,,SUMPRODUCT(MAX(ROW(E$1:E4043)*(E2=E$1:E4043))))))</f>
        <v> </v>
      </c>
      <c r="K4044" s="25" t="str">
        <f>IF(OR(E4044="",E4044="!!!",F4044="NEW"),"",INDEX(J$1:J4043,SUMPRODUCT(MAX(ROW(E$1:E4043)*(E4044=E$1:E4043)))))</f>
        <v> </v>
      </c>
      <c r="L4044" s="26"/>
    </row>
    <row r="4045" spans="1:12">
      <c r="A4045" s="20" t="s">
        <v>886</v>
      </c>
      <c r="B4045" s="27" t="s">
        <v>894</v>
      </c>
      <c r="C4045" s="27" t="s">
        <v>797</v>
      </c>
      <c r="D4045" s="27" t="s">
        <v>762</v>
      </c>
      <c r="E4045" s="21">
        <f>IF(D4045="?OLD","!!!","")</f>
        <v/>
      </c>
      <c r="F4045" s="22" t="str">
        <f>IF(OR(E4045="",E4045="!!!"),"",IF(NOT(ISNA(VLOOKUP(E4045,E$1:E4044,1,FALSE()))),"OLD",IF(AND(E4045&lt;&gt;"",E4045&lt;&gt;"!!!"),"NEW","")))</f>
        <v> </v>
      </c>
      <c r="G4045" s="23" t="str">
        <f>IF(OR(E4045="",E4045="!!!"),"",IF(OR(J4045=0,AND(J4045=1,K4045=1),AND(J4045=1,I4045="SBJ"),AND(J4045=1,I4045=0)),"?IN_FOCUS",IF(J4045&lt;=2,"?ACTIVATED",IF(J4045&lt;&gt;"","?FAMILIAR",IF(F4045="NEW",IF(ISNA(VLOOKUP(E4045,#REF!,1,FALSE())),"?TYPE_IDENTIFIABLE","?REFERENTIAL"),"_")))))</f>
        <v> </v>
      </c>
      <c r="H4045" s="24" t="str">
        <f>IF(J4045&lt;&gt;1,"",IF(I4045="SBJ","CB","?"))</f>
        <v> </v>
      </c>
      <c r="I4045" s="25" t="str">
        <f>IF(OR(E4045="",E4045="!!!",F4045="NEW"),"",INDEX(B4044:B$2,-1+SUMPRODUCT(MAX(ROW(E4044:E$2)*(E4045=E4044:E$2)))))</f>
        <v> </v>
      </c>
      <c r="J4045" s="25" t="str">
        <f>IF(OR(E4045="",E4045="!!!",F4045="NEW"),"",COUNTBLANK(OFFSET(A$1,,,SUMPRODUCT(MAX(ROW(E$2:E4045)*(E4045=E$2:E4045)))))-COUNTBLANK(OFFSET(A$1,,,SUMPRODUCT(MAX(ROW(E$1:E4044)*(E2=E$1:E4044))))))</f>
        <v> </v>
      </c>
      <c r="K4045" s="25" t="str">
        <f>IF(OR(E4045="",E4045="!!!",F4045="NEW"),"",INDEX(J$1:J4044,SUMPRODUCT(MAX(ROW(E$1:E4044)*(E4045=E$1:E4044)))))</f>
        <v> </v>
      </c>
      <c r="L4045" s="26"/>
    </row>
    <row r="4046" spans="1:12">
      <c r="A4046" s="20" t="s">
        <v>1902</v>
      </c>
      <c r="E4046" s="21">
        <f>IF(D4046="?OLD","!!!","")</f>
        <v/>
      </c>
      <c r="F4046" s="22" t="str">
        <f>IF(OR(E4046="",E4046="!!!"),"",IF(NOT(ISNA(VLOOKUP(E4046,E$1:E4045,1,FALSE()))),"OLD",IF(AND(E4046&lt;&gt;"",E4046&lt;&gt;"!!!"),"NEW","")))</f>
        <v> </v>
      </c>
      <c r="G4046" s="23" t="str">
        <f>IF(OR(E4046="",E4046="!!!"),"",IF(OR(J4046=0,AND(J4046=1,K4046=1),AND(J4046=1,I4046="SBJ"),AND(J4046=1,I4046=0)),"?IN_FOCUS",IF(J4046&lt;=2,"?ACTIVATED",IF(J4046&lt;&gt;"","?FAMILIAR",IF(F4046="NEW",IF(ISNA(VLOOKUP(E4046,#REF!,1,FALSE())),"?TYPE_IDENTIFIABLE","?REFERENTIAL"),"_")))))</f>
        <v> </v>
      </c>
      <c r="H4046" s="24" t="str">
        <f>IF(J4046&lt;&gt;1,"",IF(I4046="SBJ","CB","?"))</f>
        <v> </v>
      </c>
      <c r="I4046" s="25" t="str">
        <f>IF(OR(E4046="",E4046="!!!",F4046="NEW"),"",INDEX(B4045:B$2,-1+SUMPRODUCT(MAX(ROW(E4045:E$2)*(E4046=E4045:E$2)))))</f>
        <v> </v>
      </c>
      <c r="J4046" s="25" t="str">
        <f>IF(OR(E4046="",E4046="!!!",F4046="NEW"),"",COUNTBLANK(OFFSET(A$1,,,SUMPRODUCT(MAX(ROW(E$2:E4046)*(E4046=E$2:E4046)))))-COUNTBLANK(OFFSET(A$1,,,SUMPRODUCT(MAX(ROW(E$1:E4045)*(E2=E$1:E4045))))))</f>
        <v> </v>
      </c>
      <c r="K4046" s="25" t="str">
        <f>IF(OR(E4046="",E4046="!!!",F4046="NEW"),"",INDEX(J$1:J4045,SUMPRODUCT(MAX(ROW(E$1:E4045)*(E4046=E$1:E4045)))))</f>
        <v> </v>
      </c>
      <c r="L4046" s="26"/>
    </row>
    <row r="4047" spans="1:12">
      <c r="A4047" s="20" t="s">
        <v>774</v>
      </c>
      <c r="E4047" s="21">
        <f>IF(D4047="?OLD","!!!","")</f>
        <v/>
      </c>
      <c r="F4047" s="22" t="str">
        <f>IF(OR(E4047="",E4047="!!!"),"",IF(NOT(ISNA(VLOOKUP(E4047,E$1:E4046,1,FALSE()))),"OLD",IF(AND(E4047&lt;&gt;"",E4047&lt;&gt;"!!!"),"NEW","")))</f>
        <v> </v>
      </c>
      <c r="G4047" s="23" t="str">
        <f>IF(OR(E4047="",E4047="!!!"),"",IF(OR(J4047=0,AND(J4047=1,K4047=1),AND(J4047=1,I4047="SBJ"),AND(J4047=1,I4047=0)),"?IN_FOCUS",IF(J4047&lt;=2,"?ACTIVATED",IF(J4047&lt;&gt;"","?FAMILIAR",IF(F4047="NEW",IF(ISNA(VLOOKUP(E4047,#REF!,1,FALSE())),"?TYPE_IDENTIFIABLE","?REFERENTIAL"),"_")))))</f>
        <v> </v>
      </c>
      <c r="H4047" s="24" t="str">
        <f>IF(J4047&lt;&gt;1,"",IF(I4047="SBJ","CB","?"))</f>
        <v> </v>
      </c>
      <c r="I4047" s="25" t="str">
        <f>IF(OR(E4047="",E4047="!!!",F4047="NEW"),"",INDEX(B4046:B$2,-1+SUMPRODUCT(MAX(ROW(E4046:E$2)*(E4047=E4046:E$2)))))</f>
        <v> </v>
      </c>
      <c r="J4047" s="25" t="str">
        <f>IF(OR(E4047="",E4047="!!!",F4047="NEW"),"",COUNTBLANK(OFFSET(A$1,,,SUMPRODUCT(MAX(ROW(E$2:E4047)*(E4047=E$2:E4047)))))-COUNTBLANK(OFFSET(A$1,,,SUMPRODUCT(MAX(ROW(E$1:E4046)*(E2=E$1:E4046))))))</f>
        <v> </v>
      </c>
      <c r="K4047" s="25" t="str">
        <f>IF(OR(E4047="",E4047="!!!",F4047="NEW"),"",INDEX(J$1:J4046,SUMPRODUCT(MAX(ROW(E$1:E4046)*(E4047=E$1:E4046)))))</f>
        <v> </v>
      </c>
      <c r="L4047" s="26"/>
    </row>
    <row r="4048" spans="1:12">
      <c r="A4048" s="20"/>
    </row>
    <row r="4049" spans="1:12">
      <c r="A4049" s="20" t="s">
        <v>1903</v>
      </c>
    </row>
    <row r="4050" spans="1:12">
      <c r="A4050" s="20" t="s">
        <v>1037</v>
      </c>
      <c r="B4050" s="27" t="s">
        <v>760</v>
      </c>
      <c r="C4050" s="27" t="s">
        <v>797</v>
      </c>
      <c r="D4050" s="27" t="s">
        <v>762</v>
      </c>
      <c r="E4050" s="21">
        <f>IF(D4050="?OLD","!!!","")</f>
        <v/>
      </c>
      <c r="F4050" s="22" t="str">
        <f>IF(OR(E4050="",E4050="!!!"),"",IF(NOT(ISNA(VLOOKUP(E4050,E$1:E4049,1,FALSE()))),"OLD",IF(AND(E4050&lt;&gt;"",E4050&lt;&gt;"!!!"),"NEW","")))</f>
        <v> </v>
      </c>
      <c r="G4050" s="23" t="str">
        <f>IF(OR(E4050="",E4050="!!!"),"",IF(OR(J4050=0,AND(J4050=1,K4050=1),AND(J4050=1,I4050="SBJ"),AND(J4050=1,I4050=0)),"?IN_FOCUS",IF(J4050&lt;=2,"?ACTIVATED",IF(J4050&lt;&gt;"","?FAMILIAR",IF(F4050="NEW",IF(ISNA(VLOOKUP(E4050,#REF!,1,FALSE())),"?TYPE_IDENTIFIABLE","?REFERENTIAL"),"_")))))</f>
        <v> </v>
      </c>
      <c r="H4050" s="24" t="str">
        <f>IF(J4050&lt;&gt;1,"",IF(I4050="SBJ","CB","?"))</f>
        <v> </v>
      </c>
      <c r="I4050" s="25" t="str">
        <f>IF(OR(E4050="",E4050="!!!",F4050="NEW"),"",INDEX(B4049:B$2,-1+SUMPRODUCT(MAX(ROW(E4049:E$2)*(E4050=E4049:E$2)))))</f>
        <v> </v>
      </c>
      <c r="J4050" s="25" t="str">
        <f>IF(OR(E4050="",E4050="!!!",F4050="NEW"),"",COUNTBLANK(OFFSET(A$1,,,SUMPRODUCT(MAX(ROW(E$2:E4050)*(E4050=E$2:E4050)))))-COUNTBLANK(OFFSET(A$1,,,SUMPRODUCT(MAX(ROW(E$1:E4049)*(E2=E$1:E4049))))))</f>
        <v> </v>
      </c>
      <c r="K4050" s="25" t="str">
        <f>IF(OR(E4050="",E4050="!!!",F4050="NEW"),"",INDEX(J$1:J4049,SUMPRODUCT(MAX(ROW(E$1:E4049)*(E4050=E$1:E4049)))))</f>
        <v> </v>
      </c>
      <c r="L4050" s="26"/>
    </row>
    <row r="4051" spans="1:12">
      <c r="A4051" s="20" t="s">
        <v>909</v>
      </c>
      <c r="E4051" s="21">
        <f>IF(D4051="?OLD","!!!","")</f>
        <v/>
      </c>
      <c r="F4051" s="22" t="str">
        <f>IF(OR(E4051="",E4051="!!!"),"",IF(NOT(ISNA(VLOOKUP(E4051,E$1:E4050,1,FALSE()))),"OLD",IF(AND(E4051&lt;&gt;"",E4051&lt;&gt;"!!!"),"NEW","")))</f>
        <v> </v>
      </c>
      <c r="G4051" s="23" t="str">
        <f>IF(OR(E4051="",E4051="!!!"),"",IF(OR(J4051=0,AND(J4051=1,K4051=1),AND(J4051=1,I4051="SBJ"),AND(J4051=1,I4051=0)),"?IN_FOCUS",IF(J4051&lt;=2,"?ACTIVATED",IF(J4051&lt;&gt;"","?FAMILIAR",IF(F4051="NEW",IF(ISNA(VLOOKUP(E4051,#REF!,1,FALSE())),"?TYPE_IDENTIFIABLE","?REFERENTIAL"),"_")))))</f>
        <v> </v>
      </c>
      <c r="H4051" s="24" t="str">
        <f>IF(J4051&lt;&gt;1,"",IF(I4051="SBJ","CB","?"))</f>
        <v> </v>
      </c>
      <c r="I4051" s="25" t="str">
        <f>IF(OR(E4051="",E4051="!!!",F4051="NEW"),"",INDEX(B4050:B$2,-1+SUMPRODUCT(MAX(ROW(E4050:E$2)*(E4051=E4050:E$2)))))</f>
        <v> </v>
      </c>
      <c r="J4051" s="25" t="str">
        <f>IF(OR(E4051="",E4051="!!!",F4051="NEW"),"",COUNTBLANK(OFFSET(A$1,,,SUMPRODUCT(MAX(ROW(E$2:E4051)*(E4051=E$2:E4051)))))-COUNTBLANK(OFFSET(A$1,,,SUMPRODUCT(MAX(ROW(E$1:E4050)*(E2=E$1:E4050))))))</f>
        <v> </v>
      </c>
      <c r="K4051" s="25" t="str">
        <f>IF(OR(E4051="",E4051="!!!",F4051="NEW"),"",INDEX(J$1:J4050,SUMPRODUCT(MAX(ROW(E$1:E4050)*(E4051=E$1:E4050)))))</f>
        <v> </v>
      </c>
      <c r="L4051" s="26"/>
    </row>
    <row r="4052" spans="1:12">
      <c r="A4052" s="20" t="s">
        <v>1522</v>
      </c>
      <c r="E4052" s="21">
        <f>IF(D4052="?OLD","!!!","")</f>
        <v/>
      </c>
      <c r="F4052" s="22" t="str">
        <f>IF(OR(E4052="",E4052="!!!"),"",IF(NOT(ISNA(VLOOKUP(E4052,E$1:E4051,1,FALSE()))),"OLD",IF(AND(E4052&lt;&gt;"",E4052&lt;&gt;"!!!"),"NEW","")))</f>
        <v> </v>
      </c>
      <c r="G4052" s="23" t="str">
        <f>IF(OR(E4052="",E4052="!!!"),"",IF(OR(J4052=0,AND(J4052=1,K4052=1),AND(J4052=1,I4052="SBJ"),AND(J4052=1,I4052=0)),"?IN_FOCUS",IF(J4052&lt;=2,"?ACTIVATED",IF(J4052&lt;&gt;"","?FAMILIAR",IF(F4052="NEW",IF(ISNA(VLOOKUP(E4052,#REF!,1,FALSE())),"?TYPE_IDENTIFIABLE","?REFERENTIAL"),"_")))))</f>
        <v> </v>
      </c>
      <c r="H4052" s="24" t="str">
        <f>IF(J4052&lt;&gt;1,"",IF(I4052="SBJ","CB","?"))</f>
        <v> </v>
      </c>
      <c r="I4052" s="25" t="str">
        <f>IF(OR(E4052="",E4052="!!!",F4052="NEW"),"",INDEX(B4051:B$2,-1+SUMPRODUCT(MAX(ROW(E4051:E$2)*(E4052=E4051:E$2)))))</f>
        <v> </v>
      </c>
      <c r="J4052" s="25" t="str">
        <f>IF(OR(E4052="",E4052="!!!",F4052="NEW"),"",COUNTBLANK(OFFSET(A$1,,,SUMPRODUCT(MAX(ROW(E$2:E4052)*(E4052=E$2:E4052)))))-COUNTBLANK(OFFSET(A$1,,,SUMPRODUCT(MAX(ROW(E$1:E4051)*(E2=E$1:E4051))))))</f>
        <v> </v>
      </c>
      <c r="K4052" s="25" t="str">
        <f>IF(OR(E4052="",E4052="!!!",F4052="NEW"),"",INDEX(J$1:J4051,SUMPRODUCT(MAX(ROW(E$1:E4051)*(E4052=E$1:E4051)))))</f>
        <v> </v>
      </c>
      <c r="L4052" s="26"/>
    </row>
    <row r="4053" spans="1:12">
      <c r="A4053" s="20" t="s">
        <v>805</v>
      </c>
      <c r="E4053" s="21">
        <f>IF(D4053="?OLD","!!!","")</f>
        <v/>
      </c>
      <c r="F4053" s="22" t="str">
        <f>IF(OR(E4053="",E4053="!!!"),"",IF(NOT(ISNA(VLOOKUP(E4053,E$1:E4052,1,FALSE()))),"OLD",IF(AND(E4053&lt;&gt;"",E4053&lt;&gt;"!!!"),"NEW","")))</f>
        <v> </v>
      </c>
      <c r="G4053" s="23" t="str">
        <f>IF(OR(E4053="",E4053="!!!"),"",IF(OR(J4053=0,AND(J4053=1,K4053=1),AND(J4053=1,I4053="SBJ"),AND(J4053=1,I4053=0)),"?IN_FOCUS",IF(J4053&lt;=2,"?ACTIVATED",IF(J4053&lt;&gt;"","?FAMILIAR",IF(F4053="NEW",IF(ISNA(VLOOKUP(E4053,#REF!,1,FALSE())),"?TYPE_IDENTIFIABLE","?REFERENTIAL"),"_")))))</f>
        <v> </v>
      </c>
      <c r="H4053" s="24" t="str">
        <f>IF(J4053&lt;&gt;1,"",IF(I4053="SBJ","CB","?"))</f>
        <v> </v>
      </c>
      <c r="I4053" s="25" t="str">
        <f>IF(OR(E4053="",E4053="!!!",F4053="NEW"),"",INDEX(B4052:B$2,-1+SUMPRODUCT(MAX(ROW(E4052:E$2)*(E4053=E4052:E$2)))))</f>
        <v> </v>
      </c>
      <c r="J4053" s="25" t="str">
        <f>IF(OR(E4053="",E4053="!!!",F4053="NEW"),"",COUNTBLANK(OFFSET(A$1,,,SUMPRODUCT(MAX(ROW(E$2:E4053)*(E4053=E$2:E4053)))))-COUNTBLANK(OFFSET(A$1,,,SUMPRODUCT(MAX(ROW(E$1:E4052)*(E2=E$1:E4052))))))</f>
        <v> </v>
      </c>
      <c r="K4053" s="25" t="str">
        <f>IF(OR(E4053="",E4053="!!!",F4053="NEW"),"",INDEX(J$1:J4052,SUMPRODUCT(MAX(ROW(E$1:E4052)*(E4053=E$1:E4052)))))</f>
        <v> </v>
      </c>
      <c r="L4053" s="26"/>
    </row>
    <row r="4054" spans="1:12">
      <c r="A4054" s="20" t="s">
        <v>129</v>
      </c>
      <c r="E4054" s="21">
        <f>IF(D4054="?OLD","!!!","")</f>
        <v/>
      </c>
      <c r="F4054" s="22" t="str">
        <f>IF(OR(E4054="",E4054="!!!"),"",IF(NOT(ISNA(VLOOKUP(E4054,E$1:E4053,1,FALSE()))),"OLD",IF(AND(E4054&lt;&gt;"",E4054&lt;&gt;"!!!"),"NEW","")))</f>
        <v> </v>
      </c>
      <c r="G4054" s="23" t="str">
        <f>IF(OR(E4054="",E4054="!!!"),"",IF(OR(J4054=0,AND(J4054=1,K4054=1),AND(J4054=1,I4054="SBJ"),AND(J4054=1,I4054=0)),"?IN_FOCUS",IF(J4054&lt;=2,"?ACTIVATED",IF(J4054&lt;&gt;"","?FAMILIAR",IF(F4054="NEW",IF(ISNA(VLOOKUP(E4054,#REF!,1,FALSE())),"?TYPE_IDENTIFIABLE","?REFERENTIAL"),"_")))))</f>
        <v> </v>
      </c>
      <c r="H4054" s="24" t="str">
        <f>IF(J4054&lt;&gt;1,"",IF(I4054="SBJ","CB","?"))</f>
        <v> </v>
      </c>
      <c r="I4054" s="25" t="str">
        <f>IF(OR(E4054="",E4054="!!!",F4054="NEW"),"",INDEX(B4053:B$2,-1+SUMPRODUCT(MAX(ROW(E4053:E$2)*(E4054=E4053:E$2)))))</f>
        <v> </v>
      </c>
      <c r="J4054" s="25" t="str">
        <f>IF(OR(E4054="",E4054="!!!",F4054="NEW"),"",COUNTBLANK(OFFSET(A$1,,,SUMPRODUCT(MAX(ROW(E$2:E4054)*(E4054=E$2:E4054)))))-COUNTBLANK(OFFSET(A$1,,,SUMPRODUCT(MAX(ROW(E$1:E4053)*(E2=E$1:E4053))))))</f>
        <v> </v>
      </c>
      <c r="K4054" s="25" t="str">
        <f>IF(OR(E4054="",E4054="!!!",F4054="NEW"),"",INDEX(J$1:J4053,SUMPRODUCT(MAX(ROW(E$1:E4053)*(E4054=E$1:E4053)))))</f>
        <v> </v>
      </c>
      <c r="L4054" s="26"/>
    </row>
    <row r="4055" spans="1:12">
      <c r="A4055" s="20" t="s">
        <v>769</v>
      </c>
      <c r="E4055" s="21">
        <f>IF(D4055="?OLD","!!!","")</f>
        <v/>
      </c>
      <c r="F4055" s="22" t="str">
        <f>IF(OR(E4055="",E4055="!!!"),"",IF(NOT(ISNA(VLOOKUP(E4055,E$1:E4054,1,FALSE()))),"OLD",IF(AND(E4055&lt;&gt;"",E4055&lt;&gt;"!!!"),"NEW","")))</f>
        <v> </v>
      </c>
      <c r="G4055" s="23" t="str">
        <f>IF(OR(E4055="",E4055="!!!"),"",IF(OR(J4055=0,AND(J4055=1,K4055=1),AND(J4055=1,I4055="SBJ"),AND(J4055=1,I4055=0)),"?IN_FOCUS",IF(J4055&lt;=2,"?ACTIVATED",IF(J4055&lt;&gt;"","?FAMILIAR",IF(F4055="NEW",IF(ISNA(VLOOKUP(E4055,#REF!,1,FALSE())),"?TYPE_IDENTIFIABLE","?REFERENTIAL"),"_")))))</f>
        <v> </v>
      </c>
      <c r="H4055" s="24" t="str">
        <f>IF(J4055&lt;&gt;1,"",IF(I4055="SBJ","CB","?"))</f>
        <v> </v>
      </c>
      <c r="I4055" s="25" t="str">
        <f>IF(OR(E4055="",E4055="!!!",F4055="NEW"),"",INDEX(B4054:B$2,-1+SUMPRODUCT(MAX(ROW(E4054:E$2)*(E4055=E4054:E$2)))))</f>
        <v> </v>
      </c>
      <c r="J4055" s="25" t="str">
        <f>IF(OR(E4055="",E4055="!!!",F4055="NEW"),"",COUNTBLANK(OFFSET(A$1,,,SUMPRODUCT(MAX(ROW(E$2:E4055)*(E4055=E$2:E4055)))))-COUNTBLANK(OFFSET(A$1,,,SUMPRODUCT(MAX(ROW(E$1:E4054)*(E2=E$1:E4054))))))</f>
        <v> </v>
      </c>
      <c r="K4055" s="25" t="str">
        <f>IF(OR(E4055="",E4055="!!!",F4055="NEW"),"",INDEX(J$1:J4054,SUMPRODUCT(MAX(ROW(E$1:E4054)*(E4055=E$1:E4054)))))</f>
        <v> </v>
      </c>
      <c r="L4055" s="26"/>
    </row>
    <row r="4056" spans="1:12">
      <c r="A4056" s="20" t="s">
        <v>838</v>
      </c>
      <c r="E4056" s="21">
        <f>IF(D4056="?OLD","!!!","")</f>
        <v/>
      </c>
      <c r="F4056" s="22" t="str">
        <f>IF(OR(E4056="",E4056="!!!"),"",IF(NOT(ISNA(VLOOKUP(E4056,E$1:E4055,1,FALSE()))),"OLD",IF(AND(E4056&lt;&gt;"",E4056&lt;&gt;"!!!"),"NEW","")))</f>
        <v> </v>
      </c>
      <c r="G4056" s="23" t="str">
        <f>IF(OR(E4056="",E4056="!!!"),"",IF(OR(J4056=0,AND(J4056=1,K4056=1),AND(J4056=1,I4056="SBJ"),AND(J4056=1,I4056=0)),"?IN_FOCUS",IF(J4056&lt;=2,"?ACTIVATED",IF(J4056&lt;&gt;"","?FAMILIAR",IF(F4056="NEW",IF(ISNA(VLOOKUP(E4056,#REF!,1,FALSE())),"?TYPE_IDENTIFIABLE","?REFERENTIAL"),"_")))))</f>
        <v> </v>
      </c>
      <c r="H4056" s="24" t="str">
        <f>IF(J4056&lt;&gt;1,"",IF(I4056="SBJ","CB","?"))</f>
        <v> </v>
      </c>
      <c r="I4056" s="25" t="str">
        <f>IF(OR(E4056="",E4056="!!!",F4056="NEW"),"",INDEX(B4055:B$2,-1+SUMPRODUCT(MAX(ROW(E4055:E$2)*(E4056=E4055:E$2)))))</f>
        <v> </v>
      </c>
      <c r="J4056" s="25" t="str">
        <f>IF(OR(E4056="",E4056="!!!",F4056="NEW"),"",COUNTBLANK(OFFSET(A$1,,,SUMPRODUCT(MAX(ROW(E$2:E4056)*(E4056=E$2:E4056)))))-COUNTBLANK(OFFSET(A$1,,,SUMPRODUCT(MAX(ROW(E$1:E4055)*(E2=E$1:E4055))))))</f>
        <v> </v>
      </c>
      <c r="K4056" s="25" t="str">
        <f>IF(OR(E4056="",E4056="!!!",F4056="NEW"),"",INDEX(J$1:J4055,SUMPRODUCT(MAX(ROW(E$1:E4055)*(E4056=E$1:E4055)))))</f>
        <v> </v>
      </c>
      <c r="L4056" s="26"/>
    </row>
    <row r="4057" spans="1:12">
      <c r="A4057" s="20" t="s">
        <v>943</v>
      </c>
      <c r="B4057" s="27" t="s">
        <v>772</v>
      </c>
      <c r="C4057" s="27" t="s">
        <v>761</v>
      </c>
      <c r="D4057" s="27" t="s">
        <v>762</v>
      </c>
      <c r="E4057" s="21">
        <f>IF(D4057="?OLD","!!!","")</f>
        <v/>
      </c>
      <c r="F4057" s="22" t="str">
        <f>IF(OR(E4057="",E4057="!!!"),"",IF(NOT(ISNA(VLOOKUP(E4057,E$1:E4056,1,FALSE()))),"OLD",IF(AND(E4057&lt;&gt;"",E4057&lt;&gt;"!!!"),"NEW","")))</f>
        <v> </v>
      </c>
      <c r="G4057" s="23" t="str">
        <f>IF(OR(E4057="",E4057="!!!"),"",IF(OR(J4057=0,AND(J4057=1,K4057=1),AND(J4057=1,I4057="SBJ"),AND(J4057=1,I4057=0)),"?IN_FOCUS",IF(J4057&lt;=2,"?ACTIVATED",IF(J4057&lt;&gt;"","?FAMILIAR",IF(F4057="NEW",IF(ISNA(VLOOKUP(E4057,#REF!,1,FALSE())),"?TYPE_IDENTIFIABLE","?REFERENTIAL"),"_")))))</f>
        <v> </v>
      </c>
      <c r="H4057" s="24" t="str">
        <f>IF(J4057&lt;&gt;1,"",IF(I4057="SBJ","CB","?"))</f>
        <v> </v>
      </c>
      <c r="I4057" s="25" t="str">
        <f>IF(OR(E4057="",E4057="!!!",F4057="NEW"),"",INDEX(B4056:B$2,-1+SUMPRODUCT(MAX(ROW(E4056:E$2)*(E4057=E4056:E$2)))))</f>
        <v> </v>
      </c>
      <c r="J4057" s="25" t="str">
        <f>IF(OR(E4057="",E4057="!!!",F4057="NEW"),"",COUNTBLANK(OFFSET(A$1,,,SUMPRODUCT(MAX(ROW(E$2:E4057)*(E4057=E$2:E4057)))))-COUNTBLANK(OFFSET(A$1,,,SUMPRODUCT(MAX(ROW(E$1:E4056)*(E2=E$1:E4056))))))</f>
        <v> </v>
      </c>
      <c r="K4057" s="25" t="str">
        <f>IF(OR(E4057="",E4057="!!!",F4057="NEW"),"",INDEX(J$1:J4056,SUMPRODUCT(MAX(ROW(E$1:E4056)*(E4057=E$1:E4056)))))</f>
        <v> </v>
      </c>
      <c r="L4057" s="26"/>
    </row>
    <row r="4058" spans="1:12">
      <c r="A4058" s="20" t="s">
        <v>826</v>
      </c>
      <c r="E4058" s="21">
        <f>IF(D4058="?OLD","!!!","")</f>
        <v/>
      </c>
      <c r="F4058" s="22" t="str">
        <f>IF(OR(E4058="",E4058="!!!"),"",IF(NOT(ISNA(VLOOKUP(E4058,E$1:E4057,1,FALSE()))),"OLD",IF(AND(E4058&lt;&gt;"",E4058&lt;&gt;"!!!"),"NEW","")))</f>
        <v> </v>
      </c>
      <c r="G4058" s="23" t="str">
        <f>IF(OR(E4058="",E4058="!!!"),"",IF(OR(J4058=0,AND(J4058=1,K4058=1),AND(J4058=1,I4058="SBJ"),AND(J4058=1,I4058=0)),"?IN_FOCUS",IF(J4058&lt;=2,"?ACTIVATED",IF(J4058&lt;&gt;"","?FAMILIAR",IF(F4058="NEW",IF(ISNA(VLOOKUP(E4058,#REF!,1,FALSE())),"?TYPE_IDENTIFIABLE","?REFERENTIAL"),"_")))))</f>
        <v> </v>
      </c>
      <c r="H4058" s="24" t="str">
        <f>IF(J4058&lt;&gt;1,"",IF(I4058="SBJ","CB","?"))</f>
        <v> </v>
      </c>
      <c r="I4058" s="25" t="str">
        <f>IF(OR(E4058="",E4058="!!!",F4058="NEW"),"",INDEX(B4057:B$2,-1+SUMPRODUCT(MAX(ROW(E4057:E$2)*(E4058=E4057:E$2)))))</f>
        <v> </v>
      </c>
      <c r="J4058" s="25" t="str">
        <f>IF(OR(E4058="",E4058="!!!",F4058="NEW"),"",COUNTBLANK(OFFSET(A$1,,,SUMPRODUCT(MAX(ROW(E$2:E4058)*(E4058=E$2:E4058)))))-COUNTBLANK(OFFSET(A$1,,,SUMPRODUCT(MAX(ROW(E$1:E4057)*(E2=E$1:E4057))))))</f>
        <v> </v>
      </c>
      <c r="K4058" s="25" t="str">
        <f>IF(OR(E4058="",E4058="!!!",F4058="NEW"),"",INDEX(J$1:J4057,SUMPRODUCT(MAX(ROW(E$1:E4057)*(E4058=E$1:E4057)))))</f>
        <v> </v>
      </c>
      <c r="L4058" s="26"/>
    </row>
    <row r="4059" spans="1:12">
      <c r="A4059" s="20" t="s">
        <v>869</v>
      </c>
      <c r="B4059" s="27" t="s">
        <v>956</v>
      </c>
      <c r="C4059" s="27" t="s">
        <v>797</v>
      </c>
      <c r="D4059" s="27" t="s">
        <v>762</v>
      </c>
      <c r="E4059" s="21">
        <f>IF(D4059="?OLD","!!!","")</f>
        <v/>
      </c>
      <c r="F4059" s="22" t="str">
        <f>IF(OR(E4059="",E4059="!!!"),"",IF(NOT(ISNA(VLOOKUP(E4059,E$1:E4058,1,FALSE()))),"OLD",IF(AND(E4059&lt;&gt;"",E4059&lt;&gt;"!!!"),"NEW","")))</f>
        <v> </v>
      </c>
      <c r="G4059" s="23" t="str">
        <f>IF(OR(E4059="",E4059="!!!"),"",IF(OR(J4059=0,AND(J4059=1,K4059=1),AND(J4059=1,I4059="SBJ"),AND(J4059=1,I4059=0)),"?IN_FOCUS",IF(J4059&lt;=2,"?ACTIVATED",IF(J4059&lt;&gt;"","?FAMILIAR",IF(F4059="NEW",IF(ISNA(VLOOKUP(E4059,#REF!,1,FALSE())),"?TYPE_IDENTIFIABLE","?REFERENTIAL"),"_")))))</f>
        <v> </v>
      </c>
      <c r="H4059" s="24" t="str">
        <f>IF(J4059&lt;&gt;1,"",IF(I4059="SBJ","CB","?"))</f>
        <v> </v>
      </c>
      <c r="I4059" s="25" t="str">
        <f>IF(OR(E4059="",E4059="!!!",F4059="NEW"),"",INDEX(B4058:B$2,-1+SUMPRODUCT(MAX(ROW(E4058:E$2)*(E4059=E4058:E$2)))))</f>
        <v> </v>
      </c>
      <c r="J4059" s="25" t="str">
        <f>IF(OR(E4059="",E4059="!!!",F4059="NEW"),"",COUNTBLANK(OFFSET(A$1,,,SUMPRODUCT(MAX(ROW(E$2:E4059)*(E4059=E$2:E4059)))))-COUNTBLANK(OFFSET(A$1,,,SUMPRODUCT(MAX(ROW(E$1:E4058)*(E2=E$1:E4058))))))</f>
        <v> </v>
      </c>
      <c r="K4059" s="25" t="str">
        <f>IF(OR(E4059="",E4059="!!!",F4059="NEW"),"",INDEX(J$1:J4058,SUMPRODUCT(MAX(ROW(E$1:E4058)*(E4059=E$1:E4058)))))</f>
        <v> </v>
      </c>
      <c r="L4059" s="26"/>
    </row>
    <row r="4060" spans="1:12">
      <c r="A4060" s="20" t="s">
        <v>1904</v>
      </c>
      <c r="E4060" s="21">
        <f>IF(D4060="?OLD","!!!","")</f>
        <v/>
      </c>
      <c r="F4060" s="22" t="str">
        <f>IF(OR(E4060="",E4060="!!!"),"",IF(NOT(ISNA(VLOOKUP(E4060,E$1:E4059,1,FALSE()))),"OLD",IF(AND(E4060&lt;&gt;"",E4060&lt;&gt;"!!!"),"NEW","")))</f>
        <v> </v>
      </c>
      <c r="G4060" s="23" t="str">
        <f>IF(OR(E4060="",E4060="!!!"),"",IF(OR(J4060=0,AND(J4060=1,K4060=1),AND(J4060=1,I4060="SBJ"),AND(J4060=1,I4060=0)),"?IN_FOCUS",IF(J4060&lt;=2,"?ACTIVATED",IF(J4060&lt;&gt;"","?FAMILIAR",IF(F4060="NEW",IF(ISNA(VLOOKUP(E4060,#REF!,1,FALSE())),"?TYPE_IDENTIFIABLE","?REFERENTIAL"),"_")))))</f>
        <v> </v>
      </c>
      <c r="H4060" s="24" t="str">
        <f>IF(J4060&lt;&gt;1,"",IF(I4060="SBJ","CB","?"))</f>
        <v> </v>
      </c>
      <c r="I4060" s="25" t="str">
        <f>IF(OR(E4060="",E4060="!!!",F4060="NEW"),"",INDEX(B4059:B$2,-1+SUMPRODUCT(MAX(ROW(E4059:E$2)*(E4060=E4059:E$2)))))</f>
        <v> </v>
      </c>
      <c r="J4060" s="25" t="str">
        <f>IF(OR(E4060="",E4060="!!!",F4060="NEW"),"",COUNTBLANK(OFFSET(A$1,,,SUMPRODUCT(MAX(ROW(E$2:E4060)*(E4060=E$2:E4060)))))-COUNTBLANK(OFFSET(A$1,,,SUMPRODUCT(MAX(ROW(E$1:E4059)*(E2=E$1:E4059))))))</f>
        <v> </v>
      </c>
      <c r="K4060" s="25" t="str">
        <f>IF(OR(E4060="",E4060="!!!",F4060="NEW"),"",INDEX(J$1:J4059,SUMPRODUCT(MAX(ROW(E$1:E4059)*(E4060=E$1:E4059)))))</f>
        <v> </v>
      </c>
      <c r="L4060" s="26"/>
    </row>
    <row r="4061" spans="1:12">
      <c r="A4061" s="20" t="s">
        <v>1007</v>
      </c>
      <c r="E4061" s="21">
        <f>IF(D4061="?OLD","!!!","")</f>
        <v/>
      </c>
      <c r="F4061" s="22" t="str">
        <f>IF(OR(E4061="",E4061="!!!"),"",IF(NOT(ISNA(VLOOKUP(E4061,E$1:E4060,1,FALSE()))),"OLD",IF(AND(E4061&lt;&gt;"",E4061&lt;&gt;"!!!"),"NEW","")))</f>
        <v> </v>
      </c>
      <c r="G4061" s="23" t="str">
        <f>IF(OR(E4061="",E4061="!!!"),"",IF(OR(J4061=0,AND(J4061=1,K4061=1),AND(J4061=1,I4061="SBJ"),AND(J4061=1,I4061=0)),"?IN_FOCUS",IF(J4061&lt;=2,"?ACTIVATED",IF(J4061&lt;&gt;"","?FAMILIAR",IF(F4061="NEW",IF(ISNA(VLOOKUP(E4061,#REF!,1,FALSE())),"?TYPE_IDENTIFIABLE","?REFERENTIAL"),"_")))))</f>
        <v> </v>
      </c>
      <c r="H4061" s="24" t="str">
        <f>IF(J4061&lt;&gt;1,"",IF(I4061="SBJ","CB","?"))</f>
        <v> </v>
      </c>
      <c r="I4061" s="25" t="str">
        <f>IF(OR(E4061="",E4061="!!!",F4061="NEW"),"",INDEX(B4060:B$2,-1+SUMPRODUCT(MAX(ROW(E4060:E$2)*(E4061=E4060:E$2)))))</f>
        <v> </v>
      </c>
      <c r="J4061" s="25" t="str">
        <f>IF(OR(E4061="",E4061="!!!",F4061="NEW"),"",COUNTBLANK(OFFSET(A$1,,,SUMPRODUCT(MAX(ROW(E$2:E4061)*(E4061=E$2:E4061)))))-COUNTBLANK(OFFSET(A$1,,,SUMPRODUCT(MAX(ROW(E$1:E4060)*(E2=E$1:E4060))))))</f>
        <v> </v>
      </c>
      <c r="K4061" s="25" t="str">
        <f>IF(OR(E4061="",E4061="!!!",F4061="NEW"),"",INDEX(J$1:J4060,SUMPRODUCT(MAX(ROW(E$1:E4060)*(E4061=E$1:E4060)))))</f>
        <v> </v>
      </c>
      <c r="L4061" s="26"/>
    </row>
    <row r="4062" spans="1:12">
      <c r="A4062" s="20" t="s">
        <v>954</v>
      </c>
      <c r="E4062" s="21">
        <f>IF(D4062="?OLD","!!!","")</f>
        <v/>
      </c>
      <c r="F4062" s="22" t="str">
        <f>IF(OR(E4062="",E4062="!!!"),"",IF(NOT(ISNA(VLOOKUP(E4062,E$1:E4061,1,FALSE()))),"OLD",IF(AND(E4062&lt;&gt;"",E4062&lt;&gt;"!!!"),"NEW","")))</f>
        <v> </v>
      </c>
      <c r="G4062" s="23" t="str">
        <f>IF(OR(E4062="",E4062="!!!"),"",IF(OR(J4062=0,AND(J4062=1,K4062=1),AND(J4062=1,I4062="SBJ"),AND(J4062=1,I4062=0)),"?IN_FOCUS",IF(J4062&lt;=2,"?ACTIVATED",IF(J4062&lt;&gt;"","?FAMILIAR",IF(F4062="NEW",IF(ISNA(VLOOKUP(E4062,#REF!,1,FALSE())),"?TYPE_IDENTIFIABLE","?REFERENTIAL"),"_")))))</f>
        <v> </v>
      </c>
      <c r="H4062" s="24" t="str">
        <f>IF(J4062&lt;&gt;1,"",IF(I4062="SBJ","CB","?"))</f>
        <v> </v>
      </c>
      <c r="I4062" s="25" t="str">
        <f>IF(OR(E4062="",E4062="!!!",F4062="NEW"),"",INDEX(B4061:B$2,-1+SUMPRODUCT(MAX(ROW(E4061:E$2)*(E4062=E4061:E$2)))))</f>
        <v> </v>
      </c>
      <c r="J4062" s="25" t="str">
        <f>IF(OR(E4062="",E4062="!!!",F4062="NEW"),"",COUNTBLANK(OFFSET(A$1,,,SUMPRODUCT(MAX(ROW(E$2:E4062)*(E4062=E$2:E4062)))))-COUNTBLANK(OFFSET(A$1,,,SUMPRODUCT(MAX(ROW(E$1:E4061)*(E2=E$1:E4061))))))</f>
        <v> </v>
      </c>
      <c r="K4062" s="25" t="str">
        <f>IF(OR(E4062="",E4062="!!!",F4062="NEW"),"",INDEX(J$1:J4061,SUMPRODUCT(MAX(ROW(E$1:E4061)*(E4062=E$1:E4061)))))</f>
        <v> </v>
      </c>
      <c r="L4062" s="26"/>
    </row>
    <row r="4063" spans="1:12">
      <c r="A4063" s="20" t="s">
        <v>1744</v>
      </c>
      <c r="B4063" s="27" t="s">
        <v>879</v>
      </c>
      <c r="C4063" s="27" t="s">
        <v>1019</v>
      </c>
      <c r="D4063" s="27" t="s">
        <v>762</v>
      </c>
      <c r="E4063" s="21">
        <f>IF(D4063="?OLD","!!!","")</f>
        <v/>
      </c>
      <c r="F4063" s="22" t="str">
        <f>IF(OR(E4063="",E4063="!!!"),"",IF(NOT(ISNA(VLOOKUP(E4063,E$1:E4062,1,FALSE()))),"OLD",IF(AND(E4063&lt;&gt;"",E4063&lt;&gt;"!!!"),"NEW","")))</f>
        <v> </v>
      </c>
      <c r="G4063" s="23" t="str">
        <f>IF(OR(E4063="",E4063="!!!"),"",IF(OR(J4063=0,AND(J4063=1,K4063=1),AND(J4063=1,I4063="SBJ"),AND(J4063=1,I4063=0)),"?IN_FOCUS",IF(J4063&lt;=2,"?ACTIVATED",IF(J4063&lt;&gt;"","?FAMILIAR",IF(F4063="NEW",IF(ISNA(VLOOKUP(E4063,#REF!,1,FALSE())),"?TYPE_IDENTIFIABLE","?REFERENTIAL"),"_")))))</f>
        <v> </v>
      </c>
      <c r="H4063" s="24" t="str">
        <f>IF(J4063&lt;&gt;1,"",IF(I4063="SBJ","CB","?"))</f>
        <v> </v>
      </c>
      <c r="I4063" s="25" t="str">
        <f>IF(OR(E4063="",E4063="!!!",F4063="NEW"),"",INDEX(B4062:B$2,-1+SUMPRODUCT(MAX(ROW(E4062:E$2)*(E4063=E4062:E$2)))))</f>
        <v> </v>
      </c>
      <c r="J4063" s="25" t="str">
        <f>IF(OR(E4063="",E4063="!!!",F4063="NEW"),"",COUNTBLANK(OFFSET(A$1,,,SUMPRODUCT(MAX(ROW(E$2:E4063)*(E4063=E$2:E4063)))))-COUNTBLANK(OFFSET(A$1,,,SUMPRODUCT(MAX(ROW(E$1:E4062)*(E2=E$1:E4062))))))</f>
        <v> </v>
      </c>
      <c r="K4063" s="25" t="str">
        <f>IF(OR(E4063="",E4063="!!!",F4063="NEW"),"",INDEX(J$1:J4062,SUMPRODUCT(MAX(ROW(E$1:E4062)*(E4063=E$1:E4062)))))</f>
        <v> </v>
      </c>
      <c r="L4063" s="26"/>
    </row>
    <row r="4064" spans="1:12">
      <c r="A4064" s="20" t="s">
        <v>774</v>
      </c>
      <c r="E4064" s="21">
        <f>IF(D4064="?OLD","!!!","")</f>
        <v/>
      </c>
      <c r="F4064" s="22" t="str">
        <f>IF(OR(E4064="",E4064="!!!"),"",IF(NOT(ISNA(VLOOKUP(E4064,E$1:E4063,1,FALSE()))),"OLD",IF(AND(E4064&lt;&gt;"",E4064&lt;&gt;"!!!"),"NEW","")))</f>
        <v> </v>
      </c>
      <c r="G4064" s="23" t="str">
        <f>IF(OR(E4064="",E4064="!!!"),"",IF(OR(J4064=0,AND(J4064=1,K4064=1),AND(J4064=1,I4064="SBJ"),AND(J4064=1,I4064=0)),"?IN_FOCUS",IF(J4064&lt;=2,"?ACTIVATED",IF(J4064&lt;&gt;"","?FAMILIAR",IF(F4064="NEW",IF(ISNA(VLOOKUP(E4064,#REF!,1,FALSE())),"?TYPE_IDENTIFIABLE","?REFERENTIAL"),"_")))))</f>
        <v> </v>
      </c>
      <c r="H4064" s="24" t="str">
        <f>IF(J4064&lt;&gt;1,"",IF(I4064="SBJ","CB","?"))</f>
        <v> </v>
      </c>
      <c r="I4064" s="25" t="str">
        <f>IF(OR(E4064="",E4064="!!!",F4064="NEW"),"",INDEX(B4063:B$2,-1+SUMPRODUCT(MAX(ROW(E4063:E$2)*(E4064=E4063:E$2)))))</f>
        <v> </v>
      </c>
      <c r="J4064" s="25" t="str">
        <f>IF(OR(E4064="",E4064="!!!",F4064="NEW"),"",COUNTBLANK(OFFSET(A$1,,,SUMPRODUCT(MAX(ROW(E$2:E4064)*(E4064=E$2:E4064)))))-COUNTBLANK(OFFSET(A$1,,,SUMPRODUCT(MAX(ROW(E$1:E4063)*(E2=E$1:E4063))))))</f>
        <v> </v>
      </c>
      <c r="K4064" s="25" t="str">
        <f>IF(OR(E4064="",E4064="!!!",F4064="NEW"),"",INDEX(J$1:J4063,SUMPRODUCT(MAX(ROW(E$1:E4063)*(E4064=E$1:E4063)))))</f>
        <v> </v>
      </c>
      <c r="L4064" s="26"/>
    </row>
    <row r="4065" spans="1:12">
      <c r="A4065" s="20"/>
    </row>
    <row r="4066" spans="1:12">
      <c r="A4066" s="20" t="s">
        <v>1905</v>
      </c>
    </row>
    <row r="4067" spans="1:12">
      <c r="A4067" s="20" t="s">
        <v>1906</v>
      </c>
      <c r="B4067" s="27" t="s">
        <v>760</v>
      </c>
      <c r="E4067" s="21">
        <f>IF(D4067="?OLD","!!!","")</f>
        <v/>
      </c>
      <c r="F4067" s="22" t="str">
        <f>IF(OR(E4067="",E4067="!!!"),"",IF(NOT(ISNA(VLOOKUP(E4067,E$1:E4066,1,FALSE()))),"OLD",IF(AND(E4067&lt;&gt;"",E4067&lt;&gt;"!!!"),"NEW","")))</f>
        <v> </v>
      </c>
      <c r="G4067" s="23" t="str">
        <f>IF(OR(E4067="",E4067="!!!"),"",IF(OR(J4067=0,AND(J4067=1,K4067=1),AND(J4067=1,I4067="SBJ"),AND(J4067=1,I4067=0)),"?IN_FOCUS",IF(J4067&lt;=2,"?ACTIVATED",IF(J4067&lt;&gt;"","?FAMILIAR",IF(F4067="NEW",IF(ISNA(VLOOKUP(E4067,#REF!,1,FALSE())),"?TYPE_IDENTIFIABLE","?REFERENTIAL"),"_")))))</f>
        <v> </v>
      </c>
      <c r="H4067" s="24" t="str">
        <f>IF(J4067&lt;&gt;1,"",IF(I4067="SBJ","CB","?"))</f>
        <v> </v>
      </c>
      <c r="I4067" s="25" t="str">
        <f>IF(OR(E4067="",E4067="!!!",F4067="NEW"),"",INDEX(B4066:B$2,-1+SUMPRODUCT(MAX(ROW(E4066:E$2)*(E4067=E4066:E$2)))))</f>
        <v> </v>
      </c>
      <c r="J4067" s="25" t="str">
        <f>IF(OR(E4067="",E4067="!!!",F4067="NEW"),"",COUNTBLANK(OFFSET(A$1,,,SUMPRODUCT(MAX(ROW(E$2:E4067)*(E4067=E$2:E4067)))))-COUNTBLANK(OFFSET(A$1,,,SUMPRODUCT(MAX(ROW(E$1:E4066)*(E2=E$1:E4066))))))</f>
        <v> </v>
      </c>
      <c r="K4067" s="25" t="str">
        <f>IF(OR(E4067="",E4067="!!!",F4067="NEW"),"",INDEX(J$1:J4066,SUMPRODUCT(MAX(ROW(E$1:E4066)*(E4067=E$1:E4066)))))</f>
        <v> </v>
      </c>
      <c r="L4067" s="26"/>
    </row>
    <row r="4068" spans="1:12">
      <c r="A4068" s="20" t="s">
        <v>769</v>
      </c>
      <c r="E4068" s="21">
        <f>IF(D4068="?OLD","!!!","")</f>
        <v/>
      </c>
      <c r="F4068" s="22" t="str">
        <f>IF(OR(E4068="",E4068="!!!"),"",IF(NOT(ISNA(VLOOKUP(E4068,E$1:E4067,1,FALSE()))),"OLD",IF(AND(E4068&lt;&gt;"",E4068&lt;&gt;"!!!"),"NEW","")))</f>
        <v> </v>
      </c>
      <c r="G4068" s="23" t="str">
        <f>IF(OR(E4068="",E4068="!!!"),"",IF(OR(J4068=0,AND(J4068=1,K4068=1),AND(J4068=1,I4068="SBJ"),AND(J4068=1,I4068=0)),"?IN_FOCUS",IF(J4068&lt;=2,"?ACTIVATED",IF(J4068&lt;&gt;"","?FAMILIAR",IF(F4068="NEW",IF(ISNA(VLOOKUP(E4068,#REF!,1,FALSE())),"?TYPE_IDENTIFIABLE","?REFERENTIAL"),"_")))))</f>
        <v> </v>
      </c>
      <c r="H4068" s="24" t="str">
        <f>IF(J4068&lt;&gt;1,"",IF(I4068="SBJ","CB","?"))</f>
        <v> </v>
      </c>
      <c r="I4068" s="25" t="str">
        <f>IF(OR(E4068="",E4068="!!!",F4068="NEW"),"",INDEX(B4067:B$2,-1+SUMPRODUCT(MAX(ROW(E4067:E$2)*(E4068=E4067:E$2)))))</f>
        <v> </v>
      </c>
      <c r="J4068" s="25" t="str">
        <f>IF(OR(E4068="",E4068="!!!",F4068="NEW"),"",COUNTBLANK(OFFSET(A$1,,,SUMPRODUCT(MAX(ROW(E$2:E4068)*(E4068=E$2:E4068)))))-COUNTBLANK(OFFSET(A$1,,,SUMPRODUCT(MAX(ROW(E$1:E4067)*(E2=E$1:E4067))))))</f>
        <v> </v>
      </c>
      <c r="K4068" s="25" t="str">
        <f>IF(OR(E4068="",E4068="!!!",F4068="NEW"),"",INDEX(J$1:J4067,SUMPRODUCT(MAX(ROW(E$1:E4067)*(E4068=E$1:E4067)))))</f>
        <v> </v>
      </c>
      <c r="L4068" s="26"/>
    </row>
    <row r="4069" spans="1:12">
      <c r="A4069" s="20" t="s">
        <v>125</v>
      </c>
      <c r="B4069" s="27" t="s">
        <v>772</v>
      </c>
      <c r="C4069" s="27" t="s">
        <v>754</v>
      </c>
      <c r="E4069" s="21">
        <f>IF(D4069="?OLD","!!!","")</f>
        <v/>
      </c>
      <c r="F4069" s="22" t="str">
        <f>IF(OR(E4069="",E4069="!!!"),"",IF(NOT(ISNA(VLOOKUP(E4069,E$1:E4068,1,FALSE()))),"OLD",IF(AND(E4069&lt;&gt;"",E4069&lt;&gt;"!!!"),"NEW","")))</f>
        <v> </v>
      </c>
      <c r="G4069" s="23" t="str">
        <f>IF(OR(E4069="",E4069="!!!"),"",IF(OR(J4069=0,AND(J4069=1,K4069=1),AND(J4069=1,I4069="SBJ"),AND(J4069=1,I4069=0)),"?IN_FOCUS",IF(J4069&lt;=2,"?ACTIVATED",IF(J4069&lt;&gt;"","?FAMILIAR",IF(F4069="NEW",IF(ISNA(VLOOKUP(E4069,#REF!,1,FALSE())),"?TYPE_IDENTIFIABLE","?REFERENTIAL"),"_")))))</f>
        <v> </v>
      </c>
      <c r="H4069" s="24" t="str">
        <f>IF(J4069&lt;&gt;1,"",IF(I4069="SBJ","CB","?"))</f>
        <v> </v>
      </c>
      <c r="I4069" s="25" t="str">
        <f>IF(OR(E4069="",E4069="!!!",F4069="NEW"),"",INDEX(B4068:B$2,-1+SUMPRODUCT(MAX(ROW(E4068:E$2)*(E4069=E4068:E$2)))))</f>
        <v> </v>
      </c>
      <c r="J4069" s="25" t="str">
        <f>IF(OR(E4069="",E4069="!!!",F4069="NEW"),"",COUNTBLANK(OFFSET(A$1,,,SUMPRODUCT(MAX(ROW(E$2:E4069)*(E4069=E$2:E4069)))))-COUNTBLANK(OFFSET(A$1,,,SUMPRODUCT(MAX(ROW(E$1:E4068)*(E2=E$1:E4068))))))</f>
        <v> </v>
      </c>
      <c r="K4069" s="25" t="str">
        <f>IF(OR(E4069="",E4069="!!!",F4069="NEW"),"",INDEX(J$1:J4068,SUMPRODUCT(MAX(ROW(E$1:E4068)*(E4069=E$1:E4068)))))</f>
        <v> </v>
      </c>
      <c r="L4069" s="26"/>
    </row>
    <row r="4070" spans="1:12">
      <c r="A4070" s="20" t="s">
        <v>840</v>
      </c>
      <c r="E4070" s="21">
        <f>IF(D4070="?OLD","!!!","")</f>
        <v/>
      </c>
      <c r="F4070" s="22" t="str">
        <f>IF(OR(E4070="",E4070="!!!"),"",IF(NOT(ISNA(VLOOKUP(E4070,E$1:E4069,1,FALSE()))),"OLD",IF(AND(E4070&lt;&gt;"",E4070&lt;&gt;"!!!"),"NEW","")))</f>
        <v> </v>
      </c>
      <c r="G4070" s="23" t="str">
        <f>IF(OR(E4070="",E4070="!!!"),"",IF(OR(J4070=0,AND(J4070=1,K4070=1),AND(J4070=1,I4070="SBJ"),AND(J4070=1,I4070=0)),"?IN_FOCUS",IF(J4070&lt;=2,"?ACTIVATED",IF(J4070&lt;&gt;"","?FAMILIAR",IF(F4070="NEW",IF(ISNA(VLOOKUP(E4070,#REF!,1,FALSE())),"?TYPE_IDENTIFIABLE","?REFERENTIAL"),"_")))))</f>
        <v> </v>
      </c>
      <c r="H4070" s="24" t="str">
        <f>IF(J4070&lt;&gt;1,"",IF(I4070="SBJ","CB","?"))</f>
        <v> </v>
      </c>
      <c r="I4070" s="25" t="str">
        <f>IF(OR(E4070="",E4070="!!!",F4070="NEW"),"",INDEX(B4069:B$2,-1+SUMPRODUCT(MAX(ROW(E4069:E$2)*(E4070=E4069:E$2)))))</f>
        <v> </v>
      </c>
      <c r="J4070" s="25" t="str">
        <f>IF(OR(E4070="",E4070="!!!",F4070="NEW"),"",COUNTBLANK(OFFSET(A$1,,,SUMPRODUCT(MAX(ROW(E$2:E4070)*(E4070=E$2:E4070)))))-COUNTBLANK(OFFSET(A$1,,,SUMPRODUCT(MAX(ROW(E$1:E4069)*(E2=E$1:E4069))))))</f>
        <v> </v>
      </c>
      <c r="K4070" s="25" t="str">
        <f>IF(OR(E4070="",E4070="!!!",F4070="NEW"),"",INDEX(J$1:J4069,SUMPRODUCT(MAX(ROW(E$1:E4069)*(E4070=E$1:E4069)))))</f>
        <v> </v>
      </c>
      <c r="L4070" s="26"/>
    </row>
    <row r="4071" spans="1:12">
      <c r="A4071" s="20" t="s">
        <v>1907</v>
      </c>
      <c r="E4071" s="21">
        <f>IF(D4071="?OLD","!!!","")</f>
        <v/>
      </c>
      <c r="F4071" s="22" t="str">
        <f>IF(OR(E4071="",E4071="!!!"),"",IF(NOT(ISNA(VLOOKUP(E4071,E$1:E4070,1,FALSE()))),"OLD",IF(AND(E4071&lt;&gt;"",E4071&lt;&gt;"!!!"),"NEW","")))</f>
        <v> </v>
      </c>
      <c r="G4071" s="23" t="str">
        <f>IF(OR(E4071="",E4071="!!!"),"",IF(OR(J4071=0,AND(J4071=1,K4071=1),AND(J4071=1,I4071="SBJ"),AND(J4071=1,I4071=0)),"?IN_FOCUS",IF(J4071&lt;=2,"?ACTIVATED",IF(J4071&lt;&gt;"","?FAMILIAR",IF(F4071="NEW",IF(ISNA(VLOOKUP(E4071,#REF!,1,FALSE())),"?TYPE_IDENTIFIABLE","?REFERENTIAL"),"_")))))</f>
        <v> </v>
      </c>
      <c r="H4071" s="24" t="str">
        <f>IF(J4071&lt;&gt;1,"",IF(I4071="SBJ","CB","?"))</f>
        <v> </v>
      </c>
      <c r="I4071" s="25" t="str">
        <f>IF(OR(E4071="",E4071="!!!",F4071="NEW"),"",INDEX(B4070:B$2,-1+SUMPRODUCT(MAX(ROW(E4070:E$2)*(E4071=E4070:E$2)))))</f>
        <v> </v>
      </c>
      <c r="J4071" s="25" t="str">
        <f>IF(OR(E4071="",E4071="!!!",F4071="NEW"),"",COUNTBLANK(OFFSET(A$1,,,SUMPRODUCT(MAX(ROW(E$2:E4071)*(E4071=E$2:E4071)))))-COUNTBLANK(OFFSET(A$1,,,SUMPRODUCT(MAX(ROW(E$1:E4070)*(E2=E$1:E4070))))))</f>
        <v> </v>
      </c>
      <c r="K4071" s="25" t="str">
        <f>IF(OR(E4071="",E4071="!!!",F4071="NEW"),"",INDEX(J$1:J4070,SUMPRODUCT(MAX(ROW(E$1:E4070)*(E4071=E$1:E4070)))))</f>
        <v> </v>
      </c>
      <c r="L4071" s="26"/>
    </row>
    <row r="4072" spans="1:12">
      <c r="A4072" s="20" t="s">
        <v>810</v>
      </c>
      <c r="E4072" s="21">
        <f>IF(D4072="?OLD","!!!","")</f>
        <v/>
      </c>
      <c r="F4072" s="22" t="str">
        <f>IF(OR(E4072="",E4072="!!!"),"",IF(NOT(ISNA(VLOOKUP(E4072,E$1:E4071,1,FALSE()))),"OLD",IF(AND(E4072&lt;&gt;"",E4072&lt;&gt;"!!!"),"NEW","")))</f>
        <v> </v>
      </c>
      <c r="G4072" s="23" t="str">
        <f>IF(OR(E4072="",E4072="!!!"),"",IF(OR(J4072=0,AND(J4072=1,K4072=1),AND(J4072=1,I4072="SBJ"),AND(J4072=1,I4072=0)),"?IN_FOCUS",IF(J4072&lt;=2,"?ACTIVATED",IF(J4072&lt;&gt;"","?FAMILIAR",IF(F4072="NEW",IF(ISNA(VLOOKUP(E4072,#REF!,1,FALSE())),"?TYPE_IDENTIFIABLE","?REFERENTIAL"),"_")))))</f>
        <v> </v>
      </c>
      <c r="H4072" s="24" t="str">
        <f>IF(J4072&lt;&gt;1,"",IF(I4072="SBJ","CB","?"))</f>
        <v> </v>
      </c>
      <c r="I4072" s="25" t="str">
        <f>IF(OR(E4072="",E4072="!!!",F4072="NEW"),"",INDEX(B4071:B$2,-1+SUMPRODUCT(MAX(ROW(E4071:E$2)*(E4072=E4071:E$2)))))</f>
        <v> </v>
      </c>
      <c r="J4072" s="25" t="str">
        <f>IF(OR(E4072="",E4072="!!!",F4072="NEW"),"",COUNTBLANK(OFFSET(A$1,,,SUMPRODUCT(MAX(ROW(E$2:E4072)*(E4072=E$2:E4072)))))-COUNTBLANK(OFFSET(A$1,,,SUMPRODUCT(MAX(ROW(E$1:E4071)*(E2=E$1:E4071))))))</f>
        <v> </v>
      </c>
      <c r="K4072" s="25" t="str">
        <f>IF(OR(E4072="",E4072="!!!",F4072="NEW"),"",INDEX(J$1:J4071,SUMPRODUCT(MAX(ROW(E$1:E4071)*(E4072=E$1:E4071)))))</f>
        <v> </v>
      </c>
      <c r="L4072" s="26"/>
    </row>
    <row r="4073" spans="1:12">
      <c r="A4073" s="20" t="s">
        <v>1064</v>
      </c>
      <c r="E4073" s="21">
        <f>IF(D4073="?OLD","!!!","")</f>
        <v/>
      </c>
      <c r="F4073" s="22" t="str">
        <f>IF(OR(E4073="",E4073="!!!"),"",IF(NOT(ISNA(VLOOKUP(E4073,E$1:E4072,1,FALSE()))),"OLD",IF(AND(E4073&lt;&gt;"",E4073&lt;&gt;"!!!"),"NEW","")))</f>
        <v> </v>
      </c>
      <c r="G4073" s="23" t="str">
        <f>IF(OR(E4073="",E4073="!!!"),"",IF(OR(J4073=0,AND(J4073=1,K4073=1),AND(J4073=1,I4073="SBJ"),AND(J4073=1,I4073=0)),"?IN_FOCUS",IF(J4073&lt;=2,"?ACTIVATED",IF(J4073&lt;&gt;"","?FAMILIAR",IF(F4073="NEW",IF(ISNA(VLOOKUP(E4073,#REF!,1,FALSE())),"?TYPE_IDENTIFIABLE","?REFERENTIAL"),"_")))))</f>
        <v> </v>
      </c>
      <c r="H4073" s="24" t="str">
        <f>IF(J4073&lt;&gt;1,"",IF(I4073="SBJ","CB","?"))</f>
        <v> </v>
      </c>
      <c r="I4073" s="25" t="str">
        <f>IF(OR(E4073="",E4073="!!!",F4073="NEW"),"",INDEX(B4072:B$2,-1+SUMPRODUCT(MAX(ROW(E4072:E$2)*(E4073=E4072:E$2)))))</f>
        <v> </v>
      </c>
      <c r="J4073" s="25" t="str">
        <f>IF(OR(E4073="",E4073="!!!",F4073="NEW"),"",COUNTBLANK(OFFSET(A$1,,,SUMPRODUCT(MAX(ROW(E$2:E4073)*(E4073=E$2:E4073)))))-COUNTBLANK(OFFSET(A$1,,,SUMPRODUCT(MAX(ROW(E$1:E4072)*(E2=E$1:E4072))))))</f>
        <v> </v>
      </c>
      <c r="K4073" s="25" t="str">
        <f>IF(OR(E4073="",E4073="!!!",F4073="NEW"),"",INDEX(J$1:J4072,SUMPRODUCT(MAX(ROW(E$1:E4072)*(E4073=E$1:E4072)))))</f>
        <v> </v>
      </c>
      <c r="L4073" s="26"/>
    </row>
    <row r="4074" spans="1:12">
      <c r="A4074" s="20" t="s">
        <v>757</v>
      </c>
      <c r="E4074" s="21">
        <f>IF(D4074="?OLD","!!!","")</f>
        <v/>
      </c>
      <c r="F4074" s="22" t="str">
        <f>IF(OR(E4074="",E4074="!!!"),"",IF(NOT(ISNA(VLOOKUP(E4074,E$1:E4073,1,FALSE()))),"OLD",IF(AND(E4074&lt;&gt;"",E4074&lt;&gt;"!!!"),"NEW","")))</f>
        <v> </v>
      </c>
      <c r="G4074" s="23" t="str">
        <f>IF(OR(E4074="",E4074="!!!"),"",IF(OR(J4074=0,AND(J4074=1,K4074=1),AND(J4074=1,I4074="SBJ"),AND(J4074=1,I4074=0)),"?IN_FOCUS",IF(J4074&lt;=2,"?ACTIVATED",IF(J4074&lt;&gt;"","?FAMILIAR",IF(F4074="NEW",IF(ISNA(VLOOKUP(E4074,#REF!,1,FALSE())),"?TYPE_IDENTIFIABLE","?REFERENTIAL"),"_")))))</f>
        <v> </v>
      </c>
      <c r="H4074" s="24" t="str">
        <f>IF(J4074&lt;&gt;1,"",IF(I4074="SBJ","CB","?"))</f>
        <v> </v>
      </c>
      <c r="I4074" s="25" t="str">
        <f>IF(OR(E4074="",E4074="!!!",F4074="NEW"),"",INDEX(B4073:B$2,-1+SUMPRODUCT(MAX(ROW(E4073:E$2)*(E4074=E4073:E$2)))))</f>
        <v> </v>
      </c>
      <c r="J4074" s="25" t="str">
        <f>IF(OR(E4074="",E4074="!!!",F4074="NEW"),"",COUNTBLANK(OFFSET(A$1,,,SUMPRODUCT(MAX(ROW(E$2:E4074)*(E4074=E$2:E4074)))))-COUNTBLANK(OFFSET(A$1,,,SUMPRODUCT(MAX(ROW(E$1:E4073)*(E2=E$1:E4073))))))</f>
        <v> </v>
      </c>
      <c r="K4074" s="25" t="str">
        <f>IF(OR(E4074="",E4074="!!!",F4074="NEW"),"",INDEX(J$1:J4073,SUMPRODUCT(MAX(ROW(E$1:E4073)*(E4074=E$1:E4073)))))</f>
        <v> </v>
      </c>
      <c r="L4074" s="26"/>
    </row>
    <row r="4075" spans="1:12">
      <c r="A4075" s="20" t="s">
        <v>749</v>
      </c>
      <c r="E4075" s="21">
        <f>IF(D4075="?OLD","!!!","")</f>
        <v/>
      </c>
      <c r="F4075" s="22" t="str">
        <f>IF(OR(E4075="",E4075="!!!"),"",IF(NOT(ISNA(VLOOKUP(E4075,E$1:E4074,1,FALSE()))),"OLD",IF(AND(E4075&lt;&gt;"",E4075&lt;&gt;"!!!"),"NEW","")))</f>
        <v> </v>
      </c>
      <c r="G4075" s="23" t="str">
        <f>IF(OR(E4075="",E4075="!!!"),"",IF(OR(J4075=0,AND(J4075=1,K4075=1),AND(J4075=1,I4075="SBJ"),AND(J4075=1,I4075=0)),"?IN_FOCUS",IF(J4075&lt;=2,"?ACTIVATED",IF(J4075&lt;&gt;"","?FAMILIAR",IF(F4075="NEW",IF(ISNA(VLOOKUP(E4075,#REF!,1,FALSE())),"?TYPE_IDENTIFIABLE","?REFERENTIAL"),"_")))))</f>
        <v> </v>
      </c>
      <c r="H4075" s="24" t="str">
        <f>IF(J4075&lt;&gt;1,"",IF(I4075="SBJ","CB","?"))</f>
        <v> </v>
      </c>
      <c r="I4075" s="25" t="str">
        <f>IF(OR(E4075="",E4075="!!!",F4075="NEW"),"",INDEX(B4074:B$2,-1+SUMPRODUCT(MAX(ROW(E4074:E$2)*(E4075=E4074:E$2)))))</f>
        <v> </v>
      </c>
      <c r="J4075" s="25" t="str">
        <f>IF(OR(E4075="",E4075="!!!",F4075="NEW"),"",COUNTBLANK(OFFSET(A$1,,,SUMPRODUCT(MAX(ROW(E$2:E4075)*(E4075=E$2:E4075)))))-COUNTBLANK(OFFSET(A$1,,,SUMPRODUCT(MAX(ROW(E$1:E4074)*(E2=E$1:E4074))))))</f>
        <v> </v>
      </c>
      <c r="K4075" s="25" t="str">
        <f>IF(OR(E4075="",E4075="!!!",F4075="NEW"),"",INDEX(J$1:J4074,SUMPRODUCT(MAX(ROW(E$1:E4074)*(E4075=E$1:E4074)))))</f>
        <v> </v>
      </c>
      <c r="L4075" s="26"/>
    </row>
    <row r="4076" spans="1:12">
      <c r="A4076" s="20" t="s">
        <v>908</v>
      </c>
      <c r="E4076" s="21">
        <f>IF(D4076="?OLD","!!!","")</f>
        <v/>
      </c>
      <c r="F4076" s="22" t="str">
        <f>IF(OR(E4076="",E4076="!!!"),"",IF(NOT(ISNA(VLOOKUP(E4076,E$1:E4075,1,FALSE()))),"OLD",IF(AND(E4076&lt;&gt;"",E4076&lt;&gt;"!!!"),"NEW","")))</f>
        <v> </v>
      </c>
      <c r="G4076" s="23" t="str">
        <f>IF(OR(E4076="",E4076="!!!"),"",IF(OR(J4076=0,AND(J4076=1,K4076=1),AND(J4076=1,I4076="SBJ"),AND(J4076=1,I4076=0)),"?IN_FOCUS",IF(J4076&lt;=2,"?ACTIVATED",IF(J4076&lt;&gt;"","?FAMILIAR",IF(F4076="NEW",IF(ISNA(VLOOKUP(E4076,#REF!,1,FALSE())),"?TYPE_IDENTIFIABLE","?REFERENTIAL"),"_")))))</f>
        <v> </v>
      </c>
      <c r="H4076" s="24" t="str">
        <f>IF(J4076&lt;&gt;1,"",IF(I4076="SBJ","CB","?"))</f>
        <v> </v>
      </c>
      <c r="I4076" s="25" t="str">
        <f>IF(OR(E4076="",E4076="!!!",F4076="NEW"),"",INDEX(B4075:B$2,-1+SUMPRODUCT(MAX(ROW(E4075:E$2)*(E4076=E4075:E$2)))))</f>
        <v> </v>
      </c>
      <c r="J4076" s="25" t="str">
        <f>IF(OR(E4076="",E4076="!!!",F4076="NEW"),"",COUNTBLANK(OFFSET(A$1,,,SUMPRODUCT(MAX(ROW(E$2:E4076)*(E4076=E$2:E4076)))))-COUNTBLANK(OFFSET(A$1,,,SUMPRODUCT(MAX(ROW(E$1:E4075)*(E2=E$1:E4075))))))</f>
        <v> </v>
      </c>
      <c r="K4076" s="25" t="str">
        <f>IF(OR(E4076="",E4076="!!!",F4076="NEW"),"",INDEX(J$1:J4075,SUMPRODUCT(MAX(ROW(E$1:E4075)*(E4076=E$1:E4075)))))</f>
        <v> </v>
      </c>
      <c r="L4076" s="26"/>
    </row>
    <row r="4077" spans="1:12">
      <c r="A4077" s="20" t="s">
        <v>855</v>
      </c>
      <c r="E4077" s="21">
        <f>IF(D4077="?OLD","!!!","")</f>
        <v/>
      </c>
      <c r="F4077" s="22" t="str">
        <f>IF(OR(E4077="",E4077="!!!"),"",IF(NOT(ISNA(VLOOKUP(E4077,E$1:E4076,1,FALSE()))),"OLD",IF(AND(E4077&lt;&gt;"",E4077&lt;&gt;"!!!"),"NEW","")))</f>
        <v> </v>
      </c>
      <c r="G4077" s="23" t="str">
        <f>IF(OR(E4077="",E4077="!!!"),"",IF(OR(J4077=0,AND(J4077=1,K4077=1),AND(J4077=1,I4077="SBJ"),AND(J4077=1,I4077=0)),"?IN_FOCUS",IF(J4077&lt;=2,"?ACTIVATED",IF(J4077&lt;&gt;"","?FAMILIAR",IF(F4077="NEW",IF(ISNA(VLOOKUP(E4077,#REF!,1,FALSE())),"?TYPE_IDENTIFIABLE","?REFERENTIAL"),"_")))))</f>
        <v> </v>
      </c>
      <c r="H4077" s="24" t="str">
        <f>IF(J4077&lt;&gt;1,"",IF(I4077="SBJ","CB","?"))</f>
        <v> </v>
      </c>
      <c r="I4077" s="25" t="str">
        <f>IF(OR(E4077="",E4077="!!!",F4077="NEW"),"",INDEX(B4076:B$2,-1+SUMPRODUCT(MAX(ROW(E4076:E$2)*(E4077=E4076:E$2)))))</f>
        <v> </v>
      </c>
      <c r="J4077" s="25" t="str">
        <f>IF(OR(E4077="",E4077="!!!",F4077="NEW"),"",COUNTBLANK(OFFSET(A$1,,,SUMPRODUCT(MAX(ROW(E$2:E4077)*(E4077=E$2:E4077)))))-COUNTBLANK(OFFSET(A$1,,,SUMPRODUCT(MAX(ROW(E$1:E4076)*(E2=E$1:E4076))))))</f>
        <v> </v>
      </c>
      <c r="K4077" s="25" t="str">
        <f>IF(OR(E4077="",E4077="!!!",F4077="NEW"),"",INDEX(J$1:J4076,SUMPRODUCT(MAX(ROW(E$1:E4076)*(E4077=E$1:E4076)))))</f>
        <v> </v>
      </c>
      <c r="L4077" s="26"/>
    </row>
    <row r="4078" spans="1:12">
      <c r="A4078" s="20" t="s">
        <v>1908</v>
      </c>
      <c r="E4078" s="21">
        <f>IF(D4078="?OLD","!!!","")</f>
        <v/>
      </c>
      <c r="F4078" s="22" t="str">
        <f>IF(OR(E4078="",E4078="!!!"),"",IF(NOT(ISNA(VLOOKUP(E4078,E$1:E4077,1,FALSE()))),"OLD",IF(AND(E4078&lt;&gt;"",E4078&lt;&gt;"!!!"),"NEW","")))</f>
        <v> </v>
      </c>
      <c r="G4078" s="23" t="str">
        <f>IF(OR(E4078="",E4078="!!!"),"",IF(OR(J4078=0,AND(J4078=1,K4078=1),AND(J4078=1,I4078="SBJ"),AND(J4078=1,I4078=0)),"?IN_FOCUS",IF(J4078&lt;=2,"?ACTIVATED",IF(J4078&lt;&gt;"","?FAMILIAR",IF(F4078="NEW",IF(ISNA(VLOOKUP(E4078,#REF!,1,FALSE())),"?TYPE_IDENTIFIABLE","?REFERENTIAL"),"_")))))</f>
        <v> </v>
      </c>
      <c r="H4078" s="24" t="str">
        <f>IF(J4078&lt;&gt;1,"",IF(I4078="SBJ","CB","?"))</f>
        <v> </v>
      </c>
      <c r="I4078" s="25" t="str">
        <f>IF(OR(E4078="",E4078="!!!",F4078="NEW"),"",INDEX(B4077:B$2,-1+SUMPRODUCT(MAX(ROW(E4077:E$2)*(E4078=E4077:E$2)))))</f>
        <v> </v>
      </c>
      <c r="J4078" s="25" t="str">
        <f>IF(OR(E4078="",E4078="!!!",F4078="NEW"),"",COUNTBLANK(OFFSET(A$1,,,SUMPRODUCT(MAX(ROW(E$2:E4078)*(E4078=E$2:E4078)))))-COUNTBLANK(OFFSET(A$1,,,SUMPRODUCT(MAX(ROW(E$1:E4077)*(E2=E$1:E4077))))))</f>
        <v> </v>
      </c>
      <c r="K4078" s="25" t="str">
        <f>IF(OR(E4078="",E4078="!!!",F4078="NEW"),"",INDEX(J$1:J4077,SUMPRODUCT(MAX(ROW(E$1:E4077)*(E4078=E$1:E4077)))))</f>
        <v> </v>
      </c>
      <c r="L4078" s="26"/>
    </row>
    <row r="4079" spans="1:12">
      <c r="A4079" s="20" t="s">
        <v>1909</v>
      </c>
      <c r="B4079" s="27" t="s">
        <v>796</v>
      </c>
      <c r="C4079" s="27" t="s">
        <v>797</v>
      </c>
      <c r="D4079" s="27" t="s">
        <v>762</v>
      </c>
      <c r="E4079" s="21">
        <f>IF(D4079="?OLD","!!!","")</f>
        <v/>
      </c>
      <c r="F4079" s="22" t="str">
        <f>IF(OR(E4079="",E4079="!!!"),"",IF(NOT(ISNA(VLOOKUP(E4079,E$1:E4078,1,FALSE()))),"OLD",IF(AND(E4079&lt;&gt;"",E4079&lt;&gt;"!!!"),"NEW","")))</f>
        <v> </v>
      </c>
      <c r="G4079" s="23" t="str">
        <f>IF(OR(E4079="",E4079="!!!"),"",IF(OR(J4079=0,AND(J4079=1,K4079=1),AND(J4079=1,I4079="SBJ"),AND(J4079=1,I4079=0)),"?IN_FOCUS",IF(J4079&lt;=2,"?ACTIVATED",IF(J4079&lt;&gt;"","?FAMILIAR",IF(F4079="NEW",IF(ISNA(VLOOKUP(E4079,#REF!,1,FALSE())),"?TYPE_IDENTIFIABLE","?REFERENTIAL"),"_")))))</f>
        <v> </v>
      </c>
      <c r="H4079" s="24" t="str">
        <f>IF(J4079&lt;&gt;1,"",IF(I4079="SBJ","CB","?"))</f>
        <v> </v>
      </c>
      <c r="I4079" s="25" t="str">
        <f>IF(OR(E4079="",E4079="!!!",F4079="NEW"),"",INDEX(B4078:B$2,-1+SUMPRODUCT(MAX(ROW(E4078:E$2)*(E4079=E4078:E$2)))))</f>
        <v> </v>
      </c>
      <c r="J4079" s="25" t="str">
        <f>IF(OR(E4079="",E4079="!!!",F4079="NEW"),"",COUNTBLANK(OFFSET(A$1,,,SUMPRODUCT(MAX(ROW(E$2:E4079)*(E4079=E$2:E4079)))))-COUNTBLANK(OFFSET(A$1,,,SUMPRODUCT(MAX(ROW(E$1:E4078)*(E2=E$1:E4078))))))</f>
        <v> </v>
      </c>
      <c r="K4079" s="25" t="str">
        <f>IF(OR(E4079="",E4079="!!!",F4079="NEW"),"",INDEX(J$1:J4078,SUMPRODUCT(MAX(ROW(E$1:E4078)*(E4079=E$1:E4078)))))</f>
        <v> </v>
      </c>
      <c r="L4079" s="26"/>
    </row>
    <row r="4080" spans="1:12">
      <c r="A4080" s="20" t="s">
        <v>602</v>
      </c>
      <c r="E4080" s="21">
        <f>IF(D4080="?OLD","!!!","")</f>
        <v/>
      </c>
      <c r="F4080" s="22" t="str">
        <f>IF(OR(E4080="",E4080="!!!"),"",IF(NOT(ISNA(VLOOKUP(E4080,E$1:E4079,1,FALSE()))),"OLD",IF(AND(E4080&lt;&gt;"",E4080&lt;&gt;"!!!"),"NEW","")))</f>
        <v> </v>
      </c>
      <c r="G4080" s="23" t="str">
        <f>IF(OR(E4080="",E4080="!!!"),"",IF(OR(J4080=0,AND(J4080=1,K4080=1),AND(J4080=1,I4080="SBJ"),AND(J4080=1,I4080=0)),"?IN_FOCUS",IF(J4080&lt;=2,"?ACTIVATED",IF(J4080&lt;&gt;"","?FAMILIAR",IF(F4080="NEW",IF(ISNA(VLOOKUP(E4080,#REF!,1,FALSE())),"?TYPE_IDENTIFIABLE","?REFERENTIAL"),"_")))))</f>
        <v> </v>
      </c>
      <c r="H4080" s="24" t="str">
        <f>IF(J4080&lt;&gt;1,"",IF(I4080="SBJ","CB","?"))</f>
        <v> </v>
      </c>
      <c r="I4080" s="25" t="str">
        <f>IF(OR(E4080="",E4080="!!!",F4080="NEW"),"",INDEX(B4079:B$2,-1+SUMPRODUCT(MAX(ROW(E4079:E$2)*(E4080=E4079:E$2)))))</f>
        <v> </v>
      </c>
      <c r="J4080" s="25" t="str">
        <f>IF(OR(E4080="",E4080="!!!",F4080="NEW"),"",COUNTBLANK(OFFSET(A$1,,,SUMPRODUCT(MAX(ROW(E$2:E4080)*(E4080=E$2:E4080)))))-COUNTBLANK(OFFSET(A$1,,,SUMPRODUCT(MAX(ROW(E$1:E4079)*(E2=E$1:E4079))))))</f>
        <v> </v>
      </c>
      <c r="K4080" s="25" t="str">
        <f>IF(OR(E4080="",E4080="!!!",F4080="NEW"),"",INDEX(J$1:J4079,SUMPRODUCT(MAX(ROW(E$1:E4079)*(E4080=E$1:E4079)))))</f>
        <v> </v>
      </c>
      <c r="L4080" s="26"/>
    </row>
    <row r="4081" spans="1:12">
      <c r="A4081" s="20" t="s">
        <v>805</v>
      </c>
      <c r="E4081" s="21">
        <f>IF(D4081="?OLD","!!!","")</f>
        <v/>
      </c>
      <c r="F4081" s="22" t="str">
        <f>IF(OR(E4081="",E4081="!!!"),"",IF(NOT(ISNA(VLOOKUP(E4081,E$1:E4080,1,FALSE()))),"OLD",IF(AND(E4081&lt;&gt;"",E4081&lt;&gt;"!!!"),"NEW","")))</f>
        <v> </v>
      </c>
      <c r="G4081" s="23" t="str">
        <f>IF(OR(E4081="",E4081="!!!"),"",IF(OR(J4081=0,AND(J4081=1,K4081=1),AND(J4081=1,I4081="SBJ"),AND(J4081=1,I4081=0)),"?IN_FOCUS",IF(J4081&lt;=2,"?ACTIVATED",IF(J4081&lt;&gt;"","?FAMILIAR",IF(F4081="NEW",IF(ISNA(VLOOKUP(E4081,#REF!,1,FALSE())),"?TYPE_IDENTIFIABLE","?REFERENTIAL"),"_")))))</f>
        <v> </v>
      </c>
      <c r="H4081" s="24" t="str">
        <f>IF(J4081&lt;&gt;1,"",IF(I4081="SBJ","CB","?"))</f>
        <v> </v>
      </c>
      <c r="I4081" s="25" t="str">
        <f>IF(OR(E4081="",E4081="!!!",F4081="NEW"),"",INDEX(B4080:B$2,-1+SUMPRODUCT(MAX(ROW(E4080:E$2)*(E4081=E4080:E$2)))))</f>
        <v> </v>
      </c>
      <c r="J4081" s="25" t="str">
        <f>IF(OR(E4081="",E4081="!!!",F4081="NEW"),"",COUNTBLANK(OFFSET(A$1,,,SUMPRODUCT(MAX(ROW(E$2:E4081)*(E4081=E$2:E4081)))))-COUNTBLANK(OFFSET(A$1,,,SUMPRODUCT(MAX(ROW(E$1:E4080)*(E2=E$1:E4080))))))</f>
        <v> </v>
      </c>
      <c r="K4081" s="25" t="str">
        <f>IF(OR(E4081="",E4081="!!!",F4081="NEW"),"",INDEX(J$1:J4080,SUMPRODUCT(MAX(ROW(E$1:E4080)*(E4081=E$1:E4080)))))</f>
        <v> </v>
      </c>
      <c r="L4081" s="26"/>
    </row>
    <row r="4082" spans="1:12">
      <c r="A4082" s="20" t="s">
        <v>129</v>
      </c>
      <c r="E4082" s="21">
        <f>IF(D4082="?OLD","!!!","")</f>
        <v/>
      </c>
      <c r="F4082" s="22" t="str">
        <f>IF(OR(E4082="",E4082="!!!"),"",IF(NOT(ISNA(VLOOKUP(E4082,E$1:E4081,1,FALSE()))),"OLD",IF(AND(E4082&lt;&gt;"",E4082&lt;&gt;"!!!"),"NEW","")))</f>
        <v> </v>
      </c>
      <c r="G4082" s="23" t="str">
        <f>IF(OR(E4082="",E4082="!!!"),"",IF(OR(J4082=0,AND(J4082=1,K4082=1),AND(J4082=1,I4082="SBJ"),AND(J4082=1,I4082=0)),"?IN_FOCUS",IF(J4082&lt;=2,"?ACTIVATED",IF(J4082&lt;&gt;"","?FAMILIAR",IF(F4082="NEW",IF(ISNA(VLOOKUP(E4082,#REF!,1,FALSE())),"?TYPE_IDENTIFIABLE","?REFERENTIAL"),"_")))))</f>
        <v> </v>
      </c>
      <c r="H4082" s="24" t="str">
        <f>IF(J4082&lt;&gt;1,"",IF(I4082="SBJ","CB","?"))</f>
        <v> </v>
      </c>
      <c r="I4082" s="25" t="str">
        <f>IF(OR(E4082="",E4082="!!!",F4082="NEW"),"",INDEX(B4081:B$2,-1+SUMPRODUCT(MAX(ROW(E4081:E$2)*(E4082=E4081:E$2)))))</f>
        <v> </v>
      </c>
      <c r="J4082" s="25" t="str">
        <f>IF(OR(E4082="",E4082="!!!",F4082="NEW"),"",COUNTBLANK(OFFSET(A$1,,,SUMPRODUCT(MAX(ROW(E$2:E4082)*(E4082=E$2:E4082)))))-COUNTBLANK(OFFSET(A$1,,,SUMPRODUCT(MAX(ROW(E$1:E4081)*(E2=E$1:E4081))))))</f>
        <v> </v>
      </c>
      <c r="K4082" s="25" t="str">
        <f>IF(OR(E4082="",E4082="!!!",F4082="NEW"),"",INDEX(J$1:J4081,SUMPRODUCT(MAX(ROW(E$1:E4081)*(E4082=E$1:E4081)))))</f>
        <v> </v>
      </c>
      <c r="L4082" s="26"/>
    </row>
    <row r="4083" spans="1:12">
      <c r="A4083" s="20" t="s">
        <v>769</v>
      </c>
      <c r="E4083" s="21">
        <f>IF(D4083="?OLD","!!!","")</f>
        <v/>
      </c>
      <c r="F4083" s="22" t="str">
        <f>IF(OR(E4083="",E4083="!!!"),"",IF(NOT(ISNA(VLOOKUP(E4083,E$1:E4082,1,FALSE()))),"OLD",IF(AND(E4083&lt;&gt;"",E4083&lt;&gt;"!!!"),"NEW","")))</f>
        <v> </v>
      </c>
      <c r="G4083" s="23" t="str">
        <f>IF(OR(E4083="",E4083="!!!"),"",IF(OR(J4083=0,AND(J4083=1,K4083=1),AND(J4083=1,I4083="SBJ"),AND(J4083=1,I4083=0)),"?IN_FOCUS",IF(J4083&lt;=2,"?ACTIVATED",IF(J4083&lt;&gt;"","?FAMILIAR",IF(F4083="NEW",IF(ISNA(VLOOKUP(E4083,#REF!,1,FALSE())),"?TYPE_IDENTIFIABLE","?REFERENTIAL"),"_")))))</f>
        <v> </v>
      </c>
      <c r="H4083" s="24" t="str">
        <f>IF(J4083&lt;&gt;1,"",IF(I4083="SBJ","CB","?"))</f>
        <v> </v>
      </c>
      <c r="I4083" s="25" t="str">
        <f>IF(OR(E4083="",E4083="!!!",F4083="NEW"),"",INDEX(B4082:B$2,-1+SUMPRODUCT(MAX(ROW(E4082:E$2)*(E4083=E4082:E$2)))))</f>
        <v> </v>
      </c>
      <c r="J4083" s="25" t="str">
        <f>IF(OR(E4083="",E4083="!!!",F4083="NEW"),"",COUNTBLANK(OFFSET(A$1,,,SUMPRODUCT(MAX(ROW(E$2:E4083)*(E4083=E$2:E4083)))))-COUNTBLANK(OFFSET(A$1,,,SUMPRODUCT(MAX(ROW(E$1:E4082)*(E2=E$1:E4082))))))</f>
        <v> </v>
      </c>
      <c r="K4083" s="25" t="str">
        <f>IF(OR(E4083="",E4083="!!!",F4083="NEW"),"",INDEX(J$1:J4082,SUMPRODUCT(MAX(ROW(E$1:E4082)*(E4083=E$1:E4082)))))</f>
        <v> </v>
      </c>
      <c r="L4083" s="26"/>
    </row>
    <row r="4084" spans="1:12">
      <c r="A4084" s="20" t="s">
        <v>838</v>
      </c>
      <c r="E4084" s="21">
        <f>IF(D4084="?OLD","!!!","")</f>
        <v/>
      </c>
      <c r="F4084" s="22" t="str">
        <f>IF(OR(E4084="",E4084="!!!"),"",IF(NOT(ISNA(VLOOKUP(E4084,E$1:E4083,1,FALSE()))),"OLD",IF(AND(E4084&lt;&gt;"",E4084&lt;&gt;"!!!"),"NEW","")))</f>
        <v> </v>
      </c>
      <c r="G4084" s="23" t="str">
        <f>IF(OR(E4084="",E4084="!!!"),"",IF(OR(J4084=0,AND(J4084=1,K4084=1),AND(J4084=1,I4084="SBJ"),AND(J4084=1,I4084=0)),"?IN_FOCUS",IF(J4084&lt;=2,"?ACTIVATED",IF(J4084&lt;&gt;"","?FAMILIAR",IF(F4084="NEW",IF(ISNA(VLOOKUP(E4084,#REF!,1,FALSE())),"?TYPE_IDENTIFIABLE","?REFERENTIAL"),"_")))))</f>
        <v> </v>
      </c>
      <c r="H4084" s="24" t="str">
        <f>IF(J4084&lt;&gt;1,"",IF(I4084="SBJ","CB","?"))</f>
        <v> </v>
      </c>
      <c r="I4084" s="25" t="str">
        <f>IF(OR(E4084="",E4084="!!!",F4084="NEW"),"",INDEX(B4083:B$2,-1+SUMPRODUCT(MAX(ROW(E4083:E$2)*(E4084=E4083:E$2)))))</f>
        <v> </v>
      </c>
      <c r="J4084" s="25" t="str">
        <f>IF(OR(E4084="",E4084="!!!",F4084="NEW"),"",COUNTBLANK(OFFSET(A$1,,,SUMPRODUCT(MAX(ROW(E$2:E4084)*(E4084=E$2:E4084)))))-COUNTBLANK(OFFSET(A$1,,,SUMPRODUCT(MAX(ROW(E$1:E4083)*(E2=E$1:E4083))))))</f>
        <v> </v>
      </c>
      <c r="K4084" s="25" t="str">
        <f>IF(OR(E4084="",E4084="!!!",F4084="NEW"),"",INDEX(J$1:J4083,SUMPRODUCT(MAX(ROW(E$1:E4083)*(E4084=E$1:E4083)))))</f>
        <v> </v>
      </c>
      <c r="L4084" s="26"/>
    </row>
    <row r="4085" spans="1:12">
      <c r="A4085" s="20" t="s">
        <v>943</v>
      </c>
      <c r="B4085" s="27" t="s">
        <v>901</v>
      </c>
      <c r="C4085" s="27" t="s">
        <v>761</v>
      </c>
      <c r="D4085" s="27" t="s">
        <v>762</v>
      </c>
      <c r="E4085" s="21">
        <f>IF(D4085="?OLD","!!!","")</f>
        <v/>
      </c>
      <c r="F4085" s="22" t="str">
        <f>IF(OR(E4085="",E4085="!!!"),"",IF(NOT(ISNA(VLOOKUP(E4085,E$1:E4084,1,FALSE()))),"OLD",IF(AND(E4085&lt;&gt;"",E4085&lt;&gt;"!!!"),"NEW","")))</f>
        <v> </v>
      </c>
      <c r="G4085" s="23" t="str">
        <f>IF(OR(E4085="",E4085="!!!"),"",IF(OR(J4085=0,AND(J4085=1,K4085=1),AND(J4085=1,I4085="SBJ"),AND(J4085=1,I4085=0)),"?IN_FOCUS",IF(J4085&lt;=2,"?ACTIVATED",IF(J4085&lt;&gt;"","?FAMILIAR",IF(F4085="NEW",IF(ISNA(VLOOKUP(E4085,#REF!,1,FALSE())),"?TYPE_IDENTIFIABLE","?REFERENTIAL"),"_")))))</f>
        <v> </v>
      </c>
      <c r="H4085" s="24" t="str">
        <f>IF(J4085&lt;&gt;1,"",IF(I4085="SBJ","CB","?"))</f>
        <v> </v>
      </c>
      <c r="I4085" s="25" t="str">
        <f>IF(OR(E4085="",E4085="!!!",F4085="NEW"),"",INDEX(B4084:B$2,-1+SUMPRODUCT(MAX(ROW(E4084:E$2)*(E4085=E4084:E$2)))))</f>
        <v> </v>
      </c>
      <c r="J4085" s="25" t="str">
        <f>IF(OR(E4085="",E4085="!!!",F4085="NEW"),"",COUNTBLANK(OFFSET(A$1,,,SUMPRODUCT(MAX(ROW(E$2:E4085)*(E4085=E$2:E4085)))))-COUNTBLANK(OFFSET(A$1,,,SUMPRODUCT(MAX(ROW(E$1:E4084)*(E2=E$1:E4084))))))</f>
        <v> </v>
      </c>
      <c r="K4085" s="25" t="str">
        <f>IF(OR(E4085="",E4085="!!!",F4085="NEW"),"",INDEX(J$1:J4084,SUMPRODUCT(MAX(ROW(E$1:E4084)*(E4085=E$1:E4084)))))</f>
        <v> </v>
      </c>
      <c r="L4085" s="26"/>
    </row>
    <row r="4086" spans="1:12">
      <c r="A4086" s="20" t="s">
        <v>1031</v>
      </c>
      <c r="E4086" s="21">
        <f>IF(D4086="?OLD","!!!","")</f>
        <v/>
      </c>
      <c r="F4086" s="22" t="str">
        <f>IF(OR(E4086="",E4086="!!!"),"",IF(NOT(ISNA(VLOOKUP(E4086,E$1:E4085,1,FALSE()))),"OLD",IF(AND(E4086&lt;&gt;"",E4086&lt;&gt;"!!!"),"NEW","")))</f>
        <v> </v>
      </c>
      <c r="G4086" s="23" t="str">
        <f>IF(OR(E4086="",E4086="!!!"),"",IF(OR(J4086=0,AND(J4086=1,K4086=1),AND(J4086=1,I4086="SBJ"),AND(J4086=1,I4086=0)),"?IN_FOCUS",IF(J4086&lt;=2,"?ACTIVATED",IF(J4086&lt;&gt;"","?FAMILIAR",IF(F4086="NEW",IF(ISNA(VLOOKUP(E4086,#REF!,1,FALSE())),"?TYPE_IDENTIFIABLE","?REFERENTIAL"),"_")))))</f>
        <v> </v>
      </c>
      <c r="H4086" s="24" t="str">
        <f>IF(J4086&lt;&gt;1,"",IF(I4086="SBJ","CB","?"))</f>
        <v> </v>
      </c>
      <c r="I4086" s="25" t="str">
        <f>IF(OR(E4086="",E4086="!!!",F4086="NEW"),"",INDEX(B4085:B$2,-1+SUMPRODUCT(MAX(ROW(E4085:E$2)*(E4086=E4085:E$2)))))</f>
        <v> </v>
      </c>
      <c r="J4086" s="25" t="str">
        <f>IF(OR(E4086="",E4086="!!!",F4086="NEW"),"",COUNTBLANK(OFFSET(A$1,,,SUMPRODUCT(MAX(ROW(E$2:E4086)*(E4086=E$2:E4086)))))-COUNTBLANK(OFFSET(A$1,,,SUMPRODUCT(MAX(ROW(E$1:E4085)*(E2=E$1:E4085))))))</f>
        <v> </v>
      </c>
      <c r="K4086" s="25" t="str">
        <f>IF(OR(E4086="",E4086="!!!",F4086="NEW"),"",INDEX(J$1:J4085,SUMPRODUCT(MAX(ROW(E$1:E4085)*(E4086=E$1:E4085)))))</f>
        <v> </v>
      </c>
      <c r="L4086" s="26"/>
    </row>
    <row r="4087" spans="1:12">
      <c r="A4087" s="20" t="s">
        <v>793</v>
      </c>
      <c r="E4087" s="21">
        <f>IF(D4087="?OLD","!!!","")</f>
        <v/>
      </c>
      <c r="F4087" s="22" t="str">
        <f>IF(OR(E4087="",E4087="!!!"),"",IF(NOT(ISNA(VLOOKUP(E4087,E$1:E4086,1,FALSE()))),"OLD",IF(AND(E4087&lt;&gt;"",E4087&lt;&gt;"!!!"),"NEW","")))</f>
        <v> </v>
      </c>
      <c r="G4087" s="23" t="str">
        <f>IF(OR(E4087="",E4087="!!!"),"",IF(OR(J4087=0,AND(J4087=1,K4087=1),AND(J4087=1,I4087="SBJ"),AND(J4087=1,I4087=0)),"?IN_FOCUS",IF(J4087&lt;=2,"?ACTIVATED",IF(J4087&lt;&gt;"","?FAMILIAR",IF(F4087="NEW",IF(ISNA(VLOOKUP(E4087,#REF!,1,FALSE())),"?TYPE_IDENTIFIABLE","?REFERENTIAL"),"_")))))</f>
        <v> </v>
      </c>
      <c r="H4087" s="24" t="str">
        <f>IF(J4087&lt;&gt;1,"",IF(I4087="SBJ","CB","?"))</f>
        <v> </v>
      </c>
      <c r="I4087" s="25" t="str">
        <f>IF(OR(E4087="",E4087="!!!",F4087="NEW"),"",INDEX(B4086:B$2,-1+SUMPRODUCT(MAX(ROW(E4086:E$2)*(E4087=E4086:E$2)))))</f>
        <v> </v>
      </c>
      <c r="J4087" s="25" t="str">
        <f>IF(OR(E4087="",E4087="!!!",F4087="NEW"),"",COUNTBLANK(OFFSET(A$1,,,SUMPRODUCT(MAX(ROW(E$2:E4087)*(E4087=E$2:E4087)))))-COUNTBLANK(OFFSET(A$1,,,SUMPRODUCT(MAX(ROW(E$1:E4086)*(E2=E$1:E4086))))))</f>
        <v> </v>
      </c>
      <c r="K4087" s="25" t="str">
        <f>IF(OR(E4087="",E4087="!!!",F4087="NEW"),"",INDEX(J$1:J4086,SUMPRODUCT(MAX(ROW(E$1:E4086)*(E4087=E$1:E4086)))))</f>
        <v> </v>
      </c>
      <c r="L4087" s="26"/>
    </row>
    <row r="4088" spans="1:12">
      <c r="A4088" s="20" t="s">
        <v>950</v>
      </c>
      <c r="B4088" s="27" t="s">
        <v>956</v>
      </c>
      <c r="C4088" s="27" t="s">
        <v>797</v>
      </c>
      <c r="D4088" s="27" t="s">
        <v>762</v>
      </c>
      <c r="E4088" s="21">
        <f>IF(D4088="?OLD","!!!","")</f>
        <v/>
      </c>
      <c r="F4088" s="22" t="str">
        <f>IF(OR(E4088="",E4088="!!!"),"",IF(NOT(ISNA(VLOOKUP(E4088,E$1:E4087,1,FALSE()))),"OLD",IF(AND(E4088&lt;&gt;"",E4088&lt;&gt;"!!!"),"NEW","")))</f>
        <v> </v>
      </c>
      <c r="G4088" s="23" t="str">
        <f>IF(OR(E4088="",E4088="!!!"),"",IF(OR(J4088=0,AND(J4088=1,K4088=1),AND(J4088=1,I4088="SBJ"),AND(J4088=1,I4088=0)),"?IN_FOCUS",IF(J4088&lt;=2,"?ACTIVATED",IF(J4088&lt;&gt;"","?FAMILIAR",IF(F4088="NEW",IF(ISNA(VLOOKUP(E4088,#REF!,1,FALSE())),"?TYPE_IDENTIFIABLE","?REFERENTIAL"),"_")))))</f>
        <v> </v>
      </c>
      <c r="H4088" s="24" t="str">
        <f>IF(J4088&lt;&gt;1,"",IF(I4088="SBJ","CB","?"))</f>
        <v> </v>
      </c>
      <c r="I4088" s="25" t="str">
        <f>IF(OR(E4088="",E4088="!!!",F4088="NEW"),"",INDEX(B4087:B$2,-1+SUMPRODUCT(MAX(ROW(E4087:E$2)*(E4088=E4087:E$2)))))</f>
        <v> </v>
      </c>
      <c r="J4088" s="25" t="str">
        <f>IF(OR(E4088="",E4088="!!!",F4088="NEW"),"",COUNTBLANK(OFFSET(A$1,,,SUMPRODUCT(MAX(ROW(E$2:E4088)*(E4088=E$2:E4088)))))-COUNTBLANK(OFFSET(A$1,,,SUMPRODUCT(MAX(ROW(E$1:E4087)*(E2=E$1:E4087))))))</f>
        <v> </v>
      </c>
      <c r="K4088" s="25" t="str">
        <f>IF(OR(E4088="",E4088="!!!",F4088="NEW"),"",INDEX(J$1:J4087,SUMPRODUCT(MAX(ROW(E$1:E4087)*(E4088=E$1:E4087)))))</f>
        <v> </v>
      </c>
      <c r="L4088" s="26"/>
    </row>
    <row r="4089" spans="1:12">
      <c r="A4089" s="20" t="s">
        <v>1114</v>
      </c>
      <c r="E4089" s="21">
        <f>IF(D4089="?OLD","!!!","")</f>
        <v/>
      </c>
      <c r="F4089" s="22" t="str">
        <f>IF(OR(E4089="",E4089="!!!"),"",IF(NOT(ISNA(VLOOKUP(E4089,E$1:E4088,1,FALSE()))),"OLD",IF(AND(E4089&lt;&gt;"",E4089&lt;&gt;"!!!"),"NEW","")))</f>
        <v> </v>
      </c>
      <c r="G4089" s="23" t="str">
        <f>IF(OR(E4089="",E4089="!!!"),"",IF(OR(J4089=0,AND(J4089=1,K4089=1),AND(J4089=1,I4089="SBJ"),AND(J4089=1,I4089=0)),"?IN_FOCUS",IF(J4089&lt;=2,"?ACTIVATED",IF(J4089&lt;&gt;"","?FAMILIAR",IF(F4089="NEW",IF(ISNA(VLOOKUP(E4089,#REF!,1,FALSE())),"?TYPE_IDENTIFIABLE","?REFERENTIAL"),"_")))))</f>
        <v> </v>
      </c>
      <c r="H4089" s="24" t="str">
        <f>IF(J4089&lt;&gt;1,"",IF(I4089="SBJ","CB","?"))</f>
        <v> </v>
      </c>
      <c r="I4089" s="25" t="str">
        <f>IF(OR(E4089="",E4089="!!!",F4089="NEW"),"",INDEX(B4088:B$2,-1+SUMPRODUCT(MAX(ROW(E4088:E$2)*(E4089=E4088:E$2)))))</f>
        <v> </v>
      </c>
      <c r="J4089" s="25" t="str">
        <f>IF(OR(E4089="",E4089="!!!",F4089="NEW"),"",COUNTBLANK(OFFSET(A$1,,,SUMPRODUCT(MAX(ROW(E$2:E4089)*(E4089=E$2:E4089)))))-COUNTBLANK(OFFSET(A$1,,,SUMPRODUCT(MAX(ROW(E$1:E4088)*(E2=E$1:E4088))))))</f>
        <v> </v>
      </c>
      <c r="K4089" s="25" t="str">
        <f>IF(OR(E4089="",E4089="!!!",F4089="NEW"),"",INDEX(J$1:J4088,SUMPRODUCT(MAX(ROW(E$1:E4088)*(E4089=E$1:E4088)))))</f>
        <v> </v>
      </c>
      <c r="L4089" s="26"/>
    </row>
    <row r="4090" spans="1:12">
      <c r="A4090" s="20" t="s">
        <v>751</v>
      </c>
      <c r="E4090" s="21">
        <f>IF(D4090="?OLD","!!!","")</f>
        <v/>
      </c>
      <c r="F4090" s="22" t="str">
        <f>IF(OR(E4090="",E4090="!!!"),"",IF(NOT(ISNA(VLOOKUP(E4090,E$1:E4089,1,FALSE()))),"OLD",IF(AND(E4090&lt;&gt;"",E4090&lt;&gt;"!!!"),"NEW","")))</f>
        <v> </v>
      </c>
      <c r="G4090" s="23" t="str">
        <f>IF(OR(E4090="",E4090="!!!"),"",IF(OR(J4090=0,AND(J4090=1,K4090=1),AND(J4090=1,I4090="SBJ"),AND(J4090=1,I4090=0)),"?IN_FOCUS",IF(J4090&lt;=2,"?ACTIVATED",IF(J4090&lt;&gt;"","?FAMILIAR",IF(F4090="NEW",IF(ISNA(VLOOKUP(E4090,#REF!,1,FALSE())),"?TYPE_IDENTIFIABLE","?REFERENTIAL"),"_")))))</f>
        <v> </v>
      </c>
      <c r="H4090" s="24" t="str">
        <f>IF(J4090&lt;&gt;1,"",IF(I4090="SBJ","CB","?"))</f>
        <v> </v>
      </c>
      <c r="I4090" s="25" t="str">
        <f>IF(OR(E4090="",E4090="!!!",F4090="NEW"),"",INDEX(B4089:B$2,-1+SUMPRODUCT(MAX(ROW(E4089:E$2)*(E4090=E4089:E$2)))))</f>
        <v> </v>
      </c>
      <c r="J4090" s="25" t="str">
        <f>IF(OR(E4090="",E4090="!!!",F4090="NEW"),"",COUNTBLANK(OFFSET(A$1,,,SUMPRODUCT(MAX(ROW(E$2:E4090)*(E4090=E$2:E4090)))))-COUNTBLANK(OFFSET(A$1,,,SUMPRODUCT(MAX(ROW(E$1:E4089)*(E2=E$1:E4089))))))</f>
        <v> </v>
      </c>
      <c r="K4090" s="25" t="str">
        <f>IF(OR(E4090="",E4090="!!!",F4090="NEW"),"",INDEX(J$1:J4089,SUMPRODUCT(MAX(ROW(E$1:E4089)*(E4090=E$1:E4089)))))</f>
        <v> </v>
      </c>
      <c r="L4090" s="26"/>
    </row>
    <row r="4091" spans="1:12">
      <c r="A4091" s="20" t="s">
        <v>1210</v>
      </c>
      <c r="B4091" s="27" t="s">
        <v>879</v>
      </c>
      <c r="C4091" s="27" t="s">
        <v>754</v>
      </c>
      <c r="E4091" s="21">
        <f>IF(D4091="?OLD","!!!","")</f>
        <v/>
      </c>
      <c r="F4091" s="22" t="str">
        <f>IF(OR(E4091="",E4091="!!!"),"",IF(NOT(ISNA(VLOOKUP(E4091,E$1:E4090,1,FALSE()))),"OLD",IF(AND(E4091&lt;&gt;"",E4091&lt;&gt;"!!!"),"NEW","")))</f>
        <v> </v>
      </c>
      <c r="G4091" s="23" t="str">
        <f>IF(OR(E4091="",E4091="!!!"),"",IF(OR(J4091=0,AND(J4091=1,K4091=1),AND(J4091=1,I4091="SBJ"),AND(J4091=1,I4091=0)),"?IN_FOCUS",IF(J4091&lt;=2,"?ACTIVATED",IF(J4091&lt;&gt;"","?FAMILIAR",IF(F4091="NEW",IF(ISNA(VLOOKUP(E4091,#REF!,1,FALSE())),"?TYPE_IDENTIFIABLE","?REFERENTIAL"),"_")))))</f>
        <v> </v>
      </c>
      <c r="H4091" s="24" t="str">
        <f>IF(J4091&lt;&gt;1,"",IF(I4091="SBJ","CB","?"))</f>
        <v> </v>
      </c>
      <c r="I4091" s="25" t="str">
        <f>IF(OR(E4091="",E4091="!!!",F4091="NEW"),"",INDEX(B4090:B$2,-1+SUMPRODUCT(MAX(ROW(E4090:E$2)*(E4091=E4090:E$2)))))</f>
        <v> </v>
      </c>
      <c r="J4091" s="25" t="str">
        <f>IF(OR(E4091="",E4091="!!!",F4091="NEW"),"",COUNTBLANK(OFFSET(A$1,,,SUMPRODUCT(MAX(ROW(E$2:E4091)*(E4091=E$2:E4091)))))-COUNTBLANK(OFFSET(A$1,,,SUMPRODUCT(MAX(ROW(E$1:E4090)*(E2=E$1:E4090))))))</f>
        <v> </v>
      </c>
      <c r="K4091" s="25" t="str">
        <f>IF(OR(E4091="",E4091="!!!",F4091="NEW"),"",INDEX(J$1:J4090,SUMPRODUCT(MAX(ROW(E$1:E4090)*(E4091=E$1:E4090)))))</f>
        <v> </v>
      </c>
      <c r="L4091" s="26"/>
    </row>
    <row r="4092" spans="1:12">
      <c r="A4092" s="20" t="s">
        <v>805</v>
      </c>
      <c r="E4092" s="21">
        <f>IF(D4092="?OLD","!!!","")</f>
        <v/>
      </c>
      <c r="F4092" s="22" t="str">
        <f>IF(OR(E4092="",E4092="!!!"),"",IF(NOT(ISNA(VLOOKUP(E4092,E$1:E4091,1,FALSE()))),"OLD",IF(AND(E4092&lt;&gt;"",E4092&lt;&gt;"!!!"),"NEW","")))</f>
        <v> </v>
      </c>
      <c r="G4092" s="23" t="str">
        <f>IF(OR(E4092="",E4092="!!!"),"",IF(OR(J4092=0,AND(J4092=1,K4092=1),AND(J4092=1,I4092="SBJ"),AND(J4092=1,I4092=0)),"?IN_FOCUS",IF(J4092&lt;=2,"?ACTIVATED",IF(J4092&lt;&gt;"","?FAMILIAR",IF(F4092="NEW",IF(ISNA(VLOOKUP(E4092,#REF!,1,FALSE())),"?TYPE_IDENTIFIABLE","?REFERENTIAL"),"_")))))</f>
        <v> </v>
      </c>
      <c r="H4092" s="24" t="str">
        <f>IF(J4092&lt;&gt;1,"",IF(I4092="SBJ","CB","?"))</f>
        <v> </v>
      </c>
      <c r="I4092" s="25" t="str">
        <f>IF(OR(E4092="",E4092="!!!",F4092="NEW"),"",INDEX(B4091:B$2,-1+SUMPRODUCT(MAX(ROW(E4091:E$2)*(E4092=E4091:E$2)))))</f>
        <v> </v>
      </c>
      <c r="J4092" s="25" t="str">
        <f>IF(OR(E4092="",E4092="!!!",F4092="NEW"),"",COUNTBLANK(OFFSET(A$1,,,SUMPRODUCT(MAX(ROW(E$2:E4092)*(E4092=E$2:E4092)))))-COUNTBLANK(OFFSET(A$1,,,SUMPRODUCT(MAX(ROW(E$1:E4091)*(E2=E$1:E4091))))))</f>
        <v> </v>
      </c>
      <c r="K4092" s="25" t="str">
        <f>IF(OR(E4092="",E4092="!!!",F4092="NEW"),"",INDEX(J$1:J4091,SUMPRODUCT(MAX(ROW(E$1:E4091)*(E4092=E$1:E4091)))))</f>
        <v> </v>
      </c>
      <c r="L4092" s="26"/>
    </row>
    <row r="4093" spans="1:12">
      <c r="A4093" s="20" t="s">
        <v>1910</v>
      </c>
      <c r="E4093" s="21">
        <f>IF(D4093="?OLD","!!!","")</f>
        <v/>
      </c>
      <c r="F4093" s="22" t="str">
        <f>IF(OR(E4093="",E4093="!!!"),"",IF(NOT(ISNA(VLOOKUP(E4093,E$1:E4092,1,FALSE()))),"OLD",IF(AND(E4093&lt;&gt;"",E4093&lt;&gt;"!!!"),"NEW","")))</f>
        <v> </v>
      </c>
      <c r="G4093" s="23" t="str">
        <f>IF(OR(E4093="",E4093="!!!"),"",IF(OR(J4093=0,AND(J4093=1,K4093=1),AND(J4093=1,I4093="SBJ"),AND(J4093=1,I4093=0)),"?IN_FOCUS",IF(J4093&lt;=2,"?ACTIVATED",IF(J4093&lt;&gt;"","?FAMILIAR",IF(F4093="NEW",IF(ISNA(VLOOKUP(E4093,#REF!,1,FALSE())),"?TYPE_IDENTIFIABLE","?REFERENTIAL"),"_")))))</f>
        <v> </v>
      </c>
      <c r="H4093" s="24" t="str">
        <f>IF(J4093&lt;&gt;1,"",IF(I4093="SBJ","CB","?"))</f>
        <v> </v>
      </c>
      <c r="I4093" s="25" t="str">
        <f>IF(OR(E4093="",E4093="!!!",F4093="NEW"),"",INDEX(B4092:B$2,-1+SUMPRODUCT(MAX(ROW(E4092:E$2)*(E4093=E4092:E$2)))))</f>
        <v> </v>
      </c>
      <c r="J4093" s="25" t="str">
        <f>IF(OR(E4093="",E4093="!!!",F4093="NEW"),"",COUNTBLANK(OFFSET(A$1,,,SUMPRODUCT(MAX(ROW(E$2:E4093)*(E4093=E$2:E4093)))))-COUNTBLANK(OFFSET(A$1,,,SUMPRODUCT(MAX(ROW(E$1:E4092)*(E2=E$1:E4092))))))</f>
        <v> </v>
      </c>
      <c r="K4093" s="25" t="str">
        <f>IF(OR(E4093="",E4093="!!!",F4093="NEW"),"",INDEX(J$1:J4092,SUMPRODUCT(MAX(ROW(E$1:E4092)*(E4093=E$1:E4092)))))</f>
        <v> </v>
      </c>
      <c r="L4093" s="26"/>
    </row>
    <row r="4094" spans="1:12">
      <c r="A4094" s="20" t="s">
        <v>1115</v>
      </c>
      <c r="E4094" s="21">
        <f>IF(D4094="?OLD","!!!","")</f>
        <v/>
      </c>
      <c r="F4094" s="22" t="str">
        <f>IF(OR(E4094="",E4094="!!!"),"",IF(NOT(ISNA(VLOOKUP(E4094,E$1:E4093,1,FALSE()))),"OLD",IF(AND(E4094&lt;&gt;"",E4094&lt;&gt;"!!!"),"NEW","")))</f>
        <v> </v>
      </c>
      <c r="G4094" s="23" t="str">
        <f>IF(OR(E4094="",E4094="!!!"),"",IF(OR(J4094=0,AND(J4094=1,K4094=1),AND(J4094=1,I4094="SBJ"),AND(J4094=1,I4094=0)),"?IN_FOCUS",IF(J4094&lt;=2,"?ACTIVATED",IF(J4094&lt;&gt;"","?FAMILIAR",IF(F4094="NEW",IF(ISNA(VLOOKUP(E4094,#REF!,1,FALSE())),"?TYPE_IDENTIFIABLE","?REFERENTIAL"),"_")))))</f>
        <v> </v>
      </c>
      <c r="H4094" s="24" t="str">
        <f>IF(J4094&lt;&gt;1,"",IF(I4094="SBJ","CB","?"))</f>
        <v> </v>
      </c>
      <c r="I4094" s="25" t="str">
        <f>IF(OR(E4094="",E4094="!!!",F4094="NEW"),"",INDEX(B4093:B$2,-1+SUMPRODUCT(MAX(ROW(E4093:E$2)*(E4094=E4093:E$2)))))</f>
        <v> </v>
      </c>
      <c r="J4094" s="25" t="str">
        <f>IF(OR(E4094="",E4094="!!!",F4094="NEW"),"",COUNTBLANK(OFFSET(A$1,,,SUMPRODUCT(MAX(ROW(E$2:E4094)*(E4094=E$2:E4094)))))-COUNTBLANK(OFFSET(A$1,,,SUMPRODUCT(MAX(ROW(E$1:E4093)*(E2=E$1:E4093))))))</f>
        <v> </v>
      </c>
      <c r="K4094" s="25" t="str">
        <f>IF(OR(E4094="",E4094="!!!",F4094="NEW"),"",INDEX(J$1:J4093,SUMPRODUCT(MAX(ROW(E$1:E4093)*(E4094=E$1:E4093)))))</f>
        <v> </v>
      </c>
      <c r="L4094" s="26"/>
    </row>
    <row r="4095" spans="1:12">
      <c r="A4095" s="20" t="s">
        <v>954</v>
      </c>
      <c r="B4095" s="27" t="s">
        <v>940</v>
      </c>
      <c r="C4095" s="27" t="s">
        <v>777</v>
      </c>
      <c r="D4095" s="27" t="s">
        <v>762</v>
      </c>
      <c r="E4095" s="21">
        <f>IF(D4095="?OLD","!!!","")</f>
        <v/>
      </c>
      <c r="F4095" s="22" t="str">
        <f>IF(OR(E4095="",E4095="!!!"),"",IF(NOT(ISNA(VLOOKUP(E4095,E$1:E4094,1,FALSE()))),"OLD",IF(AND(E4095&lt;&gt;"",E4095&lt;&gt;"!!!"),"NEW","")))</f>
        <v> </v>
      </c>
      <c r="G4095" s="23" t="str">
        <f>IF(OR(E4095="",E4095="!!!"),"",IF(OR(J4095=0,AND(J4095=1,K4095=1),AND(J4095=1,I4095="SBJ"),AND(J4095=1,I4095=0)),"?IN_FOCUS",IF(J4095&lt;=2,"?ACTIVATED",IF(J4095&lt;&gt;"","?FAMILIAR",IF(F4095="NEW",IF(ISNA(VLOOKUP(E4095,#REF!,1,FALSE())),"?TYPE_IDENTIFIABLE","?REFERENTIAL"),"_")))))</f>
        <v> </v>
      </c>
      <c r="H4095" s="24" t="str">
        <f>IF(J4095&lt;&gt;1,"",IF(I4095="SBJ","CB","?"))</f>
        <v> </v>
      </c>
      <c r="I4095" s="25" t="str">
        <f>IF(OR(E4095="",E4095="!!!",F4095="NEW"),"",INDEX(B4094:B$2,-1+SUMPRODUCT(MAX(ROW(E4094:E$2)*(E4095=E4094:E$2)))))</f>
        <v> </v>
      </c>
      <c r="J4095" s="25" t="str">
        <f>IF(OR(E4095="",E4095="!!!",F4095="NEW"),"",COUNTBLANK(OFFSET(A$1,,,SUMPRODUCT(MAX(ROW(E$2:E4095)*(E4095=E$2:E4095)))))-COUNTBLANK(OFFSET(A$1,,,SUMPRODUCT(MAX(ROW(E$1:E4094)*(E2=E$1:E4094))))))</f>
        <v> </v>
      </c>
      <c r="K4095" s="25" t="str">
        <f>IF(OR(E4095="",E4095="!!!",F4095="NEW"),"",INDEX(J$1:J4094,SUMPRODUCT(MAX(ROW(E$1:E4094)*(E4095=E$1:E4094)))))</f>
        <v> </v>
      </c>
      <c r="L4095" s="26"/>
    </row>
    <row r="4096" spans="1:12">
      <c r="A4096" s="20" t="s">
        <v>1020</v>
      </c>
      <c r="B4096" s="27" t="s">
        <v>1080</v>
      </c>
      <c r="E4096" s="21">
        <f>IF(D4096="?OLD","!!!","")</f>
        <v/>
      </c>
      <c r="F4096" s="22" t="str">
        <f>IF(OR(E4096="",E4096="!!!"),"",IF(NOT(ISNA(VLOOKUP(E4096,E$1:E4095,1,FALSE()))),"OLD",IF(AND(E4096&lt;&gt;"",E4096&lt;&gt;"!!!"),"NEW","")))</f>
        <v> </v>
      </c>
      <c r="G4096" s="23" t="str">
        <f>IF(OR(E4096="",E4096="!!!"),"",IF(OR(J4096=0,AND(J4096=1,K4096=1),AND(J4096=1,I4096="SBJ"),AND(J4096=1,I4096=0)),"?IN_FOCUS",IF(J4096&lt;=2,"?ACTIVATED",IF(J4096&lt;&gt;"","?FAMILIAR",IF(F4096="NEW",IF(ISNA(VLOOKUP(E4096,#REF!,1,FALSE())),"?TYPE_IDENTIFIABLE","?REFERENTIAL"),"_")))))</f>
        <v> </v>
      </c>
      <c r="H4096" s="24" t="str">
        <f>IF(J4096&lt;&gt;1,"",IF(I4096="SBJ","CB","?"))</f>
        <v> </v>
      </c>
      <c r="I4096" s="25" t="str">
        <f>IF(OR(E4096="",E4096="!!!",F4096="NEW"),"",INDEX(B4095:B$2,-1+SUMPRODUCT(MAX(ROW(E4095:E$2)*(E4096=E4095:E$2)))))</f>
        <v> </v>
      </c>
      <c r="J4096" s="25" t="str">
        <f>IF(OR(E4096="",E4096="!!!",F4096="NEW"),"",COUNTBLANK(OFFSET(A$1,,,SUMPRODUCT(MAX(ROW(E$2:E4096)*(E4096=E$2:E4096)))))-COUNTBLANK(OFFSET(A$1,,,SUMPRODUCT(MAX(ROW(E$1:E4095)*(E2=E$1:E4095))))))</f>
        <v> </v>
      </c>
      <c r="K4096" s="25" t="str">
        <f>IF(OR(E4096="",E4096="!!!",F4096="NEW"),"",INDEX(J$1:J4095,SUMPRODUCT(MAX(ROW(E$1:E4095)*(E4096=E$1:E4095)))))</f>
        <v> </v>
      </c>
      <c r="L4096" s="26"/>
    </row>
    <row r="4097" spans="1:12">
      <c r="A4097" s="20" t="s">
        <v>1202</v>
      </c>
      <c r="E4097" s="21">
        <f>IF(D4097="?OLD","!!!","")</f>
        <v/>
      </c>
      <c r="F4097" s="22" t="str">
        <f>IF(OR(E4097="",E4097="!!!"),"",IF(NOT(ISNA(VLOOKUP(E4097,E$1:E4096,1,FALSE()))),"OLD",IF(AND(E4097&lt;&gt;"",E4097&lt;&gt;"!!!"),"NEW","")))</f>
        <v> </v>
      </c>
      <c r="G4097" s="23" t="str">
        <f>IF(OR(E4097="",E4097="!!!"),"",IF(OR(J4097=0,AND(J4097=1,K4097=1),AND(J4097=1,I4097="SBJ"),AND(J4097=1,I4097=0)),"?IN_FOCUS",IF(J4097&lt;=2,"?ACTIVATED",IF(J4097&lt;&gt;"","?FAMILIAR",IF(F4097="NEW",IF(ISNA(VLOOKUP(E4097,#REF!,1,FALSE())),"?TYPE_IDENTIFIABLE","?REFERENTIAL"),"_")))))</f>
        <v> </v>
      </c>
      <c r="H4097" s="24" t="str">
        <f>IF(J4097&lt;&gt;1,"",IF(I4097="SBJ","CB","?"))</f>
        <v> </v>
      </c>
      <c r="I4097" s="25" t="str">
        <f>IF(OR(E4097="",E4097="!!!",F4097="NEW"),"",INDEX(B4096:B$2,-1+SUMPRODUCT(MAX(ROW(E4096:E$2)*(E4097=E4096:E$2)))))</f>
        <v> </v>
      </c>
      <c r="J4097" s="25" t="str">
        <f>IF(OR(E4097="",E4097="!!!",F4097="NEW"),"",COUNTBLANK(OFFSET(A$1,,,SUMPRODUCT(MAX(ROW(E$2:E4097)*(E4097=E$2:E4097)))))-COUNTBLANK(OFFSET(A$1,,,SUMPRODUCT(MAX(ROW(E$1:E4096)*(E2=E$1:E4096))))))</f>
        <v> </v>
      </c>
      <c r="K4097" s="25" t="str">
        <f>IF(OR(E4097="",E4097="!!!",F4097="NEW"),"",INDEX(J$1:J4096,SUMPRODUCT(MAX(ROW(E$1:E4096)*(E4097=E$1:E4096)))))</f>
        <v> </v>
      </c>
      <c r="L4097" s="26"/>
    </row>
    <row r="4098" spans="1:12">
      <c r="A4098" s="20" t="s">
        <v>1911</v>
      </c>
      <c r="E4098" s="21">
        <f>IF(D4098="?OLD","!!!","")</f>
        <v/>
      </c>
      <c r="F4098" s="22" t="str">
        <f>IF(OR(E4098="",E4098="!!!"),"",IF(NOT(ISNA(VLOOKUP(E4098,E$1:E4097,1,FALSE()))),"OLD",IF(AND(E4098&lt;&gt;"",E4098&lt;&gt;"!!!"),"NEW","")))</f>
        <v> </v>
      </c>
      <c r="G4098" s="23" t="str">
        <f>IF(OR(E4098="",E4098="!!!"),"",IF(OR(J4098=0,AND(J4098=1,K4098=1),AND(J4098=1,I4098="SBJ"),AND(J4098=1,I4098=0)),"?IN_FOCUS",IF(J4098&lt;=2,"?ACTIVATED",IF(J4098&lt;&gt;"","?FAMILIAR",IF(F4098="NEW",IF(ISNA(VLOOKUP(E4098,#REF!,1,FALSE())),"?TYPE_IDENTIFIABLE","?REFERENTIAL"),"_")))))</f>
        <v> </v>
      </c>
      <c r="H4098" s="24" t="str">
        <f>IF(J4098&lt;&gt;1,"",IF(I4098="SBJ","CB","?"))</f>
        <v> </v>
      </c>
      <c r="I4098" s="25" t="str">
        <f>IF(OR(E4098="",E4098="!!!",F4098="NEW"),"",INDEX(B4097:B$2,-1+SUMPRODUCT(MAX(ROW(E4097:E$2)*(E4098=E4097:E$2)))))</f>
        <v> </v>
      </c>
      <c r="J4098" s="25" t="str">
        <f>IF(OR(E4098="",E4098="!!!",F4098="NEW"),"",COUNTBLANK(OFFSET(A$1,,,SUMPRODUCT(MAX(ROW(E$2:E4098)*(E4098=E$2:E4098)))))-COUNTBLANK(OFFSET(A$1,,,SUMPRODUCT(MAX(ROW(E$1:E4097)*(E2=E$1:E4097))))))</f>
        <v> </v>
      </c>
      <c r="K4098" s="25" t="str">
        <f>IF(OR(E4098="",E4098="!!!",F4098="NEW"),"",INDEX(J$1:J4097,SUMPRODUCT(MAX(ROW(E$1:E4097)*(E4098=E$1:E4097)))))</f>
        <v> </v>
      </c>
      <c r="L4098" s="26"/>
    </row>
    <row r="4099" spans="1:12">
      <c r="A4099" s="20" t="s">
        <v>1051</v>
      </c>
      <c r="E4099" s="21">
        <f>IF(D4099="?OLD","!!!","")</f>
        <v/>
      </c>
      <c r="F4099" s="22" t="str">
        <f>IF(OR(E4099="",E4099="!!!"),"",IF(NOT(ISNA(VLOOKUP(E4099,E$1:E4098,1,FALSE()))),"OLD",IF(AND(E4099&lt;&gt;"",E4099&lt;&gt;"!!!"),"NEW","")))</f>
        <v> </v>
      </c>
      <c r="G4099" s="23" t="str">
        <f>IF(OR(E4099="",E4099="!!!"),"",IF(OR(J4099=0,AND(J4099=1,K4099=1),AND(J4099=1,I4099="SBJ"),AND(J4099=1,I4099=0)),"?IN_FOCUS",IF(J4099&lt;=2,"?ACTIVATED",IF(J4099&lt;&gt;"","?FAMILIAR",IF(F4099="NEW",IF(ISNA(VLOOKUP(E4099,#REF!,1,FALSE())),"?TYPE_IDENTIFIABLE","?REFERENTIAL"),"_")))))</f>
        <v> </v>
      </c>
      <c r="H4099" s="24" t="str">
        <f>IF(J4099&lt;&gt;1,"",IF(I4099="SBJ","CB","?"))</f>
        <v> </v>
      </c>
      <c r="I4099" s="25" t="str">
        <f>IF(OR(E4099="",E4099="!!!",F4099="NEW"),"",INDEX(B4098:B$2,-1+SUMPRODUCT(MAX(ROW(E4098:E$2)*(E4099=E4098:E$2)))))</f>
        <v> </v>
      </c>
      <c r="J4099" s="25" t="str">
        <f>IF(OR(E4099="",E4099="!!!",F4099="NEW"),"",COUNTBLANK(OFFSET(A$1,,,SUMPRODUCT(MAX(ROW(E$2:E4099)*(E4099=E$2:E4099)))))-COUNTBLANK(OFFSET(A$1,,,SUMPRODUCT(MAX(ROW(E$1:E4098)*(E2=E$1:E4098))))))</f>
        <v> </v>
      </c>
      <c r="K4099" s="25" t="str">
        <f>IF(OR(E4099="",E4099="!!!",F4099="NEW"),"",INDEX(J$1:J4098,SUMPRODUCT(MAX(ROW(E$1:E4098)*(E4099=E$1:E4098)))))</f>
        <v> </v>
      </c>
      <c r="L4099" s="26"/>
    </row>
    <row r="4100" spans="1:12">
      <c r="A4100" s="20" t="s">
        <v>308</v>
      </c>
      <c r="E4100" s="21">
        <f>IF(D4100="?OLD","!!!","")</f>
        <v/>
      </c>
      <c r="F4100" s="22" t="str">
        <f>IF(OR(E4100="",E4100="!!!"),"",IF(NOT(ISNA(VLOOKUP(E4100,E$1:E4099,1,FALSE()))),"OLD",IF(AND(E4100&lt;&gt;"",E4100&lt;&gt;"!!!"),"NEW","")))</f>
        <v> </v>
      </c>
      <c r="G4100" s="23" t="str">
        <f>IF(OR(E4100="",E4100="!!!"),"",IF(OR(J4100=0,AND(J4100=1,K4100=1),AND(J4100=1,I4100="SBJ"),AND(J4100=1,I4100=0)),"?IN_FOCUS",IF(J4100&lt;=2,"?ACTIVATED",IF(J4100&lt;&gt;"","?FAMILIAR",IF(F4100="NEW",IF(ISNA(VLOOKUP(E4100,#REF!,1,FALSE())),"?TYPE_IDENTIFIABLE","?REFERENTIAL"),"_")))))</f>
        <v> </v>
      </c>
      <c r="H4100" s="24" t="str">
        <f>IF(J4100&lt;&gt;1,"",IF(I4100="SBJ","CB","?"))</f>
        <v> </v>
      </c>
      <c r="I4100" s="25" t="str">
        <f>IF(OR(E4100="",E4100="!!!",F4100="NEW"),"",INDEX(B4099:B$2,-1+SUMPRODUCT(MAX(ROW(E4099:E$2)*(E4100=E4099:E$2)))))</f>
        <v> </v>
      </c>
      <c r="J4100" s="25" t="str">
        <f>IF(OR(E4100="",E4100="!!!",F4100="NEW"),"",COUNTBLANK(OFFSET(A$1,,,SUMPRODUCT(MAX(ROW(E$2:E4100)*(E4100=E$2:E4100)))))-COUNTBLANK(OFFSET(A$1,,,SUMPRODUCT(MAX(ROW(E$1:E4099)*(E2=E$1:E4099))))))</f>
        <v> </v>
      </c>
      <c r="K4100" s="25" t="str">
        <f>IF(OR(E4100="",E4100="!!!",F4100="NEW"),"",INDEX(J$1:J4099,SUMPRODUCT(MAX(ROW(E$1:E4099)*(E4100=E$1:E4099)))))</f>
        <v> </v>
      </c>
      <c r="L4100" s="26"/>
    </row>
    <row r="4101" spans="1:12">
      <c r="A4101" s="20" t="s">
        <v>859</v>
      </c>
      <c r="E4101" s="21">
        <f>IF(D4101="?OLD","!!!","")</f>
        <v/>
      </c>
      <c r="F4101" s="22" t="str">
        <f>IF(OR(E4101="",E4101="!!!"),"",IF(NOT(ISNA(VLOOKUP(E4101,E$1:E4100,1,FALSE()))),"OLD",IF(AND(E4101&lt;&gt;"",E4101&lt;&gt;"!!!"),"NEW","")))</f>
        <v> </v>
      </c>
      <c r="G4101" s="23" t="str">
        <f>IF(OR(E4101="",E4101="!!!"),"",IF(OR(J4101=0,AND(J4101=1,K4101=1),AND(J4101=1,I4101="SBJ"),AND(J4101=1,I4101=0)),"?IN_FOCUS",IF(J4101&lt;=2,"?ACTIVATED",IF(J4101&lt;&gt;"","?FAMILIAR",IF(F4101="NEW",IF(ISNA(VLOOKUP(E4101,#REF!,1,FALSE())),"?TYPE_IDENTIFIABLE","?REFERENTIAL"),"_")))))</f>
        <v> </v>
      </c>
      <c r="H4101" s="24" t="str">
        <f>IF(J4101&lt;&gt;1,"",IF(I4101="SBJ","CB","?"))</f>
        <v> </v>
      </c>
      <c r="I4101" s="25" t="str">
        <f>IF(OR(E4101="",E4101="!!!",F4101="NEW"),"",INDEX(B4100:B$2,-1+SUMPRODUCT(MAX(ROW(E4100:E$2)*(E4101=E4100:E$2)))))</f>
        <v> </v>
      </c>
      <c r="J4101" s="25" t="str">
        <f>IF(OR(E4101="",E4101="!!!",F4101="NEW"),"",COUNTBLANK(OFFSET(A$1,,,SUMPRODUCT(MAX(ROW(E$2:E4101)*(E4101=E$2:E4101)))))-COUNTBLANK(OFFSET(A$1,,,SUMPRODUCT(MAX(ROW(E$1:E4100)*(E2=E$1:E4100))))))</f>
        <v> </v>
      </c>
      <c r="K4101" s="25" t="str">
        <f>IF(OR(E4101="",E4101="!!!",F4101="NEW"),"",INDEX(J$1:J4100,SUMPRODUCT(MAX(ROW(E$1:E4100)*(E4101=E$1:E4100)))))</f>
        <v> </v>
      </c>
      <c r="L4101" s="26"/>
    </row>
    <row r="4102" spans="1:12">
      <c r="A4102" s="20" t="s">
        <v>818</v>
      </c>
      <c r="E4102" s="21">
        <f>IF(D4102="?OLD","!!!","")</f>
        <v/>
      </c>
      <c r="F4102" s="22" t="str">
        <f>IF(OR(E4102="",E4102="!!!"),"",IF(NOT(ISNA(VLOOKUP(E4102,E$1:E4101,1,FALSE()))),"OLD",IF(AND(E4102&lt;&gt;"",E4102&lt;&gt;"!!!"),"NEW","")))</f>
        <v> </v>
      </c>
      <c r="G4102" s="23" t="str">
        <f>IF(OR(E4102="",E4102="!!!"),"",IF(OR(J4102=0,AND(J4102=1,K4102=1),AND(J4102=1,I4102="SBJ"),AND(J4102=1,I4102=0)),"?IN_FOCUS",IF(J4102&lt;=2,"?ACTIVATED",IF(J4102&lt;&gt;"","?FAMILIAR",IF(F4102="NEW",IF(ISNA(VLOOKUP(E4102,#REF!,1,FALSE())),"?TYPE_IDENTIFIABLE","?REFERENTIAL"),"_")))))</f>
        <v> </v>
      </c>
      <c r="H4102" s="24" t="str">
        <f>IF(J4102&lt;&gt;1,"",IF(I4102="SBJ","CB","?"))</f>
        <v> </v>
      </c>
      <c r="I4102" s="25" t="str">
        <f>IF(OR(E4102="",E4102="!!!",F4102="NEW"),"",INDEX(B4101:B$2,-1+SUMPRODUCT(MAX(ROW(E4101:E$2)*(E4102=E4101:E$2)))))</f>
        <v> </v>
      </c>
      <c r="J4102" s="25" t="str">
        <f>IF(OR(E4102="",E4102="!!!",F4102="NEW"),"",COUNTBLANK(OFFSET(A$1,,,SUMPRODUCT(MAX(ROW(E$2:E4102)*(E4102=E$2:E4102)))))-COUNTBLANK(OFFSET(A$1,,,SUMPRODUCT(MAX(ROW(E$1:E4101)*(E2=E$1:E4101))))))</f>
        <v> </v>
      </c>
      <c r="K4102" s="25" t="str">
        <f>IF(OR(E4102="",E4102="!!!",F4102="NEW"),"",INDEX(J$1:J4101,SUMPRODUCT(MAX(ROW(E$1:E4101)*(E4102=E$1:E4101)))))</f>
        <v> </v>
      </c>
      <c r="L4102" s="26"/>
    </row>
    <row r="4103" spans="1:12">
      <c r="A4103" s="20" t="s">
        <v>1037</v>
      </c>
      <c r="B4103" s="27" t="s">
        <v>796</v>
      </c>
      <c r="C4103" s="27" t="s">
        <v>797</v>
      </c>
      <c r="D4103" s="27" t="s">
        <v>762</v>
      </c>
      <c r="E4103" s="21">
        <f>IF(D4103="?OLD","!!!","")</f>
        <v/>
      </c>
      <c r="F4103" s="22" t="str">
        <f>IF(OR(E4103="",E4103="!!!"),"",IF(NOT(ISNA(VLOOKUP(E4103,E$1:E4102,1,FALSE()))),"OLD",IF(AND(E4103&lt;&gt;"",E4103&lt;&gt;"!!!"),"NEW","")))</f>
        <v> </v>
      </c>
      <c r="G4103" s="23" t="str">
        <f>IF(OR(E4103="",E4103="!!!"),"",IF(OR(J4103=0,AND(J4103=1,K4103=1),AND(J4103=1,I4103="SBJ"),AND(J4103=1,I4103=0)),"?IN_FOCUS",IF(J4103&lt;=2,"?ACTIVATED",IF(J4103&lt;&gt;"","?FAMILIAR",IF(F4103="NEW",IF(ISNA(VLOOKUP(E4103,#REF!,1,FALSE())),"?TYPE_IDENTIFIABLE","?REFERENTIAL"),"_")))))</f>
        <v> </v>
      </c>
      <c r="H4103" s="24" t="str">
        <f>IF(J4103&lt;&gt;1,"",IF(I4103="SBJ","CB","?"))</f>
        <v> </v>
      </c>
      <c r="I4103" s="25" t="str">
        <f>IF(OR(E4103="",E4103="!!!",F4103="NEW"),"",INDEX(B4102:B$2,-1+SUMPRODUCT(MAX(ROW(E4102:E$2)*(E4103=E4102:E$2)))))</f>
        <v> </v>
      </c>
      <c r="J4103" s="25" t="str">
        <f>IF(OR(E4103="",E4103="!!!",F4103="NEW"),"",COUNTBLANK(OFFSET(A$1,,,SUMPRODUCT(MAX(ROW(E$2:E4103)*(E4103=E$2:E4103)))))-COUNTBLANK(OFFSET(A$1,,,SUMPRODUCT(MAX(ROW(E$1:E4102)*(E2=E$1:E4102))))))</f>
        <v> </v>
      </c>
      <c r="K4103" s="25" t="str">
        <f>IF(OR(E4103="",E4103="!!!",F4103="NEW"),"",INDEX(J$1:J4102,SUMPRODUCT(MAX(ROW(E$1:E4102)*(E4103=E$1:E4102)))))</f>
        <v> </v>
      </c>
      <c r="L4103" s="26"/>
    </row>
    <row r="4104" spans="1:12">
      <c r="A4104" s="20" t="s">
        <v>909</v>
      </c>
      <c r="E4104" s="21">
        <f>IF(D4104="?OLD","!!!","")</f>
        <v/>
      </c>
      <c r="F4104" s="22" t="str">
        <f>IF(OR(E4104="",E4104="!!!"),"",IF(NOT(ISNA(VLOOKUP(E4104,E$1:E4103,1,FALSE()))),"OLD",IF(AND(E4104&lt;&gt;"",E4104&lt;&gt;"!!!"),"NEW","")))</f>
        <v> </v>
      </c>
      <c r="G4104" s="23" t="str">
        <f>IF(OR(E4104="",E4104="!!!"),"",IF(OR(J4104=0,AND(J4104=1,K4104=1),AND(J4104=1,I4104="SBJ"),AND(J4104=1,I4104=0)),"?IN_FOCUS",IF(J4104&lt;=2,"?ACTIVATED",IF(J4104&lt;&gt;"","?FAMILIAR",IF(F4104="NEW",IF(ISNA(VLOOKUP(E4104,#REF!,1,FALSE())),"?TYPE_IDENTIFIABLE","?REFERENTIAL"),"_")))))</f>
        <v> </v>
      </c>
      <c r="H4104" s="24" t="str">
        <f>IF(J4104&lt;&gt;1,"",IF(I4104="SBJ","CB","?"))</f>
        <v> </v>
      </c>
      <c r="I4104" s="25" t="str">
        <f>IF(OR(E4104="",E4104="!!!",F4104="NEW"),"",INDEX(B4103:B$2,-1+SUMPRODUCT(MAX(ROW(E4103:E$2)*(E4104=E4103:E$2)))))</f>
        <v> </v>
      </c>
      <c r="J4104" s="25" t="str">
        <f>IF(OR(E4104="",E4104="!!!",F4104="NEW"),"",COUNTBLANK(OFFSET(A$1,,,SUMPRODUCT(MAX(ROW(E$2:E4104)*(E4104=E$2:E4104)))))-COUNTBLANK(OFFSET(A$1,,,SUMPRODUCT(MAX(ROW(E$1:E4103)*(E2=E$1:E4103))))))</f>
        <v> </v>
      </c>
      <c r="K4104" s="25" t="str">
        <f>IF(OR(E4104="",E4104="!!!",F4104="NEW"),"",INDEX(J$1:J4103,SUMPRODUCT(MAX(ROW(E$1:E4103)*(E4104=E$1:E4103)))))</f>
        <v> </v>
      </c>
      <c r="L4104" s="26"/>
    </row>
    <row r="4105" spans="1:12">
      <c r="A4105" s="20" t="s">
        <v>1315</v>
      </c>
      <c r="E4105" s="21">
        <f>IF(D4105="?OLD","!!!","")</f>
        <v/>
      </c>
      <c r="F4105" s="22" t="str">
        <f>IF(OR(E4105="",E4105="!!!"),"",IF(NOT(ISNA(VLOOKUP(E4105,E$1:E4104,1,FALSE()))),"OLD",IF(AND(E4105&lt;&gt;"",E4105&lt;&gt;"!!!"),"NEW","")))</f>
        <v> </v>
      </c>
      <c r="G4105" s="23" t="str">
        <f>IF(OR(E4105="",E4105="!!!"),"",IF(OR(J4105=0,AND(J4105=1,K4105=1),AND(J4105=1,I4105="SBJ"),AND(J4105=1,I4105=0)),"?IN_FOCUS",IF(J4105&lt;=2,"?ACTIVATED",IF(J4105&lt;&gt;"","?FAMILIAR",IF(F4105="NEW",IF(ISNA(VLOOKUP(E4105,#REF!,1,FALSE())),"?TYPE_IDENTIFIABLE","?REFERENTIAL"),"_")))))</f>
        <v> </v>
      </c>
      <c r="H4105" s="24" t="str">
        <f>IF(J4105&lt;&gt;1,"",IF(I4105="SBJ","CB","?"))</f>
        <v> </v>
      </c>
      <c r="I4105" s="25" t="str">
        <f>IF(OR(E4105="",E4105="!!!",F4105="NEW"),"",INDEX(B4104:B$2,-1+SUMPRODUCT(MAX(ROW(E4104:E$2)*(E4105=E4104:E$2)))))</f>
        <v> </v>
      </c>
      <c r="J4105" s="25" t="str">
        <f>IF(OR(E4105="",E4105="!!!",F4105="NEW"),"",COUNTBLANK(OFFSET(A$1,,,SUMPRODUCT(MAX(ROW(E$2:E4105)*(E4105=E$2:E4105)))))-COUNTBLANK(OFFSET(A$1,,,SUMPRODUCT(MAX(ROW(E$1:E4104)*(E2=E$1:E4104))))))</f>
        <v> </v>
      </c>
      <c r="K4105" s="25" t="str">
        <f>IF(OR(E4105="",E4105="!!!",F4105="NEW"),"",INDEX(J$1:J4104,SUMPRODUCT(MAX(ROW(E$1:E4104)*(E4105=E$1:E4104)))))</f>
        <v> </v>
      </c>
      <c r="L4105" s="26"/>
    </row>
    <row r="4106" spans="1:12">
      <c r="A4106" s="20" t="s">
        <v>757</v>
      </c>
      <c r="E4106" s="21">
        <f>IF(D4106="?OLD","!!!","")</f>
        <v/>
      </c>
      <c r="F4106" s="22" t="str">
        <f>IF(OR(E4106="",E4106="!!!"),"",IF(NOT(ISNA(VLOOKUP(E4106,E$1:E4105,1,FALSE()))),"OLD",IF(AND(E4106&lt;&gt;"",E4106&lt;&gt;"!!!"),"NEW","")))</f>
        <v> </v>
      </c>
      <c r="G4106" s="23" t="str">
        <f>IF(OR(E4106="",E4106="!!!"),"",IF(OR(J4106=0,AND(J4106=1,K4106=1),AND(J4106=1,I4106="SBJ"),AND(J4106=1,I4106=0)),"?IN_FOCUS",IF(J4106&lt;=2,"?ACTIVATED",IF(J4106&lt;&gt;"","?FAMILIAR",IF(F4106="NEW",IF(ISNA(VLOOKUP(E4106,#REF!,1,FALSE())),"?TYPE_IDENTIFIABLE","?REFERENTIAL"),"_")))))</f>
        <v> </v>
      </c>
      <c r="H4106" s="24" t="str">
        <f>IF(J4106&lt;&gt;1,"",IF(I4106="SBJ","CB","?"))</f>
        <v> </v>
      </c>
      <c r="I4106" s="25" t="str">
        <f>IF(OR(E4106="",E4106="!!!",F4106="NEW"),"",INDEX(B4105:B$2,-1+SUMPRODUCT(MAX(ROW(E4105:E$2)*(E4106=E4105:E$2)))))</f>
        <v> </v>
      </c>
      <c r="J4106" s="25" t="str">
        <f>IF(OR(E4106="",E4106="!!!",F4106="NEW"),"",COUNTBLANK(OFFSET(A$1,,,SUMPRODUCT(MAX(ROW(E$2:E4106)*(E4106=E$2:E4106)))))-COUNTBLANK(OFFSET(A$1,,,SUMPRODUCT(MAX(ROW(E$1:E4105)*(E2=E$1:E4105))))))</f>
        <v> </v>
      </c>
      <c r="K4106" s="25" t="str">
        <f>IF(OR(E4106="",E4106="!!!",F4106="NEW"),"",INDEX(J$1:J4105,SUMPRODUCT(MAX(ROW(E$1:E4105)*(E4106=E$1:E4105)))))</f>
        <v> </v>
      </c>
      <c r="L4106" s="26"/>
    </row>
    <row r="4107" spans="1:12">
      <c r="A4107" s="20" t="s">
        <v>749</v>
      </c>
      <c r="E4107" s="21">
        <f>IF(D4107="?OLD","!!!","")</f>
        <v/>
      </c>
      <c r="F4107" s="22" t="str">
        <f>IF(OR(E4107="",E4107="!!!"),"",IF(NOT(ISNA(VLOOKUP(E4107,E$1:E4106,1,FALSE()))),"OLD",IF(AND(E4107&lt;&gt;"",E4107&lt;&gt;"!!!"),"NEW","")))</f>
        <v> </v>
      </c>
      <c r="G4107" s="23" t="str">
        <f>IF(OR(E4107="",E4107="!!!"),"",IF(OR(J4107=0,AND(J4107=1,K4107=1),AND(J4107=1,I4107="SBJ"),AND(J4107=1,I4107=0)),"?IN_FOCUS",IF(J4107&lt;=2,"?ACTIVATED",IF(J4107&lt;&gt;"","?FAMILIAR",IF(F4107="NEW",IF(ISNA(VLOOKUP(E4107,#REF!,1,FALSE())),"?TYPE_IDENTIFIABLE","?REFERENTIAL"),"_")))))</f>
        <v> </v>
      </c>
      <c r="H4107" s="24" t="str">
        <f>IF(J4107&lt;&gt;1,"",IF(I4107="SBJ","CB","?"))</f>
        <v> </v>
      </c>
      <c r="I4107" s="25" t="str">
        <f>IF(OR(E4107="",E4107="!!!",F4107="NEW"),"",INDEX(B4106:B$2,-1+SUMPRODUCT(MAX(ROW(E4106:E$2)*(E4107=E4106:E$2)))))</f>
        <v> </v>
      </c>
      <c r="J4107" s="25" t="str">
        <f>IF(OR(E4107="",E4107="!!!",F4107="NEW"),"",COUNTBLANK(OFFSET(A$1,,,SUMPRODUCT(MAX(ROW(E$2:E4107)*(E4107=E$2:E4107)))))-COUNTBLANK(OFFSET(A$1,,,SUMPRODUCT(MAX(ROW(E$1:E4106)*(E2=E$1:E4106))))))</f>
        <v> </v>
      </c>
      <c r="K4107" s="25" t="str">
        <f>IF(OR(E4107="",E4107="!!!",F4107="NEW"),"",INDEX(J$1:J4106,SUMPRODUCT(MAX(ROW(E$1:E4106)*(E4107=E$1:E4106)))))</f>
        <v> </v>
      </c>
      <c r="L4107" s="26"/>
    </row>
    <row r="4108" spans="1:12">
      <c r="A4108" s="20" t="s">
        <v>983</v>
      </c>
      <c r="B4108" s="27" t="s">
        <v>796</v>
      </c>
      <c r="C4108" s="27" t="s">
        <v>797</v>
      </c>
      <c r="D4108" s="27" t="s">
        <v>762</v>
      </c>
      <c r="E4108" s="21">
        <f>IF(D4108="?OLD","!!!","")</f>
        <v/>
      </c>
      <c r="F4108" s="22" t="str">
        <f>IF(OR(E4108="",E4108="!!!"),"",IF(NOT(ISNA(VLOOKUP(E4108,E$1:E4107,1,FALSE()))),"OLD",IF(AND(E4108&lt;&gt;"",E4108&lt;&gt;"!!!"),"NEW","")))</f>
        <v> </v>
      </c>
      <c r="G4108" s="23" t="str">
        <f>IF(OR(E4108="",E4108="!!!"),"",IF(OR(J4108=0,AND(J4108=1,K4108=1),AND(J4108=1,I4108="SBJ"),AND(J4108=1,I4108=0)),"?IN_FOCUS",IF(J4108&lt;=2,"?ACTIVATED",IF(J4108&lt;&gt;"","?FAMILIAR",IF(F4108="NEW",IF(ISNA(VLOOKUP(E4108,#REF!,1,FALSE())),"?TYPE_IDENTIFIABLE","?REFERENTIAL"),"_")))))</f>
        <v> </v>
      </c>
      <c r="H4108" s="24" t="str">
        <f>IF(J4108&lt;&gt;1,"",IF(I4108="SBJ","CB","?"))</f>
        <v> </v>
      </c>
      <c r="I4108" s="25" t="str">
        <f>IF(OR(E4108="",E4108="!!!",F4108="NEW"),"",INDEX(B4107:B$2,-1+SUMPRODUCT(MAX(ROW(E4107:E$2)*(E4108=E4107:E$2)))))</f>
        <v> </v>
      </c>
      <c r="J4108" s="25" t="str">
        <f>IF(OR(E4108="",E4108="!!!",F4108="NEW"),"",COUNTBLANK(OFFSET(A$1,,,SUMPRODUCT(MAX(ROW(E$2:E4108)*(E4108=E$2:E4108)))))-COUNTBLANK(OFFSET(A$1,,,SUMPRODUCT(MAX(ROW(E$1:E4107)*(E2=E$1:E4107))))))</f>
        <v> </v>
      </c>
      <c r="K4108" s="25" t="str">
        <f>IF(OR(E4108="",E4108="!!!",F4108="NEW"),"",INDEX(J$1:J4107,SUMPRODUCT(MAX(ROW(E$1:E4107)*(E4108=E$1:E4107)))))</f>
        <v> </v>
      </c>
      <c r="L4108" s="26"/>
    </row>
    <row r="4109" spans="1:12">
      <c r="A4109" s="20" t="s">
        <v>811</v>
      </c>
      <c r="E4109" s="21">
        <f>IF(D4109="?OLD","!!!","")</f>
        <v/>
      </c>
      <c r="F4109" s="22" t="str">
        <f>IF(OR(E4109="",E4109="!!!"),"",IF(NOT(ISNA(VLOOKUP(E4109,E$1:E4108,1,FALSE()))),"OLD",IF(AND(E4109&lt;&gt;"",E4109&lt;&gt;"!!!"),"NEW","")))</f>
        <v> </v>
      </c>
      <c r="G4109" s="23" t="str">
        <f>IF(OR(E4109="",E4109="!!!"),"",IF(OR(J4109=0,AND(J4109=1,K4109=1),AND(J4109=1,I4109="SBJ"),AND(J4109=1,I4109=0)),"?IN_FOCUS",IF(J4109&lt;=2,"?ACTIVATED",IF(J4109&lt;&gt;"","?FAMILIAR",IF(F4109="NEW",IF(ISNA(VLOOKUP(E4109,#REF!,1,FALSE())),"?TYPE_IDENTIFIABLE","?REFERENTIAL"),"_")))))</f>
        <v> </v>
      </c>
      <c r="H4109" s="24" t="str">
        <f>IF(J4109&lt;&gt;1,"",IF(I4109="SBJ","CB","?"))</f>
        <v> </v>
      </c>
      <c r="I4109" s="25" t="str">
        <f>IF(OR(E4109="",E4109="!!!",F4109="NEW"),"",INDEX(B4108:B$2,-1+SUMPRODUCT(MAX(ROW(E4108:E$2)*(E4109=E4108:E$2)))))</f>
        <v> </v>
      </c>
      <c r="J4109" s="25" t="str">
        <f>IF(OR(E4109="",E4109="!!!",F4109="NEW"),"",COUNTBLANK(OFFSET(A$1,,,SUMPRODUCT(MAX(ROW(E$2:E4109)*(E4109=E$2:E4109)))))-COUNTBLANK(OFFSET(A$1,,,SUMPRODUCT(MAX(ROW(E$1:E4108)*(E2=E$1:E4108))))))</f>
        <v> </v>
      </c>
      <c r="K4109" s="25" t="str">
        <f>IF(OR(E4109="",E4109="!!!",F4109="NEW"),"",INDEX(J$1:J4108,SUMPRODUCT(MAX(ROW(E$1:E4108)*(E4109=E$1:E4108)))))</f>
        <v> </v>
      </c>
      <c r="L4109" s="26"/>
    </row>
    <row r="4110" spans="1:12">
      <c r="A4110" s="20" t="s">
        <v>1912</v>
      </c>
      <c r="E4110" s="21">
        <f>IF(D4110="?OLD","!!!","")</f>
        <v/>
      </c>
      <c r="F4110" s="22" t="str">
        <f>IF(OR(E4110="",E4110="!!!"),"",IF(NOT(ISNA(VLOOKUP(E4110,E$1:E4109,1,FALSE()))),"OLD",IF(AND(E4110&lt;&gt;"",E4110&lt;&gt;"!!!"),"NEW","")))</f>
        <v> </v>
      </c>
      <c r="G4110" s="23" t="str">
        <f>IF(OR(E4110="",E4110="!!!"),"",IF(OR(J4110=0,AND(J4110=1,K4110=1),AND(J4110=1,I4110="SBJ"),AND(J4110=1,I4110=0)),"?IN_FOCUS",IF(J4110&lt;=2,"?ACTIVATED",IF(J4110&lt;&gt;"","?FAMILIAR",IF(F4110="NEW",IF(ISNA(VLOOKUP(E4110,#REF!,1,FALSE())),"?TYPE_IDENTIFIABLE","?REFERENTIAL"),"_")))))</f>
        <v> </v>
      </c>
      <c r="H4110" s="24" t="str">
        <f>IF(J4110&lt;&gt;1,"",IF(I4110="SBJ","CB","?"))</f>
        <v> </v>
      </c>
      <c r="I4110" s="25" t="str">
        <f>IF(OR(E4110="",E4110="!!!",F4110="NEW"),"",INDEX(B4109:B$2,-1+SUMPRODUCT(MAX(ROW(E4109:E$2)*(E4110=E4109:E$2)))))</f>
        <v> </v>
      </c>
      <c r="J4110" s="25" t="str">
        <f>IF(OR(E4110="",E4110="!!!",F4110="NEW"),"",COUNTBLANK(OFFSET(A$1,,,SUMPRODUCT(MAX(ROW(E$2:E4110)*(E4110=E$2:E4110)))))-COUNTBLANK(OFFSET(A$1,,,SUMPRODUCT(MAX(ROW(E$1:E4109)*(E2=E$1:E4109))))))</f>
        <v> </v>
      </c>
      <c r="K4110" s="25" t="str">
        <f>IF(OR(E4110="",E4110="!!!",F4110="NEW"),"",INDEX(J$1:J4109,SUMPRODUCT(MAX(ROW(E$1:E4109)*(E4110=E$1:E4109)))))</f>
        <v> </v>
      </c>
      <c r="L4110" s="26"/>
    </row>
    <row r="4111" spans="1:12">
      <c r="A4111" s="20" t="s">
        <v>804</v>
      </c>
      <c r="E4111" s="21">
        <f>IF(D4111="?OLD","!!!","")</f>
        <v/>
      </c>
      <c r="F4111" s="22" t="str">
        <f>IF(OR(E4111="",E4111="!!!"),"",IF(NOT(ISNA(VLOOKUP(E4111,E$1:E4110,1,FALSE()))),"OLD",IF(AND(E4111&lt;&gt;"",E4111&lt;&gt;"!!!"),"NEW","")))</f>
        <v> </v>
      </c>
      <c r="G4111" s="23" t="str">
        <f>IF(OR(E4111="",E4111="!!!"),"",IF(OR(J4111=0,AND(J4111=1,K4111=1),AND(J4111=1,I4111="SBJ"),AND(J4111=1,I4111=0)),"?IN_FOCUS",IF(J4111&lt;=2,"?ACTIVATED",IF(J4111&lt;&gt;"","?FAMILIAR",IF(F4111="NEW",IF(ISNA(VLOOKUP(E4111,#REF!,1,FALSE())),"?TYPE_IDENTIFIABLE","?REFERENTIAL"),"_")))))</f>
        <v> </v>
      </c>
      <c r="H4111" s="24" t="str">
        <f>IF(J4111&lt;&gt;1,"",IF(I4111="SBJ","CB","?"))</f>
        <v> </v>
      </c>
      <c r="I4111" s="25" t="str">
        <f>IF(OR(E4111="",E4111="!!!",F4111="NEW"),"",INDEX(B4110:B$2,-1+SUMPRODUCT(MAX(ROW(E4110:E$2)*(E4111=E4110:E$2)))))</f>
        <v> </v>
      </c>
      <c r="J4111" s="25" t="str">
        <f>IF(OR(E4111="",E4111="!!!",F4111="NEW"),"",COUNTBLANK(OFFSET(A$1,,,SUMPRODUCT(MAX(ROW(E$2:E4111)*(E4111=E$2:E4111)))))-COUNTBLANK(OFFSET(A$1,,,SUMPRODUCT(MAX(ROW(E$1:E4110)*(E2=E$1:E4110))))))</f>
        <v> </v>
      </c>
      <c r="K4111" s="25" t="str">
        <f>IF(OR(E4111="",E4111="!!!",F4111="NEW"),"",INDEX(J$1:J4110,SUMPRODUCT(MAX(ROW(E$1:E4110)*(E4111=E$1:E4110)))))</f>
        <v> </v>
      </c>
      <c r="L4111" s="26"/>
    </row>
    <row r="4112" spans="1:12">
      <c r="A4112" s="20" t="s">
        <v>1115</v>
      </c>
      <c r="E4112" s="21">
        <f>IF(D4112="?OLD","!!!","")</f>
        <v/>
      </c>
      <c r="F4112" s="22" t="str">
        <f>IF(OR(E4112="",E4112="!!!"),"",IF(NOT(ISNA(VLOOKUP(E4112,E$1:E4111,1,FALSE()))),"OLD",IF(AND(E4112&lt;&gt;"",E4112&lt;&gt;"!!!"),"NEW","")))</f>
        <v> </v>
      </c>
      <c r="G4112" s="23" t="str">
        <f>IF(OR(E4112="",E4112="!!!"),"",IF(OR(J4112=0,AND(J4112=1,K4112=1),AND(J4112=1,I4112="SBJ"),AND(J4112=1,I4112=0)),"?IN_FOCUS",IF(J4112&lt;=2,"?ACTIVATED",IF(J4112&lt;&gt;"","?FAMILIAR",IF(F4112="NEW",IF(ISNA(VLOOKUP(E4112,#REF!,1,FALSE())),"?TYPE_IDENTIFIABLE","?REFERENTIAL"),"_")))))</f>
        <v> </v>
      </c>
      <c r="H4112" s="24" t="str">
        <f>IF(J4112&lt;&gt;1,"",IF(I4112="SBJ","CB","?"))</f>
        <v> </v>
      </c>
      <c r="I4112" s="25" t="str">
        <f>IF(OR(E4112="",E4112="!!!",F4112="NEW"),"",INDEX(B4111:B$2,-1+SUMPRODUCT(MAX(ROW(E4111:E$2)*(E4112=E4111:E$2)))))</f>
        <v> </v>
      </c>
      <c r="J4112" s="25" t="str">
        <f>IF(OR(E4112="",E4112="!!!",F4112="NEW"),"",COUNTBLANK(OFFSET(A$1,,,SUMPRODUCT(MAX(ROW(E$2:E4112)*(E4112=E$2:E4112)))))-COUNTBLANK(OFFSET(A$1,,,SUMPRODUCT(MAX(ROW(E$1:E4111)*(E2=E$1:E4111))))))</f>
        <v> </v>
      </c>
      <c r="K4112" s="25" t="str">
        <f>IF(OR(E4112="",E4112="!!!",F4112="NEW"),"",INDEX(J$1:J4111,SUMPRODUCT(MAX(ROW(E$1:E4111)*(E4112=E$1:E4111)))))</f>
        <v> </v>
      </c>
      <c r="L4112" s="26"/>
    </row>
    <row r="4113" spans="1:12">
      <c r="A4113" s="20" t="s">
        <v>954</v>
      </c>
      <c r="B4113" s="27" t="s">
        <v>802</v>
      </c>
      <c r="C4113" s="27" t="s">
        <v>777</v>
      </c>
      <c r="D4113" s="27" t="s">
        <v>762</v>
      </c>
      <c r="E4113" s="21">
        <f>IF(D4113="?OLD","!!!","")</f>
        <v/>
      </c>
      <c r="F4113" s="22" t="str">
        <f>IF(OR(E4113="",E4113="!!!"),"",IF(NOT(ISNA(VLOOKUP(E4113,E$1:E4112,1,FALSE()))),"OLD",IF(AND(E4113&lt;&gt;"",E4113&lt;&gt;"!!!"),"NEW","")))</f>
        <v> </v>
      </c>
      <c r="G4113" s="23" t="str">
        <f>IF(OR(E4113="",E4113="!!!"),"",IF(OR(J4113=0,AND(J4113=1,K4113=1),AND(J4113=1,I4113="SBJ"),AND(J4113=1,I4113=0)),"?IN_FOCUS",IF(J4113&lt;=2,"?ACTIVATED",IF(J4113&lt;&gt;"","?FAMILIAR",IF(F4113="NEW",IF(ISNA(VLOOKUP(E4113,#REF!,1,FALSE())),"?TYPE_IDENTIFIABLE","?REFERENTIAL"),"_")))))</f>
        <v> </v>
      </c>
      <c r="H4113" s="24" t="str">
        <f>IF(J4113&lt;&gt;1,"",IF(I4113="SBJ","CB","?"))</f>
        <v> </v>
      </c>
      <c r="I4113" s="25" t="str">
        <f>IF(OR(E4113="",E4113="!!!",F4113="NEW"),"",INDEX(B4112:B$2,-1+SUMPRODUCT(MAX(ROW(E4112:E$2)*(E4113=E4112:E$2)))))</f>
        <v> </v>
      </c>
      <c r="J4113" s="25" t="str">
        <f>IF(OR(E4113="",E4113="!!!",F4113="NEW"),"",COUNTBLANK(OFFSET(A$1,,,SUMPRODUCT(MAX(ROW(E$2:E4113)*(E4113=E$2:E4113)))))-COUNTBLANK(OFFSET(A$1,,,SUMPRODUCT(MAX(ROW(E$1:E4112)*(E2=E$1:E4112))))))</f>
        <v> </v>
      </c>
      <c r="K4113" s="25" t="str">
        <f>IF(OR(E4113="",E4113="!!!",F4113="NEW"),"",INDEX(J$1:J4112,SUMPRODUCT(MAX(ROW(E$1:E4112)*(E4113=E$1:E4112)))))</f>
        <v> </v>
      </c>
      <c r="L4113" s="26"/>
    </row>
    <row r="4114" spans="1:12">
      <c r="A4114" s="20" t="s">
        <v>1020</v>
      </c>
      <c r="B4114" s="27" t="s">
        <v>941</v>
      </c>
      <c r="E4114" s="21">
        <f>IF(D4114="?OLD","!!!","")</f>
        <v/>
      </c>
      <c r="F4114" s="22" t="str">
        <f>IF(OR(E4114="",E4114="!!!"),"",IF(NOT(ISNA(VLOOKUP(E4114,E$1:E4113,1,FALSE()))),"OLD",IF(AND(E4114&lt;&gt;"",E4114&lt;&gt;"!!!"),"NEW","")))</f>
        <v> </v>
      </c>
      <c r="G4114" s="23" t="str">
        <f>IF(OR(E4114="",E4114="!!!"),"",IF(OR(J4114=0,AND(J4114=1,K4114=1),AND(J4114=1,I4114="SBJ"),AND(J4114=1,I4114=0)),"?IN_FOCUS",IF(J4114&lt;=2,"?ACTIVATED",IF(J4114&lt;&gt;"","?FAMILIAR",IF(F4114="NEW",IF(ISNA(VLOOKUP(E4114,#REF!,1,FALSE())),"?TYPE_IDENTIFIABLE","?REFERENTIAL"),"_")))))</f>
        <v> </v>
      </c>
      <c r="H4114" s="24" t="str">
        <f>IF(J4114&lt;&gt;1,"",IF(I4114="SBJ","CB","?"))</f>
        <v> </v>
      </c>
      <c r="I4114" s="25" t="str">
        <f>IF(OR(E4114="",E4114="!!!",F4114="NEW"),"",INDEX(B4113:B$2,-1+SUMPRODUCT(MAX(ROW(E4113:E$2)*(E4114=E4113:E$2)))))</f>
        <v> </v>
      </c>
      <c r="J4114" s="25" t="str">
        <f>IF(OR(E4114="",E4114="!!!",F4114="NEW"),"",COUNTBLANK(OFFSET(A$1,,,SUMPRODUCT(MAX(ROW(E$2:E4114)*(E4114=E$2:E4114)))))-COUNTBLANK(OFFSET(A$1,,,SUMPRODUCT(MAX(ROW(E$1:E4113)*(E2=E$1:E4113))))))</f>
        <v> </v>
      </c>
      <c r="K4114" s="25" t="str">
        <f>IF(OR(E4114="",E4114="!!!",F4114="NEW"),"",INDEX(J$1:J4113,SUMPRODUCT(MAX(ROW(E$1:E4113)*(E4114=E$1:E4113)))))</f>
        <v> </v>
      </c>
      <c r="L4114" s="26"/>
    </row>
    <row r="4115" spans="1:12">
      <c r="A4115" s="20" t="s">
        <v>1202</v>
      </c>
      <c r="E4115" s="21">
        <f>IF(D4115="?OLD","!!!","")</f>
        <v/>
      </c>
      <c r="F4115" s="22" t="str">
        <f>IF(OR(E4115="",E4115="!!!"),"",IF(NOT(ISNA(VLOOKUP(E4115,E$1:E4114,1,FALSE()))),"OLD",IF(AND(E4115&lt;&gt;"",E4115&lt;&gt;"!!!"),"NEW","")))</f>
        <v> </v>
      </c>
      <c r="G4115" s="23" t="str">
        <f>IF(OR(E4115="",E4115="!!!"),"",IF(OR(J4115=0,AND(J4115=1,K4115=1),AND(J4115=1,I4115="SBJ"),AND(J4115=1,I4115=0)),"?IN_FOCUS",IF(J4115&lt;=2,"?ACTIVATED",IF(J4115&lt;&gt;"","?FAMILIAR",IF(F4115="NEW",IF(ISNA(VLOOKUP(E4115,#REF!,1,FALSE())),"?TYPE_IDENTIFIABLE","?REFERENTIAL"),"_")))))</f>
        <v> </v>
      </c>
      <c r="H4115" s="24" t="str">
        <f>IF(J4115&lt;&gt;1,"",IF(I4115="SBJ","CB","?"))</f>
        <v> </v>
      </c>
      <c r="I4115" s="25" t="str">
        <f>IF(OR(E4115="",E4115="!!!",F4115="NEW"),"",INDEX(B4114:B$2,-1+SUMPRODUCT(MAX(ROW(E4114:E$2)*(E4115=E4114:E$2)))))</f>
        <v> </v>
      </c>
      <c r="J4115" s="25" t="str">
        <f>IF(OR(E4115="",E4115="!!!",F4115="NEW"),"",COUNTBLANK(OFFSET(A$1,,,SUMPRODUCT(MAX(ROW(E$2:E4115)*(E4115=E$2:E4115)))))-COUNTBLANK(OFFSET(A$1,,,SUMPRODUCT(MAX(ROW(E$1:E4114)*(E2=E$1:E4114))))))</f>
        <v> </v>
      </c>
      <c r="K4115" s="25" t="str">
        <f>IF(OR(E4115="",E4115="!!!",F4115="NEW"),"",INDEX(J$1:J4114,SUMPRODUCT(MAX(ROW(E$1:E4114)*(E4115=E$1:E4114)))))</f>
        <v> </v>
      </c>
      <c r="L4115" s="26"/>
    </row>
    <row r="4116" spans="1:12">
      <c r="A4116" s="20" t="s">
        <v>1911</v>
      </c>
      <c r="E4116" s="21">
        <f>IF(D4116="?OLD","!!!","")</f>
        <v/>
      </c>
      <c r="F4116" s="22" t="str">
        <f>IF(OR(E4116="",E4116="!!!"),"",IF(NOT(ISNA(VLOOKUP(E4116,E$1:E4115,1,FALSE()))),"OLD",IF(AND(E4116&lt;&gt;"",E4116&lt;&gt;"!!!"),"NEW","")))</f>
        <v> </v>
      </c>
      <c r="G4116" s="23" t="str">
        <f>IF(OR(E4116="",E4116="!!!"),"",IF(OR(J4116=0,AND(J4116=1,K4116=1),AND(J4116=1,I4116="SBJ"),AND(J4116=1,I4116=0)),"?IN_FOCUS",IF(J4116&lt;=2,"?ACTIVATED",IF(J4116&lt;&gt;"","?FAMILIAR",IF(F4116="NEW",IF(ISNA(VLOOKUP(E4116,#REF!,1,FALSE())),"?TYPE_IDENTIFIABLE","?REFERENTIAL"),"_")))))</f>
        <v> </v>
      </c>
      <c r="H4116" s="24" t="str">
        <f>IF(J4116&lt;&gt;1,"",IF(I4116="SBJ","CB","?"))</f>
        <v> </v>
      </c>
      <c r="I4116" s="25" t="str">
        <f>IF(OR(E4116="",E4116="!!!",F4116="NEW"),"",INDEX(B4115:B$2,-1+SUMPRODUCT(MAX(ROW(E4115:E$2)*(E4116=E4115:E$2)))))</f>
        <v> </v>
      </c>
      <c r="J4116" s="25" t="str">
        <f>IF(OR(E4116="",E4116="!!!",F4116="NEW"),"",COUNTBLANK(OFFSET(A$1,,,SUMPRODUCT(MAX(ROW(E$2:E4116)*(E4116=E$2:E4116)))))-COUNTBLANK(OFFSET(A$1,,,SUMPRODUCT(MAX(ROW(E$1:E4115)*(E2=E$1:E4115))))))</f>
        <v> </v>
      </c>
      <c r="K4116" s="25" t="str">
        <f>IF(OR(E4116="",E4116="!!!",F4116="NEW"),"",INDEX(J$1:J4115,SUMPRODUCT(MAX(ROW(E$1:E4115)*(E4116=E$1:E4115)))))</f>
        <v> </v>
      </c>
      <c r="L4116" s="26"/>
    </row>
    <row r="4117" spans="1:12">
      <c r="A4117" s="20" t="s">
        <v>1051</v>
      </c>
      <c r="E4117" s="21">
        <f>IF(D4117="?OLD","!!!","")</f>
        <v/>
      </c>
      <c r="F4117" s="22" t="str">
        <f>IF(OR(E4117="",E4117="!!!"),"",IF(NOT(ISNA(VLOOKUP(E4117,E$1:E4116,1,FALSE()))),"OLD",IF(AND(E4117&lt;&gt;"",E4117&lt;&gt;"!!!"),"NEW","")))</f>
        <v> </v>
      </c>
      <c r="G4117" s="23" t="str">
        <f>IF(OR(E4117="",E4117="!!!"),"",IF(OR(J4117=0,AND(J4117=1,K4117=1),AND(J4117=1,I4117="SBJ"),AND(J4117=1,I4117=0)),"?IN_FOCUS",IF(J4117&lt;=2,"?ACTIVATED",IF(J4117&lt;&gt;"","?FAMILIAR",IF(F4117="NEW",IF(ISNA(VLOOKUP(E4117,#REF!,1,FALSE())),"?TYPE_IDENTIFIABLE","?REFERENTIAL"),"_")))))</f>
        <v> </v>
      </c>
      <c r="H4117" s="24" t="str">
        <f>IF(J4117&lt;&gt;1,"",IF(I4117="SBJ","CB","?"))</f>
        <v> </v>
      </c>
      <c r="I4117" s="25" t="str">
        <f>IF(OR(E4117="",E4117="!!!",F4117="NEW"),"",INDEX(B4116:B$2,-1+SUMPRODUCT(MAX(ROW(E4116:E$2)*(E4117=E4116:E$2)))))</f>
        <v> </v>
      </c>
      <c r="J4117" s="25" t="str">
        <f>IF(OR(E4117="",E4117="!!!",F4117="NEW"),"",COUNTBLANK(OFFSET(A$1,,,SUMPRODUCT(MAX(ROW(E$2:E4117)*(E4117=E$2:E4117)))))-COUNTBLANK(OFFSET(A$1,,,SUMPRODUCT(MAX(ROW(E$1:E4116)*(E2=E$1:E4116))))))</f>
        <v> </v>
      </c>
      <c r="K4117" s="25" t="str">
        <f>IF(OR(E4117="",E4117="!!!",F4117="NEW"),"",INDEX(J$1:J4116,SUMPRODUCT(MAX(ROW(E$1:E4116)*(E4117=E$1:E4116)))))</f>
        <v> </v>
      </c>
      <c r="L4117" s="26"/>
    </row>
    <row r="4118" spans="1:12">
      <c r="A4118" s="20" t="s">
        <v>308</v>
      </c>
      <c r="E4118" s="21">
        <f>IF(D4118="?OLD","!!!","")</f>
        <v/>
      </c>
      <c r="F4118" s="22" t="str">
        <f>IF(OR(E4118="",E4118="!!!"),"",IF(NOT(ISNA(VLOOKUP(E4118,E$1:E4117,1,FALSE()))),"OLD",IF(AND(E4118&lt;&gt;"",E4118&lt;&gt;"!!!"),"NEW","")))</f>
        <v> </v>
      </c>
      <c r="G4118" s="23" t="str">
        <f>IF(OR(E4118="",E4118="!!!"),"",IF(OR(J4118=0,AND(J4118=1,K4118=1),AND(J4118=1,I4118="SBJ"),AND(J4118=1,I4118=0)),"?IN_FOCUS",IF(J4118&lt;=2,"?ACTIVATED",IF(J4118&lt;&gt;"","?FAMILIAR",IF(F4118="NEW",IF(ISNA(VLOOKUP(E4118,#REF!,1,FALSE())),"?TYPE_IDENTIFIABLE","?REFERENTIAL"),"_")))))</f>
        <v> </v>
      </c>
      <c r="H4118" s="24" t="str">
        <f>IF(J4118&lt;&gt;1,"",IF(I4118="SBJ","CB","?"))</f>
        <v> </v>
      </c>
      <c r="I4118" s="25" t="str">
        <f>IF(OR(E4118="",E4118="!!!",F4118="NEW"),"",INDEX(B4117:B$2,-1+SUMPRODUCT(MAX(ROW(E4117:E$2)*(E4118=E4117:E$2)))))</f>
        <v> </v>
      </c>
      <c r="J4118" s="25" t="str">
        <f>IF(OR(E4118="",E4118="!!!",F4118="NEW"),"",COUNTBLANK(OFFSET(A$1,,,SUMPRODUCT(MAX(ROW(E$2:E4118)*(E4118=E$2:E4118)))))-COUNTBLANK(OFFSET(A$1,,,SUMPRODUCT(MAX(ROW(E$1:E4117)*(E2=E$1:E4117))))))</f>
        <v> </v>
      </c>
      <c r="K4118" s="25" t="str">
        <f>IF(OR(E4118="",E4118="!!!",F4118="NEW"),"",INDEX(J$1:J4117,SUMPRODUCT(MAX(ROW(E$1:E4117)*(E4118=E$1:E4117)))))</f>
        <v> </v>
      </c>
      <c r="L4118" s="26"/>
    </row>
    <row r="4119" spans="1:12">
      <c r="A4119" s="20" t="s">
        <v>774</v>
      </c>
      <c r="E4119" s="21">
        <f>IF(D4119="?OLD","!!!","")</f>
        <v/>
      </c>
      <c r="F4119" s="22" t="str">
        <f>IF(OR(E4119="",E4119="!!!"),"",IF(NOT(ISNA(VLOOKUP(E4119,E$1:E4118,1,FALSE()))),"OLD",IF(AND(E4119&lt;&gt;"",E4119&lt;&gt;"!!!"),"NEW","")))</f>
        <v> </v>
      </c>
      <c r="G4119" s="23" t="str">
        <f>IF(OR(E4119="",E4119="!!!"),"",IF(OR(J4119=0,AND(J4119=1,K4119=1),AND(J4119=1,I4119="SBJ"),AND(J4119=1,I4119=0)),"?IN_FOCUS",IF(J4119&lt;=2,"?ACTIVATED",IF(J4119&lt;&gt;"","?FAMILIAR",IF(F4119="NEW",IF(ISNA(VLOOKUP(E4119,#REF!,1,FALSE())),"?TYPE_IDENTIFIABLE","?REFERENTIAL"),"_")))))</f>
        <v> </v>
      </c>
      <c r="H4119" s="24" t="str">
        <f>IF(J4119&lt;&gt;1,"",IF(I4119="SBJ","CB","?"))</f>
        <v> </v>
      </c>
      <c r="I4119" s="25" t="str">
        <f>IF(OR(E4119="",E4119="!!!",F4119="NEW"),"",INDEX(B4118:B$2,-1+SUMPRODUCT(MAX(ROW(E4118:E$2)*(E4119=E4118:E$2)))))</f>
        <v> </v>
      </c>
      <c r="J4119" s="25" t="str">
        <f>IF(OR(E4119="",E4119="!!!",F4119="NEW"),"",COUNTBLANK(OFFSET(A$1,,,SUMPRODUCT(MAX(ROW(E$2:E4119)*(E4119=E$2:E4119)))))-COUNTBLANK(OFFSET(A$1,,,SUMPRODUCT(MAX(ROW(E$1:E4118)*(E2=E$1:E4118))))))</f>
        <v> </v>
      </c>
      <c r="K4119" s="25" t="str">
        <f>IF(OR(E4119="",E4119="!!!",F4119="NEW"),"",INDEX(J$1:J4118,SUMPRODUCT(MAX(ROW(E$1:E4118)*(E4119=E$1:E4118)))))</f>
        <v> </v>
      </c>
      <c r="L4119" s="26"/>
    </row>
    <row r="4120" spans="1:12">
      <c r="A4120" s="20"/>
    </row>
    <row r="4121" spans="1:12">
      <c r="A4121" s="20" t="s">
        <v>1913</v>
      </c>
    </row>
    <row r="4122" spans="1:12">
      <c r="A4122" s="20" t="s">
        <v>987</v>
      </c>
      <c r="B4122" s="27" t="s">
        <v>753</v>
      </c>
      <c r="C4122" s="27" t="s">
        <v>777</v>
      </c>
      <c r="D4122" s="27" t="s">
        <v>762</v>
      </c>
      <c r="E4122" s="21">
        <f>IF(D4122="?OLD","!!!","")</f>
        <v/>
      </c>
      <c r="F4122" s="22" t="str">
        <f>IF(OR(E4122="",E4122="!!!"),"",IF(NOT(ISNA(VLOOKUP(E4122,E$1:E4121,1,FALSE()))),"OLD",IF(AND(E4122&lt;&gt;"",E4122&lt;&gt;"!!!"),"NEW","")))</f>
        <v> </v>
      </c>
      <c r="G4122" s="23" t="str">
        <f>IF(OR(E4122="",E4122="!!!"),"",IF(OR(J4122=0,AND(J4122=1,K4122=1),AND(J4122=1,I4122="SBJ"),AND(J4122=1,I4122=0)),"?IN_FOCUS",IF(J4122&lt;=2,"?ACTIVATED",IF(J4122&lt;&gt;"","?FAMILIAR",IF(F4122="NEW",IF(ISNA(VLOOKUP(E4122,#REF!,1,FALSE())),"?TYPE_IDENTIFIABLE","?REFERENTIAL"),"_")))))</f>
        <v> </v>
      </c>
      <c r="H4122" s="24" t="str">
        <f>IF(J4122&lt;&gt;1,"",IF(I4122="SBJ","CB","?"))</f>
        <v> </v>
      </c>
      <c r="I4122" s="25" t="str">
        <f>IF(OR(E4122="",E4122="!!!",F4122="NEW"),"",INDEX(B4121:B$2,-1+SUMPRODUCT(MAX(ROW(E4121:E$2)*(E4122=E4121:E$2)))))</f>
        <v> </v>
      </c>
      <c r="J4122" s="25" t="str">
        <f>IF(OR(E4122="",E4122="!!!",F4122="NEW"),"",COUNTBLANK(OFFSET(A$1,,,SUMPRODUCT(MAX(ROW(E$2:E4122)*(E4122=E$2:E4122)))))-COUNTBLANK(OFFSET(A$1,,,SUMPRODUCT(MAX(ROW(E$1:E4121)*(E2=E$1:E4121))))))</f>
        <v> </v>
      </c>
      <c r="K4122" s="25" t="str">
        <f>IF(OR(E4122="",E4122="!!!",F4122="NEW"),"",INDEX(J$1:J4121,SUMPRODUCT(MAX(ROW(E$1:E4121)*(E4122=E$1:E4121)))))</f>
        <v> </v>
      </c>
      <c r="L4122" s="26"/>
    </row>
    <row r="4123" spans="1:12">
      <c r="A4123" s="20" t="s">
        <v>793</v>
      </c>
      <c r="B4123" s="27" t="s">
        <v>894</v>
      </c>
      <c r="E4123" s="21">
        <f>IF(D4123="?OLD","!!!","")</f>
        <v/>
      </c>
      <c r="F4123" s="22" t="str">
        <f>IF(OR(E4123="",E4123="!!!"),"",IF(NOT(ISNA(VLOOKUP(E4123,E$1:E4122,1,FALSE()))),"OLD",IF(AND(E4123&lt;&gt;"",E4123&lt;&gt;"!!!"),"NEW","")))</f>
        <v> </v>
      </c>
      <c r="G4123" s="23" t="str">
        <f>IF(OR(E4123="",E4123="!!!"),"",IF(OR(J4123=0,AND(J4123=1,K4123=1),AND(J4123=1,I4123="SBJ"),AND(J4123=1,I4123=0)),"?IN_FOCUS",IF(J4123&lt;=2,"?ACTIVATED",IF(J4123&lt;&gt;"","?FAMILIAR",IF(F4123="NEW",IF(ISNA(VLOOKUP(E4123,#REF!,1,FALSE())),"?TYPE_IDENTIFIABLE","?REFERENTIAL"),"_")))))</f>
        <v> </v>
      </c>
      <c r="H4123" s="24" t="str">
        <f>IF(J4123&lt;&gt;1,"",IF(I4123="SBJ","CB","?"))</f>
        <v> </v>
      </c>
      <c r="I4123" s="25" t="str">
        <f>IF(OR(E4123="",E4123="!!!",F4123="NEW"),"",INDEX(B4122:B$2,-1+SUMPRODUCT(MAX(ROW(E4122:E$2)*(E4123=E4122:E$2)))))</f>
        <v> </v>
      </c>
      <c r="J4123" s="25" t="str">
        <f>IF(OR(E4123="",E4123="!!!",F4123="NEW"),"",COUNTBLANK(OFFSET(A$1,,,SUMPRODUCT(MAX(ROW(E$2:E4123)*(E4123=E$2:E4123)))))-COUNTBLANK(OFFSET(A$1,,,SUMPRODUCT(MAX(ROW(E$1:E4122)*(E2=E$1:E4122))))))</f>
        <v> </v>
      </c>
      <c r="K4123" s="25" t="str">
        <f>IF(OR(E4123="",E4123="!!!",F4123="NEW"),"",INDEX(J$1:J4122,SUMPRODUCT(MAX(ROW(E$1:E4122)*(E4123=E$1:E4122)))))</f>
        <v> </v>
      </c>
      <c r="L4123" s="26"/>
    </row>
    <row r="4124" spans="1:12">
      <c r="A4124" s="20" t="s">
        <v>827</v>
      </c>
      <c r="B4124" s="27" t="s">
        <v>956</v>
      </c>
      <c r="C4124" s="27" t="s">
        <v>797</v>
      </c>
      <c r="D4124" s="27" t="s">
        <v>762</v>
      </c>
      <c r="E4124" s="21">
        <f>IF(D4124="?OLD","!!!","")</f>
        <v/>
      </c>
      <c r="F4124" s="22" t="str">
        <f>IF(OR(E4124="",E4124="!!!"),"",IF(NOT(ISNA(VLOOKUP(E4124,E$1:E4123,1,FALSE()))),"OLD",IF(AND(E4124&lt;&gt;"",E4124&lt;&gt;"!!!"),"NEW","")))</f>
        <v> </v>
      </c>
      <c r="G4124" s="23" t="str">
        <f>IF(OR(E4124="",E4124="!!!"),"",IF(OR(J4124=0,AND(J4124=1,K4124=1),AND(J4124=1,I4124="SBJ"),AND(J4124=1,I4124=0)),"?IN_FOCUS",IF(J4124&lt;=2,"?ACTIVATED",IF(J4124&lt;&gt;"","?FAMILIAR",IF(F4124="NEW",IF(ISNA(VLOOKUP(E4124,#REF!,1,FALSE())),"?TYPE_IDENTIFIABLE","?REFERENTIAL"),"_")))))</f>
        <v> </v>
      </c>
      <c r="H4124" s="24" t="str">
        <f>IF(J4124&lt;&gt;1,"",IF(I4124="SBJ","CB","?"))</f>
        <v> </v>
      </c>
      <c r="I4124" s="25" t="str">
        <f>IF(OR(E4124="",E4124="!!!",F4124="NEW"),"",INDEX(B4123:B$2,-1+SUMPRODUCT(MAX(ROW(E4123:E$2)*(E4124=E4123:E$2)))))</f>
        <v> </v>
      </c>
      <c r="J4124" s="25" t="str">
        <f>IF(OR(E4124="",E4124="!!!",F4124="NEW"),"",COUNTBLANK(OFFSET(A$1,,,SUMPRODUCT(MAX(ROW(E$2:E4124)*(E4124=E$2:E4124)))))-COUNTBLANK(OFFSET(A$1,,,SUMPRODUCT(MAX(ROW(E$1:E4123)*(E2=E$1:E4123))))))</f>
        <v> </v>
      </c>
      <c r="K4124" s="25" t="str">
        <f>IF(OR(E4124="",E4124="!!!",F4124="NEW"),"",INDEX(J$1:J4123,SUMPRODUCT(MAX(ROW(E$1:E4123)*(E4124=E$1:E4123)))))</f>
        <v> </v>
      </c>
      <c r="L4124" s="26"/>
    </row>
    <row r="4125" spans="1:12">
      <c r="A4125" s="20" t="s">
        <v>1912</v>
      </c>
      <c r="E4125" s="21">
        <f>IF(D4125="?OLD","!!!","")</f>
        <v/>
      </c>
      <c r="F4125" s="22" t="str">
        <f>IF(OR(E4125="",E4125="!!!"),"",IF(NOT(ISNA(VLOOKUP(E4125,E$1:E4124,1,FALSE()))),"OLD",IF(AND(E4125&lt;&gt;"",E4125&lt;&gt;"!!!"),"NEW","")))</f>
        <v> </v>
      </c>
      <c r="G4125" s="23" t="str">
        <f>IF(OR(E4125="",E4125="!!!"),"",IF(OR(J4125=0,AND(J4125=1,K4125=1),AND(J4125=1,I4125="SBJ"),AND(J4125=1,I4125=0)),"?IN_FOCUS",IF(J4125&lt;=2,"?ACTIVATED",IF(J4125&lt;&gt;"","?FAMILIAR",IF(F4125="NEW",IF(ISNA(VLOOKUP(E4125,#REF!,1,FALSE())),"?TYPE_IDENTIFIABLE","?REFERENTIAL"),"_")))))</f>
        <v> </v>
      </c>
      <c r="H4125" s="24" t="str">
        <f>IF(J4125&lt;&gt;1,"",IF(I4125="SBJ","CB","?"))</f>
        <v> </v>
      </c>
      <c r="I4125" s="25" t="str">
        <f>IF(OR(E4125="",E4125="!!!",F4125="NEW"),"",INDEX(B4124:B$2,-1+SUMPRODUCT(MAX(ROW(E4124:E$2)*(E4125=E4124:E$2)))))</f>
        <v> </v>
      </c>
      <c r="J4125" s="25" t="str">
        <f>IF(OR(E4125="",E4125="!!!",F4125="NEW"),"",COUNTBLANK(OFFSET(A$1,,,SUMPRODUCT(MAX(ROW(E$2:E4125)*(E4125=E$2:E4125)))))-COUNTBLANK(OFFSET(A$1,,,SUMPRODUCT(MAX(ROW(E$1:E4124)*(E2=E$1:E4124))))))</f>
        <v> </v>
      </c>
      <c r="K4125" s="25" t="str">
        <f>IF(OR(E4125="",E4125="!!!",F4125="NEW"),"",INDEX(J$1:J4124,SUMPRODUCT(MAX(ROW(E$1:E4124)*(E4125=E$1:E4124)))))</f>
        <v> </v>
      </c>
      <c r="L4125" s="26"/>
    </row>
    <row r="4126" spans="1:12">
      <c r="A4126" s="20" t="s">
        <v>955</v>
      </c>
      <c r="B4126" s="27" t="s">
        <v>760</v>
      </c>
      <c r="C4126" s="27" t="s">
        <v>777</v>
      </c>
      <c r="D4126" s="27" t="s">
        <v>762</v>
      </c>
      <c r="E4126" s="21">
        <f>IF(D4126="?OLD","!!!","")</f>
        <v/>
      </c>
      <c r="F4126" s="22" t="str">
        <f>IF(OR(E4126="",E4126="!!!"),"",IF(NOT(ISNA(VLOOKUP(E4126,E$1:E4125,1,FALSE()))),"OLD",IF(AND(E4126&lt;&gt;"",E4126&lt;&gt;"!!!"),"NEW","")))</f>
        <v> </v>
      </c>
      <c r="G4126" s="23" t="str">
        <f>IF(OR(E4126="",E4126="!!!"),"",IF(OR(J4126=0,AND(J4126=1,K4126=1),AND(J4126=1,I4126="SBJ"),AND(J4126=1,I4126=0)),"?IN_FOCUS",IF(J4126&lt;=2,"?ACTIVATED",IF(J4126&lt;&gt;"","?FAMILIAR",IF(F4126="NEW",IF(ISNA(VLOOKUP(E4126,#REF!,1,FALSE())),"?TYPE_IDENTIFIABLE","?REFERENTIAL"),"_")))))</f>
        <v> </v>
      </c>
      <c r="H4126" s="24" t="str">
        <f>IF(J4126&lt;&gt;1,"",IF(I4126="SBJ","CB","?"))</f>
        <v> </v>
      </c>
      <c r="I4126" s="25" t="str">
        <f>IF(OR(E4126="",E4126="!!!",F4126="NEW"),"",INDEX(B4125:B$2,-1+SUMPRODUCT(MAX(ROW(E4125:E$2)*(E4126=E4125:E$2)))))</f>
        <v> </v>
      </c>
      <c r="J4126" s="25" t="str">
        <f>IF(OR(E4126="",E4126="!!!",F4126="NEW"),"",COUNTBLANK(OFFSET(A$1,,,SUMPRODUCT(MAX(ROW(E$2:E4126)*(E4126=E$2:E4126)))))-COUNTBLANK(OFFSET(A$1,,,SUMPRODUCT(MAX(ROW(E$1:E4125)*(E2=E$1:E4125))))))</f>
        <v> </v>
      </c>
      <c r="K4126" s="25" t="str">
        <f>IF(OR(E4126="",E4126="!!!",F4126="NEW"),"",INDEX(J$1:J4125,SUMPRODUCT(MAX(ROW(E$1:E4125)*(E4126=E$1:E4125)))))</f>
        <v> </v>
      </c>
      <c r="L4126" s="26"/>
    </row>
    <row r="4127" spans="1:12">
      <c r="A4127" s="20" t="s">
        <v>778</v>
      </c>
      <c r="E4127" s="21">
        <f>IF(D4127="?OLD","!!!","")</f>
        <v/>
      </c>
      <c r="F4127" s="22" t="str">
        <f>IF(OR(E4127="",E4127="!!!"),"",IF(NOT(ISNA(VLOOKUP(E4127,E$1:E4126,1,FALSE()))),"OLD",IF(AND(E4127&lt;&gt;"",E4127&lt;&gt;"!!!"),"NEW","")))</f>
        <v> </v>
      </c>
      <c r="G4127" s="23" t="str">
        <f>IF(OR(E4127="",E4127="!!!"),"",IF(OR(J4127=0,AND(J4127=1,K4127=1),AND(J4127=1,I4127="SBJ"),AND(J4127=1,I4127=0)),"?IN_FOCUS",IF(J4127&lt;=2,"?ACTIVATED",IF(J4127&lt;&gt;"","?FAMILIAR",IF(F4127="NEW",IF(ISNA(VLOOKUP(E4127,#REF!,1,FALSE())),"?TYPE_IDENTIFIABLE","?REFERENTIAL"),"_")))))</f>
        <v> </v>
      </c>
      <c r="H4127" s="24" t="str">
        <f>IF(J4127&lt;&gt;1,"",IF(I4127="SBJ","CB","?"))</f>
        <v> </v>
      </c>
      <c r="I4127" s="25" t="str">
        <f>IF(OR(E4127="",E4127="!!!",F4127="NEW"),"",INDEX(B4126:B$2,-1+SUMPRODUCT(MAX(ROW(E4126:E$2)*(E4127=E4126:E$2)))))</f>
        <v> </v>
      </c>
      <c r="J4127" s="25" t="str">
        <f>IF(OR(E4127="",E4127="!!!",F4127="NEW"),"",COUNTBLANK(OFFSET(A$1,,,SUMPRODUCT(MAX(ROW(E$2:E4127)*(E4127=E$2:E4127)))))-COUNTBLANK(OFFSET(A$1,,,SUMPRODUCT(MAX(ROW(E$1:E4126)*(E2=E$1:E4126))))))</f>
        <v> </v>
      </c>
      <c r="K4127" s="25" t="str">
        <f>IF(OR(E4127="",E4127="!!!",F4127="NEW"),"",INDEX(J$1:J4126,SUMPRODUCT(MAX(ROW(E$1:E4126)*(E4127=E$1:E4126)))))</f>
        <v> </v>
      </c>
      <c r="L4127" s="26"/>
    </row>
    <row r="4128" spans="1:12">
      <c r="A4128" s="20" t="s">
        <v>757</v>
      </c>
      <c r="E4128" s="21">
        <f>IF(D4128="?OLD","!!!","")</f>
        <v/>
      </c>
      <c r="F4128" s="22" t="str">
        <f>IF(OR(E4128="",E4128="!!!"),"",IF(NOT(ISNA(VLOOKUP(E4128,E$1:E4127,1,FALSE()))),"OLD",IF(AND(E4128&lt;&gt;"",E4128&lt;&gt;"!!!"),"NEW","")))</f>
        <v> </v>
      </c>
      <c r="G4128" s="23" t="str">
        <f>IF(OR(E4128="",E4128="!!!"),"",IF(OR(J4128=0,AND(J4128=1,K4128=1),AND(J4128=1,I4128="SBJ"),AND(J4128=1,I4128=0)),"?IN_FOCUS",IF(J4128&lt;=2,"?ACTIVATED",IF(J4128&lt;&gt;"","?FAMILIAR",IF(F4128="NEW",IF(ISNA(VLOOKUP(E4128,#REF!,1,FALSE())),"?TYPE_IDENTIFIABLE","?REFERENTIAL"),"_")))))</f>
        <v> </v>
      </c>
      <c r="H4128" s="24" t="str">
        <f>IF(J4128&lt;&gt;1,"",IF(I4128="SBJ","CB","?"))</f>
        <v> </v>
      </c>
      <c r="I4128" s="25" t="str">
        <f>IF(OR(E4128="",E4128="!!!",F4128="NEW"),"",INDEX(B4127:B$2,-1+SUMPRODUCT(MAX(ROW(E4127:E$2)*(E4128=E4127:E$2)))))</f>
        <v> </v>
      </c>
      <c r="J4128" s="25" t="str">
        <f>IF(OR(E4128="",E4128="!!!",F4128="NEW"),"",COUNTBLANK(OFFSET(A$1,,,SUMPRODUCT(MAX(ROW(E$2:E4128)*(E4128=E$2:E4128)))))-COUNTBLANK(OFFSET(A$1,,,SUMPRODUCT(MAX(ROW(E$1:E4127)*(E2=E$1:E4127))))))</f>
        <v> </v>
      </c>
      <c r="K4128" s="25" t="str">
        <f>IF(OR(E4128="",E4128="!!!",F4128="NEW"),"",INDEX(J$1:J4127,SUMPRODUCT(MAX(ROW(E$1:E4127)*(E4128=E$1:E4127)))))</f>
        <v> </v>
      </c>
      <c r="L4128" s="26"/>
    </row>
    <row r="4129" spans="1:12">
      <c r="A4129" s="20" t="s">
        <v>1914</v>
      </c>
      <c r="E4129" s="21">
        <f>IF(D4129="?OLD","!!!","")</f>
        <v/>
      </c>
      <c r="F4129" s="22" t="str">
        <f>IF(OR(E4129="",E4129="!!!"),"",IF(NOT(ISNA(VLOOKUP(E4129,E$1:E4128,1,FALSE()))),"OLD",IF(AND(E4129&lt;&gt;"",E4129&lt;&gt;"!!!"),"NEW","")))</f>
        <v> </v>
      </c>
      <c r="G4129" s="23" t="str">
        <f>IF(OR(E4129="",E4129="!!!"),"",IF(OR(J4129=0,AND(J4129=1,K4129=1),AND(J4129=1,I4129="SBJ"),AND(J4129=1,I4129=0)),"?IN_FOCUS",IF(J4129&lt;=2,"?ACTIVATED",IF(J4129&lt;&gt;"","?FAMILIAR",IF(F4129="NEW",IF(ISNA(VLOOKUP(E4129,#REF!,1,FALSE())),"?TYPE_IDENTIFIABLE","?REFERENTIAL"),"_")))))</f>
        <v> </v>
      </c>
      <c r="H4129" s="24" t="str">
        <f>IF(J4129&lt;&gt;1,"",IF(I4129="SBJ","CB","?"))</f>
        <v> </v>
      </c>
      <c r="I4129" s="25" t="str">
        <f>IF(OR(E4129="",E4129="!!!",F4129="NEW"),"",INDEX(B4128:B$2,-1+SUMPRODUCT(MAX(ROW(E4128:E$2)*(E4129=E4128:E$2)))))</f>
        <v> </v>
      </c>
      <c r="J4129" s="25" t="str">
        <f>IF(OR(E4129="",E4129="!!!",F4129="NEW"),"",COUNTBLANK(OFFSET(A$1,,,SUMPRODUCT(MAX(ROW(E$2:E4129)*(E4129=E$2:E4129)))))-COUNTBLANK(OFFSET(A$1,,,SUMPRODUCT(MAX(ROW(E$1:E4128)*(E2=E$1:E4128))))))</f>
        <v> </v>
      </c>
      <c r="K4129" s="25" t="str">
        <f>IF(OR(E4129="",E4129="!!!",F4129="NEW"),"",INDEX(J$1:J4128,SUMPRODUCT(MAX(ROW(E$1:E4128)*(E4129=E$1:E4128)))))</f>
        <v> </v>
      </c>
      <c r="L4129" s="26"/>
    </row>
    <row r="4130" spans="1:12">
      <c r="A4130" s="20" t="s">
        <v>805</v>
      </c>
      <c r="E4130" s="21">
        <f>IF(D4130="?OLD","!!!","")</f>
        <v/>
      </c>
      <c r="F4130" s="22" t="str">
        <f>IF(OR(E4130="",E4130="!!!"),"",IF(NOT(ISNA(VLOOKUP(E4130,E$1:E4129,1,FALSE()))),"OLD",IF(AND(E4130&lt;&gt;"",E4130&lt;&gt;"!!!"),"NEW","")))</f>
        <v> </v>
      </c>
      <c r="G4130" s="23" t="str">
        <f>IF(OR(E4130="",E4130="!!!"),"",IF(OR(J4130=0,AND(J4130=1,K4130=1),AND(J4130=1,I4130="SBJ"),AND(J4130=1,I4130=0)),"?IN_FOCUS",IF(J4130&lt;=2,"?ACTIVATED",IF(J4130&lt;&gt;"","?FAMILIAR",IF(F4130="NEW",IF(ISNA(VLOOKUP(E4130,#REF!,1,FALSE())),"?TYPE_IDENTIFIABLE","?REFERENTIAL"),"_")))))</f>
        <v> </v>
      </c>
      <c r="H4130" s="24" t="str">
        <f>IF(J4130&lt;&gt;1,"",IF(I4130="SBJ","CB","?"))</f>
        <v> </v>
      </c>
      <c r="I4130" s="25" t="str">
        <f>IF(OR(E4130="",E4130="!!!",F4130="NEW"),"",INDEX(B4129:B$2,-1+SUMPRODUCT(MAX(ROW(E4129:E$2)*(E4130=E4129:E$2)))))</f>
        <v> </v>
      </c>
      <c r="J4130" s="25" t="str">
        <f>IF(OR(E4130="",E4130="!!!",F4130="NEW"),"",COUNTBLANK(OFFSET(A$1,,,SUMPRODUCT(MAX(ROW(E$2:E4130)*(E4130=E$2:E4130)))))-COUNTBLANK(OFFSET(A$1,,,SUMPRODUCT(MAX(ROW(E$1:E4129)*(E2=E$1:E4129))))))</f>
        <v> </v>
      </c>
      <c r="K4130" s="25" t="str">
        <f>IF(OR(E4130="",E4130="!!!",F4130="NEW"),"",INDEX(J$1:J4129,SUMPRODUCT(MAX(ROW(E$1:E4129)*(E4130=E$1:E4129)))))</f>
        <v> </v>
      </c>
      <c r="L4130" s="26"/>
    </row>
    <row r="4131" spans="1:12">
      <c r="A4131" s="20" t="s">
        <v>939</v>
      </c>
      <c r="B4131" s="27" t="s">
        <v>772</v>
      </c>
      <c r="C4131" s="27" t="s">
        <v>754</v>
      </c>
      <c r="E4131" s="21">
        <f>IF(D4131="?OLD","!!!","")</f>
        <v/>
      </c>
      <c r="F4131" s="22" t="str">
        <f>IF(OR(E4131="",E4131="!!!"),"",IF(NOT(ISNA(VLOOKUP(E4131,E$1:E4130,1,FALSE()))),"OLD",IF(AND(E4131&lt;&gt;"",E4131&lt;&gt;"!!!"),"NEW","")))</f>
        <v> </v>
      </c>
      <c r="G4131" s="23" t="str">
        <f>IF(OR(E4131="",E4131="!!!"),"",IF(OR(J4131=0,AND(J4131=1,K4131=1),AND(J4131=1,I4131="SBJ"),AND(J4131=1,I4131=0)),"?IN_FOCUS",IF(J4131&lt;=2,"?ACTIVATED",IF(J4131&lt;&gt;"","?FAMILIAR",IF(F4131="NEW",IF(ISNA(VLOOKUP(E4131,#REF!,1,FALSE())),"?TYPE_IDENTIFIABLE","?REFERENTIAL"),"_")))))</f>
        <v> </v>
      </c>
      <c r="H4131" s="24" t="str">
        <f>IF(J4131&lt;&gt;1,"",IF(I4131="SBJ","CB","?"))</f>
        <v> </v>
      </c>
      <c r="I4131" s="25" t="str">
        <f>IF(OR(E4131="",E4131="!!!",F4131="NEW"),"",INDEX(B4130:B$2,-1+SUMPRODUCT(MAX(ROW(E4130:E$2)*(E4131=E4130:E$2)))))</f>
        <v> </v>
      </c>
      <c r="J4131" s="25" t="str">
        <f>IF(OR(E4131="",E4131="!!!",F4131="NEW"),"",COUNTBLANK(OFFSET(A$1,,,SUMPRODUCT(MAX(ROW(E$2:E4131)*(E4131=E$2:E4131)))))-COUNTBLANK(OFFSET(A$1,,,SUMPRODUCT(MAX(ROW(E$1:E4130)*(E2=E$1:E4130))))))</f>
        <v> </v>
      </c>
      <c r="K4131" s="25" t="str">
        <f>IF(OR(E4131="",E4131="!!!",F4131="NEW"),"",INDEX(J$1:J4130,SUMPRODUCT(MAX(ROW(E$1:E4130)*(E4131=E$1:E4130)))))</f>
        <v> </v>
      </c>
      <c r="L4131" s="26"/>
    </row>
    <row r="4132" spans="1:12">
      <c r="A4132" s="20" t="s">
        <v>697</v>
      </c>
      <c r="B4132" s="27" t="s">
        <v>760</v>
      </c>
      <c r="C4132" s="27" t="s">
        <v>797</v>
      </c>
      <c r="D4132" s="27" t="s">
        <v>762</v>
      </c>
      <c r="E4132" s="21">
        <f>IF(D4132="?OLD","!!!","")</f>
        <v/>
      </c>
      <c r="F4132" s="22" t="str">
        <f>IF(OR(E4132="",E4132="!!!"),"",IF(NOT(ISNA(VLOOKUP(E4132,E$1:E4131,1,FALSE()))),"OLD",IF(AND(E4132&lt;&gt;"",E4132&lt;&gt;"!!!"),"NEW","")))</f>
        <v> </v>
      </c>
      <c r="G4132" s="23" t="str">
        <f>IF(OR(E4132="",E4132="!!!"),"",IF(OR(J4132=0,AND(J4132=1,K4132=1),AND(J4132=1,I4132="SBJ"),AND(J4132=1,I4132=0)),"?IN_FOCUS",IF(J4132&lt;=2,"?ACTIVATED",IF(J4132&lt;&gt;"","?FAMILIAR",IF(F4132="NEW",IF(ISNA(VLOOKUP(E4132,#REF!,1,FALSE())),"?TYPE_IDENTIFIABLE","?REFERENTIAL"),"_")))))</f>
        <v> </v>
      </c>
      <c r="H4132" s="24" t="str">
        <f>IF(J4132&lt;&gt;1,"",IF(I4132="SBJ","CB","?"))</f>
        <v> </v>
      </c>
      <c r="I4132" s="25" t="str">
        <f>IF(OR(E4132="",E4132="!!!",F4132="NEW"),"",INDEX(B4131:B$2,-1+SUMPRODUCT(MAX(ROW(E4131:E$2)*(E4132=E4131:E$2)))))</f>
        <v> </v>
      </c>
      <c r="J4132" s="25" t="str">
        <f>IF(OR(E4132="",E4132="!!!",F4132="NEW"),"",COUNTBLANK(OFFSET(A$1,,,SUMPRODUCT(MAX(ROW(E$2:E4132)*(E4132=E$2:E4132)))))-COUNTBLANK(OFFSET(A$1,,,SUMPRODUCT(MAX(ROW(E$1:E4131)*(E2=E$1:E4131))))))</f>
        <v> </v>
      </c>
      <c r="K4132" s="25" t="str">
        <f>IF(OR(E4132="",E4132="!!!",F4132="NEW"),"",INDEX(J$1:J4131,SUMPRODUCT(MAX(ROW(E$1:E4131)*(E4132=E$1:E4131)))))</f>
        <v> </v>
      </c>
      <c r="L4132" s="26"/>
    </row>
    <row r="4133" spans="1:12">
      <c r="A4133" s="20" t="s">
        <v>1202</v>
      </c>
      <c r="E4133" s="21">
        <f>IF(D4133="?OLD","!!!","")</f>
        <v/>
      </c>
      <c r="F4133" s="22" t="str">
        <f>IF(OR(E4133="",E4133="!!!"),"",IF(NOT(ISNA(VLOOKUP(E4133,E$1:E4132,1,FALSE()))),"OLD",IF(AND(E4133&lt;&gt;"",E4133&lt;&gt;"!!!"),"NEW","")))</f>
        <v> </v>
      </c>
      <c r="G4133" s="23" t="str">
        <f>IF(OR(E4133="",E4133="!!!"),"",IF(OR(J4133=0,AND(J4133=1,K4133=1),AND(J4133=1,I4133="SBJ"),AND(J4133=1,I4133=0)),"?IN_FOCUS",IF(J4133&lt;=2,"?ACTIVATED",IF(J4133&lt;&gt;"","?FAMILIAR",IF(F4133="NEW",IF(ISNA(VLOOKUP(E4133,#REF!,1,FALSE())),"?TYPE_IDENTIFIABLE","?REFERENTIAL"),"_")))))</f>
        <v> </v>
      </c>
      <c r="H4133" s="24" t="str">
        <f>IF(J4133&lt;&gt;1,"",IF(I4133="SBJ","CB","?"))</f>
        <v> </v>
      </c>
      <c r="I4133" s="25" t="str">
        <f>IF(OR(E4133="",E4133="!!!",F4133="NEW"),"",INDEX(B4132:B$2,-1+SUMPRODUCT(MAX(ROW(E4132:E$2)*(E4133=E4132:E$2)))))</f>
        <v> </v>
      </c>
      <c r="J4133" s="25" t="str">
        <f>IF(OR(E4133="",E4133="!!!",F4133="NEW"),"",COUNTBLANK(OFFSET(A$1,,,SUMPRODUCT(MAX(ROW(E$2:E4133)*(E4133=E$2:E4133)))))-COUNTBLANK(OFFSET(A$1,,,SUMPRODUCT(MAX(ROW(E$1:E4132)*(E2=E$1:E4132))))))</f>
        <v> </v>
      </c>
      <c r="K4133" s="25" t="str">
        <f>IF(OR(E4133="",E4133="!!!",F4133="NEW"),"",INDEX(J$1:J4132,SUMPRODUCT(MAX(ROW(E$1:E4132)*(E4133=E$1:E4132)))))</f>
        <v> </v>
      </c>
      <c r="L4133" s="26"/>
    </row>
    <row r="4134" spans="1:12">
      <c r="A4134" s="20" t="s">
        <v>996</v>
      </c>
      <c r="B4134" s="27" t="s">
        <v>772</v>
      </c>
      <c r="C4134" s="27" t="s">
        <v>820</v>
      </c>
      <c r="D4134" s="27" t="s">
        <v>762</v>
      </c>
      <c r="E4134" s="21">
        <f>IF(D4134="?OLD","!!!","")</f>
        <v/>
      </c>
      <c r="F4134" s="22" t="str">
        <f>IF(OR(E4134="",E4134="!!!"),"",IF(NOT(ISNA(VLOOKUP(E4134,E$1:E4133,1,FALSE()))),"OLD",IF(AND(E4134&lt;&gt;"",E4134&lt;&gt;"!!!"),"NEW","")))</f>
        <v> </v>
      </c>
      <c r="G4134" s="23" t="str">
        <f>IF(OR(E4134="",E4134="!!!"),"",IF(OR(J4134=0,AND(J4134=1,K4134=1),AND(J4134=1,I4134="SBJ"),AND(J4134=1,I4134=0)),"?IN_FOCUS",IF(J4134&lt;=2,"?ACTIVATED",IF(J4134&lt;&gt;"","?FAMILIAR",IF(F4134="NEW",IF(ISNA(VLOOKUP(E4134,#REF!,1,FALSE())),"?TYPE_IDENTIFIABLE","?REFERENTIAL"),"_")))))</f>
        <v> </v>
      </c>
      <c r="H4134" s="24" t="str">
        <f>IF(J4134&lt;&gt;1,"",IF(I4134="SBJ","CB","?"))</f>
        <v> </v>
      </c>
      <c r="I4134" s="25" t="str">
        <f>IF(OR(E4134="",E4134="!!!",F4134="NEW"),"",INDEX(B4133:B$2,-1+SUMPRODUCT(MAX(ROW(E4133:E$2)*(E4134=E4133:E$2)))))</f>
        <v> </v>
      </c>
      <c r="J4134" s="25" t="str">
        <f>IF(OR(E4134="",E4134="!!!",F4134="NEW"),"",COUNTBLANK(OFFSET(A$1,,,SUMPRODUCT(MAX(ROW(E$2:E4134)*(E4134=E$2:E4134)))))-COUNTBLANK(OFFSET(A$1,,,SUMPRODUCT(MAX(ROW(E$1:E4133)*(E2=E$1:E4133))))))</f>
        <v> </v>
      </c>
      <c r="K4134" s="25" t="str">
        <f>IF(OR(E4134="",E4134="!!!",F4134="NEW"),"",INDEX(J$1:J4133,SUMPRODUCT(MAX(ROW(E$1:E4133)*(E4134=E$1:E4133)))))</f>
        <v> </v>
      </c>
      <c r="L4134" s="26"/>
    </row>
    <row r="4135" spans="1:12">
      <c r="A4135" s="20" t="s">
        <v>129</v>
      </c>
      <c r="E4135" s="21">
        <f>IF(D4135="?OLD","!!!","")</f>
        <v/>
      </c>
      <c r="F4135" s="22" t="str">
        <f>IF(OR(E4135="",E4135="!!!"),"",IF(NOT(ISNA(VLOOKUP(E4135,E$1:E4134,1,FALSE()))),"OLD",IF(AND(E4135&lt;&gt;"",E4135&lt;&gt;"!!!"),"NEW","")))</f>
        <v> </v>
      </c>
      <c r="G4135" s="23" t="str">
        <f>IF(OR(E4135="",E4135="!!!"),"",IF(OR(J4135=0,AND(J4135=1,K4135=1),AND(J4135=1,I4135="SBJ"),AND(J4135=1,I4135=0)),"?IN_FOCUS",IF(J4135&lt;=2,"?ACTIVATED",IF(J4135&lt;&gt;"","?FAMILIAR",IF(F4135="NEW",IF(ISNA(VLOOKUP(E4135,#REF!,1,FALSE())),"?TYPE_IDENTIFIABLE","?REFERENTIAL"),"_")))))</f>
        <v> </v>
      </c>
      <c r="H4135" s="24" t="str">
        <f>IF(J4135&lt;&gt;1,"",IF(I4135="SBJ","CB","?"))</f>
        <v> </v>
      </c>
      <c r="I4135" s="25" t="str">
        <f>IF(OR(E4135="",E4135="!!!",F4135="NEW"),"",INDEX(B4134:B$2,-1+SUMPRODUCT(MAX(ROW(E4134:E$2)*(E4135=E4134:E$2)))))</f>
        <v> </v>
      </c>
      <c r="J4135" s="25" t="str">
        <f>IF(OR(E4135="",E4135="!!!",F4135="NEW"),"",COUNTBLANK(OFFSET(A$1,,,SUMPRODUCT(MAX(ROW(E$2:E4135)*(E4135=E$2:E4135)))))-COUNTBLANK(OFFSET(A$1,,,SUMPRODUCT(MAX(ROW(E$1:E4134)*(E2=E$1:E4134))))))</f>
        <v> </v>
      </c>
      <c r="K4135" s="25" t="str">
        <f>IF(OR(E4135="",E4135="!!!",F4135="NEW"),"",INDEX(J$1:J4134,SUMPRODUCT(MAX(ROW(E$1:E4134)*(E4135=E$1:E4134)))))</f>
        <v> </v>
      </c>
      <c r="L4135" s="26"/>
    </row>
    <row r="4136" spans="1:12">
      <c r="A4136" s="20" t="s">
        <v>757</v>
      </c>
      <c r="E4136" s="21">
        <f>IF(D4136="?OLD","!!!","")</f>
        <v/>
      </c>
      <c r="F4136" s="22" t="str">
        <f>IF(OR(E4136="",E4136="!!!"),"",IF(NOT(ISNA(VLOOKUP(E4136,E$1:E4135,1,FALSE()))),"OLD",IF(AND(E4136&lt;&gt;"",E4136&lt;&gt;"!!!"),"NEW","")))</f>
        <v> </v>
      </c>
      <c r="G4136" s="23" t="str">
        <f>IF(OR(E4136="",E4136="!!!"),"",IF(OR(J4136=0,AND(J4136=1,K4136=1),AND(J4136=1,I4136="SBJ"),AND(J4136=1,I4136=0)),"?IN_FOCUS",IF(J4136&lt;=2,"?ACTIVATED",IF(J4136&lt;&gt;"","?FAMILIAR",IF(F4136="NEW",IF(ISNA(VLOOKUP(E4136,#REF!,1,FALSE())),"?TYPE_IDENTIFIABLE","?REFERENTIAL"),"_")))))</f>
        <v> </v>
      </c>
      <c r="H4136" s="24" t="str">
        <f>IF(J4136&lt;&gt;1,"",IF(I4136="SBJ","CB","?"))</f>
        <v> </v>
      </c>
      <c r="I4136" s="25" t="str">
        <f>IF(OR(E4136="",E4136="!!!",F4136="NEW"),"",INDEX(B4135:B$2,-1+SUMPRODUCT(MAX(ROW(E4135:E$2)*(E4136=E4135:E$2)))))</f>
        <v> </v>
      </c>
      <c r="J4136" s="25" t="str">
        <f>IF(OR(E4136="",E4136="!!!",F4136="NEW"),"",COUNTBLANK(OFFSET(A$1,,,SUMPRODUCT(MAX(ROW(E$2:E4136)*(E4136=E$2:E4136)))))-COUNTBLANK(OFFSET(A$1,,,SUMPRODUCT(MAX(ROW(E$1:E4135)*(E2=E$1:E4135))))))</f>
        <v> </v>
      </c>
      <c r="K4136" s="25" t="str">
        <f>IF(OR(E4136="",E4136="!!!",F4136="NEW"),"",INDEX(J$1:J4135,SUMPRODUCT(MAX(ROW(E$1:E4135)*(E4136=E$1:E4135)))))</f>
        <v> </v>
      </c>
      <c r="L4136" s="26"/>
    </row>
    <row r="4137" spans="1:12">
      <c r="A4137" s="20" t="s">
        <v>1043</v>
      </c>
      <c r="E4137" s="21">
        <f>IF(D4137="?OLD","!!!","")</f>
        <v/>
      </c>
      <c r="F4137" s="22" t="str">
        <f>IF(OR(E4137="",E4137="!!!"),"",IF(NOT(ISNA(VLOOKUP(E4137,E$1:E4136,1,FALSE()))),"OLD",IF(AND(E4137&lt;&gt;"",E4137&lt;&gt;"!!!"),"NEW","")))</f>
        <v> </v>
      </c>
      <c r="G4137" s="23" t="str">
        <f>IF(OR(E4137="",E4137="!!!"),"",IF(OR(J4137=0,AND(J4137=1,K4137=1),AND(J4137=1,I4137="SBJ"),AND(J4137=1,I4137=0)),"?IN_FOCUS",IF(J4137&lt;=2,"?ACTIVATED",IF(J4137&lt;&gt;"","?FAMILIAR",IF(F4137="NEW",IF(ISNA(VLOOKUP(E4137,#REF!,1,FALSE())),"?TYPE_IDENTIFIABLE","?REFERENTIAL"),"_")))))</f>
        <v> </v>
      </c>
      <c r="H4137" s="24" t="str">
        <f>IF(J4137&lt;&gt;1,"",IF(I4137="SBJ","CB","?"))</f>
        <v> </v>
      </c>
      <c r="I4137" s="25" t="str">
        <f>IF(OR(E4137="",E4137="!!!",F4137="NEW"),"",INDEX(B4136:B$2,-1+SUMPRODUCT(MAX(ROW(E4136:E$2)*(E4137=E4136:E$2)))))</f>
        <v> </v>
      </c>
      <c r="J4137" s="25" t="str">
        <f>IF(OR(E4137="",E4137="!!!",F4137="NEW"),"",COUNTBLANK(OFFSET(A$1,,,SUMPRODUCT(MAX(ROW(E$2:E4137)*(E4137=E$2:E4137)))))-COUNTBLANK(OFFSET(A$1,,,SUMPRODUCT(MAX(ROW(E$1:E4136)*(E2=E$1:E4136))))))</f>
        <v> </v>
      </c>
      <c r="K4137" s="25" t="str">
        <f>IF(OR(E4137="",E4137="!!!",F4137="NEW"),"",INDEX(J$1:J4136,SUMPRODUCT(MAX(ROW(E$1:E4136)*(E4137=E$1:E4136)))))</f>
        <v> </v>
      </c>
      <c r="L4137" s="26"/>
    </row>
    <row r="4138" spans="1:12">
      <c r="A4138" s="20" t="s">
        <v>826</v>
      </c>
      <c r="E4138" s="21">
        <f>IF(D4138="?OLD","!!!","")</f>
        <v/>
      </c>
      <c r="F4138" s="22" t="str">
        <f>IF(OR(E4138="",E4138="!!!"),"",IF(NOT(ISNA(VLOOKUP(E4138,E$1:E4137,1,FALSE()))),"OLD",IF(AND(E4138&lt;&gt;"",E4138&lt;&gt;"!!!"),"NEW","")))</f>
        <v> </v>
      </c>
      <c r="G4138" s="23" t="str">
        <f>IF(OR(E4138="",E4138="!!!"),"",IF(OR(J4138=0,AND(J4138=1,K4138=1),AND(J4138=1,I4138="SBJ"),AND(J4138=1,I4138=0)),"?IN_FOCUS",IF(J4138&lt;=2,"?ACTIVATED",IF(J4138&lt;&gt;"","?FAMILIAR",IF(F4138="NEW",IF(ISNA(VLOOKUP(E4138,#REF!,1,FALSE())),"?TYPE_IDENTIFIABLE","?REFERENTIAL"),"_")))))</f>
        <v> </v>
      </c>
      <c r="H4138" s="24" t="str">
        <f>IF(J4138&lt;&gt;1,"",IF(I4138="SBJ","CB","?"))</f>
        <v> </v>
      </c>
      <c r="I4138" s="25" t="str">
        <f>IF(OR(E4138="",E4138="!!!",F4138="NEW"),"",INDEX(B4137:B$2,-1+SUMPRODUCT(MAX(ROW(E4137:E$2)*(E4138=E4137:E$2)))))</f>
        <v> </v>
      </c>
      <c r="J4138" s="25" t="str">
        <f>IF(OR(E4138="",E4138="!!!",F4138="NEW"),"",COUNTBLANK(OFFSET(A$1,,,SUMPRODUCT(MAX(ROW(E$2:E4138)*(E4138=E$2:E4138)))))-COUNTBLANK(OFFSET(A$1,,,SUMPRODUCT(MAX(ROW(E$1:E4137)*(E2=E$1:E4137))))))</f>
        <v> </v>
      </c>
      <c r="K4138" s="25" t="str">
        <f>IF(OR(E4138="",E4138="!!!",F4138="NEW"),"",INDEX(J$1:J4137,SUMPRODUCT(MAX(ROW(E$1:E4137)*(E4138=E$1:E4137)))))</f>
        <v> </v>
      </c>
      <c r="L4138" s="26"/>
    </row>
    <row r="4139" spans="1:12">
      <c r="A4139" s="20" t="s">
        <v>1115</v>
      </c>
      <c r="B4139" s="27" t="s">
        <v>956</v>
      </c>
      <c r="C4139" s="27" t="s">
        <v>820</v>
      </c>
      <c r="D4139" s="27" t="s">
        <v>762</v>
      </c>
      <c r="E4139" s="21">
        <f>IF(D4139="?OLD","!!!","")</f>
        <v/>
      </c>
      <c r="F4139" s="22" t="str">
        <f>IF(OR(E4139="",E4139="!!!"),"",IF(NOT(ISNA(VLOOKUP(E4139,E$1:E4138,1,FALSE()))),"OLD",IF(AND(E4139&lt;&gt;"",E4139&lt;&gt;"!!!"),"NEW","")))</f>
        <v> </v>
      </c>
      <c r="G4139" s="23" t="str">
        <f>IF(OR(E4139="",E4139="!!!"),"",IF(OR(J4139=0,AND(J4139=1,K4139=1),AND(J4139=1,I4139="SBJ"),AND(J4139=1,I4139=0)),"?IN_FOCUS",IF(J4139&lt;=2,"?ACTIVATED",IF(J4139&lt;&gt;"","?FAMILIAR",IF(F4139="NEW",IF(ISNA(VLOOKUP(E4139,#REF!,1,FALSE())),"?TYPE_IDENTIFIABLE","?REFERENTIAL"),"_")))))</f>
        <v> </v>
      </c>
      <c r="H4139" s="24" t="str">
        <f>IF(J4139&lt;&gt;1,"",IF(I4139="SBJ","CB","?"))</f>
        <v> </v>
      </c>
      <c r="I4139" s="25" t="str">
        <f>IF(OR(E4139="",E4139="!!!",F4139="NEW"),"",INDEX(B4138:B$2,-1+SUMPRODUCT(MAX(ROW(E4138:E$2)*(E4139=E4138:E$2)))))</f>
        <v> </v>
      </c>
      <c r="J4139" s="25" t="str">
        <f>IF(OR(E4139="",E4139="!!!",F4139="NEW"),"",COUNTBLANK(OFFSET(A$1,,,SUMPRODUCT(MAX(ROW(E$2:E4139)*(E4139=E$2:E4139)))))-COUNTBLANK(OFFSET(A$1,,,SUMPRODUCT(MAX(ROW(E$1:E4138)*(E2=E$1:E4138))))))</f>
        <v> </v>
      </c>
      <c r="K4139" s="25" t="str">
        <f>IF(OR(E4139="",E4139="!!!",F4139="NEW"),"",INDEX(J$1:J4138,SUMPRODUCT(MAX(ROW(E$1:E4138)*(E4139=E$1:E4138)))))</f>
        <v> </v>
      </c>
      <c r="L4139" s="26"/>
    </row>
    <row r="4140" spans="1:12">
      <c r="A4140" s="20" t="s">
        <v>1173</v>
      </c>
      <c r="E4140" s="21">
        <f>IF(D4140="?OLD","!!!","")</f>
        <v/>
      </c>
      <c r="F4140" s="22" t="str">
        <f>IF(OR(E4140="",E4140="!!!"),"",IF(NOT(ISNA(VLOOKUP(E4140,E$1:E4139,1,FALSE()))),"OLD",IF(AND(E4140&lt;&gt;"",E4140&lt;&gt;"!!!"),"NEW","")))</f>
        <v> </v>
      </c>
      <c r="G4140" s="23" t="str">
        <f>IF(OR(E4140="",E4140="!!!"),"",IF(OR(J4140=0,AND(J4140=1,K4140=1),AND(J4140=1,I4140="SBJ"),AND(J4140=1,I4140=0)),"?IN_FOCUS",IF(J4140&lt;=2,"?ACTIVATED",IF(J4140&lt;&gt;"","?FAMILIAR",IF(F4140="NEW",IF(ISNA(VLOOKUP(E4140,#REF!,1,FALSE())),"?TYPE_IDENTIFIABLE","?REFERENTIAL"),"_")))))</f>
        <v> </v>
      </c>
      <c r="H4140" s="24" t="str">
        <f>IF(J4140&lt;&gt;1,"",IF(I4140="SBJ","CB","?"))</f>
        <v> </v>
      </c>
      <c r="I4140" s="25" t="str">
        <f>IF(OR(E4140="",E4140="!!!",F4140="NEW"),"",INDEX(B4139:B$2,-1+SUMPRODUCT(MAX(ROW(E4139:E$2)*(E4140=E4139:E$2)))))</f>
        <v> </v>
      </c>
      <c r="J4140" s="25" t="str">
        <f>IF(OR(E4140="",E4140="!!!",F4140="NEW"),"",COUNTBLANK(OFFSET(A$1,,,SUMPRODUCT(MAX(ROW(E$2:E4140)*(E4140=E$2:E4140)))))-COUNTBLANK(OFFSET(A$1,,,SUMPRODUCT(MAX(ROW(E$1:E4139)*(E2=E$1:E4139))))))</f>
        <v> </v>
      </c>
      <c r="K4140" s="25" t="str">
        <f>IF(OR(E4140="",E4140="!!!",F4140="NEW"),"",INDEX(J$1:J4139,SUMPRODUCT(MAX(ROW(E$1:E4139)*(E4140=E$1:E4139)))))</f>
        <v> </v>
      </c>
      <c r="L4140" s="26"/>
    </row>
    <row r="4141" spans="1:12">
      <c r="A4141" s="20" t="s">
        <v>1911</v>
      </c>
      <c r="E4141" s="21">
        <f>IF(D4141="?OLD","!!!","")</f>
        <v/>
      </c>
      <c r="F4141" s="22" t="str">
        <f>IF(OR(E4141="",E4141="!!!"),"",IF(NOT(ISNA(VLOOKUP(E4141,E$1:E4140,1,FALSE()))),"OLD",IF(AND(E4141&lt;&gt;"",E4141&lt;&gt;"!!!"),"NEW","")))</f>
        <v> </v>
      </c>
      <c r="G4141" s="23" t="str">
        <f>IF(OR(E4141="",E4141="!!!"),"",IF(OR(J4141=0,AND(J4141=1,K4141=1),AND(J4141=1,I4141="SBJ"),AND(J4141=1,I4141=0)),"?IN_FOCUS",IF(J4141&lt;=2,"?ACTIVATED",IF(J4141&lt;&gt;"","?FAMILIAR",IF(F4141="NEW",IF(ISNA(VLOOKUP(E4141,#REF!,1,FALSE())),"?TYPE_IDENTIFIABLE","?REFERENTIAL"),"_")))))</f>
        <v> </v>
      </c>
      <c r="H4141" s="24" t="str">
        <f>IF(J4141&lt;&gt;1,"",IF(I4141="SBJ","CB","?"))</f>
        <v> </v>
      </c>
      <c r="I4141" s="25" t="str">
        <f>IF(OR(E4141="",E4141="!!!",F4141="NEW"),"",INDEX(B4140:B$2,-1+SUMPRODUCT(MAX(ROW(E4140:E$2)*(E4141=E4140:E$2)))))</f>
        <v> </v>
      </c>
      <c r="J4141" s="25" t="str">
        <f>IF(OR(E4141="",E4141="!!!",F4141="NEW"),"",COUNTBLANK(OFFSET(A$1,,,SUMPRODUCT(MAX(ROW(E$2:E4141)*(E4141=E$2:E4141)))))-COUNTBLANK(OFFSET(A$1,,,SUMPRODUCT(MAX(ROW(E$1:E4140)*(E2=E$1:E4140))))))</f>
        <v> </v>
      </c>
      <c r="K4141" s="25" t="str">
        <f>IF(OR(E4141="",E4141="!!!",F4141="NEW"),"",INDEX(J$1:J4140,SUMPRODUCT(MAX(ROW(E$1:E4140)*(E4141=E$1:E4140)))))</f>
        <v> </v>
      </c>
      <c r="L4141" s="26"/>
    </row>
    <row r="4142" spans="1:12">
      <c r="A4142" s="20" t="s">
        <v>1051</v>
      </c>
      <c r="E4142" s="21">
        <f>IF(D4142="?OLD","!!!","")</f>
        <v/>
      </c>
      <c r="F4142" s="22" t="str">
        <f>IF(OR(E4142="",E4142="!!!"),"",IF(NOT(ISNA(VLOOKUP(E4142,E$1:E4141,1,FALSE()))),"OLD",IF(AND(E4142&lt;&gt;"",E4142&lt;&gt;"!!!"),"NEW","")))</f>
        <v> </v>
      </c>
      <c r="G4142" s="23" t="str">
        <f>IF(OR(E4142="",E4142="!!!"),"",IF(OR(J4142=0,AND(J4142=1,K4142=1),AND(J4142=1,I4142="SBJ"),AND(J4142=1,I4142=0)),"?IN_FOCUS",IF(J4142&lt;=2,"?ACTIVATED",IF(J4142&lt;&gt;"","?FAMILIAR",IF(F4142="NEW",IF(ISNA(VLOOKUP(E4142,#REF!,1,FALSE())),"?TYPE_IDENTIFIABLE","?REFERENTIAL"),"_")))))</f>
        <v> </v>
      </c>
      <c r="H4142" s="24" t="str">
        <f>IF(J4142&lt;&gt;1,"",IF(I4142="SBJ","CB","?"))</f>
        <v> </v>
      </c>
      <c r="I4142" s="25" t="str">
        <f>IF(OR(E4142="",E4142="!!!",F4142="NEW"),"",INDEX(B4141:B$2,-1+SUMPRODUCT(MAX(ROW(E4141:E$2)*(E4142=E4141:E$2)))))</f>
        <v> </v>
      </c>
      <c r="J4142" s="25" t="str">
        <f>IF(OR(E4142="",E4142="!!!",F4142="NEW"),"",COUNTBLANK(OFFSET(A$1,,,SUMPRODUCT(MAX(ROW(E$2:E4142)*(E4142=E$2:E4142)))))-COUNTBLANK(OFFSET(A$1,,,SUMPRODUCT(MAX(ROW(E$1:E4141)*(E2=E$1:E4141))))))</f>
        <v> </v>
      </c>
      <c r="K4142" s="25" t="str">
        <f>IF(OR(E4142="",E4142="!!!",F4142="NEW"),"",INDEX(J$1:J4141,SUMPRODUCT(MAX(ROW(E$1:E4141)*(E4142=E$1:E4141)))))</f>
        <v> </v>
      </c>
      <c r="L4142" s="26"/>
    </row>
    <row r="4143" spans="1:12">
      <c r="A4143" s="20" t="s">
        <v>308</v>
      </c>
      <c r="E4143" s="21">
        <f>IF(D4143="?OLD","!!!","")</f>
        <v/>
      </c>
      <c r="F4143" s="22" t="str">
        <f>IF(OR(E4143="",E4143="!!!"),"",IF(NOT(ISNA(VLOOKUP(E4143,E$1:E4142,1,FALSE()))),"OLD",IF(AND(E4143&lt;&gt;"",E4143&lt;&gt;"!!!"),"NEW","")))</f>
        <v> </v>
      </c>
      <c r="G4143" s="23" t="str">
        <f>IF(OR(E4143="",E4143="!!!"),"",IF(OR(J4143=0,AND(J4143=1,K4143=1),AND(J4143=1,I4143="SBJ"),AND(J4143=1,I4143=0)),"?IN_FOCUS",IF(J4143&lt;=2,"?ACTIVATED",IF(J4143&lt;&gt;"","?FAMILIAR",IF(F4143="NEW",IF(ISNA(VLOOKUP(E4143,#REF!,1,FALSE())),"?TYPE_IDENTIFIABLE","?REFERENTIAL"),"_")))))</f>
        <v> </v>
      </c>
      <c r="H4143" s="24" t="str">
        <f>IF(J4143&lt;&gt;1,"",IF(I4143="SBJ","CB","?"))</f>
        <v> </v>
      </c>
      <c r="I4143" s="25" t="str">
        <f>IF(OR(E4143="",E4143="!!!",F4143="NEW"),"",INDEX(B4142:B$2,-1+SUMPRODUCT(MAX(ROW(E4142:E$2)*(E4143=E4142:E$2)))))</f>
        <v> </v>
      </c>
      <c r="J4143" s="25" t="str">
        <f>IF(OR(E4143="",E4143="!!!",F4143="NEW"),"",COUNTBLANK(OFFSET(A$1,,,SUMPRODUCT(MAX(ROW(E$2:E4143)*(E4143=E$2:E4143)))))-COUNTBLANK(OFFSET(A$1,,,SUMPRODUCT(MAX(ROW(E$1:E4142)*(E2=E$1:E4142))))))</f>
        <v> </v>
      </c>
      <c r="K4143" s="25" t="str">
        <f>IF(OR(E4143="",E4143="!!!",F4143="NEW"),"",INDEX(J$1:J4142,SUMPRODUCT(MAX(ROW(E$1:E4142)*(E4143=E$1:E4142)))))</f>
        <v> </v>
      </c>
      <c r="L4143" s="26"/>
    </row>
    <row r="4144" spans="1:12">
      <c r="A4144" s="20" t="s">
        <v>774</v>
      </c>
      <c r="E4144" s="21">
        <f>IF(D4144="?OLD","!!!","")</f>
        <v/>
      </c>
      <c r="F4144" s="22" t="str">
        <f>IF(OR(E4144="",E4144="!!!"),"",IF(NOT(ISNA(VLOOKUP(E4144,E$1:E4143,1,FALSE()))),"OLD",IF(AND(E4144&lt;&gt;"",E4144&lt;&gt;"!!!"),"NEW","")))</f>
        <v> </v>
      </c>
      <c r="G4144" s="23" t="str">
        <f>IF(OR(E4144="",E4144="!!!"),"",IF(OR(J4144=0,AND(J4144=1,K4144=1),AND(J4144=1,I4144="SBJ"),AND(J4144=1,I4144=0)),"?IN_FOCUS",IF(J4144&lt;=2,"?ACTIVATED",IF(J4144&lt;&gt;"","?FAMILIAR",IF(F4144="NEW",IF(ISNA(VLOOKUP(E4144,#REF!,1,FALSE())),"?TYPE_IDENTIFIABLE","?REFERENTIAL"),"_")))))</f>
        <v> </v>
      </c>
      <c r="H4144" s="24" t="str">
        <f>IF(J4144&lt;&gt;1,"",IF(I4144="SBJ","CB","?"))</f>
        <v> </v>
      </c>
      <c r="I4144" s="25" t="str">
        <f>IF(OR(E4144="",E4144="!!!",F4144="NEW"),"",INDEX(B4143:B$2,-1+SUMPRODUCT(MAX(ROW(E4143:E$2)*(E4144=E4143:E$2)))))</f>
        <v> </v>
      </c>
      <c r="J4144" s="25" t="str">
        <f>IF(OR(E4144="",E4144="!!!",F4144="NEW"),"",COUNTBLANK(OFFSET(A$1,,,SUMPRODUCT(MAX(ROW(E$2:E4144)*(E4144=E$2:E4144)))))-COUNTBLANK(OFFSET(A$1,,,SUMPRODUCT(MAX(ROW(E$1:E4143)*(E2=E$1:E4143))))))</f>
        <v> </v>
      </c>
      <c r="K4144" s="25" t="str">
        <f>IF(OR(E4144="",E4144="!!!",F4144="NEW"),"",INDEX(J$1:J4143,SUMPRODUCT(MAX(ROW(E$1:E4143)*(E4144=E$1:E4143)))))</f>
        <v> </v>
      </c>
      <c r="L4144" s="26"/>
    </row>
    <row r="4145" spans="1:12">
      <c r="A4145" s="20"/>
    </row>
    <row r="4146" spans="1:12">
      <c r="A4146" s="20" t="s">
        <v>1915</v>
      </c>
    </row>
    <row r="4147" spans="1:12">
      <c r="A4147" s="20" t="s">
        <v>818</v>
      </c>
      <c r="E4147" s="21">
        <f>IF(D4147="?OLD","!!!","")</f>
        <v/>
      </c>
      <c r="F4147" s="22" t="str">
        <f>IF(OR(E4147="",E4147="!!!"),"",IF(NOT(ISNA(VLOOKUP(E4147,E$1:E4146,1,FALSE()))),"OLD",IF(AND(E4147&lt;&gt;"",E4147&lt;&gt;"!!!"),"NEW","")))</f>
        <v> </v>
      </c>
      <c r="G4147" s="23" t="str">
        <f>IF(OR(E4147="",E4147="!!!"),"",IF(OR(J4147=0,AND(J4147=1,K4147=1),AND(J4147=1,I4147="SBJ"),AND(J4147=1,I4147=0)),"?IN_FOCUS",IF(J4147&lt;=2,"?ACTIVATED",IF(J4147&lt;&gt;"","?FAMILIAR",IF(F4147="NEW",IF(ISNA(VLOOKUP(E4147,#REF!,1,FALSE())),"?TYPE_IDENTIFIABLE","?REFERENTIAL"),"_")))))</f>
        <v> </v>
      </c>
      <c r="H4147" s="24" t="str">
        <f>IF(J4147&lt;&gt;1,"",IF(I4147="SBJ","CB","?"))</f>
        <v> </v>
      </c>
      <c r="I4147" s="25" t="str">
        <f>IF(OR(E4147="",E4147="!!!",F4147="NEW"),"",INDEX(B4146:B$2,-1+SUMPRODUCT(MAX(ROW(E4146:E$2)*(E4147=E4146:E$2)))))</f>
        <v> </v>
      </c>
      <c r="J4147" s="25" t="str">
        <f>IF(OR(E4147="",E4147="!!!",F4147="NEW"),"",COUNTBLANK(OFFSET(A$1,,,SUMPRODUCT(MAX(ROW(E$2:E4147)*(E4147=E$2:E4147)))))-COUNTBLANK(OFFSET(A$1,,,SUMPRODUCT(MAX(ROW(E$1:E4146)*(E2=E$1:E4146))))))</f>
        <v> </v>
      </c>
      <c r="K4147" s="25" t="str">
        <f>IF(OR(E4147="",E4147="!!!",F4147="NEW"),"",INDEX(J$1:J4146,SUMPRODUCT(MAX(ROW(E$1:E4146)*(E4147=E$1:E4146)))))</f>
        <v> </v>
      </c>
      <c r="L4147" s="26"/>
    </row>
    <row r="4148" spans="1:12">
      <c r="A4148" s="20" t="s">
        <v>1037</v>
      </c>
      <c r="B4148" s="27" t="s">
        <v>760</v>
      </c>
      <c r="C4148" s="27" t="s">
        <v>797</v>
      </c>
      <c r="D4148" s="27" t="s">
        <v>762</v>
      </c>
      <c r="E4148" s="21">
        <f>IF(D4148="?OLD","!!!","")</f>
        <v/>
      </c>
      <c r="F4148" s="22" t="str">
        <f>IF(OR(E4148="",E4148="!!!"),"",IF(NOT(ISNA(VLOOKUP(E4148,E$1:E4147,1,FALSE()))),"OLD",IF(AND(E4148&lt;&gt;"",E4148&lt;&gt;"!!!"),"NEW","")))</f>
        <v> </v>
      </c>
      <c r="G4148" s="23" t="str">
        <f>IF(OR(E4148="",E4148="!!!"),"",IF(OR(J4148=0,AND(J4148=1,K4148=1),AND(J4148=1,I4148="SBJ"),AND(J4148=1,I4148=0)),"?IN_FOCUS",IF(J4148&lt;=2,"?ACTIVATED",IF(J4148&lt;&gt;"","?FAMILIAR",IF(F4148="NEW",IF(ISNA(VLOOKUP(E4148,#REF!,1,FALSE())),"?TYPE_IDENTIFIABLE","?REFERENTIAL"),"_")))))</f>
        <v> </v>
      </c>
      <c r="H4148" s="24" t="str">
        <f>IF(J4148&lt;&gt;1,"",IF(I4148="SBJ","CB","?"))</f>
        <v> </v>
      </c>
      <c r="I4148" s="25" t="str">
        <f>IF(OR(E4148="",E4148="!!!",F4148="NEW"),"",INDEX(B4147:B$2,-1+SUMPRODUCT(MAX(ROW(E4147:E$2)*(E4148=E4147:E$2)))))</f>
        <v> </v>
      </c>
      <c r="J4148" s="25" t="str">
        <f>IF(OR(E4148="",E4148="!!!",F4148="NEW"),"",COUNTBLANK(OFFSET(A$1,,,SUMPRODUCT(MAX(ROW(E$2:E4148)*(E4148=E$2:E4148)))))-COUNTBLANK(OFFSET(A$1,,,SUMPRODUCT(MAX(ROW(E$1:E4147)*(E2=E$1:E4147))))))</f>
        <v> </v>
      </c>
      <c r="K4148" s="25" t="str">
        <f>IF(OR(E4148="",E4148="!!!",F4148="NEW"),"",INDEX(J$1:J4147,SUMPRODUCT(MAX(ROW(E$1:E4147)*(E4148=E$1:E4147)))))</f>
        <v> </v>
      </c>
      <c r="L4148" s="26"/>
    </row>
    <row r="4149" spans="1:12">
      <c r="A4149" s="20" t="s">
        <v>909</v>
      </c>
      <c r="E4149" s="21">
        <f>IF(D4149="?OLD","!!!","")</f>
        <v/>
      </c>
      <c r="F4149" s="22" t="str">
        <f>IF(OR(E4149="",E4149="!!!"),"",IF(NOT(ISNA(VLOOKUP(E4149,E$1:E4148,1,FALSE()))),"OLD",IF(AND(E4149&lt;&gt;"",E4149&lt;&gt;"!!!"),"NEW","")))</f>
        <v> </v>
      </c>
      <c r="G4149" s="23" t="str">
        <f>IF(OR(E4149="",E4149="!!!"),"",IF(OR(J4149=0,AND(J4149=1,K4149=1),AND(J4149=1,I4149="SBJ"),AND(J4149=1,I4149=0)),"?IN_FOCUS",IF(J4149&lt;=2,"?ACTIVATED",IF(J4149&lt;&gt;"","?FAMILIAR",IF(F4149="NEW",IF(ISNA(VLOOKUP(E4149,#REF!,1,FALSE())),"?TYPE_IDENTIFIABLE","?REFERENTIAL"),"_")))))</f>
        <v> </v>
      </c>
      <c r="H4149" s="24" t="str">
        <f>IF(J4149&lt;&gt;1,"",IF(I4149="SBJ","CB","?"))</f>
        <v> </v>
      </c>
      <c r="I4149" s="25" t="str">
        <f>IF(OR(E4149="",E4149="!!!",F4149="NEW"),"",INDEX(B4148:B$2,-1+SUMPRODUCT(MAX(ROW(E4148:E$2)*(E4149=E4148:E$2)))))</f>
        <v> </v>
      </c>
      <c r="J4149" s="25" t="str">
        <f>IF(OR(E4149="",E4149="!!!",F4149="NEW"),"",COUNTBLANK(OFFSET(A$1,,,SUMPRODUCT(MAX(ROW(E$2:E4149)*(E4149=E$2:E4149)))))-COUNTBLANK(OFFSET(A$1,,,SUMPRODUCT(MAX(ROW(E$1:E4148)*(E2=E$1:E4148))))))</f>
        <v> </v>
      </c>
      <c r="K4149" s="25" t="str">
        <f>IF(OR(E4149="",E4149="!!!",F4149="NEW"),"",INDEX(J$1:J4148,SUMPRODUCT(MAX(ROW(E$1:E4148)*(E4149=E$1:E4148)))))</f>
        <v> </v>
      </c>
      <c r="L4149" s="26"/>
    </row>
    <row r="4150" spans="1:12">
      <c r="A4150" s="20" t="s">
        <v>1323</v>
      </c>
      <c r="E4150" s="21">
        <f>IF(D4150="?OLD","!!!","")</f>
        <v/>
      </c>
      <c r="F4150" s="22" t="str">
        <f>IF(OR(E4150="",E4150="!!!"),"",IF(NOT(ISNA(VLOOKUP(E4150,E$1:E4149,1,FALSE()))),"OLD",IF(AND(E4150&lt;&gt;"",E4150&lt;&gt;"!!!"),"NEW","")))</f>
        <v> </v>
      </c>
      <c r="G4150" s="23" t="str">
        <f>IF(OR(E4150="",E4150="!!!"),"",IF(OR(J4150=0,AND(J4150=1,K4150=1),AND(J4150=1,I4150="SBJ"),AND(J4150=1,I4150=0)),"?IN_FOCUS",IF(J4150&lt;=2,"?ACTIVATED",IF(J4150&lt;&gt;"","?FAMILIAR",IF(F4150="NEW",IF(ISNA(VLOOKUP(E4150,#REF!,1,FALSE())),"?TYPE_IDENTIFIABLE","?REFERENTIAL"),"_")))))</f>
        <v> </v>
      </c>
      <c r="H4150" s="24" t="str">
        <f>IF(J4150&lt;&gt;1,"",IF(I4150="SBJ","CB","?"))</f>
        <v> </v>
      </c>
      <c r="I4150" s="25" t="str">
        <f>IF(OR(E4150="",E4150="!!!",F4150="NEW"),"",INDEX(B4149:B$2,-1+SUMPRODUCT(MAX(ROW(E4149:E$2)*(E4150=E4149:E$2)))))</f>
        <v> </v>
      </c>
      <c r="J4150" s="25" t="str">
        <f>IF(OR(E4150="",E4150="!!!",F4150="NEW"),"",COUNTBLANK(OFFSET(A$1,,,SUMPRODUCT(MAX(ROW(E$2:E4150)*(E4150=E$2:E4150)))))-COUNTBLANK(OFFSET(A$1,,,SUMPRODUCT(MAX(ROW(E$1:E4149)*(E2=E$1:E4149))))))</f>
        <v> </v>
      </c>
      <c r="K4150" s="25" t="str">
        <f>IF(OR(E4150="",E4150="!!!",F4150="NEW"),"",INDEX(J$1:J4149,SUMPRODUCT(MAX(ROW(E$1:E4149)*(E4150=E$1:E4149)))))</f>
        <v> </v>
      </c>
      <c r="L4150" s="26"/>
    </row>
    <row r="4151" spans="1:12">
      <c r="A4151" s="20" t="s">
        <v>1014</v>
      </c>
      <c r="E4151" s="21">
        <f>IF(D4151="?OLD","!!!","")</f>
        <v/>
      </c>
      <c r="F4151" s="22" t="str">
        <f>IF(OR(E4151="",E4151="!!!"),"",IF(NOT(ISNA(VLOOKUP(E4151,E$1:E4150,1,FALSE()))),"OLD",IF(AND(E4151&lt;&gt;"",E4151&lt;&gt;"!!!"),"NEW","")))</f>
        <v> </v>
      </c>
      <c r="G4151" s="23" t="str">
        <f>IF(OR(E4151="",E4151="!!!"),"",IF(OR(J4151=0,AND(J4151=1,K4151=1),AND(J4151=1,I4151="SBJ"),AND(J4151=1,I4151=0)),"?IN_FOCUS",IF(J4151&lt;=2,"?ACTIVATED",IF(J4151&lt;&gt;"","?FAMILIAR",IF(F4151="NEW",IF(ISNA(VLOOKUP(E4151,#REF!,1,FALSE())),"?TYPE_IDENTIFIABLE","?REFERENTIAL"),"_")))))</f>
        <v> </v>
      </c>
      <c r="H4151" s="24" t="str">
        <f>IF(J4151&lt;&gt;1,"",IF(I4151="SBJ","CB","?"))</f>
        <v> </v>
      </c>
      <c r="I4151" s="25" t="str">
        <f>IF(OR(E4151="",E4151="!!!",F4151="NEW"),"",INDEX(B4150:B$2,-1+SUMPRODUCT(MAX(ROW(E4150:E$2)*(E4151=E4150:E$2)))))</f>
        <v> </v>
      </c>
      <c r="J4151" s="25" t="str">
        <f>IF(OR(E4151="",E4151="!!!",F4151="NEW"),"",COUNTBLANK(OFFSET(A$1,,,SUMPRODUCT(MAX(ROW(E$2:E4151)*(E4151=E$2:E4151)))))-COUNTBLANK(OFFSET(A$1,,,SUMPRODUCT(MAX(ROW(E$1:E4150)*(E2=E$1:E4150))))))</f>
        <v> </v>
      </c>
      <c r="K4151" s="25" t="str">
        <f>IF(OR(E4151="",E4151="!!!",F4151="NEW"),"",INDEX(J$1:J4150,SUMPRODUCT(MAX(ROW(E$1:E4150)*(E4151=E$1:E4150)))))</f>
        <v> </v>
      </c>
      <c r="L4151" s="26"/>
    </row>
    <row r="4152" spans="1:12">
      <c r="A4152" s="20" t="s">
        <v>785</v>
      </c>
      <c r="E4152" s="21">
        <f>IF(D4152="?OLD","!!!","")</f>
        <v/>
      </c>
      <c r="F4152" s="22" t="str">
        <f>IF(OR(E4152="",E4152="!!!"),"",IF(NOT(ISNA(VLOOKUP(E4152,E$1:E4151,1,FALSE()))),"OLD",IF(AND(E4152&lt;&gt;"",E4152&lt;&gt;"!!!"),"NEW","")))</f>
        <v> </v>
      </c>
      <c r="G4152" s="23" t="str">
        <f>IF(OR(E4152="",E4152="!!!"),"",IF(OR(J4152=0,AND(J4152=1,K4152=1),AND(J4152=1,I4152="SBJ"),AND(J4152=1,I4152=0)),"?IN_FOCUS",IF(J4152&lt;=2,"?ACTIVATED",IF(J4152&lt;&gt;"","?FAMILIAR",IF(F4152="NEW",IF(ISNA(VLOOKUP(E4152,#REF!,1,FALSE())),"?TYPE_IDENTIFIABLE","?REFERENTIAL"),"_")))))</f>
        <v> </v>
      </c>
      <c r="H4152" s="24" t="str">
        <f>IF(J4152&lt;&gt;1,"",IF(I4152="SBJ","CB","?"))</f>
        <v> </v>
      </c>
      <c r="I4152" s="25" t="str">
        <f>IF(OR(E4152="",E4152="!!!",F4152="NEW"),"",INDEX(B4151:B$2,-1+SUMPRODUCT(MAX(ROW(E4151:E$2)*(E4152=E4151:E$2)))))</f>
        <v> </v>
      </c>
      <c r="J4152" s="25" t="str">
        <f>IF(OR(E4152="",E4152="!!!",F4152="NEW"),"",COUNTBLANK(OFFSET(A$1,,,SUMPRODUCT(MAX(ROW(E$2:E4152)*(E4152=E$2:E4152)))))-COUNTBLANK(OFFSET(A$1,,,SUMPRODUCT(MAX(ROW(E$1:E4151)*(E2=E$1:E4151))))))</f>
        <v> </v>
      </c>
      <c r="K4152" s="25" t="str">
        <f>IF(OR(E4152="",E4152="!!!",F4152="NEW"),"",INDEX(J$1:J4151,SUMPRODUCT(MAX(ROW(E$1:E4151)*(E4152=E$1:E4151)))))</f>
        <v> </v>
      </c>
      <c r="L4152" s="26"/>
    </row>
    <row r="4153" spans="1:12">
      <c r="A4153" s="20" t="s">
        <v>770</v>
      </c>
      <c r="E4153" s="21">
        <f>IF(D4153="?OLD","!!!","")</f>
        <v/>
      </c>
      <c r="F4153" s="22" t="str">
        <f>IF(OR(E4153="",E4153="!!!"),"",IF(NOT(ISNA(VLOOKUP(E4153,E$1:E4152,1,FALSE()))),"OLD",IF(AND(E4153&lt;&gt;"",E4153&lt;&gt;"!!!"),"NEW","")))</f>
        <v> </v>
      </c>
      <c r="G4153" s="23" t="str">
        <f>IF(OR(E4153="",E4153="!!!"),"",IF(OR(J4153=0,AND(J4153=1,K4153=1),AND(J4153=1,I4153="SBJ"),AND(J4153=1,I4153=0)),"?IN_FOCUS",IF(J4153&lt;=2,"?ACTIVATED",IF(J4153&lt;&gt;"","?FAMILIAR",IF(F4153="NEW",IF(ISNA(VLOOKUP(E4153,#REF!,1,FALSE())),"?TYPE_IDENTIFIABLE","?REFERENTIAL"),"_")))))</f>
        <v> </v>
      </c>
      <c r="H4153" s="24" t="str">
        <f>IF(J4153&lt;&gt;1,"",IF(I4153="SBJ","CB","?"))</f>
        <v> </v>
      </c>
      <c r="I4153" s="25" t="str">
        <f>IF(OR(E4153="",E4153="!!!",F4153="NEW"),"",INDEX(B4152:B$2,-1+SUMPRODUCT(MAX(ROW(E4152:E$2)*(E4153=E4152:E$2)))))</f>
        <v> </v>
      </c>
      <c r="J4153" s="25" t="str">
        <f>IF(OR(E4153="",E4153="!!!",F4153="NEW"),"",COUNTBLANK(OFFSET(A$1,,,SUMPRODUCT(MAX(ROW(E$2:E4153)*(E4153=E$2:E4153)))))-COUNTBLANK(OFFSET(A$1,,,SUMPRODUCT(MAX(ROW(E$1:E4152)*(E2=E$1:E4152))))))</f>
        <v> </v>
      </c>
      <c r="K4153" s="25" t="str">
        <f>IF(OR(E4153="",E4153="!!!",F4153="NEW"),"",INDEX(J$1:J4152,SUMPRODUCT(MAX(ROW(E$1:E4152)*(E4153=E$1:E4152)))))</f>
        <v> </v>
      </c>
      <c r="L4153" s="26"/>
    </row>
    <row r="4154" spans="1:12">
      <c r="A4154" s="20" t="s">
        <v>877</v>
      </c>
      <c r="B4154" s="27" t="s">
        <v>753</v>
      </c>
      <c r="C4154" s="27" t="s">
        <v>761</v>
      </c>
      <c r="D4154" s="27" t="s">
        <v>762</v>
      </c>
      <c r="E4154" s="21">
        <f>IF(D4154="?OLD","!!!","")</f>
        <v/>
      </c>
      <c r="F4154" s="22" t="str">
        <f>IF(OR(E4154="",E4154="!!!"),"",IF(NOT(ISNA(VLOOKUP(E4154,E$1:E4153,1,FALSE()))),"OLD",IF(AND(E4154&lt;&gt;"",E4154&lt;&gt;"!!!"),"NEW","")))</f>
        <v> </v>
      </c>
      <c r="G4154" s="23" t="str">
        <f>IF(OR(E4154="",E4154="!!!"),"",IF(OR(J4154=0,AND(J4154=1,K4154=1),AND(J4154=1,I4154="SBJ"),AND(J4154=1,I4154=0)),"?IN_FOCUS",IF(J4154&lt;=2,"?ACTIVATED",IF(J4154&lt;&gt;"","?FAMILIAR",IF(F4154="NEW",IF(ISNA(VLOOKUP(E4154,#REF!,1,FALSE())),"?TYPE_IDENTIFIABLE","?REFERENTIAL"),"_")))))</f>
        <v> </v>
      </c>
      <c r="H4154" s="24" t="str">
        <f>IF(J4154&lt;&gt;1,"",IF(I4154="SBJ","CB","?"))</f>
        <v> </v>
      </c>
      <c r="I4154" s="25" t="str">
        <f>IF(OR(E4154="",E4154="!!!",F4154="NEW"),"",INDEX(B4153:B$2,-1+SUMPRODUCT(MAX(ROW(E4153:E$2)*(E4154=E4153:E$2)))))</f>
        <v> </v>
      </c>
      <c r="J4154" s="25" t="str">
        <f>IF(OR(E4154="",E4154="!!!",F4154="NEW"),"",COUNTBLANK(OFFSET(A$1,,,SUMPRODUCT(MAX(ROW(E$2:E4154)*(E4154=E$2:E4154)))))-COUNTBLANK(OFFSET(A$1,,,SUMPRODUCT(MAX(ROW(E$1:E4153)*(E2=E$1:E4153))))))</f>
        <v> </v>
      </c>
      <c r="K4154" s="25" t="str">
        <f>IF(OR(E4154="",E4154="!!!",F4154="NEW"),"",INDEX(J$1:J4153,SUMPRODUCT(MAX(ROW(E$1:E4153)*(E4154=E$1:E4153)))))</f>
        <v> </v>
      </c>
      <c r="L4154" s="26"/>
    </row>
    <row r="4155" spans="1:12">
      <c r="A4155" s="20" t="s">
        <v>805</v>
      </c>
      <c r="E4155" s="21">
        <f>IF(D4155="?OLD","!!!","")</f>
        <v/>
      </c>
      <c r="F4155" s="22" t="str">
        <f>IF(OR(E4155="",E4155="!!!"),"",IF(NOT(ISNA(VLOOKUP(E4155,E$1:E4154,1,FALSE()))),"OLD",IF(AND(E4155&lt;&gt;"",E4155&lt;&gt;"!!!"),"NEW","")))</f>
        <v> </v>
      </c>
      <c r="G4155" s="23" t="str">
        <f>IF(OR(E4155="",E4155="!!!"),"",IF(OR(J4155=0,AND(J4155=1,K4155=1),AND(J4155=1,I4155="SBJ"),AND(J4155=1,I4155=0)),"?IN_FOCUS",IF(J4155&lt;=2,"?ACTIVATED",IF(J4155&lt;&gt;"","?FAMILIAR",IF(F4155="NEW",IF(ISNA(VLOOKUP(E4155,#REF!,1,FALSE())),"?TYPE_IDENTIFIABLE","?REFERENTIAL"),"_")))))</f>
        <v> </v>
      </c>
      <c r="H4155" s="24" t="str">
        <f>IF(J4155&lt;&gt;1,"",IF(I4155="SBJ","CB","?"))</f>
        <v> </v>
      </c>
      <c r="I4155" s="25" t="str">
        <f>IF(OR(E4155="",E4155="!!!",F4155="NEW"),"",INDEX(B4154:B$2,-1+SUMPRODUCT(MAX(ROW(E4154:E$2)*(E4155=E4154:E$2)))))</f>
        <v> </v>
      </c>
      <c r="J4155" s="25" t="str">
        <f>IF(OR(E4155="",E4155="!!!",F4155="NEW"),"",COUNTBLANK(OFFSET(A$1,,,SUMPRODUCT(MAX(ROW(E$2:E4155)*(E4155=E$2:E4155)))))-COUNTBLANK(OFFSET(A$1,,,SUMPRODUCT(MAX(ROW(E$1:E4154)*(E2=E$1:E4154))))))</f>
        <v> </v>
      </c>
      <c r="K4155" s="25" t="str">
        <f>IF(OR(E4155="",E4155="!!!",F4155="NEW"),"",INDEX(J$1:J4154,SUMPRODUCT(MAX(ROW(E$1:E4154)*(E4155=E$1:E4154)))))</f>
        <v> </v>
      </c>
      <c r="L4155" s="26"/>
    </row>
    <row r="4156" spans="1:12">
      <c r="A4156" s="20" t="s">
        <v>779</v>
      </c>
      <c r="E4156" s="21">
        <f>IF(D4156="?OLD","!!!","")</f>
        <v/>
      </c>
      <c r="F4156" s="22" t="str">
        <f>IF(OR(E4156="",E4156="!!!"),"",IF(NOT(ISNA(VLOOKUP(E4156,E$1:E4155,1,FALSE()))),"OLD",IF(AND(E4156&lt;&gt;"",E4156&lt;&gt;"!!!"),"NEW","")))</f>
        <v> </v>
      </c>
      <c r="G4156" s="23" t="str">
        <f>IF(OR(E4156="",E4156="!!!"),"",IF(OR(J4156=0,AND(J4156=1,K4156=1),AND(J4156=1,I4156="SBJ"),AND(J4156=1,I4156=0)),"?IN_FOCUS",IF(J4156&lt;=2,"?ACTIVATED",IF(J4156&lt;&gt;"","?FAMILIAR",IF(F4156="NEW",IF(ISNA(VLOOKUP(E4156,#REF!,1,FALSE())),"?TYPE_IDENTIFIABLE","?REFERENTIAL"),"_")))))</f>
        <v> </v>
      </c>
      <c r="H4156" s="24" t="str">
        <f>IF(J4156&lt;&gt;1,"",IF(I4156="SBJ","CB","?"))</f>
        <v> </v>
      </c>
      <c r="I4156" s="25" t="str">
        <f>IF(OR(E4156="",E4156="!!!",F4156="NEW"),"",INDEX(B4155:B$2,-1+SUMPRODUCT(MAX(ROW(E4155:E$2)*(E4156=E4155:E$2)))))</f>
        <v> </v>
      </c>
      <c r="J4156" s="25" t="str">
        <f>IF(OR(E4156="",E4156="!!!",F4156="NEW"),"",COUNTBLANK(OFFSET(A$1,,,SUMPRODUCT(MAX(ROW(E$2:E4156)*(E4156=E$2:E4156)))))-COUNTBLANK(OFFSET(A$1,,,SUMPRODUCT(MAX(ROW(E$1:E4155)*(E2=E$1:E4155))))))</f>
        <v> </v>
      </c>
      <c r="K4156" s="25" t="str">
        <f>IF(OR(E4156="",E4156="!!!",F4156="NEW"),"",INDEX(J$1:J4155,SUMPRODUCT(MAX(ROW(E$1:E4155)*(E4156=E$1:E4155)))))</f>
        <v> </v>
      </c>
      <c r="L4156" s="26"/>
    </row>
    <row r="4157" spans="1:12">
      <c r="A4157" s="20" t="s">
        <v>952</v>
      </c>
      <c r="B4157" s="27" t="s">
        <v>772</v>
      </c>
      <c r="C4157" s="27" t="s">
        <v>768</v>
      </c>
      <c r="E4157" s="21">
        <f>IF(D4157="?OLD","!!!","")</f>
        <v/>
      </c>
      <c r="F4157" s="22" t="str">
        <f>IF(OR(E4157="",E4157="!!!"),"",IF(NOT(ISNA(VLOOKUP(E4157,E$1:E4156,1,FALSE()))),"OLD",IF(AND(E4157&lt;&gt;"",E4157&lt;&gt;"!!!"),"NEW","")))</f>
        <v> </v>
      </c>
      <c r="G4157" s="23" t="str">
        <f>IF(OR(E4157="",E4157="!!!"),"",IF(OR(J4157=0,AND(J4157=1,K4157=1),AND(J4157=1,I4157="SBJ"),AND(J4157=1,I4157=0)),"?IN_FOCUS",IF(J4157&lt;=2,"?ACTIVATED",IF(J4157&lt;&gt;"","?FAMILIAR",IF(F4157="NEW",IF(ISNA(VLOOKUP(E4157,#REF!,1,FALSE())),"?TYPE_IDENTIFIABLE","?REFERENTIAL"),"_")))))</f>
        <v> </v>
      </c>
      <c r="H4157" s="24" t="str">
        <f>IF(J4157&lt;&gt;1,"",IF(I4157="SBJ","CB","?"))</f>
        <v> </v>
      </c>
      <c r="I4157" s="25" t="str">
        <f>IF(OR(E4157="",E4157="!!!",F4157="NEW"),"",INDEX(B4156:B$2,-1+SUMPRODUCT(MAX(ROW(E4156:E$2)*(E4157=E4156:E$2)))))</f>
        <v> </v>
      </c>
      <c r="J4157" s="25" t="str">
        <f>IF(OR(E4157="",E4157="!!!",F4157="NEW"),"",COUNTBLANK(OFFSET(A$1,,,SUMPRODUCT(MAX(ROW(E$2:E4157)*(E4157=E$2:E4157)))))-COUNTBLANK(OFFSET(A$1,,,SUMPRODUCT(MAX(ROW(E$1:E4156)*(E2=E$1:E4156))))))</f>
        <v> </v>
      </c>
      <c r="K4157" s="25" t="str">
        <f>IF(OR(E4157="",E4157="!!!",F4157="NEW"),"",INDEX(J$1:J4156,SUMPRODUCT(MAX(ROW(E$1:E4156)*(E4157=E$1:E4156)))))</f>
        <v> </v>
      </c>
      <c r="L4157" s="26"/>
    </row>
    <row r="4158" spans="1:12">
      <c r="A4158" s="20" t="s">
        <v>1916</v>
      </c>
      <c r="E4158" s="21">
        <f>IF(D4158="?OLD","!!!","")</f>
        <v/>
      </c>
      <c r="F4158" s="22" t="str">
        <f>IF(OR(E4158="",E4158="!!!"),"",IF(NOT(ISNA(VLOOKUP(E4158,E$1:E4157,1,FALSE()))),"OLD",IF(AND(E4158&lt;&gt;"",E4158&lt;&gt;"!!!"),"NEW","")))</f>
        <v> </v>
      </c>
      <c r="G4158" s="23" t="str">
        <f>IF(OR(E4158="",E4158="!!!"),"",IF(OR(J4158=0,AND(J4158=1,K4158=1),AND(J4158=1,I4158="SBJ"),AND(J4158=1,I4158=0)),"?IN_FOCUS",IF(J4158&lt;=2,"?ACTIVATED",IF(J4158&lt;&gt;"","?FAMILIAR",IF(F4158="NEW",IF(ISNA(VLOOKUP(E4158,#REF!,1,FALSE())),"?TYPE_IDENTIFIABLE","?REFERENTIAL"),"_")))))</f>
        <v> </v>
      </c>
      <c r="H4158" s="24" t="str">
        <f>IF(J4158&lt;&gt;1,"",IF(I4158="SBJ","CB","?"))</f>
        <v> </v>
      </c>
      <c r="I4158" s="25" t="str">
        <f>IF(OR(E4158="",E4158="!!!",F4158="NEW"),"",INDEX(B4157:B$2,-1+SUMPRODUCT(MAX(ROW(E4157:E$2)*(E4158=E4157:E$2)))))</f>
        <v> </v>
      </c>
      <c r="J4158" s="25" t="str">
        <f>IF(OR(E4158="",E4158="!!!",F4158="NEW"),"",COUNTBLANK(OFFSET(A$1,,,SUMPRODUCT(MAX(ROW(E$2:E4158)*(E4158=E$2:E4158)))))-COUNTBLANK(OFFSET(A$1,,,SUMPRODUCT(MAX(ROW(E$1:E4157)*(E2=E$1:E4157))))))</f>
        <v> </v>
      </c>
      <c r="K4158" s="25" t="str">
        <f>IF(OR(E4158="",E4158="!!!",F4158="NEW"),"",INDEX(J$1:J4157,SUMPRODUCT(MAX(ROW(E$1:E4157)*(E4158=E$1:E4157)))))</f>
        <v> </v>
      </c>
      <c r="L4158" s="26"/>
    </row>
    <row r="4159" spans="1:12">
      <c r="A4159" s="20" t="s">
        <v>793</v>
      </c>
      <c r="E4159" s="21">
        <f>IF(D4159="?OLD","!!!","")</f>
        <v/>
      </c>
      <c r="F4159" s="22" t="str">
        <f>IF(OR(E4159="",E4159="!!!"),"",IF(NOT(ISNA(VLOOKUP(E4159,E$1:E4158,1,FALSE()))),"OLD",IF(AND(E4159&lt;&gt;"",E4159&lt;&gt;"!!!"),"NEW","")))</f>
        <v> </v>
      </c>
      <c r="G4159" s="23" t="str">
        <f>IF(OR(E4159="",E4159="!!!"),"",IF(OR(J4159=0,AND(J4159=1,K4159=1),AND(J4159=1,I4159="SBJ"),AND(J4159=1,I4159=0)),"?IN_FOCUS",IF(J4159&lt;=2,"?ACTIVATED",IF(J4159&lt;&gt;"","?FAMILIAR",IF(F4159="NEW",IF(ISNA(VLOOKUP(E4159,#REF!,1,FALSE())),"?TYPE_IDENTIFIABLE","?REFERENTIAL"),"_")))))</f>
        <v> </v>
      </c>
      <c r="H4159" s="24" t="str">
        <f>IF(J4159&lt;&gt;1,"",IF(I4159="SBJ","CB","?"))</f>
        <v> </v>
      </c>
      <c r="I4159" s="25" t="str">
        <f>IF(OR(E4159="",E4159="!!!",F4159="NEW"),"",INDEX(B4158:B$2,-1+SUMPRODUCT(MAX(ROW(E4158:E$2)*(E4159=E4158:E$2)))))</f>
        <v> </v>
      </c>
      <c r="J4159" s="25" t="str">
        <f>IF(OR(E4159="",E4159="!!!",F4159="NEW"),"",COUNTBLANK(OFFSET(A$1,,,SUMPRODUCT(MAX(ROW(E$2:E4159)*(E4159=E$2:E4159)))))-COUNTBLANK(OFFSET(A$1,,,SUMPRODUCT(MAX(ROW(E$1:E4158)*(E2=E$1:E4158))))))</f>
        <v> </v>
      </c>
      <c r="K4159" s="25" t="str">
        <f>IF(OR(E4159="",E4159="!!!",F4159="NEW"),"",INDEX(J$1:J4158,SUMPRODUCT(MAX(ROW(E$1:E4158)*(E4159=E$1:E4158)))))</f>
        <v> </v>
      </c>
      <c r="L4159" s="26"/>
    </row>
    <row r="4160" spans="1:12">
      <c r="A4160" s="20" t="s">
        <v>827</v>
      </c>
      <c r="B4160" s="27" t="s">
        <v>956</v>
      </c>
      <c r="C4160" s="27" t="s">
        <v>797</v>
      </c>
      <c r="D4160" s="27" t="s">
        <v>762</v>
      </c>
      <c r="E4160" s="21">
        <f>IF(D4160="?OLD","!!!","")</f>
        <v/>
      </c>
      <c r="F4160" s="22" t="str">
        <f>IF(OR(E4160="",E4160="!!!"),"",IF(NOT(ISNA(VLOOKUP(E4160,E$1:E4159,1,FALSE()))),"OLD",IF(AND(E4160&lt;&gt;"",E4160&lt;&gt;"!!!"),"NEW","")))</f>
        <v> </v>
      </c>
      <c r="G4160" s="23" t="str">
        <f>IF(OR(E4160="",E4160="!!!"),"",IF(OR(J4160=0,AND(J4160=1,K4160=1),AND(J4160=1,I4160="SBJ"),AND(J4160=1,I4160=0)),"?IN_FOCUS",IF(J4160&lt;=2,"?ACTIVATED",IF(J4160&lt;&gt;"","?FAMILIAR",IF(F4160="NEW",IF(ISNA(VLOOKUP(E4160,#REF!,1,FALSE())),"?TYPE_IDENTIFIABLE","?REFERENTIAL"),"_")))))</f>
        <v> </v>
      </c>
      <c r="H4160" s="24" t="str">
        <f>IF(J4160&lt;&gt;1,"",IF(I4160="SBJ","CB","?"))</f>
        <v> </v>
      </c>
      <c r="I4160" s="25" t="str">
        <f>IF(OR(E4160="",E4160="!!!",F4160="NEW"),"",INDEX(B4159:B$2,-1+SUMPRODUCT(MAX(ROW(E4159:E$2)*(E4160=E4159:E$2)))))</f>
        <v> </v>
      </c>
      <c r="J4160" s="25" t="str">
        <f>IF(OR(E4160="",E4160="!!!",F4160="NEW"),"",COUNTBLANK(OFFSET(A$1,,,SUMPRODUCT(MAX(ROW(E$2:E4160)*(E4160=E$2:E4160)))))-COUNTBLANK(OFFSET(A$1,,,SUMPRODUCT(MAX(ROW(E$1:E4159)*(E2=E$1:E4159))))))</f>
        <v> </v>
      </c>
      <c r="K4160" s="25" t="str">
        <f>IF(OR(E4160="",E4160="!!!",F4160="NEW"),"",INDEX(J$1:J4159,SUMPRODUCT(MAX(ROW(E$1:E4159)*(E4160=E$1:E4159)))))</f>
        <v> </v>
      </c>
      <c r="L4160" s="26"/>
    </row>
    <row r="4161" spans="1:12">
      <c r="A4161" s="20" t="s">
        <v>828</v>
      </c>
      <c r="E4161" s="21">
        <f>IF(D4161="?OLD","!!!","")</f>
        <v/>
      </c>
      <c r="F4161" s="22" t="str">
        <f>IF(OR(E4161="",E4161="!!!"),"",IF(NOT(ISNA(VLOOKUP(E4161,E$1:E4160,1,FALSE()))),"OLD",IF(AND(E4161&lt;&gt;"",E4161&lt;&gt;"!!!"),"NEW","")))</f>
        <v> </v>
      </c>
      <c r="G4161" s="23" t="str">
        <f>IF(OR(E4161="",E4161="!!!"),"",IF(OR(J4161=0,AND(J4161=1,K4161=1),AND(J4161=1,I4161="SBJ"),AND(J4161=1,I4161=0)),"?IN_FOCUS",IF(J4161&lt;=2,"?ACTIVATED",IF(J4161&lt;&gt;"","?FAMILIAR",IF(F4161="NEW",IF(ISNA(VLOOKUP(E4161,#REF!,1,FALSE())),"?TYPE_IDENTIFIABLE","?REFERENTIAL"),"_")))))</f>
        <v> </v>
      </c>
      <c r="H4161" s="24" t="str">
        <f>IF(J4161&lt;&gt;1,"",IF(I4161="SBJ","CB","?"))</f>
        <v> </v>
      </c>
      <c r="I4161" s="25" t="str">
        <f>IF(OR(E4161="",E4161="!!!",F4161="NEW"),"",INDEX(B4160:B$2,-1+SUMPRODUCT(MAX(ROW(E4160:E$2)*(E4161=E4160:E$2)))))</f>
        <v> </v>
      </c>
      <c r="J4161" s="25" t="str">
        <f>IF(OR(E4161="",E4161="!!!",F4161="NEW"),"",COUNTBLANK(OFFSET(A$1,,,SUMPRODUCT(MAX(ROW(E$2:E4161)*(E4161=E$2:E4161)))))-COUNTBLANK(OFFSET(A$1,,,SUMPRODUCT(MAX(ROW(E$1:E4160)*(E2=E$1:E4160))))))</f>
        <v> </v>
      </c>
      <c r="K4161" s="25" t="str">
        <f>IF(OR(E4161="",E4161="!!!",F4161="NEW"),"",INDEX(J$1:J4160,SUMPRODUCT(MAX(ROW(E$1:E4160)*(E4161=E$1:E4160)))))</f>
        <v> </v>
      </c>
      <c r="L4161" s="26"/>
    </row>
    <row r="4162" spans="1:12">
      <c r="A4162" s="20" t="s">
        <v>1386</v>
      </c>
      <c r="E4162" s="21">
        <f>IF(D4162="?OLD","!!!","")</f>
        <v/>
      </c>
      <c r="F4162" s="22" t="str">
        <f>IF(OR(E4162="",E4162="!!!"),"",IF(NOT(ISNA(VLOOKUP(E4162,E$1:E4161,1,FALSE()))),"OLD",IF(AND(E4162&lt;&gt;"",E4162&lt;&gt;"!!!"),"NEW","")))</f>
        <v> </v>
      </c>
      <c r="G4162" s="23" t="str">
        <f>IF(OR(E4162="",E4162="!!!"),"",IF(OR(J4162=0,AND(J4162=1,K4162=1),AND(J4162=1,I4162="SBJ"),AND(J4162=1,I4162=0)),"?IN_FOCUS",IF(J4162&lt;=2,"?ACTIVATED",IF(J4162&lt;&gt;"","?FAMILIAR",IF(F4162="NEW",IF(ISNA(VLOOKUP(E4162,#REF!,1,FALSE())),"?TYPE_IDENTIFIABLE","?REFERENTIAL"),"_")))))</f>
        <v> </v>
      </c>
      <c r="H4162" s="24" t="str">
        <f>IF(J4162&lt;&gt;1,"",IF(I4162="SBJ","CB","?"))</f>
        <v> </v>
      </c>
      <c r="I4162" s="25" t="str">
        <f>IF(OR(E4162="",E4162="!!!",F4162="NEW"),"",INDEX(B4161:B$2,-1+SUMPRODUCT(MAX(ROW(E4161:E$2)*(E4162=E4161:E$2)))))</f>
        <v> </v>
      </c>
      <c r="J4162" s="25" t="str">
        <f>IF(OR(E4162="",E4162="!!!",F4162="NEW"),"",COUNTBLANK(OFFSET(A$1,,,SUMPRODUCT(MAX(ROW(E$2:E4162)*(E4162=E$2:E4162)))))-COUNTBLANK(OFFSET(A$1,,,SUMPRODUCT(MAX(ROW(E$1:E4161)*(E2=E$1:E4161))))))</f>
        <v> </v>
      </c>
      <c r="K4162" s="25" t="str">
        <f>IF(OR(E4162="",E4162="!!!",F4162="NEW"),"",INDEX(J$1:J4161,SUMPRODUCT(MAX(ROW(E$1:E4161)*(E4162=E$1:E4161)))))</f>
        <v> </v>
      </c>
      <c r="L4162" s="26"/>
    </row>
    <row r="4163" spans="1:12">
      <c r="A4163" s="20" t="s">
        <v>757</v>
      </c>
      <c r="E4163" s="21">
        <f>IF(D4163="?OLD","!!!","")</f>
        <v/>
      </c>
      <c r="F4163" s="22" t="str">
        <f>IF(OR(E4163="",E4163="!!!"),"",IF(NOT(ISNA(VLOOKUP(E4163,E$1:E4162,1,FALSE()))),"OLD",IF(AND(E4163&lt;&gt;"",E4163&lt;&gt;"!!!"),"NEW","")))</f>
        <v> </v>
      </c>
      <c r="G4163" s="23" t="str">
        <f>IF(OR(E4163="",E4163="!!!"),"",IF(OR(J4163=0,AND(J4163=1,K4163=1),AND(J4163=1,I4163="SBJ"),AND(J4163=1,I4163=0)),"?IN_FOCUS",IF(J4163&lt;=2,"?ACTIVATED",IF(J4163&lt;&gt;"","?FAMILIAR",IF(F4163="NEW",IF(ISNA(VLOOKUP(E4163,#REF!,1,FALSE())),"?TYPE_IDENTIFIABLE","?REFERENTIAL"),"_")))))</f>
        <v> </v>
      </c>
      <c r="H4163" s="24" t="str">
        <f>IF(J4163&lt;&gt;1,"",IF(I4163="SBJ","CB","?"))</f>
        <v> </v>
      </c>
      <c r="I4163" s="25" t="str">
        <f>IF(OR(E4163="",E4163="!!!",F4163="NEW"),"",INDEX(B4162:B$2,-1+SUMPRODUCT(MAX(ROW(E4162:E$2)*(E4163=E4162:E$2)))))</f>
        <v> </v>
      </c>
      <c r="J4163" s="25" t="str">
        <f>IF(OR(E4163="",E4163="!!!",F4163="NEW"),"",COUNTBLANK(OFFSET(A$1,,,SUMPRODUCT(MAX(ROW(E$2:E4163)*(E4163=E$2:E4163)))))-COUNTBLANK(OFFSET(A$1,,,SUMPRODUCT(MAX(ROW(E$1:E4162)*(E2=E$1:E4162))))))</f>
        <v> </v>
      </c>
      <c r="K4163" s="25" t="str">
        <f>IF(OR(E4163="",E4163="!!!",F4163="NEW"),"",INDEX(J$1:J4162,SUMPRODUCT(MAX(ROW(E$1:E4162)*(E4163=E$1:E4162)))))</f>
        <v> </v>
      </c>
      <c r="L4163" s="26"/>
    </row>
    <row r="4164" spans="1:12">
      <c r="A4164" s="20" t="s">
        <v>779</v>
      </c>
      <c r="E4164" s="21">
        <f>IF(D4164="?OLD","!!!","")</f>
        <v/>
      </c>
      <c r="F4164" s="22" t="str">
        <f>IF(OR(E4164="",E4164="!!!"),"",IF(NOT(ISNA(VLOOKUP(E4164,E$1:E4163,1,FALSE()))),"OLD",IF(AND(E4164&lt;&gt;"",E4164&lt;&gt;"!!!"),"NEW","")))</f>
        <v> </v>
      </c>
      <c r="G4164" s="23" t="str">
        <f>IF(OR(E4164="",E4164="!!!"),"",IF(OR(J4164=0,AND(J4164=1,K4164=1),AND(J4164=1,I4164="SBJ"),AND(J4164=1,I4164=0)),"?IN_FOCUS",IF(J4164&lt;=2,"?ACTIVATED",IF(J4164&lt;&gt;"","?FAMILIAR",IF(F4164="NEW",IF(ISNA(VLOOKUP(E4164,#REF!,1,FALSE())),"?TYPE_IDENTIFIABLE","?REFERENTIAL"),"_")))))</f>
        <v> </v>
      </c>
      <c r="H4164" s="24" t="str">
        <f>IF(J4164&lt;&gt;1,"",IF(I4164="SBJ","CB","?"))</f>
        <v> </v>
      </c>
      <c r="I4164" s="25" t="str">
        <f>IF(OR(E4164="",E4164="!!!",F4164="NEW"),"",INDEX(B4163:B$2,-1+SUMPRODUCT(MAX(ROW(E4163:E$2)*(E4164=E4163:E$2)))))</f>
        <v> </v>
      </c>
      <c r="J4164" s="25" t="str">
        <f>IF(OR(E4164="",E4164="!!!",F4164="NEW"),"",COUNTBLANK(OFFSET(A$1,,,SUMPRODUCT(MAX(ROW(E$2:E4164)*(E4164=E$2:E4164)))))-COUNTBLANK(OFFSET(A$1,,,SUMPRODUCT(MAX(ROW(E$1:E4163)*(E2=E$1:E4163))))))</f>
        <v> </v>
      </c>
      <c r="K4164" s="25" t="str">
        <f>IF(OR(E4164="",E4164="!!!",F4164="NEW"),"",INDEX(J$1:J4163,SUMPRODUCT(MAX(ROW(E$1:E4163)*(E4164=E$1:E4163)))))</f>
        <v> </v>
      </c>
      <c r="L4164" s="26"/>
    </row>
    <row r="4165" spans="1:12">
      <c r="A4165" s="20" t="s">
        <v>952</v>
      </c>
      <c r="B4165" s="27" t="s">
        <v>894</v>
      </c>
      <c r="C4165" s="27" t="s">
        <v>768</v>
      </c>
      <c r="E4165" s="21">
        <f>IF(D4165="?OLD","!!!","")</f>
        <v/>
      </c>
      <c r="F4165" s="22" t="str">
        <f>IF(OR(E4165="",E4165="!!!"),"",IF(NOT(ISNA(VLOOKUP(E4165,E$1:E4164,1,FALSE()))),"OLD",IF(AND(E4165&lt;&gt;"",E4165&lt;&gt;"!!!"),"NEW","")))</f>
        <v> </v>
      </c>
      <c r="G4165" s="23" t="str">
        <f>IF(OR(E4165="",E4165="!!!"),"",IF(OR(J4165=0,AND(J4165=1,K4165=1),AND(J4165=1,I4165="SBJ"),AND(J4165=1,I4165=0)),"?IN_FOCUS",IF(J4165&lt;=2,"?ACTIVATED",IF(J4165&lt;&gt;"","?FAMILIAR",IF(F4165="NEW",IF(ISNA(VLOOKUP(E4165,#REF!,1,FALSE())),"?TYPE_IDENTIFIABLE","?REFERENTIAL"),"_")))))</f>
        <v> </v>
      </c>
      <c r="H4165" s="24" t="str">
        <f>IF(J4165&lt;&gt;1,"",IF(I4165="SBJ","CB","?"))</f>
        <v> </v>
      </c>
      <c r="I4165" s="25" t="str">
        <f>IF(OR(E4165="",E4165="!!!",F4165="NEW"),"",INDEX(B4164:B$2,-1+SUMPRODUCT(MAX(ROW(E4164:E$2)*(E4165=E4164:E$2)))))</f>
        <v> </v>
      </c>
      <c r="J4165" s="25" t="str">
        <f>IF(OR(E4165="",E4165="!!!",F4165="NEW"),"",COUNTBLANK(OFFSET(A$1,,,SUMPRODUCT(MAX(ROW(E$2:E4165)*(E4165=E$2:E4165)))))-COUNTBLANK(OFFSET(A$1,,,SUMPRODUCT(MAX(ROW(E$1:E4164)*(E2=E$1:E4164))))))</f>
        <v> </v>
      </c>
      <c r="K4165" s="25" t="str">
        <f>IF(OR(E4165="",E4165="!!!",F4165="NEW"),"",INDEX(J$1:J4164,SUMPRODUCT(MAX(ROW(E$1:E4164)*(E4165=E$1:E4164)))))</f>
        <v> </v>
      </c>
      <c r="L4165" s="26"/>
    </row>
    <row r="4166" spans="1:12">
      <c r="A4166" s="20" t="s">
        <v>1917</v>
      </c>
      <c r="E4166" s="21">
        <f>IF(D4166="?OLD","!!!","")</f>
        <v/>
      </c>
      <c r="F4166" s="22" t="str">
        <f>IF(OR(E4166="",E4166="!!!"),"",IF(NOT(ISNA(VLOOKUP(E4166,E$1:E4165,1,FALSE()))),"OLD",IF(AND(E4166&lt;&gt;"",E4166&lt;&gt;"!!!"),"NEW","")))</f>
        <v> </v>
      </c>
      <c r="G4166" s="23" t="str">
        <f>IF(OR(E4166="",E4166="!!!"),"",IF(OR(J4166=0,AND(J4166=1,K4166=1),AND(J4166=1,I4166="SBJ"),AND(J4166=1,I4166=0)),"?IN_FOCUS",IF(J4166&lt;=2,"?ACTIVATED",IF(J4166&lt;&gt;"","?FAMILIAR",IF(F4166="NEW",IF(ISNA(VLOOKUP(E4166,#REF!,1,FALSE())),"?TYPE_IDENTIFIABLE","?REFERENTIAL"),"_")))))</f>
        <v> </v>
      </c>
      <c r="H4166" s="24" t="str">
        <f>IF(J4166&lt;&gt;1,"",IF(I4166="SBJ","CB","?"))</f>
        <v> </v>
      </c>
      <c r="I4166" s="25" t="str">
        <f>IF(OR(E4166="",E4166="!!!",F4166="NEW"),"",INDEX(B4165:B$2,-1+SUMPRODUCT(MAX(ROW(E4165:E$2)*(E4166=E4165:E$2)))))</f>
        <v> </v>
      </c>
      <c r="J4166" s="25" t="str">
        <f>IF(OR(E4166="",E4166="!!!",F4166="NEW"),"",COUNTBLANK(OFFSET(A$1,,,SUMPRODUCT(MAX(ROW(E$2:E4166)*(E4166=E$2:E4166)))))-COUNTBLANK(OFFSET(A$1,,,SUMPRODUCT(MAX(ROW(E$1:E4165)*(E2=E$1:E4165))))))</f>
        <v> </v>
      </c>
      <c r="K4166" s="25" t="str">
        <f>IF(OR(E4166="",E4166="!!!",F4166="NEW"),"",INDEX(J$1:J4165,SUMPRODUCT(MAX(ROW(E$1:E4165)*(E4166=E$1:E4165)))))</f>
        <v> </v>
      </c>
      <c r="L4166" s="26"/>
    </row>
    <row r="4167" spans="1:12">
      <c r="A4167" s="20" t="s">
        <v>1916</v>
      </c>
      <c r="E4167" s="21">
        <f>IF(D4167="?OLD","!!!","")</f>
        <v/>
      </c>
      <c r="F4167" s="22" t="str">
        <f>IF(OR(E4167="",E4167="!!!"),"",IF(NOT(ISNA(VLOOKUP(E4167,E$1:E4166,1,FALSE()))),"OLD",IF(AND(E4167&lt;&gt;"",E4167&lt;&gt;"!!!"),"NEW","")))</f>
        <v> </v>
      </c>
      <c r="G4167" s="23" t="str">
        <f>IF(OR(E4167="",E4167="!!!"),"",IF(OR(J4167=0,AND(J4167=1,K4167=1),AND(J4167=1,I4167="SBJ"),AND(J4167=1,I4167=0)),"?IN_FOCUS",IF(J4167&lt;=2,"?ACTIVATED",IF(J4167&lt;&gt;"","?FAMILIAR",IF(F4167="NEW",IF(ISNA(VLOOKUP(E4167,#REF!,1,FALSE())),"?TYPE_IDENTIFIABLE","?REFERENTIAL"),"_")))))</f>
        <v> </v>
      </c>
      <c r="H4167" s="24" t="str">
        <f>IF(J4167&lt;&gt;1,"",IF(I4167="SBJ","CB","?"))</f>
        <v> </v>
      </c>
      <c r="I4167" s="25" t="str">
        <f>IF(OR(E4167="",E4167="!!!",F4167="NEW"),"",INDEX(B4166:B$2,-1+SUMPRODUCT(MAX(ROW(E4166:E$2)*(E4167=E4166:E$2)))))</f>
        <v> </v>
      </c>
      <c r="J4167" s="25" t="str">
        <f>IF(OR(E4167="",E4167="!!!",F4167="NEW"),"",COUNTBLANK(OFFSET(A$1,,,SUMPRODUCT(MAX(ROW(E$2:E4167)*(E4167=E$2:E4167)))))-COUNTBLANK(OFFSET(A$1,,,SUMPRODUCT(MAX(ROW(E$1:E4166)*(E2=E$1:E4166))))))</f>
        <v> </v>
      </c>
      <c r="K4167" s="25" t="str">
        <f>IF(OR(E4167="",E4167="!!!",F4167="NEW"),"",INDEX(J$1:J4166,SUMPRODUCT(MAX(ROW(E$1:E4166)*(E4167=E$1:E4166)))))</f>
        <v> </v>
      </c>
      <c r="L4167" s="26"/>
    </row>
    <row r="4168" spans="1:12">
      <c r="A4168" s="20" t="s">
        <v>1020</v>
      </c>
      <c r="B4168" s="27" t="s">
        <v>1272</v>
      </c>
      <c r="E4168" s="21">
        <f>IF(D4168="?OLD","!!!","")</f>
        <v/>
      </c>
      <c r="F4168" s="22" t="str">
        <f>IF(OR(E4168="",E4168="!!!"),"",IF(NOT(ISNA(VLOOKUP(E4168,E$1:E4167,1,FALSE()))),"OLD",IF(AND(E4168&lt;&gt;"",E4168&lt;&gt;"!!!"),"NEW","")))</f>
        <v> </v>
      </c>
      <c r="G4168" s="23" t="str">
        <f>IF(OR(E4168="",E4168="!!!"),"",IF(OR(J4168=0,AND(J4168=1,K4168=1),AND(J4168=1,I4168="SBJ"),AND(J4168=1,I4168=0)),"?IN_FOCUS",IF(J4168&lt;=2,"?ACTIVATED",IF(J4168&lt;&gt;"","?FAMILIAR",IF(F4168="NEW",IF(ISNA(VLOOKUP(E4168,#REF!,1,FALSE())),"?TYPE_IDENTIFIABLE","?REFERENTIAL"),"_")))))</f>
        <v> </v>
      </c>
      <c r="H4168" s="24" t="str">
        <f>IF(J4168&lt;&gt;1,"",IF(I4168="SBJ","CB","?"))</f>
        <v> </v>
      </c>
      <c r="I4168" s="25" t="str">
        <f>IF(OR(E4168="",E4168="!!!",F4168="NEW"),"",INDEX(B4167:B$2,-1+SUMPRODUCT(MAX(ROW(E4167:E$2)*(E4168=E4167:E$2)))))</f>
        <v> </v>
      </c>
      <c r="J4168" s="25" t="str">
        <f>IF(OR(E4168="",E4168="!!!",F4168="NEW"),"",COUNTBLANK(OFFSET(A$1,,,SUMPRODUCT(MAX(ROW(E$2:E4168)*(E4168=E$2:E4168)))))-COUNTBLANK(OFFSET(A$1,,,SUMPRODUCT(MAX(ROW(E$1:E4167)*(E2=E$1:E4167))))))</f>
        <v> </v>
      </c>
      <c r="K4168" s="25" t="str">
        <f>IF(OR(E4168="",E4168="!!!",F4168="NEW"),"",INDEX(J$1:J4167,SUMPRODUCT(MAX(ROW(E$1:E4167)*(E4168=E$1:E4167)))))</f>
        <v> </v>
      </c>
      <c r="L4168" s="26"/>
    </row>
    <row r="4169" spans="1:12">
      <c r="A4169" s="20" t="s">
        <v>778</v>
      </c>
      <c r="E4169" s="21">
        <f>IF(D4169="?OLD","!!!","")</f>
        <v/>
      </c>
      <c r="F4169" s="22" t="str">
        <f>IF(OR(E4169="",E4169="!!!"),"",IF(NOT(ISNA(VLOOKUP(E4169,E$1:E4168,1,FALSE()))),"OLD",IF(AND(E4169&lt;&gt;"",E4169&lt;&gt;"!!!"),"NEW","")))</f>
        <v> </v>
      </c>
      <c r="G4169" s="23" t="str">
        <f>IF(OR(E4169="",E4169="!!!"),"",IF(OR(J4169=0,AND(J4169=1,K4169=1),AND(J4169=1,I4169="SBJ"),AND(J4169=1,I4169=0)),"?IN_FOCUS",IF(J4169&lt;=2,"?ACTIVATED",IF(J4169&lt;&gt;"","?FAMILIAR",IF(F4169="NEW",IF(ISNA(VLOOKUP(E4169,#REF!,1,FALSE())),"?TYPE_IDENTIFIABLE","?REFERENTIAL"),"_")))))</f>
        <v> </v>
      </c>
      <c r="H4169" s="24" t="str">
        <f>IF(J4169&lt;&gt;1,"",IF(I4169="SBJ","CB","?"))</f>
        <v> </v>
      </c>
      <c r="I4169" s="25" t="str">
        <f>IF(OR(E4169="",E4169="!!!",F4169="NEW"),"",INDEX(B4168:B$2,-1+SUMPRODUCT(MAX(ROW(E4168:E$2)*(E4169=E4168:E$2)))))</f>
        <v> </v>
      </c>
      <c r="J4169" s="25" t="str">
        <f>IF(OR(E4169="",E4169="!!!",F4169="NEW"),"",COUNTBLANK(OFFSET(A$1,,,SUMPRODUCT(MAX(ROW(E$2:E4169)*(E4169=E$2:E4169)))))-COUNTBLANK(OFFSET(A$1,,,SUMPRODUCT(MAX(ROW(E$1:E4168)*(E2=E$1:E4168))))))</f>
        <v> </v>
      </c>
      <c r="K4169" s="25" t="str">
        <f>IF(OR(E4169="",E4169="!!!",F4169="NEW"),"",INDEX(J$1:J4168,SUMPRODUCT(MAX(ROW(E$1:E4168)*(E4169=E$1:E4168)))))</f>
        <v> </v>
      </c>
      <c r="L4169" s="26"/>
    </row>
    <row r="4170" spans="1:12">
      <c r="A4170" s="20" t="s">
        <v>1918</v>
      </c>
      <c r="E4170" s="21">
        <f>IF(D4170="?OLD","!!!","")</f>
        <v/>
      </c>
      <c r="F4170" s="22" t="str">
        <f>IF(OR(E4170="",E4170="!!!"),"",IF(NOT(ISNA(VLOOKUP(E4170,E$1:E4169,1,FALSE()))),"OLD",IF(AND(E4170&lt;&gt;"",E4170&lt;&gt;"!!!"),"NEW","")))</f>
        <v> </v>
      </c>
      <c r="G4170" s="23" t="str">
        <f>IF(OR(E4170="",E4170="!!!"),"",IF(OR(J4170=0,AND(J4170=1,K4170=1),AND(J4170=1,I4170="SBJ"),AND(J4170=1,I4170=0)),"?IN_FOCUS",IF(J4170&lt;=2,"?ACTIVATED",IF(J4170&lt;&gt;"","?FAMILIAR",IF(F4170="NEW",IF(ISNA(VLOOKUP(E4170,#REF!,1,FALSE())),"?TYPE_IDENTIFIABLE","?REFERENTIAL"),"_")))))</f>
        <v> </v>
      </c>
      <c r="H4170" s="24" t="str">
        <f>IF(J4170&lt;&gt;1,"",IF(I4170="SBJ","CB","?"))</f>
        <v> </v>
      </c>
      <c r="I4170" s="25" t="str">
        <f>IF(OR(E4170="",E4170="!!!",F4170="NEW"),"",INDEX(B4169:B$2,-1+SUMPRODUCT(MAX(ROW(E4169:E$2)*(E4170=E4169:E$2)))))</f>
        <v> </v>
      </c>
      <c r="J4170" s="25" t="str">
        <f>IF(OR(E4170="",E4170="!!!",F4170="NEW"),"",COUNTBLANK(OFFSET(A$1,,,SUMPRODUCT(MAX(ROW(E$2:E4170)*(E4170=E$2:E4170)))))-COUNTBLANK(OFFSET(A$1,,,SUMPRODUCT(MAX(ROW(E$1:E4169)*(E2=E$1:E4169))))))</f>
        <v> </v>
      </c>
      <c r="K4170" s="25" t="str">
        <f>IF(OR(E4170="",E4170="!!!",F4170="NEW"),"",INDEX(J$1:J4169,SUMPRODUCT(MAX(ROW(E$1:E4169)*(E4170=E$1:E4169)))))</f>
        <v> </v>
      </c>
      <c r="L4170" s="26"/>
    </row>
    <row r="4171" spans="1:12">
      <c r="A4171" s="20" t="s">
        <v>1259</v>
      </c>
      <c r="E4171" s="21">
        <f>IF(D4171="?OLD","!!!","")</f>
        <v/>
      </c>
      <c r="F4171" s="22" t="str">
        <f>IF(OR(E4171="",E4171="!!!"),"",IF(NOT(ISNA(VLOOKUP(E4171,E$1:E4170,1,FALSE()))),"OLD",IF(AND(E4171&lt;&gt;"",E4171&lt;&gt;"!!!"),"NEW","")))</f>
        <v> </v>
      </c>
      <c r="G4171" s="23" t="str">
        <f>IF(OR(E4171="",E4171="!!!"),"",IF(OR(J4171=0,AND(J4171=1,K4171=1),AND(J4171=1,I4171="SBJ"),AND(J4171=1,I4171=0)),"?IN_FOCUS",IF(J4171&lt;=2,"?ACTIVATED",IF(J4171&lt;&gt;"","?FAMILIAR",IF(F4171="NEW",IF(ISNA(VLOOKUP(E4171,#REF!,1,FALSE())),"?TYPE_IDENTIFIABLE","?REFERENTIAL"),"_")))))</f>
        <v> </v>
      </c>
      <c r="H4171" s="24" t="str">
        <f>IF(J4171&lt;&gt;1,"",IF(I4171="SBJ","CB","?"))</f>
        <v> </v>
      </c>
      <c r="I4171" s="25" t="str">
        <f>IF(OR(E4171="",E4171="!!!",F4171="NEW"),"",INDEX(B4170:B$2,-1+SUMPRODUCT(MAX(ROW(E4170:E$2)*(E4171=E4170:E$2)))))</f>
        <v> </v>
      </c>
      <c r="J4171" s="25" t="str">
        <f>IF(OR(E4171="",E4171="!!!",F4171="NEW"),"",COUNTBLANK(OFFSET(A$1,,,SUMPRODUCT(MAX(ROW(E$2:E4171)*(E4171=E$2:E4171)))))-COUNTBLANK(OFFSET(A$1,,,SUMPRODUCT(MAX(ROW(E$1:E4170)*(E2=E$1:E4170))))))</f>
        <v> </v>
      </c>
      <c r="K4171" s="25" t="str">
        <f>IF(OR(E4171="",E4171="!!!",F4171="NEW"),"",INDEX(J$1:J4170,SUMPRODUCT(MAX(ROW(E$1:E4170)*(E4171=E$1:E4170)))))</f>
        <v> </v>
      </c>
      <c r="L4171" s="26"/>
    </row>
    <row r="4172" spans="1:12">
      <c r="A4172" s="20" t="s">
        <v>1919</v>
      </c>
      <c r="B4172" s="27" t="s">
        <v>815</v>
      </c>
      <c r="C4172" s="27" t="s">
        <v>754</v>
      </c>
      <c r="E4172" s="21">
        <f>IF(D4172="?OLD","!!!","")</f>
        <v/>
      </c>
      <c r="F4172" s="22" t="str">
        <f>IF(OR(E4172="",E4172="!!!"),"",IF(NOT(ISNA(VLOOKUP(E4172,E$1:E4171,1,FALSE()))),"OLD",IF(AND(E4172&lt;&gt;"",E4172&lt;&gt;"!!!"),"NEW","")))</f>
        <v> </v>
      </c>
      <c r="G4172" s="23" t="str">
        <f>IF(OR(E4172="",E4172="!!!"),"",IF(OR(J4172=0,AND(J4172=1,K4172=1),AND(J4172=1,I4172="SBJ"),AND(J4172=1,I4172=0)),"?IN_FOCUS",IF(J4172&lt;=2,"?ACTIVATED",IF(J4172&lt;&gt;"","?FAMILIAR",IF(F4172="NEW",IF(ISNA(VLOOKUP(E4172,#REF!,1,FALSE())),"?TYPE_IDENTIFIABLE","?REFERENTIAL"),"_")))))</f>
        <v> </v>
      </c>
      <c r="H4172" s="24" t="str">
        <f>IF(J4172&lt;&gt;1,"",IF(I4172="SBJ","CB","?"))</f>
        <v> </v>
      </c>
      <c r="I4172" s="25" t="str">
        <f>IF(OR(E4172="",E4172="!!!",F4172="NEW"),"",INDEX(B4171:B$2,-1+SUMPRODUCT(MAX(ROW(E4171:E$2)*(E4172=E4171:E$2)))))</f>
        <v> </v>
      </c>
      <c r="J4172" s="25" t="str">
        <f>IF(OR(E4172="",E4172="!!!",F4172="NEW"),"",COUNTBLANK(OFFSET(A$1,,,SUMPRODUCT(MAX(ROW(E$2:E4172)*(E4172=E$2:E4172)))))-COUNTBLANK(OFFSET(A$1,,,SUMPRODUCT(MAX(ROW(E$1:E4171)*(E2=E$1:E4171))))))</f>
        <v> </v>
      </c>
      <c r="K4172" s="25" t="str">
        <f>IF(OR(E4172="",E4172="!!!",F4172="NEW"),"",INDEX(J$1:J4171,SUMPRODUCT(MAX(ROW(E$1:E4171)*(E4172=E$1:E4171)))))</f>
        <v> </v>
      </c>
      <c r="L4172" s="26"/>
    </row>
    <row r="4173" spans="1:12">
      <c r="A4173" s="20" t="s">
        <v>769</v>
      </c>
      <c r="E4173" s="21">
        <f>IF(D4173="?OLD","!!!","")</f>
        <v/>
      </c>
      <c r="F4173" s="22" t="str">
        <f>IF(OR(E4173="",E4173="!!!"),"",IF(NOT(ISNA(VLOOKUP(E4173,E$1:E4172,1,FALSE()))),"OLD",IF(AND(E4173&lt;&gt;"",E4173&lt;&gt;"!!!"),"NEW","")))</f>
        <v> </v>
      </c>
      <c r="G4173" s="23" t="str">
        <f>IF(OR(E4173="",E4173="!!!"),"",IF(OR(J4173=0,AND(J4173=1,K4173=1),AND(J4173=1,I4173="SBJ"),AND(J4173=1,I4173=0)),"?IN_FOCUS",IF(J4173&lt;=2,"?ACTIVATED",IF(J4173&lt;&gt;"","?FAMILIAR",IF(F4173="NEW",IF(ISNA(VLOOKUP(E4173,#REF!,1,FALSE())),"?TYPE_IDENTIFIABLE","?REFERENTIAL"),"_")))))</f>
        <v> </v>
      </c>
      <c r="H4173" s="24" t="str">
        <f>IF(J4173&lt;&gt;1,"",IF(I4173="SBJ","CB","?"))</f>
        <v> </v>
      </c>
      <c r="I4173" s="25" t="str">
        <f>IF(OR(E4173="",E4173="!!!",F4173="NEW"),"",INDEX(B4172:B$2,-1+SUMPRODUCT(MAX(ROW(E4172:E$2)*(E4173=E4172:E$2)))))</f>
        <v> </v>
      </c>
      <c r="J4173" s="25" t="str">
        <f>IF(OR(E4173="",E4173="!!!",F4173="NEW"),"",COUNTBLANK(OFFSET(A$1,,,SUMPRODUCT(MAX(ROW(E$2:E4173)*(E4173=E$2:E4173)))))-COUNTBLANK(OFFSET(A$1,,,SUMPRODUCT(MAX(ROW(E$1:E4172)*(E2=E$1:E4172))))))</f>
        <v> </v>
      </c>
      <c r="K4173" s="25" t="str">
        <f>IF(OR(E4173="",E4173="!!!",F4173="NEW"),"",INDEX(J$1:J4172,SUMPRODUCT(MAX(ROW(E$1:E4172)*(E4173=E$1:E4172)))))</f>
        <v> </v>
      </c>
      <c r="L4173" s="26"/>
    </row>
    <row r="4174" spans="1:12">
      <c r="A4174" s="20" t="s">
        <v>1920</v>
      </c>
      <c r="B4174" s="27" t="s">
        <v>1062</v>
      </c>
      <c r="C4174" s="27" t="s">
        <v>754</v>
      </c>
      <c r="E4174" s="21">
        <f>IF(D4174="?OLD","!!!","")</f>
        <v/>
      </c>
      <c r="F4174" s="22" t="str">
        <f>IF(OR(E4174="",E4174="!!!"),"",IF(NOT(ISNA(VLOOKUP(E4174,E$1:E4173,1,FALSE()))),"OLD",IF(AND(E4174&lt;&gt;"",E4174&lt;&gt;"!!!"),"NEW","")))</f>
        <v> </v>
      </c>
      <c r="G4174" s="23" t="str">
        <f>IF(OR(E4174="",E4174="!!!"),"",IF(OR(J4174=0,AND(J4174=1,K4174=1),AND(J4174=1,I4174="SBJ"),AND(J4174=1,I4174=0)),"?IN_FOCUS",IF(J4174&lt;=2,"?ACTIVATED",IF(J4174&lt;&gt;"","?FAMILIAR",IF(F4174="NEW",IF(ISNA(VLOOKUP(E4174,#REF!,1,FALSE())),"?TYPE_IDENTIFIABLE","?REFERENTIAL"),"_")))))</f>
        <v> </v>
      </c>
      <c r="H4174" s="24" t="str">
        <f>IF(J4174&lt;&gt;1,"",IF(I4174="SBJ","CB","?"))</f>
        <v> </v>
      </c>
      <c r="I4174" s="25" t="str">
        <f>IF(OR(E4174="",E4174="!!!",F4174="NEW"),"",INDEX(B4173:B$2,-1+SUMPRODUCT(MAX(ROW(E4173:E$2)*(E4174=E4173:E$2)))))</f>
        <v> </v>
      </c>
      <c r="J4174" s="25" t="str">
        <f>IF(OR(E4174="",E4174="!!!",F4174="NEW"),"",COUNTBLANK(OFFSET(A$1,,,SUMPRODUCT(MAX(ROW(E$2:E4174)*(E4174=E$2:E4174)))))-COUNTBLANK(OFFSET(A$1,,,SUMPRODUCT(MAX(ROW(E$1:E4173)*(E2=E$1:E4173))))))</f>
        <v> </v>
      </c>
      <c r="K4174" s="25" t="str">
        <f>IF(OR(E4174="",E4174="!!!",F4174="NEW"),"",INDEX(J$1:J4173,SUMPRODUCT(MAX(ROW(E$1:E4173)*(E4174=E$1:E4173)))))</f>
        <v> </v>
      </c>
      <c r="L4174" s="26"/>
    </row>
    <row r="4175" spans="1:12">
      <c r="A4175" s="20" t="s">
        <v>769</v>
      </c>
      <c r="E4175" s="21">
        <f>IF(D4175="?OLD","!!!","")</f>
        <v/>
      </c>
      <c r="F4175" s="22" t="str">
        <f>IF(OR(E4175="",E4175="!!!"),"",IF(NOT(ISNA(VLOOKUP(E4175,E$1:E4174,1,FALSE()))),"OLD",IF(AND(E4175&lt;&gt;"",E4175&lt;&gt;"!!!"),"NEW","")))</f>
        <v> </v>
      </c>
      <c r="G4175" s="23" t="str">
        <f>IF(OR(E4175="",E4175="!!!"),"",IF(OR(J4175=0,AND(J4175=1,K4175=1),AND(J4175=1,I4175="SBJ"),AND(J4175=1,I4175=0)),"?IN_FOCUS",IF(J4175&lt;=2,"?ACTIVATED",IF(J4175&lt;&gt;"","?FAMILIAR",IF(F4175="NEW",IF(ISNA(VLOOKUP(E4175,#REF!,1,FALSE())),"?TYPE_IDENTIFIABLE","?REFERENTIAL"),"_")))))</f>
        <v> </v>
      </c>
      <c r="H4175" s="24" t="str">
        <f>IF(J4175&lt;&gt;1,"",IF(I4175="SBJ","CB","?"))</f>
        <v> </v>
      </c>
      <c r="I4175" s="25" t="str">
        <f>IF(OR(E4175="",E4175="!!!",F4175="NEW"),"",INDEX(B4174:B$2,-1+SUMPRODUCT(MAX(ROW(E4174:E$2)*(E4175=E4174:E$2)))))</f>
        <v> </v>
      </c>
      <c r="J4175" s="25" t="str">
        <f>IF(OR(E4175="",E4175="!!!",F4175="NEW"),"",COUNTBLANK(OFFSET(A$1,,,SUMPRODUCT(MAX(ROW(E$2:E4175)*(E4175=E$2:E4175)))))-COUNTBLANK(OFFSET(A$1,,,SUMPRODUCT(MAX(ROW(E$1:E4174)*(E2=E$1:E4174))))))</f>
        <v> </v>
      </c>
      <c r="K4175" s="25" t="str">
        <f>IF(OR(E4175="",E4175="!!!",F4175="NEW"),"",INDEX(J$1:J4174,SUMPRODUCT(MAX(ROW(E$1:E4174)*(E4175=E$1:E4174)))))</f>
        <v> </v>
      </c>
      <c r="L4175" s="26"/>
    </row>
    <row r="4176" spans="1:12">
      <c r="A4176" s="20" t="s">
        <v>822</v>
      </c>
      <c r="E4176" s="21">
        <f>IF(D4176="?OLD","!!!","")</f>
        <v/>
      </c>
      <c r="F4176" s="22" t="str">
        <f>IF(OR(E4176="",E4176="!!!"),"",IF(NOT(ISNA(VLOOKUP(E4176,E$1:E4175,1,FALSE()))),"OLD",IF(AND(E4176&lt;&gt;"",E4176&lt;&gt;"!!!"),"NEW","")))</f>
        <v> </v>
      </c>
      <c r="G4176" s="23" t="str">
        <f>IF(OR(E4176="",E4176="!!!"),"",IF(OR(J4176=0,AND(J4176=1,K4176=1),AND(J4176=1,I4176="SBJ"),AND(J4176=1,I4176=0)),"?IN_FOCUS",IF(J4176&lt;=2,"?ACTIVATED",IF(J4176&lt;&gt;"","?FAMILIAR",IF(F4176="NEW",IF(ISNA(VLOOKUP(E4176,#REF!,1,FALSE())),"?TYPE_IDENTIFIABLE","?REFERENTIAL"),"_")))))</f>
        <v> </v>
      </c>
      <c r="H4176" s="24" t="str">
        <f>IF(J4176&lt;&gt;1,"",IF(I4176="SBJ","CB","?"))</f>
        <v> </v>
      </c>
      <c r="I4176" s="25" t="str">
        <f>IF(OR(E4176="",E4176="!!!",F4176="NEW"),"",INDEX(B4175:B$2,-1+SUMPRODUCT(MAX(ROW(E4175:E$2)*(E4176=E4175:E$2)))))</f>
        <v> </v>
      </c>
      <c r="J4176" s="25" t="str">
        <f>IF(OR(E4176="",E4176="!!!",F4176="NEW"),"",COUNTBLANK(OFFSET(A$1,,,SUMPRODUCT(MAX(ROW(E$2:E4176)*(E4176=E$2:E4176)))))-COUNTBLANK(OFFSET(A$1,,,SUMPRODUCT(MAX(ROW(E$1:E4175)*(E2=E$1:E4175))))))</f>
        <v> </v>
      </c>
      <c r="K4176" s="25" t="str">
        <f>IF(OR(E4176="",E4176="!!!",F4176="NEW"),"",INDEX(J$1:J4175,SUMPRODUCT(MAX(ROW(E$1:E4175)*(E4176=E$1:E4175)))))</f>
        <v> </v>
      </c>
      <c r="L4176" s="26"/>
    </row>
    <row r="4177" spans="1:12">
      <c r="A4177" s="20" t="s">
        <v>1921</v>
      </c>
      <c r="B4177" s="27" t="s">
        <v>1127</v>
      </c>
      <c r="C4177" s="27" t="s">
        <v>761</v>
      </c>
      <c r="D4177" s="27" t="s">
        <v>762</v>
      </c>
      <c r="E4177" s="21">
        <f>IF(D4177="?OLD","!!!","")</f>
        <v/>
      </c>
      <c r="F4177" s="22" t="str">
        <f>IF(OR(E4177="",E4177="!!!"),"",IF(NOT(ISNA(VLOOKUP(E4177,E$1:E4176,1,FALSE()))),"OLD",IF(AND(E4177&lt;&gt;"",E4177&lt;&gt;"!!!"),"NEW","")))</f>
        <v> </v>
      </c>
      <c r="G4177" s="23" t="str">
        <f>IF(OR(E4177="",E4177="!!!"),"",IF(OR(J4177=0,AND(J4177=1,K4177=1),AND(J4177=1,I4177="SBJ"),AND(J4177=1,I4177=0)),"?IN_FOCUS",IF(J4177&lt;=2,"?ACTIVATED",IF(J4177&lt;&gt;"","?FAMILIAR",IF(F4177="NEW",IF(ISNA(VLOOKUP(E4177,#REF!,1,FALSE())),"?TYPE_IDENTIFIABLE","?REFERENTIAL"),"_")))))</f>
        <v> </v>
      </c>
      <c r="H4177" s="24" t="str">
        <f>IF(J4177&lt;&gt;1,"",IF(I4177="SBJ","CB","?"))</f>
        <v> </v>
      </c>
      <c r="I4177" s="25" t="str">
        <f>IF(OR(E4177="",E4177="!!!",F4177="NEW"),"",INDEX(B4176:B$2,-1+SUMPRODUCT(MAX(ROW(E4176:E$2)*(E4177=E4176:E$2)))))</f>
        <v> </v>
      </c>
      <c r="J4177" s="25" t="str">
        <f>IF(OR(E4177="",E4177="!!!",F4177="NEW"),"",COUNTBLANK(OFFSET(A$1,,,SUMPRODUCT(MAX(ROW(E$2:E4177)*(E4177=E$2:E4177)))))-COUNTBLANK(OFFSET(A$1,,,SUMPRODUCT(MAX(ROW(E$1:E4176)*(E2=E$1:E4176))))))</f>
        <v> </v>
      </c>
      <c r="K4177" s="25" t="str">
        <f>IF(OR(E4177="",E4177="!!!",F4177="NEW"),"",INDEX(J$1:J4176,SUMPRODUCT(MAX(ROW(E$1:E4176)*(E4177=E$1:E4176)))))</f>
        <v> </v>
      </c>
      <c r="L4177" s="26"/>
    </row>
    <row r="4178" spans="1:12">
      <c r="A4178" s="20" t="s">
        <v>1922</v>
      </c>
      <c r="E4178" s="21">
        <f>IF(D4178="?OLD","!!!","")</f>
        <v/>
      </c>
      <c r="F4178" s="22" t="str">
        <f>IF(OR(E4178="",E4178="!!!"),"",IF(NOT(ISNA(VLOOKUP(E4178,E$1:E4177,1,FALSE()))),"OLD",IF(AND(E4178&lt;&gt;"",E4178&lt;&gt;"!!!"),"NEW","")))</f>
        <v> </v>
      </c>
      <c r="G4178" s="23" t="str">
        <f>IF(OR(E4178="",E4178="!!!"),"",IF(OR(J4178=0,AND(J4178=1,K4178=1),AND(J4178=1,I4178="SBJ"),AND(J4178=1,I4178=0)),"?IN_FOCUS",IF(J4178&lt;=2,"?ACTIVATED",IF(J4178&lt;&gt;"","?FAMILIAR",IF(F4178="NEW",IF(ISNA(VLOOKUP(E4178,#REF!,1,FALSE())),"?TYPE_IDENTIFIABLE","?REFERENTIAL"),"_")))))</f>
        <v> </v>
      </c>
      <c r="H4178" s="24" t="str">
        <f>IF(J4178&lt;&gt;1,"",IF(I4178="SBJ","CB","?"))</f>
        <v> </v>
      </c>
      <c r="I4178" s="25" t="str">
        <f>IF(OR(E4178="",E4178="!!!",F4178="NEW"),"",INDEX(B4177:B$2,-1+SUMPRODUCT(MAX(ROW(E4177:E$2)*(E4178=E4177:E$2)))))</f>
        <v> </v>
      </c>
      <c r="J4178" s="25" t="str">
        <f>IF(OR(E4178="",E4178="!!!",F4178="NEW"),"",COUNTBLANK(OFFSET(A$1,,,SUMPRODUCT(MAX(ROW(E$2:E4178)*(E4178=E$2:E4178)))))-COUNTBLANK(OFFSET(A$1,,,SUMPRODUCT(MAX(ROW(E$1:E4177)*(E2=E$1:E4177))))))</f>
        <v> </v>
      </c>
      <c r="K4178" s="25" t="str">
        <f>IF(OR(E4178="",E4178="!!!",F4178="NEW"),"",INDEX(J$1:J4177,SUMPRODUCT(MAX(ROW(E$1:E4177)*(E4178=E$1:E4177)))))</f>
        <v> </v>
      </c>
      <c r="L4178" s="26"/>
    </row>
    <row r="4179" spans="1:12">
      <c r="A4179" s="20" t="s">
        <v>774</v>
      </c>
      <c r="E4179" s="21">
        <f>IF(D4179="?OLD","!!!","")</f>
        <v/>
      </c>
      <c r="F4179" s="22" t="str">
        <f>IF(OR(E4179="",E4179="!!!"),"",IF(NOT(ISNA(VLOOKUP(E4179,E$1:E4178,1,FALSE()))),"OLD",IF(AND(E4179&lt;&gt;"",E4179&lt;&gt;"!!!"),"NEW","")))</f>
        <v> </v>
      </c>
      <c r="G4179" s="23" t="str">
        <f>IF(OR(E4179="",E4179="!!!"),"",IF(OR(J4179=0,AND(J4179=1,K4179=1),AND(J4179=1,I4179="SBJ"),AND(J4179=1,I4179=0)),"?IN_FOCUS",IF(J4179&lt;=2,"?ACTIVATED",IF(J4179&lt;&gt;"","?FAMILIAR",IF(F4179="NEW",IF(ISNA(VLOOKUP(E4179,#REF!,1,FALSE())),"?TYPE_IDENTIFIABLE","?REFERENTIAL"),"_")))))</f>
        <v> </v>
      </c>
      <c r="H4179" s="24" t="str">
        <f>IF(J4179&lt;&gt;1,"",IF(I4179="SBJ","CB","?"))</f>
        <v> </v>
      </c>
      <c r="I4179" s="25" t="str">
        <f>IF(OR(E4179="",E4179="!!!",F4179="NEW"),"",INDEX(B4178:B$2,-1+SUMPRODUCT(MAX(ROW(E4178:E$2)*(E4179=E4178:E$2)))))</f>
        <v> </v>
      </c>
      <c r="J4179" s="25" t="str">
        <f>IF(OR(E4179="",E4179="!!!",F4179="NEW"),"",COUNTBLANK(OFFSET(A$1,,,SUMPRODUCT(MAX(ROW(E$2:E4179)*(E4179=E$2:E4179)))))-COUNTBLANK(OFFSET(A$1,,,SUMPRODUCT(MAX(ROW(E$1:E4178)*(E2=E$1:E4178))))))</f>
        <v> </v>
      </c>
      <c r="K4179" s="25" t="str">
        <f>IF(OR(E4179="",E4179="!!!",F4179="NEW"),"",INDEX(J$1:J4178,SUMPRODUCT(MAX(ROW(E$1:E4178)*(E4179=E$1:E4178)))))</f>
        <v> </v>
      </c>
      <c r="L4179" s="26"/>
    </row>
    <row r="4180" spans="1:12">
      <c r="A4180" s="20"/>
    </row>
    <row r="4181" spans="1:12">
      <c r="A4181" s="20" t="s">
        <v>1923</v>
      </c>
    </row>
    <row r="4182" spans="1:12">
      <c r="A4182" s="20" t="s">
        <v>866</v>
      </c>
      <c r="E4182" s="21">
        <f>IF(D4182="?OLD","!!!","")</f>
        <v/>
      </c>
      <c r="F4182" s="22" t="str">
        <f>IF(OR(E4182="",E4182="!!!"),"",IF(NOT(ISNA(VLOOKUP(E4182,E$1:E4181,1,FALSE()))),"OLD",IF(AND(E4182&lt;&gt;"",E4182&lt;&gt;"!!!"),"NEW","")))</f>
        <v> </v>
      </c>
      <c r="G4182" s="23" t="str">
        <f>IF(OR(E4182="",E4182="!!!"),"",IF(OR(J4182=0,AND(J4182=1,K4182=1),AND(J4182=1,I4182="SBJ"),AND(J4182=1,I4182=0)),"?IN_FOCUS",IF(J4182&lt;=2,"?ACTIVATED",IF(J4182&lt;&gt;"","?FAMILIAR",IF(F4182="NEW",IF(ISNA(VLOOKUP(E4182,#REF!,1,FALSE())),"?TYPE_IDENTIFIABLE","?REFERENTIAL"),"_")))))</f>
        <v> </v>
      </c>
      <c r="H4182" s="24" t="str">
        <f>IF(J4182&lt;&gt;1,"",IF(I4182="SBJ","CB","?"))</f>
        <v> </v>
      </c>
      <c r="I4182" s="25" t="str">
        <f>IF(OR(E4182="",E4182="!!!",F4182="NEW"),"",INDEX(B4181:B$2,-1+SUMPRODUCT(MAX(ROW(E4181:E$2)*(E4182=E4181:E$2)))))</f>
        <v> </v>
      </c>
      <c r="J4182" s="25" t="str">
        <f>IF(OR(E4182="",E4182="!!!",F4182="NEW"),"",COUNTBLANK(OFFSET(A$1,,,SUMPRODUCT(MAX(ROW(E$2:E4182)*(E4182=E$2:E4182)))))-COUNTBLANK(OFFSET(A$1,,,SUMPRODUCT(MAX(ROW(E$1:E4181)*(E2=E$1:E4181))))))</f>
        <v> </v>
      </c>
      <c r="K4182" s="25" t="str">
        <f>IF(OR(E4182="",E4182="!!!",F4182="NEW"),"",INDEX(J$1:J4181,SUMPRODUCT(MAX(ROW(E$1:E4181)*(E4182=E$1:E4181)))))</f>
        <v> </v>
      </c>
      <c r="L4182" s="26"/>
    </row>
    <row r="4183" spans="1:12">
      <c r="A4183" s="20" t="s">
        <v>931</v>
      </c>
      <c r="B4183" s="27" t="s">
        <v>879</v>
      </c>
      <c r="C4183" s="27" t="s">
        <v>851</v>
      </c>
      <c r="D4183" s="27" t="s">
        <v>762</v>
      </c>
      <c r="E4183" s="21">
        <f>IF(D4183="?OLD","!!!","")</f>
        <v/>
      </c>
      <c r="F4183" s="22" t="str">
        <f>IF(OR(E4183="",E4183="!!!"),"",IF(NOT(ISNA(VLOOKUP(E4183,E$1:E4182,1,FALSE()))),"OLD",IF(AND(E4183&lt;&gt;"",E4183&lt;&gt;"!!!"),"NEW","")))</f>
        <v> </v>
      </c>
      <c r="G4183" s="23" t="str">
        <f>IF(OR(E4183="",E4183="!!!"),"",IF(OR(J4183=0,AND(J4183=1,K4183=1),AND(J4183=1,I4183="SBJ"),AND(J4183=1,I4183=0)),"?IN_FOCUS",IF(J4183&lt;=2,"?ACTIVATED",IF(J4183&lt;&gt;"","?FAMILIAR",IF(F4183="NEW",IF(ISNA(VLOOKUP(E4183,#REF!,1,FALSE())),"?TYPE_IDENTIFIABLE","?REFERENTIAL"),"_")))))</f>
        <v> </v>
      </c>
      <c r="H4183" s="24" t="str">
        <f>IF(J4183&lt;&gt;1,"",IF(I4183="SBJ","CB","?"))</f>
        <v> </v>
      </c>
      <c r="I4183" s="25" t="str">
        <f>IF(OR(E4183="",E4183="!!!",F4183="NEW"),"",INDEX(B4182:B$2,-1+SUMPRODUCT(MAX(ROW(E4182:E$2)*(E4183=E4182:E$2)))))</f>
        <v> </v>
      </c>
      <c r="J4183" s="25" t="str">
        <f>IF(OR(E4183="",E4183="!!!",F4183="NEW"),"",COUNTBLANK(OFFSET(A$1,,,SUMPRODUCT(MAX(ROW(E$2:E4183)*(E4183=E$2:E4183)))))-COUNTBLANK(OFFSET(A$1,,,SUMPRODUCT(MAX(ROW(E$1:E4182)*(E2=E$1:E4182))))))</f>
        <v> </v>
      </c>
      <c r="K4183" s="25" t="str">
        <f>IF(OR(E4183="",E4183="!!!",F4183="NEW"),"",INDEX(J$1:J4182,SUMPRODUCT(MAX(ROW(E$1:E4182)*(E4183=E$1:E4182)))))</f>
        <v> </v>
      </c>
      <c r="L4183" s="26"/>
    </row>
    <row r="4184" spans="1:12">
      <c r="A4184" s="20" t="s">
        <v>1924</v>
      </c>
      <c r="B4184" s="27" t="s">
        <v>796</v>
      </c>
      <c r="C4184" s="27" t="s">
        <v>837</v>
      </c>
      <c r="D4184" s="27" t="s">
        <v>762</v>
      </c>
      <c r="E4184" s="21">
        <f>IF(D4184="?OLD","!!!","")</f>
        <v/>
      </c>
      <c r="F4184" s="22" t="str">
        <f>IF(OR(E4184="",E4184="!!!"),"",IF(NOT(ISNA(VLOOKUP(E4184,E$1:E4183,1,FALSE()))),"OLD",IF(AND(E4184&lt;&gt;"",E4184&lt;&gt;"!!!"),"NEW","")))</f>
        <v> </v>
      </c>
      <c r="G4184" s="23" t="str">
        <f>IF(OR(E4184="",E4184="!!!"),"",IF(OR(J4184=0,AND(J4184=1,K4184=1),AND(J4184=1,I4184="SBJ"),AND(J4184=1,I4184=0)),"?IN_FOCUS",IF(J4184&lt;=2,"?ACTIVATED",IF(J4184&lt;&gt;"","?FAMILIAR",IF(F4184="NEW",IF(ISNA(VLOOKUP(E4184,#REF!,1,FALSE())),"?TYPE_IDENTIFIABLE","?REFERENTIAL"),"_")))))</f>
        <v> </v>
      </c>
      <c r="H4184" s="24" t="str">
        <f>IF(J4184&lt;&gt;1,"",IF(I4184="SBJ","CB","?"))</f>
        <v> </v>
      </c>
      <c r="I4184" s="25" t="str">
        <f>IF(OR(E4184="",E4184="!!!",F4184="NEW"),"",INDEX(B4183:B$2,-1+SUMPRODUCT(MAX(ROW(E4183:E$2)*(E4184=E4183:E$2)))))</f>
        <v> </v>
      </c>
      <c r="J4184" s="25" t="str">
        <f>IF(OR(E4184="",E4184="!!!",F4184="NEW"),"",COUNTBLANK(OFFSET(A$1,,,SUMPRODUCT(MAX(ROW(E$2:E4184)*(E4184=E$2:E4184)))))-COUNTBLANK(OFFSET(A$1,,,SUMPRODUCT(MAX(ROW(E$1:E4183)*(E2=E$1:E4183))))))</f>
        <v> </v>
      </c>
      <c r="K4184" s="25" t="str">
        <f>IF(OR(E4184="",E4184="!!!",F4184="NEW"),"",INDEX(J$1:J4183,SUMPRODUCT(MAX(ROW(E$1:E4183)*(E4184=E$1:E4183)))))</f>
        <v> </v>
      </c>
      <c r="L4184" s="26"/>
    </row>
    <row r="4185" spans="1:12">
      <c r="A4185" s="20" t="s">
        <v>1004</v>
      </c>
      <c r="E4185" s="21">
        <f>IF(D4185="?OLD","!!!","")</f>
        <v/>
      </c>
      <c r="F4185" s="22" t="str">
        <f>IF(OR(E4185="",E4185="!!!"),"",IF(NOT(ISNA(VLOOKUP(E4185,E$1:E4184,1,FALSE()))),"OLD",IF(AND(E4185&lt;&gt;"",E4185&lt;&gt;"!!!"),"NEW","")))</f>
        <v> </v>
      </c>
      <c r="G4185" s="23" t="str">
        <f>IF(OR(E4185="",E4185="!!!"),"",IF(OR(J4185=0,AND(J4185=1,K4185=1),AND(J4185=1,I4185="SBJ"),AND(J4185=1,I4185=0)),"?IN_FOCUS",IF(J4185&lt;=2,"?ACTIVATED",IF(J4185&lt;&gt;"","?FAMILIAR",IF(F4185="NEW",IF(ISNA(VLOOKUP(E4185,#REF!,1,FALSE())),"?TYPE_IDENTIFIABLE","?REFERENTIAL"),"_")))))</f>
        <v> </v>
      </c>
      <c r="H4185" s="24" t="str">
        <f>IF(J4185&lt;&gt;1,"",IF(I4185="SBJ","CB","?"))</f>
        <v> </v>
      </c>
      <c r="I4185" s="25" t="str">
        <f>IF(OR(E4185="",E4185="!!!",F4185="NEW"),"",INDEX(B4184:B$2,-1+SUMPRODUCT(MAX(ROW(E4184:E$2)*(E4185=E4184:E$2)))))</f>
        <v> </v>
      </c>
      <c r="J4185" s="25" t="str">
        <f>IF(OR(E4185="",E4185="!!!",F4185="NEW"),"",COUNTBLANK(OFFSET(A$1,,,SUMPRODUCT(MAX(ROW(E$2:E4185)*(E4185=E$2:E4185)))))-COUNTBLANK(OFFSET(A$1,,,SUMPRODUCT(MAX(ROW(E$1:E4184)*(E2=E$1:E4184))))))</f>
        <v> </v>
      </c>
      <c r="K4185" s="25" t="str">
        <f>IF(OR(E4185="",E4185="!!!",F4185="NEW"),"",INDEX(J$1:J4184,SUMPRODUCT(MAX(ROW(E$1:E4184)*(E4185=E$1:E4184)))))</f>
        <v> </v>
      </c>
      <c r="L4185" s="26"/>
    </row>
    <row r="4186" spans="1:12">
      <c r="A4186" s="20" t="s">
        <v>1364</v>
      </c>
      <c r="E4186" s="21">
        <f>IF(D4186="?OLD","!!!","")</f>
        <v/>
      </c>
      <c r="F4186" s="22" t="str">
        <f>IF(OR(E4186="",E4186="!!!"),"",IF(NOT(ISNA(VLOOKUP(E4186,E$1:E4185,1,FALSE()))),"OLD",IF(AND(E4186&lt;&gt;"",E4186&lt;&gt;"!!!"),"NEW","")))</f>
        <v> </v>
      </c>
      <c r="G4186" s="23" t="str">
        <f>IF(OR(E4186="",E4186="!!!"),"",IF(OR(J4186=0,AND(J4186=1,K4186=1),AND(J4186=1,I4186="SBJ"),AND(J4186=1,I4186=0)),"?IN_FOCUS",IF(J4186&lt;=2,"?ACTIVATED",IF(J4186&lt;&gt;"","?FAMILIAR",IF(F4186="NEW",IF(ISNA(VLOOKUP(E4186,#REF!,1,FALSE())),"?TYPE_IDENTIFIABLE","?REFERENTIAL"),"_")))))</f>
        <v> </v>
      </c>
      <c r="H4186" s="24" t="str">
        <f>IF(J4186&lt;&gt;1,"",IF(I4186="SBJ","CB","?"))</f>
        <v> </v>
      </c>
      <c r="I4186" s="25" t="str">
        <f>IF(OR(E4186="",E4186="!!!",F4186="NEW"),"",INDEX(B4185:B$2,-1+SUMPRODUCT(MAX(ROW(E4185:E$2)*(E4186=E4185:E$2)))))</f>
        <v> </v>
      </c>
      <c r="J4186" s="25" t="str">
        <f>IF(OR(E4186="",E4186="!!!",F4186="NEW"),"",COUNTBLANK(OFFSET(A$1,,,SUMPRODUCT(MAX(ROW(E$2:E4186)*(E4186=E$2:E4186)))))-COUNTBLANK(OFFSET(A$1,,,SUMPRODUCT(MAX(ROW(E$1:E4185)*(E2=E$1:E4185))))))</f>
        <v> </v>
      </c>
      <c r="K4186" s="25" t="str">
        <f>IF(OR(E4186="",E4186="!!!",F4186="NEW"),"",INDEX(J$1:J4185,SUMPRODUCT(MAX(ROW(E$1:E4185)*(E4186=E$1:E4185)))))</f>
        <v> </v>
      </c>
      <c r="L4186" s="26"/>
    </row>
    <row r="4187" spans="1:12">
      <c r="A4187" s="20" t="s">
        <v>1925</v>
      </c>
      <c r="E4187" s="21">
        <f>IF(D4187="?OLD","!!!","")</f>
        <v/>
      </c>
      <c r="F4187" s="22" t="str">
        <f>IF(OR(E4187="",E4187="!!!"),"",IF(NOT(ISNA(VLOOKUP(E4187,E$1:E4186,1,FALSE()))),"OLD",IF(AND(E4187&lt;&gt;"",E4187&lt;&gt;"!!!"),"NEW","")))</f>
        <v> </v>
      </c>
      <c r="G4187" s="23" t="str">
        <f>IF(OR(E4187="",E4187="!!!"),"",IF(OR(J4187=0,AND(J4187=1,K4187=1),AND(J4187=1,I4187="SBJ"),AND(J4187=1,I4187=0)),"?IN_FOCUS",IF(J4187&lt;=2,"?ACTIVATED",IF(J4187&lt;&gt;"","?FAMILIAR",IF(F4187="NEW",IF(ISNA(VLOOKUP(E4187,#REF!,1,FALSE())),"?TYPE_IDENTIFIABLE","?REFERENTIAL"),"_")))))</f>
        <v> </v>
      </c>
      <c r="H4187" s="24" t="str">
        <f>IF(J4187&lt;&gt;1,"",IF(I4187="SBJ","CB","?"))</f>
        <v> </v>
      </c>
      <c r="I4187" s="25" t="str">
        <f>IF(OR(E4187="",E4187="!!!",F4187="NEW"),"",INDEX(B4186:B$2,-1+SUMPRODUCT(MAX(ROW(E4186:E$2)*(E4187=E4186:E$2)))))</f>
        <v> </v>
      </c>
      <c r="J4187" s="25" t="str">
        <f>IF(OR(E4187="",E4187="!!!",F4187="NEW"),"",COUNTBLANK(OFFSET(A$1,,,SUMPRODUCT(MAX(ROW(E$2:E4187)*(E4187=E$2:E4187)))))-COUNTBLANK(OFFSET(A$1,,,SUMPRODUCT(MAX(ROW(E$1:E4186)*(E2=E$1:E4186))))))</f>
        <v> </v>
      </c>
      <c r="K4187" s="25" t="str">
        <f>IF(OR(E4187="",E4187="!!!",F4187="NEW"),"",INDEX(J$1:J4186,SUMPRODUCT(MAX(ROW(E$1:E4186)*(E4187=E$1:E4186)))))</f>
        <v> </v>
      </c>
      <c r="L4187" s="26"/>
    </row>
    <row r="4188" spans="1:12">
      <c r="A4188" s="20" t="s">
        <v>757</v>
      </c>
      <c r="E4188" s="21">
        <f>IF(D4188="?OLD","!!!","")</f>
        <v/>
      </c>
      <c r="F4188" s="22" t="str">
        <f>IF(OR(E4188="",E4188="!!!"),"",IF(NOT(ISNA(VLOOKUP(E4188,E$1:E4187,1,FALSE()))),"OLD",IF(AND(E4188&lt;&gt;"",E4188&lt;&gt;"!!!"),"NEW","")))</f>
        <v> </v>
      </c>
      <c r="G4188" s="23" t="str">
        <f>IF(OR(E4188="",E4188="!!!"),"",IF(OR(J4188=0,AND(J4188=1,K4188=1),AND(J4188=1,I4188="SBJ"),AND(J4188=1,I4188=0)),"?IN_FOCUS",IF(J4188&lt;=2,"?ACTIVATED",IF(J4188&lt;&gt;"","?FAMILIAR",IF(F4188="NEW",IF(ISNA(VLOOKUP(E4188,#REF!,1,FALSE())),"?TYPE_IDENTIFIABLE","?REFERENTIAL"),"_")))))</f>
        <v> </v>
      </c>
      <c r="H4188" s="24" t="str">
        <f>IF(J4188&lt;&gt;1,"",IF(I4188="SBJ","CB","?"))</f>
        <v> </v>
      </c>
      <c r="I4188" s="25" t="str">
        <f>IF(OR(E4188="",E4188="!!!",F4188="NEW"),"",INDEX(B4187:B$2,-1+SUMPRODUCT(MAX(ROW(E4187:E$2)*(E4188=E4187:E$2)))))</f>
        <v> </v>
      </c>
      <c r="J4188" s="25" t="str">
        <f>IF(OR(E4188="",E4188="!!!",F4188="NEW"),"",COUNTBLANK(OFFSET(A$1,,,SUMPRODUCT(MAX(ROW(E$2:E4188)*(E4188=E$2:E4188)))))-COUNTBLANK(OFFSET(A$1,,,SUMPRODUCT(MAX(ROW(E$1:E4187)*(E2=E$1:E4187))))))</f>
        <v> </v>
      </c>
      <c r="K4188" s="25" t="str">
        <f>IF(OR(E4188="",E4188="!!!",F4188="NEW"),"",INDEX(J$1:J4187,SUMPRODUCT(MAX(ROW(E$1:E4187)*(E4188=E$1:E4187)))))</f>
        <v> </v>
      </c>
      <c r="L4188" s="26"/>
    </row>
    <row r="4189" spans="1:12">
      <c r="A4189" s="20" t="s">
        <v>1099</v>
      </c>
      <c r="B4189" s="27" t="s">
        <v>772</v>
      </c>
      <c r="C4189" s="27" t="s">
        <v>851</v>
      </c>
      <c r="D4189" s="27" t="s">
        <v>762</v>
      </c>
      <c r="E4189" s="21">
        <f>IF(D4189="?OLD","!!!","")</f>
        <v/>
      </c>
      <c r="F4189" s="22" t="str">
        <f>IF(OR(E4189="",E4189="!!!"),"",IF(NOT(ISNA(VLOOKUP(E4189,E$1:E4188,1,FALSE()))),"OLD",IF(AND(E4189&lt;&gt;"",E4189&lt;&gt;"!!!"),"NEW","")))</f>
        <v> </v>
      </c>
      <c r="G4189" s="23" t="str">
        <f>IF(OR(E4189="",E4189="!!!"),"",IF(OR(J4189=0,AND(J4189=1,K4189=1),AND(J4189=1,I4189="SBJ"),AND(J4189=1,I4189=0)),"?IN_FOCUS",IF(J4189&lt;=2,"?ACTIVATED",IF(J4189&lt;&gt;"","?FAMILIAR",IF(F4189="NEW",IF(ISNA(VLOOKUP(E4189,#REF!,1,FALSE())),"?TYPE_IDENTIFIABLE","?REFERENTIAL"),"_")))))</f>
        <v> </v>
      </c>
      <c r="H4189" s="24" t="str">
        <f>IF(J4189&lt;&gt;1,"",IF(I4189="SBJ","CB","?"))</f>
        <v> </v>
      </c>
      <c r="I4189" s="25" t="str">
        <f>IF(OR(E4189="",E4189="!!!",F4189="NEW"),"",INDEX(B4188:B$2,-1+SUMPRODUCT(MAX(ROW(E4188:E$2)*(E4189=E4188:E$2)))))</f>
        <v> </v>
      </c>
      <c r="J4189" s="25" t="str">
        <f>IF(OR(E4189="",E4189="!!!",F4189="NEW"),"",COUNTBLANK(OFFSET(A$1,,,SUMPRODUCT(MAX(ROW(E$2:E4189)*(E4189=E$2:E4189)))))-COUNTBLANK(OFFSET(A$1,,,SUMPRODUCT(MAX(ROW(E$1:E4188)*(E2=E$1:E4188))))))</f>
        <v> </v>
      </c>
      <c r="K4189" s="25" t="str">
        <f>IF(OR(E4189="",E4189="!!!",F4189="NEW"),"",INDEX(J$1:J4188,SUMPRODUCT(MAX(ROW(E$1:E4188)*(E4189=E$1:E4188)))))</f>
        <v> </v>
      </c>
      <c r="L4189" s="26"/>
    </row>
    <row r="4190" spans="1:12">
      <c r="A4190" s="20" t="s">
        <v>877</v>
      </c>
      <c r="B4190" s="27" t="s">
        <v>760</v>
      </c>
      <c r="C4190" s="27" t="s">
        <v>837</v>
      </c>
      <c r="D4190" s="27" t="s">
        <v>762</v>
      </c>
      <c r="E4190" s="21">
        <f>IF(D4190="?OLD","!!!","")</f>
        <v/>
      </c>
      <c r="F4190" s="22" t="str">
        <f>IF(OR(E4190="",E4190="!!!"),"",IF(NOT(ISNA(VLOOKUP(E4190,E$1:E4189,1,FALSE()))),"OLD",IF(AND(E4190&lt;&gt;"",E4190&lt;&gt;"!!!"),"NEW","")))</f>
        <v> </v>
      </c>
      <c r="G4190" s="23" t="str">
        <f>IF(OR(E4190="",E4190="!!!"),"",IF(OR(J4190=0,AND(J4190=1,K4190=1),AND(J4190=1,I4190="SBJ"),AND(J4190=1,I4190=0)),"?IN_FOCUS",IF(J4190&lt;=2,"?ACTIVATED",IF(J4190&lt;&gt;"","?FAMILIAR",IF(F4190="NEW",IF(ISNA(VLOOKUP(E4190,#REF!,1,FALSE())),"?TYPE_IDENTIFIABLE","?REFERENTIAL"),"_")))))</f>
        <v> </v>
      </c>
      <c r="H4190" s="24" t="str">
        <f>IF(J4190&lt;&gt;1,"",IF(I4190="SBJ","CB","?"))</f>
        <v> </v>
      </c>
      <c r="I4190" s="25" t="str">
        <f>IF(OR(E4190="",E4190="!!!",F4190="NEW"),"",INDEX(B4189:B$2,-1+SUMPRODUCT(MAX(ROW(E4189:E$2)*(E4190=E4189:E$2)))))</f>
        <v> </v>
      </c>
      <c r="J4190" s="25" t="str">
        <f>IF(OR(E4190="",E4190="!!!",F4190="NEW"),"",COUNTBLANK(OFFSET(A$1,,,SUMPRODUCT(MAX(ROW(E$2:E4190)*(E4190=E$2:E4190)))))-COUNTBLANK(OFFSET(A$1,,,SUMPRODUCT(MAX(ROW(E$1:E4189)*(E2=E$1:E4189))))))</f>
        <v> </v>
      </c>
      <c r="K4190" s="25" t="str">
        <f>IF(OR(E4190="",E4190="!!!",F4190="NEW"),"",INDEX(J$1:J4189,SUMPRODUCT(MAX(ROW(E$1:E4189)*(E4190=E$1:E4189)))))</f>
        <v> </v>
      </c>
      <c r="L4190" s="26"/>
    </row>
    <row r="4191" spans="1:12">
      <c r="A4191" s="20" t="s">
        <v>887</v>
      </c>
      <c r="E4191" s="21">
        <f>IF(D4191="?OLD","!!!","")</f>
        <v/>
      </c>
      <c r="F4191" s="22" t="str">
        <f>IF(OR(E4191="",E4191="!!!"),"",IF(NOT(ISNA(VLOOKUP(E4191,E$1:E4190,1,FALSE()))),"OLD",IF(AND(E4191&lt;&gt;"",E4191&lt;&gt;"!!!"),"NEW","")))</f>
        <v> </v>
      </c>
      <c r="G4191" s="23" t="str">
        <f>IF(OR(E4191="",E4191="!!!"),"",IF(OR(J4191=0,AND(J4191=1,K4191=1),AND(J4191=1,I4191="SBJ"),AND(J4191=1,I4191=0)),"?IN_FOCUS",IF(J4191&lt;=2,"?ACTIVATED",IF(J4191&lt;&gt;"","?FAMILIAR",IF(F4191="NEW",IF(ISNA(VLOOKUP(E4191,#REF!,1,FALSE())),"?TYPE_IDENTIFIABLE","?REFERENTIAL"),"_")))))</f>
        <v> </v>
      </c>
      <c r="H4191" s="24" t="str">
        <f>IF(J4191&lt;&gt;1,"",IF(I4191="SBJ","CB","?"))</f>
        <v> </v>
      </c>
      <c r="I4191" s="25" t="str">
        <f>IF(OR(E4191="",E4191="!!!",F4191="NEW"),"",INDEX(B4190:B$2,-1+SUMPRODUCT(MAX(ROW(E4190:E$2)*(E4191=E4190:E$2)))))</f>
        <v> </v>
      </c>
      <c r="J4191" s="25" t="str">
        <f>IF(OR(E4191="",E4191="!!!",F4191="NEW"),"",COUNTBLANK(OFFSET(A$1,,,SUMPRODUCT(MAX(ROW(E$2:E4191)*(E4191=E$2:E4191)))))-COUNTBLANK(OFFSET(A$1,,,SUMPRODUCT(MAX(ROW(E$1:E4190)*(E2=E$1:E4190))))))</f>
        <v> </v>
      </c>
      <c r="K4191" s="25" t="str">
        <f>IF(OR(E4191="",E4191="!!!",F4191="NEW"),"",INDEX(J$1:J4190,SUMPRODUCT(MAX(ROW(E$1:E4190)*(E4191=E$1:E4190)))))</f>
        <v> </v>
      </c>
      <c r="L4191" s="26"/>
    </row>
    <row r="4192" spans="1:12">
      <c r="A4192" s="20" t="s">
        <v>888</v>
      </c>
      <c r="E4192" s="21">
        <f>IF(D4192="?OLD","!!!","")</f>
        <v/>
      </c>
      <c r="F4192" s="22" t="str">
        <f>IF(OR(E4192="",E4192="!!!"),"",IF(NOT(ISNA(VLOOKUP(E4192,E$1:E4191,1,FALSE()))),"OLD",IF(AND(E4192&lt;&gt;"",E4192&lt;&gt;"!!!"),"NEW","")))</f>
        <v> </v>
      </c>
      <c r="G4192" s="23" t="str">
        <f>IF(OR(E4192="",E4192="!!!"),"",IF(OR(J4192=0,AND(J4192=1,K4192=1),AND(J4192=1,I4192="SBJ"),AND(J4192=1,I4192=0)),"?IN_FOCUS",IF(J4192&lt;=2,"?ACTIVATED",IF(J4192&lt;&gt;"","?FAMILIAR",IF(F4192="NEW",IF(ISNA(VLOOKUP(E4192,#REF!,1,FALSE())),"?TYPE_IDENTIFIABLE","?REFERENTIAL"),"_")))))</f>
        <v> </v>
      </c>
      <c r="H4192" s="24" t="str">
        <f>IF(J4192&lt;&gt;1,"",IF(I4192="SBJ","CB","?"))</f>
        <v> </v>
      </c>
      <c r="I4192" s="25" t="str">
        <f>IF(OR(E4192="",E4192="!!!",F4192="NEW"),"",INDEX(B4191:B$2,-1+SUMPRODUCT(MAX(ROW(E4191:E$2)*(E4192=E4191:E$2)))))</f>
        <v> </v>
      </c>
      <c r="J4192" s="25" t="str">
        <f>IF(OR(E4192="",E4192="!!!",F4192="NEW"),"",COUNTBLANK(OFFSET(A$1,,,SUMPRODUCT(MAX(ROW(E$2:E4192)*(E4192=E$2:E4192)))))-COUNTBLANK(OFFSET(A$1,,,SUMPRODUCT(MAX(ROW(E$1:E4191)*(E2=E$1:E4191))))))</f>
        <v> </v>
      </c>
      <c r="K4192" s="25" t="str">
        <f>IF(OR(E4192="",E4192="!!!",F4192="NEW"),"",INDEX(J$1:J4191,SUMPRODUCT(MAX(ROW(E$1:E4191)*(E4192=E$1:E4191)))))</f>
        <v> </v>
      </c>
      <c r="L4192" s="26"/>
    </row>
    <row r="4193" spans="1:12">
      <c r="A4193" s="20" t="s">
        <v>757</v>
      </c>
      <c r="E4193" s="21">
        <f>IF(D4193="?OLD","!!!","")</f>
        <v/>
      </c>
      <c r="F4193" s="22" t="str">
        <f>IF(OR(E4193="",E4193="!!!"),"",IF(NOT(ISNA(VLOOKUP(E4193,E$1:E4192,1,FALSE()))),"OLD",IF(AND(E4193&lt;&gt;"",E4193&lt;&gt;"!!!"),"NEW","")))</f>
        <v> </v>
      </c>
      <c r="G4193" s="23" t="str">
        <f>IF(OR(E4193="",E4193="!!!"),"",IF(OR(J4193=0,AND(J4193=1,K4193=1),AND(J4193=1,I4193="SBJ"),AND(J4193=1,I4193=0)),"?IN_FOCUS",IF(J4193&lt;=2,"?ACTIVATED",IF(J4193&lt;&gt;"","?FAMILIAR",IF(F4193="NEW",IF(ISNA(VLOOKUP(E4193,#REF!,1,FALSE())),"?TYPE_IDENTIFIABLE","?REFERENTIAL"),"_")))))</f>
        <v> </v>
      </c>
      <c r="H4193" s="24" t="str">
        <f>IF(J4193&lt;&gt;1,"",IF(I4193="SBJ","CB","?"))</f>
        <v> </v>
      </c>
      <c r="I4193" s="25" t="str">
        <f>IF(OR(E4193="",E4193="!!!",F4193="NEW"),"",INDEX(B4192:B$2,-1+SUMPRODUCT(MAX(ROW(E4192:E$2)*(E4193=E4192:E$2)))))</f>
        <v> </v>
      </c>
      <c r="J4193" s="25" t="str">
        <f>IF(OR(E4193="",E4193="!!!",F4193="NEW"),"",COUNTBLANK(OFFSET(A$1,,,SUMPRODUCT(MAX(ROW(E$2:E4193)*(E4193=E$2:E4193)))))-COUNTBLANK(OFFSET(A$1,,,SUMPRODUCT(MAX(ROW(E$1:E4192)*(E2=E$1:E4192))))))</f>
        <v> </v>
      </c>
      <c r="K4193" s="25" t="str">
        <f>IF(OR(E4193="",E4193="!!!",F4193="NEW"),"",INDEX(J$1:J4192,SUMPRODUCT(MAX(ROW(E$1:E4192)*(E4193=E$1:E4192)))))</f>
        <v> </v>
      </c>
      <c r="L4193" s="26"/>
    </row>
    <row r="4194" spans="1:12">
      <c r="A4194" s="20" t="s">
        <v>749</v>
      </c>
      <c r="E4194" s="21">
        <f>IF(D4194="?OLD","!!!","")</f>
        <v/>
      </c>
      <c r="F4194" s="22" t="str">
        <f>IF(OR(E4194="",E4194="!!!"),"",IF(NOT(ISNA(VLOOKUP(E4194,E$1:E4193,1,FALSE()))),"OLD",IF(AND(E4194&lt;&gt;"",E4194&lt;&gt;"!!!"),"NEW","")))</f>
        <v> </v>
      </c>
      <c r="G4194" s="23" t="str">
        <f>IF(OR(E4194="",E4194="!!!"),"",IF(OR(J4194=0,AND(J4194=1,K4194=1),AND(J4194=1,I4194="SBJ"),AND(J4194=1,I4194=0)),"?IN_FOCUS",IF(J4194&lt;=2,"?ACTIVATED",IF(J4194&lt;&gt;"","?FAMILIAR",IF(F4194="NEW",IF(ISNA(VLOOKUP(E4194,#REF!,1,FALSE())),"?TYPE_IDENTIFIABLE","?REFERENTIAL"),"_")))))</f>
        <v> </v>
      </c>
      <c r="H4194" s="24" t="str">
        <f>IF(J4194&lt;&gt;1,"",IF(I4194="SBJ","CB","?"))</f>
        <v> </v>
      </c>
      <c r="I4194" s="25" t="str">
        <f>IF(OR(E4194="",E4194="!!!",F4194="NEW"),"",INDEX(B4193:B$2,-1+SUMPRODUCT(MAX(ROW(E4193:E$2)*(E4194=E4193:E$2)))))</f>
        <v> </v>
      </c>
      <c r="J4194" s="25" t="str">
        <f>IF(OR(E4194="",E4194="!!!",F4194="NEW"),"",COUNTBLANK(OFFSET(A$1,,,SUMPRODUCT(MAX(ROW(E$2:E4194)*(E4194=E$2:E4194)))))-COUNTBLANK(OFFSET(A$1,,,SUMPRODUCT(MAX(ROW(E$1:E4193)*(E2=E$1:E4193))))))</f>
        <v> </v>
      </c>
      <c r="K4194" s="25" t="str">
        <f>IF(OR(E4194="",E4194="!!!",F4194="NEW"),"",INDEX(J$1:J4193,SUMPRODUCT(MAX(ROW(E$1:E4193)*(E4194=E$1:E4193)))))</f>
        <v> </v>
      </c>
      <c r="L4194" s="26"/>
    </row>
    <row r="4195" spans="1:12">
      <c r="A4195" s="20" t="s">
        <v>983</v>
      </c>
      <c r="B4195" s="27" t="s">
        <v>796</v>
      </c>
      <c r="C4195" s="27" t="s">
        <v>797</v>
      </c>
      <c r="D4195" s="27" t="s">
        <v>762</v>
      </c>
      <c r="E4195" s="21">
        <f>IF(D4195="?OLD","!!!","")</f>
        <v/>
      </c>
      <c r="F4195" s="22" t="str">
        <f>IF(OR(E4195="",E4195="!!!"),"",IF(NOT(ISNA(VLOOKUP(E4195,E$1:E4194,1,FALSE()))),"OLD",IF(AND(E4195&lt;&gt;"",E4195&lt;&gt;"!!!"),"NEW","")))</f>
        <v> </v>
      </c>
      <c r="G4195" s="23" t="str">
        <f>IF(OR(E4195="",E4195="!!!"),"",IF(OR(J4195=0,AND(J4195=1,K4195=1),AND(J4195=1,I4195="SBJ"),AND(J4195=1,I4195=0)),"?IN_FOCUS",IF(J4195&lt;=2,"?ACTIVATED",IF(J4195&lt;&gt;"","?FAMILIAR",IF(F4195="NEW",IF(ISNA(VLOOKUP(E4195,#REF!,1,FALSE())),"?TYPE_IDENTIFIABLE","?REFERENTIAL"),"_")))))</f>
        <v> </v>
      </c>
      <c r="H4195" s="24" t="str">
        <f>IF(J4195&lt;&gt;1,"",IF(I4195="SBJ","CB","?"))</f>
        <v> </v>
      </c>
      <c r="I4195" s="25" t="str">
        <f>IF(OR(E4195="",E4195="!!!",F4195="NEW"),"",INDEX(B4194:B$2,-1+SUMPRODUCT(MAX(ROW(E4194:E$2)*(E4195=E4194:E$2)))))</f>
        <v> </v>
      </c>
      <c r="J4195" s="25" t="str">
        <f>IF(OR(E4195="",E4195="!!!",F4195="NEW"),"",COUNTBLANK(OFFSET(A$1,,,SUMPRODUCT(MAX(ROW(E$2:E4195)*(E4195=E$2:E4195)))))-COUNTBLANK(OFFSET(A$1,,,SUMPRODUCT(MAX(ROW(E$1:E4194)*(E2=E$1:E4194))))))</f>
        <v> </v>
      </c>
      <c r="K4195" s="25" t="str">
        <f>IF(OR(E4195="",E4195="!!!",F4195="NEW"),"",INDEX(J$1:J4194,SUMPRODUCT(MAX(ROW(E$1:E4194)*(E4195=E$1:E4194)))))</f>
        <v> </v>
      </c>
      <c r="L4195" s="26"/>
    </row>
    <row r="4196" spans="1:12">
      <c r="A4196" s="20" t="s">
        <v>1926</v>
      </c>
      <c r="E4196" s="21">
        <f>IF(D4196="?OLD","!!!","")</f>
        <v/>
      </c>
      <c r="F4196" s="22" t="str">
        <f>IF(OR(E4196="",E4196="!!!"),"",IF(NOT(ISNA(VLOOKUP(E4196,E$1:E4195,1,FALSE()))),"OLD",IF(AND(E4196&lt;&gt;"",E4196&lt;&gt;"!!!"),"NEW","")))</f>
        <v> </v>
      </c>
      <c r="G4196" s="23" t="str">
        <f>IF(OR(E4196="",E4196="!!!"),"",IF(OR(J4196=0,AND(J4196=1,K4196=1),AND(J4196=1,I4196="SBJ"),AND(J4196=1,I4196=0)),"?IN_FOCUS",IF(J4196&lt;=2,"?ACTIVATED",IF(J4196&lt;&gt;"","?FAMILIAR",IF(F4196="NEW",IF(ISNA(VLOOKUP(E4196,#REF!,1,FALSE())),"?TYPE_IDENTIFIABLE","?REFERENTIAL"),"_")))))</f>
        <v> </v>
      </c>
      <c r="H4196" s="24" t="str">
        <f>IF(J4196&lt;&gt;1,"",IF(I4196="SBJ","CB","?"))</f>
        <v> </v>
      </c>
      <c r="I4196" s="25" t="str">
        <f>IF(OR(E4196="",E4196="!!!",F4196="NEW"),"",INDEX(B4195:B$2,-1+SUMPRODUCT(MAX(ROW(E4195:E$2)*(E4196=E4195:E$2)))))</f>
        <v> </v>
      </c>
      <c r="J4196" s="25" t="str">
        <f>IF(OR(E4196="",E4196="!!!",F4196="NEW"),"",COUNTBLANK(OFFSET(A$1,,,SUMPRODUCT(MAX(ROW(E$2:E4196)*(E4196=E$2:E4196)))))-COUNTBLANK(OFFSET(A$1,,,SUMPRODUCT(MAX(ROW(E$1:E4195)*(E2=E$1:E4195))))))</f>
        <v> </v>
      </c>
      <c r="K4196" s="25" t="str">
        <f>IF(OR(E4196="",E4196="!!!",F4196="NEW"),"",INDEX(J$1:J4195,SUMPRODUCT(MAX(ROW(E$1:E4195)*(E4196=E$1:E4195)))))</f>
        <v> </v>
      </c>
      <c r="L4196" s="26"/>
    </row>
    <row r="4197" spans="1:12">
      <c r="A4197" s="20" t="s">
        <v>1502</v>
      </c>
      <c r="E4197" s="21">
        <f>IF(D4197="?OLD","!!!","")</f>
        <v/>
      </c>
      <c r="F4197" s="22" t="str">
        <f>IF(OR(E4197="",E4197="!!!"),"",IF(NOT(ISNA(VLOOKUP(E4197,E$1:E4196,1,FALSE()))),"OLD",IF(AND(E4197&lt;&gt;"",E4197&lt;&gt;"!!!"),"NEW","")))</f>
        <v> </v>
      </c>
      <c r="G4197" s="23" t="str">
        <f>IF(OR(E4197="",E4197="!!!"),"",IF(OR(J4197=0,AND(J4197=1,K4197=1),AND(J4197=1,I4197="SBJ"),AND(J4197=1,I4197=0)),"?IN_FOCUS",IF(J4197&lt;=2,"?ACTIVATED",IF(J4197&lt;&gt;"","?FAMILIAR",IF(F4197="NEW",IF(ISNA(VLOOKUP(E4197,#REF!,1,FALSE())),"?TYPE_IDENTIFIABLE","?REFERENTIAL"),"_")))))</f>
        <v> </v>
      </c>
      <c r="H4197" s="24" t="str">
        <f>IF(J4197&lt;&gt;1,"",IF(I4197="SBJ","CB","?"))</f>
        <v> </v>
      </c>
      <c r="I4197" s="25" t="str">
        <f>IF(OR(E4197="",E4197="!!!",F4197="NEW"),"",INDEX(B4196:B$2,-1+SUMPRODUCT(MAX(ROW(E4196:E$2)*(E4197=E4196:E$2)))))</f>
        <v> </v>
      </c>
      <c r="J4197" s="25" t="str">
        <f>IF(OR(E4197="",E4197="!!!",F4197="NEW"),"",COUNTBLANK(OFFSET(A$1,,,SUMPRODUCT(MAX(ROW(E$2:E4197)*(E4197=E$2:E4197)))))-COUNTBLANK(OFFSET(A$1,,,SUMPRODUCT(MAX(ROW(E$1:E4196)*(E2=E$1:E4196))))))</f>
        <v> </v>
      </c>
      <c r="K4197" s="25" t="str">
        <f>IF(OR(E4197="",E4197="!!!",F4197="NEW"),"",INDEX(J$1:J4196,SUMPRODUCT(MAX(ROW(E$1:E4196)*(E4197=E$1:E4196)))))</f>
        <v> </v>
      </c>
      <c r="L4197" s="26"/>
    </row>
    <row r="4198" spans="1:12">
      <c r="A4198" s="20" t="s">
        <v>942</v>
      </c>
      <c r="E4198" s="21">
        <f>IF(D4198="?OLD","!!!","")</f>
        <v/>
      </c>
      <c r="F4198" s="22" t="str">
        <f>IF(OR(E4198="",E4198="!!!"),"",IF(NOT(ISNA(VLOOKUP(E4198,E$1:E4197,1,FALSE()))),"OLD",IF(AND(E4198&lt;&gt;"",E4198&lt;&gt;"!!!"),"NEW","")))</f>
        <v> </v>
      </c>
      <c r="G4198" s="23" t="str">
        <f>IF(OR(E4198="",E4198="!!!"),"",IF(OR(J4198=0,AND(J4198=1,K4198=1),AND(J4198=1,I4198="SBJ"),AND(J4198=1,I4198=0)),"?IN_FOCUS",IF(J4198&lt;=2,"?ACTIVATED",IF(J4198&lt;&gt;"","?FAMILIAR",IF(F4198="NEW",IF(ISNA(VLOOKUP(E4198,#REF!,1,FALSE())),"?TYPE_IDENTIFIABLE","?REFERENTIAL"),"_")))))</f>
        <v> </v>
      </c>
      <c r="H4198" s="24" t="str">
        <f>IF(J4198&lt;&gt;1,"",IF(I4198="SBJ","CB","?"))</f>
        <v> </v>
      </c>
      <c r="I4198" s="25" t="str">
        <f>IF(OR(E4198="",E4198="!!!",F4198="NEW"),"",INDEX(B4197:B$2,-1+SUMPRODUCT(MAX(ROW(E4197:E$2)*(E4198=E4197:E$2)))))</f>
        <v> </v>
      </c>
      <c r="J4198" s="25" t="str">
        <f>IF(OR(E4198="",E4198="!!!",F4198="NEW"),"",COUNTBLANK(OFFSET(A$1,,,SUMPRODUCT(MAX(ROW(E$2:E4198)*(E4198=E$2:E4198)))))-COUNTBLANK(OFFSET(A$1,,,SUMPRODUCT(MAX(ROW(E$1:E4197)*(E2=E$1:E4197))))))</f>
        <v> </v>
      </c>
      <c r="K4198" s="25" t="str">
        <f>IF(OR(E4198="",E4198="!!!",F4198="NEW"),"",INDEX(J$1:J4197,SUMPRODUCT(MAX(ROW(E$1:E4197)*(E4198=E$1:E4197)))))</f>
        <v> </v>
      </c>
      <c r="L4198" s="26"/>
    </row>
    <row r="4199" spans="1:12">
      <c r="A4199" s="20" t="s">
        <v>822</v>
      </c>
      <c r="E4199" s="21">
        <f>IF(D4199="?OLD","!!!","")</f>
        <v/>
      </c>
      <c r="F4199" s="22" t="str">
        <f>IF(OR(E4199="",E4199="!!!"),"",IF(NOT(ISNA(VLOOKUP(E4199,E$1:E4198,1,FALSE()))),"OLD",IF(AND(E4199&lt;&gt;"",E4199&lt;&gt;"!!!"),"NEW","")))</f>
        <v> </v>
      </c>
      <c r="G4199" s="23" t="str">
        <f>IF(OR(E4199="",E4199="!!!"),"",IF(OR(J4199=0,AND(J4199=1,K4199=1),AND(J4199=1,I4199="SBJ"),AND(J4199=1,I4199=0)),"?IN_FOCUS",IF(J4199&lt;=2,"?ACTIVATED",IF(J4199&lt;&gt;"","?FAMILIAR",IF(F4199="NEW",IF(ISNA(VLOOKUP(E4199,#REF!,1,FALSE())),"?TYPE_IDENTIFIABLE","?REFERENTIAL"),"_")))))</f>
        <v> </v>
      </c>
      <c r="H4199" s="24" t="str">
        <f>IF(J4199&lt;&gt;1,"",IF(I4199="SBJ","CB","?"))</f>
        <v> </v>
      </c>
      <c r="I4199" s="25" t="str">
        <f>IF(OR(E4199="",E4199="!!!",F4199="NEW"),"",INDEX(B4198:B$2,-1+SUMPRODUCT(MAX(ROW(E4198:E$2)*(E4199=E4198:E$2)))))</f>
        <v> </v>
      </c>
      <c r="J4199" s="25" t="str">
        <f>IF(OR(E4199="",E4199="!!!",F4199="NEW"),"",COUNTBLANK(OFFSET(A$1,,,SUMPRODUCT(MAX(ROW(E$2:E4199)*(E4199=E$2:E4199)))))-COUNTBLANK(OFFSET(A$1,,,SUMPRODUCT(MAX(ROW(E$1:E4198)*(E2=E$1:E4198))))))</f>
        <v> </v>
      </c>
      <c r="K4199" s="25" t="str">
        <f>IF(OR(E4199="",E4199="!!!",F4199="NEW"),"",INDEX(J$1:J4198,SUMPRODUCT(MAX(ROW(E$1:E4198)*(E4199=E$1:E4198)))))</f>
        <v> </v>
      </c>
      <c r="L4199" s="26"/>
    </row>
    <row r="4200" spans="1:12">
      <c r="A4200" s="20" t="s">
        <v>1927</v>
      </c>
      <c r="B4200" s="27" t="s">
        <v>772</v>
      </c>
      <c r="C4200" s="27" t="s">
        <v>761</v>
      </c>
      <c r="D4200" s="27" t="s">
        <v>762</v>
      </c>
      <c r="E4200" s="21">
        <f>IF(D4200="?OLD","!!!","")</f>
        <v/>
      </c>
      <c r="F4200" s="22" t="str">
        <f>IF(OR(E4200="",E4200="!!!"),"",IF(NOT(ISNA(VLOOKUP(E4200,E$1:E4199,1,FALSE()))),"OLD",IF(AND(E4200&lt;&gt;"",E4200&lt;&gt;"!!!"),"NEW","")))</f>
        <v> </v>
      </c>
      <c r="G4200" s="23" t="str">
        <f>IF(OR(E4200="",E4200="!!!"),"",IF(OR(J4200=0,AND(J4200=1,K4200=1),AND(J4200=1,I4200="SBJ"),AND(J4200=1,I4200=0)),"?IN_FOCUS",IF(J4200&lt;=2,"?ACTIVATED",IF(J4200&lt;&gt;"","?FAMILIAR",IF(F4200="NEW",IF(ISNA(VLOOKUP(E4200,#REF!,1,FALSE())),"?TYPE_IDENTIFIABLE","?REFERENTIAL"),"_")))))</f>
        <v> </v>
      </c>
      <c r="H4200" s="24" t="str">
        <f>IF(J4200&lt;&gt;1,"",IF(I4200="SBJ","CB","?"))</f>
        <v> </v>
      </c>
      <c r="I4200" s="25" t="str">
        <f>IF(OR(E4200="",E4200="!!!",F4200="NEW"),"",INDEX(B4199:B$2,-1+SUMPRODUCT(MAX(ROW(E4199:E$2)*(E4200=E4199:E$2)))))</f>
        <v> </v>
      </c>
      <c r="J4200" s="25" t="str">
        <f>IF(OR(E4200="",E4200="!!!",F4200="NEW"),"",COUNTBLANK(OFFSET(A$1,,,SUMPRODUCT(MAX(ROW(E$2:E4200)*(E4200=E$2:E4200)))))-COUNTBLANK(OFFSET(A$1,,,SUMPRODUCT(MAX(ROW(E$1:E4199)*(E2=E$1:E4199))))))</f>
        <v> </v>
      </c>
      <c r="K4200" s="25" t="str">
        <f>IF(OR(E4200="",E4200="!!!",F4200="NEW"),"",INDEX(J$1:J4199,SUMPRODUCT(MAX(ROW(E$1:E4199)*(E4200=E$1:E4199)))))</f>
        <v> </v>
      </c>
      <c r="L4200" s="26"/>
    </row>
    <row r="4201" spans="1:12">
      <c r="A4201" s="20" t="s">
        <v>805</v>
      </c>
      <c r="E4201" s="21">
        <f>IF(D4201="?OLD","!!!","")</f>
        <v/>
      </c>
      <c r="F4201" s="22" t="str">
        <f>IF(OR(E4201="",E4201="!!!"),"",IF(NOT(ISNA(VLOOKUP(E4201,E$1:E4200,1,FALSE()))),"OLD",IF(AND(E4201&lt;&gt;"",E4201&lt;&gt;"!!!"),"NEW","")))</f>
        <v> </v>
      </c>
      <c r="G4201" s="23" t="str">
        <f>IF(OR(E4201="",E4201="!!!"),"",IF(OR(J4201=0,AND(J4201=1,K4201=1),AND(J4201=1,I4201="SBJ"),AND(J4201=1,I4201=0)),"?IN_FOCUS",IF(J4201&lt;=2,"?ACTIVATED",IF(J4201&lt;&gt;"","?FAMILIAR",IF(F4201="NEW",IF(ISNA(VLOOKUP(E4201,#REF!,1,FALSE())),"?TYPE_IDENTIFIABLE","?REFERENTIAL"),"_")))))</f>
        <v> </v>
      </c>
      <c r="H4201" s="24" t="str">
        <f>IF(J4201&lt;&gt;1,"",IF(I4201="SBJ","CB","?"))</f>
        <v> </v>
      </c>
      <c r="I4201" s="25" t="str">
        <f>IF(OR(E4201="",E4201="!!!",F4201="NEW"),"",INDEX(B4200:B$2,-1+SUMPRODUCT(MAX(ROW(E4200:E$2)*(E4201=E4200:E$2)))))</f>
        <v> </v>
      </c>
      <c r="J4201" s="25" t="str">
        <f>IF(OR(E4201="",E4201="!!!",F4201="NEW"),"",COUNTBLANK(OFFSET(A$1,,,SUMPRODUCT(MAX(ROW(E$2:E4201)*(E4201=E$2:E4201)))))-COUNTBLANK(OFFSET(A$1,,,SUMPRODUCT(MAX(ROW(E$1:E4200)*(E2=E$1:E4200))))))</f>
        <v> </v>
      </c>
      <c r="K4201" s="25" t="str">
        <f>IF(OR(E4201="",E4201="!!!",F4201="NEW"),"",INDEX(J$1:J4200,SUMPRODUCT(MAX(ROW(E$1:E4200)*(E4201=E$1:E4200)))))</f>
        <v> </v>
      </c>
      <c r="L4201" s="26"/>
    </row>
    <row r="4202" spans="1:12">
      <c r="A4202" s="20" t="s">
        <v>129</v>
      </c>
      <c r="E4202" s="21">
        <f>IF(D4202="?OLD","!!!","")</f>
        <v/>
      </c>
      <c r="F4202" s="22" t="str">
        <f>IF(OR(E4202="",E4202="!!!"),"",IF(NOT(ISNA(VLOOKUP(E4202,E$1:E4201,1,FALSE()))),"OLD",IF(AND(E4202&lt;&gt;"",E4202&lt;&gt;"!!!"),"NEW","")))</f>
        <v> </v>
      </c>
      <c r="G4202" s="23" t="str">
        <f>IF(OR(E4202="",E4202="!!!"),"",IF(OR(J4202=0,AND(J4202=1,K4202=1),AND(J4202=1,I4202="SBJ"),AND(J4202=1,I4202=0)),"?IN_FOCUS",IF(J4202&lt;=2,"?ACTIVATED",IF(J4202&lt;&gt;"","?FAMILIAR",IF(F4202="NEW",IF(ISNA(VLOOKUP(E4202,#REF!,1,FALSE())),"?TYPE_IDENTIFIABLE","?REFERENTIAL"),"_")))))</f>
        <v> </v>
      </c>
      <c r="H4202" s="24" t="str">
        <f>IF(J4202&lt;&gt;1,"",IF(I4202="SBJ","CB","?"))</f>
        <v> </v>
      </c>
      <c r="I4202" s="25" t="str">
        <f>IF(OR(E4202="",E4202="!!!",F4202="NEW"),"",INDEX(B4201:B$2,-1+SUMPRODUCT(MAX(ROW(E4201:E$2)*(E4202=E4201:E$2)))))</f>
        <v> </v>
      </c>
      <c r="J4202" s="25" t="str">
        <f>IF(OR(E4202="",E4202="!!!",F4202="NEW"),"",COUNTBLANK(OFFSET(A$1,,,SUMPRODUCT(MAX(ROW(E$2:E4202)*(E4202=E$2:E4202)))))-COUNTBLANK(OFFSET(A$1,,,SUMPRODUCT(MAX(ROW(E$1:E4201)*(E2=E$1:E4201))))))</f>
        <v> </v>
      </c>
      <c r="K4202" s="25" t="str">
        <f>IF(OR(E4202="",E4202="!!!",F4202="NEW"),"",INDEX(J$1:J4201,SUMPRODUCT(MAX(ROW(E$1:E4201)*(E4202=E$1:E4201)))))</f>
        <v> </v>
      </c>
      <c r="L4202" s="26"/>
    </row>
    <row r="4203" spans="1:12">
      <c r="A4203" s="20" t="s">
        <v>1364</v>
      </c>
      <c r="E4203" s="21">
        <f>IF(D4203="?OLD","!!!","")</f>
        <v/>
      </c>
      <c r="F4203" s="22" t="str">
        <f>IF(OR(E4203="",E4203="!!!"),"",IF(NOT(ISNA(VLOOKUP(E4203,E$1:E4202,1,FALSE()))),"OLD",IF(AND(E4203&lt;&gt;"",E4203&lt;&gt;"!!!"),"NEW","")))</f>
        <v> </v>
      </c>
      <c r="G4203" s="23" t="str">
        <f>IF(OR(E4203="",E4203="!!!"),"",IF(OR(J4203=0,AND(J4203=1,K4203=1),AND(J4203=1,I4203="SBJ"),AND(J4203=1,I4203=0)),"?IN_FOCUS",IF(J4203&lt;=2,"?ACTIVATED",IF(J4203&lt;&gt;"","?FAMILIAR",IF(F4203="NEW",IF(ISNA(VLOOKUP(E4203,#REF!,1,FALSE())),"?TYPE_IDENTIFIABLE","?REFERENTIAL"),"_")))))</f>
        <v> </v>
      </c>
      <c r="H4203" s="24" t="str">
        <f>IF(J4203&lt;&gt;1,"",IF(I4203="SBJ","CB","?"))</f>
        <v> </v>
      </c>
      <c r="I4203" s="25" t="str">
        <f>IF(OR(E4203="",E4203="!!!",F4203="NEW"),"",INDEX(B4202:B$2,-1+SUMPRODUCT(MAX(ROW(E4202:E$2)*(E4203=E4202:E$2)))))</f>
        <v> </v>
      </c>
      <c r="J4203" s="25" t="str">
        <f>IF(OR(E4203="",E4203="!!!",F4203="NEW"),"",COUNTBLANK(OFFSET(A$1,,,SUMPRODUCT(MAX(ROW(E$2:E4203)*(E4203=E$2:E4203)))))-COUNTBLANK(OFFSET(A$1,,,SUMPRODUCT(MAX(ROW(E$1:E4202)*(E2=E$1:E4202))))))</f>
        <v> </v>
      </c>
      <c r="K4203" s="25" t="str">
        <f>IF(OR(E4203="",E4203="!!!",F4203="NEW"),"",INDEX(J$1:J4202,SUMPRODUCT(MAX(ROW(E$1:E4202)*(E4203=E$1:E4202)))))</f>
        <v> </v>
      </c>
      <c r="L4203" s="26"/>
    </row>
    <row r="4204" spans="1:12">
      <c r="A4204" s="20" t="s">
        <v>1928</v>
      </c>
      <c r="E4204" s="21">
        <f>IF(D4204="?OLD","!!!","")</f>
        <v/>
      </c>
      <c r="F4204" s="22" t="str">
        <f>IF(OR(E4204="",E4204="!!!"),"",IF(NOT(ISNA(VLOOKUP(E4204,E$1:E4203,1,FALSE()))),"OLD",IF(AND(E4204&lt;&gt;"",E4204&lt;&gt;"!!!"),"NEW","")))</f>
        <v> </v>
      </c>
      <c r="G4204" s="23" t="str">
        <f>IF(OR(E4204="",E4204="!!!"),"",IF(OR(J4204=0,AND(J4204=1,K4204=1),AND(J4204=1,I4204="SBJ"),AND(J4204=1,I4204=0)),"?IN_FOCUS",IF(J4204&lt;=2,"?ACTIVATED",IF(J4204&lt;&gt;"","?FAMILIAR",IF(F4204="NEW",IF(ISNA(VLOOKUP(E4204,#REF!,1,FALSE())),"?TYPE_IDENTIFIABLE","?REFERENTIAL"),"_")))))</f>
        <v> </v>
      </c>
      <c r="H4204" s="24" t="str">
        <f>IF(J4204&lt;&gt;1,"",IF(I4204="SBJ","CB","?"))</f>
        <v> </v>
      </c>
      <c r="I4204" s="25" t="str">
        <f>IF(OR(E4204="",E4204="!!!",F4204="NEW"),"",INDEX(B4203:B$2,-1+SUMPRODUCT(MAX(ROW(E4203:E$2)*(E4204=E4203:E$2)))))</f>
        <v> </v>
      </c>
      <c r="J4204" s="25" t="str">
        <f>IF(OR(E4204="",E4204="!!!",F4204="NEW"),"",COUNTBLANK(OFFSET(A$1,,,SUMPRODUCT(MAX(ROW(E$2:E4204)*(E4204=E$2:E4204)))))-COUNTBLANK(OFFSET(A$1,,,SUMPRODUCT(MAX(ROW(E$1:E4203)*(E2=E$1:E4203))))))</f>
        <v> </v>
      </c>
      <c r="K4204" s="25" t="str">
        <f>IF(OR(E4204="",E4204="!!!",F4204="NEW"),"",INDEX(J$1:J4203,SUMPRODUCT(MAX(ROW(E$1:E4203)*(E4204=E$1:E4203)))))</f>
        <v> </v>
      </c>
      <c r="L4204" s="26"/>
    </row>
    <row r="4205" spans="1:12">
      <c r="A4205" s="20" t="s">
        <v>1178</v>
      </c>
      <c r="E4205" s="21">
        <f>IF(D4205="?OLD","!!!","")</f>
        <v/>
      </c>
      <c r="F4205" s="22" t="str">
        <f>IF(OR(E4205="",E4205="!!!"),"",IF(NOT(ISNA(VLOOKUP(E4205,E$1:E4204,1,FALSE()))),"OLD",IF(AND(E4205&lt;&gt;"",E4205&lt;&gt;"!!!"),"NEW","")))</f>
        <v> </v>
      </c>
      <c r="G4205" s="23" t="str">
        <f>IF(OR(E4205="",E4205="!!!"),"",IF(OR(J4205=0,AND(J4205=1,K4205=1),AND(J4205=1,I4205="SBJ"),AND(J4205=1,I4205=0)),"?IN_FOCUS",IF(J4205&lt;=2,"?ACTIVATED",IF(J4205&lt;&gt;"","?FAMILIAR",IF(F4205="NEW",IF(ISNA(VLOOKUP(E4205,#REF!,1,FALSE())),"?TYPE_IDENTIFIABLE","?REFERENTIAL"),"_")))))</f>
        <v> </v>
      </c>
      <c r="H4205" s="24" t="str">
        <f>IF(J4205&lt;&gt;1,"",IF(I4205="SBJ","CB","?"))</f>
        <v> </v>
      </c>
      <c r="I4205" s="25" t="str">
        <f>IF(OR(E4205="",E4205="!!!",F4205="NEW"),"",INDEX(B4204:B$2,-1+SUMPRODUCT(MAX(ROW(E4204:E$2)*(E4205=E4204:E$2)))))</f>
        <v> </v>
      </c>
      <c r="J4205" s="25" t="str">
        <f>IF(OR(E4205="",E4205="!!!",F4205="NEW"),"",COUNTBLANK(OFFSET(A$1,,,SUMPRODUCT(MAX(ROW(E$2:E4205)*(E4205=E$2:E4205)))))-COUNTBLANK(OFFSET(A$1,,,SUMPRODUCT(MAX(ROW(E$1:E4204)*(E2=E$1:E4204))))))</f>
        <v> </v>
      </c>
      <c r="K4205" s="25" t="str">
        <f>IF(OR(E4205="",E4205="!!!",F4205="NEW"),"",INDEX(J$1:J4204,SUMPRODUCT(MAX(ROW(E$1:E4204)*(E4205=E$1:E4204)))))</f>
        <v> </v>
      </c>
      <c r="L4205" s="26"/>
    </row>
    <row r="4206" spans="1:12">
      <c r="A4206" s="20" t="s">
        <v>928</v>
      </c>
      <c r="B4206" s="27" t="s">
        <v>901</v>
      </c>
      <c r="C4206" s="27" t="s">
        <v>831</v>
      </c>
      <c r="E4206" s="21">
        <f>IF(D4206="?OLD","!!!","")</f>
        <v/>
      </c>
      <c r="F4206" s="22" t="str">
        <f>IF(OR(E4206="",E4206="!!!"),"",IF(NOT(ISNA(VLOOKUP(E4206,E$1:E4205,1,FALSE()))),"OLD",IF(AND(E4206&lt;&gt;"",E4206&lt;&gt;"!!!"),"NEW","")))</f>
        <v> </v>
      </c>
      <c r="G4206" s="23" t="str">
        <f>IF(OR(E4206="",E4206="!!!"),"",IF(OR(J4206=0,AND(J4206=1,K4206=1),AND(J4206=1,I4206="SBJ"),AND(J4206=1,I4206=0)),"?IN_FOCUS",IF(J4206&lt;=2,"?ACTIVATED",IF(J4206&lt;&gt;"","?FAMILIAR",IF(F4206="NEW",IF(ISNA(VLOOKUP(E4206,#REF!,1,FALSE())),"?TYPE_IDENTIFIABLE","?REFERENTIAL"),"_")))))</f>
        <v> </v>
      </c>
      <c r="H4206" s="24" t="str">
        <f>IF(J4206&lt;&gt;1,"",IF(I4206="SBJ","CB","?"))</f>
        <v> </v>
      </c>
      <c r="I4206" s="25" t="str">
        <f>IF(OR(E4206="",E4206="!!!",F4206="NEW"),"",INDEX(B4205:B$2,-1+SUMPRODUCT(MAX(ROW(E4205:E$2)*(E4206=E4205:E$2)))))</f>
        <v> </v>
      </c>
      <c r="J4206" s="25" t="str">
        <f>IF(OR(E4206="",E4206="!!!",F4206="NEW"),"",COUNTBLANK(OFFSET(A$1,,,SUMPRODUCT(MAX(ROW(E$2:E4206)*(E4206=E$2:E4206)))))-COUNTBLANK(OFFSET(A$1,,,SUMPRODUCT(MAX(ROW(E$1:E4205)*(E2=E$1:E4205))))))</f>
        <v> </v>
      </c>
      <c r="K4206" s="25" t="str">
        <f>IF(OR(E4206="",E4206="!!!",F4206="NEW"),"",INDEX(J$1:J4205,SUMPRODUCT(MAX(ROW(E$1:E4205)*(E4206=E$1:E4205)))))</f>
        <v> </v>
      </c>
      <c r="L4206" s="26"/>
    </row>
    <row r="4207" spans="1:12">
      <c r="A4207" s="20" t="s">
        <v>757</v>
      </c>
      <c r="E4207" s="21">
        <f>IF(D4207="?OLD","!!!","")</f>
        <v/>
      </c>
      <c r="F4207" s="22" t="str">
        <f>IF(OR(E4207="",E4207="!!!"),"",IF(NOT(ISNA(VLOOKUP(E4207,E$1:E4206,1,FALSE()))),"OLD",IF(AND(E4207&lt;&gt;"",E4207&lt;&gt;"!!!"),"NEW","")))</f>
        <v> </v>
      </c>
      <c r="G4207" s="23" t="str">
        <f>IF(OR(E4207="",E4207="!!!"),"",IF(OR(J4207=0,AND(J4207=1,K4207=1),AND(J4207=1,I4207="SBJ"),AND(J4207=1,I4207=0)),"?IN_FOCUS",IF(J4207&lt;=2,"?ACTIVATED",IF(J4207&lt;&gt;"","?FAMILIAR",IF(F4207="NEW",IF(ISNA(VLOOKUP(E4207,#REF!,1,FALSE())),"?TYPE_IDENTIFIABLE","?REFERENTIAL"),"_")))))</f>
        <v> </v>
      </c>
      <c r="H4207" s="24" t="str">
        <f>IF(J4207&lt;&gt;1,"",IF(I4207="SBJ","CB","?"))</f>
        <v> </v>
      </c>
      <c r="I4207" s="25" t="str">
        <f>IF(OR(E4207="",E4207="!!!",F4207="NEW"),"",INDEX(B4206:B$2,-1+SUMPRODUCT(MAX(ROW(E4206:E$2)*(E4207=E4206:E$2)))))</f>
        <v> </v>
      </c>
      <c r="J4207" s="25" t="str">
        <f>IF(OR(E4207="",E4207="!!!",F4207="NEW"),"",COUNTBLANK(OFFSET(A$1,,,SUMPRODUCT(MAX(ROW(E$2:E4207)*(E4207=E$2:E4207)))))-COUNTBLANK(OFFSET(A$1,,,SUMPRODUCT(MAX(ROW(E$1:E4206)*(E2=E$1:E4206))))))</f>
        <v> </v>
      </c>
      <c r="K4207" s="25" t="str">
        <f>IF(OR(E4207="",E4207="!!!",F4207="NEW"),"",INDEX(J$1:J4206,SUMPRODUCT(MAX(ROW(E$1:E4206)*(E4207=E$1:E4206)))))</f>
        <v> </v>
      </c>
      <c r="L4207" s="26"/>
    </row>
    <row r="4208" spans="1:12">
      <c r="A4208" s="20" t="s">
        <v>764</v>
      </c>
      <c r="E4208" s="21">
        <f>IF(D4208="?OLD","!!!","")</f>
        <v/>
      </c>
      <c r="F4208" s="22" t="str">
        <f>IF(OR(E4208="",E4208="!!!"),"",IF(NOT(ISNA(VLOOKUP(E4208,E$1:E4207,1,FALSE()))),"OLD",IF(AND(E4208&lt;&gt;"",E4208&lt;&gt;"!!!"),"NEW","")))</f>
        <v> </v>
      </c>
      <c r="G4208" s="23" t="str">
        <f>IF(OR(E4208="",E4208="!!!"),"",IF(OR(J4208=0,AND(J4208=1,K4208=1),AND(J4208=1,I4208="SBJ"),AND(J4208=1,I4208=0)),"?IN_FOCUS",IF(J4208&lt;=2,"?ACTIVATED",IF(J4208&lt;&gt;"","?FAMILIAR",IF(F4208="NEW",IF(ISNA(VLOOKUP(E4208,#REF!,1,FALSE())),"?TYPE_IDENTIFIABLE","?REFERENTIAL"),"_")))))</f>
        <v> </v>
      </c>
      <c r="H4208" s="24" t="str">
        <f>IF(J4208&lt;&gt;1,"",IF(I4208="SBJ","CB","?"))</f>
        <v> </v>
      </c>
      <c r="I4208" s="25" t="str">
        <f>IF(OR(E4208="",E4208="!!!",F4208="NEW"),"",INDEX(B4207:B$2,-1+SUMPRODUCT(MAX(ROW(E4207:E$2)*(E4208=E4207:E$2)))))</f>
        <v> </v>
      </c>
      <c r="J4208" s="25" t="str">
        <f>IF(OR(E4208="",E4208="!!!",F4208="NEW"),"",COUNTBLANK(OFFSET(A$1,,,SUMPRODUCT(MAX(ROW(E$2:E4208)*(E4208=E$2:E4208)))))-COUNTBLANK(OFFSET(A$1,,,SUMPRODUCT(MAX(ROW(E$1:E4207)*(E2=E$1:E4207))))))</f>
        <v> </v>
      </c>
      <c r="K4208" s="25" t="str">
        <f>IF(OR(E4208="",E4208="!!!",F4208="NEW"),"",INDEX(J$1:J4207,SUMPRODUCT(MAX(ROW(E$1:E4207)*(E4208=E$1:E4207)))))</f>
        <v> </v>
      </c>
      <c r="L4208" s="26"/>
    </row>
    <row r="4209" spans="1:12">
      <c r="A4209" s="20" t="s">
        <v>928</v>
      </c>
      <c r="B4209" s="27" t="s">
        <v>772</v>
      </c>
      <c r="C4209" s="27" t="s">
        <v>768</v>
      </c>
      <c r="E4209" s="21">
        <f>IF(D4209="?OLD","!!!","")</f>
        <v/>
      </c>
      <c r="F4209" s="22" t="str">
        <f>IF(OR(E4209="",E4209="!!!"),"",IF(NOT(ISNA(VLOOKUP(E4209,E$1:E4208,1,FALSE()))),"OLD",IF(AND(E4209&lt;&gt;"",E4209&lt;&gt;"!!!"),"NEW","")))</f>
        <v> </v>
      </c>
      <c r="G4209" s="23" t="str">
        <f>IF(OR(E4209="",E4209="!!!"),"",IF(OR(J4209=0,AND(J4209=1,K4209=1),AND(J4209=1,I4209="SBJ"),AND(J4209=1,I4209=0)),"?IN_FOCUS",IF(J4209&lt;=2,"?ACTIVATED",IF(J4209&lt;&gt;"","?FAMILIAR",IF(F4209="NEW",IF(ISNA(VLOOKUP(E4209,#REF!,1,FALSE())),"?TYPE_IDENTIFIABLE","?REFERENTIAL"),"_")))))</f>
        <v> </v>
      </c>
      <c r="H4209" s="24" t="str">
        <f>IF(J4209&lt;&gt;1,"",IF(I4209="SBJ","CB","?"))</f>
        <v> </v>
      </c>
      <c r="I4209" s="25" t="str">
        <f>IF(OR(E4209="",E4209="!!!",F4209="NEW"),"",INDEX(B4208:B$2,-1+SUMPRODUCT(MAX(ROW(E4208:E$2)*(E4209=E4208:E$2)))))</f>
        <v> </v>
      </c>
      <c r="J4209" s="25" t="str">
        <f>IF(OR(E4209="",E4209="!!!",F4209="NEW"),"",COUNTBLANK(OFFSET(A$1,,,SUMPRODUCT(MAX(ROW(E$2:E4209)*(E4209=E$2:E4209)))))-COUNTBLANK(OFFSET(A$1,,,SUMPRODUCT(MAX(ROW(E$1:E4208)*(E2=E$1:E4208))))))</f>
        <v> </v>
      </c>
      <c r="K4209" s="25" t="str">
        <f>IF(OR(E4209="",E4209="!!!",F4209="NEW"),"",INDEX(J$1:J4208,SUMPRODUCT(MAX(ROW(E$1:E4208)*(E4209=E$1:E4208)))))</f>
        <v> </v>
      </c>
      <c r="L4209" s="26"/>
    </row>
    <row r="4210" spans="1:12">
      <c r="A4210" s="20" t="s">
        <v>769</v>
      </c>
      <c r="E4210" s="21">
        <f>IF(D4210="?OLD","!!!","")</f>
        <v/>
      </c>
      <c r="F4210" s="22" t="str">
        <f>IF(OR(E4210="",E4210="!!!"),"",IF(NOT(ISNA(VLOOKUP(E4210,E$1:E4209,1,FALSE()))),"OLD",IF(AND(E4210&lt;&gt;"",E4210&lt;&gt;"!!!"),"NEW","")))</f>
        <v> </v>
      </c>
      <c r="G4210" s="23" t="str">
        <f>IF(OR(E4210="",E4210="!!!"),"",IF(OR(J4210=0,AND(J4210=1,K4210=1),AND(J4210=1,I4210="SBJ"),AND(J4210=1,I4210=0)),"?IN_FOCUS",IF(J4210&lt;=2,"?ACTIVATED",IF(J4210&lt;&gt;"","?FAMILIAR",IF(F4210="NEW",IF(ISNA(VLOOKUP(E4210,#REF!,1,FALSE())),"?TYPE_IDENTIFIABLE","?REFERENTIAL"),"_")))))</f>
        <v> </v>
      </c>
      <c r="H4210" s="24" t="str">
        <f>IF(J4210&lt;&gt;1,"",IF(I4210="SBJ","CB","?"))</f>
        <v> </v>
      </c>
      <c r="I4210" s="25" t="str">
        <f>IF(OR(E4210="",E4210="!!!",F4210="NEW"),"",INDEX(B4209:B$2,-1+SUMPRODUCT(MAX(ROW(E4209:E$2)*(E4210=E4209:E$2)))))</f>
        <v> </v>
      </c>
      <c r="J4210" s="25" t="str">
        <f>IF(OR(E4210="",E4210="!!!",F4210="NEW"),"",COUNTBLANK(OFFSET(A$1,,,SUMPRODUCT(MAX(ROW(E$2:E4210)*(E4210=E$2:E4210)))))-COUNTBLANK(OFFSET(A$1,,,SUMPRODUCT(MAX(ROW(E$1:E4209)*(E2=E$1:E4209))))))</f>
        <v> </v>
      </c>
      <c r="K4210" s="25" t="str">
        <f>IF(OR(E4210="",E4210="!!!",F4210="NEW"),"",INDEX(J$1:J4209,SUMPRODUCT(MAX(ROW(E$1:E4209)*(E4210=E$1:E4209)))))</f>
        <v> </v>
      </c>
      <c r="L4210" s="26"/>
    </row>
    <row r="4211" spans="1:12">
      <c r="A4211" s="20" t="s">
        <v>758</v>
      </c>
      <c r="E4211" s="21">
        <f>IF(D4211="?OLD","!!!","")</f>
        <v/>
      </c>
      <c r="F4211" s="22" t="str">
        <f>IF(OR(E4211="",E4211="!!!"),"",IF(NOT(ISNA(VLOOKUP(E4211,E$1:E4210,1,FALSE()))),"OLD",IF(AND(E4211&lt;&gt;"",E4211&lt;&gt;"!!!"),"NEW","")))</f>
        <v> </v>
      </c>
      <c r="G4211" s="23" t="str">
        <f>IF(OR(E4211="",E4211="!!!"),"",IF(OR(J4211=0,AND(J4211=1,K4211=1),AND(J4211=1,I4211="SBJ"),AND(J4211=1,I4211=0)),"?IN_FOCUS",IF(J4211&lt;=2,"?ACTIVATED",IF(J4211&lt;&gt;"","?FAMILIAR",IF(F4211="NEW",IF(ISNA(VLOOKUP(E4211,#REF!,1,FALSE())),"?TYPE_IDENTIFIABLE","?REFERENTIAL"),"_")))))</f>
        <v> </v>
      </c>
      <c r="H4211" s="24" t="str">
        <f>IF(J4211&lt;&gt;1,"",IF(I4211="SBJ","CB","?"))</f>
        <v> </v>
      </c>
      <c r="I4211" s="25" t="str">
        <f>IF(OR(E4211="",E4211="!!!",F4211="NEW"),"",INDEX(B4210:B$2,-1+SUMPRODUCT(MAX(ROW(E4210:E$2)*(E4211=E4210:E$2)))))</f>
        <v> </v>
      </c>
      <c r="J4211" s="25" t="str">
        <f>IF(OR(E4211="",E4211="!!!",F4211="NEW"),"",COUNTBLANK(OFFSET(A$1,,,SUMPRODUCT(MAX(ROW(E$2:E4211)*(E4211=E$2:E4211)))))-COUNTBLANK(OFFSET(A$1,,,SUMPRODUCT(MAX(ROW(E$1:E4210)*(E2=E$1:E4210))))))</f>
        <v> </v>
      </c>
      <c r="K4211" s="25" t="str">
        <f>IF(OR(E4211="",E4211="!!!",F4211="NEW"),"",INDEX(J$1:J4210,SUMPRODUCT(MAX(ROW(E$1:E4210)*(E4211=E$1:E4210)))))</f>
        <v> </v>
      </c>
      <c r="L4211" s="26"/>
    </row>
    <row r="4212" spans="1:12">
      <c r="A4212" s="20" t="s">
        <v>952</v>
      </c>
      <c r="B4212" s="27" t="s">
        <v>879</v>
      </c>
      <c r="C4212" s="27" t="s">
        <v>761</v>
      </c>
      <c r="D4212" s="27" t="s">
        <v>762</v>
      </c>
      <c r="E4212" s="21">
        <f>IF(D4212="?OLD","!!!","")</f>
        <v/>
      </c>
      <c r="F4212" s="22" t="str">
        <f>IF(OR(E4212="",E4212="!!!"),"",IF(NOT(ISNA(VLOOKUP(E4212,E$1:E4211,1,FALSE()))),"OLD",IF(AND(E4212&lt;&gt;"",E4212&lt;&gt;"!!!"),"NEW","")))</f>
        <v> </v>
      </c>
      <c r="G4212" s="23" t="str">
        <f>IF(OR(E4212="",E4212="!!!"),"",IF(OR(J4212=0,AND(J4212=1,K4212=1),AND(J4212=1,I4212="SBJ"),AND(J4212=1,I4212=0)),"?IN_FOCUS",IF(J4212&lt;=2,"?ACTIVATED",IF(J4212&lt;&gt;"","?FAMILIAR",IF(F4212="NEW",IF(ISNA(VLOOKUP(E4212,#REF!,1,FALSE())),"?TYPE_IDENTIFIABLE","?REFERENTIAL"),"_")))))</f>
        <v> </v>
      </c>
      <c r="H4212" s="24" t="str">
        <f>IF(J4212&lt;&gt;1,"",IF(I4212="SBJ","CB","?"))</f>
        <v> </v>
      </c>
      <c r="I4212" s="25" t="str">
        <f>IF(OR(E4212="",E4212="!!!",F4212="NEW"),"",INDEX(B4211:B$2,-1+SUMPRODUCT(MAX(ROW(E4211:E$2)*(E4212=E4211:E$2)))))</f>
        <v> </v>
      </c>
      <c r="J4212" s="25" t="str">
        <f>IF(OR(E4212="",E4212="!!!",F4212="NEW"),"",COUNTBLANK(OFFSET(A$1,,,SUMPRODUCT(MAX(ROW(E$2:E4212)*(E4212=E$2:E4212)))))-COUNTBLANK(OFFSET(A$1,,,SUMPRODUCT(MAX(ROW(E$1:E4211)*(E2=E$1:E4211))))))</f>
        <v> </v>
      </c>
      <c r="K4212" s="25" t="str">
        <f>IF(OR(E4212="",E4212="!!!",F4212="NEW"),"",INDEX(J$1:J4211,SUMPRODUCT(MAX(ROW(E$1:E4211)*(E4212=E$1:E4211)))))</f>
        <v> </v>
      </c>
      <c r="L4212" s="26"/>
    </row>
    <row r="4213" spans="1:12">
      <c r="A4213" s="20" t="s">
        <v>793</v>
      </c>
      <c r="B4213" s="27" t="s">
        <v>940</v>
      </c>
      <c r="E4213" s="21">
        <f>IF(D4213="?OLD","!!!","")</f>
        <v/>
      </c>
      <c r="F4213" s="22" t="str">
        <f>IF(OR(E4213="",E4213="!!!"),"",IF(NOT(ISNA(VLOOKUP(E4213,E$1:E4212,1,FALSE()))),"OLD",IF(AND(E4213&lt;&gt;"",E4213&lt;&gt;"!!!"),"NEW","")))</f>
        <v> </v>
      </c>
      <c r="G4213" s="23" t="str">
        <f>IF(OR(E4213="",E4213="!!!"),"",IF(OR(J4213=0,AND(J4213=1,K4213=1),AND(J4213=1,I4213="SBJ"),AND(J4213=1,I4213=0)),"?IN_FOCUS",IF(J4213&lt;=2,"?ACTIVATED",IF(J4213&lt;&gt;"","?FAMILIAR",IF(F4213="NEW",IF(ISNA(VLOOKUP(E4213,#REF!,1,FALSE())),"?TYPE_IDENTIFIABLE","?REFERENTIAL"),"_")))))</f>
        <v> </v>
      </c>
      <c r="H4213" s="24" t="str">
        <f>IF(J4213&lt;&gt;1,"",IF(I4213="SBJ","CB","?"))</f>
        <v> </v>
      </c>
      <c r="I4213" s="25" t="str">
        <f>IF(OR(E4213="",E4213="!!!",F4213="NEW"),"",INDEX(B4212:B$2,-1+SUMPRODUCT(MAX(ROW(E4212:E$2)*(E4213=E4212:E$2)))))</f>
        <v> </v>
      </c>
      <c r="J4213" s="25" t="str">
        <f>IF(OR(E4213="",E4213="!!!",F4213="NEW"),"",COUNTBLANK(OFFSET(A$1,,,SUMPRODUCT(MAX(ROW(E$2:E4213)*(E4213=E$2:E4213)))))-COUNTBLANK(OFFSET(A$1,,,SUMPRODUCT(MAX(ROW(E$1:E4212)*(E2=E$1:E4212))))))</f>
        <v> </v>
      </c>
      <c r="K4213" s="25" t="str">
        <f>IF(OR(E4213="",E4213="!!!",F4213="NEW"),"",INDEX(J$1:J4212,SUMPRODUCT(MAX(ROW(E$1:E4212)*(E4213=E$1:E4212)))))</f>
        <v> </v>
      </c>
      <c r="L4213" s="26"/>
    </row>
    <row r="4214" spans="1:12">
      <c r="A4214" s="20" t="s">
        <v>869</v>
      </c>
      <c r="B4214" s="27" t="s">
        <v>941</v>
      </c>
      <c r="C4214" s="27" t="s">
        <v>797</v>
      </c>
      <c r="D4214" s="27" t="s">
        <v>762</v>
      </c>
      <c r="E4214" s="21">
        <f>IF(D4214="?OLD","!!!","")</f>
        <v/>
      </c>
      <c r="F4214" s="22" t="str">
        <f>IF(OR(E4214="",E4214="!!!"),"",IF(NOT(ISNA(VLOOKUP(E4214,E$1:E4213,1,FALSE()))),"OLD",IF(AND(E4214&lt;&gt;"",E4214&lt;&gt;"!!!"),"NEW","")))</f>
        <v> </v>
      </c>
      <c r="G4214" s="23" t="str">
        <f>IF(OR(E4214="",E4214="!!!"),"",IF(OR(J4214=0,AND(J4214=1,K4214=1),AND(J4214=1,I4214="SBJ"),AND(J4214=1,I4214=0)),"?IN_FOCUS",IF(J4214&lt;=2,"?ACTIVATED",IF(J4214&lt;&gt;"","?FAMILIAR",IF(F4214="NEW",IF(ISNA(VLOOKUP(E4214,#REF!,1,FALSE())),"?TYPE_IDENTIFIABLE","?REFERENTIAL"),"_")))))</f>
        <v> </v>
      </c>
      <c r="H4214" s="24" t="str">
        <f>IF(J4214&lt;&gt;1,"",IF(I4214="SBJ","CB","?"))</f>
        <v> </v>
      </c>
      <c r="I4214" s="25" t="str">
        <f>IF(OR(E4214="",E4214="!!!",F4214="NEW"),"",INDEX(B4213:B$2,-1+SUMPRODUCT(MAX(ROW(E4213:E$2)*(E4214=E4213:E$2)))))</f>
        <v> </v>
      </c>
      <c r="J4214" s="25" t="str">
        <f>IF(OR(E4214="",E4214="!!!",F4214="NEW"),"",COUNTBLANK(OFFSET(A$1,,,SUMPRODUCT(MAX(ROW(E$2:E4214)*(E4214=E$2:E4214)))))-COUNTBLANK(OFFSET(A$1,,,SUMPRODUCT(MAX(ROW(E$1:E4213)*(E2=E$1:E4213))))))</f>
        <v> </v>
      </c>
      <c r="K4214" s="25" t="str">
        <f>IF(OR(E4214="",E4214="!!!",F4214="NEW"),"",INDEX(J$1:J4213,SUMPRODUCT(MAX(ROW(E$1:E4213)*(E4214=E$1:E4213)))))</f>
        <v> </v>
      </c>
      <c r="L4214" s="26"/>
    </row>
    <row r="4215" spans="1:12">
      <c r="A4215" s="20" t="s">
        <v>683</v>
      </c>
      <c r="E4215" s="21">
        <f>IF(D4215="?OLD","!!!","")</f>
        <v/>
      </c>
      <c r="F4215" s="22" t="str">
        <f>IF(OR(E4215="",E4215="!!!"),"",IF(NOT(ISNA(VLOOKUP(E4215,E$1:E4214,1,FALSE()))),"OLD",IF(AND(E4215&lt;&gt;"",E4215&lt;&gt;"!!!"),"NEW","")))</f>
        <v> </v>
      </c>
      <c r="G4215" s="23" t="str">
        <f>IF(OR(E4215="",E4215="!!!"),"",IF(OR(J4215=0,AND(J4215=1,K4215=1),AND(J4215=1,I4215="SBJ"),AND(J4215=1,I4215=0)),"?IN_FOCUS",IF(J4215&lt;=2,"?ACTIVATED",IF(J4215&lt;&gt;"","?FAMILIAR",IF(F4215="NEW",IF(ISNA(VLOOKUP(E4215,#REF!,1,FALSE())),"?TYPE_IDENTIFIABLE","?REFERENTIAL"),"_")))))</f>
        <v> </v>
      </c>
      <c r="H4215" s="24" t="str">
        <f>IF(J4215&lt;&gt;1,"",IF(I4215="SBJ","CB","?"))</f>
        <v> </v>
      </c>
      <c r="I4215" s="25" t="str">
        <f>IF(OR(E4215="",E4215="!!!",F4215="NEW"),"",INDEX(B4214:B$2,-1+SUMPRODUCT(MAX(ROW(E4214:E$2)*(E4215=E4214:E$2)))))</f>
        <v> </v>
      </c>
      <c r="J4215" s="25" t="str">
        <f>IF(OR(E4215="",E4215="!!!",F4215="NEW"),"",COUNTBLANK(OFFSET(A$1,,,SUMPRODUCT(MAX(ROW(E$2:E4215)*(E4215=E$2:E4215)))))-COUNTBLANK(OFFSET(A$1,,,SUMPRODUCT(MAX(ROW(E$1:E4214)*(E2=E$1:E4214))))))</f>
        <v> </v>
      </c>
      <c r="K4215" s="25" t="str">
        <f>IF(OR(E4215="",E4215="!!!",F4215="NEW"),"",INDEX(J$1:J4214,SUMPRODUCT(MAX(ROW(E$1:E4214)*(E4215=E$1:E4214)))))</f>
        <v> </v>
      </c>
      <c r="L4215" s="26"/>
    </row>
    <row r="4216" spans="1:12">
      <c r="A4216" s="20" t="s">
        <v>810</v>
      </c>
      <c r="E4216" s="21">
        <f>IF(D4216="?OLD","!!!","")</f>
        <v/>
      </c>
      <c r="F4216" s="22" t="str">
        <f>IF(OR(E4216="",E4216="!!!"),"",IF(NOT(ISNA(VLOOKUP(E4216,E$1:E4215,1,FALSE()))),"OLD",IF(AND(E4216&lt;&gt;"",E4216&lt;&gt;"!!!"),"NEW","")))</f>
        <v> </v>
      </c>
      <c r="G4216" s="23" t="str">
        <f>IF(OR(E4216="",E4216="!!!"),"",IF(OR(J4216=0,AND(J4216=1,K4216=1),AND(J4216=1,I4216="SBJ"),AND(J4216=1,I4216=0)),"?IN_FOCUS",IF(J4216&lt;=2,"?ACTIVATED",IF(J4216&lt;&gt;"","?FAMILIAR",IF(F4216="NEW",IF(ISNA(VLOOKUP(E4216,#REF!,1,FALSE())),"?TYPE_IDENTIFIABLE","?REFERENTIAL"),"_")))))</f>
        <v> </v>
      </c>
      <c r="H4216" s="24" t="str">
        <f>IF(J4216&lt;&gt;1,"",IF(I4216="SBJ","CB","?"))</f>
        <v> </v>
      </c>
      <c r="I4216" s="25" t="str">
        <f>IF(OR(E4216="",E4216="!!!",F4216="NEW"),"",INDEX(B4215:B$2,-1+SUMPRODUCT(MAX(ROW(E4215:E$2)*(E4216=E4215:E$2)))))</f>
        <v> </v>
      </c>
      <c r="J4216" s="25" t="str">
        <f>IF(OR(E4216="",E4216="!!!",F4216="NEW"),"",COUNTBLANK(OFFSET(A$1,,,SUMPRODUCT(MAX(ROW(E$2:E4216)*(E4216=E$2:E4216)))))-COUNTBLANK(OFFSET(A$1,,,SUMPRODUCT(MAX(ROW(E$1:E4215)*(E2=E$1:E4215))))))</f>
        <v> </v>
      </c>
      <c r="K4216" s="25" t="str">
        <f>IF(OR(E4216="",E4216="!!!",F4216="NEW"),"",INDEX(J$1:J4215,SUMPRODUCT(MAX(ROW(E$1:E4215)*(E4216=E$1:E4215)))))</f>
        <v> </v>
      </c>
      <c r="L4216" s="26"/>
    </row>
    <row r="4217" spans="1:12">
      <c r="A4217" s="20" t="s">
        <v>764</v>
      </c>
      <c r="E4217" s="21">
        <f>IF(D4217="?OLD","!!!","")</f>
        <v/>
      </c>
      <c r="F4217" s="22" t="str">
        <f>IF(OR(E4217="",E4217="!!!"),"",IF(NOT(ISNA(VLOOKUP(E4217,E$1:E4216,1,FALSE()))),"OLD",IF(AND(E4217&lt;&gt;"",E4217&lt;&gt;"!!!"),"NEW","")))</f>
        <v> </v>
      </c>
      <c r="G4217" s="23" t="str">
        <f>IF(OR(E4217="",E4217="!!!"),"",IF(OR(J4217=0,AND(J4217=1,K4217=1),AND(J4217=1,I4217="SBJ"),AND(J4217=1,I4217=0)),"?IN_FOCUS",IF(J4217&lt;=2,"?ACTIVATED",IF(J4217&lt;&gt;"","?FAMILIAR",IF(F4217="NEW",IF(ISNA(VLOOKUP(E4217,#REF!,1,FALSE())),"?TYPE_IDENTIFIABLE","?REFERENTIAL"),"_")))))</f>
        <v> </v>
      </c>
      <c r="H4217" s="24" t="str">
        <f>IF(J4217&lt;&gt;1,"",IF(I4217="SBJ","CB","?"))</f>
        <v> </v>
      </c>
      <c r="I4217" s="25" t="str">
        <f>IF(OR(E4217="",E4217="!!!",F4217="NEW"),"",INDEX(B4216:B$2,-1+SUMPRODUCT(MAX(ROW(E4216:E$2)*(E4217=E4216:E$2)))))</f>
        <v> </v>
      </c>
      <c r="J4217" s="25" t="str">
        <f>IF(OR(E4217="",E4217="!!!",F4217="NEW"),"",COUNTBLANK(OFFSET(A$1,,,SUMPRODUCT(MAX(ROW(E$2:E4217)*(E4217=E$2:E4217)))))-COUNTBLANK(OFFSET(A$1,,,SUMPRODUCT(MAX(ROW(E$1:E4216)*(E2=E$1:E4216))))))</f>
        <v> </v>
      </c>
      <c r="K4217" s="25" t="str">
        <f>IF(OR(E4217="",E4217="!!!",F4217="NEW"),"",INDEX(J$1:J4216,SUMPRODUCT(MAX(ROW(E$1:E4216)*(E4217=E$1:E4216)))))</f>
        <v> </v>
      </c>
      <c r="L4217" s="26"/>
    </row>
    <row r="4218" spans="1:12">
      <c r="A4218" s="20" t="s">
        <v>928</v>
      </c>
      <c r="B4218" s="27" t="s">
        <v>879</v>
      </c>
      <c r="C4218" s="27" t="s">
        <v>768</v>
      </c>
      <c r="E4218" s="21">
        <f>IF(D4218="?OLD","!!!","")</f>
        <v/>
      </c>
      <c r="F4218" s="22" t="str">
        <f>IF(OR(E4218="",E4218="!!!"),"",IF(NOT(ISNA(VLOOKUP(E4218,E$1:E4217,1,FALSE()))),"OLD",IF(AND(E4218&lt;&gt;"",E4218&lt;&gt;"!!!"),"NEW","")))</f>
        <v> </v>
      </c>
      <c r="G4218" s="23" t="str">
        <f>IF(OR(E4218="",E4218="!!!"),"",IF(OR(J4218=0,AND(J4218=1,K4218=1),AND(J4218=1,I4218="SBJ"),AND(J4218=1,I4218=0)),"?IN_FOCUS",IF(J4218&lt;=2,"?ACTIVATED",IF(J4218&lt;&gt;"","?FAMILIAR",IF(F4218="NEW",IF(ISNA(VLOOKUP(E4218,#REF!,1,FALSE())),"?TYPE_IDENTIFIABLE","?REFERENTIAL"),"_")))))</f>
        <v> </v>
      </c>
      <c r="H4218" s="24" t="str">
        <f>IF(J4218&lt;&gt;1,"",IF(I4218="SBJ","CB","?"))</f>
        <v> </v>
      </c>
      <c r="I4218" s="25" t="str">
        <f>IF(OR(E4218="",E4218="!!!",F4218="NEW"),"",INDEX(B4217:B$2,-1+SUMPRODUCT(MAX(ROW(E4217:E$2)*(E4218=E4217:E$2)))))</f>
        <v> </v>
      </c>
      <c r="J4218" s="25" t="str">
        <f>IF(OR(E4218="",E4218="!!!",F4218="NEW"),"",COUNTBLANK(OFFSET(A$1,,,SUMPRODUCT(MAX(ROW(E$2:E4218)*(E4218=E$2:E4218)))))-COUNTBLANK(OFFSET(A$1,,,SUMPRODUCT(MAX(ROW(E$1:E4217)*(E2=E$1:E4217))))))</f>
        <v> </v>
      </c>
      <c r="K4218" s="25" t="str">
        <f>IF(OR(E4218="",E4218="!!!",F4218="NEW"),"",INDEX(J$1:J4217,SUMPRODUCT(MAX(ROW(E$1:E4217)*(E4218=E$1:E4217)))))</f>
        <v> </v>
      </c>
      <c r="L4218" s="26"/>
    </row>
    <row r="4219" spans="1:12">
      <c r="A4219" s="20" t="s">
        <v>769</v>
      </c>
      <c r="E4219" s="21">
        <f>IF(D4219="?OLD","!!!","")</f>
        <v/>
      </c>
      <c r="F4219" s="22" t="str">
        <f>IF(OR(E4219="",E4219="!!!"),"",IF(NOT(ISNA(VLOOKUP(E4219,E$1:E4218,1,FALSE()))),"OLD",IF(AND(E4219&lt;&gt;"",E4219&lt;&gt;"!!!"),"NEW","")))</f>
        <v> </v>
      </c>
      <c r="G4219" s="23" t="str">
        <f>IF(OR(E4219="",E4219="!!!"),"",IF(OR(J4219=0,AND(J4219=1,K4219=1),AND(J4219=1,I4219="SBJ"),AND(J4219=1,I4219=0)),"?IN_FOCUS",IF(J4219&lt;=2,"?ACTIVATED",IF(J4219&lt;&gt;"","?FAMILIAR",IF(F4219="NEW",IF(ISNA(VLOOKUP(E4219,#REF!,1,FALSE())),"?TYPE_IDENTIFIABLE","?REFERENTIAL"),"_")))))</f>
        <v> </v>
      </c>
      <c r="H4219" s="24" t="str">
        <f>IF(J4219&lt;&gt;1,"",IF(I4219="SBJ","CB","?"))</f>
        <v> </v>
      </c>
      <c r="I4219" s="25" t="str">
        <f>IF(OR(E4219="",E4219="!!!",F4219="NEW"),"",INDEX(B4218:B$2,-1+SUMPRODUCT(MAX(ROW(E4218:E$2)*(E4219=E4218:E$2)))))</f>
        <v> </v>
      </c>
      <c r="J4219" s="25" t="str">
        <f>IF(OR(E4219="",E4219="!!!",F4219="NEW"),"",COUNTBLANK(OFFSET(A$1,,,SUMPRODUCT(MAX(ROW(E$2:E4219)*(E4219=E$2:E4219)))))-COUNTBLANK(OFFSET(A$1,,,SUMPRODUCT(MAX(ROW(E$1:E4218)*(E2=E$1:E4218))))))</f>
        <v> </v>
      </c>
      <c r="K4219" s="25" t="str">
        <f>IF(OR(E4219="",E4219="!!!",F4219="NEW"),"",INDEX(J$1:J4218,SUMPRODUCT(MAX(ROW(E$1:E4218)*(E4219=E$1:E4218)))))</f>
        <v> </v>
      </c>
      <c r="L4219" s="26"/>
    </row>
    <row r="4220" spans="1:12">
      <c r="A4220" s="20" t="s">
        <v>822</v>
      </c>
      <c r="E4220" s="21">
        <f>IF(D4220="?OLD","!!!","")</f>
        <v/>
      </c>
      <c r="F4220" s="22" t="str">
        <f>IF(OR(E4220="",E4220="!!!"),"",IF(NOT(ISNA(VLOOKUP(E4220,E$1:E4219,1,FALSE()))),"OLD",IF(AND(E4220&lt;&gt;"",E4220&lt;&gt;"!!!"),"NEW","")))</f>
        <v> </v>
      </c>
      <c r="G4220" s="23" t="str">
        <f>IF(OR(E4220="",E4220="!!!"),"",IF(OR(J4220=0,AND(J4220=1,K4220=1),AND(J4220=1,I4220="SBJ"),AND(J4220=1,I4220=0)),"?IN_FOCUS",IF(J4220&lt;=2,"?ACTIVATED",IF(J4220&lt;&gt;"","?FAMILIAR",IF(F4220="NEW",IF(ISNA(VLOOKUP(E4220,#REF!,1,FALSE())),"?TYPE_IDENTIFIABLE","?REFERENTIAL"),"_")))))</f>
        <v> </v>
      </c>
      <c r="H4220" s="24" t="str">
        <f>IF(J4220&lt;&gt;1,"",IF(I4220="SBJ","CB","?"))</f>
        <v> </v>
      </c>
      <c r="I4220" s="25" t="str">
        <f>IF(OR(E4220="",E4220="!!!",F4220="NEW"),"",INDEX(B4219:B$2,-1+SUMPRODUCT(MAX(ROW(E4219:E$2)*(E4220=E4219:E$2)))))</f>
        <v> </v>
      </c>
      <c r="J4220" s="25" t="str">
        <f>IF(OR(E4220="",E4220="!!!",F4220="NEW"),"",COUNTBLANK(OFFSET(A$1,,,SUMPRODUCT(MAX(ROW(E$2:E4220)*(E4220=E$2:E4220)))))-COUNTBLANK(OFFSET(A$1,,,SUMPRODUCT(MAX(ROW(E$1:E4219)*(E2=E$1:E4219))))))</f>
        <v> </v>
      </c>
      <c r="K4220" s="25" t="str">
        <f>IF(OR(E4220="",E4220="!!!",F4220="NEW"),"",INDEX(J$1:J4219,SUMPRODUCT(MAX(ROW(E$1:E4219)*(E4220=E$1:E4219)))))</f>
        <v> </v>
      </c>
      <c r="L4220" s="26"/>
    </row>
    <row r="4221" spans="1:12">
      <c r="A4221" s="20" t="s">
        <v>1320</v>
      </c>
      <c r="B4221" s="27" t="s">
        <v>901</v>
      </c>
      <c r="C4221" s="27" t="s">
        <v>761</v>
      </c>
      <c r="D4221" s="27" t="s">
        <v>762</v>
      </c>
      <c r="E4221" s="21">
        <f>IF(D4221="?OLD","!!!","")</f>
        <v/>
      </c>
      <c r="F4221" s="22" t="str">
        <f>IF(OR(E4221="",E4221="!!!"),"",IF(NOT(ISNA(VLOOKUP(E4221,E$1:E4220,1,FALSE()))),"OLD",IF(AND(E4221&lt;&gt;"",E4221&lt;&gt;"!!!"),"NEW","")))</f>
        <v> </v>
      </c>
      <c r="G4221" s="23" t="str">
        <f>IF(OR(E4221="",E4221="!!!"),"",IF(OR(J4221=0,AND(J4221=1,K4221=1),AND(J4221=1,I4221="SBJ"),AND(J4221=1,I4221=0)),"?IN_FOCUS",IF(J4221&lt;=2,"?ACTIVATED",IF(J4221&lt;&gt;"","?FAMILIAR",IF(F4221="NEW",IF(ISNA(VLOOKUP(E4221,#REF!,1,FALSE())),"?TYPE_IDENTIFIABLE","?REFERENTIAL"),"_")))))</f>
        <v> </v>
      </c>
      <c r="H4221" s="24" t="str">
        <f>IF(J4221&lt;&gt;1,"",IF(I4221="SBJ","CB","?"))</f>
        <v> </v>
      </c>
      <c r="I4221" s="25" t="str">
        <f>IF(OR(E4221="",E4221="!!!",F4221="NEW"),"",INDEX(B4220:B$2,-1+SUMPRODUCT(MAX(ROW(E4220:E$2)*(E4221=E4220:E$2)))))</f>
        <v> </v>
      </c>
      <c r="J4221" s="25" t="str">
        <f>IF(OR(E4221="",E4221="!!!",F4221="NEW"),"",COUNTBLANK(OFFSET(A$1,,,SUMPRODUCT(MAX(ROW(E$2:E4221)*(E4221=E$2:E4221)))))-COUNTBLANK(OFFSET(A$1,,,SUMPRODUCT(MAX(ROW(E$1:E4220)*(E2=E$1:E4220))))))</f>
        <v> </v>
      </c>
      <c r="K4221" s="25" t="str">
        <f>IF(OR(E4221="",E4221="!!!",F4221="NEW"),"",INDEX(J$1:J4220,SUMPRODUCT(MAX(ROW(E$1:E4220)*(E4221=E$1:E4220)))))</f>
        <v> </v>
      </c>
      <c r="L4221" s="26"/>
    </row>
    <row r="4222" spans="1:12">
      <c r="A4222" s="20" t="s">
        <v>793</v>
      </c>
      <c r="E4222" s="21">
        <f>IF(D4222="?OLD","!!!","")</f>
        <v/>
      </c>
      <c r="F4222" s="22" t="str">
        <f>IF(OR(E4222="",E4222="!!!"),"",IF(NOT(ISNA(VLOOKUP(E4222,E$1:E4221,1,FALSE()))),"OLD",IF(AND(E4222&lt;&gt;"",E4222&lt;&gt;"!!!"),"NEW","")))</f>
        <v> </v>
      </c>
      <c r="G4222" s="23" t="str">
        <f>IF(OR(E4222="",E4222="!!!"),"",IF(OR(J4222=0,AND(J4222=1,K4222=1),AND(J4222=1,I4222="SBJ"),AND(J4222=1,I4222=0)),"?IN_FOCUS",IF(J4222&lt;=2,"?ACTIVATED",IF(J4222&lt;&gt;"","?FAMILIAR",IF(F4222="NEW",IF(ISNA(VLOOKUP(E4222,#REF!,1,FALSE())),"?TYPE_IDENTIFIABLE","?REFERENTIAL"),"_")))))</f>
        <v> </v>
      </c>
      <c r="H4222" s="24" t="str">
        <f>IF(J4222&lt;&gt;1,"",IF(I4222="SBJ","CB","?"))</f>
        <v> </v>
      </c>
      <c r="I4222" s="25" t="str">
        <f>IF(OR(E4222="",E4222="!!!",F4222="NEW"),"",INDEX(B4221:B$2,-1+SUMPRODUCT(MAX(ROW(E4221:E$2)*(E4222=E4221:E$2)))))</f>
        <v> </v>
      </c>
      <c r="J4222" s="25" t="str">
        <f>IF(OR(E4222="",E4222="!!!",F4222="NEW"),"",COUNTBLANK(OFFSET(A$1,,,SUMPRODUCT(MAX(ROW(E$2:E4222)*(E4222=E$2:E4222)))))-COUNTBLANK(OFFSET(A$1,,,SUMPRODUCT(MAX(ROW(E$1:E4221)*(E2=E$1:E4221))))))</f>
        <v> </v>
      </c>
      <c r="K4222" s="25" t="str">
        <f>IF(OR(E4222="",E4222="!!!",F4222="NEW"),"",INDEX(J$1:J4221,SUMPRODUCT(MAX(ROW(E$1:E4221)*(E4222=E$1:E4221)))))</f>
        <v> </v>
      </c>
      <c r="L4222" s="26"/>
    </row>
    <row r="4223" spans="1:12">
      <c r="A4223" s="20" t="s">
        <v>827</v>
      </c>
      <c r="B4223" s="27" t="s">
        <v>1080</v>
      </c>
      <c r="C4223" s="27" t="s">
        <v>797</v>
      </c>
      <c r="D4223" s="27" t="s">
        <v>762</v>
      </c>
      <c r="E4223" s="21">
        <f>IF(D4223="?OLD","!!!","")</f>
        <v/>
      </c>
      <c r="F4223" s="22" t="str">
        <f>IF(OR(E4223="",E4223="!!!"),"",IF(NOT(ISNA(VLOOKUP(E4223,E$1:E4222,1,FALSE()))),"OLD",IF(AND(E4223&lt;&gt;"",E4223&lt;&gt;"!!!"),"NEW","")))</f>
        <v> </v>
      </c>
      <c r="G4223" s="23" t="str">
        <f>IF(OR(E4223="",E4223="!!!"),"",IF(OR(J4223=0,AND(J4223=1,K4223=1),AND(J4223=1,I4223="SBJ"),AND(J4223=1,I4223=0)),"?IN_FOCUS",IF(J4223&lt;=2,"?ACTIVATED",IF(J4223&lt;&gt;"","?FAMILIAR",IF(F4223="NEW",IF(ISNA(VLOOKUP(E4223,#REF!,1,FALSE())),"?TYPE_IDENTIFIABLE","?REFERENTIAL"),"_")))))</f>
        <v> </v>
      </c>
      <c r="H4223" s="24" t="str">
        <f>IF(J4223&lt;&gt;1,"",IF(I4223="SBJ","CB","?"))</f>
        <v> </v>
      </c>
      <c r="I4223" s="25" t="str">
        <f>IF(OR(E4223="",E4223="!!!",F4223="NEW"),"",INDEX(B4222:B$2,-1+SUMPRODUCT(MAX(ROW(E4222:E$2)*(E4223=E4222:E$2)))))</f>
        <v> </v>
      </c>
      <c r="J4223" s="25" t="str">
        <f>IF(OR(E4223="",E4223="!!!",F4223="NEW"),"",COUNTBLANK(OFFSET(A$1,,,SUMPRODUCT(MAX(ROW(E$2:E4223)*(E4223=E$2:E4223)))))-COUNTBLANK(OFFSET(A$1,,,SUMPRODUCT(MAX(ROW(E$1:E4222)*(E2=E$1:E4222))))))</f>
        <v> </v>
      </c>
      <c r="K4223" s="25" t="str">
        <f>IF(OR(E4223="",E4223="!!!",F4223="NEW"),"",INDEX(J$1:J4222,SUMPRODUCT(MAX(ROW(E$1:E4222)*(E4223=E$1:E4222)))))</f>
        <v> </v>
      </c>
      <c r="L4223" s="26"/>
    </row>
    <row r="4224" spans="1:12">
      <c r="A4224" s="20" t="s">
        <v>1929</v>
      </c>
      <c r="E4224" s="21">
        <f>IF(D4224="?OLD","!!!","")</f>
        <v/>
      </c>
      <c r="F4224" s="22" t="str">
        <f>IF(OR(E4224="",E4224="!!!"),"",IF(NOT(ISNA(VLOOKUP(E4224,E$1:E4223,1,FALSE()))),"OLD",IF(AND(E4224&lt;&gt;"",E4224&lt;&gt;"!!!"),"NEW","")))</f>
        <v> </v>
      </c>
      <c r="G4224" s="23" t="str">
        <f>IF(OR(E4224="",E4224="!!!"),"",IF(OR(J4224=0,AND(J4224=1,K4224=1),AND(J4224=1,I4224="SBJ"),AND(J4224=1,I4224=0)),"?IN_FOCUS",IF(J4224&lt;=2,"?ACTIVATED",IF(J4224&lt;&gt;"","?FAMILIAR",IF(F4224="NEW",IF(ISNA(VLOOKUP(E4224,#REF!,1,FALSE())),"?TYPE_IDENTIFIABLE","?REFERENTIAL"),"_")))))</f>
        <v> </v>
      </c>
      <c r="H4224" s="24" t="str">
        <f>IF(J4224&lt;&gt;1,"",IF(I4224="SBJ","CB","?"))</f>
        <v> </v>
      </c>
      <c r="I4224" s="25" t="str">
        <f>IF(OR(E4224="",E4224="!!!",F4224="NEW"),"",INDEX(B4223:B$2,-1+SUMPRODUCT(MAX(ROW(E4223:E$2)*(E4224=E4223:E$2)))))</f>
        <v> </v>
      </c>
      <c r="J4224" s="25" t="str">
        <f>IF(OR(E4224="",E4224="!!!",F4224="NEW"),"",COUNTBLANK(OFFSET(A$1,,,SUMPRODUCT(MAX(ROW(E$2:E4224)*(E4224=E$2:E4224)))))-COUNTBLANK(OFFSET(A$1,,,SUMPRODUCT(MAX(ROW(E$1:E4223)*(E2=E$1:E4223))))))</f>
        <v> </v>
      </c>
      <c r="K4224" s="25" t="str">
        <f>IF(OR(E4224="",E4224="!!!",F4224="NEW"),"",INDEX(J$1:J4223,SUMPRODUCT(MAX(ROW(E$1:E4223)*(E4224=E$1:E4223)))))</f>
        <v> </v>
      </c>
      <c r="L4224" s="26"/>
    </row>
    <row r="4225" spans="1:12">
      <c r="A4225" s="20" t="s">
        <v>774</v>
      </c>
      <c r="E4225" s="21">
        <f>IF(D4225="?OLD","!!!","")</f>
        <v/>
      </c>
      <c r="F4225" s="22" t="str">
        <f>IF(OR(E4225="",E4225="!!!"),"",IF(NOT(ISNA(VLOOKUP(E4225,E$1:E4224,1,FALSE()))),"OLD",IF(AND(E4225&lt;&gt;"",E4225&lt;&gt;"!!!"),"NEW","")))</f>
        <v> </v>
      </c>
      <c r="G4225" s="23" t="str">
        <f>IF(OR(E4225="",E4225="!!!"),"",IF(OR(J4225=0,AND(J4225=1,K4225=1),AND(J4225=1,I4225="SBJ"),AND(J4225=1,I4225=0)),"?IN_FOCUS",IF(J4225&lt;=2,"?ACTIVATED",IF(J4225&lt;&gt;"","?FAMILIAR",IF(F4225="NEW",IF(ISNA(VLOOKUP(E4225,#REF!,1,FALSE())),"?TYPE_IDENTIFIABLE","?REFERENTIAL"),"_")))))</f>
        <v> </v>
      </c>
      <c r="H4225" s="24" t="str">
        <f>IF(J4225&lt;&gt;1,"",IF(I4225="SBJ","CB","?"))</f>
        <v> </v>
      </c>
      <c r="I4225" s="25" t="str">
        <f>IF(OR(E4225="",E4225="!!!",F4225="NEW"),"",INDEX(B4224:B$2,-1+SUMPRODUCT(MAX(ROW(E4224:E$2)*(E4225=E4224:E$2)))))</f>
        <v> </v>
      </c>
      <c r="J4225" s="25" t="str">
        <f>IF(OR(E4225="",E4225="!!!",F4225="NEW"),"",COUNTBLANK(OFFSET(A$1,,,SUMPRODUCT(MAX(ROW(E$2:E4225)*(E4225=E$2:E4225)))))-COUNTBLANK(OFFSET(A$1,,,SUMPRODUCT(MAX(ROW(E$1:E4224)*(E2=E$1:E4224))))))</f>
        <v> </v>
      </c>
      <c r="K4225" s="25" t="str">
        <f>IF(OR(E4225="",E4225="!!!",F4225="NEW"),"",INDEX(J$1:J4224,SUMPRODUCT(MAX(ROW(E$1:E4224)*(E4225=E$1:E4224)))))</f>
        <v> </v>
      </c>
      <c r="L4225" s="26"/>
    </row>
    <row r="4226" spans="1:12">
      <c r="A4226" s="20"/>
    </row>
    <row r="4227" spans="1:12">
      <c r="A4227" s="20" t="s">
        <v>1930</v>
      </c>
    </row>
    <row r="4228" spans="1:12">
      <c r="A4228" s="20" t="s">
        <v>818</v>
      </c>
      <c r="E4228" s="21">
        <f>IF(D4228="?OLD","!!!","")</f>
        <v/>
      </c>
      <c r="F4228" s="22" t="str">
        <f>IF(OR(E4228="",E4228="!!!"),"",IF(NOT(ISNA(VLOOKUP(E4228,E$1:E4227,1,FALSE()))),"OLD",IF(AND(E4228&lt;&gt;"",E4228&lt;&gt;"!!!"),"NEW","")))</f>
        <v> </v>
      </c>
      <c r="G4228" s="23" t="str">
        <f>IF(OR(E4228="",E4228="!!!"),"",IF(OR(J4228=0,AND(J4228=1,K4228=1),AND(J4228=1,I4228="SBJ"),AND(J4228=1,I4228=0)),"?IN_FOCUS",IF(J4228&lt;=2,"?ACTIVATED",IF(J4228&lt;&gt;"","?FAMILIAR",IF(F4228="NEW",IF(ISNA(VLOOKUP(E4228,#REF!,1,FALSE())),"?TYPE_IDENTIFIABLE","?REFERENTIAL"),"_")))))</f>
        <v> </v>
      </c>
      <c r="H4228" s="24" t="str">
        <f>IF(J4228&lt;&gt;1,"",IF(I4228="SBJ","CB","?"))</f>
        <v> </v>
      </c>
      <c r="I4228" s="25" t="str">
        <f>IF(OR(E4228="",E4228="!!!",F4228="NEW"),"",INDEX(B4227:B$2,-1+SUMPRODUCT(MAX(ROW(E4227:E$2)*(E4228=E4227:E$2)))))</f>
        <v> </v>
      </c>
      <c r="J4228" s="25" t="str">
        <f>IF(OR(E4228="",E4228="!!!",F4228="NEW"),"",COUNTBLANK(OFFSET(A$1,,,SUMPRODUCT(MAX(ROW(E$2:E4228)*(E4228=E$2:E4228)))))-COUNTBLANK(OFFSET(A$1,,,SUMPRODUCT(MAX(ROW(E$1:E4227)*(E2=E$1:E4227))))))</f>
        <v> </v>
      </c>
      <c r="K4228" s="25" t="str">
        <f>IF(OR(E4228="",E4228="!!!",F4228="NEW"),"",INDEX(J$1:J4227,SUMPRODUCT(MAX(ROW(E$1:E4227)*(E4228=E$1:E4227)))))</f>
        <v> </v>
      </c>
      <c r="L4228" s="26"/>
    </row>
    <row r="4229" spans="1:12">
      <c r="A4229" s="20" t="s">
        <v>1037</v>
      </c>
      <c r="B4229" s="27" t="s">
        <v>760</v>
      </c>
      <c r="C4229" s="27" t="s">
        <v>797</v>
      </c>
      <c r="D4229" s="27" t="s">
        <v>762</v>
      </c>
      <c r="E4229" s="21">
        <f>IF(D4229="?OLD","!!!","")</f>
        <v/>
      </c>
      <c r="F4229" s="22" t="str">
        <f>IF(OR(E4229="",E4229="!!!"),"",IF(NOT(ISNA(VLOOKUP(E4229,E$1:E4228,1,FALSE()))),"OLD",IF(AND(E4229&lt;&gt;"",E4229&lt;&gt;"!!!"),"NEW","")))</f>
        <v> </v>
      </c>
      <c r="G4229" s="23" t="str">
        <f>IF(OR(E4229="",E4229="!!!"),"",IF(OR(J4229=0,AND(J4229=1,K4229=1),AND(J4229=1,I4229="SBJ"),AND(J4229=1,I4229=0)),"?IN_FOCUS",IF(J4229&lt;=2,"?ACTIVATED",IF(J4229&lt;&gt;"","?FAMILIAR",IF(F4229="NEW",IF(ISNA(VLOOKUP(E4229,#REF!,1,FALSE())),"?TYPE_IDENTIFIABLE","?REFERENTIAL"),"_")))))</f>
        <v> </v>
      </c>
      <c r="H4229" s="24" t="str">
        <f>IF(J4229&lt;&gt;1,"",IF(I4229="SBJ","CB","?"))</f>
        <v> </v>
      </c>
      <c r="I4229" s="25" t="str">
        <f>IF(OR(E4229="",E4229="!!!",F4229="NEW"),"",INDEX(B4228:B$2,-1+SUMPRODUCT(MAX(ROW(E4228:E$2)*(E4229=E4228:E$2)))))</f>
        <v> </v>
      </c>
      <c r="J4229" s="25" t="str">
        <f>IF(OR(E4229="",E4229="!!!",F4229="NEW"),"",COUNTBLANK(OFFSET(A$1,,,SUMPRODUCT(MAX(ROW(E$2:E4229)*(E4229=E$2:E4229)))))-COUNTBLANK(OFFSET(A$1,,,SUMPRODUCT(MAX(ROW(E$1:E4228)*(E2=E$1:E4228))))))</f>
        <v> </v>
      </c>
      <c r="K4229" s="25" t="str">
        <f>IF(OR(E4229="",E4229="!!!",F4229="NEW"),"",INDEX(J$1:J4228,SUMPRODUCT(MAX(ROW(E$1:E4228)*(E4229=E$1:E4228)))))</f>
        <v> </v>
      </c>
      <c r="L4229" s="26"/>
    </row>
    <row r="4230" spans="1:12">
      <c r="A4230" s="20" t="s">
        <v>909</v>
      </c>
      <c r="E4230" s="21">
        <f>IF(D4230="?OLD","!!!","")</f>
        <v/>
      </c>
      <c r="F4230" s="22" t="str">
        <f>IF(OR(E4230="",E4230="!!!"),"",IF(NOT(ISNA(VLOOKUP(E4230,E$1:E4229,1,FALSE()))),"OLD",IF(AND(E4230&lt;&gt;"",E4230&lt;&gt;"!!!"),"NEW","")))</f>
        <v> </v>
      </c>
      <c r="G4230" s="23" t="str">
        <f>IF(OR(E4230="",E4230="!!!"),"",IF(OR(J4230=0,AND(J4230=1,K4230=1),AND(J4230=1,I4230="SBJ"),AND(J4230=1,I4230=0)),"?IN_FOCUS",IF(J4230&lt;=2,"?ACTIVATED",IF(J4230&lt;&gt;"","?FAMILIAR",IF(F4230="NEW",IF(ISNA(VLOOKUP(E4230,#REF!,1,FALSE())),"?TYPE_IDENTIFIABLE","?REFERENTIAL"),"_")))))</f>
        <v> </v>
      </c>
      <c r="H4230" s="24" t="str">
        <f>IF(J4230&lt;&gt;1,"",IF(I4230="SBJ","CB","?"))</f>
        <v> </v>
      </c>
      <c r="I4230" s="25" t="str">
        <f>IF(OR(E4230="",E4230="!!!",F4230="NEW"),"",INDEX(B4229:B$2,-1+SUMPRODUCT(MAX(ROW(E4229:E$2)*(E4230=E4229:E$2)))))</f>
        <v> </v>
      </c>
      <c r="J4230" s="25" t="str">
        <f>IF(OR(E4230="",E4230="!!!",F4230="NEW"),"",COUNTBLANK(OFFSET(A$1,,,SUMPRODUCT(MAX(ROW(E$2:E4230)*(E4230=E$2:E4230)))))-COUNTBLANK(OFFSET(A$1,,,SUMPRODUCT(MAX(ROW(E$1:E4229)*(E2=E$1:E4229))))))</f>
        <v> </v>
      </c>
      <c r="K4230" s="25" t="str">
        <f>IF(OR(E4230="",E4230="!!!",F4230="NEW"),"",INDEX(J$1:J4229,SUMPRODUCT(MAX(ROW(E$1:E4229)*(E4230=E$1:E4229)))))</f>
        <v> </v>
      </c>
      <c r="L4230" s="26"/>
    </row>
    <row r="4231" spans="1:12">
      <c r="A4231" s="20" t="s">
        <v>1031</v>
      </c>
      <c r="E4231" s="21">
        <f>IF(D4231="?OLD","!!!","")</f>
        <v/>
      </c>
      <c r="F4231" s="22" t="str">
        <f>IF(OR(E4231="",E4231="!!!"),"",IF(NOT(ISNA(VLOOKUP(E4231,E$1:E4230,1,FALSE()))),"OLD",IF(AND(E4231&lt;&gt;"",E4231&lt;&gt;"!!!"),"NEW","")))</f>
        <v> </v>
      </c>
      <c r="G4231" s="23" t="str">
        <f>IF(OR(E4231="",E4231="!!!"),"",IF(OR(J4231=0,AND(J4231=1,K4231=1),AND(J4231=1,I4231="SBJ"),AND(J4231=1,I4231=0)),"?IN_FOCUS",IF(J4231&lt;=2,"?ACTIVATED",IF(J4231&lt;&gt;"","?FAMILIAR",IF(F4231="NEW",IF(ISNA(VLOOKUP(E4231,#REF!,1,FALSE())),"?TYPE_IDENTIFIABLE","?REFERENTIAL"),"_")))))</f>
        <v> </v>
      </c>
      <c r="H4231" s="24" t="str">
        <f>IF(J4231&lt;&gt;1,"",IF(I4231="SBJ","CB","?"))</f>
        <v> </v>
      </c>
      <c r="I4231" s="25" t="str">
        <f>IF(OR(E4231="",E4231="!!!",F4231="NEW"),"",INDEX(B4230:B$2,-1+SUMPRODUCT(MAX(ROW(E4230:E$2)*(E4231=E4230:E$2)))))</f>
        <v> </v>
      </c>
      <c r="J4231" s="25" t="str">
        <f>IF(OR(E4231="",E4231="!!!",F4231="NEW"),"",COUNTBLANK(OFFSET(A$1,,,SUMPRODUCT(MAX(ROW(E$2:E4231)*(E4231=E$2:E4231)))))-COUNTBLANK(OFFSET(A$1,,,SUMPRODUCT(MAX(ROW(E$1:E4230)*(E2=E$1:E4230))))))</f>
        <v> </v>
      </c>
      <c r="K4231" s="25" t="str">
        <f>IF(OR(E4231="",E4231="!!!",F4231="NEW"),"",INDEX(J$1:J4230,SUMPRODUCT(MAX(ROW(E$1:E4230)*(E4231=E$1:E4230)))))</f>
        <v> </v>
      </c>
      <c r="L4231" s="26"/>
    </row>
    <row r="4232" spans="1:12">
      <c r="A4232" s="20" t="s">
        <v>1931</v>
      </c>
      <c r="E4232" s="21">
        <f>IF(D4232="?OLD","!!!","")</f>
        <v/>
      </c>
      <c r="F4232" s="22" t="str">
        <f>IF(OR(E4232="",E4232="!!!"),"",IF(NOT(ISNA(VLOOKUP(E4232,E$1:E4231,1,FALSE()))),"OLD",IF(AND(E4232&lt;&gt;"",E4232&lt;&gt;"!!!"),"NEW","")))</f>
        <v> </v>
      </c>
      <c r="G4232" s="23" t="str">
        <f>IF(OR(E4232="",E4232="!!!"),"",IF(OR(J4232=0,AND(J4232=1,K4232=1),AND(J4232=1,I4232="SBJ"),AND(J4232=1,I4232=0)),"?IN_FOCUS",IF(J4232&lt;=2,"?ACTIVATED",IF(J4232&lt;&gt;"","?FAMILIAR",IF(F4232="NEW",IF(ISNA(VLOOKUP(E4232,#REF!,1,FALSE())),"?TYPE_IDENTIFIABLE","?REFERENTIAL"),"_")))))</f>
        <v> </v>
      </c>
      <c r="H4232" s="24" t="str">
        <f>IF(J4232&lt;&gt;1,"",IF(I4232="SBJ","CB","?"))</f>
        <v> </v>
      </c>
      <c r="I4232" s="25" t="str">
        <f>IF(OR(E4232="",E4232="!!!",F4232="NEW"),"",INDEX(B4231:B$2,-1+SUMPRODUCT(MAX(ROW(E4231:E$2)*(E4232=E4231:E$2)))))</f>
        <v> </v>
      </c>
      <c r="J4232" s="25" t="str">
        <f>IF(OR(E4232="",E4232="!!!",F4232="NEW"),"",COUNTBLANK(OFFSET(A$1,,,SUMPRODUCT(MAX(ROW(E$2:E4232)*(E4232=E$2:E4232)))))-COUNTBLANK(OFFSET(A$1,,,SUMPRODUCT(MAX(ROW(E$1:E4231)*(E2=E$1:E4231))))))</f>
        <v> </v>
      </c>
      <c r="K4232" s="25" t="str">
        <f>IF(OR(E4232="",E4232="!!!",F4232="NEW"),"",INDEX(J$1:J4231,SUMPRODUCT(MAX(ROW(E$1:E4231)*(E4232=E$1:E4231)))))</f>
        <v> </v>
      </c>
      <c r="L4232" s="26"/>
    </row>
    <row r="4233" spans="1:12">
      <c r="A4233" s="20" t="s">
        <v>889</v>
      </c>
      <c r="E4233" s="21">
        <f>IF(D4233="?OLD","!!!","")</f>
        <v/>
      </c>
      <c r="F4233" s="22" t="str">
        <f>IF(OR(E4233="",E4233="!!!"),"",IF(NOT(ISNA(VLOOKUP(E4233,E$1:E4232,1,FALSE()))),"OLD",IF(AND(E4233&lt;&gt;"",E4233&lt;&gt;"!!!"),"NEW","")))</f>
        <v> </v>
      </c>
      <c r="G4233" s="23" t="str">
        <f>IF(OR(E4233="",E4233="!!!"),"",IF(OR(J4233=0,AND(J4233=1,K4233=1),AND(J4233=1,I4233="SBJ"),AND(J4233=1,I4233=0)),"?IN_FOCUS",IF(J4233&lt;=2,"?ACTIVATED",IF(J4233&lt;&gt;"","?FAMILIAR",IF(F4233="NEW",IF(ISNA(VLOOKUP(E4233,#REF!,1,FALSE())),"?TYPE_IDENTIFIABLE","?REFERENTIAL"),"_")))))</f>
        <v> </v>
      </c>
      <c r="H4233" s="24" t="str">
        <f>IF(J4233&lt;&gt;1,"",IF(I4233="SBJ","CB","?"))</f>
        <v> </v>
      </c>
      <c r="I4233" s="25" t="str">
        <f>IF(OR(E4233="",E4233="!!!",F4233="NEW"),"",INDEX(B4232:B$2,-1+SUMPRODUCT(MAX(ROW(E4232:E$2)*(E4233=E4232:E$2)))))</f>
        <v> </v>
      </c>
      <c r="J4233" s="25" t="str">
        <f>IF(OR(E4233="",E4233="!!!",F4233="NEW"),"",COUNTBLANK(OFFSET(A$1,,,SUMPRODUCT(MAX(ROW(E$2:E4233)*(E4233=E$2:E4233)))))-COUNTBLANK(OFFSET(A$1,,,SUMPRODUCT(MAX(ROW(E$1:E4232)*(E2=E$1:E4232))))))</f>
        <v> </v>
      </c>
      <c r="K4233" s="25" t="str">
        <f>IF(OR(E4233="",E4233="!!!",F4233="NEW"),"",INDEX(J$1:J4232,SUMPRODUCT(MAX(ROW(E$1:E4232)*(E4233=E$1:E4232)))))</f>
        <v> </v>
      </c>
      <c r="L4233" s="26"/>
    </row>
    <row r="4234" spans="1:12">
      <c r="A4234" s="20" t="s">
        <v>697</v>
      </c>
      <c r="E4234" s="21">
        <f>IF(D4234="?OLD","!!!","")</f>
        <v/>
      </c>
      <c r="F4234" s="22" t="str">
        <f>IF(OR(E4234="",E4234="!!!"),"",IF(NOT(ISNA(VLOOKUP(E4234,E$1:E4233,1,FALSE()))),"OLD",IF(AND(E4234&lt;&gt;"",E4234&lt;&gt;"!!!"),"NEW","")))</f>
        <v> </v>
      </c>
      <c r="G4234" s="23" t="str">
        <f>IF(OR(E4234="",E4234="!!!"),"",IF(OR(J4234=0,AND(J4234=1,K4234=1),AND(J4234=1,I4234="SBJ"),AND(J4234=1,I4234=0)),"?IN_FOCUS",IF(J4234&lt;=2,"?ACTIVATED",IF(J4234&lt;&gt;"","?FAMILIAR",IF(F4234="NEW",IF(ISNA(VLOOKUP(E4234,#REF!,1,FALSE())),"?TYPE_IDENTIFIABLE","?REFERENTIAL"),"_")))))</f>
        <v> </v>
      </c>
      <c r="H4234" s="24" t="str">
        <f>IF(J4234&lt;&gt;1,"",IF(I4234="SBJ","CB","?"))</f>
        <v> </v>
      </c>
      <c r="I4234" s="25" t="str">
        <f>IF(OR(E4234="",E4234="!!!",F4234="NEW"),"",INDEX(B4233:B$2,-1+SUMPRODUCT(MAX(ROW(E4233:E$2)*(E4234=E4233:E$2)))))</f>
        <v> </v>
      </c>
      <c r="J4234" s="25" t="str">
        <f>IF(OR(E4234="",E4234="!!!",F4234="NEW"),"",COUNTBLANK(OFFSET(A$1,,,SUMPRODUCT(MAX(ROW(E$2:E4234)*(E4234=E$2:E4234)))))-COUNTBLANK(OFFSET(A$1,,,SUMPRODUCT(MAX(ROW(E$1:E4233)*(E2=E$1:E4233))))))</f>
        <v> </v>
      </c>
      <c r="K4234" s="25" t="str">
        <f>IF(OR(E4234="",E4234="!!!",F4234="NEW"),"",INDEX(J$1:J4233,SUMPRODUCT(MAX(ROW(E$1:E4233)*(E4234=E$1:E4233)))))</f>
        <v> </v>
      </c>
      <c r="L4234" s="26"/>
    </row>
    <row r="4235" spans="1:12">
      <c r="A4235" s="20" t="s">
        <v>915</v>
      </c>
      <c r="E4235" s="21">
        <f>IF(D4235="?OLD","!!!","")</f>
        <v/>
      </c>
      <c r="F4235" s="22" t="str">
        <f>IF(OR(E4235="",E4235="!!!"),"",IF(NOT(ISNA(VLOOKUP(E4235,E$1:E4234,1,FALSE()))),"OLD",IF(AND(E4235&lt;&gt;"",E4235&lt;&gt;"!!!"),"NEW","")))</f>
        <v> </v>
      </c>
      <c r="G4235" s="23" t="str">
        <f>IF(OR(E4235="",E4235="!!!"),"",IF(OR(J4235=0,AND(J4235=1,K4235=1),AND(J4235=1,I4235="SBJ"),AND(J4235=1,I4235=0)),"?IN_FOCUS",IF(J4235&lt;=2,"?ACTIVATED",IF(J4235&lt;&gt;"","?FAMILIAR",IF(F4235="NEW",IF(ISNA(VLOOKUP(E4235,#REF!,1,FALSE())),"?TYPE_IDENTIFIABLE","?REFERENTIAL"),"_")))))</f>
        <v> </v>
      </c>
      <c r="H4235" s="24" t="str">
        <f>IF(J4235&lt;&gt;1,"",IF(I4235="SBJ","CB","?"))</f>
        <v> </v>
      </c>
      <c r="I4235" s="25" t="str">
        <f>IF(OR(E4235="",E4235="!!!",F4235="NEW"),"",INDEX(B4234:B$2,-1+SUMPRODUCT(MAX(ROW(E4234:E$2)*(E4235=E4234:E$2)))))</f>
        <v> </v>
      </c>
      <c r="J4235" s="25" t="str">
        <f>IF(OR(E4235="",E4235="!!!",F4235="NEW"),"",COUNTBLANK(OFFSET(A$1,,,SUMPRODUCT(MAX(ROW(E$2:E4235)*(E4235=E$2:E4235)))))-COUNTBLANK(OFFSET(A$1,,,SUMPRODUCT(MAX(ROW(E$1:E4234)*(E2=E$1:E4234))))))</f>
        <v> </v>
      </c>
      <c r="K4235" s="25" t="str">
        <f>IF(OR(E4235="",E4235="!!!",F4235="NEW"),"",INDEX(J$1:J4234,SUMPRODUCT(MAX(ROW(E$1:E4234)*(E4235=E$1:E4234)))))</f>
        <v> </v>
      </c>
      <c r="L4235" s="26"/>
    </row>
    <row r="4236" spans="1:12">
      <c r="A4236" s="20" t="s">
        <v>1932</v>
      </c>
      <c r="E4236" s="21">
        <f>IF(D4236="?OLD","!!!","")</f>
        <v/>
      </c>
      <c r="F4236" s="22" t="str">
        <f>IF(OR(E4236="",E4236="!!!"),"",IF(NOT(ISNA(VLOOKUP(E4236,E$1:E4235,1,FALSE()))),"OLD",IF(AND(E4236&lt;&gt;"",E4236&lt;&gt;"!!!"),"NEW","")))</f>
        <v> </v>
      </c>
      <c r="G4236" s="23" t="str">
        <f>IF(OR(E4236="",E4236="!!!"),"",IF(OR(J4236=0,AND(J4236=1,K4236=1),AND(J4236=1,I4236="SBJ"),AND(J4236=1,I4236=0)),"?IN_FOCUS",IF(J4236&lt;=2,"?ACTIVATED",IF(J4236&lt;&gt;"","?FAMILIAR",IF(F4236="NEW",IF(ISNA(VLOOKUP(E4236,#REF!,1,FALSE())),"?TYPE_IDENTIFIABLE","?REFERENTIAL"),"_")))))</f>
        <v> </v>
      </c>
      <c r="H4236" s="24" t="str">
        <f>IF(J4236&lt;&gt;1,"",IF(I4236="SBJ","CB","?"))</f>
        <v> </v>
      </c>
      <c r="I4236" s="25" t="str">
        <f>IF(OR(E4236="",E4236="!!!",F4236="NEW"),"",INDEX(B4235:B$2,-1+SUMPRODUCT(MAX(ROW(E4235:E$2)*(E4236=E4235:E$2)))))</f>
        <v> </v>
      </c>
      <c r="J4236" s="25" t="str">
        <f>IF(OR(E4236="",E4236="!!!",F4236="NEW"),"",COUNTBLANK(OFFSET(A$1,,,SUMPRODUCT(MAX(ROW(E$2:E4236)*(E4236=E$2:E4236)))))-COUNTBLANK(OFFSET(A$1,,,SUMPRODUCT(MAX(ROW(E$1:E4235)*(E2=E$1:E4235))))))</f>
        <v> </v>
      </c>
      <c r="K4236" s="25" t="str">
        <f>IF(OR(E4236="",E4236="!!!",F4236="NEW"),"",INDEX(J$1:J4235,SUMPRODUCT(MAX(ROW(E$1:E4235)*(E4236=E$1:E4235)))))</f>
        <v> </v>
      </c>
      <c r="L4236" s="26"/>
    </row>
    <row r="4237" spans="1:12">
      <c r="A4237" s="20" t="s">
        <v>942</v>
      </c>
      <c r="E4237" s="21">
        <f>IF(D4237="?OLD","!!!","")</f>
        <v/>
      </c>
      <c r="F4237" s="22" t="str">
        <f>IF(OR(E4237="",E4237="!!!"),"",IF(NOT(ISNA(VLOOKUP(E4237,E$1:E4236,1,FALSE()))),"OLD",IF(AND(E4237&lt;&gt;"",E4237&lt;&gt;"!!!"),"NEW","")))</f>
        <v> </v>
      </c>
      <c r="G4237" s="23" t="str">
        <f>IF(OR(E4237="",E4237="!!!"),"",IF(OR(J4237=0,AND(J4237=1,K4237=1),AND(J4237=1,I4237="SBJ"),AND(J4237=1,I4237=0)),"?IN_FOCUS",IF(J4237&lt;=2,"?ACTIVATED",IF(J4237&lt;&gt;"","?FAMILIAR",IF(F4237="NEW",IF(ISNA(VLOOKUP(E4237,#REF!,1,FALSE())),"?TYPE_IDENTIFIABLE","?REFERENTIAL"),"_")))))</f>
        <v> </v>
      </c>
      <c r="H4237" s="24" t="str">
        <f>IF(J4237&lt;&gt;1,"",IF(I4237="SBJ","CB","?"))</f>
        <v> </v>
      </c>
      <c r="I4237" s="25" t="str">
        <f>IF(OR(E4237="",E4237="!!!",F4237="NEW"),"",INDEX(B4236:B$2,-1+SUMPRODUCT(MAX(ROW(E4236:E$2)*(E4237=E4236:E$2)))))</f>
        <v> </v>
      </c>
      <c r="J4237" s="25" t="str">
        <f>IF(OR(E4237="",E4237="!!!",F4237="NEW"),"",COUNTBLANK(OFFSET(A$1,,,SUMPRODUCT(MAX(ROW(E$2:E4237)*(E4237=E$2:E4237)))))-COUNTBLANK(OFFSET(A$1,,,SUMPRODUCT(MAX(ROW(E$1:E4236)*(E2=E$1:E4236))))))</f>
        <v> </v>
      </c>
      <c r="K4237" s="25" t="str">
        <f>IF(OR(E4237="",E4237="!!!",F4237="NEW"),"",INDEX(J$1:J4236,SUMPRODUCT(MAX(ROW(E$1:E4236)*(E4237=E$1:E4236)))))</f>
        <v> </v>
      </c>
      <c r="L4237" s="26"/>
    </row>
    <row r="4238" spans="1:12">
      <c r="A4238" s="20" t="s">
        <v>811</v>
      </c>
      <c r="E4238" s="21">
        <f>IF(D4238="?OLD","!!!","")</f>
        <v/>
      </c>
      <c r="F4238" s="22" t="str">
        <f>IF(OR(E4238="",E4238="!!!"),"",IF(NOT(ISNA(VLOOKUP(E4238,E$1:E4237,1,FALSE()))),"OLD",IF(AND(E4238&lt;&gt;"",E4238&lt;&gt;"!!!"),"NEW","")))</f>
        <v> </v>
      </c>
      <c r="G4238" s="23" t="str">
        <f>IF(OR(E4238="",E4238="!!!"),"",IF(OR(J4238=0,AND(J4238=1,K4238=1),AND(J4238=1,I4238="SBJ"),AND(J4238=1,I4238=0)),"?IN_FOCUS",IF(J4238&lt;=2,"?ACTIVATED",IF(J4238&lt;&gt;"","?FAMILIAR",IF(F4238="NEW",IF(ISNA(VLOOKUP(E4238,#REF!,1,FALSE())),"?TYPE_IDENTIFIABLE","?REFERENTIAL"),"_")))))</f>
        <v> </v>
      </c>
      <c r="H4238" s="24" t="str">
        <f>IF(J4238&lt;&gt;1,"",IF(I4238="SBJ","CB","?"))</f>
        <v> </v>
      </c>
      <c r="I4238" s="25" t="str">
        <f>IF(OR(E4238="",E4238="!!!",F4238="NEW"),"",INDEX(B4237:B$2,-1+SUMPRODUCT(MAX(ROW(E4237:E$2)*(E4238=E4237:E$2)))))</f>
        <v> </v>
      </c>
      <c r="J4238" s="25" t="str">
        <f>IF(OR(E4238="",E4238="!!!",F4238="NEW"),"",COUNTBLANK(OFFSET(A$1,,,SUMPRODUCT(MAX(ROW(E$2:E4238)*(E4238=E$2:E4238)))))-COUNTBLANK(OFFSET(A$1,,,SUMPRODUCT(MAX(ROW(E$1:E4237)*(E2=E$1:E4237))))))</f>
        <v> </v>
      </c>
      <c r="K4238" s="25" t="str">
        <f>IF(OR(E4238="",E4238="!!!",F4238="NEW"),"",INDEX(J$1:J4237,SUMPRODUCT(MAX(ROW(E$1:E4237)*(E4238=E$1:E4237)))))</f>
        <v> </v>
      </c>
      <c r="L4238" s="26"/>
    </row>
    <row r="4239" spans="1:12">
      <c r="A4239" s="20" t="s">
        <v>1933</v>
      </c>
      <c r="E4239" s="21">
        <f>IF(D4239="?OLD","!!!","")</f>
        <v/>
      </c>
      <c r="F4239" s="22" t="str">
        <f>IF(OR(E4239="",E4239="!!!"),"",IF(NOT(ISNA(VLOOKUP(E4239,E$1:E4238,1,FALSE()))),"OLD",IF(AND(E4239&lt;&gt;"",E4239&lt;&gt;"!!!"),"NEW","")))</f>
        <v> </v>
      </c>
      <c r="G4239" s="23" t="str">
        <f>IF(OR(E4239="",E4239="!!!"),"",IF(OR(J4239=0,AND(J4239=1,K4239=1),AND(J4239=1,I4239="SBJ"),AND(J4239=1,I4239=0)),"?IN_FOCUS",IF(J4239&lt;=2,"?ACTIVATED",IF(J4239&lt;&gt;"","?FAMILIAR",IF(F4239="NEW",IF(ISNA(VLOOKUP(E4239,#REF!,1,FALSE())),"?TYPE_IDENTIFIABLE","?REFERENTIAL"),"_")))))</f>
        <v> </v>
      </c>
      <c r="H4239" s="24" t="str">
        <f>IF(J4239&lt;&gt;1,"",IF(I4239="SBJ","CB","?"))</f>
        <v> </v>
      </c>
      <c r="I4239" s="25" t="str">
        <f>IF(OR(E4239="",E4239="!!!",F4239="NEW"),"",INDEX(B4238:B$2,-1+SUMPRODUCT(MAX(ROW(E4238:E$2)*(E4239=E4238:E$2)))))</f>
        <v> </v>
      </c>
      <c r="J4239" s="25" t="str">
        <f>IF(OR(E4239="",E4239="!!!",F4239="NEW"),"",COUNTBLANK(OFFSET(A$1,,,SUMPRODUCT(MAX(ROW(E$2:E4239)*(E4239=E$2:E4239)))))-COUNTBLANK(OFFSET(A$1,,,SUMPRODUCT(MAX(ROW(E$1:E4238)*(E2=E$1:E4238))))))</f>
        <v> </v>
      </c>
      <c r="K4239" s="25" t="str">
        <f>IF(OR(E4239="",E4239="!!!",F4239="NEW"),"",INDEX(J$1:J4238,SUMPRODUCT(MAX(ROW(E$1:E4238)*(E4239=E$1:E4238)))))</f>
        <v> </v>
      </c>
      <c r="L4239" s="26"/>
    </row>
    <row r="4240" spans="1:12">
      <c r="A4240" s="20" t="s">
        <v>1020</v>
      </c>
      <c r="E4240" s="21">
        <f>IF(D4240="?OLD","!!!","")</f>
        <v/>
      </c>
      <c r="F4240" s="22" t="str">
        <f>IF(OR(E4240="",E4240="!!!"),"",IF(NOT(ISNA(VLOOKUP(E4240,E$1:E4239,1,FALSE()))),"OLD",IF(AND(E4240&lt;&gt;"",E4240&lt;&gt;"!!!"),"NEW","")))</f>
        <v> </v>
      </c>
      <c r="G4240" s="23" t="str">
        <f>IF(OR(E4240="",E4240="!!!"),"",IF(OR(J4240=0,AND(J4240=1,K4240=1),AND(J4240=1,I4240="SBJ"),AND(J4240=1,I4240=0)),"?IN_FOCUS",IF(J4240&lt;=2,"?ACTIVATED",IF(J4240&lt;&gt;"","?FAMILIAR",IF(F4240="NEW",IF(ISNA(VLOOKUP(E4240,#REF!,1,FALSE())),"?TYPE_IDENTIFIABLE","?REFERENTIAL"),"_")))))</f>
        <v> </v>
      </c>
      <c r="H4240" s="24" t="str">
        <f>IF(J4240&lt;&gt;1,"",IF(I4240="SBJ","CB","?"))</f>
        <v> </v>
      </c>
      <c r="I4240" s="25" t="str">
        <f>IF(OR(E4240="",E4240="!!!",F4240="NEW"),"",INDEX(B4239:B$2,-1+SUMPRODUCT(MAX(ROW(E4239:E$2)*(E4240=E4239:E$2)))))</f>
        <v> </v>
      </c>
      <c r="J4240" s="25" t="str">
        <f>IF(OR(E4240="",E4240="!!!",F4240="NEW"),"",COUNTBLANK(OFFSET(A$1,,,SUMPRODUCT(MAX(ROW(E$2:E4240)*(E4240=E$2:E4240)))))-COUNTBLANK(OFFSET(A$1,,,SUMPRODUCT(MAX(ROW(E$1:E4239)*(E2=E$1:E4239))))))</f>
        <v> </v>
      </c>
      <c r="K4240" s="25" t="str">
        <f>IF(OR(E4240="",E4240="!!!",F4240="NEW"),"",INDEX(J$1:J4239,SUMPRODUCT(MAX(ROW(E$1:E4239)*(E4240=E$1:E4239)))))</f>
        <v> </v>
      </c>
      <c r="L4240" s="26"/>
    </row>
    <row r="4241" spans="1:12">
      <c r="A4241" s="20" t="s">
        <v>805</v>
      </c>
      <c r="E4241" s="21">
        <f>IF(D4241="?OLD","!!!","")</f>
        <v/>
      </c>
      <c r="F4241" s="22" t="str">
        <f>IF(OR(E4241="",E4241="!!!"),"",IF(NOT(ISNA(VLOOKUP(E4241,E$1:E4240,1,FALSE()))),"OLD",IF(AND(E4241&lt;&gt;"",E4241&lt;&gt;"!!!"),"NEW","")))</f>
        <v> </v>
      </c>
      <c r="G4241" s="23" t="str">
        <f>IF(OR(E4241="",E4241="!!!"),"",IF(OR(J4241=0,AND(J4241=1,K4241=1),AND(J4241=1,I4241="SBJ"),AND(J4241=1,I4241=0)),"?IN_FOCUS",IF(J4241&lt;=2,"?ACTIVATED",IF(J4241&lt;&gt;"","?FAMILIAR",IF(F4241="NEW",IF(ISNA(VLOOKUP(E4241,#REF!,1,FALSE())),"?TYPE_IDENTIFIABLE","?REFERENTIAL"),"_")))))</f>
        <v> </v>
      </c>
      <c r="H4241" s="24" t="str">
        <f>IF(J4241&lt;&gt;1,"",IF(I4241="SBJ","CB","?"))</f>
        <v> </v>
      </c>
      <c r="I4241" s="25" t="str">
        <f>IF(OR(E4241="",E4241="!!!",F4241="NEW"),"",INDEX(B4240:B$2,-1+SUMPRODUCT(MAX(ROW(E4240:E$2)*(E4241=E4240:E$2)))))</f>
        <v> </v>
      </c>
      <c r="J4241" s="25" t="str">
        <f>IF(OR(E4241="",E4241="!!!",F4241="NEW"),"",COUNTBLANK(OFFSET(A$1,,,SUMPRODUCT(MAX(ROW(E$2:E4241)*(E4241=E$2:E4241)))))-COUNTBLANK(OFFSET(A$1,,,SUMPRODUCT(MAX(ROW(E$1:E4240)*(E2=E$1:E4240))))))</f>
        <v> </v>
      </c>
      <c r="K4241" s="25" t="str">
        <f>IF(OR(E4241="",E4241="!!!",F4241="NEW"),"",INDEX(J$1:J4240,SUMPRODUCT(MAX(ROW(E$1:E4240)*(E4241=E$1:E4240)))))</f>
        <v> </v>
      </c>
      <c r="L4241" s="26"/>
    </row>
    <row r="4242" spans="1:12">
      <c r="A4242" s="20" t="s">
        <v>349</v>
      </c>
      <c r="E4242" s="21">
        <f>IF(D4242="?OLD","!!!","")</f>
        <v/>
      </c>
      <c r="F4242" s="22" t="str">
        <f>IF(OR(E4242="",E4242="!!!"),"",IF(NOT(ISNA(VLOOKUP(E4242,E$1:E4241,1,FALSE()))),"OLD",IF(AND(E4242&lt;&gt;"",E4242&lt;&gt;"!!!"),"NEW","")))</f>
        <v> </v>
      </c>
      <c r="G4242" s="23" t="str">
        <f>IF(OR(E4242="",E4242="!!!"),"",IF(OR(J4242=0,AND(J4242=1,K4242=1),AND(J4242=1,I4242="SBJ"),AND(J4242=1,I4242=0)),"?IN_FOCUS",IF(J4242&lt;=2,"?ACTIVATED",IF(J4242&lt;&gt;"","?FAMILIAR",IF(F4242="NEW",IF(ISNA(VLOOKUP(E4242,#REF!,1,FALSE())),"?TYPE_IDENTIFIABLE","?REFERENTIAL"),"_")))))</f>
        <v> </v>
      </c>
      <c r="H4242" s="24" t="str">
        <f>IF(J4242&lt;&gt;1,"",IF(I4242="SBJ","CB","?"))</f>
        <v> </v>
      </c>
      <c r="I4242" s="25" t="str">
        <f>IF(OR(E4242="",E4242="!!!",F4242="NEW"),"",INDEX(B4241:B$2,-1+SUMPRODUCT(MAX(ROW(E4241:E$2)*(E4242=E4241:E$2)))))</f>
        <v> </v>
      </c>
      <c r="J4242" s="25" t="str">
        <f>IF(OR(E4242="",E4242="!!!",F4242="NEW"),"",COUNTBLANK(OFFSET(A$1,,,SUMPRODUCT(MAX(ROW(E$2:E4242)*(E4242=E$2:E4242)))))-COUNTBLANK(OFFSET(A$1,,,SUMPRODUCT(MAX(ROW(E$1:E4241)*(E2=E$1:E4241))))))</f>
        <v> </v>
      </c>
      <c r="K4242" s="25" t="str">
        <f>IF(OR(E4242="",E4242="!!!",F4242="NEW"),"",INDEX(J$1:J4241,SUMPRODUCT(MAX(ROW(E$1:E4241)*(E4242=E$1:E4241)))))</f>
        <v> </v>
      </c>
      <c r="L4242" s="26"/>
    </row>
    <row r="4243" spans="1:12">
      <c r="A4243" s="20" t="s">
        <v>811</v>
      </c>
      <c r="E4243" s="21">
        <f>IF(D4243="?OLD","!!!","")</f>
        <v/>
      </c>
      <c r="F4243" s="22" t="str">
        <f>IF(OR(E4243="",E4243="!!!"),"",IF(NOT(ISNA(VLOOKUP(E4243,E$1:E4242,1,FALSE()))),"OLD",IF(AND(E4243&lt;&gt;"",E4243&lt;&gt;"!!!"),"NEW","")))</f>
        <v> </v>
      </c>
      <c r="G4243" s="23" t="str">
        <f>IF(OR(E4243="",E4243="!!!"),"",IF(OR(J4243=0,AND(J4243=1,K4243=1),AND(J4243=1,I4243="SBJ"),AND(J4243=1,I4243=0)),"?IN_FOCUS",IF(J4243&lt;=2,"?ACTIVATED",IF(J4243&lt;&gt;"","?FAMILIAR",IF(F4243="NEW",IF(ISNA(VLOOKUP(E4243,#REF!,1,FALSE())),"?TYPE_IDENTIFIABLE","?REFERENTIAL"),"_")))))</f>
        <v> </v>
      </c>
      <c r="H4243" s="24" t="str">
        <f>IF(J4243&lt;&gt;1,"",IF(I4243="SBJ","CB","?"))</f>
        <v> </v>
      </c>
      <c r="I4243" s="25" t="str">
        <f>IF(OR(E4243="",E4243="!!!",F4243="NEW"),"",INDEX(B4242:B$2,-1+SUMPRODUCT(MAX(ROW(E4242:E$2)*(E4243=E4242:E$2)))))</f>
        <v> </v>
      </c>
      <c r="J4243" s="25" t="str">
        <f>IF(OR(E4243="",E4243="!!!",F4243="NEW"),"",COUNTBLANK(OFFSET(A$1,,,SUMPRODUCT(MAX(ROW(E$2:E4243)*(E4243=E$2:E4243)))))-COUNTBLANK(OFFSET(A$1,,,SUMPRODUCT(MAX(ROW(E$1:E4242)*(E2=E$1:E4242))))))</f>
        <v> </v>
      </c>
      <c r="K4243" s="25" t="str">
        <f>IF(OR(E4243="",E4243="!!!",F4243="NEW"),"",INDEX(J$1:J4242,SUMPRODUCT(MAX(ROW(E$1:E4242)*(E4243=E$1:E4242)))))</f>
        <v> </v>
      </c>
      <c r="L4243" s="26"/>
    </row>
    <row r="4244" spans="1:12">
      <c r="A4244" s="20" t="s">
        <v>1933</v>
      </c>
      <c r="E4244" s="21">
        <f>IF(D4244="?OLD","!!!","")</f>
        <v/>
      </c>
      <c r="F4244" s="22" t="str">
        <f>IF(OR(E4244="",E4244="!!!"),"",IF(NOT(ISNA(VLOOKUP(E4244,E$1:E4243,1,FALSE()))),"OLD",IF(AND(E4244&lt;&gt;"",E4244&lt;&gt;"!!!"),"NEW","")))</f>
        <v> </v>
      </c>
      <c r="G4244" s="23" t="str">
        <f>IF(OR(E4244="",E4244="!!!"),"",IF(OR(J4244=0,AND(J4244=1,K4244=1),AND(J4244=1,I4244="SBJ"),AND(J4244=1,I4244=0)),"?IN_FOCUS",IF(J4244&lt;=2,"?ACTIVATED",IF(J4244&lt;&gt;"","?FAMILIAR",IF(F4244="NEW",IF(ISNA(VLOOKUP(E4244,#REF!,1,FALSE())),"?TYPE_IDENTIFIABLE","?REFERENTIAL"),"_")))))</f>
        <v> </v>
      </c>
      <c r="H4244" s="24" t="str">
        <f>IF(J4244&lt;&gt;1,"",IF(I4244="SBJ","CB","?"))</f>
        <v> </v>
      </c>
      <c r="I4244" s="25" t="str">
        <f>IF(OR(E4244="",E4244="!!!",F4244="NEW"),"",INDEX(B4243:B$2,-1+SUMPRODUCT(MAX(ROW(E4243:E$2)*(E4244=E4243:E$2)))))</f>
        <v> </v>
      </c>
      <c r="J4244" s="25" t="str">
        <f>IF(OR(E4244="",E4244="!!!",F4244="NEW"),"",COUNTBLANK(OFFSET(A$1,,,SUMPRODUCT(MAX(ROW(E$2:E4244)*(E4244=E$2:E4244)))))-COUNTBLANK(OFFSET(A$1,,,SUMPRODUCT(MAX(ROW(E$1:E4243)*(E2=E$1:E4243))))))</f>
        <v> </v>
      </c>
      <c r="K4244" s="25" t="str">
        <f>IF(OR(E4244="",E4244="!!!",F4244="NEW"),"",INDEX(J$1:J4243,SUMPRODUCT(MAX(ROW(E$1:E4243)*(E4244=E$1:E4243)))))</f>
        <v> </v>
      </c>
      <c r="L4244" s="26"/>
    </row>
    <row r="4245" spans="1:12">
      <c r="A4245" s="20" t="s">
        <v>1244</v>
      </c>
      <c r="E4245" s="21">
        <f>IF(D4245="?OLD","!!!","")</f>
        <v/>
      </c>
      <c r="F4245" s="22" t="str">
        <f>IF(OR(E4245="",E4245="!!!"),"",IF(NOT(ISNA(VLOOKUP(E4245,E$1:E4244,1,FALSE()))),"OLD",IF(AND(E4245&lt;&gt;"",E4245&lt;&gt;"!!!"),"NEW","")))</f>
        <v> </v>
      </c>
      <c r="G4245" s="23" t="str">
        <f>IF(OR(E4245="",E4245="!!!"),"",IF(OR(J4245=0,AND(J4245=1,K4245=1),AND(J4245=1,I4245="SBJ"),AND(J4245=1,I4245=0)),"?IN_FOCUS",IF(J4245&lt;=2,"?ACTIVATED",IF(J4245&lt;&gt;"","?FAMILIAR",IF(F4245="NEW",IF(ISNA(VLOOKUP(E4245,#REF!,1,FALSE())),"?TYPE_IDENTIFIABLE","?REFERENTIAL"),"_")))))</f>
        <v> </v>
      </c>
      <c r="H4245" s="24" t="str">
        <f>IF(J4245&lt;&gt;1,"",IF(I4245="SBJ","CB","?"))</f>
        <v> </v>
      </c>
      <c r="I4245" s="25" t="str">
        <f>IF(OR(E4245="",E4245="!!!",F4245="NEW"),"",INDEX(B4244:B$2,-1+SUMPRODUCT(MAX(ROW(E4244:E$2)*(E4245=E4244:E$2)))))</f>
        <v> </v>
      </c>
      <c r="J4245" s="25" t="str">
        <f>IF(OR(E4245="",E4245="!!!",F4245="NEW"),"",COUNTBLANK(OFFSET(A$1,,,SUMPRODUCT(MAX(ROW(E$2:E4245)*(E4245=E$2:E4245)))))-COUNTBLANK(OFFSET(A$1,,,SUMPRODUCT(MAX(ROW(E$1:E4244)*(E2=E$1:E4244))))))</f>
        <v> </v>
      </c>
      <c r="K4245" s="25" t="str">
        <f>IF(OR(E4245="",E4245="!!!",F4245="NEW"),"",INDEX(J$1:J4244,SUMPRODUCT(MAX(ROW(E$1:E4244)*(E4245=E$1:E4244)))))</f>
        <v> </v>
      </c>
      <c r="L4245" s="26"/>
    </row>
    <row r="4246" spans="1:12">
      <c r="A4246" s="20" t="s">
        <v>952</v>
      </c>
      <c r="B4246" s="27" t="s">
        <v>1076</v>
      </c>
      <c r="C4246" s="27" t="s">
        <v>803</v>
      </c>
      <c r="E4246" s="21">
        <f>IF(D4246="?OLD","!!!","")</f>
        <v/>
      </c>
      <c r="F4246" s="22" t="str">
        <f>IF(OR(E4246="",E4246="!!!"),"",IF(NOT(ISNA(VLOOKUP(E4246,E$1:E4245,1,FALSE()))),"OLD",IF(AND(E4246&lt;&gt;"",E4246&lt;&gt;"!!!"),"NEW","")))</f>
        <v> </v>
      </c>
      <c r="G4246" s="23" t="str">
        <f>IF(OR(E4246="",E4246="!!!"),"",IF(OR(J4246=0,AND(J4246=1,K4246=1),AND(J4246=1,I4246="SBJ"),AND(J4246=1,I4246=0)),"?IN_FOCUS",IF(J4246&lt;=2,"?ACTIVATED",IF(J4246&lt;&gt;"","?FAMILIAR",IF(F4246="NEW",IF(ISNA(VLOOKUP(E4246,#REF!,1,FALSE())),"?TYPE_IDENTIFIABLE","?REFERENTIAL"),"_")))))</f>
        <v> </v>
      </c>
      <c r="H4246" s="24" t="str">
        <f>IF(J4246&lt;&gt;1,"",IF(I4246="SBJ","CB","?"))</f>
        <v> </v>
      </c>
      <c r="I4246" s="25" t="str">
        <f>IF(OR(E4246="",E4246="!!!",F4246="NEW"),"",INDEX(B4245:B$2,-1+SUMPRODUCT(MAX(ROW(E4245:E$2)*(E4246=E4245:E$2)))))</f>
        <v> </v>
      </c>
      <c r="J4246" s="25" t="str">
        <f>IF(OR(E4246="",E4246="!!!",F4246="NEW"),"",COUNTBLANK(OFFSET(A$1,,,SUMPRODUCT(MAX(ROW(E$2:E4246)*(E4246=E$2:E4246)))))-COUNTBLANK(OFFSET(A$1,,,SUMPRODUCT(MAX(ROW(E$1:E4245)*(E2=E$1:E4245))))))</f>
        <v> </v>
      </c>
      <c r="K4246" s="25" t="str">
        <f>IF(OR(E4246="",E4246="!!!",F4246="NEW"),"",INDEX(J$1:J4245,SUMPRODUCT(MAX(ROW(E$1:E4245)*(E4246=E$1:E4245)))))</f>
        <v> </v>
      </c>
      <c r="L4246" s="26"/>
    </row>
    <row r="4247" spans="1:12">
      <c r="A4247" s="20" t="s">
        <v>1322</v>
      </c>
      <c r="E4247" s="21">
        <f>IF(D4247="?OLD","!!!","")</f>
        <v/>
      </c>
      <c r="F4247" s="22" t="str">
        <f>IF(OR(E4247="",E4247="!!!"),"",IF(NOT(ISNA(VLOOKUP(E4247,E$1:E4246,1,FALSE()))),"OLD",IF(AND(E4247&lt;&gt;"",E4247&lt;&gt;"!!!"),"NEW","")))</f>
        <v> </v>
      </c>
      <c r="G4247" s="23" t="str">
        <f>IF(OR(E4247="",E4247="!!!"),"",IF(OR(J4247=0,AND(J4247=1,K4247=1),AND(J4247=1,I4247="SBJ"),AND(J4247=1,I4247=0)),"?IN_FOCUS",IF(J4247&lt;=2,"?ACTIVATED",IF(J4247&lt;&gt;"","?FAMILIAR",IF(F4247="NEW",IF(ISNA(VLOOKUP(E4247,#REF!,1,FALSE())),"?TYPE_IDENTIFIABLE","?REFERENTIAL"),"_")))))</f>
        <v> </v>
      </c>
      <c r="H4247" s="24" t="str">
        <f>IF(J4247&lt;&gt;1,"",IF(I4247="SBJ","CB","?"))</f>
        <v> </v>
      </c>
      <c r="I4247" s="25" t="str">
        <f>IF(OR(E4247="",E4247="!!!",F4247="NEW"),"",INDEX(B4246:B$2,-1+SUMPRODUCT(MAX(ROW(E4246:E$2)*(E4247=E4246:E$2)))))</f>
        <v> </v>
      </c>
      <c r="J4247" s="25" t="str">
        <f>IF(OR(E4247="",E4247="!!!",F4247="NEW"),"",COUNTBLANK(OFFSET(A$1,,,SUMPRODUCT(MAX(ROW(E$2:E4247)*(E4247=E$2:E4247)))))-COUNTBLANK(OFFSET(A$1,,,SUMPRODUCT(MAX(ROW(E$1:E4246)*(E2=E$1:E4246))))))</f>
        <v> </v>
      </c>
      <c r="K4247" s="25" t="str">
        <f>IF(OR(E4247="",E4247="!!!",F4247="NEW"),"",INDEX(J$1:J4246,SUMPRODUCT(MAX(ROW(E$1:E4246)*(E4247=E$1:E4246)))))</f>
        <v> </v>
      </c>
      <c r="L4247" s="26"/>
    </row>
    <row r="4248" spans="1:12">
      <c r="A4248" s="20" t="s">
        <v>890</v>
      </c>
      <c r="B4248" s="27" t="s">
        <v>1080</v>
      </c>
      <c r="C4248" s="27" t="s">
        <v>820</v>
      </c>
      <c r="D4248" s="27" t="s">
        <v>762</v>
      </c>
      <c r="E4248" s="21">
        <f>IF(D4248="?OLD","!!!","")</f>
        <v/>
      </c>
      <c r="F4248" s="22" t="str">
        <f>IF(OR(E4248="",E4248="!!!"),"",IF(NOT(ISNA(VLOOKUP(E4248,E$1:E4247,1,FALSE()))),"OLD",IF(AND(E4248&lt;&gt;"",E4248&lt;&gt;"!!!"),"NEW","")))</f>
        <v> </v>
      </c>
      <c r="G4248" s="23" t="str">
        <f>IF(OR(E4248="",E4248="!!!"),"",IF(OR(J4248=0,AND(J4248=1,K4248=1),AND(J4248=1,I4248="SBJ"),AND(J4248=1,I4248=0)),"?IN_FOCUS",IF(J4248&lt;=2,"?ACTIVATED",IF(J4248&lt;&gt;"","?FAMILIAR",IF(F4248="NEW",IF(ISNA(VLOOKUP(E4248,#REF!,1,FALSE())),"?TYPE_IDENTIFIABLE","?REFERENTIAL"),"_")))))</f>
        <v> </v>
      </c>
      <c r="H4248" s="24" t="str">
        <f>IF(J4248&lt;&gt;1,"",IF(I4248="SBJ","CB","?"))</f>
        <v> </v>
      </c>
      <c r="I4248" s="25" t="str">
        <f>IF(OR(E4248="",E4248="!!!",F4248="NEW"),"",INDEX(B4247:B$2,-1+SUMPRODUCT(MAX(ROW(E4247:E$2)*(E4248=E4247:E$2)))))</f>
        <v> </v>
      </c>
      <c r="J4248" s="25" t="str">
        <f>IF(OR(E4248="",E4248="!!!",F4248="NEW"),"",COUNTBLANK(OFFSET(A$1,,,SUMPRODUCT(MAX(ROW(E$2:E4248)*(E4248=E$2:E4248)))))-COUNTBLANK(OFFSET(A$1,,,SUMPRODUCT(MAX(ROW(E$1:E4247)*(E2=E$1:E4247))))))</f>
        <v> </v>
      </c>
      <c r="K4248" s="25" t="str">
        <f>IF(OR(E4248="",E4248="!!!",F4248="NEW"),"",INDEX(J$1:J4247,SUMPRODUCT(MAX(ROW(E$1:E4247)*(E4248=E$1:E4247)))))</f>
        <v> </v>
      </c>
      <c r="L4248" s="26"/>
    </row>
    <row r="4249" spans="1:12">
      <c r="A4249" s="20" t="s">
        <v>1164</v>
      </c>
      <c r="E4249" s="21">
        <f>IF(D4249="?OLD","!!!","")</f>
        <v/>
      </c>
      <c r="F4249" s="22" t="str">
        <f>IF(OR(E4249="",E4249="!!!"),"",IF(NOT(ISNA(VLOOKUP(E4249,E$1:E4248,1,FALSE()))),"OLD",IF(AND(E4249&lt;&gt;"",E4249&lt;&gt;"!!!"),"NEW","")))</f>
        <v> </v>
      </c>
      <c r="G4249" s="23" t="str">
        <f>IF(OR(E4249="",E4249="!!!"),"",IF(OR(J4249=0,AND(J4249=1,K4249=1),AND(J4249=1,I4249="SBJ"),AND(J4249=1,I4249=0)),"?IN_FOCUS",IF(J4249&lt;=2,"?ACTIVATED",IF(J4249&lt;&gt;"","?FAMILIAR",IF(F4249="NEW",IF(ISNA(VLOOKUP(E4249,#REF!,1,FALSE())),"?TYPE_IDENTIFIABLE","?REFERENTIAL"),"_")))))</f>
        <v> </v>
      </c>
      <c r="H4249" s="24" t="str">
        <f>IF(J4249&lt;&gt;1,"",IF(I4249="SBJ","CB","?"))</f>
        <v> </v>
      </c>
      <c r="I4249" s="25" t="str">
        <f>IF(OR(E4249="",E4249="!!!",F4249="NEW"),"",INDEX(B4248:B$2,-1+SUMPRODUCT(MAX(ROW(E4248:E$2)*(E4249=E4248:E$2)))))</f>
        <v> </v>
      </c>
      <c r="J4249" s="25" t="str">
        <f>IF(OR(E4249="",E4249="!!!",F4249="NEW"),"",COUNTBLANK(OFFSET(A$1,,,SUMPRODUCT(MAX(ROW(E$2:E4249)*(E4249=E$2:E4249)))))-COUNTBLANK(OFFSET(A$1,,,SUMPRODUCT(MAX(ROW(E$1:E4248)*(E2=E$1:E4248))))))</f>
        <v> </v>
      </c>
      <c r="K4249" s="25" t="str">
        <f>IF(OR(E4249="",E4249="!!!",F4249="NEW"),"",INDEX(J$1:J4248,SUMPRODUCT(MAX(ROW(E$1:E4248)*(E4249=E$1:E4248)))))</f>
        <v> </v>
      </c>
      <c r="L4249" s="26"/>
    </row>
    <row r="4250" spans="1:12">
      <c r="A4250" s="20" t="s">
        <v>770</v>
      </c>
      <c r="E4250" s="21">
        <f>IF(D4250="?OLD","!!!","")</f>
        <v/>
      </c>
      <c r="F4250" s="22" t="str">
        <f>IF(OR(E4250="",E4250="!!!"),"",IF(NOT(ISNA(VLOOKUP(E4250,E$1:E4249,1,FALSE()))),"OLD",IF(AND(E4250&lt;&gt;"",E4250&lt;&gt;"!!!"),"NEW","")))</f>
        <v> </v>
      </c>
      <c r="G4250" s="23" t="str">
        <f>IF(OR(E4250="",E4250="!!!"),"",IF(OR(J4250=0,AND(J4250=1,K4250=1),AND(J4250=1,I4250="SBJ"),AND(J4250=1,I4250=0)),"?IN_FOCUS",IF(J4250&lt;=2,"?ACTIVATED",IF(J4250&lt;&gt;"","?FAMILIAR",IF(F4250="NEW",IF(ISNA(VLOOKUP(E4250,#REF!,1,FALSE())),"?TYPE_IDENTIFIABLE","?REFERENTIAL"),"_")))))</f>
        <v> </v>
      </c>
      <c r="H4250" s="24" t="str">
        <f>IF(J4250&lt;&gt;1,"",IF(I4250="SBJ","CB","?"))</f>
        <v> </v>
      </c>
      <c r="I4250" s="25" t="str">
        <f>IF(OR(E4250="",E4250="!!!",F4250="NEW"),"",INDEX(B4249:B$2,-1+SUMPRODUCT(MAX(ROW(E4249:E$2)*(E4250=E4249:E$2)))))</f>
        <v> </v>
      </c>
      <c r="J4250" s="25" t="str">
        <f>IF(OR(E4250="",E4250="!!!",F4250="NEW"),"",COUNTBLANK(OFFSET(A$1,,,SUMPRODUCT(MAX(ROW(E$2:E4250)*(E4250=E$2:E4250)))))-COUNTBLANK(OFFSET(A$1,,,SUMPRODUCT(MAX(ROW(E$1:E4249)*(E2=E$1:E4249))))))</f>
        <v> </v>
      </c>
      <c r="K4250" s="25" t="str">
        <f>IF(OR(E4250="",E4250="!!!",F4250="NEW"),"",INDEX(J$1:J4249,SUMPRODUCT(MAX(ROW(E$1:E4249)*(E4250=E$1:E4249)))))</f>
        <v> </v>
      </c>
      <c r="L4250" s="26"/>
    </row>
    <row r="4251" spans="1:12">
      <c r="A4251" s="20" t="s">
        <v>1934</v>
      </c>
      <c r="B4251" s="27" t="s">
        <v>1236</v>
      </c>
      <c r="C4251" s="27" t="s">
        <v>761</v>
      </c>
      <c r="D4251" s="27" t="s">
        <v>762</v>
      </c>
      <c r="E4251" s="21">
        <f>IF(D4251="?OLD","!!!","")</f>
        <v/>
      </c>
      <c r="F4251" s="22" t="str">
        <f>IF(OR(E4251="",E4251="!!!"),"",IF(NOT(ISNA(VLOOKUP(E4251,E$1:E4250,1,FALSE()))),"OLD",IF(AND(E4251&lt;&gt;"",E4251&lt;&gt;"!!!"),"NEW","")))</f>
        <v> </v>
      </c>
      <c r="G4251" s="23" t="str">
        <f>IF(OR(E4251="",E4251="!!!"),"",IF(OR(J4251=0,AND(J4251=1,K4251=1),AND(J4251=1,I4251="SBJ"),AND(J4251=1,I4251=0)),"?IN_FOCUS",IF(J4251&lt;=2,"?ACTIVATED",IF(J4251&lt;&gt;"","?FAMILIAR",IF(F4251="NEW",IF(ISNA(VLOOKUP(E4251,#REF!,1,FALSE())),"?TYPE_IDENTIFIABLE","?REFERENTIAL"),"_")))))</f>
        <v> </v>
      </c>
      <c r="H4251" s="24" t="str">
        <f>IF(J4251&lt;&gt;1,"",IF(I4251="SBJ","CB","?"))</f>
        <v> </v>
      </c>
      <c r="I4251" s="25" t="str">
        <f>IF(OR(E4251="",E4251="!!!",F4251="NEW"),"",INDEX(B4250:B$2,-1+SUMPRODUCT(MAX(ROW(E4250:E$2)*(E4251=E4250:E$2)))))</f>
        <v> </v>
      </c>
      <c r="J4251" s="25" t="str">
        <f>IF(OR(E4251="",E4251="!!!",F4251="NEW"),"",COUNTBLANK(OFFSET(A$1,,,SUMPRODUCT(MAX(ROW(E$2:E4251)*(E4251=E$2:E4251)))))-COUNTBLANK(OFFSET(A$1,,,SUMPRODUCT(MAX(ROW(E$1:E4250)*(E2=E$1:E4250))))))</f>
        <v> </v>
      </c>
      <c r="K4251" s="25" t="str">
        <f>IF(OR(E4251="",E4251="!!!",F4251="NEW"),"",INDEX(J$1:J4250,SUMPRODUCT(MAX(ROW(E$1:E4250)*(E4251=E$1:E4250)))))</f>
        <v> </v>
      </c>
      <c r="L4251" s="26"/>
    </row>
    <row r="4252" spans="1:12">
      <c r="A4252" s="20" t="s">
        <v>769</v>
      </c>
      <c r="E4252" s="21">
        <f>IF(D4252="?OLD","!!!","")</f>
        <v/>
      </c>
      <c r="F4252" s="22" t="str">
        <f>IF(OR(E4252="",E4252="!!!"),"",IF(NOT(ISNA(VLOOKUP(E4252,E$1:E4251,1,FALSE()))),"OLD",IF(AND(E4252&lt;&gt;"",E4252&lt;&gt;"!!!"),"NEW","")))</f>
        <v> </v>
      </c>
      <c r="G4252" s="23" t="str">
        <f>IF(OR(E4252="",E4252="!!!"),"",IF(OR(J4252=0,AND(J4252=1,K4252=1),AND(J4252=1,I4252="SBJ"),AND(J4252=1,I4252=0)),"?IN_FOCUS",IF(J4252&lt;=2,"?ACTIVATED",IF(J4252&lt;&gt;"","?FAMILIAR",IF(F4252="NEW",IF(ISNA(VLOOKUP(E4252,#REF!,1,FALSE())),"?TYPE_IDENTIFIABLE","?REFERENTIAL"),"_")))))</f>
        <v> </v>
      </c>
      <c r="H4252" s="24" t="str">
        <f>IF(J4252&lt;&gt;1,"",IF(I4252="SBJ","CB","?"))</f>
        <v> </v>
      </c>
      <c r="I4252" s="25" t="str">
        <f>IF(OR(E4252="",E4252="!!!",F4252="NEW"),"",INDEX(B4251:B$2,-1+SUMPRODUCT(MAX(ROW(E4251:E$2)*(E4252=E4251:E$2)))))</f>
        <v> </v>
      </c>
      <c r="J4252" s="25" t="str">
        <f>IF(OR(E4252="",E4252="!!!",F4252="NEW"),"",COUNTBLANK(OFFSET(A$1,,,SUMPRODUCT(MAX(ROW(E$2:E4252)*(E4252=E$2:E4252)))))-COUNTBLANK(OFFSET(A$1,,,SUMPRODUCT(MAX(ROW(E$1:E4251)*(E2=E$1:E4251))))))</f>
        <v> </v>
      </c>
      <c r="K4252" s="25" t="str">
        <f>IF(OR(E4252="",E4252="!!!",F4252="NEW"),"",INDEX(J$1:J4251,SUMPRODUCT(MAX(ROW(E$1:E4251)*(E4252=E$1:E4251)))))</f>
        <v> </v>
      </c>
      <c r="L4252" s="26"/>
    </row>
    <row r="4253" spans="1:12">
      <c r="A4253" s="20" t="s">
        <v>822</v>
      </c>
      <c r="B4253" s="27" t="s">
        <v>1421</v>
      </c>
      <c r="C4253" s="27" t="s">
        <v>797</v>
      </c>
      <c r="D4253" s="27" t="s">
        <v>762</v>
      </c>
      <c r="E4253" s="21">
        <f>IF(D4253="?OLD","!!!","")</f>
        <v/>
      </c>
      <c r="F4253" s="22" t="str">
        <f>IF(OR(E4253="",E4253="!!!"),"",IF(NOT(ISNA(VLOOKUP(E4253,E$1:E4252,1,FALSE()))),"OLD",IF(AND(E4253&lt;&gt;"",E4253&lt;&gt;"!!!"),"NEW","")))</f>
        <v> </v>
      </c>
      <c r="G4253" s="23" t="str">
        <f>IF(OR(E4253="",E4253="!!!"),"",IF(OR(J4253=0,AND(J4253=1,K4253=1),AND(J4253=1,I4253="SBJ"),AND(J4253=1,I4253=0)),"?IN_FOCUS",IF(J4253&lt;=2,"?ACTIVATED",IF(J4253&lt;&gt;"","?FAMILIAR",IF(F4253="NEW",IF(ISNA(VLOOKUP(E4253,#REF!,1,FALSE())),"?TYPE_IDENTIFIABLE","?REFERENTIAL"),"_")))))</f>
        <v> </v>
      </c>
      <c r="H4253" s="24" t="str">
        <f>IF(J4253&lt;&gt;1,"",IF(I4253="SBJ","CB","?"))</f>
        <v> </v>
      </c>
      <c r="I4253" s="25" t="str">
        <f>IF(OR(E4253="",E4253="!!!",F4253="NEW"),"",INDEX(B4252:B$2,-1+SUMPRODUCT(MAX(ROW(E4252:E$2)*(E4253=E4252:E$2)))))</f>
        <v> </v>
      </c>
      <c r="J4253" s="25" t="str">
        <f>IF(OR(E4253="",E4253="!!!",F4253="NEW"),"",COUNTBLANK(OFFSET(A$1,,,SUMPRODUCT(MAX(ROW(E$2:E4253)*(E4253=E$2:E4253)))))-COUNTBLANK(OFFSET(A$1,,,SUMPRODUCT(MAX(ROW(E$1:E4252)*(E2=E$1:E4252))))))</f>
        <v> </v>
      </c>
      <c r="K4253" s="25" t="str">
        <f>IF(OR(E4253="",E4253="!!!",F4253="NEW"),"",INDEX(J$1:J4252,SUMPRODUCT(MAX(ROW(E$1:E4252)*(E4253=E$1:E4252)))))</f>
        <v> </v>
      </c>
      <c r="L4253" s="26"/>
    </row>
    <row r="4254" spans="1:12">
      <c r="A4254" s="20" t="s">
        <v>333</v>
      </c>
      <c r="E4254" s="21">
        <f>IF(D4254="?OLD","!!!","")</f>
        <v/>
      </c>
      <c r="F4254" s="22" t="str">
        <f>IF(OR(E4254="",E4254="!!!"),"",IF(NOT(ISNA(VLOOKUP(E4254,E$1:E4253,1,FALSE()))),"OLD",IF(AND(E4254&lt;&gt;"",E4254&lt;&gt;"!!!"),"NEW","")))</f>
        <v> </v>
      </c>
      <c r="G4254" s="23" t="str">
        <f>IF(OR(E4254="",E4254="!!!"),"",IF(OR(J4254=0,AND(J4254=1,K4254=1),AND(J4254=1,I4254="SBJ"),AND(J4254=1,I4254=0)),"?IN_FOCUS",IF(J4254&lt;=2,"?ACTIVATED",IF(J4254&lt;&gt;"","?FAMILIAR",IF(F4254="NEW",IF(ISNA(VLOOKUP(E4254,#REF!,1,FALSE())),"?TYPE_IDENTIFIABLE","?REFERENTIAL"),"_")))))</f>
        <v> </v>
      </c>
      <c r="H4254" s="24" t="str">
        <f>IF(J4254&lt;&gt;1,"",IF(I4254="SBJ","CB","?"))</f>
        <v> </v>
      </c>
      <c r="I4254" s="25" t="str">
        <f>IF(OR(E4254="",E4254="!!!",F4254="NEW"),"",INDEX(B4253:B$2,-1+SUMPRODUCT(MAX(ROW(E4253:E$2)*(E4254=E4253:E$2)))))</f>
        <v> </v>
      </c>
      <c r="J4254" s="25" t="str">
        <f>IF(OR(E4254="",E4254="!!!",F4254="NEW"),"",COUNTBLANK(OFFSET(A$1,,,SUMPRODUCT(MAX(ROW(E$2:E4254)*(E4254=E$2:E4254)))))-COUNTBLANK(OFFSET(A$1,,,SUMPRODUCT(MAX(ROW(E$1:E4253)*(E2=E$1:E4253))))))</f>
        <v> </v>
      </c>
      <c r="K4254" s="25" t="str">
        <f>IF(OR(E4254="",E4254="!!!",F4254="NEW"),"",INDEX(J$1:J4253,SUMPRODUCT(MAX(ROW(E$1:E4253)*(E4254=E$1:E4253)))))</f>
        <v> </v>
      </c>
      <c r="L4254" s="26"/>
    </row>
    <row r="4255" spans="1:12">
      <c r="A4255" s="20" t="s">
        <v>774</v>
      </c>
      <c r="E4255" s="21">
        <f>IF(D4255="?OLD","!!!","")</f>
        <v/>
      </c>
      <c r="F4255" s="22" t="str">
        <f>IF(OR(E4255="",E4255="!!!"),"",IF(NOT(ISNA(VLOOKUP(E4255,E$1:E4254,1,FALSE()))),"OLD",IF(AND(E4255&lt;&gt;"",E4255&lt;&gt;"!!!"),"NEW","")))</f>
        <v> </v>
      </c>
      <c r="G4255" s="23" t="str">
        <f>IF(OR(E4255="",E4255="!!!"),"",IF(OR(J4255=0,AND(J4255=1,K4255=1),AND(J4255=1,I4255="SBJ"),AND(J4255=1,I4255=0)),"?IN_FOCUS",IF(J4255&lt;=2,"?ACTIVATED",IF(J4255&lt;&gt;"","?FAMILIAR",IF(F4255="NEW",IF(ISNA(VLOOKUP(E4255,#REF!,1,FALSE())),"?TYPE_IDENTIFIABLE","?REFERENTIAL"),"_")))))</f>
        <v> </v>
      </c>
      <c r="H4255" s="24" t="str">
        <f>IF(J4255&lt;&gt;1,"",IF(I4255="SBJ","CB","?"))</f>
        <v> </v>
      </c>
      <c r="I4255" s="25" t="str">
        <f>IF(OR(E4255="",E4255="!!!",F4255="NEW"),"",INDEX(B4254:B$2,-1+SUMPRODUCT(MAX(ROW(E4254:E$2)*(E4255=E4254:E$2)))))</f>
        <v> </v>
      </c>
      <c r="J4255" s="25" t="str">
        <f>IF(OR(E4255="",E4255="!!!",F4255="NEW"),"",COUNTBLANK(OFFSET(A$1,,,SUMPRODUCT(MAX(ROW(E$2:E4255)*(E4255=E$2:E4255)))))-COUNTBLANK(OFFSET(A$1,,,SUMPRODUCT(MAX(ROW(E$1:E4254)*(E2=E$1:E4254))))))</f>
        <v> </v>
      </c>
      <c r="K4255" s="25" t="str">
        <f>IF(OR(E4255="",E4255="!!!",F4255="NEW"),"",INDEX(J$1:J4254,SUMPRODUCT(MAX(ROW(E$1:E4254)*(E4255=E$1:E4254)))))</f>
        <v> </v>
      </c>
      <c r="L4255" s="26"/>
    </row>
    <row r="4256" spans="1:12">
      <c r="A4256" s="20"/>
    </row>
    <row r="4257" spans="1:12">
      <c r="A4257" s="20" t="s">
        <v>1935</v>
      </c>
    </row>
    <row r="4258" spans="1:12">
      <c r="A4258" s="20" t="s">
        <v>1936</v>
      </c>
      <c r="E4258" s="21">
        <f>IF(D4258="?OLD","!!!","")</f>
        <v/>
      </c>
      <c r="F4258" s="22" t="str">
        <f>IF(OR(E4258="",E4258="!!!"),"",IF(NOT(ISNA(VLOOKUP(E4258,E$1:E4257,1,FALSE()))),"OLD",IF(AND(E4258&lt;&gt;"",E4258&lt;&gt;"!!!"),"NEW","")))</f>
        <v> </v>
      </c>
      <c r="G4258" s="23" t="str">
        <f>IF(OR(E4258="",E4258="!!!"),"",IF(OR(J4258=0,AND(J4258=1,K4258=1),AND(J4258=1,I4258="SBJ"),AND(J4258=1,I4258=0)),"?IN_FOCUS",IF(J4258&lt;=2,"?ACTIVATED",IF(J4258&lt;&gt;"","?FAMILIAR",IF(F4258="NEW",IF(ISNA(VLOOKUP(E4258,#REF!,1,FALSE())),"?TYPE_IDENTIFIABLE","?REFERENTIAL"),"_")))))</f>
        <v> </v>
      </c>
      <c r="H4258" s="24" t="str">
        <f>IF(J4258&lt;&gt;1,"",IF(I4258="SBJ","CB","?"))</f>
        <v> </v>
      </c>
      <c r="I4258" s="25" t="str">
        <f>IF(OR(E4258="",E4258="!!!",F4258="NEW"),"",INDEX(B4257:B$2,-1+SUMPRODUCT(MAX(ROW(E4257:E$2)*(E4258=E4257:E$2)))))</f>
        <v> </v>
      </c>
      <c r="J4258" s="25" t="str">
        <f>IF(OR(E4258="",E4258="!!!",F4258="NEW"),"",COUNTBLANK(OFFSET(A$1,,,SUMPRODUCT(MAX(ROW(E$2:E4258)*(E4258=E$2:E4258)))))-COUNTBLANK(OFFSET(A$1,,,SUMPRODUCT(MAX(ROW(E$1:E4257)*(E2=E$1:E4257))))))</f>
        <v> </v>
      </c>
      <c r="K4258" s="25" t="str">
        <f>IF(OR(E4258="",E4258="!!!",F4258="NEW"),"",INDEX(J$1:J4257,SUMPRODUCT(MAX(ROW(E$1:E4257)*(E4258=E$1:E4257)))))</f>
        <v> </v>
      </c>
      <c r="L4258" s="26"/>
    </row>
    <row r="4259" spans="1:12">
      <c r="A4259" s="20" t="s">
        <v>878</v>
      </c>
      <c r="B4259" s="27" t="s">
        <v>772</v>
      </c>
      <c r="C4259" s="27" t="s">
        <v>851</v>
      </c>
      <c r="D4259" s="27" t="s">
        <v>762</v>
      </c>
      <c r="E4259" s="21">
        <f>IF(D4259="?OLD","!!!","")</f>
        <v/>
      </c>
      <c r="F4259" s="22" t="str">
        <f>IF(OR(E4259="",E4259="!!!"),"",IF(NOT(ISNA(VLOOKUP(E4259,E$1:E4258,1,FALSE()))),"OLD",IF(AND(E4259&lt;&gt;"",E4259&lt;&gt;"!!!"),"NEW","")))</f>
        <v> </v>
      </c>
      <c r="G4259" s="23" t="str">
        <f>IF(OR(E4259="",E4259="!!!"),"",IF(OR(J4259=0,AND(J4259=1,K4259=1),AND(J4259=1,I4259="SBJ"),AND(J4259=1,I4259=0)),"?IN_FOCUS",IF(J4259&lt;=2,"?ACTIVATED",IF(J4259&lt;&gt;"","?FAMILIAR",IF(F4259="NEW",IF(ISNA(VLOOKUP(E4259,#REF!,1,FALSE())),"?TYPE_IDENTIFIABLE","?REFERENTIAL"),"_")))))</f>
        <v> </v>
      </c>
      <c r="H4259" s="24" t="str">
        <f>IF(J4259&lt;&gt;1,"",IF(I4259="SBJ","CB","?"))</f>
        <v> </v>
      </c>
      <c r="I4259" s="25" t="str">
        <f>IF(OR(E4259="",E4259="!!!",F4259="NEW"),"",INDEX(B4258:B$2,-1+SUMPRODUCT(MAX(ROW(E4258:E$2)*(E4259=E4258:E$2)))))</f>
        <v> </v>
      </c>
      <c r="J4259" s="25" t="str">
        <f>IF(OR(E4259="",E4259="!!!",F4259="NEW"),"",COUNTBLANK(OFFSET(A$1,,,SUMPRODUCT(MAX(ROW(E$2:E4259)*(E4259=E$2:E4259)))))-COUNTBLANK(OFFSET(A$1,,,SUMPRODUCT(MAX(ROW(E$1:E4258)*(E2=E$1:E4258))))))</f>
        <v> </v>
      </c>
      <c r="K4259" s="25" t="str">
        <f>IF(OR(E4259="",E4259="!!!",F4259="NEW"),"",INDEX(J$1:J4258,SUMPRODUCT(MAX(ROW(E$1:E4258)*(E4259=E$1:E4258)))))</f>
        <v> </v>
      </c>
      <c r="L4259" s="26"/>
    </row>
    <row r="4260" spans="1:12">
      <c r="A4260" s="20" t="s">
        <v>1937</v>
      </c>
      <c r="B4260" s="27" t="s">
        <v>760</v>
      </c>
      <c r="C4260" s="27" t="s">
        <v>837</v>
      </c>
      <c r="D4260" s="27" t="s">
        <v>762</v>
      </c>
      <c r="E4260" s="21">
        <f>IF(D4260="?OLD","!!!","")</f>
        <v/>
      </c>
      <c r="F4260" s="22" t="str">
        <f>IF(OR(E4260="",E4260="!!!"),"",IF(NOT(ISNA(VLOOKUP(E4260,E$1:E4259,1,FALSE()))),"OLD",IF(AND(E4260&lt;&gt;"",E4260&lt;&gt;"!!!"),"NEW","")))</f>
        <v> </v>
      </c>
      <c r="G4260" s="23" t="str">
        <f>IF(OR(E4260="",E4260="!!!"),"",IF(OR(J4260=0,AND(J4260=1,K4260=1),AND(J4260=1,I4260="SBJ"),AND(J4260=1,I4260=0)),"?IN_FOCUS",IF(J4260&lt;=2,"?ACTIVATED",IF(J4260&lt;&gt;"","?FAMILIAR",IF(F4260="NEW",IF(ISNA(VLOOKUP(E4260,#REF!,1,FALSE())),"?TYPE_IDENTIFIABLE","?REFERENTIAL"),"_")))))</f>
        <v> </v>
      </c>
      <c r="H4260" s="24" t="str">
        <f>IF(J4260&lt;&gt;1,"",IF(I4260="SBJ","CB","?"))</f>
        <v> </v>
      </c>
      <c r="I4260" s="25" t="str">
        <f>IF(OR(E4260="",E4260="!!!",F4260="NEW"),"",INDEX(B4259:B$2,-1+SUMPRODUCT(MAX(ROW(E4259:E$2)*(E4260=E4259:E$2)))))</f>
        <v> </v>
      </c>
      <c r="J4260" s="25" t="str">
        <f>IF(OR(E4260="",E4260="!!!",F4260="NEW"),"",COUNTBLANK(OFFSET(A$1,,,SUMPRODUCT(MAX(ROW(E$2:E4260)*(E4260=E$2:E4260)))))-COUNTBLANK(OFFSET(A$1,,,SUMPRODUCT(MAX(ROW(E$1:E4259)*(E2=E$1:E4259))))))</f>
        <v> </v>
      </c>
      <c r="K4260" s="25" t="str">
        <f>IF(OR(E4260="",E4260="!!!",F4260="NEW"),"",INDEX(J$1:J4259,SUMPRODUCT(MAX(ROW(E$1:E4259)*(E4260=E$1:E4259)))))</f>
        <v> </v>
      </c>
      <c r="L4260" s="26"/>
    </row>
    <row r="4261" spans="1:12">
      <c r="A4261" s="20" t="s">
        <v>778</v>
      </c>
      <c r="E4261" s="21">
        <f>IF(D4261="?OLD","!!!","")</f>
        <v/>
      </c>
      <c r="F4261" s="22" t="str">
        <f>IF(OR(E4261="",E4261="!!!"),"",IF(NOT(ISNA(VLOOKUP(E4261,E$1:E4260,1,FALSE()))),"OLD",IF(AND(E4261&lt;&gt;"",E4261&lt;&gt;"!!!"),"NEW","")))</f>
        <v> </v>
      </c>
      <c r="G4261" s="23" t="str">
        <f>IF(OR(E4261="",E4261="!!!"),"",IF(OR(J4261=0,AND(J4261=1,K4261=1),AND(J4261=1,I4261="SBJ"),AND(J4261=1,I4261=0)),"?IN_FOCUS",IF(J4261&lt;=2,"?ACTIVATED",IF(J4261&lt;&gt;"","?FAMILIAR",IF(F4261="NEW",IF(ISNA(VLOOKUP(E4261,#REF!,1,FALSE())),"?TYPE_IDENTIFIABLE","?REFERENTIAL"),"_")))))</f>
        <v> </v>
      </c>
      <c r="H4261" s="24" t="str">
        <f>IF(J4261&lt;&gt;1,"",IF(I4261="SBJ","CB","?"))</f>
        <v> </v>
      </c>
      <c r="I4261" s="25" t="str">
        <f>IF(OR(E4261="",E4261="!!!",F4261="NEW"),"",INDEX(B4260:B$2,-1+SUMPRODUCT(MAX(ROW(E4260:E$2)*(E4261=E4260:E$2)))))</f>
        <v> </v>
      </c>
      <c r="J4261" s="25" t="str">
        <f>IF(OR(E4261="",E4261="!!!",F4261="NEW"),"",COUNTBLANK(OFFSET(A$1,,,SUMPRODUCT(MAX(ROW(E$2:E4261)*(E4261=E$2:E4261)))))-COUNTBLANK(OFFSET(A$1,,,SUMPRODUCT(MAX(ROW(E$1:E4260)*(E2=E$1:E4260))))))</f>
        <v> </v>
      </c>
      <c r="K4261" s="25" t="str">
        <f>IF(OR(E4261="",E4261="!!!",F4261="NEW"),"",INDEX(J$1:J4260,SUMPRODUCT(MAX(ROW(E$1:E4260)*(E4261=E$1:E4260)))))</f>
        <v> </v>
      </c>
      <c r="L4261" s="26"/>
    </row>
    <row r="4262" spans="1:12">
      <c r="A4262" s="20" t="s">
        <v>822</v>
      </c>
      <c r="E4262" s="21">
        <f>IF(D4262="?OLD","!!!","")</f>
        <v/>
      </c>
      <c r="F4262" s="22" t="str">
        <f>IF(OR(E4262="",E4262="!!!"),"",IF(NOT(ISNA(VLOOKUP(E4262,E$1:E4261,1,FALSE()))),"OLD",IF(AND(E4262&lt;&gt;"",E4262&lt;&gt;"!!!"),"NEW","")))</f>
        <v> </v>
      </c>
      <c r="G4262" s="23" t="str">
        <f>IF(OR(E4262="",E4262="!!!"),"",IF(OR(J4262=0,AND(J4262=1,K4262=1),AND(J4262=1,I4262="SBJ"),AND(J4262=1,I4262=0)),"?IN_FOCUS",IF(J4262&lt;=2,"?ACTIVATED",IF(J4262&lt;&gt;"","?FAMILIAR",IF(F4262="NEW",IF(ISNA(VLOOKUP(E4262,#REF!,1,FALSE())),"?TYPE_IDENTIFIABLE","?REFERENTIAL"),"_")))))</f>
        <v> </v>
      </c>
      <c r="H4262" s="24" t="str">
        <f>IF(J4262&lt;&gt;1,"",IF(I4262="SBJ","CB","?"))</f>
        <v> </v>
      </c>
      <c r="I4262" s="25" t="str">
        <f>IF(OR(E4262="",E4262="!!!",F4262="NEW"),"",INDEX(B4261:B$2,-1+SUMPRODUCT(MAX(ROW(E4261:E$2)*(E4262=E4261:E$2)))))</f>
        <v> </v>
      </c>
      <c r="J4262" s="25" t="str">
        <f>IF(OR(E4262="",E4262="!!!",F4262="NEW"),"",COUNTBLANK(OFFSET(A$1,,,SUMPRODUCT(MAX(ROW(E$2:E4262)*(E4262=E$2:E4262)))))-COUNTBLANK(OFFSET(A$1,,,SUMPRODUCT(MAX(ROW(E$1:E4261)*(E2=E$1:E4261))))))</f>
        <v> </v>
      </c>
      <c r="K4262" s="25" t="str">
        <f>IF(OR(E4262="",E4262="!!!",F4262="NEW"),"",INDEX(J$1:J4261,SUMPRODUCT(MAX(ROW(E$1:E4261)*(E4262=E$1:E4261)))))</f>
        <v> </v>
      </c>
      <c r="L4262" s="26"/>
    </row>
    <row r="4263" spans="1:12">
      <c r="A4263" s="20" t="s">
        <v>1437</v>
      </c>
      <c r="B4263" s="27" t="s">
        <v>753</v>
      </c>
      <c r="C4263" s="27" t="s">
        <v>761</v>
      </c>
      <c r="D4263" s="27" t="s">
        <v>762</v>
      </c>
      <c r="E4263" s="21">
        <f>IF(D4263="?OLD","!!!","")</f>
        <v/>
      </c>
      <c r="F4263" s="22" t="str">
        <f>IF(OR(E4263="",E4263="!!!"),"",IF(NOT(ISNA(VLOOKUP(E4263,E$1:E4262,1,FALSE()))),"OLD",IF(AND(E4263&lt;&gt;"",E4263&lt;&gt;"!!!"),"NEW","")))</f>
        <v> </v>
      </c>
      <c r="G4263" s="23" t="str">
        <f>IF(OR(E4263="",E4263="!!!"),"",IF(OR(J4263=0,AND(J4263=1,K4263=1),AND(J4263=1,I4263="SBJ"),AND(J4263=1,I4263=0)),"?IN_FOCUS",IF(J4263&lt;=2,"?ACTIVATED",IF(J4263&lt;&gt;"","?FAMILIAR",IF(F4263="NEW",IF(ISNA(VLOOKUP(E4263,#REF!,1,FALSE())),"?TYPE_IDENTIFIABLE","?REFERENTIAL"),"_")))))</f>
        <v> </v>
      </c>
      <c r="H4263" s="24" t="str">
        <f>IF(J4263&lt;&gt;1,"",IF(I4263="SBJ","CB","?"))</f>
        <v> </v>
      </c>
      <c r="I4263" s="25" t="str">
        <f>IF(OR(E4263="",E4263="!!!",F4263="NEW"),"",INDEX(B4262:B$2,-1+SUMPRODUCT(MAX(ROW(E4262:E$2)*(E4263=E4262:E$2)))))</f>
        <v> </v>
      </c>
      <c r="J4263" s="25" t="str">
        <f>IF(OR(E4263="",E4263="!!!",F4263="NEW"),"",COUNTBLANK(OFFSET(A$1,,,SUMPRODUCT(MAX(ROW(E$2:E4263)*(E4263=E$2:E4263)))))-COUNTBLANK(OFFSET(A$1,,,SUMPRODUCT(MAX(ROW(E$1:E4262)*(E2=E$1:E4262))))))</f>
        <v> </v>
      </c>
      <c r="K4263" s="25" t="str">
        <f>IF(OR(E4263="",E4263="!!!",F4263="NEW"),"",INDEX(J$1:J4262,SUMPRODUCT(MAX(ROW(E$1:E4262)*(E4263=E$1:E4262)))))</f>
        <v> </v>
      </c>
      <c r="L4263" s="26"/>
    </row>
    <row r="4264" spans="1:12">
      <c r="A4264" s="20" t="s">
        <v>1938</v>
      </c>
      <c r="E4264" s="21">
        <f>IF(D4264="?OLD","!!!","")</f>
        <v/>
      </c>
      <c r="F4264" s="22" t="str">
        <f>IF(OR(E4264="",E4264="!!!"),"",IF(NOT(ISNA(VLOOKUP(E4264,E$1:E4263,1,FALSE()))),"OLD",IF(AND(E4264&lt;&gt;"",E4264&lt;&gt;"!!!"),"NEW","")))</f>
        <v> </v>
      </c>
      <c r="G4264" s="23" t="str">
        <f>IF(OR(E4264="",E4264="!!!"),"",IF(OR(J4264=0,AND(J4264=1,K4264=1),AND(J4264=1,I4264="SBJ"),AND(J4264=1,I4264=0)),"?IN_FOCUS",IF(J4264&lt;=2,"?ACTIVATED",IF(J4264&lt;&gt;"","?FAMILIAR",IF(F4264="NEW",IF(ISNA(VLOOKUP(E4264,#REF!,1,FALSE())),"?TYPE_IDENTIFIABLE","?REFERENTIAL"),"_")))))</f>
        <v> </v>
      </c>
      <c r="H4264" s="24" t="str">
        <f>IF(J4264&lt;&gt;1,"",IF(I4264="SBJ","CB","?"))</f>
        <v> </v>
      </c>
      <c r="I4264" s="25" t="str">
        <f>IF(OR(E4264="",E4264="!!!",F4264="NEW"),"",INDEX(B4263:B$2,-1+SUMPRODUCT(MAX(ROW(E4263:E$2)*(E4264=E4263:E$2)))))</f>
        <v> </v>
      </c>
      <c r="J4264" s="25" t="str">
        <f>IF(OR(E4264="",E4264="!!!",F4264="NEW"),"",COUNTBLANK(OFFSET(A$1,,,SUMPRODUCT(MAX(ROW(E$2:E4264)*(E4264=E$2:E4264)))))-COUNTBLANK(OFFSET(A$1,,,SUMPRODUCT(MAX(ROW(E$1:E4263)*(E2=E$1:E4263))))))</f>
        <v> </v>
      </c>
      <c r="K4264" s="25" t="str">
        <f>IF(OR(E4264="",E4264="!!!",F4264="NEW"),"",INDEX(J$1:J4263,SUMPRODUCT(MAX(ROW(E$1:E4263)*(E4264=E$1:E4263)))))</f>
        <v> </v>
      </c>
      <c r="L4264" s="26"/>
    </row>
    <row r="4265" spans="1:12">
      <c r="A4265" s="20" t="s">
        <v>769</v>
      </c>
      <c r="E4265" s="21">
        <f>IF(D4265="?OLD","!!!","")</f>
        <v/>
      </c>
      <c r="F4265" s="22" t="str">
        <f>IF(OR(E4265="",E4265="!!!"),"",IF(NOT(ISNA(VLOOKUP(E4265,E$1:E4264,1,FALSE()))),"OLD",IF(AND(E4265&lt;&gt;"",E4265&lt;&gt;"!!!"),"NEW","")))</f>
        <v> </v>
      </c>
      <c r="G4265" s="23" t="str">
        <f>IF(OR(E4265="",E4265="!!!"),"",IF(OR(J4265=0,AND(J4265=1,K4265=1),AND(J4265=1,I4265="SBJ"),AND(J4265=1,I4265=0)),"?IN_FOCUS",IF(J4265&lt;=2,"?ACTIVATED",IF(J4265&lt;&gt;"","?FAMILIAR",IF(F4265="NEW",IF(ISNA(VLOOKUP(E4265,#REF!,1,FALSE())),"?TYPE_IDENTIFIABLE","?REFERENTIAL"),"_")))))</f>
        <v> </v>
      </c>
      <c r="H4265" s="24" t="str">
        <f>IF(J4265&lt;&gt;1,"",IF(I4265="SBJ","CB","?"))</f>
        <v> </v>
      </c>
      <c r="I4265" s="25" t="str">
        <f>IF(OR(E4265="",E4265="!!!",F4265="NEW"),"",INDEX(B4264:B$2,-1+SUMPRODUCT(MAX(ROW(E4264:E$2)*(E4265=E4264:E$2)))))</f>
        <v> </v>
      </c>
      <c r="J4265" s="25" t="str">
        <f>IF(OR(E4265="",E4265="!!!",F4265="NEW"),"",COUNTBLANK(OFFSET(A$1,,,SUMPRODUCT(MAX(ROW(E$2:E4265)*(E4265=E$2:E4265)))))-COUNTBLANK(OFFSET(A$1,,,SUMPRODUCT(MAX(ROW(E$1:E4264)*(E2=E$1:E4264))))))</f>
        <v> </v>
      </c>
      <c r="K4265" s="25" t="str">
        <f>IF(OR(E4265="",E4265="!!!",F4265="NEW"),"",INDEX(J$1:J4264,SUMPRODUCT(MAX(ROW(E$1:E4264)*(E4265=E$1:E4264)))))</f>
        <v> </v>
      </c>
      <c r="L4265" s="26"/>
    </row>
    <row r="4266" spans="1:12">
      <c r="A4266" s="20" t="s">
        <v>1178</v>
      </c>
      <c r="E4266" s="21">
        <f>IF(D4266="?OLD","!!!","")</f>
        <v/>
      </c>
      <c r="F4266" s="22" t="str">
        <f>IF(OR(E4266="",E4266="!!!"),"",IF(NOT(ISNA(VLOOKUP(E4266,E$1:E4265,1,FALSE()))),"OLD",IF(AND(E4266&lt;&gt;"",E4266&lt;&gt;"!!!"),"NEW","")))</f>
        <v> </v>
      </c>
      <c r="G4266" s="23" t="str">
        <f>IF(OR(E4266="",E4266="!!!"),"",IF(OR(J4266=0,AND(J4266=1,K4266=1),AND(J4266=1,I4266="SBJ"),AND(J4266=1,I4266=0)),"?IN_FOCUS",IF(J4266&lt;=2,"?ACTIVATED",IF(J4266&lt;&gt;"","?FAMILIAR",IF(F4266="NEW",IF(ISNA(VLOOKUP(E4266,#REF!,1,FALSE())),"?TYPE_IDENTIFIABLE","?REFERENTIAL"),"_")))))</f>
        <v> </v>
      </c>
      <c r="H4266" s="24" t="str">
        <f>IF(J4266&lt;&gt;1,"",IF(I4266="SBJ","CB","?"))</f>
        <v> </v>
      </c>
      <c r="I4266" s="25" t="str">
        <f>IF(OR(E4266="",E4266="!!!",F4266="NEW"),"",INDEX(B4265:B$2,-1+SUMPRODUCT(MAX(ROW(E4265:E$2)*(E4266=E4265:E$2)))))</f>
        <v> </v>
      </c>
      <c r="J4266" s="25" t="str">
        <f>IF(OR(E4266="",E4266="!!!",F4266="NEW"),"",COUNTBLANK(OFFSET(A$1,,,SUMPRODUCT(MAX(ROW(E$2:E4266)*(E4266=E$2:E4266)))))-COUNTBLANK(OFFSET(A$1,,,SUMPRODUCT(MAX(ROW(E$1:E4265)*(E2=E$1:E4265))))))</f>
        <v> </v>
      </c>
      <c r="K4266" s="25" t="str">
        <f>IF(OR(E4266="",E4266="!!!",F4266="NEW"),"",INDEX(J$1:J4265,SUMPRODUCT(MAX(ROW(E$1:E4265)*(E4266=E$1:E4265)))))</f>
        <v> </v>
      </c>
      <c r="L4266" s="26"/>
    </row>
    <row r="4267" spans="1:12">
      <c r="A4267" s="20" t="s">
        <v>943</v>
      </c>
      <c r="B4267" s="27" t="s">
        <v>753</v>
      </c>
      <c r="C4267" s="27" t="s">
        <v>831</v>
      </c>
      <c r="E4267" s="21">
        <f>IF(D4267="?OLD","!!!","")</f>
        <v/>
      </c>
      <c r="F4267" s="22" t="str">
        <f>IF(OR(E4267="",E4267="!!!"),"",IF(NOT(ISNA(VLOOKUP(E4267,E$1:E4266,1,FALSE()))),"OLD",IF(AND(E4267&lt;&gt;"",E4267&lt;&gt;"!!!"),"NEW","")))</f>
        <v> </v>
      </c>
      <c r="G4267" s="23" t="str">
        <f>IF(OR(E4267="",E4267="!!!"),"",IF(OR(J4267=0,AND(J4267=1,K4267=1),AND(J4267=1,I4267="SBJ"),AND(J4267=1,I4267=0)),"?IN_FOCUS",IF(J4267&lt;=2,"?ACTIVATED",IF(J4267&lt;&gt;"","?FAMILIAR",IF(F4267="NEW",IF(ISNA(VLOOKUP(E4267,#REF!,1,FALSE())),"?TYPE_IDENTIFIABLE","?REFERENTIAL"),"_")))))</f>
        <v> </v>
      </c>
      <c r="H4267" s="24" t="str">
        <f>IF(J4267&lt;&gt;1,"",IF(I4267="SBJ","CB","?"))</f>
        <v> </v>
      </c>
      <c r="I4267" s="25" t="str">
        <f>IF(OR(E4267="",E4267="!!!",F4267="NEW"),"",INDEX(B4266:B$2,-1+SUMPRODUCT(MAX(ROW(E4266:E$2)*(E4267=E4266:E$2)))))</f>
        <v> </v>
      </c>
      <c r="J4267" s="25" t="str">
        <f>IF(OR(E4267="",E4267="!!!",F4267="NEW"),"",COUNTBLANK(OFFSET(A$1,,,SUMPRODUCT(MAX(ROW(E$2:E4267)*(E4267=E$2:E4267)))))-COUNTBLANK(OFFSET(A$1,,,SUMPRODUCT(MAX(ROW(E$1:E4266)*(E2=E$1:E4266))))))</f>
        <v> </v>
      </c>
      <c r="K4267" s="25" t="str">
        <f>IF(OR(E4267="",E4267="!!!",F4267="NEW"),"",INDEX(J$1:J4266,SUMPRODUCT(MAX(ROW(E$1:E4266)*(E4267=E$1:E4266)))))</f>
        <v> </v>
      </c>
      <c r="L4267" s="26"/>
    </row>
    <row r="4268" spans="1:12">
      <c r="A4268" s="20" t="s">
        <v>875</v>
      </c>
      <c r="E4268" s="21">
        <f>IF(D4268="?OLD","!!!","")</f>
        <v/>
      </c>
      <c r="F4268" s="22" t="str">
        <f>IF(OR(E4268="",E4268="!!!"),"",IF(NOT(ISNA(VLOOKUP(E4268,E$1:E4267,1,FALSE()))),"OLD",IF(AND(E4268&lt;&gt;"",E4268&lt;&gt;"!!!"),"NEW","")))</f>
        <v> </v>
      </c>
      <c r="G4268" s="23" t="str">
        <f>IF(OR(E4268="",E4268="!!!"),"",IF(OR(J4268=0,AND(J4268=1,K4268=1),AND(J4268=1,I4268="SBJ"),AND(J4268=1,I4268=0)),"?IN_FOCUS",IF(J4268&lt;=2,"?ACTIVATED",IF(J4268&lt;&gt;"","?FAMILIAR",IF(F4268="NEW",IF(ISNA(VLOOKUP(E4268,#REF!,1,FALSE())),"?TYPE_IDENTIFIABLE","?REFERENTIAL"),"_")))))</f>
        <v> </v>
      </c>
      <c r="H4268" s="24" t="str">
        <f>IF(J4268&lt;&gt;1,"",IF(I4268="SBJ","CB","?"))</f>
        <v> </v>
      </c>
      <c r="I4268" s="25" t="str">
        <f>IF(OR(E4268="",E4268="!!!",F4268="NEW"),"",INDEX(B4267:B$2,-1+SUMPRODUCT(MAX(ROW(E4267:E$2)*(E4268=E4267:E$2)))))</f>
        <v> </v>
      </c>
      <c r="J4268" s="25" t="str">
        <f>IF(OR(E4268="",E4268="!!!",F4268="NEW"),"",COUNTBLANK(OFFSET(A$1,,,SUMPRODUCT(MAX(ROW(E$2:E4268)*(E4268=E$2:E4268)))))-COUNTBLANK(OFFSET(A$1,,,SUMPRODUCT(MAX(ROW(E$1:E4267)*(E2=E$1:E4267))))))</f>
        <v> </v>
      </c>
      <c r="K4268" s="25" t="str">
        <f>IF(OR(E4268="",E4268="!!!",F4268="NEW"),"",INDEX(J$1:J4267,SUMPRODUCT(MAX(ROW(E$1:E4267)*(E4268=E$1:E4267)))))</f>
        <v> </v>
      </c>
      <c r="L4268" s="26"/>
    </row>
    <row r="4269" spans="1:12">
      <c r="A4269" s="20" t="s">
        <v>769</v>
      </c>
      <c r="E4269" s="21">
        <f>IF(D4269="?OLD","!!!","")</f>
        <v/>
      </c>
      <c r="F4269" s="22" t="str">
        <f>IF(OR(E4269="",E4269="!!!"),"",IF(NOT(ISNA(VLOOKUP(E4269,E$1:E4268,1,FALSE()))),"OLD",IF(AND(E4269&lt;&gt;"",E4269&lt;&gt;"!!!"),"NEW","")))</f>
        <v> </v>
      </c>
      <c r="G4269" s="23" t="str">
        <f>IF(OR(E4269="",E4269="!!!"),"",IF(OR(J4269=0,AND(J4269=1,K4269=1),AND(J4269=1,I4269="SBJ"),AND(J4269=1,I4269=0)),"?IN_FOCUS",IF(J4269&lt;=2,"?ACTIVATED",IF(J4269&lt;&gt;"","?FAMILIAR",IF(F4269="NEW",IF(ISNA(VLOOKUP(E4269,#REF!,1,FALSE())),"?TYPE_IDENTIFIABLE","?REFERENTIAL"),"_")))))</f>
        <v> </v>
      </c>
      <c r="H4269" s="24" t="str">
        <f>IF(J4269&lt;&gt;1,"",IF(I4269="SBJ","CB","?"))</f>
        <v> </v>
      </c>
      <c r="I4269" s="25" t="str">
        <f>IF(OR(E4269="",E4269="!!!",F4269="NEW"),"",INDEX(B4268:B$2,-1+SUMPRODUCT(MAX(ROW(E4268:E$2)*(E4269=E4268:E$2)))))</f>
        <v> </v>
      </c>
      <c r="J4269" s="25" t="str">
        <f>IF(OR(E4269="",E4269="!!!",F4269="NEW"),"",COUNTBLANK(OFFSET(A$1,,,SUMPRODUCT(MAX(ROW(E$2:E4269)*(E4269=E$2:E4269)))))-COUNTBLANK(OFFSET(A$1,,,SUMPRODUCT(MAX(ROW(E$1:E4268)*(E2=E$1:E4268))))))</f>
        <v> </v>
      </c>
      <c r="K4269" s="25" t="str">
        <f>IF(OR(E4269="",E4269="!!!",F4269="NEW"),"",INDEX(J$1:J4268,SUMPRODUCT(MAX(ROW(E$1:E4268)*(E4269=E$1:E4268)))))</f>
        <v> </v>
      </c>
      <c r="L4269" s="26"/>
    </row>
    <row r="4270" spans="1:12">
      <c r="A4270" s="20" t="s">
        <v>838</v>
      </c>
      <c r="E4270" s="21">
        <f>IF(D4270="?OLD","!!!","")</f>
        <v/>
      </c>
      <c r="F4270" s="22" t="str">
        <f>IF(OR(E4270="",E4270="!!!"),"",IF(NOT(ISNA(VLOOKUP(E4270,E$1:E4269,1,FALSE()))),"OLD",IF(AND(E4270&lt;&gt;"",E4270&lt;&gt;"!!!"),"NEW","")))</f>
        <v> </v>
      </c>
      <c r="G4270" s="23" t="str">
        <f>IF(OR(E4270="",E4270="!!!"),"",IF(OR(J4270=0,AND(J4270=1,K4270=1),AND(J4270=1,I4270="SBJ"),AND(J4270=1,I4270=0)),"?IN_FOCUS",IF(J4270&lt;=2,"?ACTIVATED",IF(J4270&lt;&gt;"","?FAMILIAR",IF(F4270="NEW",IF(ISNA(VLOOKUP(E4270,#REF!,1,FALSE())),"?TYPE_IDENTIFIABLE","?REFERENTIAL"),"_")))))</f>
        <v> </v>
      </c>
      <c r="H4270" s="24" t="str">
        <f>IF(J4270&lt;&gt;1,"",IF(I4270="SBJ","CB","?"))</f>
        <v> </v>
      </c>
      <c r="I4270" s="25" t="str">
        <f>IF(OR(E4270="",E4270="!!!",F4270="NEW"),"",INDEX(B4269:B$2,-1+SUMPRODUCT(MAX(ROW(E4269:E$2)*(E4270=E4269:E$2)))))</f>
        <v> </v>
      </c>
      <c r="J4270" s="25" t="str">
        <f>IF(OR(E4270="",E4270="!!!",F4270="NEW"),"",COUNTBLANK(OFFSET(A$1,,,SUMPRODUCT(MAX(ROW(E$2:E4270)*(E4270=E$2:E4270)))))-COUNTBLANK(OFFSET(A$1,,,SUMPRODUCT(MAX(ROW(E$1:E4269)*(E2=E$1:E4269))))))</f>
        <v> </v>
      </c>
      <c r="K4270" s="25" t="str">
        <f>IF(OR(E4270="",E4270="!!!",F4270="NEW"),"",INDEX(J$1:J4269,SUMPRODUCT(MAX(ROW(E$1:E4269)*(E4270=E$1:E4269)))))</f>
        <v> </v>
      </c>
      <c r="L4270" s="26"/>
    </row>
    <row r="4271" spans="1:12">
      <c r="A4271" s="20" t="s">
        <v>1939</v>
      </c>
      <c r="B4271" s="27" t="s">
        <v>772</v>
      </c>
      <c r="C4271" s="27" t="s">
        <v>837</v>
      </c>
      <c r="D4271" s="27" t="s">
        <v>762</v>
      </c>
      <c r="E4271" s="21">
        <f>IF(D4271="?OLD","!!!","")</f>
        <v/>
      </c>
      <c r="F4271" s="22" t="str">
        <f>IF(OR(E4271="",E4271="!!!"),"",IF(NOT(ISNA(VLOOKUP(E4271,E$1:E4270,1,FALSE()))),"OLD",IF(AND(E4271&lt;&gt;"",E4271&lt;&gt;"!!!"),"NEW","")))</f>
        <v> </v>
      </c>
      <c r="G4271" s="23" t="str">
        <f>IF(OR(E4271="",E4271="!!!"),"",IF(OR(J4271=0,AND(J4271=1,K4271=1),AND(J4271=1,I4271="SBJ"),AND(J4271=1,I4271=0)),"?IN_FOCUS",IF(J4271&lt;=2,"?ACTIVATED",IF(J4271&lt;&gt;"","?FAMILIAR",IF(F4271="NEW",IF(ISNA(VLOOKUP(E4271,#REF!,1,FALSE())),"?TYPE_IDENTIFIABLE","?REFERENTIAL"),"_")))))</f>
        <v> </v>
      </c>
      <c r="H4271" s="24" t="str">
        <f>IF(J4271&lt;&gt;1,"",IF(I4271="SBJ","CB","?"))</f>
        <v> </v>
      </c>
      <c r="I4271" s="25" t="str">
        <f>IF(OR(E4271="",E4271="!!!",F4271="NEW"),"",INDEX(B4270:B$2,-1+SUMPRODUCT(MAX(ROW(E4270:E$2)*(E4271=E4270:E$2)))))</f>
        <v> </v>
      </c>
      <c r="J4271" s="25" t="str">
        <f>IF(OR(E4271="",E4271="!!!",F4271="NEW"),"",COUNTBLANK(OFFSET(A$1,,,SUMPRODUCT(MAX(ROW(E$2:E4271)*(E4271=E$2:E4271)))))-COUNTBLANK(OFFSET(A$1,,,SUMPRODUCT(MAX(ROW(E$1:E4270)*(E2=E$1:E4270))))))</f>
        <v> </v>
      </c>
      <c r="K4271" s="25" t="str">
        <f>IF(OR(E4271="",E4271="!!!",F4271="NEW"),"",INDEX(J$1:J4270,SUMPRODUCT(MAX(ROW(E$1:E4270)*(E4271=E$1:E4270)))))</f>
        <v> </v>
      </c>
      <c r="L4271" s="26"/>
    </row>
    <row r="4272" spans="1:12">
      <c r="A4272" s="20" t="s">
        <v>1940</v>
      </c>
      <c r="E4272" s="21">
        <f>IF(D4272="?OLD","!!!","")</f>
        <v/>
      </c>
      <c r="F4272" s="22" t="str">
        <f>IF(OR(E4272="",E4272="!!!"),"",IF(NOT(ISNA(VLOOKUP(E4272,E$1:E4271,1,FALSE()))),"OLD",IF(AND(E4272&lt;&gt;"",E4272&lt;&gt;"!!!"),"NEW","")))</f>
        <v> </v>
      </c>
      <c r="G4272" s="23" t="str">
        <f>IF(OR(E4272="",E4272="!!!"),"",IF(OR(J4272=0,AND(J4272=1,K4272=1),AND(J4272=1,I4272="SBJ"),AND(J4272=1,I4272=0)),"?IN_FOCUS",IF(J4272&lt;=2,"?ACTIVATED",IF(J4272&lt;&gt;"","?FAMILIAR",IF(F4272="NEW",IF(ISNA(VLOOKUP(E4272,#REF!,1,FALSE())),"?TYPE_IDENTIFIABLE","?REFERENTIAL"),"_")))))</f>
        <v> </v>
      </c>
      <c r="H4272" s="24" t="str">
        <f>IF(J4272&lt;&gt;1,"",IF(I4272="SBJ","CB","?"))</f>
        <v> </v>
      </c>
      <c r="I4272" s="25" t="str">
        <f>IF(OR(E4272="",E4272="!!!",F4272="NEW"),"",INDEX(B4271:B$2,-1+SUMPRODUCT(MAX(ROW(E4271:E$2)*(E4272=E4271:E$2)))))</f>
        <v> </v>
      </c>
      <c r="J4272" s="25" t="str">
        <f>IF(OR(E4272="",E4272="!!!",F4272="NEW"),"",COUNTBLANK(OFFSET(A$1,,,SUMPRODUCT(MAX(ROW(E$2:E4272)*(E4272=E$2:E4272)))))-COUNTBLANK(OFFSET(A$1,,,SUMPRODUCT(MAX(ROW(E$1:E4271)*(E2=E$1:E4271))))))</f>
        <v> </v>
      </c>
      <c r="K4272" s="25" t="str">
        <f>IF(OR(E4272="",E4272="!!!",F4272="NEW"),"",INDEX(J$1:J4271,SUMPRODUCT(MAX(ROW(E$1:E4271)*(E4272=E$1:E4271)))))</f>
        <v> </v>
      </c>
      <c r="L4272" s="26"/>
    </row>
    <row r="4273" spans="1:12">
      <c r="A4273" s="20" t="s">
        <v>769</v>
      </c>
      <c r="E4273" s="21">
        <f>IF(D4273="?OLD","!!!","")</f>
        <v/>
      </c>
      <c r="F4273" s="22" t="str">
        <f>IF(OR(E4273="",E4273="!!!"),"",IF(NOT(ISNA(VLOOKUP(E4273,E$1:E4272,1,FALSE()))),"OLD",IF(AND(E4273&lt;&gt;"",E4273&lt;&gt;"!!!"),"NEW","")))</f>
        <v> </v>
      </c>
      <c r="G4273" s="23" t="str">
        <f>IF(OR(E4273="",E4273="!!!"),"",IF(OR(J4273=0,AND(J4273=1,K4273=1),AND(J4273=1,I4273="SBJ"),AND(J4273=1,I4273=0)),"?IN_FOCUS",IF(J4273&lt;=2,"?ACTIVATED",IF(J4273&lt;&gt;"","?FAMILIAR",IF(F4273="NEW",IF(ISNA(VLOOKUP(E4273,#REF!,1,FALSE())),"?TYPE_IDENTIFIABLE","?REFERENTIAL"),"_")))))</f>
        <v> </v>
      </c>
      <c r="H4273" s="24" t="str">
        <f>IF(J4273&lt;&gt;1,"",IF(I4273="SBJ","CB","?"))</f>
        <v> </v>
      </c>
      <c r="I4273" s="25" t="str">
        <f>IF(OR(E4273="",E4273="!!!",F4273="NEW"),"",INDEX(B4272:B$2,-1+SUMPRODUCT(MAX(ROW(E4272:E$2)*(E4273=E4272:E$2)))))</f>
        <v> </v>
      </c>
      <c r="J4273" s="25" t="str">
        <f>IF(OR(E4273="",E4273="!!!",F4273="NEW"),"",COUNTBLANK(OFFSET(A$1,,,SUMPRODUCT(MAX(ROW(E$2:E4273)*(E4273=E$2:E4273)))))-COUNTBLANK(OFFSET(A$1,,,SUMPRODUCT(MAX(ROW(E$1:E4272)*(E2=E$1:E4272))))))</f>
        <v> </v>
      </c>
      <c r="K4273" s="25" t="str">
        <f>IF(OR(E4273="",E4273="!!!",F4273="NEW"),"",INDEX(J$1:J4272,SUMPRODUCT(MAX(ROW(E$1:E4272)*(E4273=E$1:E4272)))))</f>
        <v> </v>
      </c>
      <c r="L4273" s="26"/>
    </row>
    <row r="4274" spans="1:12">
      <c r="A4274" s="20" t="s">
        <v>1941</v>
      </c>
      <c r="B4274" s="27" t="s">
        <v>879</v>
      </c>
      <c r="C4274" s="27" t="s">
        <v>798</v>
      </c>
      <c r="D4274" s="27" t="s">
        <v>762</v>
      </c>
      <c r="E4274" s="21">
        <f>IF(D4274="?OLD","!!!","")</f>
        <v/>
      </c>
      <c r="F4274" s="22" t="str">
        <f>IF(OR(E4274="",E4274="!!!"),"",IF(NOT(ISNA(VLOOKUP(E4274,E$1:E4273,1,FALSE()))),"OLD",IF(AND(E4274&lt;&gt;"",E4274&lt;&gt;"!!!"),"NEW","")))</f>
        <v> </v>
      </c>
      <c r="G4274" s="23" t="str">
        <f>IF(OR(E4274="",E4274="!!!"),"",IF(OR(J4274=0,AND(J4274=1,K4274=1),AND(J4274=1,I4274="SBJ"),AND(J4274=1,I4274=0)),"?IN_FOCUS",IF(J4274&lt;=2,"?ACTIVATED",IF(J4274&lt;&gt;"","?FAMILIAR",IF(F4274="NEW",IF(ISNA(VLOOKUP(E4274,#REF!,1,FALSE())),"?TYPE_IDENTIFIABLE","?REFERENTIAL"),"_")))))</f>
        <v> </v>
      </c>
      <c r="H4274" s="24" t="str">
        <f>IF(J4274&lt;&gt;1,"",IF(I4274="SBJ","CB","?"))</f>
        <v> </v>
      </c>
      <c r="I4274" s="25" t="str">
        <f>IF(OR(E4274="",E4274="!!!",F4274="NEW"),"",INDEX(B4273:B$2,-1+SUMPRODUCT(MAX(ROW(E4273:E$2)*(E4274=E4273:E$2)))))</f>
        <v> </v>
      </c>
      <c r="J4274" s="25" t="str">
        <f>IF(OR(E4274="",E4274="!!!",F4274="NEW"),"",COUNTBLANK(OFFSET(A$1,,,SUMPRODUCT(MAX(ROW(E$2:E4274)*(E4274=E$2:E4274)))))-COUNTBLANK(OFFSET(A$1,,,SUMPRODUCT(MAX(ROW(E$1:E4273)*(E2=E$1:E4273))))))</f>
        <v> </v>
      </c>
      <c r="K4274" s="25" t="str">
        <f>IF(OR(E4274="",E4274="!!!",F4274="NEW"),"",INDEX(J$1:J4273,SUMPRODUCT(MAX(ROW(E$1:E4273)*(E4274=E$1:E4273)))))</f>
        <v> </v>
      </c>
      <c r="L4274" s="26"/>
    </row>
    <row r="4275" spans="1:12">
      <c r="A4275" s="20" t="s">
        <v>774</v>
      </c>
      <c r="E4275" s="21">
        <f>IF(D4275="?OLD","!!!","")</f>
        <v/>
      </c>
      <c r="F4275" s="22" t="str">
        <f>IF(OR(E4275="",E4275="!!!"),"",IF(NOT(ISNA(VLOOKUP(E4275,E$1:E4274,1,FALSE()))),"OLD",IF(AND(E4275&lt;&gt;"",E4275&lt;&gt;"!!!"),"NEW","")))</f>
        <v> </v>
      </c>
      <c r="G4275" s="23" t="str">
        <f>IF(OR(E4275="",E4275="!!!"),"",IF(OR(J4275=0,AND(J4275=1,K4275=1),AND(J4275=1,I4275="SBJ"),AND(J4275=1,I4275=0)),"?IN_FOCUS",IF(J4275&lt;=2,"?ACTIVATED",IF(J4275&lt;&gt;"","?FAMILIAR",IF(F4275="NEW",IF(ISNA(VLOOKUP(E4275,#REF!,1,FALSE())),"?TYPE_IDENTIFIABLE","?REFERENTIAL"),"_")))))</f>
        <v> </v>
      </c>
      <c r="H4275" s="24" t="str">
        <f>IF(J4275&lt;&gt;1,"",IF(I4275="SBJ","CB","?"))</f>
        <v> </v>
      </c>
      <c r="I4275" s="25" t="str">
        <f>IF(OR(E4275="",E4275="!!!",F4275="NEW"),"",INDEX(B4274:B$2,-1+SUMPRODUCT(MAX(ROW(E4274:E$2)*(E4275=E4274:E$2)))))</f>
        <v> </v>
      </c>
      <c r="J4275" s="25" t="str">
        <f>IF(OR(E4275="",E4275="!!!",F4275="NEW"),"",COUNTBLANK(OFFSET(A$1,,,SUMPRODUCT(MAX(ROW(E$2:E4275)*(E4275=E$2:E4275)))))-COUNTBLANK(OFFSET(A$1,,,SUMPRODUCT(MAX(ROW(E$1:E4274)*(E2=E$1:E4274))))))</f>
        <v> </v>
      </c>
      <c r="K4275" s="25" t="str">
        <f>IF(OR(E4275="",E4275="!!!",F4275="NEW"),"",INDEX(J$1:J4274,SUMPRODUCT(MAX(ROW(E$1:E4274)*(E4275=E$1:E4274)))))</f>
        <v> </v>
      </c>
      <c r="L4275" s="26"/>
    </row>
    <row r="4276" spans="1:12">
      <c r="A4276" s="20"/>
    </row>
    <row r="4277" spans="1:12">
      <c r="A4277" s="20" t="s">
        <v>1942</v>
      </c>
    </row>
    <row r="4278" spans="1:12">
      <c r="A4278" s="20" t="s">
        <v>1037</v>
      </c>
      <c r="B4278" s="27" t="s">
        <v>760</v>
      </c>
      <c r="C4278" s="27" t="s">
        <v>797</v>
      </c>
      <c r="D4278" s="27" t="s">
        <v>762</v>
      </c>
      <c r="E4278" s="21">
        <f>IF(D4278="?OLD","!!!","")</f>
        <v/>
      </c>
      <c r="F4278" s="22" t="str">
        <f>IF(OR(E4278="",E4278="!!!"),"",IF(NOT(ISNA(VLOOKUP(E4278,E$1:E4277,1,FALSE()))),"OLD",IF(AND(E4278&lt;&gt;"",E4278&lt;&gt;"!!!"),"NEW","")))</f>
        <v> </v>
      </c>
      <c r="G4278" s="23" t="str">
        <f>IF(OR(E4278="",E4278="!!!"),"",IF(OR(J4278=0,AND(J4278=1,K4278=1),AND(J4278=1,I4278="SBJ"),AND(J4278=1,I4278=0)),"?IN_FOCUS",IF(J4278&lt;=2,"?ACTIVATED",IF(J4278&lt;&gt;"","?FAMILIAR",IF(F4278="NEW",IF(ISNA(VLOOKUP(E4278,#REF!,1,FALSE())),"?TYPE_IDENTIFIABLE","?REFERENTIAL"),"_")))))</f>
        <v> </v>
      </c>
      <c r="H4278" s="24" t="str">
        <f>IF(J4278&lt;&gt;1,"",IF(I4278="SBJ","CB","?"))</f>
        <v> </v>
      </c>
      <c r="I4278" s="25" t="str">
        <f>IF(OR(E4278="",E4278="!!!",F4278="NEW"),"",INDEX(B4277:B$2,-1+SUMPRODUCT(MAX(ROW(E4277:E$2)*(E4278=E4277:E$2)))))</f>
        <v> </v>
      </c>
      <c r="J4278" s="25" t="str">
        <f>IF(OR(E4278="",E4278="!!!",F4278="NEW"),"",COUNTBLANK(OFFSET(A$1,,,SUMPRODUCT(MAX(ROW(E$2:E4278)*(E4278=E$2:E4278)))))-COUNTBLANK(OFFSET(A$1,,,SUMPRODUCT(MAX(ROW(E$1:E4277)*(E2=E$1:E4277))))))</f>
        <v> </v>
      </c>
      <c r="K4278" s="25" t="str">
        <f>IF(OR(E4278="",E4278="!!!",F4278="NEW"),"",INDEX(J$1:J4277,SUMPRODUCT(MAX(ROW(E$1:E4277)*(E4278=E$1:E4277)))))</f>
        <v> </v>
      </c>
      <c r="L4278" s="26"/>
    </row>
    <row r="4279" spans="1:12">
      <c r="A4279" s="20" t="s">
        <v>909</v>
      </c>
      <c r="E4279" s="21">
        <f>IF(D4279="?OLD","!!!","")</f>
        <v/>
      </c>
      <c r="F4279" s="22" t="str">
        <f>IF(OR(E4279="",E4279="!!!"),"",IF(NOT(ISNA(VLOOKUP(E4279,E$1:E4278,1,FALSE()))),"OLD",IF(AND(E4279&lt;&gt;"",E4279&lt;&gt;"!!!"),"NEW","")))</f>
        <v> </v>
      </c>
      <c r="G4279" s="23" t="str">
        <f>IF(OR(E4279="",E4279="!!!"),"",IF(OR(J4279=0,AND(J4279=1,K4279=1),AND(J4279=1,I4279="SBJ"),AND(J4279=1,I4279=0)),"?IN_FOCUS",IF(J4279&lt;=2,"?ACTIVATED",IF(J4279&lt;&gt;"","?FAMILIAR",IF(F4279="NEW",IF(ISNA(VLOOKUP(E4279,#REF!,1,FALSE())),"?TYPE_IDENTIFIABLE","?REFERENTIAL"),"_")))))</f>
        <v> </v>
      </c>
      <c r="H4279" s="24" t="str">
        <f>IF(J4279&lt;&gt;1,"",IF(I4279="SBJ","CB","?"))</f>
        <v> </v>
      </c>
      <c r="I4279" s="25" t="str">
        <f>IF(OR(E4279="",E4279="!!!",F4279="NEW"),"",INDEX(B4278:B$2,-1+SUMPRODUCT(MAX(ROW(E4278:E$2)*(E4279=E4278:E$2)))))</f>
        <v> </v>
      </c>
      <c r="J4279" s="25" t="str">
        <f>IF(OR(E4279="",E4279="!!!",F4279="NEW"),"",COUNTBLANK(OFFSET(A$1,,,SUMPRODUCT(MAX(ROW(E$2:E4279)*(E4279=E$2:E4279)))))-COUNTBLANK(OFFSET(A$1,,,SUMPRODUCT(MAX(ROW(E$1:E4278)*(E2=E$1:E4278))))))</f>
        <v> </v>
      </c>
      <c r="K4279" s="25" t="str">
        <f>IF(OR(E4279="",E4279="!!!",F4279="NEW"),"",INDEX(J$1:J4278,SUMPRODUCT(MAX(ROW(E$1:E4278)*(E4279=E$1:E4278)))))</f>
        <v> </v>
      </c>
      <c r="L4279" s="26"/>
    </row>
    <row r="4280" spans="1:12">
      <c r="A4280" s="20" t="s">
        <v>764</v>
      </c>
      <c r="E4280" s="21">
        <f>IF(D4280="?OLD","!!!","")</f>
        <v/>
      </c>
      <c r="F4280" s="22" t="str">
        <f>IF(OR(E4280="",E4280="!!!"),"",IF(NOT(ISNA(VLOOKUP(E4280,E$1:E4279,1,FALSE()))),"OLD",IF(AND(E4280&lt;&gt;"",E4280&lt;&gt;"!!!"),"NEW","")))</f>
        <v> </v>
      </c>
      <c r="G4280" s="23" t="str">
        <f>IF(OR(E4280="",E4280="!!!"),"",IF(OR(J4280=0,AND(J4280=1,K4280=1),AND(J4280=1,I4280="SBJ"),AND(J4280=1,I4280=0)),"?IN_FOCUS",IF(J4280&lt;=2,"?ACTIVATED",IF(J4280&lt;&gt;"","?FAMILIAR",IF(F4280="NEW",IF(ISNA(VLOOKUP(E4280,#REF!,1,FALSE())),"?TYPE_IDENTIFIABLE","?REFERENTIAL"),"_")))))</f>
        <v> </v>
      </c>
      <c r="H4280" s="24" t="str">
        <f>IF(J4280&lt;&gt;1,"",IF(I4280="SBJ","CB","?"))</f>
        <v> </v>
      </c>
      <c r="I4280" s="25" t="str">
        <f>IF(OR(E4280="",E4280="!!!",F4280="NEW"),"",INDEX(B4279:B$2,-1+SUMPRODUCT(MAX(ROW(E4279:E$2)*(E4280=E4279:E$2)))))</f>
        <v> </v>
      </c>
      <c r="J4280" s="25" t="str">
        <f>IF(OR(E4280="",E4280="!!!",F4280="NEW"),"",COUNTBLANK(OFFSET(A$1,,,SUMPRODUCT(MAX(ROW(E$2:E4280)*(E4280=E$2:E4280)))))-COUNTBLANK(OFFSET(A$1,,,SUMPRODUCT(MAX(ROW(E$1:E4279)*(E2=E$1:E4279))))))</f>
        <v> </v>
      </c>
      <c r="K4280" s="25" t="str">
        <f>IF(OR(E4280="",E4280="!!!",F4280="NEW"),"",INDEX(J$1:J4279,SUMPRODUCT(MAX(ROW(E$1:E4279)*(E4280=E$1:E4279)))))</f>
        <v> </v>
      </c>
      <c r="L4280" s="26"/>
    </row>
    <row r="4281" spans="1:12">
      <c r="A4281" s="20" t="s">
        <v>1248</v>
      </c>
      <c r="E4281" s="21">
        <f>IF(D4281="?OLD","!!!","")</f>
        <v/>
      </c>
      <c r="F4281" s="22" t="str">
        <f>IF(OR(E4281="",E4281="!!!"),"",IF(NOT(ISNA(VLOOKUP(E4281,E$1:E4280,1,FALSE()))),"OLD",IF(AND(E4281&lt;&gt;"",E4281&lt;&gt;"!!!"),"NEW","")))</f>
        <v> </v>
      </c>
      <c r="G4281" s="23" t="str">
        <f>IF(OR(E4281="",E4281="!!!"),"",IF(OR(J4281=0,AND(J4281=1,K4281=1),AND(J4281=1,I4281="SBJ"),AND(J4281=1,I4281=0)),"?IN_FOCUS",IF(J4281&lt;=2,"?ACTIVATED",IF(J4281&lt;&gt;"","?FAMILIAR",IF(F4281="NEW",IF(ISNA(VLOOKUP(E4281,#REF!,1,FALSE())),"?TYPE_IDENTIFIABLE","?REFERENTIAL"),"_")))))</f>
        <v> </v>
      </c>
      <c r="H4281" s="24" t="str">
        <f>IF(J4281&lt;&gt;1,"",IF(I4281="SBJ","CB","?"))</f>
        <v> </v>
      </c>
      <c r="I4281" s="25" t="str">
        <f>IF(OR(E4281="",E4281="!!!",F4281="NEW"),"",INDEX(B4280:B$2,-1+SUMPRODUCT(MAX(ROW(E4280:E$2)*(E4281=E4280:E$2)))))</f>
        <v> </v>
      </c>
      <c r="J4281" s="25" t="str">
        <f>IF(OR(E4281="",E4281="!!!",F4281="NEW"),"",COUNTBLANK(OFFSET(A$1,,,SUMPRODUCT(MAX(ROW(E$2:E4281)*(E4281=E$2:E4281)))))-COUNTBLANK(OFFSET(A$1,,,SUMPRODUCT(MAX(ROW(E$1:E4280)*(E2=E$1:E4280))))))</f>
        <v> </v>
      </c>
      <c r="K4281" s="25" t="str">
        <f>IF(OR(E4281="",E4281="!!!",F4281="NEW"),"",INDEX(J$1:J4280,SUMPRODUCT(MAX(ROW(E$1:E4280)*(E4281=E$1:E4280)))))</f>
        <v> </v>
      </c>
      <c r="L4281" s="26"/>
    </row>
    <row r="4282" spans="1:12">
      <c r="A4282" s="20" t="s">
        <v>1093</v>
      </c>
      <c r="B4282" s="27" t="s">
        <v>767</v>
      </c>
      <c r="C4282" s="27" t="s">
        <v>768</v>
      </c>
      <c r="E4282" s="21">
        <f>IF(D4282="?OLD","!!!","")</f>
        <v/>
      </c>
      <c r="F4282" s="22" t="str">
        <f>IF(OR(E4282="",E4282="!!!"),"",IF(NOT(ISNA(VLOOKUP(E4282,E$1:E4281,1,FALSE()))),"OLD",IF(AND(E4282&lt;&gt;"",E4282&lt;&gt;"!!!"),"NEW","")))</f>
        <v> </v>
      </c>
      <c r="G4282" s="23" t="str">
        <f>IF(OR(E4282="",E4282="!!!"),"",IF(OR(J4282=0,AND(J4282=1,K4282=1),AND(J4282=1,I4282="SBJ"),AND(J4282=1,I4282=0)),"?IN_FOCUS",IF(J4282&lt;=2,"?ACTIVATED",IF(J4282&lt;&gt;"","?FAMILIAR",IF(F4282="NEW",IF(ISNA(VLOOKUP(E4282,#REF!,1,FALSE())),"?TYPE_IDENTIFIABLE","?REFERENTIAL"),"_")))))</f>
        <v> </v>
      </c>
      <c r="H4282" s="24" t="str">
        <f>IF(J4282&lt;&gt;1,"",IF(I4282="SBJ","CB","?"))</f>
        <v> </v>
      </c>
      <c r="I4282" s="25" t="str">
        <f>IF(OR(E4282="",E4282="!!!",F4282="NEW"),"",INDEX(B4281:B$2,-1+SUMPRODUCT(MAX(ROW(E4281:E$2)*(E4282=E4281:E$2)))))</f>
        <v> </v>
      </c>
      <c r="J4282" s="25" t="str">
        <f>IF(OR(E4282="",E4282="!!!",F4282="NEW"),"",COUNTBLANK(OFFSET(A$1,,,SUMPRODUCT(MAX(ROW(E$2:E4282)*(E4282=E$2:E4282)))))-COUNTBLANK(OFFSET(A$1,,,SUMPRODUCT(MAX(ROW(E$1:E4281)*(E2=E$1:E4281))))))</f>
        <v> </v>
      </c>
      <c r="K4282" s="25" t="str">
        <f>IF(OR(E4282="",E4282="!!!",F4282="NEW"),"",INDEX(J$1:J4281,SUMPRODUCT(MAX(ROW(E$1:E4281)*(E4282=E$1:E4281)))))</f>
        <v> </v>
      </c>
      <c r="L4282" s="26"/>
    </row>
    <row r="4283" spans="1:12">
      <c r="A4283" s="20" t="s">
        <v>769</v>
      </c>
      <c r="E4283" s="21">
        <f>IF(D4283="?OLD","!!!","")</f>
        <v/>
      </c>
      <c r="F4283" s="22" t="str">
        <f>IF(OR(E4283="",E4283="!!!"),"",IF(NOT(ISNA(VLOOKUP(E4283,E$1:E4282,1,FALSE()))),"OLD",IF(AND(E4283&lt;&gt;"",E4283&lt;&gt;"!!!"),"NEW","")))</f>
        <v> </v>
      </c>
      <c r="G4283" s="23" t="str">
        <f>IF(OR(E4283="",E4283="!!!"),"",IF(OR(J4283=0,AND(J4283=1,K4283=1),AND(J4283=1,I4283="SBJ"),AND(J4283=1,I4283=0)),"?IN_FOCUS",IF(J4283&lt;=2,"?ACTIVATED",IF(J4283&lt;&gt;"","?FAMILIAR",IF(F4283="NEW",IF(ISNA(VLOOKUP(E4283,#REF!,1,FALSE())),"?TYPE_IDENTIFIABLE","?REFERENTIAL"),"_")))))</f>
        <v> </v>
      </c>
      <c r="H4283" s="24" t="str">
        <f>IF(J4283&lt;&gt;1,"",IF(I4283="SBJ","CB","?"))</f>
        <v> </v>
      </c>
      <c r="I4283" s="25" t="str">
        <f>IF(OR(E4283="",E4283="!!!",F4283="NEW"),"",INDEX(B4282:B$2,-1+SUMPRODUCT(MAX(ROW(E4282:E$2)*(E4283=E4282:E$2)))))</f>
        <v> </v>
      </c>
      <c r="J4283" s="25" t="str">
        <f>IF(OR(E4283="",E4283="!!!",F4283="NEW"),"",COUNTBLANK(OFFSET(A$1,,,SUMPRODUCT(MAX(ROW(E$2:E4283)*(E4283=E$2:E4283)))))-COUNTBLANK(OFFSET(A$1,,,SUMPRODUCT(MAX(ROW(E$1:E4282)*(E2=E$1:E4282))))))</f>
        <v> </v>
      </c>
      <c r="K4283" s="25" t="str">
        <f>IF(OR(E4283="",E4283="!!!",F4283="NEW"),"",INDEX(J$1:J4282,SUMPRODUCT(MAX(ROW(E$1:E4282)*(E4283=E$1:E4282)))))</f>
        <v> </v>
      </c>
      <c r="L4283" s="26"/>
    </row>
    <row r="4284" spans="1:12">
      <c r="A4284" s="20" t="s">
        <v>1416</v>
      </c>
      <c r="B4284" s="27" t="s">
        <v>772</v>
      </c>
      <c r="C4284" s="27" t="s">
        <v>754</v>
      </c>
      <c r="E4284" s="21">
        <f>IF(D4284="?OLD","!!!","")</f>
        <v/>
      </c>
      <c r="F4284" s="22" t="str">
        <f>IF(OR(E4284="",E4284="!!!"),"",IF(NOT(ISNA(VLOOKUP(E4284,E$1:E4283,1,FALSE()))),"OLD",IF(AND(E4284&lt;&gt;"",E4284&lt;&gt;"!!!"),"NEW","")))</f>
        <v> </v>
      </c>
      <c r="G4284" s="23" t="str">
        <f>IF(OR(E4284="",E4284="!!!"),"",IF(OR(J4284=0,AND(J4284=1,K4284=1),AND(J4284=1,I4284="SBJ"),AND(J4284=1,I4284=0)),"?IN_FOCUS",IF(J4284&lt;=2,"?ACTIVATED",IF(J4284&lt;&gt;"","?FAMILIAR",IF(F4284="NEW",IF(ISNA(VLOOKUP(E4284,#REF!,1,FALSE())),"?TYPE_IDENTIFIABLE","?REFERENTIAL"),"_")))))</f>
        <v> </v>
      </c>
      <c r="H4284" s="24" t="str">
        <f>IF(J4284&lt;&gt;1,"",IF(I4284="SBJ","CB","?"))</f>
        <v> </v>
      </c>
      <c r="I4284" s="25" t="str">
        <f>IF(OR(E4284="",E4284="!!!",F4284="NEW"),"",INDEX(B4283:B$2,-1+SUMPRODUCT(MAX(ROW(E4283:E$2)*(E4284=E4283:E$2)))))</f>
        <v> </v>
      </c>
      <c r="J4284" s="25" t="str">
        <f>IF(OR(E4284="",E4284="!!!",F4284="NEW"),"",COUNTBLANK(OFFSET(A$1,,,SUMPRODUCT(MAX(ROW(E$2:E4284)*(E4284=E$2:E4284)))))-COUNTBLANK(OFFSET(A$1,,,SUMPRODUCT(MAX(ROW(E$1:E4283)*(E2=E$1:E4283))))))</f>
        <v> </v>
      </c>
      <c r="K4284" s="25" t="str">
        <f>IF(OR(E4284="",E4284="!!!",F4284="NEW"),"",INDEX(J$1:J4283,SUMPRODUCT(MAX(ROW(E$1:E4283)*(E4284=E$1:E4283)))))</f>
        <v> </v>
      </c>
      <c r="L4284" s="26"/>
    </row>
    <row r="4285" spans="1:12">
      <c r="A4285" s="20" t="s">
        <v>1020</v>
      </c>
      <c r="B4285" s="27" t="s">
        <v>956</v>
      </c>
      <c r="E4285" s="21">
        <f>IF(D4285="?OLD","!!!","")</f>
        <v/>
      </c>
      <c r="F4285" s="22" t="str">
        <f>IF(OR(E4285="",E4285="!!!"),"",IF(NOT(ISNA(VLOOKUP(E4285,E$1:E4284,1,FALSE()))),"OLD",IF(AND(E4285&lt;&gt;"",E4285&lt;&gt;"!!!"),"NEW","")))</f>
        <v> </v>
      </c>
      <c r="G4285" s="23" t="str">
        <f>IF(OR(E4285="",E4285="!!!"),"",IF(OR(J4285=0,AND(J4285=1,K4285=1),AND(J4285=1,I4285="SBJ"),AND(J4285=1,I4285=0)),"?IN_FOCUS",IF(J4285&lt;=2,"?ACTIVATED",IF(J4285&lt;&gt;"","?FAMILIAR",IF(F4285="NEW",IF(ISNA(VLOOKUP(E4285,#REF!,1,FALSE())),"?TYPE_IDENTIFIABLE","?REFERENTIAL"),"_")))))</f>
        <v> </v>
      </c>
      <c r="H4285" s="24" t="str">
        <f>IF(J4285&lt;&gt;1,"",IF(I4285="SBJ","CB","?"))</f>
        <v> </v>
      </c>
      <c r="I4285" s="25" t="str">
        <f>IF(OR(E4285="",E4285="!!!",F4285="NEW"),"",INDEX(B4284:B$2,-1+SUMPRODUCT(MAX(ROW(E4284:E$2)*(E4285=E4284:E$2)))))</f>
        <v> </v>
      </c>
      <c r="J4285" s="25" t="str">
        <f>IF(OR(E4285="",E4285="!!!",F4285="NEW"),"",COUNTBLANK(OFFSET(A$1,,,SUMPRODUCT(MAX(ROW(E$2:E4285)*(E4285=E$2:E4285)))))-COUNTBLANK(OFFSET(A$1,,,SUMPRODUCT(MAX(ROW(E$1:E4284)*(E2=E$1:E4284))))))</f>
        <v> </v>
      </c>
      <c r="K4285" s="25" t="str">
        <f>IF(OR(E4285="",E4285="!!!",F4285="NEW"),"",INDEX(J$1:J4284,SUMPRODUCT(MAX(ROW(E$1:E4284)*(E4285=E$1:E4284)))))</f>
        <v> </v>
      </c>
      <c r="L4285" s="26"/>
    </row>
    <row r="4286" spans="1:12">
      <c r="A4286" s="20" t="s">
        <v>757</v>
      </c>
      <c r="E4286" s="21">
        <f>IF(D4286="?OLD","!!!","")</f>
        <v/>
      </c>
      <c r="F4286" s="22" t="str">
        <f>IF(OR(E4286="",E4286="!!!"),"",IF(NOT(ISNA(VLOOKUP(E4286,E$1:E4285,1,FALSE()))),"OLD",IF(AND(E4286&lt;&gt;"",E4286&lt;&gt;"!!!"),"NEW","")))</f>
        <v> </v>
      </c>
      <c r="G4286" s="23" t="str">
        <f>IF(OR(E4286="",E4286="!!!"),"",IF(OR(J4286=0,AND(J4286=1,K4286=1),AND(J4286=1,I4286="SBJ"),AND(J4286=1,I4286=0)),"?IN_FOCUS",IF(J4286&lt;=2,"?ACTIVATED",IF(J4286&lt;&gt;"","?FAMILIAR",IF(F4286="NEW",IF(ISNA(VLOOKUP(E4286,#REF!,1,FALSE())),"?TYPE_IDENTIFIABLE","?REFERENTIAL"),"_")))))</f>
        <v> </v>
      </c>
      <c r="H4286" s="24" t="str">
        <f>IF(J4286&lt;&gt;1,"",IF(I4286="SBJ","CB","?"))</f>
        <v> </v>
      </c>
      <c r="I4286" s="25" t="str">
        <f>IF(OR(E4286="",E4286="!!!",F4286="NEW"),"",INDEX(B4285:B$2,-1+SUMPRODUCT(MAX(ROW(E4285:E$2)*(E4286=E4285:E$2)))))</f>
        <v> </v>
      </c>
      <c r="J4286" s="25" t="str">
        <f>IF(OR(E4286="",E4286="!!!",F4286="NEW"),"",COUNTBLANK(OFFSET(A$1,,,SUMPRODUCT(MAX(ROW(E$2:E4286)*(E4286=E$2:E4286)))))-COUNTBLANK(OFFSET(A$1,,,SUMPRODUCT(MAX(ROW(E$1:E4285)*(E2=E$1:E4285))))))</f>
        <v> </v>
      </c>
      <c r="K4286" s="25" t="str">
        <f>IF(OR(E4286="",E4286="!!!",F4286="NEW"),"",INDEX(J$1:J4285,SUMPRODUCT(MAX(ROW(E$1:E4285)*(E4286=E$1:E4285)))))</f>
        <v> </v>
      </c>
      <c r="L4286" s="26"/>
    </row>
    <row r="4287" spans="1:12">
      <c r="A4287" s="20" t="s">
        <v>882</v>
      </c>
      <c r="E4287" s="21">
        <f>IF(D4287="?OLD","!!!","")</f>
        <v/>
      </c>
      <c r="F4287" s="22" t="str">
        <f>IF(OR(E4287="",E4287="!!!"),"",IF(NOT(ISNA(VLOOKUP(E4287,E$1:E4286,1,FALSE()))),"OLD",IF(AND(E4287&lt;&gt;"",E4287&lt;&gt;"!!!"),"NEW","")))</f>
        <v> </v>
      </c>
      <c r="G4287" s="23" t="str">
        <f>IF(OR(E4287="",E4287="!!!"),"",IF(OR(J4287=0,AND(J4287=1,K4287=1),AND(J4287=1,I4287="SBJ"),AND(J4287=1,I4287=0)),"?IN_FOCUS",IF(J4287&lt;=2,"?ACTIVATED",IF(J4287&lt;&gt;"","?FAMILIAR",IF(F4287="NEW",IF(ISNA(VLOOKUP(E4287,#REF!,1,FALSE())),"?TYPE_IDENTIFIABLE","?REFERENTIAL"),"_")))))</f>
        <v> </v>
      </c>
      <c r="H4287" s="24" t="str">
        <f>IF(J4287&lt;&gt;1,"",IF(I4287="SBJ","CB","?"))</f>
        <v> </v>
      </c>
      <c r="I4287" s="25" t="str">
        <f>IF(OR(E4287="",E4287="!!!",F4287="NEW"),"",INDEX(B4286:B$2,-1+SUMPRODUCT(MAX(ROW(E4286:E$2)*(E4287=E4286:E$2)))))</f>
        <v> </v>
      </c>
      <c r="J4287" s="25" t="str">
        <f>IF(OR(E4287="",E4287="!!!",F4287="NEW"),"",COUNTBLANK(OFFSET(A$1,,,SUMPRODUCT(MAX(ROW(E$2:E4287)*(E4287=E$2:E4287)))))-COUNTBLANK(OFFSET(A$1,,,SUMPRODUCT(MAX(ROW(E$1:E4286)*(E2=E$1:E4286))))))</f>
        <v> </v>
      </c>
      <c r="K4287" s="25" t="str">
        <f>IF(OR(E4287="",E4287="!!!",F4287="NEW"),"",INDEX(J$1:J4286,SUMPRODUCT(MAX(ROW(E$1:E4286)*(E4287=E$1:E4286)))))</f>
        <v> </v>
      </c>
      <c r="L4287" s="26"/>
    </row>
    <row r="4288" spans="1:12">
      <c r="A4288" s="20" t="s">
        <v>779</v>
      </c>
      <c r="E4288" s="21">
        <f>IF(D4288="?OLD","!!!","")</f>
        <v/>
      </c>
      <c r="F4288" s="22" t="str">
        <f>IF(OR(E4288="",E4288="!!!"),"",IF(NOT(ISNA(VLOOKUP(E4288,E$1:E4287,1,FALSE()))),"OLD",IF(AND(E4288&lt;&gt;"",E4288&lt;&gt;"!!!"),"NEW","")))</f>
        <v> </v>
      </c>
      <c r="G4288" s="23" t="str">
        <f>IF(OR(E4288="",E4288="!!!"),"",IF(OR(J4288=0,AND(J4288=1,K4288=1),AND(J4288=1,I4288="SBJ"),AND(J4288=1,I4288=0)),"?IN_FOCUS",IF(J4288&lt;=2,"?ACTIVATED",IF(J4288&lt;&gt;"","?FAMILIAR",IF(F4288="NEW",IF(ISNA(VLOOKUP(E4288,#REF!,1,FALSE())),"?TYPE_IDENTIFIABLE","?REFERENTIAL"),"_")))))</f>
        <v> </v>
      </c>
      <c r="H4288" s="24" t="str">
        <f>IF(J4288&lt;&gt;1,"",IF(I4288="SBJ","CB","?"))</f>
        <v> </v>
      </c>
      <c r="I4288" s="25" t="str">
        <f>IF(OR(E4288="",E4288="!!!",F4288="NEW"),"",INDEX(B4287:B$2,-1+SUMPRODUCT(MAX(ROW(E4287:E$2)*(E4288=E4287:E$2)))))</f>
        <v> </v>
      </c>
      <c r="J4288" s="25" t="str">
        <f>IF(OR(E4288="",E4288="!!!",F4288="NEW"),"",COUNTBLANK(OFFSET(A$1,,,SUMPRODUCT(MAX(ROW(E$2:E4288)*(E4288=E$2:E4288)))))-COUNTBLANK(OFFSET(A$1,,,SUMPRODUCT(MAX(ROW(E$1:E4287)*(E2=E$1:E4287))))))</f>
        <v> </v>
      </c>
      <c r="K4288" s="25" t="str">
        <f>IF(OR(E4288="",E4288="!!!",F4288="NEW"),"",INDEX(J$1:J4287,SUMPRODUCT(MAX(ROW(E$1:E4287)*(E4288=E$1:E4287)))))</f>
        <v> </v>
      </c>
      <c r="L4288" s="26"/>
    </row>
    <row r="4289" spans="1:12">
      <c r="A4289" s="20" t="s">
        <v>1943</v>
      </c>
      <c r="B4289" s="27" t="s">
        <v>879</v>
      </c>
      <c r="C4289" s="27" t="s">
        <v>768</v>
      </c>
      <c r="E4289" s="21">
        <f>IF(D4289="?OLD","!!!","")</f>
        <v/>
      </c>
      <c r="F4289" s="22" t="str">
        <f>IF(OR(E4289="",E4289="!!!"),"",IF(NOT(ISNA(VLOOKUP(E4289,E$1:E4288,1,FALSE()))),"OLD",IF(AND(E4289&lt;&gt;"",E4289&lt;&gt;"!!!"),"NEW","")))</f>
        <v> </v>
      </c>
      <c r="G4289" s="23" t="str">
        <f>IF(OR(E4289="",E4289="!!!"),"",IF(OR(J4289=0,AND(J4289=1,K4289=1),AND(J4289=1,I4289="SBJ"),AND(J4289=1,I4289=0)),"?IN_FOCUS",IF(J4289&lt;=2,"?ACTIVATED",IF(J4289&lt;&gt;"","?FAMILIAR",IF(F4289="NEW",IF(ISNA(VLOOKUP(E4289,#REF!,1,FALSE())),"?TYPE_IDENTIFIABLE","?REFERENTIAL"),"_")))))</f>
        <v> </v>
      </c>
      <c r="H4289" s="24" t="str">
        <f>IF(J4289&lt;&gt;1,"",IF(I4289="SBJ","CB","?"))</f>
        <v> </v>
      </c>
      <c r="I4289" s="25" t="str">
        <f>IF(OR(E4289="",E4289="!!!",F4289="NEW"),"",INDEX(B4288:B$2,-1+SUMPRODUCT(MAX(ROW(E4288:E$2)*(E4289=E4288:E$2)))))</f>
        <v> </v>
      </c>
      <c r="J4289" s="25" t="str">
        <f>IF(OR(E4289="",E4289="!!!",F4289="NEW"),"",COUNTBLANK(OFFSET(A$1,,,SUMPRODUCT(MAX(ROW(E$2:E4289)*(E4289=E$2:E4289)))))-COUNTBLANK(OFFSET(A$1,,,SUMPRODUCT(MAX(ROW(E$1:E4288)*(E2=E$1:E4288))))))</f>
        <v> </v>
      </c>
      <c r="K4289" s="25" t="str">
        <f>IF(OR(E4289="",E4289="!!!",F4289="NEW"),"",INDEX(J$1:J4288,SUMPRODUCT(MAX(ROW(E$1:E4288)*(E4289=E$1:E4288)))))</f>
        <v> </v>
      </c>
      <c r="L4289" s="26"/>
    </row>
    <row r="4290" spans="1:12">
      <c r="A4290" s="20" t="s">
        <v>757</v>
      </c>
      <c r="E4290" s="21">
        <f>IF(D4290="?OLD","!!!","")</f>
        <v/>
      </c>
      <c r="F4290" s="22" t="str">
        <f>IF(OR(E4290="",E4290="!!!"),"",IF(NOT(ISNA(VLOOKUP(E4290,E$1:E4289,1,FALSE()))),"OLD",IF(AND(E4290&lt;&gt;"",E4290&lt;&gt;"!!!"),"NEW","")))</f>
        <v> </v>
      </c>
      <c r="G4290" s="23" t="str">
        <f>IF(OR(E4290="",E4290="!!!"),"",IF(OR(J4290=0,AND(J4290=1,K4290=1),AND(J4290=1,I4290="SBJ"),AND(J4290=1,I4290=0)),"?IN_FOCUS",IF(J4290&lt;=2,"?ACTIVATED",IF(J4290&lt;&gt;"","?FAMILIAR",IF(F4290="NEW",IF(ISNA(VLOOKUP(E4290,#REF!,1,FALSE())),"?TYPE_IDENTIFIABLE","?REFERENTIAL"),"_")))))</f>
        <v> </v>
      </c>
      <c r="H4290" s="24" t="str">
        <f>IF(J4290&lt;&gt;1,"",IF(I4290="SBJ","CB","?"))</f>
        <v> </v>
      </c>
      <c r="I4290" s="25" t="str">
        <f>IF(OR(E4290="",E4290="!!!",F4290="NEW"),"",INDEX(B4289:B$2,-1+SUMPRODUCT(MAX(ROW(E4289:E$2)*(E4290=E4289:E$2)))))</f>
        <v> </v>
      </c>
      <c r="J4290" s="25" t="str">
        <f>IF(OR(E4290="",E4290="!!!",F4290="NEW"),"",COUNTBLANK(OFFSET(A$1,,,SUMPRODUCT(MAX(ROW(E$2:E4290)*(E4290=E$2:E4290)))))-COUNTBLANK(OFFSET(A$1,,,SUMPRODUCT(MAX(ROW(E$1:E4289)*(E2=E$1:E4289))))))</f>
        <v> </v>
      </c>
      <c r="K4290" s="25" t="str">
        <f>IF(OR(E4290="",E4290="!!!",F4290="NEW"),"",INDEX(J$1:J4289,SUMPRODUCT(MAX(ROW(E$1:E4289)*(E4290=E$1:E4289)))))</f>
        <v> </v>
      </c>
      <c r="L4290" s="26"/>
    </row>
    <row r="4291" spans="1:12">
      <c r="A4291" s="20" t="s">
        <v>897</v>
      </c>
      <c r="E4291" s="21">
        <f>IF(D4291="?OLD","!!!","")</f>
        <v/>
      </c>
      <c r="F4291" s="22" t="str">
        <f>IF(OR(E4291="",E4291="!!!"),"",IF(NOT(ISNA(VLOOKUP(E4291,E$1:E4290,1,FALSE()))),"OLD",IF(AND(E4291&lt;&gt;"",E4291&lt;&gt;"!!!"),"NEW","")))</f>
        <v> </v>
      </c>
      <c r="G4291" s="23" t="str">
        <f>IF(OR(E4291="",E4291="!!!"),"",IF(OR(J4291=0,AND(J4291=1,K4291=1),AND(J4291=1,I4291="SBJ"),AND(J4291=1,I4291=0)),"?IN_FOCUS",IF(J4291&lt;=2,"?ACTIVATED",IF(J4291&lt;&gt;"","?FAMILIAR",IF(F4291="NEW",IF(ISNA(VLOOKUP(E4291,#REF!,1,FALSE())),"?TYPE_IDENTIFIABLE","?REFERENTIAL"),"_")))))</f>
        <v> </v>
      </c>
      <c r="H4291" s="24" t="str">
        <f>IF(J4291&lt;&gt;1,"",IF(I4291="SBJ","CB","?"))</f>
        <v> </v>
      </c>
      <c r="I4291" s="25" t="str">
        <f>IF(OR(E4291="",E4291="!!!",F4291="NEW"),"",INDEX(B4290:B$2,-1+SUMPRODUCT(MAX(ROW(E4290:E$2)*(E4291=E4290:E$2)))))</f>
        <v> </v>
      </c>
      <c r="J4291" s="25" t="str">
        <f>IF(OR(E4291="",E4291="!!!",F4291="NEW"),"",COUNTBLANK(OFFSET(A$1,,,SUMPRODUCT(MAX(ROW(E$2:E4291)*(E4291=E$2:E4291)))))-COUNTBLANK(OFFSET(A$1,,,SUMPRODUCT(MAX(ROW(E$1:E4290)*(E2=E$1:E4290))))))</f>
        <v> </v>
      </c>
      <c r="K4291" s="25" t="str">
        <f>IF(OR(E4291="",E4291="!!!",F4291="NEW"),"",INDEX(J$1:J4290,SUMPRODUCT(MAX(ROW(E$1:E4290)*(E4291=E$1:E4290)))))</f>
        <v> </v>
      </c>
      <c r="L4291" s="26"/>
    </row>
    <row r="4292" spans="1:12">
      <c r="A4292" s="20" t="s">
        <v>779</v>
      </c>
      <c r="E4292" s="21">
        <f>IF(D4292="?OLD","!!!","")</f>
        <v/>
      </c>
      <c r="F4292" s="22" t="str">
        <f>IF(OR(E4292="",E4292="!!!"),"",IF(NOT(ISNA(VLOOKUP(E4292,E$1:E4291,1,FALSE()))),"OLD",IF(AND(E4292&lt;&gt;"",E4292&lt;&gt;"!!!"),"NEW","")))</f>
        <v> </v>
      </c>
      <c r="G4292" s="23" t="str">
        <f>IF(OR(E4292="",E4292="!!!"),"",IF(OR(J4292=0,AND(J4292=1,K4292=1),AND(J4292=1,I4292="SBJ"),AND(J4292=1,I4292=0)),"?IN_FOCUS",IF(J4292&lt;=2,"?ACTIVATED",IF(J4292&lt;&gt;"","?FAMILIAR",IF(F4292="NEW",IF(ISNA(VLOOKUP(E4292,#REF!,1,FALSE())),"?TYPE_IDENTIFIABLE","?REFERENTIAL"),"_")))))</f>
        <v> </v>
      </c>
      <c r="H4292" s="24" t="str">
        <f>IF(J4292&lt;&gt;1,"",IF(I4292="SBJ","CB","?"))</f>
        <v> </v>
      </c>
      <c r="I4292" s="25" t="str">
        <f>IF(OR(E4292="",E4292="!!!",F4292="NEW"),"",INDEX(B4291:B$2,-1+SUMPRODUCT(MAX(ROW(E4291:E$2)*(E4292=E4291:E$2)))))</f>
        <v> </v>
      </c>
      <c r="J4292" s="25" t="str">
        <f>IF(OR(E4292="",E4292="!!!",F4292="NEW"),"",COUNTBLANK(OFFSET(A$1,,,SUMPRODUCT(MAX(ROW(E$2:E4292)*(E4292=E$2:E4292)))))-COUNTBLANK(OFFSET(A$1,,,SUMPRODUCT(MAX(ROW(E$1:E4291)*(E2=E$1:E4291))))))</f>
        <v> </v>
      </c>
      <c r="K4292" s="25" t="str">
        <f>IF(OR(E4292="",E4292="!!!",F4292="NEW"),"",INDEX(J$1:J4291,SUMPRODUCT(MAX(ROW(E$1:E4291)*(E4292=E$1:E4291)))))</f>
        <v> </v>
      </c>
      <c r="L4292" s="26"/>
    </row>
    <row r="4293" spans="1:12">
      <c r="A4293" s="20" t="s">
        <v>952</v>
      </c>
      <c r="B4293" s="27" t="s">
        <v>894</v>
      </c>
      <c r="C4293" s="27" t="s">
        <v>768</v>
      </c>
      <c r="E4293" s="21">
        <f>IF(D4293="?OLD","!!!","")</f>
        <v/>
      </c>
      <c r="F4293" s="22" t="str">
        <f>IF(OR(E4293="",E4293="!!!"),"",IF(NOT(ISNA(VLOOKUP(E4293,E$1:E4292,1,FALSE()))),"OLD",IF(AND(E4293&lt;&gt;"",E4293&lt;&gt;"!!!"),"NEW","")))</f>
        <v> </v>
      </c>
      <c r="G4293" s="23" t="str">
        <f>IF(OR(E4293="",E4293="!!!"),"",IF(OR(J4293=0,AND(J4293=1,K4293=1),AND(J4293=1,I4293="SBJ"),AND(J4293=1,I4293=0)),"?IN_FOCUS",IF(J4293&lt;=2,"?ACTIVATED",IF(J4293&lt;&gt;"","?FAMILIAR",IF(F4293="NEW",IF(ISNA(VLOOKUP(E4293,#REF!,1,FALSE())),"?TYPE_IDENTIFIABLE","?REFERENTIAL"),"_")))))</f>
        <v> </v>
      </c>
      <c r="H4293" s="24" t="str">
        <f>IF(J4293&lt;&gt;1,"",IF(I4293="SBJ","CB","?"))</f>
        <v> </v>
      </c>
      <c r="I4293" s="25" t="str">
        <f>IF(OR(E4293="",E4293="!!!",F4293="NEW"),"",INDEX(B4292:B$2,-1+SUMPRODUCT(MAX(ROW(E4292:E$2)*(E4293=E4292:E$2)))))</f>
        <v> </v>
      </c>
      <c r="J4293" s="25" t="str">
        <f>IF(OR(E4293="",E4293="!!!",F4293="NEW"),"",COUNTBLANK(OFFSET(A$1,,,SUMPRODUCT(MAX(ROW(E$2:E4293)*(E4293=E$2:E4293)))))-COUNTBLANK(OFFSET(A$1,,,SUMPRODUCT(MAX(ROW(E$1:E4292)*(E2=E$1:E4292))))))</f>
        <v> </v>
      </c>
      <c r="K4293" s="25" t="str">
        <f>IF(OR(E4293="",E4293="!!!",F4293="NEW"),"",INDEX(J$1:J4292,SUMPRODUCT(MAX(ROW(E$1:E4292)*(E4293=E$1:E4292)))))</f>
        <v> </v>
      </c>
      <c r="L4293" s="26"/>
    </row>
    <row r="4294" spans="1:12">
      <c r="A4294" s="20" t="s">
        <v>774</v>
      </c>
      <c r="E4294" s="21">
        <f>IF(D4294="?OLD","!!!","")</f>
        <v/>
      </c>
      <c r="F4294" s="22" t="str">
        <f>IF(OR(E4294="",E4294="!!!"),"",IF(NOT(ISNA(VLOOKUP(E4294,E$1:E4293,1,FALSE()))),"OLD",IF(AND(E4294&lt;&gt;"",E4294&lt;&gt;"!!!"),"NEW","")))</f>
        <v> </v>
      </c>
      <c r="G4294" s="23" t="str">
        <f>IF(OR(E4294="",E4294="!!!"),"",IF(OR(J4294=0,AND(J4294=1,K4294=1),AND(J4294=1,I4294="SBJ"),AND(J4294=1,I4294=0)),"?IN_FOCUS",IF(J4294&lt;=2,"?ACTIVATED",IF(J4294&lt;&gt;"","?FAMILIAR",IF(F4294="NEW",IF(ISNA(VLOOKUP(E4294,#REF!,1,FALSE())),"?TYPE_IDENTIFIABLE","?REFERENTIAL"),"_")))))</f>
        <v> </v>
      </c>
      <c r="H4294" s="24" t="str">
        <f>IF(J4294&lt;&gt;1,"",IF(I4294="SBJ","CB","?"))</f>
        <v> </v>
      </c>
      <c r="I4294" s="25" t="str">
        <f>IF(OR(E4294="",E4294="!!!",F4294="NEW"),"",INDEX(B4293:B$2,-1+SUMPRODUCT(MAX(ROW(E4293:E$2)*(E4294=E4293:E$2)))))</f>
        <v> </v>
      </c>
      <c r="J4294" s="25" t="str">
        <f>IF(OR(E4294="",E4294="!!!",F4294="NEW"),"",COUNTBLANK(OFFSET(A$1,,,SUMPRODUCT(MAX(ROW(E$2:E4294)*(E4294=E$2:E4294)))))-COUNTBLANK(OFFSET(A$1,,,SUMPRODUCT(MAX(ROW(E$1:E4293)*(E2=E$1:E4293))))))</f>
        <v> </v>
      </c>
      <c r="K4294" s="25" t="str">
        <f>IF(OR(E4294="",E4294="!!!",F4294="NEW"),"",INDEX(J$1:J4293,SUMPRODUCT(MAX(ROW(E$1:E4293)*(E4294=E$1:E4293)))))</f>
        <v> </v>
      </c>
      <c r="L4294" s="26"/>
    </row>
    <row r="4295" spans="1:12">
      <c r="A4295" s="20"/>
    </row>
    <row r="4296" spans="1:12">
      <c r="A4296" s="20" t="s">
        <v>1944</v>
      </c>
    </row>
    <row r="4297" spans="1:12">
      <c r="A4297" s="20" t="s">
        <v>1936</v>
      </c>
      <c r="E4297" s="21">
        <f>IF(D4297="?OLD","!!!","")</f>
        <v/>
      </c>
      <c r="F4297" s="22" t="str">
        <f>IF(OR(E4297="",E4297="!!!"),"",IF(NOT(ISNA(VLOOKUP(E4297,E$1:E4296,1,FALSE()))),"OLD",IF(AND(E4297&lt;&gt;"",E4297&lt;&gt;"!!!"),"NEW","")))</f>
        <v> </v>
      </c>
      <c r="G4297" s="23" t="str">
        <f>IF(OR(E4297="",E4297="!!!"),"",IF(OR(J4297=0,AND(J4297=1,K4297=1),AND(J4297=1,I4297="SBJ"),AND(J4297=1,I4297=0)),"?IN_FOCUS",IF(J4297&lt;=2,"?ACTIVATED",IF(J4297&lt;&gt;"","?FAMILIAR",IF(F4297="NEW",IF(ISNA(VLOOKUP(E4297,#REF!,1,FALSE())),"?TYPE_IDENTIFIABLE","?REFERENTIAL"),"_")))))</f>
        <v> </v>
      </c>
      <c r="H4297" s="24" t="str">
        <f>IF(J4297&lt;&gt;1,"",IF(I4297="SBJ","CB","?"))</f>
        <v> </v>
      </c>
      <c r="I4297" s="25" t="str">
        <f>IF(OR(E4297="",E4297="!!!",F4297="NEW"),"",INDEX(B4296:B$2,-1+SUMPRODUCT(MAX(ROW(E4296:E$2)*(E4297=E4296:E$2)))))</f>
        <v> </v>
      </c>
      <c r="J4297" s="25" t="str">
        <f>IF(OR(E4297="",E4297="!!!",F4297="NEW"),"",COUNTBLANK(OFFSET(A$1,,,SUMPRODUCT(MAX(ROW(E$2:E4297)*(E4297=E$2:E4297)))))-COUNTBLANK(OFFSET(A$1,,,SUMPRODUCT(MAX(ROW(E$1:E4296)*(E2=E$1:E4296))))))</f>
        <v> </v>
      </c>
      <c r="K4297" s="25" t="str">
        <f>IF(OR(E4297="",E4297="!!!",F4297="NEW"),"",INDEX(J$1:J4296,SUMPRODUCT(MAX(ROW(E$1:E4296)*(E4297=E$1:E4296)))))</f>
        <v> </v>
      </c>
      <c r="L4297" s="26"/>
    </row>
    <row r="4298" spans="1:12">
      <c r="A4298" s="20" t="s">
        <v>795</v>
      </c>
      <c r="B4298" s="27" t="s">
        <v>760</v>
      </c>
      <c r="C4298" s="27" t="s">
        <v>797</v>
      </c>
      <c r="D4298" s="27" t="s">
        <v>762</v>
      </c>
      <c r="E4298" s="21">
        <f>IF(D4298="?OLD","!!!","")</f>
        <v/>
      </c>
      <c r="F4298" s="22" t="str">
        <f>IF(OR(E4298="",E4298="!!!"),"",IF(NOT(ISNA(VLOOKUP(E4298,E$1:E4297,1,FALSE()))),"OLD",IF(AND(E4298&lt;&gt;"",E4298&lt;&gt;"!!!"),"NEW","")))</f>
        <v> </v>
      </c>
      <c r="G4298" s="23" t="str">
        <f>IF(OR(E4298="",E4298="!!!"),"",IF(OR(J4298=0,AND(J4298=1,K4298=1),AND(J4298=1,I4298="SBJ"),AND(J4298=1,I4298=0)),"?IN_FOCUS",IF(J4298&lt;=2,"?ACTIVATED",IF(J4298&lt;&gt;"","?FAMILIAR",IF(F4298="NEW",IF(ISNA(VLOOKUP(E4298,#REF!,1,FALSE())),"?TYPE_IDENTIFIABLE","?REFERENTIAL"),"_")))))</f>
        <v> </v>
      </c>
      <c r="H4298" s="24" t="str">
        <f>IF(J4298&lt;&gt;1,"",IF(I4298="SBJ","CB","?"))</f>
        <v> </v>
      </c>
      <c r="I4298" s="25" t="str">
        <f>IF(OR(E4298="",E4298="!!!",F4298="NEW"),"",INDEX(B4297:B$2,-1+SUMPRODUCT(MAX(ROW(E4297:E$2)*(E4298=E4297:E$2)))))</f>
        <v> </v>
      </c>
      <c r="J4298" s="25" t="str">
        <f>IF(OR(E4298="",E4298="!!!",F4298="NEW"),"",COUNTBLANK(OFFSET(A$1,,,SUMPRODUCT(MAX(ROW(E$2:E4298)*(E4298=E$2:E4298)))))-COUNTBLANK(OFFSET(A$1,,,SUMPRODUCT(MAX(ROW(E$1:E4297)*(E2=E$1:E4297))))))</f>
        <v> </v>
      </c>
      <c r="K4298" s="25" t="str">
        <f>IF(OR(E4298="",E4298="!!!",F4298="NEW"),"",INDEX(J$1:J4297,SUMPRODUCT(MAX(ROW(E$1:E4297)*(E4298=E$1:E4297)))))</f>
        <v> </v>
      </c>
      <c r="L4298" s="26"/>
    </row>
    <row r="4299" spans="1:12">
      <c r="A4299" s="20" t="s">
        <v>810</v>
      </c>
      <c r="E4299" s="21">
        <f>IF(D4299="?OLD","!!!","")</f>
        <v/>
      </c>
      <c r="F4299" s="22" t="str">
        <f>IF(OR(E4299="",E4299="!!!"),"",IF(NOT(ISNA(VLOOKUP(E4299,E$1:E4298,1,FALSE()))),"OLD",IF(AND(E4299&lt;&gt;"",E4299&lt;&gt;"!!!"),"NEW","")))</f>
        <v> </v>
      </c>
      <c r="G4299" s="23" t="str">
        <f>IF(OR(E4299="",E4299="!!!"),"",IF(OR(J4299=0,AND(J4299=1,K4299=1),AND(J4299=1,I4299="SBJ"),AND(J4299=1,I4299=0)),"?IN_FOCUS",IF(J4299&lt;=2,"?ACTIVATED",IF(J4299&lt;&gt;"","?FAMILIAR",IF(F4299="NEW",IF(ISNA(VLOOKUP(E4299,#REF!,1,FALSE())),"?TYPE_IDENTIFIABLE","?REFERENTIAL"),"_")))))</f>
        <v> </v>
      </c>
      <c r="H4299" s="24" t="str">
        <f>IF(J4299&lt;&gt;1,"",IF(I4299="SBJ","CB","?"))</f>
        <v> </v>
      </c>
      <c r="I4299" s="25" t="str">
        <f>IF(OR(E4299="",E4299="!!!",F4299="NEW"),"",INDEX(B4298:B$2,-1+SUMPRODUCT(MAX(ROW(E4298:E$2)*(E4299=E4298:E$2)))))</f>
        <v> </v>
      </c>
      <c r="J4299" s="25" t="str">
        <f>IF(OR(E4299="",E4299="!!!",F4299="NEW"),"",COUNTBLANK(OFFSET(A$1,,,SUMPRODUCT(MAX(ROW(E$2:E4299)*(E4299=E$2:E4299)))))-COUNTBLANK(OFFSET(A$1,,,SUMPRODUCT(MAX(ROW(E$1:E4298)*(E2=E$1:E4298))))))</f>
        <v> </v>
      </c>
      <c r="K4299" s="25" t="str">
        <f>IF(OR(E4299="",E4299="!!!",F4299="NEW"),"",INDEX(J$1:J4298,SUMPRODUCT(MAX(ROW(E$1:E4298)*(E4299=E$1:E4298)))))</f>
        <v> </v>
      </c>
      <c r="L4299" s="26"/>
    </row>
    <row r="4300" spans="1:12">
      <c r="A4300" s="20" t="s">
        <v>899</v>
      </c>
      <c r="B4300" s="27" t="s">
        <v>772</v>
      </c>
      <c r="C4300" s="27" t="s">
        <v>820</v>
      </c>
      <c r="D4300" s="27" t="s">
        <v>762</v>
      </c>
      <c r="E4300" s="21">
        <f>IF(D4300="?OLD","!!!","")</f>
        <v/>
      </c>
      <c r="F4300" s="22" t="str">
        <f>IF(OR(E4300="",E4300="!!!"),"",IF(NOT(ISNA(VLOOKUP(E4300,E$1:E4299,1,FALSE()))),"OLD",IF(AND(E4300&lt;&gt;"",E4300&lt;&gt;"!!!"),"NEW","")))</f>
        <v> </v>
      </c>
      <c r="G4300" s="23" t="str">
        <f>IF(OR(E4300="",E4300="!!!"),"",IF(OR(J4300=0,AND(J4300=1,K4300=1),AND(J4300=1,I4300="SBJ"),AND(J4300=1,I4300=0)),"?IN_FOCUS",IF(J4300&lt;=2,"?ACTIVATED",IF(J4300&lt;&gt;"","?FAMILIAR",IF(F4300="NEW",IF(ISNA(VLOOKUP(E4300,#REF!,1,FALSE())),"?TYPE_IDENTIFIABLE","?REFERENTIAL"),"_")))))</f>
        <v> </v>
      </c>
      <c r="H4300" s="24" t="str">
        <f>IF(J4300&lt;&gt;1,"",IF(I4300="SBJ","CB","?"))</f>
        <v> </v>
      </c>
      <c r="I4300" s="25" t="str">
        <f>IF(OR(E4300="",E4300="!!!",F4300="NEW"),"",INDEX(B4299:B$2,-1+SUMPRODUCT(MAX(ROW(E4299:E$2)*(E4300=E4299:E$2)))))</f>
        <v> </v>
      </c>
      <c r="J4300" s="25" t="str">
        <f>IF(OR(E4300="",E4300="!!!",F4300="NEW"),"",COUNTBLANK(OFFSET(A$1,,,SUMPRODUCT(MAX(ROW(E$2:E4300)*(E4300=E$2:E4300)))))-COUNTBLANK(OFFSET(A$1,,,SUMPRODUCT(MAX(ROW(E$1:E4299)*(E2=E$1:E4299))))))</f>
        <v> </v>
      </c>
      <c r="K4300" s="25" t="str">
        <f>IF(OR(E4300="",E4300="!!!",F4300="NEW"),"",INDEX(J$1:J4299,SUMPRODUCT(MAX(ROW(E$1:E4299)*(E4300=E$1:E4299)))))</f>
        <v> </v>
      </c>
      <c r="L4300" s="26"/>
    </row>
    <row r="4301" spans="1:12">
      <c r="A4301" s="20" t="s">
        <v>1438</v>
      </c>
      <c r="E4301" s="21">
        <f>IF(D4301="?OLD","!!!","")</f>
        <v/>
      </c>
      <c r="F4301" s="22" t="str">
        <f>IF(OR(E4301="",E4301="!!!"),"",IF(NOT(ISNA(VLOOKUP(E4301,E$1:E4300,1,FALSE()))),"OLD",IF(AND(E4301&lt;&gt;"",E4301&lt;&gt;"!!!"),"NEW","")))</f>
        <v> </v>
      </c>
      <c r="G4301" s="23" t="str">
        <f>IF(OR(E4301="",E4301="!!!"),"",IF(OR(J4301=0,AND(J4301=1,K4301=1),AND(J4301=1,I4301="SBJ"),AND(J4301=1,I4301=0)),"?IN_FOCUS",IF(J4301&lt;=2,"?ACTIVATED",IF(J4301&lt;&gt;"","?FAMILIAR",IF(F4301="NEW",IF(ISNA(VLOOKUP(E4301,#REF!,1,FALSE())),"?TYPE_IDENTIFIABLE","?REFERENTIAL"),"_")))))</f>
        <v> </v>
      </c>
      <c r="H4301" s="24" t="str">
        <f>IF(J4301&lt;&gt;1,"",IF(I4301="SBJ","CB","?"))</f>
        <v> </v>
      </c>
      <c r="I4301" s="25" t="str">
        <f>IF(OR(E4301="",E4301="!!!",F4301="NEW"),"",INDEX(B4300:B$2,-1+SUMPRODUCT(MAX(ROW(E4300:E$2)*(E4301=E4300:E$2)))))</f>
        <v> </v>
      </c>
      <c r="J4301" s="25" t="str">
        <f>IF(OR(E4301="",E4301="!!!",F4301="NEW"),"",COUNTBLANK(OFFSET(A$1,,,SUMPRODUCT(MAX(ROW(E$2:E4301)*(E4301=E$2:E4301)))))-COUNTBLANK(OFFSET(A$1,,,SUMPRODUCT(MAX(ROW(E$1:E4300)*(E2=E$1:E4300))))))</f>
        <v> </v>
      </c>
      <c r="K4301" s="25" t="str">
        <f>IF(OR(E4301="",E4301="!!!",F4301="NEW"),"",INDEX(J$1:J4300,SUMPRODUCT(MAX(ROW(E$1:E4300)*(E4301=E$1:E4300)))))</f>
        <v> </v>
      </c>
      <c r="L4301" s="26"/>
    </row>
    <row r="4302" spans="1:12">
      <c r="A4302" s="20" t="s">
        <v>1095</v>
      </c>
      <c r="E4302" s="21">
        <f>IF(D4302="?OLD","!!!","")</f>
        <v/>
      </c>
      <c r="F4302" s="22" t="str">
        <f>IF(OR(E4302="",E4302="!!!"),"",IF(NOT(ISNA(VLOOKUP(E4302,E$1:E4301,1,FALSE()))),"OLD",IF(AND(E4302&lt;&gt;"",E4302&lt;&gt;"!!!"),"NEW","")))</f>
        <v> </v>
      </c>
      <c r="G4302" s="23" t="str">
        <f>IF(OR(E4302="",E4302="!!!"),"",IF(OR(J4302=0,AND(J4302=1,K4302=1),AND(J4302=1,I4302="SBJ"),AND(J4302=1,I4302=0)),"?IN_FOCUS",IF(J4302&lt;=2,"?ACTIVATED",IF(J4302&lt;&gt;"","?FAMILIAR",IF(F4302="NEW",IF(ISNA(VLOOKUP(E4302,#REF!,1,FALSE())),"?TYPE_IDENTIFIABLE","?REFERENTIAL"),"_")))))</f>
        <v> </v>
      </c>
      <c r="H4302" s="24" t="str">
        <f>IF(J4302&lt;&gt;1,"",IF(I4302="SBJ","CB","?"))</f>
        <v> </v>
      </c>
      <c r="I4302" s="25" t="str">
        <f>IF(OR(E4302="",E4302="!!!",F4302="NEW"),"",INDEX(B4301:B$2,-1+SUMPRODUCT(MAX(ROW(E4301:E$2)*(E4302=E4301:E$2)))))</f>
        <v> </v>
      </c>
      <c r="J4302" s="25" t="str">
        <f>IF(OR(E4302="",E4302="!!!",F4302="NEW"),"",COUNTBLANK(OFFSET(A$1,,,SUMPRODUCT(MAX(ROW(E$2:E4302)*(E4302=E$2:E4302)))))-COUNTBLANK(OFFSET(A$1,,,SUMPRODUCT(MAX(ROW(E$1:E4301)*(E2=E$1:E4301))))))</f>
        <v> </v>
      </c>
      <c r="K4302" s="25" t="str">
        <f>IF(OR(E4302="",E4302="!!!",F4302="NEW"),"",INDEX(J$1:J4301,SUMPRODUCT(MAX(ROW(E$1:E4301)*(E4302=E$1:E4301)))))</f>
        <v> </v>
      </c>
      <c r="L4302" s="26"/>
    </row>
    <row r="4303" spans="1:12">
      <c r="A4303" s="20" t="s">
        <v>764</v>
      </c>
      <c r="E4303" s="21">
        <f>IF(D4303="?OLD","!!!","")</f>
        <v/>
      </c>
      <c r="F4303" s="22" t="str">
        <f>IF(OR(E4303="",E4303="!!!"),"",IF(NOT(ISNA(VLOOKUP(E4303,E$1:E4302,1,FALSE()))),"OLD",IF(AND(E4303&lt;&gt;"",E4303&lt;&gt;"!!!"),"NEW","")))</f>
        <v> </v>
      </c>
      <c r="G4303" s="23" t="str">
        <f>IF(OR(E4303="",E4303="!!!"),"",IF(OR(J4303=0,AND(J4303=1,K4303=1),AND(J4303=1,I4303="SBJ"),AND(J4303=1,I4303=0)),"?IN_FOCUS",IF(J4303&lt;=2,"?ACTIVATED",IF(J4303&lt;&gt;"","?FAMILIAR",IF(F4303="NEW",IF(ISNA(VLOOKUP(E4303,#REF!,1,FALSE())),"?TYPE_IDENTIFIABLE","?REFERENTIAL"),"_")))))</f>
        <v> </v>
      </c>
      <c r="H4303" s="24" t="str">
        <f>IF(J4303&lt;&gt;1,"",IF(I4303="SBJ","CB","?"))</f>
        <v> </v>
      </c>
      <c r="I4303" s="25" t="str">
        <f>IF(OR(E4303="",E4303="!!!",F4303="NEW"),"",INDEX(B4302:B$2,-1+SUMPRODUCT(MAX(ROW(E4302:E$2)*(E4303=E4302:E$2)))))</f>
        <v> </v>
      </c>
      <c r="J4303" s="25" t="str">
        <f>IF(OR(E4303="",E4303="!!!",F4303="NEW"),"",COUNTBLANK(OFFSET(A$1,,,SUMPRODUCT(MAX(ROW(E$2:E4303)*(E4303=E$2:E4303)))))-COUNTBLANK(OFFSET(A$1,,,SUMPRODUCT(MAX(ROW(E$1:E4302)*(E2=E$1:E4302))))))</f>
        <v> </v>
      </c>
      <c r="K4303" s="25" t="str">
        <f>IF(OR(E4303="",E4303="!!!",F4303="NEW"),"",INDEX(J$1:J4302,SUMPRODUCT(MAX(ROW(E$1:E4302)*(E4303=E$1:E4302)))))</f>
        <v> </v>
      </c>
      <c r="L4303" s="26"/>
    </row>
    <row r="4304" spans="1:12">
      <c r="A4304" s="20" t="s">
        <v>1096</v>
      </c>
      <c r="B4304" s="27" t="s">
        <v>767</v>
      </c>
      <c r="C4304" s="27" t="s">
        <v>768</v>
      </c>
      <c r="E4304" s="21">
        <f>IF(D4304="?OLD","!!!","")</f>
        <v/>
      </c>
      <c r="F4304" s="22" t="str">
        <f>IF(OR(E4304="",E4304="!!!"),"",IF(NOT(ISNA(VLOOKUP(E4304,E$1:E4303,1,FALSE()))),"OLD",IF(AND(E4304&lt;&gt;"",E4304&lt;&gt;"!!!"),"NEW","")))</f>
        <v> </v>
      </c>
      <c r="G4304" s="23" t="str">
        <f>IF(OR(E4304="",E4304="!!!"),"",IF(OR(J4304=0,AND(J4304=1,K4304=1),AND(J4304=1,I4304="SBJ"),AND(J4304=1,I4304=0)),"?IN_FOCUS",IF(J4304&lt;=2,"?ACTIVATED",IF(J4304&lt;&gt;"","?FAMILIAR",IF(F4304="NEW",IF(ISNA(VLOOKUP(E4304,#REF!,1,FALSE())),"?TYPE_IDENTIFIABLE","?REFERENTIAL"),"_")))))</f>
        <v> </v>
      </c>
      <c r="H4304" s="24" t="str">
        <f>IF(J4304&lt;&gt;1,"",IF(I4304="SBJ","CB","?"))</f>
        <v> </v>
      </c>
      <c r="I4304" s="25" t="str">
        <f>IF(OR(E4304="",E4304="!!!",F4304="NEW"),"",INDEX(B4303:B$2,-1+SUMPRODUCT(MAX(ROW(E4303:E$2)*(E4304=E4303:E$2)))))</f>
        <v> </v>
      </c>
      <c r="J4304" s="25" t="str">
        <f>IF(OR(E4304="",E4304="!!!",F4304="NEW"),"",COUNTBLANK(OFFSET(A$1,,,SUMPRODUCT(MAX(ROW(E$2:E4304)*(E4304=E$2:E4304)))))-COUNTBLANK(OFFSET(A$1,,,SUMPRODUCT(MAX(ROW(E$1:E4303)*(E2=E$1:E4303))))))</f>
        <v> </v>
      </c>
      <c r="K4304" s="25" t="str">
        <f>IF(OR(E4304="",E4304="!!!",F4304="NEW"),"",INDEX(J$1:J4303,SUMPRODUCT(MAX(ROW(E$1:E4303)*(E4304=E$1:E4303)))))</f>
        <v> </v>
      </c>
      <c r="L4304" s="26"/>
    </row>
    <row r="4305" spans="1:12">
      <c r="A4305" s="20" t="s">
        <v>757</v>
      </c>
      <c r="E4305" s="21">
        <f>IF(D4305="?OLD","!!!","")</f>
        <v/>
      </c>
      <c r="F4305" s="22" t="str">
        <f>IF(OR(E4305="",E4305="!!!"),"",IF(NOT(ISNA(VLOOKUP(E4305,E$1:E4304,1,FALSE()))),"OLD",IF(AND(E4305&lt;&gt;"",E4305&lt;&gt;"!!!"),"NEW","")))</f>
        <v> </v>
      </c>
      <c r="G4305" s="23" t="str">
        <f>IF(OR(E4305="",E4305="!!!"),"",IF(OR(J4305=0,AND(J4305=1,K4305=1),AND(J4305=1,I4305="SBJ"),AND(J4305=1,I4305=0)),"?IN_FOCUS",IF(J4305&lt;=2,"?ACTIVATED",IF(J4305&lt;&gt;"","?FAMILIAR",IF(F4305="NEW",IF(ISNA(VLOOKUP(E4305,#REF!,1,FALSE())),"?TYPE_IDENTIFIABLE","?REFERENTIAL"),"_")))))</f>
        <v> </v>
      </c>
      <c r="H4305" s="24" t="str">
        <f>IF(J4305&lt;&gt;1,"",IF(I4305="SBJ","CB","?"))</f>
        <v> </v>
      </c>
      <c r="I4305" s="25" t="str">
        <f>IF(OR(E4305="",E4305="!!!",F4305="NEW"),"",INDEX(B4304:B$2,-1+SUMPRODUCT(MAX(ROW(E4304:E$2)*(E4305=E4304:E$2)))))</f>
        <v> </v>
      </c>
      <c r="J4305" s="25" t="str">
        <f>IF(OR(E4305="",E4305="!!!",F4305="NEW"),"",COUNTBLANK(OFFSET(A$1,,,SUMPRODUCT(MAX(ROW(E$2:E4305)*(E4305=E$2:E4305)))))-COUNTBLANK(OFFSET(A$1,,,SUMPRODUCT(MAX(ROW(E$1:E4304)*(E2=E$1:E4304))))))</f>
        <v> </v>
      </c>
      <c r="K4305" s="25" t="str">
        <f>IF(OR(E4305="",E4305="!!!",F4305="NEW"),"",INDEX(J$1:J4304,SUMPRODUCT(MAX(ROW(E$1:E4304)*(E4305=E$1:E4304)))))</f>
        <v> </v>
      </c>
      <c r="L4305" s="26"/>
    </row>
    <row r="4306" spans="1:12">
      <c r="A4306" s="20" t="s">
        <v>810</v>
      </c>
      <c r="E4306" s="21">
        <f>IF(D4306="?OLD","!!!","")</f>
        <v/>
      </c>
      <c r="F4306" s="22" t="str">
        <f>IF(OR(E4306="",E4306="!!!"),"",IF(NOT(ISNA(VLOOKUP(E4306,E$1:E4305,1,FALSE()))),"OLD",IF(AND(E4306&lt;&gt;"",E4306&lt;&gt;"!!!"),"NEW","")))</f>
        <v> </v>
      </c>
      <c r="G4306" s="23" t="str">
        <f>IF(OR(E4306="",E4306="!!!"),"",IF(OR(J4306=0,AND(J4306=1,K4306=1),AND(J4306=1,I4306="SBJ"),AND(J4306=1,I4306=0)),"?IN_FOCUS",IF(J4306&lt;=2,"?ACTIVATED",IF(J4306&lt;&gt;"","?FAMILIAR",IF(F4306="NEW",IF(ISNA(VLOOKUP(E4306,#REF!,1,FALSE())),"?TYPE_IDENTIFIABLE","?REFERENTIAL"),"_")))))</f>
        <v> </v>
      </c>
      <c r="H4306" s="24" t="str">
        <f>IF(J4306&lt;&gt;1,"",IF(I4306="SBJ","CB","?"))</f>
        <v> </v>
      </c>
      <c r="I4306" s="25" t="str">
        <f>IF(OR(E4306="",E4306="!!!",F4306="NEW"),"",INDEX(B4305:B$2,-1+SUMPRODUCT(MAX(ROW(E4305:E$2)*(E4306=E4305:E$2)))))</f>
        <v> </v>
      </c>
      <c r="J4306" s="25" t="str">
        <f>IF(OR(E4306="",E4306="!!!",F4306="NEW"),"",COUNTBLANK(OFFSET(A$1,,,SUMPRODUCT(MAX(ROW(E$2:E4306)*(E4306=E$2:E4306)))))-COUNTBLANK(OFFSET(A$1,,,SUMPRODUCT(MAX(ROW(E$1:E4305)*(E2=E$1:E4305))))))</f>
        <v> </v>
      </c>
      <c r="K4306" s="25" t="str">
        <f>IF(OR(E4306="",E4306="!!!",F4306="NEW"),"",INDEX(J$1:J4305,SUMPRODUCT(MAX(ROW(E$1:E4305)*(E4306=E$1:E4305)))))</f>
        <v> </v>
      </c>
      <c r="L4306" s="26"/>
    </row>
    <row r="4307" spans="1:12">
      <c r="A4307" s="20" t="s">
        <v>770</v>
      </c>
      <c r="E4307" s="21">
        <f>IF(D4307="?OLD","!!!","")</f>
        <v/>
      </c>
      <c r="F4307" s="22" t="str">
        <f>IF(OR(E4307="",E4307="!!!"),"",IF(NOT(ISNA(VLOOKUP(E4307,E$1:E4306,1,FALSE()))),"OLD",IF(AND(E4307&lt;&gt;"",E4307&lt;&gt;"!!!"),"NEW","")))</f>
        <v> </v>
      </c>
      <c r="G4307" s="23" t="str">
        <f>IF(OR(E4307="",E4307="!!!"),"",IF(OR(J4307=0,AND(J4307=1,K4307=1),AND(J4307=1,I4307="SBJ"),AND(J4307=1,I4307=0)),"?IN_FOCUS",IF(J4307&lt;=2,"?ACTIVATED",IF(J4307&lt;&gt;"","?FAMILIAR",IF(F4307="NEW",IF(ISNA(VLOOKUP(E4307,#REF!,1,FALSE())),"?TYPE_IDENTIFIABLE","?REFERENTIAL"),"_")))))</f>
        <v> </v>
      </c>
      <c r="H4307" s="24" t="str">
        <f>IF(J4307&lt;&gt;1,"",IF(I4307="SBJ","CB","?"))</f>
        <v> </v>
      </c>
      <c r="I4307" s="25" t="str">
        <f>IF(OR(E4307="",E4307="!!!",F4307="NEW"),"",INDEX(B4306:B$2,-1+SUMPRODUCT(MAX(ROW(E4306:E$2)*(E4307=E4306:E$2)))))</f>
        <v> </v>
      </c>
      <c r="J4307" s="25" t="str">
        <f>IF(OR(E4307="",E4307="!!!",F4307="NEW"),"",COUNTBLANK(OFFSET(A$1,,,SUMPRODUCT(MAX(ROW(E$2:E4307)*(E4307=E$2:E4307)))))-COUNTBLANK(OFFSET(A$1,,,SUMPRODUCT(MAX(ROW(E$1:E4306)*(E2=E$1:E4306))))))</f>
        <v> </v>
      </c>
      <c r="K4307" s="25" t="str">
        <f>IF(OR(E4307="",E4307="!!!",F4307="NEW"),"",INDEX(J$1:J4306,SUMPRODUCT(MAX(ROW(E$1:E4306)*(E4307=E$1:E4306)))))</f>
        <v> </v>
      </c>
      <c r="L4307" s="26"/>
    </row>
    <row r="4308" spans="1:12">
      <c r="A4308" s="20" t="s">
        <v>877</v>
      </c>
      <c r="B4308" s="27" t="s">
        <v>796</v>
      </c>
      <c r="C4308" s="27" t="s">
        <v>761</v>
      </c>
      <c r="D4308" s="27" t="s">
        <v>762</v>
      </c>
      <c r="E4308" s="21">
        <f>IF(D4308="?OLD","!!!","")</f>
        <v/>
      </c>
      <c r="F4308" s="22" t="str">
        <f>IF(OR(E4308="",E4308="!!!"),"",IF(NOT(ISNA(VLOOKUP(E4308,E$1:E4307,1,FALSE()))),"OLD",IF(AND(E4308&lt;&gt;"",E4308&lt;&gt;"!!!"),"NEW","")))</f>
        <v> </v>
      </c>
      <c r="G4308" s="23" t="str">
        <f>IF(OR(E4308="",E4308="!!!"),"",IF(OR(J4308=0,AND(J4308=1,K4308=1),AND(J4308=1,I4308="SBJ"),AND(J4308=1,I4308=0)),"?IN_FOCUS",IF(J4308&lt;=2,"?ACTIVATED",IF(J4308&lt;&gt;"","?FAMILIAR",IF(F4308="NEW",IF(ISNA(VLOOKUP(E4308,#REF!,1,FALSE())),"?TYPE_IDENTIFIABLE","?REFERENTIAL"),"_")))))</f>
        <v> </v>
      </c>
      <c r="H4308" s="24" t="str">
        <f>IF(J4308&lt;&gt;1,"",IF(I4308="SBJ","CB","?"))</f>
        <v> </v>
      </c>
      <c r="I4308" s="25" t="str">
        <f>IF(OR(E4308="",E4308="!!!",F4308="NEW"),"",INDEX(B4307:B$2,-1+SUMPRODUCT(MAX(ROW(E4307:E$2)*(E4308=E4307:E$2)))))</f>
        <v> </v>
      </c>
      <c r="J4308" s="25" t="str">
        <f>IF(OR(E4308="",E4308="!!!",F4308="NEW"),"",COUNTBLANK(OFFSET(A$1,,,SUMPRODUCT(MAX(ROW(E$2:E4308)*(E4308=E$2:E4308)))))-COUNTBLANK(OFFSET(A$1,,,SUMPRODUCT(MAX(ROW(E$1:E4307)*(E2=E$1:E4307))))))</f>
        <v> </v>
      </c>
      <c r="K4308" s="25" t="str">
        <f>IF(OR(E4308="",E4308="!!!",F4308="NEW"),"",INDEX(J$1:J4307,SUMPRODUCT(MAX(ROW(E$1:E4307)*(E4308=E$1:E4307)))))</f>
        <v> </v>
      </c>
      <c r="L4308" s="26"/>
    </row>
    <row r="4309" spans="1:12">
      <c r="A4309" s="20" t="s">
        <v>810</v>
      </c>
      <c r="E4309" s="21">
        <f>IF(D4309="?OLD","!!!","")</f>
        <v/>
      </c>
      <c r="F4309" s="22" t="str">
        <f>IF(OR(E4309="",E4309="!!!"),"",IF(NOT(ISNA(VLOOKUP(E4309,E$1:E4308,1,FALSE()))),"OLD",IF(AND(E4309&lt;&gt;"",E4309&lt;&gt;"!!!"),"NEW","")))</f>
        <v> </v>
      </c>
      <c r="G4309" s="23" t="str">
        <f>IF(OR(E4309="",E4309="!!!"),"",IF(OR(J4309=0,AND(J4309=1,K4309=1),AND(J4309=1,I4309="SBJ"),AND(J4309=1,I4309=0)),"?IN_FOCUS",IF(J4309&lt;=2,"?ACTIVATED",IF(J4309&lt;&gt;"","?FAMILIAR",IF(F4309="NEW",IF(ISNA(VLOOKUP(E4309,#REF!,1,FALSE())),"?TYPE_IDENTIFIABLE","?REFERENTIAL"),"_")))))</f>
        <v> </v>
      </c>
      <c r="H4309" s="24" t="str">
        <f>IF(J4309&lt;&gt;1,"",IF(I4309="SBJ","CB","?"))</f>
        <v> </v>
      </c>
      <c r="I4309" s="25" t="str">
        <f>IF(OR(E4309="",E4309="!!!",F4309="NEW"),"",INDEX(B4308:B$2,-1+SUMPRODUCT(MAX(ROW(E4308:E$2)*(E4309=E4308:E$2)))))</f>
        <v> </v>
      </c>
      <c r="J4309" s="25" t="str">
        <f>IF(OR(E4309="",E4309="!!!",F4309="NEW"),"",COUNTBLANK(OFFSET(A$1,,,SUMPRODUCT(MAX(ROW(E$2:E4309)*(E4309=E$2:E4309)))))-COUNTBLANK(OFFSET(A$1,,,SUMPRODUCT(MAX(ROW(E$1:E4308)*(E2=E$1:E4308))))))</f>
        <v> </v>
      </c>
      <c r="K4309" s="25" t="str">
        <f>IF(OR(E4309="",E4309="!!!",F4309="NEW"),"",INDEX(J$1:J4308,SUMPRODUCT(MAX(ROW(E$1:E4308)*(E4309=E$1:E4308)))))</f>
        <v> </v>
      </c>
      <c r="L4309" s="26"/>
    </row>
    <row r="4310" spans="1:12">
      <c r="A4310" s="20" t="s">
        <v>770</v>
      </c>
      <c r="E4310" s="21">
        <f>IF(D4310="?OLD","!!!","")</f>
        <v/>
      </c>
      <c r="F4310" s="22" t="str">
        <f>IF(OR(E4310="",E4310="!!!"),"",IF(NOT(ISNA(VLOOKUP(E4310,E$1:E4309,1,FALSE()))),"OLD",IF(AND(E4310&lt;&gt;"",E4310&lt;&gt;"!!!"),"NEW","")))</f>
        <v> </v>
      </c>
      <c r="G4310" s="23" t="str">
        <f>IF(OR(E4310="",E4310="!!!"),"",IF(OR(J4310=0,AND(J4310=1,K4310=1),AND(J4310=1,I4310="SBJ"),AND(J4310=1,I4310=0)),"?IN_FOCUS",IF(J4310&lt;=2,"?ACTIVATED",IF(J4310&lt;&gt;"","?FAMILIAR",IF(F4310="NEW",IF(ISNA(VLOOKUP(E4310,#REF!,1,FALSE())),"?TYPE_IDENTIFIABLE","?REFERENTIAL"),"_")))))</f>
        <v> </v>
      </c>
      <c r="H4310" s="24" t="str">
        <f>IF(J4310&lt;&gt;1,"",IF(I4310="SBJ","CB","?"))</f>
        <v> </v>
      </c>
      <c r="I4310" s="25" t="str">
        <f>IF(OR(E4310="",E4310="!!!",F4310="NEW"),"",INDEX(B4309:B$2,-1+SUMPRODUCT(MAX(ROW(E4309:E$2)*(E4310=E4309:E$2)))))</f>
        <v> </v>
      </c>
      <c r="J4310" s="25" t="str">
        <f>IF(OR(E4310="",E4310="!!!",F4310="NEW"),"",COUNTBLANK(OFFSET(A$1,,,SUMPRODUCT(MAX(ROW(E$2:E4310)*(E4310=E$2:E4310)))))-COUNTBLANK(OFFSET(A$1,,,SUMPRODUCT(MAX(ROW(E$1:E4309)*(E2=E$1:E4309))))))</f>
        <v> </v>
      </c>
      <c r="K4310" s="25" t="str">
        <f>IF(OR(E4310="",E4310="!!!",F4310="NEW"),"",INDEX(J$1:J4309,SUMPRODUCT(MAX(ROW(E$1:E4309)*(E4310=E$1:E4309)))))</f>
        <v> </v>
      </c>
      <c r="L4310" s="26"/>
    </row>
    <row r="4311" spans="1:12">
      <c r="A4311" s="20" t="s">
        <v>1096</v>
      </c>
      <c r="B4311" s="27" t="s">
        <v>879</v>
      </c>
      <c r="C4311" s="27" t="s">
        <v>761</v>
      </c>
      <c r="D4311" s="27" t="s">
        <v>762</v>
      </c>
      <c r="E4311" s="21">
        <f>IF(D4311="?OLD","!!!","")</f>
        <v/>
      </c>
      <c r="F4311" s="22" t="str">
        <f>IF(OR(E4311="",E4311="!!!"),"",IF(NOT(ISNA(VLOOKUP(E4311,E$1:E4310,1,FALSE()))),"OLD",IF(AND(E4311&lt;&gt;"",E4311&lt;&gt;"!!!"),"NEW","")))</f>
        <v> </v>
      </c>
      <c r="G4311" s="23" t="str">
        <f>IF(OR(E4311="",E4311="!!!"),"",IF(OR(J4311=0,AND(J4311=1,K4311=1),AND(J4311=1,I4311="SBJ"),AND(J4311=1,I4311=0)),"?IN_FOCUS",IF(J4311&lt;=2,"?ACTIVATED",IF(J4311&lt;&gt;"","?FAMILIAR",IF(F4311="NEW",IF(ISNA(VLOOKUP(E4311,#REF!,1,FALSE())),"?TYPE_IDENTIFIABLE","?REFERENTIAL"),"_")))))</f>
        <v> </v>
      </c>
      <c r="H4311" s="24" t="str">
        <f>IF(J4311&lt;&gt;1,"",IF(I4311="SBJ","CB","?"))</f>
        <v> </v>
      </c>
      <c r="I4311" s="25" t="str">
        <f>IF(OR(E4311="",E4311="!!!",F4311="NEW"),"",INDEX(B4310:B$2,-1+SUMPRODUCT(MAX(ROW(E4310:E$2)*(E4311=E4310:E$2)))))</f>
        <v> </v>
      </c>
      <c r="J4311" s="25" t="str">
        <f>IF(OR(E4311="",E4311="!!!",F4311="NEW"),"",COUNTBLANK(OFFSET(A$1,,,SUMPRODUCT(MAX(ROW(E$2:E4311)*(E4311=E$2:E4311)))))-COUNTBLANK(OFFSET(A$1,,,SUMPRODUCT(MAX(ROW(E$1:E4310)*(E2=E$1:E4310))))))</f>
        <v> </v>
      </c>
      <c r="K4311" s="25" t="str">
        <f>IF(OR(E4311="",E4311="!!!",F4311="NEW"),"",INDEX(J$1:J4310,SUMPRODUCT(MAX(ROW(E$1:E4310)*(E4311=E$1:E4310)))))</f>
        <v> </v>
      </c>
      <c r="L4311" s="26"/>
    </row>
    <row r="4312" spans="1:12">
      <c r="A4312" s="20" t="s">
        <v>1945</v>
      </c>
      <c r="E4312" s="21">
        <f>IF(D4312="?OLD","!!!","")</f>
        <v/>
      </c>
      <c r="F4312" s="22" t="str">
        <f>IF(OR(E4312="",E4312="!!!"),"",IF(NOT(ISNA(VLOOKUP(E4312,E$1:E4311,1,FALSE()))),"OLD",IF(AND(E4312&lt;&gt;"",E4312&lt;&gt;"!!!"),"NEW","")))</f>
        <v> </v>
      </c>
      <c r="G4312" s="23" t="str">
        <f>IF(OR(E4312="",E4312="!!!"),"",IF(OR(J4312=0,AND(J4312=1,K4312=1),AND(J4312=1,I4312="SBJ"),AND(J4312=1,I4312=0)),"?IN_FOCUS",IF(J4312&lt;=2,"?ACTIVATED",IF(J4312&lt;&gt;"","?FAMILIAR",IF(F4312="NEW",IF(ISNA(VLOOKUP(E4312,#REF!,1,FALSE())),"?TYPE_IDENTIFIABLE","?REFERENTIAL"),"_")))))</f>
        <v> </v>
      </c>
      <c r="H4312" s="24" t="str">
        <f>IF(J4312&lt;&gt;1,"",IF(I4312="SBJ","CB","?"))</f>
        <v> </v>
      </c>
      <c r="I4312" s="25" t="str">
        <f>IF(OR(E4312="",E4312="!!!",F4312="NEW"),"",INDEX(B4311:B$2,-1+SUMPRODUCT(MAX(ROW(E4311:E$2)*(E4312=E4311:E$2)))))</f>
        <v> </v>
      </c>
      <c r="J4312" s="25" t="str">
        <f>IF(OR(E4312="",E4312="!!!",F4312="NEW"),"",COUNTBLANK(OFFSET(A$1,,,SUMPRODUCT(MAX(ROW(E$2:E4312)*(E4312=E$2:E4312)))))-COUNTBLANK(OFFSET(A$1,,,SUMPRODUCT(MAX(ROW(E$1:E4311)*(E2=E$1:E4311))))))</f>
        <v> </v>
      </c>
      <c r="K4312" s="25" t="str">
        <f>IF(OR(E4312="",E4312="!!!",F4312="NEW"),"",INDEX(J$1:J4311,SUMPRODUCT(MAX(ROW(E$1:E4311)*(E4312=E$1:E4311)))))</f>
        <v> </v>
      </c>
      <c r="L4312" s="26"/>
    </row>
    <row r="4313" spans="1:12">
      <c r="A4313" s="20" t="s">
        <v>785</v>
      </c>
      <c r="E4313" s="21">
        <f>IF(D4313="?OLD","!!!","")</f>
        <v/>
      </c>
      <c r="F4313" s="22" t="str">
        <f>IF(OR(E4313="",E4313="!!!"),"",IF(NOT(ISNA(VLOOKUP(E4313,E$1:E4312,1,FALSE()))),"OLD",IF(AND(E4313&lt;&gt;"",E4313&lt;&gt;"!!!"),"NEW","")))</f>
        <v> </v>
      </c>
      <c r="G4313" s="23" t="str">
        <f>IF(OR(E4313="",E4313="!!!"),"",IF(OR(J4313=0,AND(J4313=1,K4313=1),AND(J4313=1,I4313="SBJ"),AND(J4313=1,I4313=0)),"?IN_FOCUS",IF(J4313&lt;=2,"?ACTIVATED",IF(J4313&lt;&gt;"","?FAMILIAR",IF(F4313="NEW",IF(ISNA(VLOOKUP(E4313,#REF!,1,FALSE())),"?TYPE_IDENTIFIABLE","?REFERENTIAL"),"_")))))</f>
        <v> </v>
      </c>
      <c r="H4313" s="24" t="str">
        <f>IF(J4313&lt;&gt;1,"",IF(I4313="SBJ","CB","?"))</f>
        <v> </v>
      </c>
      <c r="I4313" s="25" t="str">
        <f>IF(OR(E4313="",E4313="!!!",F4313="NEW"),"",INDEX(B4312:B$2,-1+SUMPRODUCT(MAX(ROW(E4312:E$2)*(E4313=E4312:E$2)))))</f>
        <v> </v>
      </c>
      <c r="J4313" s="25" t="str">
        <f>IF(OR(E4313="",E4313="!!!",F4313="NEW"),"",COUNTBLANK(OFFSET(A$1,,,SUMPRODUCT(MAX(ROW(E$2:E4313)*(E4313=E$2:E4313)))))-COUNTBLANK(OFFSET(A$1,,,SUMPRODUCT(MAX(ROW(E$1:E4312)*(E2=E$1:E4312))))))</f>
        <v> </v>
      </c>
      <c r="K4313" s="25" t="str">
        <f>IF(OR(E4313="",E4313="!!!",F4313="NEW"),"",INDEX(J$1:J4312,SUMPRODUCT(MAX(ROW(E$1:E4312)*(E4313=E$1:E4312)))))</f>
        <v> </v>
      </c>
      <c r="L4313" s="26"/>
    </row>
    <row r="4314" spans="1:12">
      <c r="A4314" s="20" t="s">
        <v>822</v>
      </c>
      <c r="E4314" s="21">
        <f>IF(D4314="?OLD","!!!","")</f>
        <v/>
      </c>
      <c r="F4314" s="22" t="str">
        <f>IF(OR(E4314="",E4314="!!!"),"",IF(NOT(ISNA(VLOOKUP(E4314,E$1:E4313,1,FALSE()))),"OLD",IF(AND(E4314&lt;&gt;"",E4314&lt;&gt;"!!!"),"NEW","")))</f>
        <v> </v>
      </c>
      <c r="G4314" s="23" t="str">
        <f>IF(OR(E4314="",E4314="!!!"),"",IF(OR(J4314=0,AND(J4314=1,K4314=1),AND(J4314=1,I4314="SBJ"),AND(J4314=1,I4314=0)),"?IN_FOCUS",IF(J4314&lt;=2,"?ACTIVATED",IF(J4314&lt;&gt;"","?FAMILIAR",IF(F4314="NEW",IF(ISNA(VLOOKUP(E4314,#REF!,1,FALSE())),"?TYPE_IDENTIFIABLE","?REFERENTIAL"),"_")))))</f>
        <v> </v>
      </c>
      <c r="H4314" s="24" t="str">
        <f>IF(J4314&lt;&gt;1,"",IF(I4314="SBJ","CB","?"))</f>
        <v> </v>
      </c>
      <c r="I4314" s="25" t="str">
        <f>IF(OR(E4314="",E4314="!!!",F4314="NEW"),"",INDEX(B4313:B$2,-1+SUMPRODUCT(MAX(ROW(E4313:E$2)*(E4314=E4313:E$2)))))</f>
        <v> </v>
      </c>
      <c r="J4314" s="25" t="str">
        <f>IF(OR(E4314="",E4314="!!!",F4314="NEW"),"",COUNTBLANK(OFFSET(A$1,,,SUMPRODUCT(MAX(ROW(E$2:E4314)*(E4314=E$2:E4314)))))-COUNTBLANK(OFFSET(A$1,,,SUMPRODUCT(MAX(ROW(E$1:E4313)*(E2=E$1:E4313))))))</f>
        <v> </v>
      </c>
      <c r="K4314" s="25" t="str">
        <f>IF(OR(E4314="",E4314="!!!",F4314="NEW"),"",INDEX(J$1:J4313,SUMPRODUCT(MAX(ROW(E$1:E4313)*(E4314=E$1:E4313)))))</f>
        <v> </v>
      </c>
      <c r="L4314" s="26"/>
    </row>
    <row r="4315" spans="1:12">
      <c r="A4315" s="20" t="s">
        <v>1946</v>
      </c>
      <c r="B4315" s="27" t="s">
        <v>772</v>
      </c>
      <c r="C4315" s="27" t="s">
        <v>798</v>
      </c>
      <c r="D4315" s="27" t="s">
        <v>762</v>
      </c>
      <c r="E4315" s="21">
        <f>IF(D4315="?OLD","!!!","")</f>
        <v/>
      </c>
      <c r="F4315" s="22" t="str">
        <f>IF(OR(E4315="",E4315="!!!"),"",IF(NOT(ISNA(VLOOKUP(E4315,E$1:E4314,1,FALSE()))),"OLD",IF(AND(E4315&lt;&gt;"",E4315&lt;&gt;"!!!"),"NEW","")))</f>
        <v> </v>
      </c>
      <c r="G4315" s="23" t="str">
        <f>IF(OR(E4315="",E4315="!!!"),"",IF(OR(J4315=0,AND(J4315=1,K4315=1),AND(J4315=1,I4315="SBJ"),AND(J4315=1,I4315=0)),"?IN_FOCUS",IF(J4315&lt;=2,"?ACTIVATED",IF(J4315&lt;&gt;"","?FAMILIAR",IF(F4315="NEW",IF(ISNA(VLOOKUP(E4315,#REF!,1,FALSE())),"?TYPE_IDENTIFIABLE","?REFERENTIAL"),"_")))))</f>
        <v> </v>
      </c>
      <c r="H4315" s="24" t="str">
        <f>IF(J4315&lt;&gt;1,"",IF(I4315="SBJ","CB","?"))</f>
        <v> </v>
      </c>
      <c r="I4315" s="25" t="str">
        <f>IF(OR(E4315="",E4315="!!!",F4315="NEW"),"",INDEX(B4314:B$2,-1+SUMPRODUCT(MAX(ROW(E4314:E$2)*(E4315=E4314:E$2)))))</f>
        <v> </v>
      </c>
      <c r="J4315" s="25" t="str">
        <f>IF(OR(E4315="",E4315="!!!",F4315="NEW"),"",COUNTBLANK(OFFSET(A$1,,,SUMPRODUCT(MAX(ROW(E$2:E4315)*(E4315=E$2:E4315)))))-COUNTBLANK(OFFSET(A$1,,,SUMPRODUCT(MAX(ROW(E$1:E4314)*(E2=E$1:E4314))))))</f>
        <v> </v>
      </c>
      <c r="K4315" s="25" t="str">
        <f>IF(OR(E4315="",E4315="!!!",F4315="NEW"),"",INDEX(J$1:J4314,SUMPRODUCT(MAX(ROW(E$1:E4314)*(E4315=E$1:E4314)))))</f>
        <v> </v>
      </c>
      <c r="L4315" s="26"/>
    </row>
    <row r="4316" spans="1:12">
      <c r="A4316" s="20" t="s">
        <v>774</v>
      </c>
      <c r="E4316" s="21">
        <f>IF(D4316="?OLD","!!!","")</f>
        <v/>
      </c>
      <c r="F4316" s="22" t="str">
        <f>IF(OR(E4316="",E4316="!!!"),"",IF(NOT(ISNA(VLOOKUP(E4316,E$1:E4315,1,FALSE()))),"OLD",IF(AND(E4316&lt;&gt;"",E4316&lt;&gt;"!!!"),"NEW","")))</f>
        <v> </v>
      </c>
      <c r="G4316" s="23" t="str">
        <f>IF(OR(E4316="",E4316="!!!"),"",IF(OR(J4316=0,AND(J4316=1,K4316=1),AND(J4316=1,I4316="SBJ"),AND(J4316=1,I4316=0)),"?IN_FOCUS",IF(J4316&lt;=2,"?ACTIVATED",IF(J4316&lt;&gt;"","?FAMILIAR",IF(F4316="NEW",IF(ISNA(VLOOKUP(E4316,#REF!,1,FALSE())),"?TYPE_IDENTIFIABLE","?REFERENTIAL"),"_")))))</f>
        <v> </v>
      </c>
      <c r="H4316" s="24" t="str">
        <f>IF(J4316&lt;&gt;1,"",IF(I4316="SBJ","CB","?"))</f>
        <v> </v>
      </c>
      <c r="I4316" s="25" t="str">
        <f>IF(OR(E4316="",E4316="!!!",F4316="NEW"),"",INDEX(B4315:B$2,-1+SUMPRODUCT(MAX(ROW(E4315:E$2)*(E4316=E4315:E$2)))))</f>
        <v> </v>
      </c>
      <c r="J4316" s="25" t="str">
        <f>IF(OR(E4316="",E4316="!!!",F4316="NEW"),"",COUNTBLANK(OFFSET(A$1,,,SUMPRODUCT(MAX(ROW(E$2:E4316)*(E4316=E$2:E4316)))))-COUNTBLANK(OFFSET(A$1,,,SUMPRODUCT(MAX(ROW(E$1:E4315)*(E2=E$1:E4315))))))</f>
        <v> </v>
      </c>
      <c r="K4316" s="25" t="str">
        <f>IF(OR(E4316="",E4316="!!!",F4316="NEW"),"",INDEX(J$1:J4315,SUMPRODUCT(MAX(ROW(E$1:E4315)*(E4316=E$1:E4315)))))</f>
        <v> </v>
      </c>
      <c r="L4316" s="26"/>
    </row>
    <row r="4317" spans="1:12">
      <c r="A4317" s="20"/>
    </row>
    <row r="4318" spans="1:12">
      <c r="A4318" s="20" t="s">
        <v>1947</v>
      </c>
    </row>
    <row r="4319" spans="1:12">
      <c r="A4319" s="20" t="s">
        <v>896</v>
      </c>
      <c r="B4319" s="27" t="s">
        <v>772</v>
      </c>
      <c r="C4319" s="27" t="s">
        <v>851</v>
      </c>
      <c r="D4319" s="27" t="s">
        <v>762</v>
      </c>
      <c r="E4319" s="21">
        <f>IF(D4319="?OLD","!!!","")</f>
        <v/>
      </c>
      <c r="F4319" s="22" t="str">
        <f>IF(OR(E4319="",E4319="!!!"),"",IF(NOT(ISNA(VLOOKUP(E4319,E$1:E4318,1,FALSE()))),"OLD",IF(AND(E4319&lt;&gt;"",E4319&lt;&gt;"!!!"),"NEW","")))</f>
        <v> </v>
      </c>
      <c r="G4319" s="23" t="str">
        <f>IF(OR(E4319="",E4319="!!!"),"",IF(OR(J4319=0,AND(J4319=1,K4319=1),AND(J4319=1,I4319="SBJ"),AND(J4319=1,I4319=0)),"?IN_FOCUS",IF(J4319&lt;=2,"?ACTIVATED",IF(J4319&lt;&gt;"","?FAMILIAR",IF(F4319="NEW",IF(ISNA(VLOOKUP(E4319,#REF!,1,FALSE())),"?TYPE_IDENTIFIABLE","?REFERENTIAL"),"_")))))</f>
        <v> </v>
      </c>
      <c r="H4319" s="24" t="str">
        <f>IF(J4319&lt;&gt;1,"",IF(I4319="SBJ","CB","?"))</f>
        <v> </v>
      </c>
      <c r="I4319" s="25" t="str">
        <f>IF(OR(E4319="",E4319="!!!",F4319="NEW"),"",INDEX(B4318:B$2,-1+SUMPRODUCT(MAX(ROW(E4318:E$2)*(E4319=E4318:E$2)))))</f>
        <v> </v>
      </c>
      <c r="J4319" s="25" t="str">
        <f>IF(OR(E4319="",E4319="!!!",F4319="NEW"),"",COUNTBLANK(OFFSET(A$1,,,SUMPRODUCT(MAX(ROW(E$2:E4319)*(E4319=E$2:E4319)))))-COUNTBLANK(OFFSET(A$1,,,SUMPRODUCT(MAX(ROW(E$1:E4318)*(E2=E$1:E4318))))))</f>
        <v> </v>
      </c>
      <c r="K4319" s="25" t="str">
        <f>IF(OR(E4319="",E4319="!!!",F4319="NEW"),"",INDEX(J$1:J4318,SUMPRODUCT(MAX(ROW(E$1:E4318)*(E4319=E$1:E4318)))))</f>
        <v> </v>
      </c>
      <c r="L4319" s="26"/>
    </row>
    <row r="4320" spans="1:12">
      <c r="A4320" s="20" t="s">
        <v>1937</v>
      </c>
      <c r="B4320" s="27" t="s">
        <v>760</v>
      </c>
      <c r="C4320" s="27" t="s">
        <v>837</v>
      </c>
      <c r="D4320" s="27" t="s">
        <v>762</v>
      </c>
      <c r="E4320" s="21">
        <f>IF(D4320="?OLD","!!!","")</f>
        <v/>
      </c>
      <c r="F4320" s="22" t="str">
        <f>IF(OR(E4320="",E4320="!!!"),"",IF(NOT(ISNA(VLOOKUP(E4320,E$1:E4319,1,FALSE()))),"OLD",IF(AND(E4320&lt;&gt;"",E4320&lt;&gt;"!!!"),"NEW","")))</f>
        <v> </v>
      </c>
      <c r="G4320" s="23" t="str">
        <f>IF(OR(E4320="",E4320="!!!"),"",IF(OR(J4320=0,AND(J4320=1,K4320=1),AND(J4320=1,I4320="SBJ"),AND(J4320=1,I4320=0)),"?IN_FOCUS",IF(J4320&lt;=2,"?ACTIVATED",IF(J4320&lt;&gt;"","?FAMILIAR",IF(F4320="NEW",IF(ISNA(VLOOKUP(E4320,#REF!,1,FALSE())),"?TYPE_IDENTIFIABLE","?REFERENTIAL"),"_")))))</f>
        <v> </v>
      </c>
      <c r="H4320" s="24" t="str">
        <f>IF(J4320&lt;&gt;1,"",IF(I4320="SBJ","CB","?"))</f>
        <v> </v>
      </c>
      <c r="I4320" s="25" t="str">
        <f>IF(OR(E4320="",E4320="!!!",F4320="NEW"),"",INDEX(B4319:B$2,-1+SUMPRODUCT(MAX(ROW(E4319:E$2)*(E4320=E4319:E$2)))))</f>
        <v> </v>
      </c>
      <c r="J4320" s="25" t="str">
        <f>IF(OR(E4320="",E4320="!!!",F4320="NEW"),"",COUNTBLANK(OFFSET(A$1,,,SUMPRODUCT(MAX(ROW(E$2:E4320)*(E4320=E$2:E4320)))))-COUNTBLANK(OFFSET(A$1,,,SUMPRODUCT(MAX(ROW(E$1:E4319)*(E2=E$1:E4319))))))</f>
        <v> </v>
      </c>
      <c r="K4320" s="25" t="str">
        <f>IF(OR(E4320="",E4320="!!!",F4320="NEW"),"",INDEX(J$1:J4319,SUMPRODUCT(MAX(ROW(E$1:E4319)*(E4320=E$1:E4319)))))</f>
        <v> </v>
      </c>
      <c r="L4320" s="26"/>
    </row>
    <row r="4321" spans="1:12">
      <c r="A4321" s="20" t="s">
        <v>810</v>
      </c>
      <c r="E4321" s="21">
        <f>IF(D4321="?OLD","!!!","")</f>
        <v/>
      </c>
      <c r="F4321" s="22" t="str">
        <f>IF(OR(E4321="",E4321="!!!"),"",IF(NOT(ISNA(VLOOKUP(E4321,E$1:E4320,1,FALSE()))),"OLD",IF(AND(E4321&lt;&gt;"",E4321&lt;&gt;"!!!"),"NEW","")))</f>
        <v> </v>
      </c>
      <c r="G4321" s="23" t="str">
        <f>IF(OR(E4321="",E4321="!!!"),"",IF(OR(J4321=0,AND(J4321=1,K4321=1),AND(J4321=1,I4321="SBJ"),AND(J4321=1,I4321=0)),"?IN_FOCUS",IF(J4321&lt;=2,"?ACTIVATED",IF(J4321&lt;&gt;"","?FAMILIAR",IF(F4321="NEW",IF(ISNA(VLOOKUP(E4321,#REF!,1,FALSE())),"?TYPE_IDENTIFIABLE","?REFERENTIAL"),"_")))))</f>
        <v> </v>
      </c>
      <c r="H4321" s="24" t="str">
        <f>IF(J4321&lt;&gt;1,"",IF(I4321="SBJ","CB","?"))</f>
        <v> </v>
      </c>
      <c r="I4321" s="25" t="str">
        <f>IF(OR(E4321="",E4321="!!!",F4321="NEW"),"",INDEX(B4320:B$2,-1+SUMPRODUCT(MAX(ROW(E4320:E$2)*(E4321=E4320:E$2)))))</f>
        <v> </v>
      </c>
      <c r="J4321" s="25" t="str">
        <f>IF(OR(E4321="",E4321="!!!",F4321="NEW"),"",COUNTBLANK(OFFSET(A$1,,,SUMPRODUCT(MAX(ROW(E$2:E4321)*(E4321=E$2:E4321)))))-COUNTBLANK(OFFSET(A$1,,,SUMPRODUCT(MAX(ROW(E$1:E4320)*(E2=E$1:E4320))))))</f>
        <v> </v>
      </c>
      <c r="K4321" s="25" t="str">
        <f>IF(OR(E4321="",E4321="!!!",F4321="NEW"),"",INDEX(J$1:J4320,SUMPRODUCT(MAX(ROW(E$1:E4320)*(E4321=E$1:E4320)))))</f>
        <v> </v>
      </c>
      <c r="L4321" s="26"/>
    </row>
    <row r="4322" spans="1:12">
      <c r="A4322" s="20" t="s">
        <v>899</v>
      </c>
      <c r="B4322" s="27" t="s">
        <v>772</v>
      </c>
      <c r="C4322" s="27" t="s">
        <v>820</v>
      </c>
      <c r="D4322" s="27" t="s">
        <v>762</v>
      </c>
      <c r="E4322" s="21">
        <f>IF(D4322="?OLD","!!!","")</f>
        <v/>
      </c>
      <c r="F4322" s="22" t="str">
        <f>IF(OR(E4322="",E4322="!!!"),"",IF(NOT(ISNA(VLOOKUP(E4322,E$1:E4321,1,FALSE()))),"OLD",IF(AND(E4322&lt;&gt;"",E4322&lt;&gt;"!!!"),"NEW","")))</f>
        <v> </v>
      </c>
      <c r="G4322" s="23" t="str">
        <f>IF(OR(E4322="",E4322="!!!"),"",IF(OR(J4322=0,AND(J4322=1,K4322=1),AND(J4322=1,I4322="SBJ"),AND(J4322=1,I4322=0)),"?IN_FOCUS",IF(J4322&lt;=2,"?ACTIVATED",IF(J4322&lt;&gt;"","?FAMILIAR",IF(F4322="NEW",IF(ISNA(VLOOKUP(E4322,#REF!,1,FALSE())),"?TYPE_IDENTIFIABLE","?REFERENTIAL"),"_")))))</f>
        <v> </v>
      </c>
      <c r="H4322" s="24" t="str">
        <f>IF(J4322&lt;&gt;1,"",IF(I4322="SBJ","CB","?"))</f>
        <v> </v>
      </c>
      <c r="I4322" s="25" t="str">
        <f>IF(OR(E4322="",E4322="!!!",F4322="NEW"),"",INDEX(B4321:B$2,-1+SUMPRODUCT(MAX(ROW(E4321:E$2)*(E4322=E4321:E$2)))))</f>
        <v> </v>
      </c>
      <c r="J4322" s="25" t="str">
        <f>IF(OR(E4322="",E4322="!!!",F4322="NEW"),"",COUNTBLANK(OFFSET(A$1,,,SUMPRODUCT(MAX(ROW(E$2:E4322)*(E4322=E$2:E4322)))))-COUNTBLANK(OFFSET(A$1,,,SUMPRODUCT(MAX(ROW(E$1:E4321)*(E2=E$1:E4321))))))</f>
        <v> </v>
      </c>
      <c r="K4322" s="25" t="str">
        <f>IF(OR(E4322="",E4322="!!!",F4322="NEW"),"",INDEX(J$1:J4321,SUMPRODUCT(MAX(ROW(E$1:E4321)*(E4322=E$1:E4321)))))</f>
        <v> </v>
      </c>
      <c r="L4322" s="26"/>
    </row>
    <row r="4323" spans="1:12">
      <c r="A4323" s="20" t="s">
        <v>1438</v>
      </c>
      <c r="E4323" s="21">
        <f>IF(D4323="?OLD","!!!","")</f>
        <v/>
      </c>
      <c r="F4323" s="22" t="str">
        <f>IF(OR(E4323="",E4323="!!!"),"",IF(NOT(ISNA(VLOOKUP(E4323,E$1:E4322,1,FALSE()))),"OLD",IF(AND(E4323&lt;&gt;"",E4323&lt;&gt;"!!!"),"NEW","")))</f>
        <v> </v>
      </c>
      <c r="G4323" s="23" t="str">
        <f>IF(OR(E4323="",E4323="!!!"),"",IF(OR(J4323=0,AND(J4323=1,K4323=1),AND(J4323=1,I4323="SBJ"),AND(J4323=1,I4323=0)),"?IN_FOCUS",IF(J4323&lt;=2,"?ACTIVATED",IF(J4323&lt;&gt;"","?FAMILIAR",IF(F4323="NEW",IF(ISNA(VLOOKUP(E4323,#REF!,1,FALSE())),"?TYPE_IDENTIFIABLE","?REFERENTIAL"),"_")))))</f>
        <v> </v>
      </c>
      <c r="H4323" s="24" t="str">
        <f>IF(J4323&lt;&gt;1,"",IF(I4323="SBJ","CB","?"))</f>
        <v> </v>
      </c>
      <c r="I4323" s="25" t="str">
        <f>IF(OR(E4323="",E4323="!!!",F4323="NEW"),"",INDEX(B4322:B$2,-1+SUMPRODUCT(MAX(ROW(E4322:E$2)*(E4323=E4322:E$2)))))</f>
        <v> </v>
      </c>
      <c r="J4323" s="25" t="str">
        <f>IF(OR(E4323="",E4323="!!!",F4323="NEW"),"",COUNTBLANK(OFFSET(A$1,,,SUMPRODUCT(MAX(ROW(E$2:E4323)*(E4323=E$2:E4323)))))-COUNTBLANK(OFFSET(A$1,,,SUMPRODUCT(MAX(ROW(E$1:E4322)*(E2=E$1:E4322))))))</f>
        <v> </v>
      </c>
      <c r="K4323" s="25" t="str">
        <f>IF(OR(E4323="",E4323="!!!",F4323="NEW"),"",INDEX(J$1:J4322,SUMPRODUCT(MAX(ROW(E$1:E4322)*(E4323=E$1:E4322)))))</f>
        <v> </v>
      </c>
      <c r="L4323" s="26"/>
    </row>
    <row r="4324" spans="1:12">
      <c r="A4324" s="20" t="s">
        <v>779</v>
      </c>
      <c r="E4324" s="21">
        <f>IF(D4324="?OLD","!!!","")</f>
        <v/>
      </c>
      <c r="F4324" s="22" t="str">
        <f>IF(OR(E4324="",E4324="!!!"),"",IF(NOT(ISNA(VLOOKUP(E4324,E$1:E4323,1,FALSE()))),"OLD",IF(AND(E4324&lt;&gt;"",E4324&lt;&gt;"!!!"),"NEW","")))</f>
        <v> </v>
      </c>
      <c r="G4324" s="23" t="str">
        <f>IF(OR(E4324="",E4324="!!!"),"",IF(OR(J4324=0,AND(J4324=1,K4324=1),AND(J4324=1,I4324="SBJ"),AND(J4324=1,I4324=0)),"?IN_FOCUS",IF(J4324&lt;=2,"?ACTIVATED",IF(J4324&lt;&gt;"","?FAMILIAR",IF(F4324="NEW",IF(ISNA(VLOOKUP(E4324,#REF!,1,FALSE())),"?TYPE_IDENTIFIABLE","?REFERENTIAL"),"_")))))</f>
        <v> </v>
      </c>
      <c r="H4324" s="24" t="str">
        <f>IF(J4324&lt;&gt;1,"",IF(I4324="SBJ","CB","?"))</f>
        <v> </v>
      </c>
      <c r="I4324" s="25" t="str">
        <f>IF(OR(E4324="",E4324="!!!",F4324="NEW"),"",INDEX(B4323:B$2,-1+SUMPRODUCT(MAX(ROW(E4323:E$2)*(E4324=E4323:E$2)))))</f>
        <v> </v>
      </c>
      <c r="J4324" s="25" t="str">
        <f>IF(OR(E4324="",E4324="!!!",F4324="NEW"),"",COUNTBLANK(OFFSET(A$1,,,SUMPRODUCT(MAX(ROW(E$2:E4324)*(E4324=E$2:E4324)))))-COUNTBLANK(OFFSET(A$1,,,SUMPRODUCT(MAX(ROW(E$1:E4323)*(E2=E$1:E4323))))))</f>
        <v> </v>
      </c>
      <c r="K4324" s="25" t="str">
        <f>IF(OR(E4324="",E4324="!!!",F4324="NEW"),"",INDEX(J$1:J4323,SUMPRODUCT(MAX(ROW(E$1:E4323)*(E4324=E$1:E4323)))))</f>
        <v> </v>
      </c>
      <c r="L4324" s="26"/>
    </row>
    <row r="4325" spans="1:12">
      <c r="A4325" s="20" t="s">
        <v>1320</v>
      </c>
      <c r="B4325" s="27" t="s">
        <v>753</v>
      </c>
      <c r="C4325" s="27" t="s">
        <v>768</v>
      </c>
      <c r="E4325" s="21">
        <f>IF(D4325="?OLD","!!!","")</f>
        <v/>
      </c>
      <c r="F4325" s="22" t="str">
        <f>IF(OR(E4325="",E4325="!!!"),"",IF(NOT(ISNA(VLOOKUP(E4325,E$1:E4324,1,FALSE()))),"OLD",IF(AND(E4325&lt;&gt;"",E4325&lt;&gt;"!!!"),"NEW","")))</f>
        <v> </v>
      </c>
      <c r="G4325" s="23" t="str">
        <f>IF(OR(E4325="",E4325="!!!"),"",IF(OR(J4325=0,AND(J4325=1,K4325=1),AND(J4325=1,I4325="SBJ"),AND(J4325=1,I4325=0)),"?IN_FOCUS",IF(J4325&lt;=2,"?ACTIVATED",IF(J4325&lt;&gt;"","?FAMILIAR",IF(F4325="NEW",IF(ISNA(VLOOKUP(E4325,#REF!,1,FALSE())),"?TYPE_IDENTIFIABLE","?REFERENTIAL"),"_")))))</f>
        <v> </v>
      </c>
      <c r="H4325" s="24" t="str">
        <f>IF(J4325&lt;&gt;1,"",IF(I4325="SBJ","CB","?"))</f>
        <v> </v>
      </c>
      <c r="I4325" s="25" t="str">
        <f>IF(OR(E4325="",E4325="!!!",F4325="NEW"),"",INDEX(B4324:B$2,-1+SUMPRODUCT(MAX(ROW(E4324:E$2)*(E4325=E4324:E$2)))))</f>
        <v> </v>
      </c>
      <c r="J4325" s="25" t="str">
        <f>IF(OR(E4325="",E4325="!!!",F4325="NEW"),"",COUNTBLANK(OFFSET(A$1,,,SUMPRODUCT(MAX(ROW(E$2:E4325)*(E4325=E$2:E4325)))))-COUNTBLANK(OFFSET(A$1,,,SUMPRODUCT(MAX(ROW(E$1:E4324)*(E2=E$1:E4324))))))</f>
        <v> </v>
      </c>
      <c r="K4325" s="25" t="str">
        <f>IF(OR(E4325="",E4325="!!!",F4325="NEW"),"",INDEX(J$1:J4324,SUMPRODUCT(MAX(ROW(E$1:E4324)*(E4325=E$1:E4324)))))</f>
        <v> </v>
      </c>
      <c r="L4325" s="26"/>
    </row>
    <row r="4326" spans="1:12">
      <c r="A4326" s="20" t="s">
        <v>1020</v>
      </c>
      <c r="B4326" s="27" t="s">
        <v>796</v>
      </c>
      <c r="E4326" s="21">
        <f>IF(D4326="?OLD","!!!","")</f>
        <v/>
      </c>
      <c r="F4326" s="22" t="str">
        <f>IF(OR(E4326="",E4326="!!!"),"",IF(NOT(ISNA(VLOOKUP(E4326,E$1:E4325,1,FALSE()))),"OLD",IF(AND(E4326&lt;&gt;"",E4326&lt;&gt;"!!!"),"NEW","")))</f>
        <v> </v>
      </c>
      <c r="G4326" s="23" t="str">
        <f>IF(OR(E4326="",E4326="!!!"),"",IF(OR(J4326=0,AND(J4326=1,K4326=1),AND(J4326=1,I4326="SBJ"),AND(J4326=1,I4326=0)),"?IN_FOCUS",IF(J4326&lt;=2,"?ACTIVATED",IF(J4326&lt;&gt;"","?FAMILIAR",IF(F4326="NEW",IF(ISNA(VLOOKUP(E4326,#REF!,1,FALSE())),"?TYPE_IDENTIFIABLE","?REFERENTIAL"),"_")))))</f>
        <v> </v>
      </c>
      <c r="H4326" s="24" t="str">
        <f>IF(J4326&lt;&gt;1,"",IF(I4326="SBJ","CB","?"))</f>
        <v> </v>
      </c>
      <c r="I4326" s="25" t="str">
        <f>IF(OR(E4326="",E4326="!!!",F4326="NEW"),"",INDEX(B4325:B$2,-1+SUMPRODUCT(MAX(ROW(E4325:E$2)*(E4326=E4325:E$2)))))</f>
        <v> </v>
      </c>
      <c r="J4326" s="25" t="str">
        <f>IF(OR(E4326="",E4326="!!!",F4326="NEW"),"",COUNTBLANK(OFFSET(A$1,,,SUMPRODUCT(MAX(ROW(E$2:E4326)*(E4326=E$2:E4326)))))-COUNTBLANK(OFFSET(A$1,,,SUMPRODUCT(MAX(ROW(E$1:E4325)*(E2=E$1:E4325))))))</f>
        <v> </v>
      </c>
      <c r="K4326" s="25" t="str">
        <f>IF(OR(E4326="",E4326="!!!",F4326="NEW"),"",INDEX(J$1:J4325,SUMPRODUCT(MAX(ROW(E$1:E4325)*(E4326=E$1:E4325)))))</f>
        <v> </v>
      </c>
      <c r="L4326" s="26"/>
    </row>
    <row r="4327" spans="1:12">
      <c r="A4327" s="20" t="s">
        <v>1948</v>
      </c>
      <c r="E4327" s="21">
        <f>IF(D4327="?OLD","!!!","")</f>
        <v/>
      </c>
      <c r="F4327" s="22" t="str">
        <f>IF(OR(E4327="",E4327="!!!"),"",IF(NOT(ISNA(VLOOKUP(E4327,E$1:E4326,1,FALSE()))),"OLD",IF(AND(E4327&lt;&gt;"",E4327&lt;&gt;"!!!"),"NEW","")))</f>
        <v> </v>
      </c>
      <c r="G4327" s="23" t="str">
        <f>IF(OR(E4327="",E4327="!!!"),"",IF(OR(J4327=0,AND(J4327=1,K4327=1),AND(J4327=1,I4327="SBJ"),AND(J4327=1,I4327=0)),"?IN_FOCUS",IF(J4327&lt;=2,"?ACTIVATED",IF(J4327&lt;&gt;"","?FAMILIAR",IF(F4327="NEW",IF(ISNA(VLOOKUP(E4327,#REF!,1,FALSE())),"?TYPE_IDENTIFIABLE","?REFERENTIAL"),"_")))))</f>
        <v> </v>
      </c>
      <c r="H4327" s="24" t="str">
        <f>IF(J4327&lt;&gt;1,"",IF(I4327="SBJ","CB","?"))</f>
        <v> </v>
      </c>
      <c r="I4327" s="25" t="str">
        <f>IF(OR(E4327="",E4327="!!!",F4327="NEW"),"",INDEX(B4326:B$2,-1+SUMPRODUCT(MAX(ROW(E4326:E$2)*(E4327=E4326:E$2)))))</f>
        <v> </v>
      </c>
      <c r="J4327" s="25" t="str">
        <f>IF(OR(E4327="",E4327="!!!",F4327="NEW"),"",COUNTBLANK(OFFSET(A$1,,,SUMPRODUCT(MAX(ROW(E$2:E4327)*(E4327=E$2:E4327)))))-COUNTBLANK(OFFSET(A$1,,,SUMPRODUCT(MAX(ROW(E$1:E4326)*(E2=E$1:E4326))))))</f>
        <v> </v>
      </c>
      <c r="K4327" s="25" t="str">
        <f>IF(OR(E4327="",E4327="!!!",F4327="NEW"),"",INDEX(J$1:J4326,SUMPRODUCT(MAX(ROW(E$1:E4326)*(E4327=E$1:E4326)))))</f>
        <v> </v>
      </c>
      <c r="L4327" s="26"/>
    </row>
    <row r="4328" spans="1:12">
      <c r="A4328" s="20" t="s">
        <v>875</v>
      </c>
      <c r="E4328" s="21">
        <f>IF(D4328="?OLD","!!!","")</f>
        <v/>
      </c>
      <c r="F4328" s="22" t="str">
        <f>IF(OR(E4328="",E4328="!!!"),"",IF(NOT(ISNA(VLOOKUP(E4328,E$1:E4327,1,FALSE()))),"OLD",IF(AND(E4328&lt;&gt;"",E4328&lt;&gt;"!!!"),"NEW","")))</f>
        <v> </v>
      </c>
      <c r="G4328" s="23" t="str">
        <f>IF(OR(E4328="",E4328="!!!"),"",IF(OR(J4328=0,AND(J4328=1,K4328=1),AND(J4328=1,I4328="SBJ"),AND(J4328=1,I4328=0)),"?IN_FOCUS",IF(J4328&lt;=2,"?ACTIVATED",IF(J4328&lt;&gt;"","?FAMILIAR",IF(F4328="NEW",IF(ISNA(VLOOKUP(E4328,#REF!,1,FALSE())),"?TYPE_IDENTIFIABLE","?REFERENTIAL"),"_")))))</f>
        <v> </v>
      </c>
      <c r="H4328" s="24" t="str">
        <f>IF(J4328&lt;&gt;1,"",IF(I4328="SBJ","CB","?"))</f>
        <v> </v>
      </c>
      <c r="I4328" s="25" t="str">
        <f>IF(OR(E4328="",E4328="!!!",F4328="NEW"),"",INDEX(B4327:B$2,-1+SUMPRODUCT(MAX(ROW(E4327:E$2)*(E4328=E4327:E$2)))))</f>
        <v> </v>
      </c>
      <c r="J4328" s="25" t="str">
        <f>IF(OR(E4328="",E4328="!!!",F4328="NEW"),"",COUNTBLANK(OFFSET(A$1,,,SUMPRODUCT(MAX(ROW(E$2:E4328)*(E4328=E$2:E4328)))))-COUNTBLANK(OFFSET(A$1,,,SUMPRODUCT(MAX(ROW(E$1:E4327)*(E2=E$1:E4327))))))</f>
        <v> </v>
      </c>
      <c r="K4328" s="25" t="str">
        <f>IF(OR(E4328="",E4328="!!!",F4328="NEW"),"",INDEX(J$1:J4327,SUMPRODUCT(MAX(ROW(E$1:E4327)*(E4328=E$1:E4327)))))</f>
        <v> </v>
      </c>
      <c r="L4328" s="26"/>
    </row>
    <row r="4329" spans="1:12">
      <c r="A4329" s="20" t="s">
        <v>886</v>
      </c>
      <c r="B4329" s="27" t="s">
        <v>772</v>
      </c>
      <c r="C4329" s="27" t="s">
        <v>797</v>
      </c>
      <c r="D4329" s="27" t="s">
        <v>762</v>
      </c>
      <c r="E4329" s="21">
        <f>IF(D4329="?OLD","!!!","")</f>
        <v/>
      </c>
      <c r="F4329" s="22" t="str">
        <f>IF(OR(E4329="",E4329="!!!"),"",IF(NOT(ISNA(VLOOKUP(E4329,E$1:E4328,1,FALSE()))),"OLD",IF(AND(E4329&lt;&gt;"",E4329&lt;&gt;"!!!"),"NEW","")))</f>
        <v> </v>
      </c>
      <c r="G4329" s="23" t="str">
        <f>IF(OR(E4329="",E4329="!!!"),"",IF(OR(J4329=0,AND(J4329=1,K4329=1),AND(J4329=1,I4329="SBJ"),AND(J4329=1,I4329=0)),"?IN_FOCUS",IF(J4329&lt;=2,"?ACTIVATED",IF(J4329&lt;&gt;"","?FAMILIAR",IF(F4329="NEW",IF(ISNA(VLOOKUP(E4329,#REF!,1,FALSE())),"?TYPE_IDENTIFIABLE","?REFERENTIAL"),"_")))))</f>
        <v> </v>
      </c>
      <c r="H4329" s="24" t="str">
        <f>IF(J4329&lt;&gt;1,"",IF(I4329="SBJ","CB","?"))</f>
        <v> </v>
      </c>
      <c r="I4329" s="25" t="str">
        <f>IF(OR(E4329="",E4329="!!!",F4329="NEW"),"",INDEX(B4328:B$2,-1+SUMPRODUCT(MAX(ROW(E4328:E$2)*(E4329=E4328:E$2)))))</f>
        <v> </v>
      </c>
      <c r="J4329" s="25" t="str">
        <f>IF(OR(E4329="",E4329="!!!",F4329="NEW"),"",COUNTBLANK(OFFSET(A$1,,,SUMPRODUCT(MAX(ROW(E$2:E4329)*(E4329=E$2:E4329)))))-COUNTBLANK(OFFSET(A$1,,,SUMPRODUCT(MAX(ROW(E$1:E4328)*(E2=E$1:E4328))))))</f>
        <v> </v>
      </c>
      <c r="K4329" s="25" t="str">
        <f>IF(OR(E4329="",E4329="!!!",F4329="NEW"),"",INDEX(J$1:J4328,SUMPRODUCT(MAX(ROW(E$1:E4328)*(E4329=E$1:E4328)))))</f>
        <v> </v>
      </c>
      <c r="L4329" s="26"/>
    </row>
    <row r="4330" spans="1:12">
      <c r="A4330" s="20" t="s">
        <v>785</v>
      </c>
      <c r="E4330" s="21">
        <f>IF(D4330="?OLD","!!!","")</f>
        <v/>
      </c>
      <c r="F4330" s="22" t="str">
        <f>IF(OR(E4330="",E4330="!!!"),"",IF(NOT(ISNA(VLOOKUP(E4330,E$1:E4329,1,FALSE()))),"OLD",IF(AND(E4330&lt;&gt;"",E4330&lt;&gt;"!!!"),"NEW","")))</f>
        <v> </v>
      </c>
      <c r="G4330" s="23" t="str">
        <f>IF(OR(E4330="",E4330="!!!"),"",IF(OR(J4330=0,AND(J4330=1,K4330=1),AND(J4330=1,I4330="SBJ"),AND(J4330=1,I4330=0)),"?IN_FOCUS",IF(J4330&lt;=2,"?ACTIVATED",IF(J4330&lt;&gt;"","?FAMILIAR",IF(F4330="NEW",IF(ISNA(VLOOKUP(E4330,#REF!,1,FALSE())),"?TYPE_IDENTIFIABLE","?REFERENTIAL"),"_")))))</f>
        <v> </v>
      </c>
      <c r="H4330" s="24" t="str">
        <f>IF(J4330&lt;&gt;1,"",IF(I4330="SBJ","CB","?"))</f>
        <v> </v>
      </c>
      <c r="I4330" s="25" t="str">
        <f>IF(OR(E4330="",E4330="!!!",F4330="NEW"),"",INDEX(B4329:B$2,-1+SUMPRODUCT(MAX(ROW(E4329:E$2)*(E4330=E4329:E$2)))))</f>
        <v> </v>
      </c>
      <c r="J4330" s="25" t="str">
        <f>IF(OR(E4330="",E4330="!!!",F4330="NEW"),"",COUNTBLANK(OFFSET(A$1,,,SUMPRODUCT(MAX(ROW(E$2:E4330)*(E4330=E$2:E4330)))))-COUNTBLANK(OFFSET(A$1,,,SUMPRODUCT(MAX(ROW(E$1:E4329)*(E2=E$1:E4329))))))</f>
        <v> </v>
      </c>
      <c r="K4330" s="25" t="str">
        <f>IF(OR(E4330="",E4330="!!!",F4330="NEW"),"",INDEX(J$1:J4329,SUMPRODUCT(MAX(ROW(E$1:E4329)*(E4330=E$1:E4329)))))</f>
        <v> </v>
      </c>
      <c r="L4330" s="26"/>
    </row>
    <row r="4331" spans="1:12">
      <c r="A4331" s="20" t="s">
        <v>1265</v>
      </c>
      <c r="B4331" s="27" t="s">
        <v>772</v>
      </c>
      <c r="C4331" s="27" t="s">
        <v>754</v>
      </c>
      <c r="E4331" s="21">
        <f>IF(D4331="?OLD","!!!","")</f>
        <v/>
      </c>
      <c r="F4331" s="22" t="str">
        <f>IF(OR(E4331="",E4331="!!!"),"",IF(NOT(ISNA(VLOOKUP(E4331,E$1:E4330,1,FALSE()))),"OLD",IF(AND(E4331&lt;&gt;"",E4331&lt;&gt;"!!!"),"NEW","")))</f>
        <v> </v>
      </c>
      <c r="G4331" s="23" t="str">
        <f>IF(OR(E4331="",E4331="!!!"),"",IF(OR(J4331=0,AND(J4331=1,K4331=1),AND(J4331=1,I4331="SBJ"),AND(J4331=1,I4331=0)),"?IN_FOCUS",IF(J4331&lt;=2,"?ACTIVATED",IF(J4331&lt;&gt;"","?FAMILIAR",IF(F4331="NEW",IF(ISNA(VLOOKUP(E4331,#REF!,1,FALSE())),"?TYPE_IDENTIFIABLE","?REFERENTIAL"),"_")))))</f>
        <v> </v>
      </c>
      <c r="H4331" s="24" t="str">
        <f>IF(J4331&lt;&gt;1,"",IF(I4331="SBJ","CB","?"))</f>
        <v> </v>
      </c>
      <c r="I4331" s="25" t="str">
        <f>IF(OR(E4331="",E4331="!!!",F4331="NEW"),"",INDEX(B4330:B$2,-1+SUMPRODUCT(MAX(ROW(E4330:E$2)*(E4331=E4330:E$2)))))</f>
        <v> </v>
      </c>
      <c r="J4331" s="25" t="str">
        <f>IF(OR(E4331="",E4331="!!!",F4331="NEW"),"",COUNTBLANK(OFFSET(A$1,,,SUMPRODUCT(MAX(ROW(E$2:E4331)*(E4331=E$2:E4331)))))-COUNTBLANK(OFFSET(A$1,,,SUMPRODUCT(MAX(ROW(E$1:E4330)*(E2=E$1:E4330))))))</f>
        <v> </v>
      </c>
      <c r="K4331" s="25" t="str">
        <f>IF(OR(E4331="",E4331="!!!",F4331="NEW"),"",INDEX(J$1:J4330,SUMPRODUCT(MAX(ROW(E$1:E4330)*(E4331=E$1:E4330)))))</f>
        <v> </v>
      </c>
      <c r="L4331" s="26"/>
    </row>
    <row r="4332" spans="1:12">
      <c r="A4332" s="20" t="s">
        <v>1949</v>
      </c>
      <c r="E4332" s="21">
        <f>IF(D4332="?OLD","!!!","")</f>
        <v/>
      </c>
      <c r="F4332" s="22" t="str">
        <f>IF(OR(E4332="",E4332="!!!"),"",IF(NOT(ISNA(VLOOKUP(E4332,E$1:E4331,1,FALSE()))),"OLD",IF(AND(E4332&lt;&gt;"",E4332&lt;&gt;"!!!"),"NEW","")))</f>
        <v> </v>
      </c>
      <c r="G4332" s="23" t="str">
        <f>IF(OR(E4332="",E4332="!!!"),"",IF(OR(J4332=0,AND(J4332=1,K4332=1),AND(J4332=1,I4332="SBJ"),AND(J4332=1,I4332=0)),"?IN_FOCUS",IF(J4332&lt;=2,"?ACTIVATED",IF(J4332&lt;&gt;"","?FAMILIAR",IF(F4332="NEW",IF(ISNA(VLOOKUP(E4332,#REF!,1,FALSE())),"?TYPE_IDENTIFIABLE","?REFERENTIAL"),"_")))))</f>
        <v> </v>
      </c>
      <c r="H4332" s="24" t="str">
        <f>IF(J4332&lt;&gt;1,"",IF(I4332="SBJ","CB","?"))</f>
        <v> </v>
      </c>
      <c r="I4332" s="25" t="str">
        <f>IF(OR(E4332="",E4332="!!!",F4332="NEW"),"",INDEX(B4331:B$2,-1+SUMPRODUCT(MAX(ROW(E4331:E$2)*(E4332=E4331:E$2)))))</f>
        <v> </v>
      </c>
      <c r="J4332" s="25" t="str">
        <f>IF(OR(E4332="",E4332="!!!",F4332="NEW"),"",COUNTBLANK(OFFSET(A$1,,,SUMPRODUCT(MAX(ROW(E$2:E4332)*(E4332=E$2:E4332)))))-COUNTBLANK(OFFSET(A$1,,,SUMPRODUCT(MAX(ROW(E$1:E4331)*(E2=E$1:E4331))))))</f>
        <v> </v>
      </c>
      <c r="K4332" s="25" t="str">
        <f>IF(OR(E4332="",E4332="!!!",F4332="NEW"),"",INDEX(J$1:J4331,SUMPRODUCT(MAX(ROW(E$1:E4331)*(E4332=E$1:E4331)))))</f>
        <v> </v>
      </c>
      <c r="L4332" s="26"/>
    </row>
    <row r="4333" spans="1:12">
      <c r="A4333" s="20" t="s">
        <v>757</v>
      </c>
      <c r="E4333" s="21">
        <f>IF(D4333="?OLD","!!!","")</f>
        <v/>
      </c>
      <c r="F4333" s="22" t="str">
        <f>IF(OR(E4333="",E4333="!!!"),"",IF(NOT(ISNA(VLOOKUP(E4333,E$1:E4332,1,FALSE()))),"OLD",IF(AND(E4333&lt;&gt;"",E4333&lt;&gt;"!!!"),"NEW","")))</f>
        <v> </v>
      </c>
      <c r="G4333" s="23" t="str">
        <f>IF(OR(E4333="",E4333="!!!"),"",IF(OR(J4333=0,AND(J4333=1,K4333=1),AND(J4333=1,I4333="SBJ"),AND(J4333=1,I4333=0)),"?IN_FOCUS",IF(J4333&lt;=2,"?ACTIVATED",IF(J4333&lt;&gt;"","?FAMILIAR",IF(F4333="NEW",IF(ISNA(VLOOKUP(E4333,#REF!,1,FALSE())),"?TYPE_IDENTIFIABLE","?REFERENTIAL"),"_")))))</f>
        <v> </v>
      </c>
      <c r="H4333" s="24" t="str">
        <f>IF(J4333&lt;&gt;1,"",IF(I4333="SBJ","CB","?"))</f>
        <v> </v>
      </c>
      <c r="I4333" s="25" t="str">
        <f>IF(OR(E4333="",E4333="!!!",F4333="NEW"),"",INDEX(B4332:B$2,-1+SUMPRODUCT(MAX(ROW(E4332:E$2)*(E4333=E4332:E$2)))))</f>
        <v> </v>
      </c>
      <c r="J4333" s="25" t="str">
        <f>IF(OR(E4333="",E4333="!!!",F4333="NEW"),"",COUNTBLANK(OFFSET(A$1,,,SUMPRODUCT(MAX(ROW(E$2:E4333)*(E4333=E$2:E4333)))))-COUNTBLANK(OFFSET(A$1,,,SUMPRODUCT(MAX(ROW(E$1:E4332)*(E2=E$1:E4332))))))</f>
        <v> </v>
      </c>
      <c r="K4333" s="25" t="str">
        <f>IF(OR(E4333="",E4333="!!!",F4333="NEW"),"",INDEX(J$1:J4332,SUMPRODUCT(MAX(ROW(E$1:E4332)*(E4333=E$1:E4332)))))</f>
        <v> </v>
      </c>
      <c r="L4333" s="26"/>
    </row>
    <row r="4334" spans="1:12">
      <c r="A4334" s="20" t="s">
        <v>1286</v>
      </c>
      <c r="E4334" s="21">
        <f>IF(D4334="?OLD","!!!","")</f>
        <v/>
      </c>
      <c r="F4334" s="22" t="str">
        <f>IF(OR(E4334="",E4334="!!!"),"",IF(NOT(ISNA(VLOOKUP(E4334,E$1:E4333,1,FALSE()))),"OLD",IF(AND(E4334&lt;&gt;"",E4334&lt;&gt;"!!!"),"NEW","")))</f>
        <v> </v>
      </c>
      <c r="G4334" s="23" t="str">
        <f>IF(OR(E4334="",E4334="!!!"),"",IF(OR(J4334=0,AND(J4334=1,K4334=1),AND(J4334=1,I4334="SBJ"),AND(J4334=1,I4334=0)),"?IN_FOCUS",IF(J4334&lt;=2,"?ACTIVATED",IF(J4334&lt;&gt;"","?FAMILIAR",IF(F4334="NEW",IF(ISNA(VLOOKUP(E4334,#REF!,1,FALSE())),"?TYPE_IDENTIFIABLE","?REFERENTIAL"),"_")))))</f>
        <v> </v>
      </c>
      <c r="H4334" s="24" t="str">
        <f>IF(J4334&lt;&gt;1,"",IF(I4334="SBJ","CB","?"))</f>
        <v> </v>
      </c>
      <c r="I4334" s="25" t="str">
        <f>IF(OR(E4334="",E4334="!!!",F4334="NEW"),"",INDEX(B4333:B$2,-1+SUMPRODUCT(MAX(ROW(E4333:E$2)*(E4334=E4333:E$2)))))</f>
        <v> </v>
      </c>
      <c r="J4334" s="25" t="str">
        <f>IF(OR(E4334="",E4334="!!!",F4334="NEW"),"",COUNTBLANK(OFFSET(A$1,,,SUMPRODUCT(MAX(ROW(E$2:E4334)*(E4334=E$2:E4334)))))-COUNTBLANK(OFFSET(A$1,,,SUMPRODUCT(MAX(ROW(E$1:E4333)*(E2=E$1:E4333))))))</f>
        <v> </v>
      </c>
      <c r="K4334" s="25" t="str">
        <f>IF(OR(E4334="",E4334="!!!",F4334="NEW"),"",INDEX(J$1:J4333,SUMPRODUCT(MAX(ROW(E$1:E4333)*(E4334=E$1:E4333)))))</f>
        <v> </v>
      </c>
      <c r="L4334" s="26"/>
    </row>
    <row r="4335" spans="1:12">
      <c r="A4335" s="20" t="s">
        <v>869</v>
      </c>
      <c r="B4335" s="27" t="s">
        <v>796</v>
      </c>
      <c r="C4335" s="27" t="s">
        <v>797</v>
      </c>
      <c r="D4335" s="27" t="s">
        <v>762</v>
      </c>
      <c r="E4335" s="21">
        <f>IF(D4335="?OLD","!!!","")</f>
        <v/>
      </c>
      <c r="F4335" s="22" t="str">
        <f>IF(OR(E4335="",E4335="!!!"),"",IF(NOT(ISNA(VLOOKUP(E4335,E$1:E4334,1,FALSE()))),"OLD",IF(AND(E4335&lt;&gt;"",E4335&lt;&gt;"!!!"),"NEW","")))</f>
        <v> </v>
      </c>
      <c r="G4335" s="23" t="str">
        <f>IF(OR(E4335="",E4335="!!!"),"",IF(OR(J4335=0,AND(J4335=1,K4335=1),AND(J4335=1,I4335="SBJ"),AND(J4335=1,I4335=0)),"?IN_FOCUS",IF(J4335&lt;=2,"?ACTIVATED",IF(J4335&lt;&gt;"","?FAMILIAR",IF(F4335="NEW",IF(ISNA(VLOOKUP(E4335,#REF!,1,FALSE())),"?TYPE_IDENTIFIABLE","?REFERENTIAL"),"_")))))</f>
        <v> </v>
      </c>
      <c r="H4335" s="24" t="str">
        <f>IF(J4335&lt;&gt;1,"",IF(I4335="SBJ","CB","?"))</f>
        <v> </v>
      </c>
      <c r="I4335" s="25" t="str">
        <f>IF(OR(E4335="",E4335="!!!",F4335="NEW"),"",INDEX(B4334:B$2,-1+SUMPRODUCT(MAX(ROW(E4334:E$2)*(E4335=E4334:E$2)))))</f>
        <v> </v>
      </c>
      <c r="J4335" s="25" t="str">
        <f>IF(OR(E4335="",E4335="!!!",F4335="NEW"),"",COUNTBLANK(OFFSET(A$1,,,SUMPRODUCT(MAX(ROW(E$2:E4335)*(E4335=E$2:E4335)))))-COUNTBLANK(OFFSET(A$1,,,SUMPRODUCT(MAX(ROW(E$1:E4334)*(E2=E$1:E4334))))))</f>
        <v> </v>
      </c>
      <c r="K4335" s="25" t="str">
        <f>IF(OR(E4335="",E4335="!!!",F4335="NEW"),"",INDEX(J$1:J4334,SUMPRODUCT(MAX(ROW(E$1:E4334)*(E4335=E$1:E4334)))))</f>
        <v> </v>
      </c>
      <c r="L4335" s="26"/>
    </row>
    <row r="4336" spans="1:12">
      <c r="A4336" s="20" t="s">
        <v>870</v>
      </c>
      <c r="E4336" s="21">
        <f>IF(D4336="?OLD","!!!","")</f>
        <v/>
      </c>
      <c r="F4336" s="22" t="str">
        <f>IF(OR(E4336="",E4336="!!!"),"",IF(NOT(ISNA(VLOOKUP(E4336,E$1:E4335,1,FALSE()))),"OLD",IF(AND(E4336&lt;&gt;"",E4336&lt;&gt;"!!!"),"NEW","")))</f>
        <v> </v>
      </c>
      <c r="G4336" s="23" t="str">
        <f>IF(OR(E4336="",E4336="!!!"),"",IF(OR(J4336=0,AND(J4336=1,K4336=1),AND(J4336=1,I4336="SBJ"),AND(J4336=1,I4336=0)),"?IN_FOCUS",IF(J4336&lt;=2,"?ACTIVATED",IF(J4336&lt;&gt;"","?FAMILIAR",IF(F4336="NEW",IF(ISNA(VLOOKUP(E4336,#REF!,1,FALSE())),"?TYPE_IDENTIFIABLE","?REFERENTIAL"),"_")))))</f>
        <v> </v>
      </c>
      <c r="H4336" s="24" t="str">
        <f>IF(J4336&lt;&gt;1,"",IF(I4336="SBJ","CB","?"))</f>
        <v> </v>
      </c>
      <c r="I4336" s="25" t="str">
        <f>IF(OR(E4336="",E4336="!!!",F4336="NEW"),"",INDEX(B4335:B$2,-1+SUMPRODUCT(MAX(ROW(E4335:E$2)*(E4336=E4335:E$2)))))</f>
        <v> </v>
      </c>
      <c r="J4336" s="25" t="str">
        <f>IF(OR(E4336="",E4336="!!!",F4336="NEW"),"",COUNTBLANK(OFFSET(A$1,,,SUMPRODUCT(MAX(ROW(E$2:E4336)*(E4336=E$2:E4336)))))-COUNTBLANK(OFFSET(A$1,,,SUMPRODUCT(MAX(ROW(E$1:E4335)*(E2=E$1:E4335))))))</f>
        <v> </v>
      </c>
      <c r="K4336" s="25" t="str">
        <f>IF(OR(E4336="",E4336="!!!",F4336="NEW"),"",INDEX(J$1:J4335,SUMPRODUCT(MAX(ROW(E$1:E4335)*(E4336=E$1:E4335)))))</f>
        <v> </v>
      </c>
      <c r="L4336" s="26"/>
    </row>
    <row r="4337" spans="1:12">
      <c r="A4337" s="20" t="s">
        <v>1319</v>
      </c>
      <c r="B4337" s="27" t="s">
        <v>772</v>
      </c>
      <c r="C4337" s="27" t="s">
        <v>851</v>
      </c>
      <c r="D4337" s="27" t="s">
        <v>762</v>
      </c>
      <c r="E4337" s="21">
        <f>IF(D4337="?OLD","!!!","")</f>
        <v/>
      </c>
      <c r="F4337" s="22" t="str">
        <f>IF(OR(E4337="",E4337="!!!"),"",IF(NOT(ISNA(VLOOKUP(E4337,E$1:E4336,1,FALSE()))),"OLD",IF(AND(E4337&lt;&gt;"",E4337&lt;&gt;"!!!"),"NEW","")))</f>
        <v> </v>
      </c>
      <c r="G4337" s="23" t="str">
        <f>IF(OR(E4337="",E4337="!!!"),"",IF(OR(J4337=0,AND(J4337=1,K4337=1),AND(J4337=1,I4337="SBJ"),AND(J4337=1,I4337=0)),"?IN_FOCUS",IF(J4337&lt;=2,"?ACTIVATED",IF(J4337&lt;&gt;"","?FAMILIAR",IF(F4337="NEW",IF(ISNA(VLOOKUP(E4337,#REF!,1,FALSE())),"?TYPE_IDENTIFIABLE","?REFERENTIAL"),"_")))))</f>
        <v> </v>
      </c>
      <c r="H4337" s="24" t="str">
        <f>IF(J4337&lt;&gt;1,"",IF(I4337="SBJ","CB","?"))</f>
        <v> </v>
      </c>
      <c r="I4337" s="25" t="str">
        <f>IF(OR(E4337="",E4337="!!!",F4337="NEW"),"",INDEX(B4336:B$2,-1+SUMPRODUCT(MAX(ROW(E4336:E$2)*(E4337=E4336:E$2)))))</f>
        <v> </v>
      </c>
      <c r="J4337" s="25" t="str">
        <f>IF(OR(E4337="",E4337="!!!",F4337="NEW"),"",COUNTBLANK(OFFSET(A$1,,,SUMPRODUCT(MAX(ROW(E$2:E4337)*(E4337=E$2:E4337)))))-COUNTBLANK(OFFSET(A$1,,,SUMPRODUCT(MAX(ROW(E$1:E4336)*(E2=E$1:E4336))))))</f>
        <v> </v>
      </c>
      <c r="K4337" s="25" t="str">
        <f>IF(OR(E4337="",E4337="!!!",F4337="NEW"),"",INDEX(J$1:J4336,SUMPRODUCT(MAX(ROW(E$1:E4336)*(E4337=E$1:E4336)))))</f>
        <v> </v>
      </c>
      <c r="L4337" s="26"/>
    </row>
    <row r="4338" spans="1:12">
      <c r="A4338" s="20" t="s">
        <v>1437</v>
      </c>
      <c r="B4338" s="27" t="s">
        <v>753</v>
      </c>
      <c r="C4338" s="27" t="s">
        <v>837</v>
      </c>
      <c r="D4338" s="27" t="s">
        <v>762</v>
      </c>
      <c r="E4338" s="21">
        <f>IF(D4338="?OLD","!!!","")</f>
        <v/>
      </c>
      <c r="F4338" s="22" t="str">
        <f>IF(OR(E4338="",E4338="!!!"),"",IF(NOT(ISNA(VLOOKUP(E4338,E$1:E4337,1,FALSE()))),"OLD",IF(AND(E4338&lt;&gt;"",E4338&lt;&gt;"!!!"),"NEW","")))</f>
        <v> </v>
      </c>
      <c r="G4338" s="23" t="str">
        <f>IF(OR(E4338="",E4338="!!!"),"",IF(OR(J4338=0,AND(J4338=1,K4338=1),AND(J4338=1,I4338="SBJ"),AND(J4338=1,I4338=0)),"?IN_FOCUS",IF(J4338&lt;=2,"?ACTIVATED",IF(J4338&lt;&gt;"","?FAMILIAR",IF(F4338="NEW",IF(ISNA(VLOOKUP(E4338,#REF!,1,FALSE())),"?TYPE_IDENTIFIABLE","?REFERENTIAL"),"_")))))</f>
        <v> </v>
      </c>
      <c r="H4338" s="24" t="str">
        <f>IF(J4338&lt;&gt;1,"",IF(I4338="SBJ","CB","?"))</f>
        <v> </v>
      </c>
      <c r="I4338" s="25" t="str">
        <f>IF(OR(E4338="",E4338="!!!",F4338="NEW"),"",INDEX(B4337:B$2,-1+SUMPRODUCT(MAX(ROW(E4337:E$2)*(E4338=E4337:E$2)))))</f>
        <v> </v>
      </c>
      <c r="J4338" s="25" t="str">
        <f>IF(OR(E4338="",E4338="!!!",F4338="NEW"),"",COUNTBLANK(OFFSET(A$1,,,SUMPRODUCT(MAX(ROW(E$2:E4338)*(E4338=E$2:E4338)))))-COUNTBLANK(OFFSET(A$1,,,SUMPRODUCT(MAX(ROW(E$1:E4337)*(E2=E$1:E4337))))))</f>
        <v> </v>
      </c>
      <c r="K4338" s="25" t="str">
        <f>IF(OR(E4338="",E4338="!!!",F4338="NEW"),"",INDEX(J$1:J4337,SUMPRODUCT(MAX(ROW(E$1:E4337)*(E4338=E$1:E4337)))))</f>
        <v> </v>
      </c>
      <c r="L4338" s="26"/>
    </row>
    <row r="4339" spans="1:12">
      <c r="A4339" s="20" t="s">
        <v>1938</v>
      </c>
      <c r="E4339" s="21">
        <f>IF(D4339="?OLD","!!!","")</f>
        <v/>
      </c>
      <c r="F4339" s="22" t="str">
        <f>IF(OR(E4339="",E4339="!!!"),"",IF(NOT(ISNA(VLOOKUP(E4339,E$1:E4338,1,FALSE()))),"OLD",IF(AND(E4339&lt;&gt;"",E4339&lt;&gt;"!!!"),"NEW","")))</f>
        <v> </v>
      </c>
      <c r="G4339" s="23" t="str">
        <f>IF(OR(E4339="",E4339="!!!"),"",IF(OR(J4339=0,AND(J4339=1,K4339=1),AND(J4339=1,I4339="SBJ"),AND(J4339=1,I4339=0)),"?IN_FOCUS",IF(J4339&lt;=2,"?ACTIVATED",IF(J4339&lt;&gt;"","?FAMILIAR",IF(F4339="NEW",IF(ISNA(VLOOKUP(E4339,#REF!,1,FALSE())),"?TYPE_IDENTIFIABLE","?REFERENTIAL"),"_")))))</f>
        <v> </v>
      </c>
      <c r="H4339" s="24" t="str">
        <f>IF(J4339&lt;&gt;1,"",IF(I4339="SBJ","CB","?"))</f>
        <v> </v>
      </c>
      <c r="I4339" s="25" t="str">
        <f>IF(OR(E4339="",E4339="!!!",F4339="NEW"),"",INDEX(B4338:B$2,-1+SUMPRODUCT(MAX(ROW(E4338:E$2)*(E4339=E4338:E$2)))))</f>
        <v> </v>
      </c>
      <c r="J4339" s="25" t="str">
        <f>IF(OR(E4339="",E4339="!!!",F4339="NEW"),"",COUNTBLANK(OFFSET(A$1,,,SUMPRODUCT(MAX(ROW(E$2:E4339)*(E4339=E$2:E4339)))))-COUNTBLANK(OFFSET(A$1,,,SUMPRODUCT(MAX(ROW(E$1:E4338)*(E2=E$1:E4338))))))</f>
        <v> </v>
      </c>
      <c r="K4339" s="25" t="str">
        <f>IF(OR(E4339="",E4339="!!!",F4339="NEW"),"",INDEX(J$1:J4338,SUMPRODUCT(MAX(ROW(E$1:E4338)*(E4339=E$1:E4338)))))</f>
        <v> </v>
      </c>
      <c r="L4339" s="26"/>
    </row>
    <row r="4340" spans="1:12">
      <c r="A4340" s="20" t="s">
        <v>757</v>
      </c>
      <c r="E4340" s="21">
        <f>IF(D4340="?OLD","!!!","")</f>
        <v/>
      </c>
      <c r="F4340" s="22" t="str">
        <f>IF(OR(E4340="",E4340="!!!"),"",IF(NOT(ISNA(VLOOKUP(E4340,E$1:E4339,1,FALSE()))),"OLD",IF(AND(E4340&lt;&gt;"",E4340&lt;&gt;"!!!"),"NEW","")))</f>
        <v> </v>
      </c>
      <c r="G4340" s="23" t="str">
        <f>IF(OR(E4340="",E4340="!!!"),"",IF(OR(J4340=0,AND(J4340=1,K4340=1),AND(J4340=1,I4340="SBJ"),AND(J4340=1,I4340=0)),"?IN_FOCUS",IF(J4340&lt;=2,"?ACTIVATED",IF(J4340&lt;&gt;"","?FAMILIAR",IF(F4340="NEW",IF(ISNA(VLOOKUP(E4340,#REF!,1,FALSE())),"?TYPE_IDENTIFIABLE","?REFERENTIAL"),"_")))))</f>
        <v> </v>
      </c>
      <c r="H4340" s="24" t="str">
        <f>IF(J4340&lt;&gt;1,"",IF(I4340="SBJ","CB","?"))</f>
        <v> </v>
      </c>
      <c r="I4340" s="25" t="str">
        <f>IF(OR(E4340="",E4340="!!!",F4340="NEW"),"",INDEX(B4339:B$2,-1+SUMPRODUCT(MAX(ROW(E4339:E$2)*(E4340=E4339:E$2)))))</f>
        <v> </v>
      </c>
      <c r="J4340" s="25" t="str">
        <f>IF(OR(E4340="",E4340="!!!",F4340="NEW"),"",COUNTBLANK(OFFSET(A$1,,,SUMPRODUCT(MAX(ROW(E$2:E4340)*(E4340=E$2:E4340)))))-COUNTBLANK(OFFSET(A$1,,,SUMPRODUCT(MAX(ROW(E$1:E4339)*(E2=E$1:E4339))))))</f>
        <v> </v>
      </c>
      <c r="K4340" s="25" t="str">
        <f>IF(OR(E4340="",E4340="!!!",F4340="NEW"),"",INDEX(J$1:J4339,SUMPRODUCT(MAX(ROW(E$1:E4339)*(E4340=E$1:E4339)))))</f>
        <v> </v>
      </c>
      <c r="L4340" s="26"/>
    </row>
    <row r="4341" spans="1:12">
      <c r="A4341" s="20" t="s">
        <v>810</v>
      </c>
      <c r="E4341" s="21">
        <f>IF(D4341="?OLD","!!!","")</f>
        <v/>
      </c>
      <c r="F4341" s="22" t="str">
        <f>IF(OR(E4341="",E4341="!!!"),"",IF(NOT(ISNA(VLOOKUP(E4341,E$1:E4340,1,FALSE()))),"OLD",IF(AND(E4341&lt;&gt;"",E4341&lt;&gt;"!!!"),"NEW","")))</f>
        <v> </v>
      </c>
      <c r="G4341" s="23" t="str">
        <f>IF(OR(E4341="",E4341="!!!"),"",IF(OR(J4341=0,AND(J4341=1,K4341=1),AND(J4341=1,I4341="SBJ"),AND(J4341=1,I4341=0)),"?IN_FOCUS",IF(J4341&lt;=2,"?ACTIVATED",IF(J4341&lt;&gt;"","?FAMILIAR",IF(F4341="NEW",IF(ISNA(VLOOKUP(E4341,#REF!,1,FALSE())),"?TYPE_IDENTIFIABLE","?REFERENTIAL"),"_")))))</f>
        <v> </v>
      </c>
      <c r="H4341" s="24" t="str">
        <f>IF(J4341&lt;&gt;1,"",IF(I4341="SBJ","CB","?"))</f>
        <v> </v>
      </c>
      <c r="I4341" s="25" t="str">
        <f>IF(OR(E4341="",E4341="!!!",F4341="NEW"),"",INDEX(B4340:B$2,-1+SUMPRODUCT(MAX(ROW(E4340:E$2)*(E4341=E4340:E$2)))))</f>
        <v> </v>
      </c>
      <c r="J4341" s="25" t="str">
        <f>IF(OR(E4341="",E4341="!!!",F4341="NEW"),"",COUNTBLANK(OFFSET(A$1,,,SUMPRODUCT(MAX(ROW(E$2:E4341)*(E4341=E$2:E4341)))))-COUNTBLANK(OFFSET(A$1,,,SUMPRODUCT(MAX(ROW(E$1:E4340)*(E2=E$1:E4340))))))</f>
        <v> </v>
      </c>
      <c r="K4341" s="25" t="str">
        <f>IF(OR(E4341="",E4341="!!!",F4341="NEW"),"",INDEX(J$1:J4340,SUMPRODUCT(MAX(ROW(E$1:E4340)*(E4341=E$1:E4340)))))</f>
        <v> </v>
      </c>
      <c r="L4341" s="26"/>
    </row>
    <row r="4342" spans="1:12">
      <c r="A4342" s="20" t="s">
        <v>965</v>
      </c>
      <c r="B4342" s="27" t="s">
        <v>901</v>
      </c>
      <c r="C4342" s="27" t="s">
        <v>851</v>
      </c>
      <c r="D4342" s="27" t="s">
        <v>762</v>
      </c>
      <c r="E4342" s="21">
        <f>IF(D4342="?OLD","!!!","")</f>
        <v/>
      </c>
      <c r="F4342" s="22" t="str">
        <f>IF(OR(E4342="",E4342="!!!"),"",IF(NOT(ISNA(VLOOKUP(E4342,E$1:E4341,1,FALSE()))),"OLD",IF(AND(E4342&lt;&gt;"",E4342&lt;&gt;"!!!"),"NEW","")))</f>
        <v> </v>
      </c>
      <c r="G4342" s="23" t="str">
        <f>IF(OR(E4342="",E4342="!!!"),"",IF(OR(J4342=0,AND(J4342=1,K4342=1),AND(J4342=1,I4342="SBJ"),AND(J4342=1,I4342=0)),"?IN_FOCUS",IF(J4342&lt;=2,"?ACTIVATED",IF(J4342&lt;&gt;"","?FAMILIAR",IF(F4342="NEW",IF(ISNA(VLOOKUP(E4342,#REF!,1,FALSE())),"?TYPE_IDENTIFIABLE","?REFERENTIAL"),"_")))))</f>
        <v> </v>
      </c>
      <c r="H4342" s="24" t="str">
        <f>IF(J4342&lt;&gt;1,"",IF(I4342="SBJ","CB","?"))</f>
        <v> </v>
      </c>
      <c r="I4342" s="25" t="str">
        <f>IF(OR(E4342="",E4342="!!!",F4342="NEW"),"",INDEX(B4341:B$2,-1+SUMPRODUCT(MAX(ROW(E4341:E$2)*(E4342=E4341:E$2)))))</f>
        <v> </v>
      </c>
      <c r="J4342" s="25" t="str">
        <f>IF(OR(E4342="",E4342="!!!",F4342="NEW"),"",COUNTBLANK(OFFSET(A$1,,,SUMPRODUCT(MAX(ROW(E$2:E4342)*(E4342=E$2:E4342)))))-COUNTBLANK(OFFSET(A$1,,,SUMPRODUCT(MAX(ROW(E$1:E4341)*(E2=E$1:E4341))))))</f>
        <v> </v>
      </c>
      <c r="K4342" s="25" t="str">
        <f>IF(OR(E4342="",E4342="!!!",F4342="NEW"),"",INDEX(J$1:J4341,SUMPRODUCT(MAX(ROW(E$1:E4341)*(E4342=E$1:E4341)))))</f>
        <v> </v>
      </c>
      <c r="L4342" s="26"/>
    </row>
    <row r="4343" spans="1:12">
      <c r="A4343" s="20" t="s">
        <v>877</v>
      </c>
      <c r="B4343" s="27" t="s">
        <v>956</v>
      </c>
      <c r="C4343" s="27" t="s">
        <v>837</v>
      </c>
      <c r="D4343" s="27" t="s">
        <v>762</v>
      </c>
      <c r="E4343" s="21">
        <f>IF(D4343="?OLD","!!!","")</f>
        <v/>
      </c>
      <c r="F4343" s="22" t="str">
        <f>IF(OR(E4343="",E4343="!!!"),"",IF(NOT(ISNA(VLOOKUP(E4343,E$1:E4342,1,FALSE()))),"OLD",IF(AND(E4343&lt;&gt;"",E4343&lt;&gt;"!!!"),"NEW","")))</f>
        <v> </v>
      </c>
      <c r="G4343" s="23" t="str">
        <f>IF(OR(E4343="",E4343="!!!"),"",IF(OR(J4343=0,AND(J4343=1,K4343=1),AND(J4343=1,I4343="SBJ"),AND(J4343=1,I4343=0)),"?IN_FOCUS",IF(J4343&lt;=2,"?ACTIVATED",IF(J4343&lt;&gt;"","?FAMILIAR",IF(F4343="NEW",IF(ISNA(VLOOKUP(E4343,#REF!,1,FALSE())),"?TYPE_IDENTIFIABLE","?REFERENTIAL"),"_")))))</f>
        <v> </v>
      </c>
      <c r="H4343" s="24" t="str">
        <f>IF(J4343&lt;&gt;1,"",IF(I4343="SBJ","CB","?"))</f>
        <v> </v>
      </c>
      <c r="I4343" s="25" t="str">
        <f>IF(OR(E4343="",E4343="!!!",F4343="NEW"),"",INDEX(B4342:B$2,-1+SUMPRODUCT(MAX(ROW(E4342:E$2)*(E4343=E4342:E$2)))))</f>
        <v> </v>
      </c>
      <c r="J4343" s="25" t="str">
        <f>IF(OR(E4343="",E4343="!!!",F4343="NEW"),"",COUNTBLANK(OFFSET(A$1,,,SUMPRODUCT(MAX(ROW(E$2:E4343)*(E4343=E$2:E4343)))))-COUNTBLANK(OFFSET(A$1,,,SUMPRODUCT(MAX(ROW(E$1:E4342)*(E2=E$1:E4342))))))</f>
        <v> </v>
      </c>
      <c r="K4343" s="25" t="str">
        <f>IF(OR(E4343="",E4343="!!!",F4343="NEW"),"",INDEX(J$1:J4342,SUMPRODUCT(MAX(ROW(E$1:E4342)*(E4343=E$1:E4342)))))</f>
        <v> </v>
      </c>
      <c r="L4343" s="26"/>
    </row>
    <row r="4344" spans="1:12">
      <c r="A4344" s="20" t="s">
        <v>1950</v>
      </c>
      <c r="E4344" s="21">
        <f>IF(D4344="?OLD","!!!","")</f>
        <v/>
      </c>
      <c r="F4344" s="22" t="str">
        <f>IF(OR(E4344="",E4344="!!!"),"",IF(NOT(ISNA(VLOOKUP(E4344,E$1:E4343,1,FALSE()))),"OLD",IF(AND(E4344&lt;&gt;"",E4344&lt;&gt;"!!!"),"NEW","")))</f>
        <v> </v>
      </c>
      <c r="G4344" s="23" t="str">
        <f>IF(OR(E4344="",E4344="!!!"),"",IF(OR(J4344=0,AND(J4344=1,K4344=1),AND(J4344=1,I4344="SBJ"),AND(J4344=1,I4344=0)),"?IN_FOCUS",IF(J4344&lt;=2,"?ACTIVATED",IF(J4344&lt;&gt;"","?FAMILIAR",IF(F4344="NEW",IF(ISNA(VLOOKUP(E4344,#REF!,1,FALSE())),"?TYPE_IDENTIFIABLE","?REFERENTIAL"),"_")))))</f>
        <v> </v>
      </c>
      <c r="H4344" s="24" t="str">
        <f>IF(J4344&lt;&gt;1,"",IF(I4344="SBJ","CB","?"))</f>
        <v> </v>
      </c>
      <c r="I4344" s="25" t="str">
        <f>IF(OR(E4344="",E4344="!!!",F4344="NEW"),"",INDEX(B4343:B$2,-1+SUMPRODUCT(MAX(ROW(E4343:E$2)*(E4344=E4343:E$2)))))</f>
        <v> </v>
      </c>
      <c r="J4344" s="25" t="str">
        <f>IF(OR(E4344="",E4344="!!!",F4344="NEW"),"",COUNTBLANK(OFFSET(A$1,,,SUMPRODUCT(MAX(ROW(E$2:E4344)*(E4344=E$2:E4344)))))-COUNTBLANK(OFFSET(A$1,,,SUMPRODUCT(MAX(ROW(E$1:E4343)*(E2=E$1:E4343))))))</f>
        <v> </v>
      </c>
      <c r="K4344" s="25" t="str">
        <f>IF(OR(E4344="",E4344="!!!",F4344="NEW"),"",INDEX(J$1:J4343,SUMPRODUCT(MAX(ROW(E$1:E4343)*(E4344=E$1:E4343)))))</f>
        <v> </v>
      </c>
      <c r="L4344" s="26"/>
    </row>
    <row r="4345" spans="1:12">
      <c r="A4345" s="20" t="s">
        <v>778</v>
      </c>
      <c r="E4345" s="21">
        <f>IF(D4345="?OLD","!!!","")</f>
        <v/>
      </c>
      <c r="F4345" s="22" t="str">
        <f>IF(OR(E4345="",E4345="!!!"),"",IF(NOT(ISNA(VLOOKUP(E4345,E$1:E4344,1,FALSE()))),"OLD",IF(AND(E4345&lt;&gt;"",E4345&lt;&gt;"!!!"),"NEW","")))</f>
        <v> </v>
      </c>
      <c r="G4345" s="23" t="str">
        <f>IF(OR(E4345="",E4345="!!!"),"",IF(OR(J4345=0,AND(J4345=1,K4345=1),AND(J4345=1,I4345="SBJ"),AND(J4345=1,I4345=0)),"?IN_FOCUS",IF(J4345&lt;=2,"?ACTIVATED",IF(J4345&lt;&gt;"","?FAMILIAR",IF(F4345="NEW",IF(ISNA(VLOOKUP(E4345,#REF!,1,FALSE())),"?TYPE_IDENTIFIABLE","?REFERENTIAL"),"_")))))</f>
        <v> </v>
      </c>
      <c r="H4345" s="24" t="str">
        <f>IF(J4345&lt;&gt;1,"",IF(I4345="SBJ","CB","?"))</f>
        <v> </v>
      </c>
      <c r="I4345" s="25" t="str">
        <f>IF(OR(E4345="",E4345="!!!",F4345="NEW"),"",INDEX(B4344:B$2,-1+SUMPRODUCT(MAX(ROW(E4344:E$2)*(E4345=E4344:E$2)))))</f>
        <v> </v>
      </c>
      <c r="J4345" s="25" t="str">
        <f>IF(OR(E4345="",E4345="!!!",F4345="NEW"),"",COUNTBLANK(OFFSET(A$1,,,SUMPRODUCT(MAX(ROW(E$2:E4345)*(E4345=E$2:E4345)))))-COUNTBLANK(OFFSET(A$1,,,SUMPRODUCT(MAX(ROW(E$1:E4344)*(E2=E$1:E4344))))))</f>
        <v> </v>
      </c>
      <c r="K4345" s="25" t="str">
        <f>IF(OR(E4345="",E4345="!!!",F4345="NEW"),"",INDEX(J$1:J4344,SUMPRODUCT(MAX(ROW(E$1:E4344)*(E4345=E$1:E4344)))))</f>
        <v> </v>
      </c>
      <c r="L4345" s="26"/>
    </row>
    <row r="4346" spans="1:12">
      <c r="A4346" s="20" t="s">
        <v>1951</v>
      </c>
      <c r="B4346" s="27" t="s">
        <v>772</v>
      </c>
      <c r="C4346" s="27" t="s">
        <v>798</v>
      </c>
      <c r="D4346" s="27" t="s">
        <v>762</v>
      </c>
      <c r="E4346" s="21">
        <f>IF(D4346="?OLD","!!!","")</f>
        <v/>
      </c>
      <c r="F4346" s="22" t="str">
        <f>IF(OR(E4346="",E4346="!!!"),"",IF(NOT(ISNA(VLOOKUP(E4346,E$1:E4345,1,FALSE()))),"OLD",IF(AND(E4346&lt;&gt;"",E4346&lt;&gt;"!!!"),"NEW","")))</f>
        <v> </v>
      </c>
      <c r="G4346" s="23" t="str">
        <f>IF(OR(E4346="",E4346="!!!"),"",IF(OR(J4346=0,AND(J4346=1,K4346=1),AND(J4346=1,I4346="SBJ"),AND(J4346=1,I4346=0)),"?IN_FOCUS",IF(J4346&lt;=2,"?ACTIVATED",IF(J4346&lt;&gt;"","?FAMILIAR",IF(F4346="NEW",IF(ISNA(VLOOKUP(E4346,#REF!,1,FALSE())),"?TYPE_IDENTIFIABLE","?REFERENTIAL"),"_")))))</f>
        <v> </v>
      </c>
      <c r="H4346" s="24" t="str">
        <f>IF(J4346&lt;&gt;1,"",IF(I4346="SBJ","CB","?"))</f>
        <v> </v>
      </c>
      <c r="I4346" s="25" t="str">
        <f>IF(OR(E4346="",E4346="!!!",F4346="NEW"),"",INDEX(B4345:B$2,-1+SUMPRODUCT(MAX(ROW(E4345:E$2)*(E4346=E4345:E$2)))))</f>
        <v> </v>
      </c>
      <c r="J4346" s="25" t="str">
        <f>IF(OR(E4346="",E4346="!!!",F4346="NEW"),"",COUNTBLANK(OFFSET(A$1,,,SUMPRODUCT(MAX(ROW(E$2:E4346)*(E4346=E$2:E4346)))))-COUNTBLANK(OFFSET(A$1,,,SUMPRODUCT(MAX(ROW(E$1:E4345)*(E2=E$1:E4345))))))</f>
        <v> </v>
      </c>
      <c r="K4346" s="25" t="str">
        <f>IF(OR(E4346="",E4346="!!!",F4346="NEW"),"",INDEX(J$1:J4345,SUMPRODUCT(MAX(ROW(E$1:E4345)*(E4346=E$1:E4345)))))</f>
        <v> </v>
      </c>
      <c r="L4346" s="26"/>
    </row>
    <row r="4347" spans="1:12">
      <c r="A4347" s="20" t="s">
        <v>757</v>
      </c>
      <c r="E4347" s="21">
        <f>IF(D4347="?OLD","!!!","")</f>
        <v/>
      </c>
      <c r="F4347" s="22" t="str">
        <f>IF(OR(E4347="",E4347="!!!"),"",IF(NOT(ISNA(VLOOKUP(E4347,E$1:E4346,1,FALSE()))),"OLD",IF(AND(E4347&lt;&gt;"",E4347&lt;&gt;"!!!"),"NEW","")))</f>
        <v> </v>
      </c>
      <c r="G4347" s="23" t="str">
        <f>IF(OR(E4347="",E4347="!!!"),"",IF(OR(J4347=0,AND(J4347=1,K4347=1),AND(J4347=1,I4347="SBJ"),AND(J4347=1,I4347=0)),"?IN_FOCUS",IF(J4347&lt;=2,"?ACTIVATED",IF(J4347&lt;&gt;"","?FAMILIAR",IF(F4347="NEW",IF(ISNA(VLOOKUP(E4347,#REF!,1,FALSE())),"?TYPE_IDENTIFIABLE","?REFERENTIAL"),"_")))))</f>
        <v> </v>
      </c>
      <c r="H4347" s="24" t="str">
        <f>IF(J4347&lt;&gt;1,"",IF(I4347="SBJ","CB","?"))</f>
        <v> </v>
      </c>
      <c r="I4347" s="25" t="str">
        <f>IF(OR(E4347="",E4347="!!!",F4347="NEW"),"",INDEX(B4346:B$2,-1+SUMPRODUCT(MAX(ROW(E4346:E$2)*(E4347=E4346:E$2)))))</f>
        <v> </v>
      </c>
      <c r="J4347" s="25" t="str">
        <f>IF(OR(E4347="",E4347="!!!",F4347="NEW"),"",COUNTBLANK(OFFSET(A$1,,,SUMPRODUCT(MAX(ROW(E$2:E4347)*(E4347=E$2:E4347)))))-COUNTBLANK(OFFSET(A$1,,,SUMPRODUCT(MAX(ROW(E$1:E4346)*(E2=E$1:E4346))))))</f>
        <v> </v>
      </c>
      <c r="K4347" s="25" t="str">
        <f>IF(OR(E4347="",E4347="!!!",F4347="NEW"),"",INDEX(J$1:J4346,SUMPRODUCT(MAX(ROW(E$1:E4346)*(E4347=E$1:E4346)))))</f>
        <v> </v>
      </c>
      <c r="L4347" s="26"/>
    </row>
    <row r="4348" spans="1:12">
      <c r="A4348" s="20" t="s">
        <v>770</v>
      </c>
      <c r="E4348" s="21">
        <f>IF(D4348="?OLD","!!!","")</f>
        <v/>
      </c>
      <c r="F4348" s="22" t="str">
        <f>IF(OR(E4348="",E4348="!!!"),"",IF(NOT(ISNA(VLOOKUP(E4348,E$1:E4347,1,FALSE()))),"OLD",IF(AND(E4348&lt;&gt;"",E4348&lt;&gt;"!!!"),"NEW","")))</f>
        <v> </v>
      </c>
      <c r="G4348" s="23" t="str">
        <f>IF(OR(E4348="",E4348="!!!"),"",IF(OR(J4348=0,AND(J4348=1,K4348=1),AND(J4348=1,I4348="SBJ"),AND(J4348=1,I4348=0)),"?IN_FOCUS",IF(J4348&lt;=2,"?ACTIVATED",IF(J4348&lt;&gt;"","?FAMILIAR",IF(F4348="NEW",IF(ISNA(VLOOKUP(E4348,#REF!,1,FALSE())),"?TYPE_IDENTIFIABLE","?REFERENTIAL"),"_")))))</f>
        <v> </v>
      </c>
      <c r="H4348" s="24" t="str">
        <f>IF(J4348&lt;&gt;1,"",IF(I4348="SBJ","CB","?"))</f>
        <v> </v>
      </c>
      <c r="I4348" s="25" t="str">
        <f>IF(OR(E4348="",E4348="!!!",F4348="NEW"),"",INDEX(B4347:B$2,-1+SUMPRODUCT(MAX(ROW(E4347:E$2)*(E4348=E4347:E$2)))))</f>
        <v> </v>
      </c>
      <c r="J4348" s="25" t="str">
        <f>IF(OR(E4348="",E4348="!!!",F4348="NEW"),"",COUNTBLANK(OFFSET(A$1,,,SUMPRODUCT(MAX(ROW(E$2:E4348)*(E4348=E$2:E4348)))))-COUNTBLANK(OFFSET(A$1,,,SUMPRODUCT(MAX(ROW(E$1:E4347)*(E2=E$1:E4347))))))</f>
        <v> </v>
      </c>
      <c r="K4348" s="25" t="str">
        <f>IF(OR(E4348="",E4348="!!!",F4348="NEW"),"",INDEX(J$1:J4347,SUMPRODUCT(MAX(ROW(E$1:E4347)*(E4348=E$1:E4347)))))</f>
        <v> </v>
      </c>
      <c r="L4348" s="26"/>
    </row>
    <row r="4349" spans="1:12">
      <c r="A4349" s="20" t="s">
        <v>877</v>
      </c>
      <c r="B4349" s="27" t="s">
        <v>879</v>
      </c>
      <c r="C4349" s="27" t="s">
        <v>837</v>
      </c>
      <c r="D4349" s="27" t="s">
        <v>762</v>
      </c>
      <c r="E4349" s="21">
        <f>IF(D4349="?OLD","!!!","")</f>
        <v/>
      </c>
      <c r="F4349" s="22" t="str">
        <f>IF(OR(E4349="",E4349="!!!"),"",IF(NOT(ISNA(VLOOKUP(E4349,E$1:E4348,1,FALSE()))),"OLD",IF(AND(E4349&lt;&gt;"",E4349&lt;&gt;"!!!"),"NEW","")))</f>
        <v> </v>
      </c>
      <c r="G4349" s="23" t="str">
        <f>IF(OR(E4349="",E4349="!!!"),"",IF(OR(J4349=0,AND(J4349=1,K4349=1),AND(J4349=1,I4349="SBJ"),AND(J4349=1,I4349=0)),"?IN_FOCUS",IF(J4349&lt;=2,"?ACTIVATED",IF(J4349&lt;&gt;"","?FAMILIAR",IF(F4349="NEW",IF(ISNA(VLOOKUP(E4349,#REF!,1,FALSE())),"?TYPE_IDENTIFIABLE","?REFERENTIAL"),"_")))))</f>
        <v> </v>
      </c>
      <c r="H4349" s="24" t="str">
        <f>IF(J4349&lt;&gt;1,"",IF(I4349="SBJ","CB","?"))</f>
        <v> </v>
      </c>
      <c r="I4349" s="25" t="str">
        <f>IF(OR(E4349="",E4349="!!!",F4349="NEW"),"",INDEX(B4348:B$2,-1+SUMPRODUCT(MAX(ROW(E4348:E$2)*(E4349=E4348:E$2)))))</f>
        <v> </v>
      </c>
      <c r="J4349" s="25" t="str">
        <f>IF(OR(E4349="",E4349="!!!",F4349="NEW"),"",COUNTBLANK(OFFSET(A$1,,,SUMPRODUCT(MAX(ROW(E$2:E4349)*(E4349=E$2:E4349)))))-COUNTBLANK(OFFSET(A$1,,,SUMPRODUCT(MAX(ROW(E$1:E4348)*(E2=E$1:E4348))))))</f>
        <v> </v>
      </c>
      <c r="K4349" s="25" t="str">
        <f>IF(OR(E4349="",E4349="!!!",F4349="NEW"),"",INDEX(J$1:J4348,SUMPRODUCT(MAX(ROW(E$1:E4348)*(E4349=E$1:E4348)))))</f>
        <v> </v>
      </c>
      <c r="L4349" s="26"/>
    </row>
    <row r="4350" spans="1:12">
      <c r="A4350" s="20" t="s">
        <v>1952</v>
      </c>
      <c r="E4350" s="21">
        <f>IF(D4350="?OLD","!!!","")</f>
        <v/>
      </c>
      <c r="F4350" s="22" t="str">
        <f>IF(OR(E4350="",E4350="!!!"),"",IF(NOT(ISNA(VLOOKUP(E4350,E$1:E4349,1,FALSE()))),"OLD",IF(AND(E4350&lt;&gt;"",E4350&lt;&gt;"!!!"),"NEW","")))</f>
        <v> </v>
      </c>
      <c r="G4350" s="23" t="str">
        <f>IF(OR(E4350="",E4350="!!!"),"",IF(OR(J4350=0,AND(J4350=1,K4350=1),AND(J4350=1,I4350="SBJ"),AND(J4350=1,I4350=0)),"?IN_FOCUS",IF(J4350&lt;=2,"?ACTIVATED",IF(J4350&lt;&gt;"","?FAMILIAR",IF(F4350="NEW",IF(ISNA(VLOOKUP(E4350,#REF!,1,FALSE())),"?TYPE_IDENTIFIABLE","?REFERENTIAL"),"_")))))</f>
        <v> </v>
      </c>
      <c r="H4350" s="24" t="str">
        <f>IF(J4350&lt;&gt;1,"",IF(I4350="SBJ","CB","?"))</f>
        <v> </v>
      </c>
      <c r="I4350" s="25" t="str">
        <f>IF(OR(E4350="",E4350="!!!",F4350="NEW"),"",INDEX(B4349:B$2,-1+SUMPRODUCT(MAX(ROW(E4349:E$2)*(E4350=E4349:E$2)))))</f>
        <v> </v>
      </c>
      <c r="J4350" s="25" t="str">
        <f>IF(OR(E4350="",E4350="!!!",F4350="NEW"),"",COUNTBLANK(OFFSET(A$1,,,SUMPRODUCT(MAX(ROW(E$2:E4350)*(E4350=E$2:E4350)))))-COUNTBLANK(OFFSET(A$1,,,SUMPRODUCT(MAX(ROW(E$1:E4349)*(E2=E$1:E4349))))))</f>
        <v> </v>
      </c>
      <c r="K4350" s="25" t="str">
        <f>IF(OR(E4350="",E4350="!!!",F4350="NEW"),"",INDEX(J$1:J4349,SUMPRODUCT(MAX(ROW(E$1:E4349)*(E4350=E$1:E4349)))))</f>
        <v> </v>
      </c>
      <c r="L4350" s="26"/>
    </row>
    <row r="4351" spans="1:12">
      <c r="A4351" s="20" t="s">
        <v>805</v>
      </c>
      <c r="E4351" s="21">
        <f>IF(D4351="?OLD","!!!","")</f>
        <v/>
      </c>
      <c r="F4351" s="22" t="str">
        <f>IF(OR(E4351="",E4351="!!!"),"",IF(NOT(ISNA(VLOOKUP(E4351,E$1:E4350,1,FALSE()))),"OLD",IF(AND(E4351&lt;&gt;"",E4351&lt;&gt;"!!!"),"NEW","")))</f>
        <v> </v>
      </c>
      <c r="G4351" s="23" t="str">
        <f>IF(OR(E4351="",E4351="!!!"),"",IF(OR(J4351=0,AND(J4351=1,K4351=1),AND(J4351=1,I4351="SBJ"),AND(J4351=1,I4351=0)),"?IN_FOCUS",IF(J4351&lt;=2,"?ACTIVATED",IF(J4351&lt;&gt;"","?FAMILIAR",IF(F4351="NEW",IF(ISNA(VLOOKUP(E4351,#REF!,1,FALSE())),"?TYPE_IDENTIFIABLE","?REFERENTIAL"),"_")))))</f>
        <v> </v>
      </c>
      <c r="H4351" s="24" t="str">
        <f>IF(J4351&lt;&gt;1,"",IF(I4351="SBJ","CB","?"))</f>
        <v> </v>
      </c>
      <c r="I4351" s="25" t="str">
        <f>IF(OR(E4351="",E4351="!!!",F4351="NEW"),"",INDEX(B4350:B$2,-1+SUMPRODUCT(MAX(ROW(E4350:E$2)*(E4351=E4350:E$2)))))</f>
        <v> </v>
      </c>
      <c r="J4351" s="25" t="str">
        <f>IF(OR(E4351="",E4351="!!!",F4351="NEW"),"",COUNTBLANK(OFFSET(A$1,,,SUMPRODUCT(MAX(ROW(E$2:E4351)*(E4351=E$2:E4351)))))-COUNTBLANK(OFFSET(A$1,,,SUMPRODUCT(MAX(ROW(E$1:E4350)*(E2=E$1:E4350))))))</f>
        <v> </v>
      </c>
      <c r="K4351" s="25" t="str">
        <f>IF(OR(E4351="",E4351="!!!",F4351="NEW"),"",INDEX(J$1:J4350,SUMPRODUCT(MAX(ROW(E$1:E4350)*(E4351=E$1:E4350)))))</f>
        <v> </v>
      </c>
      <c r="L4351" s="26"/>
    </row>
    <row r="4352" spans="1:12">
      <c r="A4352" s="20" t="s">
        <v>1953</v>
      </c>
      <c r="B4352" s="27" t="s">
        <v>901</v>
      </c>
      <c r="C4352" s="27" t="s">
        <v>798</v>
      </c>
      <c r="D4352" s="27" t="s">
        <v>762</v>
      </c>
      <c r="E4352" s="21">
        <f>IF(D4352="?OLD","!!!","")</f>
        <v/>
      </c>
      <c r="F4352" s="22" t="str">
        <f>IF(OR(E4352="",E4352="!!!"),"",IF(NOT(ISNA(VLOOKUP(E4352,E$1:E4351,1,FALSE()))),"OLD",IF(AND(E4352&lt;&gt;"",E4352&lt;&gt;"!!!"),"NEW","")))</f>
        <v> </v>
      </c>
      <c r="G4352" s="23" t="str">
        <f>IF(OR(E4352="",E4352="!!!"),"",IF(OR(J4352=0,AND(J4352=1,K4352=1),AND(J4352=1,I4352="SBJ"),AND(J4352=1,I4352=0)),"?IN_FOCUS",IF(J4352&lt;=2,"?ACTIVATED",IF(J4352&lt;&gt;"","?FAMILIAR",IF(F4352="NEW",IF(ISNA(VLOOKUP(E4352,#REF!,1,FALSE())),"?TYPE_IDENTIFIABLE","?REFERENTIAL"),"_")))))</f>
        <v> </v>
      </c>
      <c r="H4352" s="24" t="str">
        <f>IF(J4352&lt;&gt;1,"",IF(I4352="SBJ","CB","?"))</f>
        <v> </v>
      </c>
      <c r="I4352" s="25" t="str">
        <f>IF(OR(E4352="",E4352="!!!",F4352="NEW"),"",INDEX(B4351:B$2,-1+SUMPRODUCT(MAX(ROW(E4351:E$2)*(E4352=E4351:E$2)))))</f>
        <v> </v>
      </c>
      <c r="J4352" s="25" t="str">
        <f>IF(OR(E4352="",E4352="!!!",F4352="NEW"),"",COUNTBLANK(OFFSET(A$1,,,SUMPRODUCT(MAX(ROW(E$2:E4352)*(E4352=E$2:E4352)))))-COUNTBLANK(OFFSET(A$1,,,SUMPRODUCT(MAX(ROW(E$1:E4351)*(E2=E$1:E4351))))))</f>
        <v> </v>
      </c>
      <c r="K4352" s="25" t="str">
        <f>IF(OR(E4352="",E4352="!!!",F4352="NEW"),"",INDEX(J$1:J4351,SUMPRODUCT(MAX(ROW(E$1:E4351)*(E4352=E$1:E4351)))))</f>
        <v> </v>
      </c>
      <c r="L4352" s="26"/>
    </row>
    <row r="4353" spans="1:12">
      <c r="A4353" s="20" t="s">
        <v>810</v>
      </c>
      <c r="E4353" s="21">
        <f>IF(D4353="?OLD","!!!","")</f>
        <v/>
      </c>
      <c r="F4353" s="22" t="str">
        <f>IF(OR(E4353="",E4353="!!!"),"",IF(NOT(ISNA(VLOOKUP(E4353,E$1:E4352,1,FALSE()))),"OLD",IF(AND(E4353&lt;&gt;"",E4353&lt;&gt;"!!!"),"NEW","")))</f>
        <v> </v>
      </c>
      <c r="G4353" s="23" t="str">
        <f>IF(OR(E4353="",E4353="!!!"),"",IF(OR(J4353=0,AND(J4353=1,K4353=1),AND(J4353=1,I4353="SBJ"),AND(J4353=1,I4353=0)),"?IN_FOCUS",IF(J4353&lt;=2,"?ACTIVATED",IF(J4353&lt;&gt;"","?FAMILIAR",IF(F4353="NEW",IF(ISNA(VLOOKUP(E4353,#REF!,1,FALSE())),"?TYPE_IDENTIFIABLE","?REFERENTIAL"),"_")))))</f>
        <v> </v>
      </c>
      <c r="H4353" s="24" t="str">
        <f>IF(J4353&lt;&gt;1,"",IF(I4353="SBJ","CB","?"))</f>
        <v> </v>
      </c>
      <c r="I4353" s="25" t="str">
        <f>IF(OR(E4353="",E4353="!!!",F4353="NEW"),"",INDEX(B4352:B$2,-1+SUMPRODUCT(MAX(ROW(E4352:E$2)*(E4353=E4352:E$2)))))</f>
        <v> </v>
      </c>
      <c r="J4353" s="25" t="str">
        <f>IF(OR(E4353="",E4353="!!!",F4353="NEW"),"",COUNTBLANK(OFFSET(A$1,,,SUMPRODUCT(MAX(ROW(E$2:E4353)*(E4353=E$2:E4353)))))-COUNTBLANK(OFFSET(A$1,,,SUMPRODUCT(MAX(ROW(E$1:E4352)*(E2=E$1:E4352))))))</f>
        <v> </v>
      </c>
      <c r="K4353" s="25" t="str">
        <f>IF(OR(E4353="",E4353="!!!",F4353="NEW"),"",INDEX(J$1:J4352,SUMPRODUCT(MAX(ROW(E$1:E4352)*(E4353=E$1:E4352)))))</f>
        <v> </v>
      </c>
      <c r="L4353" s="26"/>
    </row>
    <row r="4354" spans="1:12">
      <c r="A4354" s="20" t="s">
        <v>1954</v>
      </c>
      <c r="B4354" s="27" t="s">
        <v>815</v>
      </c>
      <c r="C4354" s="27" t="s">
        <v>798</v>
      </c>
      <c r="D4354" s="27" t="s">
        <v>762</v>
      </c>
      <c r="E4354" s="21">
        <f>IF(D4354="?OLD","!!!","")</f>
        <v/>
      </c>
      <c r="F4354" s="22" t="str">
        <f>IF(OR(E4354="",E4354="!!!"),"",IF(NOT(ISNA(VLOOKUP(E4354,E$1:E4353,1,FALSE()))),"OLD",IF(AND(E4354&lt;&gt;"",E4354&lt;&gt;"!!!"),"NEW","")))</f>
        <v> </v>
      </c>
      <c r="G4354" s="23" t="str">
        <f>IF(OR(E4354="",E4354="!!!"),"",IF(OR(J4354=0,AND(J4354=1,K4354=1),AND(J4354=1,I4354="SBJ"),AND(J4354=1,I4354=0)),"?IN_FOCUS",IF(J4354&lt;=2,"?ACTIVATED",IF(J4354&lt;&gt;"","?FAMILIAR",IF(F4354="NEW",IF(ISNA(VLOOKUP(E4354,#REF!,1,FALSE())),"?TYPE_IDENTIFIABLE","?REFERENTIAL"),"_")))))</f>
        <v> </v>
      </c>
      <c r="H4354" s="24" t="str">
        <f>IF(J4354&lt;&gt;1,"",IF(I4354="SBJ","CB","?"))</f>
        <v> </v>
      </c>
      <c r="I4354" s="25" t="str">
        <f>IF(OR(E4354="",E4354="!!!",F4354="NEW"),"",INDEX(B4353:B$2,-1+SUMPRODUCT(MAX(ROW(E4353:E$2)*(E4354=E4353:E$2)))))</f>
        <v> </v>
      </c>
      <c r="J4354" s="25" t="str">
        <f>IF(OR(E4354="",E4354="!!!",F4354="NEW"),"",COUNTBLANK(OFFSET(A$1,,,SUMPRODUCT(MAX(ROW(E$2:E4354)*(E4354=E$2:E4354)))))-COUNTBLANK(OFFSET(A$1,,,SUMPRODUCT(MAX(ROW(E$1:E4353)*(E2=E$1:E4353))))))</f>
        <v> </v>
      </c>
      <c r="K4354" s="25" t="str">
        <f>IF(OR(E4354="",E4354="!!!",F4354="NEW"),"",INDEX(J$1:J4353,SUMPRODUCT(MAX(ROW(E$1:E4353)*(E4354=E$1:E4353)))))</f>
        <v> </v>
      </c>
      <c r="L4354" s="26"/>
    </row>
    <row r="4355" spans="1:12">
      <c r="A4355" s="20" t="s">
        <v>785</v>
      </c>
      <c r="E4355" s="21">
        <f>IF(D4355="?OLD","!!!","")</f>
        <v/>
      </c>
      <c r="F4355" s="22" t="str">
        <f>IF(OR(E4355="",E4355="!!!"),"",IF(NOT(ISNA(VLOOKUP(E4355,E$1:E4354,1,FALSE()))),"OLD",IF(AND(E4355&lt;&gt;"",E4355&lt;&gt;"!!!"),"NEW","")))</f>
        <v> </v>
      </c>
      <c r="G4355" s="23" t="str">
        <f>IF(OR(E4355="",E4355="!!!"),"",IF(OR(J4355=0,AND(J4355=1,K4355=1),AND(J4355=1,I4355="SBJ"),AND(J4355=1,I4355=0)),"?IN_FOCUS",IF(J4355&lt;=2,"?ACTIVATED",IF(J4355&lt;&gt;"","?FAMILIAR",IF(F4355="NEW",IF(ISNA(VLOOKUP(E4355,#REF!,1,FALSE())),"?TYPE_IDENTIFIABLE","?REFERENTIAL"),"_")))))</f>
        <v> </v>
      </c>
      <c r="H4355" s="24" t="str">
        <f>IF(J4355&lt;&gt;1,"",IF(I4355="SBJ","CB","?"))</f>
        <v> </v>
      </c>
      <c r="I4355" s="25" t="str">
        <f>IF(OR(E4355="",E4355="!!!",F4355="NEW"),"",INDEX(B4354:B$2,-1+SUMPRODUCT(MAX(ROW(E4354:E$2)*(E4355=E4354:E$2)))))</f>
        <v> </v>
      </c>
      <c r="J4355" s="25" t="str">
        <f>IF(OR(E4355="",E4355="!!!",F4355="NEW"),"",COUNTBLANK(OFFSET(A$1,,,SUMPRODUCT(MAX(ROW(E$2:E4355)*(E4355=E$2:E4355)))))-COUNTBLANK(OFFSET(A$1,,,SUMPRODUCT(MAX(ROW(E$1:E4354)*(E2=E$1:E4354))))))</f>
        <v> </v>
      </c>
      <c r="K4355" s="25" t="str">
        <f>IF(OR(E4355="",E4355="!!!",F4355="NEW"),"",INDEX(J$1:J4354,SUMPRODUCT(MAX(ROW(E$1:E4354)*(E4355=E$1:E4354)))))</f>
        <v> </v>
      </c>
      <c r="L4355" s="26"/>
    </row>
    <row r="4356" spans="1:12">
      <c r="A4356" s="20" t="s">
        <v>1941</v>
      </c>
      <c r="B4356" s="27" t="s">
        <v>901</v>
      </c>
      <c r="C4356" s="27" t="s">
        <v>798</v>
      </c>
      <c r="D4356" s="27" t="s">
        <v>762</v>
      </c>
      <c r="E4356" s="21">
        <f>IF(D4356="?OLD","!!!","")</f>
        <v/>
      </c>
      <c r="F4356" s="22" t="str">
        <f>IF(OR(E4356="",E4356="!!!"),"",IF(NOT(ISNA(VLOOKUP(E4356,E$1:E4355,1,FALSE()))),"OLD",IF(AND(E4356&lt;&gt;"",E4356&lt;&gt;"!!!"),"NEW","")))</f>
        <v> </v>
      </c>
      <c r="G4356" s="23" t="str">
        <f>IF(OR(E4356="",E4356="!!!"),"",IF(OR(J4356=0,AND(J4356=1,K4356=1),AND(J4356=1,I4356="SBJ"),AND(J4356=1,I4356=0)),"?IN_FOCUS",IF(J4356&lt;=2,"?ACTIVATED",IF(J4356&lt;&gt;"","?FAMILIAR",IF(F4356="NEW",IF(ISNA(VLOOKUP(E4356,#REF!,1,FALSE())),"?TYPE_IDENTIFIABLE","?REFERENTIAL"),"_")))))</f>
        <v> </v>
      </c>
      <c r="H4356" s="24" t="str">
        <f>IF(J4356&lt;&gt;1,"",IF(I4356="SBJ","CB","?"))</f>
        <v> </v>
      </c>
      <c r="I4356" s="25" t="str">
        <f>IF(OR(E4356="",E4356="!!!",F4356="NEW"),"",INDEX(B4355:B$2,-1+SUMPRODUCT(MAX(ROW(E4355:E$2)*(E4356=E4355:E$2)))))</f>
        <v> </v>
      </c>
      <c r="J4356" s="25" t="str">
        <f>IF(OR(E4356="",E4356="!!!",F4356="NEW"),"",COUNTBLANK(OFFSET(A$1,,,SUMPRODUCT(MAX(ROW(E$2:E4356)*(E4356=E$2:E4356)))))-COUNTBLANK(OFFSET(A$1,,,SUMPRODUCT(MAX(ROW(E$1:E4355)*(E2=E$1:E4355))))))</f>
        <v> </v>
      </c>
      <c r="K4356" s="25" t="str">
        <f>IF(OR(E4356="",E4356="!!!",F4356="NEW"),"",INDEX(J$1:J4355,SUMPRODUCT(MAX(ROW(E$1:E4355)*(E4356=E$1:E4355)))))</f>
        <v> </v>
      </c>
      <c r="L4356" s="26"/>
    </row>
    <row r="4357" spans="1:12">
      <c r="A4357" s="20" t="s">
        <v>774</v>
      </c>
      <c r="E4357" s="21">
        <f>IF(D4357="?OLD","!!!","")</f>
        <v/>
      </c>
      <c r="F4357" s="22" t="str">
        <f>IF(OR(E4357="",E4357="!!!"),"",IF(NOT(ISNA(VLOOKUP(E4357,E$1:E4356,1,FALSE()))),"OLD",IF(AND(E4357&lt;&gt;"",E4357&lt;&gt;"!!!"),"NEW","")))</f>
        <v> </v>
      </c>
      <c r="G4357" s="23" t="str">
        <f>IF(OR(E4357="",E4357="!!!"),"",IF(OR(J4357=0,AND(J4357=1,K4357=1),AND(J4357=1,I4357="SBJ"),AND(J4357=1,I4357=0)),"?IN_FOCUS",IF(J4357&lt;=2,"?ACTIVATED",IF(J4357&lt;&gt;"","?FAMILIAR",IF(F4357="NEW",IF(ISNA(VLOOKUP(E4357,#REF!,1,FALSE())),"?TYPE_IDENTIFIABLE","?REFERENTIAL"),"_")))))</f>
        <v> </v>
      </c>
      <c r="H4357" s="24" t="str">
        <f>IF(J4357&lt;&gt;1,"",IF(I4357="SBJ","CB","?"))</f>
        <v> </v>
      </c>
      <c r="I4357" s="25" t="str">
        <f>IF(OR(E4357="",E4357="!!!",F4357="NEW"),"",INDEX(B4356:B$2,-1+SUMPRODUCT(MAX(ROW(E4356:E$2)*(E4357=E4356:E$2)))))</f>
        <v> </v>
      </c>
      <c r="J4357" s="25" t="str">
        <f>IF(OR(E4357="",E4357="!!!",F4357="NEW"),"",COUNTBLANK(OFFSET(A$1,,,SUMPRODUCT(MAX(ROW(E$2:E4357)*(E4357=E$2:E4357)))))-COUNTBLANK(OFFSET(A$1,,,SUMPRODUCT(MAX(ROW(E$1:E4356)*(E2=E$1:E4356))))))</f>
        <v> </v>
      </c>
      <c r="K4357" s="25" t="str">
        <f>IF(OR(E4357="",E4357="!!!",F4357="NEW"),"",INDEX(J$1:J4356,SUMPRODUCT(MAX(ROW(E$1:E4356)*(E4357=E$1:E4356)))))</f>
        <v> </v>
      </c>
      <c r="L4357" s="26"/>
    </row>
    <row r="4358" spans="1:12">
      <c r="A4358" s="20"/>
    </row>
    <row r="4359" spans="1:12">
      <c r="A4359" s="20" t="s">
        <v>1955</v>
      </c>
    </row>
    <row r="4360" spans="1:12">
      <c r="A4360" s="20" t="s">
        <v>791</v>
      </c>
      <c r="E4360" s="21">
        <f>IF(D4360="?OLD","!!!","")</f>
        <v/>
      </c>
      <c r="F4360" s="22" t="str">
        <f>IF(OR(E4360="",E4360="!!!"),"",IF(NOT(ISNA(VLOOKUP(E4360,E$1:E4359,1,FALSE()))),"OLD",IF(AND(E4360&lt;&gt;"",E4360&lt;&gt;"!!!"),"NEW","")))</f>
        <v> </v>
      </c>
      <c r="G4360" s="23" t="str">
        <f>IF(OR(E4360="",E4360="!!!"),"",IF(OR(J4360=0,AND(J4360=1,K4360=1),AND(J4360=1,I4360="SBJ"),AND(J4360=1,I4360=0)),"?IN_FOCUS",IF(J4360&lt;=2,"?ACTIVATED",IF(J4360&lt;&gt;"","?FAMILIAR",IF(F4360="NEW",IF(ISNA(VLOOKUP(E4360,#REF!,1,FALSE())),"?TYPE_IDENTIFIABLE","?REFERENTIAL"),"_")))))</f>
        <v> </v>
      </c>
      <c r="H4360" s="24" t="str">
        <f>IF(J4360&lt;&gt;1,"",IF(I4360="SBJ","CB","?"))</f>
        <v> </v>
      </c>
      <c r="I4360" s="25" t="str">
        <f>IF(OR(E4360="",E4360="!!!",F4360="NEW"),"",INDEX(B4359:B$2,-1+SUMPRODUCT(MAX(ROW(E4359:E$2)*(E4360=E4359:E$2)))))</f>
        <v> </v>
      </c>
      <c r="J4360" s="25" t="str">
        <f>IF(OR(E4360="",E4360="!!!",F4360="NEW"),"",COUNTBLANK(OFFSET(A$1,,,SUMPRODUCT(MAX(ROW(E$2:E4360)*(E4360=E$2:E4360)))))-COUNTBLANK(OFFSET(A$1,,,SUMPRODUCT(MAX(ROW(E$1:E4359)*(E2=E$1:E4359))))))</f>
        <v> </v>
      </c>
      <c r="K4360" s="25" t="str">
        <f>IF(OR(E4360="",E4360="!!!",F4360="NEW"),"",INDEX(J$1:J4359,SUMPRODUCT(MAX(ROW(E$1:E4359)*(E4360=E$1:E4359)))))</f>
        <v> </v>
      </c>
      <c r="L4360" s="26"/>
    </row>
    <row r="4361" spans="1:12">
      <c r="A4361" s="20" t="s">
        <v>1956</v>
      </c>
      <c r="E4361" s="21">
        <f>IF(D4361="?OLD","!!!","")</f>
        <v/>
      </c>
      <c r="F4361" s="22" t="str">
        <f>IF(OR(E4361="",E4361="!!!"),"",IF(NOT(ISNA(VLOOKUP(E4361,E$1:E4360,1,FALSE()))),"OLD",IF(AND(E4361&lt;&gt;"",E4361&lt;&gt;"!!!"),"NEW","")))</f>
        <v> </v>
      </c>
      <c r="G4361" s="23" t="str">
        <f>IF(OR(E4361="",E4361="!!!"),"",IF(OR(J4361=0,AND(J4361=1,K4361=1),AND(J4361=1,I4361="SBJ"),AND(J4361=1,I4361=0)),"?IN_FOCUS",IF(J4361&lt;=2,"?ACTIVATED",IF(J4361&lt;&gt;"","?FAMILIAR",IF(F4361="NEW",IF(ISNA(VLOOKUP(E4361,#REF!,1,FALSE())),"?TYPE_IDENTIFIABLE","?REFERENTIAL"),"_")))))</f>
        <v> </v>
      </c>
      <c r="H4361" s="24" t="str">
        <f>IF(J4361&lt;&gt;1,"",IF(I4361="SBJ","CB","?"))</f>
        <v> </v>
      </c>
      <c r="I4361" s="25" t="str">
        <f>IF(OR(E4361="",E4361="!!!",F4361="NEW"),"",INDEX(B4360:B$2,-1+SUMPRODUCT(MAX(ROW(E4360:E$2)*(E4361=E4360:E$2)))))</f>
        <v> </v>
      </c>
      <c r="J4361" s="25" t="str">
        <f>IF(OR(E4361="",E4361="!!!",F4361="NEW"),"",COUNTBLANK(OFFSET(A$1,,,SUMPRODUCT(MAX(ROW(E$2:E4361)*(E4361=E$2:E4361)))))-COUNTBLANK(OFFSET(A$1,,,SUMPRODUCT(MAX(ROW(E$1:E4360)*(E2=E$1:E4360))))))</f>
        <v> </v>
      </c>
      <c r="K4361" s="25" t="str">
        <f>IF(OR(E4361="",E4361="!!!",F4361="NEW"),"",INDEX(J$1:J4360,SUMPRODUCT(MAX(ROW(E$1:E4360)*(E4361=E$1:E4360)))))</f>
        <v> </v>
      </c>
      <c r="L4361" s="26"/>
    </row>
    <row r="4362" spans="1:12">
      <c r="A4362" s="20" t="s">
        <v>757</v>
      </c>
      <c r="E4362" s="21">
        <f>IF(D4362="?OLD","!!!","")</f>
        <v/>
      </c>
      <c r="F4362" s="22" t="str">
        <f>IF(OR(E4362="",E4362="!!!"),"",IF(NOT(ISNA(VLOOKUP(E4362,E$1:E4361,1,FALSE()))),"OLD",IF(AND(E4362&lt;&gt;"",E4362&lt;&gt;"!!!"),"NEW","")))</f>
        <v> </v>
      </c>
      <c r="G4362" s="23" t="str">
        <f>IF(OR(E4362="",E4362="!!!"),"",IF(OR(J4362=0,AND(J4362=1,K4362=1),AND(J4362=1,I4362="SBJ"),AND(J4362=1,I4362=0)),"?IN_FOCUS",IF(J4362&lt;=2,"?ACTIVATED",IF(J4362&lt;&gt;"","?FAMILIAR",IF(F4362="NEW",IF(ISNA(VLOOKUP(E4362,#REF!,1,FALSE())),"?TYPE_IDENTIFIABLE","?REFERENTIAL"),"_")))))</f>
        <v> </v>
      </c>
      <c r="H4362" s="24" t="str">
        <f>IF(J4362&lt;&gt;1,"",IF(I4362="SBJ","CB","?"))</f>
        <v> </v>
      </c>
      <c r="I4362" s="25" t="str">
        <f>IF(OR(E4362="",E4362="!!!",F4362="NEW"),"",INDEX(B4361:B$2,-1+SUMPRODUCT(MAX(ROW(E4361:E$2)*(E4362=E4361:E$2)))))</f>
        <v> </v>
      </c>
      <c r="J4362" s="25" t="str">
        <f>IF(OR(E4362="",E4362="!!!",F4362="NEW"),"",COUNTBLANK(OFFSET(A$1,,,SUMPRODUCT(MAX(ROW(E$2:E4362)*(E4362=E$2:E4362)))))-COUNTBLANK(OFFSET(A$1,,,SUMPRODUCT(MAX(ROW(E$1:E4361)*(E2=E$1:E4361))))))</f>
        <v> </v>
      </c>
      <c r="K4362" s="25" t="str">
        <f>IF(OR(E4362="",E4362="!!!",F4362="NEW"),"",INDEX(J$1:J4361,SUMPRODUCT(MAX(ROW(E$1:E4361)*(E4362=E$1:E4361)))))</f>
        <v> </v>
      </c>
      <c r="L4362" s="26"/>
    </row>
    <row r="4363" spans="1:12">
      <c r="A4363" s="20" t="s">
        <v>697</v>
      </c>
      <c r="B4363" s="27" t="s">
        <v>753</v>
      </c>
      <c r="C4363" s="27" t="s">
        <v>797</v>
      </c>
      <c r="D4363" s="27" t="s">
        <v>762</v>
      </c>
      <c r="E4363" s="21">
        <f>IF(D4363="?OLD","!!!","")</f>
        <v/>
      </c>
      <c r="F4363" s="22" t="str">
        <f>IF(OR(E4363="",E4363="!!!"),"",IF(NOT(ISNA(VLOOKUP(E4363,E$1:E4362,1,FALSE()))),"OLD",IF(AND(E4363&lt;&gt;"",E4363&lt;&gt;"!!!"),"NEW","")))</f>
        <v> </v>
      </c>
      <c r="G4363" s="23" t="str">
        <f>IF(OR(E4363="",E4363="!!!"),"",IF(OR(J4363=0,AND(J4363=1,K4363=1),AND(J4363=1,I4363="SBJ"),AND(J4363=1,I4363=0)),"?IN_FOCUS",IF(J4363&lt;=2,"?ACTIVATED",IF(J4363&lt;&gt;"","?FAMILIAR",IF(F4363="NEW",IF(ISNA(VLOOKUP(E4363,#REF!,1,FALSE())),"?TYPE_IDENTIFIABLE","?REFERENTIAL"),"_")))))</f>
        <v> </v>
      </c>
      <c r="H4363" s="24" t="str">
        <f>IF(J4363&lt;&gt;1,"",IF(I4363="SBJ","CB","?"))</f>
        <v> </v>
      </c>
      <c r="I4363" s="25" t="str">
        <f>IF(OR(E4363="",E4363="!!!",F4363="NEW"),"",INDEX(B4362:B$2,-1+SUMPRODUCT(MAX(ROW(E4362:E$2)*(E4363=E4362:E$2)))))</f>
        <v> </v>
      </c>
      <c r="J4363" s="25" t="str">
        <f>IF(OR(E4363="",E4363="!!!",F4363="NEW"),"",COUNTBLANK(OFFSET(A$1,,,SUMPRODUCT(MAX(ROW(E$2:E4363)*(E4363=E$2:E4363)))))-COUNTBLANK(OFFSET(A$1,,,SUMPRODUCT(MAX(ROW(E$1:E4362)*(E2=E$1:E4362))))))</f>
        <v> </v>
      </c>
      <c r="K4363" s="25" t="str">
        <f>IF(OR(E4363="",E4363="!!!",F4363="NEW"),"",INDEX(J$1:J4362,SUMPRODUCT(MAX(ROW(E$1:E4362)*(E4363=E$1:E4362)))))</f>
        <v> </v>
      </c>
      <c r="L4363" s="26"/>
    </row>
    <row r="4364" spans="1:12">
      <c r="A4364" s="20" t="s">
        <v>996</v>
      </c>
      <c r="B4364" s="27" t="s">
        <v>772</v>
      </c>
      <c r="C4364" s="27" t="s">
        <v>820</v>
      </c>
      <c r="D4364" s="27" t="s">
        <v>762</v>
      </c>
      <c r="E4364" s="21">
        <f>IF(D4364="?OLD","!!!","")</f>
        <v/>
      </c>
      <c r="F4364" s="22" t="str">
        <f>IF(OR(E4364="",E4364="!!!"),"",IF(NOT(ISNA(VLOOKUP(E4364,E$1:E4363,1,FALSE()))),"OLD",IF(AND(E4364&lt;&gt;"",E4364&lt;&gt;"!!!"),"NEW","")))</f>
        <v> </v>
      </c>
      <c r="G4364" s="23" t="str">
        <f>IF(OR(E4364="",E4364="!!!"),"",IF(OR(J4364=0,AND(J4364=1,K4364=1),AND(J4364=1,I4364="SBJ"),AND(J4364=1,I4364=0)),"?IN_FOCUS",IF(J4364&lt;=2,"?ACTIVATED",IF(J4364&lt;&gt;"","?FAMILIAR",IF(F4364="NEW",IF(ISNA(VLOOKUP(E4364,#REF!,1,FALSE())),"?TYPE_IDENTIFIABLE","?REFERENTIAL"),"_")))))</f>
        <v> </v>
      </c>
      <c r="H4364" s="24" t="str">
        <f>IF(J4364&lt;&gt;1,"",IF(I4364="SBJ","CB","?"))</f>
        <v> </v>
      </c>
      <c r="I4364" s="25" t="str">
        <f>IF(OR(E4364="",E4364="!!!",F4364="NEW"),"",INDEX(B4363:B$2,-1+SUMPRODUCT(MAX(ROW(E4363:E$2)*(E4364=E4363:E$2)))))</f>
        <v> </v>
      </c>
      <c r="J4364" s="25" t="str">
        <f>IF(OR(E4364="",E4364="!!!",F4364="NEW"),"",COUNTBLANK(OFFSET(A$1,,,SUMPRODUCT(MAX(ROW(E$2:E4364)*(E4364=E$2:E4364)))))-COUNTBLANK(OFFSET(A$1,,,SUMPRODUCT(MAX(ROW(E$1:E4363)*(E2=E$1:E4363))))))</f>
        <v> </v>
      </c>
      <c r="K4364" s="25" t="str">
        <f>IF(OR(E4364="",E4364="!!!",F4364="NEW"),"",INDEX(J$1:J4363,SUMPRODUCT(MAX(ROW(E$1:E4363)*(E4364=E$1:E4363)))))</f>
        <v> </v>
      </c>
      <c r="L4364" s="26"/>
    </row>
    <row r="4365" spans="1:12">
      <c r="A4365" s="20" t="s">
        <v>887</v>
      </c>
      <c r="E4365" s="21">
        <f>IF(D4365="?OLD","!!!","")</f>
        <v/>
      </c>
      <c r="F4365" s="22" t="str">
        <f>IF(OR(E4365="",E4365="!!!"),"",IF(NOT(ISNA(VLOOKUP(E4365,E$1:E4364,1,FALSE()))),"OLD",IF(AND(E4365&lt;&gt;"",E4365&lt;&gt;"!!!"),"NEW","")))</f>
        <v> </v>
      </c>
      <c r="G4365" s="23" t="str">
        <f>IF(OR(E4365="",E4365="!!!"),"",IF(OR(J4365=0,AND(J4365=1,K4365=1),AND(J4365=1,I4365="SBJ"),AND(J4365=1,I4365=0)),"?IN_FOCUS",IF(J4365&lt;=2,"?ACTIVATED",IF(J4365&lt;&gt;"","?FAMILIAR",IF(F4365="NEW",IF(ISNA(VLOOKUP(E4365,#REF!,1,FALSE())),"?TYPE_IDENTIFIABLE","?REFERENTIAL"),"_")))))</f>
        <v> </v>
      </c>
      <c r="H4365" s="24" t="str">
        <f>IF(J4365&lt;&gt;1,"",IF(I4365="SBJ","CB","?"))</f>
        <v> </v>
      </c>
      <c r="I4365" s="25" t="str">
        <f>IF(OR(E4365="",E4365="!!!",F4365="NEW"),"",INDEX(B4364:B$2,-1+SUMPRODUCT(MAX(ROW(E4364:E$2)*(E4365=E4364:E$2)))))</f>
        <v> </v>
      </c>
      <c r="J4365" s="25" t="str">
        <f>IF(OR(E4365="",E4365="!!!",F4365="NEW"),"",COUNTBLANK(OFFSET(A$1,,,SUMPRODUCT(MAX(ROW(E$2:E4365)*(E4365=E$2:E4365)))))-COUNTBLANK(OFFSET(A$1,,,SUMPRODUCT(MAX(ROW(E$1:E4364)*(E2=E$1:E4364))))))</f>
        <v> </v>
      </c>
      <c r="K4365" s="25" t="str">
        <f>IF(OR(E4365="",E4365="!!!",F4365="NEW"),"",INDEX(J$1:J4364,SUMPRODUCT(MAX(ROW(E$1:E4364)*(E4365=E$1:E4364)))))</f>
        <v> </v>
      </c>
      <c r="L4365" s="26"/>
    </row>
    <row r="4366" spans="1:12">
      <c r="A4366" s="20" t="s">
        <v>33</v>
      </c>
      <c r="E4366" s="21">
        <f>IF(D4366="?OLD","!!!","")</f>
        <v/>
      </c>
      <c r="F4366" s="22" t="str">
        <f>IF(OR(E4366="",E4366="!!!"),"",IF(NOT(ISNA(VLOOKUP(E4366,E$1:E4365,1,FALSE()))),"OLD",IF(AND(E4366&lt;&gt;"",E4366&lt;&gt;"!!!"),"NEW","")))</f>
        <v> </v>
      </c>
      <c r="G4366" s="23" t="str">
        <f>IF(OR(E4366="",E4366="!!!"),"",IF(OR(J4366=0,AND(J4366=1,K4366=1),AND(J4366=1,I4366="SBJ"),AND(J4366=1,I4366=0)),"?IN_FOCUS",IF(J4366&lt;=2,"?ACTIVATED",IF(J4366&lt;&gt;"","?FAMILIAR",IF(F4366="NEW",IF(ISNA(VLOOKUP(E4366,#REF!,1,FALSE())),"?TYPE_IDENTIFIABLE","?REFERENTIAL"),"_")))))</f>
        <v> </v>
      </c>
      <c r="H4366" s="24" t="str">
        <f>IF(J4366&lt;&gt;1,"",IF(I4366="SBJ","CB","?"))</f>
        <v> </v>
      </c>
      <c r="I4366" s="25" t="str">
        <f>IF(OR(E4366="",E4366="!!!",F4366="NEW"),"",INDEX(B4365:B$2,-1+SUMPRODUCT(MAX(ROW(E4365:E$2)*(E4366=E4365:E$2)))))</f>
        <v> </v>
      </c>
      <c r="J4366" s="25" t="str">
        <f>IF(OR(E4366="",E4366="!!!",F4366="NEW"),"",COUNTBLANK(OFFSET(A$1,,,SUMPRODUCT(MAX(ROW(E$2:E4366)*(E4366=E$2:E4366)))))-COUNTBLANK(OFFSET(A$1,,,SUMPRODUCT(MAX(ROW(E$1:E4365)*(E2=E$1:E4365))))))</f>
        <v> </v>
      </c>
      <c r="K4366" s="25" t="str">
        <f>IF(OR(E4366="",E4366="!!!",F4366="NEW"),"",INDEX(J$1:J4365,SUMPRODUCT(MAX(ROW(E$1:E4365)*(E4366=E$1:E4365)))))</f>
        <v> </v>
      </c>
      <c r="L4366" s="26"/>
    </row>
    <row r="4367" spans="1:12">
      <c r="A4367" s="20" t="s">
        <v>1139</v>
      </c>
      <c r="B4367" s="27" t="s">
        <v>753</v>
      </c>
      <c r="C4367" s="27" t="s">
        <v>831</v>
      </c>
      <c r="E4367" s="21">
        <f>IF(D4367="?OLD","!!!","")</f>
        <v/>
      </c>
      <c r="F4367" s="22" t="str">
        <f>IF(OR(E4367="",E4367="!!!"),"",IF(NOT(ISNA(VLOOKUP(E4367,E$1:E4366,1,FALSE()))),"OLD",IF(AND(E4367&lt;&gt;"",E4367&lt;&gt;"!!!"),"NEW","")))</f>
        <v> </v>
      </c>
      <c r="G4367" s="23" t="str">
        <f>IF(OR(E4367="",E4367="!!!"),"",IF(OR(J4367=0,AND(J4367=1,K4367=1),AND(J4367=1,I4367="SBJ"),AND(J4367=1,I4367=0)),"?IN_FOCUS",IF(J4367&lt;=2,"?ACTIVATED",IF(J4367&lt;&gt;"","?FAMILIAR",IF(F4367="NEW",IF(ISNA(VLOOKUP(E4367,#REF!,1,FALSE())),"?TYPE_IDENTIFIABLE","?REFERENTIAL"),"_")))))</f>
        <v> </v>
      </c>
      <c r="H4367" s="24" t="str">
        <f>IF(J4367&lt;&gt;1,"",IF(I4367="SBJ","CB","?"))</f>
        <v> </v>
      </c>
      <c r="I4367" s="25" t="str">
        <f>IF(OR(E4367="",E4367="!!!",F4367="NEW"),"",INDEX(B4366:B$2,-1+SUMPRODUCT(MAX(ROW(E4366:E$2)*(E4367=E4366:E$2)))))</f>
        <v> </v>
      </c>
      <c r="J4367" s="25" t="str">
        <f>IF(OR(E4367="",E4367="!!!",F4367="NEW"),"",COUNTBLANK(OFFSET(A$1,,,SUMPRODUCT(MAX(ROW(E$2:E4367)*(E4367=E$2:E4367)))))-COUNTBLANK(OFFSET(A$1,,,SUMPRODUCT(MAX(ROW(E$1:E4366)*(E2=E$1:E4366))))))</f>
        <v> </v>
      </c>
      <c r="K4367" s="25" t="str">
        <f>IF(OR(E4367="",E4367="!!!",F4367="NEW"),"",INDEX(J$1:J4366,SUMPRODUCT(MAX(ROW(E$1:E4366)*(E4367=E$1:E4366)))))</f>
        <v> </v>
      </c>
      <c r="L4367" s="26"/>
    </row>
    <row r="4368" spans="1:12">
      <c r="A4368" s="20" t="s">
        <v>942</v>
      </c>
      <c r="E4368" s="21">
        <f>IF(D4368="?OLD","!!!","")</f>
        <v/>
      </c>
      <c r="F4368" s="22" t="str">
        <f>IF(OR(E4368="",E4368="!!!"),"",IF(NOT(ISNA(VLOOKUP(E4368,E$1:E4367,1,FALSE()))),"OLD",IF(AND(E4368&lt;&gt;"",E4368&lt;&gt;"!!!"),"NEW","")))</f>
        <v> </v>
      </c>
      <c r="G4368" s="23" t="str">
        <f>IF(OR(E4368="",E4368="!!!"),"",IF(OR(J4368=0,AND(J4368=1,K4368=1),AND(J4368=1,I4368="SBJ"),AND(J4368=1,I4368=0)),"?IN_FOCUS",IF(J4368&lt;=2,"?ACTIVATED",IF(J4368&lt;&gt;"","?FAMILIAR",IF(F4368="NEW",IF(ISNA(VLOOKUP(E4368,#REF!,1,FALSE())),"?TYPE_IDENTIFIABLE","?REFERENTIAL"),"_")))))</f>
        <v> </v>
      </c>
      <c r="H4368" s="24" t="str">
        <f>IF(J4368&lt;&gt;1,"",IF(I4368="SBJ","CB","?"))</f>
        <v> </v>
      </c>
      <c r="I4368" s="25" t="str">
        <f>IF(OR(E4368="",E4368="!!!",F4368="NEW"),"",INDEX(B4367:B$2,-1+SUMPRODUCT(MAX(ROW(E4367:E$2)*(E4368=E4367:E$2)))))</f>
        <v> </v>
      </c>
      <c r="J4368" s="25" t="str">
        <f>IF(OR(E4368="",E4368="!!!",F4368="NEW"),"",COUNTBLANK(OFFSET(A$1,,,SUMPRODUCT(MAX(ROW(E$2:E4368)*(E4368=E$2:E4368)))))-COUNTBLANK(OFFSET(A$1,,,SUMPRODUCT(MAX(ROW(E$1:E4367)*(E2=E$1:E4367))))))</f>
        <v> </v>
      </c>
      <c r="K4368" s="25" t="str">
        <f>IF(OR(E4368="",E4368="!!!",F4368="NEW"),"",INDEX(J$1:J4367,SUMPRODUCT(MAX(ROW(E$1:E4367)*(E4368=E$1:E4367)))))</f>
        <v> </v>
      </c>
      <c r="L4368" s="26"/>
    </row>
    <row r="4369" spans="1:12">
      <c r="A4369" s="20" t="s">
        <v>28</v>
      </c>
      <c r="E4369" s="21">
        <f>IF(D4369="?OLD","!!!","")</f>
        <v/>
      </c>
      <c r="F4369" s="22" t="str">
        <f>IF(OR(E4369="",E4369="!!!"),"",IF(NOT(ISNA(VLOOKUP(E4369,E$1:E4368,1,FALSE()))),"OLD",IF(AND(E4369&lt;&gt;"",E4369&lt;&gt;"!!!"),"NEW","")))</f>
        <v> </v>
      </c>
      <c r="G4369" s="23" t="str">
        <f>IF(OR(E4369="",E4369="!!!"),"",IF(OR(J4369=0,AND(J4369=1,K4369=1),AND(J4369=1,I4369="SBJ"),AND(J4369=1,I4369=0)),"?IN_FOCUS",IF(J4369&lt;=2,"?ACTIVATED",IF(J4369&lt;&gt;"","?FAMILIAR",IF(F4369="NEW",IF(ISNA(VLOOKUP(E4369,#REF!,1,FALSE())),"?TYPE_IDENTIFIABLE","?REFERENTIAL"),"_")))))</f>
        <v> </v>
      </c>
      <c r="H4369" s="24" t="str">
        <f>IF(J4369&lt;&gt;1,"",IF(I4369="SBJ","CB","?"))</f>
        <v> </v>
      </c>
      <c r="I4369" s="25" t="str">
        <f>IF(OR(E4369="",E4369="!!!",F4369="NEW"),"",INDEX(B4368:B$2,-1+SUMPRODUCT(MAX(ROW(E4368:E$2)*(E4369=E4368:E$2)))))</f>
        <v> </v>
      </c>
      <c r="J4369" s="25" t="str">
        <f>IF(OR(E4369="",E4369="!!!",F4369="NEW"),"",COUNTBLANK(OFFSET(A$1,,,SUMPRODUCT(MAX(ROW(E$2:E4369)*(E4369=E$2:E4369)))))-COUNTBLANK(OFFSET(A$1,,,SUMPRODUCT(MAX(ROW(E$1:E4368)*(E2=E$1:E4368))))))</f>
        <v> </v>
      </c>
      <c r="K4369" s="25" t="str">
        <f>IF(OR(E4369="",E4369="!!!",F4369="NEW"),"",INDEX(J$1:J4368,SUMPRODUCT(MAX(ROW(E$1:E4368)*(E4369=E$1:E4368)))))</f>
        <v> </v>
      </c>
      <c r="L4369" s="26"/>
    </row>
    <row r="4370" spans="1:12">
      <c r="A4370" s="20" t="s">
        <v>943</v>
      </c>
      <c r="B4370" s="27" t="s">
        <v>753</v>
      </c>
      <c r="C4370" s="27" t="s">
        <v>831</v>
      </c>
      <c r="E4370" s="21">
        <f>IF(D4370="?OLD","!!!","")</f>
        <v/>
      </c>
      <c r="F4370" s="22" t="str">
        <f>IF(OR(E4370="",E4370="!!!"),"",IF(NOT(ISNA(VLOOKUP(E4370,E$1:E4369,1,FALSE()))),"OLD",IF(AND(E4370&lt;&gt;"",E4370&lt;&gt;"!!!"),"NEW","")))</f>
        <v> </v>
      </c>
      <c r="G4370" s="23" t="str">
        <f>IF(OR(E4370="",E4370="!!!"),"",IF(OR(J4370=0,AND(J4370=1,K4370=1),AND(J4370=1,I4370="SBJ"),AND(J4370=1,I4370=0)),"?IN_FOCUS",IF(J4370&lt;=2,"?ACTIVATED",IF(J4370&lt;&gt;"","?FAMILIAR",IF(F4370="NEW",IF(ISNA(VLOOKUP(E4370,#REF!,1,FALSE())),"?TYPE_IDENTIFIABLE","?REFERENTIAL"),"_")))))</f>
        <v> </v>
      </c>
      <c r="H4370" s="24" t="str">
        <f>IF(J4370&lt;&gt;1,"",IF(I4370="SBJ","CB","?"))</f>
        <v> </v>
      </c>
      <c r="I4370" s="25" t="str">
        <f>IF(OR(E4370="",E4370="!!!",F4370="NEW"),"",INDEX(B4369:B$2,-1+SUMPRODUCT(MAX(ROW(E4369:E$2)*(E4370=E4369:E$2)))))</f>
        <v> </v>
      </c>
      <c r="J4370" s="25" t="str">
        <f>IF(OR(E4370="",E4370="!!!",F4370="NEW"),"",COUNTBLANK(OFFSET(A$1,,,SUMPRODUCT(MAX(ROW(E$2:E4370)*(E4370=E$2:E4370)))))-COUNTBLANK(OFFSET(A$1,,,SUMPRODUCT(MAX(ROW(E$1:E4369)*(E2=E$1:E4369))))))</f>
        <v> </v>
      </c>
      <c r="K4370" s="25" t="str">
        <f>IF(OR(E4370="",E4370="!!!",F4370="NEW"),"",INDEX(J$1:J4369,SUMPRODUCT(MAX(ROW(E$1:E4369)*(E4370=E$1:E4369)))))</f>
        <v> </v>
      </c>
      <c r="L4370" s="26"/>
    </row>
    <row r="4371" spans="1:12">
      <c r="A4371" s="20" t="s">
        <v>872</v>
      </c>
      <c r="E4371" s="21">
        <f>IF(D4371="?OLD","!!!","")</f>
        <v/>
      </c>
      <c r="F4371" s="22" t="str">
        <f>IF(OR(E4371="",E4371="!!!"),"",IF(NOT(ISNA(VLOOKUP(E4371,E$1:E4370,1,FALSE()))),"OLD",IF(AND(E4371&lt;&gt;"",E4371&lt;&gt;"!!!"),"NEW","")))</f>
        <v> </v>
      </c>
      <c r="G4371" s="23" t="str">
        <f>IF(OR(E4371="",E4371="!!!"),"",IF(OR(J4371=0,AND(J4371=1,K4371=1),AND(J4371=1,I4371="SBJ"),AND(J4371=1,I4371=0)),"?IN_FOCUS",IF(J4371&lt;=2,"?ACTIVATED",IF(J4371&lt;&gt;"","?FAMILIAR",IF(F4371="NEW",IF(ISNA(VLOOKUP(E4371,#REF!,1,FALSE())),"?TYPE_IDENTIFIABLE","?REFERENTIAL"),"_")))))</f>
        <v> </v>
      </c>
      <c r="H4371" s="24" t="str">
        <f>IF(J4371&lt;&gt;1,"",IF(I4371="SBJ","CB","?"))</f>
        <v> </v>
      </c>
      <c r="I4371" s="25" t="str">
        <f>IF(OR(E4371="",E4371="!!!",F4371="NEW"),"",INDEX(B4370:B$2,-1+SUMPRODUCT(MAX(ROW(E4370:E$2)*(E4371=E4370:E$2)))))</f>
        <v> </v>
      </c>
      <c r="J4371" s="25" t="str">
        <f>IF(OR(E4371="",E4371="!!!",F4371="NEW"),"",COUNTBLANK(OFFSET(A$1,,,SUMPRODUCT(MAX(ROW(E$2:E4371)*(E4371=E$2:E4371)))))-COUNTBLANK(OFFSET(A$1,,,SUMPRODUCT(MAX(ROW(E$1:E4370)*(E2=E$1:E4370))))))</f>
        <v> </v>
      </c>
      <c r="K4371" s="25" t="str">
        <f>IF(OR(E4371="",E4371="!!!",F4371="NEW"),"",INDEX(J$1:J4370,SUMPRODUCT(MAX(ROW(E$1:E4370)*(E4371=E$1:E4370)))))</f>
        <v> </v>
      </c>
      <c r="L4371" s="26"/>
    </row>
    <row r="4372" spans="1:12">
      <c r="A4372" s="20" t="s">
        <v>22</v>
      </c>
      <c r="E4372" s="21">
        <f>IF(D4372="?OLD","!!!","")</f>
        <v/>
      </c>
      <c r="F4372" s="22" t="str">
        <f>IF(OR(E4372="",E4372="!!!"),"",IF(NOT(ISNA(VLOOKUP(E4372,E$1:E4371,1,FALSE()))),"OLD",IF(AND(E4372&lt;&gt;"",E4372&lt;&gt;"!!!"),"NEW","")))</f>
        <v> </v>
      </c>
      <c r="G4372" s="23" t="str">
        <f>IF(OR(E4372="",E4372="!!!"),"",IF(OR(J4372=0,AND(J4372=1,K4372=1),AND(J4372=1,I4372="SBJ"),AND(J4372=1,I4372=0)),"?IN_FOCUS",IF(J4372&lt;=2,"?ACTIVATED",IF(J4372&lt;&gt;"","?FAMILIAR",IF(F4372="NEW",IF(ISNA(VLOOKUP(E4372,#REF!,1,FALSE())),"?TYPE_IDENTIFIABLE","?REFERENTIAL"),"_")))))</f>
        <v> </v>
      </c>
      <c r="H4372" s="24" t="str">
        <f>IF(J4372&lt;&gt;1,"",IF(I4372="SBJ","CB","?"))</f>
        <v> </v>
      </c>
      <c r="I4372" s="25" t="str">
        <f>IF(OR(E4372="",E4372="!!!",F4372="NEW"),"",INDEX(B4371:B$2,-1+SUMPRODUCT(MAX(ROW(E4371:E$2)*(E4372=E4371:E$2)))))</f>
        <v> </v>
      </c>
      <c r="J4372" s="25" t="str">
        <f>IF(OR(E4372="",E4372="!!!",F4372="NEW"),"",COUNTBLANK(OFFSET(A$1,,,SUMPRODUCT(MAX(ROW(E$2:E4372)*(E4372=E$2:E4372)))))-COUNTBLANK(OFFSET(A$1,,,SUMPRODUCT(MAX(ROW(E$1:E4371)*(E2=E$1:E4371))))))</f>
        <v> </v>
      </c>
      <c r="K4372" s="25" t="str">
        <f>IF(OR(E4372="",E4372="!!!",F4372="NEW"),"",INDEX(J$1:J4371,SUMPRODUCT(MAX(ROW(E$1:E4371)*(E4372=E$1:E4371)))))</f>
        <v> </v>
      </c>
      <c r="L4372" s="26"/>
    </row>
    <row r="4373" spans="1:12">
      <c r="A4373" s="20" t="s">
        <v>1957</v>
      </c>
      <c r="B4373" s="27" t="s">
        <v>753</v>
      </c>
      <c r="C4373" s="27" t="s">
        <v>831</v>
      </c>
      <c r="E4373" s="21">
        <f>IF(D4373="?OLD","!!!","")</f>
        <v/>
      </c>
      <c r="F4373" s="22" t="str">
        <f>IF(OR(E4373="",E4373="!!!"),"",IF(NOT(ISNA(VLOOKUP(E4373,E$1:E4372,1,FALSE()))),"OLD",IF(AND(E4373&lt;&gt;"",E4373&lt;&gt;"!!!"),"NEW","")))</f>
        <v> </v>
      </c>
      <c r="G4373" s="23" t="str">
        <f>IF(OR(E4373="",E4373="!!!"),"",IF(OR(J4373=0,AND(J4373=1,K4373=1),AND(J4373=1,I4373="SBJ"),AND(J4373=1,I4373=0)),"?IN_FOCUS",IF(J4373&lt;=2,"?ACTIVATED",IF(J4373&lt;&gt;"","?FAMILIAR",IF(F4373="NEW",IF(ISNA(VLOOKUP(E4373,#REF!,1,FALSE())),"?TYPE_IDENTIFIABLE","?REFERENTIAL"),"_")))))</f>
        <v> </v>
      </c>
      <c r="H4373" s="24" t="str">
        <f>IF(J4373&lt;&gt;1,"",IF(I4373="SBJ","CB","?"))</f>
        <v> </v>
      </c>
      <c r="I4373" s="25" t="str">
        <f>IF(OR(E4373="",E4373="!!!",F4373="NEW"),"",INDEX(B4372:B$2,-1+SUMPRODUCT(MAX(ROW(E4372:E$2)*(E4373=E4372:E$2)))))</f>
        <v> </v>
      </c>
      <c r="J4373" s="25" t="str">
        <f>IF(OR(E4373="",E4373="!!!",F4373="NEW"),"",COUNTBLANK(OFFSET(A$1,,,SUMPRODUCT(MAX(ROW(E$2:E4373)*(E4373=E$2:E4373)))))-COUNTBLANK(OFFSET(A$1,,,SUMPRODUCT(MAX(ROW(E$1:E4372)*(E2=E$1:E4372))))))</f>
        <v> </v>
      </c>
      <c r="K4373" s="25" t="str">
        <f>IF(OR(E4373="",E4373="!!!",F4373="NEW"),"",INDEX(J$1:J4372,SUMPRODUCT(MAX(ROW(E$1:E4372)*(E4373=E$1:E4372)))))</f>
        <v> </v>
      </c>
      <c r="L4373" s="26"/>
    </row>
    <row r="4374" spans="1:12">
      <c r="A4374" s="20" t="s">
        <v>1958</v>
      </c>
      <c r="E4374" s="21">
        <f>IF(D4374="?OLD","!!!","")</f>
        <v/>
      </c>
      <c r="F4374" s="22" t="str">
        <f>IF(OR(E4374="",E4374="!!!"),"",IF(NOT(ISNA(VLOOKUP(E4374,E$1:E4373,1,FALSE()))),"OLD",IF(AND(E4374&lt;&gt;"",E4374&lt;&gt;"!!!"),"NEW","")))</f>
        <v> </v>
      </c>
      <c r="G4374" s="23" t="str">
        <f>IF(OR(E4374="",E4374="!!!"),"",IF(OR(J4374=0,AND(J4374=1,K4374=1),AND(J4374=1,I4374="SBJ"),AND(J4374=1,I4374=0)),"?IN_FOCUS",IF(J4374&lt;=2,"?ACTIVATED",IF(J4374&lt;&gt;"","?FAMILIAR",IF(F4374="NEW",IF(ISNA(VLOOKUP(E4374,#REF!,1,FALSE())),"?TYPE_IDENTIFIABLE","?REFERENTIAL"),"_")))))</f>
        <v> </v>
      </c>
      <c r="H4374" s="24" t="str">
        <f>IF(J4374&lt;&gt;1,"",IF(I4374="SBJ","CB","?"))</f>
        <v> </v>
      </c>
      <c r="I4374" s="25" t="str">
        <f>IF(OR(E4374="",E4374="!!!",F4374="NEW"),"",INDEX(B4373:B$2,-1+SUMPRODUCT(MAX(ROW(E4373:E$2)*(E4374=E4373:E$2)))))</f>
        <v> </v>
      </c>
      <c r="J4374" s="25" t="str">
        <f>IF(OR(E4374="",E4374="!!!",F4374="NEW"),"",COUNTBLANK(OFFSET(A$1,,,SUMPRODUCT(MAX(ROW(E$2:E4374)*(E4374=E$2:E4374)))))-COUNTBLANK(OFFSET(A$1,,,SUMPRODUCT(MAX(ROW(E$1:E4373)*(E2=E$1:E4373))))))</f>
        <v> </v>
      </c>
      <c r="K4374" s="25" t="str">
        <f>IF(OR(E4374="",E4374="!!!",F4374="NEW"),"",INDEX(J$1:J4373,SUMPRODUCT(MAX(ROW(E$1:E4373)*(E4374=E$1:E4373)))))</f>
        <v> </v>
      </c>
      <c r="L4374" s="26"/>
    </row>
    <row r="4375" spans="1:12">
      <c r="A4375" s="20" t="s">
        <v>774</v>
      </c>
      <c r="E4375" s="21">
        <f>IF(D4375="?OLD","!!!","")</f>
        <v/>
      </c>
      <c r="F4375" s="22" t="str">
        <f>IF(OR(E4375="",E4375="!!!"),"",IF(NOT(ISNA(VLOOKUP(E4375,E$1:E4374,1,FALSE()))),"OLD",IF(AND(E4375&lt;&gt;"",E4375&lt;&gt;"!!!"),"NEW","")))</f>
        <v> </v>
      </c>
      <c r="G4375" s="23" t="str">
        <f>IF(OR(E4375="",E4375="!!!"),"",IF(OR(J4375=0,AND(J4375=1,K4375=1),AND(J4375=1,I4375="SBJ"),AND(J4375=1,I4375=0)),"?IN_FOCUS",IF(J4375&lt;=2,"?ACTIVATED",IF(J4375&lt;&gt;"","?FAMILIAR",IF(F4375="NEW",IF(ISNA(VLOOKUP(E4375,#REF!,1,FALSE())),"?TYPE_IDENTIFIABLE","?REFERENTIAL"),"_")))))</f>
        <v> </v>
      </c>
      <c r="H4375" s="24" t="str">
        <f>IF(J4375&lt;&gt;1,"",IF(I4375="SBJ","CB","?"))</f>
        <v> </v>
      </c>
      <c r="I4375" s="25" t="str">
        <f>IF(OR(E4375="",E4375="!!!",F4375="NEW"),"",INDEX(B4374:B$2,-1+SUMPRODUCT(MAX(ROW(E4374:E$2)*(E4375=E4374:E$2)))))</f>
        <v> </v>
      </c>
      <c r="J4375" s="25" t="str">
        <f>IF(OR(E4375="",E4375="!!!",F4375="NEW"),"",COUNTBLANK(OFFSET(A$1,,,SUMPRODUCT(MAX(ROW(E$2:E4375)*(E4375=E$2:E4375)))))-COUNTBLANK(OFFSET(A$1,,,SUMPRODUCT(MAX(ROW(E$1:E4374)*(E2=E$1:E4374))))))</f>
        <v> </v>
      </c>
      <c r="K4375" s="25" t="str">
        <f>IF(OR(E4375="",E4375="!!!",F4375="NEW"),"",INDEX(J$1:J4374,SUMPRODUCT(MAX(ROW(E$1:E4374)*(E4375=E$1:E4374)))))</f>
        <v> </v>
      </c>
      <c r="L4375" s="26"/>
    </row>
    <row r="4376" spans="1:12">
      <c r="A4376" s="20"/>
    </row>
    <row r="4377" spans="1:12">
      <c r="A4377" s="20" t="s">
        <v>1959</v>
      </c>
    </row>
    <row r="4378" spans="1:12">
      <c r="A4378" s="20" t="s">
        <v>995</v>
      </c>
      <c r="E4378" s="21">
        <f>IF(D4378="?OLD","!!!","")</f>
        <v/>
      </c>
      <c r="F4378" s="22" t="str">
        <f>IF(OR(E4378="",E4378="!!!"),"",IF(NOT(ISNA(VLOOKUP(E4378,E$1:E4377,1,FALSE()))),"OLD",IF(AND(E4378&lt;&gt;"",E4378&lt;&gt;"!!!"),"NEW","")))</f>
        <v> </v>
      </c>
      <c r="G4378" s="23" t="str">
        <f>IF(OR(E4378="",E4378="!!!"),"",IF(OR(J4378=0,AND(J4378=1,K4378=1),AND(J4378=1,I4378="SBJ"),AND(J4378=1,I4378=0)),"?IN_FOCUS",IF(J4378&lt;=2,"?ACTIVATED",IF(J4378&lt;&gt;"","?FAMILIAR",IF(F4378="NEW",IF(ISNA(VLOOKUP(E4378,#REF!,1,FALSE())),"?TYPE_IDENTIFIABLE","?REFERENTIAL"),"_")))))</f>
        <v> </v>
      </c>
      <c r="H4378" s="24" t="str">
        <f>IF(J4378&lt;&gt;1,"",IF(I4378="SBJ","CB","?"))</f>
        <v> </v>
      </c>
      <c r="I4378" s="25" t="str">
        <f>IF(OR(E4378="",E4378="!!!",F4378="NEW"),"",INDEX(B4377:B$2,-1+SUMPRODUCT(MAX(ROW(E4377:E$2)*(E4378=E4377:E$2)))))</f>
        <v> </v>
      </c>
      <c r="J4378" s="25" t="str">
        <f>IF(OR(E4378="",E4378="!!!",F4378="NEW"),"",COUNTBLANK(OFFSET(A$1,,,SUMPRODUCT(MAX(ROW(E$2:E4378)*(E4378=E$2:E4378)))))-COUNTBLANK(OFFSET(A$1,,,SUMPRODUCT(MAX(ROW(E$1:E4377)*(E2=E$1:E4377))))))</f>
        <v> </v>
      </c>
      <c r="K4378" s="25" t="str">
        <f>IF(OR(E4378="",E4378="!!!",F4378="NEW"),"",INDEX(J$1:J4377,SUMPRODUCT(MAX(ROW(E$1:E4377)*(E4378=E$1:E4377)))))</f>
        <v> </v>
      </c>
      <c r="L4378" s="26"/>
    </row>
    <row r="4379" spans="1:12">
      <c r="A4379" s="20" t="s">
        <v>996</v>
      </c>
      <c r="E4379" s="21">
        <f>IF(D4379="?OLD","!!!","")</f>
        <v/>
      </c>
      <c r="F4379" s="22" t="str">
        <f>IF(OR(E4379="",E4379="!!!"),"",IF(NOT(ISNA(VLOOKUP(E4379,E$1:E4378,1,FALSE()))),"OLD",IF(AND(E4379&lt;&gt;"",E4379&lt;&gt;"!!!"),"NEW","")))</f>
        <v> </v>
      </c>
      <c r="G4379" s="23" t="str">
        <f>IF(OR(E4379="",E4379="!!!"),"",IF(OR(J4379=0,AND(J4379=1,K4379=1),AND(J4379=1,I4379="SBJ"),AND(J4379=1,I4379=0)),"?IN_FOCUS",IF(J4379&lt;=2,"?ACTIVATED",IF(J4379&lt;&gt;"","?FAMILIAR",IF(F4379="NEW",IF(ISNA(VLOOKUP(E4379,#REF!,1,FALSE())),"?TYPE_IDENTIFIABLE","?REFERENTIAL"),"_")))))</f>
        <v> </v>
      </c>
      <c r="H4379" s="24" t="str">
        <f>IF(J4379&lt;&gt;1,"",IF(I4379="SBJ","CB","?"))</f>
        <v> </v>
      </c>
      <c r="I4379" s="25" t="str">
        <f>IF(OR(E4379="",E4379="!!!",F4379="NEW"),"",INDEX(B4378:B$2,-1+SUMPRODUCT(MAX(ROW(E4378:E$2)*(E4379=E4378:E$2)))))</f>
        <v> </v>
      </c>
      <c r="J4379" s="25" t="str">
        <f>IF(OR(E4379="",E4379="!!!",F4379="NEW"),"",COUNTBLANK(OFFSET(A$1,,,SUMPRODUCT(MAX(ROW(E$2:E4379)*(E4379=E$2:E4379)))))-COUNTBLANK(OFFSET(A$1,,,SUMPRODUCT(MAX(ROW(E$1:E4378)*(E2=E$1:E4378))))))</f>
        <v> </v>
      </c>
      <c r="K4379" s="25" t="str">
        <f>IF(OR(E4379="",E4379="!!!",F4379="NEW"),"",INDEX(J$1:J4378,SUMPRODUCT(MAX(ROW(E$1:E4378)*(E4379=E$1:E4378)))))</f>
        <v> </v>
      </c>
      <c r="L4379" s="26"/>
    </row>
    <row r="4380" spans="1:12">
      <c r="A4380" s="20" t="s">
        <v>887</v>
      </c>
      <c r="E4380" s="21">
        <f>IF(D4380="?OLD","!!!","")</f>
        <v/>
      </c>
      <c r="F4380" s="22" t="str">
        <f>IF(OR(E4380="",E4380="!!!"),"",IF(NOT(ISNA(VLOOKUP(E4380,E$1:E4379,1,FALSE()))),"OLD",IF(AND(E4380&lt;&gt;"",E4380&lt;&gt;"!!!"),"NEW","")))</f>
        <v> </v>
      </c>
      <c r="G4380" s="23" t="str">
        <f>IF(OR(E4380="",E4380="!!!"),"",IF(OR(J4380=0,AND(J4380=1,K4380=1),AND(J4380=1,I4380="SBJ"),AND(J4380=1,I4380=0)),"?IN_FOCUS",IF(J4380&lt;=2,"?ACTIVATED",IF(J4380&lt;&gt;"","?FAMILIAR",IF(F4380="NEW",IF(ISNA(VLOOKUP(E4380,#REF!,1,FALSE())),"?TYPE_IDENTIFIABLE","?REFERENTIAL"),"_")))))</f>
        <v> </v>
      </c>
      <c r="H4380" s="24" t="str">
        <f>IF(J4380&lt;&gt;1,"",IF(I4380="SBJ","CB","?"))</f>
        <v> </v>
      </c>
      <c r="I4380" s="25" t="str">
        <f>IF(OR(E4380="",E4380="!!!",F4380="NEW"),"",INDEX(B4379:B$2,-1+SUMPRODUCT(MAX(ROW(E4379:E$2)*(E4380=E4379:E$2)))))</f>
        <v> </v>
      </c>
      <c r="J4380" s="25" t="str">
        <f>IF(OR(E4380="",E4380="!!!",F4380="NEW"),"",COUNTBLANK(OFFSET(A$1,,,SUMPRODUCT(MAX(ROW(E$2:E4380)*(E4380=E$2:E4380)))))-COUNTBLANK(OFFSET(A$1,,,SUMPRODUCT(MAX(ROW(E$1:E4379)*(E2=E$1:E4379))))))</f>
        <v> </v>
      </c>
      <c r="K4380" s="25" t="str">
        <f>IF(OR(E4380="",E4380="!!!",F4380="NEW"),"",INDEX(J$1:J4379,SUMPRODUCT(MAX(ROW(E$1:E4379)*(E4380=E$1:E4379)))))</f>
        <v> </v>
      </c>
      <c r="L4380" s="26"/>
    </row>
    <row r="4381" spans="1:12">
      <c r="A4381" s="20" t="s">
        <v>769</v>
      </c>
      <c r="E4381" s="21">
        <f>IF(D4381="?OLD","!!!","")</f>
        <v/>
      </c>
      <c r="F4381" s="22" t="str">
        <f>IF(OR(E4381="",E4381="!!!"),"",IF(NOT(ISNA(VLOOKUP(E4381,E$1:E4380,1,FALSE()))),"OLD",IF(AND(E4381&lt;&gt;"",E4381&lt;&gt;"!!!"),"NEW","")))</f>
        <v> </v>
      </c>
      <c r="G4381" s="23" t="str">
        <f>IF(OR(E4381="",E4381="!!!"),"",IF(OR(J4381=0,AND(J4381=1,K4381=1),AND(J4381=1,I4381="SBJ"),AND(J4381=1,I4381=0)),"?IN_FOCUS",IF(J4381&lt;=2,"?ACTIVATED",IF(J4381&lt;&gt;"","?FAMILIAR",IF(F4381="NEW",IF(ISNA(VLOOKUP(E4381,#REF!,1,FALSE())),"?TYPE_IDENTIFIABLE","?REFERENTIAL"),"_")))))</f>
        <v> </v>
      </c>
      <c r="H4381" s="24" t="str">
        <f>IF(J4381&lt;&gt;1,"",IF(I4381="SBJ","CB","?"))</f>
        <v> </v>
      </c>
      <c r="I4381" s="25" t="str">
        <f>IF(OR(E4381="",E4381="!!!",F4381="NEW"),"",INDEX(B4380:B$2,-1+SUMPRODUCT(MAX(ROW(E4380:E$2)*(E4381=E4380:E$2)))))</f>
        <v> </v>
      </c>
      <c r="J4381" s="25" t="str">
        <f>IF(OR(E4381="",E4381="!!!",F4381="NEW"),"",COUNTBLANK(OFFSET(A$1,,,SUMPRODUCT(MAX(ROW(E$2:E4381)*(E4381=E$2:E4381)))))-COUNTBLANK(OFFSET(A$1,,,SUMPRODUCT(MAX(ROW(E$1:E4380)*(E2=E$1:E4380))))))</f>
        <v> </v>
      </c>
      <c r="K4381" s="25" t="str">
        <f>IF(OR(E4381="",E4381="!!!",F4381="NEW"),"",INDEX(J$1:J4380,SUMPRODUCT(MAX(ROW(E$1:E4380)*(E4381=E$1:E4380)))))</f>
        <v> </v>
      </c>
      <c r="L4381" s="26"/>
    </row>
    <row r="4382" spans="1:12">
      <c r="A4382" s="20" t="s">
        <v>838</v>
      </c>
      <c r="E4382" s="21">
        <f>IF(D4382="?OLD","!!!","")</f>
        <v/>
      </c>
      <c r="F4382" s="22" t="str">
        <f>IF(OR(E4382="",E4382="!!!"),"",IF(NOT(ISNA(VLOOKUP(E4382,E$1:E4381,1,FALSE()))),"OLD",IF(AND(E4382&lt;&gt;"",E4382&lt;&gt;"!!!"),"NEW","")))</f>
        <v> </v>
      </c>
      <c r="G4382" s="23" t="str">
        <f>IF(OR(E4382="",E4382="!!!"),"",IF(OR(J4382=0,AND(J4382=1,K4382=1),AND(J4382=1,I4382="SBJ"),AND(J4382=1,I4382=0)),"?IN_FOCUS",IF(J4382&lt;=2,"?ACTIVATED",IF(J4382&lt;&gt;"","?FAMILIAR",IF(F4382="NEW",IF(ISNA(VLOOKUP(E4382,#REF!,1,FALSE())),"?TYPE_IDENTIFIABLE","?REFERENTIAL"),"_")))))</f>
        <v> </v>
      </c>
      <c r="H4382" s="24" t="str">
        <f>IF(J4382&lt;&gt;1,"",IF(I4382="SBJ","CB","?"))</f>
        <v> </v>
      </c>
      <c r="I4382" s="25" t="str">
        <f>IF(OR(E4382="",E4382="!!!",F4382="NEW"),"",INDEX(B4381:B$2,-1+SUMPRODUCT(MAX(ROW(E4381:E$2)*(E4382=E4381:E$2)))))</f>
        <v> </v>
      </c>
      <c r="J4382" s="25" t="str">
        <f>IF(OR(E4382="",E4382="!!!",F4382="NEW"),"",COUNTBLANK(OFFSET(A$1,,,SUMPRODUCT(MAX(ROW(E$2:E4382)*(E4382=E$2:E4382)))))-COUNTBLANK(OFFSET(A$1,,,SUMPRODUCT(MAX(ROW(E$1:E4381)*(E2=E$1:E4381))))))</f>
        <v> </v>
      </c>
      <c r="K4382" s="25" t="str">
        <f>IF(OR(E4382="",E4382="!!!",F4382="NEW"),"",INDEX(J$1:J4381,SUMPRODUCT(MAX(ROW(E$1:E4381)*(E4382=E$1:E4381)))))</f>
        <v> </v>
      </c>
      <c r="L4382" s="26"/>
    </row>
    <row r="4383" spans="1:12">
      <c r="A4383" s="20" t="s">
        <v>125</v>
      </c>
      <c r="B4383" s="27" t="s">
        <v>753</v>
      </c>
      <c r="C4383" s="27" t="s">
        <v>761</v>
      </c>
      <c r="D4383" s="27" t="s">
        <v>762</v>
      </c>
      <c r="E4383" s="21">
        <f>IF(D4383="?OLD","!!!","")</f>
        <v/>
      </c>
      <c r="F4383" s="22" t="str">
        <f>IF(OR(E4383="",E4383="!!!"),"",IF(NOT(ISNA(VLOOKUP(E4383,E$1:E4382,1,FALSE()))),"OLD",IF(AND(E4383&lt;&gt;"",E4383&lt;&gt;"!!!"),"NEW","")))</f>
        <v> </v>
      </c>
      <c r="G4383" s="23" t="str">
        <f>IF(OR(E4383="",E4383="!!!"),"",IF(OR(J4383=0,AND(J4383=1,K4383=1),AND(J4383=1,I4383="SBJ"),AND(J4383=1,I4383=0)),"?IN_FOCUS",IF(J4383&lt;=2,"?ACTIVATED",IF(J4383&lt;&gt;"","?FAMILIAR",IF(F4383="NEW",IF(ISNA(VLOOKUP(E4383,#REF!,1,FALSE())),"?TYPE_IDENTIFIABLE","?REFERENTIAL"),"_")))))</f>
        <v> </v>
      </c>
      <c r="H4383" s="24" t="str">
        <f>IF(J4383&lt;&gt;1,"",IF(I4383="SBJ","CB","?"))</f>
        <v> </v>
      </c>
      <c r="I4383" s="25" t="str">
        <f>IF(OR(E4383="",E4383="!!!",F4383="NEW"),"",INDEX(B4382:B$2,-1+SUMPRODUCT(MAX(ROW(E4382:E$2)*(E4383=E4382:E$2)))))</f>
        <v> </v>
      </c>
      <c r="J4383" s="25" t="str">
        <f>IF(OR(E4383="",E4383="!!!",F4383="NEW"),"",COUNTBLANK(OFFSET(A$1,,,SUMPRODUCT(MAX(ROW(E$2:E4383)*(E4383=E$2:E4383)))))-COUNTBLANK(OFFSET(A$1,,,SUMPRODUCT(MAX(ROW(E$1:E4382)*(E2=E$1:E4382))))))</f>
        <v> </v>
      </c>
      <c r="K4383" s="25" t="str">
        <f>IF(OR(E4383="",E4383="!!!",F4383="NEW"),"",INDEX(J$1:J4382,SUMPRODUCT(MAX(ROW(E$1:E4382)*(E4383=E$1:E4382)))))</f>
        <v> </v>
      </c>
      <c r="L4383" s="26"/>
    </row>
    <row r="4384" spans="1:12">
      <c r="A4384" s="20" t="s">
        <v>1020</v>
      </c>
      <c r="B4384" s="27" t="s">
        <v>956</v>
      </c>
      <c r="E4384" s="21">
        <f>IF(D4384="?OLD","!!!","")</f>
        <v/>
      </c>
      <c r="F4384" s="22" t="str">
        <f>IF(OR(E4384="",E4384="!!!"),"",IF(NOT(ISNA(VLOOKUP(E4384,E$1:E4383,1,FALSE()))),"OLD",IF(AND(E4384&lt;&gt;"",E4384&lt;&gt;"!!!"),"NEW","")))</f>
        <v> </v>
      </c>
      <c r="G4384" s="23" t="str">
        <f>IF(OR(E4384="",E4384="!!!"),"",IF(OR(J4384=0,AND(J4384=1,K4384=1),AND(J4384=1,I4384="SBJ"),AND(J4384=1,I4384=0)),"?IN_FOCUS",IF(J4384&lt;=2,"?ACTIVATED",IF(J4384&lt;&gt;"","?FAMILIAR",IF(F4384="NEW",IF(ISNA(VLOOKUP(E4384,#REF!,1,FALSE())),"?TYPE_IDENTIFIABLE","?REFERENTIAL"),"_")))))</f>
        <v> </v>
      </c>
      <c r="H4384" s="24" t="str">
        <f>IF(J4384&lt;&gt;1,"",IF(I4384="SBJ","CB","?"))</f>
        <v> </v>
      </c>
      <c r="I4384" s="25" t="str">
        <f>IF(OR(E4384="",E4384="!!!",F4384="NEW"),"",INDEX(B4383:B$2,-1+SUMPRODUCT(MAX(ROW(E4383:E$2)*(E4384=E4383:E$2)))))</f>
        <v> </v>
      </c>
      <c r="J4384" s="25" t="str">
        <f>IF(OR(E4384="",E4384="!!!",F4384="NEW"),"",COUNTBLANK(OFFSET(A$1,,,SUMPRODUCT(MAX(ROW(E$2:E4384)*(E4384=E$2:E4384)))))-COUNTBLANK(OFFSET(A$1,,,SUMPRODUCT(MAX(ROW(E$1:E4383)*(E2=E$1:E4383))))))</f>
        <v> </v>
      </c>
      <c r="K4384" s="25" t="str">
        <f>IF(OR(E4384="",E4384="!!!",F4384="NEW"),"",INDEX(J$1:J4383,SUMPRODUCT(MAX(ROW(E$1:E4383)*(E4384=E$1:E4383)))))</f>
        <v> </v>
      </c>
      <c r="L4384" s="26"/>
    </row>
    <row r="4385" spans="1:12">
      <c r="A4385" s="20" t="s">
        <v>1157</v>
      </c>
      <c r="E4385" s="21">
        <f>IF(D4385="?OLD","!!!","")</f>
        <v/>
      </c>
      <c r="F4385" s="22" t="str">
        <f>IF(OR(E4385="",E4385="!!!"),"",IF(NOT(ISNA(VLOOKUP(E4385,E$1:E4384,1,FALSE()))),"OLD",IF(AND(E4385&lt;&gt;"",E4385&lt;&gt;"!!!"),"NEW","")))</f>
        <v> </v>
      </c>
      <c r="G4385" s="23" t="str">
        <f>IF(OR(E4385="",E4385="!!!"),"",IF(OR(J4385=0,AND(J4385=1,K4385=1),AND(J4385=1,I4385="SBJ"),AND(J4385=1,I4385=0)),"?IN_FOCUS",IF(J4385&lt;=2,"?ACTIVATED",IF(J4385&lt;&gt;"","?FAMILIAR",IF(F4385="NEW",IF(ISNA(VLOOKUP(E4385,#REF!,1,FALSE())),"?TYPE_IDENTIFIABLE","?REFERENTIAL"),"_")))))</f>
        <v> </v>
      </c>
      <c r="H4385" s="24" t="str">
        <f>IF(J4385&lt;&gt;1,"",IF(I4385="SBJ","CB","?"))</f>
        <v> </v>
      </c>
      <c r="I4385" s="25" t="str">
        <f>IF(OR(E4385="",E4385="!!!",F4385="NEW"),"",INDEX(B4384:B$2,-1+SUMPRODUCT(MAX(ROW(E4384:E$2)*(E4385=E4384:E$2)))))</f>
        <v> </v>
      </c>
      <c r="J4385" s="25" t="str">
        <f>IF(OR(E4385="",E4385="!!!",F4385="NEW"),"",COUNTBLANK(OFFSET(A$1,,,SUMPRODUCT(MAX(ROW(E$2:E4385)*(E4385=E$2:E4385)))))-COUNTBLANK(OFFSET(A$1,,,SUMPRODUCT(MAX(ROW(E$1:E4384)*(E2=E$1:E4384))))))</f>
        <v> </v>
      </c>
      <c r="K4385" s="25" t="str">
        <f>IF(OR(E4385="",E4385="!!!",F4385="NEW"),"",INDEX(J$1:J4384,SUMPRODUCT(MAX(ROW(E$1:E4384)*(E4385=E$1:E4384)))))</f>
        <v> </v>
      </c>
      <c r="L4385" s="26"/>
    </row>
    <row r="4386" spans="1:12">
      <c r="A4386" s="20" t="s">
        <v>793</v>
      </c>
      <c r="E4386" s="21">
        <f>IF(D4386="?OLD","!!!","")</f>
        <v/>
      </c>
      <c r="F4386" s="22" t="str">
        <f>IF(OR(E4386="",E4386="!!!"),"",IF(NOT(ISNA(VLOOKUP(E4386,E$1:E4385,1,FALSE()))),"OLD",IF(AND(E4386&lt;&gt;"",E4386&lt;&gt;"!!!"),"NEW","")))</f>
        <v> </v>
      </c>
      <c r="G4386" s="23" t="str">
        <f>IF(OR(E4386="",E4386="!!!"),"",IF(OR(J4386=0,AND(J4386=1,K4386=1),AND(J4386=1,I4386="SBJ"),AND(J4386=1,I4386=0)),"?IN_FOCUS",IF(J4386&lt;=2,"?ACTIVATED",IF(J4386&lt;&gt;"","?FAMILIAR",IF(F4386="NEW",IF(ISNA(VLOOKUP(E4386,#REF!,1,FALSE())),"?TYPE_IDENTIFIABLE","?REFERENTIAL"),"_")))))</f>
        <v> </v>
      </c>
      <c r="H4386" s="24" t="str">
        <f>IF(J4386&lt;&gt;1,"",IF(I4386="SBJ","CB","?"))</f>
        <v> </v>
      </c>
      <c r="I4386" s="25" t="str">
        <f>IF(OR(E4386="",E4386="!!!",F4386="NEW"),"",INDEX(B4385:B$2,-1+SUMPRODUCT(MAX(ROW(E4385:E$2)*(E4386=E4385:E$2)))))</f>
        <v> </v>
      </c>
      <c r="J4386" s="25" t="str">
        <f>IF(OR(E4386="",E4386="!!!",F4386="NEW"),"",COUNTBLANK(OFFSET(A$1,,,SUMPRODUCT(MAX(ROW(E$2:E4386)*(E4386=E$2:E4386)))))-COUNTBLANK(OFFSET(A$1,,,SUMPRODUCT(MAX(ROW(E$1:E4385)*(E2=E$1:E4385))))))</f>
        <v> </v>
      </c>
      <c r="K4386" s="25" t="str">
        <f>IF(OR(E4386="",E4386="!!!",F4386="NEW"),"",INDEX(J$1:J4385,SUMPRODUCT(MAX(ROW(E$1:E4385)*(E4386=E$1:E4385)))))</f>
        <v> </v>
      </c>
      <c r="L4386" s="26"/>
    </row>
    <row r="4387" spans="1:12">
      <c r="A4387" s="20" t="s">
        <v>758</v>
      </c>
      <c r="E4387" s="21">
        <f>IF(D4387="?OLD","!!!","")</f>
        <v/>
      </c>
      <c r="F4387" s="22" t="str">
        <f>IF(OR(E4387="",E4387="!!!"),"",IF(NOT(ISNA(VLOOKUP(E4387,E$1:E4386,1,FALSE()))),"OLD",IF(AND(E4387&lt;&gt;"",E4387&lt;&gt;"!!!"),"NEW","")))</f>
        <v> </v>
      </c>
      <c r="G4387" s="23" t="str">
        <f>IF(OR(E4387="",E4387="!!!"),"",IF(OR(J4387=0,AND(J4387=1,K4387=1),AND(J4387=1,I4387="SBJ"),AND(J4387=1,I4387=0)),"?IN_FOCUS",IF(J4387&lt;=2,"?ACTIVATED",IF(J4387&lt;&gt;"","?FAMILIAR",IF(F4387="NEW",IF(ISNA(VLOOKUP(E4387,#REF!,1,FALSE())),"?TYPE_IDENTIFIABLE","?REFERENTIAL"),"_")))))</f>
        <v> </v>
      </c>
      <c r="H4387" s="24" t="str">
        <f>IF(J4387&lt;&gt;1,"",IF(I4387="SBJ","CB","?"))</f>
        <v> </v>
      </c>
      <c r="I4387" s="25" t="str">
        <f>IF(OR(E4387="",E4387="!!!",F4387="NEW"),"",INDEX(B4386:B$2,-1+SUMPRODUCT(MAX(ROW(E4386:E$2)*(E4387=E4386:E$2)))))</f>
        <v> </v>
      </c>
      <c r="J4387" s="25" t="str">
        <f>IF(OR(E4387="",E4387="!!!",F4387="NEW"),"",COUNTBLANK(OFFSET(A$1,,,SUMPRODUCT(MAX(ROW(E$2:E4387)*(E4387=E$2:E4387)))))-COUNTBLANK(OFFSET(A$1,,,SUMPRODUCT(MAX(ROW(E$1:E4386)*(E2=E$1:E4386))))))</f>
        <v> </v>
      </c>
      <c r="K4387" s="25" t="str">
        <f>IF(OR(E4387="",E4387="!!!",F4387="NEW"),"",INDEX(J$1:J4386,SUMPRODUCT(MAX(ROW(E$1:E4386)*(E4387=E$1:E4386)))))</f>
        <v> </v>
      </c>
      <c r="L4387" s="26"/>
    </row>
    <row r="4388" spans="1:12">
      <c r="A4388" s="20" t="s">
        <v>1721</v>
      </c>
      <c r="B4388" s="27" t="s">
        <v>879</v>
      </c>
      <c r="C4388" s="27" t="s">
        <v>837</v>
      </c>
      <c r="D4388" s="27" t="s">
        <v>762</v>
      </c>
      <c r="E4388" s="21">
        <f>IF(D4388="?OLD","!!!","")</f>
        <v/>
      </c>
      <c r="F4388" s="22" t="str">
        <f>IF(OR(E4388="",E4388="!!!"),"",IF(NOT(ISNA(VLOOKUP(E4388,E$1:E4387,1,FALSE()))),"OLD",IF(AND(E4388&lt;&gt;"",E4388&lt;&gt;"!!!"),"NEW","")))</f>
        <v> </v>
      </c>
      <c r="G4388" s="23" t="str">
        <f>IF(OR(E4388="",E4388="!!!"),"",IF(OR(J4388=0,AND(J4388=1,K4388=1),AND(J4388=1,I4388="SBJ"),AND(J4388=1,I4388=0)),"?IN_FOCUS",IF(J4388&lt;=2,"?ACTIVATED",IF(J4388&lt;&gt;"","?FAMILIAR",IF(F4388="NEW",IF(ISNA(VLOOKUP(E4388,#REF!,1,FALSE())),"?TYPE_IDENTIFIABLE","?REFERENTIAL"),"_")))))</f>
        <v> </v>
      </c>
      <c r="H4388" s="24" t="str">
        <f>IF(J4388&lt;&gt;1,"",IF(I4388="SBJ","CB","?"))</f>
        <v> </v>
      </c>
      <c r="I4388" s="25" t="str">
        <f>IF(OR(E4388="",E4388="!!!",F4388="NEW"),"",INDEX(B4387:B$2,-1+SUMPRODUCT(MAX(ROW(E4387:E$2)*(E4388=E4387:E$2)))))</f>
        <v> </v>
      </c>
      <c r="J4388" s="25" t="str">
        <f>IF(OR(E4388="",E4388="!!!",F4388="NEW"),"",COUNTBLANK(OFFSET(A$1,,,SUMPRODUCT(MAX(ROW(E$2:E4388)*(E4388=E$2:E4388)))))-COUNTBLANK(OFFSET(A$1,,,SUMPRODUCT(MAX(ROW(E$1:E4387)*(E2=E$1:E4387))))))</f>
        <v> </v>
      </c>
      <c r="K4388" s="25" t="str">
        <f>IF(OR(E4388="",E4388="!!!",F4388="NEW"),"",INDEX(J$1:J4387,SUMPRODUCT(MAX(ROW(E$1:E4387)*(E4388=E$1:E4387)))))</f>
        <v> </v>
      </c>
      <c r="L4388" s="26"/>
    </row>
    <row r="4389" spans="1:12">
      <c r="A4389" s="20" t="s">
        <v>1043</v>
      </c>
      <c r="E4389" s="21">
        <f>IF(D4389="?OLD","!!!","")</f>
        <v/>
      </c>
      <c r="F4389" s="22" t="str">
        <f>IF(OR(E4389="",E4389="!!!"),"",IF(NOT(ISNA(VLOOKUP(E4389,E$1:E4388,1,FALSE()))),"OLD",IF(AND(E4389&lt;&gt;"",E4389&lt;&gt;"!!!"),"NEW","")))</f>
        <v> </v>
      </c>
      <c r="G4389" s="23" t="str">
        <f>IF(OR(E4389="",E4389="!!!"),"",IF(OR(J4389=0,AND(J4389=1,K4389=1),AND(J4389=1,I4389="SBJ"),AND(J4389=1,I4389=0)),"?IN_FOCUS",IF(J4389&lt;=2,"?ACTIVATED",IF(J4389&lt;&gt;"","?FAMILIAR",IF(F4389="NEW",IF(ISNA(VLOOKUP(E4389,#REF!,1,FALSE())),"?TYPE_IDENTIFIABLE","?REFERENTIAL"),"_")))))</f>
        <v> </v>
      </c>
      <c r="H4389" s="24" t="str">
        <f>IF(J4389&lt;&gt;1,"",IF(I4389="SBJ","CB","?"))</f>
        <v> </v>
      </c>
      <c r="I4389" s="25" t="str">
        <f>IF(OR(E4389="",E4389="!!!",F4389="NEW"),"",INDEX(B4388:B$2,-1+SUMPRODUCT(MAX(ROW(E4388:E$2)*(E4389=E4388:E$2)))))</f>
        <v> </v>
      </c>
      <c r="J4389" s="25" t="str">
        <f>IF(OR(E4389="",E4389="!!!",F4389="NEW"),"",COUNTBLANK(OFFSET(A$1,,,SUMPRODUCT(MAX(ROW(E$2:E4389)*(E4389=E$2:E4389)))))-COUNTBLANK(OFFSET(A$1,,,SUMPRODUCT(MAX(ROW(E$1:E4388)*(E2=E$1:E4388))))))</f>
        <v> </v>
      </c>
      <c r="K4389" s="25" t="str">
        <f>IF(OR(E4389="",E4389="!!!",F4389="NEW"),"",INDEX(J$1:J4388,SUMPRODUCT(MAX(ROW(E$1:E4388)*(E4389=E$1:E4388)))))</f>
        <v> </v>
      </c>
      <c r="L4389" s="26"/>
    </row>
    <row r="4390" spans="1:12">
      <c r="A4390" s="20" t="s">
        <v>769</v>
      </c>
      <c r="E4390" s="21">
        <f>IF(D4390="?OLD","!!!","")</f>
        <v/>
      </c>
      <c r="F4390" s="22" t="str">
        <f>IF(OR(E4390="",E4390="!!!"),"",IF(NOT(ISNA(VLOOKUP(E4390,E$1:E4389,1,FALSE()))),"OLD",IF(AND(E4390&lt;&gt;"",E4390&lt;&gt;"!!!"),"NEW","")))</f>
        <v> </v>
      </c>
      <c r="G4390" s="23" t="str">
        <f>IF(OR(E4390="",E4390="!!!"),"",IF(OR(J4390=0,AND(J4390=1,K4390=1),AND(J4390=1,I4390="SBJ"),AND(J4390=1,I4390=0)),"?IN_FOCUS",IF(J4390&lt;=2,"?ACTIVATED",IF(J4390&lt;&gt;"","?FAMILIAR",IF(F4390="NEW",IF(ISNA(VLOOKUP(E4390,#REF!,1,FALSE())),"?TYPE_IDENTIFIABLE","?REFERENTIAL"),"_")))))</f>
        <v> </v>
      </c>
      <c r="H4390" s="24" t="str">
        <f>IF(J4390&lt;&gt;1,"",IF(I4390="SBJ","CB","?"))</f>
        <v> </v>
      </c>
      <c r="I4390" s="25" t="str">
        <f>IF(OR(E4390="",E4390="!!!",F4390="NEW"),"",INDEX(B4389:B$2,-1+SUMPRODUCT(MAX(ROW(E4389:E$2)*(E4390=E4389:E$2)))))</f>
        <v> </v>
      </c>
      <c r="J4390" s="25" t="str">
        <f>IF(OR(E4390="",E4390="!!!",F4390="NEW"),"",COUNTBLANK(OFFSET(A$1,,,SUMPRODUCT(MAX(ROW(E$2:E4390)*(E4390=E$2:E4390)))))-COUNTBLANK(OFFSET(A$1,,,SUMPRODUCT(MAX(ROW(E$1:E4389)*(E2=E$1:E4389))))))</f>
        <v> </v>
      </c>
      <c r="K4390" s="25" t="str">
        <f>IF(OR(E4390="",E4390="!!!",F4390="NEW"),"",INDEX(J$1:J4389,SUMPRODUCT(MAX(ROW(E$1:E4389)*(E4390=E$1:E4389)))))</f>
        <v> </v>
      </c>
      <c r="L4390" s="26"/>
    </row>
    <row r="4391" spans="1:12">
      <c r="A4391" s="20" t="s">
        <v>876</v>
      </c>
      <c r="B4391" s="27" t="s">
        <v>815</v>
      </c>
      <c r="C4391" s="27" t="s">
        <v>851</v>
      </c>
      <c r="D4391" s="27" t="s">
        <v>762</v>
      </c>
      <c r="E4391" s="21">
        <f>IF(D4391="?OLD","!!!","")</f>
        <v/>
      </c>
      <c r="F4391" s="22" t="str">
        <f>IF(OR(E4391="",E4391="!!!"),"",IF(NOT(ISNA(VLOOKUP(E4391,E$1:E4390,1,FALSE()))),"OLD",IF(AND(E4391&lt;&gt;"",E4391&lt;&gt;"!!!"),"NEW","")))</f>
        <v> </v>
      </c>
      <c r="G4391" s="23" t="str">
        <f>IF(OR(E4391="",E4391="!!!"),"",IF(OR(J4391=0,AND(J4391=1,K4391=1),AND(J4391=1,I4391="SBJ"),AND(J4391=1,I4391=0)),"?IN_FOCUS",IF(J4391&lt;=2,"?ACTIVATED",IF(J4391&lt;&gt;"","?FAMILIAR",IF(F4391="NEW",IF(ISNA(VLOOKUP(E4391,#REF!,1,FALSE())),"?TYPE_IDENTIFIABLE","?REFERENTIAL"),"_")))))</f>
        <v> </v>
      </c>
      <c r="H4391" s="24" t="str">
        <f>IF(J4391&lt;&gt;1,"",IF(I4391="SBJ","CB","?"))</f>
        <v> </v>
      </c>
      <c r="I4391" s="25" t="str">
        <f>IF(OR(E4391="",E4391="!!!",F4391="NEW"),"",INDEX(B4390:B$2,-1+SUMPRODUCT(MAX(ROW(E4390:E$2)*(E4391=E4390:E$2)))))</f>
        <v> </v>
      </c>
      <c r="J4391" s="25" t="str">
        <f>IF(OR(E4391="",E4391="!!!",F4391="NEW"),"",COUNTBLANK(OFFSET(A$1,,,SUMPRODUCT(MAX(ROW(E$2:E4391)*(E4391=E$2:E4391)))))-COUNTBLANK(OFFSET(A$1,,,SUMPRODUCT(MAX(ROW(E$1:E4390)*(E2=E$1:E4390))))))</f>
        <v> </v>
      </c>
      <c r="K4391" s="25" t="str">
        <f>IF(OR(E4391="",E4391="!!!",F4391="NEW"),"",INDEX(J$1:J4390,SUMPRODUCT(MAX(ROW(E$1:E4390)*(E4391=E$1:E4390)))))</f>
        <v> </v>
      </c>
      <c r="L4391" s="26"/>
    </row>
    <row r="4392" spans="1:12">
      <c r="A4392" s="20" t="s">
        <v>972</v>
      </c>
      <c r="B4392" s="27" t="s">
        <v>901</v>
      </c>
      <c r="C4392" s="27" t="s">
        <v>837</v>
      </c>
      <c r="D4392" s="27" t="s">
        <v>762</v>
      </c>
      <c r="E4392" s="21">
        <f>IF(D4392="?OLD","!!!","")</f>
        <v/>
      </c>
      <c r="F4392" s="22" t="str">
        <f>IF(OR(E4392="",E4392="!!!"),"",IF(NOT(ISNA(VLOOKUP(E4392,E$1:E4391,1,FALSE()))),"OLD",IF(AND(E4392&lt;&gt;"",E4392&lt;&gt;"!!!"),"NEW","")))</f>
        <v> </v>
      </c>
      <c r="G4392" s="23" t="str">
        <f>IF(OR(E4392="",E4392="!!!"),"",IF(OR(J4392=0,AND(J4392=1,K4392=1),AND(J4392=1,I4392="SBJ"),AND(J4392=1,I4392=0)),"?IN_FOCUS",IF(J4392&lt;=2,"?ACTIVATED",IF(J4392&lt;&gt;"","?FAMILIAR",IF(F4392="NEW",IF(ISNA(VLOOKUP(E4392,#REF!,1,FALSE())),"?TYPE_IDENTIFIABLE","?REFERENTIAL"),"_")))))</f>
        <v> </v>
      </c>
      <c r="H4392" s="24" t="str">
        <f>IF(J4392&lt;&gt;1,"",IF(I4392="SBJ","CB","?"))</f>
        <v> </v>
      </c>
      <c r="I4392" s="25" t="str">
        <f>IF(OR(E4392="",E4392="!!!",F4392="NEW"),"",INDEX(B4391:B$2,-1+SUMPRODUCT(MAX(ROW(E4391:E$2)*(E4392=E4391:E$2)))))</f>
        <v> </v>
      </c>
      <c r="J4392" s="25" t="str">
        <f>IF(OR(E4392="",E4392="!!!",F4392="NEW"),"",COUNTBLANK(OFFSET(A$1,,,SUMPRODUCT(MAX(ROW(E$2:E4392)*(E4392=E$2:E4392)))))-COUNTBLANK(OFFSET(A$1,,,SUMPRODUCT(MAX(ROW(E$1:E4391)*(E2=E$1:E4391))))))</f>
        <v> </v>
      </c>
      <c r="K4392" s="25" t="str">
        <f>IF(OR(E4392="",E4392="!!!",F4392="NEW"),"",INDEX(J$1:J4391,SUMPRODUCT(MAX(ROW(E$1:E4391)*(E4392=E$1:E4391)))))</f>
        <v> </v>
      </c>
      <c r="L4392" s="26"/>
    </row>
    <row r="4393" spans="1:12">
      <c r="A4393" s="20" t="s">
        <v>1960</v>
      </c>
      <c r="E4393" s="21">
        <f>IF(D4393="?OLD","!!!","")</f>
        <v/>
      </c>
      <c r="F4393" s="22" t="str">
        <f>IF(OR(E4393="",E4393="!!!"),"",IF(NOT(ISNA(VLOOKUP(E4393,E$1:E4392,1,FALSE()))),"OLD",IF(AND(E4393&lt;&gt;"",E4393&lt;&gt;"!!!"),"NEW","")))</f>
        <v> </v>
      </c>
      <c r="G4393" s="23" t="str">
        <f>IF(OR(E4393="",E4393="!!!"),"",IF(OR(J4393=0,AND(J4393=1,K4393=1),AND(J4393=1,I4393="SBJ"),AND(J4393=1,I4393=0)),"?IN_FOCUS",IF(J4393&lt;=2,"?ACTIVATED",IF(J4393&lt;&gt;"","?FAMILIAR",IF(F4393="NEW",IF(ISNA(VLOOKUP(E4393,#REF!,1,FALSE())),"?TYPE_IDENTIFIABLE","?REFERENTIAL"),"_")))))</f>
        <v> </v>
      </c>
      <c r="H4393" s="24" t="str">
        <f>IF(J4393&lt;&gt;1,"",IF(I4393="SBJ","CB","?"))</f>
        <v> </v>
      </c>
      <c r="I4393" s="25" t="str">
        <f>IF(OR(E4393="",E4393="!!!",F4393="NEW"),"",INDEX(B4392:B$2,-1+SUMPRODUCT(MAX(ROW(E4392:E$2)*(E4393=E4392:E$2)))))</f>
        <v> </v>
      </c>
      <c r="J4393" s="25" t="str">
        <f>IF(OR(E4393="",E4393="!!!",F4393="NEW"),"",COUNTBLANK(OFFSET(A$1,,,SUMPRODUCT(MAX(ROW(E$2:E4393)*(E4393=E$2:E4393)))))-COUNTBLANK(OFFSET(A$1,,,SUMPRODUCT(MAX(ROW(E$1:E4392)*(E2=E$1:E4392))))))</f>
        <v> </v>
      </c>
      <c r="K4393" s="25" t="str">
        <f>IF(OR(E4393="",E4393="!!!",F4393="NEW"),"",INDEX(J$1:J4392,SUMPRODUCT(MAX(ROW(E$1:E4392)*(E4393=E$1:E4392)))))</f>
        <v> </v>
      </c>
      <c r="L4393" s="26"/>
    </row>
    <row r="4394" spans="1:12">
      <c r="A4394" s="20" t="s">
        <v>1085</v>
      </c>
      <c r="E4394" s="21">
        <f>IF(D4394="?OLD","!!!","")</f>
        <v/>
      </c>
      <c r="F4394" s="22" t="str">
        <f>IF(OR(E4394="",E4394="!!!"),"",IF(NOT(ISNA(VLOOKUP(E4394,E$1:E4393,1,FALSE()))),"OLD",IF(AND(E4394&lt;&gt;"",E4394&lt;&gt;"!!!"),"NEW","")))</f>
        <v> </v>
      </c>
      <c r="G4394" s="23" t="str">
        <f>IF(OR(E4394="",E4394="!!!"),"",IF(OR(J4394=0,AND(J4394=1,K4394=1),AND(J4394=1,I4394="SBJ"),AND(J4394=1,I4394=0)),"?IN_FOCUS",IF(J4394&lt;=2,"?ACTIVATED",IF(J4394&lt;&gt;"","?FAMILIAR",IF(F4394="NEW",IF(ISNA(VLOOKUP(E4394,#REF!,1,FALSE())),"?TYPE_IDENTIFIABLE","?REFERENTIAL"),"_")))))</f>
        <v> </v>
      </c>
      <c r="H4394" s="24" t="str">
        <f>IF(J4394&lt;&gt;1,"",IF(I4394="SBJ","CB","?"))</f>
        <v> </v>
      </c>
      <c r="I4394" s="25" t="str">
        <f>IF(OR(E4394="",E4394="!!!",F4394="NEW"),"",INDEX(B4393:B$2,-1+SUMPRODUCT(MAX(ROW(E4393:E$2)*(E4394=E4393:E$2)))))</f>
        <v> </v>
      </c>
      <c r="J4394" s="25" t="str">
        <f>IF(OR(E4394="",E4394="!!!",F4394="NEW"),"",COUNTBLANK(OFFSET(A$1,,,SUMPRODUCT(MAX(ROW(E$2:E4394)*(E4394=E$2:E4394)))))-COUNTBLANK(OFFSET(A$1,,,SUMPRODUCT(MAX(ROW(E$1:E4393)*(E2=E$1:E4393))))))</f>
        <v> </v>
      </c>
      <c r="K4394" s="25" t="str">
        <f>IF(OR(E4394="",E4394="!!!",F4394="NEW"),"",INDEX(J$1:J4393,SUMPRODUCT(MAX(ROW(E$1:E4393)*(E4394=E$1:E4393)))))</f>
        <v> </v>
      </c>
      <c r="L4394" s="26"/>
    </row>
    <row r="4395" spans="1:12">
      <c r="A4395" s="20" t="s">
        <v>1961</v>
      </c>
      <c r="E4395" s="21">
        <f>IF(D4395="?OLD","!!!","")</f>
        <v/>
      </c>
      <c r="F4395" s="22" t="str">
        <f>IF(OR(E4395="",E4395="!!!"),"",IF(NOT(ISNA(VLOOKUP(E4395,E$1:E4394,1,FALSE()))),"OLD",IF(AND(E4395&lt;&gt;"",E4395&lt;&gt;"!!!"),"NEW","")))</f>
        <v> </v>
      </c>
      <c r="G4395" s="23" t="str">
        <f>IF(OR(E4395="",E4395="!!!"),"",IF(OR(J4395=0,AND(J4395=1,K4395=1),AND(J4395=1,I4395="SBJ"),AND(J4395=1,I4395=0)),"?IN_FOCUS",IF(J4395&lt;=2,"?ACTIVATED",IF(J4395&lt;&gt;"","?FAMILIAR",IF(F4395="NEW",IF(ISNA(VLOOKUP(E4395,#REF!,1,FALSE())),"?TYPE_IDENTIFIABLE","?REFERENTIAL"),"_")))))</f>
        <v> </v>
      </c>
      <c r="H4395" s="24" t="str">
        <f>IF(J4395&lt;&gt;1,"",IF(I4395="SBJ","CB","?"))</f>
        <v> </v>
      </c>
      <c r="I4395" s="25" t="str">
        <f>IF(OR(E4395="",E4395="!!!",F4395="NEW"),"",INDEX(B4394:B$2,-1+SUMPRODUCT(MAX(ROW(E4394:E$2)*(E4395=E4394:E$2)))))</f>
        <v> </v>
      </c>
      <c r="J4395" s="25" t="str">
        <f>IF(OR(E4395="",E4395="!!!",F4395="NEW"),"",COUNTBLANK(OFFSET(A$1,,,SUMPRODUCT(MAX(ROW(E$2:E4395)*(E4395=E$2:E4395)))))-COUNTBLANK(OFFSET(A$1,,,SUMPRODUCT(MAX(ROW(E$1:E4394)*(E2=E$1:E4394))))))</f>
        <v> </v>
      </c>
      <c r="K4395" s="25" t="str">
        <f>IF(OR(E4395="",E4395="!!!",F4395="NEW"),"",INDEX(J$1:J4394,SUMPRODUCT(MAX(ROW(E$1:E4394)*(E4395=E$1:E4394)))))</f>
        <v> </v>
      </c>
      <c r="L4395" s="26"/>
    </row>
    <row r="4396" spans="1:12">
      <c r="A4396" s="20" t="s">
        <v>1161</v>
      </c>
      <c r="B4396" s="27" t="s">
        <v>1062</v>
      </c>
      <c r="C4396" s="27" t="s">
        <v>851</v>
      </c>
      <c r="D4396" s="27" t="s">
        <v>762</v>
      </c>
      <c r="E4396" s="21">
        <f>IF(D4396="?OLD","!!!","")</f>
        <v/>
      </c>
      <c r="F4396" s="22" t="str">
        <f>IF(OR(E4396="",E4396="!!!"),"",IF(NOT(ISNA(VLOOKUP(E4396,E$1:E4395,1,FALSE()))),"OLD",IF(AND(E4396&lt;&gt;"",E4396&lt;&gt;"!!!"),"NEW","")))</f>
        <v> </v>
      </c>
      <c r="G4396" s="23" t="str">
        <f>IF(OR(E4396="",E4396="!!!"),"",IF(OR(J4396=0,AND(J4396=1,K4396=1),AND(J4396=1,I4396="SBJ"),AND(J4396=1,I4396=0)),"?IN_FOCUS",IF(J4396&lt;=2,"?ACTIVATED",IF(J4396&lt;&gt;"","?FAMILIAR",IF(F4396="NEW",IF(ISNA(VLOOKUP(E4396,#REF!,1,FALSE())),"?TYPE_IDENTIFIABLE","?REFERENTIAL"),"_")))))</f>
        <v> </v>
      </c>
      <c r="H4396" s="24" t="str">
        <f>IF(J4396&lt;&gt;1,"",IF(I4396="SBJ","CB","?"))</f>
        <v> </v>
      </c>
      <c r="I4396" s="25" t="str">
        <f>IF(OR(E4396="",E4396="!!!",F4396="NEW"),"",INDEX(B4395:B$2,-1+SUMPRODUCT(MAX(ROW(E4395:E$2)*(E4396=E4395:E$2)))))</f>
        <v> </v>
      </c>
      <c r="J4396" s="25" t="str">
        <f>IF(OR(E4396="",E4396="!!!",F4396="NEW"),"",COUNTBLANK(OFFSET(A$1,,,SUMPRODUCT(MAX(ROW(E$2:E4396)*(E4396=E$2:E4396)))))-COUNTBLANK(OFFSET(A$1,,,SUMPRODUCT(MAX(ROW(E$1:E4395)*(E2=E$1:E4395))))))</f>
        <v> </v>
      </c>
      <c r="K4396" s="25" t="str">
        <f>IF(OR(E4396="",E4396="!!!",F4396="NEW"),"",INDEX(J$1:J4395,SUMPRODUCT(MAX(ROW(E$1:E4395)*(E4396=E$1:E4395)))))</f>
        <v> </v>
      </c>
      <c r="L4396" s="26"/>
    </row>
    <row r="4397" spans="1:12">
      <c r="A4397" s="20" t="s">
        <v>972</v>
      </c>
      <c r="B4397" s="27" t="s">
        <v>1076</v>
      </c>
      <c r="C4397" s="27" t="s">
        <v>837</v>
      </c>
      <c r="D4397" s="27" t="s">
        <v>762</v>
      </c>
      <c r="E4397" s="21">
        <f>IF(D4397="?OLD","!!!","")</f>
        <v/>
      </c>
      <c r="F4397" s="22" t="str">
        <f>IF(OR(E4397="",E4397="!!!"),"",IF(NOT(ISNA(VLOOKUP(E4397,E$1:E4396,1,FALSE()))),"OLD",IF(AND(E4397&lt;&gt;"",E4397&lt;&gt;"!!!"),"NEW","")))</f>
        <v> </v>
      </c>
      <c r="G4397" s="23" t="str">
        <f>IF(OR(E4397="",E4397="!!!"),"",IF(OR(J4397=0,AND(J4397=1,K4397=1),AND(J4397=1,I4397="SBJ"),AND(J4397=1,I4397=0)),"?IN_FOCUS",IF(J4397&lt;=2,"?ACTIVATED",IF(J4397&lt;&gt;"","?FAMILIAR",IF(F4397="NEW",IF(ISNA(VLOOKUP(E4397,#REF!,1,FALSE())),"?TYPE_IDENTIFIABLE","?REFERENTIAL"),"_")))))</f>
        <v> </v>
      </c>
      <c r="H4397" s="24" t="str">
        <f>IF(J4397&lt;&gt;1,"",IF(I4397="SBJ","CB","?"))</f>
        <v> </v>
      </c>
      <c r="I4397" s="25" t="str">
        <f>IF(OR(E4397="",E4397="!!!",F4397="NEW"),"",INDEX(B4396:B$2,-1+SUMPRODUCT(MAX(ROW(E4396:E$2)*(E4397=E4396:E$2)))))</f>
        <v> </v>
      </c>
      <c r="J4397" s="25" t="str">
        <f>IF(OR(E4397="",E4397="!!!",F4397="NEW"),"",COUNTBLANK(OFFSET(A$1,,,SUMPRODUCT(MAX(ROW(E$2:E4397)*(E4397=E$2:E4397)))))-COUNTBLANK(OFFSET(A$1,,,SUMPRODUCT(MAX(ROW(E$1:E4396)*(E2=E$1:E4396))))))</f>
        <v> </v>
      </c>
      <c r="K4397" s="25" t="str">
        <f>IF(OR(E4397="",E4397="!!!",F4397="NEW"),"",INDEX(J$1:J4396,SUMPRODUCT(MAX(ROW(E$1:E4396)*(E4397=E$1:E4396)))))</f>
        <v> </v>
      </c>
      <c r="L4397" s="26"/>
    </row>
    <row r="4398" spans="1:12">
      <c r="A4398" s="20" t="s">
        <v>805</v>
      </c>
      <c r="E4398" s="21">
        <f>IF(D4398="?OLD","!!!","")</f>
        <v/>
      </c>
      <c r="F4398" s="22" t="str">
        <f>IF(OR(E4398="",E4398="!!!"),"",IF(NOT(ISNA(VLOOKUP(E4398,E$1:E4397,1,FALSE()))),"OLD",IF(AND(E4398&lt;&gt;"",E4398&lt;&gt;"!!!"),"NEW","")))</f>
        <v> </v>
      </c>
      <c r="G4398" s="23" t="str">
        <f>IF(OR(E4398="",E4398="!!!"),"",IF(OR(J4398=0,AND(J4398=1,K4398=1),AND(J4398=1,I4398="SBJ"),AND(J4398=1,I4398=0)),"?IN_FOCUS",IF(J4398&lt;=2,"?ACTIVATED",IF(J4398&lt;&gt;"","?FAMILIAR",IF(F4398="NEW",IF(ISNA(VLOOKUP(E4398,#REF!,1,FALSE())),"?TYPE_IDENTIFIABLE","?REFERENTIAL"),"_")))))</f>
        <v> </v>
      </c>
      <c r="H4398" s="24" t="str">
        <f>IF(J4398&lt;&gt;1,"",IF(I4398="SBJ","CB","?"))</f>
        <v> </v>
      </c>
      <c r="I4398" s="25" t="str">
        <f>IF(OR(E4398="",E4398="!!!",F4398="NEW"),"",INDEX(B4397:B$2,-1+SUMPRODUCT(MAX(ROW(E4397:E$2)*(E4398=E4397:E$2)))))</f>
        <v> </v>
      </c>
      <c r="J4398" s="25" t="str">
        <f>IF(OR(E4398="",E4398="!!!",F4398="NEW"),"",COUNTBLANK(OFFSET(A$1,,,SUMPRODUCT(MAX(ROW(E$2:E4398)*(E4398=E$2:E4398)))))-COUNTBLANK(OFFSET(A$1,,,SUMPRODUCT(MAX(ROW(E$1:E4397)*(E2=E$1:E4397))))))</f>
        <v> </v>
      </c>
      <c r="K4398" s="25" t="str">
        <f>IF(OR(E4398="",E4398="!!!",F4398="NEW"),"",INDEX(J$1:J4397,SUMPRODUCT(MAX(ROW(E$1:E4397)*(E4398=E$1:E4397)))))</f>
        <v> </v>
      </c>
      <c r="L4398" s="26"/>
    </row>
    <row r="4399" spans="1:12">
      <c r="A4399" s="20" t="s">
        <v>764</v>
      </c>
      <c r="E4399" s="21">
        <f>IF(D4399="?OLD","!!!","")</f>
        <v/>
      </c>
      <c r="F4399" s="22" t="str">
        <f>IF(OR(E4399="",E4399="!!!"),"",IF(NOT(ISNA(VLOOKUP(E4399,E$1:E4398,1,FALSE()))),"OLD",IF(AND(E4399&lt;&gt;"",E4399&lt;&gt;"!!!"),"NEW","")))</f>
        <v> </v>
      </c>
      <c r="G4399" s="23" t="str">
        <f>IF(OR(E4399="",E4399="!!!"),"",IF(OR(J4399=0,AND(J4399=1,K4399=1),AND(J4399=1,I4399="SBJ"),AND(J4399=1,I4399=0)),"?IN_FOCUS",IF(J4399&lt;=2,"?ACTIVATED",IF(J4399&lt;&gt;"","?FAMILIAR",IF(F4399="NEW",IF(ISNA(VLOOKUP(E4399,#REF!,1,FALSE())),"?TYPE_IDENTIFIABLE","?REFERENTIAL"),"_")))))</f>
        <v> </v>
      </c>
      <c r="H4399" s="24" t="str">
        <f>IF(J4399&lt;&gt;1,"",IF(I4399="SBJ","CB","?"))</f>
        <v> </v>
      </c>
      <c r="I4399" s="25" t="str">
        <f>IF(OR(E4399="",E4399="!!!",F4399="NEW"),"",INDEX(B4398:B$2,-1+SUMPRODUCT(MAX(ROW(E4398:E$2)*(E4399=E4398:E$2)))))</f>
        <v> </v>
      </c>
      <c r="J4399" s="25" t="str">
        <f>IF(OR(E4399="",E4399="!!!",F4399="NEW"),"",COUNTBLANK(OFFSET(A$1,,,SUMPRODUCT(MAX(ROW(E$2:E4399)*(E4399=E$2:E4399)))))-COUNTBLANK(OFFSET(A$1,,,SUMPRODUCT(MAX(ROW(E$1:E4398)*(E2=E$1:E4398))))))</f>
        <v> </v>
      </c>
      <c r="K4399" s="25" t="str">
        <f>IF(OR(E4399="",E4399="!!!",F4399="NEW"),"",INDEX(J$1:J4398,SUMPRODUCT(MAX(ROW(E$1:E4398)*(E4399=E$1:E4398)))))</f>
        <v> </v>
      </c>
      <c r="L4399" s="26"/>
    </row>
    <row r="4400" spans="1:12">
      <c r="A4400" s="20" t="s">
        <v>1433</v>
      </c>
      <c r="E4400" s="21">
        <f>IF(D4400="?OLD","!!!","")</f>
        <v/>
      </c>
      <c r="F4400" s="22" t="str">
        <f>IF(OR(E4400="",E4400="!!!"),"",IF(NOT(ISNA(VLOOKUP(E4400,E$1:E4399,1,FALSE()))),"OLD",IF(AND(E4400&lt;&gt;"",E4400&lt;&gt;"!!!"),"NEW","")))</f>
        <v> </v>
      </c>
      <c r="G4400" s="23" t="str">
        <f>IF(OR(E4400="",E4400="!!!"),"",IF(OR(J4400=0,AND(J4400=1,K4400=1),AND(J4400=1,I4400="SBJ"),AND(J4400=1,I4400=0)),"?IN_FOCUS",IF(J4400&lt;=2,"?ACTIVATED",IF(J4400&lt;&gt;"","?FAMILIAR",IF(F4400="NEW",IF(ISNA(VLOOKUP(E4400,#REF!,1,FALSE())),"?TYPE_IDENTIFIABLE","?REFERENTIAL"),"_")))))</f>
        <v> </v>
      </c>
      <c r="H4400" s="24" t="str">
        <f>IF(J4400&lt;&gt;1,"",IF(I4400="SBJ","CB","?"))</f>
        <v> </v>
      </c>
      <c r="I4400" s="25" t="str">
        <f>IF(OR(E4400="",E4400="!!!",F4400="NEW"),"",INDEX(B4399:B$2,-1+SUMPRODUCT(MAX(ROW(E4399:E$2)*(E4400=E4399:E$2)))))</f>
        <v> </v>
      </c>
      <c r="J4400" s="25" t="str">
        <f>IF(OR(E4400="",E4400="!!!",F4400="NEW"),"",COUNTBLANK(OFFSET(A$1,,,SUMPRODUCT(MAX(ROW(E$2:E4400)*(E4400=E$2:E4400)))))-COUNTBLANK(OFFSET(A$1,,,SUMPRODUCT(MAX(ROW(E$1:E4399)*(E2=E$1:E4399))))))</f>
        <v> </v>
      </c>
      <c r="K4400" s="25" t="str">
        <f>IF(OR(E4400="",E4400="!!!",F4400="NEW"),"",INDEX(J$1:J4399,SUMPRODUCT(MAX(ROW(E$1:E4399)*(E4400=E$1:E4399)))))</f>
        <v> </v>
      </c>
      <c r="L4400" s="26"/>
    </row>
    <row r="4401" spans="1:12">
      <c r="A4401" s="20" t="s">
        <v>1856</v>
      </c>
      <c r="B4401" s="27" t="s">
        <v>1062</v>
      </c>
      <c r="C4401" s="27" t="s">
        <v>768</v>
      </c>
      <c r="E4401" s="21">
        <f>IF(D4401="?OLD","!!!","")</f>
        <v/>
      </c>
      <c r="F4401" s="22" t="str">
        <f>IF(OR(E4401="",E4401="!!!"),"",IF(NOT(ISNA(VLOOKUP(E4401,E$1:E4400,1,FALSE()))),"OLD",IF(AND(E4401&lt;&gt;"",E4401&lt;&gt;"!!!"),"NEW","")))</f>
        <v> </v>
      </c>
      <c r="G4401" s="23" t="str">
        <f>IF(OR(E4401="",E4401="!!!"),"",IF(OR(J4401=0,AND(J4401=1,K4401=1),AND(J4401=1,I4401="SBJ"),AND(J4401=1,I4401=0)),"?IN_FOCUS",IF(J4401&lt;=2,"?ACTIVATED",IF(J4401&lt;&gt;"","?FAMILIAR",IF(F4401="NEW",IF(ISNA(VLOOKUP(E4401,#REF!,1,FALSE())),"?TYPE_IDENTIFIABLE","?REFERENTIAL"),"_")))))</f>
        <v> </v>
      </c>
      <c r="H4401" s="24" t="str">
        <f>IF(J4401&lt;&gt;1,"",IF(I4401="SBJ","CB","?"))</f>
        <v> </v>
      </c>
      <c r="I4401" s="25" t="str">
        <f>IF(OR(E4401="",E4401="!!!",F4401="NEW"),"",INDEX(B4400:B$2,-1+SUMPRODUCT(MAX(ROW(E4400:E$2)*(E4401=E4400:E$2)))))</f>
        <v> </v>
      </c>
      <c r="J4401" s="25" t="str">
        <f>IF(OR(E4401="",E4401="!!!",F4401="NEW"),"",COUNTBLANK(OFFSET(A$1,,,SUMPRODUCT(MAX(ROW(E$2:E4401)*(E4401=E$2:E4401)))))-COUNTBLANK(OFFSET(A$1,,,SUMPRODUCT(MAX(ROW(E$1:E4400)*(E2=E$1:E4400))))))</f>
        <v> </v>
      </c>
      <c r="K4401" s="25" t="str">
        <f>IF(OR(E4401="",E4401="!!!",F4401="NEW"),"",INDEX(J$1:J4400,SUMPRODUCT(MAX(ROW(E$1:E4400)*(E4401=E$1:E4400)))))</f>
        <v> </v>
      </c>
      <c r="L4401" s="26"/>
    </row>
    <row r="4402" spans="1:12">
      <c r="A4402" s="20" t="s">
        <v>774</v>
      </c>
      <c r="E4402" s="21">
        <f>IF(D4402="?OLD","!!!","")</f>
        <v/>
      </c>
      <c r="F4402" s="22" t="str">
        <f>IF(OR(E4402="",E4402="!!!"),"",IF(NOT(ISNA(VLOOKUP(E4402,E$1:E4401,1,FALSE()))),"OLD",IF(AND(E4402&lt;&gt;"",E4402&lt;&gt;"!!!"),"NEW","")))</f>
        <v> </v>
      </c>
      <c r="G4402" s="23" t="str">
        <f>IF(OR(E4402="",E4402="!!!"),"",IF(OR(J4402=0,AND(J4402=1,K4402=1),AND(J4402=1,I4402="SBJ"),AND(J4402=1,I4402=0)),"?IN_FOCUS",IF(J4402&lt;=2,"?ACTIVATED",IF(J4402&lt;&gt;"","?FAMILIAR",IF(F4402="NEW",IF(ISNA(VLOOKUP(E4402,#REF!,1,FALSE())),"?TYPE_IDENTIFIABLE","?REFERENTIAL"),"_")))))</f>
        <v> </v>
      </c>
      <c r="H4402" s="24" t="str">
        <f>IF(J4402&lt;&gt;1,"",IF(I4402="SBJ","CB","?"))</f>
        <v> </v>
      </c>
      <c r="I4402" s="25" t="str">
        <f>IF(OR(E4402="",E4402="!!!",F4402="NEW"),"",INDEX(B4401:B$2,-1+SUMPRODUCT(MAX(ROW(E4401:E$2)*(E4402=E4401:E$2)))))</f>
        <v> </v>
      </c>
      <c r="J4402" s="25" t="str">
        <f>IF(OR(E4402="",E4402="!!!",F4402="NEW"),"",COUNTBLANK(OFFSET(A$1,,,SUMPRODUCT(MAX(ROW(E$2:E4402)*(E4402=E$2:E4402)))))-COUNTBLANK(OFFSET(A$1,,,SUMPRODUCT(MAX(ROW(E$1:E4401)*(E2=E$1:E4401))))))</f>
        <v> </v>
      </c>
      <c r="K4402" s="25" t="str">
        <f>IF(OR(E4402="",E4402="!!!",F4402="NEW"),"",INDEX(J$1:J4401,SUMPRODUCT(MAX(ROW(E$1:E4401)*(E4402=E$1:E4401)))))</f>
        <v> </v>
      </c>
      <c r="L4402" s="26"/>
    </row>
    <row r="4403" spans="1:12">
      <c r="A4403" s="20"/>
    </row>
    <row r="4404" spans="1:12">
      <c r="A4404" s="20" t="s">
        <v>1962</v>
      </c>
    </row>
    <row r="4405" spans="1:12">
      <c r="A4405" s="20" t="s">
        <v>995</v>
      </c>
      <c r="E4405" s="21">
        <f>IF(D4405="?OLD","!!!","")</f>
        <v/>
      </c>
      <c r="F4405" s="22" t="str">
        <f>IF(OR(E4405="",E4405="!!!"),"",IF(NOT(ISNA(VLOOKUP(E4405,E$1:E4404,1,FALSE()))),"OLD",IF(AND(E4405&lt;&gt;"",E4405&lt;&gt;"!!!"),"NEW","")))</f>
        <v> </v>
      </c>
      <c r="G4405" s="23" t="str">
        <f>IF(OR(E4405="",E4405="!!!"),"",IF(OR(J4405=0,AND(J4405=1,K4405=1),AND(J4405=1,I4405="SBJ"),AND(J4405=1,I4405=0)),"?IN_FOCUS",IF(J4405&lt;=2,"?ACTIVATED",IF(J4405&lt;&gt;"","?FAMILIAR",IF(F4405="NEW",IF(ISNA(VLOOKUP(E4405,#REF!,1,FALSE())),"?TYPE_IDENTIFIABLE","?REFERENTIAL"),"_")))))</f>
        <v> </v>
      </c>
      <c r="H4405" s="24" t="str">
        <f>IF(J4405&lt;&gt;1,"",IF(I4405="SBJ","CB","?"))</f>
        <v> </v>
      </c>
      <c r="I4405" s="25" t="str">
        <f>IF(OR(E4405="",E4405="!!!",F4405="NEW"),"",INDEX(B4404:B$2,-1+SUMPRODUCT(MAX(ROW(E4404:E$2)*(E4405=E4404:E$2)))))</f>
        <v> </v>
      </c>
      <c r="J4405" s="25" t="str">
        <f>IF(OR(E4405="",E4405="!!!",F4405="NEW"),"",COUNTBLANK(OFFSET(A$1,,,SUMPRODUCT(MAX(ROW(E$2:E4405)*(E4405=E$2:E4405)))))-COUNTBLANK(OFFSET(A$1,,,SUMPRODUCT(MAX(ROW(E$1:E4404)*(E2=E$1:E4404))))))</f>
        <v> </v>
      </c>
      <c r="K4405" s="25" t="str">
        <f>IF(OR(E4405="",E4405="!!!",F4405="NEW"),"",INDEX(J$1:J4404,SUMPRODUCT(MAX(ROW(E$1:E4404)*(E4405=E$1:E4404)))))</f>
        <v> </v>
      </c>
      <c r="L4405" s="26"/>
    </row>
    <row r="4406" spans="1:12">
      <c r="A4406" s="20" t="s">
        <v>996</v>
      </c>
      <c r="E4406" s="21">
        <f>IF(D4406="?OLD","!!!","")</f>
        <v/>
      </c>
      <c r="F4406" s="22" t="str">
        <f>IF(OR(E4406="",E4406="!!!"),"",IF(NOT(ISNA(VLOOKUP(E4406,E$1:E4405,1,FALSE()))),"OLD",IF(AND(E4406&lt;&gt;"",E4406&lt;&gt;"!!!"),"NEW","")))</f>
        <v> </v>
      </c>
      <c r="G4406" s="23" t="str">
        <f>IF(OR(E4406="",E4406="!!!"),"",IF(OR(J4406=0,AND(J4406=1,K4406=1),AND(J4406=1,I4406="SBJ"),AND(J4406=1,I4406=0)),"?IN_FOCUS",IF(J4406&lt;=2,"?ACTIVATED",IF(J4406&lt;&gt;"","?FAMILIAR",IF(F4406="NEW",IF(ISNA(VLOOKUP(E4406,#REF!,1,FALSE())),"?TYPE_IDENTIFIABLE","?REFERENTIAL"),"_")))))</f>
        <v> </v>
      </c>
      <c r="H4406" s="24" t="str">
        <f>IF(J4406&lt;&gt;1,"",IF(I4406="SBJ","CB","?"))</f>
        <v> </v>
      </c>
      <c r="I4406" s="25" t="str">
        <f>IF(OR(E4406="",E4406="!!!",F4406="NEW"),"",INDEX(B4405:B$2,-1+SUMPRODUCT(MAX(ROW(E4405:E$2)*(E4406=E4405:E$2)))))</f>
        <v> </v>
      </c>
      <c r="J4406" s="25" t="str">
        <f>IF(OR(E4406="",E4406="!!!",F4406="NEW"),"",COUNTBLANK(OFFSET(A$1,,,SUMPRODUCT(MAX(ROW(E$2:E4406)*(E4406=E$2:E4406)))))-COUNTBLANK(OFFSET(A$1,,,SUMPRODUCT(MAX(ROW(E$1:E4405)*(E2=E$1:E4405))))))</f>
        <v> </v>
      </c>
      <c r="K4406" s="25" t="str">
        <f>IF(OR(E4406="",E4406="!!!",F4406="NEW"),"",INDEX(J$1:J4405,SUMPRODUCT(MAX(ROW(E$1:E4405)*(E4406=E$1:E4405)))))</f>
        <v> </v>
      </c>
      <c r="L4406" s="26"/>
    </row>
    <row r="4407" spans="1:12">
      <c r="A4407" s="20" t="s">
        <v>887</v>
      </c>
      <c r="E4407" s="21">
        <f>IF(D4407="?OLD","!!!","")</f>
        <v/>
      </c>
      <c r="F4407" s="22" t="str">
        <f>IF(OR(E4407="",E4407="!!!"),"",IF(NOT(ISNA(VLOOKUP(E4407,E$1:E4406,1,FALSE()))),"OLD",IF(AND(E4407&lt;&gt;"",E4407&lt;&gt;"!!!"),"NEW","")))</f>
        <v> </v>
      </c>
      <c r="G4407" s="23" t="str">
        <f>IF(OR(E4407="",E4407="!!!"),"",IF(OR(J4407=0,AND(J4407=1,K4407=1),AND(J4407=1,I4407="SBJ"),AND(J4407=1,I4407=0)),"?IN_FOCUS",IF(J4407&lt;=2,"?ACTIVATED",IF(J4407&lt;&gt;"","?FAMILIAR",IF(F4407="NEW",IF(ISNA(VLOOKUP(E4407,#REF!,1,FALSE())),"?TYPE_IDENTIFIABLE","?REFERENTIAL"),"_")))))</f>
        <v> </v>
      </c>
      <c r="H4407" s="24" t="str">
        <f>IF(J4407&lt;&gt;1,"",IF(I4407="SBJ","CB","?"))</f>
        <v> </v>
      </c>
      <c r="I4407" s="25" t="str">
        <f>IF(OR(E4407="",E4407="!!!",F4407="NEW"),"",INDEX(B4406:B$2,-1+SUMPRODUCT(MAX(ROW(E4406:E$2)*(E4407=E4406:E$2)))))</f>
        <v> </v>
      </c>
      <c r="J4407" s="25" t="str">
        <f>IF(OR(E4407="",E4407="!!!",F4407="NEW"),"",COUNTBLANK(OFFSET(A$1,,,SUMPRODUCT(MAX(ROW(E$2:E4407)*(E4407=E$2:E4407)))))-COUNTBLANK(OFFSET(A$1,,,SUMPRODUCT(MAX(ROW(E$1:E4406)*(E2=E$1:E4406))))))</f>
        <v> </v>
      </c>
      <c r="K4407" s="25" t="str">
        <f>IF(OR(E4407="",E4407="!!!",F4407="NEW"),"",INDEX(J$1:J4406,SUMPRODUCT(MAX(ROW(E$1:E4406)*(E4407=E$1:E4406)))))</f>
        <v> </v>
      </c>
      <c r="L4407" s="26"/>
    </row>
    <row r="4408" spans="1:12">
      <c r="A4408" s="20" t="s">
        <v>769</v>
      </c>
      <c r="E4408" s="21">
        <f>IF(D4408="?OLD","!!!","")</f>
        <v/>
      </c>
      <c r="F4408" s="22" t="str">
        <f>IF(OR(E4408="",E4408="!!!"),"",IF(NOT(ISNA(VLOOKUP(E4408,E$1:E4407,1,FALSE()))),"OLD",IF(AND(E4408&lt;&gt;"",E4408&lt;&gt;"!!!"),"NEW","")))</f>
        <v> </v>
      </c>
      <c r="G4408" s="23" t="str">
        <f>IF(OR(E4408="",E4408="!!!"),"",IF(OR(J4408=0,AND(J4408=1,K4408=1),AND(J4408=1,I4408="SBJ"),AND(J4408=1,I4408=0)),"?IN_FOCUS",IF(J4408&lt;=2,"?ACTIVATED",IF(J4408&lt;&gt;"","?FAMILIAR",IF(F4408="NEW",IF(ISNA(VLOOKUP(E4408,#REF!,1,FALSE())),"?TYPE_IDENTIFIABLE","?REFERENTIAL"),"_")))))</f>
        <v> </v>
      </c>
      <c r="H4408" s="24" t="str">
        <f>IF(J4408&lt;&gt;1,"",IF(I4408="SBJ","CB","?"))</f>
        <v> </v>
      </c>
      <c r="I4408" s="25" t="str">
        <f>IF(OR(E4408="",E4408="!!!",F4408="NEW"),"",INDEX(B4407:B$2,-1+SUMPRODUCT(MAX(ROW(E4407:E$2)*(E4408=E4407:E$2)))))</f>
        <v> </v>
      </c>
      <c r="J4408" s="25" t="str">
        <f>IF(OR(E4408="",E4408="!!!",F4408="NEW"),"",COUNTBLANK(OFFSET(A$1,,,SUMPRODUCT(MAX(ROW(E$2:E4408)*(E4408=E$2:E4408)))))-COUNTBLANK(OFFSET(A$1,,,SUMPRODUCT(MAX(ROW(E$1:E4407)*(E2=E$1:E4407))))))</f>
        <v> </v>
      </c>
      <c r="K4408" s="25" t="str">
        <f>IF(OR(E4408="",E4408="!!!",F4408="NEW"),"",INDEX(J$1:J4407,SUMPRODUCT(MAX(ROW(E$1:E4407)*(E4408=E$1:E4407)))))</f>
        <v> </v>
      </c>
      <c r="L4408" s="26"/>
    </row>
    <row r="4409" spans="1:12">
      <c r="A4409" s="20" t="s">
        <v>838</v>
      </c>
      <c r="E4409" s="21">
        <f>IF(D4409="?OLD","!!!","")</f>
        <v/>
      </c>
      <c r="F4409" s="22" t="str">
        <f>IF(OR(E4409="",E4409="!!!"),"",IF(NOT(ISNA(VLOOKUP(E4409,E$1:E4408,1,FALSE()))),"OLD",IF(AND(E4409&lt;&gt;"",E4409&lt;&gt;"!!!"),"NEW","")))</f>
        <v> </v>
      </c>
      <c r="G4409" s="23" t="str">
        <f>IF(OR(E4409="",E4409="!!!"),"",IF(OR(J4409=0,AND(J4409=1,K4409=1),AND(J4409=1,I4409="SBJ"),AND(J4409=1,I4409=0)),"?IN_FOCUS",IF(J4409&lt;=2,"?ACTIVATED",IF(J4409&lt;&gt;"","?FAMILIAR",IF(F4409="NEW",IF(ISNA(VLOOKUP(E4409,#REF!,1,FALSE())),"?TYPE_IDENTIFIABLE","?REFERENTIAL"),"_")))))</f>
        <v> </v>
      </c>
      <c r="H4409" s="24" t="str">
        <f>IF(J4409&lt;&gt;1,"",IF(I4409="SBJ","CB","?"))</f>
        <v> </v>
      </c>
      <c r="I4409" s="25" t="str">
        <f>IF(OR(E4409="",E4409="!!!",F4409="NEW"),"",INDEX(B4408:B$2,-1+SUMPRODUCT(MAX(ROW(E4408:E$2)*(E4409=E4408:E$2)))))</f>
        <v> </v>
      </c>
      <c r="J4409" s="25" t="str">
        <f>IF(OR(E4409="",E4409="!!!",F4409="NEW"),"",COUNTBLANK(OFFSET(A$1,,,SUMPRODUCT(MAX(ROW(E$2:E4409)*(E4409=E$2:E4409)))))-COUNTBLANK(OFFSET(A$1,,,SUMPRODUCT(MAX(ROW(E$1:E4408)*(E2=E$1:E4408))))))</f>
        <v> </v>
      </c>
      <c r="K4409" s="25" t="str">
        <f>IF(OR(E4409="",E4409="!!!",F4409="NEW"),"",INDEX(J$1:J4408,SUMPRODUCT(MAX(ROW(E$1:E4408)*(E4409=E$1:E4408)))))</f>
        <v> </v>
      </c>
      <c r="L4409" s="26"/>
    </row>
    <row r="4410" spans="1:12">
      <c r="A4410" s="20" t="s">
        <v>125</v>
      </c>
      <c r="B4410" s="27" t="s">
        <v>753</v>
      </c>
      <c r="C4410" s="27" t="s">
        <v>761</v>
      </c>
      <c r="D4410" s="27" t="s">
        <v>762</v>
      </c>
      <c r="E4410" s="21">
        <f>IF(D4410="?OLD","!!!","")</f>
        <v/>
      </c>
      <c r="F4410" s="22" t="str">
        <f>IF(OR(E4410="",E4410="!!!"),"",IF(NOT(ISNA(VLOOKUP(E4410,E$1:E4409,1,FALSE()))),"OLD",IF(AND(E4410&lt;&gt;"",E4410&lt;&gt;"!!!"),"NEW","")))</f>
        <v> </v>
      </c>
      <c r="G4410" s="23" t="str">
        <f>IF(OR(E4410="",E4410="!!!"),"",IF(OR(J4410=0,AND(J4410=1,K4410=1),AND(J4410=1,I4410="SBJ"),AND(J4410=1,I4410=0)),"?IN_FOCUS",IF(J4410&lt;=2,"?ACTIVATED",IF(J4410&lt;&gt;"","?FAMILIAR",IF(F4410="NEW",IF(ISNA(VLOOKUP(E4410,#REF!,1,FALSE())),"?TYPE_IDENTIFIABLE","?REFERENTIAL"),"_")))))</f>
        <v> </v>
      </c>
      <c r="H4410" s="24" t="str">
        <f>IF(J4410&lt;&gt;1,"",IF(I4410="SBJ","CB","?"))</f>
        <v> </v>
      </c>
      <c r="I4410" s="25" t="str">
        <f>IF(OR(E4410="",E4410="!!!",F4410="NEW"),"",INDEX(B4409:B$2,-1+SUMPRODUCT(MAX(ROW(E4409:E$2)*(E4410=E4409:E$2)))))</f>
        <v> </v>
      </c>
      <c r="J4410" s="25" t="str">
        <f>IF(OR(E4410="",E4410="!!!",F4410="NEW"),"",COUNTBLANK(OFFSET(A$1,,,SUMPRODUCT(MAX(ROW(E$2:E4410)*(E4410=E$2:E4410)))))-COUNTBLANK(OFFSET(A$1,,,SUMPRODUCT(MAX(ROW(E$1:E4409)*(E2=E$1:E4409))))))</f>
        <v> </v>
      </c>
      <c r="K4410" s="25" t="str">
        <f>IF(OR(E4410="",E4410="!!!",F4410="NEW"),"",INDEX(J$1:J4409,SUMPRODUCT(MAX(ROW(E$1:E4409)*(E4410=E$1:E4409)))))</f>
        <v> </v>
      </c>
      <c r="L4410" s="26"/>
    </row>
    <row r="4411" spans="1:12">
      <c r="A4411" s="20" t="s">
        <v>1020</v>
      </c>
      <c r="B4411" s="27" t="s">
        <v>956</v>
      </c>
      <c r="E4411" s="21">
        <f>IF(D4411="?OLD","!!!","")</f>
        <v/>
      </c>
      <c r="F4411" s="22" t="str">
        <f>IF(OR(E4411="",E4411="!!!"),"",IF(NOT(ISNA(VLOOKUP(E4411,E$1:E4410,1,FALSE()))),"OLD",IF(AND(E4411&lt;&gt;"",E4411&lt;&gt;"!!!"),"NEW","")))</f>
        <v> </v>
      </c>
      <c r="G4411" s="23" t="str">
        <f>IF(OR(E4411="",E4411="!!!"),"",IF(OR(J4411=0,AND(J4411=1,K4411=1),AND(J4411=1,I4411="SBJ"),AND(J4411=1,I4411=0)),"?IN_FOCUS",IF(J4411&lt;=2,"?ACTIVATED",IF(J4411&lt;&gt;"","?FAMILIAR",IF(F4411="NEW",IF(ISNA(VLOOKUP(E4411,#REF!,1,FALSE())),"?TYPE_IDENTIFIABLE","?REFERENTIAL"),"_")))))</f>
        <v> </v>
      </c>
      <c r="H4411" s="24" t="str">
        <f>IF(J4411&lt;&gt;1,"",IF(I4411="SBJ","CB","?"))</f>
        <v> </v>
      </c>
      <c r="I4411" s="25" t="str">
        <f>IF(OR(E4411="",E4411="!!!",F4411="NEW"),"",INDEX(B4410:B$2,-1+SUMPRODUCT(MAX(ROW(E4410:E$2)*(E4411=E4410:E$2)))))</f>
        <v> </v>
      </c>
      <c r="J4411" s="25" t="str">
        <f>IF(OR(E4411="",E4411="!!!",F4411="NEW"),"",COUNTBLANK(OFFSET(A$1,,,SUMPRODUCT(MAX(ROW(E$2:E4411)*(E4411=E$2:E4411)))))-COUNTBLANK(OFFSET(A$1,,,SUMPRODUCT(MAX(ROW(E$1:E4410)*(E2=E$1:E4410))))))</f>
        <v> </v>
      </c>
      <c r="K4411" s="25" t="str">
        <f>IF(OR(E4411="",E4411="!!!",F4411="NEW"),"",INDEX(J$1:J4410,SUMPRODUCT(MAX(ROW(E$1:E4410)*(E4411=E$1:E4410)))))</f>
        <v> </v>
      </c>
      <c r="L4411" s="26"/>
    </row>
    <row r="4412" spans="1:12">
      <c r="A4412" s="20" t="s">
        <v>1157</v>
      </c>
      <c r="E4412" s="21">
        <f>IF(D4412="?OLD","!!!","")</f>
        <v/>
      </c>
      <c r="F4412" s="22" t="str">
        <f>IF(OR(E4412="",E4412="!!!"),"",IF(NOT(ISNA(VLOOKUP(E4412,E$1:E4411,1,FALSE()))),"OLD",IF(AND(E4412&lt;&gt;"",E4412&lt;&gt;"!!!"),"NEW","")))</f>
        <v> </v>
      </c>
      <c r="G4412" s="23" t="str">
        <f>IF(OR(E4412="",E4412="!!!"),"",IF(OR(J4412=0,AND(J4412=1,K4412=1),AND(J4412=1,I4412="SBJ"),AND(J4412=1,I4412=0)),"?IN_FOCUS",IF(J4412&lt;=2,"?ACTIVATED",IF(J4412&lt;&gt;"","?FAMILIAR",IF(F4412="NEW",IF(ISNA(VLOOKUP(E4412,#REF!,1,FALSE())),"?TYPE_IDENTIFIABLE","?REFERENTIAL"),"_")))))</f>
        <v> </v>
      </c>
      <c r="H4412" s="24" t="str">
        <f>IF(J4412&lt;&gt;1,"",IF(I4412="SBJ","CB","?"))</f>
        <v> </v>
      </c>
      <c r="I4412" s="25" t="str">
        <f>IF(OR(E4412="",E4412="!!!",F4412="NEW"),"",INDEX(B4411:B$2,-1+SUMPRODUCT(MAX(ROW(E4411:E$2)*(E4412=E4411:E$2)))))</f>
        <v> </v>
      </c>
      <c r="J4412" s="25" t="str">
        <f>IF(OR(E4412="",E4412="!!!",F4412="NEW"),"",COUNTBLANK(OFFSET(A$1,,,SUMPRODUCT(MAX(ROW(E$2:E4412)*(E4412=E$2:E4412)))))-COUNTBLANK(OFFSET(A$1,,,SUMPRODUCT(MAX(ROW(E$1:E4411)*(E2=E$1:E4411))))))</f>
        <v> </v>
      </c>
      <c r="K4412" s="25" t="str">
        <f>IF(OR(E4412="",E4412="!!!",F4412="NEW"),"",INDEX(J$1:J4411,SUMPRODUCT(MAX(ROW(E$1:E4411)*(E4412=E$1:E4411)))))</f>
        <v> </v>
      </c>
      <c r="L4412" s="26"/>
    </row>
    <row r="4413" spans="1:12">
      <c r="A4413" s="20" t="s">
        <v>793</v>
      </c>
      <c r="E4413" s="21">
        <f>IF(D4413="?OLD","!!!","")</f>
        <v/>
      </c>
      <c r="F4413" s="22" t="str">
        <f>IF(OR(E4413="",E4413="!!!"),"",IF(NOT(ISNA(VLOOKUP(E4413,E$1:E4412,1,FALSE()))),"OLD",IF(AND(E4413&lt;&gt;"",E4413&lt;&gt;"!!!"),"NEW","")))</f>
        <v> </v>
      </c>
      <c r="G4413" s="23" t="str">
        <f>IF(OR(E4413="",E4413="!!!"),"",IF(OR(J4413=0,AND(J4413=1,K4413=1),AND(J4413=1,I4413="SBJ"),AND(J4413=1,I4413=0)),"?IN_FOCUS",IF(J4413&lt;=2,"?ACTIVATED",IF(J4413&lt;&gt;"","?FAMILIAR",IF(F4413="NEW",IF(ISNA(VLOOKUP(E4413,#REF!,1,FALSE())),"?TYPE_IDENTIFIABLE","?REFERENTIAL"),"_")))))</f>
        <v> </v>
      </c>
      <c r="H4413" s="24" t="str">
        <f>IF(J4413&lt;&gt;1,"",IF(I4413="SBJ","CB","?"))</f>
        <v> </v>
      </c>
      <c r="I4413" s="25" t="str">
        <f>IF(OR(E4413="",E4413="!!!",F4413="NEW"),"",INDEX(B4412:B$2,-1+SUMPRODUCT(MAX(ROW(E4412:E$2)*(E4413=E4412:E$2)))))</f>
        <v> </v>
      </c>
      <c r="J4413" s="25" t="str">
        <f>IF(OR(E4413="",E4413="!!!",F4413="NEW"),"",COUNTBLANK(OFFSET(A$1,,,SUMPRODUCT(MAX(ROW(E$2:E4413)*(E4413=E$2:E4413)))))-COUNTBLANK(OFFSET(A$1,,,SUMPRODUCT(MAX(ROW(E$1:E4412)*(E2=E$1:E4412))))))</f>
        <v> </v>
      </c>
      <c r="K4413" s="25" t="str">
        <f>IF(OR(E4413="",E4413="!!!",F4413="NEW"),"",INDEX(J$1:J4412,SUMPRODUCT(MAX(ROW(E$1:E4412)*(E4413=E$1:E4412)))))</f>
        <v> </v>
      </c>
      <c r="L4413" s="26"/>
    </row>
    <row r="4414" spans="1:12">
      <c r="A4414" s="20" t="s">
        <v>769</v>
      </c>
      <c r="E4414" s="21">
        <f>IF(D4414="?OLD","!!!","")</f>
        <v/>
      </c>
      <c r="F4414" s="22" t="str">
        <f>IF(OR(E4414="",E4414="!!!"),"",IF(NOT(ISNA(VLOOKUP(E4414,E$1:E4413,1,FALSE()))),"OLD",IF(AND(E4414&lt;&gt;"",E4414&lt;&gt;"!!!"),"NEW","")))</f>
        <v> </v>
      </c>
      <c r="G4414" s="23" t="str">
        <f>IF(OR(E4414="",E4414="!!!"),"",IF(OR(J4414=0,AND(J4414=1,K4414=1),AND(J4414=1,I4414="SBJ"),AND(J4414=1,I4414=0)),"?IN_FOCUS",IF(J4414&lt;=2,"?ACTIVATED",IF(J4414&lt;&gt;"","?FAMILIAR",IF(F4414="NEW",IF(ISNA(VLOOKUP(E4414,#REF!,1,FALSE())),"?TYPE_IDENTIFIABLE","?REFERENTIAL"),"_")))))</f>
        <v> </v>
      </c>
      <c r="H4414" s="24" t="str">
        <f>IF(J4414&lt;&gt;1,"",IF(I4414="SBJ","CB","?"))</f>
        <v> </v>
      </c>
      <c r="I4414" s="25" t="str">
        <f>IF(OR(E4414="",E4414="!!!",F4414="NEW"),"",INDEX(B4413:B$2,-1+SUMPRODUCT(MAX(ROW(E4413:E$2)*(E4414=E4413:E$2)))))</f>
        <v> </v>
      </c>
      <c r="J4414" s="25" t="str">
        <f>IF(OR(E4414="",E4414="!!!",F4414="NEW"),"",COUNTBLANK(OFFSET(A$1,,,SUMPRODUCT(MAX(ROW(E$2:E4414)*(E4414=E$2:E4414)))))-COUNTBLANK(OFFSET(A$1,,,SUMPRODUCT(MAX(ROW(E$1:E4413)*(E2=E$1:E4413))))))</f>
        <v> </v>
      </c>
      <c r="K4414" s="25" t="str">
        <f>IF(OR(E4414="",E4414="!!!",F4414="NEW"),"",INDEX(J$1:J4413,SUMPRODUCT(MAX(ROW(E$1:E4413)*(E4414=E$1:E4413)))))</f>
        <v> </v>
      </c>
      <c r="L4414" s="26"/>
    </row>
    <row r="4415" spans="1:12">
      <c r="A4415" s="20" t="s">
        <v>838</v>
      </c>
      <c r="E4415" s="21">
        <f>IF(D4415="?OLD","!!!","")</f>
        <v/>
      </c>
      <c r="F4415" s="22" t="str">
        <f>IF(OR(E4415="",E4415="!!!"),"",IF(NOT(ISNA(VLOOKUP(E4415,E$1:E4414,1,FALSE()))),"OLD",IF(AND(E4415&lt;&gt;"",E4415&lt;&gt;"!!!"),"NEW","")))</f>
        <v> </v>
      </c>
      <c r="G4415" s="23" t="str">
        <f>IF(OR(E4415="",E4415="!!!"),"",IF(OR(J4415=0,AND(J4415=1,K4415=1),AND(J4415=1,I4415="SBJ"),AND(J4415=1,I4415=0)),"?IN_FOCUS",IF(J4415&lt;=2,"?ACTIVATED",IF(J4415&lt;&gt;"","?FAMILIAR",IF(F4415="NEW",IF(ISNA(VLOOKUP(E4415,#REF!,1,FALSE())),"?TYPE_IDENTIFIABLE","?REFERENTIAL"),"_")))))</f>
        <v> </v>
      </c>
      <c r="H4415" s="24" t="str">
        <f>IF(J4415&lt;&gt;1,"",IF(I4415="SBJ","CB","?"))</f>
        <v> </v>
      </c>
      <c r="I4415" s="25" t="str">
        <f>IF(OR(E4415="",E4415="!!!",F4415="NEW"),"",INDEX(B4414:B$2,-1+SUMPRODUCT(MAX(ROW(E4414:E$2)*(E4415=E4414:E$2)))))</f>
        <v> </v>
      </c>
      <c r="J4415" s="25" t="str">
        <f>IF(OR(E4415="",E4415="!!!",F4415="NEW"),"",COUNTBLANK(OFFSET(A$1,,,SUMPRODUCT(MAX(ROW(E$2:E4415)*(E4415=E$2:E4415)))))-COUNTBLANK(OFFSET(A$1,,,SUMPRODUCT(MAX(ROW(E$1:E4414)*(E2=E$1:E4414))))))</f>
        <v> </v>
      </c>
      <c r="K4415" s="25" t="str">
        <f>IF(OR(E4415="",E4415="!!!",F4415="NEW"),"",INDEX(J$1:J4414,SUMPRODUCT(MAX(ROW(E$1:E4414)*(E4415=E$1:E4414)))))</f>
        <v> </v>
      </c>
      <c r="L4415" s="26"/>
    </row>
    <row r="4416" spans="1:12">
      <c r="A4416" s="20" t="s">
        <v>1508</v>
      </c>
      <c r="B4416" s="27" t="s">
        <v>941</v>
      </c>
      <c r="C4416" s="27" t="s">
        <v>761</v>
      </c>
      <c r="D4416" s="27" t="s">
        <v>762</v>
      </c>
      <c r="E4416" s="21">
        <f>IF(D4416="?OLD","!!!","")</f>
        <v/>
      </c>
      <c r="F4416" s="22" t="str">
        <f>IF(OR(E4416="",E4416="!!!"),"",IF(NOT(ISNA(VLOOKUP(E4416,E$1:E4415,1,FALSE()))),"OLD",IF(AND(E4416&lt;&gt;"",E4416&lt;&gt;"!!!"),"NEW","")))</f>
        <v> </v>
      </c>
      <c r="G4416" s="23" t="str">
        <f>IF(OR(E4416="",E4416="!!!"),"",IF(OR(J4416=0,AND(J4416=1,K4416=1),AND(J4416=1,I4416="SBJ"),AND(J4416=1,I4416=0)),"?IN_FOCUS",IF(J4416&lt;=2,"?ACTIVATED",IF(J4416&lt;&gt;"","?FAMILIAR",IF(F4416="NEW",IF(ISNA(VLOOKUP(E4416,#REF!,1,FALSE())),"?TYPE_IDENTIFIABLE","?REFERENTIAL"),"_")))))</f>
        <v> </v>
      </c>
      <c r="H4416" s="24" t="str">
        <f>IF(J4416&lt;&gt;1,"",IF(I4416="SBJ","CB","?"))</f>
        <v> </v>
      </c>
      <c r="I4416" s="25" t="str">
        <f>IF(OR(E4416="",E4416="!!!",F4416="NEW"),"",INDEX(B4415:B$2,-1+SUMPRODUCT(MAX(ROW(E4415:E$2)*(E4416=E4415:E$2)))))</f>
        <v> </v>
      </c>
      <c r="J4416" s="25" t="str">
        <f>IF(OR(E4416="",E4416="!!!",F4416="NEW"),"",COUNTBLANK(OFFSET(A$1,,,SUMPRODUCT(MAX(ROW(E$2:E4416)*(E4416=E$2:E4416)))))-COUNTBLANK(OFFSET(A$1,,,SUMPRODUCT(MAX(ROW(E$1:E4415)*(E2=E$1:E4415))))))</f>
        <v> </v>
      </c>
      <c r="K4416" s="25" t="str">
        <f>IF(OR(E4416="",E4416="!!!",F4416="NEW"),"",INDEX(J$1:J4415,SUMPRODUCT(MAX(ROW(E$1:E4415)*(E4416=E$1:E4415)))))</f>
        <v> </v>
      </c>
      <c r="L4416" s="26"/>
    </row>
    <row r="4417" spans="1:12">
      <c r="A4417" s="20" t="s">
        <v>807</v>
      </c>
      <c r="E4417" s="21">
        <f>IF(D4417="?OLD","!!!","")</f>
        <v/>
      </c>
      <c r="F4417" s="22" t="str">
        <f>IF(OR(E4417="",E4417="!!!"),"",IF(NOT(ISNA(VLOOKUP(E4417,E$1:E4416,1,FALSE()))),"OLD",IF(AND(E4417&lt;&gt;"",E4417&lt;&gt;"!!!"),"NEW","")))</f>
        <v> </v>
      </c>
      <c r="G4417" s="23" t="str">
        <f>IF(OR(E4417="",E4417="!!!"),"",IF(OR(J4417=0,AND(J4417=1,K4417=1),AND(J4417=1,I4417="SBJ"),AND(J4417=1,I4417=0)),"?IN_FOCUS",IF(J4417&lt;=2,"?ACTIVATED",IF(J4417&lt;&gt;"","?FAMILIAR",IF(F4417="NEW",IF(ISNA(VLOOKUP(E4417,#REF!,1,FALSE())),"?TYPE_IDENTIFIABLE","?REFERENTIAL"),"_")))))</f>
        <v> </v>
      </c>
      <c r="H4417" s="24" t="str">
        <f>IF(J4417&lt;&gt;1,"",IF(I4417="SBJ","CB","?"))</f>
        <v> </v>
      </c>
      <c r="I4417" s="25" t="str">
        <f>IF(OR(E4417="",E4417="!!!",F4417="NEW"),"",INDEX(B4416:B$2,-1+SUMPRODUCT(MAX(ROW(E4416:E$2)*(E4417=E4416:E$2)))))</f>
        <v> </v>
      </c>
      <c r="J4417" s="25" t="str">
        <f>IF(OR(E4417="",E4417="!!!",F4417="NEW"),"",COUNTBLANK(OFFSET(A$1,,,SUMPRODUCT(MAX(ROW(E$2:E4417)*(E4417=E$2:E4417)))))-COUNTBLANK(OFFSET(A$1,,,SUMPRODUCT(MAX(ROW(E$1:E4416)*(E2=E$1:E4416))))))</f>
        <v> </v>
      </c>
      <c r="K4417" s="25" t="str">
        <f>IF(OR(E4417="",E4417="!!!",F4417="NEW"),"",INDEX(J$1:J4416,SUMPRODUCT(MAX(ROW(E$1:E4416)*(E4417=E$1:E4416)))))</f>
        <v> </v>
      </c>
      <c r="L4417" s="26"/>
    </row>
    <row r="4418" spans="1:12">
      <c r="A4418" s="20" t="s">
        <v>770</v>
      </c>
      <c r="E4418" s="21">
        <f>IF(D4418="?OLD","!!!","")</f>
        <v/>
      </c>
      <c r="F4418" s="22" t="str">
        <f>IF(OR(E4418="",E4418="!!!"),"",IF(NOT(ISNA(VLOOKUP(E4418,E$1:E4417,1,FALSE()))),"OLD",IF(AND(E4418&lt;&gt;"",E4418&lt;&gt;"!!!"),"NEW","")))</f>
        <v> </v>
      </c>
      <c r="G4418" s="23" t="str">
        <f>IF(OR(E4418="",E4418="!!!"),"",IF(OR(J4418=0,AND(J4418=1,K4418=1),AND(J4418=1,I4418="SBJ"),AND(J4418=1,I4418=0)),"?IN_FOCUS",IF(J4418&lt;=2,"?ACTIVATED",IF(J4418&lt;&gt;"","?FAMILIAR",IF(F4418="NEW",IF(ISNA(VLOOKUP(E4418,#REF!,1,FALSE())),"?TYPE_IDENTIFIABLE","?REFERENTIAL"),"_")))))</f>
        <v> </v>
      </c>
      <c r="H4418" s="24" t="str">
        <f>IF(J4418&lt;&gt;1,"",IF(I4418="SBJ","CB","?"))</f>
        <v> </v>
      </c>
      <c r="I4418" s="25" t="str">
        <f>IF(OR(E4418="",E4418="!!!",F4418="NEW"),"",INDEX(B4417:B$2,-1+SUMPRODUCT(MAX(ROW(E4417:E$2)*(E4418=E4417:E$2)))))</f>
        <v> </v>
      </c>
      <c r="J4418" s="25" t="str">
        <f>IF(OR(E4418="",E4418="!!!",F4418="NEW"),"",COUNTBLANK(OFFSET(A$1,,,SUMPRODUCT(MAX(ROW(E$2:E4418)*(E4418=E$2:E4418)))))-COUNTBLANK(OFFSET(A$1,,,SUMPRODUCT(MAX(ROW(E$1:E4417)*(E2=E$1:E4417))))))</f>
        <v> </v>
      </c>
      <c r="K4418" s="25" t="str">
        <f>IF(OR(E4418="",E4418="!!!",F4418="NEW"),"",INDEX(J$1:J4417,SUMPRODUCT(MAX(ROW(E$1:E4417)*(E4418=E$1:E4417)))))</f>
        <v> </v>
      </c>
      <c r="L4418" s="26"/>
    </row>
    <row r="4419" spans="1:12">
      <c r="A4419" s="20" t="s">
        <v>1963</v>
      </c>
      <c r="B4419" s="27" t="s">
        <v>815</v>
      </c>
      <c r="C4419" s="27" t="s">
        <v>761</v>
      </c>
      <c r="D4419" s="27" t="s">
        <v>762</v>
      </c>
      <c r="E4419" s="21">
        <f>IF(D4419="?OLD","!!!","")</f>
        <v/>
      </c>
      <c r="F4419" s="22" t="str">
        <f>IF(OR(E4419="",E4419="!!!"),"",IF(NOT(ISNA(VLOOKUP(E4419,E$1:E4418,1,FALSE()))),"OLD",IF(AND(E4419&lt;&gt;"",E4419&lt;&gt;"!!!"),"NEW","")))</f>
        <v> </v>
      </c>
      <c r="G4419" s="23" t="str">
        <f>IF(OR(E4419="",E4419="!!!"),"",IF(OR(J4419=0,AND(J4419=1,K4419=1),AND(J4419=1,I4419="SBJ"),AND(J4419=1,I4419=0)),"?IN_FOCUS",IF(J4419&lt;=2,"?ACTIVATED",IF(J4419&lt;&gt;"","?FAMILIAR",IF(F4419="NEW",IF(ISNA(VLOOKUP(E4419,#REF!,1,FALSE())),"?TYPE_IDENTIFIABLE","?REFERENTIAL"),"_")))))</f>
        <v> </v>
      </c>
      <c r="H4419" s="24" t="str">
        <f>IF(J4419&lt;&gt;1,"",IF(I4419="SBJ","CB","?"))</f>
        <v> </v>
      </c>
      <c r="I4419" s="25" t="str">
        <f>IF(OR(E4419="",E4419="!!!",F4419="NEW"),"",INDEX(B4418:B$2,-1+SUMPRODUCT(MAX(ROW(E4418:E$2)*(E4419=E4418:E$2)))))</f>
        <v> </v>
      </c>
      <c r="J4419" s="25" t="str">
        <f>IF(OR(E4419="",E4419="!!!",F4419="NEW"),"",COUNTBLANK(OFFSET(A$1,,,SUMPRODUCT(MAX(ROW(E$2:E4419)*(E4419=E$2:E4419)))))-COUNTBLANK(OFFSET(A$1,,,SUMPRODUCT(MAX(ROW(E$1:E4418)*(E2=E$1:E4418))))))</f>
        <v> </v>
      </c>
      <c r="K4419" s="25" t="str">
        <f>IF(OR(E4419="",E4419="!!!",F4419="NEW"),"",INDEX(J$1:J4418,SUMPRODUCT(MAX(ROW(E$1:E4418)*(E4419=E$1:E4418)))))</f>
        <v> </v>
      </c>
      <c r="L4419" s="26"/>
    </row>
    <row r="4420" spans="1:12">
      <c r="A4420" s="20" t="s">
        <v>798</v>
      </c>
      <c r="E4420" s="21">
        <f>IF(D4420="?OLD","!!!","")</f>
        <v/>
      </c>
      <c r="F4420" s="22" t="str">
        <f>IF(OR(E4420="",E4420="!!!"),"",IF(NOT(ISNA(VLOOKUP(E4420,E$1:E4419,1,FALSE()))),"OLD",IF(AND(E4420&lt;&gt;"",E4420&lt;&gt;"!!!"),"NEW","")))</f>
        <v> </v>
      </c>
      <c r="G4420" s="23" t="str">
        <f>IF(OR(E4420="",E4420="!!!"),"",IF(OR(J4420=0,AND(J4420=1,K4420=1),AND(J4420=1,I4420="SBJ"),AND(J4420=1,I4420=0)),"?IN_FOCUS",IF(J4420&lt;=2,"?ACTIVATED",IF(J4420&lt;&gt;"","?FAMILIAR",IF(F4420="NEW",IF(ISNA(VLOOKUP(E4420,#REF!,1,FALSE())),"?TYPE_IDENTIFIABLE","?REFERENTIAL"),"_")))))</f>
        <v> </v>
      </c>
      <c r="H4420" s="24" t="str">
        <f>IF(J4420&lt;&gt;1,"",IF(I4420="SBJ","CB","?"))</f>
        <v> </v>
      </c>
      <c r="I4420" s="25" t="str">
        <f>IF(OR(E4420="",E4420="!!!",F4420="NEW"),"",INDEX(B4419:B$2,-1+SUMPRODUCT(MAX(ROW(E4419:E$2)*(E4420=E4419:E$2)))))</f>
        <v> </v>
      </c>
      <c r="J4420" s="25" t="str">
        <f>IF(OR(E4420="",E4420="!!!",F4420="NEW"),"",COUNTBLANK(OFFSET(A$1,,,SUMPRODUCT(MAX(ROW(E$2:E4420)*(E4420=E$2:E4420)))))-COUNTBLANK(OFFSET(A$1,,,SUMPRODUCT(MAX(ROW(E$1:E4419)*(E2=E$1:E4419))))))</f>
        <v> </v>
      </c>
      <c r="K4420" s="25" t="str">
        <f>IF(OR(E4420="",E4420="!!!",F4420="NEW"),"",INDEX(J$1:J4419,SUMPRODUCT(MAX(ROW(E$1:E4419)*(E4420=E$1:E4419)))))</f>
        <v> </v>
      </c>
      <c r="L4420" s="26"/>
    </row>
    <row r="4421" spans="1:12">
      <c r="A4421" s="20" t="s">
        <v>1521</v>
      </c>
      <c r="E4421" s="21">
        <f>IF(D4421="?OLD","!!!","")</f>
        <v/>
      </c>
      <c r="F4421" s="22" t="str">
        <f>IF(OR(E4421="",E4421="!!!"),"",IF(NOT(ISNA(VLOOKUP(E4421,E$1:E4420,1,FALSE()))),"OLD",IF(AND(E4421&lt;&gt;"",E4421&lt;&gt;"!!!"),"NEW","")))</f>
        <v> </v>
      </c>
      <c r="G4421" s="23" t="str">
        <f>IF(OR(E4421="",E4421="!!!"),"",IF(OR(J4421=0,AND(J4421=1,K4421=1),AND(J4421=1,I4421="SBJ"),AND(J4421=1,I4421=0)),"?IN_FOCUS",IF(J4421&lt;=2,"?ACTIVATED",IF(J4421&lt;&gt;"","?FAMILIAR",IF(F4421="NEW",IF(ISNA(VLOOKUP(E4421,#REF!,1,FALSE())),"?TYPE_IDENTIFIABLE","?REFERENTIAL"),"_")))))</f>
        <v> </v>
      </c>
      <c r="H4421" s="24" t="str">
        <f>IF(J4421&lt;&gt;1,"",IF(I4421="SBJ","CB","?"))</f>
        <v> </v>
      </c>
      <c r="I4421" s="25" t="str">
        <f>IF(OR(E4421="",E4421="!!!",F4421="NEW"),"",INDEX(B4420:B$2,-1+SUMPRODUCT(MAX(ROW(E4420:E$2)*(E4421=E4420:E$2)))))</f>
        <v> </v>
      </c>
      <c r="J4421" s="25" t="str">
        <f>IF(OR(E4421="",E4421="!!!",F4421="NEW"),"",COUNTBLANK(OFFSET(A$1,,,SUMPRODUCT(MAX(ROW(E$2:E4421)*(E4421=E$2:E4421)))))-COUNTBLANK(OFFSET(A$1,,,SUMPRODUCT(MAX(ROW(E$1:E4420)*(E2=E$1:E4420))))))</f>
        <v> </v>
      </c>
      <c r="K4421" s="25" t="str">
        <f>IF(OR(E4421="",E4421="!!!",F4421="NEW"),"",INDEX(J$1:J4420,SUMPRODUCT(MAX(ROW(E$1:E4420)*(E4421=E$1:E4420)))))</f>
        <v> </v>
      </c>
      <c r="L4421" s="26"/>
    </row>
    <row r="4422" spans="1:12">
      <c r="A4422" s="20" t="s">
        <v>804</v>
      </c>
      <c r="E4422" s="21">
        <f>IF(D4422="?OLD","!!!","")</f>
        <v/>
      </c>
      <c r="F4422" s="22" t="str">
        <f>IF(OR(E4422="",E4422="!!!"),"",IF(NOT(ISNA(VLOOKUP(E4422,E$1:E4421,1,FALSE()))),"OLD",IF(AND(E4422&lt;&gt;"",E4422&lt;&gt;"!!!"),"NEW","")))</f>
        <v> </v>
      </c>
      <c r="G4422" s="23" t="str">
        <f>IF(OR(E4422="",E4422="!!!"),"",IF(OR(J4422=0,AND(J4422=1,K4422=1),AND(J4422=1,I4422="SBJ"),AND(J4422=1,I4422=0)),"?IN_FOCUS",IF(J4422&lt;=2,"?ACTIVATED",IF(J4422&lt;&gt;"","?FAMILIAR",IF(F4422="NEW",IF(ISNA(VLOOKUP(E4422,#REF!,1,FALSE())),"?TYPE_IDENTIFIABLE","?REFERENTIAL"),"_")))))</f>
        <v> </v>
      </c>
      <c r="H4422" s="24" t="str">
        <f>IF(J4422&lt;&gt;1,"",IF(I4422="SBJ","CB","?"))</f>
        <v> </v>
      </c>
      <c r="I4422" s="25" t="str">
        <f>IF(OR(E4422="",E4422="!!!",F4422="NEW"),"",INDEX(B4421:B$2,-1+SUMPRODUCT(MAX(ROW(E4421:E$2)*(E4422=E4421:E$2)))))</f>
        <v> </v>
      </c>
      <c r="J4422" s="25" t="str">
        <f>IF(OR(E4422="",E4422="!!!",F4422="NEW"),"",COUNTBLANK(OFFSET(A$1,,,SUMPRODUCT(MAX(ROW(E$2:E4422)*(E4422=E$2:E4422)))))-COUNTBLANK(OFFSET(A$1,,,SUMPRODUCT(MAX(ROW(E$1:E4421)*(E2=E$1:E4421))))))</f>
        <v> </v>
      </c>
      <c r="K4422" s="25" t="str">
        <f>IF(OR(E4422="",E4422="!!!",F4422="NEW"),"",INDEX(J$1:J4421,SUMPRODUCT(MAX(ROW(E$1:E4421)*(E4422=E$1:E4421)))))</f>
        <v> </v>
      </c>
      <c r="L4422" s="26"/>
    </row>
    <row r="4423" spans="1:12">
      <c r="A4423" s="20" t="s">
        <v>421</v>
      </c>
      <c r="E4423" s="21">
        <f>IF(D4423="?OLD","!!!","")</f>
        <v/>
      </c>
      <c r="F4423" s="22" t="str">
        <f>IF(OR(E4423="",E4423="!!!"),"",IF(NOT(ISNA(VLOOKUP(E4423,E$1:E4422,1,FALSE()))),"OLD",IF(AND(E4423&lt;&gt;"",E4423&lt;&gt;"!!!"),"NEW","")))</f>
        <v> </v>
      </c>
      <c r="G4423" s="23" t="str">
        <f>IF(OR(E4423="",E4423="!!!"),"",IF(OR(J4423=0,AND(J4423=1,K4423=1),AND(J4423=1,I4423="SBJ"),AND(J4423=1,I4423=0)),"?IN_FOCUS",IF(J4423&lt;=2,"?ACTIVATED",IF(J4423&lt;&gt;"","?FAMILIAR",IF(F4423="NEW",IF(ISNA(VLOOKUP(E4423,#REF!,1,FALSE())),"?TYPE_IDENTIFIABLE","?REFERENTIAL"),"_")))))</f>
        <v> </v>
      </c>
      <c r="H4423" s="24" t="str">
        <f>IF(J4423&lt;&gt;1,"",IF(I4423="SBJ","CB","?"))</f>
        <v> </v>
      </c>
      <c r="I4423" s="25" t="str">
        <f>IF(OR(E4423="",E4423="!!!",F4423="NEW"),"",INDEX(B4422:B$2,-1+SUMPRODUCT(MAX(ROW(E4422:E$2)*(E4423=E4422:E$2)))))</f>
        <v> </v>
      </c>
      <c r="J4423" s="25" t="str">
        <f>IF(OR(E4423="",E4423="!!!",F4423="NEW"),"",COUNTBLANK(OFFSET(A$1,,,SUMPRODUCT(MAX(ROW(E$2:E4423)*(E4423=E$2:E4423)))))-COUNTBLANK(OFFSET(A$1,,,SUMPRODUCT(MAX(ROW(E$1:E4422)*(E2=E$1:E4422))))))</f>
        <v> </v>
      </c>
      <c r="K4423" s="25" t="str">
        <f>IF(OR(E4423="",E4423="!!!",F4423="NEW"),"",INDEX(J$1:J4422,SUMPRODUCT(MAX(ROW(E$1:E4422)*(E4423=E$1:E4422)))))</f>
        <v> </v>
      </c>
      <c r="L4423" s="26"/>
    </row>
    <row r="4424" spans="1:12">
      <c r="A4424" s="20" t="s">
        <v>1964</v>
      </c>
      <c r="E4424" s="21">
        <f>IF(D4424="?OLD","!!!","")</f>
        <v/>
      </c>
      <c r="F4424" s="22" t="str">
        <f>IF(OR(E4424="",E4424="!!!"),"",IF(NOT(ISNA(VLOOKUP(E4424,E$1:E4423,1,FALSE()))),"OLD",IF(AND(E4424&lt;&gt;"",E4424&lt;&gt;"!!!"),"NEW","")))</f>
        <v> </v>
      </c>
      <c r="G4424" s="23" t="str">
        <f>IF(OR(E4424="",E4424="!!!"),"",IF(OR(J4424=0,AND(J4424=1,K4424=1),AND(J4424=1,I4424="SBJ"),AND(J4424=1,I4424=0)),"?IN_FOCUS",IF(J4424&lt;=2,"?ACTIVATED",IF(J4424&lt;&gt;"","?FAMILIAR",IF(F4424="NEW",IF(ISNA(VLOOKUP(E4424,#REF!,1,FALSE())),"?TYPE_IDENTIFIABLE","?REFERENTIAL"),"_")))))</f>
        <v> </v>
      </c>
      <c r="H4424" s="24" t="str">
        <f>IF(J4424&lt;&gt;1,"",IF(I4424="SBJ","CB","?"))</f>
        <v> </v>
      </c>
      <c r="I4424" s="25" t="str">
        <f>IF(OR(E4424="",E4424="!!!",F4424="NEW"),"",INDEX(B4423:B$2,-1+SUMPRODUCT(MAX(ROW(E4423:E$2)*(E4424=E4423:E$2)))))</f>
        <v> </v>
      </c>
      <c r="J4424" s="25" t="str">
        <f>IF(OR(E4424="",E4424="!!!",F4424="NEW"),"",COUNTBLANK(OFFSET(A$1,,,SUMPRODUCT(MAX(ROW(E$2:E4424)*(E4424=E$2:E4424)))))-COUNTBLANK(OFFSET(A$1,,,SUMPRODUCT(MAX(ROW(E$1:E4423)*(E2=E$1:E4423))))))</f>
        <v> </v>
      </c>
      <c r="K4424" s="25" t="str">
        <f>IF(OR(E4424="",E4424="!!!",F4424="NEW"),"",INDEX(J$1:J4423,SUMPRODUCT(MAX(ROW(E$1:E4423)*(E4424=E$1:E4423)))))</f>
        <v> </v>
      </c>
      <c r="L4424" s="26"/>
    </row>
    <row r="4425" spans="1:12">
      <c r="A4425" s="20" t="s">
        <v>785</v>
      </c>
      <c r="E4425" s="21">
        <f>IF(D4425="?OLD","!!!","")</f>
        <v/>
      </c>
      <c r="F4425" s="22" t="str">
        <f>IF(OR(E4425="",E4425="!!!"),"",IF(NOT(ISNA(VLOOKUP(E4425,E$1:E4424,1,FALSE()))),"OLD",IF(AND(E4425&lt;&gt;"",E4425&lt;&gt;"!!!"),"NEW","")))</f>
        <v> </v>
      </c>
      <c r="G4425" s="23" t="str">
        <f>IF(OR(E4425="",E4425="!!!"),"",IF(OR(J4425=0,AND(J4425=1,K4425=1),AND(J4425=1,I4425="SBJ"),AND(J4425=1,I4425=0)),"?IN_FOCUS",IF(J4425&lt;=2,"?ACTIVATED",IF(J4425&lt;&gt;"","?FAMILIAR",IF(F4425="NEW",IF(ISNA(VLOOKUP(E4425,#REF!,1,FALSE())),"?TYPE_IDENTIFIABLE","?REFERENTIAL"),"_")))))</f>
        <v> </v>
      </c>
      <c r="H4425" s="24" t="str">
        <f>IF(J4425&lt;&gt;1,"",IF(I4425="SBJ","CB","?"))</f>
        <v> </v>
      </c>
      <c r="I4425" s="25" t="str">
        <f>IF(OR(E4425="",E4425="!!!",F4425="NEW"),"",INDEX(B4424:B$2,-1+SUMPRODUCT(MAX(ROW(E4424:E$2)*(E4425=E4424:E$2)))))</f>
        <v> </v>
      </c>
      <c r="J4425" s="25" t="str">
        <f>IF(OR(E4425="",E4425="!!!",F4425="NEW"),"",COUNTBLANK(OFFSET(A$1,,,SUMPRODUCT(MAX(ROW(E$2:E4425)*(E4425=E$2:E4425)))))-COUNTBLANK(OFFSET(A$1,,,SUMPRODUCT(MAX(ROW(E$1:E4424)*(E2=E$1:E4424))))))</f>
        <v> </v>
      </c>
      <c r="K4425" s="25" t="str">
        <f>IF(OR(E4425="",E4425="!!!",F4425="NEW"),"",INDEX(J$1:J4424,SUMPRODUCT(MAX(ROW(E$1:E4424)*(E4425=E$1:E4424)))))</f>
        <v> </v>
      </c>
      <c r="L4425" s="26"/>
    </row>
    <row r="4426" spans="1:12">
      <c r="A4426" s="20" t="s">
        <v>495</v>
      </c>
      <c r="E4426" s="21">
        <f>IF(D4426="?OLD","!!!","")</f>
        <v/>
      </c>
      <c r="F4426" s="22" t="str">
        <f>IF(OR(E4426="",E4426="!!!"),"",IF(NOT(ISNA(VLOOKUP(E4426,E$1:E4425,1,FALSE()))),"OLD",IF(AND(E4426&lt;&gt;"",E4426&lt;&gt;"!!!"),"NEW","")))</f>
        <v> </v>
      </c>
      <c r="G4426" s="23" t="str">
        <f>IF(OR(E4426="",E4426="!!!"),"",IF(OR(J4426=0,AND(J4426=1,K4426=1),AND(J4426=1,I4426="SBJ"),AND(J4426=1,I4426=0)),"?IN_FOCUS",IF(J4426&lt;=2,"?ACTIVATED",IF(J4426&lt;&gt;"","?FAMILIAR",IF(F4426="NEW",IF(ISNA(VLOOKUP(E4426,#REF!,1,FALSE())),"?TYPE_IDENTIFIABLE","?REFERENTIAL"),"_")))))</f>
        <v> </v>
      </c>
      <c r="H4426" s="24" t="str">
        <f>IF(J4426&lt;&gt;1,"",IF(I4426="SBJ","CB","?"))</f>
        <v> </v>
      </c>
      <c r="I4426" s="25" t="str">
        <f>IF(OR(E4426="",E4426="!!!",F4426="NEW"),"",INDEX(B4425:B$2,-1+SUMPRODUCT(MAX(ROW(E4425:E$2)*(E4426=E4425:E$2)))))</f>
        <v> </v>
      </c>
      <c r="J4426" s="25" t="str">
        <f>IF(OR(E4426="",E4426="!!!",F4426="NEW"),"",COUNTBLANK(OFFSET(A$1,,,SUMPRODUCT(MAX(ROW(E$2:E4426)*(E4426=E$2:E4426)))))-COUNTBLANK(OFFSET(A$1,,,SUMPRODUCT(MAX(ROW(E$1:E4425)*(E2=E$1:E4425))))))</f>
        <v> </v>
      </c>
      <c r="K4426" s="25" t="str">
        <f>IF(OR(E4426="",E4426="!!!",F4426="NEW"),"",INDEX(J$1:J4425,SUMPRODUCT(MAX(ROW(E$1:E4425)*(E4426=E$1:E4425)))))</f>
        <v> </v>
      </c>
      <c r="L4426" s="26"/>
    </row>
    <row r="4427" spans="1:12">
      <c r="A4427" s="20" t="s">
        <v>774</v>
      </c>
      <c r="E4427" s="21">
        <f>IF(D4427="?OLD","!!!","")</f>
        <v/>
      </c>
      <c r="F4427" s="22" t="str">
        <f>IF(OR(E4427="",E4427="!!!"),"",IF(NOT(ISNA(VLOOKUP(E4427,E$1:E4426,1,FALSE()))),"OLD",IF(AND(E4427&lt;&gt;"",E4427&lt;&gt;"!!!"),"NEW","")))</f>
        <v> </v>
      </c>
      <c r="G4427" s="23" t="str">
        <f>IF(OR(E4427="",E4427="!!!"),"",IF(OR(J4427=0,AND(J4427=1,K4427=1),AND(J4427=1,I4427="SBJ"),AND(J4427=1,I4427=0)),"?IN_FOCUS",IF(J4427&lt;=2,"?ACTIVATED",IF(J4427&lt;&gt;"","?FAMILIAR",IF(F4427="NEW",IF(ISNA(VLOOKUP(E4427,#REF!,1,FALSE())),"?TYPE_IDENTIFIABLE","?REFERENTIAL"),"_")))))</f>
        <v> </v>
      </c>
      <c r="H4427" s="24" t="str">
        <f>IF(J4427&lt;&gt;1,"",IF(I4427="SBJ","CB","?"))</f>
        <v> </v>
      </c>
      <c r="I4427" s="25" t="str">
        <f>IF(OR(E4427="",E4427="!!!",F4427="NEW"),"",INDEX(B4426:B$2,-1+SUMPRODUCT(MAX(ROW(E4426:E$2)*(E4427=E4426:E$2)))))</f>
        <v> </v>
      </c>
      <c r="J4427" s="25" t="str">
        <f>IF(OR(E4427="",E4427="!!!",F4427="NEW"),"",COUNTBLANK(OFFSET(A$1,,,SUMPRODUCT(MAX(ROW(E$2:E4427)*(E4427=E$2:E4427)))))-COUNTBLANK(OFFSET(A$1,,,SUMPRODUCT(MAX(ROW(E$1:E4426)*(E2=E$1:E4426))))))</f>
        <v> </v>
      </c>
      <c r="K4427" s="25" t="str">
        <f>IF(OR(E4427="",E4427="!!!",F4427="NEW"),"",INDEX(J$1:J4426,SUMPRODUCT(MAX(ROW(E$1:E4426)*(E4427=E$1:E4426)))))</f>
        <v> </v>
      </c>
      <c r="L4427" s="26"/>
    </row>
    <row r="4428" spans="1:12">
      <c r="A4428" s="20"/>
    </row>
    <row r="4429" spans="1:12">
      <c r="A4429" s="20" t="s">
        <v>1965</v>
      </c>
    </row>
    <row r="4430" spans="1:12">
      <c r="A4430" s="20" t="s">
        <v>983</v>
      </c>
      <c r="B4430" s="27" t="s">
        <v>760</v>
      </c>
      <c r="C4430" s="27" t="s">
        <v>797</v>
      </c>
      <c r="D4430" s="27" t="s">
        <v>762</v>
      </c>
      <c r="E4430" s="21">
        <f>IF(D4430="?OLD","!!!","")</f>
        <v/>
      </c>
      <c r="F4430" s="22" t="str">
        <f>IF(OR(E4430="",E4430="!!!"),"",IF(NOT(ISNA(VLOOKUP(E4430,E$1:E4429,1,FALSE()))),"OLD",IF(AND(E4430&lt;&gt;"",E4430&lt;&gt;"!!!"),"NEW","")))</f>
        <v> </v>
      </c>
      <c r="G4430" s="23" t="str">
        <f>IF(OR(E4430="",E4430="!!!"),"",IF(OR(J4430=0,AND(J4430=1,K4430=1),AND(J4430=1,I4430="SBJ"),AND(J4430=1,I4430=0)),"?IN_FOCUS",IF(J4430&lt;=2,"?ACTIVATED",IF(J4430&lt;&gt;"","?FAMILIAR",IF(F4430="NEW",IF(ISNA(VLOOKUP(E4430,#REF!,1,FALSE())),"?TYPE_IDENTIFIABLE","?REFERENTIAL"),"_")))))</f>
        <v> </v>
      </c>
      <c r="H4430" s="24" t="str">
        <f>IF(J4430&lt;&gt;1,"",IF(I4430="SBJ","CB","?"))</f>
        <v> </v>
      </c>
      <c r="I4430" s="25" t="str">
        <f>IF(OR(E4430="",E4430="!!!",F4430="NEW"),"",INDEX(B4429:B$2,-1+SUMPRODUCT(MAX(ROW(E4429:E$2)*(E4430=E4429:E$2)))))</f>
        <v> </v>
      </c>
      <c r="J4430" s="25" t="str">
        <f>IF(OR(E4430="",E4430="!!!",F4430="NEW"),"",COUNTBLANK(OFFSET(A$1,,,SUMPRODUCT(MAX(ROW(E$2:E4430)*(E4430=E$2:E4430)))))-COUNTBLANK(OFFSET(A$1,,,SUMPRODUCT(MAX(ROW(E$1:E4429)*(E2=E$1:E4429))))))</f>
        <v> </v>
      </c>
      <c r="K4430" s="25" t="str">
        <f>IF(OR(E4430="",E4430="!!!",F4430="NEW"),"",INDEX(J$1:J4429,SUMPRODUCT(MAX(ROW(E$1:E4429)*(E4430=E$1:E4429)))))</f>
        <v> </v>
      </c>
      <c r="L4430" s="26"/>
    </row>
    <row r="4431" spans="1:12">
      <c r="A4431" s="20" t="s">
        <v>811</v>
      </c>
      <c r="E4431" s="21">
        <f>IF(D4431="?OLD","!!!","")</f>
        <v/>
      </c>
      <c r="F4431" s="22" t="str">
        <f>IF(OR(E4431="",E4431="!!!"),"",IF(NOT(ISNA(VLOOKUP(E4431,E$1:E4430,1,FALSE()))),"OLD",IF(AND(E4431&lt;&gt;"",E4431&lt;&gt;"!!!"),"NEW","")))</f>
        <v> </v>
      </c>
      <c r="G4431" s="23" t="str">
        <f>IF(OR(E4431="",E4431="!!!"),"",IF(OR(J4431=0,AND(J4431=1,K4431=1),AND(J4431=1,I4431="SBJ"),AND(J4431=1,I4431=0)),"?IN_FOCUS",IF(J4431&lt;=2,"?ACTIVATED",IF(J4431&lt;&gt;"","?FAMILIAR",IF(F4431="NEW",IF(ISNA(VLOOKUP(E4431,#REF!,1,FALSE())),"?TYPE_IDENTIFIABLE","?REFERENTIAL"),"_")))))</f>
        <v> </v>
      </c>
      <c r="H4431" s="24" t="str">
        <f>IF(J4431&lt;&gt;1,"",IF(I4431="SBJ","CB","?"))</f>
        <v> </v>
      </c>
      <c r="I4431" s="25" t="str">
        <f>IF(OR(E4431="",E4431="!!!",F4431="NEW"),"",INDEX(B4430:B$2,-1+SUMPRODUCT(MAX(ROW(E4430:E$2)*(E4431=E4430:E$2)))))</f>
        <v> </v>
      </c>
      <c r="J4431" s="25" t="str">
        <f>IF(OR(E4431="",E4431="!!!",F4431="NEW"),"",COUNTBLANK(OFFSET(A$1,,,SUMPRODUCT(MAX(ROW(E$2:E4431)*(E4431=E$2:E4431)))))-COUNTBLANK(OFFSET(A$1,,,SUMPRODUCT(MAX(ROW(E$1:E4430)*(E2=E$1:E4430))))))</f>
        <v> </v>
      </c>
      <c r="K4431" s="25" t="str">
        <f>IF(OR(E4431="",E4431="!!!",F4431="NEW"),"",INDEX(J$1:J4430,SUMPRODUCT(MAX(ROW(E$1:E4430)*(E4431=E$1:E4430)))))</f>
        <v> </v>
      </c>
      <c r="L4431" s="26"/>
    </row>
    <row r="4432" spans="1:12">
      <c r="A4432" s="20" t="s">
        <v>1966</v>
      </c>
      <c r="E4432" s="21">
        <f>IF(D4432="?OLD","!!!","")</f>
        <v/>
      </c>
      <c r="F4432" s="22" t="str">
        <f>IF(OR(E4432="",E4432="!!!"),"",IF(NOT(ISNA(VLOOKUP(E4432,E$1:E4431,1,FALSE()))),"OLD",IF(AND(E4432&lt;&gt;"",E4432&lt;&gt;"!!!"),"NEW","")))</f>
        <v> </v>
      </c>
      <c r="G4432" s="23" t="str">
        <f>IF(OR(E4432="",E4432="!!!"),"",IF(OR(J4432=0,AND(J4432=1,K4432=1),AND(J4432=1,I4432="SBJ"),AND(J4432=1,I4432=0)),"?IN_FOCUS",IF(J4432&lt;=2,"?ACTIVATED",IF(J4432&lt;&gt;"","?FAMILIAR",IF(F4432="NEW",IF(ISNA(VLOOKUP(E4432,#REF!,1,FALSE())),"?TYPE_IDENTIFIABLE","?REFERENTIAL"),"_")))))</f>
        <v> </v>
      </c>
      <c r="H4432" s="24" t="str">
        <f>IF(J4432&lt;&gt;1,"",IF(I4432="SBJ","CB","?"))</f>
        <v> </v>
      </c>
      <c r="I4432" s="25" t="str">
        <f>IF(OR(E4432="",E4432="!!!",F4432="NEW"),"",INDEX(B4431:B$2,-1+SUMPRODUCT(MAX(ROW(E4431:E$2)*(E4432=E4431:E$2)))))</f>
        <v> </v>
      </c>
      <c r="J4432" s="25" t="str">
        <f>IF(OR(E4432="",E4432="!!!",F4432="NEW"),"",COUNTBLANK(OFFSET(A$1,,,SUMPRODUCT(MAX(ROW(E$2:E4432)*(E4432=E$2:E4432)))))-COUNTBLANK(OFFSET(A$1,,,SUMPRODUCT(MAX(ROW(E$1:E4431)*(E2=E$1:E4431))))))</f>
        <v> </v>
      </c>
      <c r="K4432" s="25" t="str">
        <f>IF(OR(E4432="",E4432="!!!",F4432="NEW"),"",INDEX(J$1:J4431,SUMPRODUCT(MAX(ROW(E$1:E4431)*(E4432=E$1:E4431)))))</f>
        <v> </v>
      </c>
      <c r="L4432" s="26"/>
    </row>
    <row r="4433" spans="1:12">
      <c r="A4433" s="20" t="s">
        <v>804</v>
      </c>
      <c r="E4433" s="21">
        <f>IF(D4433="?OLD","!!!","")</f>
        <v/>
      </c>
      <c r="F4433" s="22" t="str">
        <f>IF(OR(E4433="",E4433="!!!"),"",IF(NOT(ISNA(VLOOKUP(E4433,E$1:E4432,1,FALSE()))),"OLD",IF(AND(E4433&lt;&gt;"",E4433&lt;&gt;"!!!"),"NEW","")))</f>
        <v> </v>
      </c>
      <c r="G4433" s="23" t="str">
        <f>IF(OR(E4433="",E4433="!!!"),"",IF(OR(J4433=0,AND(J4433=1,K4433=1),AND(J4433=1,I4433="SBJ"),AND(J4433=1,I4433=0)),"?IN_FOCUS",IF(J4433&lt;=2,"?ACTIVATED",IF(J4433&lt;&gt;"","?FAMILIAR",IF(F4433="NEW",IF(ISNA(VLOOKUP(E4433,#REF!,1,FALSE())),"?TYPE_IDENTIFIABLE","?REFERENTIAL"),"_")))))</f>
        <v> </v>
      </c>
      <c r="H4433" s="24" t="str">
        <f>IF(J4433&lt;&gt;1,"",IF(I4433="SBJ","CB","?"))</f>
        <v> </v>
      </c>
      <c r="I4433" s="25" t="str">
        <f>IF(OR(E4433="",E4433="!!!",F4433="NEW"),"",INDEX(B4432:B$2,-1+SUMPRODUCT(MAX(ROW(E4432:E$2)*(E4433=E4432:E$2)))))</f>
        <v> </v>
      </c>
      <c r="J4433" s="25" t="str">
        <f>IF(OR(E4433="",E4433="!!!",F4433="NEW"),"",COUNTBLANK(OFFSET(A$1,,,SUMPRODUCT(MAX(ROW(E$2:E4433)*(E4433=E$2:E4433)))))-COUNTBLANK(OFFSET(A$1,,,SUMPRODUCT(MAX(ROW(E$1:E4432)*(E2=E$1:E4432))))))</f>
        <v> </v>
      </c>
      <c r="K4433" s="25" t="str">
        <f>IF(OR(E4433="",E4433="!!!",F4433="NEW"),"",INDEX(J$1:J4432,SUMPRODUCT(MAX(ROW(E$1:E4432)*(E4433=E$1:E4432)))))</f>
        <v> </v>
      </c>
      <c r="L4433" s="26"/>
    </row>
    <row r="4434" spans="1:12">
      <c r="A4434" s="20" t="s">
        <v>769</v>
      </c>
      <c r="E4434" s="21">
        <f>IF(D4434="?OLD","!!!","")</f>
        <v/>
      </c>
      <c r="F4434" s="22" t="str">
        <f>IF(OR(E4434="",E4434="!!!"),"",IF(NOT(ISNA(VLOOKUP(E4434,E$1:E4433,1,FALSE()))),"OLD",IF(AND(E4434&lt;&gt;"",E4434&lt;&gt;"!!!"),"NEW","")))</f>
        <v> </v>
      </c>
      <c r="G4434" s="23" t="str">
        <f>IF(OR(E4434="",E4434="!!!"),"",IF(OR(J4434=0,AND(J4434=1,K4434=1),AND(J4434=1,I4434="SBJ"),AND(J4434=1,I4434=0)),"?IN_FOCUS",IF(J4434&lt;=2,"?ACTIVATED",IF(J4434&lt;&gt;"","?FAMILIAR",IF(F4434="NEW",IF(ISNA(VLOOKUP(E4434,#REF!,1,FALSE())),"?TYPE_IDENTIFIABLE","?REFERENTIAL"),"_")))))</f>
        <v> </v>
      </c>
      <c r="H4434" s="24" t="str">
        <f>IF(J4434&lt;&gt;1,"",IF(I4434="SBJ","CB","?"))</f>
        <v> </v>
      </c>
      <c r="I4434" s="25" t="str">
        <f>IF(OR(E4434="",E4434="!!!",F4434="NEW"),"",INDEX(B4433:B$2,-1+SUMPRODUCT(MAX(ROW(E4433:E$2)*(E4434=E4433:E$2)))))</f>
        <v> </v>
      </c>
      <c r="J4434" s="25" t="str">
        <f>IF(OR(E4434="",E4434="!!!",F4434="NEW"),"",COUNTBLANK(OFFSET(A$1,,,SUMPRODUCT(MAX(ROW(E$2:E4434)*(E4434=E$2:E4434)))))-COUNTBLANK(OFFSET(A$1,,,SUMPRODUCT(MAX(ROW(E$1:E4433)*(E2=E$1:E4433))))))</f>
        <v> </v>
      </c>
      <c r="K4434" s="25" t="str">
        <f>IF(OR(E4434="",E4434="!!!",F4434="NEW"),"",INDEX(J$1:J4433,SUMPRODUCT(MAX(ROW(E$1:E4433)*(E4434=E$1:E4433)))))</f>
        <v> </v>
      </c>
      <c r="L4434" s="26"/>
    </row>
    <row r="4435" spans="1:12">
      <c r="A4435" s="20" t="s">
        <v>1967</v>
      </c>
      <c r="B4435" s="27" t="s">
        <v>767</v>
      </c>
      <c r="C4435" s="27" t="s">
        <v>768</v>
      </c>
      <c r="E4435" s="21">
        <f>IF(D4435="?OLD","!!!","")</f>
        <v/>
      </c>
      <c r="F4435" s="22" t="str">
        <f>IF(OR(E4435="",E4435="!!!"),"",IF(NOT(ISNA(VLOOKUP(E4435,E$1:E4434,1,FALSE()))),"OLD",IF(AND(E4435&lt;&gt;"",E4435&lt;&gt;"!!!"),"NEW","")))</f>
        <v> </v>
      </c>
      <c r="G4435" s="23" t="str">
        <f>IF(OR(E4435="",E4435="!!!"),"",IF(OR(J4435=0,AND(J4435=1,K4435=1),AND(J4435=1,I4435="SBJ"),AND(J4435=1,I4435=0)),"?IN_FOCUS",IF(J4435&lt;=2,"?ACTIVATED",IF(J4435&lt;&gt;"","?FAMILIAR",IF(F4435="NEW",IF(ISNA(VLOOKUP(E4435,#REF!,1,FALSE())),"?TYPE_IDENTIFIABLE","?REFERENTIAL"),"_")))))</f>
        <v> </v>
      </c>
      <c r="H4435" s="24" t="str">
        <f>IF(J4435&lt;&gt;1,"",IF(I4435="SBJ","CB","?"))</f>
        <v> </v>
      </c>
      <c r="I4435" s="25" t="str">
        <f>IF(OR(E4435="",E4435="!!!",F4435="NEW"),"",INDEX(B4434:B$2,-1+SUMPRODUCT(MAX(ROW(E4434:E$2)*(E4435=E4434:E$2)))))</f>
        <v> </v>
      </c>
      <c r="J4435" s="25" t="str">
        <f>IF(OR(E4435="",E4435="!!!",F4435="NEW"),"",COUNTBLANK(OFFSET(A$1,,,SUMPRODUCT(MAX(ROW(E$2:E4435)*(E4435=E$2:E4435)))))-COUNTBLANK(OFFSET(A$1,,,SUMPRODUCT(MAX(ROW(E$1:E4434)*(E2=E$1:E4434))))))</f>
        <v> </v>
      </c>
      <c r="K4435" s="25" t="str">
        <f>IF(OR(E4435="",E4435="!!!",F4435="NEW"),"",INDEX(J$1:J4434,SUMPRODUCT(MAX(ROW(E$1:E4434)*(E4435=E$1:E4434)))))</f>
        <v> </v>
      </c>
      <c r="L4435" s="26"/>
    </row>
    <row r="4436" spans="1:12">
      <c r="A4436" s="20" t="s">
        <v>805</v>
      </c>
      <c r="E4436" s="21">
        <f>IF(D4436="?OLD","!!!","")</f>
        <v/>
      </c>
      <c r="F4436" s="22" t="str">
        <f>IF(OR(E4436="",E4436="!!!"),"",IF(NOT(ISNA(VLOOKUP(E4436,E$1:E4435,1,FALSE()))),"OLD",IF(AND(E4436&lt;&gt;"",E4436&lt;&gt;"!!!"),"NEW","")))</f>
        <v> </v>
      </c>
      <c r="G4436" s="23" t="str">
        <f>IF(OR(E4436="",E4436="!!!"),"",IF(OR(J4436=0,AND(J4436=1,K4436=1),AND(J4436=1,I4436="SBJ"),AND(J4436=1,I4436=0)),"?IN_FOCUS",IF(J4436&lt;=2,"?ACTIVATED",IF(J4436&lt;&gt;"","?FAMILIAR",IF(F4436="NEW",IF(ISNA(VLOOKUP(E4436,#REF!,1,FALSE())),"?TYPE_IDENTIFIABLE","?REFERENTIAL"),"_")))))</f>
        <v> </v>
      </c>
      <c r="H4436" s="24" t="str">
        <f>IF(J4436&lt;&gt;1,"",IF(I4436="SBJ","CB","?"))</f>
        <v> </v>
      </c>
      <c r="I4436" s="25" t="str">
        <f>IF(OR(E4436="",E4436="!!!",F4436="NEW"),"",INDEX(B4435:B$2,-1+SUMPRODUCT(MAX(ROW(E4435:E$2)*(E4436=E4435:E$2)))))</f>
        <v> </v>
      </c>
      <c r="J4436" s="25" t="str">
        <f>IF(OR(E4436="",E4436="!!!",F4436="NEW"),"",COUNTBLANK(OFFSET(A$1,,,SUMPRODUCT(MAX(ROW(E$2:E4436)*(E4436=E$2:E4436)))))-COUNTBLANK(OFFSET(A$1,,,SUMPRODUCT(MAX(ROW(E$1:E4435)*(E2=E$1:E4435))))))</f>
        <v> </v>
      </c>
      <c r="K4436" s="25" t="str">
        <f>IF(OR(E4436="",E4436="!!!",F4436="NEW"),"",INDEX(J$1:J4435,SUMPRODUCT(MAX(ROW(E$1:E4435)*(E4436=E$1:E4435)))))</f>
        <v> </v>
      </c>
      <c r="L4436" s="26"/>
    </row>
    <row r="4437" spans="1:12">
      <c r="A4437" s="20" t="s">
        <v>939</v>
      </c>
      <c r="B4437" s="27" t="s">
        <v>772</v>
      </c>
      <c r="C4437" s="27" t="s">
        <v>754</v>
      </c>
      <c r="E4437" s="21">
        <f>IF(D4437="?OLD","!!!","")</f>
        <v/>
      </c>
      <c r="F4437" s="22" t="str">
        <f>IF(OR(E4437="",E4437="!!!"),"",IF(NOT(ISNA(VLOOKUP(E4437,E$1:E4436,1,FALSE()))),"OLD",IF(AND(E4437&lt;&gt;"",E4437&lt;&gt;"!!!"),"NEW","")))</f>
        <v> </v>
      </c>
      <c r="G4437" s="23" t="str">
        <f>IF(OR(E4437="",E4437="!!!"),"",IF(OR(J4437=0,AND(J4437=1,K4437=1),AND(J4437=1,I4437="SBJ"),AND(J4437=1,I4437=0)),"?IN_FOCUS",IF(J4437&lt;=2,"?ACTIVATED",IF(J4437&lt;&gt;"","?FAMILIAR",IF(F4437="NEW",IF(ISNA(VLOOKUP(E4437,#REF!,1,FALSE())),"?TYPE_IDENTIFIABLE","?REFERENTIAL"),"_")))))</f>
        <v> </v>
      </c>
      <c r="H4437" s="24" t="str">
        <f>IF(J4437&lt;&gt;1,"",IF(I4437="SBJ","CB","?"))</f>
        <v> </v>
      </c>
      <c r="I4437" s="25" t="str">
        <f>IF(OR(E4437="",E4437="!!!",F4437="NEW"),"",INDEX(B4436:B$2,-1+SUMPRODUCT(MAX(ROW(E4436:E$2)*(E4437=E4436:E$2)))))</f>
        <v> </v>
      </c>
      <c r="J4437" s="25" t="str">
        <f>IF(OR(E4437="",E4437="!!!",F4437="NEW"),"",COUNTBLANK(OFFSET(A$1,,,SUMPRODUCT(MAX(ROW(E$2:E4437)*(E4437=E$2:E4437)))))-COUNTBLANK(OFFSET(A$1,,,SUMPRODUCT(MAX(ROW(E$1:E4436)*(E2=E$1:E4436))))))</f>
        <v> </v>
      </c>
      <c r="K4437" s="25" t="str">
        <f>IF(OR(E4437="",E4437="!!!",F4437="NEW"),"",INDEX(J$1:J4436,SUMPRODUCT(MAX(ROW(E$1:E4436)*(E4437=E$1:E4436)))))</f>
        <v> </v>
      </c>
      <c r="L4437" s="26"/>
    </row>
    <row r="4438" spans="1:12">
      <c r="A4438" s="20" t="s">
        <v>1968</v>
      </c>
      <c r="E4438" s="21">
        <f>IF(D4438="?OLD","!!!","")</f>
        <v/>
      </c>
      <c r="F4438" s="22" t="str">
        <f>IF(OR(E4438="",E4438="!!!"),"",IF(NOT(ISNA(VLOOKUP(E4438,E$1:E4437,1,FALSE()))),"OLD",IF(AND(E4438&lt;&gt;"",E4438&lt;&gt;"!!!"),"NEW","")))</f>
        <v> </v>
      </c>
      <c r="G4438" s="23" t="str">
        <f>IF(OR(E4438="",E4438="!!!"),"",IF(OR(J4438=0,AND(J4438=1,K4438=1),AND(J4438=1,I4438="SBJ"),AND(J4438=1,I4438=0)),"?IN_FOCUS",IF(J4438&lt;=2,"?ACTIVATED",IF(J4438&lt;&gt;"","?FAMILIAR",IF(F4438="NEW",IF(ISNA(VLOOKUP(E4438,#REF!,1,FALSE())),"?TYPE_IDENTIFIABLE","?REFERENTIAL"),"_")))))</f>
        <v> </v>
      </c>
      <c r="H4438" s="24" t="str">
        <f>IF(J4438&lt;&gt;1,"",IF(I4438="SBJ","CB","?"))</f>
        <v> </v>
      </c>
      <c r="I4438" s="25" t="str">
        <f>IF(OR(E4438="",E4438="!!!",F4438="NEW"),"",INDEX(B4437:B$2,-1+SUMPRODUCT(MAX(ROW(E4437:E$2)*(E4438=E4437:E$2)))))</f>
        <v> </v>
      </c>
      <c r="J4438" s="25" t="str">
        <f>IF(OR(E4438="",E4438="!!!",F4438="NEW"),"",COUNTBLANK(OFFSET(A$1,,,SUMPRODUCT(MAX(ROW(E$2:E4438)*(E4438=E$2:E4438)))))-COUNTBLANK(OFFSET(A$1,,,SUMPRODUCT(MAX(ROW(E$1:E4437)*(E2=E$1:E4437))))))</f>
        <v> </v>
      </c>
      <c r="K4438" s="25" t="str">
        <f>IF(OR(E4438="",E4438="!!!",F4438="NEW"),"",INDEX(J$1:J4437,SUMPRODUCT(MAX(ROW(E$1:E4437)*(E4438=E$1:E4437)))))</f>
        <v> </v>
      </c>
      <c r="L4438" s="26"/>
    </row>
    <row r="4439" spans="1:12">
      <c r="A4439" s="20" t="s">
        <v>757</v>
      </c>
      <c r="E4439" s="21">
        <f>IF(D4439="?OLD","!!!","")</f>
        <v/>
      </c>
      <c r="F4439" s="22" t="str">
        <f>IF(OR(E4439="",E4439="!!!"),"",IF(NOT(ISNA(VLOOKUP(E4439,E$1:E4438,1,FALSE()))),"OLD",IF(AND(E4439&lt;&gt;"",E4439&lt;&gt;"!!!"),"NEW","")))</f>
        <v> </v>
      </c>
      <c r="G4439" s="23" t="str">
        <f>IF(OR(E4439="",E4439="!!!"),"",IF(OR(J4439=0,AND(J4439=1,K4439=1),AND(J4439=1,I4439="SBJ"),AND(J4439=1,I4439=0)),"?IN_FOCUS",IF(J4439&lt;=2,"?ACTIVATED",IF(J4439&lt;&gt;"","?FAMILIAR",IF(F4439="NEW",IF(ISNA(VLOOKUP(E4439,#REF!,1,FALSE())),"?TYPE_IDENTIFIABLE","?REFERENTIAL"),"_")))))</f>
        <v> </v>
      </c>
      <c r="H4439" s="24" t="str">
        <f>IF(J4439&lt;&gt;1,"",IF(I4439="SBJ","CB","?"))</f>
        <v> </v>
      </c>
      <c r="I4439" s="25" t="str">
        <f>IF(OR(E4439="",E4439="!!!",F4439="NEW"),"",INDEX(B4438:B$2,-1+SUMPRODUCT(MAX(ROW(E4438:E$2)*(E4439=E4438:E$2)))))</f>
        <v> </v>
      </c>
      <c r="J4439" s="25" t="str">
        <f>IF(OR(E4439="",E4439="!!!",F4439="NEW"),"",COUNTBLANK(OFFSET(A$1,,,SUMPRODUCT(MAX(ROW(E$2:E4439)*(E4439=E$2:E4439)))))-COUNTBLANK(OFFSET(A$1,,,SUMPRODUCT(MAX(ROW(E$1:E4438)*(E2=E$1:E4438))))))</f>
        <v> </v>
      </c>
      <c r="K4439" s="25" t="str">
        <f>IF(OR(E4439="",E4439="!!!",F4439="NEW"),"",INDEX(J$1:J4438,SUMPRODUCT(MAX(ROW(E$1:E4438)*(E4439=E$1:E4438)))))</f>
        <v> </v>
      </c>
      <c r="L4439" s="26"/>
    </row>
    <row r="4440" spans="1:12">
      <c r="A4440" s="20" t="s">
        <v>1969</v>
      </c>
      <c r="E4440" s="21">
        <f>IF(D4440="?OLD","!!!","")</f>
        <v/>
      </c>
      <c r="F4440" s="22" t="str">
        <f>IF(OR(E4440="",E4440="!!!"),"",IF(NOT(ISNA(VLOOKUP(E4440,E$1:E4439,1,FALSE()))),"OLD",IF(AND(E4440&lt;&gt;"",E4440&lt;&gt;"!!!"),"NEW","")))</f>
        <v> </v>
      </c>
      <c r="G4440" s="23" t="str">
        <f>IF(OR(E4440="",E4440="!!!"),"",IF(OR(J4440=0,AND(J4440=1,K4440=1),AND(J4440=1,I4440="SBJ"),AND(J4440=1,I4440=0)),"?IN_FOCUS",IF(J4440&lt;=2,"?ACTIVATED",IF(J4440&lt;&gt;"","?FAMILIAR",IF(F4440="NEW",IF(ISNA(VLOOKUP(E4440,#REF!,1,FALSE())),"?TYPE_IDENTIFIABLE","?REFERENTIAL"),"_")))))</f>
        <v> </v>
      </c>
      <c r="H4440" s="24" t="str">
        <f>IF(J4440&lt;&gt;1,"",IF(I4440="SBJ","CB","?"))</f>
        <v> </v>
      </c>
      <c r="I4440" s="25" t="str">
        <f>IF(OR(E4440="",E4440="!!!",F4440="NEW"),"",INDEX(B4439:B$2,-1+SUMPRODUCT(MAX(ROW(E4439:E$2)*(E4440=E4439:E$2)))))</f>
        <v> </v>
      </c>
      <c r="J4440" s="25" t="str">
        <f>IF(OR(E4440="",E4440="!!!",F4440="NEW"),"",COUNTBLANK(OFFSET(A$1,,,SUMPRODUCT(MAX(ROW(E$2:E4440)*(E4440=E$2:E4440)))))-COUNTBLANK(OFFSET(A$1,,,SUMPRODUCT(MAX(ROW(E$1:E4439)*(E2=E$1:E4439))))))</f>
        <v> </v>
      </c>
      <c r="K4440" s="25" t="str">
        <f>IF(OR(E4440="",E4440="!!!",F4440="NEW"),"",INDEX(J$1:J4439,SUMPRODUCT(MAX(ROW(E$1:E4439)*(E4440=E$1:E4439)))))</f>
        <v> </v>
      </c>
      <c r="L4440" s="26"/>
    </row>
    <row r="4441" spans="1:12">
      <c r="A4441" s="20" t="s">
        <v>769</v>
      </c>
      <c r="E4441" s="21">
        <f>IF(D4441="?OLD","!!!","")</f>
        <v/>
      </c>
      <c r="F4441" s="22" t="str">
        <f>IF(OR(E4441="",E4441="!!!"),"",IF(NOT(ISNA(VLOOKUP(E4441,E$1:E4440,1,FALSE()))),"OLD",IF(AND(E4441&lt;&gt;"",E4441&lt;&gt;"!!!"),"NEW","")))</f>
        <v> </v>
      </c>
      <c r="G4441" s="23" t="str">
        <f>IF(OR(E4441="",E4441="!!!"),"",IF(OR(J4441=0,AND(J4441=1,K4441=1),AND(J4441=1,I4441="SBJ"),AND(J4441=1,I4441=0)),"?IN_FOCUS",IF(J4441&lt;=2,"?ACTIVATED",IF(J4441&lt;&gt;"","?FAMILIAR",IF(F4441="NEW",IF(ISNA(VLOOKUP(E4441,#REF!,1,FALSE())),"?TYPE_IDENTIFIABLE","?REFERENTIAL"),"_")))))</f>
        <v> </v>
      </c>
      <c r="H4441" s="24" t="str">
        <f>IF(J4441&lt;&gt;1,"",IF(I4441="SBJ","CB","?"))</f>
        <v> </v>
      </c>
      <c r="I4441" s="25" t="str">
        <f>IF(OR(E4441="",E4441="!!!",F4441="NEW"),"",INDEX(B4440:B$2,-1+SUMPRODUCT(MAX(ROW(E4440:E$2)*(E4441=E4440:E$2)))))</f>
        <v> </v>
      </c>
      <c r="J4441" s="25" t="str">
        <f>IF(OR(E4441="",E4441="!!!",F4441="NEW"),"",COUNTBLANK(OFFSET(A$1,,,SUMPRODUCT(MAX(ROW(E$2:E4441)*(E4441=E$2:E4441)))))-COUNTBLANK(OFFSET(A$1,,,SUMPRODUCT(MAX(ROW(E$1:E4440)*(E2=E$1:E4440))))))</f>
        <v> </v>
      </c>
      <c r="K4441" s="25" t="str">
        <f>IF(OR(E4441="",E4441="!!!",F4441="NEW"),"",INDEX(J$1:J4440,SUMPRODUCT(MAX(ROW(E$1:E4440)*(E4441=E$1:E4440)))))</f>
        <v> </v>
      </c>
      <c r="L4441" s="26"/>
    </row>
    <row r="4442" spans="1:12">
      <c r="A4442" s="20" t="s">
        <v>838</v>
      </c>
      <c r="E4442" s="21">
        <f>IF(D4442="?OLD","!!!","")</f>
        <v/>
      </c>
      <c r="F4442" s="22" t="str">
        <f>IF(OR(E4442="",E4442="!!!"),"",IF(NOT(ISNA(VLOOKUP(E4442,E$1:E4441,1,FALSE()))),"OLD",IF(AND(E4442&lt;&gt;"",E4442&lt;&gt;"!!!"),"NEW","")))</f>
        <v> </v>
      </c>
      <c r="G4442" s="23" t="str">
        <f>IF(OR(E4442="",E4442="!!!"),"",IF(OR(J4442=0,AND(J4442=1,K4442=1),AND(J4442=1,I4442="SBJ"),AND(J4442=1,I4442=0)),"?IN_FOCUS",IF(J4442&lt;=2,"?ACTIVATED",IF(J4442&lt;&gt;"","?FAMILIAR",IF(F4442="NEW",IF(ISNA(VLOOKUP(E4442,#REF!,1,FALSE())),"?TYPE_IDENTIFIABLE","?REFERENTIAL"),"_")))))</f>
        <v> </v>
      </c>
      <c r="H4442" s="24" t="str">
        <f>IF(J4442&lt;&gt;1,"",IF(I4442="SBJ","CB","?"))</f>
        <v> </v>
      </c>
      <c r="I4442" s="25" t="str">
        <f>IF(OR(E4442="",E4442="!!!",F4442="NEW"),"",INDEX(B4441:B$2,-1+SUMPRODUCT(MAX(ROW(E4441:E$2)*(E4442=E4441:E$2)))))</f>
        <v> </v>
      </c>
      <c r="J4442" s="25" t="str">
        <f>IF(OR(E4442="",E4442="!!!",F4442="NEW"),"",COUNTBLANK(OFFSET(A$1,,,SUMPRODUCT(MAX(ROW(E$2:E4442)*(E4442=E$2:E4442)))))-COUNTBLANK(OFFSET(A$1,,,SUMPRODUCT(MAX(ROW(E$1:E4441)*(E2=E$1:E4441))))))</f>
        <v> </v>
      </c>
      <c r="K4442" s="25" t="str">
        <f>IF(OR(E4442="",E4442="!!!",F4442="NEW"),"",INDEX(J$1:J4441,SUMPRODUCT(MAX(ROW(E$1:E4441)*(E4442=E$1:E4441)))))</f>
        <v> </v>
      </c>
      <c r="L4442" s="26"/>
    </row>
    <row r="4443" spans="1:12">
      <c r="A4443" s="20" t="s">
        <v>1967</v>
      </c>
      <c r="B4443" s="27" t="s">
        <v>772</v>
      </c>
      <c r="C4443" s="27" t="s">
        <v>761</v>
      </c>
      <c r="D4443" s="27" t="s">
        <v>762</v>
      </c>
      <c r="E4443" s="21">
        <f>IF(D4443="?OLD","!!!","")</f>
        <v/>
      </c>
      <c r="F4443" s="22" t="str">
        <f>IF(OR(E4443="",E4443="!!!"),"",IF(NOT(ISNA(VLOOKUP(E4443,E$1:E4442,1,FALSE()))),"OLD",IF(AND(E4443&lt;&gt;"",E4443&lt;&gt;"!!!"),"NEW","")))</f>
        <v> </v>
      </c>
      <c r="G4443" s="23" t="str">
        <f>IF(OR(E4443="",E4443="!!!"),"",IF(OR(J4443=0,AND(J4443=1,K4443=1),AND(J4443=1,I4443="SBJ"),AND(J4443=1,I4443=0)),"?IN_FOCUS",IF(J4443&lt;=2,"?ACTIVATED",IF(J4443&lt;&gt;"","?FAMILIAR",IF(F4443="NEW",IF(ISNA(VLOOKUP(E4443,#REF!,1,FALSE())),"?TYPE_IDENTIFIABLE","?REFERENTIAL"),"_")))))</f>
        <v> </v>
      </c>
      <c r="H4443" s="24" t="str">
        <f>IF(J4443&lt;&gt;1,"",IF(I4443="SBJ","CB","?"))</f>
        <v> </v>
      </c>
      <c r="I4443" s="25" t="str">
        <f>IF(OR(E4443="",E4443="!!!",F4443="NEW"),"",INDEX(B4442:B$2,-1+SUMPRODUCT(MAX(ROW(E4442:E$2)*(E4443=E4442:E$2)))))</f>
        <v> </v>
      </c>
      <c r="J4443" s="25" t="str">
        <f>IF(OR(E4443="",E4443="!!!",F4443="NEW"),"",COUNTBLANK(OFFSET(A$1,,,SUMPRODUCT(MAX(ROW(E$2:E4443)*(E4443=E$2:E4443)))))-COUNTBLANK(OFFSET(A$1,,,SUMPRODUCT(MAX(ROW(E$1:E4442)*(E2=E$1:E4442))))))</f>
        <v> </v>
      </c>
      <c r="K4443" s="25" t="str">
        <f>IF(OR(E4443="",E4443="!!!",F4443="NEW"),"",INDEX(J$1:J4442,SUMPRODUCT(MAX(ROW(E$1:E4442)*(E4443=E$1:E4442)))))</f>
        <v> </v>
      </c>
      <c r="L4443" s="26"/>
    </row>
    <row r="4444" spans="1:12">
      <c r="A4444" s="20" t="s">
        <v>1970</v>
      </c>
      <c r="E4444" s="21">
        <f>IF(D4444="?OLD","!!!","")</f>
        <v/>
      </c>
      <c r="F4444" s="22" t="str">
        <f>IF(OR(E4444="",E4444="!!!"),"",IF(NOT(ISNA(VLOOKUP(E4444,E$1:E4443,1,FALSE()))),"OLD",IF(AND(E4444&lt;&gt;"",E4444&lt;&gt;"!!!"),"NEW","")))</f>
        <v> </v>
      </c>
      <c r="G4444" s="23" t="str">
        <f>IF(OR(E4444="",E4444="!!!"),"",IF(OR(J4444=0,AND(J4444=1,K4444=1),AND(J4444=1,I4444="SBJ"),AND(J4444=1,I4444=0)),"?IN_FOCUS",IF(J4444&lt;=2,"?ACTIVATED",IF(J4444&lt;&gt;"","?FAMILIAR",IF(F4444="NEW",IF(ISNA(VLOOKUP(E4444,#REF!,1,FALSE())),"?TYPE_IDENTIFIABLE","?REFERENTIAL"),"_")))))</f>
        <v> </v>
      </c>
      <c r="H4444" s="24" t="str">
        <f>IF(J4444&lt;&gt;1,"",IF(I4444="SBJ","CB","?"))</f>
        <v> </v>
      </c>
      <c r="I4444" s="25" t="str">
        <f>IF(OR(E4444="",E4444="!!!",F4444="NEW"),"",INDEX(B4443:B$2,-1+SUMPRODUCT(MAX(ROW(E4443:E$2)*(E4444=E4443:E$2)))))</f>
        <v> </v>
      </c>
      <c r="J4444" s="25" t="str">
        <f>IF(OR(E4444="",E4444="!!!",F4444="NEW"),"",COUNTBLANK(OFFSET(A$1,,,SUMPRODUCT(MAX(ROW(E$2:E4444)*(E4444=E$2:E4444)))))-COUNTBLANK(OFFSET(A$1,,,SUMPRODUCT(MAX(ROW(E$1:E4443)*(E2=E$1:E4443))))))</f>
        <v> </v>
      </c>
      <c r="K4444" s="25" t="str">
        <f>IF(OR(E4444="",E4444="!!!",F4444="NEW"),"",INDEX(J$1:J4443,SUMPRODUCT(MAX(ROW(E$1:E4443)*(E4444=E$1:E4443)))))</f>
        <v> </v>
      </c>
      <c r="L4444" s="26"/>
    </row>
    <row r="4445" spans="1:12">
      <c r="A4445" s="20" t="s">
        <v>774</v>
      </c>
      <c r="E4445" s="21">
        <f>IF(D4445="?OLD","!!!","")</f>
        <v/>
      </c>
      <c r="F4445" s="22" t="str">
        <f>IF(OR(E4445="",E4445="!!!"),"",IF(NOT(ISNA(VLOOKUP(E4445,E$1:E4444,1,FALSE()))),"OLD",IF(AND(E4445&lt;&gt;"",E4445&lt;&gt;"!!!"),"NEW","")))</f>
        <v> </v>
      </c>
      <c r="G4445" s="23" t="str">
        <f>IF(OR(E4445="",E4445="!!!"),"",IF(OR(J4445=0,AND(J4445=1,K4445=1),AND(J4445=1,I4445="SBJ"),AND(J4445=1,I4445=0)),"?IN_FOCUS",IF(J4445&lt;=2,"?ACTIVATED",IF(J4445&lt;&gt;"","?FAMILIAR",IF(F4445="NEW",IF(ISNA(VLOOKUP(E4445,#REF!,1,FALSE())),"?TYPE_IDENTIFIABLE","?REFERENTIAL"),"_")))))</f>
        <v> </v>
      </c>
      <c r="H4445" s="24" t="str">
        <f>IF(J4445&lt;&gt;1,"",IF(I4445="SBJ","CB","?"))</f>
        <v> </v>
      </c>
      <c r="I4445" s="25" t="str">
        <f>IF(OR(E4445="",E4445="!!!",F4445="NEW"),"",INDEX(B4444:B$2,-1+SUMPRODUCT(MAX(ROW(E4444:E$2)*(E4445=E4444:E$2)))))</f>
        <v> </v>
      </c>
      <c r="J4445" s="25" t="str">
        <f>IF(OR(E4445="",E4445="!!!",F4445="NEW"),"",COUNTBLANK(OFFSET(A$1,,,SUMPRODUCT(MAX(ROW(E$2:E4445)*(E4445=E$2:E4445)))))-COUNTBLANK(OFFSET(A$1,,,SUMPRODUCT(MAX(ROW(E$1:E4444)*(E2=E$1:E4444))))))</f>
        <v> </v>
      </c>
      <c r="K4445" s="25" t="str">
        <f>IF(OR(E4445="",E4445="!!!",F4445="NEW"),"",INDEX(J$1:J4444,SUMPRODUCT(MAX(ROW(E$1:E4444)*(E4445=E$1:E4444)))))</f>
        <v> </v>
      </c>
      <c r="L4445" s="26"/>
    </row>
    <row r="4446" spans="1:12">
      <c r="A4446" s="20"/>
    </row>
    <row r="4447" spans="1:12">
      <c r="A4447" s="20" t="s">
        <v>1971</v>
      </c>
    </row>
    <row r="4448" spans="1:12">
      <c r="A4448" s="20" t="s">
        <v>983</v>
      </c>
      <c r="B4448" s="27" t="s">
        <v>760</v>
      </c>
      <c r="C4448" s="27" t="s">
        <v>797</v>
      </c>
      <c r="D4448" s="27" t="s">
        <v>762</v>
      </c>
      <c r="E4448" s="21">
        <f>IF(D4448="?OLD","!!!","")</f>
        <v/>
      </c>
      <c r="F4448" s="22" t="str">
        <f>IF(OR(E4448="",E4448="!!!"),"",IF(NOT(ISNA(VLOOKUP(E4448,E$1:E4447,1,FALSE()))),"OLD",IF(AND(E4448&lt;&gt;"",E4448&lt;&gt;"!!!"),"NEW","")))</f>
        <v> </v>
      </c>
      <c r="G4448" s="23" t="str">
        <f>IF(OR(E4448="",E4448="!!!"),"",IF(OR(J4448=0,AND(J4448=1,K4448=1),AND(J4448=1,I4448="SBJ"),AND(J4448=1,I4448=0)),"?IN_FOCUS",IF(J4448&lt;=2,"?ACTIVATED",IF(J4448&lt;&gt;"","?FAMILIAR",IF(F4448="NEW",IF(ISNA(VLOOKUP(E4448,#REF!,1,FALSE())),"?TYPE_IDENTIFIABLE","?REFERENTIAL"),"_")))))</f>
        <v> </v>
      </c>
      <c r="H4448" s="24" t="str">
        <f>IF(J4448&lt;&gt;1,"",IF(I4448="SBJ","CB","?"))</f>
        <v> </v>
      </c>
      <c r="I4448" s="25" t="str">
        <f>IF(OR(E4448="",E4448="!!!",F4448="NEW"),"",INDEX(B4447:B$2,-1+SUMPRODUCT(MAX(ROW(E4447:E$2)*(E4448=E4447:E$2)))))</f>
        <v> </v>
      </c>
      <c r="J4448" s="25" t="str">
        <f>IF(OR(E4448="",E4448="!!!",F4448="NEW"),"",COUNTBLANK(OFFSET(A$1,,,SUMPRODUCT(MAX(ROW(E$2:E4448)*(E4448=E$2:E4448)))))-COUNTBLANK(OFFSET(A$1,,,SUMPRODUCT(MAX(ROW(E$1:E4447)*(E2=E$1:E4447))))))</f>
        <v> </v>
      </c>
      <c r="K4448" s="25" t="str">
        <f>IF(OR(E4448="",E4448="!!!",F4448="NEW"),"",INDEX(J$1:J4447,SUMPRODUCT(MAX(ROW(E$1:E4447)*(E4448=E$1:E4447)))))</f>
        <v> </v>
      </c>
      <c r="L4448" s="26"/>
    </row>
    <row r="4449" spans="1:12">
      <c r="A4449" s="20" t="s">
        <v>1666</v>
      </c>
      <c r="E4449" s="21">
        <f>IF(D4449="?OLD","!!!","")</f>
        <v/>
      </c>
      <c r="F4449" s="22" t="str">
        <f>IF(OR(E4449="",E4449="!!!"),"",IF(NOT(ISNA(VLOOKUP(E4449,E$1:E4448,1,FALSE()))),"OLD",IF(AND(E4449&lt;&gt;"",E4449&lt;&gt;"!!!"),"NEW","")))</f>
        <v> </v>
      </c>
      <c r="G4449" s="23" t="str">
        <f>IF(OR(E4449="",E4449="!!!"),"",IF(OR(J4449=0,AND(J4449=1,K4449=1),AND(J4449=1,I4449="SBJ"),AND(J4449=1,I4449=0)),"?IN_FOCUS",IF(J4449&lt;=2,"?ACTIVATED",IF(J4449&lt;&gt;"","?FAMILIAR",IF(F4449="NEW",IF(ISNA(VLOOKUP(E4449,#REF!,1,FALSE())),"?TYPE_IDENTIFIABLE","?REFERENTIAL"),"_")))))</f>
        <v> </v>
      </c>
      <c r="H4449" s="24" t="str">
        <f>IF(J4449&lt;&gt;1,"",IF(I4449="SBJ","CB","?"))</f>
        <v> </v>
      </c>
      <c r="I4449" s="25" t="str">
        <f>IF(OR(E4449="",E4449="!!!",F4449="NEW"),"",INDEX(B4448:B$2,-1+SUMPRODUCT(MAX(ROW(E4448:E$2)*(E4449=E4448:E$2)))))</f>
        <v> </v>
      </c>
      <c r="J4449" s="25" t="str">
        <f>IF(OR(E4449="",E4449="!!!",F4449="NEW"),"",COUNTBLANK(OFFSET(A$1,,,SUMPRODUCT(MAX(ROW(E$2:E4449)*(E4449=E$2:E4449)))))-COUNTBLANK(OFFSET(A$1,,,SUMPRODUCT(MAX(ROW(E$1:E4448)*(E2=E$1:E4448))))))</f>
        <v> </v>
      </c>
      <c r="K4449" s="25" t="str">
        <f>IF(OR(E4449="",E4449="!!!",F4449="NEW"),"",INDEX(J$1:J4448,SUMPRODUCT(MAX(ROW(E$1:E4448)*(E4449=E$1:E4448)))))</f>
        <v> </v>
      </c>
      <c r="L4449" s="26"/>
    </row>
    <row r="4450" spans="1:12">
      <c r="A4450" s="20" t="s">
        <v>793</v>
      </c>
      <c r="E4450" s="21">
        <f>IF(D4450="?OLD","!!!","")</f>
        <v/>
      </c>
      <c r="F4450" s="22" t="str">
        <f>IF(OR(E4450="",E4450="!!!"),"",IF(NOT(ISNA(VLOOKUP(E4450,E$1:E4449,1,FALSE()))),"OLD",IF(AND(E4450&lt;&gt;"",E4450&lt;&gt;"!!!"),"NEW","")))</f>
        <v> </v>
      </c>
      <c r="G4450" s="23" t="str">
        <f>IF(OR(E4450="",E4450="!!!"),"",IF(OR(J4450=0,AND(J4450=1,K4450=1),AND(J4450=1,I4450="SBJ"),AND(J4450=1,I4450=0)),"?IN_FOCUS",IF(J4450&lt;=2,"?ACTIVATED",IF(J4450&lt;&gt;"","?FAMILIAR",IF(F4450="NEW",IF(ISNA(VLOOKUP(E4450,#REF!,1,FALSE())),"?TYPE_IDENTIFIABLE","?REFERENTIAL"),"_")))))</f>
        <v> </v>
      </c>
      <c r="H4450" s="24" t="str">
        <f>IF(J4450&lt;&gt;1,"",IF(I4450="SBJ","CB","?"))</f>
        <v> </v>
      </c>
      <c r="I4450" s="25" t="str">
        <f>IF(OR(E4450="",E4450="!!!",F4450="NEW"),"",INDEX(B4449:B$2,-1+SUMPRODUCT(MAX(ROW(E4449:E$2)*(E4450=E4449:E$2)))))</f>
        <v> </v>
      </c>
      <c r="J4450" s="25" t="str">
        <f>IF(OR(E4450="",E4450="!!!",F4450="NEW"),"",COUNTBLANK(OFFSET(A$1,,,SUMPRODUCT(MAX(ROW(E$2:E4450)*(E4450=E$2:E4450)))))-COUNTBLANK(OFFSET(A$1,,,SUMPRODUCT(MAX(ROW(E$1:E4449)*(E2=E$1:E4449))))))</f>
        <v> </v>
      </c>
      <c r="K4450" s="25" t="str">
        <f>IF(OR(E4450="",E4450="!!!",F4450="NEW"),"",INDEX(J$1:J4449,SUMPRODUCT(MAX(ROW(E$1:E4449)*(E4450=E$1:E4449)))))</f>
        <v> </v>
      </c>
      <c r="L4450" s="26"/>
    </row>
    <row r="4451" spans="1:12">
      <c r="A4451" s="20" t="s">
        <v>769</v>
      </c>
      <c r="E4451" s="21">
        <f>IF(D4451="?OLD","!!!","")</f>
        <v/>
      </c>
      <c r="F4451" s="22" t="str">
        <f>IF(OR(E4451="",E4451="!!!"),"",IF(NOT(ISNA(VLOOKUP(E4451,E$1:E4450,1,FALSE()))),"OLD",IF(AND(E4451&lt;&gt;"",E4451&lt;&gt;"!!!"),"NEW","")))</f>
        <v> </v>
      </c>
      <c r="G4451" s="23" t="str">
        <f>IF(OR(E4451="",E4451="!!!"),"",IF(OR(J4451=0,AND(J4451=1,K4451=1),AND(J4451=1,I4451="SBJ"),AND(J4451=1,I4451=0)),"?IN_FOCUS",IF(J4451&lt;=2,"?ACTIVATED",IF(J4451&lt;&gt;"","?FAMILIAR",IF(F4451="NEW",IF(ISNA(VLOOKUP(E4451,#REF!,1,FALSE())),"?TYPE_IDENTIFIABLE","?REFERENTIAL"),"_")))))</f>
        <v> </v>
      </c>
      <c r="H4451" s="24" t="str">
        <f>IF(J4451&lt;&gt;1,"",IF(I4451="SBJ","CB","?"))</f>
        <v> </v>
      </c>
      <c r="I4451" s="25" t="str">
        <f>IF(OR(E4451="",E4451="!!!",F4451="NEW"),"",INDEX(B4450:B$2,-1+SUMPRODUCT(MAX(ROW(E4450:E$2)*(E4451=E4450:E$2)))))</f>
        <v> </v>
      </c>
      <c r="J4451" s="25" t="str">
        <f>IF(OR(E4451="",E4451="!!!",F4451="NEW"),"",COUNTBLANK(OFFSET(A$1,,,SUMPRODUCT(MAX(ROW(E$2:E4451)*(E4451=E$2:E4451)))))-COUNTBLANK(OFFSET(A$1,,,SUMPRODUCT(MAX(ROW(E$1:E4450)*(E2=E$1:E4450))))))</f>
        <v> </v>
      </c>
      <c r="K4451" s="25" t="str">
        <f>IF(OR(E4451="",E4451="!!!",F4451="NEW"),"",INDEX(J$1:J4450,SUMPRODUCT(MAX(ROW(E$1:E4450)*(E4451=E$1:E4450)))))</f>
        <v> </v>
      </c>
      <c r="L4451" s="26"/>
    </row>
    <row r="4452" spans="1:12">
      <c r="A4452" s="20" t="s">
        <v>770</v>
      </c>
      <c r="E4452" s="21">
        <f>IF(D4452="?OLD","!!!","")</f>
        <v/>
      </c>
      <c r="F4452" s="22" t="str">
        <f>IF(OR(E4452="",E4452="!!!"),"",IF(NOT(ISNA(VLOOKUP(E4452,E$1:E4451,1,FALSE()))),"OLD",IF(AND(E4452&lt;&gt;"",E4452&lt;&gt;"!!!"),"NEW","")))</f>
        <v> </v>
      </c>
      <c r="G4452" s="23" t="str">
        <f>IF(OR(E4452="",E4452="!!!"),"",IF(OR(J4452=0,AND(J4452=1,K4452=1),AND(J4452=1,I4452="SBJ"),AND(J4452=1,I4452=0)),"?IN_FOCUS",IF(J4452&lt;=2,"?ACTIVATED",IF(J4452&lt;&gt;"","?FAMILIAR",IF(F4452="NEW",IF(ISNA(VLOOKUP(E4452,#REF!,1,FALSE())),"?TYPE_IDENTIFIABLE","?REFERENTIAL"),"_")))))</f>
        <v> </v>
      </c>
      <c r="H4452" s="24" t="str">
        <f>IF(J4452&lt;&gt;1,"",IF(I4452="SBJ","CB","?"))</f>
        <v> </v>
      </c>
      <c r="I4452" s="25" t="str">
        <f>IF(OR(E4452="",E4452="!!!",F4452="NEW"),"",INDEX(B4451:B$2,-1+SUMPRODUCT(MAX(ROW(E4451:E$2)*(E4452=E4451:E$2)))))</f>
        <v> </v>
      </c>
      <c r="J4452" s="25" t="str">
        <f>IF(OR(E4452="",E4452="!!!",F4452="NEW"),"",COUNTBLANK(OFFSET(A$1,,,SUMPRODUCT(MAX(ROW(E$2:E4452)*(E4452=E$2:E4452)))))-COUNTBLANK(OFFSET(A$1,,,SUMPRODUCT(MAX(ROW(E$1:E4451)*(E2=E$1:E4451))))))</f>
        <v> </v>
      </c>
      <c r="K4452" s="25" t="str">
        <f>IF(OR(E4452="",E4452="!!!",F4452="NEW"),"",INDEX(J$1:J4451,SUMPRODUCT(MAX(ROW(E$1:E4451)*(E4452=E$1:E4451)))))</f>
        <v> </v>
      </c>
      <c r="L4452" s="26"/>
    </row>
    <row r="4453" spans="1:12">
      <c r="A4453" s="20" t="s">
        <v>1043</v>
      </c>
      <c r="E4453" s="21">
        <f>IF(D4453="?OLD","!!!","")</f>
        <v/>
      </c>
      <c r="F4453" s="22" t="str">
        <f>IF(OR(E4453="",E4453="!!!"),"",IF(NOT(ISNA(VLOOKUP(E4453,E$1:E4452,1,FALSE()))),"OLD",IF(AND(E4453&lt;&gt;"",E4453&lt;&gt;"!!!"),"NEW","")))</f>
        <v> </v>
      </c>
      <c r="G4453" s="23" t="str">
        <f>IF(OR(E4453="",E4453="!!!"),"",IF(OR(J4453=0,AND(J4453=1,K4453=1),AND(J4453=1,I4453="SBJ"),AND(J4453=1,I4453=0)),"?IN_FOCUS",IF(J4453&lt;=2,"?ACTIVATED",IF(J4453&lt;&gt;"","?FAMILIAR",IF(F4453="NEW",IF(ISNA(VLOOKUP(E4453,#REF!,1,FALSE())),"?TYPE_IDENTIFIABLE","?REFERENTIAL"),"_")))))</f>
        <v> </v>
      </c>
      <c r="H4453" s="24" t="str">
        <f>IF(J4453&lt;&gt;1,"",IF(I4453="SBJ","CB","?"))</f>
        <v> </v>
      </c>
      <c r="I4453" s="25" t="str">
        <f>IF(OR(E4453="",E4453="!!!",F4453="NEW"),"",INDEX(B4452:B$2,-1+SUMPRODUCT(MAX(ROW(E4452:E$2)*(E4453=E4452:E$2)))))</f>
        <v> </v>
      </c>
      <c r="J4453" s="25" t="str">
        <f>IF(OR(E4453="",E4453="!!!",F4453="NEW"),"",COUNTBLANK(OFFSET(A$1,,,SUMPRODUCT(MAX(ROW(E$2:E4453)*(E4453=E$2:E4453)))))-COUNTBLANK(OFFSET(A$1,,,SUMPRODUCT(MAX(ROW(E$1:E4452)*(E2=E$1:E4452))))))</f>
        <v> </v>
      </c>
      <c r="K4453" s="25" t="str">
        <f>IF(OR(E4453="",E4453="!!!",F4453="NEW"),"",INDEX(J$1:J4452,SUMPRODUCT(MAX(ROW(E$1:E4452)*(E4453=E$1:E4452)))))</f>
        <v> </v>
      </c>
      <c r="L4453" s="26"/>
    </row>
    <row r="4454" spans="1:12">
      <c r="A4454" s="20" t="s">
        <v>1856</v>
      </c>
      <c r="B4454" s="27" t="s">
        <v>772</v>
      </c>
      <c r="C4454" s="27" t="s">
        <v>761</v>
      </c>
      <c r="D4454" s="27" t="s">
        <v>762</v>
      </c>
      <c r="E4454" s="21">
        <f>IF(D4454="?OLD","!!!","")</f>
        <v/>
      </c>
      <c r="F4454" s="22" t="str">
        <f>IF(OR(E4454="",E4454="!!!"),"",IF(NOT(ISNA(VLOOKUP(E4454,E$1:E4453,1,FALSE()))),"OLD",IF(AND(E4454&lt;&gt;"",E4454&lt;&gt;"!!!"),"NEW","")))</f>
        <v> </v>
      </c>
      <c r="G4454" s="23" t="str">
        <f>IF(OR(E4454="",E4454="!!!"),"",IF(OR(J4454=0,AND(J4454=1,K4454=1),AND(J4454=1,I4454="SBJ"),AND(J4454=1,I4454=0)),"?IN_FOCUS",IF(J4454&lt;=2,"?ACTIVATED",IF(J4454&lt;&gt;"","?FAMILIAR",IF(F4454="NEW",IF(ISNA(VLOOKUP(E4454,#REF!,1,FALSE())),"?TYPE_IDENTIFIABLE","?REFERENTIAL"),"_")))))</f>
        <v> </v>
      </c>
      <c r="H4454" s="24" t="str">
        <f>IF(J4454&lt;&gt;1,"",IF(I4454="SBJ","CB","?"))</f>
        <v> </v>
      </c>
      <c r="I4454" s="25" t="str">
        <f>IF(OR(E4454="",E4454="!!!",F4454="NEW"),"",INDEX(B4453:B$2,-1+SUMPRODUCT(MAX(ROW(E4453:E$2)*(E4454=E4453:E$2)))))</f>
        <v> </v>
      </c>
      <c r="J4454" s="25" t="str">
        <f>IF(OR(E4454="",E4454="!!!",F4454="NEW"),"",COUNTBLANK(OFFSET(A$1,,,SUMPRODUCT(MAX(ROW(E$2:E4454)*(E4454=E$2:E4454)))))-COUNTBLANK(OFFSET(A$1,,,SUMPRODUCT(MAX(ROW(E$1:E4453)*(E2=E$1:E4453))))))</f>
        <v> </v>
      </c>
      <c r="K4454" s="25" t="str">
        <f>IF(OR(E4454="",E4454="!!!",F4454="NEW"),"",INDEX(J$1:J4453,SUMPRODUCT(MAX(ROW(E$1:E4453)*(E4454=E$1:E4453)))))</f>
        <v> </v>
      </c>
      <c r="L4454" s="26"/>
    </row>
    <row r="4455" spans="1:12">
      <c r="A4455" s="20" t="s">
        <v>1286</v>
      </c>
      <c r="E4455" s="21">
        <f>IF(D4455="?OLD","!!!","")</f>
        <v/>
      </c>
      <c r="F4455" s="22" t="str">
        <f>IF(OR(E4455="",E4455="!!!"),"",IF(NOT(ISNA(VLOOKUP(E4455,E$1:E4454,1,FALSE()))),"OLD",IF(AND(E4455&lt;&gt;"",E4455&lt;&gt;"!!!"),"NEW","")))</f>
        <v> </v>
      </c>
      <c r="G4455" s="23" t="str">
        <f>IF(OR(E4455="",E4455="!!!"),"",IF(OR(J4455=0,AND(J4455=1,K4455=1),AND(J4455=1,I4455="SBJ"),AND(J4455=1,I4455=0)),"?IN_FOCUS",IF(J4455&lt;=2,"?ACTIVATED",IF(J4455&lt;&gt;"","?FAMILIAR",IF(F4455="NEW",IF(ISNA(VLOOKUP(E4455,#REF!,1,FALSE())),"?TYPE_IDENTIFIABLE","?REFERENTIAL"),"_")))))</f>
        <v> </v>
      </c>
      <c r="H4455" s="24" t="str">
        <f>IF(J4455&lt;&gt;1,"",IF(I4455="SBJ","CB","?"))</f>
        <v> </v>
      </c>
      <c r="I4455" s="25" t="str">
        <f>IF(OR(E4455="",E4455="!!!",F4455="NEW"),"",INDEX(B4454:B$2,-1+SUMPRODUCT(MAX(ROW(E4454:E$2)*(E4455=E4454:E$2)))))</f>
        <v> </v>
      </c>
      <c r="J4455" s="25" t="str">
        <f>IF(OR(E4455="",E4455="!!!",F4455="NEW"),"",COUNTBLANK(OFFSET(A$1,,,SUMPRODUCT(MAX(ROW(E$2:E4455)*(E4455=E$2:E4455)))))-COUNTBLANK(OFFSET(A$1,,,SUMPRODUCT(MAX(ROW(E$1:E4454)*(E2=E$1:E4454))))))</f>
        <v> </v>
      </c>
      <c r="K4455" s="25" t="str">
        <f>IF(OR(E4455="",E4455="!!!",F4455="NEW"),"",INDEX(J$1:J4454,SUMPRODUCT(MAX(ROW(E$1:E4454)*(E4455=E$1:E4454)))))</f>
        <v> </v>
      </c>
      <c r="L4455" s="26"/>
    </row>
    <row r="4456" spans="1:12">
      <c r="A4456" s="20" t="s">
        <v>890</v>
      </c>
      <c r="B4456" s="27" t="s">
        <v>941</v>
      </c>
      <c r="C4456" s="27" t="s">
        <v>820</v>
      </c>
      <c r="D4456" s="27" t="s">
        <v>762</v>
      </c>
      <c r="E4456" s="21">
        <f>IF(D4456="?OLD","!!!","")</f>
        <v/>
      </c>
      <c r="F4456" s="22" t="str">
        <f>IF(OR(E4456="",E4456="!!!"),"",IF(NOT(ISNA(VLOOKUP(E4456,E$1:E4455,1,FALSE()))),"OLD",IF(AND(E4456&lt;&gt;"",E4456&lt;&gt;"!!!"),"NEW","")))</f>
        <v> </v>
      </c>
      <c r="G4456" s="23" t="str">
        <f>IF(OR(E4456="",E4456="!!!"),"",IF(OR(J4456=0,AND(J4456=1,K4456=1),AND(J4456=1,I4456="SBJ"),AND(J4456=1,I4456=0)),"?IN_FOCUS",IF(J4456&lt;=2,"?ACTIVATED",IF(J4456&lt;&gt;"","?FAMILIAR",IF(F4456="NEW",IF(ISNA(VLOOKUP(E4456,#REF!,1,FALSE())),"?TYPE_IDENTIFIABLE","?REFERENTIAL"),"_")))))</f>
        <v> </v>
      </c>
      <c r="H4456" s="24" t="str">
        <f>IF(J4456&lt;&gt;1,"",IF(I4456="SBJ","CB","?"))</f>
        <v> </v>
      </c>
      <c r="I4456" s="25" t="str">
        <f>IF(OR(E4456="",E4456="!!!",F4456="NEW"),"",INDEX(B4455:B$2,-1+SUMPRODUCT(MAX(ROW(E4455:E$2)*(E4456=E4455:E$2)))))</f>
        <v> </v>
      </c>
      <c r="J4456" s="25" t="str">
        <f>IF(OR(E4456="",E4456="!!!",F4456="NEW"),"",COUNTBLANK(OFFSET(A$1,,,SUMPRODUCT(MAX(ROW(E$2:E4456)*(E4456=E$2:E4456)))))-COUNTBLANK(OFFSET(A$1,,,SUMPRODUCT(MAX(ROW(E$1:E4455)*(E2=E$1:E4455))))))</f>
        <v> </v>
      </c>
      <c r="K4456" s="25" t="str">
        <f>IF(OR(E4456="",E4456="!!!",F4456="NEW"),"",INDEX(J$1:J4455,SUMPRODUCT(MAX(ROW(E$1:E4455)*(E4456=E$1:E4455)))))</f>
        <v> </v>
      </c>
      <c r="L4456" s="26"/>
    </row>
    <row r="4457" spans="1:12">
      <c r="A4457" s="20" t="s">
        <v>887</v>
      </c>
      <c r="E4457" s="21">
        <f>IF(D4457="?OLD","!!!","")</f>
        <v/>
      </c>
      <c r="F4457" s="22" t="str">
        <f>IF(OR(E4457="",E4457="!!!"),"",IF(NOT(ISNA(VLOOKUP(E4457,E$1:E4456,1,FALSE()))),"OLD",IF(AND(E4457&lt;&gt;"",E4457&lt;&gt;"!!!"),"NEW","")))</f>
        <v> </v>
      </c>
      <c r="G4457" s="23" t="str">
        <f>IF(OR(E4457="",E4457="!!!"),"",IF(OR(J4457=0,AND(J4457=1,K4457=1),AND(J4457=1,I4457="SBJ"),AND(J4457=1,I4457=0)),"?IN_FOCUS",IF(J4457&lt;=2,"?ACTIVATED",IF(J4457&lt;&gt;"","?FAMILIAR",IF(F4457="NEW",IF(ISNA(VLOOKUP(E4457,#REF!,1,FALSE())),"?TYPE_IDENTIFIABLE","?REFERENTIAL"),"_")))))</f>
        <v> </v>
      </c>
      <c r="H4457" s="24" t="str">
        <f>IF(J4457&lt;&gt;1,"",IF(I4457="SBJ","CB","?"))</f>
        <v> </v>
      </c>
      <c r="I4457" s="25" t="str">
        <f>IF(OR(E4457="",E4457="!!!",F4457="NEW"),"",INDEX(B4456:B$2,-1+SUMPRODUCT(MAX(ROW(E4456:E$2)*(E4457=E4456:E$2)))))</f>
        <v> </v>
      </c>
      <c r="J4457" s="25" t="str">
        <f>IF(OR(E4457="",E4457="!!!",F4457="NEW"),"",COUNTBLANK(OFFSET(A$1,,,SUMPRODUCT(MAX(ROW(E$2:E4457)*(E4457=E$2:E4457)))))-COUNTBLANK(OFFSET(A$1,,,SUMPRODUCT(MAX(ROW(E$1:E4456)*(E2=E$1:E4456))))))</f>
        <v> </v>
      </c>
      <c r="K4457" s="25" t="str">
        <f>IF(OR(E4457="",E4457="!!!",F4457="NEW"),"",INDEX(J$1:J4456,SUMPRODUCT(MAX(ROW(E$1:E4456)*(E4457=E$1:E4456)))))</f>
        <v> </v>
      </c>
      <c r="L4457" s="26"/>
    </row>
    <row r="4458" spans="1:12">
      <c r="A4458" s="20" t="s">
        <v>1972</v>
      </c>
      <c r="B4458" s="27" t="s">
        <v>940</v>
      </c>
      <c r="C4458" s="27" t="s">
        <v>754</v>
      </c>
      <c r="E4458" s="21">
        <f>IF(D4458="?OLD","!!!","")</f>
        <v/>
      </c>
      <c r="F4458" s="22" t="str">
        <f>IF(OR(E4458="",E4458="!!!"),"",IF(NOT(ISNA(VLOOKUP(E4458,E$1:E4457,1,FALSE()))),"OLD",IF(AND(E4458&lt;&gt;"",E4458&lt;&gt;"!!!"),"NEW","")))</f>
        <v> </v>
      </c>
      <c r="G4458" s="23" t="str">
        <f>IF(OR(E4458="",E4458="!!!"),"",IF(OR(J4458=0,AND(J4458=1,K4458=1),AND(J4458=1,I4458="SBJ"),AND(J4458=1,I4458=0)),"?IN_FOCUS",IF(J4458&lt;=2,"?ACTIVATED",IF(J4458&lt;&gt;"","?FAMILIAR",IF(F4458="NEW",IF(ISNA(VLOOKUP(E4458,#REF!,1,FALSE())),"?TYPE_IDENTIFIABLE","?REFERENTIAL"),"_")))))</f>
        <v> </v>
      </c>
      <c r="H4458" s="24" t="str">
        <f>IF(J4458&lt;&gt;1,"",IF(I4458="SBJ","CB","?"))</f>
        <v> </v>
      </c>
      <c r="I4458" s="25" t="str">
        <f>IF(OR(E4458="",E4458="!!!",F4458="NEW"),"",INDEX(B4457:B$2,-1+SUMPRODUCT(MAX(ROW(E4457:E$2)*(E4458=E4457:E$2)))))</f>
        <v> </v>
      </c>
      <c r="J4458" s="25" t="str">
        <f>IF(OR(E4458="",E4458="!!!",F4458="NEW"),"",COUNTBLANK(OFFSET(A$1,,,SUMPRODUCT(MAX(ROW(E$2:E4458)*(E4458=E$2:E4458)))))-COUNTBLANK(OFFSET(A$1,,,SUMPRODUCT(MAX(ROW(E$1:E4457)*(E2=E$1:E4457))))))</f>
        <v> </v>
      </c>
      <c r="K4458" s="25" t="str">
        <f>IF(OR(E4458="",E4458="!!!",F4458="NEW"),"",INDEX(J$1:J4457,SUMPRODUCT(MAX(ROW(E$1:E4457)*(E4458=E$1:E4457)))))</f>
        <v> </v>
      </c>
      <c r="L4458" s="26"/>
    </row>
    <row r="4459" spans="1:12">
      <c r="A4459" s="20" t="s">
        <v>769</v>
      </c>
      <c r="E4459" s="21">
        <f>IF(D4459="?OLD","!!!","")</f>
        <v/>
      </c>
      <c r="F4459" s="22" t="str">
        <f>IF(OR(E4459="",E4459="!!!"),"",IF(NOT(ISNA(VLOOKUP(E4459,E$1:E4458,1,FALSE()))),"OLD",IF(AND(E4459&lt;&gt;"",E4459&lt;&gt;"!!!"),"NEW","")))</f>
        <v> </v>
      </c>
      <c r="G4459" s="23" t="str">
        <f>IF(OR(E4459="",E4459="!!!"),"",IF(OR(J4459=0,AND(J4459=1,K4459=1),AND(J4459=1,I4459="SBJ"),AND(J4459=1,I4459=0)),"?IN_FOCUS",IF(J4459&lt;=2,"?ACTIVATED",IF(J4459&lt;&gt;"","?FAMILIAR",IF(F4459="NEW",IF(ISNA(VLOOKUP(E4459,#REF!,1,FALSE())),"?TYPE_IDENTIFIABLE","?REFERENTIAL"),"_")))))</f>
        <v> </v>
      </c>
      <c r="H4459" s="24" t="str">
        <f>IF(J4459&lt;&gt;1,"",IF(I4459="SBJ","CB","?"))</f>
        <v> </v>
      </c>
      <c r="I4459" s="25" t="str">
        <f>IF(OR(E4459="",E4459="!!!",F4459="NEW"),"",INDEX(B4458:B$2,-1+SUMPRODUCT(MAX(ROW(E4458:E$2)*(E4459=E4458:E$2)))))</f>
        <v> </v>
      </c>
      <c r="J4459" s="25" t="str">
        <f>IF(OR(E4459="",E4459="!!!",F4459="NEW"),"",COUNTBLANK(OFFSET(A$1,,,SUMPRODUCT(MAX(ROW(E$2:E4459)*(E4459=E$2:E4459)))))-COUNTBLANK(OFFSET(A$1,,,SUMPRODUCT(MAX(ROW(E$1:E4458)*(E2=E$1:E4458))))))</f>
        <v> </v>
      </c>
      <c r="K4459" s="25" t="str">
        <f>IF(OR(E4459="",E4459="!!!",F4459="NEW"),"",INDEX(J$1:J4458,SUMPRODUCT(MAX(ROW(E$1:E4458)*(E4459=E$1:E4458)))))</f>
        <v> </v>
      </c>
      <c r="L4459" s="26"/>
    </row>
    <row r="4460" spans="1:12">
      <c r="A4460" s="20" t="s">
        <v>770</v>
      </c>
      <c r="E4460" s="21">
        <f>IF(D4460="?OLD","!!!","")</f>
        <v/>
      </c>
      <c r="F4460" s="22" t="str">
        <f>IF(OR(E4460="",E4460="!!!"),"",IF(NOT(ISNA(VLOOKUP(E4460,E$1:E4459,1,FALSE()))),"OLD",IF(AND(E4460&lt;&gt;"",E4460&lt;&gt;"!!!"),"NEW","")))</f>
        <v> </v>
      </c>
      <c r="G4460" s="23" t="str">
        <f>IF(OR(E4460="",E4460="!!!"),"",IF(OR(J4460=0,AND(J4460=1,K4460=1),AND(J4460=1,I4460="SBJ"),AND(J4460=1,I4460=0)),"?IN_FOCUS",IF(J4460&lt;=2,"?ACTIVATED",IF(J4460&lt;&gt;"","?FAMILIAR",IF(F4460="NEW",IF(ISNA(VLOOKUP(E4460,#REF!,1,FALSE())),"?TYPE_IDENTIFIABLE","?REFERENTIAL"),"_")))))</f>
        <v> </v>
      </c>
      <c r="H4460" s="24" t="str">
        <f>IF(J4460&lt;&gt;1,"",IF(I4460="SBJ","CB","?"))</f>
        <v> </v>
      </c>
      <c r="I4460" s="25" t="str">
        <f>IF(OR(E4460="",E4460="!!!",F4460="NEW"),"",INDEX(B4459:B$2,-1+SUMPRODUCT(MAX(ROW(E4459:E$2)*(E4460=E4459:E$2)))))</f>
        <v> </v>
      </c>
      <c r="J4460" s="25" t="str">
        <f>IF(OR(E4460="",E4460="!!!",F4460="NEW"),"",COUNTBLANK(OFFSET(A$1,,,SUMPRODUCT(MAX(ROW(E$2:E4460)*(E4460=E$2:E4460)))))-COUNTBLANK(OFFSET(A$1,,,SUMPRODUCT(MAX(ROW(E$1:E4459)*(E2=E$1:E4459))))))</f>
        <v> </v>
      </c>
      <c r="K4460" s="25" t="str">
        <f>IF(OR(E4460="",E4460="!!!",F4460="NEW"),"",INDEX(J$1:J4459,SUMPRODUCT(MAX(ROW(E$1:E4459)*(E4460=E$1:E4459)))))</f>
        <v> </v>
      </c>
      <c r="L4460" s="26"/>
    </row>
    <row r="4461" spans="1:12">
      <c r="A4461" s="20" t="s">
        <v>1973</v>
      </c>
      <c r="B4461" s="27" t="s">
        <v>815</v>
      </c>
      <c r="C4461" s="27" t="s">
        <v>761</v>
      </c>
      <c r="D4461" s="27" t="s">
        <v>762</v>
      </c>
      <c r="E4461" s="21">
        <f>IF(D4461="?OLD","!!!","")</f>
        <v/>
      </c>
      <c r="F4461" s="22" t="str">
        <f>IF(OR(E4461="",E4461="!!!"),"",IF(NOT(ISNA(VLOOKUP(E4461,E$1:E4460,1,FALSE()))),"OLD",IF(AND(E4461&lt;&gt;"",E4461&lt;&gt;"!!!"),"NEW","")))</f>
        <v> </v>
      </c>
      <c r="G4461" s="23" t="str">
        <f>IF(OR(E4461="",E4461="!!!"),"",IF(OR(J4461=0,AND(J4461=1,K4461=1),AND(J4461=1,I4461="SBJ"),AND(J4461=1,I4461=0)),"?IN_FOCUS",IF(J4461&lt;=2,"?ACTIVATED",IF(J4461&lt;&gt;"","?FAMILIAR",IF(F4461="NEW",IF(ISNA(VLOOKUP(E4461,#REF!,1,FALSE())),"?TYPE_IDENTIFIABLE","?REFERENTIAL"),"_")))))</f>
        <v> </v>
      </c>
      <c r="H4461" s="24" t="str">
        <f>IF(J4461&lt;&gt;1,"",IF(I4461="SBJ","CB","?"))</f>
        <v> </v>
      </c>
      <c r="I4461" s="25" t="str">
        <f>IF(OR(E4461="",E4461="!!!",F4461="NEW"),"",INDEX(B4460:B$2,-1+SUMPRODUCT(MAX(ROW(E4460:E$2)*(E4461=E4460:E$2)))))</f>
        <v> </v>
      </c>
      <c r="J4461" s="25" t="str">
        <f>IF(OR(E4461="",E4461="!!!",F4461="NEW"),"",COUNTBLANK(OFFSET(A$1,,,SUMPRODUCT(MAX(ROW(E$2:E4461)*(E4461=E$2:E4461)))))-COUNTBLANK(OFFSET(A$1,,,SUMPRODUCT(MAX(ROW(E$1:E4460)*(E2=E$1:E4460))))))</f>
        <v> </v>
      </c>
      <c r="K4461" s="25" t="str">
        <f>IF(OR(E4461="",E4461="!!!",F4461="NEW"),"",INDEX(J$1:J4460,SUMPRODUCT(MAX(ROW(E$1:E4460)*(E4461=E$1:E4460)))))</f>
        <v> </v>
      </c>
      <c r="L4461" s="26"/>
    </row>
    <row r="4462" spans="1:12">
      <c r="A4462" s="20" t="s">
        <v>769</v>
      </c>
      <c r="E4462" s="21">
        <f>IF(D4462="?OLD","!!!","")</f>
        <v/>
      </c>
      <c r="F4462" s="22" t="str">
        <f>IF(OR(E4462="",E4462="!!!"),"",IF(NOT(ISNA(VLOOKUP(E4462,E$1:E4461,1,FALSE()))),"OLD",IF(AND(E4462&lt;&gt;"",E4462&lt;&gt;"!!!"),"NEW","")))</f>
        <v> </v>
      </c>
      <c r="G4462" s="23" t="str">
        <f>IF(OR(E4462="",E4462="!!!"),"",IF(OR(J4462=0,AND(J4462=1,K4462=1),AND(J4462=1,I4462="SBJ"),AND(J4462=1,I4462=0)),"?IN_FOCUS",IF(J4462&lt;=2,"?ACTIVATED",IF(J4462&lt;&gt;"","?FAMILIAR",IF(F4462="NEW",IF(ISNA(VLOOKUP(E4462,#REF!,1,FALSE())),"?TYPE_IDENTIFIABLE","?REFERENTIAL"),"_")))))</f>
        <v> </v>
      </c>
      <c r="H4462" s="24" t="str">
        <f>IF(J4462&lt;&gt;1,"",IF(I4462="SBJ","CB","?"))</f>
        <v> </v>
      </c>
      <c r="I4462" s="25" t="str">
        <f>IF(OR(E4462="",E4462="!!!",F4462="NEW"),"",INDEX(B4461:B$2,-1+SUMPRODUCT(MAX(ROW(E4461:E$2)*(E4462=E4461:E$2)))))</f>
        <v> </v>
      </c>
      <c r="J4462" s="25" t="str">
        <f>IF(OR(E4462="",E4462="!!!",F4462="NEW"),"",COUNTBLANK(OFFSET(A$1,,,SUMPRODUCT(MAX(ROW(E$2:E4462)*(E4462=E$2:E4462)))))-COUNTBLANK(OFFSET(A$1,,,SUMPRODUCT(MAX(ROW(E$1:E4461)*(E2=E$1:E4461))))))</f>
        <v> </v>
      </c>
      <c r="K4462" s="25" t="str">
        <f>IF(OR(E4462="",E4462="!!!",F4462="NEW"),"",INDEX(J$1:J4461,SUMPRODUCT(MAX(ROW(E$1:E4461)*(E4462=E$1:E4461)))))</f>
        <v> </v>
      </c>
      <c r="L4462" s="26"/>
    </row>
    <row r="4463" spans="1:12">
      <c r="A4463" s="20" t="s">
        <v>838</v>
      </c>
      <c r="E4463" s="21">
        <f>IF(D4463="?OLD","!!!","")</f>
        <v/>
      </c>
      <c r="F4463" s="22" t="str">
        <f>IF(OR(E4463="",E4463="!!!"),"",IF(NOT(ISNA(VLOOKUP(E4463,E$1:E4462,1,FALSE()))),"OLD",IF(AND(E4463&lt;&gt;"",E4463&lt;&gt;"!!!"),"NEW","")))</f>
        <v> </v>
      </c>
      <c r="G4463" s="23" t="str">
        <f>IF(OR(E4463="",E4463="!!!"),"",IF(OR(J4463=0,AND(J4463=1,K4463=1),AND(J4463=1,I4463="SBJ"),AND(J4463=1,I4463=0)),"?IN_FOCUS",IF(J4463&lt;=2,"?ACTIVATED",IF(J4463&lt;&gt;"","?FAMILIAR",IF(F4463="NEW",IF(ISNA(VLOOKUP(E4463,#REF!,1,FALSE())),"?TYPE_IDENTIFIABLE","?REFERENTIAL"),"_")))))</f>
        <v> </v>
      </c>
      <c r="H4463" s="24" t="str">
        <f>IF(J4463&lt;&gt;1,"",IF(I4463="SBJ","CB","?"))</f>
        <v> </v>
      </c>
      <c r="I4463" s="25" t="str">
        <f>IF(OR(E4463="",E4463="!!!",F4463="NEW"),"",INDEX(B4462:B$2,-1+SUMPRODUCT(MAX(ROW(E4462:E$2)*(E4463=E4462:E$2)))))</f>
        <v> </v>
      </c>
      <c r="J4463" s="25" t="str">
        <f>IF(OR(E4463="",E4463="!!!",F4463="NEW"),"",COUNTBLANK(OFFSET(A$1,,,SUMPRODUCT(MAX(ROW(E$2:E4463)*(E4463=E$2:E4463)))))-COUNTBLANK(OFFSET(A$1,,,SUMPRODUCT(MAX(ROW(E$1:E4462)*(E2=E$1:E4462))))))</f>
        <v> </v>
      </c>
      <c r="K4463" s="25" t="str">
        <f>IF(OR(E4463="",E4463="!!!",F4463="NEW"),"",INDEX(J$1:J4462,SUMPRODUCT(MAX(ROW(E$1:E4462)*(E4463=E$1:E4462)))))</f>
        <v> </v>
      </c>
      <c r="L4463" s="26"/>
    </row>
    <row r="4464" spans="1:12">
      <c r="A4464" s="20" t="s">
        <v>1974</v>
      </c>
      <c r="B4464" s="27" t="s">
        <v>1062</v>
      </c>
      <c r="C4464" s="27" t="s">
        <v>761</v>
      </c>
      <c r="D4464" s="27" t="s">
        <v>762</v>
      </c>
      <c r="E4464" s="21">
        <f>IF(D4464="?OLD","!!!","")</f>
        <v/>
      </c>
      <c r="F4464" s="22" t="str">
        <f>IF(OR(E4464="",E4464="!!!"),"",IF(NOT(ISNA(VLOOKUP(E4464,E$1:E4463,1,FALSE()))),"OLD",IF(AND(E4464&lt;&gt;"",E4464&lt;&gt;"!!!"),"NEW","")))</f>
        <v> </v>
      </c>
      <c r="G4464" s="23" t="str">
        <f>IF(OR(E4464="",E4464="!!!"),"",IF(OR(J4464=0,AND(J4464=1,K4464=1),AND(J4464=1,I4464="SBJ"),AND(J4464=1,I4464=0)),"?IN_FOCUS",IF(J4464&lt;=2,"?ACTIVATED",IF(J4464&lt;&gt;"","?FAMILIAR",IF(F4464="NEW",IF(ISNA(VLOOKUP(E4464,#REF!,1,FALSE())),"?TYPE_IDENTIFIABLE","?REFERENTIAL"),"_")))))</f>
        <v> </v>
      </c>
      <c r="H4464" s="24" t="str">
        <f>IF(J4464&lt;&gt;1,"",IF(I4464="SBJ","CB","?"))</f>
        <v> </v>
      </c>
      <c r="I4464" s="25" t="str">
        <f>IF(OR(E4464="",E4464="!!!",F4464="NEW"),"",INDEX(B4463:B$2,-1+SUMPRODUCT(MAX(ROW(E4463:E$2)*(E4464=E4463:E$2)))))</f>
        <v> </v>
      </c>
      <c r="J4464" s="25" t="str">
        <f>IF(OR(E4464="",E4464="!!!",F4464="NEW"),"",COUNTBLANK(OFFSET(A$1,,,SUMPRODUCT(MAX(ROW(E$2:E4464)*(E4464=E$2:E4464)))))-COUNTBLANK(OFFSET(A$1,,,SUMPRODUCT(MAX(ROW(E$1:E4463)*(E2=E$1:E4463))))))</f>
        <v> </v>
      </c>
      <c r="K4464" s="25" t="str">
        <f>IF(OR(E4464="",E4464="!!!",F4464="NEW"),"",INDEX(J$1:J4463,SUMPRODUCT(MAX(ROW(E$1:E4463)*(E4464=E$1:E4463)))))</f>
        <v> </v>
      </c>
      <c r="L4464" s="26"/>
    </row>
    <row r="4465" spans="1:12">
      <c r="A4465" s="20" t="s">
        <v>942</v>
      </c>
      <c r="E4465" s="21">
        <f>IF(D4465="?OLD","!!!","")</f>
        <v/>
      </c>
      <c r="F4465" s="22" t="str">
        <f>IF(OR(E4465="",E4465="!!!"),"",IF(NOT(ISNA(VLOOKUP(E4465,E$1:E4464,1,FALSE()))),"OLD",IF(AND(E4465&lt;&gt;"",E4465&lt;&gt;"!!!"),"NEW","")))</f>
        <v> </v>
      </c>
      <c r="G4465" s="23" t="str">
        <f>IF(OR(E4465="",E4465="!!!"),"",IF(OR(J4465=0,AND(J4465=1,K4465=1),AND(J4465=1,I4465="SBJ"),AND(J4465=1,I4465=0)),"?IN_FOCUS",IF(J4465&lt;=2,"?ACTIVATED",IF(J4465&lt;&gt;"","?FAMILIAR",IF(F4465="NEW",IF(ISNA(VLOOKUP(E4465,#REF!,1,FALSE())),"?TYPE_IDENTIFIABLE","?REFERENTIAL"),"_")))))</f>
        <v> </v>
      </c>
      <c r="H4465" s="24" t="str">
        <f>IF(J4465&lt;&gt;1,"",IF(I4465="SBJ","CB","?"))</f>
        <v> </v>
      </c>
      <c r="I4465" s="25" t="str">
        <f>IF(OR(E4465="",E4465="!!!",F4465="NEW"),"",INDEX(B4464:B$2,-1+SUMPRODUCT(MAX(ROW(E4464:E$2)*(E4465=E4464:E$2)))))</f>
        <v> </v>
      </c>
      <c r="J4465" s="25" t="str">
        <f>IF(OR(E4465="",E4465="!!!",F4465="NEW"),"",COUNTBLANK(OFFSET(A$1,,,SUMPRODUCT(MAX(ROW(E$2:E4465)*(E4465=E$2:E4465)))))-COUNTBLANK(OFFSET(A$1,,,SUMPRODUCT(MAX(ROW(E$1:E4464)*(E2=E$1:E4464))))))</f>
        <v> </v>
      </c>
      <c r="K4465" s="25" t="str">
        <f>IF(OR(E4465="",E4465="!!!",F4465="NEW"),"",INDEX(J$1:J4464,SUMPRODUCT(MAX(ROW(E$1:E4464)*(E4465=E$1:E4464)))))</f>
        <v> </v>
      </c>
      <c r="L4465" s="26"/>
    </row>
    <row r="4466" spans="1:12">
      <c r="A4466" s="20" t="s">
        <v>840</v>
      </c>
      <c r="B4466" s="27" t="s">
        <v>1076</v>
      </c>
      <c r="C4466" s="27" t="s">
        <v>797</v>
      </c>
      <c r="D4466" s="27" t="s">
        <v>762</v>
      </c>
      <c r="E4466" s="21">
        <f>IF(D4466="?OLD","!!!","")</f>
        <v/>
      </c>
      <c r="F4466" s="22" t="str">
        <f>IF(OR(E4466="",E4466="!!!"),"",IF(NOT(ISNA(VLOOKUP(E4466,E$1:E4465,1,FALSE()))),"OLD",IF(AND(E4466&lt;&gt;"",E4466&lt;&gt;"!!!"),"NEW","")))</f>
        <v> </v>
      </c>
      <c r="G4466" s="23" t="str">
        <f>IF(OR(E4466="",E4466="!!!"),"",IF(OR(J4466=0,AND(J4466=1,K4466=1),AND(J4466=1,I4466="SBJ"),AND(J4466=1,I4466=0)),"?IN_FOCUS",IF(J4466&lt;=2,"?ACTIVATED",IF(J4466&lt;&gt;"","?FAMILIAR",IF(F4466="NEW",IF(ISNA(VLOOKUP(E4466,#REF!,1,FALSE())),"?TYPE_IDENTIFIABLE","?REFERENTIAL"),"_")))))</f>
        <v> </v>
      </c>
      <c r="H4466" s="24" t="str">
        <f>IF(J4466&lt;&gt;1,"",IF(I4466="SBJ","CB","?"))</f>
        <v> </v>
      </c>
      <c r="I4466" s="25" t="str">
        <f>IF(OR(E4466="",E4466="!!!",F4466="NEW"),"",INDEX(B4465:B$2,-1+SUMPRODUCT(MAX(ROW(E4465:E$2)*(E4466=E4465:E$2)))))</f>
        <v> </v>
      </c>
      <c r="J4466" s="25" t="str">
        <f>IF(OR(E4466="",E4466="!!!",F4466="NEW"),"",COUNTBLANK(OFFSET(A$1,,,SUMPRODUCT(MAX(ROW(E$2:E4466)*(E4466=E$2:E4466)))))-COUNTBLANK(OFFSET(A$1,,,SUMPRODUCT(MAX(ROW(E$1:E4465)*(E2=E$1:E4465))))))</f>
        <v> </v>
      </c>
      <c r="K4466" s="25" t="str">
        <f>IF(OR(E4466="",E4466="!!!",F4466="NEW"),"",INDEX(J$1:J4465,SUMPRODUCT(MAX(ROW(E$1:E4465)*(E4466=E$1:E4465)))))</f>
        <v> </v>
      </c>
      <c r="L4466" s="26"/>
    </row>
    <row r="4467" spans="1:12">
      <c r="A4467" s="20" t="s">
        <v>1211</v>
      </c>
      <c r="E4467" s="21">
        <f>IF(D4467="?OLD","!!!","")</f>
        <v/>
      </c>
      <c r="F4467" s="22" t="str">
        <f>IF(OR(E4467="",E4467="!!!"),"",IF(NOT(ISNA(VLOOKUP(E4467,E$1:E4466,1,FALSE()))),"OLD",IF(AND(E4467&lt;&gt;"",E4467&lt;&gt;"!!!"),"NEW","")))</f>
        <v> </v>
      </c>
      <c r="G4467" s="23" t="str">
        <f>IF(OR(E4467="",E4467="!!!"),"",IF(OR(J4467=0,AND(J4467=1,K4467=1),AND(J4467=1,I4467="SBJ"),AND(J4467=1,I4467=0)),"?IN_FOCUS",IF(J4467&lt;=2,"?ACTIVATED",IF(J4467&lt;&gt;"","?FAMILIAR",IF(F4467="NEW",IF(ISNA(VLOOKUP(E4467,#REF!,1,FALSE())),"?TYPE_IDENTIFIABLE","?REFERENTIAL"),"_")))))</f>
        <v> </v>
      </c>
      <c r="H4467" s="24" t="str">
        <f>IF(J4467&lt;&gt;1,"",IF(I4467="SBJ","CB","?"))</f>
        <v> </v>
      </c>
      <c r="I4467" s="25" t="str">
        <f>IF(OR(E4467="",E4467="!!!",F4467="NEW"),"",INDEX(B4466:B$2,-1+SUMPRODUCT(MAX(ROW(E4466:E$2)*(E4467=E4466:E$2)))))</f>
        <v> </v>
      </c>
      <c r="J4467" s="25" t="str">
        <f>IF(OR(E4467="",E4467="!!!",F4467="NEW"),"",COUNTBLANK(OFFSET(A$1,,,SUMPRODUCT(MAX(ROW(E$2:E4467)*(E4467=E$2:E4467)))))-COUNTBLANK(OFFSET(A$1,,,SUMPRODUCT(MAX(ROW(E$1:E4466)*(E2=E$1:E4466))))))</f>
        <v> </v>
      </c>
      <c r="K4467" s="25" t="str">
        <f>IF(OR(E4467="",E4467="!!!",F4467="NEW"),"",INDEX(J$1:J4466,SUMPRODUCT(MAX(ROW(E$1:E4466)*(E4467=E$1:E4466)))))</f>
        <v> </v>
      </c>
      <c r="L4467" s="26"/>
    </row>
    <row r="4468" spans="1:12">
      <c r="A4468" s="20" t="s">
        <v>793</v>
      </c>
      <c r="E4468" s="21">
        <f>IF(D4468="?OLD","!!!","")</f>
        <v/>
      </c>
      <c r="F4468" s="22" t="str">
        <f>IF(OR(E4468="",E4468="!!!"),"",IF(NOT(ISNA(VLOOKUP(E4468,E$1:E4467,1,FALSE()))),"OLD",IF(AND(E4468&lt;&gt;"",E4468&lt;&gt;"!!!"),"NEW","")))</f>
        <v> </v>
      </c>
      <c r="G4468" s="23" t="str">
        <f>IF(OR(E4468="",E4468="!!!"),"",IF(OR(J4468=0,AND(J4468=1,K4468=1),AND(J4468=1,I4468="SBJ"),AND(J4468=1,I4468=0)),"?IN_FOCUS",IF(J4468&lt;=2,"?ACTIVATED",IF(J4468&lt;&gt;"","?FAMILIAR",IF(F4468="NEW",IF(ISNA(VLOOKUP(E4468,#REF!,1,FALSE())),"?TYPE_IDENTIFIABLE","?REFERENTIAL"),"_")))))</f>
        <v> </v>
      </c>
      <c r="H4468" s="24" t="str">
        <f>IF(J4468&lt;&gt;1,"",IF(I4468="SBJ","CB","?"))</f>
        <v> </v>
      </c>
      <c r="I4468" s="25" t="str">
        <f>IF(OR(E4468="",E4468="!!!",F4468="NEW"),"",INDEX(B4467:B$2,-1+SUMPRODUCT(MAX(ROW(E4467:E$2)*(E4468=E4467:E$2)))))</f>
        <v> </v>
      </c>
      <c r="J4468" s="25" t="str">
        <f>IF(OR(E4468="",E4468="!!!",F4468="NEW"),"",COUNTBLANK(OFFSET(A$1,,,SUMPRODUCT(MAX(ROW(E$2:E4468)*(E4468=E$2:E4468)))))-COUNTBLANK(OFFSET(A$1,,,SUMPRODUCT(MAX(ROW(E$1:E4467)*(E2=E$1:E4467))))))</f>
        <v> </v>
      </c>
      <c r="K4468" s="25" t="str">
        <f>IF(OR(E4468="",E4468="!!!",F4468="NEW"),"",INDEX(J$1:J4467,SUMPRODUCT(MAX(ROW(E$1:E4467)*(E4468=E$1:E4467)))))</f>
        <v> </v>
      </c>
      <c r="L4468" s="26"/>
    </row>
    <row r="4469" spans="1:12">
      <c r="A4469" s="20" t="s">
        <v>770</v>
      </c>
      <c r="E4469" s="21">
        <f>IF(D4469="?OLD","!!!","")</f>
        <v/>
      </c>
      <c r="F4469" s="22" t="str">
        <f>IF(OR(E4469="",E4469="!!!"),"",IF(NOT(ISNA(VLOOKUP(E4469,E$1:E4468,1,FALSE()))),"OLD",IF(AND(E4469&lt;&gt;"",E4469&lt;&gt;"!!!"),"NEW","")))</f>
        <v> </v>
      </c>
      <c r="G4469" s="23" t="str">
        <f>IF(OR(E4469="",E4469="!!!"),"",IF(OR(J4469=0,AND(J4469=1,K4469=1),AND(J4469=1,I4469="SBJ"),AND(J4469=1,I4469=0)),"?IN_FOCUS",IF(J4469&lt;=2,"?ACTIVATED",IF(J4469&lt;&gt;"","?FAMILIAR",IF(F4469="NEW",IF(ISNA(VLOOKUP(E4469,#REF!,1,FALSE())),"?TYPE_IDENTIFIABLE","?REFERENTIAL"),"_")))))</f>
        <v> </v>
      </c>
      <c r="H4469" s="24" t="str">
        <f>IF(J4469&lt;&gt;1,"",IF(I4469="SBJ","CB","?"))</f>
        <v> </v>
      </c>
      <c r="I4469" s="25" t="str">
        <f>IF(OR(E4469="",E4469="!!!",F4469="NEW"),"",INDEX(B4468:B$2,-1+SUMPRODUCT(MAX(ROW(E4468:E$2)*(E4469=E4468:E$2)))))</f>
        <v> </v>
      </c>
      <c r="J4469" s="25" t="str">
        <f>IF(OR(E4469="",E4469="!!!",F4469="NEW"),"",COUNTBLANK(OFFSET(A$1,,,SUMPRODUCT(MAX(ROW(E$2:E4469)*(E4469=E$2:E4469)))))-COUNTBLANK(OFFSET(A$1,,,SUMPRODUCT(MAX(ROW(E$1:E4468)*(E2=E$1:E4468))))))</f>
        <v> </v>
      </c>
      <c r="K4469" s="25" t="str">
        <f>IF(OR(E4469="",E4469="!!!",F4469="NEW"),"",INDEX(J$1:J4468,SUMPRODUCT(MAX(ROW(E$1:E4468)*(E4469=E$1:E4468)))))</f>
        <v> </v>
      </c>
      <c r="L4469" s="26"/>
    </row>
    <row r="4470" spans="1:12">
      <c r="A4470" s="20" t="s">
        <v>1975</v>
      </c>
      <c r="B4470" s="27" t="s">
        <v>1080</v>
      </c>
      <c r="C4470" s="27" t="s">
        <v>761</v>
      </c>
      <c r="D4470" s="27" t="s">
        <v>762</v>
      </c>
      <c r="E4470" s="21">
        <f>IF(D4470="?OLD","!!!","")</f>
        <v/>
      </c>
      <c r="F4470" s="22" t="str">
        <f>IF(OR(E4470="",E4470="!!!"),"",IF(NOT(ISNA(VLOOKUP(E4470,E$1:E4469,1,FALSE()))),"OLD",IF(AND(E4470&lt;&gt;"",E4470&lt;&gt;"!!!"),"NEW","")))</f>
        <v> </v>
      </c>
      <c r="G4470" s="23" t="str">
        <f>IF(OR(E4470="",E4470="!!!"),"",IF(OR(J4470=0,AND(J4470=1,K4470=1),AND(J4470=1,I4470="SBJ"),AND(J4470=1,I4470=0)),"?IN_FOCUS",IF(J4470&lt;=2,"?ACTIVATED",IF(J4470&lt;&gt;"","?FAMILIAR",IF(F4470="NEW",IF(ISNA(VLOOKUP(E4470,#REF!,1,FALSE())),"?TYPE_IDENTIFIABLE","?REFERENTIAL"),"_")))))</f>
        <v> </v>
      </c>
      <c r="H4470" s="24" t="str">
        <f>IF(J4470&lt;&gt;1,"",IF(I4470="SBJ","CB","?"))</f>
        <v> </v>
      </c>
      <c r="I4470" s="25" t="str">
        <f>IF(OR(E4470="",E4470="!!!",F4470="NEW"),"",INDEX(B4469:B$2,-1+SUMPRODUCT(MAX(ROW(E4469:E$2)*(E4470=E4469:E$2)))))</f>
        <v> </v>
      </c>
      <c r="J4470" s="25" t="str">
        <f>IF(OR(E4470="",E4470="!!!",F4470="NEW"),"",COUNTBLANK(OFFSET(A$1,,,SUMPRODUCT(MAX(ROW(E$2:E4470)*(E4470=E$2:E4470)))))-COUNTBLANK(OFFSET(A$1,,,SUMPRODUCT(MAX(ROW(E$1:E4469)*(E2=E$1:E4469))))))</f>
        <v> </v>
      </c>
      <c r="K4470" s="25" t="str">
        <f>IF(OR(E4470="",E4470="!!!",F4470="NEW"),"",INDEX(J$1:J4469,SUMPRODUCT(MAX(ROW(E$1:E4469)*(E4470=E$1:E4469)))))</f>
        <v> </v>
      </c>
      <c r="L4470" s="26"/>
    </row>
    <row r="4471" spans="1:12">
      <c r="A4471" s="20" t="s">
        <v>1976</v>
      </c>
      <c r="E4471" s="21">
        <f>IF(D4471="?OLD","!!!","")</f>
        <v/>
      </c>
      <c r="F4471" s="22" t="str">
        <f>IF(OR(E4471="",E4471="!!!"),"",IF(NOT(ISNA(VLOOKUP(E4471,E$1:E4470,1,FALSE()))),"OLD",IF(AND(E4471&lt;&gt;"",E4471&lt;&gt;"!!!"),"NEW","")))</f>
        <v> </v>
      </c>
      <c r="G4471" s="23" t="str">
        <f>IF(OR(E4471="",E4471="!!!"),"",IF(OR(J4471=0,AND(J4471=1,K4471=1),AND(J4471=1,I4471="SBJ"),AND(J4471=1,I4471=0)),"?IN_FOCUS",IF(J4471&lt;=2,"?ACTIVATED",IF(J4471&lt;&gt;"","?FAMILIAR",IF(F4471="NEW",IF(ISNA(VLOOKUP(E4471,#REF!,1,FALSE())),"?TYPE_IDENTIFIABLE","?REFERENTIAL"),"_")))))</f>
        <v> </v>
      </c>
      <c r="H4471" s="24" t="str">
        <f>IF(J4471&lt;&gt;1,"",IF(I4471="SBJ","CB","?"))</f>
        <v> </v>
      </c>
      <c r="I4471" s="25" t="str">
        <f>IF(OR(E4471="",E4471="!!!",F4471="NEW"),"",INDEX(B4470:B$2,-1+SUMPRODUCT(MAX(ROW(E4470:E$2)*(E4471=E4470:E$2)))))</f>
        <v> </v>
      </c>
      <c r="J4471" s="25" t="str">
        <f>IF(OR(E4471="",E4471="!!!",F4471="NEW"),"",COUNTBLANK(OFFSET(A$1,,,SUMPRODUCT(MAX(ROW(E$2:E4471)*(E4471=E$2:E4471)))))-COUNTBLANK(OFFSET(A$1,,,SUMPRODUCT(MAX(ROW(E$1:E4470)*(E2=E$1:E4470))))))</f>
        <v> </v>
      </c>
      <c r="K4471" s="25" t="str">
        <f>IF(OR(E4471="",E4471="!!!",F4471="NEW"),"",INDEX(J$1:J4470,SUMPRODUCT(MAX(ROW(E$1:E4470)*(E4471=E$1:E4470)))))</f>
        <v> </v>
      </c>
      <c r="L4471" s="26"/>
    </row>
    <row r="4472" spans="1:12">
      <c r="A4472" s="20" t="s">
        <v>785</v>
      </c>
      <c r="E4472" s="21">
        <f>IF(D4472="?OLD","!!!","")</f>
        <v/>
      </c>
      <c r="F4472" s="22" t="str">
        <f>IF(OR(E4472="",E4472="!!!"),"",IF(NOT(ISNA(VLOOKUP(E4472,E$1:E4471,1,FALSE()))),"OLD",IF(AND(E4472&lt;&gt;"",E4472&lt;&gt;"!!!"),"NEW","")))</f>
        <v> </v>
      </c>
      <c r="G4472" s="23" t="str">
        <f>IF(OR(E4472="",E4472="!!!"),"",IF(OR(J4472=0,AND(J4472=1,K4472=1),AND(J4472=1,I4472="SBJ"),AND(J4472=1,I4472=0)),"?IN_FOCUS",IF(J4472&lt;=2,"?ACTIVATED",IF(J4472&lt;&gt;"","?FAMILIAR",IF(F4472="NEW",IF(ISNA(VLOOKUP(E4472,#REF!,1,FALSE())),"?TYPE_IDENTIFIABLE","?REFERENTIAL"),"_")))))</f>
        <v> </v>
      </c>
      <c r="H4472" s="24" t="str">
        <f>IF(J4472&lt;&gt;1,"",IF(I4472="SBJ","CB","?"))</f>
        <v> </v>
      </c>
      <c r="I4472" s="25" t="str">
        <f>IF(OR(E4472="",E4472="!!!",F4472="NEW"),"",INDEX(B4471:B$2,-1+SUMPRODUCT(MAX(ROW(E4471:E$2)*(E4472=E4471:E$2)))))</f>
        <v> </v>
      </c>
      <c r="J4472" s="25" t="str">
        <f>IF(OR(E4472="",E4472="!!!",F4472="NEW"),"",COUNTBLANK(OFFSET(A$1,,,SUMPRODUCT(MAX(ROW(E$2:E4472)*(E4472=E$2:E4472)))))-COUNTBLANK(OFFSET(A$1,,,SUMPRODUCT(MAX(ROW(E$1:E4471)*(E2=E$1:E4471))))))</f>
        <v> </v>
      </c>
      <c r="K4472" s="25" t="str">
        <f>IF(OR(E4472="",E4472="!!!",F4472="NEW"),"",INDEX(J$1:J4471,SUMPRODUCT(MAX(ROW(E$1:E4471)*(E4472=E$1:E4471)))))</f>
        <v> </v>
      </c>
      <c r="L4472" s="26"/>
    </row>
    <row r="4473" spans="1:12">
      <c r="A4473" s="20" t="s">
        <v>495</v>
      </c>
      <c r="E4473" s="21">
        <f>IF(D4473="?OLD","!!!","")</f>
        <v/>
      </c>
      <c r="F4473" s="22" t="str">
        <f>IF(OR(E4473="",E4473="!!!"),"",IF(NOT(ISNA(VLOOKUP(E4473,E$1:E4472,1,FALSE()))),"OLD",IF(AND(E4473&lt;&gt;"",E4473&lt;&gt;"!!!"),"NEW","")))</f>
        <v> </v>
      </c>
      <c r="G4473" s="23" t="str">
        <f>IF(OR(E4473="",E4473="!!!"),"",IF(OR(J4473=0,AND(J4473=1,K4473=1),AND(J4473=1,I4473="SBJ"),AND(J4473=1,I4473=0)),"?IN_FOCUS",IF(J4473&lt;=2,"?ACTIVATED",IF(J4473&lt;&gt;"","?FAMILIAR",IF(F4473="NEW",IF(ISNA(VLOOKUP(E4473,#REF!,1,FALSE())),"?TYPE_IDENTIFIABLE","?REFERENTIAL"),"_")))))</f>
        <v> </v>
      </c>
      <c r="H4473" s="24" t="str">
        <f>IF(J4473&lt;&gt;1,"",IF(I4473="SBJ","CB","?"))</f>
        <v> </v>
      </c>
      <c r="I4473" s="25" t="str">
        <f>IF(OR(E4473="",E4473="!!!",F4473="NEW"),"",INDEX(B4472:B$2,-1+SUMPRODUCT(MAX(ROW(E4472:E$2)*(E4473=E4472:E$2)))))</f>
        <v> </v>
      </c>
      <c r="J4473" s="25" t="str">
        <f>IF(OR(E4473="",E4473="!!!",F4473="NEW"),"",COUNTBLANK(OFFSET(A$1,,,SUMPRODUCT(MAX(ROW(E$2:E4473)*(E4473=E$2:E4473)))))-COUNTBLANK(OFFSET(A$1,,,SUMPRODUCT(MAX(ROW(E$1:E4472)*(E2=E$1:E4472))))))</f>
        <v> </v>
      </c>
      <c r="K4473" s="25" t="str">
        <f>IF(OR(E4473="",E4473="!!!",F4473="NEW"),"",INDEX(J$1:J4472,SUMPRODUCT(MAX(ROW(E$1:E4472)*(E4473=E$1:E4472)))))</f>
        <v> </v>
      </c>
      <c r="L4473" s="26"/>
    </row>
    <row r="4474" spans="1:12">
      <c r="A4474" s="20" t="s">
        <v>757</v>
      </c>
      <c r="E4474" s="21">
        <f>IF(D4474="?OLD","!!!","")</f>
        <v/>
      </c>
      <c r="F4474" s="22" t="str">
        <f>IF(OR(E4474="",E4474="!!!"),"",IF(NOT(ISNA(VLOOKUP(E4474,E$1:E4473,1,FALSE()))),"OLD",IF(AND(E4474&lt;&gt;"",E4474&lt;&gt;"!!!"),"NEW","")))</f>
        <v> </v>
      </c>
      <c r="G4474" s="23" t="str">
        <f>IF(OR(E4474="",E4474="!!!"),"",IF(OR(J4474=0,AND(J4474=1,K4474=1),AND(J4474=1,I4474="SBJ"),AND(J4474=1,I4474=0)),"?IN_FOCUS",IF(J4474&lt;=2,"?ACTIVATED",IF(J4474&lt;&gt;"","?FAMILIAR",IF(F4474="NEW",IF(ISNA(VLOOKUP(E4474,#REF!,1,FALSE())),"?TYPE_IDENTIFIABLE","?REFERENTIAL"),"_")))))</f>
        <v> </v>
      </c>
      <c r="H4474" s="24" t="str">
        <f>IF(J4474&lt;&gt;1,"",IF(I4474="SBJ","CB","?"))</f>
        <v> </v>
      </c>
      <c r="I4474" s="25" t="str">
        <f>IF(OR(E4474="",E4474="!!!",F4474="NEW"),"",INDEX(B4473:B$2,-1+SUMPRODUCT(MAX(ROW(E4473:E$2)*(E4474=E4473:E$2)))))</f>
        <v> </v>
      </c>
      <c r="J4474" s="25" t="str">
        <f>IF(OR(E4474="",E4474="!!!",F4474="NEW"),"",COUNTBLANK(OFFSET(A$1,,,SUMPRODUCT(MAX(ROW(E$2:E4474)*(E4474=E$2:E4474)))))-COUNTBLANK(OFFSET(A$1,,,SUMPRODUCT(MAX(ROW(E$1:E4473)*(E2=E$1:E4473))))))</f>
        <v> </v>
      </c>
      <c r="K4474" s="25" t="str">
        <f>IF(OR(E4474="",E4474="!!!",F4474="NEW"),"",INDEX(J$1:J4473,SUMPRODUCT(MAX(ROW(E$1:E4473)*(E4474=E$1:E4473)))))</f>
        <v> </v>
      </c>
      <c r="L4474" s="26"/>
    </row>
    <row r="4475" spans="1:12">
      <c r="A4475" s="20" t="s">
        <v>886</v>
      </c>
      <c r="B4475" s="27" t="s">
        <v>796</v>
      </c>
      <c r="C4475" s="27" t="s">
        <v>797</v>
      </c>
      <c r="D4475" s="27" t="s">
        <v>762</v>
      </c>
      <c r="E4475" s="21">
        <f>IF(D4475="?OLD","!!!","")</f>
        <v/>
      </c>
      <c r="F4475" s="22" t="str">
        <f>IF(OR(E4475="",E4475="!!!"),"",IF(NOT(ISNA(VLOOKUP(E4475,E$1:E4474,1,FALSE()))),"OLD",IF(AND(E4475&lt;&gt;"",E4475&lt;&gt;"!!!"),"NEW","")))</f>
        <v> </v>
      </c>
      <c r="G4475" s="23" t="str">
        <f>IF(OR(E4475="",E4475="!!!"),"",IF(OR(J4475=0,AND(J4475=1,K4475=1),AND(J4475=1,I4475="SBJ"),AND(J4475=1,I4475=0)),"?IN_FOCUS",IF(J4475&lt;=2,"?ACTIVATED",IF(J4475&lt;&gt;"","?FAMILIAR",IF(F4475="NEW",IF(ISNA(VLOOKUP(E4475,#REF!,1,FALSE())),"?TYPE_IDENTIFIABLE","?REFERENTIAL"),"_")))))</f>
        <v> </v>
      </c>
      <c r="H4475" s="24" t="str">
        <f>IF(J4475&lt;&gt;1,"",IF(I4475="SBJ","CB","?"))</f>
        <v> </v>
      </c>
      <c r="I4475" s="25" t="str">
        <f>IF(OR(E4475="",E4475="!!!",F4475="NEW"),"",INDEX(B4474:B$2,-1+SUMPRODUCT(MAX(ROW(E4474:E$2)*(E4475=E4474:E$2)))))</f>
        <v> </v>
      </c>
      <c r="J4475" s="25" t="str">
        <f>IF(OR(E4475="",E4475="!!!",F4475="NEW"),"",COUNTBLANK(OFFSET(A$1,,,SUMPRODUCT(MAX(ROW(E$2:E4475)*(E4475=E$2:E4475)))))-COUNTBLANK(OFFSET(A$1,,,SUMPRODUCT(MAX(ROW(E$1:E4474)*(E2=E$1:E4474))))))</f>
        <v> </v>
      </c>
      <c r="K4475" s="25" t="str">
        <f>IF(OR(E4475="",E4475="!!!",F4475="NEW"),"",INDEX(J$1:J4474,SUMPRODUCT(MAX(ROW(E$1:E4474)*(E4475=E$1:E4474)))))</f>
        <v> </v>
      </c>
      <c r="L4475" s="26"/>
    </row>
    <row r="4476" spans="1:12">
      <c r="A4476" s="20" t="s">
        <v>1438</v>
      </c>
      <c r="E4476" s="21">
        <f>IF(D4476="?OLD","!!!","")</f>
        <v/>
      </c>
      <c r="F4476" s="22" t="str">
        <f>IF(OR(E4476="",E4476="!!!"),"",IF(NOT(ISNA(VLOOKUP(E4476,E$1:E4475,1,FALSE()))),"OLD",IF(AND(E4476&lt;&gt;"",E4476&lt;&gt;"!!!"),"NEW","")))</f>
        <v> </v>
      </c>
      <c r="G4476" s="23" t="str">
        <f>IF(OR(E4476="",E4476="!!!"),"",IF(OR(J4476=0,AND(J4476=1,K4476=1),AND(J4476=1,I4476="SBJ"),AND(J4476=1,I4476=0)),"?IN_FOCUS",IF(J4476&lt;=2,"?ACTIVATED",IF(J4476&lt;&gt;"","?FAMILIAR",IF(F4476="NEW",IF(ISNA(VLOOKUP(E4476,#REF!,1,FALSE())),"?TYPE_IDENTIFIABLE","?REFERENTIAL"),"_")))))</f>
        <v> </v>
      </c>
      <c r="H4476" s="24" t="str">
        <f>IF(J4476&lt;&gt;1,"",IF(I4476="SBJ","CB","?"))</f>
        <v> </v>
      </c>
      <c r="I4476" s="25" t="str">
        <f>IF(OR(E4476="",E4476="!!!",F4476="NEW"),"",INDEX(B4475:B$2,-1+SUMPRODUCT(MAX(ROW(E4475:E$2)*(E4476=E4475:E$2)))))</f>
        <v> </v>
      </c>
      <c r="J4476" s="25" t="str">
        <f>IF(OR(E4476="",E4476="!!!",F4476="NEW"),"",COUNTBLANK(OFFSET(A$1,,,SUMPRODUCT(MAX(ROW(E$2:E4476)*(E4476=E$2:E4476)))))-COUNTBLANK(OFFSET(A$1,,,SUMPRODUCT(MAX(ROW(E$1:E4475)*(E2=E$1:E4475))))))</f>
        <v> </v>
      </c>
      <c r="K4476" s="25" t="str">
        <f>IF(OR(E4476="",E4476="!!!",F4476="NEW"),"",INDEX(J$1:J4475,SUMPRODUCT(MAX(ROW(E$1:E4475)*(E4476=E$1:E4475)))))</f>
        <v> </v>
      </c>
      <c r="L4476" s="26"/>
    </row>
    <row r="4477" spans="1:12">
      <c r="A4477" s="20" t="s">
        <v>1972</v>
      </c>
      <c r="B4477" s="27" t="s">
        <v>802</v>
      </c>
      <c r="C4477" s="27" t="s">
        <v>837</v>
      </c>
      <c r="D4477" s="27" t="s">
        <v>762</v>
      </c>
      <c r="E4477" s="21">
        <f>IF(D4477="?OLD","!!!","")</f>
        <v/>
      </c>
      <c r="F4477" s="22" t="str">
        <f>IF(OR(E4477="",E4477="!!!"),"",IF(NOT(ISNA(VLOOKUP(E4477,E$1:E4476,1,FALSE()))),"OLD",IF(AND(E4477&lt;&gt;"",E4477&lt;&gt;"!!!"),"NEW","")))</f>
        <v> </v>
      </c>
      <c r="G4477" s="23" t="str">
        <f>IF(OR(E4477="",E4477="!!!"),"",IF(OR(J4477=0,AND(J4477=1,K4477=1),AND(J4477=1,I4477="SBJ"),AND(J4477=1,I4477=0)),"?IN_FOCUS",IF(J4477&lt;=2,"?ACTIVATED",IF(J4477&lt;&gt;"","?FAMILIAR",IF(F4477="NEW",IF(ISNA(VLOOKUP(E4477,#REF!,1,FALSE())),"?TYPE_IDENTIFIABLE","?REFERENTIAL"),"_")))))</f>
        <v> </v>
      </c>
      <c r="H4477" s="24" t="str">
        <f>IF(J4477&lt;&gt;1,"",IF(I4477="SBJ","CB","?"))</f>
        <v> </v>
      </c>
      <c r="I4477" s="25" t="str">
        <f>IF(OR(E4477="",E4477="!!!",F4477="NEW"),"",INDEX(B4476:B$2,-1+SUMPRODUCT(MAX(ROW(E4476:E$2)*(E4477=E4476:E$2)))))</f>
        <v> </v>
      </c>
      <c r="J4477" s="25" t="str">
        <f>IF(OR(E4477="",E4477="!!!",F4477="NEW"),"",COUNTBLANK(OFFSET(A$1,,,SUMPRODUCT(MAX(ROW(E$2:E4477)*(E4477=E$2:E4477)))))-COUNTBLANK(OFFSET(A$1,,,SUMPRODUCT(MAX(ROW(E$1:E4476)*(E2=E$1:E4476))))))</f>
        <v> </v>
      </c>
      <c r="K4477" s="25" t="str">
        <f>IF(OR(E4477="",E4477="!!!",F4477="NEW"),"",INDEX(J$1:J4476,SUMPRODUCT(MAX(ROW(E$1:E4476)*(E4477=E$1:E4476)))))</f>
        <v> </v>
      </c>
      <c r="L4477" s="26"/>
    </row>
    <row r="4478" spans="1:12">
      <c r="A4478" s="20" t="s">
        <v>769</v>
      </c>
      <c r="E4478" s="21">
        <f>IF(D4478="?OLD","!!!","")</f>
        <v/>
      </c>
      <c r="F4478" s="22" t="str">
        <f>IF(OR(E4478="",E4478="!!!"),"",IF(NOT(ISNA(VLOOKUP(E4478,E$1:E4477,1,FALSE()))),"OLD",IF(AND(E4478&lt;&gt;"",E4478&lt;&gt;"!!!"),"NEW","")))</f>
        <v> </v>
      </c>
      <c r="G4478" s="23" t="str">
        <f>IF(OR(E4478="",E4478="!!!"),"",IF(OR(J4478=0,AND(J4478=1,K4478=1),AND(J4478=1,I4478="SBJ"),AND(J4478=1,I4478=0)),"?IN_FOCUS",IF(J4478&lt;=2,"?ACTIVATED",IF(J4478&lt;&gt;"","?FAMILIAR",IF(F4478="NEW",IF(ISNA(VLOOKUP(E4478,#REF!,1,FALSE())),"?TYPE_IDENTIFIABLE","?REFERENTIAL"),"_")))))</f>
        <v> </v>
      </c>
      <c r="H4478" s="24" t="str">
        <f>IF(J4478&lt;&gt;1,"",IF(I4478="SBJ","CB","?"))</f>
        <v> </v>
      </c>
      <c r="I4478" s="25" t="str">
        <f>IF(OR(E4478="",E4478="!!!",F4478="NEW"),"",INDEX(B4477:B$2,-1+SUMPRODUCT(MAX(ROW(E4477:E$2)*(E4478=E4477:E$2)))))</f>
        <v> </v>
      </c>
      <c r="J4478" s="25" t="str">
        <f>IF(OR(E4478="",E4478="!!!",F4478="NEW"),"",COUNTBLANK(OFFSET(A$1,,,SUMPRODUCT(MAX(ROW(E$2:E4478)*(E4478=E$2:E4478)))))-COUNTBLANK(OFFSET(A$1,,,SUMPRODUCT(MAX(ROW(E$1:E4477)*(E2=E$1:E4477))))))</f>
        <v> </v>
      </c>
      <c r="K4478" s="25" t="str">
        <f>IF(OR(E4478="",E4478="!!!",F4478="NEW"),"",INDEX(J$1:J4477,SUMPRODUCT(MAX(ROW(E$1:E4477)*(E4478=E$1:E4477)))))</f>
        <v> </v>
      </c>
      <c r="L4478" s="26"/>
    </row>
    <row r="4479" spans="1:12">
      <c r="A4479" s="20" t="s">
        <v>1026</v>
      </c>
      <c r="E4479" s="21">
        <f>IF(D4479="?OLD","!!!","")</f>
        <v/>
      </c>
      <c r="F4479" s="22" t="str">
        <f>IF(OR(E4479="",E4479="!!!"),"",IF(NOT(ISNA(VLOOKUP(E4479,E$1:E4478,1,FALSE()))),"OLD",IF(AND(E4479&lt;&gt;"",E4479&lt;&gt;"!!!"),"NEW","")))</f>
        <v> </v>
      </c>
      <c r="G4479" s="23" t="str">
        <f>IF(OR(E4479="",E4479="!!!"),"",IF(OR(J4479=0,AND(J4479=1,K4479=1),AND(J4479=1,I4479="SBJ"),AND(J4479=1,I4479=0)),"?IN_FOCUS",IF(J4479&lt;=2,"?ACTIVATED",IF(J4479&lt;&gt;"","?FAMILIAR",IF(F4479="NEW",IF(ISNA(VLOOKUP(E4479,#REF!,1,FALSE())),"?TYPE_IDENTIFIABLE","?REFERENTIAL"),"_")))))</f>
        <v> </v>
      </c>
      <c r="H4479" s="24" t="str">
        <f>IF(J4479&lt;&gt;1,"",IF(I4479="SBJ","CB","?"))</f>
        <v> </v>
      </c>
      <c r="I4479" s="25" t="str">
        <f>IF(OR(E4479="",E4479="!!!",F4479="NEW"),"",INDEX(B4478:B$2,-1+SUMPRODUCT(MAX(ROW(E4478:E$2)*(E4479=E4478:E$2)))))</f>
        <v> </v>
      </c>
      <c r="J4479" s="25" t="str">
        <f>IF(OR(E4479="",E4479="!!!",F4479="NEW"),"",COUNTBLANK(OFFSET(A$1,,,SUMPRODUCT(MAX(ROW(E$2:E4479)*(E4479=E$2:E4479)))))-COUNTBLANK(OFFSET(A$1,,,SUMPRODUCT(MAX(ROW(E$1:E4478)*(E2=E$1:E4478))))))</f>
        <v> </v>
      </c>
      <c r="K4479" s="25" t="str">
        <f>IF(OR(E4479="",E4479="!!!",F4479="NEW"),"",INDEX(J$1:J4478,SUMPRODUCT(MAX(ROW(E$1:E4478)*(E4479=E$1:E4478)))))</f>
        <v> </v>
      </c>
      <c r="L4479" s="26"/>
    </row>
    <row r="4480" spans="1:12">
      <c r="A4480" s="20" t="s">
        <v>1973</v>
      </c>
      <c r="B4480" s="27" t="s">
        <v>879</v>
      </c>
      <c r="C4480" s="27" t="s">
        <v>1019</v>
      </c>
      <c r="D4480" s="27" t="s">
        <v>762</v>
      </c>
      <c r="E4480" s="21">
        <f>IF(D4480="?OLD","!!!","")</f>
        <v/>
      </c>
      <c r="F4480" s="22" t="str">
        <f>IF(OR(E4480="",E4480="!!!"),"",IF(NOT(ISNA(VLOOKUP(E4480,E$1:E4479,1,FALSE()))),"OLD",IF(AND(E4480&lt;&gt;"",E4480&lt;&gt;"!!!"),"NEW","")))</f>
        <v> </v>
      </c>
      <c r="G4480" s="23" t="str">
        <f>IF(OR(E4480="",E4480="!!!"),"",IF(OR(J4480=0,AND(J4480=1,K4480=1),AND(J4480=1,I4480="SBJ"),AND(J4480=1,I4480=0)),"?IN_FOCUS",IF(J4480&lt;=2,"?ACTIVATED",IF(J4480&lt;&gt;"","?FAMILIAR",IF(F4480="NEW",IF(ISNA(VLOOKUP(E4480,#REF!,1,FALSE())),"?TYPE_IDENTIFIABLE","?REFERENTIAL"),"_")))))</f>
        <v> </v>
      </c>
      <c r="H4480" s="24" t="str">
        <f>IF(J4480&lt;&gt;1,"",IF(I4480="SBJ","CB","?"))</f>
        <v> </v>
      </c>
      <c r="I4480" s="25" t="str">
        <f>IF(OR(E4480="",E4480="!!!",F4480="NEW"),"",INDEX(B4479:B$2,-1+SUMPRODUCT(MAX(ROW(E4479:E$2)*(E4480=E4479:E$2)))))</f>
        <v> </v>
      </c>
      <c r="J4480" s="25" t="str">
        <f>IF(OR(E4480="",E4480="!!!",F4480="NEW"),"",COUNTBLANK(OFFSET(A$1,,,SUMPRODUCT(MAX(ROW(E$2:E4480)*(E4480=E$2:E4480)))))-COUNTBLANK(OFFSET(A$1,,,SUMPRODUCT(MAX(ROW(E$1:E4479)*(E2=E$1:E4479))))))</f>
        <v> </v>
      </c>
      <c r="K4480" s="25" t="str">
        <f>IF(OR(E4480="",E4480="!!!",F4480="NEW"),"",INDEX(J$1:J4479,SUMPRODUCT(MAX(ROW(E$1:E4479)*(E4480=E$1:E4479)))))</f>
        <v> </v>
      </c>
      <c r="L4480" s="26"/>
    </row>
    <row r="4481" spans="1:12">
      <c r="A4481" s="20" t="s">
        <v>805</v>
      </c>
      <c r="E4481" s="21">
        <f>IF(D4481="?OLD","!!!","")</f>
        <v/>
      </c>
      <c r="F4481" s="22" t="str">
        <f>IF(OR(E4481="",E4481="!!!"),"",IF(NOT(ISNA(VLOOKUP(E4481,E$1:E4480,1,FALSE()))),"OLD",IF(AND(E4481&lt;&gt;"",E4481&lt;&gt;"!!!"),"NEW","")))</f>
        <v> </v>
      </c>
      <c r="G4481" s="23" t="str">
        <f>IF(OR(E4481="",E4481="!!!"),"",IF(OR(J4481=0,AND(J4481=1,K4481=1),AND(J4481=1,I4481="SBJ"),AND(J4481=1,I4481=0)),"?IN_FOCUS",IF(J4481&lt;=2,"?ACTIVATED",IF(J4481&lt;&gt;"","?FAMILIAR",IF(F4481="NEW",IF(ISNA(VLOOKUP(E4481,#REF!,1,FALSE())),"?TYPE_IDENTIFIABLE","?REFERENTIAL"),"_")))))</f>
        <v> </v>
      </c>
      <c r="H4481" s="24" t="str">
        <f>IF(J4481&lt;&gt;1,"",IF(I4481="SBJ","CB","?"))</f>
        <v> </v>
      </c>
      <c r="I4481" s="25" t="str">
        <f>IF(OR(E4481="",E4481="!!!",F4481="NEW"),"",INDEX(B4480:B$2,-1+SUMPRODUCT(MAX(ROW(E4480:E$2)*(E4481=E4480:E$2)))))</f>
        <v> </v>
      </c>
      <c r="J4481" s="25" t="str">
        <f>IF(OR(E4481="",E4481="!!!",F4481="NEW"),"",COUNTBLANK(OFFSET(A$1,,,SUMPRODUCT(MAX(ROW(E$2:E4481)*(E4481=E$2:E4481)))))-COUNTBLANK(OFFSET(A$1,,,SUMPRODUCT(MAX(ROW(E$1:E4480)*(E2=E$1:E4480))))))</f>
        <v> </v>
      </c>
      <c r="K4481" s="25" t="str">
        <f>IF(OR(E4481="",E4481="!!!",F4481="NEW"),"",INDEX(J$1:J4480,SUMPRODUCT(MAX(ROW(E$1:E4480)*(E4481=E$1:E4480)))))</f>
        <v> </v>
      </c>
      <c r="L4481" s="26"/>
    </row>
    <row r="4482" spans="1:12">
      <c r="A4482" s="20" t="s">
        <v>1977</v>
      </c>
      <c r="B4482" s="27" t="s">
        <v>901</v>
      </c>
      <c r="C4482" s="27" t="s">
        <v>754</v>
      </c>
      <c r="E4482" s="21">
        <f>IF(D4482="?OLD","!!!","")</f>
        <v/>
      </c>
      <c r="F4482" s="22" t="str">
        <f>IF(OR(E4482="",E4482="!!!"),"",IF(NOT(ISNA(VLOOKUP(E4482,E$1:E4481,1,FALSE()))),"OLD",IF(AND(E4482&lt;&gt;"",E4482&lt;&gt;"!!!"),"NEW","")))</f>
        <v> </v>
      </c>
      <c r="G4482" s="23" t="str">
        <f>IF(OR(E4482="",E4482="!!!"),"",IF(OR(J4482=0,AND(J4482=1,K4482=1),AND(J4482=1,I4482="SBJ"),AND(J4482=1,I4482=0)),"?IN_FOCUS",IF(J4482&lt;=2,"?ACTIVATED",IF(J4482&lt;&gt;"","?FAMILIAR",IF(F4482="NEW",IF(ISNA(VLOOKUP(E4482,#REF!,1,FALSE())),"?TYPE_IDENTIFIABLE","?REFERENTIAL"),"_")))))</f>
        <v> </v>
      </c>
      <c r="H4482" s="24" t="str">
        <f>IF(J4482&lt;&gt;1,"",IF(I4482="SBJ","CB","?"))</f>
        <v> </v>
      </c>
      <c r="I4482" s="25" t="str">
        <f>IF(OR(E4482="",E4482="!!!",F4482="NEW"),"",INDEX(B4481:B$2,-1+SUMPRODUCT(MAX(ROW(E4481:E$2)*(E4482=E4481:E$2)))))</f>
        <v> </v>
      </c>
      <c r="J4482" s="25" t="str">
        <f>IF(OR(E4482="",E4482="!!!",F4482="NEW"),"",COUNTBLANK(OFFSET(A$1,,,SUMPRODUCT(MAX(ROW(E$2:E4482)*(E4482=E$2:E4482)))))-COUNTBLANK(OFFSET(A$1,,,SUMPRODUCT(MAX(ROW(E$1:E4481)*(E2=E$1:E4481))))))</f>
        <v> </v>
      </c>
      <c r="K4482" s="25" t="str">
        <f>IF(OR(E4482="",E4482="!!!",F4482="NEW"),"",INDEX(J$1:J4481,SUMPRODUCT(MAX(ROW(E$1:E4481)*(E4482=E$1:E4481)))))</f>
        <v> </v>
      </c>
      <c r="L4482" s="26"/>
    </row>
    <row r="4483" spans="1:12">
      <c r="A4483" s="20" t="s">
        <v>810</v>
      </c>
      <c r="E4483" s="21">
        <f>IF(D4483="?OLD","!!!","")</f>
        <v/>
      </c>
      <c r="F4483" s="22" t="str">
        <f>IF(OR(E4483="",E4483="!!!"),"",IF(NOT(ISNA(VLOOKUP(E4483,E$1:E4482,1,FALSE()))),"OLD",IF(AND(E4483&lt;&gt;"",E4483&lt;&gt;"!!!"),"NEW","")))</f>
        <v> </v>
      </c>
      <c r="G4483" s="23" t="str">
        <f>IF(OR(E4483="",E4483="!!!"),"",IF(OR(J4483=0,AND(J4483=1,K4483=1),AND(J4483=1,I4483="SBJ"),AND(J4483=1,I4483=0)),"?IN_FOCUS",IF(J4483&lt;=2,"?ACTIVATED",IF(J4483&lt;&gt;"","?FAMILIAR",IF(F4483="NEW",IF(ISNA(VLOOKUP(E4483,#REF!,1,FALSE())),"?TYPE_IDENTIFIABLE","?REFERENTIAL"),"_")))))</f>
        <v> </v>
      </c>
      <c r="H4483" s="24" t="str">
        <f>IF(J4483&lt;&gt;1,"",IF(I4483="SBJ","CB","?"))</f>
        <v> </v>
      </c>
      <c r="I4483" s="25" t="str">
        <f>IF(OR(E4483="",E4483="!!!",F4483="NEW"),"",INDEX(B4482:B$2,-1+SUMPRODUCT(MAX(ROW(E4482:E$2)*(E4483=E4482:E$2)))))</f>
        <v> </v>
      </c>
      <c r="J4483" s="25" t="str">
        <f>IF(OR(E4483="",E4483="!!!",F4483="NEW"),"",COUNTBLANK(OFFSET(A$1,,,SUMPRODUCT(MAX(ROW(E$2:E4483)*(E4483=E$2:E4483)))))-COUNTBLANK(OFFSET(A$1,,,SUMPRODUCT(MAX(ROW(E$1:E4482)*(E2=E$1:E4482))))))</f>
        <v> </v>
      </c>
      <c r="K4483" s="25" t="str">
        <f>IF(OR(E4483="",E4483="!!!",F4483="NEW"),"",INDEX(J$1:J4482,SUMPRODUCT(MAX(ROW(E$1:E4482)*(E4483=E$1:E4482)))))</f>
        <v> </v>
      </c>
      <c r="L4483" s="26"/>
    </row>
    <row r="4484" spans="1:12">
      <c r="A4484" s="20" t="s">
        <v>769</v>
      </c>
      <c r="E4484" s="21">
        <f>IF(D4484="?OLD","!!!","")</f>
        <v/>
      </c>
      <c r="F4484" s="22" t="str">
        <f>IF(OR(E4484="",E4484="!!!"),"",IF(NOT(ISNA(VLOOKUP(E4484,E$1:E4483,1,FALSE()))),"OLD",IF(AND(E4484&lt;&gt;"",E4484&lt;&gt;"!!!"),"NEW","")))</f>
        <v> </v>
      </c>
      <c r="G4484" s="23" t="str">
        <f>IF(OR(E4484="",E4484="!!!"),"",IF(OR(J4484=0,AND(J4484=1,K4484=1),AND(J4484=1,I4484="SBJ"),AND(J4484=1,I4484=0)),"?IN_FOCUS",IF(J4484&lt;=2,"?ACTIVATED",IF(J4484&lt;&gt;"","?FAMILIAR",IF(F4484="NEW",IF(ISNA(VLOOKUP(E4484,#REF!,1,FALSE())),"?TYPE_IDENTIFIABLE","?REFERENTIAL"),"_")))))</f>
        <v> </v>
      </c>
      <c r="H4484" s="24" t="str">
        <f>IF(J4484&lt;&gt;1,"",IF(I4484="SBJ","CB","?"))</f>
        <v> </v>
      </c>
      <c r="I4484" s="25" t="str">
        <f>IF(OR(E4484="",E4484="!!!",F4484="NEW"),"",INDEX(B4483:B$2,-1+SUMPRODUCT(MAX(ROW(E4483:E$2)*(E4484=E4483:E$2)))))</f>
        <v> </v>
      </c>
      <c r="J4484" s="25" t="str">
        <f>IF(OR(E4484="",E4484="!!!",F4484="NEW"),"",COUNTBLANK(OFFSET(A$1,,,SUMPRODUCT(MAX(ROW(E$2:E4484)*(E4484=E$2:E4484)))))-COUNTBLANK(OFFSET(A$1,,,SUMPRODUCT(MAX(ROW(E$1:E4483)*(E2=E$1:E4483))))))</f>
        <v> </v>
      </c>
      <c r="K4484" s="25" t="str">
        <f>IF(OR(E4484="",E4484="!!!",F4484="NEW"),"",INDEX(J$1:J4483,SUMPRODUCT(MAX(ROW(E$1:E4483)*(E4484=E$1:E4483)))))</f>
        <v> </v>
      </c>
      <c r="L4484" s="26"/>
    </row>
    <row r="4485" spans="1:12">
      <c r="A4485" s="20" t="s">
        <v>1508</v>
      </c>
      <c r="B4485" s="27" t="s">
        <v>815</v>
      </c>
      <c r="C4485" s="27" t="s">
        <v>754</v>
      </c>
      <c r="E4485" s="21">
        <f>IF(D4485="?OLD","!!!","")</f>
        <v/>
      </c>
      <c r="F4485" s="22" t="str">
        <f>IF(OR(E4485="",E4485="!!!"),"",IF(NOT(ISNA(VLOOKUP(E4485,E$1:E4484,1,FALSE()))),"OLD",IF(AND(E4485&lt;&gt;"",E4485&lt;&gt;"!!!"),"NEW","")))</f>
        <v> </v>
      </c>
      <c r="G4485" s="23" t="str">
        <f>IF(OR(E4485="",E4485="!!!"),"",IF(OR(J4485=0,AND(J4485=1,K4485=1),AND(J4485=1,I4485="SBJ"),AND(J4485=1,I4485=0)),"?IN_FOCUS",IF(J4485&lt;=2,"?ACTIVATED",IF(J4485&lt;&gt;"","?FAMILIAR",IF(F4485="NEW",IF(ISNA(VLOOKUP(E4485,#REF!,1,FALSE())),"?TYPE_IDENTIFIABLE","?REFERENTIAL"),"_")))))</f>
        <v> </v>
      </c>
      <c r="H4485" s="24" t="str">
        <f>IF(J4485&lt;&gt;1,"",IF(I4485="SBJ","CB","?"))</f>
        <v> </v>
      </c>
      <c r="I4485" s="25" t="str">
        <f>IF(OR(E4485="",E4485="!!!",F4485="NEW"),"",INDEX(B4484:B$2,-1+SUMPRODUCT(MAX(ROW(E4484:E$2)*(E4485=E4484:E$2)))))</f>
        <v> </v>
      </c>
      <c r="J4485" s="25" t="str">
        <f>IF(OR(E4485="",E4485="!!!",F4485="NEW"),"",COUNTBLANK(OFFSET(A$1,,,SUMPRODUCT(MAX(ROW(E$2:E4485)*(E4485=E$2:E4485)))))-COUNTBLANK(OFFSET(A$1,,,SUMPRODUCT(MAX(ROW(E$1:E4484)*(E2=E$1:E4484))))))</f>
        <v> </v>
      </c>
      <c r="K4485" s="25" t="str">
        <f>IF(OR(E4485="",E4485="!!!",F4485="NEW"),"",INDEX(J$1:J4484,SUMPRODUCT(MAX(ROW(E$1:E4484)*(E4485=E$1:E4484)))))</f>
        <v> </v>
      </c>
      <c r="L4485" s="26"/>
    </row>
    <row r="4486" spans="1:12">
      <c r="A4486" s="20" t="s">
        <v>942</v>
      </c>
      <c r="E4486" s="21">
        <f>IF(D4486="?OLD","!!!","")</f>
        <v/>
      </c>
      <c r="F4486" s="22" t="str">
        <f>IF(OR(E4486="",E4486="!!!"),"",IF(NOT(ISNA(VLOOKUP(E4486,E$1:E4485,1,FALSE()))),"OLD",IF(AND(E4486&lt;&gt;"",E4486&lt;&gt;"!!!"),"NEW","")))</f>
        <v> </v>
      </c>
      <c r="G4486" s="23" t="str">
        <f>IF(OR(E4486="",E4486="!!!"),"",IF(OR(J4486=0,AND(J4486=1,K4486=1),AND(J4486=1,I4486="SBJ"),AND(J4486=1,I4486=0)),"?IN_FOCUS",IF(J4486&lt;=2,"?ACTIVATED",IF(J4486&lt;&gt;"","?FAMILIAR",IF(F4486="NEW",IF(ISNA(VLOOKUP(E4486,#REF!,1,FALSE())),"?TYPE_IDENTIFIABLE","?REFERENTIAL"),"_")))))</f>
        <v> </v>
      </c>
      <c r="H4486" s="24" t="str">
        <f>IF(J4486&lt;&gt;1,"",IF(I4486="SBJ","CB","?"))</f>
        <v> </v>
      </c>
      <c r="I4486" s="25" t="str">
        <f>IF(OR(E4486="",E4486="!!!",F4486="NEW"),"",INDEX(B4485:B$2,-1+SUMPRODUCT(MAX(ROW(E4485:E$2)*(E4486=E4485:E$2)))))</f>
        <v> </v>
      </c>
      <c r="J4486" s="25" t="str">
        <f>IF(OR(E4486="",E4486="!!!",F4486="NEW"),"",COUNTBLANK(OFFSET(A$1,,,SUMPRODUCT(MAX(ROW(E$2:E4486)*(E4486=E$2:E4486)))))-COUNTBLANK(OFFSET(A$1,,,SUMPRODUCT(MAX(ROW(E$1:E4485)*(E2=E$1:E4485))))))</f>
        <v> </v>
      </c>
      <c r="K4486" s="25" t="str">
        <f>IF(OR(E4486="",E4486="!!!",F4486="NEW"),"",INDEX(J$1:J4485,SUMPRODUCT(MAX(ROW(E$1:E4485)*(E4486=E$1:E4485)))))</f>
        <v> </v>
      </c>
      <c r="L4486" s="26"/>
    </row>
    <row r="4487" spans="1:12">
      <c r="A4487" s="20" t="s">
        <v>1978</v>
      </c>
      <c r="E4487" s="21">
        <f>IF(D4487="?OLD","!!!","")</f>
        <v/>
      </c>
      <c r="F4487" s="22" t="str">
        <f>IF(OR(E4487="",E4487="!!!"),"",IF(NOT(ISNA(VLOOKUP(E4487,E$1:E4486,1,FALSE()))),"OLD",IF(AND(E4487&lt;&gt;"",E4487&lt;&gt;"!!!"),"NEW","")))</f>
        <v> </v>
      </c>
      <c r="G4487" s="23" t="str">
        <f>IF(OR(E4487="",E4487="!!!"),"",IF(OR(J4487=0,AND(J4487=1,K4487=1),AND(J4487=1,I4487="SBJ"),AND(J4487=1,I4487=0)),"?IN_FOCUS",IF(J4487&lt;=2,"?ACTIVATED",IF(J4487&lt;&gt;"","?FAMILIAR",IF(F4487="NEW",IF(ISNA(VLOOKUP(E4487,#REF!,1,FALSE())),"?TYPE_IDENTIFIABLE","?REFERENTIAL"),"_")))))</f>
        <v> </v>
      </c>
      <c r="H4487" s="24" t="str">
        <f>IF(J4487&lt;&gt;1,"",IF(I4487="SBJ","CB","?"))</f>
        <v> </v>
      </c>
      <c r="I4487" s="25" t="str">
        <f>IF(OR(E4487="",E4487="!!!",F4487="NEW"),"",INDEX(B4486:B$2,-1+SUMPRODUCT(MAX(ROW(E4486:E$2)*(E4487=E4486:E$2)))))</f>
        <v> </v>
      </c>
      <c r="J4487" s="25" t="str">
        <f>IF(OR(E4487="",E4487="!!!",F4487="NEW"),"",COUNTBLANK(OFFSET(A$1,,,SUMPRODUCT(MAX(ROW(E$2:E4487)*(E4487=E$2:E4487)))))-COUNTBLANK(OFFSET(A$1,,,SUMPRODUCT(MAX(ROW(E$1:E4486)*(E2=E$1:E4486))))))</f>
        <v> </v>
      </c>
      <c r="K4487" s="25" t="str">
        <f>IF(OR(E4487="",E4487="!!!",F4487="NEW"),"",INDEX(J$1:J4486,SUMPRODUCT(MAX(ROW(E$1:E4486)*(E4487=E$1:E4486)))))</f>
        <v> </v>
      </c>
      <c r="L4487" s="26"/>
    </row>
    <row r="4488" spans="1:12">
      <c r="A4488" s="20" t="s">
        <v>758</v>
      </c>
      <c r="E4488" s="21">
        <f>IF(D4488="?OLD","!!!","")</f>
        <v/>
      </c>
      <c r="F4488" s="22" t="str">
        <f>IF(OR(E4488="",E4488="!!!"),"",IF(NOT(ISNA(VLOOKUP(E4488,E$1:E4487,1,FALSE()))),"OLD",IF(AND(E4488&lt;&gt;"",E4488&lt;&gt;"!!!"),"NEW","")))</f>
        <v> </v>
      </c>
      <c r="G4488" s="23" t="str">
        <f>IF(OR(E4488="",E4488="!!!"),"",IF(OR(J4488=0,AND(J4488=1,K4488=1),AND(J4488=1,I4488="SBJ"),AND(J4488=1,I4488=0)),"?IN_FOCUS",IF(J4488&lt;=2,"?ACTIVATED",IF(J4488&lt;&gt;"","?FAMILIAR",IF(F4488="NEW",IF(ISNA(VLOOKUP(E4488,#REF!,1,FALSE())),"?TYPE_IDENTIFIABLE","?REFERENTIAL"),"_")))))</f>
        <v> </v>
      </c>
      <c r="H4488" s="24" t="str">
        <f>IF(J4488&lt;&gt;1,"",IF(I4488="SBJ","CB","?"))</f>
        <v> </v>
      </c>
      <c r="I4488" s="25" t="str">
        <f>IF(OR(E4488="",E4488="!!!",F4488="NEW"),"",INDEX(B4487:B$2,-1+SUMPRODUCT(MAX(ROW(E4487:E$2)*(E4488=E4487:E$2)))))</f>
        <v> </v>
      </c>
      <c r="J4488" s="25" t="str">
        <f>IF(OR(E4488="",E4488="!!!",F4488="NEW"),"",COUNTBLANK(OFFSET(A$1,,,SUMPRODUCT(MAX(ROW(E$2:E4488)*(E4488=E$2:E4488)))))-COUNTBLANK(OFFSET(A$1,,,SUMPRODUCT(MAX(ROW(E$1:E4487)*(E2=E$1:E4487))))))</f>
        <v> </v>
      </c>
      <c r="K4488" s="25" t="str">
        <f>IF(OR(E4488="",E4488="!!!",F4488="NEW"),"",INDEX(J$1:J4487,SUMPRODUCT(MAX(ROW(E$1:E4487)*(E4488=E$1:E4487)))))</f>
        <v> </v>
      </c>
      <c r="L4488" s="26"/>
    </row>
    <row r="4489" spans="1:12">
      <c r="A4489" s="20" t="s">
        <v>1979</v>
      </c>
      <c r="B4489" s="27" t="s">
        <v>894</v>
      </c>
      <c r="C4489" s="27" t="s">
        <v>761</v>
      </c>
      <c r="D4489" s="27" t="s">
        <v>762</v>
      </c>
      <c r="E4489" s="21">
        <f>IF(D4489="?OLD","!!!","")</f>
        <v/>
      </c>
      <c r="F4489" s="22" t="str">
        <f>IF(OR(E4489="",E4489="!!!"),"",IF(NOT(ISNA(VLOOKUP(E4489,E$1:E4488,1,FALSE()))),"OLD",IF(AND(E4489&lt;&gt;"",E4489&lt;&gt;"!!!"),"NEW","")))</f>
        <v> </v>
      </c>
      <c r="G4489" s="23" t="str">
        <f>IF(OR(E4489="",E4489="!!!"),"",IF(OR(J4489=0,AND(J4489=1,K4489=1),AND(J4489=1,I4489="SBJ"),AND(J4489=1,I4489=0)),"?IN_FOCUS",IF(J4489&lt;=2,"?ACTIVATED",IF(J4489&lt;&gt;"","?FAMILIAR",IF(F4489="NEW",IF(ISNA(VLOOKUP(E4489,#REF!,1,FALSE())),"?TYPE_IDENTIFIABLE","?REFERENTIAL"),"_")))))</f>
        <v> </v>
      </c>
      <c r="H4489" s="24" t="str">
        <f>IF(J4489&lt;&gt;1,"",IF(I4489="SBJ","CB","?"))</f>
        <v> </v>
      </c>
      <c r="I4489" s="25" t="str">
        <f>IF(OR(E4489="",E4489="!!!",F4489="NEW"),"",INDEX(B4488:B$2,-1+SUMPRODUCT(MAX(ROW(E4488:E$2)*(E4489=E4488:E$2)))))</f>
        <v> </v>
      </c>
      <c r="J4489" s="25" t="str">
        <f>IF(OR(E4489="",E4489="!!!",F4489="NEW"),"",COUNTBLANK(OFFSET(A$1,,,SUMPRODUCT(MAX(ROW(E$2:E4489)*(E4489=E$2:E4489)))))-COUNTBLANK(OFFSET(A$1,,,SUMPRODUCT(MAX(ROW(E$1:E4488)*(E2=E$1:E4488))))))</f>
        <v> </v>
      </c>
      <c r="K4489" s="25" t="str">
        <f>IF(OR(E4489="",E4489="!!!",F4489="NEW"),"",INDEX(J$1:J4488,SUMPRODUCT(MAX(ROW(E$1:E4488)*(E4489=E$1:E4488)))))</f>
        <v> </v>
      </c>
      <c r="L4489" s="26"/>
    </row>
    <row r="4490" spans="1:12">
      <c r="A4490" s="20" t="s">
        <v>769</v>
      </c>
      <c r="E4490" s="21">
        <f>IF(D4490="?OLD","!!!","")</f>
        <v/>
      </c>
      <c r="F4490" s="22" t="str">
        <f>IF(OR(E4490="",E4490="!!!"),"",IF(NOT(ISNA(VLOOKUP(E4490,E$1:E4489,1,FALSE()))),"OLD",IF(AND(E4490&lt;&gt;"",E4490&lt;&gt;"!!!"),"NEW","")))</f>
        <v> </v>
      </c>
      <c r="G4490" s="23" t="str">
        <f>IF(OR(E4490="",E4490="!!!"),"",IF(OR(J4490=0,AND(J4490=1,K4490=1),AND(J4490=1,I4490="SBJ"),AND(J4490=1,I4490=0)),"?IN_FOCUS",IF(J4490&lt;=2,"?ACTIVATED",IF(J4490&lt;&gt;"","?FAMILIAR",IF(F4490="NEW",IF(ISNA(VLOOKUP(E4490,#REF!,1,FALSE())),"?TYPE_IDENTIFIABLE","?REFERENTIAL"),"_")))))</f>
        <v> </v>
      </c>
      <c r="H4490" s="24" t="str">
        <f>IF(J4490&lt;&gt;1,"",IF(I4490="SBJ","CB","?"))</f>
        <v> </v>
      </c>
      <c r="I4490" s="25" t="str">
        <f>IF(OR(E4490="",E4490="!!!",F4490="NEW"),"",INDEX(B4489:B$2,-1+SUMPRODUCT(MAX(ROW(E4489:E$2)*(E4490=E4489:E$2)))))</f>
        <v> </v>
      </c>
      <c r="J4490" s="25" t="str">
        <f>IF(OR(E4490="",E4490="!!!",F4490="NEW"),"",COUNTBLANK(OFFSET(A$1,,,SUMPRODUCT(MAX(ROW(E$2:E4490)*(E4490=E$2:E4490)))))-COUNTBLANK(OFFSET(A$1,,,SUMPRODUCT(MAX(ROW(E$1:E4489)*(E2=E$1:E4489))))))</f>
        <v> </v>
      </c>
      <c r="K4490" s="25" t="str">
        <f>IF(OR(E4490="",E4490="!!!",F4490="NEW"),"",INDEX(J$1:J4489,SUMPRODUCT(MAX(ROW(E$1:E4489)*(E4490=E$1:E4489)))))</f>
        <v> </v>
      </c>
      <c r="L4490" s="26"/>
    </row>
    <row r="4491" spans="1:12">
      <c r="A4491" s="20" t="s">
        <v>1980</v>
      </c>
      <c r="B4491" s="27" t="s">
        <v>901</v>
      </c>
      <c r="C4491" s="27" t="s">
        <v>754</v>
      </c>
      <c r="E4491" s="21">
        <f>IF(D4491="?OLD","!!!","")</f>
        <v/>
      </c>
      <c r="F4491" s="22" t="str">
        <f>IF(OR(E4491="",E4491="!!!"),"",IF(NOT(ISNA(VLOOKUP(E4491,E$1:E4490,1,FALSE()))),"OLD",IF(AND(E4491&lt;&gt;"",E4491&lt;&gt;"!!!"),"NEW","")))</f>
        <v> </v>
      </c>
      <c r="G4491" s="23" t="str">
        <f>IF(OR(E4491="",E4491="!!!"),"",IF(OR(J4491=0,AND(J4491=1,K4491=1),AND(J4491=1,I4491="SBJ"),AND(J4491=1,I4491=0)),"?IN_FOCUS",IF(J4491&lt;=2,"?ACTIVATED",IF(J4491&lt;&gt;"","?FAMILIAR",IF(F4491="NEW",IF(ISNA(VLOOKUP(E4491,#REF!,1,FALSE())),"?TYPE_IDENTIFIABLE","?REFERENTIAL"),"_")))))</f>
        <v> </v>
      </c>
      <c r="H4491" s="24" t="str">
        <f>IF(J4491&lt;&gt;1,"",IF(I4491="SBJ","CB","?"))</f>
        <v> </v>
      </c>
      <c r="I4491" s="25" t="str">
        <f>IF(OR(E4491="",E4491="!!!",F4491="NEW"),"",INDEX(B4490:B$2,-1+SUMPRODUCT(MAX(ROW(E4490:E$2)*(E4491=E4490:E$2)))))</f>
        <v> </v>
      </c>
      <c r="J4491" s="25" t="str">
        <f>IF(OR(E4491="",E4491="!!!",F4491="NEW"),"",COUNTBLANK(OFFSET(A$1,,,SUMPRODUCT(MAX(ROW(E$2:E4491)*(E4491=E$2:E4491)))))-COUNTBLANK(OFFSET(A$1,,,SUMPRODUCT(MAX(ROW(E$1:E4490)*(E2=E$1:E4490))))))</f>
        <v> </v>
      </c>
      <c r="K4491" s="25" t="str">
        <f>IF(OR(E4491="",E4491="!!!",F4491="NEW"),"",INDEX(J$1:J4490,SUMPRODUCT(MAX(ROW(E$1:E4490)*(E4491=E$1:E4490)))))</f>
        <v> </v>
      </c>
      <c r="L4491" s="26"/>
    </row>
    <row r="4492" spans="1:12">
      <c r="A4492" s="20" t="s">
        <v>774</v>
      </c>
      <c r="E4492" s="21">
        <f>IF(D4492="?OLD","!!!","")</f>
        <v/>
      </c>
      <c r="F4492" s="22" t="str">
        <f>IF(OR(E4492="",E4492="!!!"),"",IF(NOT(ISNA(VLOOKUP(E4492,E$1:E4491,1,FALSE()))),"OLD",IF(AND(E4492&lt;&gt;"",E4492&lt;&gt;"!!!"),"NEW","")))</f>
        <v> </v>
      </c>
      <c r="G4492" s="23" t="str">
        <f>IF(OR(E4492="",E4492="!!!"),"",IF(OR(J4492=0,AND(J4492=1,K4492=1),AND(J4492=1,I4492="SBJ"),AND(J4492=1,I4492=0)),"?IN_FOCUS",IF(J4492&lt;=2,"?ACTIVATED",IF(J4492&lt;&gt;"","?FAMILIAR",IF(F4492="NEW",IF(ISNA(VLOOKUP(E4492,#REF!,1,FALSE())),"?TYPE_IDENTIFIABLE","?REFERENTIAL"),"_")))))</f>
        <v> </v>
      </c>
      <c r="H4492" s="24" t="str">
        <f>IF(J4492&lt;&gt;1,"",IF(I4492="SBJ","CB","?"))</f>
        <v> </v>
      </c>
      <c r="I4492" s="25" t="str">
        <f>IF(OR(E4492="",E4492="!!!",F4492="NEW"),"",INDEX(B4491:B$2,-1+SUMPRODUCT(MAX(ROW(E4491:E$2)*(E4492=E4491:E$2)))))</f>
        <v> </v>
      </c>
      <c r="J4492" s="25" t="str">
        <f>IF(OR(E4492="",E4492="!!!",F4492="NEW"),"",COUNTBLANK(OFFSET(A$1,,,SUMPRODUCT(MAX(ROW(E$2:E4492)*(E4492=E$2:E4492)))))-COUNTBLANK(OFFSET(A$1,,,SUMPRODUCT(MAX(ROW(E$1:E4491)*(E2=E$1:E4491))))))</f>
        <v> </v>
      </c>
      <c r="K4492" s="25" t="str">
        <f>IF(OR(E4492="",E4492="!!!",F4492="NEW"),"",INDEX(J$1:J4491,SUMPRODUCT(MAX(ROW(E$1:E4491)*(E4492=E$1:E4491)))))</f>
        <v> </v>
      </c>
      <c r="L4492" s="26"/>
    </row>
    <row r="4493" spans="1:12">
      <c r="A4493" s="20"/>
    </row>
    <row r="4494" spans="1:12">
      <c r="A4494" s="20" t="s">
        <v>1981</v>
      </c>
    </row>
    <row r="4495" spans="1:12">
      <c r="A4495" s="20" t="s">
        <v>917</v>
      </c>
      <c r="E4495" s="21">
        <f>IF(D4495="?OLD","!!!","")</f>
        <v/>
      </c>
      <c r="F4495" s="22" t="str">
        <f>IF(OR(E4495="",E4495="!!!"),"",IF(NOT(ISNA(VLOOKUP(E4495,E$1:E4494,1,FALSE()))),"OLD",IF(AND(E4495&lt;&gt;"",E4495&lt;&gt;"!!!"),"NEW","")))</f>
        <v> </v>
      </c>
      <c r="G4495" s="23" t="str">
        <f>IF(OR(E4495="",E4495="!!!"),"",IF(OR(J4495=0,AND(J4495=1,K4495=1),AND(J4495=1,I4495="SBJ"),AND(J4495=1,I4495=0)),"?IN_FOCUS",IF(J4495&lt;=2,"?ACTIVATED",IF(J4495&lt;&gt;"","?FAMILIAR",IF(F4495="NEW",IF(ISNA(VLOOKUP(E4495,#REF!,1,FALSE())),"?TYPE_IDENTIFIABLE","?REFERENTIAL"),"_")))))</f>
        <v> </v>
      </c>
      <c r="H4495" s="24" t="str">
        <f>IF(J4495&lt;&gt;1,"",IF(I4495="SBJ","CB","?"))</f>
        <v> </v>
      </c>
      <c r="I4495" s="25" t="str">
        <f>IF(OR(E4495="",E4495="!!!",F4495="NEW"),"",INDEX(B4494:B$2,-1+SUMPRODUCT(MAX(ROW(E4494:E$2)*(E4495=E4494:E$2)))))</f>
        <v> </v>
      </c>
      <c r="J4495" s="25" t="str">
        <f>IF(OR(E4495="",E4495="!!!",F4495="NEW"),"",COUNTBLANK(OFFSET(A$1,,,SUMPRODUCT(MAX(ROW(E$2:E4495)*(E4495=E$2:E4495)))))-COUNTBLANK(OFFSET(A$1,,,SUMPRODUCT(MAX(ROW(E$1:E4494)*(E2=E$1:E4494))))))</f>
        <v> </v>
      </c>
      <c r="K4495" s="25" t="str">
        <f>IF(OR(E4495="",E4495="!!!",F4495="NEW"),"",INDEX(J$1:J4494,SUMPRODUCT(MAX(ROW(E$1:E4494)*(E4495=E$1:E4494)))))</f>
        <v> </v>
      </c>
      <c r="L4495" s="26"/>
    </row>
    <row r="4496" spans="1:12">
      <c r="A4496" s="20" t="s">
        <v>655</v>
      </c>
      <c r="B4496" s="27" t="s">
        <v>753</v>
      </c>
      <c r="C4496" s="27" t="s">
        <v>761</v>
      </c>
      <c r="D4496" s="27" t="s">
        <v>762</v>
      </c>
      <c r="E4496" s="21">
        <f>IF(D4496="?OLD","!!!","")</f>
        <v/>
      </c>
      <c r="F4496" s="22" t="str">
        <f>IF(OR(E4496="",E4496="!!!"),"",IF(NOT(ISNA(VLOOKUP(E4496,E$1:E4495,1,FALSE()))),"OLD",IF(AND(E4496&lt;&gt;"",E4496&lt;&gt;"!!!"),"NEW","")))</f>
        <v> </v>
      </c>
      <c r="G4496" s="23" t="str">
        <f>IF(OR(E4496="",E4496="!!!"),"",IF(OR(J4496=0,AND(J4496=1,K4496=1),AND(J4496=1,I4496="SBJ"),AND(J4496=1,I4496=0)),"?IN_FOCUS",IF(J4496&lt;=2,"?ACTIVATED",IF(J4496&lt;&gt;"","?FAMILIAR",IF(F4496="NEW",IF(ISNA(VLOOKUP(E4496,#REF!,1,FALSE())),"?TYPE_IDENTIFIABLE","?REFERENTIAL"),"_")))))</f>
        <v> </v>
      </c>
      <c r="H4496" s="24" t="str">
        <f>IF(J4496&lt;&gt;1,"",IF(I4496="SBJ","CB","?"))</f>
        <v> </v>
      </c>
      <c r="I4496" s="25" t="str">
        <f>IF(OR(E4496="",E4496="!!!",F4496="NEW"),"",INDEX(B4495:B$2,-1+SUMPRODUCT(MAX(ROW(E4495:E$2)*(E4496=E4495:E$2)))))</f>
        <v> </v>
      </c>
      <c r="J4496" s="25" t="str">
        <f>IF(OR(E4496="",E4496="!!!",F4496="NEW"),"",COUNTBLANK(OFFSET(A$1,,,SUMPRODUCT(MAX(ROW(E$2:E4496)*(E4496=E$2:E4496)))))-COUNTBLANK(OFFSET(A$1,,,SUMPRODUCT(MAX(ROW(E$1:E4495)*(E2=E$1:E4495))))))</f>
        <v> </v>
      </c>
      <c r="K4496" s="25" t="str">
        <f>IF(OR(E4496="",E4496="!!!",F4496="NEW"),"",INDEX(J$1:J4495,SUMPRODUCT(MAX(ROW(E$1:E4495)*(E4496=E$1:E4495)))))</f>
        <v> </v>
      </c>
      <c r="L4496" s="26"/>
    </row>
    <row r="4497" spans="1:12">
      <c r="A4497" s="20" t="s">
        <v>769</v>
      </c>
      <c r="E4497" s="21">
        <f>IF(D4497="?OLD","!!!","")</f>
        <v/>
      </c>
      <c r="F4497" s="22" t="str">
        <f>IF(OR(E4497="",E4497="!!!"),"",IF(NOT(ISNA(VLOOKUP(E4497,E$1:E4496,1,FALSE()))),"OLD",IF(AND(E4497&lt;&gt;"",E4497&lt;&gt;"!!!"),"NEW","")))</f>
        <v> </v>
      </c>
      <c r="G4497" s="23" t="str">
        <f>IF(OR(E4497="",E4497="!!!"),"",IF(OR(J4497=0,AND(J4497=1,K4497=1),AND(J4497=1,I4497="SBJ"),AND(J4497=1,I4497=0)),"?IN_FOCUS",IF(J4497&lt;=2,"?ACTIVATED",IF(J4497&lt;&gt;"","?FAMILIAR",IF(F4497="NEW",IF(ISNA(VLOOKUP(E4497,#REF!,1,FALSE())),"?TYPE_IDENTIFIABLE","?REFERENTIAL"),"_")))))</f>
        <v> </v>
      </c>
      <c r="H4497" s="24" t="str">
        <f>IF(J4497&lt;&gt;1,"",IF(I4497="SBJ","CB","?"))</f>
        <v> </v>
      </c>
      <c r="I4497" s="25" t="str">
        <f>IF(OR(E4497="",E4497="!!!",F4497="NEW"),"",INDEX(B4496:B$2,-1+SUMPRODUCT(MAX(ROW(E4496:E$2)*(E4497=E4496:E$2)))))</f>
        <v> </v>
      </c>
      <c r="J4497" s="25" t="str">
        <f>IF(OR(E4497="",E4497="!!!",F4497="NEW"),"",COUNTBLANK(OFFSET(A$1,,,SUMPRODUCT(MAX(ROW(E$2:E4497)*(E4497=E$2:E4497)))))-COUNTBLANK(OFFSET(A$1,,,SUMPRODUCT(MAX(ROW(E$1:E4496)*(E2=E$1:E4496))))))</f>
        <v> </v>
      </c>
      <c r="K4497" s="25" t="str">
        <f>IF(OR(E4497="",E4497="!!!",F4497="NEW"),"",INDEX(J$1:J4496,SUMPRODUCT(MAX(ROW(E$1:E4496)*(E4497=E$1:E4496)))))</f>
        <v> </v>
      </c>
      <c r="L4497" s="26"/>
    </row>
    <row r="4498" spans="1:12">
      <c r="A4498" s="20" t="s">
        <v>822</v>
      </c>
      <c r="E4498" s="21">
        <f>IF(D4498="?OLD","!!!","")</f>
        <v/>
      </c>
      <c r="F4498" s="22" t="str">
        <f>IF(OR(E4498="",E4498="!!!"),"",IF(NOT(ISNA(VLOOKUP(E4498,E$1:E4497,1,FALSE()))),"OLD",IF(AND(E4498&lt;&gt;"",E4498&lt;&gt;"!!!"),"NEW","")))</f>
        <v> </v>
      </c>
      <c r="G4498" s="23" t="str">
        <f>IF(OR(E4498="",E4498="!!!"),"",IF(OR(J4498=0,AND(J4498=1,K4498=1),AND(J4498=1,I4498="SBJ"),AND(J4498=1,I4498=0)),"?IN_FOCUS",IF(J4498&lt;=2,"?ACTIVATED",IF(J4498&lt;&gt;"","?FAMILIAR",IF(F4498="NEW",IF(ISNA(VLOOKUP(E4498,#REF!,1,FALSE())),"?TYPE_IDENTIFIABLE","?REFERENTIAL"),"_")))))</f>
        <v> </v>
      </c>
      <c r="H4498" s="24" t="str">
        <f>IF(J4498&lt;&gt;1,"",IF(I4498="SBJ","CB","?"))</f>
        <v> </v>
      </c>
      <c r="I4498" s="25" t="str">
        <f>IF(OR(E4498="",E4498="!!!",F4498="NEW"),"",INDEX(B4497:B$2,-1+SUMPRODUCT(MAX(ROW(E4497:E$2)*(E4498=E4497:E$2)))))</f>
        <v> </v>
      </c>
      <c r="J4498" s="25" t="str">
        <f>IF(OR(E4498="",E4498="!!!",F4498="NEW"),"",COUNTBLANK(OFFSET(A$1,,,SUMPRODUCT(MAX(ROW(E$2:E4498)*(E4498=E$2:E4498)))))-COUNTBLANK(OFFSET(A$1,,,SUMPRODUCT(MAX(ROW(E$1:E4497)*(E2=E$1:E4497))))))</f>
        <v> </v>
      </c>
      <c r="K4498" s="25" t="str">
        <f>IF(OR(E4498="",E4498="!!!",F4498="NEW"),"",INDEX(J$1:J4497,SUMPRODUCT(MAX(ROW(E$1:E4497)*(E4498=E$1:E4497)))))</f>
        <v> </v>
      </c>
      <c r="L4498" s="26"/>
    </row>
    <row r="4499" spans="1:12">
      <c r="A4499" s="20" t="s">
        <v>1381</v>
      </c>
      <c r="B4499" s="27" t="s">
        <v>753</v>
      </c>
      <c r="C4499" s="27" t="s">
        <v>761</v>
      </c>
      <c r="D4499" s="27" t="s">
        <v>762</v>
      </c>
      <c r="E4499" s="21">
        <f>IF(D4499="?OLD","!!!","")</f>
        <v/>
      </c>
      <c r="F4499" s="22" t="str">
        <f>IF(OR(E4499="",E4499="!!!"),"",IF(NOT(ISNA(VLOOKUP(E4499,E$1:E4498,1,FALSE()))),"OLD",IF(AND(E4499&lt;&gt;"",E4499&lt;&gt;"!!!"),"NEW","")))</f>
        <v> </v>
      </c>
      <c r="G4499" s="23" t="str">
        <f>IF(OR(E4499="",E4499="!!!"),"",IF(OR(J4499=0,AND(J4499=1,K4499=1),AND(J4499=1,I4499="SBJ"),AND(J4499=1,I4499=0)),"?IN_FOCUS",IF(J4499&lt;=2,"?ACTIVATED",IF(J4499&lt;&gt;"","?FAMILIAR",IF(F4499="NEW",IF(ISNA(VLOOKUP(E4499,#REF!,1,FALSE())),"?TYPE_IDENTIFIABLE","?REFERENTIAL"),"_")))))</f>
        <v> </v>
      </c>
      <c r="H4499" s="24" t="str">
        <f>IF(J4499&lt;&gt;1,"",IF(I4499="SBJ","CB","?"))</f>
        <v> </v>
      </c>
      <c r="I4499" s="25" t="str">
        <f>IF(OR(E4499="",E4499="!!!",F4499="NEW"),"",INDEX(B4498:B$2,-1+SUMPRODUCT(MAX(ROW(E4498:E$2)*(E4499=E4498:E$2)))))</f>
        <v> </v>
      </c>
      <c r="J4499" s="25" t="str">
        <f>IF(OR(E4499="",E4499="!!!",F4499="NEW"),"",COUNTBLANK(OFFSET(A$1,,,SUMPRODUCT(MAX(ROW(E$2:E4499)*(E4499=E$2:E4499)))))-COUNTBLANK(OFFSET(A$1,,,SUMPRODUCT(MAX(ROW(E$1:E4498)*(E2=E$1:E4498))))))</f>
        <v> </v>
      </c>
      <c r="K4499" s="25" t="str">
        <f>IF(OR(E4499="",E4499="!!!",F4499="NEW"),"",INDEX(J$1:J4498,SUMPRODUCT(MAX(ROW(E$1:E4498)*(E4499=E$1:E4498)))))</f>
        <v> </v>
      </c>
      <c r="L4499" s="26"/>
    </row>
    <row r="4500" spans="1:12">
      <c r="A4500" s="20" t="s">
        <v>1050</v>
      </c>
      <c r="E4500" s="21">
        <f>IF(D4500="?OLD","!!!","")</f>
        <v/>
      </c>
      <c r="F4500" s="22" t="str">
        <f>IF(OR(E4500="",E4500="!!!"),"",IF(NOT(ISNA(VLOOKUP(E4500,E$1:E4499,1,FALSE()))),"OLD",IF(AND(E4500&lt;&gt;"",E4500&lt;&gt;"!!!"),"NEW","")))</f>
        <v> </v>
      </c>
      <c r="G4500" s="23" t="str">
        <f>IF(OR(E4500="",E4500="!!!"),"",IF(OR(J4500=0,AND(J4500=1,K4500=1),AND(J4500=1,I4500="SBJ"),AND(J4500=1,I4500=0)),"?IN_FOCUS",IF(J4500&lt;=2,"?ACTIVATED",IF(J4500&lt;&gt;"","?FAMILIAR",IF(F4500="NEW",IF(ISNA(VLOOKUP(E4500,#REF!,1,FALSE())),"?TYPE_IDENTIFIABLE","?REFERENTIAL"),"_")))))</f>
        <v> </v>
      </c>
      <c r="H4500" s="24" t="str">
        <f>IF(J4500&lt;&gt;1,"",IF(I4500="SBJ","CB","?"))</f>
        <v> </v>
      </c>
      <c r="I4500" s="25" t="str">
        <f>IF(OR(E4500="",E4500="!!!",F4500="NEW"),"",INDEX(B4499:B$2,-1+SUMPRODUCT(MAX(ROW(E4499:E$2)*(E4500=E4499:E$2)))))</f>
        <v> </v>
      </c>
      <c r="J4500" s="25" t="str">
        <f>IF(OR(E4500="",E4500="!!!",F4500="NEW"),"",COUNTBLANK(OFFSET(A$1,,,SUMPRODUCT(MAX(ROW(E$2:E4500)*(E4500=E$2:E4500)))))-COUNTBLANK(OFFSET(A$1,,,SUMPRODUCT(MAX(ROW(E$1:E4499)*(E2=E$1:E4499))))))</f>
        <v> </v>
      </c>
      <c r="K4500" s="25" t="str">
        <f>IF(OR(E4500="",E4500="!!!",F4500="NEW"),"",INDEX(J$1:J4499,SUMPRODUCT(MAX(ROW(E$1:E4499)*(E4500=E$1:E4499)))))</f>
        <v> </v>
      </c>
      <c r="L4500" s="26"/>
    </row>
    <row r="4501" spans="1:12">
      <c r="A4501" s="20" t="s">
        <v>965</v>
      </c>
      <c r="B4501" s="27" t="s">
        <v>815</v>
      </c>
      <c r="C4501" s="27" t="s">
        <v>851</v>
      </c>
      <c r="D4501" s="27" t="s">
        <v>762</v>
      </c>
      <c r="E4501" s="21">
        <f>IF(D4501="?OLD","!!!","")</f>
        <v/>
      </c>
      <c r="F4501" s="22" t="str">
        <f>IF(OR(E4501="",E4501="!!!"),"",IF(NOT(ISNA(VLOOKUP(E4501,E$1:E4500,1,FALSE()))),"OLD",IF(AND(E4501&lt;&gt;"",E4501&lt;&gt;"!!!"),"NEW","")))</f>
        <v> </v>
      </c>
      <c r="G4501" s="23" t="str">
        <f>IF(OR(E4501="",E4501="!!!"),"",IF(OR(J4501=0,AND(J4501=1,K4501=1),AND(J4501=1,I4501="SBJ"),AND(J4501=1,I4501=0)),"?IN_FOCUS",IF(J4501&lt;=2,"?ACTIVATED",IF(J4501&lt;&gt;"","?FAMILIAR",IF(F4501="NEW",IF(ISNA(VLOOKUP(E4501,#REF!,1,FALSE())),"?TYPE_IDENTIFIABLE","?REFERENTIAL"),"_")))))</f>
        <v> </v>
      </c>
      <c r="H4501" s="24" t="str">
        <f>IF(J4501&lt;&gt;1,"",IF(I4501="SBJ","CB","?"))</f>
        <v> </v>
      </c>
      <c r="I4501" s="25" t="str">
        <f>IF(OR(E4501="",E4501="!!!",F4501="NEW"),"",INDEX(B4500:B$2,-1+SUMPRODUCT(MAX(ROW(E4500:E$2)*(E4501=E4500:E$2)))))</f>
        <v> </v>
      </c>
      <c r="J4501" s="25" t="str">
        <f>IF(OR(E4501="",E4501="!!!",F4501="NEW"),"",COUNTBLANK(OFFSET(A$1,,,SUMPRODUCT(MAX(ROW(E$2:E4501)*(E4501=E$2:E4501)))))-COUNTBLANK(OFFSET(A$1,,,SUMPRODUCT(MAX(ROW(E$1:E4500)*(E2=E$1:E4500))))))</f>
        <v> </v>
      </c>
      <c r="K4501" s="25" t="str">
        <f>IF(OR(E4501="",E4501="!!!",F4501="NEW"),"",INDEX(J$1:J4500,SUMPRODUCT(MAX(ROW(E$1:E4500)*(E4501=E$1:E4500)))))</f>
        <v> </v>
      </c>
      <c r="L4501" s="26"/>
    </row>
    <row r="4502" spans="1:12">
      <c r="A4502" s="20" t="s">
        <v>1320</v>
      </c>
      <c r="B4502" s="27" t="s">
        <v>941</v>
      </c>
      <c r="C4502" s="27" t="s">
        <v>837</v>
      </c>
      <c r="D4502" s="27" t="s">
        <v>762</v>
      </c>
      <c r="E4502" s="21">
        <f>IF(D4502="?OLD","!!!","")</f>
        <v/>
      </c>
      <c r="F4502" s="22" t="str">
        <f>IF(OR(E4502="",E4502="!!!"),"",IF(NOT(ISNA(VLOOKUP(E4502,E$1:E4501,1,FALSE()))),"OLD",IF(AND(E4502&lt;&gt;"",E4502&lt;&gt;"!!!"),"NEW","")))</f>
        <v> </v>
      </c>
      <c r="G4502" s="23" t="str">
        <f>IF(OR(E4502="",E4502="!!!"),"",IF(OR(J4502=0,AND(J4502=1,K4502=1),AND(J4502=1,I4502="SBJ"),AND(J4502=1,I4502=0)),"?IN_FOCUS",IF(J4502&lt;=2,"?ACTIVATED",IF(J4502&lt;&gt;"","?FAMILIAR",IF(F4502="NEW",IF(ISNA(VLOOKUP(E4502,#REF!,1,FALSE())),"?TYPE_IDENTIFIABLE","?REFERENTIAL"),"_")))))</f>
        <v> </v>
      </c>
      <c r="H4502" s="24" t="str">
        <f>IF(J4502&lt;&gt;1,"",IF(I4502="SBJ","CB","?"))</f>
        <v> </v>
      </c>
      <c r="I4502" s="25" t="str">
        <f>IF(OR(E4502="",E4502="!!!",F4502="NEW"),"",INDEX(B4501:B$2,-1+SUMPRODUCT(MAX(ROW(E4501:E$2)*(E4502=E4501:E$2)))))</f>
        <v> </v>
      </c>
      <c r="J4502" s="25" t="str">
        <f>IF(OR(E4502="",E4502="!!!",F4502="NEW"),"",COUNTBLANK(OFFSET(A$1,,,SUMPRODUCT(MAX(ROW(E$2:E4502)*(E4502=E$2:E4502)))))-COUNTBLANK(OFFSET(A$1,,,SUMPRODUCT(MAX(ROW(E$1:E4501)*(E2=E$1:E4501))))))</f>
        <v> </v>
      </c>
      <c r="K4502" s="25" t="str">
        <f>IF(OR(E4502="",E4502="!!!",F4502="NEW"),"",INDEX(J$1:J4501,SUMPRODUCT(MAX(ROW(E$1:E4501)*(E4502=E$1:E4501)))))</f>
        <v> </v>
      </c>
      <c r="L4502" s="26"/>
    </row>
    <row r="4503" spans="1:12">
      <c r="A4503" s="20" t="s">
        <v>778</v>
      </c>
      <c r="E4503" s="21">
        <f>IF(D4503="?OLD","!!!","")</f>
        <v/>
      </c>
      <c r="F4503" s="22" t="str">
        <f>IF(OR(E4503="",E4503="!!!"),"",IF(NOT(ISNA(VLOOKUP(E4503,E$1:E4502,1,FALSE()))),"OLD",IF(AND(E4503&lt;&gt;"",E4503&lt;&gt;"!!!"),"NEW","")))</f>
        <v> </v>
      </c>
      <c r="G4503" s="23" t="str">
        <f>IF(OR(E4503="",E4503="!!!"),"",IF(OR(J4503=0,AND(J4503=1,K4503=1),AND(J4503=1,I4503="SBJ"),AND(J4503=1,I4503=0)),"?IN_FOCUS",IF(J4503&lt;=2,"?ACTIVATED",IF(J4503&lt;&gt;"","?FAMILIAR",IF(F4503="NEW",IF(ISNA(VLOOKUP(E4503,#REF!,1,FALSE())),"?TYPE_IDENTIFIABLE","?REFERENTIAL"),"_")))))</f>
        <v> </v>
      </c>
      <c r="H4503" s="24" t="str">
        <f>IF(J4503&lt;&gt;1,"",IF(I4503="SBJ","CB","?"))</f>
        <v> </v>
      </c>
      <c r="I4503" s="25" t="str">
        <f>IF(OR(E4503="",E4503="!!!",F4503="NEW"),"",INDEX(B4502:B$2,-1+SUMPRODUCT(MAX(ROW(E4502:E$2)*(E4503=E4502:E$2)))))</f>
        <v> </v>
      </c>
      <c r="J4503" s="25" t="str">
        <f>IF(OR(E4503="",E4503="!!!",F4503="NEW"),"",COUNTBLANK(OFFSET(A$1,,,SUMPRODUCT(MAX(ROW(E$2:E4503)*(E4503=E$2:E4503)))))-COUNTBLANK(OFFSET(A$1,,,SUMPRODUCT(MAX(ROW(E$1:E4502)*(E2=E$1:E4502))))))</f>
        <v> </v>
      </c>
      <c r="K4503" s="25" t="str">
        <f>IF(OR(E4503="",E4503="!!!",F4503="NEW"),"",INDEX(J$1:J4502,SUMPRODUCT(MAX(ROW(E$1:E4502)*(E4503=E$1:E4502)))))</f>
        <v> </v>
      </c>
      <c r="L4503" s="26"/>
    </row>
    <row r="4504" spans="1:12">
      <c r="A4504" s="20" t="s">
        <v>1294</v>
      </c>
      <c r="E4504" s="21">
        <f>IF(D4504="?OLD","!!!","")</f>
        <v/>
      </c>
      <c r="F4504" s="22" t="str">
        <f>IF(OR(E4504="",E4504="!!!"),"",IF(NOT(ISNA(VLOOKUP(E4504,E$1:E4503,1,FALSE()))),"OLD",IF(AND(E4504&lt;&gt;"",E4504&lt;&gt;"!!!"),"NEW","")))</f>
        <v> </v>
      </c>
      <c r="G4504" s="23" t="str">
        <f>IF(OR(E4504="",E4504="!!!"),"",IF(OR(J4504=0,AND(J4504=1,K4504=1),AND(J4504=1,I4504="SBJ"),AND(J4504=1,I4504=0)),"?IN_FOCUS",IF(J4504&lt;=2,"?ACTIVATED",IF(J4504&lt;&gt;"","?FAMILIAR",IF(F4504="NEW",IF(ISNA(VLOOKUP(E4504,#REF!,1,FALSE())),"?TYPE_IDENTIFIABLE","?REFERENTIAL"),"_")))))</f>
        <v> </v>
      </c>
      <c r="H4504" s="24" t="str">
        <f>IF(J4504&lt;&gt;1,"",IF(I4504="SBJ","CB","?"))</f>
        <v> </v>
      </c>
      <c r="I4504" s="25" t="str">
        <f>IF(OR(E4504="",E4504="!!!",F4504="NEW"),"",INDEX(B4503:B$2,-1+SUMPRODUCT(MAX(ROW(E4503:E$2)*(E4504=E4503:E$2)))))</f>
        <v> </v>
      </c>
      <c r="J4504" s="25" t="str">
        <f>IF(OR(E4504="",E4504="!!!",F4504="NEW"),"",COUNTBLANK(OFFSET(A$1,,,SUMPRODUCT(MAX(ROW(E$2:E4504)*(E4504=E$2:E4504)))))-COUNTBLANK(OFFSET(A$1,,,SUMPRODUCT(MAX(ROW(E$1:E4503)*(E2=E$1:E4503))))))</f>
        <v> </v>
      </c>
      <c r="K4504" s="25" t="str">
        <f>IF(OR(E4504="",E4504="!!!",F4504="NEW"),"",INDEX(J$1:J4503,SUMPRODUCT(MAX(ROW(E$1:E4503)*(E4504=E$1:E4503)))))</f>
        <v> </v>
      </c>
      <c r="L4504" s="26"/>
    </row>
    <row r="4505" spans="1:12">
      <c r="A4505" s="20" t="s">
        <v>757</v>
      </c>
      <c r="E4505" s="21">
        <f>IF(D4505="?OLD","!!!","")</f>
        <v/>
      </c>
      <c r="F4505" s="22" t="str">
        <f>IF(OR(E4505="",E4505="!!!"),"",IF(NOT(ISNA(VLOOKUP(E4505,E$1:E4504,1,FALSE()))),"OLD",IF(AND(E4505&lt;&gt;"",E4505&lt;&gt;"!!!"),"NEW","")))</f>
        <v> </v>
      </c>
      <c r="G4505" s="23" t="str">
        <f>IF(OR(E4505="",E4505="!!!"),"",IF(OR(J4505=0,AND(J4505=1,K4505=1),AND(J4505=1,I4505="SBJ"),AND(J4505=1,I4505=0)),"?IN_FOCUS",IF(J4505&lt;=2,"?ACTIVATED",IF(J4505&lt;&gt;"","?FAMILIAR",IF(F4505="NEW",IF(ISNA(VLOOKUP(E4505,#REF!,1,FALSE())),"?TYPE_IDENTIFIABLE","?REFERENTIAL"),"_")))))</f>
        <v> </v>
      </c>
      <c r="H4505" s="24" t="str">
        <f>IF(J4505&lt;&gt;1,"",IF(I4505="SBJ","CB","?"))</f>
        <v> </v>
      </c>
      <c r="I4505" s="25" t="str">
        <f>IF(OR(E4505="",E4505="!!!",F4505="NEW"),"",INDEX(B4504:B$2,-1+SUMPRODUCT(MAX(ROW(E4504:E$2)*(E4505=E4504:E$2)))))</f>
        <v> </v>
      </c>
      <c r="J4505" s="25" t="str">
        <f>IF(OR(E4505="",E4505="!!!",F4505="NEW"),"",COUNTBLANK(OFFSET(A$1,,,SUMPRODUCT(MAX(ROW(E$2:E4505)*(E4505=E$2:E4505)))))-COUNTBLANK(OFFSET(A$1,,,SUMPRODUCT(MAX(ROW(E$1:E4504)*(E2=E$1:E4504))))))</f>
        <v> </v>
      </c>
      <c r="K4505" s="25" t="str">
        <f>IF(OR(E4505="",E4505="!!!",F4505="NEW"),"",INDEX(J$1:J4504,SUMPRODUCT(MAX(ROW(E$1:E4504)*(E4505=E$1:E4504)))))</f>
        <v> </v>
      </c>
      <c r="L4505" s="26"/>
    </row>
    <row r="4506" spans="1:12">
      <c r="A4506" s="20" t="s">
        <v>770</v>
      </c>
      <c r="E4506" s="21">
        <f>IF(D4506="?OLD","!!!","")</f>
        <v/>
      </c>
      <c r="F4506" s="22" t="str">
        <f>IF(OR(E4506="",E4506="!!!"),"",IF(NOT(ISNA(VLOOKUP(E4506,E$1:E4505,1,FALSE()))),"OLD",IF(AND(E4506&lt;&gt;"",E4506&lt;&gt;"!!!"),"NEW","")))</f>
        <v> </v>
      </c>
      <c r="G4506" s="23" t="str">
        <f>IF(OR(E4506="",E4506="!!!"),"",IF(OR(J4506=0,AND(J4506=1,K4506=1),AND(J4506=1,I4506="SBJ"),AND(J4506=1,I4506=0)),"?IN_FOCUS",IF(J4506&lt;=2,"?ACTIVATED",IF(J4506&lt;&gt;"","?FAMILIAR",IF(F4506="NEW",IF(ISNA(VLOOKUP(E4506,#REF!,1,FALSE())),"?TYPE_IDENTIFIABLE","?REFERENTIAL"),"_")))))</f>
        <v> </v>
      </c>
      <c r="H4506" s="24" t="str">
        <f>IF(J4506&lt;&gt;1,"",IF(I4506="SBJ","CB","?"))</f>
        <v> </v>
      </c>
      <c r="I4506" s="25" t="str">
        <f>IF(OR(E4506="",E4506="!!!",F4506="NEW"),"",INDEX(B4505:B$2,-1+SUMPRODUCT(MAX(ROW(E4505:E$2)*(E4506=E4505:E$2)))))</f>
        <v> </v>
      </c>
      <c r="J4506" s="25" t="str">
        <f>IF(OR(E4506="",E4506="!!!",F4506="NEW"),"",COUNTBLANK(OFFSET(A$1,,,SUMPRODUCT(MAX(ROW(E$2:E4506)*(E4506=E$2:E4506)))))-COUNTBLANK(OFFSET(A$1,,,SUMPRODUCT(MAX(ROW(E$1:E4505)*(E2=E$1:E4505))))))</f>
        <v> </v>
      </c>
      <c r="K4506" s="25" t="str">
        <f>IF(OR(E4506="",E4506="!!!",F4506="NEW"),"",INDEX(J$1:J4505,SUMPRODUCT(MAX(ROW(E$1:E4505)*(E4506=E$1:E4505)))))</f>
        <v> </v>
      </c>
      <c r="L4506" s="26"/>
    </row>
    <row r="4507" spans="1:12">
      <c r="A4507" s="20" t="s">
        <v>1982</v>
      </c>
      <c r="B4507" s="27" t="s">
        <v>956</v>
      </c>
      <c r="C4507" s="27" t="s">
        <v>761</v>
      </c>
      <c r="D4507" s="27" t="s">
        <v>762</v>
      </c>
      <c r="E4507" s="21">
        <f>IF(D4507="?OLD","!!!","")</f>
        <v/>
      </c>
      <c r="F4507" s="22" t="str">
        <f>IF(OR(E4507="",E4507="!!!"),"",IF(NOT(ISNA(VLOOKUP(E4507,E$1:E4506,1,FALSE()))),"OLD",IF(AND(E4507&lt;&gt;"",E4507&lt;&gt;"!!!"),"NEW","")))</f>
        <v> </v>
      </c>
      <c r="G4507" s="23" t="str">
        <f>IF(OR(E4507="",E4507="!!!"),"",IF(OR(J4507=0,AND(J4507=1,K4507=1),AND(J4507=1,I4507="SBJ"),AND(J4507=1,I4507=0)),"?IN_FOCUS",IF(J4507&lt;=2,"?ACTIVATED",IF(J4507&lt;&gt;"","?FAMILIAR",IF(F4507="NEW",IF(ISNA(VLOOKUP(E4507,#REF!,1,FALSE())),"?TYPE_IDENTIFIABLE","?REFERENTIAL"),"_")))))</f>
        <v> </v>
      </c>
      <c r="H4507" s="24" t="str">
        <f>IF(J4507&lt;&gt;1,"",IF(I4507="SBJ","CB","?"))</f>
        <v> </v>
      </c>
      <c r="I4507" s="25" t="str">
        <f>IF(OR(E4507="",E4507="!!!",F4507="NEW"),"",INDEX(B4506:B$2,-1+SUMPRODUCT(MAX(ROW(E4506:E$2)*(E4507=E4506:E$2)))))</f>
        <v> </v>
      </c>
      <c r="J4507" s="25" t="str">
        <f>IF(OR(E4507="",E4507="!!!",F4507="NEW"),"",COUNTBLANK(OFFSET(A$1,,,SUMPRODUCT(MAX(ROW(E$2:E4507)*(E4507=E$2:E4507)))))-COUNTBLANK(OFFSET(A$1,,,SUMPRODUCT(MAX(ROW(E$1:E4506)*(E2=E$1:E4506))))))</f>
        <v> </v>
      </c>
      <c r="K4507" s="25" t="str">
        <f>IF(OR(E4507="",E4507="!!!",F4507="NEW"),"",INDEX(J$1:J4506,SUMPRODUCT(MAX(ROW(E$1:E4506)*(E4507=E$1:E4506)))))</f>
        <v> </v>
      </c>
      <c r="L4507" s="26"/>
    </row>
    <row r="4508" spans="1:12">
      <c r="A4508" s="20" t="s">
        <v>778</v>
      </c>
      <c r="E4508" s="21">
        <f>IF(D4508="?OLD","!!!","")</f>
        <v/>
      </c>
      <c r="F4508" s="22" t="str">
        <f>IF(OR(E4508="",E4508="!!!"),"",IF(NOT(ISNA(VLOOKUP(E4508,E$1:E4507,1,FALSE()))),"OLD",IF(AND(E4508&lt;&gt;"",E4508&lt;&gt;"!!!"),"NEW","")))</f>
        <v> </v>
      </c>
      <c r="G4508" s="23" t="str">
        <f>IF(OR(E4508="",E4508="!!!"),"",IF(OR(J4508=0,AND(J4508=1,K4508=1),AND(J4508=1,I4508="SBJ"),AND(J4508=1,I4508=0)),"?IN_FOCUS",IF(J4508&lt;=2,"?ACTIVATED",IF(J4508&lt;&gt;"","?FAMILIAR",IF(F4508="NEW",IF(ISNA(VLOOKUP(E4508,#REF!,1,FALSE())),"?TYPE_IDENTIFIABLE","?REFERENTIAL"),"_")))))</f>
        <v> </v>
      </c>
      <c r="H4508" s="24" t="str">
        <f>IF(J4508&lt;&gt;1,"",IF(I4508="SBJ","CB","?"))</f>
        <v> </v>
      </c>
      <c r="I4508" s="25" t="str">
        <f>IF(OR(E4508="",E4508="!!!",F4508="NEW"),"",INDEX(B4507:B$2,-1+SUMPRODUCT(MAX(ROW(E4507:E$2)*(E4508=E4507:E$2)))))</f>
        <v> </v>
      </c>
      <c r="J4508" s="25" t="str">
        <f>IF(OR(E4508="",E4508="!!!",F4508="NEW"),"",COUNTBLANK(OFFSET(A$1,,,SUMPRODUCT(MAX(ROW(E$2:E4508)*(E4508=E$2:E4508)))))-COUNTBLANK(OFFSET(A$1,,,SUMPRODUCT(MAX(ROW(E$1:E4507)*(E2=E$1:E4507))))))</f>
        <v> </v>
      </c>
      <c r="K4508" s="25" t="str">
        <f>IF(OR(E4508="",E4508="!!!",F4508="NEW"),"",INDEX(J$1:J4507,SUMPRODUCT(MAX(ROW(E$1:E4507)*(E4508=E$1:E4507)))))</f>
        <v> </v>
      </c>
      <c r="L4508" s="26"/>
    </row>
    <row r="4509" spans="1:12">
      <c r="A4509" s="20" t="s">
        <v>1983</v>
      </c>
      <c r="E4509" s="21">
        <f>IF(D4509="?OLD","!!!","")</f>
        <v/>
      </c>
      <c r="F4509" s="22" t="str">
        <f>IF(OR(E4509="",E4509="!!!"),"",IF(NOT(ISNA(VLOOKUP(E4509,E$1:E4508,1,FALSE()))),"OLD",IF(AND(E4509&lt;&gt;"",E4509&lt;&gt;"!!!"),"NEW","")))</f>
        <v> </v>
      </c>
      <c r="G4509" s="23" t="str">
        <f>IF(OR(E4509="",E4509="!!!"),"",IF(OR(J4509=0,AND(J4509=1,K4509=1),AND(J4509=1,I4509="SBJ"),AND(J4509=1,I4509=0)),"?IN_FOCUS",IF(J4509&lt;=2,"?ACTIVATED",IF(J4509&lt;&gt;"","?FAMILIAR",IF(F4509="NEW",IF(ISNA(VLOOKUP(E4509,#REF!,1,FALSE())),"?TYPE_IDENTIFIABLE","?REFERENTIAL"),"_")))))</f>
        <v> </v>
      </c>
      <c r="H4509" s="24" t="str">
        <f>IF(J4509&lt;&gt;1,"",IF(I4509="SBJ","CB","?"))</f>
        <v> </v>
      </c>
      <c r="I4509" s="25" t="str">
        <f>IF(OR(E4509="",E4509="!!!",F4509="NEW"),"",INDEX(B4508:B$2,-1+SUMPRODUCT(MAX(ROW(E4508:E$2)*(E4509=E4508:E$2)))))</f>
        <v> </v>
      </c>
      <c r="J4509" s="25" t="str">
        <f>IF(OR(E4509="",E4509="!!!",F4509="NEW"),"",COUNTBLANK(OFFSET(A$1,,,SUMPRODUCT(MAX(ROW(E$2:E4509)*(E4509=E$2:E4509)))))-COUNTBLANK(OFFSET(A$1,,,SUMPRODUCT(MAX(ROW(E$1:E4508)*(E2=E$1:E4508))))))</f>
        <v> </v>
      </c>
      <c r="K4509" s="25" t="str">
        <f>IF(OR(E4509="",E4509="!!!",F4509="NEW"),"",INDEX(J$1:J4508,SUMPRODUCT(MAX(ROW(E$1:E4508)*(E4509=E$1:E4508)))))</f>
        <v> </v>
      </c>
      <c r="L4509" s="26"/>
    </row>
    <row r="4510" spans="1:12">
      <c r="A4510" s="20" t="s">
        <v>872</v>
      </c>
      <c r="E4510" s="21">
        <f>IF(D4510="?OLD","!!!","")</f>
        <v/>
      </c>
      <c r="F4510" s="22" t="str">
        <f>IF(OR(E4510="",E4510="!!!"),"",IF(NOT(ISNA(VLOOKUP(E4510,E$1:E4509,1,FALSE()))),"OLD",IF(AND(E4510&lt;&gt;"",E4510&lt;&gt;"!!!"),"NEW","")))</f>
        <v> </v>
      </c>
      <c r="G4510" s="23" t="str">
        <f>IF(OR(E4510="",E4510="!!!"),"",IF(OR(J4510=0,AND(J4510=1,K4510=1),AND(J4510=1,I4510="SBJ"),AND(J4510=1,I4510=0)),"?IN_FOCUS",IF(J4510&lt;=2,"?ACTIVATED",IF(J4510&lt;&gt;"","?FAMILIAR",IF(F4510="NEW",IF(ISNA(VLOOKUP(E4510,#REF!,1,FALSE())),"?TYPE_IDENTIFIABLE","?REFERENTIAL"),"_")))))</f>
        <v> </v>
      </c>
      <c r="H4510" s="24" t="str">
        <f>IF(J4510&lt;&gt;1,"",IF(I4510="SBJ","CB","?"))</f>
        <v> </v>
      </c>
      <c r="I4510" s="25" t="str">
        <f>IF(OR(E4510="",E4510="!!!",F4510="NEW"),"",INDEX(B4509:B$2,-1+SUMPRODUCT(MAX(ROW(E4509:E$2)*(E4510=E4509:E$2)))))</f>
        <v> </v>
      </c>
      <c r="J4510" s="25" t="str">
        <f>IF(OR(E4510="",E4510="!!!",F4510="NEW"),"",COUNTBLANK(OFFSET(A$1,,,SUMPRODUCT(MAX(ROW(E$2:E4510)*(E4510=E$2:E4510)))))-COUNTBLANK(OFFSET(A$1,,,SUMPRODUCT(MAX(ROW(E$1:E4509)*(E2=E$1:E4509))))))</f>
        <v> </v>
      </c>
      <c r="K4510" s="25" t="str">
        <f>IF(OR(E4510="",E4510="!!!",F4510="NEW"),"",INDEX(J$1:J4509,SUMPRODUCT(MAX(ROW(E$1:E4509)*(E4510=E$1:E4509)))))</f>
        <v> </v>
      </c>
      <c r="L4510" s="26"/>
    </row>
    <row r="4511" spans="1:12">
      <c r="A4511" s="20" t="s">
        <v>770</v>
      </c>
      <c r="E4511" s="21">
        <f>IF(D4511="?OLD","!!!","")</f>
        <v/>
      </c>
      <c r="F4511" s="22" t="str">
        <f>IF(OR(E4511="",E4511="!!!"),"",IF(NOT(ISNA(VLOOKUP(E4511,E$1:E4510,1,FALSE()))),"OLD",IF(AND(E4511&lt;&gt;"",E4511&lt;&gt;"!!!"),"NEW","")))</f>
        <v> </v>
      </c>
      <c r="G4511" s="23" t="str">
        <f>IF(OR(E4511="",E4511="!!!"),"",IF(OR(J4511=0,AND(J4511=1,K4511=1),AND(J4511=1,I4511="SBJ"),AND(J4511=1,I4511=0)),"?IN_FOCUS",IF(J4511&lt;=2,"?ACTIVATED",IF(J4511&lt;&gt;"","?FAMILIAR",IF(F4511="NEW",IF(ISNA(VLOOKUP(E4511,#REF!,1,FALSE())),"?TYPE_IDENTIFIABLE","?REFERENTIAL"),"_")))))</f>
        <v> </v>
      </c>
      <c r="H4511" s="24" t="str">
        <f>IF(J4511&lt;&gt;1,"",IF(I4511="SBJ","CB","?"))</f>
        <v> </v>
      </c>
      <c r="I4511" s="25" t="str">
        <f>IF(OR(E4511="",E4511="!!!",F4511="NEW"),"",INDEX(B4510:B$2,-1+SUMPRODUCT(MAX(ROW(E4510:E$2)*(E4511=E4510:E$2)))))</f>
        <v> </v>
      </c>
      <c r="J4511" s="25" t="str">
        <f>IF(OR(E4511="",E4511="!!!",F4511="NEW"),"",COUNTBLANK(OFFSET(A$1,,,SUMPRODUCT(MAX(ROW(E$2:E4511)*(E4511=E$2:E4511)))))-COUNTBLANK(OFFSET(A$1,,,SUMPRODUCT(MAX(ROW(E$1:E4510)*(E2=E$1:E4510))))))</f>
        <v> </v>
      </c>
      <c r="K4511" s="25" t="str">
        <f>IF(OR(E4511="",E4511="!!!",F4511="NEW"),"",INDEX(J$1:J4510,SUMPRODUCT(MAX(ROW(E$1:E4510)*(E4511=E$1:E4510)))))</f>
        <v> </v>
      </c>
      <c r="L4511" s="26"/>
    </row>
    <row r="4512" spans="1:12">
      <c r="A4512" s="20" t="s">
        <v>1984</v>
      </c>
      <c r="B4512" s="27" t="s">
        <v>879</v>
      </c>
      <c r="C4512" s="27" t="s">
        <v>761</v>
      </c>
      <c r="D4512" s="27" t="s">
        <v>762</v>
      </c>
      <c r="E4512" s="21">
        <f>IF(D4512="?OLD","!!!","")</f>
        <v/>
      </c>
      <c r="F4512" s="22" t="str">
        <f>IF(OR(E4512="",E4512="!!!"),"",IF(NOT(ISNA(VLOOKUP(E4512,E$1:E4511,1,FALSE()))),"OLD",IF(AND(E4512&lt;&gt;"",E4512&lt;&gt;"!!!"),"NEW","")))</f>
        <v> </v>
      </c>
      <c r="G4512" s="23" t="str">
        <f>IF(OR(E4512="",E4512="!!!"),"",IF(OR(J4512=0,AND(J4512=1,K4512=1),AND(J4512=1,I4512="SBJ"),AND(J4512=1,I4512=0)),"?IN_FOCUS",IF(J4512&lt;=2,"?ACTIVATED",IF(J4512&lt;&gt;"","?FAMILIAR",IF(F4512="NEW",IF(ISNA(VLOOKUP(E4512,#REF!,1,FALSE())),"?TYPE_IDENTIFIABLE","?REFERENTIAL"),"_")))))</f>
        <v> </v>
      </c>
      <c r="H4512" s="24" t="str">
        <f>IF(J4512&lt;&gt;1,"",IF(I4512="SBJ","CB","?"))</f>
        <v> </v>
      </c>
      <c r="I4512" s="25" t="str">
        <f>IF(OR(E4512="",E4512="!!!",F4512="NEW"),"",INDEX(B4511:B$2,-1+SUMPRODUCT(MAX(ROW(E4511:E$2)*(E4512=E4511:E$2)))))</f>
        <v> </v>
      </c>
      <c r="J4512" s="25" t="str">
        <f>IF(OR(E4512="",E4512="!!!",F4512="NEW"),"",COUNTBLANK(OFFSET(A$1,,,SUMPRODUCT(MAX(ROW(E$2:E4512)*(E4512=E$2:E4512)))))-COUNTBLANK(OFFSET(A$1,,,SUMPRODUCT(MAX(ROW(E$1:E4511)*(E2=E$1:E4511))))))</f>
        <v> </v>
      </c>
      <c r="K4512" s="25" t="str">
        <f>IF(OR(E4512="",E4512="!!!",F4512="NEW"),"",INDEX(J$1:J4511,SUMPRODUCT(MAX(ROW(E$1:E4511)*(E4512=E$1:E4511)))))</f>
        <v> </v>
      </c>
      <c r="L4512" s="26"/>
    </row>
    <row r="4513" spans="1:12">
      <c r="A4513" s="20" t="s">
        <v>805</v>
      </c>
      <c r="E4513" s="21">
        <f>IF(D4513="?OLD","!!!","")</f>
        <v/>
      </c>
      <c r="F4513" s="22" t="str">
        <f>IF(OR(E4513="",E4513="!!!"),"",IF(NOT(ISNA(VLOOKUP(E4513,E$1:E4512,1,FALSE()))),"OLD",IF(AND(E4513&lt;&gt;"",E4513&lt;&gt;"!!!"),"NEW","")))</f>
        <v> </v>
      </c>
      <c r="G4513" s="23" t="str">
        <f>IF(OR(E4513="",E4513="!!!"),"",IF(OR(J4513=0,AND(J4513=1,K4513=1),AND(J4513=1,I4513="SBJ"),AND(J4513=1,I4513=0)),"?IN_FOCUS",IF(J4513&lt;=2,"?ACTIVATED",IF(J4513&lt;&gt;"","?FAMILIAR",IF(F4513="NEW",IF(ISNA(VLOOKUP(E4513,#REF!,1,FALSE())),"?TYPE_IDENTIFIABLE","?REFERENTIAL"),"_")))))</f>
        <v> </v>
      </c>
      <c r="H4513" s="24" t="str">
        <f>IF(J4513&lt;&gt;1,"",IF(I4513="SBJ","CB","?"))</f>
        <v> </v>
      </c>
      <c r="I4513" s="25" t="str">
        <f>IF(OR(E4513="",E4513="!!!",F4513="NEW"),"",INDEX(B4512:B$2,-1+SUMPRODUCT(MAX(ROW(E4512:E$2)*(E4513=E4512:E$2)))))</f>
        <v> </v>
      </c>
      <c r="J4513" s="25" t="str">
        <f>IF(OR(E4513="",E4513="!!!",F4513="NEW"),"",COUNTBLANK(OFFSET(A$1,,,SUMPRODUCT(MAX(ROW(E$2:E4513)*(E4513=E$2:E4513)))))-COUNTBLANK(OFFSET(A$1,,,SUMPRODUCT(MAX(ROW(E$1:E4512)*(E2=E$1:E4512))))))</f>
        <v> </v>
      </c>
      <c r="K4513" s="25" t="str">
        <f>IF(OR(E4513="",E4513="!!!",F4513="NEW"),"",INDEX(J$1:J4512,SUMPRODUCT(MAX(ROW(E$1:E4512)*(E4513=E$1:E4512)))))</f>
        <v> </v>
      </c>
      <c r="L4513" s="26"/>
    </row>
    <row r="4514" spans="1:12">
      <c r="A4514" s="20" t="s">
        <v>1985</v>
      </c>
      <c r="B4514" s="27" t="s">
        <v>901</v>
      </c>
      <c r="C4514" s="27" t="s">
        <v>754</v>
      </c>
      <c r="E4514" s="21">
        <f>IF(D4514="?OLD","!!!","")</f>
        <v/>
      </c>
      <c r="F4514" s="22" t="str">
        <f>IF(OR(E4514="",E4514="!!!"),"",IF(NOT(ISNA(VLOOKUP(E4514,E$1:E4513,1,FALSE()))),"OLD",IF(AND(E4514&lt;&gt;"",E4514&lt;&gt;"!!!"),"NEW","")))</f>
        <v> </v>
      </c>
      <c r="G4514" s="23" t="str">
        <f>IF(OR(E4514="",E4514="!!!"),"",IF(OR(J4514=0,AND(J4514=1,K4514=1),AND(J4514=1,I4514="SBJ"),AND(J4514=1,I4514=0)),"?IN_FOCUS",IF(J4514&lt;=2,"?ACTIVATED",IF(J4514&lt;&gt;"","?FAMILIAR",IF(F4514="NEW",IF(ISNA(VLOOKUP(E4514,#REF!,1,FALSE())),"?TYPE_IDENTIFIABLE","?REFERENTIAL"),"_")))))</f>
        <v> </v>
      </c>
      <c r="H4514" s="24" t="str">
        <f>IF(J4514&lt;&gt;1,"",IF(I4514="SBJ","CB","?"))</f>
        <v> </v>
      </c>
      <c r="I4514" s="25" t="str">
        <f>IF(OR(E4514="",E4514="!!!",F4514="NEW"),"",INDEX(B4513:B$2,-1+SUMPRODUCT(MAX(ROW(E4513:E$2)*(E4514=E4513:E$2)))))</f>
        <v> </v>
      </c>
      <c r="J4514" s="25" t="str">
        <f>IF(OR(E4514="",E4514="!!!",F4514="NEW"),"",COUNTBLANK(OFFSET(A$1,,,SUMPRODUCT(MAX(ROW(E$2:E4514)*(E4514=E$2:E4514)))))-COUNTBLANK(OFFSET(A$1,,,SUMPRODUCT(MAX(ROW(E$1:E4513)*(E2=E$1:E4513))))))</f>
        <v> </v>
      </c>
      <c r="K4514" s="25" t="str">
        <f>IF(OR(E4514="",E4514="!!!",F4514="NEW"),"",INDEX(J$1:J4513,SUMPRODUCT(MAX(ROW(E$1:E4513)*(E4514=E$1:E4513)))))</f>
        <v> </v>
      </c>
      <c r="L4514" s="26"/>
    </row>
    <row r="4515" spans="1:12">
      <c r="A4515" s="20" t="s">
        <v>810</v>
      </c>
      <c r="E4515" s="21">
        <f>IF(D4515="?OLD","!!!","")</f>
        <v/>
      </c>
      <c r="F4515" s="22" t="str">
        <f>IF(OR(E4515="",E4515="!!!"),"",IF(NOT(ISNA(VLOOKUP(E4515,E$1:E4514,1,FALSE()))),"OLD",IF(AND(E4515&lt;&gt;"",E4515&lt;&gt;"!!!"),"NEW","")))</f>
        <v> </v>
      </c>
      <c r="G4515" s="23" t="str">
        <f>IF(OR(E4515="",E4515="!!!"),"",IF(OR(J4515=0,AND(J4515=1,K4515=1),AND(J4515=1,I4515="SBJ"),AND(J4515=1,I4515=0)),"?IN_FOCUS",IF(J4515&lt;=2,"?ACTIVATED",IF(J4515&lt;&gt;"","?FAMILIAR",IF(F4515="NEW",IF(ISNA(VLOOKUP(E4515,#REF!,1,FALSE())),"?TYPE_IDENTIFIABLE","?REFERENTIAL"),"_")))))</f>
        <v> </v>
      </c>
      <c r="H4515" s="24" t="str">
        <f>IF(J4515&lt;&gt;1,"",IF(I4515="SBJ","CB","?"))</f>
        <v> </v>
      </c>
      <c r="I4515" s="25" t="str">
        <f>IF(OR(E4515="",E4515="!!!",F4515="NEW"),"",INDEX(B4514:B$2,-1+SUMPRODUCT(MAX(ROW(E4514:E$2)*(E4515=E4514:E$2)))))</f>
        <v> </v>
      </c>
      <c r="J4515" s="25" t="str">
        <f>IF(OR(E4515="",E4515="!!!",F4515="NEW"),"",COUNTBLANK(OFFSET(A$1,,,SUMPRODUCT(MAX(ROW(E$2:E4515)*(E4515=E$2:E4515)))))-COUNTBLANK(OFFSET(A$1,,,SUMPRODUCT(MAX(ROW(E$1:E4514)*(E2=E$1:E4514))))))</f>
        <v> </v>
      </c>
      <c r="K4515" s="25" t="str">
        <f>IF(OR(E4515="",E4515="!!!",F4515="NEW"),"",INDEX(J$1:J4514,SUMPRODUCT(MAX(ROW(E$1:E4514)*(E4515=E$1:E4514)))))</f>
        <v> </v>
      </c>
      <c r="L4515" s="26"/>
    </row>
    <row r="4516" spans="1:12">
      <c r="A4516" s="20" t="s">
        <v>886</v>
      </c>
      <c r="B4516" s="27" t="s">
        <v>941</v>
      </c>
      <c r="C4516" s="27" t="s">
        <v>797</v>
      </c>
      <c r="D4516" s="27" t="s">
        <v>762</v>
      </c>
      <c r="E4516" s="21">
        <f>IF(D4516="?OLD","!!!","")</f>
        <v/>
      </c>
      <c r="F4516" s="22" t="str">
        <f>IF(OR(E4516="",E4516="!!!"),"",IF(NOT(ISNA(VLOOKUP(E4516,E$1:E4515,1,FALSE()))),"OLD",IF(AND(E4516&lt;&gt;"",E4516&lt;&gt;"!!!"),"NEW","")))</f>
        <v> </v>
      </c>
      <c r="G4516" s="23" t="str">
        <f>IF(OR(E4516="",E4516="!!!"),"",IF(OR(J4516=0,AND(J4516=1,K4516=1),AND(J4516=1,I4516="SBJ"),AND(J4516=1,I4516=0)),"?IN_FOCUS",IF(J4516&lt;=2,"?ACTIVATED",IF(J4516&lt;&gt;"","?FAMILIAR",IF(F4516="NEW",IF(ISNA(VLOOKUP(E4516,#REF!,1,FALSE())),"?TYPE_IDENTIFIABLE","?REFERENTIAL"),"_")))))</f>
        <v> </v>
      </c>
      <c r="H4516" s="24" t="str">
        <f>IF(J4516&lt;&gt;1,"",IF(I4516="SBJ","CB","?"))</f>
        <v> </v>
      </c>
      <c r="I4516" s="25" t="str">
        <f>IF(OR(E4516="",E4516="!!!",F4516="NEW"),"",INDEX(B4515:B$2,-1+SUMPRODUCT(MAX(ROW(E4515:E$2)*(E4516=E4515:E$2)))))</f>
        <v> </v>
      </c>
      <c r="J4516" s="25" t="str">
        <f>IF(OR(E4516="",E4516="!!!",F4516="NEW"),"",COUNTBLANK(OFFSET(A$1,,,SUMPRODUCT(MAX(ROW(E$2:E4516)*(E4516=E$2:E4516)))))-COUNTBLANK(OFFSET(A$1,,,SUMPRODUCT(MAX(ROW(E$1:E4515)*(E2=E$1:E4515))))))</f>
        <v> </v>
      </c>
      <c r="K4516" s="25" t="str">
        <f>IF(OR(E4516="",E4516="!!!",F4516="NEW"),"",INDEX(J$1:J4515,SUMPRODUCT(MAX(ROW(E$1:E4515)*(E4516=E$1:E4515)))))</f>
        <v> </v>
      </c>
      <c r="L4516" s="26"/>
    </row>
    <row r="4517" spans="1:12">
      <c r="A4517" s="20" t="s">
        <v>887</v>
      </c>
      <c r="E4517" s="21">
        <f>IF(D4517="?OLD","!!!","")</f>
        <v/>
      </c>
      <c r="F4517" s="22" t="str">
        <f>IF(OR(E4517="",E4517="!!!"),"",IF(NOT(ISNA(VLOOKUP(E4517,E$1:E4516,1,FALSE()))),"OLD",IF(AND(E4517&lt;&gt;"",E4517&lt;&gt;"!!!"),"NEW","")))</f>
        <v> </v>
      </c>
      <c r="G4517" s="23" t="str">
        <f>IF(OR(E4517="",E4517="!!!"),"",IF(OR(J4517=0,AND(J4517=1,K4517=1),AND(J4517=1,I4517="SBJ"),AND(J4517=1,I4517=0)),"?IN_FOCUS",IF(J4517&lt;=2,"?ACTIVATED",IF(J4517&lt;&gt;"","?FAMILIAR",IF(F4517="NEW",IF(ISNA(VLOOKUP(E4517,#REF!,1,FALSE())),"?TYPE_IDENTIFIABLE","?REFERENTIAL"),"_")))))</f>
        <v> </v>
      </c>
      <c r="H4517" s="24" t="str">
        <f>IF(J4517&lt;&gt;1,"",IF(I4517="SBJ","CB","?"))</f>
        <v> </v>
      </c>
      <c r="I4517" s="25" t="str">
        <f>IF(OR(E4517="",E4517="!!!",F4517="NEW"),"",INDEX(B4516:B$2,-1+SUMPRODUCT(MAX(ROW(E4516:E$2)*(E4517=E4516:E$2)))))</f>
        <v> </v>
      </c>
      <c r="J4517" s="25" t="str">
        <f>IF(OR(E4517="",E4517="!!!",F4517="NEW"),"",COUNTBLANK(OFFSET(A$1,,,SUMPRODUCT(MAX(ROW(E$2:E4517)*(E4517=E$2:E4517)))))-COUNTBLANK(OFFSET(A$1,,,SUMPRODUCT(MAX(ROW(E$1:E4516)*(E2=E$1:E4516))))))</f>
        <v> </v>
      </c>
      <c r="K4517" s="25" t="str">
        <f>IF(OR(E4517="",E4517="!!!",F4517="NEW"),"",INDEX(J$1:J4516,SUMPRODUCT(MAX(ROW(E$1:E4516)*(E4517=E$1:E4516)))))</f>
        <v> </v>
      </c>
      <c r="L4517" s="26"/>
    </row>
    <row r="4518" spans="1:12">
      <c r="A4518" s="20" t="s">
        <v>888</v>
      </c>
      <c r="E4518" s="21">
        <f>IF(D4518="?OLD","!!!","")</f>
        <v/>
      </c>
      <c r="F4518" s="22" t="str">
        <f>IF(OR(E4518="",E4518="!!!"),"",IF(NOT(ISNA(VLOOKUP(E4518,E$1:E4517,1,FALSE()))),"OLD",IF(AND(E4518&lt;&gt;"",E4518&lt;&gt;"!!!"),"NEW","")))</f>
        <v> </v>
      </c>
      <c r="G4518" s="23" t="str">
        <f>IF(OR(E4518="",E4518="!!!"),"",IF(OR(J4518=0,AND(J4518=1,K4518=1),AND(J4518=1,I4518="SBJ"),AND(J4518=1,I4518=0)),"?IN_FOCUS",IF(J4518&lt;=2,"?ACTIVATED",IF(J4518&lt;&gt;"","?FAMILIAR",IF(F4518="NEW",IF(ISNA(VLOOKUP(E4518,#REF!,1,FALSE())),"?TYPE_IDENTIFIABLE","?REFERENTIAL"),"_")))))</f>
        <v> </v>
      </c>
      <c r="H4518" s="24" t="str">
        <f>IF(J4518&lt;&gt;1,"",IF(I4518="SBJ","CB","?"))</f>
        <v> </v>
      </c>
      <c r="I4518" s="25" t="str">
        <f>IF(OR(E4518="",E4518="!!!",F4518="NEW"),"",INDEX(B4517:B$2,-1+SUMPRODUCT(MAX(ROW(E4517:E$2)*(E4518=E4517:E$2)))))</f>
        <v> </v>
      </c>
      <c r="J4518" s="25" t="str">
        <f>IF(OR(E4518="",E4518="!!!",F4518="NEW"),"",COUNTBLANK(OFFSET(A$1,,,SUMPRODUCT(MAX(ROW(E$2:E4518)*(E4518=E$2:E4518)))))-COUNTBLANK(OFFSET(A$1,,,SUMPRODUCT(MAX(ROW(E$1:E4517)*(E2=E$1:E4517))))))</f>
        <v> </v>
      </c>
      <c r="K4518" s="25" t="str">
        <f>IF(OR(E4518="",E4518="!!!",F4518="NEW"),"",INDEX(J$1:J4517,SUMPRODUCT(MAX(ROW(E$1:E4517)*(E4518=E$1:E4517)))))</f>
        <v> </v>
      </c>
      <c r="L4518" s="26"/>
    </row>
    <row r="4519" spans="1:12">
      <c r="A4519" s="20" t="s">
        <v>889</v>
      </c>
      <c r="E4519" s="21">
        <f>IF(D4519="?OLD","!!!","")</f>
        <v/>
      </c>
      <c r="F4519" s="22" t="str">
        <f>IF(OR(E4519="",E4519="!!!"),"",IF(NOT(ISNA(VLOOKUP(E4519,E$1:E4518,1,FALSE()))),"OLD",IF(AND(E4519&lt;&gt;"",E4519&lt;&gt;"!!!"),"NEW","")))</f>
        <v> </v>
      </c>
      <c r="G4519" s="23" t="str">
        <f>IF(OR(E4519="",E4519="!!!"),"",IF(OR(J4519=0,AND(J4519=1,K4519=1),AND(J4519=1,I4519="SBJ"),AND(J4519=1,I4519=0)),"?IN_FOCUS",IF(J4519&lt;=2,"?ACTIVATED",IF(J4519&lt;&gt;"","?FAMILIAR",IF(F4519="NEW",IF(ISNA(VLOOKUP(E4519,#REF!,1,FALSE())),"?TYPE_IDENTIFIABLE","?REFERENTIAL"),"_")))))</f>
        <v> </v>
      </c>
      <c r="H4519" s="24" t="str">
        <f>IF(J4519&lt;&gt;1,"",IF(I4519="SBJ","CB","?"))</f>
        <v> </v>
      </c>
      <c r="I4519" s="25" t="str">
        <f>IF(OR(E4519="",E4519="!!!",F4519="NEW"),"",INDEX(B4518:B$2,-1+SUMPRODUCT(MAX(ROW(E4518:E$2)*(E4519=E4518:E$2)))))</f>
        <v> </v>
      </c>
      <c r="J4519" s="25" t="str">
        <f>IF(OR(E4519="",E4519="!!!",F4519="NEW"),"",COUNTBLANK(OFFSET(A$1,,,SUMPRODUCT(MAX(ROW(E$2:E4519)*(E4519=E$2:E4519)))))-COUNTBLANK(OFFSET(A$1,,,SUMPRODUCT(MAX(ROW(E$1:E4518)*(E2=E$1:E4518))))))</f>
        <v> </v>
      </c>
      <c r="K4519" s="25" t="str">
        <f>IF(OR(E4519="",E4519="!!!",F4519="NEW"),"",INDEX(J$1:J4518,SUMPRODUCT(MAX(ROW(E$1:E4518)*(E4519=E$1:E4518)))))</f>
        <v> </v>
      </c>
      <c r="L4519" s="26"/>
    </row>
    <row r="4520" spans="1:12">
      <c r="A4520" s="20" t="s">
        <v>795</v>
      </c>
      <c r="B4520" s="27" t="s">
        <v>1272</v>
      </c>
      <c r="C4520" s="27" t="s">
        <v>797</v>
      </c>
      <c r="D4520" s="27" t="s">
        <v>762</v>
      </c>
      <c r="E4520" s="21">
        <f>IF(D4520="?OLD","!!!","")</f>
        <v/>
      </c>
      <c r="F4520" s="22" t="str">
        <f>IF(OR(E4520="",E4520="!!!"),"",IF(NOT(ISNA(VLOOKUP(E4520,E$1:E4519,1,FALSE()))),"OLD",IF(AND(E4520&lt;&gt;"",E4520&lt;&gt;"!!!"),"NEW","")))</f>
        <v> </v>
      </c>
      <c r="G4520" s="23" t="str">
        <f>IF(OR(E4520="",E4520="!!!"),"",IF(OR(J4520=0,AND(J4520=1,K4520=1),AND(J4520=1,I4520="SBJ"),AND(J4520=1,I4520=0)),"?IN_FOCUS",IF(J4520&lt;=2,"?ACTIVATED",IF(J4520&lt;&gt;"","?FAMILIAR",IF(F4520="NEW",IF(ISNA(VLOOKUP(E4520,#REF!,1,FALSE())),"?TYPE_IDENTIFIABLE","?REFERENTIAL"),"_")))))</f>
        <v> </v>
      </c>
      <c r="H4520" s="24" t="str">
        <f>IF(J4520&lt;&gt;1,"",IF(I4520="SBJ","CB","?"))</f>
        <v> </v>
      </c>
      <c r="I4520" s="25" t="str">
        <f>IF(OR(E4520="",E4520="!!!",F4520="NEW"),"",INDEX(B4519:B$2,-1+SUMPRODUCT(MAX(ROW(E4519:E$2)*(E4520=E4519:E$2)))))</f>
        <v> </v>
      </c>
      <c r="J4520" s="25" t="str">
        <f>IF(OR(E4520="",E4520="!!!",F4520="NEW"),"",COUNTBLANK(OFFSET(A$1,,,SUMPRODUCT(MAX(ROW(E$2:E4520)*(E4520=E$2:E4520)))))-COUNTBLANK(OFFSET(A$1,,,SUMPRODUCT(MAX(ROW(E$1:E4519)*(E2=E$1:E4519))))))</f>
        <v> </v>
      </c>
      <c r="K4520" s="25" t="str">
        <f>IF(OR(E4520="",E4520="!!!",F4520="NEW"),"",INDEX(J$1:J4519,SUMPRODUCT(MAX(ROW(E$1:E4519)*(E4520=E$1:E4519)))))</f>
        <v> </v>
      </c>
      <c r="L4520" s="26"/>
    </row>
    <row r="4521" spans="1:12">
      <c r="A4521" s="20" t="s">
        <v>915</v>
      </c>
      <c r="E4521" s="21">
        <f>IF(D4521="?OLD","!!!","")</f>
        <v/>
      </c>
      <c r="F4521" s="22" t="str">
        <f>IF(OR(E4521="",E4521="!!!"),"",IF(NOT(ISNA(VLOOKUP(E4521,E$1:E4520,1,FALSE()))),"OLD",IF(AND(E4521&lt;&gt;"",E4521&lt;&gt;"!!!"),"NEW","")))</f>
        <v> </v>
      </c>
      <c r="G4521" s="23" t="str">
        <f>IF(OR(E4521="",E4521="!!!"),"",IF(OR(J4521=0,AND(J4521=1,K4521=1),AND(J4521=1,I4521="SBJ"),AND(J4521=1,I4521=0)),"?IN_FOCUS",IF(J4521&lt;=2,"?ACTIVATED",IF(J4521&lt;&gt;"","?FAMILIAR",IF(F4521="NEW",IF(ISNA(VLOOKUP(E4521,#REF!,1,FALSE())),"?TYPE_IDENTIFIABLE","?REFERENTIAL"),"_")))))</f>
        <v> </v>
      </c>
      <c r="H4521" s="24" t="str">
        <f>IF(J4521&lt;&gt;1,"",IF(I4521="SBJ","CB","?"))</f>
        <v> </v>
      </c>
      <c r="I4521" s="25" t="str">
        <f>IF(OR(E4521="",E4521="!!!",F4521="NEW"),"",INDEX(B4520:B$2,-1+SUMPRODUCT(MAX(ROW(E4520:E$2)*(E4521=E4520:E$2)))))</f>
        <v> </v>
      </c>
      <c r="J4521" s="25" t="str">
        <f>IF(OR(E4521="",E4521="!!!",F4521="NEW"),"",COUNTBLANK(OFFSET(A$1,,,SUMPRODUCT(MAX(ROW(E$2:E4521)*(E4521=E$2:E4521)))))-COUNTBLANK(OFFSET(A$1,,,SUMPRODUCT(MAX(ROW(E$1:E4520)*(E2=E$1:E4520))))))</f>
        <v> </v>
      </c>
      <c r="K4521" s="25" t="str">
        <f>IF(OR(E4521="",E4521="!!!",F4521="NEW"),"",INDEX(J$1:J4520,SUMPRODUCT(MAX(ROW(E$1:E4520)*(E4521=E$1:E4520)))))</f>
        <v> </v>
      </c>
      <c r="L4521" s="26"/>
    </row>
    <row r="4522" spans="1:12">
      <c r="A4522" s="20" t="s">
        <v>1986</v>
      </c>
      <c r="E4522" s="21">
        <f>IF(D4522="?OLD","!!!","")</f>
        <v/>
      </c>
      <c r="F4522" s="22" t="str">
        <f>IF(OR(E4522="",E4522="!!!"),"",IF(NOT(ISNA(VLOOKUP(E4522,E$1:E4521,1,FALSE()))),"OLD",IF(AND(E4522&lt;&gt;"",E4522&lt;&gt;"!!!"),"NEW","")))</f>
        <v> </v>
      </c>
      <c r="G4522" s="23" t="str">
        <f>IF(OR(E4522="",E4522="!!!"),"",IF(OR(J4522=0,AND(J4522=1,K4522=1),AND(J4522=1,I4522="SBJ"),AND(J4522=1,I4522=0)),"?IN_FOCUS",IF(J4522&lt;=2,"?ACTIVATED",IF(J4522&lt;&gt;"","?FAMILIAR",IF(F4522="NEW",IF(ISNA(VLOOKUP(E4522,#REF!,1,FALSE())),"?TYPE_IDENTIFIABLE","?REFERENTIAL"),"_")))))</f>
        <v> </v>
      </c>
      <c r="H4522" s="24" t="str">
        <f>IF(J4522&lt;&gt;1,"",IF(I4522="SBJ","CB","?"))</f>
        <v> </v>
      </c>
      <c r="I4522" s="25" t="str">
        <f>IF(OR(E4522="",E4522="!!!",F4522="NEW"),"",INDEX(B4521:B$2,-1+SUMPRODUCT(MAX(ROW(E4521:E$2)*(E4522=E4521:E$2)))))</f>
        <v> </v>
      </c>
      <c r="J4522" s="25" t="str">
        <f>IF(OR(E4522="",E4522="!!!",F4522="NEW"),"",COUNTBLANK(OFFSET(A$1,,,SUMPRODUCT(MAX(ROW(E$2:E4522)*(E4522=E$2:E4522)))))-COUNTBLANK(OFFSET(A$1,,,SUMPRODUCT(MAX(ROW(E$1:E4521)*(E2=E$1:E4521))))))</f>
        <v> </v>
      </c>
      <c r="K4522" s="25" t="str">
        <f>IF(OR(E4522="",E4522="!!!",F4522="NEW"),"",INDEX(J$1:J4521,SUMPRODUCT(MAX(ROW(E$1:E4521)*(E4522=E$1:E4521)))))</f>
        <v> </v>
      </c>
      <c r="L4522" s="26"/>
    </row>
    <row r="4523" spans="1:12">
      <c r="A4523" s="20" t="s">
        <v>774</v>
      </c>
      <c r="E4523" s="21">
        <f>IF(D4523="?OLD","!!!","")</f>
        <v/>
      </c>
      <c r="F4523" s="22" t="str">
        <f>IF(OR(E4523="",E4523="!!!"),"",IF(NOT(ISNA(VLOOKUP(E4523,E$1:E4522,1,FALSE()))),"OLD",IF(AND(E4523&lt;&gt;"",E4523&lt;&gt;"!!!"),"NEW","")))</f>
        <v> </v>
      </c>
      <c r="G4523" s="23" t="str">
        <f>IF(OR(E4523="",E4523="!!!"),"",IF(OR(J4523=0,AND(J4523=1,K4523=1),AND(J4523=1,I4523="SBJ"),AND(J4523=1,I4523=0)),"?IN_FOCUS",IF(J4523&lt;=2,"?ACTIVATED",IF(J4523&lt;&gt;"","?FAMILIAR",IF(F4523="NEW",IF(ISNA(VLOOKUP(E4523,#REF!,1,FALSE())),"?TYPE_IDENTIFIABLE","?REFERENTIAL"),"_")))))</f>
        <v> </v>
      </c>
      <c r="H4523" s="24" t="str">
        <f>IF(J4523&lt;&gt;1,"",IF(I4523="SBJ","CB","?"))</f>
        <v> </v>
      </c>
      <c r="I4523" s="25" t="str">
        <f>IF(OR(E4523="",E4523="!!!",F4523="NEW"),"",INDEX(B4522:B$2,-1+SUMPRODUCT(MAX(ROW(E4522:E$2)*(E4523=E4522:E$2)))))</f>
        <v> </v>
      </c>
      <c r="J4523" s="25" t="str">
        <f>IF(OR(E4523="",E4523="!!!",F4523="NEW"),"",COUNTBLANK(OFFSET(A$1,,,SUMPRODUCT(MAX(ROW(E$2:E4523)*(E4523=E$2:E4523)))))-COUNTBLANK(OFFSET(A$1,,,SUMPRODUCT(MAX(ROW(E$1:E4522)*(E2=E$1:E4522))))))</f>
        <v> </v>
      </c>
      <c r="K4523" s="25" t="str">
        <f>IF(OR(E4523="",E4523="!!!",F4523="NEW"),"",INDEX(J$1:J4522,SUMPRODUCT(MAX(ROW(E$1:E4522)*(E4523=E$1:E4522)))))</f>
        <v> </v>
      </c>
      <c r="L4523" s="26"/>
    </row>
    <row r="4524" spans="1:12">
      <c r="A4524" s="20"/>
    </row>
    <row r="4525" spans="1:12">
      <c r="A4525" s="20" t="s">
        <v>1987</v>
      </c>
    </row>
    <row r="4526" spans="1:12">
      <c r="A4526" s="20" t="s">
        <v>995</v>
      </c>
      <c r="B4526" s="27" t="s">
        <v>760</v>
      </c>
      <c r="C4526" s="27" t="s">
        <v>797</v>
      </c>
      <c r="D4526" s="27" t="s">
        <v>762</v>
      </c>
      <c r="E4526" s="21">
        <f>IF(D4526="?OLD","!!!","")</f>
        <v/>
      </c>
      <c r="F4526" s="22" t="str">
        <f>IF(OR(E4526="",E4526="!!!"),"",IF(NOT(ISNA(VLOOKUP(E4526,E$1:E4525,1,FALSE()))),"OLD",IF(AND(E4526&lt;&gt;"",E4526&lt;&gt;"!!!"),"NEW","")))</f>
        <v> </v>
      </c>
      <c r="G4526" s="23" t="str">
        <f>IF(OR(E4526="",E4526="!!!"),"",IF(OR(J4526=0,AND(J4526=1,K4526=1),AND(J4526=1,I4526="SBJ"),AND(J4526=1,I4526=0)),"?IN_FOCUS",IF(J4526&lt;=2,"?ACTIVATED",IF(J4526&lt;&gt;"","?FAMILIAR",IF(F4526="NEW",IF(ISNA(VLOOKUP(E4526,#REF!,1,FALSE())),"?TYPE_IDENTIFIABLE","?REFERENTIAL"),"_")))))</f>
        <v> </v>
      </c>
      <c r="H4526" s="24" t="str">
        <f>IF(J4526&lt;&gt;1,"",IF(I4526="SBJ","CB","?"))</f>
        <v> </v>
      </c>
      <c r="I4526" s="25" t="str">
        <f>IF(OR(E4526="",E4526="!!!",F4526="NEW"),"",INDEX(B4525:B$2,-1+SUMPRODUCT(MAX(ROW(E4525:E$2)*(E4526=E4525:E$2)))))</f>
        <v> </v>
      </c>
      <c r="J4526" s="25" t="str">
        <f>IF(OR(E4526="",E4526="!!!",F4526="NEW"),"",COUNTBLANK(OFFSET(A$1,,,SUMPRODUCT(MAX(ROW(E$2:E4526)*(E4526=E$2:E4526)))))-COUNTBLANK(OFFSET(A$1,,,SUMPRODUCT(MAX(ROW(E$1:E4525)*(E2=E$1:E4525))))))</f>
        <v> </v>
      </c>
      <c r="K4526" s="25" t="str">
        <f>IF(OR(E4526="",E4526="!!!",F4526="NEW"),"",INDEX(J$1:J4525,SUMPRODUCT(MAX(ROW(E$1:E4525)*(E4526=E$1:E4525)))))</f>
        <v> </v>
      </c>
      <c r="L4526" s="26"/>
    </row>
    <row r="4527" spans="1:12">
      <c r="A4527" s="20" t="s">
        <v>798</v>
      </c>
      <c r="E4527" s="21">
        <f>IF(D4527="?OLD","!!!","")</f>
        <v/>
      </c>
      <c r="F4527" s="22" t="str">
        <f>IF(OR(E4527="",E4527="!!!"),"",IF(NOT(ISNA(VLOOKUP(E4527,E$1:E4526,1,FALSE()))),"OLD",IF(AND(E4527&lt;&gt;"",E4527&lt;&gt;"!!!"),"NEW","")))</f>
        <v> </v>
      </c>
      <c r="G4527" s="23" t="str">
        <f>IF(OR(E4527="",E4527="!!!"),"",IF(OR(J4527=0,AND(J4527=1,K4527=1),AND(J4527=1,I4527="SBJ"),AND(J4527=1,I4527=0)),"?IN_FOCUS",IF(J4527&lt;=2,"?ACTIVATED",IF(J4527&lt;&gt;"","?FAMILIAR",IF(F4527="NEW",IF(ISNA(VLOOKUP(E4527,#REF!,1,FALSE())),"?TYPE_IDENTIFIABLE","?REFERENTIAL"),"_")))))</f>
        <v> </v>
      </c>
      <c r="H4527" s="24" t="str">
        <f>IF(J4527&lt;&gt;1,"",IF(I4527="SBJ","CB","?"))</f>
        <v> </v>
      </c>
      <c r="I4527" s="25" t="str">
        <f>IF(OR(E4527="",E4527="!!!",F4527="NEW"),"",INDEX(B4526:B$2,-1+SUMPRODUCT(MAX(ROW(E4526:E$2)*(E4527=E4526:E$2)))))</f>
        <v> </v>
      </c>
      <c r="J4527" s="25" t="str">
        <f>IF(OR(E4527="",E4527="!!!",F4527="NEW"),"",COUNTBLANK(OFFSET(A$1,,,SUMPRODUCT(MAX(ROW(E$2:E4527)*(E4527=E$2:E4527)))))-COUNTBLANK(OFFSET(A$1,,,SUMPRODUCT(MAX(ROW(E$1:E4526)*(E2=E$1:E4526))))))</f>
        <v> </v>
      </c>
      <c r="K4527" s="25" t="str">
        <f>IF(OR(E4527="",E4527="!!!",F4527="NEW"),"",INDEX(J$1:J4526,SUMPRODUCT(MAX(ROW(E$1:E4526)*(E4527=E$1:E4526)))))</f>
        <v> </v>
      </c>
      <c r="L4527" s="26"/>
    </row>
    <row r="4528" spans="1:12">
      <c r="A4528" s="20" t="s">
        <v>891</v>
      </c>
      <c r="E4528" s="21">
        <f>IF(D4528="?OLD","!!!","")</f>
        <v/>
      </c>
      <c r="F4528" s="22" t="str">
        <f>IF(OR(E4528="",E4528="!!!"),"",IF(NOT(ISNA(VLOOKUP(E4528,E$1:E4527,1,FALSE()))),"OLD",IF(AND(E4528&lt;&gt;"",E4528&lt;&gt;"!!!"),"NEW","")))</f>
        <v> </v>
      </c>
      <c r="G4528" s="23" t="str">
        <f>IF(OR(E4528="",E4528="!!!"),"",IF(OR(J4528=0,AND(J4528=1,K4528=1),AND(J4528=1,I4528="SBJ"),AND(J4528=1,I4528=0)),"?IN_FOCUS",IF(J4528&lt;=2,"?ACTIVATED",IF(J4528&lt;&gt;"","?FAMILIAR",IF(F4528="NEW",IF(ISNA(VLOOKUP(E4528,#REF!,1,FALSE())),"?TYPE_IDENTIFIABLE","?REFERENTIAL"),"_")))))</f>
        <v> </v>
      </c>
      <c r="H4528" s="24" t="str">
        <f>IF(J4528&lt;&gt;1,"",IF(I4528="SBJ","CB","?"))</f>
        <v> </v>
      </c>
      <c r="I4528" s="25" t="str">
        <f>IF(OR(E4528="",E4528="!!!",F4528="NEW"),"",INDEX(B4527:B$2,-1+SUMPRODUCT(MAX(ROW(E4527:E$2)*(E4528=E4527:E$2)))))</f>
        <v> </v>
      </c>
      <c r="J4528" s="25" t="str">
        <f>IF(OR(E4528="",E4528="!!!",F4528="NEW"),"",COUNTBLANK(OFFSET(A$1,,,SUMPRODUCT(MAX(ROW(E$2:E4528)*(E4528=E$2:E4528)))))-COUNTBLANK(OFFSET(A$1,,,SUMPRODUCT(MAX(ROW(E$1:E4527)*(E2=E$1:E4527))))))</f>
        <v> </v>
      </c>
      <c r="K4528" s="25" t="str">
        <f>IF(OR(E4528="",E4528="!!!",F4528="NEW"),"",INDEX(J$1:J4527,SUMPRODUCT(MAX(ROW(E$1:E4527)*(E4528=E$1:E4527)))))</f>
        <v> </v>
      </c>
      <c r="L4528" s="26"/>
    </row>
    <row r="4529" spans="1:12">
      <c r="A4529" s="20" t="s">
        <v>1988</v>
      </c>
      <c r="E4529" s="21">
        <f>IF(D4529="?OLD","!!!","")</f>
        <v/>
      </c>
      <c r="F4529" s="22" t="str">
        <f>IF(OR(E4529="",E4529="!!!"),"",IF(NOT(ISNA(VLOOKUP(E4529,E$1:E4528,1,FALSE()))),"OLD",IF(AND(E4529&lt;&gt;"",E4529&lt;&gt;"!!!"),"NEW","")))</f>
        <v> </v>
      </c>
      <c r="G4529" s="23" t="str">
        <f>IF(OR(E4529="",E4529="!!!"),"",IF(OR(J4529=0,AND(J4529=1,K4529=1),AND(J4529=1,I4529="SBJ"),AND(J4529=1,I4529=0)),"?IN_FOCUS",IF(J4529&lt;=2,"?ACTIVATED",IF(J4529&lt;&gt;"","?FAMILIAR",IF(F4529="NEW",IF(ISNA(VLOOKUP(E4529,#REF!,1,FALSE())),"?TYPE_IDENTIFIABLE","?REFERENTIAL"),"_")))))</f>
        <v> </v>
      </c>
      <c r="H4529" s="24" t="str">
        <f>IF(J4529&lt;&gt;1,"",IF(I4529="SBJ","CB","?"))</f>
        <v> </v>
      </c>
      <c r="I4529" s="25" t="str">
        <f>IF(OR(E4529="",E4529="!!!",F4529="NEW"),"",INDEX(B4528:B$2,-1+SUMPRODUCT(MAX(ROW(E4528:E$2)*(E4529=E4528:E$2)))))</f>
        <v> </v>
      </c>
      <c r="J4529" s="25" t="str">
        <f>IF(OR(E4529="",E4529="!!!",F4529="NEW"),"",COUNTBLANK(OFFSET(A$1,,,SUMPRODUCT(MAX(ROW(E$2:E4529)*(E4529=E$2:E4529)))))-COUNTBLANK(OFFSET(A$1,,,SUMPRODUCT(MAX(ROW(E$1:E4528)*(E2=E$1:E4528))))))</f>
        <v> </v>
      </c>
      <c r="K4529" s="25" t="str">
        <f>IF(OR(E4529="",E4529="!!!",F4529="NEW"),"",INDEX(J$1:J4528,SUMPRODUCT(MAX(ROW(E$1:E4528)*(E4529=E$1:E4528)))))</f>
        <v> </v>
      </c>
      <c r="L4529" s="26"/>
    </row>
    <row r="4530" spans="1:12">
      <c r="A4530" s="20" t="s">
        <v>931</v>
      </c>
      <c r="B4530" s="27" t="s">
        <v>879</v>
      </c>
      <c r="C4530" s="27" t="s">
        <v>851</v>
      </c>
      <c r="D4530" s="27" t="s">
        <v>762</v>
      </c>
      <c r="E4530" s="21">
        <f>IF(D4530="?OLD","!!!","")</f>
        <v/>
      </c>
      <c r="F4530" s="22" t="str">
        <f>IF(OR(E4530="",E4530="!!!"),"",IF(NOT(ISNA(VLOOKUP(E4530,E$1:E4529,1,FALSE()))),"OLD",IF(AND(E4530&lt;&gt;"",E4530&lt;&gt;"!!!"),"NEW","")))</f>
        <v> </v>
      </c>
      <c r="G4530" s="23" t="str">
        <f>IF(OR(E4530="",E4530="!!!"),"",IF(OR(J4530=0,AND(J4530=1,K4530=1),AND(J4530=1,I4530="SBJ"),AND(J4530=1,I4530=0)),"?IN_FOCUS",IF(J4530&lt;=2,"?ACTIVATED",IF(J4530&lt;&gt;"","?FAMILIAR",IF(F4530="NEW",IF(ISNA(VLOOKUP(E4530,#REF!,1,FALSE())),"?TYPE_IDENTIFIABLE","?REFERENTIAL"),"_")))))</f>
        <v> </v>
      </c>
      <c r="H4530" s="24" t="str">
        <f>IF(J4530&lt;&gt;1,"",IF(I4530="SBJ","CB","?"))</f>
        <v> </v>
      </c>
      <c r="I4530" s="25" t="str">
        <f>IF(OR(E4530="",E4530="!!!",F4530="NEW"),"",INDEX(B4529:B$2,-1+SUMPRODUCT(MAX(ROW(E4529:E$2)*(E4530=E4529:E$2)))))</f>
        <v> </v>
      </c>
      <c r="J4530" s="25" t="str">
        <f>IF(OR(E4530="",E4530="!!!",F4530="NEW"),"",COUNTBLANK(OFFSET(A$1,,,SUMPRODUCT(MAX(ROW(E$2:E4530)*(E4530=E$2:E4530)))))-COUNTBLANK(OFFSET(A$1,,,SUMPRODUCT(MAX(ROW(E$1:E4529)*(E2=E$1:E4529))))))</f>
        <v> </v>
      </c>
      <c r="K4530" s="25" t="str">
        <f>IF(OR(E4530="",E4530="!!!",F4530="NEW"),"",INDEX(J$1:J4529,SUMPRODUCT(MAX(ROW(E$1:E4529)*(E4530=E$1:E4529)))))</f>
        <v> </v>
      </c>
      <c r="L4530" s="26"/>
    </row>
    <row r="4531" spans="1:12">
      <c r="A4531" s="20" t="s">
        <v>1989</v>
      </c>
      <c r="B4531" s="27" t="s">
        <v>802</v>
      </c>
      <c r="C4531" s="27" t="s">
        <v>837</v>
      </c>
      <c r="D4531" s="27" t="s">
        <v>762</v>
      </c>
      <c r="E4531" s="21">
        <f>IF(D4531="?OLD","!!!","")</f>
        <v/>
      </c>
      <c r="F4531" s="22" t="str">
        <f>IF(OR(E4531="",E4531="!!!"),"",IF(NOT(ISNA(VLOOKUP(E4531,E$1:E4530,1,FALSE()))),"OLD",IF(AND(E4531&lt;&gt;"",E4531&lt;&gt;"!!!"),"NEW","")))</f>
        <v> </v>
      </c>
      <c r="G4531" s="23" t="str">
        <f>IF(OR(E4531="",E4531="!!!"),"",IF(OR(J4531=0,AND(J4531=1,K4531=1),AND(J4531=1,I4531="SBJ"),AND(J4531=1,I4531=0)),"?IN_FOCUS",IF(J4531&lt;=2,"?ACTIVATED",IF(J4531&lt;&gt;"","?FAMILIAR",IF(F4531="NEW",IF(ISNA(VLOOKUP(E4531,#REF!,1,FALSE())),"?TYPE_IDENTIFIABLE","?REFERENTIAL"),"_")))))</f>
        <v> </v>
      </c>
      <c r="H4531" s="24" t="str">
        <f>IF(J4531&lt;&gt;1,"",IF(I4531="SBJ","CB","?"))</f>
        <v> </v>
      </c>
      <c r="I4531" s="25" t="str">
        <f>IF(OR(E4531="",E4531="!!!",F4531="NEW"),"",INDEX(B4530:B$2,-1+SUMPRODUCT(MAX(ROW(E4530:E$2)*(E4531=E4530:E$2)))))</f>
        <v> </v>
      </c>
      <c r="J4531" s="25" t="str">
        <f>IF(OR(E4531="",E4531="!!!",F4531="NEW"),"",COUNTBLANK(OFFSET(A$1,,,SUMPRODUCT(MAX(ROW(E$2:E4531)*(E4531=E$2:E4531)))))-COUNTBLANK(OFFSET(A$1,,,SUMPRODUCT(MAX(ROW(E$1:E4530)*(E2=E$1:E4530))))))</f>
        <v> </v>
      </c>
      <c r="K4531" s="25" t="str">
        <f>IF(OR(E4531="",E4531="!!!",F4531="NEW"),"",INDEX(J$1:J4530,SUMPRODUCT(MAX(ROW(E$1:E4530)*(E4531=E$1:E4530)))))</f>
        <v> </v>
      </c>
      <c r="L4531" s="26"/>
    </row>
    <row r="4532" spans="1:12">
      <c r="A4532" s="20" t="s">
        <v>1990</v>
      </c>
      <c r="E4532" s="21">
        <f>IF(D4532="?OLD","!!!","")</f>
        <v/>
      </c>
      <c r="F4532" s="22" t="str">
        <f>IF(OR(E4532="",E4532="!!!"),"",IF(NOT(ISNA(VLOOKUP(E4532,E$1:E4531,1,FALSE()))),"OLD",IF(AND(E4532&lt;&gt;"",E4532&lt;&gt;"!!!"),"NEW","")))</f>
        <v> </v>
      </c>
      <c r="G4532" s="23" t="str">
        <f>IF(OR(E4532="",E4532="!!!"),"",IF(OR(J4532=0,AND(J4532=1,K4532=1),AND(J4532=1,I4532="SBJ"),AND(J4532=1,I4532=0)),"?IN_FOCUS",IF(J4532&lt;=2,"?ACTIVATED",IF(J4532&lt;&gt;"","?FAMILIAR",IF(F4532="NEW",IF(ISNA(VLOOKUP(E4532,#REF!,1,FALSE())),"?TYPE_IDENTIFIABLE","?REFERENTIAL"),"_")))))</f>
        <v> </v>
      </c>
      <c r="H4532" s="24" t="str">
        <f>IF(J4532&lt;&gt;1,"",IF(I4532="SBJ","CB","?"))</f>
        <v> </v>
      </c>
      <c r="I4532" s="25" t="str">
        <f>IF(OR(E4532="",E4532="!!!",F4532="NEW"),"",INDEX(B4531:B$2,-1+SUMPRODUCT(MAX(ROW(E4531:E$2)*(E4532=E4531:E$2)))))</f>
        <v> </v>
      </c>
      <c r="J4532" s="25" t="str">
        <f>IF(OR(E4532="",E4532="!!!",F4532="NEW"),"",COUNTBLANK(OFFSET(A$1,,,SUMPRODUCT(MAX(ROW(E$2:E4532)*(E4532=E$2:E4532)))))-COUNTBLANK(OFFSET(A$1,,,SUMPRODUCT(MAX(ROW(E$1:E4531)*(E2=E$1:E4531))))))</f>
        <v> </v>
      </c>
      <c r="K4532" s="25" t="str">
        <f>IF(OR(E4532="",E4532="!!!",F4532="NEW"),"",INDEX(J$1:J4531,SUMPRODUCT(MAX(ROW(E$1:E4531)*(E4532=E$1:E4531)))))</f>
        <v> </v>
      </c>
      <c r="L4532" s="26"/>
    </row>
    <row r="4533" spans="1:12">
      <c r="A4533" s="20" t="s">
        <v>774</v>
      </c>
      <c r="E4533" s="21">
        <f>IF(D4533="?OLD","!!!","")</f>
        <v/>
      </c>
      <c r="F4533" s="22" t="str">
        <f>IF(OR(E4533="",E4533="!!!"),"",IF(NOT(ISNA(VLOOKUP(E4533,E$1:E4532,1,FALSE()))),"OLD",IF(AND(E4533&lt;&gt;"",E4533&lt;&gt;"!!!"),"NEW","")))</f>
        <v> </v>
      </c>
      <c r="G4533" s="23" t="str">
        <f>IF(OR(E4533="",E4533="!!!"),"",IF(OR(J4533=0,AND(J4533=1,K4533=1),AND(J4533=1,I4533="SBJ"),AND(J4533=1,I4533=0)),"?IN_FOCUS",IF(J4533&lt;=2,"?ACTIVATED",IF(J4533&lt;&gt;"","?FAMILIAR",IF(F4533="NEW",IF(ISNA(VLOOKUP(E4533,#REF!,1,FALSE())),"?TYPE_IDENTIFIABLE","?REFERENTIAL"),"_")))))</f>
        <v> </v>
      </c>
      <c r="H4533" s="24" t="str">
        <f>IF(J4533&lt;&gt;1,"",IF(I4533="SBJ","CB","?"))</f>
        <v> </v>
      </c>
      <c r="I4533" s="25" t="str">
        <f>IF(OR(E4533="",E4533="!!!",F4533="NEW"),"",INDEX(B4532:B$2,-1+SUMPRODUCT(MAX(ROW(E4532:E$2)*(E4533=E4532:E$2)))))</f>
        <v> </v>
      </c>
      <c r="J4533" s="25" t="str">
        <f>IF(OR(E4533="",E4533="!!!",F4533="NEW"),"",COUNTBLANK(OFFSET(A$1,,,SUMPRODUCT(MAX(ROW(E$2:E4533)*(E4533=E$2:E4533)))))-COUNTBLANK(OFFSET(A$1,,,SUMPRODUCT(MAX(ROW(E$1:E4532)*(E2=E$1:E4532))))))</f>
        <v> </v>
      </c>
      <c r="K4533" s="25" t="str">
        <f>IF(OR(E4533="",E4533="!!!",F4533="NEW"),"",INDEX(J$1:J4532,SUMPRODUCT(MAX(ROW(E$1:E4532)*(E4533=E$1:E4532)))))</f>
        <v> </v>
      </c>
      <c r="L4533" s="26"/>
    </row>
    <row r="4534" spans="1:12">
      <c r="A4534" s="20"/>
    </row>
    <row r="4535" spans="1:12">
      <c r="A4535" s="20" t="s">
        <v>1991</v>
      </c>
    </row>
    <row r="4536" spans="1:12">
      <c r="A4536" s="20" t="s">
        <v>1088</v>
      </c>
      <c r="B4536" s="27" t="s">
        <v>760</v>
      </c>
      <c r="C4536" s="27" t="s">
        <v>797</v>
      </c>
      <c r="D4536" s="27" t="s">
        <v>762</v>
      </c>
      <c r="E4536" s="21">
        <f>IF(D4536="?OLD","!!!","")</f>
        <v/>
      </c>
      <c r="F4536" s="22" t="str">
        <f>IF(OR(E4536="",E4536="!!!"),"",IF(NOT(ISNA(VLOOKUP(E4536,E$1:E4535,1,FALSE()))),"OLD",IF(AND(E4536&lt;&gt;"",E4536&lt;&gt;"!!!"),"NEW","")))</f>
        <v> </v>
      </c>
      <c r="G4536" s="23" t="str">
        <f>IF(OR(E4536="",E4536="!!!"),"",IF(OR(J4536=0,AND(J4536=1,K4536=1),AND(J4536=1,I4536="SBJ"),AND(J4536=1,I4536=0)),"?IN_FOCUS",IF(J4536&lt;=2,"?ACTIVATED",IF(J4536&lt;&gt;"","?FAMILIAR",IF(F4536="NEW",IF(ISNA(VLOOKUP(E4536,#REF!,1,FALSE())),"?TYPE_IDENTIFIABLE","?REFERENTIAL"),"_")))))</f>
        <v> </v>
      </c>
      <c r="H4536" s="24" t="str">
        <f>IF(J4536&lt;&gt;1,"",IF(I4536="SBJ","CB","?"))</f>
        <v> </v>
      </c>
      <c r="I4536" s="25" t="str">
        <f>IF(OR(E4536="",E4536="!!!",F4536="NEW"),"",INDEX(B4535:B$2,-1+SUMPRODUCT(MAX(ROW(E4535:E$2)*(E4536=E4535:E$2)))))</f>
        <v> </v>
      </c>
      <c r="J4536" s="25" t="str">
        <f>IF(OR(E4536="",E4536="!!!",F4536="NEW"),"",COUNTBLANK(OFFSET(A$1,,,SUMPRODUCT(MAX(ROW(E$2:E4536)*(E4536=E$2:E4536)))))-COUNTBLANK(OFFSET(A$1,,,SUMPRODUCT(MAX(ROW(E$1:E4535)*(E2=E$1:E4535))))))</f>
        <v> </v>
      </c>
      <c r="K4536" s="25" t="str">
        <f>IF(OR(E4536="",E4536="!!!",F4536="NEW"),"",INDEX(J$1:J4535,SUMPRODUCT(MAX(ROW(E$1:E4535)*(E4536=E$1:E4535)))))</f>
        <v> </v>
      </c>
      <c r="L4536" s="26"/>
    </row>
    <row r="4537" spans="1:12">
      <c r="A4537" s="20" t="s">
        <v>936</v>
      </c>
      <c r="E4537" s="21">
        <f>IF(D4537="?OLD","!!!","")</f>
        <v/>
      </c>
      <c r="F4537" s="22" t="str">
        <f>IF(OR(E4537="",E4537="!!!"),"",IF(NOT(ISNA(VLOOKUP(E4537,E$1:E4536,1,FALSE()))),"OLD",IF(AND(E4537&lt;&gt;"",E4537&lt;&gt;"!!!"),"NEW","")))</f>
        <v> </v>
      </c>
      <c r="G4537" s="23" t="str">
        <f>IF(OR(E4537="",E4537="!!!"),"",IF(OR(J4537=0,AND(J4537=1,K4537=1),AND(J4537=1,I4537="SBJ"),AND(J4537=1,I4537=0)),"?IN_FOCUS",IF(J4537&lt;=2,"?ACTIVATED",IF(J4537&lt;&gt;"","?FAMILIAR",IF(F4537="NEW",IF(ISNA(VLOOKUP(E4537,#REF!,1,FALSE())),"?TYPE_IDENTIFIABLE","?REFERENTIAL"),"_")))))</f>
        <v> </v>
      </c>
      <c r="H4537" s="24" t="str">
        <f>IF(J4537&lt;&gt;1,"",IF(I4537="SBJ","CB","?"))</f>
        <v> </v>
      </c>
      <c r="I4537" s="25" t="str">
        <f>IF(OR(E4537="",E4537="!!!",F4537="NEW"),"",INDEX(B4536:B$2,-1+SUMPRODUCT(MAX(ROW(E4536:E$2)*(E4537=E4536:E$2)))))</f>
        <v> </v>
      </c>
      <c r="J4537" s="25" t="str">
        <f>IF(OR(E4537="",E4537="!!!",F4537="NEW"),"",COUNTBLANK(OFFSET(A$1,,,SUMPRODUCT(MAX(ROW(E$2:E4537)*(E4537=E$2:E4537)))))-COUNTBLANK(OFFSET(A$1,,,SUMPRODUCT(MAX(ROW(E$1:E4536)*(E2=E$1:E4536))))))</f>
        <v> </v>
      </c>
      <c r="K4537" s="25" t="str">
        <f>IF(OR(E4537="",E4537="!!!",F4537="NEW"),"",INDEX(J$1:J4536,SUMPRODUCT(MAX(ROW(E$1:E4536)*(E4537=E$1:E4536)))))</f>
        <v> </v>
      </c>
      <c r="L4537" s="26"/>
    </row>
    <row r="4538" spans="1:12">
      <c r="A4538" s="20" t="s">
        <v>793</v>
      </c>
      <c r="E4538" s="21">
        <f>IF(D4538="?OLD","!!!","")</f>
        <v/>
      </c>
      <c r="F4538" s="22" t="str">
        <f>IF(OR(E4538="",E4538="!!!"),"",IF(NOT(ISNA(VLOOKUP(E4538,E$1:E4537,1,FALSE()))),"OLD",IF(AND(E4538&lt;&gt;"",E4538&lt;&gt;"!!!"),"NEW","")))</f>
        <v> </v>
      </c>
      <c r="G4538" s="23" t="str">
        <f>IF(OR(E4538="",E4538="!!!"),"",IF(OR(J4538=0,AND(J4538=1,K4538=1),AND(J4538=1,I4538="SBJ"),AND(J4538=1,I4538=0)),"?IN_FOCUS",IF(J4538&lt;=2,"?ACTIVATED",IF(J4538&lt;&gt;"","?FAMILIAR",IF(F4538="NEW",IF(ISNA(VLOOKUP(E4538,#REF!,1,FALSE())),"?TYPE_IDENTIFIABLE","?REFERENTIAL"),"_")))))</f>
        <v> </v>
      </c>
      <c r="H4538" s="24" t="str">
        <f>IF(J4538&lt;&gt;1,"",IF(I4538="SBJ","CB","?"))</f>
        <v> </v>
      </c>
      <c r="I4538" s="25" t="str">
        <f>IF(OR(E4538="",E4538="!!!",F4538="NEW"),"",INDEX(B4537:B$2,-1+SUMPRODUCT(MAX(ROW(E4537:E$2)*(E4538=E4537:E$2)))))</f>
        <v> </v>
      </c>
      <c r="J4538" s="25" t="str">
        <f>IF(OR(E4538="",E4538="!!!",F4538="NEW"),"",COUNTBLANK(OFFSET(A$1,,,SUMPRODUCT(MAX(ROW(E$2:E4538)*(E4538=E$2:E4538)))))-COUNTBLANK(OFFSET(A$1,,,SUMPRODUCT(MAX(ROW(E$1:E4537)*(E2=E$1:E4537))))))</f>
        <v> </v>
      </c>
      <c r="K4538" s="25" t="str">
        <f>IF(OR(E4538="",E4538="!!!",F4538="NEW"),"",INDEX(J$1:J4537,SUMPRODUCT(MAX(ROW(E$1:E4537)*(E4538=E$1:E4537)))))</f>
        <v> </v>
      </c>
      <c r="L4538" s="26"/>
    </row>
    <row r="4539" spans="1:12">
      <c r="A4539" s="20" t="s">
        <v>959</v>
      </c>
      <c r="B4539" s="27" t="s">
        <v>796</v>
      </c>
      <c r="C4539" s="27" t="s">
        <v>777</v>
      </c>
      <c r="D4539" s="27" t="s">
        <v>762</v>
      </c>
      <c r="E4539" s="21">
        <f>IF(D4539="?OLD","!!!","")</f>
        <v/>
      </c>
      <c r="F4539" s="22" t="str">
        <f>IF(OR(E4539="",E4539="!!!"),"",IF(NOT(ISNA(VLOOKUP(E4539,E$1:E4538,1,FALSE()))),"OLD",IF(AND(E4539&lt;&gt;"",E4539&lt;&gt;"!!!"),"NEW","")))</f>
        <v> </v>
      </c>
      <c r="G4539" s="23" t="str">
        <f>IF(OR(E4539="",E4539="!!!"),"",IF(OR(J4539=0,AND(J4539=1,K4539=1),AND(J4539=1,I4539="SBJ"),AND(J4539=1,I4539=0)),"?IN_FOCUS",IF(J4539&lt;=2,"?ACTIVATED",IF(J4539&lt;&gt;"","?FAMILIAR",IF(F4539="NEW",IF(ISNA(VLOOKUP(E4539,#REF!,1,FALSE())),"?TYPE_IDENTIFIABLE","?REFERENTIAL"),"_")))))</f>
        <v> </v>
      </c>
      <c r="H4539" s="24" t="str">
        <f>IF(J4539&lt;&gt;1,"",IF(I4539="SBJ","CB","?"))</f>
        <v> </v>
      </c>
      <c r="I4539" s="25" t="str">
        <f>IF(OR(E4539="",E4539="!!!",F4539="NEW"),"",INDEX(B4538:B$2,-1+SUMPRODUCT(MAX(ROW(E4538:E$2)*(E4539=E4538:E$2)))))</f>
        <v> </v>
      </c>
      <c r="J4539" s="25" t="str">
        <f>IF(OR(E4539="",E4539="!!!",F4539="NEW"),"",COUNTBLANK(OFFSET(A$1,,,SUMPRODUCT(MAX(ROW(E$2:E4539)*(E4539=E$2:E4539)))))-COUNTBLANK(OFFSET(A$1,,,SUMPRODUCT(MAX(ROW(E$1:E4538)*(E2=E$1:E4538))))))</f>
        <v> </v>
      </c>
      <c r="K4539" s="25" t="str">
        <f>IF(OR(E4539="",E4539="!!!",F4539="NEW"),"",INDEX(J$1:J4538,SUMPRODUCT(MAX(ROW(E$1:E4538)*(E4539=E$1:E4538)))))</f>
        <v> </v>
      </c>
      <c r="L4539" s="26"/>
    </row>
    <row r="4540" spans="1:12">
      <c r="A4540" s="20" t="s">
        <v>891</v>
      </c>
      <c r="E4540" s="21">
        <f>IF(D4540="?OLD","!!!","")</f>
        <v/>
      </c>
      <c r="F4540" s="22" t="str">
        <f>IF(OR(E4540="",E4540="!!!"),"",IF(NOT(ISNA(VLOOKUP(E4540,E$1:E4539,1,FALSE()))),"OLD",IF(AND(E4540&lt;&gt;"",E4540&lt;&gt;"!!!"),"NEW","")))</f>
        <v> </v>
      </c>
      <c r="G4540" s="23" t="str">
        <f>IF(OR(E4540="",E4540="!!!"),"",IF(OR(J4540=0,AND(J4540=1,K4540=1),AND(J4540=1,I4540="SBJ"),AND(J4540=1,I4540=0)),"?IN_FOCUS",IF(J4540&lt;=2,"?ACTIVATED",IF(J4540&lt;&gt;"","?FAMILIAR",IF(F4540="NEW",IF(ISNA(VLOOKUP(E4540,#REF!,1,FALSE())),"?TYPE_IDENTIFIABLE","?REFERENTIAL"),"_")))))</f>
        <v> </v>
      </c>
      <c r="H4540" s="24" t="str">
        <f>IF(J4540&lt;&gt;1,"",IF(I4540="SBJ","CB","?"))</f>
        <v> </v>
      </c>
      <c r="I4540" s="25" t="str">
        <f>IF(OR(E4540="",E4540="!!!",F4540="NEW"),"",INDEX(B4539:B$2,-1+SUMPRODUCT(MAX(ROW(E4539:E$2)*(E4540=E4539:E$2)))))</f>
        <v> </v>
      </c>
      <c r="J4540" s="25" t="str">
        <f>IF(OR(E4540="",E4540="!!!",F4540="NEW"),"",COUNTBLANK(OFFSET(A$1,,,SUMPRODUCT(MAX(ROW(E$2:E4540)*(E4540=E$2:E4540)))))-COUNTBLANK(OFFSET(A$1,,,SUMPRODUCT(MAX(ROW(E$1:E4539)*(E2=E$1:E4539))))))</f>
        <v> </v>
      </c>
      <c r="K4540" s="25" t="str">
        <f>IF(OR(E4540="",E4540="!!!",F4540="NEW"),"",INDEX(J$1:J4539,SUMPRODUCT(MAX(ROW(E$1:E4539)*(E4540=E$1:E4539)))))</f>
        <v> </v>
      </c>
      <c r="L4540" s="26"/>
    </row>
    <row r="4541" spans="1:12">
      <c r="A4541" s="20" t="s">
        <v>421</v>
      </c>
      <c r="E4541" s="21">
        <f>IF(D4541="?OLD","!!!","")</f>
        <v/>
      </c>
      <c r="F4541" s="22" t="str">
        <f>IF(OR(E4541="",E4541="!!!"),"",IF(NOT(ISNA(VLOOKUP(E4541,E$1:E4540,1,FALSE()))),"OLD",IF(AND(E4541&lt;&gt;"",E4541&lt;&gt;"!!!"),"NEW","")))</f>
        <v> </v>
      </c>
      <c r="G4541" s="23" t="str">
        <f>IF(OR(E4541="",E4541="!!!"),"",IF(OR(J4541=0,AND(J4541=1,K4541=1),AND(J4541=1,I4541="SBJ"),AND(J4541=1,I4541=0)),"?IN_FOCUS",IF(J4541&lt;=2,"?ACTIVATED",IF(J4541&lt;&gt;"","?FAMILIAR",IF(F4541="NEW",IF(ISNA(VLOOKUP(E4541,#REF!,1,FALSE())),"?TYPE_IDENTIFIABLE","?REFERENTIAL"),"_")))))</f>
        <v> </v>
      </c>
      <c r="H4541" s="24" t="str">
        <f>IF(J4541&lt;&gt;1,"",IF(I4541="SBJ","CB","?"))</f>
        <v> </v>
      </c>
      <c r="I4541" s="25" t="str">
        <f>IF(OR(E4541="",E4541="!!!",F4541="NEW"),"",INDEX(B4540:B$2,-1+SUMPRODUCT(MAX(ROW(E4540:E$2)*(E4541=E4540:E$2)))))</f>
        <v> </v>
      </c>
      <c r="J4541" s="25" t="str">
        <f>IF(OR(E4541="",E4541="!!!",F4541="NEW"),"",COUNTBLANK(OFFSET(A$1,,,SUMPRODUCT(MAX(ROW(E$2:E4541)*(E4541=E$2:E4541)))))-COUNTBLANK(OFFSET(A$1,,,SUMPRODUCT(MAX(ROW(E$1:E4540)*(E2=E$1:E4540))))))</f>
        <v> </v>
      </c>
      <c r="K4541" s="25" t="str">
        <f>IF(OR(E4541="",E4541="!!!",F4541="NEW"),"",INDEX(J$1:J4540,SUMPRODUCT(MAX(ROW(E$1:E4540)*(E4541=E$1:E4540)))))</f>
        <v> </v>
      </c>
      <c r="L4541" s="26"/>
    </row>
    <row r="4542" spans="1:12">
      <c r="A4542" s="20" t="s">
        <v>822</v>
      </c>
      <c r="E4542" s="21">
        <f>IF(D4542="?OLD","!!!","")</f>
        <v/>
      </c>
      <c r="F4542" s="22" t="str">
        <f>IF(OR(E4542="",E4542="!!!"),"",IF(NOT(ISNA(VLOOKUP(E4542,E$1:E4541,1,FALSE()))),"OLD",IF(AND(E4542&lt;&gt;"",E4542&lt;&gt;"!!!"),"NEW","")))</f>
        <v> </v>
      </c>
      <c r="G4542" s="23" t="str">
        <f>IF(OR(E4542="",E4542="!!!"),"",IF(OR(J4542=0,AND(J4542=1,K4542=1),AND(J4542=1,I4542="SBJ"),AND(J4542=1,I4542=0)),"?IN_FOCUS",IF(J4542&lt;=2,"?ACTIVATED",IF(J4542&lt;&gt;"","?FAMILIAR",IF(F4542="NEW",IF(ISNA(VLOOKUP(E4542,#REF!,1,FALSE())),"?TYPE_IDENTIFIABLE","?REFERENTIAL"),"_")))))</f>
        <v> </v>
      </c>
      <c r="H4542" s="24" t="str">
        <f>IF(J4542&lt;&gt;1,"",IF(I4542="SBJ","CB","?"))</f>
        <v> </v>
      </c>
      <c r="I4542" s="25" t="str">
        <f>IF(OR(E4542="",E4542="!!!",F4542="NEW"),"",INDEX(B4541:B$2,-1+SUMPRODUCT(MAX(ROW(E4541:E$2)*(E4542=E4541:E$2)))))</f>
        <v> </v>
      </c>
      <c r="J4542" s="25" t="str">
        <f>IF(OR(E4542="",E4542="!!!",F4542="NEW"),"",COUNTBLANK(OFFSET(A$1,,,SUMPRODUCT(MAX(ROW(E$2:E4542)*(E4542=E$2:E4542)))))-COUNTBLANK(OFFSET(A$1,,,SUMPRODUCT(MAX(ROW(E$1:E4541)*(E2=E$1:E4541))))))</f>
        <v> </v>
      </c>
      <c r="K4542" s="25" t="str">
        <f>IF(OR(E4542="",E4542="!!!",F4542="NEW"),"",INDEX(J$1:J4541,SUMPRODUCT(MAX(ROW(E$1:E4541)*(E4542=E$1:E4541)))))</f>
        <v> </v>
      </c>
      <c r="L4542" s="26"/>
    </row>
    <row r="4543" spans="1:12">
      <c r="A4543" s="20" t="s">
        <v>1992</v>
      </c>
      <c r="B4543" s="27" t="s">
        <v>772</v>
      </c>
      <c r="C4543" s="27" t="s">
        <v>761</v>
      </c>
      <c r="D4543" s="27" t="s">
        <v>762</v>
      </c>
      <c r="E4543" s="21">
        <f>IF(D4543="?OLD","!!!","")</f>
        <v/>
      </c>
      <c r="F4543" s="22" t="str">
        <f>IF(OR(E4543="",E4543="!!!"),"",IF(NOT(ISNA(VLOOKUP(E4543,E$1:E4542,1,FALSE()))),"OLD",IF(AND(E4543&lt;&gt;"",E4543&lt;&gt;"!!!"),"NEW","")))</f>
        <v> </v>
      </c>
      <c r="G4543" s="23" t="str">
        <f>IF(OR(E4543="",E4543="!!!"),"",IF(OR(J4543=0,AND(J4543=1,K4543=1),AND(J4543=1,I4543="SBJ"),AND(J4543=1,I4543=0)),"?IN_FOCUS",IF(J4543&lt;=2,"?ACTIVATED",IF(J4543&lt;&gt;"","?FAMILIAR",IF(F4543="NEW",IF(ISNA(VLOOKUP(E4543,#REF!,1,FALSE())),"?TYPE_IDENTIFIABLE","?REFERENTIAL"),"_")))))</f>
        <v> </v>
      </c>
      <c r="H4543" s="24" t="str">
        <f>IF(J4543&lt;&gt;1,"",IF(I4543="SBJ","CB","?"))</f>
        <v> </v>
      </c>
      <c r="I4543" s="25" t="str">
        <f>IF(OR(E4543="",E4543="!!!",F4543="NEW"),"",INDEX(B4542:B$2,-1+SUMPRODUCT(MAX(ROW(E4542:E$2)*(E4543=E4542:E$2)))))</f>
        <v> </v>
      </c>
      <c r="J4543" s="25" t="str">
        <f>IF(OR(E4543="",E4543="!!!",F4543="NEW"),"",COUNTBLANK(OFFSET(A$1,,,SUMPRODUCT(MAX(ROW(E$2:E4543)*(E4543=E$2:E4543)))))-COUNTBLANK(OFFSET(A$1,,,SUMPRODUCT(MAX(ROW(E$1:E4542)*(E2=E$1:E4542))))))</f>
        <v> </v>
      </c>
      <c r="K4543" s="25" t="str">
        <f>IF(OR(E4543="",E4543="!!!",F4543="NEW"),"",INDEX(J$1:J4542,SUMPRODUCT(MAX(ROW(E$1:E4542)*(E4543=E$1:E4542)))))</f>
        <v> </v>
      </c>
      <c r="L4543" s="26"/>
    </row>
    <row r="4544" spans="1:12">
      <c r="A4544" s="20" t="s">
        <v>805</v>
      </c>
      <c r="E4544" s="21">
        <f>IF(D4544="?OLD","!!!","")</f>
        <v/>
      </c>
      <c r="F4544" s="22" t="str">
        <f>IF(OR(E4544="",E4544="!!!"),"",IF(NOT(ISNA(VLOOKUP(E4544,E$1:E4543,1,FALSE()))),"OLD",IF(AND(E4544&lt;&gt;"",E4544&lt;&gt;"!!!"),"NEW","")))</f>
        <v> </v>
      </c>
      <c r="G4544" s="23" t="str">
        <f>IF(OR(E4544="",E4544="!!!"),"",IF(OR(J4544=0,AND(J4544=1,K4544=1),AND(J4544=1,I4544="SBJ"),AND(J4544=1,I4544=0)),"?IN_FOCUS",IF(J4544&lt;=2,"?ACTIVATED",IF(J4544&lt;&gt;"","?FAMILIAR",IF(F4544="NEW",IF(ISNA(VLOOKUP(E4544,#REF!,1,FALSE())),"?TYPE_IDENTIFIABLE","?REFERENTIAL"),"_")))))</f>
        <v> </v>
      </c>
      <c r="H4544" s="24" t="str">
        <f>IF(J4544&lt;&gt;1,"",IF(I4544="SBJ","CB","?"))</f>
        <v> </v>
      </c>
      <c r="I4544" s="25" t="str">
        <f>IF(OR(E4544="",E4544="!!!",F4544="NEW"),"",INDEX(B4543:B$2,-1+SUMPRODUCT(MAX(ROW(E4543:E$2)*(E4544=E4543:E$2)))))</f>
        <v> </v>
      </c>
      <c r="J4544" s="25" t="str">
        <f>IF(OR(E4544="",E4544="!!!",F4544="NEW"),"",COUNTBLANK(OFFSET(A$1,,,SUMPRODUCT(MAX(ROW(E$2:E4544)*(E4544=E$2:E4544)))))-COUNTBLANK(OFFSET(A$1,,,SUMPRODUCT(MAX(ROW(E$1:E4543)*(E2=E$1:E4543))))))</f>
        <v> </v>
      </c>
      <c r="K4544" s="25" t="str">
        <f>IF(OR(E4544="",E4544="!!!",F4544="NEW"),"",INDEX(J$1:J4543,SUMPRODUCT(MAX(ROW(E$1:E4543)*(E4544=E$1:E4543)))))</f>
        <v> </v>
      </c>
      <c r="L4544" s="26"/>
    </row>
    <row r="4545" spans="1:12">
      <c r="A4545" s="20" t="s">
        <v>764</v>
      </c>
      <c r="E4545" s="21">
        <f>IF(D4545="?OLD","!!!","")</f>
        <v/>
      </c>
      <c r="F4545" s="22" t="str">
        <f>IF(OR(E4545="",E4545="!!!"),"",IF(NOT(ISNA(VLOOKUP(E4545,E$1:E4544,1,FALSE()))),"OLD",IF(AND(E4545&lt;&gt;"",E4545&lt;&gt;"!!!"),"NEW","")))</f>
        <v> </v>
      </c>
      <c r="G4545" s="23" t="str">
        <f>IF(OR(E4545="",E4545="!!!"),"",IF(OR(J4545=0,AND(J4545=1,K4545=1),AND(J4545=1,I4545="SBJ"),AND(J4545=1,I4545=0)),"?IN_FOCUS",IF(J4545&lt;=2,"?ACTIVATED",IF(J4545&lt;&gt;"","?FAMILIAR",IF(F4545="NEW",IF(ISNA(VLOOKUP(E4545,#REF!,1,FALSE())),"?TYPE_IDENTIFIABLE","?REFERENTIAL"),"_")))))</f>
        <v> </v>
      </c>
      <c r="H4545" s="24" t="str">
        <f>IF(J4545&lt;&gt;1,"",IF(I4545="SBJ","CB","?"))</f>
        <v> </v>
      </c>
      <c r="I4545" s="25" t="str">
        <f>IF(OR(E4545="",E4545="!!!",F4545="NEW"),"",INDEX(B4544:B$2,-1+SUMPRODUCT(MAX(ROW(E4544:E$2)*(E4545=E4544:E$2)))))</f>
        <v> </v>
      </c>
      <c r="J4545" s="25" t="str">
        <f>IF(OR(E4545="",E4545="!!!",F4545="NEW"),"",COUNTBLANK(OFFSET(A$1,,,SUMPRODUCT(MAX(ROW(E$2:E4545)*(E4545=E$2:E4545)))))-COUNTBLANK(OFFSET(A$1,,,SUMPRODUCT(MAX(ROW(E$1:E4544)*(E2=E$1:E4544))))))</f>
        <v> </v>
      </c>
      <c r="K4545" s="25" t="str">
        <f>IF(OR(E4545="",E4545="!!!",F4545="NEW"),"",INDEX(J$1:J4544,SUMPRODUCT(MAX(ROW(E$1:E4544)*(E4545=E$1:E4544)))))</f>
        <v> </v>
      </c>
      <c r="L4545" s="26"/>
    </row>
    <row r="4546" spans="1:12">
      <c r="A4546" s="20" t="s">
        <v>1993</v>
      </c>
      <c r="B4546" s="27" t="s">
        <v>879</v>
      </c>
      <c r="C4546" s="27" t="s">
        <v>768</v>
      </c>
      <c r="E4546" s="21">
        <f>IF(D4546="?OLD","!!!","")</f>
        <v/>
      </c>
      <c r="F4546" s="22" t="str">
        <f>IF(OR(E4546="",E4546="!!!"),"",IF(NOT(ISNA(VLOOKUP(E4546,E$1:E4545,1,FALSE()))),"OLD",IF(AND(E4546&lt;&gt;"",E4546&lt;&gt;"!!!"),"NEW","")))</f>
        <v> </v>
      </c>
      <c r="G4546" s="23" t="str">
        <f>IF(OR(E4546="",E4546="!!!"),"",IF(OR(J4546=0,AND(J4546=1,K4546=1),AND(J4546=1,I4546="SBJ"),AND(J4546=1,I4546=0)),"?IN_FOCUS",IF(J4546&lt;=2,"?ACTIVATED",IF(J4546&lt;&gt;"","?FAMILIAR",IF(F4546="NEW",IF(ISNA(VLOOKUP(E4546,#REF!,1,FALSE())),"?TYPE_IDENTIFIABLE","?REFERENTIAL"),"_")))))</f>
        <v> </v>
      </c>
      <c r="H4546" s="24" t="str">
        <f>IF(J4546&lt;&gt;1,"",IF(I4546="SBJ","CB","?"))</f>
        <v> </v>
      </c>
      <c r="I4546" s="25" t="str">
        <f>IF(OR(E4546="",E4546="!!!",F4546="NEW"),"",INDEX(B4545:B$2,-1+SUMPRODUCT(MAX(ROW(E4545:E$2)*(E4546=E4545:E$2)))))</f>
        <v> </v>
      </c>
      <c r="J4546" s="25" t="str">
        <f>IF(OR(E4546="",E4546="!!!",F4546="NEW"),"",COUNTBLANK(OFFSET(A$1,,,SUMPRODUCT(MAX(ROW(E$2:E4546)*(E4546=E$2:E4546)))))-COUNTBLANK(OFFSET(A$1,,,SUMPRODUCT(MAX(ROW(E$1:E4545)*(E2=E$1:E4545))))))</f>
        <v> </v>
      </c>
      <c r="K4546" s="25" t="str">
        <f>IF(OR(E4546="",E4546="!!!",F4546="NEW"),"",INDEX(J$1:J4545,SUMPRODUCT(MAX(ROW(E$1:E4545)*(E4546=E$1:E4545)))))</f>
        <v> </v>
      </c>
      <c r="L4546" s="26"/>
    </row>
    <row r="4547" spans="1:12">
      <c r="A4547" s="20" t="s">
        <v>1994</v>
      </c>
      <c r="E4547" s="21">
        <f>IF(D4547="?OLD","!!!","")</f>
        <v/>
      </c>
      <c r="F4547" s="22" t="str">
        <f>IF(OR(E4547="",E4547="!!!"),"",IF(NOT(ISNA(VLOOKUP(E4547,E$1:E4546,1,FALSE()))),"OLD",IF(AND(E4547&lt;&gt;"",E4547&lt;&gt;"!!!"),"NEW","")))</f>
        <v> </v>
      </c>
      <c r="G4547" s="23" t="str">
        <f>IF(OR(E4547="",E4547="!!!"),"",IF(OR(J4547=0,AND(J4547=1,K4547=1),AND(J4547=1,I4547="SBJ"),AND(J4547=1,I4547=0)),"?IN_FOCUS",IF(J4547&lt;=2,"?ACTIVATED",IF(J4547&lt;&gt;"","?FAMILIAR",IF(F4547="NEW",IF(ISNA(VLOOKUP(E4547,#REF!,1,FALSE())),"?TYPE_IDENTIFIABLE","?REFERENTIAL"),"_")))))</f>
        <v> </v>
      </c>
      <c r="H4547" s="24" t="str">
        <f>IF(J4547&lt;&gt;1,"",IF(I4547="SBJ","CB","?"))</f>
        <v> </v>
      </c>
      <c r="I4547" s="25" t="str">
        <f>IF(OR(E4547="",E4547="!!!",F4547="NEW"),"",INDEX(B4546:B$2,-1+SUMPRODUCT(MAX(ROW(E4546:E$2)*(E4547=E4546:E$2)))))</f>
        <v> </v>
      </c>
      <c r="J4547" s="25" t="str">
        <f>IF(OR(E4547="",E4547="!!!",F4547="NEW"),"",COUNTBLANK(OFFSET(A$1,,,SUMPRODUCT(MAX(ROW(E$2:E4547)*(E4547=E$2:E4547)))))-COUNTBLANK(OFFSET(A$1,,,SUMPRODUCT(MAX(ROW(E$1:E4546)*(E2=E$1:E4546))))))</f>
        <v> </v>
      </c>
      <c r="K4547" s="25" t="str">
        <f>IF(OR(E4547="",E4547="!!!",F4547="NEW"),"",INDEX(J$1:J4546,SUMPRODUCT(MAX(ROW(E$1:E4546)*(E4547=E$1:E4546)))))</f>
        <v> </v>
      </c>
      <c r="L4547" s="26"/>
    </row>
    <row r="4548" spans="1:12">
      <c r="A4548" s="20" t="s">
        <v>774</v>
      </c>
      <c r="E4548" s="21">
        <f>IF(D4548="?OLD","!!!","")</f>
        <v/>
      </c>
      <c r="F4548" s="22" t="str">
        <f>IF(OR(E4548="",E4548="!!!"),"",IF(NOT(ISNA(VLOOKUP(E4548,E$1:E4547,1,FALSE()))),"OLD",IF(AND(E4548&lt;&gt;"",E4548&lt;&gt;"!!!"),"NEW","")))</f>
        <v> </v>
      </c>
      <c r="G4548" s="23" t="str">
        <f>IF(OR(E4548="",E4548="!!!"),"",IF(OR(J4548=0,AND(J4548=1,K4548=1),AND(J4548=1,I4548="SBJ"),AND(J4548=1,I4548=0)),"?IN_FOCUS",IF(J4548&lt;=2,"?ACTIVATED",IF(J4548&lt;&gt;"","?FAMILIAR",IF(F4548="NEW",IF(ISNA(VLOOKUP(E4548,#REF!,1,FALSE())),"?TYPE_IDENTIFIABLE","?REFERENTIAL"),"_")))))</f>
        <v> </v>
      </c>
      <c r="H4548" s="24" t="str">
        <f>IF(J4548&lt;&gt;1,"",IF(I4548="SBJ","CB","?"))</f>
        <v> </v>
      </c>
      <c r="I4548" s="25" t="str">
        <f>IF(OR(E4548="",E4548="!!!",F4548="NEW"),"",INDEX(B4547:B$2,-1+SUMPRODUCT(MAX(ROW(E4547:E$2)*(E4548=E4547:E$2)))))</f>
        <v> </v>
      </c>
      <c r="J4548" s="25" t="str">
        <f>IF(OR(E4548="",E4548="!!!",F4548="NEW"),"",COUNTBLANK(OFFSET(A$1,,,SUMPRODUCT(MAX(ROW(E$2:E4548)*(E4548=E$2:E4548)))))-COUNTBLANK(OFFSET(A$1,,,SUMPRODUCT(MAX(ROW(E$1:E4547)*(E2=E$1:E4547))))))</f>
        <v> </v>
      </c>
      <c r="K4548" s="25" t="str">
        <f>IF(OR(E4548="",E4548="!!!",F4548="NEW"),"",INDEX(J$1:J4547,SUMPRODUCT(MAX(ROW(E$1:E4547)*(E4548=E$1:E4547)))))</f>
        <v> </v>
      </c>
      <c r="L4548" s="26"/>
    </row>
    <row r="4549" spans="1:12">
      <c r="A4549" s="20"/>
    </row>
    <row r="4550" spans="1:12">
      <c r="A4550" s="20" t="s">
        <v>1995</v>
      </c>
    </row>
    <row r="4551" spans="1:12">
      <c r="A4551" s="20" t="s">
        <v>750</v>
      </c>
      <c r="E4551" s="21">
        <f>IF(D4551="?OLD","!!!","")</f>
        <v/>
      </c>
      <c r="F4551" s="22" t="str">
        <f>IF(OR(E4551="",E4551="!!!"),"",IF(NOT(ISNA(VLOOKUP(E4551,E$1:E4550,1,FALSE()))),"OLD",IF(AND(E4551&lt;&gt;"",E4551&lt;&gt;"!!!"),"NEW","")))</f>
        <v> </v>
      </c>
      <c r="G4551" s="23" t="str">
        <f>IF(OR(E4551="",E4551="!!!"),"",IF(OR(J4551=0,AND(J4551=1,K4551=1),AND(J4551=1,I4551="SBJ"),AND(J4551=1,I4551=0)),"?IN_FOCUS",IF(J4551&lt;=2,"?ACTIVATED",IF(J4551&lt;&gt;"","?FAMILIAR",IF(F4551="NEW",IF(ISNA(VLOOKUP(E4551,#REF!,1,FALSE())),"?TYPE_IDENTIFIABLE","?REFERENTIAL"),"_")))))</f>
        <v> </v>
      </c>
      <c r="H4551" s="24" t="str">
        <f>IF(J4551&lt;&gt;1,"",IF(I4551="SBJ","CB","?"))</f>
        <v> </v>
      </c>
      <c r="I4551" s="25" t="str">
        <f>IF(OR(E4551="",E4551="!!!",F4551="NEW"),"",INDEX(B4550:B$2,-1+SUMPRODUCT(MAX(ROW(E4550:E$2)*(E4551=E4550:E$2)))))</f>
        <v> </v>
      </c>
      <c r="J4551" s="25" t="str">
        <f>IF(OR(E4551="",E4551="!!!",F4551="NEW"),"",COUNTBLANK(OFFSET(A$1,,,SUMPRODUCT(MAX(ROW(E$2:E4551)*(E4551=E$2:E4551)))))-COUNTBLANK(OFFSET(A$1,,,SUMPRODUCT(MAX(ROW(E$1:E4550)*(E2=E$1:E4550))))))</f>
        <v> </v>
      </c>
      <c r="K4551" s="25" t="str">
        <f>IF(OR(E4551="",E4551="!!!",F4551="NEW"),"",INDEX(J$1:J4550,SUMPRODUCT(MAX(ROW(E$1:E4550)*(E4551=E$1:E4550)))))</f>
        <v> </v>
      </c>
      <c r="L4551" s="26"/>
    </row>
    <row r="4552" spans="1:12">
      <c r="A4552" s="20" t="s">
        <v>840</v>
      </c>
      <c r="E4552" s="21">
        <f>IF(D4552="?OLD","!!!","")</f>
        <v/>
      </c>
      <c r="F4552" s="22" t="str">
        <f>IF(OR(E4552="",E4552="!!!"),"",IF(NOT(ISNA(VLOOKUP(E4552,E$1:E4551,1,FALSE()))),"OLD",IF(AND(E4552&lt;&gt;"",E4552&lt;&gt;"!!!"),"NEW","")))</f>
        <v> </v>
      </c>
      <c r="G4552" s="23" t="str">
        <f>IF(OR(E4552="",E4552="!!!"),"",IF(OR(J4552=0,AND(J4552=1,K4552=1),AND(J4552=1,I4552="SBJ"),AND(J4552=1,I4552=0)),"?IN_FOCUS",IF(J4552&lt;=2,"?ACTIVATED",IF(J4552&lt;&gt;"","?FAMILIAR",IF(F4552="NEW",IF(ISNA(VLOOKUP(E4552,#REF!,1,FALSE())),"?TYPE_IDENTIFIABLE","?REFERENTIAL"),"_")))))</f>
        <v> </v>
      </c>
      <c r="H4552" s="24" t="str">
        <f>IF(J4552&lt;&gt;1,"",IF(I4552="SBJ","CB","?"))</f>
        <v> </v>
      </c>
      <c r="I4552" s="25" t="str">
        <f>IF(OR(E4552="",E4552="!!!",F4552="NEW"),"",INDEX(B4551:B$2,-1+SUMPRODUCT(MAX(ROW(E4551:E$2)*(E4552=E4551:E$2)))))</f>
        <v> </v>
      </c>
      <c r="J4552" s="25" t="str">
        <f>IF(OR(E4552="",E4552="!!!",F4552="NEW"),"",COUNTBLANK(OFFSET(A$1,,,SUMPRODUCT(MAX(ROW(E$2:E4552)*(E4552=E$2:E4552)))))-COUNTBLANK(OFFSET(A$1,,,SUMPRODUCT(MAX(ROW(E$1:E4551)*(E2=E$1:E4551))))))</f>
        <v> </v>
      </c>
      <c r="K4552" s="25" t="str">
        <f>IF(OR(E4552="",E4552="!!!",F4552="NEW"),"",INDEX(J$1:J4551,SUMPRODUCT(MAX(ROW(E$1:E4551)*(E4552=E$1:E4551)))))</f>
        <v> </v>
      </c>
      <c r="L4552" s="26"/>
    </row>
    <row r="4553" spans="1:12">
      <c r="A4553" s="20" t="s">
        <v>697</v>
      </c>
      <c r="B4553" s="27" t="s">
        <v>796</v>
      </c>
      <c r="C4553" s="27" t="s">
        <v>797</v>
      </c>
      <c r="D4553" s="27" t="s">
        <v>762</v>
      </c>
      <c r="E4553" s="21">
        <f>IF(D4553="?OLD","!!!","")</f>
        <v/>
      </c>
      <c r="F4553" s="22" t="str">
        <f>IF(OR(E4553="",E4553="!!!"),"",IF(NOT(ISNA(VLOOKUP(E4553,E$1:E4552,1,FALSE()))),"OLD",IF(AND(E4553&lt;&gt;"",E4553&lt;&gt;"!!!"),"NEW","")))</f>
        <v> </v>
      </c>
      <c r="G4553" s="23" t="str">
        <f>IF(OR(E4553="",E4553="!!!"),"",IF(OR(J4553=0,AND(J4553=1,K4553=1),AND(J4553=1,I4553="SBJ"),AND(J4553=1,I4553=0)),"?IN_FOCUS",IF(J4553&lt;=2,"?ACTIVATED",IF(J4553&lt;&gt;"","?FAMILIAR",IF(F4553="NEW",IF(ISNA(VLOOKUP(E4553,#REF!,1,FALSE())),"?TYPE_IDENTIFIABLE","?REFERENTIAL"),"_")))))</f>
        <v> </v>
      </c>
      <c r="H4553" s="24" t="str">
        <f>IF(J4553&lt;&gt;1,"",IF(I4553="SBJ","CB","?"))</f>
        <v> </v>
      </c>
      <c r="I4553" s="25" t="str">
        <f>IF(OR(E4553="",E4553="!!!",F4553="NEW"),"",INDEX(B4552:B$2,-1+SUMPRODUCT(MAX(ROW(E4552:E$2)*(E4553=E4552:E$2)))))</f>
        <v> </v>
      </c>
      <c r="J4553" s="25" t="str">
        <f>IF(OR(E4553="",E4553="!!!",F4553="NEW"),"",COUNTBLANK(OFFSET(A$1,,,SUMPRODUCT(MAX(ROW(E$2:E4553)*(E4553=E$2:E4553)))))-COUNTBLANK(OFFSET(A$1,,,SUMPRODUCT(MAX(ROW(E$1:E4552)*(E2=E$1:E4552))))))</f>
        <v> </v>
      </c>
      <c r="K4553" s="25" t="str">
        <f>IF(OR(E4553="",E4553="!!!",F4553="NEW"),"",INDEX(J$1:J4552,SUMPRODUCT(MAX(ROW(E$1:E4552)*(E4553=E$1:E4552)))))</f>
        <v> </v>
      </c>
      <c r="L4553" s="26"/>
    </row>
    <row r="4554" spans="1:12">
      <c r="A4554" s="20" t="s">
        <v>891</v>
      </c>
      <c r="E4554" s="21">
        <f>IF(D4554="?OLD","!!!","")</f>
        <v/>
      </c>
      <c r="F4554" s="22" t="str">
        <f>IF(OR(E4554="",E4554="!!!"),"",IF(NOT(ISNA(VLOOKUP(E4554,E$1:E4553,1,FALSE()))),"OLD",IF(AND(E4554&lt;&gt;"",E4554&lt;&gt;"!!!"),"NEW","")))</f>
        <v> </v>
      </c>
      <c r="G4554" s="23" t="str">
        <f>IF(OR(E4554="",E4554="!!!"),"",IF(OR(J4554=0,AND(J4554=1,K4554=1),AND(J4554=1,I4554="SBJ"),AND(J4554=1,I4554=0)),"?IN_FOCUS",IF(J4554&lt;=2,"?ACTIVATED",IF(J4554&lt;&gt;"","?FAMILIAR",IF(F4554="NEW",IF(ISNA(VLOOKUP(E4554,#REF!,1,FALSE())),"?TYPE_IDENTIFIABLE","?REFERENTIAL"),"_")))))</f>
        <v> </v>
      </c>
      <c r="H4554" s="24" t="str">
        <f>IF(J4554&lt;&gt;1,"",IF(I4554="SBJ","CB","?"))</f>
        <v> </v>
      </c>
      <c r="I4554" s="25" t="str">
        <f>IF(OR(E4554="",E4554="!!!",F4554="NEW"),"",INDEX(B4553:B$2,-1+SUMPRODUCT(MAX(ROW(E4553:E$2)*(E4554=E4553:E$2)))))</f>
        <v> </v>
      </c>
      <c r="J4554" s="25" t="str">
        <f>IF(OR(E4554="",E4554="!!!",F4554="NEW"),"",COUNTBLANK(OFFSET(A$1,,,SUMPRODUCT(MAX(ROW(E$2:E4554)*(E4554=E$2:E4554)))))-COUNTBLANK(OFFSET(A$1,,,SUMPRODUCT(MAX(ROW(E$1:E4553)*(E2=E$1:E4553))))))</f>
        <v> </v>
      </c>
      <c r="K4554" s="25" t="str">
        <f>IF(OR(E4554="",E4554="!!!",F4554="NEW"),"",INDEX(J$1:J4553,SUMPRODUCT(MAX(ROW(E$1:E4553)*(E4554=E$1:E4553)))))</f>
        <v> </v>
      </c>
      <c r="L4554" s="26"/>
    </row>
    <row r="4555" spans="1:12">
      <c r="A4555" s="20" t="s">
        <v>838</v>
      </c>
      <c r="B4555" s="27" t="s">
        <v>894</v>
      </c>
      <c r="C4555" s="27" t="s">
        <v>797</v>
      </c>
      <c r="D4555" s="27" t="s">
        <v>762</v>
      </c>
      <c r="E4555" s="21">
        <f>IF(D4555="?OLD","!!!","")</f>
        <v/>
      </c>
      <c r="F4555" s="22" t="str">
        <f>IF(OR(E4555="",E4555="!!!"),"",IF(NOT(ISNA(VLOOKUP(E4555,E$1:E4554,1,FALSE()))),"OLD",IF(AND(E4555&lt;&gt;"",E4555&lt;&gt;"!!!"),"NEW","")))</f>
        <v> </v>
      </c>
      <c r="G4555" s="23" t="str">
        <f>IF(OR(E4555="",E4555="!!!"),"",IF(OR(J4555=0,AND(J4555=1,K4555=1),AND(J4555=1,I4555="SBJ"),AND(J4555=1,I4555=0)),"?IN_FOCUS",IF(J4555&lt;=2,"?ACTIVATED",IF(J4555&lt;&gt;"","?FAMILIAR",IF(F4555="NEW",IF(ISNA(VLOOKUP(E4555,#REF!,1,FALSE())),"?TYPE_IDENTIFIABLE","?REFERENTIAL"),"_")))))</f>
        <v> </v>
      </c>
      <c r="H4555" s="24" t="str">
        <f>IF(J4555&lt;&gt;1,"",IF(I4555="SBJ","CB","?"))</f>
        <v> </v>
      </c>
      <c r="I4555" s="25" t="str">
        <f>IF(OR(E4555="",E4555="!!!",F4555="NEW"),"",INDEX(B4554:B$2,-1+SUMPRODUCT(MAX(ROW(E4554:E$2)*(E4555=E4554:E$2)))))</f>
        <v> </v>
      </c>
      <c r="J4555" s="25" t="str">
        <f>IF(OR(E4555="",E4555="!!!",F4555="NEW"),"",COUNTBLANK(OFFSET(A$1,,,SUMPRODUCT(MAX(ROW(E$2:E4555)*(E4555=E$2:E4555)))))-COUNTBLANK(OFFSET(A$1,,,SUMPRODUCT(MAX(ROW(E$1:E4554)*(E2=E$1:E4554))))))</f>
        <v> </v>
      </c>
      <c r="K4555" s="25" t="str">
        <f>IF(OR(E4555="",E4555="!!!",F4555="NEW"),"",INDEX(J$1:J4554,SUMPRODUCT(MAX(ROW(E$1:E4554)*(E4555=E$1:E4554)))))</f>
        <v> </v>
      </c>
      <c r="L4555" s="26"/>
    </row>
    <row r="4556" spans="1:12">
      <c r="A4556" s="20" t="s">
        <v>1996</v>
      </c>
      <c r="E4556" s="21">
        <f>IF(D4556="?OLD","!!!","")</f>
        <v/>
      </c>
      <c r="F4556" s="22" t="str">
        <f>IF(OR(E4556="",E4556="!!!"),"",IF(NOT(ISNA(VLOOKUP(E4556,E$1:E4555,1,FALSE()))),"OLD",IF(AND(E4556&lt;&gt;"",E4556&lt;&gt;"!!!"),"NEW","")))</f>
        <v> </v>
      </c>
      <c r="G4556" s="23" t="str">
        <f>IF(OR(E4556="",E4556="!!!"),"",IF(OR(J4556=0,AND(J4556=1,K4556=1),AND(J4556=1,I4556="SBJ"),AND(J4556=1,I4556=0)),"?IN_FOCUS",IF(J4556&lt;=2,"?ACTIVATED",IF(J4556&lt;&gt;"","?FAMILIAR",IF(F4556="NEW",IF(ISNA(VLOOKUP(E4556,#REF!,1,FALSE())),"?TYPE_IDENTIFIABLE","?REFERENTIAL"),"_")))))</f>
        <v> </v>
      </c>
      <c r="H4556" s="24" t="str">
        <f>IF(J4556&lt;&gt;1,"",IF(I4556="SBJ","CB","?"))</f>
        <v> </v>
      </c>
      <c r="I4556" s="25" t="str">
        <f>IF(OR(E4556="",E4556="!!!",F4556="NEW"),"",INDEX(B4555:B$2,-1+SUMPRODUCT(MAX(ROW(E4555:E$2)*(E4556=E4555:E$2)))))</f>
        <v> </v>
      </c>
      <c r="J4556" s="25" t="str">
        <f>IF(OR(E4556="",E4556="!!!",F4556="NEW"),"",COUNTBLANK(OFFSET(A$1,,,SUMPRODUCT(MAX(ROW(E$2:E4556)*(E4556=E$2:E4556)))))-COUNTBLANK(OFFSET(A$1,,,SUMPRODUCT(MAX(ROW(E$1:E4555)*(E2=E$1:E4555))))))</f>
        <v> </v>
      </c>
      <c r="K4556" s="25" t="str">
        <f>IF(OR(E4556="",E4556="!!!",F4556="NEW"),"",INDEX(J$1:J4555,SUMPRODUCT(MAX(ROW(E$1:E4555)*(E4556=E$1:E4555)))))</f>
        <v> </v>
      </c>
      <c r="L4556" s="26"/>
    </row>
    <row r="4557" spans="1:12">
      <c r="A4557" s="20" t="s">
        <v>757</v>
      </c>
      <c r="E4557" s="21">
        <f>IF(D4557="?OLD","!!!","")</f>
        <v/>
      </c>
      <c r="F4557" s="22" t="str">
        <f>IF(OR(E4557="",E4557="!!!"),"",IF(NOT(ISNA(VLOOKUP(E4557,E$1:E4556,1,FALSE()))),"OLD",IF(AND(E4557&lt;&gt;"",E4557&lt;&gt;"!!!"),"NEW","")))</f>
        <v> </v>
      </c>
      <c r="G4557" s="23" t="str">
        <f>IF(OR(E4557="",E4557="!!!"),"",IF(OR(J4557=0,AND(J4557=1,K4557=1),AND(J4557=1,I4557="SBJ"),AND(J4557=1,I4557=0)),"?IN_FOCUS",IF(J4557&lt;=2,"?ACTIVATED",IF(J4557&lt;&gt;"","?FAMILIAR",IF(F4557="NEW",IF(ISNA(VLOOKUP(E4557,#REF!,1,FALSE())),"?TYPE_IDENTIFIABLE","?REFERENTIAL"),"_")))))</f>
        <v> </v>
      </c>
      <c r="H4557" s="24" t="str">
        <f>IF(J4557&lt;&gt;1,"",IF(I4557="SBJ","CB","?"))</f>
        <v> </v>
      </c>
      <c r="I4557" s="25" t="str">
        <f>IF(OR(E4557="",E4557="!!!",F4557="NEW"),"",INDEX(B4556:B$2,-1+SUMPRODUCT(MAX(ROW(E4556:E$2)*(E4557=E4556:E$2)))))</f>
        <v> </v>
      </c>
      <c r="J4557" s="25" t="str">
        <f>IF(OR(E4557="",E4557="!!!",F4557="NEW"),"",COUNTBLANK(OFFSET(A$1,,,SUMPRODUCT(MAX(ROW(E$2:E4557)*(E4557=E$2:E4557)))))-COUNTBLANK(OFFSET(A$1,,,SUMPRODUCT(MAX(ROW(E$1:E4556)*(E2=E$1:E4556))))))</f>
        <v> </v>
      </c>
      <c r="K4557" s="25" t="str">
        <f>IF(OR(E4557="",E4557="!!!",F4557="NEW"),"",INDEX(J$1:J4556,SUMPRODUCT(MAX(ROW(E$1:E4556)*(E4557=E$1:E4556)))))</f>
        <v> </v>
      </c>
      <c r="L4557" s="26"/>
    </row>
    <row r="4558" spans="1:12">
      <c r="A4558" s="20" t="s">
        <v>697</v>
      </c>
      <c r="B4558" s="27" t="s">
        <v>760</v>
      </c>
      <c r="C4558" s="27" t="s">
        <v>797</v>
      </c>
      <c r="D4558" s="27" t="s">
        <v>762</v>
      </c>
      <c r="E4558" s="21">
        <f>IF(D4558="?OLD","!!!","")</f>
        <v/>
      </c>
      <c r="F4558" s="22" t="str">
        <f>IF(OR(E4558="",E4558="!!!"),"",IF(NOT(ISNA(VLOOKUP(E4558,E$1:E4557,1,FALSE()))),"OLD",IF(AND(E4558&lt;&gt;"",E4558&lt;&gt;"!!!"),"NEW","")))</f>
        <v> </v>
      </c>
      <c r="G4558" s="23" t="str">
        <f>IF(OR(E4558="",E4558="!!!"),"",IF(OR(J4558=0,AND(J4558=1,K4558=1),AND(J4558=1,I4558="SBJ"),AND(J4558=1,I4558=0)),"?IN_FOCUS",IF(J4558&lt;=2,"?ACTIVATED",IF(J4558&lt;&gt;"","?FAMILIAR",IF(F4558="NEW",IF(ISNA(VLOOKUP(E4558,#REF!,1,FALSE())),"?TYPE_IDENTIFIABLE","?REFERENTIAL"),"_")))))</f>
        <v> </v>
      </c>
      <c r="H4558" s="24" t="str">
        <f>IF(J4558&lt;&gt;1,"",IF(I4558="SBJ","CB","?"))</f>
        <v> </v>
      </c>
      <c r="I4558" s="25" t="str">
        <f>IF(OR(E4558="",E4558="!!!",F4558="NEW"),"",INDEX(B4557:B$2,-1+SUMPRODUCT(MAX(ROW(E4557:E$2)*(E4558=E4557:E$2)))))</f>
        <v> </v>
      </c>
      <c r="J4558" s="25" t="str">
        <f>IF(OR(E4558="",E4558="!!!",F4558="NEW"),"",COUNTBLANK(OFFSET(A$1,,,SUMPRODUCT(MAX(ROW(E$2:E4558)*(E4558=E$2:E4558)))))-COUNTBLANK(OFFSET(A$1,,,SUMPRODUCT(MAX(ROW(E$1:E4557)*(E2=E$1:E4557))))))</f>
        <v> </v>
      </c>
      <c r="K4558" s="25" t="str">
        <f>IF(OR(E4558="",E4558="!!!",F4558="NEW"),"",INDEX(J$1:J4557,SUMPRODUCT(MAX(ROW(E$1:E4557)*(E4558=E$1:E4557)))))</f>
        <v> </v>
      </c>
      <c r="L4558" s="26"/>
    </row>
    <row r="4559" spans="1:12">
      <c r="A4559" s="20" t="s">
        <v>822</v>
      </c>
      <c r="B4559" s="27" t="s">
        <v>767</v>
      </c>
      <c r="C4559" s="27" t="s">
        <v>797</v>
      </c>
      <c r="D4559" s="27" t="s">
        <v>762</v>
      </c>
      <c r="E4559" s="21">
        <f>IF(D4559="?OLD","!!!","")</f>
        <v/>
      </c>
      <c r="F4559" s="22" t="str">
        <f>IF(OR(E4559="",E4559="!!!"),"",IF(NOT(ISNA(VLOOKUP(E4559,E$1:E4558,1,FALSE()))),"OLD",IF(AND(E4559&lt;&gt;"",E4559&lt;&gt;"!!!"),"NEW","")))</f>
        <v> </v>
      </c>
      <c r="G4559" s="23" t="str">
        <f>IF(OR(E4559="",E4559="!!!"),"",IF(OR(J4559=0,AND(J4559=1,K4559=1),AND(J4559=1,I4559="SBJ"),AND(J4559=1,I4559=0)),"?IN_FOCUS",IF(J4559&lt;=2,"?ACTIVATED",IF(J4559&lt;&gt;"","?FAMILIAR",IF(F4559="NEW",IF(ISNA(VLOOKUP(E4559,#REF!,1,FALSE())),"?TYPE_IDENTIFIABLE","?REFERENTIAL"),"_")))))</f>
        <v> </v>
      </c>
      <c r="H4559" s="24" t="str">
        <f>IF(J4559&lt;&gt;1,"",IF(I4559="SBJ","CB","?"))</f>
        <v> </v>
      </c>
      <c r="I4559" s="25" t="str">
        <f>IF(OR(E4559="",E4559="!!!",F4559="NEW"),"",INDEX(B4558:B$2,-1+SUMPRODUCT(MAX(ROW(E4558:E$2)*(E4559=E4558:E$2)))))</f>
        <v> </v>
      </c>
      <c r="J4559" s="25" t="str">
        <f>IF(OR(E4559="",E4559="!!!",F4559="NEW"),"",COUNTBLANK(OFFSET(A$1,,,SUMPRODUCT(MAX(ROW(E$2:E4559)*(E4559=E$2:E4559)))))-COUNTBLANK(OFFSET(A$1,,,SUMPRODUCT(MAX(ROW(E$1:E4558)*(E2=E$1:E4558))))))</f>
        <v> </v>
      </c>
      <c r="K4559" s="25" t="str">
        <f>IF(OR(E4559="",E4559="!!!",F4559="NEW"),"",INDEX(J$1:J4558,SUMPRODUCT(MAX(ROW(E$1:E4558)*(E4559=E$1:E4558)))))</f>
        <v> </v>
      </c>
      <c r="L4559" s="26"/>
    </row>
    <row r="4560" spans="1:12">
      <c r="A4560" s="20" t="s">
        <v>1997</v>
      </c>
      <c r="E4560" s="21">
        <f>IF(D4560="?OLD","!!!","")</f>
        <v/>
      </c>
      <c r="F4560" s="22" t="str">
        <f>IF(OR(E4560="",E4560="!!!"),"",IF(NOT(ISNA(VLOOKUP(E4560,E$1:E4559,1,FALSE()))),"OLD",IF(AND(E4560&lt;&gt;"",E4560&lt;&gt;"!!!"),"NEW","")))</f>
        <v> </v>
      </c>
      <c r="G4560" s="23" t="str">
        <f>IF(OR(E4560="",E4560="!!!"),"",IF(OR(J4560=0,AND(J4560=1,K4560=1),AND(J4560=1,I4560="SBJ"),AND(J4560=1,I4560=0)),"?IN_FOCUS",IF(J4560&lt;=2,"?ACTIVATED",IF(J4560&lt;&gt;"","?FAMILIAR",IF(F4560="NEW",IF(ISNA(VLOOKUP(E4560,#REF!,1,FALSE())),"?TYPE_IDENTIFIABLE","?REFERENTIAL"),"_")))))</f>
        <v> </v>
      </c>
      <c r="H4560" s="24" t="str">
        <f>IF(J4560&lt;&gt;1,"",IF(I4560="SBJ","CB","?"))</f>
        <v> </v>
      </c>
      <c r="I4560" s="25" t="str">
        <f>IF(OR(E4560="",E4560="!!!",F4560="NEW"),"",INDEX(B4559:B$2,-1+SUMPRODUCT(MAX(ROW(E4559:E$2)*(E4560=E4559:E$2)))))</f>
        <v> </v>
      </c>
      <c r="J4560" s="25" t="str">
        <f>IF(OR(E4560="",E4560="!!!",F4560="NEW"),"",COUNTBLANK(OFFSET(A$1,,,SUMPRODUCT(MAX(ROW(E$2:E4560)*(E4560=E$2:E4560)))))-COUNTBLANK(OFFSET(A$1,,,SUMPRODUCT(MAX(ROW(E$1:E4559)*(E2=E$1:E4559))))))</f>
        <v> </v>
      </c>
      <c r="K4560" s="25" t="str">
        <f>IF(OR(E4560="",E4560="!!!",F4560="NEW"),"",INDEX(J$1:J4559,SUMPRODUCT(MAX(ROW(E$1:E4559)*(E4560=E$1:E4559)))))</f>
        <v> </v>
      </c>
      <c r="L4560" s="26"/>
    </row>
    <row r="4561" spans="1:12">
      <c r="A4561" s="20" t="s">
        <v>769</v>
      </c>
      <c r="E4561" s="21">
        <f>IF(D4561="?OLD","!!!","")</f>
        <v/>
      </c>
      <c r="F4561" s="22" t="str">
        <f>IF(OR(E4561="",E4561="!!!"),"",IF(NOT(ISNA(VLOOKUP(E4561,E$1:E4560,1,FALSE()))),"OLD",IF(AND(E4561&lt;&gt;"",E4561&lt;&gt;"!!!"),"NEW","")))</f>
        <v> </v>
      </c>
      <c r="G4561" s="23" t="str">
        <f>IF(OR(E4561="",E4561="!!!"),"",IF(OR(J4561=0,AND(J4561=1,K4561=1),AND(J4561=1,I4561="SBJ"),AND(J4561=1,I4561=0)),"?IN_FOCUS",IF(J4561&lt;=2,"?ACTIVATED",IF(J4561&lt;&gt;"","?FAMILIAR",IF(F4561="NEW",IF(ISNA(VLOOKUP(E4561,#REF!,1,FALSE())),"?TYPE_IDENTIFIABLE","?REFERENTIAL"),"_")))))</f>
        <v> </v>
      </c>
      <c r="H4561" s="24" t="str">
        <f>IF(J4561&lt;&gt;1,"",IF(I4561="SBJ","CB","?"))</f>
        <v> </v>
      </c>
      <c r="I4561" s="25" t="str">
        <f>IF(OR(E4561="",E4561="!!!",F4561="NEW"),"",INDEX(B4560:B$2,-1+SUMPRODUCT(MAX(ROW(E4560:E$2)*(E4561=E4560:E$2)))))</f>
        <v> </v>
      </c>
      <c r="J4561" s="25" t="str">
        <f>IF(OR(E4561="",E4561="!!!",F4561="NEW"),"",COUNTBLANK(OFFSET(A$1,,,SUMPRODUCT(MAX(ROW(E$2:E4561)*(E4561=E$2:E4561)))))-COUNTBLANK(OFFSET(A$1,,,SUMPRODUCT(MAX(ROW(E$1:E4560)*(E2=E$1:E4560))))))</f>
        <v> </v>
      </c>
      <c r="K4561" s="25" t="str">
        <f>IF(OR(E4561="",E4561="!!!",F4561="NEW"),"",INDEX(J$1:J4560,SUMPRODUCT(MAX(ROW(E$1:E4560)*(E4561=E$1:E4560)))))</f>
        <v> </v>
      </c>
      <c r="L4561" s="26"/>
    </row>
    <row r="4562" spans="1:12">
      <c r="A4562" s="20" t="s">
        <v>1856</v>
      </c>
      <c r="B4562" s="27" t="s">
        <v>753</v>
      </c>
      <c r="C4562" s="27" t="s">
        <v>754</v>
      </c>
      <c r="E4562" s="21">
        <f>IF(D4562="?OLD","!!!","")</f>
        <v/>
      </c>
      <c r="F4562" s="22" t="str">
        <f>IF(OR(E4562="",E4562="!!!"),"",IF(NOT(ISNA(VLOOKUP(E4562,E$1:E4561,1,FALSE()))),"OLD",IF(AND(E4562&lt;&gt;"",E4562&lt;&gt;"!!!"),"NEW","")))</f>
        <v> </v>
      </c>
      <c r="G4562" s="23" t="str">
        <f>IF(OR(E4562="",E4562="!!!"),"",IF(OR(J4562=0,AND(J4562=1,K4562=1),AND(J4562=1,I4562="SBJ"),AND(J4562=1,I4562=0)),"?IN_FOCUS",IF(J4562&lt;=2,"?ACTIVATED",IF(J4562&lt;&gt;"","?FAMILIAR",IF(F4562="NEW",IF(ISNA(VLOOKUP(E4562,#REF!,1,FALSE())),"?TYPE_IDENTIFIABLE","?REFERENTIAL"),"_")))))</f>
        <v> </v>
      </c>
      <c r="H4562" s="24" t="str">
        <f>IF(J4562&lt;&gt;1,"",IF(I4562="SBJ","CB","?"))</f>
        <v> </v>
      </c>
      <c r="I4562" s="25" t="str">
        <f>IF(OR(E4562="",E4562="!!!",F4562="NEW"),"",INDEX(B4561:B$2,-1+SUMPRODUCT(MAX(ROW(E4561:E$2)*(E4562=E4561:E$2)))))</f>
        <v> </v>
      </c>
      <c r="J4562" s="25" t="str">
        <f>IF(OR(E4562="",E4562="!!!",F4562="NEW"),"",COUNTBLANK(OFFSET(A$1,,,SUMPRODUCT(MAX(ROW(E$2:E4562)*(E4562=E$2:E4562)))))-COUNTBLANK(OFFSET(A$1,,,SUMPRODUCT(MAX(ROW(E$1:E4561)*(E2=E$1:E4561))))))</f>
        <v> </v>
      </c>
      <c r="K4562" s="25" t="str">
        <f>IF(OR(E4562="",E4562="!!!",F4562="NEW"),"",INDEX(J$1:J4561,SUMPRODUCT(MAX(ROW(E$1:E4561)*(E4562=E$1:E4561)))))</f>
        <v> </v>
      </c>
      <c r="L4562" s="26"/>
    </row>
    <row r="4563" spans="1:12">
      <c r="A4563" s="20" t="s">
        <v>1998</v>
      </c>
      <c r="E4563" s="21">
        <f>IF(D4563="?OLD","!!!","")</f>
        <v/>
      </c>
      <c r="F4563" s="22" t="str">
        <f>IF(OR(E4563="",E4563="!!!"),"",IF(NOT(ISNA(VLOOKUP(E4563,E$1:E4562,1,FALSE()))),"OLD",IF(AND(E4563&lt;&gt;"",E4563&lt;&gt;"!!!"),"NEW","")))</f>
        <v> </v>
      </c>
      <c r="G4563" s="23" t="str">
        <f>IF(OR(E4563="",E4563="!!!"),"",IF(OR(J4563=0,AND(J4563=1,K4563=1),AND(J4563=1,I4563="SBJ"),AND(J4563=1,I4563=0)),"?IN_FOCUS",IF(J4563&lt;=2,"?ACTIVATED",IF(J4563&lt;&gt;"","?FAMILIAR",IF(F4563="NEW",IF(ISNA(VLOOKUP(E4563,#REF!,1,FALSE())),"?TYPE_IDENTIFIABLE","?REFERENTIAL"),"_")))))</f>
        <v> </v>
      </c>
      <c r="H4563" s="24" t="str">
        <f>IF(J4563&lt;&gt;1,"",IF(I4563="SBJ","CB","?"))</f>
        <v> </v>
      </c>
      <c r="I4563" s="25" t="str">
        <f>IF(OR(E4563="",E4563="!!!",F4563="NEW"),"",INDEX(B4562:B$2,-1+SUMPRODUCT(MAX(ROW(E4562:E$2)*(E4563=E4562:E$2)))))</f>
        <v> </v>
      </c>
      <c r="J4563" s="25" t="str">
        <f>IF(OR(E4563="",E4563="!!!",F4563="NEW"),"",COUNTBLANK(OFFSET(A$1,,,SUMPRODUCT(MAX(ROW(E$2:E4563)*(E4563=E$2:E4563)))))-COUNTBLANK(OFFSET(A$1,,,SUMPRODUCT(MAX(ROW(E$1:E4562)*(E2=E$1:E4562))))))</f>
        <v> </v>
      </c>
      <c r="K4563" s="25" t="str">
        <f>IF(OR(E4563="",E4563="!!!",F4563="NEW"),"",INDEX(J$1:J4562,SUMPRODUCT(MAX(ROW(E$1:E4562)*(E4563=E$1:E4562)))))</f>
        <v> </v>
      </c>
      <c r="L4563" s="26"/>
    </row>
    <row r="4564" spans="1:12">
      <c r="A4564" s="20" t="s">
        <v>757</v>
      </c>
      <c r="E4564" s="21">
        <f>IF(D4564="?OLD","!!!","")</f>
        <v/>
      </c>
      <c r="F4564" s="22" t="str">
        <f>IF(OR(E4564="",E4564="!!!"),"",IF(NOT(ISNA(VLOOKUP(E4564,E$1:E4563,1,FALSE()))),"OLD",IF(AND(E4564&lt;&gt;"",E4564&lt;&gt;"!!!"),"NEW","")))</f>
        <v> </v>
      </c>
      <c r="G4564" s="23" t="str">
        <f>IF(OR(E4564="",E4564="!!!"),"",IF(OR(J4564=0,AND(J4564=1,K4564=1),AND(J4564=1,I4564="SBJ"),AND(J4564=1,I4564=0)),"?IN_FOCUS",IF(J4564&lt;=2,"?ACTIVATED",IF(J4564&lt;&gt;"","?FAMILIAR",IF(F4564="NEW",IF(ISNA(VLOOKUP(E4564,#REF!,1,FALSE())),"?TYPE_IDENTIFIABLE","?REFERENTIAL"),"_")))))</f>
        <v> </v>
      </c>
      <c r="H4564" s="24" t="str">
        <f>IF(J4564&lt;&gt;1,"",IF(I4564="SBJ","CB","?"))</f>
        <v> </v>
      </c>
      <c r="I4564" s="25" t="str">
        <f>IF(OR(E4564="",E4564="!!!",F4564="NEW"),"",INDEX(B4563:B$2,-1+SUMPRODUCT(MAX(ROW(E4563:E$2)*(E4564=E4563:E$2)))))</f>
        <v> </v>
      </c>
      <c r="J4564" s="25" t="str">
        <f>IF(OR(E4564="",E4564="!!!",F4564="NEW"),"",COUNTBLANK(OFFSET(A$1,,,SUMPRODUCT(MAX(ROW(E$2:E4564)*(E4564=E$2:E4564)))))-COUNTBLANK(OFFSET(A$1,,,SUMPRODUCT(MAX(ROW(E$1:E4563)*(E2=E$1:E4563))))))</f>
        <v> </v>
      </c>
      <c r="K4564" s="25" t="str">
        <f>IF(OR(E4564="",E4564="!!!",F4564="NEW"),"",INDEX(J$1:J4563,SUMPRODUCT(MAX(ROW(E$1:E4563)*(E4564=E$1:E4563)))))</f>
        <v> </v>
      </c>
      <c r="L4564" s="26"/>
    </row>
    <row r="4565" spans="1:12">
      <c r="A4565" s="20" t="s">
        <v>954</v>
      </c>
      <c r="B4565" s="27" t="s">
        <v>753</v>
      </c>
      <c r="C4565" s="27" t="s">
        <v>777</v>
      </c>
      <c r="D4565" s="27" t="s">
        <v>762</v>
      </c>
      <c r="E4565" s="21">
        <f>IF(D4565="?OLD","!!!","")</f>
        <v/>
      </c>
      <c r="F4565" s="22" t="str">
        <f>IF(OR(E4565="",E4565="!!!"),"",IF(NOT(ISNA(VLOOKUP(E4565,E$1:E4564,1,FALSE()))),"OLD",IF(AND(E4565&lt;&gt;"",E4565&lt;&gt;"!!!"),"NEW","")))</f>
        <v> </v>
      </c>
      <c r="G4565" s="23" t="str">
        <f>IF(OR(E4565="",E4565="!!!"),"",IF(OR(J4565=0,AND(J4565=1,K4565=1),AND(J4565=1,I4565="SBJ"),AND(J4565=1,I4565=0)),"?IN_FOCUS",IF(J4565&lt;=2,"?ACTIVATED",IF(J4565&lt;&gt;"","?FAMILIAR",IF(F4565="NEW",IF(ISNA(VLOOKUP(E4565,#REF!,1,FALSE())),"?TYPE_IDENTIFIABLE","?REFERENTIAL"),"_")))))</f>
        <v> </v>
      </c>
      <c r="H4565" s="24" t="str">
        <f>IF(J4565&lt;&gt;1,"",IF(I4565="SBJ","CB","?"))</f>
        <v> </v>
      </c>
      <c r="I4565" s="25" t="str">
        <f>IF(OR(E4565="",E4565="!!!",F4565="NEW"),"",INDEX(B4564:B$2,-1+SUMPRODUCT(MAX(ROW(E4564:E$2)*(E4565=E4564:E$2)))))</f>
        <v> </v>
      </c>
      <c r="J4565" s="25" t="str">
        <f>IF(OR(E4565="",E4565="!!!",F4565="NEW"),"",COUNTBLANK(OFFSET(A$1,,,SUMPRODUCT(MAX(ROW(E$2:E4565)*(E4565=E$2:E4565)))))-COUNTBLANK(OFFSET(A$1,,,SUMPRODUCT(MAX(ROW(E$1:E4564)*(E2=E$1:E4564))))))</f>
        <v> </v>
      </c>
      <c r="K4565" s="25" t="str">
        <f>IF(OR(E4565="",E4565="!!!",F4565="NEW"),"",INDEX(J$1:J4564,SUMPRODUCT(MAX(ROW(E$1:E4564)*(E4565=E$1:E4564)))))</f>
        <v> </v>
      </c>
      <c r="L4565" s="26"/>
    </row>
    <row r="4566" spans="1:12">
      <c r="A4566" s="20" t="s">
        <v>1020</v>
      </c>
      <c r="B4566" s="27" t="s">
        <v>956</v>
      </c>
      <c r="E4566" s="21">
        <f>IF(D4566="?OLD","!!!","")</f>
        <v/>
      </c>
      <c r="F4566" s="22" t="str">
        <f>IF(OR(E4566="",E4566="!!!"),"",IF(NOT(ISNA(VLOOKUP(E4566,E$1:E4565,1,FALSE()))),"OLD",IF(AND(E4566&lt;&gt;"",E4566&lt;&gt;"!!!"),"NEW","")))</f>
        <v> </v>
      </c>
      <c r="G4566" s="23" t="str">
        <f>IF(OR(E4566="",E4566="!!!"),"",IF(OR(J4566=0,AND(J4566=1,K4566=1),AND(J4566=1,I4566="SBJ"),AND(J4566=1,I4566=0)),"?IN_FOCUS",IF(J4566&lt;=2,"?ACTIVATED",IF(J4566&lt;&gt;"","?FAMILIAR",IF(F4566="NEW",IF(ISNA(VLOOKUP(E4566,#REF!,1,FALSE())),"?TYPE_IDENTIFIABLE","?REFERENTIAL"),"_")))))</f>
        <v> </v>
      </c>
      <c r="H4566" s="24" t="str">
        <f>IF(J4566&lt;&gt;1,"",IF(I4566="SBJ","CB","?"))</f>
        <v> </v>
      </c>
      <c r="I4566" s="25" t="str">
        <f>IF(OR(E4566="",E4566="!!!",F4566="NEW"),"",INDEX(B4565:B$2,-1+SUMPRODUCT(MAX(ROW(E4565:E$2)*(E4566=E4565:E$2)))))</f>
        <v> </v>
      </c>
      <c r="J4566" s="25" t="str">
        <f>IF(OR(E4566="",E4566="!!!",F4566="NEW"),"",COUNTBLANK(OFFSET(A$1,,,SUMPRODUCT(MAX(ROW(E$2:E4566)*(E4566=E$2:E4566)))))-COUNTBLANK(OFFSET(A$1,,,SUMPRODUCT(MAX(ROW(E$1:E4565)*(E2=E$1:E4565))))))</f>
        <v> </v>
      </c>
      <c r="K4566" s="25" t="str">
        <f>IF(OR(E4566="",E4566="!!!",F4566="NEW"),"",INDEX(J$1:J4565,SUMPRODUCT(MAX(ROW(E$1:E4565)*(E4566=E$1:E4565)))))</f>
        <v> </v>
      </c>
      <c r="L4566" s="26"/>
    </row>
    <row r="4567" spans="1:12">
      <c r="A4567" s="20" t="s">
        <v>757</v>
      </c>
      <c r="E4567" s="21">
        <f>IF(D4567="?OLD","!!!","")</f>
        <v/>
      </c>
      <c r="F4567" s="22" t="str">
        <f>IF(OR(E4567="",E4567="!!!"),"",IF(NOT(ISNA(VLOOKUP(E4567,E$1:E4566,1,FALSE()))),"OLD",IF(AND(E4567&lt;&gt;"",E4567&lt;&gt;"!!!"),"NEW","")))</f>
        <v> </v>
      </c>
      <c r="G4567" s="23" t="str">
        <f>IF(OR(E4567="",E4567="!!!"),"",IF(OR(J4567=0,AND(J4567=1,K4567=1),AND(J4567=1,I4567="SBJ"),AND(J4567=1,I4567=0)),"?IN_FOCUS",IF(J4567&lt;=2,"?ACTIVATED",IF(J4567&lt;&gt;"","?FAMILIAR",IF(F4567="NEW",IF(ISNA(VLOOKUP(E4567,#REF!,1,FALSE())),"?TYPE_IDENTIFIABLE","?REFERENTIAL"),"_")))))</f>
        <v> </v>
      </c>
      <c r="H4567" s="24" t="str">
        <f>IF(J4567&lt;&gt;1,"",IF(I4567="SBJ","CB","?"))</f>
        <v> </v>
      </c>
      <c r="I4567" s="25" t="str">
        <f>IF(OR(E4567="",E4567="!!!",F4567="NEW"),"",INDEX(B4566:B$2,-1+SUMPRODUCT(MAX(ROW(E4566:E$2)*(E4567=E4566:E$2)))))</f>
        <v> </v>
      </c>
      <c r="J4567" s="25" t="str">
        <f>IF(OR(E4567="",E4567="!!!",F4567="NEW"),"",COUNTBLANK(OFFSET(A$1,,,SUMPRODUCT(MAX(ROW(E$2:E4567)*(E4567=E$2:E4567)))))-COUNTBLANK(OFFSET(A$1,,,SUMPRODUCT(MAX(ROW(E$1:E4566)*(E2=E$1:E4566))))))</f>
        <v> </v>
      </c>
      <c r="K4567" s="25" t="str">
        <f>IF(OR(E4567="",E4567="!!!",F4567="NEW"),"",INDEX(J$1:J4566,SUMPRODUCT(MAX(ROW(E$1:E4566)*(E4567=E$1:E4566)))))</f>
        <v> </v>
      </c>
      <c r="L4567" s="26"/>
    </row>
    <row r="4568" spans="1:12">
      <c r="A4568" s="20" t="s">
        <v>805</v>
      </c>
      <c r="E4568" s="21">
        <f>IF(D4568="?OLD","!!!","")</f>
        <v/>
      </c>
      <c r="F4568" s="22" t="str">
        <f>IF(OR(E4568="",E4568="!!!"),"",IF(NOT(ISNA(VLOOKUP(E4568,E$1:E4567,1,FALSE()))),"OLD",IF(AND(E4568&lt;&gt;"",E4568&lt;&gt;"!!!"),"NEW","")))</f>
        <v> </v>
      </c>
      <c r="G4568" s="23" t="str">
        <f>IF(OR(E4568="",E4568="!!!"),"",IF(OR(J4568=0,AND(J4568=1,K4568=1),AND(J4568=1,I4568="SBJ"),AND(J4568=1,I4568=0)),"?IN_FOCUS",IF(J4568&lt;=2,"?ACTIVATED",IF(J4568&lt;&gt;"","?FAMILIAR",IF(F4568="NEW",IF(ISNA(VLOOKUP(E4568,#REF!,1,FALSE())),"?TYPE_IDENTIFIABLE","?REFERENTIAL"),"_")))))</f>
        <v> </v>
      </c>
      <c r="H4568" s="24" t="str">
        <f>IF(J4568&lt;&gt;1,"",IF(I4568="SBJ","CB","?"))</f>
        <v> </v>
      </c>
      <c r="I4568" s="25" t="str">
        <f>IF(OR(E4568="",E4568="!!!",F4568="NEW"),"",INDEX(B4567:B$2,-1+SUMPRODUCT(MAX(ROW(E4567:E$2)*(E4568=E4567:E$2)))))</f>
        <v> </v>
      </c>
      <c r="J4568" s="25" t="str">
        <f>IF(OR(E4568="",E4568="!!!",F4568="NEW"),"",COUNTBLANK(OFFSET(A$1,,,SUMPRODUCT(MAX(ROW(E$2:E4568)*(E4568=E$2:E4568)))))-COUNTBLANK(OFFSET(A$1,,,SUMPRODUCT(MAX(ROW(E$1:E4567)*(E2=E$1:E4567))))))</f>
        <v> </v>
      </c>
      <c r="K4568" s="25" t="str">
        <f>IF(OR(E4568="",E4568="!!!",F4568="NEW"),"",INDEX(J$1:J4567,SUMPRODUCT(MAX(ROW(E$1:E4567)*(E4568=E$1:E4567)))))</f>
        <v> </v>
      </c>
      <c r="L4568" s="26"/>
    </row>
    <row r="4569" spans="1:12">
      <c r="A4569" s="20" t="s">
        <v>882</v>
      </c>
      <c r="E4569" s="21">
        <f>IF(D4569="?OLD","!!!","")</f>
        <v/>
      </c>
      <c r="F4569" s="22" t="str">
        <f>IF(OR(E4569="",E4569="!!!"),"",IF(NOT(ISNA(VLOOKUP(E4569,E$1:E4568,1,FALSE()))),"OLD",IF(AND(E4569&lt;&gt;"",E4569&lt;&gt;"!!!"),"NEW","")))</f>
        <v> </v>
      </c>
      <c r="G4569" s="23" t="str">
        <f>IF(OR(E4569="",E4569="!!!"),"",IF(OR(J4569=0,AND(J4569=1,K4569=1),AND(J4569=1,I4569="SBJ"),AND(J4569=1,I4569=0)),"?IN_FOCUS",IF(J4569&lt;=2,"?ACTIVATED",IF(J4569&lt;&gt;"","?FAMILIAR",IF(F4569="NEW",IF(ISNA(VLOOKUP(E4569,#REF!,1,FALSE())),"?TYPE_IDENTIFIABLE","?REFERENTIAL"),"_")))))</f>
        <v> </v>
      </c>
      <c r="H4569" s="24" t="str">
        <f>IF(J4569&lt;&gt;1,"",IF(I4569="SBJ","CB","?"))</f>
        <v> </v>
      </c>
      <c r="I4569" s="25" t="str">
        <f>IF(OR(E4569="",E4569="!!!",F4569="NEW"),"",INDEX(B4568:B$2,-1+SUMPRODUCT(MAX(ROW(E4568:E$2)*(E4569=E4568:E$2)))))</f>
        <v> </v>
      </c>
      <c r="J4569" s="25" t="str">
        <f>IF(OR(E4569="",E4569="!!!",F4569="NEW"),"",COUNTBLANK(OFFSET(A$1,,,SUMPRODUCT(MAX(ROW(E$2:E4569)*(E4569=E$2:E4569)))))-COUNTBLANK(OFFSET(A$1,,,SUMPRODUCT(MAX(ROW(E$1:E4568)*(E2=E$1:E4568))))))</f>
        <v> </v>
      </c>
      <c r="K4569" s="25" t="str">
        <f>IF(OR(E4569="",E4569="!!!",F4569="NEW"),"",INDEX(J$1:J4568,SUMPRODUCT(MAX(ROW(E$1:E4568)*(E4569=E$1:E4568)))))</f>
        <v> </v>
      </c>
      <c r="L4569" s="26"/>
    </row>
    <row r="4570" spans="1:12">
      <c r="A4570" s="20" t="s">
        <v>795</v>
      </c>
      <c r="B4570" s="27" t="s">
        <v>879</v>
      </c>
      <c r="C4570" s="27" t="s">
        <v>797</v>
      </c>
      <c r="D4570" s="27" t="s">
        <v>762</v>
      </c>
      <c r="E4570" s="21">
        <f>IF(D4570="?OLD","!!!","")</f>
        <v/>
      </c>
      <c r="F4570" s="22" t="str">
        <f>IF(OR(E4570="",E4570="!!!"),"",IF(NOT(ISNA(VLOOKUP(E4570,E$1:E4569,1,FALSE()))),"OLD",IF(AND(E4570&lt;&gt;"",E4570&lt;&gt;"!!!"),"NEW","")))</f>
        <v> </v>
      </c>
      <c r="G4570" s="23" t="str">
        <f>IF(OR(E4570="",E4570="!!!"),"",IF(OR(J4570=0,AND(J4570=1,K4570=1),AND(J4570=1,I4570="SBJ"),AND(J4570=1,I4570=0)),"?IN_FOCUS",IF(J4570&lt;=2,"?ACTIVATED",IF(J4570&lt;&gt;"","?FAMILIAR",IF(F4570="NEW",IF(ISNA(VLOOKUP(E4570,#REF!,1,FALSE())),"?TYPE_IDENTIFIABLE","?REFERENTIAL"),"_")))))</f>
        <v> </v>
      </c>
      <c r="H4570" s="24" t="str">
        <f>IF(J4570&lt;&gt;1,"",IF(I4570="SBJ","CB","?"))</f>
        <v> </v>
      </c>
      <c r="I4570" s="25" t="str">
        <f>IF(OR(E4570="",E4570="!!!",F4570="NEW"),"",INDEX(B4569:B$2,-1+SUMPRODUCT(MAX(ROW(E4569:E$2)*(E4570=E4569:E$2)))))</f>
        <v> </v>
      </c>
      <c r="J4570" s="25" t="str">
        <f>IF(OR(E4570="",E4570="!!!",F4570="NEW"),"",COUNTBLANK(OFFSET(A$1,,,SUMPRODUCT(MAX(ROW(E$2:E4570)*(E4570=E$2:E4570)))))-COUNTBLANK(OFFSET(A$1,,,SUMPRODUCT(MAX(ROW(E$1:E4569)*(E2=E$1:E4569))))))</f>
        <v> </v>
      </c>
      <c r="K4570" s="25" t="str">
        <f>IF(OR(E4570="",E4570="!!!",F4570="NEW"),"",INDEX(J$1:J4569,SUMPRODUCT(MAX(ROW(E$1:E4569)*(E4570=E$1:E4569)))))</f>
        <v> </v>
      </c>
      <c r="L4570" s="26"/>
    </row>
    <row r="4571" spans="1:12">
      <c r="A4571" s="20" t="s">
        <v>757</v>
      </c>
      <c r="E4571" s="21">
        <f>IF(D4571="?OLD","!!!","")</f>
        <v/>
      </c>
      <c r="F4571" s="22" t="str">
        <f>IF(OR(E4571="",E4571="!!!"),"",IF(NOT(ISNA(VLOOKUP(E4571,E$1:E4570,1,FALSE()))),"OLD",IF(AND(E4571&lt;&gt;"",E4571&lt;&gt;"!!!"),"NEW","")))</f>
        <v> </v>
      </c>
      <c r="G4571" s="23" t="str">
        <f>IF(OR(E4571="",E4571="!!!"),"",IF(OR(J4571=0,AND(J4571=1,K4571=1),AND(J4571=1,I4571="SBJ"),AND(J4571=1,I4571=0)),"?IN_FOCUS",IF(J4571&lt;=2,"?ACTIVATED",IF(J4571&lt;&gt;"","?FAMILIAR",IF(F4571="NEW",IF(ISNA(VLOOKUP(E4571,#REF!,1,FALSE())),"?TYPE_IDENTIFIABLE","?REFERENTIAL"),"_")))))</f>
        <v> </v>
      </c>
      <c r="H4571" s="24" t="str">
        <f>IF(J4571&lt;&gt;1,"",IF(I4571="SBJ","CB","?"))</f>
        <v> </v>
      </c>
      <c r="I4571" s="25" t="str">
        <f>IF(OR(E4571="",E4571="!!!",F4571="NEW"),"",INDEX(B4570:B$2,-1+SUMPRODUCT(MAX(ROW(E4570:E$2)*(E4571=E4570:E$2)))))</f>
        <v> </v>
      </c>
      <c r="J4571" s="25" t="str">
        <f>IF(OR(E4571="",E4571="!!!",F4571="NEW"),"",COUNTBLANK(OFFSET(A$1,,,SUMPRODUCT(MAX(ROW(E$2:E4571)*(E4571=E$2:E4571)))))-COUNTBLANK(OFFSET(A$1,,,SUMPRODUCT(MAX(ROW(E$1:E4570)*(E2=E$1:E4570))))))</f>
        <v> </v>
      </c>
      <c r="K4571" s="25" t="str">
        <f>IF(OR(E4571="",E4571="!!!",F4571="NEW"),"",INDEX(J$1:J4570,SUMPRODUCT(MAX(ROW(E$1:E4570)*(E4571=E$1:E4570)))))</f>
        <v> </v>
      </c>
      <c r="L4571" s="26"/>
    </row>
    <row r="4572" spans="1:12">
      <c r="A4572" s="20" t="s">
        <v>891</v>
      </c>
      <c r="E4572" s="21">
        <f>IF(D4572="?OLD","!!!","")</f>
        <v/>
      </c>
      <c r="F4572" s="22" t="str">
        <f>IF(OR(E4572="",E4572="!!!"),"",IF(NOT(ISNA(VLOOKUP(E4572,E$1:E4571,1,FALSE()))),"OLD",IF(AND(E4572&lt;&gt;"",E4572&lt;&gt;"!!!"),"NEW","")))</f>
        <v> </v>
      </c>
      <c r="G4572" s="23" t="str">
        <f>IF(OR(E4572="",E4572="!!!"),"",IF(OR(J4572=0,AND(J4572=1,K4572=1),AND(J4572=1,I4572="SBJ"),AND(J4572=1,I4572=0)),"?IN_FOCUS",IF(J4572&lt;=2,"?ACTIVATED",IF(J4572&lt;&gt;"","?FAMILIAR",IF(F4572="NEW",IF(ISNA(VLOOKUP(E4572,#REF!,1,FALSE())),"?TYPE_IDENTIFIABLE","?REFERENTIAL"),"_")))))</f>
        <v> </v>
      </c>
      <c r="H4572" s="24" t="str">
        <f>IF(J4572&lt;&gt;1,"",IF(I4572="SBJ","CB","?"))</f>
        <v> </v>
      </c>
      <c r="I4572" s="25" t="str">
        <f>IF(OR(E4572="",E4572="!!!",F4572="NEW"),"",INDEX(B4571:B$2,-1+SUMPRODUCT(MAX(ROW(E4571:E$2)*(E4572=E4571:E$2)))))</f>
        <v> </v>
      </c>
      <c r="J4572" s="25" t="str">
        <f>IF(OR(E4572="",E4572="!!!",F4572="NEW"),"",COUNTBLANK(OFFSET(A$1,,,SUMPRODUCT(MAX(ROW(E$2:E4572)*(E4572=E$2:E4572)))))-COUNTBLANK(OFFSET(A$1,,,SUMPRODUCT(MAX(ROW(E$1:E4571)*(E2=E$1:E4571))))))</f>
        <v> </v>
      </c>
      <c r="K4572" s="25" t="str">
        <f>IF(OR(E4572="",E4572="!!!",F4572="NEW"),"",INDEX(J$1:J4571,SUMPRODUCT(MAX(ROW(E$1:E4571)*(E4572=E$1:E4571)))))</f>
        <v> </v>
      </c>
      <c r="L4572" s="26"/>
    </row>
    <row r="4573" spans="1:12">
      <c r="A4573" s="20" t="s">
        <v>1999</v>
      </c>
      <c r="E4573" s="21">
        <f>IF(D4573="?OLD","!!!","")</f>
        <v/>
      </c>
      <c r="F4573" s="22" t="str">
        <f>IF(OR(E4573="",E4573="!!!"),"",IF(NOT(ISNA(VLOOKUP(E4573,E$1:E4572,1,FALSE()))),"OLD",IF(AND(E4573&lt;&gt;"",E4573&lt;&gt;"!!!"),"NEW","")))</f>
        <v> </v>
      </c>
      <c r="G4573" s="23" t="str">
        <f>IF(OR(E4573="",E4573="!!!"),"",IF(OR(J4573=0,AND(J4573=1,K4573=1),AND(J4573=1,I4573="SBJ"),AND(J4573=1,I4573=0)),"?IN_FOCUS",IF(J4573&lt;=2,"?ACTIVATED",IF(J4573&lt;&gt;"","?FAMILIAR",IF(F4573="NEW",IF(ISNA(VLOOKUP(E4573,#REF!,1,FALSE())),"?TYPE_IDENTIFIABLE","?REFERENTIAL"),"_")))))</f>
        <v> </v>
      </c>
      <c r="H4573" s="24" t="str">
        <f>IF(J4573&lt;&gt;1,"",IF(I4573="SBJ","CB","?"))</f>
        <v> </v>
      </c>
      <c r="I4573" s="25" t="str">
        <f>IF(OR(E4573="",E4573="!!!",F4573="NEW"),"",INDEX(B4572:B$2,-1+SUMPRODUCT(MAX(ROW(E4572:E$2)*(E4573=E4572:E$2)))))</f>
        <v> </v>
      </c>
      <c r="J4573" s="25" t="str">
        <f>IF(OR(E4573="",E4573="!!!",F4573="NEW"),"",COUNTBLANK(OFFSET(A$1,,,SUMPRODUCT(MAX(ROW(E$2:E4573)*(E4573=E$2:E4573)))))-COUNTBLANK(OFFSET(A$1,,,SUMPRODUCT(MAX(ROW(E$1:E4572)*(E2=E$1:E4572))))))</f>
        <v> </v>
      </c>
      <c r="K4573" s="25" t="str">
        <f>IF(OR(E4573="",E4573="!!!",F4573="NEW"),"",INDEX(J$1:J4572,SUMPRODUCT(MAX(ROW(E$1:E4572)*(E4573=E$1:E4572)))))</f>
        <v> </v>
      </c>
      <c r="L4573" s="26"/>
    </row>
    <row r="4574" spans="1:12">
      <c r="A4574" s="20" t="s">
        <v>770</v>
      </c>
      <c r="E4574" s="21">
        <f>IF(D4574="?OLD","!!!","")</f>
        <v/>
      </c>
      <c r="F4574" s="22" t="str">
        <f>IF(OR(E4574="",E4574="!!!"),"",IF(NOT(ISNA(VLOOKUP(E4574,E$1:E4573,1,FALSE()))),"OLD",IF(AND(E4574&lt;&gt;"",E4574&lt;&gt;"!!!"),"NEW","")))</f>
        <v> </v>
      </c>
      <c r="G4574" s="23" t="str">
        <f>IF(OR(E4574="",E4574="!!!"),"",IF(OR(J4574=0,AND(J4574=1,K4574=1),AND(J4574=1,I4574="SBJ"),AND(J4574=1,I4574=0)),"?IN_FOCUS",IF(J4574&lt;=2,"?ACTIVATED",IF(J4574&lt;&gt;"","?FAMILIAR",IF(F4574="NEW",IF(ISNA(VLOOKUP(E4574,#REF!,1,FALSE())),"?TYPE_IDENTIFIABLE","?REFERENTIAL"),"_")))))</f>
        <v> </v>
      </c>
      <c r="H4574" s="24" t="str">
        <f>IF(J4574&lt;&gt;1,"",IF(I4574="SBJ","CB","?"))</f>
        <v> </v>
      </c>
      <c r="I4574" s="25" t="str">
        <f>IF(OR(E4574="",E4574="!!!",F4574="NEW"),"",INDEX(B4573:B$2,-1+SUMPRODUCT(MAX(ROW(E4573:E$2)*(E4574=E4573:E$2)))))</f>
        <v> </v>
      </c>
      <c r="J4574" s="25" t="str">
        <f>IF(OR(E4574="",E4574="!!!",F4574="NEW"),"",COUNTBLANK(OFFSET(A$1,,,SUMPRODUCT(MAX(ROW(E$2:E4574)*(E4574=E$2:E4574)))))-COUNTBLANK(OFFSET(A$1,,,SUMPRODUCT(MAX(ROW(E$1:E4573)*(E2=E$1:E4573))))))</f>
        <v> </v>
      </c>
      <c r="K4574" s="25" t="str">
        <f>IF(OR(E4574="",E4574="!!!",F4574="NEW"),"",INDEX(J$1:J4573,SUMPRODUCT(MAX(ROW(E$1:E4573)*(E4574=E$1:E4573)))))</f>
        <v> </v>
      </c>
      <c r="L4574" s="26"/>
    </row>
    <row r="4575" spans="1:12">
      <c r="A4575" s="20" t="s">
        <v>2000</v>
      </c>
      <c r="B4575" s="27" t="s">
        <v>940</v>
      </c>
      <c r="C4575" s="27" t="s">
        <v>761</v>
      </c>
      <c r="D4575" s="27" t="s">
        <v>762</v>
      </c>
      <c r="E4575" s="21">
        <f>IF(D4575="?OLD","!!!","")</f>
        <v/>
      </c>
      <c r="F4575" s="22" t="str">
        <f>IF(OR(E4575="",E4575="!!!"),"",IF(NOT(ISNA(VLOOKUP(E4575,E$1:E4574,1,FALSE()))),"OLD",IF(AND(E4575&lt;&gt;"",E4575&lt;&gt;"!!!"),"NEW","")))</f>
        <v> </v>
      </c>
      <c r="G4575" s="23" t="str">
        <f>IF(OR(E4575="",E4575="!!!"),"",IF(OR(J4575=0,AND(J4575=1,K4575=1),AND(J4575=1,I4575="SBJ"),AND(J4575=1,I4575=0)),"?IN_FOCUS",IF(J4575&lt;=2,"?ACTIVATED",IF(J4575&lt;&gt;"","?FAMILIAR",IF(F4575="NEW",IF(ISNA(VLOOKUP(E4575,#REF!,1,FALSE())),"?TYPE_IDENTIFIABLE","?REFERENTIAL"),"_")))))</f>
        <v> </v>
      </c>
      <c r="H4575" s="24" t="str">
        <f>IF(J4575&lt;&gt;1,"",IF(I4575="SBJ","CB","?"))</f>
        <v> </v>
      </c>
      <c r="I4575" s="25" t="str">
        <f>IF(OR(E4575="",E4575="!!!",F4575="NEW"),"",INDEX(B4574:B$2,-1+SUMPRODUCT(MAX(ROW(E4574:E$2)*(E4575=E4574:E$2)))))</f>
        <v> </v>
      </c>
      <c r="J4575" s="25" t="str">
        <f>IF(OR(E4575="",E4575="!!!",F4575="NEW"),"",COUNTBLANK(OFFSET(A$1,,,SUMPRODUCT(MAX(ROW(E$2:E4575)*(E4575=E$2:E4575)))))-COUNTBLANK(OFFSET(A$1,,,SUMPRODUCT(MAX(ROW(E$1:E4574)*(E2=E$1:E4574))))))</f>
        <v> </v>
      </c>
      <c r="K4575" s="25" t="str">
        <f>IF(OR(E4575="",E4575="!!!",F4575="NEW"),"",INDEX(J$1:J4574,SUMPRODUCT(MAX(ROW(E$1:E4574)*(E4575=E$1:E4574)))))</f>
        <v> </v>
      </c>
      <c r="L4575" s="26"/>
    </row>
    <row r="4576" spans="1:12">
      <c r="A4576" s="20" t="s">
        <v>805</v>
      </c>
      <c r="E4576" s="21">
        <f>IF(D4576="?OLD","!!!","")</f>
        <v/>
      </c>
      <c r="F4576" s="22" t="str">
        <f>IF(OR(E4576="",E4576="!!!"),"",IF(NOT(ISNA(VLOOKUP(E4576,E$1:E4575,1,FALSE()))),"OLD",IF(AND(E4576&lt;&gt;"",E4576&lt;&gt;"!!!"),"NEW","")))</f>
        <v> </v>
      </c>
      <c r="G4576" s="23" t="str">
        <f>IF(OR(E4576="",E4576="!!!"),"",IF(OR(J4576=0,AND(J4576=1,K4576=1),AND(J4576=1,I4576="SBJ"),AND(J4576=1,I4576=0)),"?IN_FOCUS",IF(J4576&lt;=2,"?ACTIVATED",IF(J4576&lt;&gt;"","?FAMILIAR",IF(F4576="NEW",IF(ISNA(VLOOKUP(E4576,#REF!,1,FALSE())),"?TYPE_IDENTIFIABLE","?REFERENTIAL"),"_")))))</f>
        <v> </v>
      </c>
      <c r="H4576" s="24" t="str">
        <f>IF(J4576&lt;&gt;1,"",IF(I4576="SBJ","CB","?"))</f>
        <v> </v>
      </c>
      <c r="I4576" s="25" t="str">
        <f>IF(OR(E4576="",E4576="!!!",F4576="NEW"),"",INDEX(B4575:B$2,-1+SUMPRODUCT(MAX(ROW(E4575:E$2)*(E4576=E4575:E$2)))))</f>
        <v> </v>
      </c>
      <c r="J4576" s="25" t="str">
        <f>IF(OR(E4576="",E4576="!!!",F4576="NEW"),"",COUNTBLANK(OFFSET(A$1,,,SUMPRODUCT(MAX(ROW(E$2:E4576)*(E4576=E$2:E4576)))))-COUNTBLANK(OFFSET(A$1,,,SUMPRODUCT(MAX(ROW(E$1:E4575)*(E2=E$1:E4575))))))</f>
        <v> </v>
      </c>
      <c r="K4576" s="25" t="str">
        <f>IF(OR(E4576="",E4576="!!!",F4576="NEW"),"",INDEX(J$1:J4575,SUMPRODUCT(MAX(ROW(E$1:E4575)*(E4576=E$1:E4575)))))</f>
        <v> </v>
      </c>
      <c r="L4576" s="26"/>
    </row>
    <row r="4577" spans="1:12">
      <c r="A4577" s="20" t="s">
        <v>764</v>
      </c>
      <c r="E4577" s="21">
        <f>IF(D4577="?OLD","!!!","")</f>
        <v/>
      </c>
      <c r="F4577" s="22" t="str">
        <f>IF(OR(E4577="",E4577="!!!"),"",IF(NOT(ISNA(VLOOKUP(E4577,E$1:E4576,1,FALSE()))),"OLD",IF(AND(E4577&lt;&gt;"",E4577&lt;&gt;"!!!"),"NEW","")))</f>
        <v> </v>
      </c>
      <c r="G4577" s="23" t="str">
        <f>IF(OR(E4577="",E4577="!!!"),"",IF(OR(J4577=0,AND(J4577=1,K4577=1),AND(J4577=1,I4577="SBJ"),AND(J4577=1,I4577=0)),"?IN_FOCUS",IF(J4577&lt;=2,"?ACTIVATED",IF(J4577&lt;&gt;"","?FAMILIAR",IF(F4577="NEW",IF(ISNA(VLOOKUP(E4577,#REF!,1,FALSE())),"?TYPE_IDENTIFIABLE","?REFERENTIAL"),"_")))))</f>
        <v> </v>
      </c>
      <c r="H4577" s="24" t="str">
        <f>IF(J4577&lt;&gt;1,"",IF(I4577="SBJ","CB","?"))</f>
        <v> </v>
      </c>
      <c r="I4577" s="25" t="str">
        <f>IF(OR(E4577="",E4577="!!!",F4577="NEW"),"",INDEX(B4576:B$2,-1+SUMPRODUCT(MAX(ROW(E4576:E$2)*(E4577=E4576:E$2)))))</f>
        <v> </v>
      </c>
      <c r="J4577" s="25" t="str">
        <f>IF(OR(E4577="",E4577="!!!",F4577="NEW"),"",COUNTBLANK(OFFSET(A$1,,,SUMPRODUCT(MAX(ROW(E$2:E4577)*(E4577=E$2:E4577)))))-COUNTBLANK(OFFSET(A$1,,,SUMPRODUCT(MAX(ROW(E$1:E4576)*(E2=E$1:E4576))))))</f>
        <v> </v>
      </c>
      <c r="K4577" s="25" t="str">
        <f>IF(OR(E4577="",E4577="!!!",F4577="NEW"),"",INDEX(J$1:J4576,SUMPRODUCT(MAX(ROW(E$1:E4576)*(E4577=E$1:E4576)))))</f>
        <v> </v>
      </c>
      <c r="L4577" s="26"/>
    </row>
    <row r="4578" spans="1:12">
      <c r="A4578" s="20" t="s">
        <v>2001</v>
      </c>
      <c r="B4578" s="27" t="s">
        <v>815</v>
      </c>
      <c r="C4578" s="27" t="s">
        <v>768</v>
      </c>
      <c r="E4578" s="21">
        <f>IF(D4578="?OLD","!!!","")</f>
        <v/>
      </c>
      <c r="F4578" s="22" t="str">
        <f>IF(OR(E4578="",E4578="!!!"),"",IF(NOT(ISNA(VLOOKUP(E4578,E$1:E4577,1,FALSE()))),"OLD",IF(AND(E4578&lt;&gt;"",E4578&lt;&gt;"!!!"),"NEW","")))</f>
        <v> </v>
      </c>
      <c r="G4578" s="23" t="str">
        <f>IF(OR(E4578="",E4578="!!!"),"",IF(OR(J4578=0,AND(J4578=1,K4578=1),AND(J4578=1,I4578="SBJ"),AND(J4578=1,I4578=0)),"?IN_FOCUS",IF(J4578&lt;=2,"?ACTIVATED",IF(J4578&lt;&gt;"","?FAMILIAR",IF(F4578="NEW",IF(ISNA(VLOOKUP(E4578,#REF!,1,FALSE())),"?TYPE_IDENTIFIABLE","?REFERENTIAL"),"_")))))</f>
        <v> </v>
      </c>
      <c r="H4578" s="24" t="str">
        <f>IF(J4578&lt;&gt;1,"",IF(I4578="SBJ","CB","?"))</f>
        <v> </v>
      </c>
      <c r="I4578" s="25" t="str">
        <f>IF(OR(E4578="",E4578="!!!",F4578="NEW"),"",INDEX(B4577:B$2,-1+SUMPRODUCT(MAX(ROW(E4577:E$2)*(E4578=E4577:E$2)))))</f>
        <v> </v>
      </c>
      <c r="J4578" s="25" t="str">
        <f>IF(OR(E4578="",E4578="!!!",F4578="NEW"),"",COUNTBLANK(OFFSET(A$1,,,SUMPRODUCT(MAX(ROW(E$2:E4578)*(E4578=E$2:E4578)))))-COUNTBLANK(OFFSET(A$1,,,SUMPRODUCT(MAX(ROW(E$1:E4577)*(E2=E$1:E4577))))))</f>
        <v> </v>
      </c>
      <c r="K4578" s="25" t="str">
        <f>IF(OR(E4578="",E4578="!!!",F4578="NEW"),"",INDEX(J$1:J4577,SUMPRODUCT(MAX(ROW(E$1:E4577)*(E4578=E$1:E4577)))))</f>
        <v> </v>
      </c>
      <c r="L4578" s="26"/>
    </row>
    <row r="4579" spans="1:12">
      <c r="A4579" s="20" t="s">
        <v>1069</v>
      </c>
      <c r="E4579" s="21">
        <f>IF(D4579="?OLD","!!!","")</f>
        <v/>
      </c>
      <c r="F4579" s="22" t="str">
        <f>IF(OR(E4579="",E4579="!!!"),"",IF(NOT(ISNA(VLOOKUP(E4579,E$1:E4578,1,FALSE()))),"OLD",IF(AND(E4579&lt;&gt;"",E4579&lt;&gt;"!!!"),"NEW","")))</f>
        <v> </v>
      </c>
      <c r="G4579" s="23" t="str">
        <f>IF(OR(E4579="",E4579="!!!"),"",IF(OR(J4579=0,AND(J4579=1,K4579=1),AND(J4579=1,I4579="SBJ"),AND(J4579=1,I4579=0)),"?IN_FOCUS",IF(J4579&lt;=2,"?ACTIVATED",IF(J4579&lt;&gt;"","?FAMILIAR",IF(F4579="NEW",IF(ISNA(VLOOKUP(E4579,#REF!,1,FALSE())),"?TYPE_IDENTIFIABLE","?REFERENTIAL"),"_")))))</f>
        <v> </v>
      </c>
      <c r="H4579" s="24" t="str">
        <f>IF(J4579&lt;&gt;1,"",IF(I4579="SBJ","CB","?"))</f>
        <v> </v>
      </c>
      <c r="I4579" s="25" t="str">
        <f>IF(OR(E4579="",E4579="!!!",F4579="NEW"),"",INDEX(B4578:B$2,-1+SUMPRODUCT(MAX(ROW(E4578:E$2)*(E4579=E4578:E$2)))))</f>
        <v> </v>
      </c>
      <c r="J4579" s="25" t="str">
        <f>IF(OR(E4579="",E4579="!!!",F4579="NEW"),"",COUNTBLANK(OFFSET(A$1,,,SUMPRODUCT(MAX(ROW(E$2:E4579)*(E4579=E$2:E4579)))))-COUNTBLANK(OFFSET(A$1,,,SUMPRODUCT(MAX(ROW(E$1:E4578)*(E2=E$1:E4578))))))</f>
        <v> </v>
      </c>
      <c r="K4579" s="25" t="str">
        <f>IF(OR(E4579="",E4579="!!!",F4579="NEW"),"",INDEX(J$1:J4578,SUMPRODUCT(MAX(ROW(E$1:E4578)*(E4579=E$1:E4578)))))</f>
        <v> </v>
      </c>
      <c r="L4579" s="26"/>
    </row>
    <row r="4580" spans="1:12">
      <c r="A4580" s="20" t="s">
        <v>2002</v>
      </c>
      <c r="B4580" s="27" t="s">
        <v>1062</v>
      </c>
      <c r="C4580" s="27" t="s">
        <v>803</v>
      </c>
      <c r="E4580" s="21">
        <f>IF(D4580="?OLD","!!!","")</f>
        <v/>
      </c>
      <c r="F4580" s="22" t="str">
        <f>IF(OR(E4580="",E4580="!!!"),"",IF(NOT(ISNA(VLOOKUP(E4580,E$1:E4579,1,FALSE()))),"OLD",IF(AND(E4580&lt;&gt;"",E4580&lt;&gt;"!!!"),"NEW","")))</f>
        <v> </v>
      </c>
      <c r="G4580" s="23" t="str">
        <f>IF(OR(E4580="",E4580="!!!"),"",IF(OR(J4580=0,AND(J4580=1,K4580=1),AND(J4580=1,I4580="SBJ"),AND(J4580=1,I4580=0)),"?IN_FOCUS",IF(J4580&lt;=2,"?ACTIVATED",IF(J4580&lt;&gt;"","?FAMILIAR",IF(F4580="NEW",IF(ISNA(VLOOKUP(E4580,#REF!,1,FALSE())),"?TYPE_IDENTIFIABLE","?REFERENTIAL"),"_")))))</f>
        <v> </v>
      </c>
      <c r="H4580" s="24" t="str">
        <f>IF(J4580&lt;&gt;1,"",IF(I4580="SBJ","CB","?"))</f>
        <v> </v>
      </c>
      <c r="I4580" s="25" t="str">
        <f>IF(OR(E4580="",E4580="!!!",F4580="NEW"),"",INDEX(B4579:B$2,-1+SUMPRODUCT(MAX(ROW(E4579:E$2)*(E4580=E4579:E$2)))))</f>
        <v> </v>
      </c>
      <c r="J4580" s="25" t="str">
        <f>IF(OR(E4580="",E4580="!!!",F4580="NEW"),"",COUNTBLANK(OFFSET(A$1,,,SUMPRODUCT(MAX(ROW(E$2:E4580)*(E4580=E$2:E4580)))))-COUNTBLANK(OFFSET(A$1,,,SUMPRODUCT(MAX(ROW(E$1:E4579)*(E2=E$1:E4579))))))</f>
        <v> </v>
      </c>
      <c r="K4580" s="25" t="str">
        <f>IF(OR(E4580="",E4580="!!!",F4580="NEW"),"",INDEX(J$1:J4579,SUMPRODUCT(MAX(ROW(E$1:E4579)*(E4580=E$1:E4579)))))</f>
        <v> </v>
      </c>
      <c r="L4580" s="26"/>
    </row>
    <row r="4581" spans="1:12">
      <c r="A4581" s="20" t="s">
        <v>774</v>
      </c>
      <c r="E4581" s="21">
        <f>IF(D4581="?OLD","!!!","")</f>
        <v/>
      </c>
      <c r="F4581" s="22" t="str">
        <f>IF(OR(E4581="",E4581="!!!"),"",IF(NOT(ISNA(VLOOKUP(E4581,E$1:E4580,1,FALSE()))),"OLD",IF(AND(E4581&lt;&gt;"",E4581&lt;&gt;"!!!"),"NEW","")))</f>
        <v> </v>
      </c>
      <c r="G4581" s="23" t="str">
        <f>IF(OR(E4581="",E4581="!!!"),"",IF(OR(J4581=0,AND(J4581=1,K4581=1),AND(J4581=1,I4581="SBJ"),AND(J4581=1,I4581=0)),"?IN_FOCUS",IF(J4581&lt;=2,"?ACTIVATED",IF(J4581&lt;&gt;"","?FAMILIAR",IF(F4581="NEW",IF(ISNA(VLOOKUP(E4581,#REF!,1,FALSE())),"?TYPE_IDENTIFIABLE","?REFERENTIAL"),"_")))))</f>
        <v> </v>
      </c>
      <c r="H4581" s="24" t="str">
        <f>IF(J4581&lt;&gt;1,"",IF(I4581="SBJ","CB","?"))</f>
        <v> </v>
      </c>
      <c r="I4581" s="25" t="str">
        <f>IF(OR(E4581="",E4581="!!!",F4581="NEW"),"",INDEX(B4580:B$2,-1+SUMPRODUCT(MAX(ROW(E4580:E$2)*(E4581=E4580:E$2)))))</f>
        <v> </v>
      </c>
      <c r="J4581" s="25" t="str">
        <f>IF(OR(E4581="",E4581="!!!",F4581="NEW"),"",COUNTBLANK(OFFSET(A$1,,,SUMPRODUCT(MAX(ROW(E$2:E4581)*(E4581=E$2:E4581)))))-COUNTBLANK(OFFSET(A$1,,,SUMPRODUCT(MAX(ROW(E$1:E4580)*(E2=E$1:E4580))))))</f>
        <v> </v>
      </c>
      <c r="K4581" s="25" t="str">
        <f>IF(OR(E4581="",E4581="!!!",F4581="NEW"),"",INDEX(J$1:J4580,SUMPRODUCT(MAX(ROW(E$1:E4580)*(E4581=E$1:E4580)))))</f>
        <v> </v>
      </c>
      <c r="L4581" s="26"/>
    </row>
    <row r="4582" spans="1:12">
      <c r="A4582" s="20"/>
    </row>
    <row r="4583" spans="1:12">
      <c r="A4583" s="20" t="s">
        <v>2003</v>
      </c>
    </row>
    <row r="4584" spans="1:12">
      <c r="A4584" s="20" t="s">
        <v>995</v>
      </c>
      <c r="B4584" s="27" t="s">
        <v>760</v>
      </c>
      <c r="C4584" s="27" t="s">
        <v>797</v>
      </c>
      <c r="D4584" s="27" t="s">
        <v>762</v>
      </c>
      <c r="E4584" s="21">
        <f>IF(D4584="?OLD","!!!","")</f>
        <v/>
      </c>
      <c r="F4584" s="22" t="str">
        <f>IF(OR(E4584="",E4584="!!!"),"",IF(NOT(ISNA(VLOOKUP(E4584,E$1:E4583,1,FALSE()))),"OLD",IF(AND(E4584&lt;&gt;"",E4584&lt;&gt;"!!!"),"NEW","")))</f>
        <v> </v>
      </c>
      <c r="G4584" s="23" t="str">
        <f>IF(OR(E4584="",E4584="!!!"),"",IF(OR(J4584=0,AND(J4584=1,K4584=1),AND(J4584=1,I4584="SBJ"),AND(J4584=1,I4584=0)),"?IN_FOCUS",IF(J4584&lt;=2,"?ACTIVATED",IF(J4584&lt;&gt;"","?FAMILIAR",IF(F4584="NEW",IF(ISNA(VLOOKUP(E4584,#REF!,1,FALSE())),"?TYPE_IDENTIFIABLE","?REFERENTIAL"),"_")))))</f>
        <v> </v>
      </c>
      <c r="H4584" s="24" t="str">
        <f>IF(J4584&lt;&gt;1,"",IF(I4584="SBJ","CB","?"))</f>
        <v> </v>
      </c>
      <c r="I4584" s="25" t="str">
        <f>IF(OR(E4584="",E4584="!!!",F4584="NEW"),"",INDEX(B4583:B$2,-1+SUMPRODUCT(MAX(ROW(E4583:E$2)*(E4584=E4583:E$2)))))</f>
        <v> </v>
      </c>
      <c r="J4584" s="25" t="str">
        <f>IF(OR(E4584="",E4584="!!!",F4584="NEW"),"",COUNTBLANK(OFFSET(A$1,,,SUMPRODUCT(MAX(ROW(E$2:E4584)*(E4584=E$2:E4584)))))-COUNTBLANK(OFFSET(A$1,,,SUMPRODUCT(MAX(ROW(E$1:E4583)*(E2=E$1:E4583))))))</f>
        <v> </v>
      </c>
      <c r="K4584" s="25" t="str">
        <f>IF(OR(E4584="",E4584="!!!",F4584="NEW"),"",INDEX(J$1:J4583,SUMPRODUCT(MAX(ROW(E$1:E4583)*(E4584=E$1:E4583)))))</f>
        <v> </v>
      </c>
      <c r="L4584" s="26"/>
    </row>
    <row r="4585" spans="1:12">
      <c r="A4585" s="20" t="s">
        <v>1164</v>
      </c>
      <c r="E4585" s="21">
        <f>IF(D4585="?OLD","!!!","")</f>
        <v/>
      </c>
      <c r="F4585" s="22" t="str">
        <f>IF(OR(E4585="",E4585="!!!"),"",IF(NOT(ISNA(VLOOKUP(E4585,E$1:E4584,1,FALSE()))),"OLD",IF(AND(E4585&lt;&gt;"",E4585&lt;&gt;"!!!"),"NEW","")))</f>
        <v> </v>
      </c>
      <c r="G4585" s="23" t="str">
        <f>IF(OR(E4585="",E4585="!!!"),"",IF(OR(J4585=0,AND(J4585=1,K4585=1),AND(J4585=1,I4585="SBJ"),AND(J4585=1,I4585=0)),"?IN_FOCUS",IF(J4585&lt;=2,"?ACTIVATED",IF(J4585&lt;&gt;"","?FAMILIAR",IF(F4585="NEW",IF(ISNA(VLOOKUP(E4585,#REF!,1,FALSE())),"?TYPE_IDENTIFIABLE","?REFERENTIAL"),"_")))))</f>
        <v> </v>
      </c>
      <c r="H4585" s="24" t="str">
        <f>IF(J4585&lt;&gt;1,"",IF(I4585="SBJ","CB","?"))</f>
        <v> </v>
      </c>
      <c r="I4585" s="25" t="str">
        <f>IF(OR(E4585="",E4585="!!!",F4585="NEW"),"",INDEX(B4584:B$2,-1+SUMPRODUCT(MAX(ROW(E4584:E$2)*(E4585=E4584:E$2)))))</f>
        <v> </v>
      </c>
      <c r="J4585" s="25" t="str">
        <f>IF(OR(E4585="",E4585="!!!",F4585="NEW"),"",COUNTBLANK(OFFSET(A$1,,,SUMPRODUCT(MAX(ROW(E$2:E4585)*(E4585=E$2:E4585)))))-COUNTBLANK(OFFSET(A$1,,,SUMPRODUCT(MAX(ROW(E$1:E4584)*(E2=E$1:E4584))))))</f>
        <v> </v>
      </c>
      <c r="K4585" s="25" t="str">
        <f>IF(OR(E4585="",E4585="!!!",F4585="NEW"),"",INDEX(J$1:J4584,SUMPRODUCT(MAX(ROW(E$1:E4584)*(E4585=E$1:E4584)))))</f>
        <v> </v>
      </c>
      <c r="L4585" s="26"/>
    </row>
    <row r="4586" spans="1:12">
      <c r="A4586" s="20" t="s">
        <v>930</v>
      </c>
      <c r="E4586" s="21">
        <f>IF(D4586="?OLD","!!!","")</f>
        <v/>
      </c>
      <c r="F4586" s="22" t="str">
        <f>IF(OR(E4586="",E4586="!!!"),"",IF(NOT(ISNA(VLOOKUP(E4586,E$1:E4585,1,FALSE()))),"OLD",IF(AND(E4586&lt;&gt;"",E4586&lt;&gt;"!!!"),"NEW","")))</f>
        <v> </v>
      </c>
      <c r="G4586" s="23" t="str">
        <f>IF(OR(E4586="",E4586="!!!"),"",IF(OR(J4586=0,AND(J4586=1,K4586=1),AND(J4586=1,I4586="SBJ"),AND(J4586=1,I4586=0)),"?IN_FOCUS",IF(J4586&lt;=2,"?ACTIVATED",IF(J4586&lt;&gt;"","?FAMILIAR",IF(F4586="NEW",IF(ISNA(VLOOKUP(E4586,#REF!,1,FALSE())),"?TYPE_IDENTIFIABLE","?REFERENTIAL"),"_")))))</f>
        <v> </v>
      </c>
      <c r="H4586" s="24" t="str">
        <f>IF(J4586&lt;&gt;1,"",IF(I4586="SBJ","CB","?"))</f>
        <v> </v>
      </c>
      <c r="I4586" s="25" t="str">
        <f>IF(OR(E4586="",E4586="!!!",F4586="NEW"),"",INDEX(B4585:B$2,-1+SUMPRODUCT(MAX(ROW(E4585:E$2)*(E4586=E4585:E$2)))))</f>
        <v> </v>
      </c>
      <c r="J4586" s="25" t="str">
        <f>IF(OR(E4586="",E4586="!!!",F4586="NEW"),"",COUNTBLANK(OFFSET(A$1,,,SUMPRODUCT(MAX(ROW(E$2:E4586)*(E4586=E$2:E4586)))))-COUNTBLANK(OFFSET(A$1,,,SUMPRODUCT(MAX(ROW(E$1:E4585)*(E2=E$1:E4585))))))</f>
        <v> </v>
      </c>
      <c r="K4586" s="25" t="str">
        <f>IF(OR(E4586="",E4586="!!!",F4586="NEW"),"",INDEX(J$1:J4585,SUMPRODUCT(MAX(ROW(E$1:E4585)*(E4586=E$1:E4585)))))</f>
        <v> </v>
      </c>
      <c r="L4586" s="26"/>
    </row>
    <row r="4587" spans="1:12">
      <c r="A4587" s="20" t="s">
        <v>764</v>
      </c>
      <c r="E4587" s="21">
        <f>IF(D4587="?OLD","!!!","")</f>
        <v/>
      </c>
      <c r="F4587" s="22" t="str">
        <f>IF(OR(E4587="",E4587="!!!"),"",IF(NOT(ISNA(VLOOKUP(E4587,E$1:E4586,1,FALSE()))),"OLD",IF(AND(E4587&lt;&gt;"",E4587&lt;&gt;"!!!"),"NEW","")))</f>
        <v> </v>
      </c>
      <c r="G4587" s="23" t="str">
        <f>IF(OR(E4587="",E4587="!!!"),"",IF(OR(J4587=0,AND(J4587=1,K4587=1),AND(J4587=1,I4587="SBJ"),AND(J4587=1,I4587=0)),"?IN_FOCUS",IF(J4587&lt;=2,"?ACTIVATED",IF(J4587&lt;&gt;"","?FAMILIAR",IF(F4587="NEW",IF(ISNA(VLOOKUP(E4587,#REF!,1,FALSE())),"?TYPE_IDENTIFIABLE","?REFERENTIAL"),"_")))))</f>
        <v> </v>
      </c>
      <c r="H4587" s="24" t="str">
        <f>IF(J4587&lt;&gt;1,"",IF(I4587="SBJ","CB","?"))</f>
        <v> </v>
      </c>
      <c r="I4587" s="25" t="str">
        <f>IF(OR(E4587="",E4587="!!!",F4587="NEW"),"",INDEX(B4586:B$2,-1+SUMPRODUCT(MAX(ROW(E4586:E$2)*(E4587=E4586:E$2)))))</f>
        <v> </v>
      </c>
      <c r="J4587" s="25" t="str">
        <f>IF(OR(E4587="",E4587="!!!",F4587="NEW"),"",COUNTBLANK(OFFSET(A$1,,,SUMPRODUCT(MAX(ROW(E$2:E4587)*(E4587=E$2:E4587)))))-COUNTBLANK(OFFSET(A$1,,,SUMPRODUCT(MAX(ROW(E$1:E4586)*(E2=E$1:E4586))))))</f>
        <v> </v>
      </c>
      <c r="K4587" s="25" t="str">
        <f>IF(OR(E4587="",E4587="!!!",F4587="NEW"),"",INDEX(J$1:J4586,SUMPRODUCT(MAX(ROW(E$1:E4586)*(E4587=E$1:E4586)))))</f>
        <v> </v>
      </c>
      <c r="L4587" s="26"/>
    </row>
    <row r="4588" spans="1:12">
      <c r="A4588" s="20" t="s">
        <v>2004</v>
      </c>
      <c r="E4588" s="21">
        <f>IF(D4588="?OLD","!!!","")</f>
        <v/>
      </c>
      <c r="F4588" s="22" t="str">
        <f>IF(OR(E4588="",E4588="!!!"),"",IF(NOT(ISNA(VLOOKUP(E4588,E$1:E4587,1,FALSE()))),"OLD",IF(AND(E4588&lt;&gt;"",E4588&lt;&gt;"!!!"),"NEW","")))</f>
        <v> </v>
      </c>
      <c r="G4588" s="23" t="str">
        <f>IF(OR(E4588="",E4588="!!!"),"",IF(OR(J4588=0,AND(J4588=1,K4588=1),AND(J4588=1,I4588="SBJ"),AND(J4588=1,I4588=0)),"?IN_FOCUS",IF(J4588&lt;=2,"?ACTIVATED",IF(J4588&lt;&gt;"","?FAMILIAR",IF(F4588="NEW",IF(ISNA(VLOOKUP(E4588,#REF!,1,FALSE())),"?TYPE_IDENTIFIABLE","?REFERENTIAL"),"_")))))</f>
        <v> </v>
      </c>
      <c r="H4588" s="24" t="str">
        <f>IF(J4588&lt;&gt;1,"",IF(I4588="SBJ","CB","?"))</f>
        <v> </v>
      </c>
      <c r="I4588" s="25" t="str">
        <f>IF(OR(E4588="",E4588="!!!",F4588="NEW"),"",INDEX(B4587:B$2,-1+SUMPRODUCT(MAX(ROW(E4587:E$2)*(E4588=E4587:E$2)))))</f>
        <v> </v>
      </c>
      <c r="J4588" s="25" t="str">
        <f>IF(OR(E4588="",E4588="!!!",F4588="NEW"),"",COUNTBLANK(OFFSET(A$1,,,SUMPRODUCT(MAX(ROW(E$2:E4588)*(E4588=E$2:E4588)))))-COUNTBLANK(OFFSET(A$1,,,SUMPRODUCT(MAX(ROW(E$1:E4587)*(E2=E$1:E4587))))))</f>
        <v> </v>
      </c>
      <c r="K4588" s="25" t="str">
        <f>IF(OR(E4588="",E4588="!!!",F4588="NEW"),"",INDEX(J$1:J4587,SUMPRODUCT(MAX(ROW(E$1:E4587)*(E4588=E$1:E4587)))))</f>
        <v> </v>
      </c>
      <c r="L4588" s="26"/>
    </row>
    <row r="4589" spans="1:12">
      <c r="A4589" s="20" t="s">
        <v>1794</v>
      </c>
      <c r="B4589" s="27" t="s">
        <v>767</v>
      </c>
      <c r="C4589" s="27" t="s">
        <v>768</v>
      </c>
      <c r="E4589" s="21">
        <f>IF(D4589="?OLD","!!!","")</f>
        <v/>
      </c>
      <c r="F4589" s="22" t="str">
        <f>IF(OR(E4589="",E4589="!!!"),"",IF(NOT(ISNA(VLOOKUP(E4589,E$1:E4588,1,FALSE()))),"OLD",IF(AND(E4589&lt;&gt;"",E4589&lt;&gt;"!!!"),"NEW","")))</f>
        <v> </v>
      </c>
      <c r="G4589" s="23" t="str">
        <f>IF(OR(E4589="",E4589="!!!"),"",IF(OR(J4589=0,AND(J4589=1,K4589=1),AND(J4589=1,I4589="SBJ"),AND(J4589=1,I4589=0)),"?IN_FOCUS",IF(J4589&lt;=2,"?ACTIVATED",IF(J4589&lt;&gt;"","?FAMILIAR",IF(F4589="NEW",IF(ISNA(VLOOKUP(E4589,#REF!,1,FALSE())),"?TYPE_IDENTIFIABLE","?REFERENTIAL"),"_")))))</f>
        <v> </v>
      </c>
      <c r="H4589" s="24" t="str">
        <f>IF(J4589&lt;&gt;1,"",IF(I4589="SBJ","CB","?"))</f>
        <v> </v>
      </c>
      <c r="I4589" s="25" t="str">
        <f>IF(OR(E4589="",E4589="!!!",F4589="NEW"),"",INDEX(B4588:B$2,-1+SUMPRODUCT(MAX(ROW(E4588:E$2)*(E4589=E4588:E$2)))))</f>
        <v> </v>
      </c>
      <c r="J4589" s="25" t="str">
        <f>IF(OR(E4589="",E4589="!!!",F4589="NEW"),"",COUNTBLANK(OFFSET(A$1,,,SUMPRODUCT(MAX(ROW(E$2:E4589)*(E4589=E$2:E4589)))))-COUNTBLANK(OFFSET(A$1,,,SUMPRODUCT(MAX(ROW(E$1:E4588)*(E2=E$1:E4588))))))</f>
        <v> </v>
      </c>
      <c r="K4589" s="25" t="str">
        <f>IF(OR(E4589="",E4589="!!!",F4589="NEW"),"",INDEX(J$1:J4588,SUMPRODUCT(MAX(ROW(E$1:E4588)*(E4589=E$1:E4588)))))</f>
        <v> </v>
      </c>
      <c r="L4589" s="26"/>
    </row>
    <row r="4590" spans="1:12">
      <c r="A4590" s="20" t="s">
        <v>757</v>
      </c>
      <c r="E4590" s="21">
        <f>IF(D4590="?OLD","!!!","")</f>
        <v/>
      </c>
      <c r="F4590" s="22" t="str">
        <f>IF(OR(E4590="",E4590="!!!"),"",IF(NOT(ISNA(VLOOKUP(E4590,E$1:E4589,1,FALSE()))),"OLD",IF(AND(E4590&lt;&gt;"",E4590&lt;&gt;"!!!"),"NEW","")))</f>
        <v> </v>
      </c>
      <c r="G4590" s="23" t="str">
        <f>IF(OR(E4590="",E4590="!!!"),"",IF(OR(J4590=0,AND(J4590=1,K4590=1),AND(J4590=1,I4590="SBJ"),AND(J4590=1,I4590=0)),"?IN_FOCUS",IF(J4590&lt;=2,"?ACTIVATED",IF(J4590&lt;&gt;"","?FAMILIAR",IF(F4590="NEW",IF(ISNA(VLOOKUP(E4590,#REF!,1,FALSE())),"?TYPE_IDENTIFIABLE","?REFERENTIAL"),"_")))))</f>
        <v> </v>
      </c>
      <c r="H4590" s="24" t="str">
        <f>IF(J4590&lt;&gt;1,"",IF(I4590="SBJ","CB","?"))</f>
        <v> </v>
      </c>
      <c r="I4590" s="25" t="str">
        <f>IF(OR(E4590="",E4590="!!!",F4590="NEW"),"",INDEX(B4589:B$2,-1+SUMPRODUCT(MAX(ROW(E4589:E$2)*(E4590=E4589:E$2)))))</f>
        <v> </v>
      </c>
      <c r="J4590" s="25" t="str">
        <f>IF(OR(E4590="",E4590="!!!",F4590="NEW"),"",COUNTBLANK(OFFSET(A$1,,,SUMPRODUCT(MAX(ROW(E$2:E4590)*(E4590=E$2:E4590)))))-COUNTBLANK(OFFSET(A$1,,,SUMPRODUCT(MAX(ROW(E$1:E4589)*(E2=E$1:E4589))))))</f>
        <v> </v>
      </c>
      <c r="K4590" s="25" t="str">
        <f>IF(OR(E4590="",E4590="!!!",F4590="NEW"),"",INDEX(J$1:J4589,SUMPRODUCT(MAX(ROW(E$1:E4589)*(E4590=E$1:E4589)))))</f>
        <v> </v>
      </c>
      <c r="L4590" s="26"/>
    </row>
    <row r="4591" spans="1:12">
      <c r="A4591" s="20" t="s">
        <v>954</v>
      </c>
      <c r="B4591" s="27" t="s">
        <v>753</v>
      </c>
      <c r="C4591" s="27" t="s">
        <v>777</v>
      </c>
      <c r="D4591" s="27" t="s">
        <v>762</v>
      </c>
      <c r="E4591" s="21">
        <f>IF(D4591="?OLD","!!!","")</f>
        <v/>
      </c>
      <c r="F4591" s="22" t="str">
        <f>IF(OR(E4591="",E4591="!!!"),"",IF(NOT(ISNA(VLOOKUP(E4591,E$1:E4590,1,FALSE()))),"OLD",IF(AND(E4591&lt;&gt;"",E4591&lt;&gt;"!!!"),"NEW","")))</f>
        <v> </v>
      </c>
      <c r="G4591" s="23" t="str">
        <f>IF(OR(E4591="",E4591="!!!"),"",IF(OR(J4591=0,AND(J4591=1,K4591=1),AND(J4591=1,I4591="SBJ"),AND(J4591=1,I4591=0)),"?IN_FOCUS",IF(J4591&lt;=2,"?ACTIVATED",IF(J4591&lt;&gt;"","?FAMILIAR",IF(F4591="NEW",IF(ISNA(VLOOKUP(E4591,#REF!,1,FALSE())),"?TYPE_IDENTIFIABLE","?REFERENTIAL"),"_")))))</f>
        <v> </v>
      </c>
      <c r="H4591" s="24" t="str">
        <f>IF(J4591&lt;&gt;1,"",IF(I4591="SBJ","CB","?"))</f>
        <v> </v>
      </c>
      <c r="I4591" s="25" t="str">
        <f>IF(OR(E4591="",E4591="!!!",F4591="NEW"),"",INDEX(B4590:B$2,-1+SUMPRODUCT(MAX(ROW(E4590:E$2)*(E4591=E4590:E$2)))))</f>
        <v> </v>
      </c>
      <c r="J4591" s="25" t="str">
        <f>IF(OR(E4591="",E4591="!!!",F4591="NEW"),"",COUNTBLANK(OFFSET(A$1,,,SUMPRODUCT(MAX(ROW(E$2:E4591)*(E4591=E$2:E4591)))))-COUNTBLANK(OFFSET(A$1,,,SUMPRODUCT(MAX(ROW(E$1:E4590)*(E2=E$1:E4590))))))</f>
        <v> </v>
      </c>
      <c r="K4591" s="25" t="str">
        <f>IF(OR(E4591="",E4591="!!!",F4591="NEW"),"",INDEX(J$1:J4590,SUMPRODUCT(MAX(ROW(E$1:E4590)*(E4591=E$1:E4590)))))</f>
        <v> </v>
      </c>
      <c r="L4591" s="26"/>
    </row>
    <row r="4592" spans="1:12">
      <c r="A4592" s="20" t="s">
        <v>889</v>
      </c>
      <c r="B4592" s="27" t="s">
        <v>894</v>
      </c>
      <c r="E4592" s="21">
        <f>IF(D4592="?OLD","!!!","")</f>
        <v/>
      </c>
      <c r="F4592" s="22" t="str">
        <f>IF(OR(E4592="",E4592="!!!"),"",IF(NOT(ISNA(VLOOKUP(E4592,E$1:E4591,1,FALSE()))),"OLD",IF(AND(E4592&lt;&gt;"",E4592&lt;&gt;"!!!"),"NEW","")))</f>
        <v> </v>
      </c>
      <c r="G4592" s="23" t="str">
        <f>IF(OR(E4592="",E4592="!!!"),"",IF(OR(J4592=0,AND(J4592=1,K4592=1),AND(J4592=1,I4592="SBJ"),AND(J4592=1,I4592=0)),"?IN_FOCUS",IF(J4592&lt;=2,"?ACTIVATED",IF(J4592&lt;&gt;"","?FAMILIAR",IF(F4592="NEW",IF(ISNA(VLOOKUP(E4592,#REF!,1,FALSE())),"?TYPE_IDENTIFIABLE","?REFERENTIAL"),"_")))))</f>
        <v> </v>
      </c>
      <c r="H4592" s="24" t="str">
        <f>IF(J4592&lt;&gt;1,"",IF(I4592="SBJ","CB","?"))</f>
        <v> </v>
      </c>
      <c r="I4592" s="25" t="str">
        <f>IF(OR(E4592="",E4592="!!!",F4592="NEW"),"",INDEX(B4591:B$2,-1+SUMPRODUCT(MAX(ROW(E4591:E$2)*(E4592=E4591:E$2)))))</f>
        <v> </v>
      </c>
      <c r="J4592" s="25" t="str">
        <f>IF(OR(E4592="",E4592="!!!",F4592="NEW"),"",COUNTBLANK(OFFSET(A$1,,,SUMPRODUCT(MAX(ROW(E$2:E4592)*(E4592=E$2:E4592)))))-COUNTBLANK(OFFSET(A$1,,,SUMPRODUCT(MAX(ROW(E$1:E4591)*(E2=E$1:E4591))))))</f>
        <v> </v>
      </c>
      <c r="K4592" s="25" t="str">
        <f>IF(OR(E4592="",E4592="!!!",F4592="NEW"),"",INDEX(J$1:J4591,SUMPRODUCT(MAX(ROW(E$1:E4591)*(E4592=E$1:E4591)))))</f>
        <v> </v>
      </c>
      <c r="L4592" s="26"/>
    </row>
    <row r="4593" spans="1:12">
      <c r="A4593" s="20" t="s">
        <v>795</v>
      </c>
      <c r="B4593" s="27" t="s">
        <v>956</v>
      </c>
      <c r="C4593" s="27" t="s">
        <v>797</v>
      </c>
      <c r="D4593" s="27" t="s">
        <v>762</v>
      </c>
      <c r="E4593" s="21">
        <f>IF(D4593="?OLD","!!!","")</f>
        <v/>
      </c>
      <c r="F4593" s="22" t="str">
        <f>IF(OR(E4593="",E4593="!!!"),"",IF(NOT(ISNA(VLOOKUP(E4593,E$1:E4592,1,FALSE()))),"OLD",IF(AND(E4593&lt;&gt;"",E4593&lt;&gt;"!!!"),"NEW","")))</f>
        <v> </v>
      </c>
      <c r="G4593" s="23" t="str">
        <f>IF(OR(E4593="",E4593="!!!"),"",IF(OR(J4593=0,AND(J4593=1,K4593=1),AND(J4593=1,I4593="SBJ"),AND(J4593=1,I4593=0)),"?IN_FOCUS",IF(J4593&lt;=2,"?ACTIVATED",IF(J4593&lt;&gt;"","?FAMILIAR",IF(F4593="NEW",IF(ISNA(VLOOKUP(E4593,#REF!,1,FALSE())),"?TYPE_IDENTIFIABLE","?REFERENTIAL"),"_")))))</f>
        <v> </v>
      </c>
      <c r="H4593" s="24" t="str">
        <f>IF(J4593&lt;&gt;1,"",IF(I4593="SBJ","CB","?"))</f>
        <v> </v>
      </c>
      <c r="I4593" s="25" t="str">
        <f>IF(OR(E4593="",E4593="!!!",F4593="NEW"),"",INDEX(B4592:B$2,-1+SUMPRODUCT(MAX(ROW(E4592:E$2)*(E4593=E4592:E$2)))))</f>
        <v> </v>
      </c>
      <c r="J4593" s="25" t="str">
        <f>IF(OR(E4593="",E4593="!!!",F4593="NEW"),"",COUNTBLANK(OFFSET(A$1,,,SUMPRODUCT(MAX(ROW(E$2:E4593)*(E4593=E$2:E4593)))))-COUNTBLANK(OFFSET(A$1,,,SUMPRODUCT(MAX(ROW(E$1:E4592)*(E2=E$1:E4592))))))</f>
        <v> </v>
      </c>
      <c r="K4593" s="25" t="str">
        <f>IF(OR(E4593="",E4593="!!!",F4593="NEW"),"",INDEX(J$1:J4592,SUMPRODUCT(MAX(ROW(E$1:E4592)*(E4593=E$1:E4592)))))</f>
        <v> </v>
      </c>
      <c r="L4593" s="26"/>
    </row>
    <row r="4594" spans="1:12">
      <c r="A4594" s="20" t="s">
        <v>1783</v>
      </c>
      <c r="E4594" s="21">
        <f>IF(D4594="?OLD","!!!","")</f>
        <v/>
      </c>
      <c r="F4594" s="22" t="str">
        <f>IF(OR(E4594="",E4594="!!!"),"",IF(NOT(ISNA(VLOOKUP(E4594,E$1:E4593,1,FALSE()))),"OLD",IF(AND(E4594&lt;&gt;"",E4594&lt;&gt;"!!!"),"NEW","")))</f>
        <v> </v>
      </c>
      <c r="G4594" s="23" t="str">
        <f>IF(OR(E4594="",E4594="!!!"),"",IF(OR(J4594=0,AND(J4594=1,K4594=1),AND(J4594=1,I4594="SBJ"),AND(J4594=1,I4594=0)),"?IN_FOCUS",IF(J4594&lt;=2,"?ACTIVATED",IF(J4594&lt;&gt;"","?FAMILIAR",IF(F4594="NEW",IF(ISNA(VLOOKUP(E4594,#REF!,1,FALSE())),"?TYPE_IDENTIFIABLE","?REFERENTIAL"),"_")))))</f>
        <v> </v>
      </c>
      <c r="H4594" s="24" t="str">
        <f>IF(J4594&lt;&gt;1,"",IF(I4594="SBJ","CB","?"))</f>
        <v> </v>
      </c>
      <c r="I4594" s="25" t="str">
        <f>IF(OR(E4594="",E4594="!!!",F4594="NEW"),"",INDEX(B4593:B$2,-1+SUMPRODUCT(MAX(ROW(E4593:E$2)*(E4594=E4593:E$2)))))</f>
        <v> </v>
      </c>
      <c r="J4594" s="25" t="str">
        <f>IF(OR(E4594="",E4594="!!!",F4594="NEW"),"",COUNTBLANK(OFFSET(A$1,,,SUMPRODUCT(MAX(ROW(E$2:E4594)*(E4594=E$2:E4594)))))-COUNTBLANK(OFFSET(A$1,,,SUMPRODUCT(MAX(ROW(E$1:E4593)*(E2=E$1:E4593))))))</f>
        <v> </v>
      </c>
      <c r="K4594" s="25" t="str">
        <f>IF(OR(E4594="",E4594="!!!",F4594="NEW"),"",INDEX(J$1:J4593,SUMPRODUCT(MAX(ROW(E$1:E4593)*(E4594=E$1:E4593)))))</f>
        <v> </v>
      </c>
      <c r="L4594" s="26"/>
    </row>
    <row r="4595" spans="1:12">
      <c r="A4595" s="20" t="s">
        <v>421</v>
      </c>
      <c r="E4595" s="21">
        <f>IF(D4595="?OLD","!!!","")</f>
        <v/>
      </c>
      <c r="F4595" s="22" t="str">
        <f>IF(OR(E4595="",E4595="!!!"),"",IF(NOT(ISNA(VLOOKUP(E4595,E$1:E4594,1,FALSE()))),"OLD",IF(AND(E4595&lt;&gt;"",E4595&lt;&gt;"!!!"),"NEW","")))</f>
        <v> </v>
      </c>
      <c r="G4595" s="23" t="str">
        <f>IF(OR(E4595="",E4595="!!!"),"",IF(OR(J4595=0,AND(J4595=1,K4595=1),AND(J4595=1,I4595="SBJ"),AND(J4595=1,I4595=0)),"?IN_FOCUS",IF(J4595&lt;=2,"?ACTIVATED",IF(J4595&lt;&gt;"","?FAMILIAR",IF(F4595="NEW",IF(ISNA(VLOOKUP(E4595,#REF!,1,FALSE())),"?TYPE_IDENTIFIABLE","?REFERENTIAL"),"_")))))</f>
        <v> </v>
      </c>
      <c r="H4595" s="24" t="str">
        <f>IF(J4595&lt;&gt;1,"",IF(I4595="SBJ","CB","?"))</f>
        <v> </v>
      </c>
      <c r="I4595" s="25" t="str">
        <f>IF(OR(E4595="",E4595="!!!",F4595="NEW"),"",INDEX(B4594:B$2,-1+SUMPRODUCT(MAX(ROW(E4594:E$2)*(E4595=E4594:E$2)))))</f>
        <v> </v>
      </c>
      <c r="J4595" s="25" t="str">
        <f>IF(OR(E4595="",E4595="!!!",F4595="NEW"),"",COUNTBLANK(OFFSET(A$1,,,SUMPRODUCT(MAX(ROW(E$2:E4595)*(E4595=E$2:E4595)))))-COUNTBLANK(OFFSET(A$1,,,SUMPRODUCT(MAX(ROW(E$1:E4594)*(E2=E$1:E4594))))))</f>
        <v> </v>
      </c>
      <c r="K4595" s="25" t="str">
        <f>IF(OR(E4595="",E4595="!!!",F4595="NEW"),"",INDEX(J$1:J4594,SUMPRODUCT(MAX(ROW(E$1:E4594)*(E4595=E$1:E4594)))))</f>
        <v> </v>
      </c>
      <c r="L4595" s="26"/>
    </row>
    <row r="4596" spans="1:12">
      <c r="A4596" s="20" t="s">
        <v>822</v>
      </c>
      <c r="E4596" s="21">
        <f>IF(D4596="?OLD","!!!","")</f>
        <v/>
      </c>
      <c r="F4596" s="22" t="str">
        <f>IF(OR(E4596="",E4596="!!!"),"",IF(NOT(ISNA(VLOOKUP(E4596,E$1:E4595,1,FALSE()))),"OLD",IF(AND(E4596&lt;&gt;"",E4596&lt;&gt;"!!!"),"NEW","")))</f>
        <v> </v>
      </c>
      <c r="G4596" s="23" t="str">
        <f>IF(OR(E4596="",E4596="!!!"),"",IF(OR(J4596=0,AND(J4596=1,K4596=1),AND(J4596=1,I4596="SBJ"),AND(J4596=1,I4596=0)),"?IN_FOCUS",IF(J4596&lt;=2,"?ACTIVATED",IF(J4596&lt;&gt;"","?FAMILIAR",IF(F4596="NEW",IF(ISNA(VLOOKUP(E4596,#REF!,1,FALSE())),"?TYPE_IDENTIFIABLE","?REFERENTIAL"),"_")))))</f>
        <v> </v>
      </c>
      <c r="H4596" s="24" t="str">
        <f>IF(J4596&lt;&gt;1,"",IF(I4596="SBJ","CB","?"))</f>
        <v> </v>
      </c>
      <c r="I4596" s="25" t="str">
        <f>IF(OR(E4596="",E4596="!!!",F4596="NEW"),"",INDEX(B4595:B$2,-1+SUMPRODUCT(MAX(ROW(E4595:E$2)*(E4596=E4595:E$2)))))</f>
        <v> </v>
      </c>
      <c r="J4596" s="25" t="str">
        <f>IF(OR(E4596="",E4596="!!!",F4596="NEW"),"",COUNTBLANK(OFFSET(A$1,,,SUMPRODUCT(MAX(ROW(E$2:E4596)*(E4596=E$2:E4596)))))-COUNTBLANK(OFFSET(A$1,,,SUMPRODUCT(MAX(ROW(E$1:E4595)*(E2=E$1:E4595))))))</f>
        <v> </v>
      </c>
      <c r="K4596" s="25" t="str">
        <f>IF(OR(E4596="",E4596="!!!",F4596="NEW"),"",INDEX(J$1:J4595,SUMPRODUCT(MAX(ROW(E$1:E4595)*(E4596=E$1:E4595)))))</f>
        <v> </v>
      </c>
      <c r="L4596" s="26"/>
    </row>
    <row r="4597" spans="1:12">
      <c r="A4597" s="20" t="s">
        <v>1992</v>
      </c>
      <c r="B4597" s="27" t="s">
        <v>879</v>
      </c>
      <c r="C4597" s="27" t="s">
        <v>761</v>
      </c>
      <c r="D4597" s="27" t="s">
        <v>762</v>
      </c>
      <c r="E4597" s="21">
        <f>IF(D4597="?OLD","!!!","")</f>
        <v/>
      </c>
      <c r="F4597" s="22" t="str">
        <f>IF(OR(E4597="",E4597="!!!"),"",IF(NOT(ISNA(VLOOKUP(E4597,E$1:E4596,1,FALSE()))),"OLD",IF(AND(E4597&lt;&gt;"",E4597&lt;&gt;"!!!"),"NEW","")))</f>
        <v> </v>
      </c>
      <c r="G4597" s="23" t="str">
        <f>IF(OR(E4597="",E4597="!!!"),"",IF(OR(J4597=0,AND(J4597=1,K4597=1),AND(J4597=1,I4597="SBJ"),AND(J4597=1,I4597=0)),"?IN_FOCUS",IF(J4597&lt;=2,"?ACTIVATED",IF(J4597&lt;&gt;"","?FAMILIAR",IF(F4597="NEW",IF(ISNA(VLOOKUP(E4597,#REF!,1,FALSE())),"?TYPE_IDENTIFIABLE","?REFERENTIAL"),"_")))))</f>
        <v> </v>
      </c>
      <c r="H4597" s="24" t="str">
        <f>IF(J4597&lt;&gt;1,"",IF(I4597="SBJ","CB","?"))</f>
        <v> </v>
      </c>
      <c r="I4597" s="25" t="str">
        <f>IF(OR(E4597="",E4597="!!!",F4597="NEW"),"",INDEX(B4596:B$2,-1+SUMPRODUCT(MAX(ROW(E4596:E$2)*(E4597=E4596:E$2)))))</f>
        <v> </v>
      </c>
      <c r="J4597" s="25" t="str">
        <f>IF(OR(E4597="",E4597="!!!",F4597="NEW"),"",COUNTBLANK(OFFSET(A$1,,,SUMPRODUCT(MAX(ROW(E$2:E4597)*(E4597=E$2:E4597)))))-COUNTBLANK(OFFSET(A$1,,,SUMPRODUCT(MAX(ROW(E$1:E4596)*(E2=E$1:E4596))))))</f>
        <v> </v>
      </c>
      <c r="K4597" s="25" t="str">
        <f>IF(OR(E4597="",E4597="!!!",F4597="NEW"),"",INDEX(J$1:J4596,SUMPRODUCT(MAX(ROW(E$1:E4596)*(E4597=E$1:E4596)))))</f>
        <v> </v>
      </c>
      <c r="L4597" s="26"/>
    </row>
    <row r="4598" spans="1:12">
      <c r="A4598" s="20" t="s">
        <v>805</v>
      </c>
      <c r="E4598" s="21">
        <f>IF(D4598="?OLD","!!!","")</f>
        <v/>
      </c>
      <c r="F4598" s="22" t="str">
        <f>IF(OR(E4598="",E4598="!!!"),"",IF(NOT(ISNA(VLOOKUP(E4598,E$1:E4597,1,FALSE()))),"OLD",IF(AND(E4598&lt;&gt;"",E4598&lt;&gt;"!!!"),"NEW","")))</f>
        <v> </v>
      </c>
      <c r="G4598" s="23" t="str">
        <f>IF(OR(E4598="",E4598="!!!"),"",IF(OR(J4598=0,AND(J4598=1,K4598=1),AND(J4598=1,I4598="SBJ"),AND(J4598=1,I4598=0)),"?IN_FOCUS",IF(J4598&lt;=2,"?ACTIVATED",IF(J4598&lt;&gt;"","?FAMILIAR",IF(F4598="NEW",IF(ISNA(VLOOKUP(E4598,#REF!,1,FALSE())),"?TYPE_IDENTIFIABLE","?REFERENTIAL"),"_")))))</f>
        <v> </v>
      </c>
      <c r="H4598" s="24" t="str">
        <f>IF(J4598&lt;&gt;1,"",IF(I4598="SBJ","CB","?"))</f>
        <v> </v>
      </c>
      <c r="I4598" s="25" t="str">
        <f>IF(OR(E4598="",E4598="!!!",F4598="NEW"),"",INDEX(B4597:B$2,-1+SUMPRODUCT(MAX(ROW(E4597:E$2)*(E4598=E4597:E$2)))))</f>
        <v> </v>
      </c>
      <c r="J4598" s="25" t="str">
        <f>IF(OR(E4598="",E4598="!!!",F4598="NEW"),"",COUNTBLANK(OFFSET(A$1,,,SUMPRODUCT(MAX(ROW(E$2:E4598)*(E4598=E$2:E4598)))))-COUNTBLANK(OFFSET(A$1,,,SUMPRODUCT(MAX(ROW(E$1:E4597)*(E2=E$1:E4597))))))</f>
        <v> </v>
      </c>
      <c r="K4598" s="25" t="str">
        <f>IF(OR(E4598="",E4598="!!!",F4598="NEW"),"",INDEX(J$1:J4597,SUMPRODUCT(MAX(ROW(E$1:E4597)*(E4598=E$1:E4597)))))</f>
        <v> </v>
      </c>
      <c r="L4598" s="26"/>
    </row>
    <row r="4599" spans="1:12">
      <c r="A4599" s="20" t="s">
        <v>779</v>
      </c>
      <c r="E4599" s="21">
        <f>IF(D4599="?OLD","!!!","")</f>
        <v/>
      </c>
      <c r="F4599" s="22" t="str">
        <f>IF(OR(E4599="",E4599="!!!"),"",IF(NOT(ISNA(VLOOKUP(E4599,E$1:E4598,1,FALSE()))),"OLD",IF(AND(E4599&lt;&gt;"",E4599&lt;&gt;"!!!"),"NEW","")))</f>
        <v> </v>
      </c>
      <c r="G4599" s="23" t="str">
        <f>IF(OR(E4599="",E4599="!!!"),"",IF(OR(J4599=0,AND(J4599=1,K4599=1),AND(J4599=1,I4599="SBJ"),AND(J4599=1,I4599=0)),"?IN_FOCUS",IF(J4599&lt;=2,"?ACTIVATED",IF(J4599&lt;&gt;"","?FAMILIAR",IF(F4599="NEW",IF(ISNA(VLOOKUP(E4599,#REF!,1,FALSE())),"?TYPE_IDENTIFIABLE","?REFERENTIAL"),"_")))))</f>
        <v> </v>
      </c>
      <c r="H4599" s="24" t="str">
        <f>IF(J4599&lt;&gt;1,"",IF(I4599="SBJ","CB","?"))</f>
        <v> </v>
      </c>
      <c r="I4599" s="25" t="str">
        <f>IF(OR(E4599="",E4599="!!!",F4599="NEW"),"",INDEX(B4598:B$2,-1+SUMPRODUCT(MAX(ROW(E4598:E$2)*(E4599=E4598:E$2)))))</f>
        <v> </v>
      </c>
      <c r="J4599" s="25" t="str">
        <f>IF(OR(E4599="",E4599="!!!",F4599="NEW"),"",COUNTBLANK(OFFSET(A$1,,,SUMPRODUCT(MAX(ROW(E$2:E4599)*(E4599=E$2:E4599)))))-COUNTBLANK(OFFSET(A$1,,,SUMPRODUCT(MAX(ROW(E$1:E4598)*(E2=E$1:E4598))))))</f>
        <v> </v>
      </c>
      <c r="K4599" s="25" t="str">
        <f>IF(OR(E4599="",E4599="!!!",F4599="NEW"),"",INDEX(J$1:J4598,SUMPRODUCT(MAX(ROW(E$1:E4598)*(E4599=E$1:E4598)))))</f>
        <v> </v>
      </c>
      <c r="L4599" s="26"/>
    </row>
    <row r="4600" spans="1:12">
      <c r="A4600" s="20" t="s">
        <v>2005</v>
      </c>
      <c r="B4600" s="27" t="s">
        <v>901</v>
      </c>
      <c r="C4600" s="27" t="s">
        <v>768</v>
      </c>
      <c r="E4600" s="21">
        <f>IF(D4600="?OLD","!!!","")</f>
        <v/>
      </c>
      <c r="F4600" s="22" t="str">
        <f>IF(OR(E4600="",E4600="!!!"),"",IF(NOT(ISNA(VLOOKUP(E4600,E$1:E4599,1,FALSE()))),"OLD",IF(AND(E4600&lt;&gt;"",E4600&lt;&gt;"!!!"),"NEW","")))</f>
        <v> </v>
      </c>
      <c r="G4600" s="23" t="str">
        <f>IF(OR(E4600="",E4600="!!!"),"",IF(OR(J4600=0,AND(J4600=1,K4600=1),AND(J4600=1,I4600="SBJ"),AND(J4600=1,I4600=0)),"?IN_FOCUS",IF(J4600&lt;=2,"?ACTIVATED",IF(J4600&lt;&gt;"","?FAMILIAR",IF(F4600="NEW",IF(ISNA(VLOOKUP(E4600,#REF!,1,FALSE())),"?TYPE_IDENTIFIABLE","?REFERENTIAL"),"_")))))</f>
        <v> </v>
      </c>
      <c r="H4600" s="24" t="str">
        <f>IF(J4600&lt;&gt;1,"",IF(I4600="SBJ","CB","?"))</f>
        <v> </v>
      </c>
      <c r="I4600" s="25" t="str">
        <f>IF(OR(E4600="",E4600="!!!",F4600="NEW"),"",INDEX(B4599:B$2,-1+SUMPRODUCT(MAX(ROW(E4599:E$2)*(E4600=E4599:E$2)))))</f>
        <v> </v>
      </c>
      <c r="J4600" s="25" t="str">
        <f>IF(OR(E4600="",E4600="!!!",F4600="NEW"),"",COUNTBLANK(OFFSET(A$1,,,SUMPRODUCT(MAX(ROW(E$2:E4600)*(E4600=E$2:E4600)))))-COUNTBLANK(OFFSET(A$1,,,SUMPRODUCT(MAX(ROW(E$1:E4599)*(E2=E$1:E4599))))))</f>
        <v> </v>
      </c>
      <c r="K4600" s="25" t="str">
        <f>IF(OR(E4600="",E4600="!!!",F4600="NEW"),"",INDEX(J$1:J4599,SUMPRODUCT(MAX(ROW(E$1:E4599)*(E4600=E$1:E4599)))))</f>
        <v> </v>
      </c>
      <c r="L4600" s="26"/>
    </row>
    <row r="4601" spans="1:12">
      <c r="A4601" s="20" t="s">
        <v>774</v>
      </c>
      <c r="E4601" s="21">
        <f>IF(D4601="?OLD","!!!","")</f>
        <v/>
      </c>
      <c r="F4601" s="22" t="str">
        <f>IF(OR(E4601="",E4601="!!!"),"",IF(NOT(ISNA(VLOOKUP(E4601,E$1:E4600,1,FALSE()))),"OLD",IF(AND(E4601&lt;&gt;"",E4601&lt;&gt;"!!!"),"NEW","")))</f>
        <v> </v>
      </c>
      <c r="G4601" s="23" t="str">
        <f>IF(OR(E4601="",E4601="!!!"),"",IF(OR(J4601=0,AND(J4601=1,K4601=1),AND(J4601=1,I4601="SBJ"),AND(J4601=1,I4601=0)),"?IN_FOCUS",IF(J4601&lt;=2,"?ACTIVATED",IF(J4601&lt;&gt;"","?FAMILIAR",IF(F4601="NEW",IF(ISNA(VLOOKUP(E4601,#REF!,1,FALSE())),"?TYPE_IDENTIFIABLE","?REFERENTIAL"),"_")))))</f>
        <v> </v>
      </c>
      <c r="H4601" s="24" t="str">
        <f>IF(J4601&lt;&gt;1,"",IF(I4601="SBJ","CB","?"))</f>
        <v> </v>
      </c>
      <c r="I4601" s="25" t="str">
        <f>IF(OR(E4601="",E4601="!!!",F4601="NEW"),"",INDEX(B4600:B$2,-1+SUMPRODUCT(MAX(ROW(E4600:E$2)*(E4601=E4600:E$2)))))</f>
        <v> </v>
      </c>
      <c r="J4601" s="25" t="str">
        <f>IF(OR(E4601="",E4601="!!!",F4601="NEW"),"",COUNTBLANK(OFFSET(A$1,,,SUMPRODUCT(MAX(ROW(E$2:E4601)*(E4601=E$2:E4601)))))-COUNTBLANK(OFFSET(A$1,,,SUMPRODUCT(MAX(ROW(E$1:E4600)*(E2=E$1:E4600))))))</f>
        <v> </v>
      </c>
      <c r="K4601" s="25" t="str">
        <f>IF(OR(E4601="",E4601="!!!",F4601="NEW"),"",INDEX(J$1:J4600,SUMPRODUCT(MAX(ROW(E$1:E4600)*(E4601=E$1:E4600)))))</f>
        <v> </v>
      </c>
      <c r="L4601" s="26"/>
    </row>
    <row r="4602" spans="1:12">
      <c r="A4602" s="20"/>
    </row>
    <row r="4603" spans="1:12">
      <c r="A4603" s="20" t="s">
        <v>2006</v>
      </c>
    </row>
    <row r="4604" spans="1:12">
      <c r="A4604" s="20" t="s">
        <v>1058</v>
      </c>
      <c r="E4604" s="21">
        <f>IF(D4604="?OLD","!!!","")</f>
        <v/>
      </c>
      <c r="F4604" s="22" t="str">
        <f>IF(OR(E4604="",E4604="!!!"),"",IF(NOT(ISNA(VLOOKUP(E4604,E$1:E4603,1,FALSE()))),"OLD",IF(AND(E4604&lt;&gt;"",E4604&lt;&gt;"!!!"),"NEW","")))</f>
        <v> </v>
      </c>
      <c r="G4604" s="23" t="str">
        <f>IF(OR(E4604="",E4604="!!!"),"",IF(OR(J4604=0,AND(J4604=1,K4604=1),AND(J4604=1,I4604="SBJ"),AND(J4604=1,I4604=0)),"?IN_FOCUS",IF(J4604&lt;=2,"?ACTIVATED",IF(J4604&lt;&gt;"","?FAMILIAR",IF(F4604="NEW",IF(ISNA(VLOOKUP(E4604,#REF!,1,FALSE())),"?TYPE_IDENTIFIABLE","?REFERENTIAL"),"_")))))</f>
        <v> </v>
      </c>
      <c r="H4604" s="24" t="str">
        <f>IF(J4604&lt;&gt;1,"",IF(I4604="SBJ","CB","?"))</f>
        <v> </v>
      </c>
      <c r="I4604" s="25" t="str">
        <f>IF(OR(E4604="",E4604="!!!",F4604="NEW"),"",INDEX(B4603:B$2,-1+SUMPRODUCT(MAX(ROW(E4603:E$2)*(E4604=E4603:E$2)))))</f>
        <v> </v>
      </c>
      <c r="J4604" s="25" t="str">
        <f>IF(OR(E4604="",E4604="!!!",F4604="NEW"),"",COUNTBLANK(OFFSET(A$1,,,SUMPRODUCT(MAX(ROW(E$2:E4604)*(E4604=E$2:E4604)))))-COUNTBLANK(OFFSET(A$1,,,SUMPRODUCT(MAX(ROW(E$1:E4603)*(E2=E$1:E4603))))))</f>
        <v> </v>
      </c>
      <c r="K4604" s="25" t="str">
        <f>IF(OR(E4604="",E4604="!!!",F4604="NEW"),"",INDEX(J$1:J4603,SUMPRODUCT(MAX(ROW(E$1:E4603)*(E4604=E$1:E4603)))))</f>
        <v> </v>
      </c>
      <c r="L4604" s="26"/>
    </row>
    <row r="4605" spans="1:12">
      <c r="A4605" s="20" t="s">
        <v>889</v>
      </c>
      <c r="E4605" s="21">
        <f>IF(D4605="?OLD","!!!","")</f>
        <v/>
      </c>
      <c r="F4605" s="22" t="str">
        <f>IF(OR(E4605="",E4605="!!!"),"",IF(NOT(ISNA(VLOOKUP(E4605,E$1:E4604,1,FALSE()))),"OLD",IF(AND(E4605&lt;&gt;"",E4605&lt;&gt;"!!!"),"NEW","")))</f>
        <v> </v>
      </c>
      <c r="G4605" s="23" t="str">
        <f>IF(OR(E4605="",E4605="!!!"),"",IF(OR(J4605=0,AND(J4605=1,K4605=1),AND(J4605=1,I4605="SBJ"),AND(J4605=1,I4605=0)),"?IN_FOCUS",IF(J4605&lt;=2,"?ACTIVATED",IF(J4605&lt;&gt;"","?FAMILIAR",IF(F4605="NEW",IF(ISNA(VLOOKUP(E4605,#REF!,1,FALSE())),"?TYPE_IDENTIFIABLE","?REFERENTIAL"),"_")))))</f>
        <v> </v>
      </c>
      <c r="H4605" s="24" t="str">
        <f>IF(J4605&lt;&gt;1,"",IF(I4605="SBJ","CB","?"))</f>
        <v> </v>
      </c>
      <c r="I4605" s="25" t="str">
        <f>IF(OR(E4605="",E4605="!!!",F4605="NEW"),"",INDEX(B4604:B$2,-1+SUMPRODUCT(MAX(ROW(E4604:E$2)*(E4605=E4604:E$2)))))</f>
        <v> </v>
      </c>
      <c r="J4605" s="25" t="str">
        <f>IF(OR(E4605="",E4605="!!!",F4605="NEW"),"",COUNTBLANK(OFFSET(A$1,,,SUMPRODUCT(MAX(ROW(E$2:E4605)*(E4605=E$2:E4605)))))-COUNTBLANK(OFFSET(A$1,,,SUMPRODUCT(MAX(ROW(E$1:E4604)*(E2=E$1:E4604))))))</f>
        <v> </v>
      </c>
      <c r="K4605" s="25" t="str">
        <f>IF(OR(E4605="",E4605="!!!",F4605="NEW"),"",INDEX(J$1:J4604,SUMPRODUCT(MAX(ROW(E$1:E4604)*(E4605=E$1:E4604)))))</f>
        <v> </v>
      </c>
      <c r="L4605" s="26"/>
    </row>
    <row r="4606" spans="1:12">
      <c r="A4606" s="20" t="s">
        <v>795</v>
      </c>
      <c r="B4606" s="27" t="s">
        <v>796</v>
      </c>
      <c r="C4606" s="27" t="s">
        <v>797</v>
      </c>
      <c r="D4606" s="27" t="s">
        <v>762</v>
      </c>
      <c r="E4606" s="21">
        <f>IF(D4606="?OLD","!!!","")</f>
        <v/>
      </c>
      <c r="F4606" s="22" t="str">
        <f>IF(OR(E4606="",E4606="!!!"),"",IF(NOT(ISNA(VLOOKUP(E4606,E$1:E4605,1,FALSE()))),"OLD",IF(AND(E4606&lt;&gt;"",E4606&lt;&gt;"!!!"),"NEW","")))</f>
        <v> </v>
      </c>
      <c r="G4606" s="23" t="str">
        <f>IF(OR(E4606="",E4606="!!!"),"",IF(OR(J4606=0,AND(J4606=1,K4606=1),AND(J4606=1,I4606="SBJ"),AND(J4606=1,I4606=0)),"?IN_FOCUS",IF(J4606&lt;=2,"?ACTIVATED",IF(J4606&lt;&gt;"","?FAMILIAR",IF(F4606="NEW",IF(ISNA(VLOOKUP(E4606,#REF!,1,FALSE())),"?TYPE_IDENTIFIABLE","?REFERENTIAL"),"_")))))</f>
        <v> </v>
      </c>
      <c r="H4606" s="24" t="str">
        <f>IF(J4606&lt;&gt;1,"",IF(I4606="SBJ","CB","?"))</f>
        <v> </v>
      </c>
      <c r="I4606" s="25" t="str">
        <f>IF(OR(E4606="",E4606="!!!",F4606="NEW"),"",INDEX(B4605:B$2,-1+SUMPRODUCT(MAX(ROW(E4605:E$2)*(E4606=E4605:E$2)))))</f>
        <v> </v>
      </c>
      <c r="J4606" s="25" t="str">
        <f>IF(OR(E4606="",E4606="!!!",F4606="NEW"),"",COUNTBLANK(OFFSET(A$1,,,SUMPRODUCT(MAX(ROW(E$2:E4606)*(E4606=E$2:E4606)))))-COUNTBLANK(OFFSET(A$1,,,SUMPRODUCT(MAX(ROW(E$1:E4605)*(E2=E$1:E4605))))))</f>
        <v> </v>
      </c>
      <c r="K4606" s="25" t="str">
        <f>IF(OR(E4606="",E4606="!!!",F4606="NEW"),"",INDEX(J$1:J4605,SUMPRODUCT(MAX(ROW(E$1:E4605)*(E4606=E$1:E4605)))))</f>
        <v> </v>
      </c>
      <c r="L4606" s="26"/>
    </row>
    <row r="4607" spans="1:12">
      <c r="A4607" s="20" t="s">
        <v>975</v>
      </c>
      <c r="B4607" s="27" t="s">
        <v>802</v>
      </c>
      <c r="C4607" s="27" t="s">
        <v>797</v>
      </c>
      <c r="D4607" s="27" t="s">
        <v>762</v>
      </c>
      <c r="E4607" s="21">
        <f>IF(D4607="?OLD","!!!","")</f>
        <v/>
      </c>
      <c r="F4607" s="22" t="str">
        <f>IF(OR(E4607="",E4607="!!!"),"",IF(NOT(ISNA(VLOOKUP(E4607,E$1:E4606,1,FALSE()))),"OLD",IF(AND(E4607&lt;&gt;"",E4607&lt;&gt;"!!!"),"NEW","")))</f>
        <v> </v>
      </c>
      <c r="G4607" s="23" t="str">
        <f>IF(OR(E4607="",E4607="!!!"),"",IF(OR(J4607=0,AND(J4607=1,K4607=1),AND(J4607=1,I4607="SBJ"),AND(J4607=1,I4607=0)),"?IN_FOCUS",IF(J4607&lt;=2,"?ACTIVATED",IF(J4607&lt;&gt;"","?FAMILIAR",IF(F4607="NEW",IF(ISNA(VLOOKUP(E4607,#REF!,1,FALSE())),"?TYPE_IDENTIFIABLE","?REFERENTIAL"),"_")))))</f>
        <v> </v>
      </c>
      <c r="H4607" s="24" t="str">
        <f>IF(J4607&lt;&gt;1,"",IF(I4607="SBJ","CB","?"))</f>
        <v> </v>
      </c>
      <c r="I4607" s="25" t="str">
        <f>IF(OR(E4607="",E4607="!!!",F4607="NEW"),"",INDEX(B4606:B$2,-1+SUMPRODUCT(MAX(ROW(E4606:E$2)*(E4607=E4606:E$2)))))</f>
        <v> </v>
      </c>
      <c r="J4607" s="25" t="str">
        <f>IF(OR(E4607="",E4607="!!!",F4607="NEW"),"",COUNTBLANK(OFFSET(A$1,,,SUMPRODUCT(MAX(ROW(E$2:E4607)*(E4607=E$2:E4607)))))-COUNTBLANK(OFFSET(A$1,,,SUMPRODUCT(MAX(ROW(E$1:E4606)*(E2=E$1:E4606))))))</f>
        <v> </v>
      </c>
      <c r="K4607" s="25" t="str">
        <f>IF(OR(E4607="",E4607="!!!",F4607="NEW"),"",INDEX(J$1:J4606,SUMPRODUCT(MAX(ROW(E$1:E4606)*(E4607=E$1:E4606)))))</f>
        <v> </v>
      </c>
      <c r="L4607" s="26"/>
    </row>
    <row r="4608" spans="1:12">
      <c r="A4608" s="20" t="s">
        <v>936</v>
      </c>
      <c r="E4608" s="21">
        <f>IF(D4608="?OLD","!!!","")</f>
        <v/>
      </c>
      <c r="F4608" s="22" t="str">
        <f>IF(OR(E4608="",E4608="!!!"),"",IF(NOT(ISNA(VLOOKUP(E4608,E$1:E4607,1,FALSE()))),"OLD",IF(AND(E4608&lt;&gt;"",E4608&lt;&gt;"!!!"),"NEW","")))</f>
        <v> </v>
      </c>
      <c r="G4608" s="23" t="str">
        <f>IF(OR(E4608="",E4608="!!!"),"",IF(OR(J4608=0,AND(J4608=1,K4608=1),AND(J4608=1,I4608="SBJ"),AND(J4608=1,I4608=0)),"?IN_FOCUS",IF(J4608&lt;=2,"?ACTIVATED",IF(J4608&lt;&gt;"","?FAMILIAR",IF(F4608="NEW",IF(ISNA(VLOOKUP(E4608,#REF!,1,FALSE())),"?TYPE_IDENTIFIABLE","?REFERENTIAL"),"_")))))</f>
        <v> </v>
      </c>
      <c r="H4608" s="24" t="str">
        <f>IF(J4608&lt;&gt;1,"",IF(I4608="SBJ","CB","?"))</f>
        <v> </v>
      </c>
      <c r="I4608" s="25" t="str">
        <f>IF(OR(E4608="",E4608="!!!",F4608="NEW"),"",INDEX(B4607:B$2,-1+SUMPRODUCT(MAX(ROW(E4607:E$2)*(E4608=E4607:E$2)))))</f>
        <v> </v>
      </c>
      <c r="J4608" s="25" t="str">
        <f>IF(OR(E4608="",E4608="!!!",F4608="NEW"),"",COUNTBLANK(OFFSET(A$1,,,SUMPRODUCT(MAX(ROW(E$2:E4608)*(E4608=E$2:E4608)))))-COUNTBLANK(OFFSET(A$1,,,SUMPRODUCT(MAX(ROW(E$1:E4607)*(E2=E$1:E4607))))))</f>
        <v> </v>
      </c>
      <c r="K4608" s="25" t="str">
        <f>IF(OR(E4608="",E4608="!!!",F4608="NEW"),"",INDEX(J$1:J4607,SUMPRODUCT(MAX(ROW(E$1:E4607)*(E4608=E$1:E4607)))))</f>
        <v> </v>
      </c>
      <c r="L4608" s="26"/>
    </row>
    <row r="4609" spans="1:12">
      <c r="A4609" s="20" t="s">
        <v>1115</v>
      </c>
      <c r="E4609" s="21">
        <f>IF(D4609="?OLD","!!!","")</f>
        <v/>
      </c>
      <c r="F4609" s="22" t="str">
        <f>IF(OR(E4609="",E4609="!!!"),"",IF(NOT(ISNA(VLOOKUP(E4609,E$1:E4608,1,FALSE()))),"OLD",IF(AND(E4609&lt;&gt;"",E4609&lt;&gt;"!!!"),"NEW","")))</f>
        <v> </v>
      </c>
      <c r="G4609" s="23" t="str">
        <f>IF(OR(E4609="",E4609="!!!"),"",IF(OR(J4609=0,AND(J4609=1,K4609=1),AND(J4609=1,I4609="SBJ"),AND(J4609=1,I4609=0)),"?IN_FOCUS",IF(J4609&lt;=2,"?ACTIVATED",IF(J4609&lt;&gt;"","?FAMILIAR",IF(F4609="NEW",IF(ISNA(VLOOKUP(E4609,#REF!,1,FALSE())),"?TYPE_IDENTIFIABLE","?REFERENTIAL"),"_")))))</f>
        <v> </v>
      </c>
      <c r="H4609" s="24" t="str">
        <f>IF(J4609&lt;&gt;1,"",IF(I4609="SBJ","CB","?"))</f>
        <v> </v>
      </c>
      <c r="I4609" s="25" t="str">
        <f>IF(OR(E4609="",E4609="!!!",F4609="NEW"),"",INDEX(B4608:B$2,-1+SUMPRODUCT(MAX(ROW(E4608:E$2)*(E4609=E4608:E$2)))))</f>
        <v> </v>
      </c>
      <c r="J4609" s="25" t="str">
        <f>IF(OR(E4609="",E4609="!!!",F4609="NEW"),"",COUNTBLANK(OFFSET(A$1,,,SUMPRODUCT(MAX(ROW(E$2:E4609)*(E4609=E$2:E4609)))))-COUNTBLANK(OFFSET(A$1,,,SUMPRODUCT(MAX(ROW(E$1:E4608)*(E2=E$1:E4608))))))</f>
        <v> </v>
      </c>
      <c r="K4609" s="25" t="str">
        <f>IF(OR(E4609="",E4609="!!!",F4609="NEW"),"",INDEX(J$1:J4608,SUMPRODUCT(MAX(ROW(E$1:E4608)*(E4609=E$1:E4608)))))</f>
        <v> </v>
      </c>
      <c r="L4609" s="26"/>
    </row>
    <row r="4610" spans="1:12">
      <c r="A4610" s="20" t="s">
        <v>959</v>
      </c>
      <c r="B4610" s="27" t="s">
        <v>802</v>
      </c>
      <c r="C4610" s="27" t="s">
        <v>777</v>
      </c>
      <c r="D4610" s="27" t="s">
        <v>762</v>
      </c>
      <c r="E4610" s="21">
        <f>IF(D4610="?OLD","!!!","")</f>
        <v/>
      </c>
      <c r="F4610" s="22" t="str">
        <f>IF(OR(E4610="",E4610="!!!"),"",IF(NOT(ISNA(VLOOKUP(E4610,E$1:E4609,1,FALSE()))),"OLD",IF(AND(E4610&lt;&gt;"",E4610&lt;&gt;"!!!"),"NEW","")))</f>
        <v> </v>
      </c>
      <c r="G4610" s="23" t="str">
        <f>IF(OR(E4610="",E4610="!!!"),"",IF(OR(J4610=0,AND(J4610=1,K4610=1),AND(J4610=1,I4610="SBJ"),AND(J4610=1,I4610=0)),"?IN_FOCUS",IF(J4610&lt;=2,"?ACTIVATED",IF(J4610&lt;&gt;"","?FAMILIAR",IF(F4610="NEW",IF(ISNA(VLOOKUP(E4610,#REF!,1,FALSE())),"?TYPE_IDENTIFIABLE","?REFERENTIAL"),"_")))))</f>
        <v> </v>
      </c>
      <c r="H4610" s="24" t="str">
        <f>IF(J4610&lt;&gt;1,"",IF(I4610="SBJ","CB","?"))</f>
        <v> </v>
      </c>
      <c r="I4610" s="25" t="str">
        <f>IF(OR(E4610="",E4610="!!!",F4610="NEW"),"",INDEX(B4609:B$2,-1+SUMPRODUCT(MAX(ROW(E4609:E$2)*(E4610=E4609:E$2)))))</f>
        <v> </v>
      </c>
      <c r="J4610" s="25" t="str">
        <f>IF(OR(E4610="",E4610="!!!",F4610="NEW"),"",COUNTBLANK(OFFSET(A$1,,,SUMPRODUCT(MAX(ROW(E$2:E4610)*(E4610=E$2:E4610)))))-COUNTBLANK(OFFSET(A$1,,,SUMPRODUCT(MAX(ROW(E$1:E4609)*(E2=E$1:E4609))))))</f>
        <v> </v>
      </c>
      <c r="K4610" s="25" t="str">
        <f>IF(OR(E4610="",E4610="!!!",F4610="NEW"),"",INDEX(J$1:J4609,SUMPRODUCT(MAX(ROW(E$1:E4609)*(E4610=E$1:E4609)))))</f>
        <v> </v>
      </c>
      <c r="L4610" s="26"/>
    </row>
    <row r="4611" spans="1:12">
      <c r="A4611" s="20" t="s">
        <v>757</v>
      </c>
      <c r="E4611" s="21">
        <f>IF(D4611="?OLD","!!!","")</f>
        <v/>
      </c>
      <c r="F4611" s="22" t="str">
        <f>IF(OR(E4611="",E4611="!!!"),"",IF(NOT(ISNA(VLOOKUP(E4611,E$1:E4610,1,FALSE()))),"OLD",IF(AND(E4611&lt;&gt;"",E4611&lt;&gt;"!!!"),"NEW","")))</f>
        <v> </v>
      </c>
      <c r="G4611" s="23" t="str">
        <f>IF(OR(E4611="",E4611="!!!"),"",IF(OR(J4611=0,AND(J4611=1,K4611=1),AND(J4611=1,I4611="SBJ"),AND(J4611=1,I4611=0)),"?IN_FOCUS",IF(J4611&lt;=2,"?ACTIVATED",IF(J4611&lt;&gt;"","?FAMILIAR",IF(F4611="NEW",IF(ISNA(VLOOKUP(E4611,#REF!,1,FALSE())),"?TYPE_IDENTIFIABLE","?REFERENTIAL"),"_")))))</f>
        <v> </v>
      </c>
      <c r="H4611" s="24" t="str">
        <f>IF(J4611&lt;&gt;1,"",IF(I4611="SBJ","CB","?"))</f>
        <v> </v>
      </c>
      <c r="I4611" s="25" t="str">
        <f>IF(OR(E4611="",E4611="!!!",F4611="NEW"),"",INDEX(B4610:B$2,-1+SUMPRODUCT(MAX(ROW(E4610:E$2)*(E4611=E4610:E$2)))))</f>
        <v> </v>
      </c>
      <c r="J4611" s="25" t="str">
        <f>IF(OR(E4611="",E4611="!!!",F4611="NEW"),"",COUNTBLANK(OFFSET(A$1,,,SUMPRODUCT(MAX(ROW(E$2:E4611)*(E4611=E$2:E4611)))))-COUNTBLANK(OFFSET(A$1,,,SUMPRODUCT(MAX(ROW(E$1:E4610)*(E2=E$1:E4610))))))</f>
        <v> </v>
      </c>
      <c r="K4611" s="25" t="str">
        <f>IF(OR(E4611="",E4611="!!!",F4611="NEW"),"",INDEX(J$1:J4610,SUMPRODUCT(MAX(ROW(E$1:E4610)*(E4611=E$1:E4610)))))</f>
        <v> </v>
      </c>
      <c r="L4611" s="26"/>
    </row>
    <row r="4612" spans="1:12">
      <c r="A4612" s="20" t="s">
        <v>869</v>
      </c>
      <c r="B4612" s="27" t="s">
        <v>760</v>
      </c>
      <c r="C4612" s="27" t="s">
        <v>797</v>
      </c>
      <c r="D4612" s="27" t="s">
        <v>762</v>
      </c>
      <c r="E4612" s="21">
        <f>IF(D4612="?OLD","!!!","")</f>
        <v/>
      </c>
      <c r="F4612" s="22" t="str">
        <f>IF(OR(E4612="",E4612="!!!"),"",IF(NOT(ISNA(VLOOKUP(E4612,E$1:E4611,1,FALSE()))),"OLD",IF(AND(E4612&lt;&gt;"",E4612&lt;&gt;"!!!"),"NEW","")))</f>
        <v> </v>
      </c>
      <c r="G4612" s="23" t="str">
        <f>IF(OR(E4612="",E4612="!!!"),"",IF(OR(J4612=0,AND(J4612=1,K4612=1),AND(J4612=1,I4612="SBJ"),AND(J4612=1,I4612=0)),"?IN_FOCUS",IF(J4612&lt;=2,"?ACTIVATED",IF(J4612&lt;&gt;"","?FAMILIAR",IF(F4612="NEW",IF(ISNA(VLOOKUP(E4612,#REF!,1,FALSE())),"?TYPE_IDENTIFIABLE","?REFERENTIAL"),"_")))))</f>
        <v> </v>
      </c>
      <c r="H4612" s="24" t="str">
        <f>IF(J4612&lt;&gt;1,"",IF(I4612="SBJ","CB","?"))</f>
        <v> </v>
      </c>
      <c r="I4612" s="25" t="str">
        <f>IF(OR(E4612="",E4612="!!!",F4612="NEW"),"",INDEX(B4611:B$2,-1+SUMPRODUCT(MAX(ROW(E4611:E$2)*(E4612=E4611:E$2)))))</f>
        <v> </v>
      </c>
      <c r="J4612" s="25" t="str">
        <f>IF(OR(E4612="",E4612="!!!",F4612="NEW"),"",COUNTBLANK(OFFSET(A$1,,,SUMPRODUCT(MAX(ROW(E$2:E4612)*(E4612=E$2:E4612)))))-COUNTBLANK(OFFSET(A$1,,,SUMPRODUCT(MAX(ROW(E$1:E4611)*(E2=E$1:E4611))))))</f>
        <v> </v>
      </c>
      <c r="K4612" s="25" t="str">
        <f>IF(OR(E4612="",E4612="!!!",F4612="NEW"),"",INDEX(J$1:J4611,SUMPRODUCT(MAX(ROW(E$1:E4611)*(E4612=E$1:E4611)))))</f>
        <v> </v>
      </c>
      <c r="L4612" s="26"/>
    </row>
    <row r="4613" spans="1:12">
      <c r="A4613" s="20" t="s">
        <v>2007</v>
      </c>
      <c r="E4613" s="21">
        <f>IF(D4613="?OLD","!!!","")</f>
        <v/>
      </c>
      <c r="F4613" s="22" t="str">
        <f>IF(OR(E4613="",E4613="!!!"),"",IF(NOT(ISNA(VLOOKUP(E4613,E$1:E4612,1,FALSE()))),"OLD",IF(AND(E4613&lt;&gt;"",E4613&lt;&gt;"!!!"),"NEW","")))</f>
        <v> </v>
      </c>
      <c r="G4613" s="23" t="str">
        <f>IF(OR(E4613="",E4613="!!!"),"",IF(OR(J4613=0,AND(J4613=1,K4613=1),AND(J4613=1,I4613="SBJ"),AND(J4613=1,I4613=0)),"?IN_FOCUS",IF(J4613&lt;=2,"?ACTIVATED",IF(J4613&lt;&gt;"","?FAMILIAR",IF(F4613="NEW",IF(ISNA(VLOOKUP(E4613,#REF!,1,FALSE())),"?TYPE_IDENTIFIABLE","?REFERENTIAL"),"_")))))</f>
        <v> </v>
      </c>
      <c r="H4613" s="24" t="str">
        <f>IF(J4613&lt;&gt;1,"",IF(I4613="SBJ","CB","?"))</f>
        <v> </v>
      </c>
      <c r="I4613" s="25" t="str">
        <f>IF(OR(E4613="",E4613="!!!",F4613="NEW"),"",INDEX(B4612:B$2,-1+SUMPRODUCT(MAX(ROW(E4612:E$2)*(E4613=E4612:E$2)))))</f>
        <v> </v>
      </c>
      <c r="J4613" s="25" t="str">
        <f>IF(OR(E4613="",E4613="!!!",F4613="NEW"),"",COUNTBLANK(OFFSET(A$1,,,SUMPRODUCT(MAX(ROW(E$2:E4613)*(E4613=E$2:E4613)))))-COUNTBLANK(OFFSET(A$1,,,SUMPRODUCT(MAX(ROW(E$1:E4612)*(E2=E$1:E4612))))))</f>
        <v> </v>
      </c>
      <c r="K4613" s="25" t="str">
        <f>IF(OR(E4613="",E4613="!!!",F4613="NEW"),"",INDEX(J$1:J4612,SUMPRODUCT(MAX(ROW(E$1:E4612)*(E4613=E$1:E4612)))))</f>
        <v> </v>
      </c>
      <c r="L4613" s="26"/>
    </row>
    <row r="4614" spans="1:12">
      <c r="A4614" s="20" t="s">
        <v>878</v>
      </c>
      <c r="B4614" s="27" t="s">
        <v>772</v>
      </c>
      <c r="C4614" s="27" t="s">
        <v>851</v>
      </c>
      <c r="D4614" s="27" t="s">
        <v>762</v>
      </c>
      <c r="E4614" s="21">
        <f>IF(D4614="?OLD","!!!","")</f>
        <v/>
      </c>
      <c r="F4614" s="22" t="str">
        <f>IF(OR(E4614="",E4614="!!!"),"",IF(NOT(ISNA(VLOOKUP(E4614,E$1:E4613,1,FALSE()))),"OLD",IF(AND(E4614&lt;&gt;"",E4614&lt;&gt;"!!!"),"NEW","")))</f>
        <v> </v>
      </c>
      <c r="G4614" s="23" t="str">
        <f>IF(OR(E4614="",E4614="!!!"),"",IF(OR(J4614=0,AND(J4614=1,K4614=1),AND(J4614=1,I4614="SBJ"),AND(J4614=1,I4614=0)),"?IN_FOCUS",IF(J4614&lt;=2,"?ACTIVATED",IF(J4614&lt;&gt;"","?FAMILIAR",IF(F4614="NEW",IF(ISNA(VLOOKUP(E4614,#REF!,1,FALSE())),"?TYPE_IDENTIFIABLE","?REFERENTIAL"),"_")))))</f>
        <v> </v>
      </c>
      <c r="H4614" s="24" t="str">
        <f>IF(J4614&lt;&gt;1,"",IF(I4614="SBJ","CB","?"))</f>
        <v> </v>
      </c>
      <c r="I4614" s="25" t="str">
        <f>IF(OR(E4614="",E4614="!!!",F4614="NEW"),"",INDEX(B4613:B$2,-1+SUMPRODUCT(MAX(ROW(E4613:E$2)*(E4614=E4613:E$2)))))</f>
        <v> </v>
      </c>
      <c r="J4614" s="25" t="str">
        <f>IF(OR(E4614="",E4614="!!!",F4614="NEW"),"",COUNTBLANK(OFFSET(A$1,,,SUMPRODUCT(MAX(ROW(E$2:E4614)*(E4614=E$2:E4614)))))-COUNTBLANK(OFFSET(A$1,,,SUMPRODUCT(MAX(ROW(E$1:E4613)*(E2=E$1:E4613))))))</f>
        <v> </v>
      </c>
      <c r="K4614" s="25" t="str">
        <f>IF(OR(E4614="",E4614="!!!",F4614="NEW"),"",INDEX(J$1:J4613,SUMPRODUCT(MAX(ROW(E$1:E4613)*(E4614=E$1:E4613)))))</f>
        <v> </v>
      </c>
      <c r="L4614" s="26"/>
    </row>
    <row r="4615" spans="1:12">
      <c r="A4615" s="20" t="s">
        <v>1376</v>
      </c>
      <c r="B4615" s="27" t="s">
        <v>767</v>
      </c>
      <c r="C4615" s="27" t="s">
        <v>837</v>
      </c>
      <c r="D4615" s="27" t="s">
        <v>762</v>
      </c>
      <c r="E4615" s="21">
        <f>IF(D4615="?OLD","!!!","")</f>
        <v/>
      </c>
      <c r="F4615" s="22" t="str">
        <f>IF(OR(E4615="",E4615="!!!"),"",IF(NOT(ISNA(VLOOKUP(E4615,E$1:E4614,1,FALSE()))),"OLD",IF(AND(E4615&lt;&gt;"",E4615&lt;&gt;"!!!"),"NEW","")))</f>
        <v> </v>
      </c>
      <c r="G4615" s="23" t="str">
        <f>IF(OR(E4615="",E4615="!!!"),"",IF(OR(J4615=0,AND(J4615=1,K4615=1),AND(J4615=1,I4615="SBJ"),AND(J4615=1,I4615=0)),"?IN_FOCUS",IF(J4615&lt;=2,"?ACTIVATED",IF(J4615&lt;&gt;"","?FAMILIAR",IF(F4615="NEW",IF(ISNA(VLOOKUP(E4615,#REF!,1,FALSE())),"?TYPE_IDENTIFIABLE","?REFERENTIAL"),"_")))))</f>
        <v> </v>
      </c>
      <c r="H4615" s="24" t="str">
        <f>IF(J4615&lt;&gt;1,"",IF(I4615="SBJ","CB","?"))</f>
        <v> </v>
      </c>
      <c r="I4615" s="25" t="str">
        <f>IF(OR(E4615="",E4615="!!!",F4615="NEW"),"",INDEX(B4614:B$2,-1+SUMPRODUCT(MAX(ROW(E4614:E$2)*(E4615=E4614:E$2)))))</f>
        <v> </v>
      </c>
      <c r="J4615" s="25" t="str">
        <f>IF(OR(E4615="",E4615="!!!",F4615="NEW"),"",COUNTBLANK(OFFSET(A$1,,,SUMPRODUCT(MAX(ROW(E$2:E4615)*(E4615=E$2:E4615)))))-COUNTBLANK(OFFSET(A$1,,,SUMPRODUCT(MAX(ROW(E$1:E4614)*(E2=E$1:E4614))))))</f>
        <v> </v>
      </c>
      <c r="K4615" s="25" t="str">
        <f>IF(OR(E4615="",E4615="!!!",F4615="NEW"),"",INDEX(J$1:J4614,SUMPRODUCT(MAX(ROW(E$1:E4614)*(E4615=E$1:E4614)))))</f>
        <v> </v>
      </c>
      <c r="L4615" s="26"/>
    </row>
    <row r="4616" spans="1:12">
      <c r="A4616" s="20" t="s">
        <v>1051</v>
      </c>
      <c r="B4616" s="27" t="s">
        <v>894</v>
      </c>
      <c r="C4616" s="27" t="s">
        <v>797</v>
      </c>
      <c r="D4616" s="27" t="s">
        <v>762</v>
      </c>
      <c r="E4616" s="21">
        <f>IF(D4616="?OLD","!!!","")</f>
        <v/>
      </c>
      <c r="F4616" s="22" t="str">
        <f>IF(OR(E4616="",E4616="!!!"),"",IF(NOT(ISNA(VLOOKUP(E4616,E$1:E4615,1,FALSE()))),"OLD",IF(AND(E4616&lt;&gt;"",E4616&lt;&gt;"!!!"),"NEW","")))</f>
        <v> </v>
      </c>
      <c r="G4616" s="23" t="str">
        <f>IF(OR(E4616="",E4616="!!!"),"",IF(OR(J4616=0,AND(J4616=1,K4616=1),AND(J4616=1,I4616="SBJ"),AND(J4616=1,I4616=0)),"?IN_FOCUS",IF(J4616&lt;=2,"?ACTIVATED",IF(J4616&lt;&gt;"","?FAMILIAR",IF(F4616="NEW",IF(ISNA(VLOOKUP(E4616,#REF!,1,FALSE())),"?TYPE_IDENTIFIABLE","?REFERENTIAL"),"_")))))</f>
        <v> </v>
      </c>
      <c r="H4616" s="24" t="str">
        <f>IF(J4616&lt;&gt;1,"",IF(I4616="SBJ","CB","?"))</f>
        <v> </v>
      </c>
      <c r="I4616" s="25" t="str">
        <f>IF(OR(E4616="",E4616="!!!",F4616="NEW"),"",INDEX(B4615:B$2,-1+SUMPRODUCT(MAX(ROW(E4615:E$2)*(E4616=E4615:E$2)))))</f>
        <v> </v>
      </c>
      <c r="J4616" s="25" t="str">
        <f>IF(OR(E4616="",E4616="!!!",F4616="NEW"),"",COUNTBLANK(OFFSET(A$1,,,SUMPRODUCT(MAX(ROW(E$2:E4616)*(E4616=E$2:E4616)))))-COUNTBLANK(OFFSET(A$1,,,SUMPRODUCT(MAX(ROW(E$1:E4615)*(E2=E$1:E4615))))))</f>
        <v> </v>
      </c>
      <c r="K4616" s="25" t="str">
        <f>IF(OR(E4616="",E4616="!!!",F4616="NEW"),"",INDEX(J$1:J4615,SUMPRODUCT(MAX(ROW(E$1:E4615)*(E4616=E$1:E4615)))))</f>
        <v> </v>
      </c>
      <c r="L4616" s="26"/>
    </row>
    <row r="4617" spans="1:12">
      <c r="A4617" s="20" t="s">
        <v>2008</v>
      </c>
      <c r="E4617" s="21">
        <f>IF(D4617="?OLD","!!!","")</f>
        <v/>
      </c>
      <c r="F4617" s="22" t="str">
        <f>IF(OR(E4617="",E4617="!!!"),"",IF(NOT(ISNA(VLOOKUP(E4617,E$1:E4616,1,FALSE()))),"OLD",IF(AND(E4617&lt;&gt;"",E4617&lt;&gt;"!!!"),"NEW","")))</f>
        <v> </v>
      </c>
      <c r="G4617" s="23" t="str">
        <f>IF(OR(E4617="",E4617="!!!"),"",IF(OR(J4617=0,AND(J4617=1,K4617=1),AND(J4617=1,I4617="SBJ"),AND(J4617=1,I4617=0)),"?IN_FOCUS",IF(J4617&lt;=2,"?ACTIVATED",IF(J4617&lt;&gt;"","?FAMILIAR",IF(F4617="NEW",IF(ISNA(VLOOKUP(E4617,#REF!,1,FALSE())),"?TYPE_IDENTIFIABLE","?REFERENTIAL"),"_")))))</f>
        <v> </v>
      </c>
      <c r="H4617" s="24" t="str">
        <f>IF(J4617&lt;&gt;1,"",IF(I4617="SBJ","CB","?"))</f>
        <v> </v>
      </c>
      <c r="I4617" s="25" t="str">
        <f>IF(OR(E4617="",E4617="!!!",F4617="NEW"),"",INDEX(B4616:B$2,-1+SUMPRODUCT(MAX(ROW(E4616:E$2)*(E4617=E4616:E$2)))))</f>
        <v> </v>
      </c>
      <c r="J4617" s="25" t="str">
        <f>IF(OR(E4617="",E4617="!!!",F4617="NEW"),"",COUNTBLANK(OFFSET(A$1,,,SUMPRODUCT(MAX(ROW(E$2:E4617)*(E4617=E$2:E4617)))))-COUNTBLANK(OFFSET(A$1,,,SUMPRODUCT(MAX(ROW(E$1:E4616)*(E2=E$1:E4616))))))</f>
        <v> </v>
      </c>
      <c r="K4617" s="25" t="str">
        <f>IF(OR(E4617="",E4617="!!!",F4617="NEW"),"",INDEX(J$1:J4616,SUMPRODUCT(MAX(ROW(E$1:E4616)*(E4617=E$1:E4616)))))</f>
        <v> </v>
      </c>
      <c r="L4617" s="26"/>
    </row>
    <row r="4618" spans="1:12">
      <c r="A4618" s="20" t="s">
        <v>1007</v>
      </c>
      <c r="E4618" s="21">
        <f>IF(D4618="?OLD","!!!","")</f>
        <v/>
      </c>
      <c r="F4618" s="22" t="str">
        <f>IF(OR(E4618="",E4618="!!!"),"",IF(NOT(ISNA(VLOOKUP(E4618,E$1:E4617,1,FALSE()))),"OLD",IF(AND(E4618&lt;&gt;"",E4618&lt;&gt;"!!!"),"NEW","")))</f>
        <v> </v>
      </c>
      <c r="G4618" s="23" t="str">
        <f>IF(OR(E4618="",E4618="!!!"),"",IF(OR(J4618=0,AND(J4618=1,K4618=1),AND(J4618=1,I4618="SBJ"),AND(J4618=1,I4618=0)),"?IN_FOCUS",IF(J4618&lt;=2,"?ACTIVATED",IF(J4618&lt;&gt;"","?FAMILIAR",IF(F4618="NEW",IF(ISNA(VLOOKUP(E4618,#REF!,1,FALSE())),"?TYPE_IDENTIFIABLE","?REFERENTIAL"),"_")))))</f>
        <v> </v>
      </c>
      <c r="H4618" s="24" t="str">
        <f>IF(J4618&lt;&gt;1,"",IF(I4618="SBJ","CB","?"))</f>
        <v> </v>
      </c>
      <c r="I4618" s="25" t="str">
        <f>IF(OR(E4618="",E4618="!!!",F4618="NEW"),"",INDEX(B4617:B$2,-1+SUMPRODUCT(MAX(ROW(E4617:E$2)*(E4618=E4617:E$2)))))</f>
        <v> </v>
      </c>
      <c r="J4618" s="25" t="str">
        <f>IF(OR(E4618="",E4618="!!!",F4618="NEW"),"",COUNTBLANK(OFFSET(A$1,,,SUMPRODUCT(MAX(ROW(E$2:E4618)*(E4618=E$2:E4618)))))-COUNTBLANK(OFFSET(A$1,,,SUMPRODUCT(MAX(ROW(E$1:E4617)*(E2=E$1:E4617))))))</f>
        <v> </v>
      </c>
      <c r="K4618" s="25" t="str">
        <f>IF(OR(E4618="",E4618="!!!",F4618="NEW"),"",INDEX(J$1:J4617,SUMPRODUCT(MAX(ROW(E$1:E4617)*(E4618=E$1:E4617)))))</f>
        <v> </v>
      </c>
      <c r="L4618" s="26"/>
    </row>
    <row r="4619" spans="1:12">
      <c r="A4619" s="20" t="s">
        <v>822</v>
      </c>
      <c r="E4619" s="21">
        <f>IF(D4619="?OLD","!!!","")</f>
        <v/>
      </c>
      <c r="F4619" s="22" t="str">
        <f>IF(OR(E4619="",E4619="!!!"),"",IF(NOT(ISNA(VLOOKUP(E4619,E$1:E4618,1,FALSE()))),"OLD",IF(AND(E4619&lt;&gt;"",E4619&lt;&gt;"!!!"),"NEW","")))</f>
        <v> </v>
      </c>
      <c r="G4619" s="23" t="str">
        <f>IF(OR(E4619="",E4619="!!!"),"",IF(OR(J4619=0,AND(J4619=1,K4619=1),AND(J4619=1,I4619="SBJ"),AND(J4619=1,I4619=0)),"?IN_FOCUS",IF(J4619&lt;=2,"?ACTIVATED",IF(J4619&lt;&gt;"","?FAMILIAR",IF(F4619="NEW",IF(ISNA(VLOOKUP(E4619,#REF!,1,FALSE())),"?TYPE_IDENTIFIABLE","?REFERENTIAL"),"_")))))</f>
        <v> </v>
      </c>
      <c r="H4619" s="24" t="str">
        <f>IF(J4619&lt;&gt;1,"",IF(I4619="SBJ","CB","?"))</f>
        <v> </v>
      </c>
      <c r="I4619" s="25" t="str">
        <f>IF(OR(E4619="",E4619="!!!",F4619="NEW"),"",INDEX(B4618:B$2,-1+SUMPRODUCT(MAX(ROW(E4618:E$2)*(E4619=E4618:E$2)))))</f>
        <v> </v>
      </c>
      <c r="J4619" s="25" t="str">
        <f>IF(OR(E4619="",E4619="!!!",F4619="NEW"),"",COUNTBLANK(OFFSET(A$1,,,SUMPRODUCT(MAX(ROW(E$2:E4619)*(E4619=E$2:E4619)))))-COUNTBLANK(OFFSET(A$1,,,SUMPRODUCT(MAX(ROW(E$1:E4618)*(E2=E$1:E4618))))))</f>
        <v> </v>
      </c>
      <c r="K4619" s="25" t="str">
        <f>IF(OR(E4619="",E4619="!!!",F4619="NEW"),"",INDEX(J$1:J4618,SUMPRODUCT(MAX(ROW(E$1:E4618)*(E4619=E$1:E4618)))))</f>
        <v> </v>
      </c>
      <c r="L4619" s="26"/>
    </row>
    <row r="4620" spans="1:12">
      <c r="A4620" s="20" t="s">
        <v>1786</v>
      </c>
      <c r="B4620" s="27" t="s">
        <v>879</v>
      </c>
      <c r="C4620" s="27" t="s">
        <v>761</v>
      </c>
      <c r="D4620" s="27" t="s">
        <v>762</v>
      </c>
      <c r="E4620" s="21">
        <f>IF(D4620="?OLD","!!!","")</f>
        <v/>
      </c>
      <c r="F4620" s="22" t="str">
        <f>IF(OR(E4620="",E4620="!!!"),"",IF(NOT(ISNA(VLOOKUP(E4620,E$1:E4619,1,FALSE()))),"OLD",IF(AND(E4620&lt;&gt;"",E4620&lt;&gt;"!!!"),"NEW","")))</f>
        <v> </v>
      </c>
      <c r="G4620" s="23" t="str">
        <f>IF(OR(E4620="",E4620="!!!"),"",IF(OR(J4620=0,AND(J4620=1,K4620=1),AND(J4620=1,I4620="SBJ"),AND(J4620=1,I4620=0)),"?IN_FOCUS",IF(J4620&lt;=2,"?ACTIVATED",IF(J4620&lt;&gt;"","?FAMILIAR",IF(F4620="NEW",IF(ISNA(VLOOKUP(E4620,#REF!,1,FALSE())),"?TYPE_IDENTIFIABLE","?REFERENTIAL"),"_")))))</f>
        <v> </v>
      </c>
      <c r="H4620" s="24" t="str">
        <f>IF(J4620&lt;&gt;1,"",IF(I4620="SBJ","CB","?"))</f>
        <v> </v>
      </c>
      <c r="I4620" s="25" t="str">
        <f>IF(OR(E4620="",E4620="!!!",F4620="NEW"),"",INDEX(B4619:B$2,-1+SUMPRODUCT(MAX(ROW(E4619:E$2)*(E4620=E4619:E$2)))))</f>
        <v> </v>
      </c>
      <c r="J4620" s="25" t="str">
        <f>IF(OR(E4620="",E4620="!!!",F4620="NEW"),"",COUNTBLANK(OFFSET(A$1,,,SUMPRODUCT(MAX(ROW(E$2:E4620)*(E4620=E$2:E4620)))))-COUNTBLANK(OFFSET(A$1,,,SUMPRODUCT(MAX(ROW(E$1:E4619)*(E2=E$1:E4619))))))</f>
        <v> </v>
      </c>
      <c r="K4620" s="25" t="str">
        <f>IF(OR(E4620="",E4620="!!!",F4620="NEW"),"",INDEX(J$1:J4619,SUMPRODUCT(MAX(ROW(E$1:E4619)*(E4620=E$1:E4619)))))</f>
        <v> </v>
      </c>
      <c r="L4620" s="26"/>
    </row>
    <row r="4621" spans="1:12">
      <c r="A4621" s="20" t="s">
        <v>774</v>
      </c>
      <c r="E4621" s="21">
        <f>IF(D4621="?OLD","!!!","")</f>
        <v/>
      </c>
      <c r="F4621" s="22" t="str">
        <f>IF(OR(E4621="",E4621="!!!"),"",IF(NOT(ISNA(VLOOKUP(E4621,E$1:E4620,1,FALSE()))),"OLD",IF(AND(E4621&lt;&gt;"",E4621&lt;&gt;"!!!"),"NEW","")))</f>
        <v> </v>
      </c>
      <c r="G4621" s="23" t="str">
        <f>IF(OR(E4621="",E4621="!!!"),"",IF(OR(J4621=0,AND(J4621=1,K4621=1),AND(J4621=1,I4621="SBJ"),AND(J4621=1,I4621=0)),"?IN_FOCUS",IF(J4621&lt;=2,"?ACTIVATED",IF(J4621&lt;&gt;"","?FAMILIAR",IF(F4621="NEW",IF(ISNA(VLOOKUP(E4621,#REF!,1,FALSE())),"?TYPE_IDENTIFIABLE","?REFERENTIAL"),"_")))))</f>
        <v> </v>
      </c>
      <c r="H4621" s="24" t="str">
        <f>IF(J4621&lt;&gt;1,"",IF(I4621="SBJ","CB","?"))</f>
        <v> </v>
      </c>
      <c r="I4621" s="25" t="str">
        <f>IF(OR(E4621="",E4621="!!!",F4621="NEW"),"",INDEX(B4620:B$2,-1+SUMPRODUCT(MAX(ROW(E4620:E$2)*(E4621=E4620:E$2)))))</f>
        <v> </v>
      </c>
      <c r="J4621" s="25" t="str">
        <f>IF(OR(E4621="",E4621="!!!",F4621="NEW"),"",COUNTBLANK(OFFSET(A$1,,,SUMPRODUCT(MAX(ROW(E$2:E4621)*(E4621=E$2:E4621)))))-COUNTBLANK(OFFSET(A$1,,,SUMPRODUCT(MAX(ROW(E$1:E4620)*(E2=E$1:E4620))))))</f>
        <v> </v>
      </c>
      <c r="K4621" s="25" t="str">
        <f>IF(OR(E4621="",E4621="!!!",F4621="NEW"),"",INDEX(J$1:J4620,SUMPRODUCT(MAX(ROW(E$1:E4620)*(E4621=E$1:E4620)))))</f>
        <v> </v>
      </c>
      <c r="L4621" s="26"/>
    </row>
    <row r="4622" spans="1:12">
      <c r="A4622" s="20"/>
    </row>
    <row r="4623" spans="1:12">
      <c r="A4623" s="20" t="s">
        <v>2009</v>
      </c>
    </row>
    <row r="4624" spans="1:12">
      <c r="A4624" s="20" t="s">
        <v>983</v>
      </c>
      <c r="B4624" s="27" t="s">
        <v>760</v>
      </c>
      <c r="C4624" s="27" t="s">
        <v>797</v>
      </c>
      <c r="D4624" s="27" t="s">
        <v>762</v>
      </c>
      <c r="E4624" s="21">
        <f>IF(D4624="?OLD","!!!","")</f>
        <v/>
      </c>
      <c r="F4624" s="22" t="str">
        <f>IF(OR(E4624="",E4624="!!!"),"",IF(NOT(ISNA(VLOOKUP(E4624,E$1:E4623,1,FALSE()))),"OLD",IF(AND(E4624&lt;&gt;"",E4624&lt;&gt;"!!!"),"NEW","")))</f>
        <v> </v>
      </c>
      <c r="G4624" s="23" t="str">
        <f>IF(OR(E4624="",E4624="!!!"),"",IF(OR(J4624=0,AND(J4624=1,K4624=1),AND(J4624=1,I4624="SBJ"),AND(J4624=1,I4624=0)),"?IN_FOCUS",IF(J4624&lt;=2,"?ACTIVATED",IF(J4624&lt;&gt;"","?FAMILIAR",IF(F4624="NEW",IF(ISNA(VLOOKUP(E4624,#REF!,1,FALSE())),"?TYPE_IDENTIFIABLE","?REFERENTIAL"),"_")))))</f>
        <v> </v>
      </c>
      <c r="H4624" s="24" t="str">
        <f>IF(J4624&lt;&gt;1,"",IF(I4624="SBJ","CB","?"))</f>
        <v> </v>
      </c>
      <c r="I4624" s="25" t="str">
        <f>IF(OR(E4624="",E4624="!!!",F4624="NEW"),"",INDEX(B4623:B$2,-1+SUMPRODUCT(MAX(ROW(E4623:E$2)*(E4624=E4623:E$2)))))</f>
        <v> </v>
      </c>
      <c r="J4624" s="25" t="str">
        <f>IF(OR(E4624="",E4624="!!!",F4624="NEW"),"",COUNTBLANK(OFFSET(A$1,,,SUMPRODUCT(MAX(ROW(E$2:E4624)*(E4624=E$2:E4624)))))-COUNTBLANK(OFFSET(A$1,,,SUMPRODUCT(MAX(ROW(E$1:E4623)*(E2=E$1:E4623))))))</f>
        <v> </v>
      </c>
      <c r="K4624" s="25" t="str">
        <f>IF(OR(E4624="",E4624="!!!",F4624="NEW"),"",INDEX(J$1:J4623,SUMPRODUCT(MAX(ROW(E$1:E4623)*(E4624=E$1:E4623)))))</f>
        <v> </v>
      </c>
      <c r="L4624" s="26"/>
    </row>
    <row r="4625" spans="1:12">
      <c r="A4625" s="20" t="s">
        <v>968</v>
      </c>
      <c r="E4625" s="21">
        <f>IF(D4625="?OLD","!!!","")</f>
        <v/>
      </c>
      <c r="F4625" s="22" t="str">
        <f>IF(OR(E4625="",E4625="!!!"),"",IF(NOT(ISNA(VLOOKUP(E4625,E$1:E4624,1,FALSE()))),"OLD",IF(AND(E4625&lt;&gt;"",E4625&lt;&gt;"!!!"),"NEW","")))</f>
        <v> </v>
      </c>
      <c r="G4625" s="23" t="str">
        <f>IF(OR(E4625="",E4625="!!!"),"",IF(OR(J4625=0,AND(J4625=1,K4625=1),AND(J4625=1,I4625="SBJ"),AND(J4625=1,I4625=0)),"?IN_FOCUS",IF(J4625&lt;=2,"?ACTIVATED",IF(J4625&lt;&gt;"","?FAMILIAR",IF(F4625="NEW",IF(ISNA(VLOOKUP(E4625,#REF!,1,FALSE())),"?TYPE_IDENTIFIABLE","?REFERENTIAL"),"_")))))</f>
        <v> </v>
      </c>
      <c r="H4625" s="24" t="str">
        <f>IF(J4625&lt;&gt;1,"",IF(I4625="SBJ","CB","?"))</f>
        <v> </v>
      </c>
      <c r="I4625" s="25" t="str">
        <f>IF(OR(E4625="",E4625="!!!",F4625="NEW"),"",INDEX(B4624:B$2,-1+SUMPRODUCT(MAX(ROW(E4624:E$2)*(E4625=E4624:E$2)))))</f>
        <v> </v>
      </c>
      <c r="J4625" s="25" t="str">
        <f>IF(OR(E4625="",E4625="!!!",F4625="NEW"),"",COUNTBLANK(OFFSET(A$1,,,SUMPRODUCT(MAX(ROW(E$2:E4625)*(E4625=E$2:E4625)))))-COUNTBLANK(OFFSET(A$1,,,SUMPRODUCT(MAX(ROW(E$1:E4624)*(E2=E$1:E4624))))))</f>
        <v> </v>
      </c>
      <c r="K4625" s="25" t="str">
        <f>IF(OR(E4625="",E4625="!!!",F4625="NEW"),"",INDEX(J$1:J4624,SUMPRODUCT(MAX(ROW(E$1:E4624)*(E4625=E$1:E4624)))))</f>
        <v> </v>
      </c>
      <c r="L4625" s="26"/>
    </row>
    <row r="4626" spans="1:12">
      <c r="A4626" s="20" t="s">
        <v>757</v>
      </c>
      <c r="E4626" s="21">
        <f>IF(D4626="?OLD","!!!","")</f>
        <v/>
      </c>
      <c r="F4626" s="22" t="str">
        <f>IF(OR(E4626="",E4626="!!!"),"",IF(NOT(ISNA(VLOOKUP(E4626,E$1:E4625,1,FALSE()))),"OLD",IF(AND(E4626&lt;&gt;"",E4626&lt;&gt;"!!!"),"NEW","")))</f>
        <v> </v>
      </c>
      <c r="G4626" s="23" t="str">
        <f>IF(OR(E4626="",E4626="!!!"),"",IF(OR(J4626=0,AND(J4626=1,K4626=1),AND(J4626=1,I4626="SBJ"),AND(J4626=1,I4626=0)),"?IN_FOCUS",IF(J4626&lt;=2,"?ACTIVATED",IF(J4626&lt;&gt;"","?FAMILIAR",IF(F4626="NEW",IF(ISNA(VLOOKUP(E4626,#REF!,1,FALSE())),"?TYPE_IDENTIFIABLE","?REFERENTIAL"),"_")))))</f>
        <v> </v>
      </c>
      <c r="H4626" s="24" t="str">
        <f>IF(J4626&lt;&gt;1,"",IF(I4626="SBJ","CB","?"))</f>
        <v> </v>
      </c>
      <c r="I4626" s="25" t="str">
        <f>IF(OR(E4626="",E4626="!!!",F4626="NEW"),"",INDEX(B4625:B$2,-1+SUMPRODUCT(MAX(ROW(E4625:E$2)*(E4626=E4625:E$2)))))</f>
        <v> </v>
      </c>
      <c r="J4626" s="25" t="str">
        <f>IF(OR(E4626="",E4626="!!!",F4626="NEW"),"",COUNTBLANK(OFFSET(A$1,,,SUMPRODUCT(MAX(ROW(E$2:E4626)*(E4626=E$2:E4626)))))-COUNTBLANK(OFFSET(A$1,,,SUMPRODUCT(MAX(ROW(E$1:E4625)*(E2=E$1:E4625))))))</f>
        <v> </v>
      </c>
      <c r="K4626" s="25" t="str">
        <f>IF(OR(E4626="",E4626="!!!",F4626="NEW"),"",INDEX(J$1:J4625,SUMPRODUCT(MAX(ROW(E$1:E4625)*(E4626=E$1:E4625)))))</f>
        <v> </v>
      </c>
      <c r="L4626" s="26"/>
    </row>
    <row r="4627" spans="1:12">
      <c r="A4627" s="20" t="s">
        <v>2010</v>
      </c>
      <c r="E4627" s="21">
        <f>IF(D4627="?OLD","!!!","")</f>
        <v/>
      </c>
      <c r="F4627" s="22" t="str">
        <f>IF(OR(E4627="",E4627="!!!"),"",IF(NOT(ISNA(VLOOKUP(E4627,E$1:E4626,1,FALSE()))),"OLD",IF(AND(E4627&lt;&gt;"",E4627&lt;&gt;"!!!"),"NEW","")))</f>
        <v> </v>
      </c>
      <c r="G4627" s="23" t="str">
        <f>IF(OR(E4627="",E4627="!!!"),"",IF(OR(J4627=0,AND(J4627=1,K4627=1),AND(J4627=1,I4627="SBJ"),AND(J4627=1,I4627=0)),"?IN_FOCUS",IF(J4627&lt;=2,"?ACTIVATED",IF(J4627&lt;&gt;"","?FAMILIAR",IF(F4627="NEW",IF(ISNA(VLOOKUP(E4627,#REF!,1,FALSE())),"?TYPE_IDENTIFIABLE","?REFERENTIAL"),"_")))))</f>
        <v> </v>
      </c>
      <c r="H4627" s="24" t="str">
        <f>IF(J4627&lt;&gt;1,"",IF(I4627="SBJ","CB","?"))</f>
        <v> </v>
      </c>
      <c r="I4627" s="25" t="str">
        <f>IF(OR(E4627="",E4627="!!!",F4627="NEW"),"",INDEX(B4626:B$2,-1+SUMPRODUCT(MAX(ROW(E4626:E$2)*(E4627=E4626:E$2)))))</f>
        <v> </v>
      </c>
      <c r="J4627" s="25" t="str">
        <f>IF(OR(E4627="",E4627="!!!",F4627="NEW"),"",COUNTBLANK(OFFSET(A$1,,,SUMPRODUCT(MAX(ROW(E$2:E4627)*(E4627=E$2:E4627)))))-COUNTBLANK(OFFSET(A$1,,,SUMPRODUCT(MAX(ROW(E$1:E4626)*(E2=E$1:E4626))))))</f>
        <v> </v>
      </c>
      <c r="K4627" s="25" t="str">
        <f>IF(OR(E4627="",E4627="!!!",F4627="NEW"),"",INDEX(J$1:J4626,SUMPRODUCT(MAX(ROW(E$1:E4626)*(E4627=E$1:E4626)))))</f>
        <v> </v>
      </c>
      <c r="L4627" s="26"/>
    </row>
    <row r="4628" spans="1:12">
      <c r="A4628" s="20" t="s">
        <v>827</v>
      </c>
      <c r="B4628" s="27" t="s">
        <v>796</v>
      </c>
      <c r="C4628" s="27" t="s">
        <v>797</v>
      </c>
      <c r="D4628" s="27" t="s">
        <v>762</v>
      </c>
      <c r="E4628" s="21">
        <f>IF(D4628="?OLD","!!!","")</f>
        <v/>
      </c>
      <c r="F4628" s="22" t="str">
        <f>IF(OR(E4628="",E4628="!!!"),"",IF(NOT(ISNA(VLOOKUP(E4628,E$1:E4627,1,FALSE()))),"OLD",IF(AND(E4628&lt;&gt;"",E4628&lt;&gt;"!!!"),"NEW","")))</f>
        <v> </v>
      </c>
      <c r="G4628" s="23" t="str">
        <f>IF(OR(E4628="",E4628="!!!"),"",IF(OR(J4628=0,AND(J4628=1,K4628=1),AND(J4628=1,I4628="SBJ"),AND(J4628=1,I4628=0)),"?IN_FOCUS",IF(J4628&lt;=2,"?ACTIVATED",IF(J4628&lt;&gt;"","?FAMILIAR",IF(F4628="NEW",IF(ISNA(VLOOKUP(E4628,#REF!,1,FALSE())),"?TYPE_IDENTIFIABLE","?REFERENTIAL"),"_")))))</f>
        <v> </v>
      </c>
      <c r="H4628" s="24" t="str">
        <f>IF(J4628&lt;&gt;1,"",IF(I4628="SBJ","CB","?"))</f>
        <v> </v>
      </c>
      <c r="I4628" s="25" t="str">
        <f>IF(OR(E4628="",E4628="!!!",F4628="NEW"),"",INDEX(B4627:B$2,-1+SUMPRODUCT(MAX(ROW(E4627:E$2)*(E4628=E4627:E$2)))))</f>
        <v> </v>
      </c>
      <c r="J4628" s="25" t="str">
        <f>IF(OR(E4628="",E4628="!!!",F4628="NEW"),"",COUNTBLANK(OFFSET(A$1,,,SUMPRODUCT(MAX(ROW(E$2:E4628)*(E4628=E$2:E4628)))))-COUNTBLANK(OFFSET(A$1,,,SUMPRODUCT(MAX(ROW(E$1:E4627)*(E2=E$1:E4627))))))</f>
        <v> </v>
      </c>
      <c r="K4628" s="25" t="str">
        <f>IF(OR(E4628="",E4628="!!!",F4628="NEW"),"",INDEX(J$1:J4627,SUMPRODUCT(MAX(ROW(E$1:E4627)*(E4628=E$1:E4627)))))</f>
        <v> </v>
      </c>
      <c r="L4628" s="26"/>
    </row>
    <row r="4629" spans="1:12">
      <c r="A4629" s="20" t="s">
        <v>909</v>
      </c>
      <c r="E4629" s="21">
        <f>IF(D4629="?OLD","!!!","")</f>
        <v/>
      </c>
      <c r="F4629" s="22" t="str">
        <f>IF(OR(E4629="",E4629="!!!"),"",IF(NOT(ISNA(VLOOKUP(E4629,E$1:E4628,1,FALSE()))),"OLD",IF(AND(E4629&lt;&gt;"",E4629&lt;&gt;"!!!"),"NEW","")))</f>
        <v> </v>
      </c>
      <c r="G4629" s="23" t="str">
        <f>IF(OR(E4629="",E4629="!!!"),"",IF(OR(J4629=0,AND(J4629=1,K4629=1),AND(J4629=1,I4629="SBJ"),AND(J4629=1,I4629=0)),"?IN_FOCUS",IF(J4629&lt;=2,"?ACTIVATED",IF(J4629&lt;&gt;"","?FAMILIAR",IF(F4629="NEW",IF(ISNA(VLOOKUP(E4629,#REF!,1,FALSE())),"?TYPE_IDENTIFIABLE","?REFERENTIAL"),"_")))))</f>
        <v> </v>
      </c>
      <c r="H4629" s="24" t="str">
        <f>IF(J4629&lt;&gt;1,"",IF(I4629="SBJ","CB","?"))</f>
        <v> </v>
      </c>
      <c r="I4629" s="25" t="str">
        <f>IF(OR(E4629="",E4629="!!!",F4629="NEW"),"",INDEX(B4628:B$2,-1+SUMPRODUCT(MAX(ROW(E4628:E$2)*(E4629=E4628:E$2)))))</f>
        <v> </v>
      </c>
      <c r="J4629" s="25" t="str">
        <f>IF(OR(E4629="",E4629="!!!",F4629="NEW"),"",COUNTBLANK(OFFSET(A$1,,,SUMPRODUCT(MAX(ROW(E$2:E4629)*(E4629=E$2:E4629)))))-COUNTBLANK(OFFSET(A$1,,,SUMPRODUCT(MAX(ROW(E$1:E4628)*(E2=E$1:E4628))))))</f>
        <v> </v>
      </c>
      <c r="K4629" s="25" t="str">
        <f>IF(OR(E4629="",E4629="!!!",F4629="NEW"),"",INDEX(J$1:J4628,SUMPRODUCT(MAX(ROW(E$1:E4628)*(E4629=E$1:E4628)))))</f>
        <v> </v>
      </c>
      <c r="L4629" s="26"/>
    </row>
    <row r="4630" spans="1:12">
      <c r="A4630" s="20" t="s">
        <v>1357</v>
      </c>
      <c r="E4630" s="21">
        <f>IF(D4630="?OLD","!!!","")</f>
        <v/>
      </c>
      <c r="F4630" s="22" t="str">
        <f>IF(OR(E4630="",E4630="!!!"),"",IF(NOT(ISNA(VLOOKUP(E4630,E$1:E4629,1,FALSE()))),"OLD",IF(AND(E4630&lt;&gt;"",E4630&lt;&gt;"!!!"),"NEW","")))</f>
        <v> </v>
      </c>
      <c r="G4630" s="23" t="str">
        <f>IF(OR(E4630="",E4630="!!!"),"",IF(OR(J4630=0,AND(J4630=1,K4630=1),AND(J4630=1,I4630="SBJ"),AND(J4630=1,I4630=0)),"?IN_FOCUS",IF(J4630&lt;=2,"?ACTIVATED",IF(J4630&lt;&gt;"","?FAMILIAR",IF(F4630="NEW",IF(ISNA(VLOOKUP(E4630,#REF!,1,FALSE())),"?TYPE_IDENTIFIABLE","?REFERENTIAL"),"_")))))</f>
        <v> </v>
      </c>
      <c r="H4630" s="24" t="str">
        <f>IF(J4630&lt;&gt;1,"",IF(I4630="SBJ","CB","?"))</f>
        <v> </v>
      </c>
      <c r="I4630" s="25" t="str">
        <f>IF(OR(E4630="",E4630="!!!",F4630="NEW"),"",INDEX(B4629:B$2,-1+SUMPRODUCT(MAX(ROW(E4629:E$2)*(E4630=E4629:E$2)))))</f>
        <v> </v>
      </c>
      <c r="J4630" s="25" t="str">
        <f>IF(OR(E4630="",E4630="!!!",F4630="NEW"),"",COUNTBLANK(OFFSET(A$1,,,SUMPRODUCT(MAX(ROW(E$2:E4630)*(E4630=E$2:E4630)))))-COUNTBLANK(OFFSET(A$1,,,SUMPRODUCT(MAX(ROW(E$1:E4629)*(E2=E$1:E4629))))))</f>
        <v> </v>
      </c>
      <c r="K4630" s="25" t="str">
        <f>IF(OR(E4630="",E4630="!!!",F4630="NEW"),"",INDEX(J$1:J4629,SUMPRODUCT(MAX(ROW(E$1:E4629)*(E4630=E$1:E4629)))))</f>
        <v> </v>
      </c>
      <c r="L4630" s="26"/>
    </row>
    <row r="4631" spans="1:12">
      <c r="A4631" s="20" t="s">
        <v>1344</v>
      </c>
      <c r="B4631" s="27" t="s">
        <v>802</v>
      </c>
      <c r="C4631" s="27" t="s">
        <v>754</v>
      </c>
      <c r="E4631" s="21">
        <f>IF(D4631="?OLD","!!!","")</f>
        <v/>
      </c>
      <c r="F4631" s="22" t="str">
        <f>IF(OR(E4631="",E4631="!!!"),"",IF(NOT(ISNA(VLOOKUP(E4631,E$1:E4630,1,FALSE()))),"OLD",IF(AND(E4631&lt;&gt;"",E4631&lt;&gt;"!!!"),"NEW","")))</f>
        <v> </v>
      </c>
      <c r="G4631" s="23" t="str">
        <f>IF(OR(E4631="",E4631="!!!"),"",IF(OR(J4631=0,AND(J4631=1,K4631=1),AND(J4631=1,I4631="SBJ"),AND(J4631=1,I4631=0)),"?IN_FOCUS",IF(J4631&lt;=2,"?ACTIVATED",IF(J4631&lt;&gt;"","?FAMILIAR",IF(F4631="NEW",IF(ISNA(VLOOKUP(E4631,#REF!,1,FALSE())),"?TYPE_IDENTIFIABLE","?REFERENTIAL"),"_")))))</f>
        <v> </v>
      </c>
      <c r="H4631" s="24" t="str">
        <f>IF(J4631&lt;&gt;1,"",IF(I4631="SBJ","CB","?"))</f>
        <v> </v>
      </c>
      <c r="I4631" s="25" t="str">
        <f>IF(OR(E4631="",E4631="!!!",F4631="NEW"),"",INDEX(B4630:B$2,-1+SUMPRODUCT(MAX(ROW(E4630:E$2)*(E4631=E4630:E$2)))))</f>
        <v> </v>
      </c>
      <c r="J4631" s="25" t="str">
        <f>IF(OR(E4631="",E4631="!!!",F4631="NEW"),"",COUNTBLANK(OFFSET(A$1,,,SUMPRODUCT(MAX(ROW(E$2:E4631)*(E4631=E$2:E4631)))))-COUNTBLANK(OFFSET(A$1,,,SUMPRODUCT(MAX(ROW(E$1:E4630)*(E2=E$1:E4630))))))</f>
        <v> </v>
      </c>
      <c r="K4631" s="25" t="str">
        <f>IF(OR(E4631="",E4631="!!!",F4631="NEW"),"",INDEX(J$1:J4630,SUMPRODUCT(MAX(ROW(E$1:E4630)*(E4631=E$1:E4630)))))</f>
        <v> </v>
      </c>
      <c r="L4631" s="26"/>
    </row>
    <row r="4632" spans="1:12">
      <c r="A4632" s="20" t="s">
        <v>769</v>
      </c>
      <c r="E4632" s="21">
        <f>IF(D4632="?OLD","!!!","")</f>
        <v/>
      </c>
      <c r="F4632" s="22" t="str">
        <f>IF(OR(E4632="",E4632="!!!"),"",IF(NOT(ISNA(VLOOKUP(E4632,E$1:E4631,1,FALSE()))),"OLD",IF(AND(E4632&lt;&gt;"",E4632&lt;&gt;"!!!"),"NEW","")))</f>
        <v> </v>
      </c>
      <c r="G4632" s="23" t="str">
        <f>IF(OR(E4632="",E4632="!!!"),"",IF(OR(J4632=0,AND(J4632=1,K4632=1),AND(J4632=1,I4632="SBJ"),AND(J4632=1,I4632=0)),"?IN_FOCUS",IF(J4632&lt;=2,"?ACTIVATED",IF(J4632&lt;&gt;"","?FAMILIAR",IF(F4632="NEW",IF(ISNA(VLOOKUP(E4632,#REF!,1,FALSE())),"?TYPE_IDENTIFIABLE","?REFERENTIAL"),"_")))))</f>
        <v> </v>
      </c>
      <c r="H4632" s="24" t="str">
        <f>IF(J4632&lt;&gt;1,"",IF(I4632="SBJ","CB","?"))</f>
        <v> </v>
      </c>
      <c r="I4632" s="25" t="str">
        <f>IF(OR(E4632="",E4632="!!!",F4632="NEW"),"",INDEX(B4631:B$2,-1+SUMPRODUCT(MAX(ROW(E4631:E$2)*(E4632=E4631:E$2)))))</f>
        <v> </v>
      </c>
      <c r="J4632" s="25" t="str">
        <f>IF(OR(E4632="",E4632="!!!",F4632="NEW"),"",COUNTBLANK(OFFSET(A$1,,,SUMPRODUCT(MAX(ROW(E$2:E4632)*(E4632=E$2:E4632)))))-COUNTBLANK(OFFSET(A$1,,,SUMPRODUCT(MAX(ROW(E$1:E4631)*(E2=E$1:E4631))))))</f>
        <v> </v>
      </c>
      <c r="K4632" s="25" t="str">
        <f>IF(OR(E4632="",E4632="!!!",F4632="NEW"),"",INDEX(J$1:J4631,SUMPRODUCT(MAX(ROW(E$1:E4631)*(E4632=E$1:E4631)))))</f>
        <v> </v>
      </c>
      <c r="L4632" s="26"/>
    </row>
    <row r="4633" spans="1:12">
      <c r="A4633" s="20" t="s">
        <v>838</v>
      </c>
      <c r="E4633" s="21">
        <f>IF(D4633="?OLD","!!!","")</f>
        <v/>
      </c>
      <c r="F4633" s="22" t="str">
        <f>IF(OR(E4633="",E4633="!!!"),"",IF(NOT(ISNA(VLOOKUP(E4633,E$1:E4632,1,FALSE()))),"OLD",IF(AND(E4633&lt;&gt;"",E4633&lt;&gt;"!!!"),"NEW","")))</f>
        <v> </v>
      </c>
      <c r="G4633" s="23" t="str">
        <f>IF(OR(E4633="",E4633="!!!"),"",IF(OR(J4633=0,AND(J4633=1,K4633=1),AND(J4633=1,I4633="SBJ"),AND(J4633=1,I4633=0)),"?IN_FOCUS",IF(J4633&lt;=2,"?ACTIVATED",IF(J4633&lt;&gt;"","?FAMILIAR",IF(F4633="NEW",IF(ISNA(VLOOKUP(E4633,#REF!,1,FALSE())),"?TYPE_IDENTIFIABLE","?REFERENTIAL"),"_")))))</f>
        <v> </v>
      </c>
      <c r="H4633" s="24" t="str">
        <f>IF(J4633&lt;&gt;1,"",IF(I4633="SBJ","CB","?"))</f>
        <v> </v>
      </c>
      <c r="I4633" s="25" t="str">
        <f>IF(OR(E4633="",E4633="!!!",F4633="NEW"),"",INDEX(B4632:B$2,-1+SUMPRODUCT(MAX(ROW(E4632:E$2)*(E4633=E4632:E$2)))))</f>
        <v> </v>
      </c>
      <c r="J4633" s="25" t="str">
        <f>IF(OR(E4633="",E4633="!!!",F4633="NEW"),"",COUNTBLANK(OFFSET(A$1,,,SUMPRODUCT(MAX(ROW(E$2:E4633)*(E4633=E$2:E4633)))))-COUNTBLANK(OFFSET(A$1,,,SUMPRODUCT(MAX(ROW(E$1:E4632)*(E2=E$1:E4632))))))</f>
        <v> </v>
      </c>
      <c r="K4633" s="25" t="str">
        <f>IF(OR(E4633="",E4633="!!!",F4633="NEW"),"",INDEX(J$1:J4632,SUMPRODUCT(MAX(ROW(E$1:E4632)*(E4633=E$1:E4632)))))</f>
        <v> </v>
      </c>
      <c r="L4633" s="26"/>
    </row>
    <row r="4634" spans="1:12">
      <c r="A4634" s="20" t="s">
        <v>1444</v>
      </c>
      <c r="B4634" s="27" t="s">
        <v>879</v>
      </c>
      <c r="C4634" s="27" t="s">
        <v>761</v>
      </c>
      <c r="D4634" s="27" t="s">
        <v>762</v>
      </c>
      <c r="E4634" s="21">
        <f>IF(D4634="?OLD","!!!","")</f>
        <v/>
      </c>
      <c r="F4634" s="22" t="str">
        <f>IF(OR(E4634="",E4634="!!!"),"",IF(NOT(ISNA(VLOOKUP(E4634,E$1:E4633,1,FALSE()))),"OLD",IF(AND(E4634&lt;&gt;"",E4634&lt;&gt;"!!!"),"NEW","")))</f>
        <v> </v>
      </c>
      <c r="G4634" s="23" t="str">
        <f>IF(OR(E4634="",E4634="!!!"),"",IF(OR(J4634=0,AND(J4634=1,K4634=1),AND(J4634=1,I4634="SBJ"),AND(J4634=1,I4634=0)),"?IN_FOCUS",IF(J4634&lt;=2,"?ACTIVATED",IF(J4634&lt;&gt;"","?FAMILIAR",IF(F4634="NEW",IF(ISNA(VLOOKUP(E4634,#REF!,1,FALSE())),"?TYPE_IDENTIFIABLE","?REFERENTIAL"),"_")))))</f>
        <v> </v>
      </c>
      <c r="H4634" s="24" t="str">
        <f>IF(J4634&lt;&gt;1,"",IF(I4634="SBJ","CB","?"))</f>
        <v> </v>
      </c>
      <c r="I4634" s="25" t="str">
        <f>IF(OR(E4634="",E4634="!!!",F4634="NEW"),"",INDEX(B4633:B$2,-1+SUMPRODUCT(MAX(ROW(E4633:E$2)*(E4634=E4633:E$2)))))</f>
        <v> </v>
      </c>
      <c r="J4634" s="25" t="str">
        <f>IF(OR(E4634="",E4634="!!!",F4634="NEW"),"",COUNTBLANK(OFFSET(A$1,,,SUMPRODUCT(MAX(ROW(E$2:E4634)*(E4634=E$2:E4634)))))-COUNTBLANK(OFFSET(A$1,,,SUMPRODUCT(MAX(ROW(E$1:E4633)*(E2=E$1:E4633))))))</f>
        <v> </v>
      </c>
      <c r="K4634" s="25" t="str">
        <f>IF(OR(E4634="",E4634="!!!",F4634="NEW"),"",INDEX(J$1:J4633,SUMPRODUCT(MAX(ROW(E$1:E4633)*(E4634=E$1:E4633)))))</f>
        <v> </v>
      </c>
      <c r="L4634" s="26"/>
    </row>
    <row r="4635" spans="1:12">
      <c r="A4635" s="20" t="s">
        <v>1007</v>
      </c>
      <c r="E4635" s="21">
        <f>IF(D4635="?OLD","!!!","")</f>
        <v/>
      </c>
      <c r="F4635" s="22" t="str">
        <f>IF(OR(E4635="",E4635="!!!"),"",IF(NOT(ISNA(VLOOKUP(E4635,E$1:E4634,1,FALSE()))),"OLD",IF(AND(E4635&lt;&gt;"",E4635&lt;&gt;"!!!"),"NEW","")))</f>
        <v> </v>
      </c>
      <c r="G4635" s="23" t="str">
        <f>IF(OR(E4635="",E4635="!!!"),"",IF(OR(J4635=0,AND(J4635=1,K4635=1),AND(J4635=1,I4635="SBJ"),AND(J4635=1,I4635=0)),"?IN_FOCUS",IF(J4635&lt;=2,"?ACTIVATED",IF(J4635&lt;&gt;"","?FAMILIAR",IF(F4635="NEW",IF(ISNA(VLOOKUP(E4635,#REF!,1,FALSE())),"?TYPE_IDENTIFIABLE","?REFERENTIAL"),"_")))))</f>
        <v> </v>
      </c>
      <c r="H4635" s="24" t="str">
        <f>IF(J4635&lt;&gt;1,"",IF(I4635="SBJ","CB","?"))</f>
        <v> </v>
      </c>
      <c r="I4635" s="25" t="str">
        <f>IF(OR(E4635="",E4635="!!!",F4635="NEW"),"",INDEX(B4634:B$2,-1+SUMPRODUCT(MAX(ROW(E4634:E$2)*(E4635=E4634:E$2)))))</f>
        <v> </v>
      </c>
      <c r="J4635" s="25" t="str">
        <f>IF(OR(E4635="",E4635="!!!",F4635="NEW"),"",COUNTBLANK(OFFSET(A$1,,,SUMPRODUCT(MAX(ROW(E$2:E4635)*(E4635=E$2:E4635)))))-COUNTBLANK(OFFSET(A$1,,,SUMPRODUCT(MAX(ROW(E$1:E4634)*(E2=E$1:E4634))))))</f>
        <v> </v>
      </c>
      <c r="K4635" s="25" t="str">
        <f>IF(OR(E4635="",E4635="!!!",F4635="NEW"),"",INDEX(J$1:J4634,SUMPRODUCT(MAX(ROW(E$1:E4634)*(E4635=E$1:E4634)))))</f>
        <v> </v>
      </c>
      <c r="L4635" s="26"/>
    </row>
    <row r="4636" spans="1:12">
      <c r="A4636" s="20" t="s">
        <v>779</v>
      </c>
      <c r="E4636" s="21">
        <f>IF(D4636="?OLD","!!!","")</f>
        <v/>
      </c>
      <c r="F4636" s="22" t="str">
        <f>IF(OR(E4636="",E4636="!!!"),"",IF(NOT(ISNA(VLOOKUP(E4636,E$1:E4635,1,FALSE()))),"OLD",IF(AND(E4636&lt;&gt;"",E4636&lt;&gt;"!!!"),"NEW","")))</f>
        <v> </v>
      </c>
      <c r="G4636" s="23" t="str">
        <f>IF(OR(E4636="",E4636="!!!"),"",IF(OR(J4636=0,AND(J4636=1,K4636=1),AND(J4636=1,I4636="SBJ"),AND(J4636=1,I4636=0)),"?IN_FOCUS",IF(J4636&lt;=2,"?ACTIVATED",IF(J4636&lt;&gt;"","?FAMILIAR",IF(F4636="NEW",IF(ISNA(VLOOKUP(E4636,#REF!,1,FALSE())),"?TYPE_IDENTIFIABLE","?REFERENTIAL"),"_")))))</f>
        <v> </v>
      </c>
      <c r="H4636" s="24" t="str">
        <f>IF(J4636&lt;&gt;1,"",IF(I4636="SBJ","CB","?"))</f>
        <v> </v>
      </c>
      <c r="I4636" s="25" t="str">
        <f>IF(OR(E4636="",E4636="!!!",F4636="NEW"),"",INDEX(B4635:B$2,-1+SUMPRODUCT(MAX(ROW(E4635:E$2)*(E4636=E4635:E$2)))))</f>
        <v> </v>
      </c>
      <c r="J4636" s="25" t="str">
        <f>IF(OR(E4636="",E4636="!!!",F4636="NEW"),"",COUNTBLANK(OFFSET(A$1,,,SUMPRODUCT(MAX(ROW(E$2:E4636)*(E4636=E$2:E4636)))))-COUNTBLANK(OFFSET(A$1,,,SUMPRODUCT(MAX(ROW(E$1:E4635)*(E2=E$1:E4635))))))</f>
        <v> </v>
      </c>
      <c r="K4636" s="25" t="str">
        <f>IF(OR(E4636="",E4636="!!!",F4636="NEW"),"",INDEX(J$1:J4635,SUMPRODUCT(MAX(ROW(E$1:E4635)*(E4636=E$1:E4635)))))</f>
        <v> </v>
      </c>
      <c r="L4636" s="26"/>
    </row>
    <row r="4637" spans="1:12">
      <c r="A4637" s="20" t="s">
        <v>2011</v>
      </c>
      <c r="B4637" s="27" t="s">
        <v>772</v>
      </c>
      <c r="C4637" s="27" t="s">
        <v>768</v>
      </c>
      <c r="E4637" s="21">
        <f>IF(D4637="?OLD","!!!","")</f>
        <v/>
      </c>
      <c r="F4637" s="22" t="str">
        <f>IF(OR(E4637="",E4637="!!!"),"",IF(NOT(ISNA(VLOOKUP(E4637,E$1:E4636,1,FALSE()))),"OLD",IF(AND(E4637&lt;&gt;"",E4637&lt;&gt;"!!!"),"NEW","")))</f>
        <v> </v>
      </c>
      <c r="G4637" s="23" t="str">
        <f>IF(OR(E4637="",E4637="!!!"),"",IF(OR(J4637=0,AND(J4637=1,K4637=1),AND(J4637=1,I4637="SBJ"),AND(J4637=1,I4637=0)),"?IN_FOCUS",IF(J4637&lt;=2,"?ACTIVATED",IF(J4637&lt;&gt;"","?FAMILIAR",IF(F4637="NEW",IF(ISNA(VLOOKUP(E4637,#REF!,1,FALSE())),"?TYPE_IDENTIFIABLE","?REFERENTIAL"),"_")))))</f>
        <v> </v>
      </c>
      <c r="H4637" s="24" t="str">
        <f>IF(J4637&lt;&gt;1,"",IF(I4637="SBJ","CB","?"))</f>
        <v> </v>
      </c>
      <c r="I4637" s="25" t="str">
        <f>IF(OR(E4637="",E4637="!!!",F4637="NEW"),"",INDEX(B4636:B$2,-1+SUMPRODUCT(MAX(ROW(E4636:E$2)*(E4637=E4636:E$2)))))</f>
        <v> </v>
      </c>
      <c r="J4637" s="25" t="str">
        <f>IF(OR(E4637="",E4637="!!!",F4637="NEW"),"",COUNTBLANK(OFFSET(A$1,,,SUMPRODUCT(MAX(ROW(E$2:E4637)*(E4637=E$2:E4637)))))-COUNTBLANK(OFFSET(A$1,,,SUMPRODUCT(MAX(ROW(E$1:E4636)*(E2=E$1:E4636))))))</f>
        <v> </v>
      </c>
      <c r="K4637" s="25" t="str">
        <f>IF(OR(E4637="",E4637="!!!",F4637="NEW"),"",INDEX(J$1:J4636,SUMPRODUCT(MAX(ROW(E$1:E4636)*(E4637=E$1:E4636)))))</f>
        <v> </v>
      </c>
      <c r="L4637" s="26"/>
    </row>
    <row r="4638" spans="1:12">
      <c r="A4638" s="20" t="s">
        <v>1007</v>
      </c>
      <c r="E4638" s="21">
        <f>IF(D4638="?OLD","!!!","")</f>
        <v/>
      </c>
      <c r="F4638" s="22" t="str">
        <f>IF(OR(E4638="",E4638="!!!"),"",IF(NOT(ISNA(VLOOKUP(E4638,E$1:E4637,1,FALSE()))),"OLD",IF(AND(E4638&lt;&gt;"",E4638&lt;&gt;"!!!"),"NEW","")))</f>
        <v> </v>
      </c>
      <c r="G4638" s="23" t="str">
        <f>IF(OR(E4638="",E4638="!!!"),"",IF(OR(J4638=0,AND(J4638=1,K4638=1),AND(J4638=1,I4638="SBJ"),AND(J4638=1,I4638=0)),"?IN_FOCUS",IF(J4638&lt;=2,"?ACTIVATED",IF(J4638&lt;&gt;"","?FAMILIAR",IF(F4638="NEW",IF(ISNA(VLOOKUP(E4638,#REF!,1,FALSE())),"?TYPE_IDENTIFIABLE","?REFERENTIAL"),"_")))))</f>
        <v> </v>
      </c>
      <c r="H4638" s="24" t="str">
        <f>IF(J4638&lt;&gt;1,"",IF(I4638="SBJ","CB","?"))</f>
        <v> </v>
      </c>
      <c r="I4638" s="25" t="str">
        <f>IF(OR(E4638="",E4638="!!!",F4638="NEW"),"",INDEX(B4637:B$2,-1+SUMPRODUCT(MAX(ROW(E4637:E$2)*(E4638=E4637:E$2)))))</f>
        <v> </v>
      </c>
      <c r="J4638" s="25" t="str">
        <f>IF(OR(E4638="",E4638="!!!",F4638="NEW"),"",COUNTBLANK(OFFSET(A$1,,,SUMPRODUCT(MAX(ROW(E$2:E4638)*(E4638=E$2:E4638)))))-COUNTBLANK(OFFSET(A$1,,,SUMPRODUCT(MAX(ROW(E$1:E4637)*(E2=E$1:E4637))))))</f>
        <v> </v>
      </c>
      <c r="K4638" s="25" t="str">
        <f>IF(OR(E4638="",E4638="!!!",F4638="NEW"),"",INDEX(J$1:J4637,SUMPRODUCT(MAX(ROW(E$1:E4637)*(E4638=E$1:E4637)))))</f>
        <v> </v>
      </c>
      <c r="L4638" s="26"/>
    </row>
    <row r="4639" spans="1:12">
      <c r="A4639" s="20" t="s">
        <v>822</v>
      </c>
      <c r="E4639" s="21">
        <f>IF(D4639="?OLD","!!!","")</f>
        <v/>
      </c>
      <c r="F4639" s="22" t="str">
        <f>IF(OR(E4639="",E4639="!!!"),"",IF(NOT(ISNA(VLOOKUP(E4639,E$1:E4638,1,FALSE()))),"OLD",IF(AND(E4639&lt;&gt;"",E4639&lt;&gt;"!!!"),"NEW","")))</f>
        <v> </v>
      </c>
      <c r="G4639" s="23" t="str">
        <f>IF(OR(E4639="",E4639="!!!"),"",IF(OR(J4639=0,AND(J4639=1,K4639=1),AND(J4639=1,I4639="SBJ"),AND(J4639=1,I4639=0)),"?IN_FOCUS",IF(J4639&lt;=2,"?ACTIVATED",IF(J4639&lt;&gt;"","?FAMILIAR",IF(F4639="NEW",IF(ISNA(VLOOKUP(E4639,#REF!,1,FALSE())),"?TYPE_IDENTIFIABLE","?REFERENTIAL"),"_")))))</f>
        <v> </v>
      </c>
      <c r="H4639" s="24" t="str">
        <f>IF(J4639&lt;&gt;1,"",IF(I4639="SBJ","CB","?"))</f>
        <v> </v>
      </c>
      <c r="I4639" s="25" t="str">
        <f>IF(OR(E4639="",E4639="!!!",F4639="NEW"),"",INDEX(B4638:B$2,-1+SUMPRODUCT(MAX(ROW(E4638:E$2)*(E4639=E4638:E$2)))))</f>
        <v> </v>
      </c>
      <c r="J4639" s="25" t="str">
        <f>IF(OR(E4639="",E4639="!!!",F4639="NEW"),"",COUNTBLANK(OFFSET(A$1,,,SUMPRODUCT(MAX(ROW(E$2:E4639)*(E4639=E$2:E4639)))))-COUNTBLANK(OFFSET(A$1,,,SUMPRODUCT(MAX(ROW(E$1:E4638)*(E2=E$1:E4638))))))</f>
        <v> </v>
      </c>
      <c r="K4639" s="25" t="str">
        <f>IF(OR(E4639="",E4639="!!!",F4639="NEW"),"",INDEX(J$1:J4638,SUMPRODUCT(MAX(ROW(E$1:E4638)*(E4639=E$1:E4638)))))</f>
        <v> </v>
      </c>
      <c r="L4639" s="26"/>
    </row>
    <row r="4640" spans="1:12">
      <c r="A4640" s="20" t="s">
        <v>1108</v>
      </c>
      <c r="B4640" s="27" t="s">
        <v>879</v>
      </c>
      <c r="C4640" s="27" t="s">
        <v>761</v>
      </c>
      <c r="D4640" s="27" t="s">
        <v>762</v>
      </c>
      <c r="E4640" s="21">
        <f>IF(D4640="?OLD","!!!","")</f>
        <v/>
      </c>
      <c r="F4640" s="22" t="str">
        <f>IF(OR(E4640="",E4640="!!!"),"",IF(NOT(ISNA(VLOOKUP(E4640,E$1:E4639,1,FALSE()))),"OLD",IF(AND(E4640&lt;&gt;"",E4640&lt;&gt;"!!!"),"NEW","")))</f>
        <v> </v>
      </c>
      <c r="G4640" s="23" t="str">
        <f>IF(OR(E4640="",E4640="!!!"),"",IF(OR(J4640=0,AND(J4640=1,K4640=1),AND(J4640=1,I4640="SBJ"),AND(J4640=1,I4640=0)),"?IN_FOCUS",IF(J4640&lt;=2,"?ACTIVATED",IF(J4640&lt;&gt;"","?FAMILIAR",IF(F4640="NEW",IF(ISNA(VLOOKUP(E4640,#REF!,1,FALSE())),"?TYPE_IDENTIFIABLE","?REFERENTIAL"),"_")))))</f>
        <v> </v>
      </c>
      <c r="H4640" s="24" t="str">
        <f>IF(J4640&lt;&gt;1,"",IF(I4640="SBJ","CB","?"))</f>
        <v> </v>
      </c>
      <c r="I4640" s="25" t="str">
        <f>IF(OR(E4640="",E4640="!!!",F4640="NEW"),"",INDEX(B4639:B$2,-1+SUMPRODUCT(MAX(ROW(E4639:E$2)*(E4640=E4639:E$2)))))</f>
        <v> </v>
      </c>
      <c r="J4640" s="25" t="str">
        <f>IF(OR(E4640="",E4640="!!!",F4640="NEW"),"",COUNTBLANK(OFFSET(A$1,,,SUMPRODUCT(MAX(ROW(E$2:E4640)*(E4640=E$2:E4640)))))-COUNTBLANK(OFFSET(A$1,,,SUMPRODUCT(MAX(ROW(E$1:E4639)*(E2=E$1:E4639))))))</f>
        <v> </v>
      </c>
      <c r="K4640" s="25" t="str">
        <f>IF(OR(E4640="",E4640="!!!",F4640="NEW"),"",INDEX(J$1:J4639,SUMPRODUCT(MAX(ROW(E$1:E4639)*(E4640=E$1:E4639)))))</f>
        <v> </v>
      </c>
      <c r="L4640" s="26"/>
    </row>
    <row r="4641" spans="1:12">
      <c r="A4641" s="20" t="s">
        <v>793</v>
      </c>
      <c r="E4641" s="21">
        <f>IF(D4641="?OLD","!!!","")</f>
        <v/>
      </c>
      <c r="F4641" s="22" t="str">
        <f>IF(OR(E4641="",E4641="!!!"),"",IF(NOT(ISNA(VLOOKUP(E4641,E$1:E4640,1,FALSE()))),"OLD",IF(AND(E4641&lt;&gt;"",E4641&lt;&gt;"!!!"),"NEW","")))</f>
        <v> </v>
      </c>
      <c r="G4641" s="23" t="str">
        <f>IF(OR(E4641="",E4641="!!!"),"",IF(OR(J4641=0,AND(J4641=1,K4641=1),AND(J4641=1,I4641="SBJ"),AND(J4641=1,I4641=0)),"?IN_FOCUS",IF(J4641&lt;=2,"?ACTIVATED",IF(J4641&lt;&gt;"","?FAMILIAR",IF(F4641="NEW",IF(ISNA(VLOOKUP(E4641,#REF!,1,FALSE())),"?TYPE_IDENTIFIABLE","?REFERENTIAL"),"_")))))</f>
        <v> </v>
      </c>
      <c r="H4641" s="24" t="str">
        <f>IF(J4641&lt;&gt;1,"",IF(I4641="SBJ","CB","?"))</f>
        <v> </v>
      </c>
      <c r="I4641" s="25" t="str">
        <f>IF(OR(E4641="",E4641="!!!",F4641="NEW"),"",INDEX(B4640:B$2,-1+SUMPRODUCT(MAX(ROW(E4640:E$2)*(E4641=E4640:E$2)))))</f>
        <v> </v>
      </c>
      <c r="J4641" s="25" t="str">
        <f>IF(OR(E4641="",E4641="!!!",F4641="NEW"),"",COUNTBLANK(OFFSET(A$1,,,SUMPRODUCT(MAX(ROW(E$2:E4641)*(E4641=E$2:E4641)))))-COUNTBLANK(OFFSET(A$1,,,SUMPRODUCT(MAX(ROW(E$1:E4640)*(E2=E$1:E4640))))))</f>
        <v> </v>
      </c>
      <c r="K4641" s="25" t="str">
        <f>IF(OR(E4641="",E4641="!!!",F4641="NEW"),"",INDEX(J$1:J4640,SUMPRODUCT(MAX(ROW(E$1:E4640)*(E4641=E$1:E4640)))))</f>
        <v> </v>
      </c>
      <c r="L4641" s="26"/>
    </row>
    <row r="4642" spans="1:12">
      <c r="A4642" s="20" t="s">
        <v>838</v>
      </c>
      <c r="E4642" s="21">
        <f>IF(D4642="?OLD","!!!","")</f>
        <v/>
      </c>
      <c r="F4642" s="22" t="str">
        <f>IF(OR(E4642="",E4642="!!!"),"",IF(NOT(ISNA(VLOOKUP(E4642,E$1:E4641,1,FALSE()))),"OLD",IF(AND(E4642&lt;&gt;"",E4642&lt;&gt;"!!!"),"NEW","")))</f>
        <v> </v>
      </c>
      <c r="G4642" s="23" t="str">
        <f>IF(OR(E4642="",E4642="!!!"),"",IF(OR(J4642=0,AND(J4642=1,K4642=1),AND(J4642=1,I4642="SBJ"),AND(J4642=1,I4642=0)),"?IN_FOCUS",IF(J4642&lt;=2,"?ACTIVATED",IF(J4642&lt;&gt;"","?FAMILIAR",IF(F4642="NEW",IF(ISNA(VLOOKUP(E4642,#REF!,1,FALSE())),"?TYPE_IDENTIFIABLE","?REFERENTIAL"),"_")))))</f>
        <v> </v>
      </c>
      <c r="H4642" s="24" t="str">
        <f>IF(J4642&lt;&gt;1,"",IF(I4642="SBJ","CB","?"))</f>
        <v> </v>
      </c>
      <c r="I4642" s="25" t="str">
        <f>IF(OR(E4642="",E4642="!!!",F4642="NEW"),"",INDEX(B4641:B$2,-1+SUMPRODUCT(MAX(ROW(E4641:E$2)*(E4642=E4641:E$2)))))</f>
        <v> </v>
      </c>
      <c r="J4642" s="25" t="str">
        <f>IF(OR(E4642="",E4642="!!!",F4642="NEW"),"",COUNTBLANK(OFFSET(A$1,,,SUMPRODUCT(MAX(ROW(E$2:E4642)*(E4642=E$2:E4642)))))-COUNTBLANK(OFFSET(A$1,,,SUMPRODUCT(MAX(ROW(E$1:E4641)*(E2=E$1:E4641))))))</f>
        <v> </v>
      </c>
      <c r="K4642" s="25" t="str">
        <f>IF(OR(E4642="",E4642="!!!",F4642="NEW"),"",INDEX(J$1:J4641,SUMPRODUCT(MAX(ROW(E$1:E4641)*(E4642=E$1:E4641)))))</f>
        <v> </v>
      </c>
      <c r="L4642" s="26"/>
    </row>
    <row r="4643" spans="1:12">
      <c r="A4643" s="20" t="s">
        <v>125</v>
      </c>
      <c r="B4643" s="27" t="s">
        <v>956</v>
      </c>
      <c r="C4643" s="27" t="s">
        <v>761</v>
      </c>
      <c r="D4643" s="27" t="s">
        <v>762</v>
      </c>
      <c r="E4643" s="21">
        <f>IF(D4643="?OLD","!!!","")</f>
        <v/>
      </c>
      <c r="F4643" s="22" t="str">
        <f>IF(OR(E4643="",E4643="!!!"),"",IF(NOT(ISNA(VLOOKUP(E4643,E$1:E4642,1,FALSE()))),"OLD",IF(AND(E4643&lt;&gt;"",E4643&lt;&gt;"!!!"),"NEW","")))</f>
        <v> </v>
      </c>
      <c r="G4643" s="23" t="str">
        <f>IF(OR(E4643="",E4643="!!!"),"",IF(OR(J4643=0,AND(J4643=1,K4643=1),AND(J4643=1,I4643="SBJ"),AND(J4643=1,I4643=0)),"?IN_FOCUS",IF(J4643&lt;=2,"?ACTIVATED",IF(J4643&lt;&gt;"","?FAMILIAR",IF(F4643="NEW",IF(ISNA(VLOOKUP(E4643,#REF!,1,FALSE())),"?TYPE_IDENTIFIABLE","?REFERENTIAL"),"_")))))</f>
        <v> </v>
      </c>
      <c r="H4643" s="24" t="str">
        <f>IF(J4643&lt;&gt;1,"",IF(I4643="SBJ","CB","?"))</f>
        <v> </v>
      </c>
      <c r="I4643" s="25" t="str">
        <f>IF(OR(E4643="",E4643="!!!",F4643="NEW"),"",INDEX(B4642:B$2,-1+SUMPRODUCT(MAX(ROW(E4642:E$2)*(E4643=E4642:E$2)))))</f>
        <v> </v>
      </c>
      <c r="J4643" s="25" t="str">
        <f>IF(OR(E4643="",E4643="!!!",F4643="NEW"),"",COUNTBLANK(OFFSET(A$1,,,SUMPRODUCT(MAX(ROW(E$2:E4643)*(E4643=E$2:E4643)))))-COUNTBLANK(OFFSET(A$1,,,SUMPRODUCT(MAX(ROW(E$1:E4642)*(E2=E$1:E4642))))))</f>
        <v> </v>
      </c>
      <c r="K4643" s="25" t="str">
        <f>IF(OR(E4643="",E4643="!!!",F4643="NEW"),"",INDEX(J$1:J4642,SUMPRODUCT(MAX(ROW(E$1:E4642)*(E4643=E$1:E4642)))))</f>
        <v> </v>
      </c>
      <c r="L4643" s="26"/>
    </row>
    <row r="4644" spans="1:12">
      <c r="A4644" s="20" t="s">
        <v>1025</v>
      </c>
      <c r="E4644" s="21">
        <f>IF(D4644="?OLD","!!!","")</f>
        <v/>
      </c>
      <c r="F4644" s="22" t="str">
        <f>IF(OR(E4644="",E4644="!!!"),"",IF(NOT(ISNA(VLOOKUP(E4644,E$1:E4643,1,FALSE()))),"OLD",IF(AND(E4644&lt;&gt;"",E4644&lt;&gt;"!!!"),"NEW","")))</f>
        <v> </v>
      </c>
      <c r="G4644" s="23" t="str">
        <f>IF(OR(E4644="",E4644="!!!"),"",IF(OR(J4644=0,AND(J4644=1,K4644=1),AND(J4644=1,I4644="SBJ"),AND(J4644=1,I4644=0)),"?IN_FOCUS",IF(J4644&lt;=2,"?ACTIVATED",IF(J4644&lt;&gt;"","?FAMILIAR",IF(F4644="NEW",IF(ISNA(VLOOKUP(E4644,#REF!,1,FALSE())),"?TYPE_IDENTIFIABLE","?REFERENTIAL"),"_")))))</f>
        <v> </v>
      </c>
      <c r="H4644" s="24" t="str">
        <f>IF(J4644&lt;&gt;1,"",IF(I4644="SBJ","CB","?"))</f>
        <v> </v>
      </c>
      <c r="I4644" s="25" t="str">
        <f>IF(OR(E4644="",E4644="!!!",F4644="NEW"),"",INDEX(B4643:B$2,-1+SUMPRODUCT(MAX(ROW(E4643:E$2)*(E4644=E4643:E$2)))))</f>
        <v> </v>
      </c>
      <c r="J4644" s="25" t="str">
        <f>IF(OR(E4644="",E4644="!!!",F4644="NEW"),"",COUNTBLANK(OFFSET(A$1,,,SUMPRODUCT(MAX(ROW(E$2:E4644)*(E4644=E$2:E4644)))))-COUNTBLANK(OFFSET(A$1,,,SUMPRODUCT(MAX(ROW(E$1:E4643)*(E2=E$1:E4643))))))</f>
        <v> </v>
      </c>
      <c r="K4644" s="25" t="str">
        <f>IF(OR(E4644="",E4644="!!!",F4644="NEW"),"",INDEX(J$1:J4643,SUMPRODUCT(MAX(ROW(E$1:E4643)*(E4644=E$1:E4643)))))</f>
        <v> </v>
      </c>
      <c r="L4644" s="26"/>
    </row>
    <row r="4645" spans="1:12">
      <c r="A4645" s="20" t="s">
        <v>2012</v>
      </c>
      <c r="E4645" s="21">
        <f>IF(D4645="?OLD","!!!","")</f>
        <v/>
      </c>
      <c r="F4645" s="22" t="str">
        <f>IF(OR(E4645="",E4645="!!!"),"",IF(NOT(ISNA(VLOOKUP(E4645,E$1:E4644,1,FALSE()))),"OLD",IF(AND(E4645&lt;&gt;"",E4645&lt;&gt;"!!!"),"NEW","")))</f>
        <v> </v>
      </c>
      <c r="G4645" s="23" t="str">
        <f>IF(OR(E4645="",E4645="!!!"),"",IF(OR(J4645=0,AND(J4645=1,K4645=1),AND(J4645=1,I4645="SBJ"),AND(J4645=1,I4645=0)),"?IN_FOCUS",IF(J4645&lt;=2,"?ACTIVATED",IF(J4645&lt;&gt;"","?FAMILIAR",IF(F4645="NEW",IF(ISNA(VLOOKUP(E4645,#REF!,1,FALSE())),"?TYPE_IDENTIFIABLE","?REFERENTIAL"),"_")))))</f>
        <v> </v>
      </c>
      <c r="H4645" s="24" t="str">
        <f>IF(J4645&lt;&gt;1,"",IF(I4645="SBJ","CB","?"))</f>
        <v> </v>
      </c>
      <c r="I4645" s="25" t="str">
        <f>IF(OR(E4645="",E4645="!!!",F4645="NEW"),"",INDEX(B4644:B$2,-1+SUMPRODUCT(MAX(ROW(E4644:E$2)*(E4645=E4644:E$2)))))</f>
        <v> </v>
      </c>
      <c r="J4645" s="25" t="str">
        <f>IF(OR(E4645="",E4645="!!!",F4645="NEW"),"",COUNTBLANK(OFFSET(A$1,,,SUMPRODUCT(MAX(ROW(E$2:E4645)*(E4645=E$2:E4645)))))-COUNTBLANK(OFFSET(A$1,,,SUMPRODUCT(MAX(ROW(E$1:E4644)*(E2=E$1:E4644))))))</f>
        <v> </v>
      </c>
      <c r="K4645" s="25" t="str">
        <f>IF(OR(E4645="",E4645="!!!",F4645="NEW"),"",INDEX(J$1:J4644,SUMPRODUCT(MAX(ROW(E$1:E4644)*(E4645=E$1:E4644)))))</f>
        <v> </v>
      </c>
      <c r="L4645" s="26"/>
    </row>
    <row r="4646" spans="1:12">
      <c r="A4646" s="20" t="s">
        <v>785</v>
      </c>
      <c r="E4646" s="21">
        <f>IF(D4646="?OLD","!!!","")</f>
        <v/>
      </c>
      <c r="F4646" s="22" t="str">
        <f>IF(OR(E4646="",E4646="!!!"),"",IF(NOT(ISNA(VLOOKUP(E4646,E$1:E4645,1,FALSE()))),"OLD",IF(AND(E4646&lt;&gt;"",E4646&lt;&gt;"!!!"),"NEW","")))</f>
        <v> </v>
      </c>
      <c r="G4646" s="23" t="str">
        <f>IF(OR(E4646="",E4646="!!!"),"",IF(OR(J4646=0,AND(J4646=1,K4646=1),AND(J4646=1,I4646="SBJ"),AND(J4646=1,I4646=0)),"?IN_FOCUS",IF(J4646&lt;=2,"?ACTIVATED",IF(J4646&lt;&gt;"","?FAMILIAR",IF(F4646="NEW",IF(ISNA(VLOOKUP(E4646,#REF!,1,FALSE())),"?TYPE_IDENTIFIABLE","?REFERENTIAL"),"_")))))</f>
        <v> </v>
      </c>
      <c r="H4646" s="24" t="str">
        <f>IF(J4646&lt;&gt;1,"",IF(I4646="SBJ","CB","?"))</f>
        <v> </v>
      </c>
      <c r="I4646" s="25" t="str">
        <f>IF(OR(E4646="",E4646="!!!",F4646="NEW"),"",INDEX(B4645:B$2,-1+SUMPRODUCT(MAX(ROW(E4645:E$2)*(E4646=E4645:E$2)))))</f>
        <v> </v>
      </c>
      <c r="J4646" s="25" t="str">
        <f>IF(OR(E4646="",E4646="!!!",F4646="NEW"),"",COUNTBLANK(OFFSET(A$1,,,SUMPRODUCT(MAX(ROW(E$2:E4646)*(E4646=E$2:E4646)))))-COUNTBLANK(OFFSET(A$1,,,SUMPRODUCT(MAX(ROW(E$1:E4645)*(E2=E$1:E4645))))))</f>
        <v> </v>
      </c>
      <c r="K4646" s="25" t="str">
        <f>IF(OR(E4646="",E4646="!!!",F4646="NEW"),"",INDEX(J$1:J4645,SUMPRODUCT(MAX(ROW(E$1:E4645)*(E4646=E$1:E4645)))))</f>
        <v> </v>
      </c>
      <c r="L4646" s="26"/>
    </row>
    <row r="4647" spans="1:12">
      <c r="A4647" s="20" t="s">
        <v>1159</v>
      </c>
      <c r="E4647" s="21">
        <f>IF(D4647="?OLD","!!!","")</f>
        <v/>
      </c>
      <c r="F4647" s="22" t="str">
        <f>IF(OR(E4647="",E4647="!!!"),"",IF(NOT(ISNA(VLOOKUP(E4647,E$1:E4646,1,FALSE()))),"OLD",IF(AND(E4647&lt;&gt;"",E4647&lt;&gt;"!!!"),"NEW","")))</f>
        <v> </v>
      </c>
      <c r="G4647" s="23" t="str">
        <f>IF(OR(E4647="",E4647="!!!"),"",IF(OR(J4647=0,AND(J4647=1,K4647=1),AND(J4647=1,I4647="SBJ"),AND(J4647=1,I4647=0)),"?IN_FOCUS",IF(J4647&lt;=2,"?ACTIVATED",IF(J4647&lt;&gt;"","?FAMILIAR",IF(F4647="NEW",IF(ISNA(VLOOKUP(E4647,#REF!,1,FALSE())),"?TYPE_IDENTIFIABLE","?REFERENTIAL"),"_")))))</f>
        <v> </v>
      </c>
      <c r="H4647" s="24" t="str">
        <f>IF(J4647&lt;&gt;1,"",IF(I4647="SBJ","CB","?"))</f>
        <v> </v>
      </c>
      <c r="I4647" s="25" t="str">
        <f>IF(OR(E4647="",E4647="!!!",F4647="NEW"),"",INDEX(B4646:B$2,-1+SUMPRODUCT(MAX(ROW(E4646:E$2)*(E4647=E4646:E$2)))))</f>
        <v> </v>
      </c>
      <c r="J4647" s="25" t="str">
        <f>IF(OR(E4647="",E4647="!!!",F4647="NEW"),"",COUNTBLANK(OFFSET(A$1,,,SUMPRODUCT(MAX(ROW(E$2:E4647)*(E4647=E$2:E4647)))))-COUNTBLANK(OFFSET(A$1,,,SUMPRODUCT(MAX(ROW(E$1:E4646)*(E2=E$1:E4646))))))</f>
        <v> </v>
      </c>
      <c r="K4647" s="25" t="str">
        <f>IF(OR(E4647="",E4647="!!!",F4647="NEW"),"",INDEX(J$1:J4646,SUMPRODUCT(MAX(ROW(E$1:E4646)*(E4647=E$1:E4646)))))</f>
        <v> </v>
      </c>
      <c r="L4647" s="26"/>
    </row>
    <row r="4648" spans="1:12">
      <c r="A4648" s="20" t="s">
        <v>2013</v>
      </c>
      <c r="B4648" s="27" t="s">
        <v>879</v>
      </c>
      <c r="C4648" s="27" t="s">
        <v>1019</v>
      </c>
      <c r="D4648" s="27" t="s">
        <v>762</v>
      </c>
      <c r="E4648" s="21">
        <f>IF(D4648="?OLD","!!!","")</f>
        <v/>
      </c>
      <c r="F4648" s="22" t="str">
        <f>IF(OR(E4648="",E4648="!!!"),"",IF(NOT(ISNA(VLOOKUP(E4648,E$1:E4647,1,FALSE()))),"OLD",IF(AND(E4648&lt;&gt;"",E4648&lt;&gt;"!!!"),"NEW","")))</f>
        <v> </v>
      </c>
      <c r="G4648" s="23" t="str">
        <f>IF(OR(E4648="",E4648="!!!"),"",IF(OR(J4648=0,AND(J4648=1,K4648=1),AND(J4648=1,I4648="SBJ"),AND(J4648=1,I4648=0)),"?IN_FOCUS",IF(J4648&lt;=2,"?ACTIVATED",IF(J4648&lt;&gt;"","?FAMILIAR",IF(F4648="NEW",IF(ISNA(VLOOKUP(E4648,#REF!,1,FALSE())),"?TYPE_IDENTIFIABLE","?REFERENTIAL"),"_")))))</f>
        <v> </v>
      </c>
      <c r="H4648" s="24" t="str">
        <f>IF(J4648&lt;&gt;1,"",IF(I4648="SBJ","CB","?"))</f>
        <v> </v>
      </c>
      <c r="I4648" s="25" t="str">
        <f>IF(OR(E4648="",E4648="!!!",F4648="NEW"),"",INDEX(B4647:B$2,-1+SUMPRODUCT(MAX(ROW(E4647:E$2)*(E4648=E4647:E$2)))))</f>
        <v> </v>
      </c>
      <c r="J4648" s="25" t="str">
        <f>IF(OR(E4648="",E4648="!!!",F4648="NEW"),"",COUNTBLANK(OFFSET(A$1,,,SUMPRODUCT(MAX(ROW(E$2:E4648)*(E4648=E$2:E4648)))))-COUNTBLANK(OFFSET(A$1,,,SUMPRODUCT(MAX(ROW(E$1:E4647)*(E2=E$1:E4647))))))</f>
        <v> </v>
      </c>
      <c r="K4648" s="25" t="str">
        <f>IF(OR(E4648="",E4648="!!!",F4648="NEW"),"",INDEX(J$1:J4647,SUMPRODUCT(MAX(ROW(E$1:E4647)*(E4648=E$1:E4647)))))</f>
        <v> </v>
      </c>
      <c r="L4648" s="26"/>
    </row>
    <row r="4649" spans="1:12">
      <c r="A4649" s="20" t="s">
        <v>769</v>
      </c>
      <c r="E4649" s="21">
        <f>IF(D4649="?OLD","!!!","")</f>
        <v/>
      </c>
      <c r="F4649" s="22" t="str">
        <f>IF(OR(E4649="",E4649="!!!"),"",IF(NOT(ISNA(VLOOKUP(E4649,E$1:E4648,1,FALSE()))),"OLD",IF(AND(E4649&lt;&gt;"",E4649&lt;&gt;"!!!"),"NEW","")))</f>
        <v> </v>
      </c>
      <c r="G4649" s="23" t="str">
        <f>IF(OR(E4649="",E4649="!!!"),"",IF(OR(J4649=0,AND(J4649=1,K4649=1),AND(J4649=1,I4649="SBJ"),AND(J4649=1,I4649=0)),"?IN_FOCUS",IF(J4649&lt;=2,"?ACTIVATED",IF(J4649&lt;&gt;"","?FAMILIAR",IF(F4649="NEW",IF(ISNA(VLOOKUP(E4649,#REF!,1,FALSE())),"?TYPE_IDENTIFIABLE","?REFERENTIAL"),"_")))))</f>
        <v> </v>
      </c>
      <c r="H4649" s="24" t="str">
        <f>IF(J4649&lt;&gt;1,"",IF(I4649="SBJ","CB","?"))</f>
        <v> </v>
      </c>
      <c r="I4649" s="25" t="str">
        <f>IF(OR(E4649="",E4649="!!!",F4649="NEW"),"",INDEX(B4648:B$2,-1+SUMPRODUCT(MAX(ROW(E4648:E$2)*(E4649=E4648:E$2)))))</f>
        <v> </v>
      </c>
      <c r="J4649" s="25" t="str">
        <f>IF(OR(E4649="",E4649="!!!",F4649="NEW"),"",COUNTBLANK(OFFSET(A$1,,,SUMPRODUCT(MAX(ROW(E$2:E4649)*(E4649=E$2:E4649)))))-COUNTBLANK(OFFSET(A$1,,,SUMPRODUCT(MAX(ROW(E$1:E4648)*(E2=E$1:E4648))))))</f>
        <v> </v>
      </c>
      <c r="K4649" s="25" t="str">
        <f>IF(OR(E4649="",E4649="!!!",F4649="NEW"),"",INDEX(J$1:J4648,SUMPRODUCT(MAX(ROW(E$1:E4648)*(E4649=E$1:E4648)))))</f>
        <v> </v>
      </c>
      <c r="L4649" s="26"/>
    </row>
    <row r="4650" spans="1:12">
      <c r="A4650" s="20" t="s">
        <v>1696</v>
      </c>
      <c r="B4650" s="27" t="s">
        <v>901</v>
      </c>
      <c r="C4650" s="27" t="s">
        <v>754</v>
      </c>
      <c r="E4650" s="21">
        <f>IF(D4650="?OLD","!!!","")</f>
        <v/>
      </c>
      <c r="F4650" s="22" t="str">
        <f>IF(OR(E4650="",E4650="!!!"),"",IF(NOT(ISNA(VLOOKUP(E4650,E$1:E4649,1,FALSE()))),"OLD",IF(AND(E4650&lt;&gt;"",E4650&lt;&gt;"!!!"),"NEW","")))</f>
        <v> </v>
      </c>
      <c r="G4650" s="23" t="str">
        <f>IF(OR(E4650="",E4650="!!!"),"",IF(OR(J4650=0,AND(J4650=1,K4650=1),AND(J4650=1,I4650="SBJ"),AND(J4650=1,I4650=0)),"?IN_FOCUS",IF(J4650&lt;=2,"?ACTIVATED",IF(J4650&lt;&gt;"","?FAMILIAR",IF(F4650="NEW",IF(ISNA(VLOOKUP(E4650,#REF!,1,FALSE())),"?TYPE_IDENTIFIABLE","?REFERENTIAL"),"_")))))</f>
        <v> </v>
      </c>
      <c r="H4650" s="24" t="str">
        <f>IF(J4650&lt;&gt;1,"",IF(I4650="SBJ","CB","?"))</f>
        <v> </v>
      </c>
      <c r="I4650" s="25" t="str">
        <f>IF(OR(E4650="",E4650="!!!",F4650="NEW"),"",INDEX(B4649:B$2,-1+SUMPRODUCT(MAX(ROW(E4649:E$2)*(E4650=E4649:E$2)))))</f>
        <v> </v>
      </c>
      <c r="J4650" s="25" t="str">
        <f>IF(OR(E4650="",E4650="!!!",F4650="NEW"),"",COUNTBLANK(OFFSET(A$1,,,SUMPRODUCT(MAX(ROW(E$2:E4650)*(E4650=E$2:E4650)))))-COUNTBLANK(OFFSET(A$1,,,SUMPRODUCT(MAX(ROW(E$1:E4649)*(E2=E$1:E4649))))))</f>
        <v> </v>
      </c>
      <c r="K4650" s="25" t="str">
        <f>IF(OR(E4650="",E4650="!!!",F4650="NEW"),"",INDEX(J$1:J4649,SUMPRODUCT(MAX(ROW(E$1:E4649)*(E4650=E$1:E4649)))))</f>
        <v> </v>
      </c>
      <c r="L4650" s="26"/>
    </row>
    <row r="4651" spans="1:12">
      <c r="A4651" s="20" t="s">
        <v>805</v>
      </c>
      <c r="E4651" s="21">
        <f>IF(D4651="?OLD","!!!","")</f>
        <v/>
      </c>
      <c r="F4651" s="22" t="str">
        <f>IF(OR(E4651="",E4651="!!!"),"",IF(NOT(ISNA(VLOOKUP(E4651,E$1:E4650,1,FALSE()))),"OLD",IF(AND(E4651&lt;&gt;"",E4651&lt;&gt;"!!!"),"NEW","")))</f>
        <v> </v>
      </c>
      <c r="G4651" s="23" t="str">
        <f>IF(OR(E4651="",E4651="!!!"),"",IF(OR(J4651=0,AND(J4651=1,K4651=1),AND(J4651=1,I4651="SBJ"),AND(J4651=1,I4651=0)),"?IN_FOCUS",IF(J4651&lt;=2,"?ACTIVATED",IF(J4651&lt;&gt;"","?FAMILIAR",IF(F4651="NEW",IF(ISNA(VLOOKUP(E4651,#REF!,1,FALSE())),"?TYPE_IDENTIFIABLE","?REFERENTIAL"),"_")))))</f>
        <v> </v>
      </c>
      <c r="H4651" s="24" t="str">
        <f>IF(J4651&lt;&gt;1,"",IF(I4651="SBJ","CB","?"))</f>
        <v> </v>
      </c>
      <c r="I4651" s="25" t="str">
        <f>IF(OR(E4651="",E4651="!!!",F4651="NEW"),"",INDEX(B4650:B$2,-1+SUMPRODUCT(MAX(ROW(E4650:E$2)*(E4651=E4650:E$2)))))</f>
        <v> </v>
      </c>
      <c r="J4651" s="25" t="str">
        <f>IF(OR(E4651="",E4651="!!!",F4651="NEW"),"",COUNTBLANK(OFFSET(A$1,,,SUMPRODUCT(MAX(ROW(E$2:E4651)*(E4651=E$2:E4651)))))-COUNTBLANK(OFFSET(A$1,,,SUMPRODUCT(MAX(ROW(E$1:E4650)*(E2=E$1:E4650))))))</f>
        <v> </v>
      </c>
      <c r="K4651" s="25" t="str">
        <f>IF(OR(E4651="",E4651="!!!",F4651="NEW"),"",INDEX(J$1:J4650,SUMPRODUCT(MAX(ROW(E$1:E4650)*(E4651=E$1:E4650)))))</f>
        <v> </v>
      </c>
      <c r="L4651" s="26"/>
    </row>
    <row r="4652" spans="1:12">
      <c r="A4652" s="20" t="s">
        <v>943</v>
      </c>
      <c r="B4652" s="27" t="s">
        <v>815</v>
      </c>
      <c r="C4652" s="27" t="s">
        <v>754</v>
      </c>
      <c r="E4652" s="21">
        <f>IF(D4652="?OLD","!!!","")</f>
        <v/>
      </c>
      <c r="F4652" s="22" t="str">
        <f>IF(OR(E4652="",E4652="!!!"),"",IF(NOT(ISNA(VLOOKUP(E4652,E$1:E4651,1,FALSE()))),"OLD",IF(AND(E4652&lt;&gt;"",E4652&lt;&gt;"!!!"),"NEW","")))</f>
        <v> </v>
      </c>
      <c r="G4652" s="23" t="str">
        <f>IF(OR(E4652="",E4652="!!!"),"",IF(OR(J4652=0,AND(J4652=1,K4652=1),AND(J4652=1,I4652="SBJ"),AND(J4652=1,I4652=0)),"?IN_FOCUS",IF(J4652&lt;=2,"?ACTIVATED",IF(J4652&lt;&gt;"","?FAMILIAR",IF(F4652="NEW",IF(ISNA(VLOOKUP(E4652,#REF!,1,FALSE())),"?TYPE_IDENTIFIABLE","?REFERENTIAL"),"_")))))</f>
        <v> </v>
      </c>
      <c r="H4652" s="24" t="str">
        <f>IF(J4652&lt;&gt;1,"",IF(I4652="SBJ","CB","?"))</f>
        <v> </v>
      </c>
      <c r="I4652" s="25" t="str">
        <f>IF(OR(E4652="",E4652="!!!",F4652="NEW"),"",INDEX(B4651:B$2,-1+SUMPRODUCT(MAX(ROW(E4651:E$2)*(E4652=E4651:E$2)))))</f>
        <v> </v>
      </c>
      <c r="J4652" s="25" t="str">
        <f>IF(OR(E4652="",E4652="!!!",F4652="NEW"),"",COUNTBLANK(OFFSET(A$1,,,SUMPRODUCT(MAX(ROW(E$2:E4652)*(E4652=E$2:E4652)))))-COUNTBLANK(OFFSET(A$1,,,SUMPRODUCT(MAX(ROW(E$1:E4651)*(E2=E$1:E4651))))))</f>
        <v> </v>
      </c>
      <c r="K4652" s="25" t="str">
        <f>IF(OR(E4652="",E4652="!!!",F4652="NEW"),"",INDEX(J$1:J4651,SUMPRODUCT(MAX(ROW(E$1:E4651)*(E4652=E$1:E4651)))))</f>
        <v> </v>
      </c>
      <c r="L4652" s="26"/>
    </row>
    <row r="4653" spans="1:12">
      <c r="A4653" s="20" t="s">
        <v>2014</v>
      </c>
      <c r="E4653" s="21">
        <f>IF(D4653="?OLD","!!!","")</f>
        <v/>
      </c>
      <c r="F4653" s="22" t="str">
        <f>IF(OR(E4653="",E4653="!!!"),"",IF(NOT(ISNA(VLOOKUP(E4653,E$1:E4652,1,FALSE()))),"OLD",IF(AND(E4653&lt;&gt;"",E4653&lt;&gt;"!!!"),"NEW","")))</f>
        <v> </v>
      </c>
      <c r="G4653" s="23" t="str">
        <f>IF(OR(E4653="",E4653="!!!"),"",IF(OR(J4653=0,AND(J4653=1,K4653=1),AND(J4653=1,I4653="SBJ"),AND(J4653=1,I4653=0)),"?IN_FOCUS",IF(J4653&lt;=2,"?ACTIVATED",IF(J4653&lt;&gt;"","?FAMILIAR",IF(F4653="NEW",IF(ISNA(VLOOKUP(E4653,#REF!,1,FALSE())),"?TYPE_IDENTIFIABLE","?REFERENTIAL"),"_")))))</f>
        <v> </v>
      </c>
      <c r="H4653" s="24" t="str">
        <f>IF(J4653&lt;&gt;1,"",IF(I4653="SBJ","CB","?"))</f>
        <v> </v>
      </c>
      <c r="I4653" s="25" t="str">
        <f>IF(OR(E4653="",E4653="!!!",F4653="NEW"),"",INDEX(B4652:B$2,-1+SUMPRODUCT(MAX(ROW(E4652:E$2)*(E4653=E4652:E$2)))))</f>
        <v> </v>
      </c>
      <c r="J4653" s="25" t="str">
        <f>IF(OR(E4653="",E4653="!!!",F4653="NEW"),"",COUNTBLANK(OFFSET(A$1,,,SUMPRODUCT(MAX(ROW(E$2:E4653)*(E4653=E$2:E4653)))))-COUNTBLANK(OFFSET(A$1,,,SUMPRODUCT(MAX(ROW(E$1:E4652)*(E2=E$1:E4652))))))</f>
        <v> </v>
      </c>
      <c r="K4653" s="25" t="str">
        <f>IF(OR(E4653="",E4653="!!!",F4653="NEW"),"",INDEX(J$1:J4652,SUMPRODUCT(MAX(ROW(E$1:E4652)*(E4653=E$1:E4652)))))</f>
        <v> </v>
      </c>
      <c r="L4653" s="26"/>
    </row>
    <row r="4654" spans="1:12">
      <c r="A4654" s="20" t="s">
        <v>757</v>
      </c>
      <c r="E4654" s="21">
        <f>IF(D4654="?OLD","!!!","")</f>
        <v/>
      </c>
      <c r="F4654" s="22" t="str">
        <f>IF(OR(E4654="",E4654="!!!"),"",IF(NOT(ISNA(VLOOKUP(E4654,E$1:E4653,1,FALSE()))),"OLD",IF(AND(E4654&lt;&gt;"",E4654&lt;&gt;"!!!"),"NEW","")))</f>
        <v> </v>
      </c>
      <c r="G4654" s="23" t="str">
        <f>IF(OR(E4654="",E4654="!!!"),"",IF(OR(J4654=0,AND(J4654=1,K4654=1),AND(J4654=1,I4654="SBJ"),AND(J4654=1,I4654=0)),"?IN_FOCUS",IF(J4654&lt;=2,"?ACTIVATED",IF(J4654&lt;&gt;"","?FAMILIAR",IF(F4654="NEW",IF(ISNA(VLOOKUP(E4654,#REF!,1,FALSE())),"?TYPE_IDENTIFIABLE","?REFERENTIAL"),"_")))))</f>
        <v> </v>
      </c>
      <c r="H4654" s="24" t="str">
        <f>IF(J4654&lt;&gt;1,"",IF(I4654="SBJ","CB","?"))</f>
        <v> </v>
      </c>
      <c r="I4654" s="25" t="str">
        <f>IF(OR(E4654="",E4654="!!!",F4654="NEW"),"",INDEX(B4653:B$2,-1+SUMPRODUCT(MAX(ROW(E4653:E$2)*(E4654=E4653:E$2)))))</f>
        <v> </v>
      </c>
      <c r="J4654" s="25" t="str">
        <f>IF(OR(E4654="",E4654="!!!",F4654="NEW"),"",COUNTBLANK(OFFSET(A$1,,,SUMPRODUCT(MAX(ROW(E$2:E4654)*(E4654=E$2:E4654)))))-COUNTBLANK(OFFSET(A$1,,,SUMPRODUCT(MAX(ROW(E$1:E4653)*(E2=E$1:E4653))))))</f>
        <v> </v>
      </c>
      <c r="K4654" s="25" t="str">
        <f>IF(OR(E4654="",E4654="!!!",F4654="NEW"),"",INDEX(J$1:J4653,SUMPRODUCT(MAX(ROW(E$1:E4653)*(E4654=E$1:E4653)))))</f>
        <v> </v>
      </c>
      <c r="L4654" s="26"/>
    </row>
    <row r="4655" spans="1:12">
      <c r="A4655" s="20" t="s">
        <v>810</v>
      </c>
      <c r="E4655" s="21">
        <f>IF(D4655="?OLD","!!!","")</f>
        <v/>
      </c>
      <c r="F4655" s="22" t="str">
        <f>IF(OR(E4655="",E4655="!!!"),"",IF(NOT(ISNA(VLOOKUP(E4655,E$1:E4654,1,FALSE()))),"OLD",IF(AND(E4655&lt;&gt;"",E4655&lt;&gt;"!!!"),"NEW","")))</f>
        <v> </v>
      </c>
      <c r="G4655" s="23" t="str">
        <f>IF(OR(E4655="",E4655="!!!"),"",IF(OR(J4655=0,AND(J4655=1,K4655=1),AND(J4655=1,I4655="SBJ"),AND(J4655=1,I4655=0)),"?IN_FOCUS",IF(J4655&lt;=2,"?ACTIVATED",IF(J4655&lt;&gt;"","?FAMILIAR",IF(F4655="NEW",IF(ISNA(VLOOKUP(E4655,#REF!,1,FALSE())),"?TYPE_IDENTIFIABLE","?REFERENTIAL"),"_")))))</f>
        <v> </v>
      </c>
      <c r="H4655" s="24" t="str">
        <f>IF(J4655&lt;&gt;1,"",IF(I4655="SBJ","CB","?"))</f>
        <v> </v>
      </c>
      <c r="I4655" s="25" t="str">
        <f>IF(OR(E4655="",E4655="!!!",F4655="NEW"),"",INDEX(B4654:B$2,-1+SUMPRODUCT(MAX(ROW(E4654:E$2)*(E4655=E4654:E$2)))))</f>
        <v> </v>
      </c>
      <c r="J4655" s="25" t="str">
        <f>IF(OR(E4655="",E4655="!!!",F4655="NEW"),"",COUNTBLANK(OFFSET(A$1,,,SUMPRODUCT(MAX(ROW(E$2:E4655)*(E4655=E$2:E4655)))))-COUNTBLANK(OFFSET(A$1,,,SUMPRODUCT(MAX(ROW(E$1:E4654)*(E2=E$1:E4654))))))</f>
        <v> </v>
      </c>
      <c r="K4655" s="25" t="str">
        <f>IF(OR(E4655="",E4655="!!!",F4655="NEW"),"",INDEX(J$1:J4654,SUMPRODUCT(MAX(ROW(E$1:E4654)*(E4655=E$1:E4654)))))</f>
        <v> </v>
      </c>
      <c r="L4655" s="26"/>
    </row>
    <row r="4656" spans="1:12">
      <c r="A4656" s="20" t="s">
        <v>869</v>
      </c>
      <c r="B4656" s="27" t="s">
        <v>796</v>
      </c>
      <c r="C4656" s="27" t="s">
        <v>797</v>
      </c>
      <c r="D4656" s="27" t="s">
        <v>762</v>
      </c>
      <c r="E4656" s="21">
        <f>IF(D4656="?OLD","!!!","")</f>
        <v/>
      </c>
      <c r="F4656" s="22" t="str">
        <f>IF(OR(E4656="",E4656="!!!"),"",IF(NOT(ISNA(VLOOKUP(E4656,E$1:E4655,1,FALSE()))),"OLD",IF(AND(E4656&lt;&gt;"",E4656&lt;&gt;"!!!"),"NEW","")))</f>
        <v> </v>
      </c>
      <c r="G4656" s="23" t="str">
        <f>IF(OR(E4656="",E4656="!!!"),"",IF(OR(J4656=0,AND(J4656=1,K4656=1),AND(J4656=1,I4656="SBJ"),AND(J4656=1,I4656=0)),"?IN_FOCUS",IF(J4656&lt;=2,"?ACTIVATED",IF(J4656&lt;&gt;"","?FAMILIAR",IF(F4656="NEW",IF(ISNA(VLOOKUP(E4656,#REF!,1,FALSE())),"?TYPE_IDENTIFIABLE","?REFERENTIAL"),"_")))))</f>
        <v> </v>
      </c>
      <c r="H4656" s="24" t="str">
        <f>IF(J4656&lt;&gt;1,"",IF(I4656="SBJ","CB","?"))</f>
        <v> </v>
      </c>
      <c r="I4656" s="25" t="str">
        <f>IF(OR(E4656="",E4656="!!!",F4656="NEW"),"",INDEX(B4655:B$2,-1+SUMPRODUCT(MAX(ROW(E4655:E$2)*(E4656=E4655:E$2)))))</f>
        <v> </v>
      </c>
      <c r="J4656" s="25" t="str">
        <f>IF(OR(E4656="",E4656="!!!",F4656="NEW"),"",COUNTBLANK(OFFSET(A$1,,,SUMPRODUCT(MAX(ROW(E$2:E4656)*(E4656=E$2:E4656)))))-COUNTBLANK(OFFSET(A$1,,,SUMPRODUCT(MAX(ROW(E$1:E4655)*(E2=E$1:E4655))))))</f>
        <v> </v>
      </c>
      <c r="K4656" s="25" t="str">
        <f>IF(OR(E4656="",E4656="!!!",F4656="NEW"),"",INDEX(J$1:J4655,SUMPRODUCT(MAX(ROW(E$1:E4655)*(E4656=E$1:E4655)))))</f>
        <v> </v>
      </c>
      <c r="L4656" s="26"/>
    </row>
    <row r="4657" spans="1:12">
      <c r="A4657" s="20" t="s">
        <v>798</v>
      </c>
      <c r="E4657" s="21">
        <f>IF(D4657="?OLD","!!!","")</f>
        <v/>
      </c>
      <c r="F4657" s="22" t="str">
        <f>IF(OR(E4657="",E4657="!!!"),"",IF(NOT(ISNA(VLOOKUP(E4657,E$1:E4656,1,FALSE()))),"OLD",IF(AND(E4657&lt;&gt;"",E4657&lt;&gt;"!!!"),"NEW","")))</f>
        <v> </v>
      </c>
      <c r="G4657" s="23" t="str">
        <f>IF(OR(E4657="",E4657="!!!"),"",IF(OR(J4657=0,AND(J4657=1,K4657=1),AND(J4657=1,I4657="SBJ"),AND(J4657=1,I4657=0)),"?IN_FOCUS",IF(J4657&lt;=2,"?ACTIVATED",IF(J4657&lt;&gt;"","?FAMILIAR",IF(F4657="NEW",IF(ISNA(VLOOKUP(E4657,#REF!,1,FALSE())),"?TYPE_IDENTIFIABLE","?REFERENTIAL"),"_")))))</f>
        <v> </v>
      </c>
      <c r="H4657" s="24" t="str">
        <f>IF(J4657&lt;&gt;1,"",IF(I4657="SBJ","CB","?"))</f>
        <v> </v>
      </c>
      <c r="I4657" s="25" t="str">
        <f>IF(OR(E4657="",E4657="!!!",F4657="NEW"),"",INDEX(B4656:B$2,-1+SUMPRODUCT(MAX(ROW(E4656:E$2)*(E4657=E4656:E$2)))))</f>
        <v> </v>
      </c>
      <c r="J4657" s="25" t="str">
        <f>IF(OR(E4657="",E4657="!!!",F4657="NEW"),"",COUNTBLANK(OFFSET(A$1,,,SUMPRODUCT(MAX(ROW(E$2:E4657)*(E4657=E$2:E4657)))))-COUNTBLANK(OFFSET(A$1,,,SUMPRODUCT(MAX(ROW(E$1:E4656)*(E2=E$1:E4656))))))</f>
        <v> </v>
      </c>
      <c r="K4657" s="25" t="str">
        <f>IF(OR(E4657="",E4657="!!!",F4657="NEW"),"",INDEX(J$1:J4656,SUMPRODUCT(MAX(ROW(E$1:E4656)*(E4657=E$1:E4656)))))</f>
        <v> </v>
      </c>
      <c r="L4657" s="26"/>
    </row>
    <row r="4658" spans="1:12">
      <c r="A4658" s="20" t="s">
        <v>683</v>
      </c>
      <c r="E4658" s="21">
        <f>IF(D4658="?OLD","!!!","")</f>
        <v/>
      </c>
      <c r="F4658" s="22" t="str">
        <f>IF(OR(E4658="",E4658="!!!"),"",IF(NOT(ISNA(VLOOKUP(E4658,E$1:E4657,1,FALSE()))),"OLD",IF(AND(E4658&lt;&gt;"",E4658&lt;&gt;"!!!"),"NEW","")))</f>
        <v> </v>
      </c>
      <c r="G4658" s="23" t="str">
        <f>IF(OR(E4658="",E4658="!!!"),"",IF(OR(J4658=0,AND(J4658=1,K4658=1),AND(J4658=1,I4658="SBJ"),AND(J4658=1,I4658=0)),"?IN_FOCUS",IF(J4658&lt;=2,"?ACTIVATED",IF(J4658&lt;&gt;"","?FAMILIAR",IF(F4658="NEW",IF(ISNA(VLOOKUP(E4658,#REF!,1,FALSE())),"?TYPE_IDENTIFIABLE","?REFERENTIAL"),"_")))))</f>
        <v> </v>
      </c>
      <c r="H4658" s="24" t="str">
        <f>IF(J4658&lt;&gt;1,"",IF(I4658="SBJ","CB","?"))</f>
        <v> </v>
      </c>
      <c r="I4658" s="25" t="str">
        <f>IF(OR(E4658="",E4658="!!!",F4658="NEW"),"",INDEX(B4657:B$2,-1+SUMPRODUCT(MAX(ROW(E4657:E$2)*(E4658=E4657:E$2)))))</f>
        <v> </v>
      </c>
      <c r="J4658" s="25" t="str">
        <f>IF(OR(E4658="",E4658="!!!",F4658="NEW"),"",COUNTBLANK(OFFSET(A$1,,,SUMPRODUCT(MAX(ROW(E$2:E4658)*(E4658=E$2:E4658)))))-COUNTBLANK(OFFSET(A$1,,,SUMPRODUCT(MAX(ROW(E$1:E4657)*(E2=E$1:E4657))))))</f>
        <v> </v>
      </c>
      <c r="K4658" s="25" t="str">
        <f>IF(OR(E4658="",E4658="!!!",F4658="NEW"),"",INDEX(J$1:J4657,SUMPRODUCT(MAX(ROW(E$1:E4657)*(E4658=E$1:E4657)))))</f>
        <v> </v>
      </c>
      <c r="L4658" s="26"/>
    </row>
    <row r="4659" spans="1:12">
      <c r="A4659" s="20" t="s">
        <v>804</v>
      </c>
      <c r="E4659" s="21">
        <f>IF(D4659="?OLD","!!!","")</f>
        <v/>
      </c>
      <c r="F4659" s="22" t="str">
        <f>IF(OR(E4659="",E4659="!!!"),"",IF(NOT(ISNA(VLOOKUP(E4659,E$1:E4658,1,FALSE()))),"OLD",IF(AND(E4659&lt;&gt;"",E4659&lt;&gt;"!!!"),"NEW","")))</f>
        <v> </v>
      </c>
      <c r="G4659" s="23" t="str">
        <f>IF(OR(E4659="",E4659="!!!"),"",IF(OR(J4659=0,AND(J4659=1,K4659=1),AND(J4659=1,I4659="SBJ"),AND(J4659=1,I4659=0)),"?IN_FOCUS",IF(J4659&lt;=2,"?ACTIVATED",IF(J4659&lt;&gt;"","?FAMILIAR",IF(F4659="NEW",IF(ISNA(VLOOKUP(E4659,#REF!,1,FALSE())),"?TYPE_IDENTIFIABLE","?REFERENTIAL"),"_")))))</f>
        <v> </v>
      </c>
      <c r="H4659" s="24" t="str">
        <f>IF(J4659&lt;&gt;1,"",IF(I4659="SBJ","CB","?"))</f>
        <v> </v>
      </c>
      <c r="I4659" s="25" t="str">
        <f>IF(OR(E4659="",E4659="!!!",F4659="NEW"),"",INDEX(B4658:B$2,-1+SUMPRODUCT(MAX(ROW(E4658:E$2)*(E4659=E4658:E$2)))))</f>
        <v> </v>
      </c>
      <c r="J4659" s="25" t="str">
        <f>IF(OR(E4659="",E4659="!!!",F4659="NEW"),"",COUNTBLANK(OFFSET(A$1,,,SUMPRODUCT(MAX(ROW(E$2:E4659)*(E4659=E$2:E4659)))))-COUNTBLANK(OFFSET(A$1,,,SUMPRODUCT(MAX(ROW(E$1:E4658)*(E2=E$1:E4658))))))</f>
        <v> </v>
      </c>
      <c r="K4659" s="25" t="str">
        <f>IF(OR(E4659="",E4659="!!!",F4659="NEW"),"",INDEX(J$1:J4658,SUMPRODUCT(MAX(ROW(E$1:E4658)*(E4659=E$1:E4658)))))</f>
        <v> </v>
      </c>
      <c r="L4659" s="26"/>
    </row>
    <row r="4660" spans="1:12">
      <c r="A4660" s="20" t="s">
        <v>838</v>
      </c>
      <c r="B4660" s="27" t="s">
        <v>894</v>
      </c>
      <c r="C4660" s="27" t="s">
        <v>797</v>
      </c>
      <c r="D4660" s="27" t="s">
        <v>762</v>
      </c>
      <c r="E4660" s="21">
        <f>IF(D4660="?OLD","!!!","")</f>
        <v/>
      </c>
      <c r="F4660" s="22" t="str">
        <f>IF(OR(E4660="",E4660="!!!"),"",IF(NOT(ISNA(VLOOKUP(E4660,E$1:E4659,1,FALSE()))),"OLD",IF(AND(E4660&lt;&gt;"",E4660&lt;&gt;"!!!"),"NEW","")))</f>
        <v> </v>
      </c>
      <c r="G4660" s="23" t="str">
        <f>IF(OR(E4660="",E4660="!!!"),"",IF(OR(J4660=0,AND(J4660=1,K4660=1),AND(J4660=1,I4660="SBJ"),AND(J4660=1,I4660=0)),"?IN_FOCUS",IF(J4660&lt;=2,"?ACTIVATED",IF(J4660&lt;&gt;"","?FAMILIAR",IF(F4660="NEW",IF(ISNA(VLOOKUP(E4660,#REF!,1,FALSE())),"?TYPE_IDENTIFIABLE","?REFERENTIAL"),"_")))))</f>
        <v> </v>
      </c>
      <c r="H4660" s="24" t="str">
        <f>IF(J4660&lt;&gt;1,"",IF(I4660="SBJ","CB","?"))</f>
        <v> </v>
      </c>
      <c r="I4660" s="25" t="str">
        <f>IF(OR(E4660="",E4660="!!!",F4660="NEW"),"",INDEX(B4659:B$2,-1+SUMPRODUCT(MAX(ROW(E4659:E$2)*(E4660=E4659:E$2)))))</f>
        <v> </v>
      </c>
      <c r="J4660" s="25" t="str">
        <f>IF(OR(E4660="",E4660="!!!",F4660="NEW"),"",COUNTBLANK(OFFSET(A$1,,,SUMPRODUCT(MAX(ROW(E$2:E4660)*(E4660=E$2:E4660)))))-COUNTBLANK(OFFSET(A$1,,,SUMPRODUCT(MAX(ROW(E$1:E4659)*(E2=E$1:E4659))))))</f>
        <v> </v>
      </c>
      <c r="K4660" s="25" t="str">
        <f>IF(OR(E4660="",E4660="!!!",F4660="NEW"),"",INDEX(J$1:J4659,SUMPRODUCT(MAX(ROW(E$1:E4659)*(E4660=E$1:E4659)))))</f>
        <v> </v>
      </c>
      <c r="L4660" s="26"/>
    </row>
    <row r="4661" spans="1:12">
      <c r="A4661" s="20" t="s">
        <v>1077</v>
      </c>
      <c r="E4661" s="21">
        <f>IF(D4661="?OLD","!!!","")</f>
        <v/>
      </c>
      <c r="F4661" s="22" t="str">
        <f>IF(OR(E4661="",E4661="!!!"),"",IF(NOT(ISNA(VLOOKUP(E4661,E$1:E4660,1,FALSE()))),"OLD",IF(AND(E4661&lt;&gt;"",E4661&lt;&gt;"!!!"),"NEW","")))</f>
        <v> </v>
      </c>
      <c r="G4661" s="23" t="str">
        <f>IF(OR(E4661="",E4661="!!!"),"",IF(OR(J4661=0,AND(J4661=1,K4661=1),AND(J4661=1,I4661="SBJ"),AND(J4661=1,I4661=0)),"?IN_FOCUS",IF(J4661&lt;=2,"?ACTIVATED",IF(J4661&lt;&gt;"","?FAMILIAR",IF(F4661="NEW",IF(ISNA(VLOOKUP(E4661,#REF!,1,FALSE())),"?TYPE_IDENTIFIABLE","?REFERENTIAL"),"_")))))</f>
        <v> </v>
      </c>
      <c r="H4661" s="24" t="str">
        <f>IF(J4661&lt;&gt;1,"",IF(I4661="SBJ","CB","?"))</f>
        <v> </v>
      </c>
      <c r="I4661" s="25" t="str">
        <f>IF(OR(E4661="",E4661="!!!",F4661="NEW"),"",INDEX(B4660:B$2,-1+SUMPRODUCT(MAX(ROW(E4660:E$2)*(E4661=E4660:E$2)))))</f>
        <v> </v>
      </c>
      <c r="J4661" s="25" t="str">
        <f>IF(OR(E4661="",E4661="!!!",F4661="NEW"),"",COUNTBLANK(OFFSET(A$1,,,SUMPRODUCT(MAX(ROW(E$2:E4661)*(E4661=E$2:E4661)))))-COUNTBLANK(OFFSET(A$1,,,SUMPRODUCT(MAX(ROW(E$1:E4660)*(E2=E$1:E4660))))))</f>
        <v> </v>
      </c>
      <c r="K4661" s="25" t="str">
        <f>IF(OR(E4661="",E4661="!!!",F4661="NEW"),"",INDEX(J$1:J4660,SUMPRODUCT(MAX(ROW(E$1:E4660)*(E4661=E$1:E4660)))))</f>
        <v> </v>
      </c>
      <c r="L4661" s="26"/>
    </row>
    <row r="4662" spans="1:12">
      <c r="A4662" s="20" t="s">
        <v>774</v>
      </c>
      <c r="E4662" s="21">
        <f>IF(D4662="?OLD","!!!","")</f>
        <v/>
      </c>
      <c r="F4662" s="22" t="str">
        <f>IF(OR(E4662="",E4662="!!!"),"",IF(NOT(ISNA(VLOOKUP(E4662,E$1:E4661,1,FALSE()))),"OLD",IF(AND(E4662&lt;&gt;"",E4662&lt;&gt;"!!!"),"NEW","")))</f>
        <v> </v>
      </c>
      <c r="G4662" s="23" t="str">
        <f>IF(OR(E4662="",E4662="!!!"),"",IF(OR(J4662=0,AND(J4662=1,K4662=1),AND(J4662=1,I4662="SBJ"),AND(J4662=1,I4662=0)),"?IN_FOCUS",IF(J4662&lt;=2,"?ACTIVATED",IF(J4662&lt;&gt;"","?FAMILIAR",IF(F4662="NEW",IF(ISNA(VLOOKUP(E4662,#REF!,1,FALSE())),"?TYPE_IDENTIFIABLE","?REFERENTIAL"),"_")))))</f>
        <v> </v>
      </c>
      <c r="H4662" s="24" t="str">
        <f>IF(J4662&lt;&gt;1,"",IF(I4662="SBJ","CB","?"))</f>
        <v> </v>
      </c>
      <c r="I4662" s="25" t="str">
        <f>IF(OR(E4662="",E4662="!!!",F4662="NEW"),"",INDEX(B4661:B$2,-1+SUMPRODUCT(MAX(ROW(E4661:E$2)*(E4662=E4661:E$2)))))</f>
        <v> </v>
      </c>
      <c r="J4662" s="25" t="str">
        <f>IF(OR(E4662="",E4662="!!!",F4662="NEW"),"",COUNTBLANK(OFFSET(A$1,,,SUMPRODUCT(MAX(ROW(E$2:E4662)*(E4662=E$2:E4662)))))-COUNTBLANK(OFFSET(A$1,,,SUMPRODUCT(MAX(ROW(E$1:E4661)*(E2=E$1:E4661))))))</f>
        <v> </v>
      </c>
      <c r="K4662" s="25" t="str">
        <f>IF(OR(E4662="",E4662="!!!",F4662="NEW"),"",INDEX(J$1:J4661,SUMPRODUCT(MAX(ROW(E$1:E4661)*(E4662=E$1:E4661)))))</f>
        <v> </v>
      </c>
      <c r="L4662" s="26"/>
    </row>
    <row r="4663" spans="1:12">
      <c r="A4663" s="20"/>
    </row>
    <row r="4664" spans="1:12">
      <c r="A4664" s="20" t="s">
        <v>2015</v>
      </c>
    </row>
    <row r="4665" spans="1:12">
      <c r="A4665" s="20" t="s">
        <v>2016</v>
      </c>
      <c r="E4665" s="21">
        <f>IF(D4665="?OLD","!!!","")</f>
        <v/>
      </c>
      <c r="F4665" s="22" t="str">
        <f>IF(OR(E4665="",E4665="!!!"),"",IF(NOT(ISNA(VLOOKUP(E4665,E$1:E4664,1,FALSE()))),"OLD",IF(AND(E4665&lt;&gt;"",E4665&lt;&gt;"!!!"),"NEW","")))</f>
        <v> </v>
      </c>
      <c r="G4665" s="23" t="str">
        <f>IF(OR(E4665="",E4665="!!!"),"",IF(OR(J4665=0,AND(J4665=1,K4665=1),AND(J4665=1,I4665="SBJ"),AND(J4665=1,I4665=0)),"?IN_FOCUS",IF(J4665&lt;=2,"?ACTIVATED",IF(J4665&lt;&gt;"","?FAMILIAR",IF(F4665="NEW",IF(ISNA(VLOOKUP(E4665,#REF!,1,FALSE())),"?TYPE_IDENTIFIABLE","?REFERENTIAL"),"_")))))</f>
        <v> </v>
      </c>
      <c r="H4665" s="24" t="str">
        <f>IF(J4665&lt;&gt;1,"",IF(I4665="SBJ","CB","?"))</f>
        <v> </v>
      </c>
      <c r="I4665" s="25" t="str">
        <f>IF(OR(E4665="",E4665="!!!",F4665="NEW"),"",INDEX(B4664:B$2,-1+SUMPRODUCT(MAX(ROW(E4664:E$2)*(E4665=E4664:E$2)))))</f>
        <v> </v>
      </c>
      <c r="J4665" s="25" t="str">
        <f>IF(OR(E4665="",E4665="!!!",F4665="NEW"),"",COUNTBLANK(OFFSET(A$1,,,SUMPRODUCT(MAX(ROW(E$2:E4665)*(E4665=E$2:E4665)))))-COUNTBLANK(OFFSET(A$1,,,SUMPRODUCT(MAX(ROW(E$1:E4664)*(E2=E$1:E4664))))))</f>
        <v> </v>
      </c>
      <c r="K4665" s="25" t="str">
        <f>IF(OR(E4665="",E4665="!!!",F4665="NEW"),"",INDEX(J$1:J4664,SUMPRODUCT(MAX(ROW(E$1:E4664)*(E4665=E$1:E4664)))))</f>
        <v> </v>
      </c>
      <c r="L4665" s="26"/>
    </row>
    <row r="4666" spans="1:12">
      <c r="A4666" s="20" t="s">
        <v>793</v>
      </c>
      <c r="E4666" s="21">
        <f>IF(D4666="?OLD","!!!","")</f>
        <v/>
      </c>
      <c r="F4666" s="22" t="str">
        <f>IF(OR(E4666="",E4666="!!!"),"",IF(NOT(ISNA(VLOOKUP(E4666,E$1:E4665,1,FALSE()))),"OLD",IF(AND(E4666&lt;&gt;"",E4666&lt;&gt;"!!!"),"NEW","")))</f>
        <v> </v>
      </c>
      <c r="G4666" s="23" t="str">
        <f>IF(OR(E4666="",E4666="!!!"),"",IF(OR(J4666=0,AND(J4666=1,K4666=1),AND(J4666=1,I4666="SBJ"),AND(J4666=1,I4666=0)),"?IN_FOCUS",IF(J4666&lt;=2,"?ACTIVATED",IF(J4666&lt;&gt;"","?FAMILIAR",IF(F4666="NEW",IF(ISNA(VLOOKUP(E4666,#REF!,1,FALSE())),"?TYPE_IDENTIFIABLE","?REFERENTIAL"),"_")))))</f>
        <v> </v>
      </c>
      <c r="H4666" s="24" t="str">
        <f>IF(J4666&lt;&gt;1,"",IF(I4666="SBJ","CB","?"))</f>
        <v> </v>
      </c>
      <c r="I4666" s="25" t="str">
        <f>IF(OR(E4666="",E4666="!!!",F4666="NEW"),"",INDEX(B4665:B$2,-1+SUMPRODUCT(MAX(ROW(E4665:E$2)*(E4666=E4665:E$2)))))</f>
        <v> </v>
      </c>
      <c r="J4666" s="25" t="str">
        <f>IF(OR(E4666="",E4666="!!!",F4666="NEW"),"",COUNTBLANK(OFFSET(A$1,,,SUMPRODUCT(MAX(ROW(E$2:E4666)*(E4666=E$2:E4666)))))-COUNTBLANK(OFFSET(A$1,,,SUMPRODUCT(MAX(ROW(E$1:E4665)*(E2=E$1:E4665))))))</f>
        <v> </v>
      </c>
      <c r="K4666" s="25" t="str">
        <f>IF(OR(E4666="",E4666="!!!",F4666="NEW"),"",INDEX(J$1:J4665,SUMPRODUCT(MAX(ROW(E$1:E4665)*(E4666=E$1:E4665)))))</f>
        <v> </v>
      </c>
      <c r="L4666" s="26"/>
    </row>
    <row r="4667" spans="1:12">
      <c r="A4667" s="20" t="s">
        <v>757</v>
      </c>
      <c r="E4667" s="21">
        <f>IF(D4667="?OLD","!!!","")</f>
        <v/>
      </c>
      <c r="F4667" s="22" t="str">
        <f>IF(OR(E4667="",E4667="!!!"),"",IF(NOT(ISNA(VLOOKUP(E4667,E$1:E4666,1,FALSE()))),"OLD",IF(AND(E4667&lt;&gt;"",E4667&lt;&gt;"!!!"),"NEW","")))</f>
        <v> </v>
      </c>
      <c r="G4667" s="23" t="str">
        <f>IF(OR(E4667="",E4667="!!!"),"",IF(OR(J4667=0,AND(J4667=1,K4667=1),AND(J4667=1,I4667="SBJ"),AND(J4667=1,I4667=0)),"?IN_FOCUS",IF(J4667&lt;=2,"?ACTIVATED",IF(J4667&lt;&gt;"","?FAMILIAR",IF(F4667="NEW",IF(ISNA(VLOOKUP(E4667,#REF!,1,FALSE())),"?TYPE_IDENTIFIABLE","?REFERENTIAL"),"_")))))</f>
        <v> </v>
      </c>
      <c r="H4667" s="24" t="str">
        <f>IF(J4667&lt;&gt;1,"",IF(I4667="SBJ","CB","?"))</f>
        <v> </v>
      </c>
      <c r="I4667" s="25" t="str">
        <f>IF(OR(E4667="",E4667="!!!",F4667="NEW"),"",INDEX(B4666:B$2,-1+SUMPRODUCT(MAX(ROW(E4666:E$2)*(E4667=E4666:E$2)))))</f>
        <v> </v>
      </c>
      <c r="J4667" s="25" t="str">
        <f>IF(OR(E4667="",E4667="!!!",F4667="NEW"),"",COUNTBLANK(OFFSET(A$1,,,SUMPRODUCT(MAX(ROW(E$2:E4667)*(E4667=E$2:E4667)))))-COUNTBLANK(OFFSET(A$1,,,SUMPRODUCT(MAX(ROW(E$1:E4666)*(E2=E$1:E4666))))))</f>
        <v> </v>
      </c>
      <c r="K4667" s="25" t="str">
        <f>IF(OR(E4667="",E4667="!!!",F4667="NEW"),"",INDEX(J$1:J4666,SUMPRODUCT(MAX(ROW(E$1:E4666)*(E4667=E$1:E4666)))))</f>
        <v> </v>
      </c>
      <c r="L4667" s="26"/>
    </row>
    <row r="4668" spans="1:12">
      <c r="A4668" s="20" t="s">
        <v>954</v>
      </c>
      <c r="B4668" s="27" t="s">
        <v>760</v>
      </c>
      <c r="C4668" s="27" t="s">
        <v>777</v>
      </c>
      <c r="D4668" s="27" t="s">
        <v>762</v>
      </c>
      <c r="E4668" s="21">
        <f>IF(D4668="?OLD","!!!","")</f>
        <v/>
      </c>
      <c r="F4668" s="22" t="str">
        <f>IF(OR(E4668="",E4668="!!!"),"",IF(NOT(ISNA(VLOOKUP(E4668,E$1:E4667,1,FALSE()))),"OLD",IF(AND(E4668&lt;&gt;"",E4668&lt;&gt;"!!!"),"NEW","")))</f>
        <v> </v>
      </c>
      <c r="G4668" s="23" t="str">
        <f>IF(OR(E4668="",E4668="!!!"),"",IF(OR(J4668=0,AND(J4668=1,K4668=1),AND(J4668=1,I4668="SBJ"),AND(J4668=1,I4668=0)),"?IN_FOCUS",IF(J4668&lt;=2,"?ACTIVATED",IF(J4668&lt;&gt;"","?FAMILIAR",IF(F4668="NEW",IF(ISNA(VLOOKUP(E4668,#REF!,1,FALSE())),"?TYPE_IDENTIFIABLE","?REFERENTIAL"),"_")))))</f>
        <v> </v>
      </c>
      <c r="H4668" s="24" t="str">
        <f>IF(J4668&lt;&gt;1,"",IF(I4668="SBJ","CB","?"))</f>
        <v> </v>
      </c>
      <c r="I4668" s="25" t="str">
        <f>IF(OR(E4668="",E4668="!!!",F4668="NEW"),"",INDEX(B4667:B$2,-1+SUMPRODUCT(MAX(ROW(E4667:E$2)*(E4668=E4667:E$2)))))</f>
        <v> </v>
      </c>
      <c r="J4668" s="25" t="str">
        <f>IF(OR(E4668="",E4668="!!!",F4668="NEW"),"",COUNTBLANK(OFFSET(A$1,,,SUMPRODUCT(MAX(ROW(E$2:E4668)*(E4668=E$2:E4668)))))-COUNTBLANK(OFFSET(A$1,,,SUMPRODUCT(MAX(ROW(E$1:E4667)*(E2=E$1:E4667))))))</f>
        <v> </v>
      </c>
      <c r="K4668" s="25" t="str">
        <f>IF(OR(E4668="",E4668="!!!",F4668="NEW"),"",INDEX(J$1:J4667,SUMPRODUCT(MAX(ROW(E$1:E4667)*(E4668=E$1:E4667)))))</f>
        <v> </v>
      </c>
      <c r="L4668" s="26"/>
    </row>
    <row r="4669" spans="1:12">
      <c r="A4669" s="20" t="s">
        <v>793</v>
      </c>
      <c r="B4669" s="27" t="s">
        <v>894</v>
      </c>
      <c r="E4669" s="21">
        <f>IF(D4669="?OLD","!!!","")</f>
        <v/>
      </c>
      <c r="F4669" s="22" t="str">
        <f>IF(OR(E4669="",E4669="!!!"),"",IF(NOT(ISNA(VLOOKUP(E4669,E$1:E4668,1,FALSE()))),"OLD",IF(AND(E4669&lt;&gt;"",E4669&lt;&gt;"!!!"),"NEW","")))</f>
        <v> </v>
      </c>
      <c r="G4669" s="23" t="str">
        <f>IF(OR(E4669="",E4669="!!!"),"",IF(OR(J4669=0,AND(J4669=1,K4669=1),AND(J4669=1,I4669="SBJ"),AND(J4669=1,I4669=0)),"?IN_FOCUS",IF(J4669&lt;=2,"?ACTIVATED",IF(J4669&lt;&gt;"","?FAMILIAR",IF(F4669="NEW",IF(ISNA(VLOOKUP(E4669,#REF!,1,FALSE())),"?TYPE_IDENTIFIABLE","?REFERENTIAL"),"_")))))</f>
        <v> </v>
      </c>
      <c r="H4669" s="24" t="str">
        <f>IF(J4669&lt;&gt;1,"",IF(I4669="SBJ","CB","?"))</f>
        <v> </v>
      </c>
      <c r="I4669" s="25" t="str">
        <f>IF(OR(E4669="",E4669="!!!",F4669="NEW"),"",INDEX(B4668:B$2,-1+SUMPRODUCT(MAX(ROW(E4668:E$2)*(E4669=E4668:E$2)))))</f>
        <v> </v>
      </c>
      <c r="J4669" s="25" t="str">
        <f>IF(OR(E4669="",E4669="!!!",F4669="NEW"),"",COUNTBLANK(OFFSET(A$1,,,SUMPRODUCT(MAX(ROW(E$2:E4669)*(E4669=E$2:E4669)))))-COUNTBLANK(OFFSET(A$1,,,SUMPRODUCT(MAX(ROW(E$1:E4668)*(E2=E$1:E4668))))))</f>
        <v> </v>
      </c>
      <c r="K4669" s="25" t="str">
        <f>IF(OR(E4669="",E4669="!!!",F4669="NEW"),"",INDEX(J$1:J4668,SUMPRODUCT(MAX(ROW(E$1:E4668)*(E4669=E$1:E4668)))))</f>
        <v> </v>
      </c>
      <c r="L4669" s="26"/>
    </row>
    <row r="4670" spans="1:12">
      <c r="A4670" s="20" t="s">
        <v>869</v>
      </c>
      <c r="B4670" s="27" t="s">
        <v>956</v>
      </c>
      <c r="C4670" s="27" t="s">
        <v>797</v>
      </c>
      <c r="D4670" s="27" t="s">
        <v>762</v>
      </c>
      <c r="E4670" s="21">
        <f>IF(D4670="?OLD","!!!","")</f>
        <v/>
      </c>
      <c r="F4670" s="22" t="str">
        <f>IF(OR(E4670="",E4670="!!!"),"",IF(NOT(ISNA(VLOOKUP(E4670,E$1:E4669,1,FALSE()))),"OLD",IF(AND(E4670&lt;&gt;"",E4670&lt;&gt;"!!!"),"NEW","")))</f>
        <v> </v>
      </c>
      <c r="G4670" s="23" t="str">
        <f>IF(OR(E4670="",E4670="!!!"),"",IF(OR(J4670=0,AND(J4670=1,K4670=1),AND(J4670=1,I4670="SBJ"),AND(J4670=1,I4670=0)),"?IN_FOCUS",IF(J4670&lt;=2,"?ACTIVATED",IF(J4670&lt;&gt;"","?FAMILIAR",IF(F4670="NEW",IF(ISNA(VLOOKUP(E4670,#REF!,1,FALSE())),"?TYPE_IDENTIFIABLE","?REFERENTIAL"),"_")))))</f>
        <v> </v>
      </c>
      <c r="H4670" s="24" t="str">
        <f>IF(J4670&lt;&gt;1,"",IF(I4670="SBJ","CB","?"))</f>
        <v> </v>
      </c>
      <c r="I4670" s="25" t="str">
        <f>IF(OR(E4670="",E4670="!!!",F4670="NEW"),"",INDEX(B4669:B$2,-1+SUMPRODUCT(MAX(ROW(E4669:E$2)*(E4670=E4669:E$2)))))</f>
        <v> </v>
      </c>
      <c r="J4670" s="25" t="str">
        <f>IF(OR(E4670="",E4670="!!!",F4670="NEW"),"",COUNTBLANK(OFFSET(A$1,,,SUMPRODUCT(MAX(ROW(E$2:E4670)*(E4670=E$2:E4670)))))-COUNTBLANK(OFFSET(A$1,,,SUMPRODUCT(MAX(ROW(E$1:E4669)*(E2=E$1:E4669))))))</f>
        <v> </v>
      </c>
      <c r="K4670" s="25" t="str">
        <f>IF(OR(E4670="",E4670="!!!",F4670="NEW"),"",INDEX(J$1:J4669,SUMPRODUCT(MAX(ROW(E$1:E4669)*(E4670=E$1:E4669)))))</f>
        <v> </v>
      </c>
      <c r="L4670" s="26"/>
    </row>
    <row r="4671" spans="1:12">
      <c r="A4671" s="20" t="s">
        <v>2017</v>
      </c>
      <c r="E4671" s="21">
        <f>IF(D4671="?OLD","!!!","")</f>
        <v/>
      </c>
      <c r="F4671" s="22" t="str">
        <f>IF(OR(E4671="",E4671="!!!"),"",IF(NOT(ISNA(VLOOKUP(E4671,E$1:E4670,1,FALSE()))),"OLD",IF(AND(E4671&lt;&gt;"",E4671&lt;&gt;"!!!"),"NEW","")))</f>
        <v> </v>
      </c>
      <c r="G4671" s="23" t="str">
        <f>IF(OR(E4671="",E4671="!!!"),"",IF(OR(J4671=0,AND(J4671=1,K4671=1),AND(J4671=1,I4671="SBJ"),AND(J4671=1,I4671=0)),"?IN_FOCUS",IF(J4671&lt;=2,"?ACTIVATED",IF(J4671&lt;&gt;"","?FAMILIAR",IF(F4671="NEW",IF(ISNA(VLOOKUP(E4671,#REF!,1,FALSE())),"?TYPE_IDENTIFIABLE","?REFERENTIAL"),"_")))))</f>
        <v> </v>
      </c>
      <c r="H4671" s="24" t="str">
        <f>IF(J4671&lt;&gt;1,"",IF(I4671="SBJ","CB","?"))</f>
        <v> </v>
      </c>
      <c r="I4671" s="25" t="str">
        <f>IF(OR(E4671="",E4671="!!!",F4671="NEW"),"",INDEX(B4670:B$2,-1+SUMPRODUCT(MAX(ROW(E4670:E$2)*(E4671=E4670:E$2)))))</f>
        <v> </v>
      </c>
      <c r="J4671" s="25" t="str">
        <f>IF(OR(E4671="",E4671="!!!",F4671="NEW"),"",COUNTBLANK(OFFSET(A$1,,,SUMPRODUCT(MAX(ROW(E$2:E4671)*(E4671=E$2:E4671)))))-COUNTBLANK(OFFSET(A$1,,,SUMPRODUCT(MAX(ROW(E$1:E4670)*(E2=E$1:E4670))))))</f>
        <v> </v>
      </c>
      <c r="K4671" s="25" t="str">
        <f>IF(OR(E4671="",E4671="!!!",F4671="NEW"),"",INDEX(J$1:J4670,SUMPRODUCT(MAX(ROW(E$1:E4670)*(E4671=E$1:E4670)))))</f>
        <v> </v>
      </c>
      <c r="L4671" s="26"/>
    </row>
    <row r="4672" spans="1:12">
      <c r="A4672" s="20" t="s">
        <v>915</v>
      </c>
      <c r="E4672" s="21">
        <f>IF(D4672="?OLD","!!!","")</f>
        <v/>
      </c>
      <c r="F4672" s="22" t="str">
        <f>IF(OR(E4672="",E4672="!!!"),"",IF(NOT(ISNA(VLOOKUP(E4672,E$1:E4671,1,FALSE()))),"OLD",IF(AND(E4672&lt;&gt;"",E4672&lt;&gt;"!!!"),"NEW","")))</f>
        <v> </v>
      </c>
      <c r="G4672" s="23" t="str">
        <f>IF(OR(E4672="",E4672="!!!"),"",IF(OR(J4672=0,AND(J4672=1,K4672=1),AND(J4672=1,I4672="SBJ"),AND(J4672=1,I4672=0)),"?IN_FOCUS",IF(J4672&lt;=2,"?ACTIVATED",IF(J4672&lt;&gt;"","?FAMILIAR",IF(F4672="NEW",IF(ISNA(VLOOKUP(E4672,#REF!,1,FALSE())),"?TYPE_IDENTIFIABLE","?REFERENTIAL"),"_")))))</f>
        <v> </v>
      </c>
      <c r="H4672" s="24" t="str">
        <f>IF(J4672&lt;&gt;1,"",IF(I4672="SBJ","CB","?"))</f>
        <v> </v>
      </c>
      <c r="I4672" s="25" t="str">
        <f>IF(OR(E4672="",E4672="!!!",F4672="NEW"),"",INDEX(B4671:B$2,-1+SUMPRODUCT(MAX(ROW(E4671:E$2)*(E4672=E4671:E$2)))))</f>
        <v> </v>
      </c>
      <c r="J4672" s="25" t="str">
        <f>IF(OR(E4672="",E4672="!!!",F4672="NEW"),"",COUNTBLANK(OFFSET(A$1,,,SUMPRODUCT(MAX(ROW(E$2:E4672)*(E4672=E$2:E4672)))))-COUNTBLANK(OFFSET(A$1,,,SUMPRODUCT(MAX(ROW(E$1:E4671)*(E2=E$1:E4671))))))</f>
        <v> </v>
      </c>
      <c r="K4672" s="25" t="str">
        <f>IF(OR(E4672="",E4672="!!!",F4672="NEW"),"",INDEX(J$1:J4671,SUMPRODUCT(MAX(ROW(E$1:E4671)*(E4672=E$1:E4671)))))</f>
        <v> </v>
      </c>
      <c r="L4672" s="26"/>
    </row>
    <row r="4673" spans="1:12">
      <c r="A4673" s="20" t="s">
        <v>764</v>
      </c>
      <c r="E4673" s="21">
        <f>IF(D4673="?OLD","!!!","")</f>
        <v/>
      </c>
      <c r="F4673" s="22" t="str">
        <f>IF(OR(E4673="",E4673="!!!"),"",IF(NOT(ISNA(VLOOKUP(E4673,E$1:E4672,1,FALSE()))),"OLD",IF(AND(E4673&lt;&gt;"",E4673&lt;&gt;"!!!"),"NEW","")))</f>
        <v> </v>
      </c>
      <c r="G4673" s="23" t="str">
        <f>IF(OR(E4673="",E4673="!!!"),"",IF(OR(J4673=0,AND(J4673=1,K4673=1),AND(J4673=1,I4673="SBJ"),AND(J4673=1,I4673=0)),"?IN_FOCUS",IF(J4673&lt;=2,"?ACTIVATED",IF(J4673&lt;&gt;"","?FAMILIAR",IF(F4673="NEW",IF(ISNA(VLOOKUP(E4673,#REF!,1,FALSE())),"?TYPE_IDENTIFIABLE","?REFERENTIAL"),"_")))))</f>
        <v> </v>
      </c>
      <c r="H4673" s="24" t="str">
        <f>IF(J4673&lt;&gt;1,"",IF(I4673="SBJ","CB","?"))</f>
        <v> </v>
      </c>
      <c r="I4673" s="25" t="str">
        <f>IF(OR(E4673="",E4673="!!!",F4673="NEW"),"",INDEX(B4672:B$2,-1+SUMPRODUCT(MAX(ROW(E4672:E$2)*(E4673=E4672:E$2)))))</f>
        <v> </v>
      </c>
      <c r="J4673" s="25" t="str">
        <f>IF(OR(E4673="",E4673="!!!",F4673="NEW"),"",COUNTBLANK(OFFSET(A$1,,,SUMPRODUCT(MAX(ROW(E$2:E4673)*(E4673=E$2:E4673)))))-COUNTBLANK(OFFSET(A$1,,,SUMPRODUCT(MAX(ROW(E$1:E4672)*(E2=E$1:E4672))))))</f>
        <v> </v>
      </c>
      <c r="K4673" s="25" t="str">
        <f>IF(OR(E4673="",E4673="!!!",F4673="NEW"),"",INDEX(J$1:J4672,SUMPRODUCT(MAX(ROW(E$1:E4672)*(E4673=E$1:E4672)))))</f>
        <v> </v>
      </c>
      <c r="L4673" s="26"/>
    </row>
    <row r="4674" spans="1:12">
      <c r="A4674" s="20" t="s">
        <v>1177</v>
      </c>
      <c r="B4674" s="27" t="s">
        <v>753</v>
      </c>
      <c r="C4674" s="27" t="s">
        <v>768</v>
      </c>
      <c r="E4674" s="21">
        <f>IF(D4674="?OLD","!!!","")</f>
        <v/>
      </c>
      <c r="F4674" s="22" t="str">
        <f>IF(OR(E4674="",E4674="!!!"),"",IF(NOT(ISNA(VLOOKUP(E4674,E$1:E4673,1,FALSE()))),"OLD",IF(AND(E4674&lt;&gt;"",E4674&lt;&gt;"!!!"),"NEW","")))</f>
        <v> </v>
      </c>
      <c r="G4674" s="23" t="str">
        <f>IF(OR(E4674="",E4674="!!!"),"",IF(OR(J4674=0,AND(J4674=1,K4674=1),AND(J4674=1,I4674="SBJ"),AND(J4674=1,I4674=0)),"?IN_FOCUS",IF(J4674&lt;=2,"?ACTIVATED",IF(J4674&lt;&gt;"","?FAMILIAR",IF(F4674="NEW",IF(ISNA(VLOOKUP(E4674,#REF!,1,FALSE())),"?TYPE_IDENTIFIABLE","?REFERENTIAL"),"_")))))</f>
        <v> </v>
      </c>
      <c r="H4674" s="24" t="str">
        <f>IF(J4674&lt;&gt;1,"",IF(I4674="SBJ","CB","?"))</f>
        <v> </v>
      </c>
      <c r="I4674" s="25" t="str">
        <f>IF(OR(E4674="",E4674="!!!",F4674="NEW"),"",INDEX(B4673:B$2,-1+SUMPRODUCT(MAX(ROW(E4673:E$2)*(E4674=E4673:E$2)))))</f>
        <v> </v>
      </c>
      <c r="J4674" s="25" t="str">
        <f>IF(OR(E4674="",E4674="!!!",F4674="NEW"),"",COUNTBLANK(OFFSET(A$1,,,SUMPRODUCT(MAX(ROW(E$2:E4674)*(E4674=E$2:E4674)))))-COUNTBLANK(OFFSET(A$1,,,SUMPRODUCT(MAX(ROW(E$1:E4673)*(E2=E$1:E4673))))))</f>
        <v> </v>
      </c>
      <c r="K4674" s="25" t="str">
        <f>IF(OR(E4674="",E4674="!!!",F4674="NEW"),"",INDEX(J$1:J4673,SUMPRODUCT(MAX(ROW(E$1:E4673)*(E4674=E$1:E4673)))))</f>
        <v> </v>
      </c>
      <c r="L4674" s="26"/>
    </row>
    <row r="4675" spans="1:12">
      <c r="A4675" s="20" t="s">
        <v>769</v>
      </c>
      <c r="E4675" s="21">
        <f>IF(D4675="?OLD","!!!","")</f>
        <v/>
      </c>
      <c r="F4675" s="22" t="str">
        <f>IF(OR(E4675="",E4675="!!!"),"",IF(NOT(ISNA(VLOOKUP(E4675,E$1:E4674,1,FALSE()))),"OLD",IF(AND(E4675&lt;&gt;"",E4675&lt;&gt;"!!!"),"NEW","")))</f>
        <v> </v>
      </c>
      <c r="G4675" s="23" t="str">
        <f>IF(OR(E4675="",E4675="!!!"),"",IF(OR(J4675=0,AND(J4675=1,K4675=1),AND(J4675=1,I4675="SBJ"),AND(J4675=1,I4675=0)),"?IN_FOCUS",IF(J4675&lt;=2,"?ACTIVATED",IF(J4675&lt;&gt;"","?FAMILIAR",IF(F4675="NEW",IF(ISNA(VLOOKUP(E4675,#REF!,1,FALSE())),"?TYPE_IDENTIFIABLE","?REFERENTIAL"),"_")))))</f>
        <v> </v>
      </c>
      <c r="H4675" s="24" t="str">
        <f>IF(J4675&lt;&gt;1,"",IF(I4675="SBJ","CB","?"))</f>
        <v> </v>
      </c>
      <c r="I4675" s="25" t="str">
        <f>IF(OR(E4675="",E4675="!!!",F4675="NEW"),"",INDEX(B4674:B$2,-1+SUMPRODUCT(MAX(ROW(E4674:E$2)*(E4675=E4674:E$2)))))</f>
        <v> </v>
      </c>
      <c r="J4675" s="25" t="str">
        <f>IF(OR(E4675="",E4675="!!!",F4675="NEW"),"",COUNTBLANK(OFFSET(A$1,,,SUMPRODUCT(MAX(ROW(E$2:E4675)*(E4675=E$2:E4675)))))-COUNTBLANK(OFFSET(A$1,,,SUMPRODUCT(MAX(ROW(E$1:E4674)*(E2=E$1:E4674))))))</f>
        <v> </v>
      </c>
      <c r="K4675" s="25" t="str">
        <f>IF(OR(E4675="",E4675="!!!",F4675="NEW"),"",INDEX(J$1:J4674,SUMPRODUCT(MAX(ROW(E$1:E4674)*(E4675=E$1:E4674)))))</f>
        <v> </v>
      </c>
      <c r="L4675" s="26"/>
    </row>
    <row r="4676" spans="1:12">
      <c r="A4676" s="20" t="s">
        <v>814</v>
      </c>
      <c r="B4676" s="27" t="s">
        <v>753</v>
      </c>
      <c r="C4676" s="27" t="s">
        <v>754</v>
      </c>
      <c r="E4676" s="21">
        <f>IF(D4676="?OLD","!!!","")</f>
        <v/>
      </c>
      <c r="F4676" s="22" t="str">
        <f>IF(OR(E4676="",E4676="!!!"),"",IF(NOT(ISNA(VLOOKUP(E4676,E$1:E4675,1,FALSE()))),"OLD",IF(AND(E4676&lt;&gt;"",E4676&lt;&gt;"!!!"),"NEW","")))</f>
        <v> </v>
      </c>
      <c r="G4676" s="23" t="str">
        <f>IF(OR(E4676="",E4676="!!!"),"",IF(OR(J4676=0,AND(J4676=1,K4676=1),AND(J4676=1,I4676="SBJ"),AND(J4676=1,I4676=0)),"?IN_FOCUS",IF(J4676&lt;=2,"?ACTIVATED",IF(J4676&lt;&gt;"","?FAMILIAR",IF(F4676="NEW",IF(ISNA(VLOOKUP(E4676,#REF!,1,FALSE())),"?TYPE_IDENTIFIABLE","?REFERENTIAL"),"_")))))</f>
        <v> </v>
      </c>
      <c r="H4676" s="24" t="str">
        <f>IF(J4676&lt;&gt;1,"",IF(I4676="SBJ","CB","?"))</f>
        <v> </v>
      </c>
      <c r="I4676" s="25" t="str">
        <f>IF(OR(E4676="",E4676="!!!",F4676="NEW"),"",INDEX(B4675:B$2,-1+SUMPRODUCT(MAX(ROW(E4675:E$2)*(E4676=E4675:E$2)))))</f>
        <v> </v>
      </c>
      <c r="J4676" s="25" t="str">
        <f>IF(OR(E4676="",E4676="!!!",F4676="NEW"),"",COUNTBLANK(OFFSET(A$1,,,SUMPRODUCT(MAX(ROW(E$2:E4676)*(E4676=E$2:E4676)))))-COUNTBLANK(OFFSET(A$1,,,SUMPRODUCT(MAX(ROW(E$1:E4675)*(E2=E$1:E4675))))))</f>
        <v> </v>
      </c>
      <c r="K4676" s="25" t="str">
        <f>IF(OR(E4676="",E4676="!!!",F4676="NEW"),"",INDEX(J$1:J4675,SUMPRODUCT(MAX(ROW(E$1:E4675)*(E4676=E$1:E4675)))))</f>
        <v> </v>
      </c>
      <c r="L4676" s="26"/>
    </row>
    <row r="4677" spans="1:12">
      <c r="A4677" s="20" t="s">
        <v>774</v>
      </c>
      <c r="E4677" s="21">
        <f>IF(D4677="?OLD","!!!","")</f>
        <v/>
      </c>
      <c r="F4677" s="22" t="str">
        <f>IF(OR(E4677="",E4677="!!!"),"",IF(NOT(ISNA(VLOOKUP(E4677,E$1:E4676,1,FALSE()))),"OLD",IF(AND(E4677&lt;&gt;"",E4677&lt;&gt;"!!!"),"NEW","")))</f>
        <v> </v>
      </c>
      <c r="G4677" s="23" t="str">
        <f>IF(OR(E4677="",E4677="!!!"),"",IF(OR(J4677=0,AND(J4677=1,K4677=1),AND(J4677=1,I4677="SBJ"),AND(J4677=1,I4677=0)),"?IN_FOCUS",IF(J4677&lt;=2,"?ACTIVATED",IF(J4677&lt;&gt;"","?FAMILIAR",IF(F4677="NEW",IF(ISNA(VLOOKUP(E4677,#REF!,1,FALSE())),"?TYPE_IDENTIFIABLE","?REFERENTIAL"),"_")))))</f>
        <v> </v>
      </c>
      <c r="H4677" s="24" t="str">
        <f>IF(J4677&lt;&gt;1,"",IF(I4677="SBJ","CB","?"))</f>
        <v> </v>
      </c>
      <c r="I4677" s="25" t="str">
        <f>IF(OR(E4677="",E4677="!!!",F4677="NEW"),"",INDEX(B4676:B$2,-1+SUMPRODUCT(MAX(ROW(E4676:E$2)*(E4677=E4676:E$2)))))</f>
        <v> </v>
      </c>
      <c r="J4677" s="25" t="str">
        <f>IF(OR(E4677="",E4677="!!!",F4677="NEW"),"",COUNTBLANK(OFFSET(A$1,,,SUMPRODUCT(MAX(ROW(E$2:E4677)*(E4677=E$2:E4677)))))-COUNTBLANK(OFFSET(A$1,,,SUMPRODUCT(MAX(ROW(E$1:E4676)*(E2=E$1:E4676))))))</f>
        <v> </v>
      </c>
      <c r="K4677" s="25" t="str">
        <f>IF(OR(E4677="",E4677="!!!",F4677="NEW"),"",INDEX(J$1:J4676,SUMPRODUCT(MAX(ROW(E$1:E4676)*(E4677=E$1:E4676)))))</f>
        <v> </v>
      </c>
      <c r="L4677" s="26"/>
    </row>
    <row r="4678" spans="1:12">
      <c r="A4678" s="20"/>
    </row>
    <row r="4679" spans="1:12">
      <c r="A4679" s="20" t="s">
        <v>2018</v>
      </c>
    </row>
    <row r="4680" spans="1:12">
      <c r="A4680" s="20" t="s">
        <v>833</v>
      </c>
      <c r="E4680" s="21">
        <f>IF(D4680="?OLD","!!!","")</f>
        <v/>
      </c>
      <c r="F4680" s="22" t="str">
        <f>IF(OR(E4680="",E4680="!!!"),"",IF(NOT(ISNA(VLOOKUP(E4680,E$1:E4679,1,FALSE()))),"OLD",IF(AND(E4680&lt;&gt;"",E4680&lt;&gt;"!!!"),"NEW","")))</f>
        <v> </v>
      </c>
      <c r="G4680" s="23" t="str">
        <f>IF(OR(E4680="",E4680="!!!"),"",IF(OR(J4680=0,AND(J4680=1,K4680=1),AND(J4680=1,I4680="SBJ"),AND(J4680=1,I4680=0)),"?IN_FOCUS",IF(J4680&lt;=2,"?ACTIVATED",IF(J4680&lt;&gt;"","?FAMILIAR",IF(F4680="NEW",IF(ISNA(VLOOKUP(E4680,#REF!,1,FALSE())),"?TYPE_IDENTIFIABLE","?REFERENTIAL"),"_")))))</f>
        <v> </v>
      </c>
      <c r="H4680" s="24" t="str">
        <f>IF(J4680&lt;&gt;1,"",IF(I4680="SBJ","CB","?"))</f>
        <v> </v>
      </c>
      <c r="I4680" s="25" t="str">
        <f>IF(OR(E4680="",E4680="!!!",F4680="NEW"),"",INDEX(B4679:B$2,-1+SUMPRODUCT(MAX(ROW(E4679:E$2)*(E4680=E4679:E$2)))))</f>
        <v> </v>
      </c>
      <c r="J4680" s="25" t="str">
        <f>IF(OR(E4680="",E4680="!!!",F4680="NEW"),"",COUNTBLANK(OFFSET(A$1,,,SUMPRODUCT(MAX(ROW(E$2:E4680)*(E4680=E$2:E4680)))))-COUNTBLANK(OFFSET(A$1,,,SUMPRODUCT(MAX(ROW(E$1:E4679)*(E2=E$1:E4679))))))</f>
        <v> </v>
      </c>
      <c r="K4680" s="25" t="str">
        <f>IF(OR(E4680="",E4680="!!!",F4680="NEW"),"",INDEX(J$1:J4679,SUMPRODUCT(MAX(ROW(E$1:E4679)*(E4680=E$1:E4679)))))</f>
        <v> </v>
      </c>
      <c r="L4680" s="26"/>
    </row>
    <row r="4681" spans="1:12">
      <c r="A4681" s="20" t="s">
        <v>807</v>
      </c>
      <c r="E4681" s="21">
        <f>IF(D4681="?OLD","!!!","")</f>
        <v/>
      </c>
      <c r="F4681" s="22" t="str">
        <f>IF(OR(E4681="",E4681="!!!"),"",IF(NOT(ISNA(VLOOKUP(E4681,E$1:E4680,1,FALSE()))),"OLD",IF(AND(E4681&lt;&gt;"",E4681&lt;&gt;"!!!"),"NEW","")))</f>
        <v> </v>
      </c>
      <c r="G4681" s="23" t="str">
        <f>IF(OR(E4681="",E4681="!!!"),"",IF(OR(J4681=0,AND(J4681=1,K4681=1),AND(J4681=1,I4681="SBJ"),AND(J4681=1,I4681=0)),"?IN_FOCUS",IF(J4681&lt;=2,"?ACTIVATED",IF(J4681&lt;&gt;"","?FAMILIAR",IF(F4681="NEW",IF(ISNA(VLOOKUP(E4681,#REF!,1,FALSE())),"?TYPE_IDENTIFIABLE","?REFERENTIAL"),"_")))))</f>
        <v> </v>
      </c>
      <c r="H4681" s="24" t="str">
        <f>IF(J4681&lt;&gt;1,"",IF(I4681="SBJ","CB","?"))</f>
        <v> </v>
      </c>
      <c r="I4681" s="25" t="str">
        <f>IF(OR(E4681="",E4681="!!!",F4681="NEW"),"",INDEX(B4680:B$2,-1+SUMPRODUCT(MAX(ROW(E4680:E$2)*(E4681=E4680:E$2)))))</f>
        <v> </v>
      </c>
      <c r="J4681" s="25" t="str">
        <f>IF(OR(E4681="",E4681="!!!",F4681="NEW"),"",COUNTBLANK(OFFSET(A$1,,,SUMPRODUCT(MAX(ROW(E$2:E4681)*(E4681=E$2:E4681)))))-COUNTBLANK(OFFSET(A$1,,,SUMPRODUCT(MAX(ROW(E$1:E4680)*(E2=E$1:E4680))))))</f>
        <v> </v>
      </c>
      <c r="K4681" s="25" t="str">
        <f>IF(OR(E4681="",E4681="!!!",F4681="NEW"),"",INDEX(J$1:J4680,SUMPRODUCT(MAX(ROW(E$1:E4680)*(E4681=E$1:E4680)))))</f>
        <v> </v>
      </c>
      <c r="L4681" s="26"/>
    </row>
    <row r="4682" spans="1:12">
      <c r="A4682" s="20" t="s">
        <v>1278</v>
      </c>
      <c r="E4682" s="21">
        <f>IF(D4682="?OLD","!!!","")</f>
        <v/>
      </c>
      <c r="F4682" s="22" t="str">
        <f>IF(OR(E4682="",E4682="!!!"),"",IF(NOT(ISNA(VLOOKUP(E4682,E$1:E4681,1,FALSE()))),"OLD",IF(AND(E4682&lt;&gt;"",E4682&lt;&gt;"!!!"),"NEW","")))</f>
        <v> </v>
      </c>
      <c r="G4682" s="23" t="str">
        <f>IF(OR(E4682="",E4682="!!!"),"",IF(OR(J4682=0,AND(J4682=1,K4682=1),AND(J4682=1,I4682="SBJ"),AND(J4682=1,I4682=0)),"?IN_FOCUS",IF(J4682&lt;=2,"?ACTIVATED",IF(J4682&lt;&gt;"","?FAMILIAR",IF(F4682="NEW",IF(ISNA(VLOOKUP(E4682,#REF!,1,FALSE())),"?TYPE_IDENTIFIABLE","?REFERENTIAL"),"_")))))</f>
        <v> </v>
      </c>
      <c r="H4682" s="24" t="str">
        <f>IF(J4682&lt;&gt;1,"",IF(I4682="SBJ","CB","?"))</f>
        <v> </v>
      </c>
      <c r="I4682" s="25" t="str">
        <f>IF(OR(E4682="",E4682="!!!",F4682="NEW"),"",INDEX(B4681:B$2,-1+SUMPRODUCT(MAX(ROW(E4681:E$2)*(E4682=E4681:E$2)))))</f>
        <v> </v>
      </c>
      <c r="J4682" s="25" t="str">
        <f>IF(OR(E4682="",E4682="!!!",F4682="NEW"),"",COUNTBLANK(OFFSET(A$1,,,SUMPRODUCT(MAX(ROW(E$2:E4682)*(E4682=E$2:E4682)))))-COUNTBLANK(OFFSET(A$1,,,SUMPRODUCT(MAX(ROW(E$1:E4681)*(E2=E$1:E4681))))))</f>
        <v> </v>
      </c>
      <c r="K4682" s="25" t="str">
        <f>IF(OR(E4682="",E4682="!!!",F4682="NEW"),"",INDEX(J$1:J4681,SUMPRODUCT(MAX(ROW(E$1:E4681)*(E4682=E$1:E4681)))))</f>
        <v> </v>
      </c>
      <c r="L4682" s="26"/>
    </row>
    <row r="4683" spans="1:12">
      <c r="A4683" s="20" t="s">
        <v>838</v>
      </c>
      <c r="E4683" s="21">
        <f>IF(D4683="?OLD","!!!","")</f>
        <v/>
      </c>
      <c r="F4683" s="22" t="str">
        <f>IF(OR(E4683="",E4683="!!!"),"",IF(NOT(ISNA(VLOOKUP(E4683,E$1:E4682,1,FALSE()))),"OLD",IF(AND(E4683&lt;&gt;"",E4683&lt;&gt;"!!!"),"NEW","")))</f>
        <v> </v>
      </c>
      <c r="G4683" s="23" t="str">
        <f>IF(OR(E4683="",E4683="!!!"),"",IF(OR(J4683=0,AND(J4683=1,K4683=1),AND(J4683=1,I4683="SBJ"),AND(J4683=1,I4683=0)),"?IN_FOCUS",IF(J4683&lt;=2,"?ACTIVATED",IF(J4683&lt;&gt;"","?FAMILIAR",IF(F4683="NEW",IF(ISNA(VLOOKUP(E4683,#REF!,1,FALSE())),"?TYPE_IDENTIFIABLE","?REFERENTIAL"),"_")))))</f>
        <v> </v>
      </c>
      <c r="H4683" s="24" t="str">
        <f>IF(J4683&lt;&gt;1,"",IF(I4683="SBJ","CB","?"))</f>
        <v> </v>
      </c>
      <c r="I4683" s="25" t="str">
        <f>IF(OR(E4683="",E4683="!!!",F4683="NEW"),"",INDEX(B4682:B$2,-1+SUMPRODUCT(MAX(ROW(E4682:E$2)*(E4683=E4682:E$2)))))</f>
        <v> </v>
      </c>
      <c r="J4683" s="25" t="str">
        <f>IF(OR(E4683="",E4683="!!!",F4683="NEW"),"",COUNTBLANK(OFFSET(A$1,,,SUMPRODUCT(MAX(ROW(E$2:E4683)*(E4683=E$2:E4683)))))-COUNTBLANK(OFFSET(A$1,,,SUMPRODUCT(MAX(ROW(E$1:E4682)*(E2=E$1:E4682))))))</f>
        <v> </v>
      </c>
      <c r="K4683" s="25" t="str">
        <f>IF(OR(E4683="",E4683="!!!",F4683="NEW"),"",INDEX(J$1:J4682,SUMPRODUCT(MAX(ROW(E$1:E4682)*(E4683=E$1:E4682)))))</f>
        <v> </v>
      </c>
      <c r="L4683" s="26"/>
    </row>
    <row r="4684" spans="1:12">
      <c r="A4684" s="20" t="s">
        <v>1139</v>
      </c>
      <c r="B4684" s="27" t="s">
        <v>753</v>
      </c>
      <c r="C4684" s="27" t="s">
        <v>761</v>
      </c>
      <c r="D4684" s="27" t="s">
        <v>762</v>
      </c>
      <c r="E4684" s="21">
        <f>IF(D4684="?OLD","!!!","")</f>
        <v/>
      </c>
      <c r="F4684" s="22" t="str">
        <f>IF(OR(E4684="",E4684="!!!"),"",IF(NOT(ISNA(VLOOKUP(E4684,E$1:E4683,1,FALSE()))),"OLD",IF(AND(E4684&lt;&gt;"",E4684&lt;&gt;"!!!"),"NEW","")))</f>
        <v> </v>
      </c>
      <c r="G4684" s="23" t="str">
        <f>IF(OR(E4684="",E4684="!!!"),"",IF(OR(J4684=0,AND(J4684=1,K4684=1),AND(J4684=1,I4684="SBJ"),AND(J4684=1,I4684=0)),"?IN_FOCUS",IF(J4684&lt;=2,"?ACTIVATED",IF(J4684&lt;&gt;"","?FAMILIAR",IF(F4684="NEW",IF(ISNA(VLOOKUP(E4684,#REF!,1,FALSE())),"?TYPE_IDENTIFIABLE","?REFERENTIAL"),"_")))))</f>
        <v> </v>
      </c>
      <c r="H4684" s="24" t="str">
        <f>IF(J4684&lt;&gt;1,"",IF(I4684="SBJ","CB","?"))</f>
        <v> </v>
      </c>
      <c r="I4684" s="25" t="str">
        <f>IF(OR(E4684="",E4684="!!!",F4684="NEW"),"",INDEX(B4683:B$2,-1+SUMPRODUCT(MAX(ROW(E4683:E$2)*(E4684=E4683:E$2)))))</f>
        <v> </v>
      </c>
      <c r="J4684" s="25" t="str">
        <f>IF(OR(E4684="",E4684="!!!",F4684="NEW"),"",COUNTBLANK(OFFSET(A$1,,,SUMPRODUCT(MAX(ROW(E$2:E4684)*(E4684=E$2:E4684)))))-COUNTBLANK(OFFSET(A$1,,,SUMPRODUCT(MAX(ROW(E$1:E4683)*(E2=E$1:E4683))))))</f>
        <v> </v>
      </c>
      <c r="K4684" s="25" t="str">
        <f>IF(OR(E4684="",E4684="!!!",F4684="NEW"),"",INDEX(J$1:J4683,SUMPRODUCT(MAX(ROW(E$1:E4683)*(E4684=E$1:E4683)))))</f>
        <v> </v>
      </c>
      <c r="L4684" s="26"/>
    </row>
    <row r="4685" spans="1:12">
      <c r="A4685" s="20" t="s">
        <v>2019</v>
      </c>
      <c r="E4685" s="21">
        <f>IF(D4685="?OLD","!!!","")</f>
        <v/>
      </c>
      <c r="F4685" s="22" t="str">
        <f>IF(OR(E4685="",E4685="!!!"),"",IF(NOT(ISNA(VLOOKUP(E4685,E$1:E4684,1,FALSE()))),"OLD",IF(AND(E4685&lt;&gt;"",E4685&lt;&gt;"!!!"),"NEW","")))</f>
        <v> </v>
      </c>
      <c r="G4685" s="23" t="str">
        <f>IF(OR(E4685="",E4685="!!!"),"",IF(OR(J4685=0,AND(J4685=1,K4685=1),AND(J4685=1,I4685="SBJ"),AND(J4685=1,I4685=0)),"?IN_FOCUS",IF(J4685&lt;=2,"?ACTIVATED",IF(J4685&lt;&gt;"","?FAMILIAR",IF(F4685="NEW",IF(ISNA(VLOOKUP(E4685,#REF!,1,FALSE())),"?TYPE_IDENTIFIABLE","?REFERENTIAL"),"_")))))</f>
        <v> </v>
      </c>
      <c r="H4685" s="24" t="str">
        <f>IF(J4685&lt;&gt;1,"",IF(I4685="SBJ","CB","?"))</f>
        <v> </v>
      </c>
      <c r="I4685" s="25" t="str">
        <f>IF(OR(E4685="",E4685="!!!",F4685="NEW"),"",INDEX(B4684:B$2,-1+SUMPRODUCT(MAX(ROW(E4684:E$2)*(E4685=E4684:E$2)))))</f>
        <v> </v>
      </c>
      <c r="J4685" s="25" t="str">
        <f>IF(OR(E4685="",E4685="!!!",F4685="NEW"),"",COUNTBLANK(OFFSET(A$1,,,SUMPRODUCT(MAX(ROW(E$2:E4685)*(E4685=E$2:E4685)))))-COUNTBLANK(OFFSET(A$1,,,SUMPRODUCT(MAX(ROW(E$1:E4684)*(E2=E$1:E4684))))))</f>
        <v> </v>
      </c>
      <c r="K4685" s="25" t="str">
        <f>IF(OR(E4685="",E4685="!!!",F4685="NEW"),"",INDEX(J$1:J4684,SUMPRODUCT(MAX(ROW(E$1:E4684)*(E4685=E$1:E4684)))))</f>
        <v> </v>
      </c>
      <c r="L4685" s="26"/>
    </row>
    <row r="4686" spans="1:12">
      <c r="A4686" s="20" t="s">
        <v>770</v>
      </c>
      <c r="E4686" s="21">
        <f>IF(D4686="?OLD","!!!","")</f>
        <v/>
      </c>
      <c r="F4686" s="22" t="str">
        <f>IF(OR(E4686="",E4686="!!!"),"",IF(NOT(ISNA(VLOOKUP(E4686,E$1:E4685,1,FALSE()))),"OLD",IF(AND(E4686&lt;&gt;"",E4686&lt;&gt;"!!!"),"NEW","")))</f>
        <v> </v>
      </c>
      <c r="G4686" s="23" t="str">
        <f>IF(OR(E4686="",E4686="!!!"),"",IF(OR(J4686=0,AND(J4686=1,K4686=1),AND(J4686=1,I4686="SBJ"),AND(J4686=1,I4686=0)),"?IN_FOCUS",IF(J4686&lt;=2,"?ACTIVATED",IF(J4686&lt;&gt;"","?FAMILIAR",IF(F4686="NEW",IF(ISNA(VLOOKUP(E4686,#REF!,1,FALSE())),"?TYPE_IDENTIFIABLE","?REFERENTIAL"),"_")))))</f>
        <v> </v>
      </c>
      <c r="H4686" s="24" t="str">
        <f>IF(J4686&lt;&gt;1,"",IF(I4686="SBJ","CB","?"))</f>
        <v> </v>
      </c>
      <c r="I4686" s="25" t="str">
        <f>IF(OR(E4686="",E4686="!!!",F4686="NEW"),"",INDEX(B4685:B$2,-1+SUMPRODUCT(MAX(ROW(E4685:E$2)*(E4686=E4685:E$2)))))</f>
        <v> </v>
      </c>
      <c r="J4686" s="25" t="str">
        <f>IF(OR(E4686="",E4686="!!!",F4686="NEW"),"",COUNTBLANK(OFFSET(A$1,,,SUMPRODUCT(MAX(ROW(E$2:E4686)*(E4686=E$2:E4686)))))-COUNTBLANK(OFFSET(A$1,,,SUMPRODUCT(MAX(ROW(E$1:E4685)*(E2=E$1:E4685))))))</f>
        <v> </v>
      </c>
      <c r="K4686" s="25" t="str">
        <f>IF(OR(E4686="",E4686="!!!",F4686="NEW"),"",INDEX(J$1:J4685,SUMPRODUCT(MAX(ROW(E$1:E4685)*(E4686=E$1:E4685)))))</f>
        <v> </v>
      </c>
      <c r="L4686" s="26"/>
    </row>
    <row r="4687" spans="1:12">
      <c r="A4687" s="20" t="s">
        <v>2020</v>
      </c>
      <c r="B4687" s="27" t="s">
        <v>772</v>
      </c>
      <c r="C4687" s="27" t="s">
        <v>761</v>
      </c>
      <c r="D4687" s="27" t="s">
        <v>762</v>
      </c>
      <c r="E4687" s="21">
        <f>IF(D4687="?OLD","!!!","")</f>
        <v/>
      </c>
      <c r="F4687" s="22" t="str">
        <f>IF(OR(E4687="",E4687="!!!"),"",IF(NOT(ISNA(VLOOKUP(E4687,E$1:E4686,1,FALSE()))),"OLD",IF(AND(E4687&lt;&gt;"",E4687&lt;&gt;"!!!"),"NEW","")))</f>
        <v> </v>
      </c>
      <c r="G4687" s="23" t="str">
        <f>IF(OR(E4687="",E4687="!!!"),"",IF(OR(J4687=0,AND(J4687=1,K4687=1),AND(J4687=1,I4687="SBJ"),AND(J4687=1,I4687=0)),"?IN_FOCUS",IF(J4687&lt;=2,"?ACTIVATED",IF(J4687&lt;&gt;"","?FAMILIAR",IF(F4687="NEW",IF(ISNA(VLOOKUP(E4687,#REF!,1,FALSE())),"?TYPE_IDENTIFIABLE","?REFERENTIAL"),"_")))))</f>
        <v> </v>
      </c>
      <c r="H4687" s="24" t="str">
        <f>IF(J4687&lt;&gt;1,"",IF(I4687="SBJ","CB","?"))</f>
        <v> </v>
      </c>
      <c r="I4687" s="25" t="str">
        <f>IF(OR(E4687="",E4687="!!!",F4687="NEW"),"",INDEX(B4686:B$2,-1+SUMPRODUCT(MAX(ROW(E4686:E$2)*(E4687=E4686:E$2)))))</f>
        <v> </v>
      </c>
      <c r="J4687" s="25" t="str">
        <f>IF(OR(E4687="",E4687="!!!",F4687="NEW"),"",COUNTBLANK(OFFSET(A$1,,,SUMPRODUCT(MAX(ROW(E$2:E4687)*(E4687=E$2:E4687)))))-COUNTBLANK(OFFSET(A$1,,,SUMPRODUCT(MAX(ROW(E$1:E4686)*(E2=E$1:E4686))))))</f>
        <v> </v>
      </c>
      <c r="K4687" s="25" t="str">
        <f>IF(OR(E4687="",E4687="!!!",F4687="NEW"),"",INDEX(J$1:J4686,SUMPRODUCT(MAX(ROW(E$1:E4686)*(E4687=E$1:E4686)))))</f>
        <v> </v>
      </c>
      <c r="L4687" s="26"/>
    </row>
    <row r="4688" spans="1:12">
      <c r="A4688" s="20" t="s">
        <v>769</v>
      </c>
      <c r="E4688" s="21">
        <f>IF(D4688="?OLD","!!!","")</f>
        <v/>
      </c>
      <c r="F4688" s="22" t="str">
        <f>IF(OR(E4688="",E4688="!!!"),"",IF(NOT(ISNA(VLOOKUP(E4688,E$1:E4687,1,FALSE()))),"OLD",IF(AND(E4688&lt;&gt;"",E4688&lt;&gt;"!!!"),"NEW","")))</f>
        <v> </v>
      </c>
      <c r="G4688" s="23" t="str">
        <f>IF(OR(E4688="",E4688="!!!"),"",IF(OR(J4688=0,AND(J4688=1,K4688=1),AND(J4688=1,I4688="SBJ"),AND(J4688=1,I4688=0)),"?IN_FOCUS",IF(J4688&lt;=2,"?ACTIVATED",IF(J4688&lt;&gt;"","?FAMILIAR",IF(F4688="NEW",IF(ISNA(VLOOKUP(E4688,#REF!,1,FALSE())),"?TYPE_IDENTIFIABLE","?REFERENTIAL"),"_")))))</f>
        <v> </v>
      </c>
      <c r="H4688" s="24" t="str">
        <f>IF(J4688&lt;&gt;1,"",IF(I4688="SBJ","CB","?"))</f>
        <v> </v>
      </c>
      <c r="I4688" s="25" t="str">
        <f>IF(OR(E4688="",E4688="!!!",F4688="NEW"),"",INDEX(B4687:B$2,-1+SUMPRODUCT(MAX(ROW(E4687:E$2)*(E4688=E4687:E$2)))))</f>
        <v> </v>
      </c>
      <c r="J4688" s="25" t="str">
        <f>IF(OR(E4688="",E4688="!!!",F4688="NEW"),"",COUNTBLANK(OFFSET(A$1,,,SUMPRODUCT(MAX(ROW(E$2:E4688)*(E4688=E$2:E4688)))))-COUNTBLANK(OFFSET(A$1,,,SUMPRODUCT(MAX(ROW(E$1:E4687)*(E2=E$1:E4687))))))</f>
        <v> </v>
      </c>
      <c r="K4688" s="25" t="str">
        <f>IF(OR(E4688="",E4688="!!!",F4688="NEW"),"",INDEX(J$1:J4687,SUMPRODUCT(MAX(ROW(E$1:E4687)*(E4688=E$1:E4687)))))</f>
        <v> </v>
      </c>
      <c r="L4688" s="26"/>
    </row>
    <row r="4689" spans="1:12">
      <c r="A4689" s="20" t="s">
        <v>838</v>
      </c>
      <c r="E4689" s="21">
        <f>IF(D4689="?OLD","!!!","")</f>
        <v/>
      </c>
      <c r="F4689" s="22" t="str">
        <f>IF(OR(E4689="",E4689="!!!"),"",IF(NOT(ISNA(VLOOKUP(E4689,E$1:E4688,1,FALSE()))),"OLD",IF(AND(E4689&lt;&gt;"",E4689&lt;&gt;"!!!"),"NEW","")))</f>
        <v> </v>
      </c>
      <c r="G4689" s="23" t="str">
        <f>IF(OR(E4689="",E4689="!!!"),"",IF(OR(J4689=0,AND(J4689=1,K4689=1),AND(J4689=1,I4689="SBJ"),AND(J4689=1,I4689=0)),"?IN_FOCUS",IF(J4689&lt;=2,"?ACTIVATED",IF(J4689&lt;&gt;"","?FAMILIAR",IF(F4689="NEW",IF(ISNA(VLOOKUP(E4689,#REF!,1,FALSE())),"?TYPE_IDENTIFIABLE","?REFERENTIAL"),"_")))))</f>
        <v> </v>
      </c>
      <c r="H4689" s="24" t="str">
        <f>IF(J4689&lt;&gt;1,"",IF(I4689="SBJ","CB","?"))</f>
        <v> </v>
      </c>
      <c r="I4689" s="25" t="str">
        <f>IF(OR(E4689="",E4689="!!!",F4689="NEW"),"",INDEX(B4688:B$2,-1+SUMPRODUCT(MAX(ROW(E4688:E$2)*(E4689=E4688:E$2)))))</f>
        <v> </v>
      </c>
      <c r="J4689" s="25" t="str">
        <f>IF(OR(E4689="",E4689="!!!",F4689="NEW"),"",COUNTBLANK(OFFSET(A$1,,,SUMPRODUCT(MAX(ROW(E$2:E4689)*(E4689=E$2:E4689)))))-COUNTBLANK(OFFSET(A$1,,,SUMPRODUCT(MAX(ROW(E$1:E4688)*(E2=E$1:E4688))))))</f>
        <v> </v>
      </c>
      <c r="K4689" s="25" t="str">
        <f>IF(OR(E4689="",E4689="!!!",F4689="NEW"),"",INDEX(J$1:J4688,SUMPRODUCT(MAX(ROW(E$1:E4688)*(E4689=E$1:E4688)))))</f>
        <v> </v>
      </c>
      <c r="L4689" s="26"/>
    </row>
    <row r="4690" spans="1:12">
      <c r="A4690" s="20" t="s">
        <v>1265</v>
      </c>
      <c r="B4690" s="27" t="s">
        <v>879</v>
      </c>
      <c r="C4690" s="27" t="s">
        <v>761</v>
      </c>
      <c r="D4690" s="27" t="s">
        <v>762</v>
      </c>
      <c r="E4690" s="21">
        <f>IF(D4690="?OLD","!!!","")</f>
        <v/>
      </c>
      <c r="F4690" s="22" t="str">
        <f>IF(OR(E4690="",E4690="!!!"),"",IF(NOT(ISNA(VLOOKUP(E4690,E$1:E4689,1,FALSE()))),"OLD",IF(AND(E4690&lt;&gt;"",E4690&lt;&gt;"!!!"),"NEW","")))</f>
        <v> </v>
      </c>
      <c r="G4690" s="23" t="str">
        <f>IF(OR(E4690="",E4690="!!!"),"",IF(OR(J4690=0,AND(J4690=1,K4690=1),AND(J4690=1,I4690="SBJ"),AND(J4690=1,I4690=0)),"?IN_FOCUS",IF(J4690&lt;=2,"?ACTIVATED",IF(J4690&lt;&gt;"","?FAMILIAR",IF(F4690="NEW",IF(ISNA(VLOOKUP(E4690,#REF!,1,FALSE())),"?TYPE_IDENTIFIABLE","?REFERENTIAL"),"_")))))</f>
        <v> </v>
      </c>
      <c r="H4690" s="24" t="str">
        <f>IF(J4690&lt;&gt;1,"",IF(I4690="SBJ","CB","?"))</f>
        <v> </v>
      </c>
      <c r="I4690" s="25" t="str">
        <f>IF(OR(E4690="",E4690="!!!",F4690="NEW"),"",INDEX(B4689:B$2,-1+SUMPRODUCT(MAX(ROW(E4689:E$2)*(E4690=E4689:E$2)))))</f>
        <v> </v>
      </c>
      <c r="J4690" s="25" t="str">
        <f>IF(OR(E4690="",E4690="!!!",F4690="NEW"),"",COUNTBLANK(OFFSET(A$1,,,SUMPRODUCT(MAX(ROW(E$2:E4690)*(E4690=E$2:E4690)))))-COUNTBLANK(OFFSET(A$1,,,SUMPRODUCT(MAX(ROW(E$1:E4689)*(E2=E$1:E4689))))))</f>
        <v> </v>
      </c>
      <c r="K4690" s="25" t="str">
        <f>IF(OR(E4690="",E4690="!!!",F4690="NEW"),"",INDEX(J$1:J4689,SUMPRODUCT(MAX(ROW(E$1:E4689)*(E4690=E$1:E4689)))))</f>
        <v> </v>
      </c>
      <c r="L4690" s="26"/>
    </row>
    <row r="4691" spans="1:12">
      <c r="A4691" s="20" t="s">
        <v>757</v>
      </c>
      <c r="E4691" s="21">
        <f>IF(D4691="?OLD","!!!","")</f>
        <v/>
      </c>
      <c r="F4691" s="22" t="str">
        <f>IF(OR(E4691="",E4691="!!!"),"",IF(NOT(ISNA(VLOOKUP(E4691,E$1:E4690,1,FALSE()))),"OLD",IF(AND(E4691&lt;&gt;"",E4691&lt;&gt;"!!!"),"NEW","")))</f>
        <v> </v>
      </c>
      <c r="G4691" s="23" t="str">
        <f>IF(OR(E4691="",E4691="!!!"),"",IF(OR(J4691=0,AND(J4691=1,K4691=1),AND(J4691=1,I4691="SBJ"),AND(J4691=1,I4691=0)),"?IN_FOCUS",IF(J4691&lt;=2,"?ACTIVATED",IF(J4691&lt;&gt;"","?FAMILIAR",IF(F4691="NEW",IF(ISNA(VLOOKUP(E4691,#REF!,1,FALSE())),"?TYPE_IDENTIFIABLE","?REFERENTIAL"),"_")))))</f>
        <v> </v>
      </c>
      <c r="H4691" s="24" t="str">
        <f>IF(J4691&lt;&gt;1,"",IF(I4691="SBJ","CB","?"))</f>
        <v> </v>
      </c>
      <c r="I4691" s="25" t="str">
        <f>IF(OR(E4691="",E4691="!!!",F4691="NEW"),"",INDEX(B4690:B$2,-1+SUMPRODUCT(MAX(ROW(E4690:E$2)*(E4691=E4690:E$2)))))</f>
        <v> </v>
      </c>
      <c r="J4691" s="25" t="str">
        <f>IF(OR(E4691="",E4691="!!!",F4691="NEW"),"",COUNTBLANK(OFFSET(A$1,,,SUMPRODUCT(MAX(ROW(E$2:E4691)*(E4691=E$2:E4691)))))-COUNTBLANK(OFFSET(A$1,,,SUMPRODUCT(MAX(ROW(E$1:E4690)*(E2=E$1:E4690))))))</f>
        <v> </v>
      </c>
      <c r="K4691" s="25" t="str">
        <f>IF(OR(E4691="",E4691="!!!",F4691="NEW"),"",INDEX(J$1:J4690,SUMPRODUCT(MAX(ROW(E$1:E4690)*(E4691=E$1:E4690)))))</f>
        <v> </v>
      </c>
      <c r="L4691" s="26"/>
    </row>
    <row r="4692" spans="1:12">
      <c r="A4692" s="20" t="s">
        <v>869</v>
      </c>
      <c r="B4692" s="27" t="s">
        <v>760</v>
      </c>
      <c r="C4692" s="27" t="s">
        <v>797</v>
      </c>
      <c r="D4692" s="27" t="s">
        <v>762</v>
      </c>
      <c r="E4692" s="21">
        <f>IF(D4692="?OLD","!!!","")</f>
        <v/>
      </c>
      <c r="F4692" s="22" t="str">
        <f>IF(OR(E4692="",E4692="!!!"),"",IF(NOT(ISNA(VLOOKUP(E4692,E$1:E4691,1,FALSE()))),"OLD",IF(AND(E4692&lt;&gt;"",E4692&lt;&gt;"!!!"),"NEW","")))</f>
        <v> </v>
      </c>
      <c r="G4692" s="23" t="str">
        <f>IF(OR(E4692="",E4692="!!!"),"",IF(OR(J4692=0,AND(J4692=1,K4692=1),AND(J4692=1,I4692="SBJ"),AND(J4692=1,I4692=0)),"?IN_FOCUS",IF(J4692&lt;=2,"?ACTIVATED",IF(J4692&lt;&gt;"","?FAMILIAR",IF(F4692="NEW",IF(ISNA(VLOOKUP(E4692,#REF!,1,FALSE())),"?TYPE_IDENTIFIABLE","?REFERENTIAL"),"_")))))</f>
        <v> </v>
      </c>
      <c r="H4692" s="24" t="str">
        <f>IF(J4692&lt;&gt;1,"",IF(I4692="SBJ","CB","?"))</f>
        <v> </v>
      </c>
      <c r="I4692" s="25" t="str">
        <f>IF(OR(E4692="",E4692="!!!",F4692="NEW"),"",INDEX(B4691:B$2,-1+SUMPRODUCT(MAX(ROW(E4691:E$2)*(E4692=E4691:E$2)))))</f>
        <v> </v>
      </c>
      <c r="J4692" s="25" t="str">
        <f>IF(OR(E4692="",E4692="!!!",F4692="NEW"),"",COUNTBLANK(OFFSET(A$1,,,SUMPRODUCT(MAX(ROW(E$2:E4692)*(E4692=E$2:E4692)))))-COUNTBLANK(OFFSET(A$1,,,SUMPRODUCT(MAX(ROW(E$1:E4691)*(E2=E$1:E4691))))))</f>
        <v> </v>
      </c>
      <c r="K4692" s="25" t="str">
        <f>IF(OR(E4692="",E4692="!!!",F4692="NEW"),"",INDEX(J$1:J4691,SUMPRODUCT(MAX(ROW(E$1:E4691)*(E4692=E$1:E4691)))))</f>
        <v> </v>
      </c>
      <c r="L4692" s="26"/>
    </row>
    <row r="4693" spans="1:12">
      <c r="A4693" s="20" t="s">
        <v>683</v>
      </c>
      <c r="E4693" s="21">
        <f>IF(D4693="?OLD","!!!","")</f>
        <v/>
      </c>
      <c r="F4693" s="22" t="str">
        <f>IF(OR(E4693="",E4693="!!!"),"",IF(NOT(ISNA(VLOOKUP(E4693,E$1:E4692,1,FALSE()))),"OLD",IF(AND(E4693&lt;&gt;"",E4693&lt;&gt;"!!!"),"NEW","")))</f>
        <v> </v>
      </c>
      <c r="G4693" s="23" t="str">
        <f>IF(OR(E4693="",E4693="!!!"),"",IF(OR(J4693=0,AND(J4693=1,K4693=1),AND(J4693=1,I4693="SBJ"),AND(J4693=1,I4693=0)),"?IN_FOCUS",IF(J4693&lt;=2,"?ACTIVATED",IF(J4693&lt;&gt;"","?FAMILIAR",IF(F4693="NEW",IF(ISNA(VLOOKUP(E4693,#REF!,1,FALSE())),"?TYPE_IDENTIFIABLE","?REFERENTIAL"),"_")))))</f>
        <v> </v>
      </c>
      <c r="H4693" s="24" t="str">
        <f>IF(J4693&lt;&gt;1,"",IF(I4693="SBJ","CB","?"))</f>
        <v> </v>
      </c>
      <c r="I4693" s="25" t="str">
        <f>IF(OR(E4693="",E4693="!!!",F4693="NEW"),"",INDEX(B4692:B$2,-1+SUMPRODUCT(MAX(ROW(E4692:E$2)*(E4693=E4692:E$2)))))</f>
        <v> </v>
      </c>
      <c r="J4693" s="25" t="str">
        <f>IF(OR(E4693="",E4693="!!!",F4693="NEW"),"",COUNTBLANK(OFFSET(A$1,,,SUMPRODUCT(MAX(ROW(E$2:E4693)*(E4693=E$2:E4693)))))-COUNTBLANK(OFFSET(A$1,,,SUMPRODUCT(MAX(ROW(E$1:E4692)*(E2=E$1:E4692))))))</f>
        <v> </v>
      </c>
      <c r="K4693" s="25" t="str">
        <f>IF(OR(E4693="",E4693="!!!",F4693="NEW"),"",INDEX(J$1:J4692,SUMPRODUCT(MAX(ROW(E$1:E4692)*(E4693=E$1:E4692)))))</f>
        <v> </v>
      </c>
      <c r="L4693" s="26"/>
    </row>
    <row r="4694" spans="1:12">
      <c r="A4694" s="20" t="s">
        <v>2021</v>
      </c>
      <c r="E4694" s="21">
        <f>IF(D4694="?OLD","!!!","")</f>
        <v/>
      </c>
      <c r="F4694" s="22" t="str">
        <f>IF(OR(E4694="",E4694="!!!"),"",IF(NOT(ISNA(VLOOKUP(E4694,E$1:E4693,1,FALSE()))),"OLD",IF(AND(E4694&lt;&gt;"",E4694&lt;&gt;"!!!"),"NEW","")))</f>
        <v> </v>
      </c>
      <c r="G4694" s="23" t="str">
        <f>IF(OR(E4694="",E4694="!!!"),"",IF(OR(J4694=0,AND(J4694=1,K4694=1),AND(J4694=1,I4694="SBJ"),AND(J4694=1,I4694=0)),"?IN_FOCUS",IF(J4694&lt;=2,"?ACTIVATED",IF(J4694&lt;&gt;"","?FAMILIAR",IF(F4694="NEW",IF(ISNA(VLOOKUP(E4694,#REF!,1,FALSE())),"?TYPE_IDENTIFIABLE","?REFERENTIAL"),"_")))))</f>
        <v> </v>
      </c>
      <c r="H4694" s="24" t="str">
        <f>IF(J4694&lt;&gt;1,"",IF(I4694="SBJ","CB","?"))</f>
        <v> </v>
      </c>
      <c r="I4694" s="25" t="str">
        <f>IF(OR(E4694="",E4694="!!!",F4694="NEW"),"",INDEX(B4693:B$2,-1+SUMPRODUCT(MAX(ROW(E4693:E$2)*(E4694=E4693:E$2)))))</f>
        <v> </v>
      </c>
      <c r="J4694" s="25" t="str">
        <f>IF(OR(E4694="",E4694="!!!",F4694="NEW"),"",COUNTBLANK(OFFSET(A$1,,,SUMPRODUCT(MAX(ROW(E$2:E4694)*(E4694=E$2:E4694)))))-COUNTBLANK(OFFSET(A$1,,,SUMPRODUCT(MAX(ROW(E$1:E4693)*(E2=E$1:E4693))))))</f>
        <v> </v>
      </c>
      <c r="K4694" s="25" t="str">
        <f>IF(OR(E4694="",E4694="!!!",F4694="NEW"),"",INDEX(J$1:J4693,SUMPRODUCT(MAX(ROW(E$1:E4693)*(E4694=E$1:E4693)))))</f>
        <v> </v>
      </c>
      <c r="L4694" s="26"/>
    </row>
    <row r="4695" spans="1:12">
      <c r="A4695" s="20" t="s">
        <v>878</v>
      </c>
      <c r="B4695" s="27" t="s">
        <v>879</v>
      </c>
      <c r="C4695" s="27" t="s">
        <v>851</v>
      </c>
      <c r="D4695" s="27" t="s">
        <v>762</v>
      </c>
      <c r="E4695" s="21">
        <f>IF(D4695="?OLD","!!!","")</f>
        <v/>
      </c>
      <c r="F4695" s="22" t="str">
        <f>IF(OR(E4695="",E4695="!!!"),"",IF(NOT(ISNA(VLOOKUP(E4695,E$1:E4694,1,FALSE()))),"OLD",IF(AND(E4695&lt;&gt;"",E4695&lt;&gt;"!!!"),"NEW","")))</f>
        <v> </v>
      </c>
      <c r="G4695" s="23" t="str">
        <f>IF(OR(E4695="",E4695="!!!"),"",IF(OR(J4695=0,AND(J4695=1,K4695=1),AND(J4695=1,I4695="SBJ"),AND(J4695=1,I4695=0)),"?IN_FOCUS",IF(J4695&lt;=2,"?ACTIVATED",IF(J4695&lt;&gt;"","?FAMILIAR",IF(F4695="NEW",IF(ISNA(VLOOKUP(E4695,#REF!,1,FALSE())),"?TYPE_IDENTIFIABLE","?REFERENTIAL"),"_")))))</f>
        <v> </v>
      </c>
      <c r="H4695" s="24" t="str">
        <f>IF(J4695&lt;&gt;1,"",IF(I4695="SBJ","CB","?"))</f>
        <v> </v>
      </c>
      <c r="I4695" s="25" t="str">
        <f>IF(OR(E4695="",E4695="!!!",F4695="NEW"),"",INDEX(B4694:B$2,-1+SUMPRODUCT(MAX(ROW(E4694:E$2)*(E4695=E4694:E$2)))))</f>
        <v> </v>
      </c>
      <c r="J4695" s="25" t="str">
        <f>IF(OR(E4695="",E4695="!!!",F4695="NEW"),"",COUNTBLANK(OFFSET(A$1,,,SUMPRODUCT(MAX(ROW(E$2:E4695)*(E4695=E$2:E4695)))))-COUNTBLANK(OFFSET(A$1,,,SUMPRODUCT(MAX(ROW(E$1:E4694)*(E2=E$1:E4694))))))</f>
        <v> </v>
      </c>
      <c r="K4695" s="25" t="str">
        <f>IF(OR(E4695="",E4695="!!!",F4695="NEW"),"",INDEX(J$1:J4694,SUMPRODUCT(MAX(ROW(E$1:E4694)*(E4695=E$1:E4694)))))</f>
        <v> </v>
      </c>
      <c r="L4695" s="26"/>
    </row>
    <row r="4696" spans="1:12">
      <c r="A4696" s="20" t="s">
        <v>952</v>
      </c>
      <c r="B4696" s="27" t="s">
        <v>802</v>
      </c>
      <c r="C4696" s="27" t="s">
        <v>837</v>
      </c>
      <c r="D4696" s="27" t="s">
        <v>762</v>
      </c>
      <c r="E4696" s="21">
        <f>IF(D4696="?OLD","!!!","")</f>
        <v/>
      </c>
      <c r="F4696" s="22" t="str">
        <f>IF(OR(E4696="",E4696="!!!"),"",IF(NOT(ISNA(VLOOKUP(E4696,E$1:E4695,1,FALSE()))),"OLD",IF(AND(E4696&lt;&gt;"",E4696&lt;&gt;"!!!"),"NEW","")))</f>
        <v> </v>
      </c>
      <c r="G4696" s="23" t="str">
        <f>IF(OR(E4696="",E4696="!!!"),"",IF(OR(J4696=0,AND(J4696=1,K4696=1),AND(J4696=1,I4696="SBJ"),AND(J4696=1,I4696=0)),"?IN_FOCUS",IF(J4696&lt;=2,"?ACTIVATED",IF(J4696&lt;&gt;"","?FAMILIAR",IF(F4696="NEW",IF(ISNA(VLOOKUP(E4696,#REF!,1,FALSE())),"?TYPE_IDENTIFIABLE","?REFERENTIAL"),"_")))))</f>
        <v> </v>
      </c>
      <c r="H4696" s="24" t="str">
        <f>IF(J4696&lt;&gt;1,"",IF(I4696="SBJ","CB","?"))</f>
        <v> </v>
      </c>
      <c r="I4696" s="25" t="str">
        <f>IF(OR(E4696="",E4696="!!!",F4696="NEW"),"",INDEX(B4695:B$2,-1+SUMPRODUCT(MAX(ROW(E4695:E$2)*(E4696=E4695:E$2)))))</f>
        <v> </v>
      </c>
      <c r="J4696" s="25" t="str">
        <f>IF(OR(E4696="",E4696="!!!",F4696="NEW"),"",COUNTBLANK(OFFSET(A$1,,,SUMPRODUCT(MAX(ROW(E$2:E4696)*(E4696=E$2:E4696)))))-COUNTBLANK(OFFSET(A$1,,,SUMPRODUCT(MAX(ROW(E$1:E4695)*(E2=E$1:E4695))))))</f>
        <v> </v>
      </c>
      <c r="K4696" s="25" t="str">
        <f>IF(OR(E4696="",E4696="!!!",F4696="NEW"),"",INDEX(J$1:J4695,SUMPRODUCT(MAX(ROW(E$1:E4695)*(E4696=E$1:E4695)))))</f>
        <v> </v>
      </c>
      <c r="L4696" s="26"/>
    </row>
    <row r="4697" spans="1:12">
      <c r="A4697" s="20" t="s">
        <v>769</v>
      </c>
      <c r="E4697" s="21">
        <f>IF(D4697="?OLD","!!!","")</f>
        <v/>
      </c>
      <c r="F4697" s="22" t="str">
        <f>IF(OR(E4697="",E4697="!!!"),"",IF(NOT(ISNA(VLOOKUP(E4697,E$1:E4696,1,FALSE()))),"OLD",IF(AND(E4697&lt;&gt;"",E4697&lt;&gt;"!!!"),"NEW","")))</f>
        <v> </v>
      </c>
      <c r="G4697" s="23" t="str">
        <f>IF(OR(E4697="",E4697="!!!"),"",IF(OR(J4697=0,AND(J4697=1,K4697=1),AND(J4697=1,I4697="SBJ"),AND(J4697=1,I4697=0)),"?IN_FOCUS",IF(J4697&lt;=2,"?ACTIVATED",IF(J4697&lt;&gt;"","?FAMILIAR",IF(F4697="NEW",IF(ISNA(VLOOKUP(E4697,#REF!,1,FALSE())),"?TYPE_IDENTIFIABLE","?REFERENTIAL"),"_")))))</f>
        <v> </v>
      </c>
      <c r="H4697" s="24" t="str">
        <f>IF(J4697&lt;&gt;1,"",IF(I4697="SBJ","CB","?"))</f>
        <v> </v>
      </c>
      <c r="I4697" s="25" t="str">
        <f>IF(OR(E4697="",E4697="!!!",F4697="NEW"),"",INDEX(B4696:B$2,-1+SUMPRODUCT(MAX(ROW(E4696:E$2)*(E4697=E4696:E$2)))))</f>
        <v> </v>
      </c>
      <c r="J4697" s="25" t="str">
        <f>IF(OR(E4697="",E4697="!!!",F4697="NEW"),"",COUNTBLANK(OFFSET(A$1,,,SUMPRODUCT(MAX(ROW(E$2:E4697)*(E4697=E$2:E4697)))))-COUNTBLANK(OFFSET(A$1,,,SUMPRODUCT(MAX(ROW(E$1:E4696)*(E2=E$1:E4696))))))</f>
        <v> </v>
      </c>
      <c r="K4697" s="25" t="str">
        <f>IF(OR(E4697="",E4697="!!!",F4697="NEW"),"",INDEX(J$1:J4696,SUMPRODUCT(MAX(ROW(E$1:E4696)*(E4697=E$1:E4696)))))</f>
        <v> </v>
      </c>
      <c r="L4697" s="26"/>
    </row>
    <row r="4698" spans="1:12">
      <c r="A4698" s="20" t="s">
        <v>770</v>
      </c>
      <c r="E4698" s="21">
        <f>IF(D4698="?OLD","!!!","")</f>
        <v/>
      </c>
      <c r="F4698" s="22" t="str">
        <f>IF(OR(E4698="",E4698="!!!"),"",IF(NOT(ISNA(VLOOKUP(E4698,E$1:E4697,1,FALSE()))),"OLD",IF(AND(E4698&lt;&gt;"",E4698&lt;&gt;"!!!"),"NEW","")))</f>
        <v> </v>
      </c>
      <c r="G4698" s="23" t="str">
        <f>IF(OR(E4698="",E4698="!!!"),"",IF(OR(J4698=0,AND(J4698=1,K4698=1),AND(J4698=1,I4698="SBJ"),AND(J4698=1,I4698=0)),"?IN_FOCUS",IF(J4698&lt;=2,"?ACTIVATED",IF(J4698&lt;&gt;"","?FAMILIAR",IF(F4698="NEW",IF(ISNA(VLOOKUP(E4698,#REF!,1,FALSE())),"?TYPE_IDENTIFIABLE","?REFERENTIAL"),"_")))))</f>
        <v> </v>
      </c>
      <c r="H4698" s="24" t="str">
        <f>IF(J4698&lt;&gt;1,"",IF(I4698="SBJ","CB","?"))</f>
        <v> </v>
      </c>
      <c r="I4698" s="25" t="str">
        <f>IF(OR(E4698="",E4698="!!!",F4698="NEW"),"",INDEX(B4697:B$2,-1+SUMPRODUCT(MAX(ROW(E4697:E$2)*(E4698=E4697:E$2)))))</f>
        <v> </v>
      </c>
      <c r="J4698" s="25" t="str">
        <f>IF(OR(E4698="",E4698="!!!",F4698="NEW"),"",COUNTBLANK(OFFSET(A$1,,,SUMPRODUCT(MAX(ROW(E$2:E4698)*(E4698=E$2:E4698)))))-COUNTBLANK(OFFSET(A$1,,,SUMPRODUCT(MAX(ROW(E$1:E4697)*(E2=E$1:E4697))))))</f>
        <v> </v>
      </c>
      <c r="K4698" s="25" t="str">
        <f>IF(OR(E4698="",E4698="!!!",F4698="NEW"),"",INDEX(J$1:J4697,SUMPRODUCT(MAX(ROW(E$1:E4697)*(E4698=E$1:E4697)))))</f>
        <v> </v>
      </c>
      <c r="L4698" s="26"/>
    </row>
    <row r="4699" spans="1:12">
      <c r="A4699" s="20" t="s">
        <v>814</v>
      </c>
      <c r="B4699" s="27" t="s">
        <v>879</v>
      </c>
      <c r="C4699" s="27" t="s">
        <v>761</v>
      </c>
      <c r="D4699" s="27" t="s">
        <v>762</v>
      </c>
      <c r="E4699" s="21">
        <f>IF(D4699="?OLD","!!!","")</f>
        <v/>
      </c>
      <c r="F4699" s="22" t="str">
        <f>IF(OR(E4699="",E4699="!!!"),"",IF(NOT(ISNA(VLOOKUP(E4699,E$1:E4698,1,FALSE()))),"OLD",IF(AND(E4699&lt;&gt;"",E4699&lt;&gt;"!!!"),"NEW","")))</f>
        <v> </v>
      </c>
      <c r="G4699" s="23" t="str">
        <f>IF(OR(E4699="",E4699="!!!"),"",IF(OR(J4699=0,AND(J4699=1,K4699=1),AND(J4699=1,I4699="SBJ"),AND(J4699=1,I4699=0)),"?IN_FOCUS",IF(J4699&lt;=2,"?ACTIVATED",IF(J4699&lt;&gt;"","?FAMILIAR",IF(F4699="NEW",IF(ISNA(VLOOKUP(E4699,#REF!,1,FALSE())),"?TYPE_IDENTIFIABLE","?REFERENTIAL"),"_")))))</f>
        <v> </v>
      </c>
      <c r="H4699" s="24" t="str">
        <f>IF(J4699&lt;&gt;1,"",IF(I4699="SBJ","CB","?"))</f>
        <v> </v>
      </c>
      <c r="I4699" s="25" t="str">
        <f>IF(OR(E4699="",E4699="!!!",F4699="NEW"),"",INDEX(B4698:B$2,-1+SUMPRODUCT(MAX(ROW(E4698:E$2)*(E4699=E4698:E$2)))))</f>
        <v> </v>
      </c>
      <c r="J4699" s="25" t="str">
        <f>IF(OR(E4699="",E4699="!!!",F4699="NEW"),"",COUNTBLANK(OFFSET(A$1,,,SUMPRODUCT(MAX(ROW(E$2:E4699)*(E4699=E$2:E4699)))))-COUNTBLANK(OFFSET(A$1,,,SUMPRODUCT(MAX(ROW(E$1:E4698)*(E2=E$1:E4698))))))</f>
        <v> </v>
      </c>
      <c r="K4699" s="25" t="str">
        <f>IF(OR(E4699="",E4699="!!!",F4699="NEW"),"",INDEX(J$1:J4698,SUMPRODUCT(MAX(ROW(E$1:E4698)*(E4699=E$1:E4698)))))</f>
        <v> </v>
      </c>
      <c r="L4699" s="26"/>
    </row>
    <row r="4700" spans="1:12">
      <c r="A4700" s="20" t="s">
        <v>774</v>
      </c>
      <c r="E4700" s="21">
        <f>IF(D4700="?OLD","!!!","")</f>
        <v/>
      </c>
      <c r="F4700" s="22" t="str">
        <f>IF(OR(E4700="",E4700="!!!"),"",IF(NOT(ISNA(VLOOKUP(E4700,E$1:E4699,1,FALSE()))),"OLD",IF(AND(E4700&lt;&gt;"",E4700&lt;&gt;"!!!"),"NEW","")))</f>
        <v> </v>
      </c>
      <c r="G4700" s="23" t="str">
        <f>IF(OR(E4700="",E4700="!!!"),"",IF(OR(J4700=0,AND(J4700=1,K4700=1),AND(J4700=1,I4700="SBJ"),AND(J4700=1,I4700=0)),"?IN_FOCUS",IF(J4700&lt;=2,"?ACTIVATED",IF(J4700&lt;&gt;"","?FAMILIAR",IF(F4700="NEW",IF(ISNA(VLOOKUP(E4700,#REF!,1,FALSE())),"?TYPE_IDENTIFIABLE","?REFERENTIAL"),"_")))))</f>
        <v> </v>
      </c>
      <c r="H4700" s="24" t="str">
        <f>IF(J4700&lt;&gt;1,"",IF(I4700="SBJ","CB","?"))</f>
        <v> </v>
      </c>
      <c r="I4700" s="25" t="str">
        <f>IF(OR(E4700="",E4700="!!!",F4700="NEW"),"",INDEX(B4699:B$2,-1+SUMPRODUCT(MAX(ROW(E4699:E$2)*(E4700=E4699:E$2)))))</f>
        <v> </v>
      </c>
      <c r="J4700" s="25" t="str">
        <f>IF(OR(E4700="",E4700="!!!",F4700="NEW"),"",COUNTBLANK(OFFSET(A$1,,,SUMPRODUCT(MAX(ROW(E$2:E4700)*(E4700=E$2:E4700)))))-COUNTBLANK(OFFSET(A$1,,,SUMPRODUCT(MAX(ROW(E$1:E4699)*(E2=E$1:E4699))))))</f>
        <v> </v>
      </c>
      <c r="K4700" s="25" t="str">
        <f>IF(OR(E4700="",E4700="!!!",F4700="NEW"),"",INDEX(J$1:J4699,SUMPRODUCT(MAX(ROW(E$1:E4699)*(E4700=E$1:E4699)))))</f>
        <v> </v>
      </c>
      <c r="L4700" s="26"/>
    </row>
    <row r="4701" spans="1:12">
      <c r="A4701" s="20"/>
    </row>
    <row r="4702" spans="1:12">
      <c r="A4702" s="20" t="s">
        <v>2022</v>
      </c>
    </row>
    <row r="4703" spans="1:12">
      <c r="A4703" s="20" t="s">
        <v>983</v>
      </c>
      <c r="B4703" s="27" t="s">
        <v>760</v>
      </c>
      <c r="C4703" s="27" t="s">
        <v>797</v>
      </c>
      <c r="D4703" s="27" t="s">
        <v>762</v>
      </c>
      <c r="E4703" s="21">
        <f>IF(D4703="?OLD","!!!","")</f>
        <v/>
      </c>
      <c r="F4703" s="22" t="str">
        <f>IF(OR(E4703="",E4703="!!!"),"",IF(NOT(ISNA(VLOOKUP(E4703,E$1:E4702,1,FALSE()))),"OLD",IF(AND(E4703&lt;&gt;"",E4703&lt;&gt;"!!!"),"NEW","")))</f>
        <v> </v>
      </c>
      <c r="G4703" s="23" t="str">
        <f>IF(OR(E4703="",E4703="!!!"),"",IF(OR(J4703=0,AND(J4703=1,K4703=1),AND(J4703=1,I4703="SBJ"),AND(J4703=1,I4703=0)),"?IN_FOCUS",IF(J4703&lt;=2,"?ACTIVATED",IF(J4703&lt;&gt;"","?FAMILIAR",IF(F4703="NEW",IF(ISNA(VLOOKUP(E4703,#REF!,1,FALSE())),"?TYPE_IDENTIFIABLE","?REFERENTIAL"),"_")))))</f>
        <v> </v>
      </c>
      <c r="H4703" s="24" t="str">
        <f>IF(J4703&lt;&gt;1,"",IF(I4703="SBJ","CB","?"))</f>
        <v> </v>
      </c>
      <c r="I4703" s="25" t="str">
        <f>IF(OR(E4703="",E4703="!!!",F4703="NEW"),"",INDEX(B4702:B$2,-1+SUMPRODUCT(MAX(ROW(E4702:E$2)*(E4703=E4702:E$2)))))</f>
        <v> </v>
      </c>
      <c r="J4703" s="25" t="str">
        <f>IF(OR(E4703="",E4703="!!!",F4703="NEW"),"",COUNTBLANK(OFFSET(A$1,,,SUMPRODUCT(MAX(ROW(E$2:E4703)*(E4703=E$2:E4703)))))-COUNTBLANK(OFFSET(A$1,,,SUMPRODUCT(MAX(ROW(E$1:E4702)*(E2=E$1:E4702))))))</f>
        <v> </v>
      </c>
      <c r="K4703" s="25" t="str">
        <f>IF(OR(E4703="",E4703="!!!",F4703="NEW"),"",INDEX(J$1:J4702,SUMPRODUCT(MAX(ROW(E$1:E4702)*(E4703=E$1:E4702)))))</f>
        <v> </v>
      </c>
      <c r="L4703" s="26"/>
    </row>
    <row r="4704" spans="1:12">
      <c r="A4704" s="20" t="s">
        <v>683</v>
      </c>
      <c r="E4704" s="21">
        <f>IF(D4704="?OLD","!!!","")</f>
        <v/>
      </c>
      <c r="F4704" s="22" t="str">
        <f>IF(OR(E4704="",E4704="!!!"),"",IF(NOT(ISNA(VLOOKUP(E4704,E$1:E4703,1,FALSE()))),"OLD",IF(AND(E4704&lt;&gt;"",E4704&lt;&gt;"!!!"),"NEW","")))</f>
        <v> </v>
      </c>
      <c r="G4704" s="23" t="str">
        <f>IF(OR(E4704="",E4704="!!!"),"",IF(OR(J4704=0,AND(J4704=1,K4704=1),AND(J4704=1,I4704="SBJ"),AND(J4704=1,I4704=0)),"?IN_FOCUS",IF(J4704&lt;=2,"?ACTIVATED",IF(J4704&lt;&gt;"","?FAMILIAR",IF(F4704="NEW",IF(ISNA(VLOOKUP(E4704,#REF!,1,FALSE())),"?TYPE_IDENTIFIABLE","?REFERENTIAL"),"_")))))</f>
        <v> </v>
      </c>
      <c r="H4704" s="24" t="str">
        <f>IF(J4704&lt;&gt;1,"",IF(I4704="SBJ","CB","?"))</f>
        <v> </v>
      </c>
      <c r="I4704" s="25" t="str">
        <f>IF(OR(E4704="",E4704="!!!",F4704="NEW"),"",INDEX(B4703:B$2,-1+SUMPRODUCT(MAX(ROW(E4703:E$2)*(E4704=E4703:E$2)))))</f>
        <v> </v>
      </c>
      <c r="J4704" s="25" t="str">
        <f>IF(OR(E4704="",E4704="!!!",F4704="NEW"),"",COUNTBLANK(OFFSET(A$1,,,SUMPRODUCT(MAX(ROW(E$2:E4704)*(E4704=E$2:E4704)))))-COUNTBLANK(OFFSET(A$1,,,SUMPRODUCT(MAX(ROW(E$1:E4703)*(E2=E$1:E4703))))))</f>
        <v> </v>
      </c>
      <c r="K4704" s="25" t="str">
        <f>IF(OR(E4704="",E4704="!!!",F4704="NEW"),"",INDEX(J$1:J4703,SUMPRODUCT(MAX(ROW(E$1:E4703)*(E4704=E$1:E4703)))))</f>
        <v> </v>
      </c>
      <c r="L4704" s="26"/>
    </row>
    <row r="4705" spans="1:12">
      <c r="A4705" s="20" t="s">
        <v>1604</v>
      </c>
      <c r="E4705" s="21">
        <f>IF(D4705="?OLD","!!!","")</f>
        <v/>
      </c>
      <c r="F4705" s="22" t="str">
        <f>IF(OR(E4705="",E4705="!!!"),"",IF(NOT(ISNA(VLOOKUP(E4705,E$1:E4704,1,FALSE()))),"OLD",IF(AND(E4705&lt;&gt;"",E4705&lt;&gt;"!!!"),"NEW","")))</f>
        <v> </v>
      </c>
      <c r="G4705" s="23" t="str">
        <f>IF(OR(E4705="",E4705="!!!"),"",IF(OR(J4705=0,AND(J4705=1,K4705=1),AND(J4705=1,I4705="SBJ"),AND(J4705=1,I4705=0)),"?IN_FOCUS",IF(J4705&lt;=2,"?ACTIVATED",IF(J4705&lt;&gt;"","?FAMILIAR",IF(F4705="NEW",IF(ISNA(VLOOKUP(E4705,#REF!,1,FALSE())),"?TYPE_IDENTIFIABLE","?REFERENTIAL"),"_")))))</f>
        <v> </v>
      </c>
      <c r="H4705" s="24" t="str">
        <f>IF(J4705&lt;&gt;1,"",IF(I4705="SBJ","CB","?"))</f>
        <v> </v>
      </c>
      <c r="I4705" s="25" t="str">
        <f>IF(OR(E4705="",E4705="!!!",F4705="NEW"),"",INDEX(B4704:B$2,-1+SUMPRODUCT(MAX(ROW(E4704:E$2)*(E4705=E4704:E$2)))))</f>
        <v> </v>
      </c>
      <c r="J4705" s="25" t="str">
        <f>IF(OR(E4705="",E4705="!!!",F4705="NEW"),"",COUNTBLANK(OFFSET(A$1,,,SUMPRODUCT(MAX(ROW(E$2:E4705)*(E4705=E$2:E4705)))))-COUNTBLANK(OFFSET(A$1,,,SUMPRODUCT(MAX(ROW(E$1:E4704)*(E2=E$1:E4704))))))</f>
        <v> </v>
      </c>
      <c r="K4705" s="25" t="str">
        <f>IF(OR(E4705="",E4705="!!!",F4705="NEW"),"",INDEX(J$1:J4704,SUMPRODUCT(MAX(ROW(E$1:E4704)*(E4705=E$1:E4704)))))</f>
        <v> </v>
      </c>
      <c r="L4705" s="26"/>
    </row>
    <row r="4706" spans="1:12">
      <c r="A4706" s="20" t="s">
        <v>975</v>
      </c>
      <c r="B4706" s="27" t="s">
        <v>802</v>
      </c>
      <c r="C4706" s="27" t="s">
        <v>797</v>
      </c>
      <c r="D4706" s="27" t="s">
        <v>762</v>
      </c>
      <c r="E4706" s="21">
        <f>IF(D4706="?OLD","!!!","")</f>
        <v/>
      </c>
      <c r="F4706" s="22" t="str">
        <f>IF(OR(E4706="",E4706="!!!"),"",IF(NOT(ISNA(VLOOKUP(E4706,E$1:E4705,1,FALSE()))),"OLD",IF(AND(E4706&lt;&gt;"",E4706&lt;&gt;"!!!"),"NEW","")))</f>
        <v> </v>
      </c>
      <c r="G4706" s="23" t="str">
        <f>IF(OR(E4706="",E4706="!!!"),"",IF(OR(J4706=0,AND(J4706=1,K4706=1),AND(J4706=1,I4706="SBJ"),AND(J4706=1,I4706=0)),"?IN_FOCUS",IF(J4706&lt;=2,"?ACTIVATED",IF(J4706&lt;&gt;"","?FAMILIAR",IF(F4706="NEW",IF(ISNA(VLOOKUP(E4706,#REF!,1,FALSE())),"?TYPE_IDENTIFIABLE","?REFERENTIAL"),"_")))))</f>
        <v> </v>
      </c>
      <c r="H4706" s="24" t="str">
        <f>IF(J4706&lt;&gt;1,"",IF(I4706="SBJ","CB","?"))</f>
        <v> </v>
      </c>
      <c r="I4706" s="25" t="str">
        <f>IF(OR(E4706="",E4706="!!!",F4706="NEW"),"",INDEX(B4705:B$2,-1+SUMPRODUCT(MAX(ROW(E4705:E$2)*(E4706=E4705:E$2)))))</f>
        <v> </v>
      </c>
      <c r="J4706" s="25" t="str">
        <f>IF(OR(E4706="",E4706="!!!",F4706="NEW"),"",COUNTBLANK(OFFSET(A$1,,,SUMPRODUCT(MAX(ROW(E$2:E4706)*(E4706=E$2:E4706)))))-COUNTBLANK(OFFSET(A$1,,,SUMPRODUCT(MAX(ROW(E$1:E4705)*(E2=E$1:E4705))))))</f>
        <v> </v>
      </c>
      <c r="K4706" s="25" t="str">
        <f>IF(OR(E4706="",E4706="!!!",F4706="NEW"),"",INDEX(J$1:J4705,SUMPRODUCT(MAX(ROW(E$1:E4705)*(E4706=E$1:E4705)))))</f>
        <v> </v>
      </c>
      <c r="L4706" s="26"/>
    </row>
    <row r="4707" spans="1:12">
      <c r="A4707" s="20" t="s">
        <v>2021</v>
      </c>
      <c r="E4707" s="21">
        <f>IF(D4707="?OLD","!!!","")</f>
        <v/>
      </c>
      <c r="F4707" s="22" t="str">
        <f>IF(OR(E4707="",E4707="!!!"),"",IF(NOT(ISNA(VLOOKUP(E4707,E$1:E4706,1,FALSE()))),"OLD",IF(AND(E4707&lt;&gt;"",E4707&lt;&gt;"!!!"),"NEW","")))</f>
        <v> </v>
      </c>
      <c r="G4707" s="23" t="str">
        <f>IF(OR(E4707="",E4707="!!!"),"",IF(OR(J4707=0,AND(J4707=1,K4707=1),AND(J4707=1,I4707="SBJ"),AND(J4707=1,I4707=0)),"?IN_FOCUS",IF(J4707&lt;=2,"?ACTIVATED",IF(J4707&lt;&gt;"","?FAMILIAR",IF(F4707="NEW",IF(ISNA(VLOOKUP(E4707,#REF!,1,FALSE())),"?TYPE_IDENTIFIABLE","?REFERENTIAL"),"_")))))</f>
        <v> </v>
      </c>
      <c r="H4707" s="24" t="str">
        <f>IF(J4707&lt;&gt;1,"",IF(I4707="SBJ","CB","?"))</f>
        <v> </v>
      </c>
      <c r="I4707" s="25" t="str">
        <f>IF(OR(E4707="",E4707="!!!",F4707="NEW"),"",INDEX(B4706:B$2,-1+SUMPRODUCT(MAX(ROW(E4706:E$2)*(E4707=E4706:E$2)))))</f>
        <v> </v>
      </c>
      <c r="J4707" s="25" t="str">
        <f>IF(OR(E4707="",E4707="!!!",F4707="NEW"),"",COUNTBLANK(OFFSET(A$1,,,SUMPRODUCT(MAX(ROW(E$2:E4707)*(E4707=E$2:E4707)))))-COUNTBLANK(OFFSET(A$1,,,SUMPRODUCT(MAX(ROW(E$1:E4706)*(E2=E$1:E4706))))))</f>
        <v> </v>
      </c>
      <c r="K4707" s="25" t="str">
        <f>IF(OR(E4707="",E4707="!!!",F4707="NEW"),"",INDEX(J$1:J4706,SUMPRODUCT(MAX(ROW(E$1:E4706)*(E4707=E$1:E4706)))))</f>
        <v> </v>
      </c>
      <c r="L4707" s="26"/>
    </row>
    <row r="4708" spans="1:12">
      <c r="A4708" s="20" t="s">
        <v>769</v>
      </c>
      <c r="E4708" s="21">
        <f>IF(D4708="?OLD","!!!","")</f>
        <v/>
      </c>
      <c r="F4708" s="22" t="str">
        <f>IF(OR(E4708="",E4708="!!!"),"",IF(NOT(ISNA(VLOOKUP(E4708,E$1:E4707,1,FALSE()))),"OLD",IF(AND(E4708&lt;&gt;"",E4708&lt;&gt;"!!!"),"NEW","")))</f>
        <v> </v>
      </c>
      <c r="G4708" s="23" t="str">
        <f>IF(OR(E4708="",E4708="!!!"),"",IF(OR(J4708=0,AND(J4708=1,K4708=1),AND(J4708=1,I4708="SBJ"),AND(J4708=1,I4708=0)),"?IN_FOCUS",IF(J4708&lt;=2,"?ACTIVATED",IF(J4708&lt;&gt;"","?FAMILIAR",IF(F4708="NEW",IF(ISNA(VLOOKUP(E4708,#REF!,1,FALSE())),"?TYPE_IDENTIFIABLE","?REFERENTIAL"),"_")))))</f>
        <v> </v>
      </c>
      <c r="H4708" s="24" t="str">
        <f>IF(J4708&lt;&gt;1,"",IF(I4708="SBJ","CB","?"))</f>
        <v> </v>
      </c>
      <c r="I4708" s="25" t="str">
        <f>IF(OR(E4708="",E4708="!!!",F4708="NEW"),"",INDEX(B4707:B$2,-1+SUMPRODUCT(MAX(ROW(E4707:E$2)*(E4708=E4707:E$2)))))</f>
        <v> </v>
      </c>
      <c r="J4708" s="25" t="str">
        <f>IF(OR(E4708="",E4708="!!!",F4708="NEW"),"",COUNTBLANK(OFFSET(A$1,,,SUMPRODUCT(MAX(ROW(E$2:E4708)*(E4708=E$2:E4708)))))-COUNTBLANK(OFFSET(A$1,,,SUMPRODUCT(MAX(ROW(E$1:E4707)*(E2=E$1:E4707))))))</f>
        <v> </v>
      </c>
      <c r="K4708" s="25" t="str">
        <f>IF(OR(E4708="",E4708="!!!",F4708="NEW"),"",INDEX(J$1:J4707,SUMPRODUCT(MAX(ROW(E$1:E4707)*(E4708=E$1:E4707)))))</f>
        <v> </v>
      </c>
      <c r="L4708" s="26"/>
    </row>
    <row r="4709" spans="1:12">
      <c r="A4709" s="20" t="s">
        <v>770</v>
      </c>
      <c r="E4709" s="21">
        <f>IF(D4709="?OLD","!!!","")</f>
        <v/>
      </c>
      <c r="F4709" s="22" t="str">
        <f>IF(OR(E4709="",E4709="!!!"),"",IF(NOT(ISNA(VLOOKUP(E4709,E$1:E4708,1,FALSE()))),"OLD",IF(AND(E4709&lt;&gt;"",E4709&lt;&gt;"!!!"),"NEW","")))</f>
        <v> </v>
      </c>
      <c r="G4709" s="23" t="str">
        <f>IF(OR(E4709="",E4709="!!!"),"",IF(OR(J4709=0,AND(J4709=1,K4709=1),AND(J4709=1,I4709="SBJ"),AND(J4709=1,I4709=0)),"?IN_FOCUS",IF(J4709&lt;=2,"?ACTIVATED",IF(J4709&lt;&gt;"","?FAMILIAR",IF(F4709="NEW",IF(ISNA(VLOOKUP(E4709,#REF!,1,FALSE())),"?TYPE_IDENTIFIABLE","?REFERENTIAL"),"_")))))</f>
        <v> </v>
      </c>
      <c r="H4709" s="24" t="str">
        <f>IF(J4709&lt;&gt;1,"",IF(I4709="SBJ","CB","?"))</f>
        <v> </v>
      </c>
      <c r="I4709" s="25" t="str">
        <f>IF(OR(E4709="",E4709="!!!",F4709="NEW"),"",INDEX(B4708:B$2,-1+SUMPRODUCT(MAX(ROW(E4708:E$2)*(E4709=E4708:E$2)))))</f>
        <v> </v>
      </c>
      <c r="J4709" s="25" t="str">
        <f>IF(OR(E4709="",E4709="!!!",F4709="NEW"),"",COUNTBLANK(OFFSET(A$1,,,SUMPRODUCT(MAX(ROW(E$2:E4709)*(E4709=E$2:E4709)))))-COUNTBLANK(OFFSET(A$1,,,SUMPRODUCT(MAX(ROW(E$1:E4708)*(E2=E$1:E4708))))))</f>
        <v> </v>
      </c>
      <c r="K4709" s="25" t="str">
        <f>IF(OR(E4709="",E4709="!!!",F4709="NEW"),"",INDEX(J$1:J4708,SUMPRODUCT(MAX(ROW(E$1:E4708)*(E4709=E$1:E4708)))))</f>
        <v> </v>
      </c>
      <c r="L4709" s="26"/>
    </row>
    <row r="4710" spans="1:12">
      <c r="A4710" s="20" t="s">
        <v>814</v>
      </c>
      <c r="B4710" s="27" t="s">
        <v>772</v>
      </c>
      <c r="C4710" s="27" t="s">
        <v>761</v>
      </c>
      <c r="D4710" s="27" t="s">
        <v>762</v>
      </c>
      <c r="E4710" s="21">
        <f>IF(D4710="?OLD","!!!","")</f>
        <v/>
      </c>
      <c r="F4710" s="22" t="str">
        <f>IF(OR(E4710="",E4710="!!!"),"",IF(NOT(ISNA(VLOOKUP(E4710,E$1:E4709,1,FALSE()))),"OLD",IF(AND(E4710&lt;&gt;"",E4710&lt;&gt;"!!!"),"NEW","")))</f>
        <v> </v>
      </c>
      <c r="G4710" s="23" t="str">
        <f>IF(OR(E4710="",E4710="!!!"),"",IF(OR(J4710=0,AND(J4710=1,K4710=1),AND(J4710=1,I4710="SBJ"),AND(J4710=1,I4710=0)),"?IN_FOCUS",IF(J4710&lt;=2,"?ACTIVATED",IF(J4710&lt;&gt;"","?FAMILIAR",IF(F4710="NEW",IF(ISNA(VLOOKUP(E4710,#REF!,1,FALSE())),"?TYPE_IDENTIFIABLE","?REFERENTIAL"),"_")))))</f>
        <v> </v>
      </c>
      <c r="H4710" s="24" t="str">
        <f>IF(J4710&lt;&gt;1,"",IF(I4710="SBJ","CB","?"))</f>
        <v> </v>
      </c>
      <c r="I4710" s="25" t="str">
        <f>IF(OR(E4710="",E4710="!!!",F4710="NEW"),"",INDEX(B4709:B$2,-1+SUMPRODUCT(MAX(ROW(E4709:E$2)*(E4710=E4709:E$2)))))</f>
        <v> </v>
      </c>
      <c r="J4710" s="25" t="str">
        <f>IF(OR(E4710="",E4710="!!!",F4710="NEW"),"",COUNTBLANK(OFFSET(A$1,,,SUMPRODUCT(MAX(ROW(E$2:E4710)*(E4710=E$2:E4710)))))-COUNTBLANK(OFFSET(A$1,,,SUMPRODUCT(MAX(ROW(E$1:E4709)*(E2=E$1:E4709))))))</f>
        <v> </v>
      </c>
      <c r="K4710" s="25" t="str">
        <f>IF(OR(E4710="",E4710="!!!",F4710="NEW"),"",INDEX(J$1:J4709,SUMPRODUCT(MAX(ROW(E$1:E4709)*(E4710=E$1:E4709)))))</f>
        <v> </v>
      </c>
      <c r="L4710" s="26"/>
    </row>
    <row r="4711" spans="1:12">
      <c r="A4711" s="20" t="s">
        <v>774</v>
      </c>
      <c r="E4711" s="21">
        <f>IF(D4711="?OLD","!!!","")</f>
        <v/>
      </c>
      <c r="F4711" s="22" t="str">
        <f>IF(OR(E4711="",E4711="!!!"),"",IF(NOT(ISNA(VLOOKUP(E4711,E$1:E4710,1,FALSE()))),"OLD",IF(AND(E4711&lt;&gt;"",E4711&lt;&gt;"!!!"),"NEW","")))</f>
        <v> </v>
      </c>
      <c r="G4711" s="23" t="str">
        <f>IF(OR(E4711="",E4711="!!!"),"",IF(OR(J4711=0,AND(J4711=1,K4711=1),AND(J4711=1,I4711="SBJ"),AND(J4711=1,I4711=0)),"?IN_FOCUS",IF(J4711&lt;=2,"?ACTIVATED",IF(J4711&lt;&gt;"","?FAMILIAR",IF(F4711="NEW",IF(ISNA(VLOOKUP(E4711,#REF!,1,FALSE())),"?TYPE_IDENTIFIABLE","?REFERENTIAL"),"_")))))</f>
        <v> </v>
      </c>
      <c r="H4711" s="24" t="str">
        <f>IF(J4711&lt;&gt;1,"",IF(I4711="SBJ","CB","?"))</f>
        <v> </v>
      </c>
      <c r="I4711" s="25" t="str">
        <f>IF(OR(E4711="",E4711="!!!",F4711="NEW"),"",INDEX(B4710:B$2,-1+SUMPRODUCT(MAX(ROW(E4710:E$2)*(E4711=E4710:E$2)))))</f>
        <v> </v>
      </c>
      <c r="J4711" s="25" t="str">
        <f>IF(OR(E4711="",E4711="!!!",F4711="NEW"),"",COUNTBLANK(OFFSET(A$1,,,SUMPRODUCT(MAX(ROW(E$2:E4711)*(E4711=E$2:E4711)))))-COUNTBLANK(OFFSET(A$1,,,SUMPRODUCT(MAX(ROW(E$1:E4710)*(E2=E$1:E4710))))))</f>
        <v> </v>
      </c>
      <c r="K4711" s="25" t="str">
        <f>IF(OR(E4711="",E4711="!!!",F4711="NEW"),"",INDEX(J$1:J4710,SUMPRODUCT(MAX(ROW(E$1:E4710)*(E4711=E$1:E4710)))))</f>
        <v> </v>
      </c>
      <c r="L4711" s="26"/>
    </row>
    <row r="4712" spans="1:12">
      <c r="A4712" s="20"/>
    </row>
    <row r="4713" spans="1:12">
      <c r="A4713" s="20" t="s">
        <v>2023</v>
      </c>
    </row>
    <row r="4714" spans="1:12">
      <c r="A4714" s="20" t="s">
        <v>833</v>
      </c>
      <c r="E4714" s="21">
        <f>IF(D4714="?OLD","!!!","")</f>
        <v/>
      </c>
      <c r="F4714" s="22" t="str">
        <f>IF(OR(E4714="",E4714="!!!"),"",IF(NOT(ISNA(VLOOKUP(E4714,E$1:E4713,1,FALSE()))),"OLD",IF(AND(E4714&lt;&gt;"",E4714&lt;&gt;"!!!"),"NEW","")))</f>
        <v> </v>
      </c>
      <c r="G4714" s="23" t="str">
        <f>IF(OR(E4714="",E4714="!!!"),"",IF(OR(J4714=0,AND(J4714=1,K4714=1),AND(J4714=1,I4714="SBJ"),AND(J4714=1,I4714=0)),"?IN_FOCUS",IF(J4714&lt;=2,"?ACTIVATED",IF(J4714&lt;&gt;"","?FAMILIAR",IF(F4714="NEW",IF(ISNA(VLOOKUP(E4714,#REF!,1,FALSE())),"?TYPE_IDENTIFIABLE","?REFERENTIAL"),"_")))))</f>
        <v> </v>
      </c>
      <c r="H4714" s="24" t="str">
        <f>IF(J4714&lt;&gt;1,"",IF(I4714="SBJ","CB","?"))</f>
        <v> </v>
      </c>
      <c r="I4714" s="25" t="str">
        <f>IF(OR(E4714="",E4714="!!!",F4714="NEW"),"",INDEX(B4713:B$2,-1+SUMPRODUCT(MAX(ROW(E4713:E$2)*(E4714=E4713:E$2)))))</f>
        <v> </v>
      </c>
      <c r="J4714" s="25" t="str">
        <f>IF(OR(E4714="",E4714="!!!",F4714="NEW"),"",COUNTBLANK(OFFSET(A$1,,,SUMPRODUCT(MAX(ROW(E$2:E4714)*(E4714=E$2:E4714)))))-COUNTBLANK(OFFSET(A$1,,,SUMPRODUCT(MAX(ROW(E$1:E4713)*(E2=E$1:E4713))))))</f>
        <v> </v>
      </c>
      <c r="K4714" s="25" t="str">
        <f>IF(OR(E4714="",E4714="!!!",F4714="NEW"),"",INDEX(J$1:J4713,SUMPRODUCT(MAX(ROW(E$1:E4713)*(E4714=E$1:E4713)))))</f>
        <v> </v>
      </c>
      <c r="L4714" s="26"/>
    </row>
    <row r="4715" spans="1:12">
      <c r="A4715" s="20" t="s">
        <v>1105</v>
      </c>
      <c r="E4715" s="21">
        <f>IF(D4715="?OLD","!!!","")</f>
        <v/>
      </c>
      <c r="F4715" s="22" t="str">
        <f>IF(OR(E4715="",E4715="!!!"),"",IF(NOT(ISNA(VLOOKUP(E4715,E$1:E4714,1,FALSE()))),"OLD",IF(AND(E4715&lt;&gt;"",E4715&lt;&gt;"!!!"),"NEW","")))</f>
        <v> </v>
      </c>
      <c r="G4715" s="23" t="str">
        <f>IF(OR(E4715="",E4715="!!!"),"",IF(OR(J4715=0,AND(J4715=1,K4715=1),AND(J4715=1,I4715="SBJ"),AND(J4715=1,I4715=0)),"?IN_FOCUS",IF(J4715&lt;=2,"?ACTIVATED",IF(J4715&lt;&gt;"","?FAMILIAR",IF(F4715="NEW",IF(ISNA(VLOOKUP(E4715,#REF!,1,FALSE())),"?TYPE_IDENTIFIABLE","?REFERENTIAL"),"_")))))</f>
        <v> </v>
      </c>
      <c r="H4715" s="24" t="str">
        <f>IF(J4715&lt;&gt;1,"",IF(I4715="SBJ","CB","?"))</f>
        <v> </v>
      </c>
      <c r="I4715" s="25" t="str">
        <f>IF(OR(E4715="",E4715="!!!",F4715="NEW"),"",INDEX(B4714:B$2,-1+SUMPRODUCT(MAX(ROW(E4714:E$2)*(E4715=E4714:E$2)))))</f>
        <v> </v>
      </c>
      <c r="J4715" s="25" t="str">
        <f>IF(OR(E4715="",E4715="!!!",F4715="NEW"),"",COUNTBLANK(OFFSET(A$1,,,SUMPRODUCT(MAX(ROW(E$2:E4715)*(E4715=E$2:E4715)))))-COUNTBLANK(OFFSET(A$1,,,SUMPRODUCT(MAX(ROW(E$1:E4714)*(E2=E$1:E4714))))))</f>
        <v> </v>
      </c>
      <c r="K4715" s="25" t="str">
        <f>IF(OR(E4715="",E4715="!!!",F4715="NEW"),"",INDEX(J$1:J4714,SUMPRODUCT(MAX(ROW(E$1:E4714)*(E4715=E$1:E4714)))))</f>
        <v> </v>
      </c>
      <c r="L4715" s="26"/>
    </row>
    <row r="4716" spans="1:12">
      <c r="A4716" s="20" t="s">
        <v>757</v>
      </c>
      <c r="E4716" s="21">
        <f>IF(D4716="?OLD","!!!","")</f>
        <v/>
      </c>
      <c r="F4716" s="22" t="str">
        <f>IF(OR(E4716="",E4716="!!!"),"",IF(NOT(ISNA(VLOOKUP(E4716,E$1:E4715,1,FALSE()))),"OLD",IF(AND(E4716&lt;&gt;"",E4716&lt;&gt;"!!!"),"NEW","")))</f>
        <v> </v>
      </c>
      <c r="G4716" s="23" t="str">
        <f>IF(OR(E4716="",E4716="!!!"),"",IF(OR(J4716=0,AND(J4716=1,K4716=1),AND(J4716=1,I4716="SBJ"),AND(J4716=1,I4716=0)),"?IN_FOCUS",IF(J4716&lt;=2,"?ACTIVATED",IF(J4716&lt;&gt;"","?FAMILIAR",IF(F4716="NEW",IF(ISNA(VLOOKUP(E4716,#REF!,1,FALSE())),"?TYPE_IDENTIFIABLE","?REFERENTIAL"),"_")))))</f>
        <v> </v>
      </c>
      <c r="H4716" s="24" t="str">
        <f>IF(J4716&lt;&gt;1,"",IF(I4716="SBJ","CB","?"))</f>
        <v> </v>
      </c>
      <c r="I4716" s="25" t="str">
        <f>IF(OR(E4716="",E4716="!!!",F4716="NEW"),"",INDEX(B4715:B$2,-1+SUMPRODUCT(MAX(ROW(E4715:E$2)*(E4716=E4715:E$2)))))</f>
        <v> </v>
      </c>
      <c r="J4716" s="25" t="str">
        <f>IF(OR(E4716="",E4716="!!!",F4716="NEW"),"",COUNTBLANK(OFFSET(A$1,,,SUMPRODUCT(MAX(ROW(E$2:E4716)*(E4716=E$2:E4716)))))-COUNTBLANK(OFFSET(A$1,,,SUMPRODUCT(MAX(ROW(E$1:E4715)*(E2=E$1:E4715))))))</f>
        <v> </v>
      </c>
      <c r="K4716" s="25" t="str">
        <f>IF(OR(E4716="",E4716="!!!",F4716="NEW"),"",INDEX(J$1:J4715,SUMPRODUCT(MAX(ROW(E$1:E4715)*(E4716=E$1:E4715)))))</f>
        <v> </v>
      </c>
      <c r="L4716" s="26"/>
    </row>
    <row r="4717" spans="1:12">
      <c r="A4717" s="20" t="s">
        <v>869</v>
      </c>
      <c r="B4717" s="27" t="s">
        <v>760</v>
      </c>
      <c r="C4717" s="27" t="s">
        <v>797</v>
      </c>
      <c r="D4717" s="27" t="s">
        <v>762</v>
      </c>
      <c r="E4717" s="21">
        <f>IF(D4717="?OLD","!!!","")</f>
        <v/>
      </c>
      <c r="F4717" s="22" t="str">
        <f>IF(OR(E4717="",E4717="!!!"),"",IF(NOT(ISNA(VLOOKUP(E4717,E$1:E4716,1,FALSE()))),"OLD",IF(AND(E4717&lt;&gt;"",E4717&lt;&gt;"!!!"),"NEW","")))</f>
        <v> </v>
      </c>
      <c r="G4717" s="23" t="str">
        <f>IF(OR(E4717="",E4717="!!!"),"",IF(OR(J4717=0,AND(J4717=1,K4717=1),AND(J4717=1,I4717="SBJ"),AND(J4717=1,I4717=0)),"?IN_FOCUS",IF(J4717&lt;=2,"?ACTIVATED",IF(J4717&lt;&gt;"","?FAMILIAR",IF(F4717="NEW",IF(ISNA(VLOOKUP(E4717,#REF!,1,FALSE())),"?TYPE_IDENTIFIABLE","?REFERENTIAL"),"_")))))</f>
        <v> </v>
      </c>
      <c r="H4717" s="24" t="str">
        <f>IF(J4717&lt;&gt;1,"",IF(I4717="SBJ","CB","?"))</f>
        <v> </v>
      </c>
      <c r="I4717" s="25" t="str">
        <f>IF(OR(E4717="",E4717="!!!",F4717="NEW"),"",INDEX(B4716:B$2,-1+SUMPRODUCT(MAX(ROW(E4716:E$2)*(E4717=E4716:E$2)))))</f>
        <v> </v>
      </c>
      <c r="J4717" s="25" t="str">
        <f>IF(OR(E4717="",E4717="!!!",F4717="NEW"),"",COUNTBLANK(OFFSET(A$1,,,SUMPRODUCT(MAX(ROW(E$2:E4717)*(E4717=E$2:E4717)))))-COUNTBLANK(OFFSET(A$1,,,SUMPRODUCT(MAX(ROW(E$1:E4716)*(E2=E$1:E4716))))))</f>
        <v> </v>
      </c>
      <c r="K4717" s="25" t="str">
        <f>IF(OR(E4717="",E4717="!!!",F4717="NEW"),"",INDEX(J$1:J4716,SUMPRODUCT(MAX(ROW(E$1:E4716)*(E4717=E$1:E4716)))))</f>
        <v> </v>
      </c>
      <c r="L4717" s="26"/>
    </row>
    <row r="4718" spans="1:12">
      <c r="A4718" s="20" t="s">
        <v>1399</v>
      </c>
      <c r="E4718" s="21">
        <f>IF(D4718="?OLD","!!!","")</f>
        <v/>
      </c>
      <c r="F4718" s="22" t="str">
        <f>IF(OR(E4718="",E4718="!!!"),"",IF(NOT(ISNA(VLOOKUP(E4718,E$1:E4717,1,FALSE()))),"OLD",IF(AND(E4718&lt;&gt;"",E4718&lt;&gt;"!!!"),"NEW","")))</f>
        <v> </v>
      </c>
      <c r="G4718" s="23" t="str">
        <f>IF(OR(E4718="",E4718="!!!"),"",IF(OR(J4718=0,AND(J4718=1,K4718=1),AND(J4718=1,I4718="SBJ"),AND(J4718=1,I4718=0)),"?IN_FOCUS",IF(J4718&lt;=2,"?ACTIVATED",IF(J4718&lt;&gt;"","?FAMILIAR",IF(F4718="NEW",IF(ISNA(VLOOKUP(E4718,#REF!,1,FALSE())),"?TYPE_IDENTIFIABLE","?REFERENTIAL"),"_")))))</f>
        <v> </v>
      </c>
      <c r="H4718" s="24" t="str">
        <f>IF(J4718&lt;&gt;1,"",IF(I4718="SBJ","CB","?"))</f>
        <v> </v>
      </c>
      <c r="I4718" s="25" t="str">
        <f>IF(OR(E4718="",E4718="!!!",F4718="NEW"),"",INDEX(B4717:B$2,-1+SUMPRODUCT(MAX(ROW(E4717:E$2)*(E4718=E4717:E$2)))))</f>
        <v> </v>
      </c>
      <c r="J4718" s="25" t="str">
        <f>IF(OR(E4718="",E4718="!!!",F4718="NEW"),"",COUNTBLANK(OFFSET(A$1,,,SUMPRODUCT(MAX(ROW(E$2:E4718)*(E4718=E$2:E4718)))))-COUNTBLANK(OFFSET(A$1,,,SUMPRODUCT(MAX(ROW(E$1:E4717)*(E2=E$1:E4717))))))</f>
        <v> </v>
      </c>
      <c r="K4718" s="25" t="str">
        <f>IF(OR(E4718="",E4718="!!!",F4718="NEW"),"",INDEX(J$1:J4717,SUMPRODUCT(MAX(ROW(E$1:E4717)*(E4718=E$1:E4717)))))</f>
        <v> </v>
      </c>
      <c r="L4718" s="26"/>
    </row>
    <row r="4719" spans="1:12">
      <c r="A4719" s="20" t="s">
        <v>1346</v>
      </c>
      <c r="E4719" s="21">
        <f>IF(D4719="?OLD","!!!","")</f>
        <v/>
      </c>
      <c r="F4719" s="22" t="str">
        <f>IF(OR(E4719="",E4719="!!!"),"",IF(NOT(ISNA(VLOOKUP(E4719,E$1:E4718,1,FALSE()))),"OLD",IF(AND(E4719&lt;&gt;"",E4719&lt;&gt;"!!!"),"NEW","")))</f>
        <v> </v>
      </c>
      <c r="G4719" s="23" t="str">
        <f>IF(OR(E4719="",E4719="!!!"),"",IF(OR(J4719=0,AND(J4719=1,K4719=1),AND(J4719=1,I4719="SBJ"),AND(J4719=1,I4719=0)),"?IN_FOCUS",IF(J4719&lt;=2,"?ACTIVATED",IF(J4719&lt;&gt;"","?FAMILIAR",IF(F4719="NEW",IF(ISNA(VLOOKUP(E4719,#REF!,1,FALSE())),"?TYPE_IDENTIFIABLE","?REFERENTIAL"),"_")))))</f>
        <v> </v>
      </c>
      <c r="H4719" s="24" t="str">
        <f>IF(J4719&lt;&gt;1,"",IF(I4719="SBJ","CB","?"))</f>
        <v> </v>
      </c>
      <c r="I4719" s="25" t="str">
        <f>IF(OR(E4719="",E4719="!!!",F4719="NEW"),"",INDEX(B4718:B$2,-1+SUMPRODUCT(MAX(ROW(E4718:E$2)*(E4719=E4718:E$2)))))</f>
        <v> </v>
      </c>
      <c r="J4719" s="25" t="str">
        <f>IF(OR(E4719="",E4719="!!!",F4719="NEW"),"",COUNTBLANK(OFFSET(A$1,,,SUMPRODUCT(MAX(ROW(E$2:E4719)*(E4719=E$2:E4719)))))-COUNTBLANK(OFFSET(A$1,,,SUMPRODUCT(MAX(ROW(E$1:E4718)*(E2=E$1:E4718))))))</f>
        <v> </v>
      </c>
      <c r="K4719" s="25" t="str">
        <f>IF(OR(E4719="",E4719="!!!",F4719="NEW"),"",INDEX(J$1:J4718,SUMPRODUCT(MAX(ROW(E$1:E4718)*(E4719=E$1:E4718)))))</f>
        <v> </v>
      </c>
      <c r="L4719" s="26"/>
    </row>
    <row r="4720" spans="1:12">
      <c r="A4720" s="20" t="s">
        <v>785</v>
      </c>
      <c r="E4720" s="21">
        <f>IF(D4720="?OLD","!!!","")</f>
        <v/>
      </c>
      <c r="F4720" s="22" t="str">
        <f>IF(OR(E4720="",E4720="!!!"),"",IF(NOT(ISNA(VLOOKUP(E4720,E$1:E4719,1,FALSE()))),"OLD",IF(AND(E4720&lt;&gt;"",E4720&lt;&gt;"!!!"),"NEW","")))</f>
        <v> </v>
      </c>
      <c r="G4720" s="23" t="str">
        <f>IF(OR(E4720="",E4720="!!!"),"",IF(OR(J4720=0,AND(J4720=1,K4720=1),AND(J4720=1,I4720="SBJ"),AND(J4720=1,I4720=0)),"?IN_FOCUS",IF(J4720&lt;=2,"?ACTIVATED",IF(J4720&lt;&gt;"","?FAMILIAR",IF(F4720="NEW",IF(ISNA(VLOOKUP(E4720,#REF!,1,FALSE())),"?TYPE_IDENTIFIABLE","?REFERENTIAL"),"_")))))</f>
        <v> </v>
      </c>
      <c r="H4720" s="24" t="str">
        <f>IF(J4720&lt;&gt;1,"",IF(I4720="SBJ","CB","?"))</f>
        <v> </v>
      </c>
      <c r="I4720" s="25" t="str">
        <f>IF(OR(E4720="",E4720="!!!",F4720="NEW"),"",INDEX(B4719:B$2,-1+SUMPRODUCT(MAX(ROW(E4719:E$2)*(E4720=E4719:E$2)))))</f>
        <v> </v>
      </c>
      <c r="J4720" s="25" t="str">
        <f>IF(OR(E4720="",E4720="!!!",F4720="NEW"),"",COUNTBLANK(OFFSET(A$1,,,SUMPRODUCT(MAX(ROW(E$2:E4720)*(E4720=E$2:E4720)))))-COUNTBLANK(OFFSET(A$1,,,SUMPRODUCT(MAX(ROW(E$1:E4719)*(E2=E$1:E4719))))))</f>
        <v> </v>
      </c>
      <c r="K4720" s="25" t="str">
        <f>IF(OR(E4720="",E4720="!!!",F4720="NEW"),"",INDEX(J$1:J4719,SUMPRODUCT(MAX(ROW(E$1:E4719)*(E4720=E$1:E4719)))))</f>
        <v> </v>
      </c>
      <c r="L4720" s="26"/>
    </row>
    <row r="4721" spans="1:12">
      <c r="A4721" s="20" t="s">
        <v>822</v>
      </c>
      <c r="E4721" s="21">
        <f>IF(D4721="?OLD","!!!","")</f>
        <v/>
      </c>
      <c r="F4721" s="22" t="str">
        <f>IF(OR(E4721="",E4721="!!!"),"",IF(NOT(ISNA(VLOOKUP(E4721,E$1:E4720,1,FALSE()))),"OLD",IF(AND(E4721&lt;&gt;"",E4721&lt;&gt;"!!!"),"NEW","")))</f>
        <v> </v>
      </c>
      <c r="G4721" s="23" t="str">
        <f>IF(OR(E4721="",E4721="!!!"),"",IF(OR(J4721=0,AND(J4721=1,K4721=1),AND(J4721=1,I4721="SBJ"),AND(J4721=1,I4721=0)),"?IN_FOCUS",IF(J4721&lt;=2,"?ACTIVATED",IF(J4721&lt;&gt;"","?FAMILIAR",IF(F4721="NEW",IF(ISNA(VLOOKUP(E4721,#REF!,1,FALSE())),"?TYPE_IDENTIFIABLE","?REFERENTIAL"),"_")))))</f>
        <v> </v>
      </c>
      <c r="H4721" s="24" t="str">
        <f>IF(J4721&lt;&gt;1,"",IF(I4721="SBJ","CB","?"))</f>
        <v> </v>
      </c>
      <c r="I4721" s="25" t="str">
        <f>IF(OR(E4721="",E4721="!!!",F4721="NEW"),"",INDEX(B4720:B$2,-1+SUMPRODUCT(MAX(ROW(E4720:E$2)*(E4721=E4720:E$2)))))</f>
        <v> </v>
      </c>
      <c r="J4721" s="25" t="str">
        <f>IF(OR(E4721="",E4721="!!!",F4721="NEW"),"",COUNTBLANK(OFFSET(A$1,,,SUMPRODUCT(MAX(ROW(E$2:E4721)*(E4721=E$2:E4721)))))-COUNTBLANK(OFFSET(A$1,,,SUMPRODUCT(MAX(ROW(E$1:E4720)*(E2=E$1:E4720))))))</f>
        <v> </v>
      </c>
      <c r="K4721" s="25" t="str">
        <f>IF(OR(E4721="",E4721="!!!",F4721="NEW"),"",INDEX(J$1:J4720,SUMPRODUCT(MAX(ROW(E$1:E4720)*(E4721=E$1:E4720)))))</f>
        <v> </v>
      </c>
      <c r="L4721" s="26"/>
    </row>
    <row r="4722" spans="1:12">
      <c r="A4722" s="20" t="s">
        <v>2024</v>
      </c>
      <c r="B4722" s="27" t="s">
        <v>772</v>
      </c>
      <c r="C4722" s="27" t="s">
        <v>761</v>
      </c>
      <c r="D4722" s="27" t="s">
        <v>762</v>
      </c>
      <c r="E4722" s="21">
        <f>IF(D4722="?OLD","!!!","")</f>
        <v/>
      </c>
      <c r="F4722" s="22" t="str">
        <f>IF(OR(E4722="",E4722="!!!"),"",IF(NOT(ISNA(VLOOKUP(E4722,E$1:E4721,1,FALSE()))),"OLD",IF(AND(E4722&lt;&gt;"",E4722&lt;&gt;"!!!"),"NEW","")))</f>
        <v> </v>
      </c>
      <c r="G4722" s="23" t="str">
        <f>IF(OR(E4722="",E4722="!!!"),"",IF(OR(J4722=0,AND(J4722=1,K4722=1),AND(J4722=1,I4722="SBJ"),AND(J4722=1,I4722=0)),"?IN_FOCUS",IF(J4722&lt;=2,"?ACTIVATED",IF(J4722&lt;&gt;"","?FAMILIAR",IF(F4722="NEW",IF(ISNA(VLOOKUP(E4722,#REF!,1,FALSE())),"?TYPE_IDENTIFIABLE","?REFERENTIAL"),"_")))))</f>
        <v> </v>
      </c>
      <c r="H4722" s="24" t="str">
        <f>IF(J4722&lt;&gt;1,"",IF(I4722="SBJ","CB","?"))</f>
        <v> </v>
      </c>
      <c r="I4722" s="25" t="str">
        <f>IF(OR(E4722="",E4722="!!!",F4722="NEW"),"",INDEX(B4721:B$2,-1+SUMPRODUCT(MAX(ROW(E4721:E$2)*(E4722=E4721:E$2)))))</f>
        <v> </v>
      </c>
      <c r="J4722" s="25" t="str">
        <f>IF(OR(E4722="",E4722="!!!",F4722="NEW"),"",COUNTBLANK(OFFSET(A$1,,,SUMPRODUCT(MAX(ROW(E$2:E4722)*(E4722=E$2:E4722)))))-COUNTBLANK(OFFSET(A$1,,,SUMPRODUCT(MAX(ROW(E$1:E4721)*(E2=E$1:E4721))))))</f>
        <v> </v>
      </c>
      <c r="K4722" s="25" t="str">
        <f>IF(OR(E4722="",E4722="!!!",F4722="NEW"),"",INDEX(J$1:J4721,SUMPRODUCT(MAX(ROW(E$1:E4721)*(E4722=E$1:E4721)))))</f>
        <v> </v>
      </c>
      <c r="L4722" s="26"/>
    </row>
    <row r="4723" spans="1:12">
      <c r="A4723" s="20" t="s">
        <v>793</v>
      </c>
      <c r="E4723" s="21">
        <f>IF(D4723="?OLD","!!!","")</f>
        <v/>
      </c>
      <c r="F4723" s="22" t="str">
        <f>IF(OR(E4723="",E4723="!!!"),"",IF(NOT(ISNA(VLOOKUP(E4723,E$1:E4722,1,FALSE()))),"OLD",IF(AND(E4723&lt;&gt;"",E4723&lt;&gt;"!!!"),"NEW","")))</f>
        <v> </v>
      </c>
      <c r="G4723" s="23" t="str">
        <f>IF(OR(E4723="",E4723="!!!"),"",IF(OR(J4723=0,AND(J4723=1,K4723=1),AND(J4723=1,I4723="SBJ"),AND(J4723=1,I4723=0)),"?IN_FOCUS",IF(J4723&lt;=2,"?ACTIVATED",IF(J4723&lt;&gt;"","?FAMILIAR",IF(F4723="NEW",IF(ISNA(VLOOKUP(E4723,#REF!,1,FALSE())),"?TYPE_IDENTIFIABLE","?REFERENTIAL"),"_")))))</f>
        <v> </v>
      </c>
      <c r="H4723" s="24" t="str">
        <f>IF(J4723&lt;&gt;1,"",IF(I4723="SBJ","CB","?"))</f>
        <v> </v>
      </c>
      <c r="I4723" s="25" t="str">
        <f>IF(OR(E4723="",E4723="!!!",F4723="NEW"),"",INDEX(B4722:B$2,-1+SUMPRODUCT(MAX(ROW(E4722:E$2)*(E4723=E4722:E$2)))))</f>
        <v> </v>
      </c>
      <c r="J4723" s="25" t="str">
        <f>IF(OR(E4723="",E4723="!!!",F4723="NEW"),"",COUNTBLANK(OFFSET(A$1,,,SUMPRODUCT(MAX(ROW(E$2:E4723)*(E4723=E$2:E4723)))))-COUNTBLANK(OFFSET(A$1,,,SUMPRODUCT(MAX(ROW(E$1:E4722)*(E2=E$1:E4722))))))</f>
        <v> </v>
      </c>
      <c r="K4723" s="25" t="str">
        <f>IF(OR(E4723="",E4723="!!!",F4723="NEW"),"",INDEX(J$1:J4722,SUMPRODUCT(MAX(ROW(E$1:E4722)*(E4723=E$1:E4722)))))</f>
        <v> </v>
      </c>
      <c r="L4723" s="26"/>
    </row>
    <row r="4724" spans="1:12">
      <c r="A4724" s="20" t="s">
        <v>827</v>
      </c>
      <c r="B4724" s="27" t="s">
        <v>796</v>
      </c>
      <c r="C4724" s="27" t="s">
        <v>797</v>
      </c>
      <c r="D4724" s="27" t="s">
        <v>762</v>
      </c>
      <c r="E4724" s="21">
        <f>IF(D4724="?OLD","!!!","")</f>
        <v/>
      </c>
      <c r="F4724" s="22" t="str">
        <f>IF(OR(E4724="",E4724="!!!"),"",IF(NOT(ISNA(VLOOKUP(E4724,E$1:E4723,1,FALSE()))),"OLD",IF(AND(E4724&lt;&gt;"",E4724&lt;&gt;"!!!"),"NEW","")))</f>
        <v> </v>
      </c>
      <c r="G4724" s="23" t="str">
        <f>IF(OR(E4724="",E4724="!!!"),"",IF(OR(J4724=0,AND(J4724=1,K4724=1),AND(J4724=1,I4724="SBJ"),AND(J4724=1,I4724=0)),"?IN_FOCUS",IF(J4724&lt;=2,"?ACTIVATED",IF(J4724&lt;&gt;"","?FAMILIAR",IF(F4724="NEW",IF(ISNA(VLOOKUP(E4724,#REF!,1,FALSE())),"?TYPE_IDENTIFIABLE","?REFERENTIAL"),"_")))))</f>
        <v> </v>
      </c>
      <c r="H4724" s="24" t="str">
        <f>IF(J4724&lt;&gt;1,"",IF(I4724="SBJ","CB","?"))</f>
        <v> </v>
      </c>
      <c r="I4724" s="25" t="str">
        <f>IF(OR(E4724="",E4724="!!!",F4724="NEW"),"",INDEX(B4723:B$2,-1+SUMPRODUCT(MAX(ROW(E4723:E$2)*(E4724=E4723:E$2)))))</f>
        <v> </v>
      </c>
      <c r="J4724" s="25" t="str">
        <f>IF(OR(E4724="",E4724="!!!",F4724="NEW"),"",COUNTBLANK(OFFSET(A$1,,,SUMPRODUCT(MAX(ROW(E$2:E4724)*(E4724=E$2:E4724)))))-COUNTBLANK(OFFSET(A$1,,,SUMPRODUCT(MAX(ROW(E$1:E4723)*(E2=E$1:E4723))))))</f>
        <v> </v>
      </c>
      <c r="K4724" s="25" t="str">
        <f>IF(OR(E4724="",E4724="!!!",F4724="NEW"),"",INDEX(J$1:J4723,SUMPRODUCT(MAX(ROW(E$1:E4723)*(E4724=E$1:E4723)))))</f>
        <v> </v>
      </c>
      <c r="L4724" s="26"/>
    </row>
    <row r="4725" spans="1:12">
      <c r="A4725" s="20" t="s">
        <v>828</v>
      </c>
      <c r="E4725" s="21">
        <f>IF(D4725="?OLD","!!!","")</f>
        <v/>
      </c>
      <c r="F4725" s="22" t="str">
        <f>IF(OR(E4725="",E4725="!!!"),"",IF(NOT(ISNA(VLOOKUP(E4725,E$1:E4724,1,FALSE()))),"OLD",IF(AND(E4725&lt;&gt;"",E4725&lt;&gt;"!!!"),"NEW","")))</f>
        <v> </v>
      </c>
      <c r="G4725" s="23" t="str">
        <f>IF(OR(E4725="",E4725="!!!"),"",IF(OR(J4725=0,AND(J4725=1,K4725=1),AND(J4725=1,I4725="SBJ"),AND(J4725=1,I4725=0)),"?IN_FOCUS",IF(J4725&lt;=2,"?ACTIVATED",IF(J4725&lt;&gt;"","?FAMILIAR",IF(F4725="NEW",IF(ISNA(VLOOKUP(E4725,#REF!,1,FALSE())),"?TYPE_IDENTIFIABLE","?REFERENTIAL"),"_")))))</f>
        <v> </v>
      </c>
      <c r="H4725" s="24" t="str">
        <f>IF(J4725&lt;&gt;1,"",IF(I4725="SBJ","CB","?"))</f>
        <v> </v>
      </c>
      <c r="I4725" s="25" t="str">
        <f>IF(OR(E4725="",E4725="!!!",F4725="NEW"),"",INDEX(B4724:B$2,-1+SUMPRODUCT(MAX(ROW(E4724:E$2)*(E4725=E4724:E$2)))))</f>
        <v> </v>
      </c>
      <c r="J4725" s="25" t="str">
        <f>IF(OR(E4725="",E4725="!!!",F4725="NEW"),"",COUNTBLANK(OFFSET(A$1,,,SUMPRODUCT(MAX(ROW(E$2:E4725)*(E4725=E$2:E4725)))))-COUNTBLANK(OFFSET(A$1,,,SUMPRODUCT(MAX(ROW(E$1:E4724)*(E2=E$1:E4724))))))</f>
        <v> </v>
      </c>
      <c r="K4725" s="25" t="str">
        <f>IF(OR(E4725="",E4725="!!!",F4725="NEW"),"",INDEX(J$1:J4724,SUMPRODUCT(MAX(ROW(E$1:E4724)*(E4725=E$1:E4724)))))</f>
        <v> </v>
      </c>
      <c r="L4725" s="26"/>
    </row>
    <row r="4726" spans="1:12">
      <c r="A4726" s="20" t="s">
        <v>918</v>
      </c>
      <c r="E4726" s="21">
        <f>IF(D4726="?OLD","!!!","")</f>
        <v/>
      </c>
      <c r="F4726" s="22" t="str">
        <f>IF(OR(E4726="",E4726="!!!"),"",IF(NOT(ISNA(VLOOKUP(E4726,E$1:E4725,1,FALSE()))),"OLD",IF(AND(E4726&lt;&gt;"",E4726&lt;&gt;"!!!"),"NEW","")))</f>
        <v> </v>
      </c>
      <c r="G4726" s="23" t="str">
        <f>IF(OR(E4726="",E4726="!!!"),"",IF(OR(J4726=0,AND(J4726=1,K4726=1),AND(J4726=1,I4726="SBJ"),AND(J4726=1,I4726=0)),"?IN_FOCUS",IF(J4726&lt;=2,"?ACTIVATED",IF(J4726&lt;&gt;"","?FAMILIAR",IF(F4726="NEW",IF(ISNA(VLOOKUP(E4726,#REF!,1,FALSE())),"?TYPE_IDENTIFIABLE","?REFERENTIAL"),"_")))))</f>
        <v> </v>
      </c>
      <c r="H4726" s="24" t="str">
        <f>IF(J4726&lt;&gt;1,"",IF(I4726="SBJ","CB","?"))</f>
        <v> </v>
      </c>
      <c r="I4726" s="25" t="str">
        <f>IF(OR(E4726="",E4726="!!!",F4726="NEW"),"",INDEX(B4725:B$2,-1+SUMPRODUCT(MAX(ROW(E4725:E$2)*(E4726=E4725:E$2)))))</f>
        <v> </v>
      </c>
      <c r="J4726" s="25" t="str">
        <f>IF(OR(E4726="",E4726="!!!",F4726="NEW"),"",COUNTBLANK(OFFSET(A$1,,,SUMPRODUCT(MAX(ROW(E$2:E4726)*(E4726=E$2:E4726)))))-COUNTBLANK(OFFSET(A$1,,,SUMPRODUCT(MAX(ROW(E$1:E4725)*(E2=E$1:E4725))))))</f>
        <v> </v>
      </c>
      <c r="K4726" s="25" t="str">
        <f>IF(OR(E4726="",E4726="!!!",F4726="NEW"),"",INDEX(J$1:J4725,SUMPRODUCT(MAX(ROW(E$1:E4725)*(E4726=E$1:E4725)))))</f>
        <v> </v>
      </c>
      <c r="L4726" s="26"/>
    </row>
    <row r="4727" spans="1:12">
      <c r="A4727" s="20" t="s">
        <v>793</v>
      </c>
      <c r="E4727" s="21">
        <f>IF(D4727="?OLD","!!!","")</f>
        <v/>
      </c>
      <c r="F4727" s="22" t="str">
        <f>IF(OR(E4727="",E4727="!!!"),"",IF(NOT(ISNA(VLOOKUP(E4727,E$1:E4726,1,FALSE()))),"OLD",IF(AND(E4727&lt;&gt;"",E4727&lt;&gt;"!!!"),"NEW","")))</f>
        <v> </v>
      </c>
      <c r="G4727" s="23" t="str">
        <f>IF(OR(E4727="",E4727="!!!"),"",IF(OR(J4727=0,AND(J4727=1,K4727=1),AND(J4727=1,I4727="SBJ"),AND(J4727=1,I4727=0)),"?IN_FOCUS",IF(J4727&lt;=2,"?ACTIVATED",IF(J4727&lt;&gt;"","?FAMILIAR",IF(F4727="NEW",IF(ISNA(VLOOKUP(E4727,#REF!,1,FALSE())),"?TYPE_IDENTIFIABLE","?REFERENTIAL"),"_")))))</f>
        <v> </v>
      </c>
      <c r="H4727" s="24" t="str">
        <f>IF(J4727&lt;&gt;1,"",IF(I4727="SBJ","CB","?"))</f>
        <v> </v>
      </c>
      <c r="I4727" s="25" t="str">
        <f>IF(OR(E4727="",E4727="!!!",F4727="NEW"),"",INDEX(B4726:B$2,-1+SUMPRODUCT(MAX(ROW(E4726:E$2)*(E4727=E4726:E$2)))))</f>
        <v> </v>
      </c>
      <c r="J4727" s="25" t="str">
        <f>IF(OR(E4727="",E4727="!!!",F4727="NEW"),"",COUNTBLANK(OFFSET(A$1,,,SUMPRODUCT(MAX(ROW(E$2:E4727)*(E4727=E$2:E4727)))))-COUNTBLANK(OFFSET(A$1,,,SUMPRODUCT(MAX(ROW(E$1:E4726)*(E2=E$1:E4726))))))</f>
        <v> </v>
      </c>
      <c r="K4727" s="25" t="str">
        <f>IF(OR(E4727="",E4727="!!!",F4727="NEW"),"",INDEX(J$1:J4726,SUMPRODUCT(MAX(ROW(E$1:E4726)*(E4727=E$1:E4726)))))</f>
        <v> </v>
      </c>
      <c r="L4727" s="26"/>
    </row>
    <row r="4728" spans="1:12">
      <c r="A4728" s="20" t="s">
        <v>840</v>
      </c>
      <c r="E4728" s="21">
        <f>IF(D4728="?OLD","!!!","")</f>
        <v/>
      </c>
      <c r="F4728" s="22" t="str">
        <f>IF(OR(E4728="",E4728="!!!"),"",IF(NOT(ISNA(VLOOKUP(E4728,E$1:E4727,1,FALSE()))),"OLD",IF(AND(E4728&lt;&gt;"",E4728&lt;&gt;"!!!"),"NEW","")))</f>
        <v> </v>
      </c>
      <c r="G4728" s="23" t="str">
        <f>IF(OR(E4728="",E4728="!!!"),"",IF(OR(J4728=0,AND(J4728=1,K4728=1),AND(J4728=1,I4728="SBJ"),AND(J4728=1,I4728=0)),"?IN_FOCUS",IF(J4728&lt;=2,"?ACTIVATED",IF(J4728&lt;&gt;"","?FAMILIAR",IF(F4728="NEW",IF(ISNA(VLOOKUP(E4728,#REF!,1,FALSE())),"?TYPE_IDENTIFIABLE","?REFERENTIAL"),"_")))))</f>
        <v> </v>
      </c>
      <c r="H4728" s="24" t="str">
        <f>IF(J4728&lt;&gt;1,"",IF(I4728="SBJ","CB","?"))</f>
        <v> </v>
      </c>
      <c r="I4728" s="25" t="str">
        <f>IF(OR(E4728="",E4728="!!!",F4728="NEW"),"",INDEX(B4727:B$2,-1+SUMPRODUCT(MAX(ROW(E4727:E$2)*(E4728=E4727:E$2)))))</f>
        <v> </v>
      </c>
      <c r="J4728" s="25" t="str">
        <f>IF(OR(E4728="",E4728="!!!",F4728="NEW"),"",COUNTBLANK(OFFSET(A$1,,,SUMPRODUCT(MAX(ROW(E$2:E4728)*(E4728=E$2:E4728)))))-COUNTBLANK(OFFSET(A$1,,,SUMPRODUCT(MAX(ROW(E$1:E4727)*(E2=E$1:E4727))))))</f>
        <v> </v>
      </c>
      <c r="K4728" s="25" t="str">
        <f>IF(OR(E4728="",E4728="!!!",F4728="NEW"),"",INDEX(J$1:J4727,SUMPRODUCT(MAX(ROW(E$1:E4727)*(E4728=E$1:E4727)))))</f>
        <v> </v>
      </c>
      <c r="L4728" s="26"/>
    </row>
    <row r="4729" spans="1:12">
      <c r="A4729" s="20" t="s">
        <v>697</v>
      </c>
      <c r="B4729" s="27" t="s">
        <v>956</v>
      </c>
      <c r="C4729" s="27" t="s">
        <v>797</v>
      </c>
      <c r="D4729" s="27" t="s">
        <v>762</v>
      </c>
      <c r="E4729" s="21">
        <f>IF(D4729="?OLD","!!!","")</f>
        <v/>
      </c>
      <c r="F4729" s="22" t="str">
        <f>IF(OR(E4729="",E4729="!!!"),"",IF(NOT(ISNA(VLOOKUP(E4729,E$1:E4728,1,FALSE()))),"OLD",IF(AND(E4729&lt;&gt;"",E4729&lt;&gt;"!!!"),"NEW","")))</f>
        <v> </v>
      </c>
      <c r="G4729" s="23" t="str">
        <f>IF(OR(E4729="",E4729="!!!"),"",IF(OR(J4729=0,AND(J4729=1,K4729=1),AND(J4729=1,I4729="SBJ"),AND(J4729=1,I4729=0)),"?IN_FOCUS",IF(J4729&lt;=2,"?ACTIVATED",IF(J4729&lt;&gt;"","?FAMILIAR",IF(F4729="NEW",IF(ISNA(VLOOKUP(E4729,#REF!,1,FALSE())),"?TYPE_IDENTIFIABLE","?REFERENTIAL"),"_")))))</f>
        <v> </v>
      </c>
      <c r="H4729" s="24" t="str">
        <f>IF(J4729&lt;&gt;1,"",IF(I4729="SBJ","CB","?"))</f>
        <v> </v>
      </c>
      <c r="I4729" s="25" t="str">
        <f>IF(OR(E4729="",E4729="!!!",F4729="NEW"),"",INDEX(B4728:B$2,-1+SUMPRODUCT(MAX(ROW(E4728:E$2)*(E4729=E4728:E$2)))))</f>
        <v> </v>
      </c>
      <c r="J4729" s="25" t="str">
        <f>IF(OR(E4729="",E4729="!!!",F4729="NEW"),"",COUNTBLANK(OFFSET(A$1,,,SUMPRODUCT(MAX(ROW(E$2:E4729)*(E4729=E$2:E4729)))))-COUNTBLANK(OFFSET(A$1,,,SUMPRODUCT(MAX(ROW(E$1:E4728)*(E2=E$1:E4728))))))</f>
        <v> </v>
      </c>
      <c r="K4729" s="25" t="str">
        <f>IF(OR(E4729="",E4729="!!!",F4729="NEW"),"",INDEX(J$1:J4728,SUMPRODUCT(MAX(ROW(E$1:E4728)*(E4729=E$1:E4728)))))</f>
        <v> </v>
      </c>
      <c r="L4729" s="26"/>
    </row>
    <row r="4730" spans="1:12">
      <c r="A4730" s="20" t="s">
        <v>1164</v>
      </c>
      <c r="E4730" s="21">
        <f>IF(D4730="?OLD","!!!","")</f>
        <v/>
      </c>
      <c r="F4730" s="22" t="str">
        <f>IF(OR(E4730="",E4730="!!!"),"",IF(NOT(ISNA(VLOOKUP(E4730,E$1:E4729,1,FALSE()))),"OLD",IF(AND(E4730&lt;&gt;"",E4730&lt;&gt;"!!!"),"NEW","")))</f>
        <v> </v>
      </c>
      <c r="G4730" s="23" t="str">
        <f>IF(OR(E4730="",E4730="!!!"),"",IF(OR(J4730=0,AND(J4730=1,K4730=1),AND(J4730=1,I4730="SBJ"),AND(J4730=1,I4730=0)),"?IN_FOCUS",IF(J4730&lt;=2,"?ACTIVATED",IF(J4730&lt;&gt;"","?FAMILIAR",IF(F4730="NEW",IF(ISNA(VLOOKUP(E4730,#REF!,1,FALSE())),"?TYPE_IDENTIFIABLE","?REFERENTIAL"),"_")))))</f>
        <v> </v>
      </c>
      <c r="H4730" s="24" t="str">
        <f>IF(J4730&lt;&gt;1,"",IF(I4730="SBJ","CB","?"))</f>
        <v> </v>
      </c>
      <c r="I4730" s="25" t="str">
        <f>IF(OR(E4730="",E4730="!!!",F4730="NEW"),"",INDEX(B4729:B$2,-1+SUMPRODUCT(MAX(ROW(E4729:E$2)*(E4730=E4729:E$2)))))</f>
        <v> </v>
      </c>
      <c r="J4730" s="25" t="str">
        <f>IF(OR(E4730="",E4730="!!!",F4730="NEW"),"",COUNTBLANK(OFFSET(A$1,,,SUMPRODUCT(MAX(ROW(E$2:E4730)*(E4730=E$2:E4730)))))-COUNTBLANK(OFFSET(A$1,,,SUMPRODUCT(MAX(ROW(E$1:E4729)*(E2=E$1:E4729))))))</f>
        <v> </v>
      </c>
      <c r="K4730" s="25" t="str">
        <f>IF(OR(E4730="",E4730="!!!",F4730="NEW"),"",INDEX(J$1:J4729,SUMPRODUCT(MAX(ROW(E$1:E4729)*(E4730=E$1:E4729)))))</f>
        <v> </v>
      </c>
      <c r="L4730" s="26"/>
    </row>
    <row r="4731" spans="1:12">
      <c r="A4731" s="20" t="s">
        <v>811</v>
      </c>
      <c r="E4731" s="21">
        <f>IF(D4731="?OLD","!!!","")</f>
        <v/>
      </c>
      <c r="F4731" s="22" t="str">
        <f>IF(OR(E4731="",E4731="!!!"),"",IF(NOT(ISNA(VLOOKUP(E4731,E$1:E4730,1,FALSE()))),"OLD",IF(AND(E4731&lt;&gt;"",E4731&lt;&gt;"!!!"),"NEW","")))</f>
        <v> </v>
      </c>
      <c r="G4731" s="23" t="str">
        <f>IF(OR(E4731="",E4731="!!!"),"",IF(OR(J4731=0,AND(J4731=1,K4731=1),AND(J4731=1,I4731="SBJ"),AND(J4731=1,I4731=0)),"?IN_FOCUS",IF(J4731&lt;=2,"?ACTIVATED",IF(J4731&lt;&gt;"","?FAMILIAR",IF(F4731="NEW",IF(ISNA(VLOOKUP(E4731,#REF!,1,FALSE())),"?TYPE_IDENTIFIABLE","?REFERENTIAL"),"_")))))</f>
        <v> </v>
      </c>
      <c r="H4731" s="24" t="str">
        <f>IF(J4731&lt;&gt;1,"",IF(I4731="SBJ","CB","?"))</f>
        <v> </v>
      </c>
      <c r="I4731" s="25" t="str">
        <f>IF(OR(E4731="",E4731="!!!",F4731="NEW"),"",INDEX(B4730:B$2,-1+SUMPRODUCT(MAX(ROW(E4730:E$2)*(E4731=E4730:E$2)))))</f>
        <v> </v>
      </c>
      <c r="J4731" s="25" t="str">
        <f>IF(OR(E4731="",E4731="!!!",F4731="NEW"),"",COUNTBLANK(OFFSET(A$1,,,SUMPRODUCT(MAX(ROW(E$2:E4731)*(E4731=E$2:E4731)))))-COUNTBLANK(OFFSET(A$1,,,SUMPRODUCT(MAX(ROW(E$1:E4730)*(E2=E$1:E4730))))))</f>
        <v> </v>
      </c>
      <c r="K4731" s="25" t="str">
        <f>IF(OR(E4731="",E4731="!!!",F4731="NEW"),"",INDEX(J$1:J4730,SUMPRODUCT(MAX(ROW(E$1:E4730)*(E4731=E$1:E4730)))))</f>
        <v> </v>
      </c>
      <c r="L4731" s="26"/>
    </row>
    <row r="4732" spans="1:12">
      <c r="A4732" s="20" t="s">
        <v>1933</v>
      </c>
      <c r="E4732" s="21">
        <f>IF(D4732="?OLD","!!!","")</f>
        <v/>
      </c>
      <c r="F4732" s="22" t="str">
        <f>IF(OR(E4732="",E4732="!!!"),"",IF(NOT(ISNA(VLOOKUP(E4732,E$1:E4731,1,FALSE()))),"OLD",IF(AND(E4732&lt;&gt;"",E4732&lt;&gt;"!!!"),"NEW","")))</f>
        <v> </v>
      </c>
      <c r="G4732" s="23" t="str">
        <f>IF(OR(E4732="",E4732="!!!"),"",IF(OR(J4732=0,AND(J4732=1,K4732=1),AND(J4732=1,I4732="SBJ"),AND(J4732=1,I4732=0)),"?IN_FOCUS",IF(J4732&lt;=2,"?ACTIVATED",IF(J4732&lt;&gt;"","?FAMILIAR",IF(F4732="NEW",IF(ISNA(VLOOKUP(E4732,#REF!,1,FALSE())),"?TYPE_IDENTIFIABLE","?REFERENTIAL"),"_")))))</f>
        <v> </v>
      </c>
      <c r="H4732" s="24" t="str">
        <f>IF(J4732&lt;&gt;1,"",IF(I4732="SBJ","CB","?"))</f>
        <v> </v>
      </c>
      <c r="I4732" s="25" t="str">
        <f>IF(OR(E4732="",E4732="!!!",F4732="NEW"),"",INDEX(B4731:B$2,-1+SUMPRODUCT(MAX(ROW(E4731:E$2)*(E4732=E4731:E$2)))))</f>
        <v> </v>
      </c>
      <c r="J4732" s="25" t="str">
        <f>IF(OR(E4732="",E4732="!!!",F4732="NEW"),"",COUNTBLANK(OFFSET(A$1,,,SUMPRODUCT(MAX(ROW(E$2:E4732)*(E4732=E$2:E4732)))))-COUNTBLANK(OFFSET(A$1,,,SUMPRODUCT(MAX(ROW(E$1:E4731)*(E2=E$1:E4731))))))</f>
        <v> </v>
      </c>
      <c r="K4732" s="25" t="str">
        <f>IF(OR(E4732="",E4732="!!!",F4732="NEW"),"",INDEX(J$1:J4731,SUMPRODUCT(MAX(ROW(E$1:E4731)*(E4732=E$1:E4731)))))</f>
        <v> </v>
      </c>
      <c r="L4732" s="26"/>
    </row>
    <row r="4733" spans="1:12">
      <c r="A4733" s="20" t="s">
        <v>989</v>
      </c>
      <c r="B4733" s="27" t="s">
        <v>941</v>
      </c>
      <c r="E4733" s="21">
        <f>IF(D4733="?OLD","!!!","")</f>
        <v/>
      </c>
      <c r="F4733" s="22" t="str">
        <f>IF(OR(E4733="",E4733="!!!"),"",IF(NOT(ISNA(VLOOKUP(E4733,E$1:E4732,1,FALSE()))),"OLD",IF(AND(E4733&lt;&gt;"",E4733&lt;&gt;"!!!"),"NEW","")))</f>
        <v> </v>
      </c>
      <c r="G4733" s="23" t="str">
        <f>IF(OR(E4733="",E4733="!!!"),"",IF(OR(J4733=0,AND(J4733=1,K4733=1),AND(J4733=1,I4733="SBJ"),AND(J4733=1,I4733=0)),"?IN_FOCUS",IF(J4733&lt;=2,"?ACTIVATED",IF(J4733&lt;&gt;"","?FAMILIAR",IF(F4733="NEW",IF(ISNA(VLOOKUP(E4733,#REF!,1,FALSE())),"?TYPE_IDENTIFIABLE","?REFERENTIAL"),"_")))))</f>
        <v> </v>
      </c>
      <c r="H4733" s="24" t="str">
        <f>IF(J4733&lt;&gt;1,"",IF(I4733="SBJ","CB","?"))</f>
        <v> </v>
      </c>
      <c r="I4733" s="25" t="str">
        <f>IF(OR(E4733="",E4733="!!!",F4733="NEW"),"",INDEX(B4732:B$2,-1+SUMPRODUCT(MAX(ROW(E4732:E$2)*(E4733=E4732:E$2)))))</f>
        <v> </v>
      </c>
      <c r="J4733" s="25" t="str">
        <f>IF(OR(E4733="",E4733="!!!",F4733="NEW"),"",COUNTBLANK(OFFSET(A$1,,,SUMPRODUCT(MAX(ROW(E$2:E4733)*(E4733=E$2:E4733)))))-COUNTBLANK(OFFSET(A$1,,,SUMPRODUCT(MAX(ROW(E$1:E4732)*(E2=E$1:E4732))))))</f>
        <v> </v>
      </c>
      <c r="K4733" s="25" t="str">
        <f>IF(OR(E4733="",E4733="!!!",F4733="NEW"),"",INDEX(J$1:J4732,SUMPRODUCT(MAX(ROW(E$1:E4732)*(E4733=E$1:E4732)))))</f>
        <v> </v>
      </c>
      <c r="L4733" s="26"/>
    </row>
    <row r="4734" spans="1:12">
      <c r="A4734" s="20" t="s">
        <v>769</v>
      </c>
      <c r="E4734" s="21">
        <f>IF(D4734="?OLD","!!!","")</f>
        <v/>
      </c>
      <c r="F4734" s="22" t="str">
        <f>IF(OR(E4734="",E4734="!!!"),"",IF(NOT(ISNA(VLOOKUP(E4734,E$1:E4733,1,FALSE()))),"OLD",IF(AND(E4734&lt;&gt;"",E4734&lt;&gt;"!!!"),"NEW","")))</f>
        <v> </v>
      </c>
      <c r="G4734" s="23" t="str">
        <f>IF(OR(E4734="",E4734="!!!"),"",IF(OR(J4734=0,AND(J4734=1,K4734=1),AND(J4734=1,I4734="SBJ"),AND(J4734=1,I4734=0)),"?IN_FOCUS",IF(J4734&lt;=2,"?ACTIVATED",IF(J4734&lt;&gt;"","?FAMILIAR",IF(F4734="NEW",IF(ISNA(VLOOKUP(E4734,#REF!,1,FALSE())),"?TYPE_IDENTIFIABLE","?REFERENTIAL"),"_")))))</f>
        <v> </v>
      </c>
      <c r="H4734" s="24" t="str">
        <f>IF(J4734&lt;&gt;1,"",IF(I4734="SBJ","CB","?"))</f>
        <v> </v>
      </c>
      <c r="I4734" s="25" t="str">
        <f>IF(OR(E4734="",E4734="!!!",F4734="NEW"),"",INDEX(B4733:B$2,-1+SUMPRODUCT(MAX(ROW(E4733:E$2)*(E4734=E4733:E$2)))))</f>
        <v> </v>
      </c>
      <c r="J4734" s="25" t="str">
        <f>IF(OR(E4734="",E4734="!!!",F4734="NEW"),"",COUNTBLANK(OFFSET(A$1,,,SUMPRODUCT(MAX(ROW(E$2:E4734)*(E4734=E$2:E4734)))))-COUNTBLANK(OFFSET(A$1,,,SUMPRODUCT(MAX(ROW(E$1:E4733)*(E2=E$1:E4733))))))</f>
        <v> </v>
      </c>
      <c r="K4734" s="25" t="str">
        <f>IF(OR(E4734="",E4734="!!!",F4734="NEW"),"",INDEX(J$1:J4733,SUMPRODUCT(MAX(ROW(E$1:E4733)*(E4734=E$1:E4733)))))</f>
        <v> </v>
      </c>
      <c r="L4734" s="26"/>
    </row>
    <row r="4735" spans="1:12">
      <c r="A4735" s="20" t="s">
        <v>838</v>
      </c>
      <c r="E4735" s="21">
        <f>IF(D4735="?OLD","!!!","")</f>
        <v/>
      </c>
      <c r="F4735" s="22" t="str">
        <f>IF(OR(E4735="",E4735="!!!"),"",IF(NOT(ISNA(VLOOKUP(E4735,E$1:E4734,1,FALSE()))),"OLD",IF(AND(E4735&lt;&gt;"",E4735&lt;&gt;"!!!"),"NEW","")))</f>
        <v> </v>
      </c>
      <c r="G4735" s="23" t="str">
        <f>IF(OR(E4735="",E4735="!!!"),"",IF(OR(J4735=0,AND(J4735=1,K4735=1),AND(J4735=1,I4735="SBJ"),AND(J4735=1,I4735=0)),"?IN_FOCUS",IF(J4735&lt;=2,"?ACTIVATED",IF(J4735&lt;&gt;"","?FAMILIAR",IF(F4735="NEW",IF(ISNA(VLOOKUP(E4735,#REF!,1,FALSE())),"?TYPE_IDENTIFIABLE","?REFERENTIAL"),"_")))))</f>
        <v> </v>
      </c>
      <c r="H4735" s="24" t="str">
        <f>IF(J4735&lt;&gt;1,"",IF(I4735="SBJ","CB","?"))</f>
        <v> </v>
      </c>
      <c r="I4735" s="25" t="str">
        <f>IF(OR(E4735="",E4735="!!!",F4735="NEW"),"",INDEX(B4734:B$2,-1+SUMPRODUCT(MAX(ROW(E4734:E$2)*(E4735=E4734:E$2)))))</f>
        <v> </v>
      </c>
      <c r="J4735" s="25" t="str">
        <f>IF(OR(E4735="",E4735="!!!",F4735="NEW"),"",COUNTBLANK(OFFSET(A$1,,,SUMPRODUCT(MAX(ROW(E$2:E4735)*(E4735=E$2:E4735)))))-COUNTBLANK(OFFSET(A$1,,,SUMPRODUCT(MAX(ROW(E$1:E4734)*(E2=E$1:E4734))))))</f>
        <v> </v>
      </c>
      <c r="K4735" s="25" t="str">
        <f>IF(OR(E4735="",E4735="!!!",F4735="NEW"),"",INDEX(J$1:J4734,SUMPRODUCT(MAX(ROW(E$1:E4734)*(E4735=E$1:E4734)))))</f>
        <v> </v>
      </c>
      <c r="L4735" s="26"/>
    </row>
    <row r="4736" spans="1:12">
      <c r="A4736" s="20" t="s">
        <v>1606</v>
      </c>
      <c r="B4736" s="27" t="s">
        <v>901</v>
      </c>
      <c r="C4736" s="27" t="s">
        <v>761</v>
      </c>
      <c r="D4736" s="27" t="s">
        <v>762</v>
      </c>
      <c r="E4736" s="21">
        <f>IF(D4736="?OLD","!!!","")</f>
        <v/>
      </c>
      <c r="F4736" s="22" t="str">
        <f>IF(OR(E4736="",E4736="!!!"),"",IF(NOT(ISNA(VLOOKUP(E4736,E$1:E4735,1,FALSE()))),"OLD",IF(AND(E4736&lt;&gt;"",E4736&lt;&gt;"!!!"),"NEW","")))</f>
        <v> </v>
      </c>
      <c r="G4736" s="23" t="str">
        <f>IF(OR(E4736="",E4736="!!!"),"",IF(OR(J4736=0,AND(J4736=1,K4736=1),AND(J4736=1,I4736="SBJ"),AND(J4736=1,I4736=0)),"?IN_FOCUS",IF(J4736&lt;=2,"?ACTIVATED",IF(J4736&lt;&gt;"","?FAMILIAR",IF(F4736="NEW",IF(ISNA(VLOOKUP(E4736,#REF!,1,FALSE())),"?TYPE_IDENTIFIABLE","?REFERENTIAL"),"_")))))</f>
        <v> </v>
      </c>
      <c r="H4736" s="24" t="str">
        <f>IF(J4736&lt;&gt;1,"",IF(I4736="SBJ","CB","?"))</f>
        <v> </v>
      </c>
      <c r="I4736" s="25" t="str">
        <f>IF(OR(E4736="",E4736="!!!",F4736="NEW"),"",INDEX(B4735:B$2,-1+SUMPRODUCT(MAX(ROW(E4735:E$2)*(E4736=E4735:E$2)))))</f>
        <v> </v>
      </c>
      <c r="J4736" s="25" t="str">
        <f>IF(OR(E4736="",E4736="!!!",F4736="NEW"),"",COUNTBLANK(OFFSET(A$1,,,SUMPRODUCT(MAX(ROW(E$2:E4736)*(E4736=E$2:E4736)))))-COUNTBLANK(OFFSET(A$1,,,SUMPRODUCT(MAX(ROW(E$1:E4735)*(E2=E$1:E4735))))))</f>
        <v> </v>
      </c>
      <c r="K4736" s="25" t="str">
        <f>IF(OR(E4736="",E4736="!!!",F4736="NEW"),"",INDEX(J$1:J4735,SUMPRODUCT(MAX(ROW(E$1:E4735)*(E4736=E$1:E4735)))))</f>
        <v> </v>
      </c>
      <c r="L4736" s="26"/>
    </row>
    <row r="4737" spans="1:12">
      <c r="A4737" s="20" t="s">
        <v>889</v>
      </c>
      <c r="B4737" s="27" t="s">
        <v>1131</v>
      </c>
      <c r="E4737" s="21">
        <f>IF(D4737="?OLD","!!!","")</f>
        <v/>
      </c>
      <c r="F4737" s="22" t="str">
        <f>IF(OR(E4737="",E4737="!!!"),"",IF(NOT(ISNA(VLOOKUP(E4737,E$1:E4736,1,FALSE()))),"OLD",IF(AND(E4737&lt;&gt;"",E4737&lt;&gt;"!!!"),"NEW","")))</f>
        <v> </v>
      </c>
      <c r="G4737" s="23" t="str">
        <f>IF(OR(E4737="",E4737="!!!"),"",IF(OR(J4737=0,AND(J4737=1,K4737=1),AND(J4737=1,I4737="SBJ"),AND(J4737=1,I4737=0)),"?IN_FOCUS",IF(J4737&lt;=2,"?ACTIVATED",IF(J4737&lt;&gt;"","?FAMILIAR",IF(F4737="NEW",IF(ISNA(VLOOKUP(E4737,#REF!,1,FALSE())),"?TYPE_IDENTIFIABLE","?REFERENTIAL"),"_")))))</f>
        <v> </v>
      </c>
      <c r="H4737" s="24" t="str">
        <f>IF(J4737&lt;&gt;1,"",IF(I4737="SBJ","CB","?"))</f>
        <v> </v>
      </c>
      <c r="I4737" s="25" t="str">
        <f>IF(OR(E4737="",E4737="!!!",F4737="NEW"),"",INDEX(B4736:B$2,-1+SUMPRODUCT(MAX(ROW(E4736:E$2)*(E4737=E4736:E$2)))))</f>
        <v> </v>
      </c>
      <c r="J4737" s="25" t="str">
        <f>IF(OR(E4737="",E4737="!!!",F4737="NEW"),"",COUNTBLANK(OFFSET(A$1,,,SUMPRODUCT(MAX(ROW(E$2:E4737)*(E4737=E$2:E4737)))))-COUNTBLANK(OFFSET(A$1,,,SUMPRODUCT(MAX(ROW(E$1:E4736)*(E2=E$1:E4736))))))</f>
        <v> </v>
      </c>
      <c r="K4737" s="25" t="str">
        <f>IF(OR(E4737="",E4737="!!!",F4737="NEW"),"",INDEX(J$1:J4736,SUMPRODUCT(MAX(ROW(E$1:E4736)*(E4737=E$1:E4736)))))</f>
        <v> </v>
      </c>
      <c r="L4737" s="26"/>
    </row>
    <row r="4738" spans="1:12">
      <c r="A4738" s="20" t="s">
        <v>890</v>
      </c>
      <c r="B4738" s="27" t="s">
        <v>1080</v>
      </c>
      <c r="C4738" s="27" t="s">
        <v>820</v>
      </c>
      <c r="D4738" s="27" t="s">
        <v>762</v>
      </c>
      <c r="E4738" s="21">
        <f>IF(D4738="?OLD","!!!","")</f>
        <v/>
      </c>
      <c r="F4738" s="22" t="str">
        <f>IF(OR(E4738="",E4738="!!!"),"",IF(NOT(ISNA(VLOOKUP(E4738,E$1:E4737,1,FALSE()))),"OLD",IF(AND(E4738&lt;&gt;"",E4738&lt;&gt;"!!!"),"NEW","")))</f>
        <v> </v>
      </c>
      <c r="G4738" s="23" t="str">
        <f>IF(OR(E4738="",E4738="!!!"),"",IF(OR(J4738=0,AND(J4738=1,K4738=1),AND(J4738=1,I4738="SBJ"),AND(J4738=1,I4738=0)),"?IN_FOCUS",IF(J4738&lt;=2,"?ACTIVATED",IF(J4738&lt;&gt;"","?FAMILIAR",IF(F4738="NEW",IF(ISNA(VLOOKUP(E4738,#REF!,1,FALSE())),"?TYPE_IDENTIFIABLE","?REFERENTIAL"),"_")))))</f>
        <v> </v>
      </c>
      <c r="H4738" s="24" t="str">
        <f>IF(J4738&lt;&gt;1,"",IF(I4738="SBJ","CB","?"))</f>
        <v> </v>
      </c>
      <c r="I4738" s="25" t="str">
        <f>IF(OR(E4738="",E4738="!!!",F4738="NEW"),"",INDEX(B4737:B$2,-1+SUMPRODUCT(MAX(ROW(E4737:E$2)*(E4738=E4737:E$2)))))</f>
        <v> </v>
      </c>
      <c r="J4738" s="25" t="str">
        <f>IF(OR(E4738="",E4738="!!!",F4738="NEW"),"",COUNTBLANK(OFFSET(A$1,,,SUMPRODUCT(MAX(ROW(E$2:E4738)*(E4738=E$2:E4738)))))-COUNTBLANK(OFFSET(A$1,,,SUMPRODUCT(MAX(ROW(E$1:E4737)*(E2=E$1:E4737))))))</f>
        <v> </v>
      </c>
      <c r="K4738" s="25" t="str">
        <f>IF(OR(E4738="",E4738="!!!",F4738="NEW"),"",INDEX(J$1:J4737,SUMPRODUCT(MAX(ROW(E$1:E4737)*(E4738=E$1:E4737)))))</f>
        <v> </v>
      </c>
      <c r="L4738" s="26"/>
    </row>
    <row r="4739" spans="1:12">
      <c r="A4739" s="20" t="s">
        <v>1384</v>
      </c>
      <c r="E4739" s="21">
        <f>IF(D4739="?OLD","!!!","")</f>
        <v/>
      </c>
      <c r="F4739" s="22" t="str">
        <f>IF(OR(E4739="",E4739="!!!"),"",IF(NOT(ISNA(VLOOKUP(E4739,E$1:E4738,1,FALSE()))),"OLD",IF(AND(E4739&lt;&gt;"",E4739&lt;&gt;"!!!"),"NEW","")))</f>
        <v> </v>
      </c>
      <c r="G4739" s="23" t="str">
        <f>IF(OR(E4739="",E4739="!!!"),"",IF(OR(J4739=0,AND(J4739=1,K4739=1),AND(J4739=1,I4739="SBJ"),AND(J4739=1,I4739=0)),"?IN_FOCUS",IF(J4739&lt;=2,"?ACTIVATED",IF(J4739&lt;&gt;"","?FAMILIAR",IF(F4739="NEW",IF(ISNA(VLOOKUP(E4739,#REF!,1,FALSE())),"?TYPE_IDENTIFIABLE","?REFERENTIAL"),"_")))))</f>
        <v> </v>
      </c>
      <c r="H4739" s="24" t="str">
        <f>IF(J4739&lt;&gt;1,"",IF(I4739="SBJ","CB","?"))</f>
        <v> </v>
      </c>
      <c r="I4739" s="25" t="str">
        <f>IF(OR(E4739="",E4739="!!!",F4739="NEW"),"",INDEX(B4738:B$2,-1+SUMPRODUCT(MAX(ROW(E4738:E$2)*(E4739=E4738:E$2)))))</f>
        <v> </v>
      </c>
      <c r="J4739" s="25" t="str">
        <f>IF(OR(E4739="",E4739="!!!",F4739="NEW"),"",COUNTBLANK(OFFSET(A$1,,,SUMPRODUCT(MAX(ROW(E$2:E4739)*(E4739=E$2:E4739)))))-COUNTBLANK(OFFSET(A$1,,,SUMPRODUCT(MAX(ROW(E$1:E4738)*(E2=E$1:E4738))))))</f>
        <v> </v>
      </c>
      <c r="K4739" s="25" t="str">
        <f>IF(OR(E4739="",E4739="!!!",F4739="NEW"),"",INDEX(J$1:J4738,SUMPRODUCT(MAX(ROW(E$1:E4738)*(E4739=E$1:E4738)))))</f>
        <v> </v>
      </c>
      <c r="L4739" s="26"/>
    </row>
    <row r="4740" spans="1:12">
      <c r="A4740" s="20" t="s">
        <v>2025</v>
      </c>
      <c r="E4740" s="21">
        <f>IF(D4740="?OLD","!!!","")</f>
        <v/>
      </c>
      <c r="F4740" s="22" t="str">
        <f>IF(OR(E4740="",E4740="!!!"),"",IF(NOT(ISNA(VLOOKUP(E4740,E$1:E4739,1,FALSE()))),"OLD",IF(AND(E4740&lt;&gt;"",E4740&lt;&gt;"!!!"),"NEW","")))</f>
        <v> </v>
      </c>
      <c r="G4740" s="23" t="str">
        <f>IF(OR(E4740="",E4740="!!!"),"",IF(OR(J4740=0,AND(J4740=1,K4740=1),AND(J4740=1,I4740="SBJ"),AND(J4740=1,I4740=0)),"?IN_FOCUS",IF(J4740&lt;=2,"?ACTIVATED",IF(J4740&lt;&gt;"","?FAMILIAR",IF(F4740="NEW",IF(ISNA(VLOOKUP(E4740,#REF!,1,FALSE())),"?TYPE_IDENTIFIABLE","?REFERENTIAL"),"_")))))</f>
        <v> </v>
      </c>
      <c r="H4740" s="24" t="str">
        <f>IF(J4740&lt;&gt;1,"",IF(I4740="SBJ","CB","?"))</f>
        <v> </v>
      </c>
      <c r="I4740" s="25" t="str">
        <f>IF(OR(E4740="",E4740="!!!",F4740="NEW"),"",INDEX(B4739:B$2,-1+SUMPRODUCT(MAX(ROW(E4739:E$2)*(E4740=E4739:E$2)))))</f>
        <v> </v>
      </c>
      <c r="J4740" s="25" t="str">
        <f>IF(OR(E4740="",E4740="!!!",F4740="NEW"),"",COUNTBLANK(OFFSET(A$1,,,SUMPRODUCT(MAX(ROW(E$2:E4740)*(E4740=E$2:E4740)))))-COUNTBLANK(OFFSET(A$1,,,SUMPRODUCT(MAX(ROW(E$1:E4739)*(E2=E$1:E4739))))))</f>
        <v> </v>
      </c>
      <c r="K4740" s="25" t="str">
        <f>IF(OR(E4740="",E4740="!!!",F4740="NEW"),"",INDEX(J$1:J4739,SUMPRODUCT(MAX(ROW(E$1:E4739)*(E4740=E$1:E4739)))))</f>
        <v> </v>
      </c>
      <c r="L4740" s="26"/>
    </row>
    <row r="4741" spans="1:12">
      <c r="A4741" s="20" t="s">
        <v>757</v>
      </c>
      <c r="E4741" s="21">
        <f>IF(D4741="?OLD","!!!","")</f>
        <v/>
      </c>
      <c r="F4741" s="22" t="str">
        <f>IF(OR(E4741="",E4741="!!!"),"",IF(NOT(ISNA(VLOOKUP(E4741,E$1:E4740,1,FALSE()))),"OLD",IF(AND(E4741&lt;&gt;"",E4741&lt;&gt;"!!!"),"NEW","")))</f>
        <v> </v>
      </c>
      <c r="G4741" s="23" t="str">
        <f>IF(OR(E4741="",E4741="!!!"),"",IF(OR(J4741=0,AND(J4741=1,K4741=1),AND(J4741=1,I4741="SBJ"),AND(J4741=1,I4741=0)),"?IN_FOCUS",IF(J4741&lt;=2,"?ACTIVATED",IF(J4741&lt;&gt;"","?FAMILIAR",IF(F4741="NEW",IF(ISNA(VLOOKUP(E4741,#REF!,1,FALSE())),"?TYPE_IDENTIFIABLE","?REFERENTIAL"),"_")))))</f>
        <v> </v>
      </c>
      <c r="H4741" s="24" t="str">
        <f>IF(J4741&lt;&gt;1,"",IF(I4741="SBJ","CB","?"))</f>
        <v> </v>
      </c>
      <c r="I4741" s="25" t="str">
        <f>IF(OR(E4741="",E4741="!!!",F4741="NEW"),"",INDEX(B4740:B$2,-1+SUMPRODUCT(MAX(ROW(E4740:E$2)*(E4741=E4740:E$2)))))</f>
        <v> </v>
      </c>
      <c r="J4741" s="25" t="str">
        <f>IF(OR(E4741="",E4741="!!!",F4741="NEW"),"",COUNTBLANK(OFFSET(A$1,,,SUMPRODUCT(MAX(ROW(E$2:E4741)*(E4741=E$2:E4741)))))-COUNTBLANK(OFFSET(A$1,,,SUMPRODUCT(MAX(ROW(E$1:E4740)*(E2=E$1:E4740))))))</f>
        <v> </v>
      </c>
      <c r="K4741" s="25" t="str">
        <f>IF(OR(E4741="",E4741="!!!",F4741="NEW"),"",INDEX(J$1:J4740,SUMPRODUCT(MAX(ROW(E$1:E4740)*(E4741=E$1:E4740)))))</f>
        <v> </v>
      </c>
      <c r="L4741" s="26"/>
    </row>
    <row r="4742" spans="1:12">
      <c r="A4742" s="20" t="s">
        <v>1031</v>
      </c>
      <c r="E4742" s="21">
        <f>IF(D4742="?OLD","!!!","")</f>
        <v/>
      </c>
      <c r="F4742" s="22" t="str">
        <f>IF(OR(E4742="",E4742="!!!"),"",IF(NOT(ISNA(VLOOKUP(E4742,E$1:E4741,1,FALSE()))),"OLD",IF(AND(E4742&lt;&gt;"",E4742&lt;&gt;"!!!"),"NEW","")))</f>
        <v> </v>
      </c>
      <c r="G4742" s="23" t="str">
        <f>IF(OR(E4742="",E4742="!!!"),"",IF(OR(J4742=0,AND(J4742=1,K4742=1),AND(J4742=1,I4742="SBJ"),AND(J4742=1,I4742=0)),"?IN_FOCUS",IF(J4742&lt;=2,"?ACTIVATED",IF(J4742&lt;&gt;"","?FAMILIAR",IF(F4742="NEW",IF(ISNA(VLOOKUP(E4742,#REF!,1,FALSE())),"?TYPE_IDENTIFIABLE","?REFERENTIAL"),"_")))))</f>
        <v> </v>
      </c>
      <c r="H4742" s="24" t="str">
        <f>IF(J4742&lt;&gt;1,"",IF(I4742="SBJ","CB","?"))</f>
        <v> </v>
      </c>
      <c r="I4742" s="25" t="str">
        <f>IF(OR(E4742="",E4742="!!!",F4742="NEW"),"",INDEX(B4741:B$2,-1+SUMPRODUCT(MAX(ROW(E4741:E$2)*(E4742=E4741:E$2)))))</f>
        <v> </v>
      </c>
      <c r="J4742" s="25" t="str">
        <f>IF(OR(E4742="",E4742="!!!",F4742="NEW"),"",COUNTBLANK(OFFSET(A$1,,,SUMPRODUCT(MAX(ROW(E$2:E4742)*(E4742=E$2:E4742)))))-COUNTBLANK(OFFSET(A$1,,,SUMPRODUCT(MAX(ROW(E$1:E4741)*(E2=E$1:E4741))))))</f>
        <v> </v>
      </c>
      <c r="K4742" s="25" t="str">
        <f>IF(OR(E4742="",E4742="!!!",F4742="NEW"),"",INDEX(J$1:J4741,SUMPRODUCT(MAX(ROW(E$1:E4741)*(E4742=E$1:E4741)))))</f>
        <v> </v>
      </c>
      <c r="L4742" s="26"/>
    </row>
    <row r="4743" spans="1:12">
      <c r="A4743" s="20" t="s">
        <v>795</v>
      </c>
      <c r="B4743" s="27" t="s">
        <v>941</v>
      </c>
      <c r="C4743" s="27" t="s">
        <v>797</v>
      </c>
      <c r="D4743" s="27" t="s">
        <v>762</v>
      </c>
      <c r="E4743" s="21">
        <f>IF(D4743="?OLD","!!!","")</f>
        <v/>
      </c>
      <c r="F4743" s="22" t="str">
        <f>IF(OR(E4743="",E4743="!!!"),"",IF(NOT(ISNA(VLOOKUP(E4743,E$1:E4742,1,FALSE()))),"OLD",IF(AND(E4743&lt;&gt;"",E4743&lt;&gt;"!!!"),"NEW","")))</f>
        <v> </v>
      </c>
      <c r="G4743" s="23" t="str">
        <f>IF(OR(E4743="",E4743="!!!"),"",IF(OR(J4743=0,AND(J4743=1,K4743=1),AND(J4743=1,I4743="SBJ"),AND(J4743=1,I4743=0)),"?IN_FOCUS",IF(J4743&lt;=2,"?ACTIVATED",IF(J4743&lt;&gt;"","?FAMILIAR",IF(F4743="NEW",IF(ISNA(VLOOKUP(E4743,#REF!,1,FALSE())),"?TYPE_IDENTIFIABLE","?REFERENTIAL"),"_")))))</f>
        <v> </v>
      </c>
      <c r="H4743" s="24" t="str">
        <f>IF(J4743&lt;&gt;1,"",IF(I4743="SBJ","CB","?"))</f>
        <v> </v>
      </c>
      <c r="I4743" s="25" t="str">
        <f>IF(OR(E4743="",E4743="!!!",F4743="NEW"),"",INDEX(B4742:B$2,-1+SUMPRODUCT(MAX(ROW(E4742:E$2)*(E4743=E4742:E$2)))))</f>
        <v> </v>
      </c>
      <c r="J4743" s="25" t="str">
        <f>IF(OR(E4743="",E4743="!!!",F4743="NEW"),"",COUNTBLANK(OFFSET(A$1,,,SUMPRODUCT(MAX(ROW(E$2:E4743)*(E4743=E$2:E4743)))))-COUNTBLANK(OFFSET(A$1,,,SUMPRODUCT(MAX(ROW(E$1:E4742)*(E2=E$1:E4742))))))</f>
        <v> </v>
      </c>
      <c r="K4743" s="25" t="str">
        <f>IF(OR(E4743="",E4743="!!!",F4743="NEW"),"",INDEX(J$1:J4742,SUMPRODUCT(MAX(ROW(E$1:E4742)*(E4743=E$1:E4742)))))</f>
        <v> </v>
      </c>
      <c r="L4743" s="26"/>
    </row>
    <row r="4744" spans="1:12">
      <c r="A4744" s="20" t="s">
        <v>2026</v>
      </c>
      <c r="E4744" s="21">
        <f>IF(D4744="?OLD","!!!","")</f>
        <v/>
      </c>
      <c r="F4744" s="22" t="str">
        <f>IF(OR(E4744="",E4744="!!!"),"",IF(NOT(ISNA(VLOOKUP(E4744,E$1:E4743,1,FALSE()))),"OLD",IF(AND(E4744&lt;&gt;"",E4744&lt;&gt;"!!!"),"NEW","")))</f>
        <v> </v>
      </c>
      <c r="G4744" s="23" t="str">
        <f>IF(OR(E4744="",E4744="!!!"),"",IF(OR(J4744=0,AND(J4744=1,K4744=1),AND(J4744=1,I4744="SBJ"),AND(J4744=1,I4744=0)),"?IN_FOCUS",IF(J4744&lt;=2,"?ACTIVATED",IF(J4744&lt;&gt;"","?FAMILIAR",IF(F4744="NEW",IF(ISNA(VLOOKUP(E4744,#REF!,1,FALSE())),"?TYPE_IDENTIFIABLE","?REFERENTIAL"),"_")))))</f>
        <v> </v>
      </c>
      <c r="H4744" s="24" t="str">
        <f>IF(J4744&lt;&gt;1,"",IF(I4744="SBJ","CB","?"))</f>
        <v> </v>
      </c>
      <c r="I4744" s="25" t="str">
        <f>IF(OR(E4744="",E4744="!!!",F4744="NEW"),"",INDEX(B4743:B$2,-1+SUMPRODUCT(MAX(ROW(E4743:E$2)*(E4744=E4743:E$2)))))</f>
        <v> </v>
      </c>
      <c r="J4744" s="25" t="str">
        <f>IF(OR(E4744="",E4744="!!!",F4744="NEW"),"",COUNTBLANK(OFFSET(A$1,,,SUMPRODUCT(MAX(ROW(E$2:E4744)*(E4744=E$2:E4744)))))-COUNTBLANK(OFFSET(A$1,,,SUMPRODUCT(MAX(ROW(E$1:E4743)*(E2=E$1:E4743))))))</f>
        <v> </v>
      </c>
      <c r="K4744" s="25" t="str">
        <f>IF(OR(E4744="",E4744="!!!",F4744="NEW"),"",INDEX(J$1:J4743,SUMPRODUCT(MAX(ROW(E$1:E4743)*(E4744=E$1:E4743)))))</f>
        <v> </v>
      </c>
      <c r="L4744" s="26"/>
    </row>
    <row r="4745" spans="1:12">
      <c r="A4745" s="20" t="s">
        <v>1319</v>
      </c>
      <c r="B4745" s="27" t="s">
        <v>815</v>
      </c>
      <c r="C4745" s="27" t="s">
        <v>851</v>
      </c>
      <c r="D4745" s="27" t="s">
        <v>762</v>
      </c>
      <c r="E4745" s="21">
        <f>IF(D4745="?OLD","!!!","")</f>
        <v/>
      </c>
      <c r="F4745" s="22" t="str">
        <f>IF(OR(E4745="",E4745="!!!"),"",IF(NOT(ISNA(VLOOKUP(E4745,E$1:E4744,1,FALSE()))),"OLD",IF(AND(E4745&lt;&gt;"",E4745&lt;&gt;"!!!"),"NEW","")))</f>
        <v> </v>
      </c>
      <c r="G4745" s="23" t="str">
        <f>IF(OR(E4745="",E4745="!!!"),"",IF(OR(J4745=0,AND(J4745=1,K4745=1),AND(J4745=1,I4745="SBJ"),AND(J4745=1,I4745=0)),"?IN_FOCUS",IF(J4745&lt;=2,"?ACTIVATED",IF(J4745&lt;&gt;"","?FAMILIAR",IF(F4745="NEW",IF(ISNA(VLOOKUP(E4745,#REF!,1,FALSE())),"?TYPE_IDENTIFIABLE","?REFERENTIAL"),"_")))))</f>
        <v> </v>
      </c>
      <c r="H4745" s="24" t="str">
        <f>IF(J4745&lt;&gt;1,"",IF(I4745="SBJ","CB","?"))</f>
        <v> </v>
      </c>
      <c r="I4745" s="25" t="str">
        <f>IF(OR(E4745="",E4745="!!!",F4745="NEW"),"",INDEX(B4744:B$2,-1+SUMPRODUCT(MAX(ROW(E4744:E$2)*(E4745=E4744:E$2)))))</f>
        <v> </v>
      </c>
      <c r="J4745" s="25" t="str">
        <f>IF(OR(E4745="",E4745="!!!",F4745="NEW"),"",COUNTBLANK(OFFSET(A$1,,,SUMPRODUCT(MAX(ROW(E$2:E4745)*(E4745=E$2:E4745)))))-COUNTBLANK(OFFSET(A$1,,,SUMPRODUCT(MAX(ROW(E$1:E4744)*(E2=E$1:E4744))))))</f>
        <v> </v>
      </c>
      <c r="K4745" s="25" t="str">
        <f>IF(OR(E4745="",E4745="!!!",F4745="NEW"),"",INDEX(J$1:J4744,SUMPRODUCT(MAX(ROW(E$1:E4744)*(E4745=E$1:E4744)))))</f>
        <v> </v>
      </c>
      <c r="L4745" s="26"/>
    </row>
    <row r="4746" spans="1:12">
      <c r="A4746" s="20" t="s">
        <v>864</v>
      </c>
      <c r="B4746" s="27" t="s">
        <v>940</v>
      </c>
      <c r="C4746" s="27" t="s">
        <v>837</v>
      </c>
      <c r="D4746" s="27" t="s">
        <v>762</v>
      </c>
      <c r="E4746" s="21">
        <f>IF(D4746="?OLD","!!!","")</f>
        <v/>
      </c>
      <c r="F4746" s="22" t="str">
        <f>IF(OR(E4746="",E4746="!!!"),"",IF(NOT(ISNA(VLOOKUP(E4746,E$1:E4745,1,FALSE()))),"OLD",IF(AND(E4746&lt;&gt;"",E4746&lt;&gt;"!!!"),"NEW","")))</f>
        <v> </v>
      </c>
      <c r="G4746" s="23" t="str">
        <f>IF(OR(E4746="",E4746="!!!"),"",IF(OR(J4746=0,AND(J4746=1,K4746=1),AND(J4746=1,I4746="SBJ"),AND(J4746=1,I4746=0)),"?IN_FOCUS",IF(J4746&lt;=2,"?ACTIVATED",IF(J4746&lt;&gt;"","?FAMILIAR",IF(F4746="NEW",IF(ISNA(VLOOKUP(E4746,#REF!,1,FALSE())),"?TYPE_IDENTIFIABLE","?REFERENTIAL"),"_")))))</f>
        <v> </v>
      </c>
      <c r="H4746" s="24" t="str">
        <f>IF(J4746&lt;&gt;1,"",IF(I4746="SBJ","CB","?"))</f>
        <v> </v>
      </c>
      <c r="I4746" s="25" t="str">
        <f>IF(OR(E4746="",E4746="!!!",F4746="NEW"),"",INDEX(B4745:B$2,-1+SUMPRODUCT(MAX(ROW(E4745:E$2)*(E4746=E4745:E$2)))))</f>
        <v> </v>
      </c>
      <c r="J4746" s="25" t="str">
        <f>IF(OR(E4746="",E4746="!!!",F4746="NEW"),"",COUNTBLANK(OFFSET(A$1,,,SUMPRODUCT(MAX(ROW(E$2:E4746)*(E4746=E$2:E4746)))))-COUNTBLANK(OFFSET(A$1,,,SUMPRODUCT(MAX(ROW(E$1:E4745)*(E2=E$1:E4745))))))</f>
        <v> </v>
      </c>
      <c r="K4746" s="25" t="str">
        <f>IF(OR(E4746="",E4746="!!!",F4746="NEW"),"",INDEX(J$1:J4745,SUMPRODUCT(MAX(ROW(E$1:E4745)*(E4746=E$1:E4745)))))</f>
        <v> </v>
      </c>
      <c r="L4746" s="26"/>
    </row>
    <row r="4747" spans="1:12">
      <c r="A4747" s="20" t="s">
        <v>757</v>
      </c>
      <c r="E4747" s="21">
        <f>IF(D4747="?OLD","!!!","")</f>
        <v/>
      </c>
      <c r="F4747" s="22" t="str">
        <f>IF(OR(E4747="",E4747="!!!"),"",IF(NOT(ISNA(VLOOKUP(E4747,E$1:E4746,1,FALSE()))),"OLD",IF(AND(E4747&lt;&gt;"",E4747&lt;&gt;"!!!"),"NEW","")))</f>
        <v> </v>
      </c>
      <c r="G4747" s="23" t="str">
        <f>IF(OR(E4747="",E4747="!!!"),"",IF(OR(J4747=0,AND(J4747=1,K4747=1),AND(J4747=1,I4747="SBJ"),AND(J4747=1,I4747=0)),"?IN_FOCUS",IF(J4747&lt;=2,"?ACTIVATED",IF(J4747&lt;&gt;"","?FAMILIAR",IF(F4747="NEW",IF(ISNA(VLOOKUP(E4747,#REF!,1,FALSE())),"?TYPE_IDENTIFIABLE","?REFERENTIAL"),"_")))))</f>
        <v> </v>
      </c>
      <c r="H4747" s="24" t="str">
        <f>IF(J4747&lt;&gt;1,"",IF(I4747="SBJ","CB","?"))</f>
        <v> </v>
      </c>
      <c r="I4747" s="25" t="str">
        <f>IF(OR(E4747="",E4747="!!!",F4747="NEW"),"",INDEX(B4746:B$2,-1+SUMPRODUCT(MAX(ROW(E4746:E$2)*(E4747=E4746:E$2)))))</f>
        <v> </v>
      </c>
      <c r="J4747" s="25" t="str">
        <f>IF(OR(E4747="",E4747="!!!",F4747="NEW"),"",COUNTBLANK(OFFSET(A$1,,,SUMPRODUCT(MAX(ROW(E$2:E4747)*(E4747=E$2:E4747)))))-COUNTBLANK(OFFSET(A$1,,,SUMPRODUCT(MAX(ROW(E$1:E4746)*(E2=E$1:E4746))))))</f>
        <v> </v>
      </c>
      <c r="K4747" s="25" t="str">
        <f>IF(OR(E4747="",E4747="!!!",F4747="NEW"),"",INDEX(J$1:J4746,SUMPRODUCT(MAX(ROW(E$1:E4746)*(E4747=E$1:E4746)))))</f>
        <v> </v>
      </c>
      <c r="L4747" s="26"/>
    </row>
    <row r="4748" spans="1:12">
      <c r="A4748" s="20" t="s">
        <v>810</v>
      </c>
      <c r="E4748" s="21">
        <f>IF(D4748="?OLD","!!!","")</f>
        <v/>
      </c>
      <c r="F4748" s="22" t="str">
        <f>IF(OR(E4748="",E4748="!!!"),"",IF(NOT(ISNA(VLOOKUP(E4748,E$1:E4747,1,FALSE()))),"OLD",IF(AND(E4748&lt;&gt;"",E4748&lt;&gt;"!!!"),"NEW","")))</f>
        <v> </v>
      </c>
      <c r="G4748" s="23" t="str">
        <f>IF(OR(E4748="",E4748="!!!"),"",IF(OR(J4748=0,AND(J4748=1,K4748=1),AND(J4748=1,I4748="SBJ"),AND(J4748=1,I4748=0)),"?IN_FOCUS",IF(J4748&lt;=2,"?ACTIVATED",IF(J4748&lt;&gt;"","?FAMILIAR",IF(F4748="NEW",IF(ISNA(VLOOKUP(E4748,#REF!,1,FALSE())),"?TYPE_IDENTIFIABLE","?REFERENTIAL"),"_")))))</f>
        <v> </v>
      </c>
      <c r="H4748" s="24" t="str">
        <f>IF(J4748&lt;&gt;1,"",IF(I4748="SBJ","CB","?"))</f>
        <v> </v>
      </c>
      <c r="I4748" s="25" t="str">
        <f>IF(OR(E4748="",E4748="!!!",F4748="NEW"),"",INDEX(B4747:B$2,-1+SUMPRODUCT(MAX(ROW(E4747:E$2)*(E4748=E4747:E$2)))))</f>
        <v> </v>
      </c>
      <c r="J4748" s="25" t="str">
        <f>IF(OR(E4748="",E4748="!!!",F4748="NEW"),"",COUNTBLANK(OFFSET(A$1,,,SUMPRODUCT(MAX(ROW(E$2:E4748)*(E4748=E$2:E4748)))))-COUNTBLANK(OFFSET(A$1,,,SUMPRODUCT(MAX(ROW(E$1:E4747)*(E2=E$1:E4747))))))</f>
        <v> </v>
      </c>
      <c r="K4748" s="25" t="str">
        <f>IF(OR(E4748="",E4748="!!!",F4748="NEW"),"",INDEX(J$1:J4747,SUMPRODUCT(MAX(ROW(E$1:E4747)*(E4748=E$1:E4747)))))</f>
        <v> </v>
      </c>
      <c r="L4748" s="26"/>
    </row>
    <row r="4749" spans="1:12">
      <c r="A4749" s="20" t="s">
        <v>1322</v>
      </c>
      <c r="E4749" s="21">
        <f>IF(D4749="?OLD","!!!","")</f>
        <v/>
      </c>
      <c r="F4749" s="22" t="str">
        <f>IF(OR(E4749="",E4749="!!!"),"",IF(NOT(ISNA(VLOOKUP(E4749,E$1:E4748,1,FALSE()))),"OLD",IF(AND(E4749&lt;&gt;"",E4749&lt;&gt;"!!!"),"NEW","")))</f>
        <v> </v>
      </c>
      <c r="G4749" s="23" t="str">
        <f>IF(OR(E4749="",E4749="!!!"),"",IF(OR(J4749=0,AND(J4749=1,K4749=1),AND(J4749=1,I4749="SBJ"),AND(J4749=1,I4749=0)),"?IN_FOCUS",IF(J4749&lt;=2,"?ACTIVATED",IF(J4749&lt;&gt;"","?FAMILIAR",IF(F4749="NEW",IF(ISNA(VLOOKUP(E4749,#REF!,1,FALSE())),"?TYPE_IDENTIFIABLE","?REFERENTIAL"),"_")))))</f>
        <v> </v>
      </c>
      <c r="H4749" s="24" t="str">
        <f>IF(J4749&lt;&gt;1,"",IF(I4749="SBJ","CB","?"))</f>
        <v> </v>
      </c>
      <c r="I4749" s="25" t="str">
        <f>IF(OR(E4749="",E4749="!!!",F4749="NEW"),"",INDEX(B4748:B$2,-1+SUMPRODUCT(MAX(ROW(E4748:E$2)*(E4749=E4748:E$2)))))</f>
        <v> </v>
      </c>
      <c r="J4749" s="25" t="str">
        <f>IF(OR(E4749="",E4749="!!!",F4749="NEW"),"",COUNTBLANK(OFFSET(A$1,,,SUMPRODUCT(MAX(ROW(E$2:E4749)*(E4749=E$2:E4749)))))-COUNTBLANK(OFFSET(A$1,,,SUMPRODUCT(MAX(ROW(E$1:E4748)*(E2=E$1:E4748))))))</f>
        <v> </v>
      </c>
      <c r="K4749" s="25" t="str">
        <f>IF(OR(E4749="",E4749="!!!",F4749="NEW"),"",INDEX(J$1:J4748,SUMPRODUCT(MAX(ROW(E$1:E4748)*(E4749=E$1:E4748)))))</f>
        <v> </v>
      </c>
      <c r="L4749" s="26"/>
    </row>
    <row r="4750" spans="1:12">
      <c r="A4750" s="20" t="s">
        <v>795</v>
      </c>
      <c r="B4750" s="27" t="s">
        <v>1272</v>
      </c>
      <c r="C4750" s="27" t="s">
        <v>797</v>
      </c>
      <c r="D4750" s="27" t="s">
        <v>762</v>
      </c>
      <c r="E4750" s="21">
        <f>IF(D4750="?OLD","!!!","")</f>
        <v/>
      </c>
      <c r="F4750" s="22" t="str">
        <f>IF(OR(E4750="",E4750="!!!"),"",IF(NOT(ISNA(VLOOKUP(E4750,E$1:E4749,1,FALSE()))),"OLD",IF(AND(E4750&lt;&gt;"",E4750&lt;&gt;"!!!"),"NEW","")))</f>
        <v> </v>
      </c>
      <c r="G4750" s="23" t="str">
        <f>IF(OR(E4750="",E4750="!!!"),"",IF(OR(J4750=0,AND(J4750=1,K4750=1),AND(J4750=1,I4750="SBJ"),AND(J4750=1,I4750=0)),"?IN_FOCUS",IF(J4750&lt;=2,"?ACTIVATED",IF(J4750&lt;&gt;"","?FAMILIAR",IF(F4750="NEW",IF(ISNA(VLOOKUP(E4750,#REF!,1,FALSE())),"?TYPE_IDENTIFIABLE","?REFERENTIAL"),"_")))))</f>
        <v> </v>
      </c>
      <c r="H4750" s="24" t="str">
        <f>IF(J4750&lt;&gt;1,"",IF(I4750="SBJ","CB","?"))</f>
        <v> </v>
      </c>
      <c r="I4750" s="25" t="str">
        <f>IF(OR(E4750="",E4750="!!!",F4750="NEW"),"",INDEX(B4749:B$2,-1+SUMPRODUCT(MAX(ROW(E4749:E$2)*(E4750=E4749:E$2)))))</f>
        <v> </v>
      </c>
      <c r="J4750" s="25" t="str">
        <f>IF(OR(E4750="",E4750="!!!",F4750="NEW"),"",COUNTBLANK(OFFSET(A$1,,,SUMPRODUCT(MAX(ROW(E$2:E4750)*(E4750=E$2:E4750)))))-COUNTBLANK(OFFSET(A$1,,,SUMPRODUCT(MAX(ROW(E$1:E4749)*(E2=E$1:E4749))))))</f>
        <v> </v>
      </c>
      <c r="K4750" s="25" t="str">
        <f>IF(OR(E4750="",E4750="!!!",F4750="NEW"),"",INDEX(J$1:J4749,SUMPRODUCT(MAX(ROW(E$1:E4749)*(E4750=E$1:E4749)))))</f>
        <v> </v>
      </c>
      <c r="L4750" s="26"/>
    </row>
    <row r="4751" spans="1:12">
      <c r="A4751" s="20" t="s">
        <v>2027</v>
      </c>
      <c r="E4751" s="21">
        <f>IF(D4751="?OLD","!!!","")</f>
        <v/>
      </c>
      <c r="F4751" s="22" t="str">
        <f>IF(OR(E4751="",E4751="!!!"),"",IF(NOT(ISNA(VLOOKUP(E4751,E$1:E4750,1,FALSE()))),"OLD",IF(AND(E4751&lt;&gt;"",E4751&lt;&gt;"!!!"),"NEW","")))</f>
        <v> </v>
      </c>
      <c r="G4751" s="23" t="str">
        <f>IF(OR(E4751="",E4751="!!!"),"",IF(OR(J4751=0,AND(J4751=1,K4751=1),AND(J4751=1,I4751="SBJ"),AND(J4751=1,I4751=0)),"?IN_FOCUS",IF(J4751&lt;=2,"?ACTIVATED",IF(J4751&lt;&gt;"","?FAMILIAR",IF(F4751="NEW",IF(ISNA(VLOOKUP(E4751,#REF!,1,FALSE())),"?TYPE_IDENTIFIABLE","?REFERENTIAL"),"_")))))</f>
        <v> </v>
      </c>
      <c r="H4751" s="24" t="str">
        <f>IF(J4751&lt;&gt;1,"",IF(I4751="SBJ","CB","?"))</f>
        <v> </v>
      </c>
      <c r="I4751" s="25" t="str">
        <f>IF(OR(E4751="",E4751="!!!",F4751="NEW"),"",INDEX(B4750:B$2,-1+SUMPRODUCT(MAX(ROW(E4750:E$2)*(E4751=E4750:E$2)))))</f>
        <v> </v>
      </c>
      <c r="J4751" s="25" t="str">
        <f>IF(OR(E4751="",E4751="!!!",F4751="NEW"),"",COUNTBLANK(OFFSET(A$1,,,SUMPRODUCT(MAX(ROW(E$2:E4751)*(E4751=E$2:E4751)))))-COUNTBLANK(OFFSET(A$1,,,SUMPRODUCT(MAX(ROW(E$1:E4750)*(E2=E$1:E4750))))))</f>
        <v> </v>
      </c>
      <c r="K4751" s="25" t="str">
        <f>IF(OR(E4751="",E4751="!!!",F4751="NEW"),"",INDEX(J$1:J4750,SUMPRODUCT(MAX(ROW(E$1:E4750)*(E4751=E$1:E4750)))))</f>
        <v> </v>
      </c>
      <c r="L4751" s="26"/>
    </row>
    <row r="4752" spans="1:12">
      <c r="A4752" s="20" t="s">
        <v>1319</v>
      </c>
      <c r="B4752" s="27" t="s">
        <v>1062</v>
      </c>
      <c r="C4752" s="27" t="s">
        <v>851</v>
      </c>
      <c r="D4752" s="27" t="s">
        <v>762</v>
      </c>
      <c r="E4752" s="21">
        <f>IF(D4752="?OLD","!!!","")</f>
        <v/>
      </c>
      <c r="F4752" s="22" t="str">
        <f>IF(OR(E4752="",E4752="!!!"),"",IF(NOT(ISNA(VLOOKUP(E4752,E$1:E4751,1,FALSE()))),"OLD",IF(AND(E4752&lt;&gt;"",E4752&lt;&gt;"!!!"),"NEW","")))</f>
        <v> </v>
      </c>
      <c r="G4752" s="23" t="str">
        <f>IF(OR(E4752="",E4752="!!!"),"",IF(OR(J4752=0,AND(J4752=1,K4752=1),AND(J4752=1,I4752="SBJ"),AND(J4752=1,I4752=0)),"?IN_FOCUS",IF(J4752&lt;=2,"?ACTIVATED",IF(J4752&lt;&gt;"","?FAMILIAR",IF(F4752="NEW",IF(ISNA(VLOOKUP(E4752,#REF!,1,FALSE())),"?TYPE_IDENTIFIABLE","?REFERENTIAL"),"_")))))</f>
        <v> </v>
      </c>
      <c r="H4752" s="24" t="str">
        <f>IF(J4752&lt;&gt;1,"",IF(I4752="SBJ","CB","?"))</f>
        <v> </v>
      </c>
      <c r="I4752" s="25" t="str">
        <f>IF(OR(E4752="",E4752="!!!",F4752="NEW"),"",INDEX(B4751:B$2,-1+SUMPRODUCT(MAX(ROW(E4751:E$2)*(E4752=E4751:E$2)))))</f>
        <v> </v>
      </c>
      <c r="J4752" s="25" t="str">
        <f>IF(OR(E4752="",E4752="!!!",F4752="NEW"),"",COUNTBLANK(OFFSET(A$1,,,SUMPRODUCT(MAX(ROW(E$2:E4752)*(E4752=E$2:E4752)))))-COUNTBLANK(OFFSET(A$1,,,SUMPRODUCT(MAX(ROW(E$1:E4751)*(E2=E$1:E4751))))))</f>
        <v> </v>
      </c>
      <c r="K4752" s="25" t="str">
        <f>IF(OR(E4752="",E4752="!!!",F4752="NEW"),"",INDEX(J$1:J4751,SUMPRODUCT(MAX(ROW(E$1:E4751)*(E4752=E$1:E4751)))))</f>
        <v> </v>
      </c>
      <c r="L4752" s="26"/>
    </row>
    <row r="4753" spans="1:12">
      <c r="A4753" s="20" t="s">
        <v>864</v>
      </c>
      <c r="B4753" s="27" t="s">
        <v>1076</v>
      </c>
      <c r="C4753" s="27" t="s">
        <v>837</v>
      </c>
      <c r="D4753" s="27" t="s">
        <v>762</v>
      </c>
      <c r="E4753" s="21">
        <f>IF(D4753="?OLD","!!!","")</f>
        <v/>
      </c>
      <c r="F4753" s="22" t="str">
        <f>IF(OR(E4753="",E4753="!!!"),"",IF(NOT(ISNA(VLOOKUP(E4753,E$1:E4752,1,FALSE()))),"OLD",IF(AND(E4753&lt;&gt;"",E4753&lt;&gt;"!!!"),"NEW","")))</f>
        <v> </v>
      </c>
      <c r="G4753" s="23" t="str">
        <f>IF(OR(E4753="",E4753="!!!"),"",IF(OR(J4753=0,AND(J4753=1,K4753=1),AND(J4753=1,I4753="SBJ"),AND(J4753=1,I4753=0)),"?IN_FOCUS",IF(J4753&lt;=2,"?ACTIVATED",IF(J4753&lt;&gt;"","?FAMILIAR",IF(F4753="NEW",IF(ISNA(VLOOKUP(E4753,#REF!,1,FALSE())),"?TYPE_IDENTIFIABLE","?REFERENTIAL"),"_")))))</f>
        <v> </v>
      </c>
      <c r="H4753" s="24" t="str">
        <f>IF(J4753&lt;&gt;1,"",IF(I4753="SBJ","CB","?"))</f>
        <v> </v>
      </c>
      <c r="I4753" s="25" t="str">
        <f>IF(OR(E4753="",E4753="!!!",F4753="NEW"),"",INDEX(B4752:B$2,-1+SUMPRODUCT(MAX(ROW(E4752:E$2)*(E4753=E4752:E$2)))))</f>
        <v> </v>
      </c>
      <c r="J4753" s="25" t="str">
        <f>IF(OR(E4753="",E4753="!!!",F4753="NEW"),"",COUNTBLANK(OFFSET(A$1,,,SUMPRODUCT(MAX(ROW(E$2:E4753)*(E4753=E$2:E4753)))))-COUNTBLANK(OFFSET(A$1,,,SUMPRODUCT(MAX(ROW(E$1:E4752)*(E2=E$1:E4752))))))</f>
        <v> </v>
      </c>
      <c r="K4753" s="25" t="str">
        <f>IF(OR(E4753="",E4753="!!!",F4753="NEW"),"",INDEX(J$1:J4752,SUMPRODUCT(MAX(ROW(E$1:E4752)*(E4753=E$1:E4752)))))</f>
        <v> </v>
      </c>
      <c r="L4753" s="26"/>
    </row>
    <row r="4754" spans="1:12">
      <c r="A4754" s="20" t="s">
        <v>757</v>
      </c>
      <c r="E4754" s="21">
        <f>IF(D4754="?OLD","!!!","")</f>
        <v/>
      </c>
      <c r="F4754" s="22" t="str">
        <f>IF(OR(E4754="",E4754="!!!"),"",IF(NOT(ISNA(VLOOKUP(E4754,E$1:E4753,1,FALSE()))),"OLD",IF(AND(E4754&lt;&gt;"",E4754&lt;&gt;"!!!"),"NEW","")))</f>
        <v> </v>
      </c>
      <c r="G4754" s="23" t="str">
        <f>IF(OR(E4754="",E4754="!!!"),"",IF(OR(J4754=0,AND(J4754=1,K4754=1),AND(J4754=1,I4754="SBJ"),AND(J4754=1,I4754=0)),"?IN_FOCUS",IF(J4754&lt;=2,"?ACTIVATED",IF(J4754&lt;&gt;"","?FAMILIAR",IF(F4754="NEW",IF(ISNA(VLOOKUP(E4754,#REF!,1,FALSE())),"?TYPE_IDENTIFIABLE","?REFERENTIAL"),"_")))))</f>
        <v> </v>
      </c>
      <c r="H4754" s="24" t="str">
        <f>IF(J4754&lt;&gt;1,"",IF(I4754="SBJ","CB","?"))</f>
        <v> </v>
      </c>
      <c r="I4754" s="25" t="str">
        <f>IF(OR(E4754="",E4754="!!!",F4754="NEW"),"",INDEX(B4753:B$2,-1+SUMPRODUCT(MAX(ROW(E4753:E$2)*(E4754=E4753:E$2)))))</f>
        <v> </v>
      </c>
      <c r="J4754" s="25" t="str">
        <f>IF(OR(E4754="",E4754="!!!",F4754="NEW"),"",COUNTBLANK(OFFSET(A$1,,,SUMPRODUCT(MAX(ROW(E$2:E4754)*(E4754=E$2:E4754)))))-COUNTBLANK(OFFSET(A$1,,,SUMPRODUCT(MAX(ROW(E$1:E4753)*(E2=E$1:E4753))))))</f>
        <v> </v>
      </c>
      <c r="K4754" s="25" t="str">
        <f>IF(OR(E4754="",E4754="!!!",F4754="NEW"),"",INDEX(J$1:J4753,SUMPRODUCT(MAX(ROW(E$1:E4753)*(E4754=E$1:E4753)))))</f>
        <v> </v>
      </c>
      <c r="L4754" s="26"/>
    </row>
    <row r="4755" spans="1:12">
      <c r="A4755" s="20" t="s">
        <v>795</v>
      </c>
      <c r="B4755" s="27" t="s">
        <v>1272</v>
      </c>
      <c r="C4755" s="27" t="s">
        <v>797</v>
      </c>
      <c r="D4755" s="27" t="s">
        <v>762</v>
      </c>
      <c r="E4755" s="21">
        <f>IF(D4755="?OLD","!!!","")</f>
        <v/>
      </c>
      <c r="F4755" s="22" t="str">
        <f>IF(OR(E4755="",E4755="!!!"),"",IF(NOT(ISNA(VLOOKUP(E4755,E$1:E4754,1,FALSE()))),"OLD",IF(AND(E4755&lt;&gt;"",E4755&lt;&gt;"!!!"),"NEW","")))</f>
        <v> </v>
      </c>
      <c r="G4755" s="23" t="str">
        <f>IF(OR(E4755="",E4755="!!!"),"",IF(OR(J4755=0,AND(J4755=1,K4755=1),AND(J4755=1,I4755="SBJ"),AND(J4755=1,I4755=0)),"?IN_FOCUS",IF(J4755&lt;=2,"?ACTIVATED",IF(J4755&lt;&gt;"","?FAMILIAR",IF(F4755="NEW",IF(ISNA(VLOOKUP(E4755,#REF!,1,FALSE())),"?TYPE_IDENTIFIABLE","?REFERENTIAL"),"_")))))</f>
        <v> </v>
      </c>
      <c r="H4755" s="24" t="str">
        <f>IF(J4755&lt;&gt;1,"",IF(I4755="SBJ","CB","?"))</f>
        <v> </v>
      </c>
      <c r="I4755" s="25" t="str">
        <f>IF(OR(E4755="",E4755="!!!",F4755="NEW"),"",INDEX(B4754:B$2,-1+SUMPRODUCT(MAX(ROW(E4754:E$2)*(E4755=E4754:E$2)))))</f>
        <v> </v>
      </c>
      <c r="J4755" s="25" t="str">
        <f>IF(OR(E4755="",E4755="!!!",F4755="NEW"),"",COUNTBLANK(OFFSET(A$1,,,SUMPRODUCT(MAX(ROW(E$2:E4755)*(E4755=E$2:E4755)))))-COUNTBLANK(OFFSET(A$1,,,SUMPRODUCT(MAX(ROW(E$1:E4754)*(E2=E$1:E4754))))))</f>
        <v> </v>
      </c>
      <c r="K4755" s="25" t="str">
        <f>IF(OR(E4755="",E4755="!!!",F4755="NEW"),"",INDEX(J$1:J4754,SUMPRODUCT(MAX(ROW(E$1:E4754)*(E4755=E$1:E4754)))))</f>
        <v> </v>
      </c>
      <c r="L4755" s="26"/>
    </row>
    <row r="4756" spans="1:12">
      <c r="A4756" s="20" t="s">
        <v>2026</v>
      </c>
      <c r="E4756" s="21">
        <f>IF(D4756="?OLD","!!!","")</f>
        <v/>
      </c>
      <c r="F4756" s="22" t="str">
        <f>IF(OR(E4756="",E4756="!!!"),"",IF(NOT(ISNA(VLOOKUP(E4756,E$1:E4755,1,FALSE()))),"OLD",IF(AND(E4756&lt;&gt;"",E4756&lt;&gt;"!!!"),"NEW","")))</f>
        <v> </v>
      </c>
      <c r="G4756" s="23" t="str">
        <f>IF(OR(E4756="",E4756="!!!"),"",IF(OR(J4756=0,AND(J4756=1,K4756=1),AND(J4756=1,I4756="SBJ"),AND(J4756=1,I4756=0)),"?IN_FOCUS",IF(J4756&lt;=2,"?ACTIVATED",IF(J4756&lt;&gt;"","?FAMILIAR",IF(F4756="NEW",IF(ISNA(VLOOKUP(E4756,#REF!,1,FALSE())),"?TYPE_IDENTIFIABLE","?REFERENTIAL"),"_")))))</f>
        <v> </v>
      </c>
      <c r="H4756" s="24" t="str">
        <f>IF(J4756&lt;&gt;1,"",IF(I4756="SBJ","CB","?"))</f>
        <v> </v>
      </c>
      <c r="I4756" s="25" t="str">
        <f>IF(OR(E4756="",E4756="!!!",F4756="NEW"),"",INDEX(B4755:B$2,-1+SUMPRODUCT(MAX(ROW(E4755:E$2)*(E4756=E4755:E$2)))))</f>
        <v> </v>
      </c>
      <c r="J4756" s="25" t="str">
        <f>IF(OR(E4756="",E4756="!!!",F4756="NEW"),"",COUNTBLANK(OFFSET(A$1,,,SUMPRODUCT(MAX(ROW(E$2:E4756)*(E4756=E$2:E4756)))))-COUNTBLANK(OFFSET(A$1,,,SUMPRODUCT(MAX(ROW(E$1:E4755)*(E2=E$1:E4755))))))</f>
        <v> </v>
      </c>
      <c r="K4756" s="25" t="str">
        <f>IF(OR(E4756="",E4756="!!!",F4756="NEW"),"",INDEX(J$1:J4755,SUMPRODUCT(MAX(ROW(E$1:E4755)*(E4756=E$1:E4755)))))</f>
        <v> </v>
      </c>
      <c r="L4756" s="26"/>
    </row>
    <row r="4757" spans="1:12">
      <c r="A4757" s="20" t="s">
        <v>770</v>
      </c>
      <c r="E4757" s="21">
        <f>IF(D4757="?OLD","!!!","")</f>
        <v/>
      </c>
      <c r="F4757" s="22" t="str">
        <f>IF(OR(E4757="",E4757="!!!"),"",IF(NOT(ISNA(VLOOKUP(E4757,E$1:E4756,1,FALSE()))),"OLD",IF(AND(E4757&lt;&gt;"",E4757&lt;&gt;"!!!"),"NEW","")))</f>
        <v> </v>
      </c>
      <c r="G4757" s="23" t="str">
        <f>IF(OR(E4757="",E4757="!!!"),"",IF(OR(J4757=0,AND(J4757=1,K4757=1),AND(J4757=1,I4757="SBJ"),AND(J4757=1,I4757=0)),"?IN_FOCUS",IF(J4757&lt;=2,"?ACTIVATED",IF(J4757&lt;&gt;"","?FAMILIAR",IF(F4757="NEW",IF(ISNA(VLOOKUP(E4757,#REF!,1,FALSE())),"?TYPE_IDENTIFIABLE","?REFERENTIAL"),"_")))))</f>
        <v> </v>
      </c>
      <c r="H4757" s="24" t="str">
        <f>IF(J4757&lt;&gt;1,"",IF(I4757="SBJ","CB","?"))</f>
        <v> </v>
      </c>
      <c r="I4757" s="25" t="str">
        <f>IF(OR(E4757="",E4757="!!!",F4757="NEW"),"",INDEX(B4756:B$2,-1+SUMPRODUCT(MAX(ROW(E4756:E$2)*(E4757=E4756:E$2)))))</f>
        <v> </v>
      </c>
      <c r="J4757" s="25" t="str">
        <f>IF(OR(E4757="",E4757="!!!",F4757="NEW"),"",COUNTBLANK(OFFSET(A$1,,,SUMPRODUCT(MAX(ROW(E$2:E4757)*(E4757=E$2:E4757)))))-COUNTBLANK(OFFSET(A$1,,,SUMPRODUCT(MAX(ROW(E$1:E4756)*(E2=E$1:E4756))))))</f>
        <v> </v>
      </c>
      <c r="K4757" s="25" t="str">
        <f>IF(OR(E4757="",E4757="!!!",F4757="NEW"),"",INDEX(J$1:J4756,SUMPRODUCT(MAX(ROW(E$1:E4756)*(E4757=E$1:E4756)))))</f>
        <v> </v>
      </c>
      <c r="L4757" s="26"/>
    </row>
    <row r="4758" spans="1:12">
      <c r="A4758" s="20" t="s">
        <v>1963</v>
      </c>
      <c r="B4758" s="27" t="s">
        <v>1076</v>
      </c>
      <c r="C4758" s="27" t="s">
        <v>761</v>
      </c>
      <c r="D4758" s="27" t="s">
        <v>762</v>
      </c>
      <c r="E4758" s="21">
        <f>IF(D4758="?OLD","!!!","")</f>
        <v/>
      </c>
      <c r="F4758" s="22" t="str">
        <f>IF(OR(E4758="",E4758="!!!"),"",IF(NOT(ISNA(VLOOKUP(E4758,E$1:E4757,1,FALSE()))),"OLD",IF(AND(E4758&lt;&gt;"",E4758&lt;&gt;"!!!"),"NEW","")))</f>
        <v> </v>
      </c>
      <c r="G4758" s="23" t="str">
        <f>IF(OR(E4758="",E4758="!!!"),"",IF(OR(J4758=0,AND(J4758=1,K4758=1),AND(J4758=1,I4758="SBJ"),AND(J4758=1,I4758=0)),"?IN_FOCUS",IF(J4758&lt;=2,"?ACTIVATED",IF(J4758&lt;&gt;"","?FAMILIAR",IF(F4758="NEW",IF(ISNA(VLOOKUP(E4758,#REF!,1,FALSE())),"?TYPE_IDENTIFIABLE","?REFERENTIAL"),"_")))))</f>
        <v> </v>
      </c>
      <c r="H4758" s="24" t="str">
        <f>IF(J4758&lt;&gt;1,"",IF(I4758="SBJ","CB","?"))</f>
        <v> </v>
      </c>
      <c r="I4758" s="25" t="str">
        <f>IF(OR(E4758="",E4758="!!!",F4758="NEW"),"",INDEX(B4757:B$2,-1+SUMPRODUCT(MAX(ROW(E4757:E$2)*(E4758=E4757:E$2)))))</f>
        <v> </v>
      </c>
      <c r="J4758" s="25" t="str">
        <f>IF(OR(E4758="",E4758="!!!",F4758="NEW"),"",COUNTBLANK(OFFSET(A$1,,,SUMPRODUCT(MAX(ROW(E$2:E4758)*(E4758=E$2:E4758)))))-COUNTBLANK(OFFSET(A$1,,,SUMPRODUCT(MAX(ROW(E$1:E4757)*(E2=E$1:E4757))))))</f>
        <v> </v>
      </c>
      <c r="K4758" s="25" t="str">
        <f>IF(OR(E4758="",E4758="!!!",F4758="NEW"),"",INDEX(J$1:J4757,SUMPRODUCT(MAX(ROW(E$1:E4757)*(E4758=E$1:E4757)))))</f>
        <v> </v>
      </c>
      <c r="L4758" s="26"/>
    </row>
    <row r="4759" spans="1:12">
      <c r="A4759" s="20" t="s">
        <v>757</v>
      </c>
      <c r="E4759" s="21">
        <f>IF(D4759="?OLD","!!!","")</f>
        <v/>
      </c>
      <c r="F4759" s="22" t="str">
        <f>IF(OR(E4759="",E4759="!!!"),"",IF(NOT(ISNA(VLOOKUP(E4759,E$1:E4758,1,FALSE()))),"OLD",IF(AND(E4759&lt;&gt;"",E4759&lt;&gt;"!!!"),"NEW","")))</f>
        <v> </v>
      </c>
      <c r="G4759" s="23" t="str">
        <f>IF(OR(E4759="",E4759="!!!"),"",IF(OR(J4759=0,AND(J4759=1,K4759=1),AND(J4759=1,I4759="SBJ"),AND(J4759=1,I4759=0)),"?IN_FOCUS",IF(J4759&lt;=2,"?ACTIVATED",IF(J4759&lt;&gt;"","?FAMILIAR",IF(F4759="NEW",IF(ISNA(VLOOKUP(E4759,#REF!,1,FALSE())),"?TYPE_IDENTIFIABLE","?REFERENTIAL"),"_")))))</f>
        <v> </v>
      </c>
      <c r="H4759" s="24" t="str">
        <f>IF(J4759&lt;&gt;1,"",IF(I4759="SBJ","CB","?"))</f>
        <v> </v>
      </c>
      <c r="I4759" s="25" t="str">
        <f>IF(OR(E4759="",E4759="!!!",F4759="NEW"),"",INDEX(B4758:B$2,-1+SUMPRODUCT(MAX(ROW(E4758:E$2)*(E4759=E4758:E$2)))))</f>
        <v> </v>
      </c>
      <c r="J4759" s="25" t="str">
        <f>IF(OR(E4759="",E4759="!!!",F4759="NEW"),"",COUNTBLANK(OFFSET(A$1,,,SUMPRODUCT(MAX(ROW(E$2:E4759)*(E4759=E$2:E4759)))))-COUNTBLANK(OFFSET(A$1,,,SUMPRODUCT(MAX(ROW(E$1:E4758)*(E2=E$1:E4758))))))</f>
        <v> </v>
      </c>
      <c r="K4759" s="25" t="str">
        <f>IF(OR(E4759="",E4759="!!!",F4759="NEW"),"",INDEX(J$1:J4758,SUMPRODUCT(MAX(ROW(E$1:E4758)*(E4759=E$1:E4758)))))</f>
        <v> </v>
      </c>
      <c r="L4759" s="26"/>
    </row>
    <row r="4760" spans="1:12">
      <c r="A4760" s="20" t="s">
        <v>793</v>
      </c>
      <c r="E4760" s="21">
        <f>IF(D4760="?OLD","!!!","")</f>
        <v/>
      </c>
      <c r="F4760" s="22" t="str">
        <f>IF(OR(E4760="",E4760="!!!"),"",IF(NOT(ISNA(VLOOKUP(E4760,E$1:E4759,1,FALSE()))),"OLD",IF(AND(E4760&lt;&gt;"",E4760&lt;&gt;"!!!"),"NEW","")))</f>
        <v> </v>
      </c>
      <c r="G4760" s="23" t="str">
        <f>IF(OR(E4760="",E4760="!!!"),"",IF(OR(J4760=0,AND(J4760=1,K4760=1),AND(J4760=1,I4760="SBJ"),AND(J4760=1,I4760=0)),"?IN_FOCUS",IF(J4760&lt;=2,"?ACTIVATED",IF(J4760&lt;&gt;"","?FAMILIAR",IF(F4760="NEW",IF(ISNA(VLOOKUP(E4760,#REF!,1,FALSE())),"?TYPE_IDENTIFIABLE","?REFERENTIAL"),"_")))))</f>
        <v> </v>
      </c>
      <c r="H4760" s="24" t="str">
        <f>IF(J4760&lt;&gt;1,"",IF(I4760="SBJ","CB","?"))</f>
        <v> </v>
      </c>
      <c r="I4760" s="25" t="str">
        <f>IF(OR(E4760="",E4760="!!!",F4760="NEW"),"",INDEX(B4759:B$2,-1+SUMPRODUCT(MAX(ROW(E4759:E$2)*(E4760=E4759:E$2)))))</f>
        <v> </v>
      </c>
      <c r="J4760" s="25" t="str">
        <f>IF(OR(E4760="",E4760="!!!",F4760="NEW"),"",COUNTBLANK(OFFSET(A$1,,,SUMPRODUCT(MAX(ROW(E$2:E4760)*(E4760=E$2:E4760)))))-COUNTBLANK(OFFSET(A$1,,,SUMPRODUCT(MAX(ROW(E$1:E4759)*(E2=E$1:E4759))))))</f>
        <v> </v>
      </c>
      <c r="K4760" s="25" t="str">
        <f>IF(OR(E4760="",E4760="!!!",F4760="NEW"),"",INDEX(J$1:J4759,SUMPRODUCT(MAX(ROW(E$1:E4759)*(E4760=E$1:E4759)))))</f>
        <v> </v>
      </c>
      <c r="L4760" s="26"/>
    </row>
    <row r="4761" spans="1:12">
      <c r="A4761" s="20" t="s">
        <v>1026</v>
      </c>
      <c r="E4761" s="21">
        <f>IF(D4761="?OLD","!!!","")</f>
        <v/>
      </c>
      <c r="F4761" s="22" t="str">
        <f>IF(OR(E4761="",E4761="!!!"),"",IF(NOT(ISNA(VLOOKUP(E4761,E$1:E4760,1,FALSE()))),"OLD",IF(AND(E4761&lt;&gt;"",E4761&lt;&gt;"!!!"),"NEW","")))</f>
        <v> </v>
      </c>
      <c r="G4761" s="23" t="str">
        <f>IF(OR(E4761="",E4761="!!!"),"",IF(OR(J4761=0,AND(J4761=1,K4761=1),AND(J4761=1,I4761="SBJ"),AND(J4761=1,I4761=0)),"?IN_FOCUS",IF(J4761&lt;=2,"?ACTIVATED",IF(J4761&lt;&gt;"","?FAMILIAR",IF(F4761="NEW",IF(ISNA(VLOOKUP(E4761,#REF!,1,FALSE())),"?TYPE_IDENTIFIABLE","?REFERENTIAL"),"_")))))</f>
        <v> </v>
      </c>
      <c r="H4761" s="24" t="str">
        <f>IF(J4761&lt;&gt;1,"",IF(I4761="SBJ","CB","?"))</f>
        <v> </v>
      </c>
      <c r="I4761" s="25" t="str">
        <f>IF(OR(E4761="",E4761="!!!",F4761="NEW"),"",INDEX(B4760:B$2,-1+SUMPRODUCT(MAX(ROW(E4760:E$2)*(E4761=E4760:E$2)))))</f>
        <v> </v>
      </c>
      <c r="J4761" s="25" t="str">
        <f>IF(OR(E4761="",E4761="!!!",F4761="NEW"),"",COUNTBLANK(OFFSET(A$1,,,SUMPRODUCT(MAX(ROW(E$2:E4761)*(E4761=E$2:E4761)))))-COUNTBLANK(OFFSET(A$1,,,SUMPRODUCT(MAX(ROW(E$1:E4760)*(E2=E$1:E4760))))))</f>
        <v> </v>
      </c>
      <c r="K4761" s="25" t="str">
        <f>IF(OR(E4761="",E4761="!!!",F4761="NEW"),"",INDEX(J$1:J4760,SUMPRODUCT(MAX(ROW(E$1:E4760)*(E4761=E$1:E4760)))))</f>
        <v> </v>
      </c>
      <c r="L4761" s="26"/>
    </row>
    <row r="4762" spans="1:12">
      <c r="A4762" s="20" t="s">
        <v>814</v>
      </c>
      <c r="B4762" s="27" t="s">
        <v>1080</v>
      </c>
      <c r="C4762" s="27" t="s">
        <v>1019</v>
      </c>
      <c r="D4762" s="27" t="s">
        <v>762</v>
      </c>
      <c r="E4762" s="21">
        <f>IF(D4762="?OLD","!!!","")</f>
        <v/>
      </c>
      <c r="F4762" s="22" t="str">
        <f>IF(OR(E4762="",E4762="!!!"),"",IF(NOT(ISNA(VLOOKUP(E4762,E$1:E4761,1,FALSE()))),"OLD",IF(AND(E4762&lt;&gt;"",E4762&lt;&gt;"!!!"),"NEW","")))</f>
        <v> </v>
      </c>
      <c r="G4762" s="23" t="str">
        <f>IF(OR(E4762="",E4762="!!!"),"",IF(OR(J4762=0,AND(J4762=1,K4762=1),AND(J4762=1,I4762="SBJ"),AND(J4762=1,I4762=0)),"?IN_FOCUS",IF(J4762&lt;=2,"?ACTIVATED",IF(J4762&lt;&gt;"","?FAMILIAR",IF(F4762="NEW",IF(ISNA(VLOOKUP(E4762,#REF!,1,FALSE())),"?TYPE_IDENTIFIABLE","?REFERENTIAL"),"_")))))</f>
        <v> </v>
      </c>
      <c r="H4762" s="24" t="str">
        <f>IF(J4762&lt;&gt;1,"",IF(I4762="SBJ","CB","?"))</f>
        <v> </v>
      </c>
      <c r="I4762" s="25" t="str">
        <f>IF(OR(E4762="",E4762="!!!",F4762="NEW"),"",INDEX(B4761:B$2,-1+SUMPRODUCT(MAX(ROW(E4761:E$2)*(E4762=E4761:E$2)))))</f>
        <v> </v>
      </c>
      <c r="J4762" s="25" t="str">
        <f>IF(OR(E4762="",E4762="!!!",F4762="NEW"),"",COUNTBLANK(OFFSET(A$1,,,SUMPRODUCT(MAX(ROW(E$2:E4762)*(E4762=E$2:E4762)))))-COUNTBLANK(OFFSET(A$1,,,SUMPRODUCT(MAX(ROW(E$1:E4761)*(E2=E$1:E4761))))))</f>
        <v> </v>
      </c>
      <c r="K4762" s="25" t="str">
        <f>IF(OR(E4762="",E4762="!!!",F4762="NEW"),"",INDEX(J$1:J4761,SUMPRODUCT(MAX(ROW(E$1:E4761)*(E4762=E$1:E4761)))))</f>
        <v> </v>
      </c>
      <c r="L4762" s="26"/>
    </row>
    <row r="4763" spans="1:12">
      <c r="A4763" s="20" t="s">
        <v>1384</v>
      </c>
      <c r="E4763" s="21">
        <f>IF(D4763="?OLD","!!!","")</f>
        <v/>
      </c>
      <c r="F4763" s="22" t="str">
        <f>IF(OR(E4763="",E4763="!!!"),"",IF(NOT(ISNA(VLOOKUP(E4763,E$1:E4762,1,FALSE()))),"OLD",IF(AND(E4763&lt;&gt;"",E4763&lt;&gt;"!!!"),"NEW","")))</f>
        <v> </v>
      </c>
      <c r="G4763" s="23" t="str">
        <f>IF(OR(E4763="",E4763="!!!"),"",IF(OR(J4763=0,AND(J4763=1,K4763=1),AND(J4763=1,I4763="SBJ"),AND(J4763=1,I4763=0)),"?IN_FOCUS",IF(J4763&lt;=2,"?ACTIVATED",IF(J4763&lt;&gt;"","?FAMILIAR",IF(F4763="NEW",IF(ISNA(VLOOKUP(E4763,#REF!,1,FALSE())),"?TYPE_IDENTIFIABLE","?REFERENTIAL"),"_")))))</f>
        <v> </v>
      </c>
      <c r="H4763" s="24" t="str">
        <f>IF(J4763&lt;&gt;1,"",IF(I4763="SBJ","CB","?"))</f>
        <v> </v>
      </c>
      <c r="I4763" s="25" t="str">
        <f>IF(OR(E4763="",E4763="!!!",F4763="NEW"),"",INDEX(B4762:B$2,-1+SUMPRODUCT(MAX(ROW(E4762:E$2)*(E4763=E4762:E$2)))))</f>
        <v> </v>
      </c>
      <c r="J4763" s="25" t="str">
        <f>IF(OR(E4763="",E4763="!!!",F4763="NEW"),"",COUNTBLANK(OFFSET(A$1,,,SUMPRODUCT(MAX(ROW(E$2:E4763)*(E4763=E$2:E4763)))))-COUNTBLANK(OFFSET(A$1,,,SUMPRODUCT(MAX(ROW(E$1:E4762)*(E2=E$1:E4762))))))</f>
        <v> </v>
      </c>
      <c r="K4763" s="25" t="str">
        <f>IF(OR(E4763="",E4763="!!!",F4763="NEW"),"",INDEX(J$1:J4762,SUMPRODUCT(MAX(ROW(E$1:E4762)*(E4763=E$1:E4762)))))</f>
        <v> </v>
      </c>
      <c r="L4763" s="26"/>
    </row>
    <row r="4764" spans="1:12">
      <c r="A4764" s="20" t="s">
        <v>272</v>
      </c>
      <c r="E4764" s="21">
        <f>IF(D4764="?OLD","!!!","")</f>
        <v/>
      </c>
      <c r="F4764" s="22" t="str">
        <f>IF(OR(E4764="",E4764="!!!"),"",IF(NOT(ISNA(VLOOKUP(E4764,E$1:E4763,1,FALSE()))),"OLD",IF(AND(E4764&lt;&gt;"",E4764&lt;&gt;"!!!"),"NEW","")))</f>
        <v> </v>
      </c>
      <c r="G4764" s="23" t="str">
        <f>IF(OR(E4764="",E4764="!!!"),"",IF(OR(J4764=0,AND(J4764=1,K4764=1),AND(J4764=1,I4764="SBJ"),AND(J4764=1,I4764=0)),"?IN_FOCUS",IF(J4764&lt;=2,"?ACTIVATED",IF(J4764&lt;&gt;"","?FAMILIAR",IF(F4764="NEW",IF(ISNA(VLOOKUP(E4764,#REF!,1,FALSE())),"?TYPE_IDENTIFIABLE","?REFERENTIAL"),"_")))))</f>
        <v> </v>
      </c>
      <c r="H4764" s="24" t="str">
        <f>IF(J4764&lt;&gt;1,"",IF(I4764="SBJ","CB","?"))</f>
        <v> </v>
      </c>
      <c r="I4764" s="25" t="str">
        <f>IF(OR(E4764="",E4764="!!!",F4764="NEW"),"",INDEX(B4763:B$2,-1+SUMPRODUCT(MAX(ROW(E4763:E$2)*(E4764=E4763:E$2)))))</f>
        <v> </v>
      </c>
      <c r="J4764" s="25" t="str">
        <f>IF(OR(E4764="",E4764="!!!",F4764="NEW"),"",COUNTBLANK(OFFSET(A$1,,,SUMPRODUCT(MAX(ROW(E$2:E4764)*(E4764=E$2:E4764)))))-COUNTBLANK(OFFSET(A$1,,,SUMPRODUCT(MAX(ROW(E$1:E4763)*(E2=E$1:E4763))))))</f>
        <v> </v>
      </c>
      <c r="K4764" s="25" t="str">
        <f>IF(OR(E4764="",E4764="!!!",F4764="NEW"),"",INDEX(J$1:J4763,SUMPRODUCT(MAX(ROW(E$1:E4763)*(E4764=E$1:E4763)))))</f>
        <v> </v>
      </c>
      <c r="L4764" s="26"/>
    </row>
    <row r="4765" spans="1:12">
      <c r="A4765" s="20" t="s">
        <v>764</v>
      </c>
      <c r="E4765" s="21">
        <f>IF(D4765="?OLD","!!!","")</f>
        <v/>
      </c>
      <c r="F4765" s="22" t="str">
        <f>IF(OR(E4765="",E4765="!!!"),"",IF(NOT(ISNA(VLOOKUP(E4765,E$1:E4764,1,FALSE()))),"OLD",IF(AND(E4765&lt;&gt;"",E4765&lt;&gt;"!!!"),"NEW","")))</f>
        <v> </v>
      </c>
      <c r="G4765" s="23" t="str">
        <f>IF(OR(E4765="",E4765="!!!"),"",IF(OR(J4765=0,AND(J4765=1,K4765=1),AND(J4765=1,I4765="SBJ"),AND(J4765=1,I4765=0)),"?IN_FOCUS",IF(J4765&lt;=2,"?ACTIVATED",IF(J4765&lt;&gt;"","?FAMILIAR",IF(F4765="NEW",IF(ISNA(VLOOKUP(E4765,#REF!,1,FALSE())),"?TYPE_IDENTIFIABLE","?REFERENTIAL"),"_")))))</f>
        <v> </v>
      </c>
      <c r="H4765" s="24" t="str">
        <f>IF(J4765&lt;&gt;1,"",IF(I4765="SBJ","CB","?"))</f>
        <v> </v>
      </c>
      <c r="I4765" s="25" t="str">
        <f>IF(OR(E4765="",E4765="!!!",F4765="NEW"),"",INDEX(B4764:B$2,-1+SUMPRODUCT(MAX(ROW(E4764:E$2)*(E4765=E4764:E$2)))))</f>
        <v> </v>
      </c>
      <c r="J4765" s="25" t="str">
        <f>IF(OR(E4765="",E4765="!!!",F4765="NEW"),"",COUNTBLANK(OFFSET(A$1,,,SUMPRODUCT(MAX(ROW(E$2:E4765)*(E4765=E$2:E4765)))))-COUNTBLANK(OFFSET(A$1,,,SUMPRODUCT(MAX(ROW(E$1:E4764)*(E2=E$1:E4764))))))</f>
        <v> </v>
      </c>
      <c r="K4765" s="25" t="str">
        <f>IF(OR(E4765="",E4765="!!!",F4765="NEW"),"",INDEX(J$1:J4764,SUMPRODUCT(MAX(ROW(E$1:E4764)*(E4765=E$1:E4764)))))</f>
        <v> </v>
      </c>
      <c r="L4765" s="26"/>
    </row>
    <row r="4766" spans="1:12">
      <c r="A4766" s="20" t="s">
        <v>1638</v>
      </c>
      <c r="B4766" s="27" t="s">
        <v>1131</v>
      </c>
      <c r="C4766" s="27" t="s">
        <v>768</v>
      </c>
      <c r="E4766" s="21">
        <f>IF(D4766="?OLD","!!!","")</f>
        <v/>
      </c>
      <c r="F4766" s="22" t="str">
        <f>IF(OR(E4766="",E4766="!!!"),"",IF(NOT(ISNA(VLOOKUP(E4766,E$1:E4765,1,FALSE()))),"OLD",IF(AND(E4766&lt;&gt;"",E4766&lt;&gt;"!!!"),"NEW","")))</f>
        <v> </v>
      </c>
      <c r="G4766" s="23" t="str">
        <f>IF(OR(E4766="",E4766="!!!"),"",IF(OR(J4766=0,AND(J4766=1,K4766=1),AND(J4766=1,I4766="SBJ"),AND(J4766=1,I4766=0)),"?IN_FOCUS",IF(J4766&lt;=2,"?ACTIVATED",IF(J4766&lt;&gt;"","?FAMILIAR",IF(F4766="NEW",IF(ISNA(VLOOKUP(E4766,#REF!,1,FALSE())),"?TYPE_IDENTIFIABLE","?REFERENTIAL"),"_")))))</f>
        <v> </v>
      </c>
      <c r="H4766" s="24" t="str">
        <f>IF(J4766&lt;&gt;1,"",IF(I4766="SBJ","CB","?"))</f>
        <v> </v>
      </c>
      <c r="I4766" s="25" t="str">
        <f>IF(OR(E4766="",E4766="!!!",F4766="NEW"),"",INDEX(B4765:B$2,-1+SUMPRODUCT(MAX(ROW(E4765:E$2)*(E4766=E4765:E$2)))))</f>
        <v> </v>
      </c>
      <c r="J4766" s="25" t="str">
        <f>IF(OR(E4766="",E4766="!!!",F4766="NEW"),"",COUNTBLANK(OFFSET(A$1,,,SUMPRODUCT(MAX(ROW(E$2:E4766)*(E4766=E$2:E4766)))))-COUNTBLANK(OFFSET(A$1,,,SUMPRODUCT(MAX(ROW(E$1:E4765)*(E2=E$1:E4765))))))</f>
        <v> </v>
      </c>
      <c r="K4766" s="25" t="str">
        <f>IF(OR(E4766="",E4766="!!!",F4766="NEW"),"",INDEX(J$1:J4765,SUMPRODUCT(MAX(ROW(E$1:E4765)*(E4766=E$1:E4765)))))</f>
        <v> </v>
      </c>
      <c r="L4766" s="26"/>
    </row>
    <row r="4767" spans="1:12">
      <c r="A4767" s="20" t="s">
        <v>2028</v>
      </c>
      <c r="E4767" s="21">
        <f>IF(D4767="?OLD","!!!","")</f>
        <v/>
      </c>
      <c r="F4767" s="22" t="str">
        <f>IF(OR(E4767="",E4767="!!!"),"",IF(NOT(ISNA(VLOOKUP(E4767,E$1:E4766,1,FALSE()))),"OLD",IF(AND(E4767&lt;&gt;"",E4767&lt;&gt;"!!!"),"NEW","")))</f>
        <v> </v>
      </c>
      <c r="G4767" s="23" t="str">
        <f>IF(OR(E4767="",E4767="!!!"),"",IF(OR(J4767=0,AND(J4767=1,K4767=1),AND(J4767=1,I4767="SBJ"),AND(J4767=1,I4767=0)),"?IN_FOCUS",IF(J4767&lt;=2,"?ACTIVATED",IF(J4767&lt;&gt;"","?FAMILIAR",IF(F4767="NEW",IF(ISNA(VLOOKUP(E4767,#REF!,1,FALSE())),"?TYPE_IDENTIFIABLE","?REFERENTIAL"),"_")))))</f>
        <v> </v>
      </c>
      <c r="H4767" s="24" t="str">
        <f>IF(J4767&lt;&gt;1,"",IF(I4767="SBJ","CB","?"))</f>
        <v> </v>
      </c>
      <c r="I4767" s="25" t="str">
        <f>IF(OR(E4767="",E4767="!!!",F4767="NEW"),"",INDEX(B4766:B$2,-1+SUMPRODUCT(MAX(ROW(E4766:E$2)*(E4767=E4766:E$2)))))</f>
        <v> </v>
      </c>
      <c r="J4767" s="25" t="str">
        <f>IF(OR(E4767="",E4767="!!!",F4767="NEW"),"",COUNTBLANK(OFFSET(A$1,,,SUMPRODUCT(MAX(ROW(E$2:E4767)*(E4767=E$2:E4767)))))-COUNTBLANK(OFFSET(A$1,,,SUMPRODUCT(MAX(ROW(E$1:E4766)*(E2=E$1:E4766))))))</f>
        <v> </v>
      </c>
      <c r="K4767" s="25" t="str">
        <f>IF(OR(E4767="",E4767="!!!",F4767="NEW"),"",INDEX(J$1:J4766,SUMPRODUCT(MAX(ROW(E$1:E4766)*(E4767=E$1:E4766)))))</f>
        <v> </v>
      </c>
      <c r="L4767" s="26"/>
    </row>
    <row r="4768" spans="1:12">
      <c r="A4768" s="20" t="s">
        <v>1031</v>
      </c>
      <c r="E4768" s="21">
        <f>IF(D4768="?OLD","!!!","")</f>
        <v/>
      </c>
      <c r="F4768" s="22" t="str">
        <f>IF(OR(E4768="",E4768="!!!"),"",IF(NOT(ISNA(VLOOKUP(E4768,E$1:E4767,1,FALSE()))),"OLD",IF(AND(E4768&lt;&gt;"",E4768&lt;&gt;"!!!"),"NEW","")))</f>
        <v> </v>
      </c>
      <c r="G4768" s="23" t="str">
        <f>IF(OR(E4768="",E4768="!!!"),"",IF(OR(J4768=0,AND(J4768=1,K4768=1),AND(J4768=1,I4768="SBJ"),AND(J4768=1,I4768=0)),"?IN_FOCUS",IF(J4768&lt;=2,"?ACTIVATED",IF(J4768&lt;&gt;"","?FAMILIAR",IF(F4768="NEW",IF(ISNA(VLOOKUP(E4768,#REF!,1,FALSE())),"?TYPE_IDENTIFIABLE","?REFERENTIAL"),"_")))))</f>
        <v> </v>
      </c>
      <c r="H4768" s="24" t="str">
        <f>IF(J4768&lt;&gt;1,"",IF(I4768="SBJ","CB","?"))</f>
        <v> </v>
      </c>
      <c r="I4768" s="25" t="str">
        <f>IF(OR(E4768="",E4768="!!!",F4768="NEW"),"",INDEX(B4767:B$2,-1+SUMPRODUCT(MAX(ROW(E4767:E$2)*(E4768=E4767:E$2)))))</f>
        <v> </v>
      </c>
      <c r="J4768" s="25" t="str">
        <f>IF(OR(E4768="",E4768="!!!",F4768="NEW"),"",COUNTBLANK(OFFSET(A$1,,,SUMPRODUCT(MAX(ROW(E$2:E4768)*(E4768=E$2:E4768)))))-COUNTBLANK(OFFSET(A$1,,,SUMPRODUCT(MAX(ROW(E$1:E4767)*(E2=E$1:E4767))))))</f>
        <v> </v>
      </c>
      <c r="K4768" s="25" t="str">
        <f>IF(OR(E4768="",E4768="!!!",F4768="NEW"),"",INDEX(J$1:J4767,SUMPRODUCT(MAX(ROW(E$1:E4767)*(E4768=E$1:E4767)))))</f>
        <v> </v>
      </c>
      <c r="L4768" s="26"/>
    </row>
    <row r="4769" spans="1:12">
      <c r="A4769" s="20" t="s">
        <v>889</v>
      </c>
      <c r="E4769" s="21">
        <f>IF(D4769="?OLD","!!!","")</f>
        <v/>
      </c>
      <c r="F4769" s="22" t="str">
        <f>IF(OR(E4769="",E4769="!!!"),"",IF(NOT(ISNA(VLOOKUP(E4769,E$1:E4768,1,FALSE()))),"OLD",IF(AND(E4769&lt;&gt;"",E4769&lt;&gt;"!!!"),"NEW","")))</f>
        <v> </v>
      </c>
      <c r="G4769" s="23" t="str">
        <f>IF(OR(E4769="",E4769="!!!"),"",IF(OR(J4769=0,AND(J4769=1,K4769=1),AND(J4769=1,I4769="SBJ"),AND(J4769=1,I4769=0)),"?IN_FOCUS",IF(J4769&lt;=2,"?ACTIVATED",IF(J4769&lt;&gt;"","?FAMILIAR",IF(F4769="NEW",IF(ISNA(VLOOKUP(E4769,#REF!,1,FALSE())),"?TYPE_IDENTIFIABLE","?REFERENTIAL"),"_")))))</f>
        <v> </v>
      </c>
      <c r="H4769" s="24" t="str">
        <f>IF(J4769&lt;&gt;1,"",IF(I4769="SBJ","CB","?"))</f>
        <v> </v>
      </c>
      <c r="I4769" s="25" t="str">
        <f>IF(OR(E4769="",E4769="!!!",F4769="NEW"),"",INDEX(B4768:B$2,-1+SUMPRODUCT(MAX(ROW(E4768:E$2)*(E4769=E4768:E$2)))))</f>
        <v> </v>
      </c>
      <c r="J4769" s="25" t="str">
        <f>IF(OR(E4769="",E4769="!!!",F4769="NEW"),"",COUNTBLANK(OFFSET(A$1,,,SUMPRODUCT(MAX(ROW(E$2:E4769)*(E4769=E$2:E4769)))))-COUNTBLANK(OFFSET(A$1,,,SUMPRODUCT(MAX(ROW(E$1:E4768)*(E2=E$1:E4768))))))</f>
        <v> </v>
      </c>
      <c r="K4769" s="25" t="str">
        <f>IF(OR(E4769="",E4769="!!!",F4769="NEW"),"",INDEX(J$1:J4768,SUMPRODUCT(MAX(ROW(E$1:E4768)*(E4769=E$1:E4768)))))</f>
        <v> </v>
      </c>
      <c r="L4769" s="26"/>
    </row>
    <row r="4770" spans="1:12">
      <c r="A4770" s="20" t="s">
        <v>795</v>
      </c>
      <c r="B4770" s="27" t="s">
        <v>1080</v>
      </c>
      <c r="C4770" s="27" t="s">
        <v>797</v>
      </c>
      <c r="D4770" s="27" t="s">
        <v>762</v>
      </c>
      <c r="E4770" s="21">
        <f>IF(D4770="?OLD","!!!","")</f>
        <v/>
      </c>
      <c r="F4770" s="22" t="str">
        <f>IF(OR(E4770="",E4770="!!!"),"",IF(NOT(ISNA(VLOOKUP(E4770,E$1:E4769,1,FALSE()))),"OLD",IF(AND(E4770&lt;&gt;"",E4770&lt;&gt;"!!!"),"NEW","")))</f>
        <v> </v>
      </c>
      <c r="G4770" s="23" t="str">
        <f>IF(OR(E4770="",E4770="!!!"),"",IF(OR(J4770=0,AND(J4770=1,K4770=1),AND(J4770=1,I4770="SBJ"),AND(J4770=1,I4770=0)),"?IN_FOCUS",IF(J4770&lt;=2,"?ACTIVATED",IF(J4770&lt;&gt;"","?FAMILIAR",IF(F4770="NEW",IF(ISNA(VLOOKUP(E4770,#REF!,1,FALSE())),"?TYPE_IDENTIFIABLE","?REFERENTIAL"),"_")))))</f>
        <v> </v>
      </c>
      <c r="H4770" s="24" t="str">
        <f>IF(J4770&lt;&gt;1,"",IF(I4770="SBJ","CB","?"))</f>
        <v> </v>
      </c>
      <c r="I4770" s="25" t="str">
        <f>IF(OR(E4770="",E4770="!!!",F4770="NEW"),"",INDEX(B4769:B$2,-1+SUMPRODUCT(MAX(ROW(E4769:E$2)*(E4770=E4769:E$2)))))</f>
        <v> </v>
      </c>
      <c r="J4770" s="25" t="str">
        <f>IF(OR(E4770="",E4770="!!!",F4770="NEW"),"",COUNTBLANK(OFFSET(A$1,,,SUMPRODUCT(MAX(ROW(E$2:E4770)*(E4770=E$2:E4770)))))-COUNTBLANK(OFFSET(A$1,,,SUMPRODUCT(MAX(ROW(E$1:E4769)*(E2=E$1:E4769))))))</f>
        <v> </v>
      </c>
      <c r="K4770" s="25" t="str">
        <f>IF(OR(E4770="",E4770="!!!",F4770="NEW"),"",INDEX(J$1:J4769,SUMPRODUCT(MAX(ROW(E$1:E4769)*(E4770=E$1:E4769)))))</f>
        <v> </v>
      </c>
      <c r="L4770" s="26"/>
    </row>
    <row r="4771" spans="1:12">
      <c r="A4771" s="20" t="s">
        <v>840</v>
      </c>
      <c r="E4771" s="21">
        <f>IF(D4771="?OLD","!!!","")</f>
        <v/>
      </c>
      <c r="F4771" s="22" t="str">
        <f>IF(OR(E4771="",E4771="!!!"),"",IF(NOT(ISNA(VLOOKUP(E4771,E$1:E4770,1,FALSE()))),"OLD",IF(AND(E4771&lt;&gt;"",E4771&lt;&gt;"!!!"),"NEW","")))</f>
        <v> </v>
      </c>
      <c r="G4771" s="23" t="str">
        <f>IF(OR(E4771="",E4771="!!!"),"",IF(OR(J4771=0,AND(J4771=1,K4771=1),AND(J4771=1,I4771="SBJ"),AND(J4771=1,I4771=0)),"?IN_FOCUS",IF(J4771&lt;=2,"?ACTIVATED",IF(J4771&lt;&gt;"","?FAMILIAR",IF(F4771="NEW",IF(ISNA(VLOOKUP(E4771,#REF!,1,FALSE())),"?TYPE_IDENTIFIABLE","?REFERENTIAL"),"_")))))</f>
        <v> </v>
      </c>
      <c r="H4771" s="24" t="str">
        <f>IF(J4771&lt;&gt;1,"",IF(I4771="SBJ","CB","?"))</f>
        <v> </v>
      </c>
      <c r="I4771" s="25" t="str">
        <f>IF(OR(E4771="",E4771="!!!",F4771="NEW"),"",INDEX(B4770:B$2,-1+SUMPRODUCT(MAX(ROW(E4770:E$2)*(E4771=E4770:E$2)))))</f>
        <v> </v>
      </c>
      <c r="J4771" s="25" t="str">
        <f>IF(OR(E4771="",E4771="!!!",F4771="NEW"),"",COUNTBLANK(OFFSET(A$1,,,SUMPRODUCT(MAX(ROW(E$2:E4771)*(E4771=E$2:E4771)))))-COUNTBLANK(OFFSET(A$1,,,SUMPRODUCT(MAX(ROW(E$1:E4770)*(E2=E$1:E4770))))))</f>
        <v> </v>
      </c>
      <c r="K4771" s="25" t="str">
        <f>IF(OR(E4771="",E4771="!!!",F4771="NEW"),"",INDEX(J$1:J4770,SUMPRODUCT(MAX(ROW(E$1:E4770)*(E4771=E$1:E4770)))))</f>
        <v> </v>
      </c>
      <c r="L4771" s="26"/>
    </row>
    <row r="4772" spans="1:12">
      <c r="A4772" s="20" t="s">
        <v>2029</v>
      </c>
      <c r="E4772" s="21">
        <f>IF(D4772="?OLD","!!!","")</f>
        <v/>
      </c>
      <c r="F4772" s="22" t="str">
        <f>IF(OR(E4772="",E4772="!!!"),"",IF(NOT(ISNA(VLOOKUP(E4772,E$1:E4771,1,FALSE()))),"OLD",IF(AND(E4772&lt;&gt;"",E4772&lt;&gt;"!!!"),"NEW","")))</f>
        <v> </v>
      </c>
      <c r="G4772" s="23" t="str">
        <f>IF(OR(E4772="",E4772="!!!"),"",IF(OR(J4772=0,AND(J4772=1,K4772=1),AND(J4772=1,I4772="SBJ"),AND(J4772=1,I4772=0)),"?IN_FOCUS",IF(J4772&lt;=2,"?ACTIVATED",IF(J4772&lt;&gt;"","?FAMILIAR",IF(F4772="NEW",IF(ISNA(VLOOKUP(E4772,#REF!,1,FALSE())),"?TYPE_IDENTIFIABLE","?REFERENTIAL"),"_")))))</f>
        <v> </v>
      </c>
      <c r="H4772" s="24" t="str">
        <f>IF(J4772&lt;&gt;1,"",IF(I4772="SBJ","CB","?"))</f>
        <v> </v>
      </c>
      <c r="I4772" s="25" t="str">
        <f>IF(OR(E4772="",E4772="!!!",F4772="NEW"),"",INDEX(B4771:B$2,-1+SUMPRODUCT(MAX(ROW(E4771:E$2)*(E4772=E4771:E$2)))))</f>
        <v> </v>
      </c>
      <c r="J4772" s="25" t="str">
        <f>IF(OR(E4772="",E4772="!!!",F4772="NEW"),"",COUNTBLANK(OFFSET(A$1,,,SUMPRODUCT(MAX(ROW(E$2:E4772)*(E4772=E$2:E4772)))))-COUNTBLANK(OFFSET(A$1,,,SUMPRODUCT(MAX(ROW(E$1:E4771)*(E2=E$1:E4771))))))</f>
        <v> </v>
      </c>
      <c r="K4772" s="25" t="str">
        <f>IF(OR(E4772="",E4772="!!!",F4772="NEW"),"",INDEX(J$1:J4771,SUMPRODUCT(MAX(ROW(E$1:E4771)*(E4772=E$1:E4771)))))</f>
        <v> </v>
      </c>
      <c r="L4772" s="26"/>
    </row>
    <row r="4773" spans="1:12">
      <c r="A4773" s="20" t="s">
        <v>774</v>
      </c>
      <c r="E4773" s="21">
        <f>IF(D4773="?OLD","!!!","")</f>
        <v/>
      </c>
      <c r="F4773" s="22" t="str">
        <f>IF(OR(E4773="",E4773="!!!"),"",IF(NOT(ISNA(VLOOKUP(E4773,E$1:E4772,1,FALSE()))),"OLD",IF(AND(E4773&lt;&gt;"",E4773&lt;&gt;"!!!"),"NEW","")))</f>
        <v> </v>
      </c>
      <c r="G4773" s="23" t="str">
        <f>IF(OR(E4773="",E4773="!!!"),"",IF(OR(J4773=0,AND(J4773=1,K4773=1),AND(J4773=1,I4773="SBJ"),AND(J4773=1,I4773=0)),"?IN_FOCUS",IF(J4773&lt;=2,"?ACTIVATED",IF(J4773&lt;&gt;"","?FAMILIAR",IF(F4773="NEW",IF(ISNA(VLOOKUP(E4773,#REF!,1,FALSE())),"?TYPE_IDENTIFIABLE","?REFERENTIAL"),"_")))))</f>
        <v> </v>
      </c>
      <c r="H4773" s="24" t="str">
        <f>IF(J4773&lt;&gt;1,"",IF(I4773="SBJ","CB","?"))</f>
        <v> </v>
      </c>
      <c r="I4773" s="25" t="str">
        <f>IF(OR(E4773="",E4773="!!!",F4773="NEW"),"",INDEX(B4772:B$2,-1+SUMPRODUCT(MAX(ROW(E4772:E$2)*(E4773=E4772:E$2)))))</f>
        <v> </v>
      </c>
      <c r="J4773" s="25" t="str">
        <f>IF(OR(E4773="",E4773="!!!",F4773="NEW"),"",COUNTBLANK(OFFSET(A$1,,,SUMPRODUCT(MAX(ROW(E$2:E4773)*(E4773=E$2:E4773)))))-COUNTBLANK(OFFSET(A$1,,,SUMPRODUCT(MAX(ROW(E$1:E4772)*(E2=E$1:E4772))))))</f>
        <v> </v>
      </c>
      <c r="K4773" s="25" t="str">
        <f>IF(OR(E4773="",E4773="!!!",F4773="NEW"),"",INDEX(J$1:J4772,SUMPRODUCT(MAX(ROW(E$1:E4772)*(E4773=E$1:E4772)))))</f>
        <v> </v>
      </c>
      <c r="L4773" s="26"/>
    </row>
    <row r="4774" spans="1:12">
      <c r="A4774" s="20"/>
    </row>
    <row r="4775" spans="1:12">
      <c r="A4775" s="20" t="s">
        <v>2030</v>
      </c>
    </row>
    <row r="4776" spans="1:12">
      <c r="A4776" s="20" t="s">
        <v>1201</v>
      </c>
      <c r="B4776" s="27" t="s">
        <v>760</v>
      </c>
      <c r="C4776" s="27" t="s">
        <v>820</v>
      </c>
      <c r="D4776" s="27" t="s">
        <v>762</v>
      </c>
      <c r="E4776" s="21">
        <f>IF(D4776="?OLD","!!!","")</f>
        <v/>
      </c>
      <c r="F4776" s="22" t="str">
        <f>IF(OR(E4776="",E4776="!!!"),"",IF(NOT(ISNA(VLOOKUP(E4776,E$1:E4775,1,FALSE()))),"OLD",IF(AND(E4776&lt;&gt;"",E4776&lt;&gt;"!!!"),"NEW","")))</f>
        <v> </v>
      </c>
      <c r="G4776" s="23" t="str">
        <f>IF(OR(E4776="",E4776="!!!"),"",IF(OR(J4776=0,AND(J4776=1,K4776=1),AND(J4776=1,I4776="SBJ"),AND(J4776=1,I4776=0)),"?IN_FOCUS",IF(J4776&lt;=2,"?ACTIVATED",IF(J4776&lt;&gt;"","?FAMILIAR",IF(F4776="NEW",IF(ISNA(VLOOKUP(E4776,#REF!,1,FALSE())),"?TYPE_IDENTIFIABLE","?REFERENTIAL"),"_")))))</f>
        <v> </v>
      </c>
      <c r="H4776" s="24" t="str">
        <f>IF(J4776&lt;&gt;1,"",IF(I4776="SBJ","CB","?"))</f>
        <v> </v>
      </c>
      <c r="I4776" s="25" t="str">
        <f>IF(OR(E4776="",E4776="!!!",F4776="NEW"),"",INDEX(B4775:B$2,-1+SUMPRODUCT(MAX(ROW(E4775:E$2)*(E4776=E4775:E$2)))))</f>
        <v> </v>
      </c>
      <c r="J4776" s="25" t="str">
        <f>IF(OR(E4776="",E4776="!!!",F4776="NEW"),"",COUNTBLANK(OFFSET(A$1,,,SUMPRODUCT(MAX(ROW(E$2:E4776)*(E4776=E$2:E4776)))))-COUNTBLANK(OFFSET(A$1,,,SUMPRODUCT(MAX(ROW(E$1:E4775)*(E2=E$1:E4775))))))</f>
        <v> </v>
      </c>
      <c r="K4776" s="25" t="str">
        <f>IF(OR(E4776="",E4776="!!!",F4776="NEW"),"",INDEX(J$1:J4775,SUMPRODUCT(MAX(ROW(E$1:E4775)*(E4776=E$1:E4775)))))</f>
        <v> </v>
      </c>
      <c r="L4776" s="26"/>
    </row>
    <row r="4777" spans="1:12">
      <c r="A4777" s="20" t="s">
        <v>758</v>
      </c>
      <c r="B4777" s="27" t="s">
        <v>767</v>
      </c>
      <c r="C4777" s="27" t="s">
        <v>797</v>
      </c>
      <c r="D4777" s="27" t="s">
        <v>762</v>
      </c>
      <c r="E4777" s="21">
        <f>IF(D4777="?OLD","!!!","")</f>
        <v/>
      </c>
      <c r="F4777" s="22" t="str">
        <f>IF(OR(E4777="",E4777="!!!"),"",IF(NOT(ISNA(VLOOKUP(E4777,E$1:E4776,1,FALSE()))),"OLD",IF(AND(E4777&lt;&gt;"",E4777&lt;&gt;"!!!"),"NEW","")))</f>
        <v> </v>
      </c>
      <c r="G4777" s="23" t="str">
        <f>IF(OR(E4777="",E4777="!!!"),"",IF(OR(J4777=0,AND(J4777=1,K4777=1),AND(J4777=1,I4777="SBJ"),AND(J4777=1,I4777=0)),"?IN_FOCUS",IF(J4777&lt;=2,"?ACTIVATED",IF(J4777&lt;&gt;"","?FAMILIAR",IF(F4777="NEW",IF(ISNA(VLOOKUP(E4777,#REF!,1,FALSE())),"?TYPE_IDENTIFIABLE","?REFERENTIAL"),"_")))))</f>
        <v> </v>
      </c>
      <c r="H4777" s="24" t="str">
        <f>IF(J4777&lt;&gt;1,"",IF(I4777="SBJ","CB","?"))</f>
        <v> </v>
      </c>
      <c r="I4777" s="25" t="str">
        <f>IF(OR(E4777="",E4777="!!!",F4777="NEW"),"",INDEX(B4776:B$2,-1+SUMPRODUCT(MAX(ROW(E4776:E$2)*(E4777=E4776:E$2)))))</f>
        <v> </v>
      </c>
      <c r="J4777" s="25" t="str">
        <f>IF(OR(E4777="",E4777="!!!",F4777="NEW"),"",COUNTBLANK(OFFSET(A$1,,,SUMPRODUCT(MAX(ROW(E$2:E4777)*(E4777=E$2:E4777)))))-COUNTBLANK(OFFSET(A$1,,,SUMPRODUCT(MAX(ROW(E$1:E4776)*(E2=E$1:E4776))))))</f>
        <v> </v>
      </c>
      <c r="K4777" s="25" t="str">
        <f>IF(OR(E4777="",E4777="!!!",F4777="NEW"),"",INDEX(J$1:J4776,SUMPRODUCT(MAX(ROW(E$1:E4776)*(E4777=E$1:E4776)))))</f>
        <v> </v>
      </c>
      <c r="L4777" s="26"/>
    </row>
    <row r="4778" spans="1:12">
      <c r="A4778" s="20" t="s">
        <v>887</v>
      </c>
      <c r="E4778" s="21">
        <f>IF(D4778="?OLD","!!!","")</f>
        <v/>
      </c>
      <c r="F4778" s="22" t="str">
        <f>IF(OR(E4778="",E4778="!!!"),"",IF(NOT(ISNA(VLOOKUP(E4778,E$1:E4777,1,FALSE()))),"OLD",IF(AND(E4778&lt;&gt;"",E4778&lt;&gt;"!!!"),"NEW","")))</f>
        <v> </v>
      </c>
      <c r="G4778" s="23" t="str">
        <f>IF(OR(E4778="",E4778="!!!"),"",IF(OR(J4778=0,AND(J4778=1,K4778=1),AND(J4778=1,I4778="SBJ"),AND(J4778=1,I4778=0)),"?IN_FOCUS",IF(J4778&lt;=2,"?ACTIVATED",IF(J4778&lt;&gt;"","?FAMILIAR",IF(F4778="NEW",IF(ISNA(VLOOKUP(E4778,#REF!,1,FALSE())),"?TYPE_IDENTIFIABLE","?REFERENTIAL"),"_")))))</f>
        <v> </v>
      </c>
      <c r="H4778" s="24" t="str">
        <f>IF(J4778&lt;&gt;1,"",IF(I4778="SBJ","CB","?"))</f>
        <v> </v>
      </c>
      <c r="I4778" s="25" t="str">
        <f>IF(OR(E4778="",E4778="!!!",F4778="NEW"),"",INDEX(B4777:B$2,-1+SUMPRODUCT(MAX(ROW(E4777:E$2)*(E4778=E4777:E$2)))))</f>
        <v> </v>
      </c>
      <c r="J4778" s="25" t="str">
        <f>IF(OR(E4778="",E4778="!!!",F4778="NEW"),"",COUNTBLANK(OFFSET(A$1,,,SUMPRODUCT(MAX(ROW(E$2:E4778)*(E4778=E$2:E4778)))))-COUNTBLANK(OFFSET(A$1,,,SUMPRODUCT(MAX(ROW(E$1:E4777)*(E2=E$1:E4777))))))</f>
        <v> </v>
      </c>
      <c r="K4778" s="25" t="str">
        <f>IF(OR(E4778="",E4778="!!!",F4778="NEW"),"",INDEX(J$1:J4777,SUMPRODUCT(MAX(ROW(E$1:E4777)*(E4778=E$1:E4777)))))</f>
        <v> </v>
      </c>
      <c r="L4778" s="26"/>
    </row>
    <row r="4779" spans="1:12">
      <c r="A4779" s="20" t="s">
        <v>2031</v>
      </c>
      <c r="E4779" s="21">
        <f>IF(D4779="?OLD","!!!","")</f>
        <v/>
      </c>
      <c r="F4779" s="22" t="str">
        <f>IF(OR(E4779="",E4779="!!!"),"",IF(NOT(ISNA(VLOOKUP(E4779,E$1:E4778,1,FALSE()))),"OLD",IF(AND(E4779&lt;&gt;"",E4779&lt;&gt;"!!!"),"NEW","")))</f>
        <v> </v>
      </c>
      <c r="G4779" s="23" t="str">
        <f>IF(OR(E4779="",E4779="!!!"),"",IF(OR(J4779=0,AND(J4779=1,K4779=1),AND(J4779=1,I4779="SBJ"),AND(J4779=1,I4779=0)),"?IN_FOCUS",IF(J4779&lt;=2,"?ACTIVATED",IF(J4779&lt;&gt;"","?FAMILIAR",IF(F4779="NEW",IF(ISNA(VLOOKUP(E4779,#REF!,1,FALSE())),"?TYPE_IDENTIFIABLE","?REFERENTIAL"),"_")))))</f>
        <v> </v>
      </c>
      <c r="H4779" s="24" t="str">
        <f>IF(J4779&lt;&gt;1,"",IF(I4779="SBJ","CB","?"))</f>
        <v> </v>
      </c>
      <c r="I4779" s="25" t="str">
        <f>IF(OR(E4779="",E4779="!!!",F4779="NEW"),"",INDEX(B4778:B$2,-1+SUMPRODUCT(MAX(ROW(E4778:E$2)*(E4779=E4778:E$2)))))</f>
        <v> </v>
      </c>
      <c r="J4779" s="25" t="str">
        <f>IF(OR(E4779="",E4779="!!!",F4779="NEW"),"",COUNTBLANK(OFFSET(A$1,,,SUMPRODUCT(MAX(ROW(E$2:E4779)*(E4779=E$2:E4779)))))-COUNTBLANK(OFFSET(A$1,,,SUMPRODUCT(MAX(ROW(E$1:E4778)*(E2=E$1:E4778))))))</f>
        <v> </v>
      </c>
      <c r="K4779" s="25" t="str">
        <f>IF(OR(E4779="",E4779="!!!",F4779="NEW"),"",INDEX(J$1:J4778,SUMPRODUCT(MAX(ROW(E$1:E4778)*(E4779=E$1:E4778)))))</f>
        <v> </v>
      </c>
      <c r="L4779" s="26"/>
    </row>
    <row r="4780" spans="1:12">
      <c r="A4780" s="20" t="s">
        <v>333</v>
      </c>
      <c r="E4780" s="21">
        <f>IF(D4780="?OLD","!!!","")</f>
        <v/>
      </c>
      <c r="F4780" s="22" t="str">
        <f>IF(OR(E4780="",E4780="!!!"),"",IF(NOT(ISNA(VLOOKUP(E4780,E$1:E4779,1,FALSE()))),"OLD",IF(AND(E4780&lt;&gt;"",E4780&lt;&gt;"!!!"),"NEW","")))</f>
        <v> </v>
      </c>
      <c r="G4780" s="23" t="str">
        <f>IF(OR(E4780="",E4780="!!!"),"",IF(OR(J4780=0,AND(J4780=1,K4780=1),AND(J4780=1,I4780="SBJ"),AND(J4780=1,I4780=0)),"?IN_FOCUS",IF(J4780&lt;=2,"?ACTIVATED",IF(J4780&lt;&gt;"","?FAMILIAR",IF(F4780="NEW",IF(ISNA(VLOOKUP(E4780,#REF!,1,FALSE())),"?TYPE_IDENTIFIABLE","?REFERENTIAL"),"_")))))</f>
        <v> </v>
      </c>
      <c r="H4780" s="24" t="str">
        <f>IF(J4780&lt;&gt;1,"",IF(I4780="SBJ","CB","?"))</f>
        <v> </v>
      </c>
      <c r="I4780" s="25" t="str">
        <f>IF(OR(E4780="",E4780="!!!",F4780="NEW"),"",INDEX(B4779:B$2,-1+SUMPRODUCT(MAX(ROW(E4779:E$2)*(E4780=E4779:E$2)))))</f>
        <v> </v>
      </c>
      <c r="J4780" s="25" t="str">
        <f>IF(OR(E4780="",E4780="!!!",F4780="NEW"),"",COUNTBLANK(OFFSET(A$1,,,SUMPRODUCT(MAX(ROW(E$2:E4780)*(E4780=E$2:E4780)))))-COUNTBLANK(OFFSET(A$1,,,SUMPRODUCT(MAX(ROW(E$1:E4779)*(E2=E$1:E4779))))))</f>
        <v> </v>
      </c>
      <c r="K4780" s="25" t="str">
        <f>IF(OR(E4780="",E4780="!!!",F4780="NEW"),"",INDEX(J$1:J4779,SUMPRODUCT(MAX(ROW(E$1:E4779)*(E4780=E$1:E4779)))))</f>
        <v> </v>
      </c>
      <c r="L4780" s="26"/>
    </row>
    <row r="4781" spans="1:12">
      <c r="A4781" s="20" t="s">
        <v>779</v>
      </c>
      <c r="E4781" s="21">
        <f>IF(D4781="?OLD","!!!","")</f>
        <v/>
      </c>
      <c r="F4781" s="22" t="str">
        <f>IF(OR(E4781="",E4781="!!!"),"",IF(NOT(ISNA(VLOOKUP(E4781,E$1:E4780,1,FALSE()))),"OLD",IF(AND(E4781&lt;&gt;"",E4781&lt;&gt;"!!!"),"NEW","")))</f>
        <v> </v>
      </c>
      <c r="G4781" s="23" t="str">
        <f>IF(OR(E4781="",E4781="!!!"),"",IF(OR(J4781=0,AND(J4781=1,K4781=1),AND(J4781=1,I4781="SBJ"),AND(J4781=1,I4781=0)),"?IN_FOCUS",IF(J4781&lt;=2,"?ACTIVATED",IF(J4781&lt;&gt;"","?FAMILIAR",IF(F4781="NEW",IF(ISNA(VLOOKUP(E4781,#REF!,1,FALSE())),"?TYPE_IDENTIFIABLE","?REFERENTIAL"),"_")))))</f>
        <v> </v>
      </c>
      <c r="H4781" s="24" t="str">
        <f>IF(J4781&lt;&gt;1,"",IF(I4781="SBJ","CB","?"))</f>
        <v> </v>
      </c>
      <c r="I4781" s="25" t="str">
        <f>IF(OR(E4781="",E4781="!!!",F4781="NEW"),"",INDEX(B4780:B$2,-1+SUMPRODUCT(MAX(ROW(E4780:E$2)*(E4781=E4780:E$2)))))</f>
        <v> </v>
      </c>
      <c r="J4781" s="25" t="str">
        <f>IF(OR(E4781="",E4781="!!!",F4781="NEW"),"",COUNTBLANK(OFFSET(A$1,,,SUMPRODUCT(MAX(ROW(E$2:E4781)*(E4781=E$2:E4781)))))-COUNTBLANK(OFFSET(A$1,,,SUMPRODUCT(MAX(ROW(E$1:E4780)*(E2=E$1:E4780))))))</f>
        <v> </v>
      </c>
      <c r="K4781" s="25" t="str">
        <f>IF(OR(E4781="",E4781="!!!",F4781="NEW"),"",INDEX(J$1:J4780,SUMPRODUCT(MAX(ROW(E$1:E4780)*(E4781=E$1:E4780)))))</f>
        <v> </v>
      </c>
      <c r="L4781" s="26"/>
    </row>
    <row r="4782" spans="1:12">
      <c r="A4782" s="20" t="s">
        <v>2032</v>
      </c>
      <c r="B4782" s="27" t="s">
        <v>802</v>
      </c>
      <c r="C4782" s="27" t="s">
        <v>768</v>
      </c>
      <c r="E4782" s="21">
        <f>IF(D4782="?OLD","!!!","")</f>
        <v/>
      </c>
      <c r="F4782" s="22" t="str">
        <f>IF(OR(E4782="",E4782="!!!"),"",IF(NOT(ISNA(VLOOKUP(E4782,E$1:E4781,1,FALSE()))),"OLD",IF(AND(E4782&lt;&gt;"",E4782&lt;&gt;"!!!"),"NEW","")))</f>
        <v> </v>
      </c>
      <c r="G4782" s="23" t="str">
        <f>IF(OR(E4782="",E4782="!!!"),"",IF(OR(J4782=0,AND(J4782=1,K4782=1),AND(J4782=1,I4782="SBJ"),AND(J4782=1,I4782=0)),"?IN_FOCUS",IF(J4782&lt;=2,"?ACTIVATED",IF(J4782&lt;&gt;"","?FAMILIAR",IF(F4782="NEW",IF(ISNA(VLOOKUP(E4782,#REF!,1,FALSE())),"?TYPE_IDENTIFIABLE","?REFERENTIAL"),"_")))))</f>
        <v> </v>
      </c>
      <c r="H4782" s="24" t="str">
        <f>IF(J4782&lt;&gt;1,"",IF(I4782="SBJ","CB","?"))</f>
        <v> </v>
      </c>
      <c r="I4782" s="25" t="str">
        <f>IF(OR(E4782="",E4782="!!!",F4782="NEW"),"",INDEX(B4781:B$2,-1+SUMPRODUCT(MAX(ROW(E4781:E$2)*(E4782=E4781:E$2)))))</f>
        <v> </v>
      </c>
      <c r="J4782" s="25" t="str">
        <f>IF(OR(E4782="",E4782="!!!",F4782="NEW"),"",COUNTBLANK(OFFSET(A$1,,,SUMPRODUCT(MAX(ROW(E$2:E4782)*(E4782=E$2:E4782)))))-COUNTBLANK(OFFSET(A$1,,,SUMPRODUCT(MAX(ROW(E$1:E4781)*(E2=E$1:E4781))))))</f>
        <v> </v>
      </c>
      <c r="K4782" s="25" t="str">
        <f>IF(OR(E4782="",E4782="!!!",F4782="NEW"),"",INDEX(J$1:J4781,SUMPRODUCT(MAX(ROW(E$1:E4781)*(E4782=E$1:E4781)))))</f>
        <v> </v>
      </c>
      <c r="L4782" s="26"/>
    </row>
    <row r="4783" spans="1:12">
      <c r="A4783" s="20" t="s">
        <v>757</v>
      </c>
      <c r="E4783" s="21">
        <f>IF(D4783="?OLD","!!!","")</f>
        <v/>
      </c>
      <c r="F4783" s="22" t="str">
        <f>IF(OR(E4783="",E4783="!!!"),"",IF(NOT(ISNA(VLOOKUP(E4783,E$1:E4782,1,FALSE()))),"OLD",IF(AND(E4783&lt;&gt;"",E4783&lt;&gt;"!!!"),"NEW","")))</f>
        <v> </v>
      </c>
      <c r="G4783" s="23" t="str">
        <f>IF(OR(E4783="",E4783="!!!"),"",IF(OR(J4783=0,AND(J4783=1,K4783=1),AND(J4783=1,I4783="SBJ"),AND(J4783=1,I4783=0)),"?IN_FOCUS",IF(J4783&lt;=2,"?ACTIVATED",IF(J4783&lt;&gt;"","?FAMILIAR",IF(F4783="NEW",IF(ISNA(VLOOKUP(E4783,#REF!,1,FALSE())),"?TYPE_IDENTIFIABLE","?REFERENTIAL"),"_")))))</f>
        <v> </v>
      </c>
      <c r="H4783" s="24" t="str">
        <f>IF(J4783&lt;&gt;1,"",IF(I4783="SBJ","CB","?"))</f>
        <v> </v>
      </c>
      <c r="I4783" s="25" t="str">
        <f>IF(OR(E4783="",E4783="!!!",F4783="NEW"),"",INDEX(B4782:B$2,-1+SUMPRODUCT(MAX(ROW(E4782:E$2)*(E4783=E4782:E$2)))))</f>
        <v> </v>
      </c>
      <c r="J4783" s="25" t="str">
        <f>IF(OR(E4783="",E4783="!!!",F4783="NEW"),"",COUNTBLANK(OFFSET(A$1,,,SUMPRODUCT(MAX(ROW(E$2:E4783)*(E4783=E$2:E4783)))))-COUNTBLANK(OFFSET(A$1,,,SUMPRODUCT(MAX(ROW(E$1:E4782)*(E2=E$1:E4782))))))</f>
        <v> </v>
      </c>
      <c r="K4783" s="25" t="str">
        <f>IF(OR(E4783="",E4783="!!!",F4783="NEW"),"",INDEX(J$1:J4782,SUMPRODUCT(MAX(ROW(E$1:E4782)*(E4783=E$1:E4782)))))</f>
        <v> </v>
      </c>
      <c r="L4783" s="26"/>
    </row>
    <row r="4784" spans="1:12">
      <c r="A4784" s="20" t="s">
        <v>890</v>
      </c>
      <c r="B4784" s="27" t="s">
        <v>796</v>
      </c>
      <c r="C4784" s="27" t="s">
        <v>820</v>
      </c>
      <c r="D4784" s="27" t="s">
        <v>762</v>
      </c>
      <c r="E4784" s="21">
        <f>IF(D4784="?OLD","!!!","")</f>
        <v/>
      </c>
      <c r="F4784" s="22" t="str">
        <f>IF(OR(E4784="",E4784="!!!"),"",IF(NOT(ISNA(VLOOKUP(E4784,E$1:E4783,1,FALSE()))),"OLD",IF(AND(E4784&lt;&gt;"",E4784&lt;&gt;"!!!"),"NEW","")))</f>
        <v> </v>
      </c>
      <c r="G4784" s="23" t="str">
        <f>IF(OR(E4784="",E4784="!!!"),"",IF(OR(J4784=0,AND(J4784=1,K4784=1),AND(J4784=1,I4784="SBJ"),AND(J4784=1,I4784=0)),"?IN_FOCUS",IF(J4784&lt;=2,"?ACTIVATED",IF(J4784&lt;&gt;"","?FAMILIAR",IF(F4784="NEW",IF(ISNA(VLOOKUP(E4784,#REF!,1,FALSE())),"?TYPE_IDENTIFIABLE","?REFERENTIAL"),"_")))))</f>
        <v> </v>
      </c>
      <c r="H4784" s="24" t="str">
        <f>IF(J4784&lt;&gt;1,"",IF(I4784="SBJ","CB","?"))</f>
        <v> </v>
      </c>
      <c r="I4784" s="25" t="str">
        <f>IF(OR(E4784="",E4784="!!!",F4784="NEW"),"",INDEX(B4783:B$2,-1+SUMPRODUCT(MAX(ROW(E4783:E$2)*(E4784=E4783:E$2)))))</f>
        <v> </v>
      </c>
      <c r="J4784" s="25" t="str">
        <f>IF(OR(E4784="",E4784="!!!",F4784="NEW"),"",COUNTBLANK(OFFSET(A$1,,,SUMPRODUCT(MAX(ROW(E$2:E4784)*(E4784=E$2:E4784)))))-COUNTBLANK(OFFSET(A$1,,,SUMPRODUCT(MAX(ROW(E$1:E4783)*(E2=E$1:E4783))))))</f>
        <v> </v>
      </c>
      <c r="K4784" s="25" t="str">
        <f>IF(OR(E4784="",E4784="!!!",F4784="NEW"),"",INDEX(J$1:J4783,SUMPRODUCT(MAX(ROW(E$1:E4783)*(E4784=E$1:E4783)))))</f>
        <v> </v>
      </c>
      <c r="L4784" s="26"/>
    </row>
    <row r="4785" spans="1:12">
      <c r="A4785" s="20" t="s">
        <v>758</v>
      </c>
      <c r="B4785" s="27" t="s">
        <v>802</v>
      </c>
      <c r="C4785" s="27" t="s">
        <v>797</v>
      </c>
      <c r="D4785" s="27" t="s">
        <v>762</v>
      </c>
      <c r="E4785" s="21">
        <f>IF(D4785="?OLD","!!!","")</f>
        <v/>
      </c>
      <c r="F4785" s="22" t="str">
        <f>IF(OR(E4785="",E4785="!!!"),"",IF(NOT(ISNA(VLOOKUP(E4785,E$1:E4784,1,FALSE()))),"OLD",IF(AND(E4785&lt;&gt;"",E4785&lt;&gt;"!!!"),"NEW","")))</f>
        <v> </v>
      </c>
      <c r="G4785" s="23" t="str">
        <f>IF(OR(E4785="",E4785="!!!"),"",IF(OR(J4785=0,AND(J4785=1,K4785=1),AND(J4785=1,I4785="SBJ"),AND(J4785=1,I4785=0)),"?IN_FOCUS",IF(J4785&lt;=2,"?ACTIVATED",IF(J4785&lt;&gt;"","?FAMILIAR",IF(F4785="NEW",IF(ISNA(VLOOKUP(E4785,#REF!,1,FALSE())),"?TYPE_IDENTIFIABLE","?REFERENTIAL"),"_")))))</f>
        <v> </v>
      </c>
      <c r="H4785" s="24" t="str">
        <f>IF(J4785&lt;&gt;1,"",IF(I4785="SBJ","CB","?"))</f>
        <v> </v>
      </c>
      <c r="I4785" s="25" t="str">
        <f>IF(OR(E4785="",E4785="!!!",F4785="NEW"),"",INDEX(B4784:B$2,-1+SUMPRODUCT(MAX(ROW(E4784:E$2)*(E4785=E4784:E$2)))))</f>
        <v> </v>
      </c>
      <c r="J4785" s="25" t="str">
        <f>IF(OR(E4785="",E4785="!!!",F4785="NEW"),"",COUNTBLANK(OFFSET(A$1,,,SUMPRODUCT(MAX(ROW(E$2:E4785)*(E4785=E$2:E4785)))))-COUNTBLANK(OFFSET(A$1,,,SUMPRODUCT(MAX(ROW(E$1:E4784)*(E2=E$1:E4784))))))</f>
        <v> </v>
      </c>
      <c r="K4785" s="25" t="str">
        <f>IF(OR(E4785="",E4785="!!!",F4785="NEW"),"",INDEX(J$1:J4784,SUMPRODUCT(MAX(ROW(E$1:E4784)*(E4785=E$1:E4784)))))</f>
        <v> </v>
      </c>
      <c r="L4785" s="26"/>
    </row>
    <row r="4786" spans="1:12">
      <c r="A4786" s="20" t="s">
        <v>887</v>
      </c>
      <c r="E4786" s="21">
        <f>IF(D4786="?OLD","!!!","")</f>
        <v/>
      </c>
      <c r="F4786" s="22" t="str">
        <f>IF(OR(E4786="",E4786="!!!"),"",IF(NOT(ISNA(VLOOKUP(E4786,E$1:E4785,1,FALSE()))),"OLD",IF(AND(E4786&lt;&gt;"",E4786&lt;&gt;"!!!"),"NEW","")))</f>
        <v> </v>
      </c>
      <c r="G4786" s="23" t="str">
        <f>IF(OR(E4786="",E4786="!!!"),"",IF(OR(J4786=0,AND(J4786=1,K4786=1),AND(J4786=1,I4786="SBJ"),AND(J4786=1,I4786=0)),"?IN_FOCUS",IF(J4786&lt;=2,"?ACTIVATED",IF(J4786&lt;&gt;"","?FAMILIAR",IF(F4786="NEW",IF(ISNA(VLOOKUP(E4786,#REF!,1,FALSE())),"?TYPE_IDENTIFIABLE","?REFERENTIAL"),"_")))))</f>
        <v> </v>
      </c>
      <c r="H4786" s="24" t="str">
        <f>IF(J4786&lt;&gt;1,"",IF(I4786="SBJ","CB","?"))</f>
        <v> </v>
      </c>
      <c r="I4786" s="25" t="str">
        <f>IF(OR(E4786="",E4786="!!!",F4786="NEW"),"",INDEX(B4785:B$2,-1+SUMPRODUCT(MAX(ROW(E4785:E$2)*(E4786=E4785:E$2)))))</f>
        <v> </v>
      </c>
      <c r="J4786" s="25" t="str">
        <f>IF(OR(E4786="",E4786="!!!",F4786="NEW"),"",COUNTBLANK(OFFSET(A$1,,,SUMPRODUCT(MAX(ROW(E$2:E4786)*(E4786=E$2:E4786)))))-COUNTBLANK(OFFSET(A$1,,,SUMPRODUCT(MAX(ROW(E$1:E4785)*(E2=E$1:E4785))))))</f>
        <v> </v>
      </c>
      <c r="K4786" s="25" t="str">
        <f>IF(OR(E4786="",E4786="!!!",F4786="NEW"),"",INDEX(J$1:J4785,SUMPRODUCT(MAX(ROW(E$1:E4785)*(E4786=E$1:E4785)))))</f>
        <v> </v>
      </c>
      <c r="L4786" s="26"/>
    </row>
    <row r="4787" spans="1:12">
      <c r="A4787" s="20" t="s">
        <v>2031</v>
      </c>
      <c r="E4787" s="21">
        <f>IF(D4787="?OLD","!!!","")</f>
        <v/>
      </c>
      <c r="F4787" s="22" t="str">
        <f>IF(OR(E4787="",E4787="!!!"),"",IF(NOT(ISNA(VLOOKUP(E4787,E$1:E4786,1,FALSE()))),"OLD",IF(AND(E4787&lt;&gt;"",E4787&lt;&gt;"!!!"),"NEW","")))</f>
        <v> </v>
      </c>
      <c r="G4787" s="23" t="str">
        <f>IF(OR(E4787="",E4787="!!!"),"",IF(OR(J4787=0,AND(J4787=1,K4787=1),AND(J4787=1,I4787="SBJ"),AND(J4787=1,I4787=0)),"?IN_FOCUS",IF(J4787&lt;=2,"?ACTIVATED",IF(J4787&lt;&gt;"","?FAMILIAR",IF(F4787="NEW",IF(ISNA(VLOOKUP(E4787,#REF!,1,FALSE())),"?TYPE_IDENTIFIABLE","?REFERENTIAL"),"_")))))</f>
        <v> </v>
      </c>
      <c r="H4787" s="24" t="str">
        <f>IF(J4787&lt;&gt;1,"",IF(I4787="SBJ","CB","?"))</f>
        <v> </v>
      </c>
      <c r="I4787" s="25" t="str">
        <f>IF(OR(E4787="",E4787="!!!",F4787="NEW"),"",INDEX(B4786:B$2,-1+SUMPRODUCT(MAX(ROW(E4786:E$2)*(E4787=E4786:E$2)))))</f>
        <v> </v>
      </c>
      <c r="J4787" s="25" t="str">
        <f>IF(OR(E4787="",E4787="!!!",F4787="NEW"),"",COUNTBLANK(OFFSET(A$1,,,SUMPRODUCT(MAX(ROW(E$2:E4787)*(E4787=E$2:E4787)))))-COUNTBLANK(OFFSET(A$1,,,SUMPRODUCT(MAX(ROW(E$1:E4786)*(E2=E$1:E4786))))))</f>
        <v> </v>
      </c>
      <c r="K4787" s="25" t="str">
        <f>IF(OR(E4787="",E4787="!!!",F4787="NEW"),"",INDEX(J$1:J4786,SUMPRODUCT(MAX(ROW(E$1:E4786)*(E4787=E$1:E4786)))))</f>
        <v> </v>
      </c>
      <c r="L4787" s="26"/>
    </row>
    <row r="4788" spans="1:12">
      <c r="A4788" s="20" t="s">
        <v>785</v>
      </c>
      <c r="E4788" s="21">
        <f>IF(D4788="?OLD","!!!","")</f>
        <v/>
      </c>
      <c r="F4788" s="22" t="str">
        <f>IF(OR(E4788="",E4788="!!!"),"",IF(NOT(ISNA(VLOOKUP(E4788,E$1:E4787,1,FALSE()))),"OLD",IF(AND(E4788&lt;&gt;"",E4788&lt;&gt;"!!!"),"NEW","")))</f>
        <v> </v>
      </c>
      <c r="G4788" s="23" t="str">
        <f>IF(OR(E4788="",E4788="!!!"),"",IF(OR(J4788=0,AND(J4788=1,K4788=1),AND(J4788=1,I4788="SBJ"),AND(J4788=1,I4788=0)),"?IN_FOCUS",IF(J4788&lt;=2,"?ACTIVATED",IF(J4788&lt;&gt;"","?FAMILIAR",IF(F4788="NEW",IF(ISNA(VLOOKUP(E4788,#REF!,1,FALSE())),"?TYPE_IDENTIFIABLE","?REFERENTIAL"),"_")))))</f>
        <v> </v>
      </c>
      <c r="H4788" s="24" t="str">
        <f>IF(J4788&lt;&gt;1,"",IF(I4788="SBJ","CB","?"))</f>
        <v> </v>
      </c>
      <c r="I4788" s="25" t="str">
        <f>IF(OR(E4788="",E4788="!!!",F4788="NEW"),"",INDEX(B4787:B$2,-1+SUMPRODUCT(MAX(ROW(E4787:E$2)*(E4788=E4787:E$2)))))</f>
        <v> </v>
      </c>
      <c r="J4788" s="25" t="str">
        <f>IF(OR(E4788="",E4788="!!!",F4788="NEW"),"",COUNTBLANK(OFFSET(A$1,,,SUMPRODUCT(MAX(ROW(E$2:E4788)*(E4788=E$2:E4788)))))-COUNTBLANK(OFFSET(A$1,,,SUMPRODUCT(MAX(ROW(E$1:E4787)*(E2=E$1:E4787))))))</f>
        <v> </v>
      </c>
      <c r="K4788" s="25" t="str">
        <f>IF(OR(E4788="",E4788="!!!",F4788="NEW"),"",INDEX(J$1:J4787,SUMPRODUCT(MAX(ROW(E$1:E4787)*(E4788=E$1:E4787)))))</f>
        <v> </v>
      </c>
      <c r="L4788" s="26"/>
    </row>
    <row r="4789" spans="1:12">
      <c r="A4789" s="20" t="s">
        <v>822</v>
      </c>
      <c r="E4789" s="21">
        <f>IF(D4789="?OLD","!!!","")</f>
        <v/>
      </c>
      <c r="F4789" s="22" t="str">
        <f>IF(OR(E4789="",E4789="!!!"),"",IF(NOT(ISNA(VLOOKUP(E4789,E$1:E4788,1,FALSE()))),"OLD",IF(AND(E4789&lt;&gt;"",E4789&lt;&gt;"!!!"),"NEW","")))</f>
        <v> </v>
      </c>
      <c r="G4789" s="23" t="str">
        <f>IF(OR(E4789="",E4789="!!!"),"",IF(OR(J4789=0,AND(J4789=1,K4789=1),AND(J4789=1,I4789="SBJ"),AND(J4789=1,I4789=0)),"?IN_FOCUS",IF(J4789&lt;=2,"?ACTIVATED",IF(J4789&lt;&gt;"","?FAMILIAR",IF(F4789="NEW",IF(ISNA(VLOOKUP(E4789,#REF!,1,FALSE())),"?TYPE_IDENTIFIABLE","?REFERENTIAL"),"_")))))</f>
        <v> </v>
      </c>
      <c r="H4789" s="24" t="str">
        <f>IF(J4789&lt;&gt;1,"",IF(I4789="SBJ","CB","?"))</f>
        <v> </v>
      </c>
      <c r="I4789" s="25" t="str">
        <f>IF(OR(E4789="",E4789="!!!",F4789="NEW"),"",INDEX(B4788:B$2,-1+SUMPRODUCT(MAX(ROW(E4788:E$2)*(E4789=E4788:E$2)))))</f>
        <v> </v>
      </c>
      <c r="J4789" s="25" t="str">
        <f>IF(OR(E4789="",E4789="!!!",F4789="NEW"),"",COUNTBLANK(OFFSET(A$1,,,SUMPRODUCT(MAX(ROW(E$2:E4789)*(E4789=E$2:E4789)))))-COUNTBLANK(OFFSET(A$1,,,SUMPRODUCT(MAX(ROW(E$1:E4788)*(E2=E$1:E4788))))))</f>
        <v> </v>
      </c>
      <c r="K4789" s="25" t="str">
        <f>IF(OR(E4789="",E4789="!!!",F4789="NEW"),"",INDEX(J$1:J4788,SUMPRODUCT(MAX(ROW(E$1:E4788)*(E4789=E$1:E4788)))))</f>
        <v> </v>
      </c>
      <c r="L4789" s="26"/>
    </row>
    <row r="4790" spans="1:12">
      <c r="A4790" s="20" t="s">
        <v>2033</v>
      </c>
      <c r="B4790" s="27" t="s">
        <v>772</v>
      </c>
      <c r="C4790" s="27" t="s">
        <v>761</v>
      </c>
      <c r="D4790" s="27" t="s">
        <v>762</v>
      </c>
      <c r="E4790" s="21">
        <f>IF(D4790="?OLD","!!!","")</f>
        <v/>
      </c>
      <c r="F4790" s="22" t="str">
        <f>IF(OR(E4790="",E4790="!!!"),"",IF(NOT(ISNA(VLOOKUP(E4790,E$1:E4789,1,FALSE()))),"OLD",IF(AND(E4790&lt;&gt;"",E4790&lt;&gt;"!!!"),"NEW","")))</f>
        <v> </v>
      </c>
      <c r="G4790" s="23" t="str">
        <f>IF(OR(E4790="",E4790="!!!"),"",IF(OR(J4790=0,AND(J4790=1,K4790=1),AND(J4790=1,I4790="SBJ"),AND(J4790=1,I4790=0)),"?IN_FOCUS",IF(J4790&lt;=2,"?ACTIVATED",IF(J4790&lt;&gt;"","?FAMILIAR",IF(F4790="NEW",IF(ISNA(VLOOKUP(E4790,#REF!,1,FALSE())),"?TYPE_IDENTIFIABLE","?REFERENTIAL"),"_")))))</f>
        <v> </v>
      </c>
      <c r="H4790" s="24" t="str">
        <f>IF(J4790&lt;&gt;1,"",IF(I4790="SBJ","CB","?"))</f>
        <v> </v>
      </c>
      <c r="I4790" s="25" t="str">
        <f>IF(OR(E4790="",E4790="!!!",F4790="NEW"),"",INDEX(B4789:B$2,-1+SUMPRODUCT(MAX(ROW(E4789:E$2)*(E4790=E4789:E$2)))))</f>
        <v> </v>
      </c>
      <c r="J4790" s="25" t="str">
        <f>IF(OR(E4790="",E4790="!!!",F4790="NEW"),"",COUNTBLANK(OFFSET(A$1,,,SUMPRODUCT(MAX(ROW(E$2:E4790)*(E4790=E$2:E4790)))))-COUNTBLANK(OFFSET(A$1,,,SUMPRODUCT(MAX(ROW(E$1:E4789)*(E2=E$1:E4789))))))</f>
        <v> </v>
      </c>
      <c r="K4790" s="25" t="str">
        <f>IF(OR(E4790="",E4790="!!!",F4790="NEW"),"",INDEX(J$1:J4789,SUMPRODUCT(MAX(ROW(E$1:E4789)*(E4790=E$1:E4789)))))</f>
        <v> </v>
      </c>
      <c r="L4790" s="26"/>
    </row>
    <row r="4791" spans="1:12">
      <c r="A4791" s="20" t="s">
        <v>757</v>
      </c>
      <c r="E4791" s="21">
        <f>IF(D4791="?OLD","!!!","")</f>
        <v/>
      </c>
      <c r="F4791" s="22" t="str">
        <f>IF(OR(E4791="",E4791="!!!"),"",IF(NOT(ISNA(VLOOKUP(E4791,E$1:E4790,1,FALSE()))),"OLD",IF(AND(E4791&lt;&gt;"",E4791&lt;&gt;"!!!"),"NEW","")))</f>
        <v> </v>
      </c>
      <c r="G4791" s="23" t="str">
        <f>IF(OR(E4791="",E4791="!!!"),"",IF(OR(J4791=0,AND(J4791=1,K4791=1),AND(J4791=1,I4791="SBJ"),AND(J4791=1,I4791=0)),"?IN_FOCUS",IF(J4791&lt;=2,"?ACTIVATED",IF(J4791&lt;&gt;"","?FAMILIAR",IF(F4791="NEW",IF(ISNA(VLOOKUP(E4791,#REF!,1,FALSE())),"?TYPE_IDENTIFIABLE","?REFERENTIAL"),"_")))))</f>
        <v> </v>
      </c>
      <c r="H4791" s="24" t="str">
        <f>IF(J4791&lt;&gt;1,"",IF(I4791="SBJ","CB","?"))</f>
        <v> </v>
      </c>
      <c r="I4791" s="25" t="str">
        <f>IF(OR(E4791="",E4791="!!!",F4791="NEW"),"",INDEX(B4790:B$2,-1+SUMPRODUCT(MAX(ROW(E4790:E$2)*(E4791=E4790:E$2)))))</f>
        <v> </v>
      </c>
      <c r="J4791" s="25" t="str">
        <f>IF(OR(E4791="",E4791="!!!",F4791="NEW"),"",COUNTBLANK(OFFSET(A$1,,,SUMPRODUCT(MAX(ROW(E$2:E4791)*(E4791=E$2:E4791)))))-COUNTBLANK(OFFSET(A$1,,,SUMPRODUCT(MAX(ROW(E$1:E4790)*(E2=E$1:E4790))))))</f>
        <v> </v>
      </c>
      <c r="K4791" s="25" t="str">
        <f>IF(OR(E4791="",E4791="!!!",F4791="NEW"),"",INDEX(J$1:J4790,SUMPRODUCT(MAX(ROW(E$1:E4790)*(E4791=E$1:E4790)))))</f>
        <v> </v>
      </c>
      <c r="L4791" s="26"/>
    </row>
    <row r="4792" spans="1:12">
      <c r="A4792" s="20" t="s">
        <v>890</v>
      </c>
      <c r="B4792" s="27" t="s">
        <v>796</v>
      </c>
      <c r="C4792" s="27" t="s">
        <v>820</v>
      </c>
      <c r="D4792" s="27" t="s">
        <v>762</v>
      </c>
      <c r="E4792" s="21">
        <f>IF(D4792="?OLD","!!!","")</f>
        <v/>
      </c>
      <c r="F4792" s="22" t="str">
        <f>IF(OR(E4792="",E4792="!!!"),"",IF(NOT(ISNA(VLOOKUP(E4792,E$1:E4791,1,FALSE()))),"OLD",IF(AND(E4792&lt;&gt;"",E4792&lt;&gt;"!!!"),"NEW","")))</f>
        <v> </v>
      </c>
      <c r="G4792" s="23" t="str">
        <f>IF(OR(E4792="",E4792="!!!"),"",IF(OR(J4792=0,AND(J4792=1,K4792=1),AND(J4792=1,I4792="SBJ"),AND(J4792=1,I4792=0)),"?IN_FOCUS",IF(J4792&lt;=2,"?ACTIVATED",IF(J4792&lt;&gt;"","?FAMILIAR",IF(F4792="NEW",IF(ISNA(VLOOKUP(E4792,#REF!,1,FALSE())),"?TYPE_IDENTIFIABLE","?REFERENTIAL"),"_")))))</f>
        <v> </v>
      </c>
      <c r="H4792" s="24" t="str">
        <f>IF(J4792&lt;&gt;1,"",IF(I4792="SBJ","CB","?"))</f>
        <v> </v>
      </c>
      <c r="I4792" s="25" t="str">
        <f>IF(OR(E4792="",E4792="!!!",F4792="NEW"),"",INDEX(B4791:B$2,-1+SUMPRODUCT(MAX(ROW(E4791:E$2)*(E4792=E4791:E$2)))))</f>
        <v> </v>
      </c>
      <c r="J4792" s="25" t="str">
        <f>IF(OR(E4792="",E4792="!!!",F4792="NEW"),"",COUNTBLANK(OFFSET(A$1,,,SUMPRODUCT(MAX(ROW(E$2:E4792)*(E4792=E$2:E4792)))))-COUNTBLANK(OFFSET(A$1,,,SUMPRODUCT(MAX(ROW(E$1:E4791)*(E2=E$1:E4791))))))</f>
        <v> </v>
      </c>
      <c r="K4792" s="25" t="str">
        <f>IF(OR(E4792="",E4792="!!!",F4792="NEW"),"",INDEX(J$1:J4791,SUMPRODUCT(MAX(ROW(E$1:E4791)*(E4792=E$1:E4791)))))</f>
        <v> </v>
      </c>
      <c r="L4792" s="26"/>
    </row>
    <row r="4793" spans="1:12">
      <c r="A4793" s="20" t="s">
        <v>887</v>
      </c>
      <c r="E4793" s="21">
        <f>IF(D4793="?OLD","!!!","")</f>
        <v/>
      </c>
      <c r="F4793" s="22" t="str">
        <f>IF(OR(E4793="",E4793="!!!"),"",IF(NOT(ISNA(VLOOKUP(E4793,E$1:E4792,1,FALSE()))),"OLD",IF(AND(E4793&lt;&gt;"",E4793&lt;&gt;"!!!"),"NEW","")))</f>
        <v> </v>
      </c>
      <c r="G4793" s="23" t="str">
        <f>IF(OR(E4793="",E4793="!!!"),"",IF(OR(J4793=0,AND(J4793=1,K4793=1),AND(J4793=1,I4793="SBJ"),AND(J4793=1,I4793=0)),"?IN_FOCUS",IF(J4793&lt;=2,"?ACTIVATED",IF(J4793&lt;&gt;"","?FAMILIAR",IF(F4793="NEW",IF(ISNA(VLOOKUP(E4793,#REF!,1,FALSE())),"?TYPE_IDENTIFIABLE","?REFERENTIAL"),"_")))))</f>
        <v> </v>
      </c>
      <c r="H4793" s="24" t="str">
        <f>IF(J4793&lt;&gt;1,"",IF(I4793="SBJ","CB","?"))</f>
        <v> </v>
      </c>
      <c r="I4793" s="25" t="str">
        <f>IF(OR(E4793="",E4793="!!!",F4793="NEW"),"",INDEX(B4792:B$2,-1+SUMPRODUCT(MAX(ROW(E4792:E$2)*(E4793=E4792:E$2)))))</f>
        <v> </v>
      </c>
      <c r="J4793" s="25" t="str">
        <f>IF(OR(E4793="",E4793="!!!",F4793="NEW"),"",COUNTBLANK(OFFSET(A$1,,,SUMPRODUCT(MAX(ROW(E$2:E4793)*(E4793=E$2:E4793)))))-COUNTBLANK(OFFSET(A$1,,,SUMPRODUCT(MAX(ROW(E$1:E4792)*(E2=E$1:E4792))))))</f>
        <v> </v>
      </c>
      <c r="K4793" s="25" t="str">
        <f>IF(OR(E4793="",E4793="!!!",F4793="NEW"),"",INDEX(J$1:J4792,SUMPRODUCT(MAX(ROW(E$1:E4792)*(E4793=E$1:E4792)))))</f>
        <v> </v>
      </c>
      <c r="L4793" s="26"/>
    </row>
    <row r="4794" spans="1:12">
      <c r="A4794" s="20" t="s">
        <v>1752</v>
      </c>
      <c r="E4794" s="21">
        <f>IF(D4794="?OLD","!!!","")</f>
        <v/>
      </c>
      <c r="F4794" s="22" t="str">
        <f>IF(OR(E4794="",E4794="!!!"),"",IF(NOT(ISNA(VLOOKUP(E4794,E$1:E4793,1,FALSE()))),"OLD",IF(AND(E4794&lt;&gt;"",E4794&lt;&gt;"!!!"),"NEW","")))</f>
        <v> </v>
      </c>
      <c r="G4794" s="23" t="str">
        <f>IF(OR(E4794="",E4794="!!!"),"",IF(OR(J4794=0,AND(J4794=1,K4794=1),AND(J4794=1,I4794="SBJ"),AND(J4794=1,I4794=0)),"?IN_FOCUS",IF(J4794&lt;=2,"?ACTIVATED",IF(J4794&lt;&gt;"","?FAMILIAR",IF(F4794="NEW",IF(ISNA(VLOOKUP(E4794,#REF!,1,FALSE())),"?TYPE_IDENTIFIABLE","?REFERENTIAL"),"_")))))</f>
        <v> </v>
      </c>
      <c r="H4794" s="24" t="str">
        <f>IF(J4794&lt;&gt;1,"",IF(I4794="SBJ","CB","?"))</f>
        <v> </v>
      </c>
      <c r="I4794" s="25" t="str">
        <f>IF(OR(E4794="",E4794="!!!",F4794="NEW"),"",INDEX(B4793:B$2,-1+SUMPRODUCT(MAX(ROW(E4793:E$2)*(E4794=E4793:E$2)))))</f>
        <v> </v>
      </c>
      <c r="J4794" s="25" t="str">
        <f>IF(OR(E4794="",E4794="!!!",F4794="NEW"),"",COUNTBLANK(OFFSET(A$1,,,SUMPRODUCT(MAX(ROW(E$2:E4794)*(E4794=E$2:E4794)))))-COUNTBLANK(OFFSET(A$1,,,SUMPRODUCT(MAX(ROW(E$1:E4793)*(E2=E$1:E4793))))))</f>
        <v> </v>
      </c>
      <c r="K4794" s="25" t="str">
        <f>IF(OR(E4794="",E4794="!!!",F4794="NEW"),"",INDEX(J$1:J4793,SUMPRODUCT(MAX(ROW(E$1:E4793)*(E4794=E$1:E4793)))))</f>
        <v> </v>
      </c>
      <c r="L4794" s="26"/>
    </row>
    <row r="4795" spans="1:12">
      <c r="A4795" s="20" t="s">
        <v>1808</v>
      </c>
      <c r="E4795" s="21">
        <f>IF(D4795="?OLD","!!!","")</f>
        <v/>
      </c>
      <c r="F4795" s="22" t="str">
        <f>IF(OR(E4795="",E4795="!!!"),"",IF(NOT(ISNA(VLOOKUP(E4795,E$1:E4794,1,FALSE()))),"OLD",IF(AND(E4795&lt;&gt;"",E4795&lt;&gt;"!!!"),"NEW","")))</f>
        <v> </v>
      </c>
      <c r="G4795" s="23" t="str">
        <f>IF(OR(E4795="",E4795="!!!"),"",IF(OR(J4795=0,AND(J4795=1,K4795=1),AND(J4795=1,I4795="SBJ"),AND(J4795=1,I4795=0)),"?IN_FOCUS",IF(J4795&lt;=2,"?ACTIVATED",IF(J4795&lt;&gt;"","?FAMILIAR",IF(F4795="NEW",IF(ISNA(VLOOKUP(E4795,#REF!,1,FALSE())),"?TYPE_IDENTIFIABLE","?REFERENTIAL"),"_")))))</f>
        <v> </v>
      </c>
      <c r="H4795" s="24" t="str">
        <f>IF(J4795&lt;&gt;1,"",IF(I4795="SBJ","CB","?"))</f>
        <v> </v>
      </c>
      <c r="I4795" s="25" t="str">
        <f>IF(OR(E4795="",E4795="!!!",F4795="NEW"),"",INDEX(B4794:B$2,-1+SUMPRODUCT(MAX(ROW(E4794:E$2)*(E4795=E4794:E$2)))))</f>
        <v> </v>
      </c>
      <c r="J4795" s="25" t="str">
        <f>IF(OR(E4795="",E4795="!!!",F4795="NEW"),"",COUNTBLANK(OFFSET(A$1,,,SUMPRODUCT(MAX(ROW(E$2:E4795)*(E4795=E$2:E4795)))))-COUNTBLANK(OFFSET(A$1,,,SUMPRODUCT(MAX(ROW(E$1:E4794)*(E2=E$1:E4794))))))</f>
        <v> </v>
      </c>
      <c r="K4795" s="25" t="str">
        <f>IF(OR(E4795="",E4795="!!!",F4795="NEW"),"",INDEX(J$1:J4794,SUMPRODUCT(MAX(ROW(E$1:E4794)*(E4795=E$1:E4794)))))</f>
        <v> </v>
      </c>
      <c r="L4795" s="26"/>
    </row>
    <row r="4796" spans="1:12">
      <c r="A4796" s="20" t="s">
        <v>952</v>
      </c>
      <c r="B4796" s="27" t="s">
        <v>802</v>
      </c>
      <c r="C4796" s="27" t="s">
        <v>1019</v>
      </c>
      <c r="D4796" s="27" t="s">
        <v>762</v>
      </c>
      <c r="E4796" s="21">
        <f>IF(D4796="?OLD","!!!","")</f>
        <v/>
      </c>
      <c r="F4796" s="22" t="str">
        <f>IF(OR(E4796="",E4796="!!!"),"",IF(NOT(ISNA(VLOOKUP(E4796,E$1:E4795,1,FALSE()))),"OLD",IF(AND(E4796&lt;&gt;"",E4796&lt;&gt;"!!!"),"NEW","")))</f>
        <v> </v>
      </c>
      <c r="G4796" s="23" t="str">
        <f>IF(OR(E4796="",E4796="!!!"),"",IF(OR(J4796=0,AND(J4796=1,K4796=1),AND(J4796=1,I4796="SBJ"),AND(J4796=1,I4796=0)),"?IN_FOCUS",IF(J4796&lt;=2,"?ACTIVATED",IF(J4796&lt;&gt;"","?FAMILIAR",IF(F4796="NEW",IF(ISNA(VLOOKUP(E4796,#REF!,1,FALSE())),"?TYPE_IDENTIFIABLE","?REFERENTIAL"),"_")))))</f>
        <v> </v>
      </c>
      <c r="H4796" s="24" t="str">
        <f>IF(J4796&lt;&gt;1,"",IF(I4796="SBJ","CB","?"))</f>
        <v> </v>
      </c>
      <c r="I4796" s="25" t="str">
        <f>IF(OR(E4796="",E4796="!!!",F4796="NEW"),"",INDEX(B4795:B$2,-1+SUMPRODUCT(MAX(ROW(E4795:E$2)*(E4796=E4795:E$2)))))</f>
        <v> </v>
      </c>
      <c r="J4796" s="25" t="str">
        <f>IF(OR(E4796="",E4796="!!!",F4796="NEW"),"",COUNTBLANK(OFFSET(A$1,,,SUMPRODUCT(MAX(ROW(E$2:E4796)*(E4796=E$2:E4796)))))-COUNTBLANK(OFFSET(A$1,,,SUMPRODUCT(MAX(ROW(E$1:E4795)*(E2=E$1:E4795))))))</f>
        <v> </v>
      </c>
      <c r="K4796" s="25" t="str">
        <f>IF(OR(E4796="",E4796="!!!",F4796="NEW"),"",INDEX(J$1:J4795,SUMPRODUCT(MAX(ROW(E$1:E4795)*(E4796=E$1:E4795)))))</f>
        <v> </v>
      </c>
      <c r="L4796" s="26"/>
    </row>
    <row r="4797" spans="1:12">
      <c r="A4797" s="20" t="s">
        <v>2034</v>
      </c>
      <c r="E4797" s="21">
        <f>IF(D4797="?OLD","!!!","")</f>
        <v/>
      </c>
      <c r="F4797" s="22" t="str">
        <f>IF(OR(E4797="",E4797="!!!"),"",IF(NOT(ISNA(VLOOKUP(E4797,E$1:E4796,1,FALSE()))),"OLD",IF(AND(E4797&lt;&gt;"",E4797&lt;&gt;"!!!"),"NEW","")))</f>
        <v> </v>
      </c>
      <c r="G4797" s="23" t="str">
        <f>IF(OR(E4797="",E4797="!!!"),"",IF(OR(J4797=0,AND(J4797=1,K4797=1),AND(J4797=1,I4797="SBJ"),AND(J4797=1,I4797=0)),"?IN_FOCUS",IF(J4797&lt;=2,"?ACTIVATED",IF(J4797&lt;&gt;"","?FAMILIAR",IF(F4797="NEW",IF(ISNA(VLOOKUP(E4797,#REF!,1,FALSE())),"?TYPE_IDENTIFIABLE","?REFERENTIAL"),"_")))))</f>
        <v> </v>
      </c>
      <c r="H4797" s="24" t="str">
        <f>IF(J4797&lt;&gt;1,"",IF(I4797="SBJ","CB","?"))</f>
        <v> </v>
      </c>
      <c r="I4797" s="25" t="str">
        <f>IF(OR(E4797="",E4797="!!!",F4797="NEW"),"",INDEX(B4796:B$2,-1+SUMPRODUCT(MAX(ROW(E4796:E$2)*(E4797=E4796:E$2)))))</f>
        <v> </v>
      </c>
      <c r="J4797" s="25" t="str">
        <f>IF(OR(E4797="",E4797="!!!",F4797="NEW"),"",COUNTBLANK(OFFSET(A$1,,,SUMPRODUCT(MAX(ROW(E$2:E4797)*(E4797=E$2:E4797)))))-COUNTBLANK(OFFSET(A$1,,,SUMPRODUCT(MAX(ROW(E$1:E4796)*(E2=E$1:E4796))))))</f>
        <v> </v>
      </c>
      <c r="K4797" s="25" t="str">
        <f>IF(OR(E4797="",E4797="!!!",F4797="NEW"),"",INDEX(J$1:J4796,SUMPRODUCT(MAX(ROW(E$1:E4796)*(E4797=E$1:E4796)))))</f>
        <v> </v>
      </c>
      <c r="L4797" s="26"/>
    </row>
    <row r="4798" spans="1:12">
      <c r="A4798" s="20" t="s">
        <v>805</v>
      </c>
      <c r="E4798" s="21">
        <f>IF(D4798="?OLD","!!!","")</f>
        <v/>
      </c>
      <c r="F4798" s="22" t="str">
        <f>IF(OR(E4798="",E4798="!!!"),"",IF(NOT(ISNA(VLOOKUP(E4798,E$1:E4797,1,FALSE()))),"OLD",IF(AND(E4798&lt;&gt;"",E4798&lt;&gt;"!!!"),"NEW","")))</f>
        <v> </v>
      </c>
      <c r="G4798" s="23" t="str">
        <f>IF(OR(E4798="",E4798="!!!"),"",IF(OR(J4798=0,AND(J4798=1,K4798=1),AND(J4798=1,I4798="SBJ"),AND(J4798=1,I4798=0)),"?IN_FOCUS",IF(J4798&lt;=2,"?ACTIVATED",IF(J4798&lt;&gt;"","?FAMILIAR",IF(F4798="NEW",IF(ISNA(VLOOKUP(E4798,#REF!,1,FALSE())),"?TYPE_IDENTIFIABLE","?REFERENTIAL"),"_")))))</f>
        <v> </v>
      </c>
      <c r="H4798" s="24" t="str">
        <f>IF(J4798&lt;&gt;1,"",IF(I4798="SBJ","CB","?"))</f>
        <v> </v>
      </c>
      <c r="I4798" s="25" t="str">
        <f>IF(OR(E4798="",E4798="!!!",F4798="NEW"),"",INDEX(B4797:B$2,-1+SUMPRODUCT(MAX(ROW(E4797:E$2)*(E4798=E4797:E$2)))))</f>
        <v> </v>
      </c>
      <c r="J4798" s="25" t="str">
        <f>IF(OR(E4798="",E4798="!!!",F4798="NEW"),"",COUNTBLANK(OFFSET(A$1,,,SUMPRODUCT(MAX(ROW(E$2:E4798)*(E4798=E$2:E4798)))))-COUNTBLANK(OFFSET(A$1,,,SUMPRODUCT(MAX(ROW(E$1:E4797)*(E2=E$1:E4797))))))</f>
        <v> </v>
      </c>
      <c r="K4798" s="25" t="str">
        <f>IF(OR(E4798="",E4798="!!!",F4798="NEW"),"",INDEX(J$1:J4797,SUMPRODUCT(MAX(ROW(E$1:E4797)*(E4798=E$1:E4797)))))</f>
        <v> </v>
      </c>
      <c r="L4798" s="26"/>
    </row>
    <row r="4799" spans="1:12">
      <c r="A4799" s="20" t="s">
        <v>779</v>
      </c>
      <c r="E4799" s="21">
        <f>IF(D4799="?OLD","!!!","")</f>
        <v/>
      </c>
      <c r="F4799" s="22" t="str">
        <f>IF(OR(E4799="",E4799="!!!"),"",IF(NOT(ISNA(VLOOKUP(E4799,E$1:E4798,1,FALSE()))),"OLD",IF(AND(E4799&lt;&gt;"",E4799&lt;&gt;"!!!"),"NEW","")))</f>
        <v> </v>
      </c>
      <c r="G4799" s="23" t="str">
        <f>IF(OR(E4799="",E4799="!!!"),"",IF(OR(J4799=0,AND(J4799=1,K4799=1),AND(J4799=1,I4799="SBJ"),AND(J4799=1,I4799=0)),"?IN_FOCUS",IF(J4799&lt;=2,"?ACTIVATED",IF(J4799&lt;&gt;"","?FAMILIAR",IF(F4799="NEW",IF(ISNA(VLOOKUP(E4799,#REF!,1,FALSE())),"?TYPE_IDENTIFIABLE","?REFERENTIAL"),"_")))))</f>
        <v> </v>
      </c>
      <c r="H4799" s="24" t="str">
        <f>IF(J4799&lt;&gt;1,"",IF(I4799="SBJ","CB","?"))</f>
        <v> </v>
      </c>
      <c r="I4799" s="25" t="str">
        <f>IF(OR(E4799="",E4799="!!!",F4799="NEW"),"",INDEX(B4798:B$2,-1+SUMPRODUCT(MAX(ROW(E4798:E$2)*(E4799=E4798:E$2)))))</f>
        <v> </v>
      </c>
      <c r="J4799" s="25" t="str">
        <f>IF(OR(E4799="",E4799="!!!",F4799="NEW"),"",COUNTBLANK(OFFSET(A$1,,,SUMPRODUCT(MAX(ROW(E$2:E4799)*(E4799=E$2:E4799)))))-COUNTBLANK(OFFSET(A$1,,,SUMPRODUCT(MAX(ROW(E$1:E4798)*(E2=E$1:E4798))))))</f>
        <v> </v>
      </c>
      <c r="K4799" s="25" t="str">
        <f>IF(OR(E4799="",E4799="!!!",F4799="NEW"),"",INDEX(J$1:J4798,SUMPRODUCT(MAX(ROW(E$1:E4798)*(E4799=E$1:E4798)))))</f>
        <v> </v>
      </c>
      <c r="L4799" s="26"/>
    </row>
    <row r="4800" spans="1:12">
      <c r="A4800" s="20" t="s">
        <v>1381</v>
      </c>
      <c r="B4800" s="27" t="s">
        <v>772</v>
      </c>
      <c r="C4800" s="27" t="s">
        <v>768</v>
      </c>
      <c r="E4800" s="21">
        <f>IF(D4800="?OLD","!!!","")</f>
        <v/>
      </c>
      <c r="F4800" s="22" t="str">
        <f>IF(OR(E4800="",E4800="!!!"),"",IF(NOT(ISNA(VLOOKUP(E4800,E$1:E4799,1,FALSE()))),"OLD",IF(AND(E4800&lt;&gt;"",E4800&lt;&gt;"!!!"),"NEW","")))</f>
        <v> </v>
      </c>
      <c r="G4800" s="23" t="str">
        <f>IF(OR(E4800="",E4800="!!!"),"",IF(OR(J4800=0,AND(J4800=1,K4800=1),AND(J4800=1,I4800="SBJ"),AND(J4800=1,I4800=0)),"?IN_FOCUS",IF(J4800&lt;=2,"?ACTIVATED",IF(J4800&lt;&gt;"","?FAMILIAR",IF(F4800="NEW",IF(ISNA(VLOOKUP(E4800,#REF!,1,FALSE())),"?TYPE_IDENTIFIABLE","?REFERENTIAL"),"_")))))</f>
        <v> </v>
      </c>
      <c r="H4800" s="24" t="str">
        <f>IF(J4800&lt;&gt;1,"",IF(I4800="SBJ","CB","?"))</f>
        <v> </v>
      </c>
      <c r="I4800" s="25" t="str">
        <f>IF(OR(E4800="",E4800="!!!",F4800="NEW"),"",INDEX(B4799:B$2,-1+SUMPRODUCT(MAX(ROW(E4799:E$2)*(E4800=E4799:E$2)))))</f>
        <v> </v>
      </c>
      <c r="J4800" s="25" t="str">
        <f>IF(OR(E4800="",E4800="!!!",F4800="NEW"),"",COUNTBLANK(OFFSET(A$1,,,SUMPRODUCT(MAX(ROW(E$2:E4800)*(E4800=E$2:E4800)))))-COUNTBLANK(OFFSET(A$1,,,SUMPRODUCT(MAX(ROW(E$1:E4799)*(E2=E$1:E4799))))))</f>
        <v> </v>
      </c>
      <c r="K4800" s="25" t="str">
        <f>IF(OR(E4800="",E4800="!!!",F4800="NEW"),"",INDEX(J$1:J4799,SUMPRODUCT(MAX(ROW(E$1:E4799)*(E4800=E$1:E4799)))))</f>
        <v> </v>
      </c>
      <c r="L4800" s="26"/>
    </row>
    <row r="4801" spans="1:12">
      <c r="A4801" s="20" t="s">
        <v>810</v>
      </c>
      <c r="E4801" s="21">
        <f>IF(D4801="?OLD","!!!","")</f>
        <v/>
      </c>
      <c r="F4801" s="22" t="str">
        <f>IF(OR(E4801="",E4801="!!!"),"",IF(NOT(ISNA(VLOOKUP(E4801,E$1:E4800,1,FALSE()))),"OLD",IF(AND(E4801&lt;&gt;"",E4801&lt;&gt;"!!!"),"NEW","")))</f>
        <v> </v>
      </c>
      <c r="G4801" s="23" t="str">
        <f>IF(OR(E4801="",E4801="!!!"),"",IF(OR(J4801=0,AND(J4801=1,K4801=1),AND(J4801=1,I4801="SBJ"),AND(J4801=1,I4801=0)),"?IN_FOCUS",IF(J4801&lt;=2,"?ACTIVATED",IF(J4801&lt;&gt;"","?FAMILIAR",IF(F4801="NEW",IF(ISNA(VLOOKUP(E4801,#REF!,1,FALSE())),"?TYPE_IDENTIFIABLE","?REFERENTIAL"),"_")))))</f>
        <v> </v>
      </c>
      <c r="H4801" s="24" t="str">
        <f>IF(J4801&lt;&gt;1,"",IF(I4801="SBJ","CB","?"))</f>
        <v> </v>
      </c>
      <c r="I4801" s="25" t="str">
        <f>IF(OR(E4801="",E4801="!!!",F4801="NEW"),"",INDEX(B4800:B$2,-1+SUMPRODUCT(MAX(ROW(E4800:E$2)*(E4801=E4800:E$2)))))</f>
        <v> </v>
      </c>
      <c r="J4801" s="25" t="str">
        <f>IF(OR(E4801="",E4801="!!!",F4801="NEW"),"",COUNTBLANK(OFFSET(A$1,,,SUMPRODUCT(MAX(ROW(E$2:E4801)*(E4801=E$2:E4801)))))-COUNTBLANK(OFFSET(A$1,,,SUMPRODUCT(MAX(ROW(E$1:E4800)*(E2=E$1:E4800))))))</f>
        <v> </v>
      </c>
      <c r="K4801" s="25" t="str">
        <f>IF(OR(E4801="",E4801="!!!",F4801="NEW"),"",INDEX(J$1:J4800,SUMPRODUCT(MAX(ROW(E$1:E4800)*(E4801=E$1:E4800)))))</f>
        <v> </v>
      </c>
      <c r="L4801" s="26"/>
    </row>
    <row r="4802" spans="1:12">
      <c r="A4802" s="20" t="s">
        <v>890</v>
      </c>
      <c r="B4802" s="27" t="s">
        <v>956</v>
      </c>
      <c r="C4802" s="27" t="s">
        <v>820</v>
      </c>
      <c r="D4802" s="27" t="s">
        <v>762</v>
      </c>
      <c r="E4802" s="21">
        <f>IF(D4802="?OLD","!!!","")</f>
        <v/>
      </c>
      <c r="F4802" s="22" t="str">
        <f>IF(OR(E4802="",E4802="!!!"),"",IF(NOT(ISNA(VLOOKUP(E4802,E$1:E4801,1,FALSE()))),"OLD",IF(AND(E4802&lt;&gt;"",E4802&lt;&gt;"!!!"),"NEW","")))</f>
        <v> </v>
      </c>
      <c r="G4802" s="23" t="str">
        <f>IF(OR(E4802="",E4802="!!!"),"",IF(OR(J4802=0,AND(J4802=1,K4802=1),AND(J4802=1,I4802="SBJ"),AND(J4802=1,I4802=0)),"?IN_FOCUS",IF(J4802&lt;=2,"?ACTIVATED",IF(J4802&lt;&gt;"","?FAMILIAR",IF(F4802="NEW",IF(ISNA(VLOOKUP(E4802,#REF!,1,FALSE())),"?TYPE_IDENTIFIABLE","?REFERENTIAL"),"_")))))</f>
        <v> </v>
      </c>
      <c r="H4802" s="24" t="str">
        <f>IF(J4802&lt;&gt;1,"",IF(I4802="SBJ","CB","?"))</f>
        <v> </v>
      </c>
      <c r="I4802" s="25" t="str">
        <f>IF(OR(E4802="",E4802="!!!",F4802="NEW"),"",INDEX(B4801:B$2,-1+SUMPRODUCT(MAX(ROW(E4801:E$2)*(E4802=E4801:E$2)))))</f>
        <v> </v>
      </c>
      <c r="J4802" s="25" t="str">
        <f>IF(OR(E4802="",E4802="!!!",F4802="NEW"),"",COUNTBLANK(OFFSET(A$1,,,SUMPRODUCT(MAX(ROW(E$2:E4802)*(E4802=E$2:E4802)))))-COUNTBLANK(OFFSET(A$1,,,SUMPRODUCT(MAX(ROW(E$1:E4801)*(E2=E$1:E4801))))))</f>
        <v> </v>
      </c>
      <c r="K4802" s="25" t="str">
        <f>IF(OR(E4802="",E4802="!!!",F4802="NEW"),"",INDEX(J$1:J4801,SUMPRODUCT(MAX(ROW(E$1:E4801)*(E4802=E$1:E4801)))))</f>
        <v> </v>
      </c>
      <c r="L4802" s="26"/>
    </row>
    <row r="4803" spans="1:12">
      <c r="A4803" s="20" t="s">
        <v>984</v>
      </c>
      <c r="B4803" s="27" t="s">
        <v>894</v>
      </c>
      <c r="C4803" s="27" t="s">
        <v>797</v>
      </c>
      <c r="D4803" s="27" t="s">
        <v>762</v>
      </c>
      <c r="E4803" s="21">
        <f>IF(D4803="?OLD","!!!","")</f>
        <v/>
      </c>
      <c r="F4803" s="22" t="str">
        <f>IF(OR(E4803="",E4803="!!!"),"",IF(NOT(ISNA(VLOOKUP(E4803,E$1:E4802,1,FALSE()))),"OLD",IF(AND(E4803&lt;&gt;"",E4803&lt;&gt;"!!!"),"NEW","")))</f>
        <v> </v>
      </c>
      <c r="G4803" s="23" t="str">
        <f>IF(OR(E4803="",E4803="!!!"),"",IF(OR(J4803=0,AND(J4803=1,K4803=1),AND(J4803=1,I4803="SBJ"),AND(J4803=1,I4803=0)),"?IN_FOCUS",IF(J4803&lt;=2,"?ACTIVATED",IF(J4803&lt;&gt;"","?FAMILIAR",IF(F4803="NEW",IF(ISNA(VLOOKUP(E4803,#REF!,1,FALSE())),"?TYPE_IDENTIFIABLE","?REFERENTIAL"),"_")))))</f>
        <v> </v>
      </c>
      <c r="H4803" s="24" t="str">
        <f>IF(J4803&lt;&gt;1,"",IF(I4803="SBJ","CB","?"))</f>
        <v> </v>
      </c>
      <c r="I4803" s="25" t="str">
        <f>IF(OR(E4803="",E4803="!!!",F4803="NEW"),"",INDEX(B4802:B$2,-1+SUMPRODUCT(MAX(ROW(E4802:E$2)*(E4803=E4802:E$2)))))</f>
        <v> </v>
      </c>
      <c r="J4803" s="25" t="str">
        <f>IF(OR(E4803="",E4803="!!!",F4803="NEW"),"",COUNTBLANK(OFFSET(A$1,,,SUMPRODUCT(MAX(ROW(E$2:E4803)*(E4803=E$2:E4803)))))-COUNTBLANK(OFFSET(A$1,,,SUMPRODUCT(MAX(ROW(E$1:E4802)*(E2=E$1:E4802))))))</f>
        <v> </v>
      </c>
      <c r="K4803" s="25" t="str">
        <f>IF(OR(E4803="",E4803="!!!",F4803="NEW"),"",INDEX(J$1:J4802,SUMPRODUCT(MAX(ROW(E$1:E4802)*(E4803=E$1:E4802)))))</f>
        <v> </v>
      </c>
      <c r="L4803" s="26"/>
    </row>
    <row r="4804" spans="1:12">
      <c r="A4804" s="20" t="s">
        <v>887</v>
      </c>
      <c r="E4804" s="21">
        <f>IF(D4804="?OLD","!!!","")</f>
        <v/>
      </c>
      <c r="F4804" s="22" t="str">
        <f>IF(OR(E4804="",E4804="!!!"),"",IF(NOT(ISNA(VLOOKUP(E4804,E$1:E4803,1,FALSE()))),"OLD",IF(AND(E4804&lt;&gt;"",E4804&lt;&gt;"!!!"),"NEW","")))</f>
        <v> </v>
      </c>
      <c r="G4804" s="23" t="str">
        <f>IF(OR(E4804="",E4804="!!!"),"",IF(OR(J4804=0,AND(J4804=1,K4804=1),AND(J4804=1,I4804="SBJ"),AND(J4804=1,I4804=0)),"?IN_FOCUS",IF(J4804&lt;=2,"?ACTIVATED",IF(J4804&lt;&gt;"","?FAMILIAR",IF(F4804="NEW",IF(ISNA(VLOOKUP(E4804,#REF!,1,FALSE())),"?TYPE_IDENTIFIABLE","?REFERENTIAL"),"_")))))</f>
        <v> </v>
      </c>
      <c r="H4804" s="24" t="str">
        <f>IF(J4804&lt;&gt;1,"",IF(I4804="SBJ","CB","?"))</f>
        <v> </v>
      </c>
      <c r="I4804" s="25" t="str">
        <f>IF(OR(E4804="",E4804="!!!",F4804="NEW"),"",INDEX(B4803:B$2,-1+SUMPRODUCT(MAX(ROW(E4803:E$2)*(E4804=E4803:E$2)))))</f>
        <v> </v>
      </c>
      <c r="J4804" s="25" t="str">
        <f>IF(OR(E4804="",E4804="!!!",F4804="NEW"),"",COUNTBLANK(OFFSET(A$1,,,SUMPRODUCT(MAX(ROW(E$2:E4804)*(E4804=E$2:E4804)))))-COUNTBLANK(OFFSET(A$1,,,SUMPRODUCT(MAX(ROW(E$1:E4803)*(E2=E$1:E4803))))))</f>
        <v> </v>
      </c>
      <c r="K4804" s="25" t="str">
        <f>IF(OR(E4804="",E4804="!!!",F4804="NEW"),"",INDEX(J$1:J4803,SUMPRODUCT(MAX(ROW(E$1:E4803)*(E4804=E$1:E4803)))))</f>
        <v> </v>
      </c>
      <c r="L4804" s="26"/>
    </row>
    <row r="4805" spans="1:12">
      <c r="A4805" s="20" t="s">
        <v>918</v>
      </c>
      <c r="E4805" s="21">
        <f>IF(D4805="?OLD","!!!","")</f>
        <v/>
      </c>
      <c r="F4805" s="22" t="str">
        <f>IF(OR(E4805="",E4805="!!!"),"",IF(NOT(ISNA(VLOOKUP(E4805,E$1:E4804,1,FALSE()))),"OLD",IF(AND(E4805&lt;&gt;"",E4805&lt;&gt;"!!!"),"NEW","")))</f>
        <v> </v>
      </c>
      <c r="G4805" s="23" t="str">
        <f>IF(OR(E4805="",E4805="!!!"),"",IF(OR(J4805=0,AND(J4805=1,K4805=1),AND(J4805=1,I4805="SBJ"),AND(J4805=1,I4805=0)),"?IN_FOCUS",IF(J4805&lt;=2,"?ACTIVATED",IF(J4805&lt;&gt;"","?FAMILIAR",IF(F4805="NEW",IF(ISNA(VLOOKUP(E4805,#REF!,1,FALSE())),"?TYPE_IDENTIFIABLE","?REFERENTIAL"),"_")))))</f>
        <v> </v>
      </c>
      <c r="H4805" s="24" t="str">
        <f>IF(J4805&lt;&gt;1,"",IF(I4805="SBJ","CB","?"))</f>
        <v> </v>
      </c>
      <c r="I4805" s="25" t="str">
        <f>IF(OR(E4805="",E4805="!!!",F4805="NEW"),"",INDEX(B4804:B$2,-1+SUMPRODUCT(MAX(ROW(E4804:E$2)*(E4805=E4804:E$2)))))</f>
        <v> </v>
      </c>
      <c r="J4805" s="25" t="str">
        <f>IF(OR(E4805="",E4805="!!!",F4805="NEW"),"",COUNTBLANK(OFFSET(A$1,,,SUMPRODUCT(MAX(ROW(E$2:E4805)*(E4805=E$2:E4805)))))-COUNTBLANK(OFFSET(A$1,,,SUMPRODUCT(MAX(ROW(E$1:E4804)*(E2=E$1:E4804))))))</f>
        <v> </v>
      </c>
      <c r="K4805" s="25" t="str">
        <f>IF(OR(E4805="",E4805="!!!",F4805="NEW"),"",INDEX(J$1:J4804,SUMPRODUCT(MAX(ROW(E$1:E4804)*(E4805=E$1:E4804)))))</f>
        <v> </v>
      </c>
      <c r="L4805" s="26"/>
    </row>
    <row r="4806" spans="1:12">
      <c r="A4806" s="20" t="s">
        <v>779</v>
      </c>
      <c r="E4806" s="21">
        <f>IF(D4806="?OLD","!!!","")</f>
        <v/>
      </c>
      <c r="F4806" s="22" t="str">
        <f>IF(OR(E4806="",E4806="!!!"),"",IF(NOT(ISNA(VLOOKUP(E4806,E$1:E4805,1,FALSE()))),"OLD",IF(AND(E4806&lt;&gt;"",E4806&lt;&gt;"!!!"),"NEW","")))</f>
        <v> </v>
      </c>
      <c r="G4806" s="23" t="str">
        <f>IF(OR(E4806="",E4806="!!!"),"",IF(OR(J4806=0,AND(J4806=1,K4806=1),AND(J4806=1,I4806="SBJ"),AND(J4806=1,I4806=0)),"?IN_FOCUS",IF(J4806&lt;=2,"?ACTIVATED",IF(J4806&lt;&gt;"","?FAMILIAR",IF(F4806="NEW",IF(ISNA(VLOOKUP(E4806,#REF!,1,FALSE())),"?TYPE_IDENTIFIABLE","?REFERENTIAL"),"_")))))</f>
        <v> </v>
      </c>
      <c r="H4806" s="24" t="str">
        <f>IF(J4806&lt;&gt;1,"",IF(I4806="SBJ","CB","?"))</f>
        <v> </v>
      </c>
      <c r="I4806" s="25" t="str">
        <f>IF(OR(E4806="",E4806="!!!",F4806="NEW"),"",INDEX(B4805:B$2,-1+SUMPRODUCT(MAX(ROW(E4805:E$2)*(E4806=E4805:E$2)))))</f>
        <v> </v>
      </c>
      <c r="J4806" s="25" t="str">
        <f>IF(OR(E4806="",E4806="!!!",F4806="NEW"),"",COUNTBLANK(OFFSET(A$1,,,SUMPRODUCT(MAX(ROW(E$2:E4806)*(E4806=E$2:E4806)))))-COUNTBLANK(OFFSET(A$1,,,SUMPRODUCT(MAX(ROW(E$1:E4805)*(E2=E$1:E4805))))))</f>
        <v> </v>
      </c>
      <c r="K4806" s="25" t="str">
        <f>IF(OR(E4806="",E4806="!!!",F4806="NEW"),"",INDEX(J$1:J4805,SUMPRODUCT(MAX(ROW(E$1:E4805)*(E4806=E$1:E4805)))))</f>
        <v> </v>
      </c>
      <c r="L4806" s="26"/>
    </row>
    <row r="4807" spans="1:12">
      <c r="A4807" s="20" t="s">
        <v>2035</v>
      </c>
      <c r="B4807" s="27" t="s">
        <v>894</v>
      </c>
      <c r="C4807" s="27" t="s">
        <v>768</v>
      </c>
      <c r="E4807" s="21">
        <f>IF(D4807="?OLD","!!!","")</f>
        <v/>
      </c>
      <c r="F4807" s="22" t="str">
        <f>IF(OR(E4807="",E4807="!!!"),"",IF(NOT(ISNA(VLOOKUP(E4807,E$1:E4806,1,FALSE()))),"OLD",IF(AND(E4807&lt;&gt;"",E4807&lt;&gt;"!!!"),"NEW","")))</f>
        <v> </v>
      </c>
      <c r="G4807" s="23" t="str">
        <f>IF(OR(E4807="",E4807="!!!"),"",IF(OR(J4807=0,AND(J4807=1,K4807=1),AND(J4807=1,I4807="SBJ"),AND(J4807=1,I4807=0)),"?IN_FOCUS",IF(J4807&lt;=2,"?ACTIVATED",IF(J4807&lt;&gt;"","?FAMILIAR",IF(F4807="NEW",IF(ISNA(VLOOKUP(E4807,#REF!,1,FALSE())),"?TYPE_IDENTIFIABLE","?REFERENTIAL"),"_")))))</f>
        <v> </v>
      </c>
      <c r="H4807" s="24" t="str">
        <f>IF(J4807&lt;&gt;1,"",IF(I4807="SBJ","CB","?"))</f>
        <v> </v>
      </c>
      <c r="I4807" s="25" t="str">
        <f>IF(OR(E4807="",E4807="!!!",F4807="NEW"),"",INDEX(B4806:B$2,-1+SUMPRODUCT(MAX(ROW(E4806:E$2)*(E4807=E4806:E$2)))))</f>
        <v> </v>
      </c>
      <c r="J4807" s="25" t="str">
        <f>IF(OR(E4807="",E4807="!!!",F4807="NEW"),"",COUNTBLANK(OFFSET(A$1,,,SUMPRODUCT(MAX(ROW(E$2:E4807)*(E4807=E$2:E4807)))))-COUNTBLANK(OFFSET(A$1,,,SUMPRODUCT(MAX(ROW(E$1:E4806)*(E2=E$1:E4806))))))</f>
        <v> </v>
      </c>
      <c r="K4807" s="25" t="str">
        <f>IF(OR(E4807="",E4807="!!!",F4807="NEW"),"",INDEX(J$1:J4806,SUMPRODUCT(MAX(ROW(E$1:E4806)*(E4807=E$1:E4806)))))</f>
        <v> </v>
      </c>
      <c r="L4807" s="26"/>
    </row>
    <row r="4808" spans="1:12">
      <c r="A4808" s="20" t="s">
        <v>769</v>
      </c>
      <c r="E4808" s="21">
        <f>IF(D4808="?OLD","!!!","")</f>
        <v/>
      </c>
      <c r="F4808" s="22" t="str">
        <f>IF(OR(E4808="",E4808="!!!"),"",IF(NOT(ISNA(VLOOKUP(E4808,E$1:E4807,1,FALSE()))),"OLD",IF(AND(E4808&lt;&gt;"",E4808&lt;&gt;"!!!"),"NEW","")))</f>
        <v> </v>
      </c>
      <c r="G4808" s="23" t="str">
        <f>IF(OR(E4808="",E4808="!!!"),"",IF(OR(J4808=0,AND(J4808=1,K4808=1),AND(J4808=1,I4808="SBJ"),AND(J4808=1,I4808=0)),"?IN_FOCUS",IF(J4808&lt;=2,"?ACTIVATED",IF(J4808&lt;&gt;"","?FAMILIAR",IF(F4808="NEW",IF(ISNA(VLOOKUP(E4808,#REF!,1,FALSE())),"?TYPE_IDENTIFIABLE","?REFERENTIAL"),"_")))))</f>
        <v> </v>
      </c>
      <c r="H4808" s="24" t="str">
        <f>IF(J4808&lt;&gt;1,"",IF(I4808="SBJ","CB","?"))</f>
        <v> </v>
      </c>
      <c r="I4808" s="25" t="str">
        <f>IF(OR(E4808="",E4808="!!!",F4808="NEW"),"",INDEX(B4807:B$2,-1+SUMPRODUCT(MAX(ROW(E4807:E$2)*(E4808=E4807:E$2)))))</f>
        <v> </v>
      </c>
      <c r="J4808" s="25" t="str">
        <f>IF(OR(E4808="",E4808="!!!",F4808="NEW"),"",COUNTBLANK(OFFSET(A$1,,,SUMPRODUCT(MAX(ROW(E$2:E4808)*(E4808=E$2:E4808)))))-COUNTBLANK(OFFSET(A$1,,,SUMPRODUCT(MAX(ROW(E$1:E4807)*(E2=E$1:E4807))))))</f>
        <v> </v>
      </c>
      <c r="K4808" s="25" t="str">
        <f>IF(OR(E4808="",E4808="!!!",F4808="NEW"),"",INDEX(J$1:J4807,SUMPRODUCT(MAX(ROW(E$1:E4807)*(E4808=E$1:E4807)))))</f>
        <v> </v>
      </c>
      <c r="L4808" s="26"/>
    </row>
    <row r="4809" spans="1:12">
      <c r="A4809" s="20" t="s">
        <v>2036</v>
      </c>
      <c r="B4809" s="27" t="s">
        <v>901</v>
      </c>
      <c r="C4809" s="27" t="s">
        <v>754</v>
      </c>
      <c r="E4809" s="21">
        <f>IF(D4809="?OLD","!!!","")</f>
        <v/>
      </c>
      <c r="F4809" s="22" t="str">
        <f>IF(OR(E4809="",E4809="!!!"),"",IF(NOT(ISNA(VLOOKUP(E4809,E$1:E4808,1,FALSE()))),"OLD",IF(AND(E4809&lt;&gt;"",E4809&lt;&gt;"!!!"),"NEW","")))</f>
        <v> </v>
      </c>
      <c r="G4809" s="23" t="str">
        <f>IF(OR(E4809="",E4809="!!!"),"",IF(OR(J4809=0,AND(J4809=1,K4809=1),AND(J4809=1,I4809="SBJ"),AND(J4809=1,I4809=0)),"?IN_FOCUS",IF(J4809&lt;=2,"?ACTIVATED",IF(J4809&lt;&gt;"","?FAMILIAR",IF(F4809="NEW",IF(ISNA(VLOOKUP(E4809,#REF!,1,FALSE())),"?TYPE_IDENTIFIABLE","?REFERENTIAL"),"_")))))</f>
        <v> </v>
      </c>
      <c r="H4809" s="24" t="str">
        <f>IF(J4809&lt;&gt;1,"",IF(I4809="SBJ","CB","?"))</f>
        <v> </v>
      </c>
      <c r="I4809" s="25" t="str">
        <f>IF(OR(E4809="",E4809="!!!",F4809="NEW"),"",INDEX(B4808:B$2,-1+SUMPRODUCT(MAX(ROW(E4808:E$2)*(E4809=E4808:E$2)))))</f>
        <v> </v>
      </c>
      <c r="J4809" s="25" t="str">
        <f>IF(OR(E4809="",E4809="!!!",F4809="NEW"),"",COUNTBLANK(OFFSET(A$1,,,SUMPRODUCT(MAX(ROW(E$2:E4809)*(E4809=E$2:E4809)))))-COUNTBLANK(OFFSET(A$1,,,SUMPRODUCT(MAX(ROW(E$1:E4808)*(E2=E$1:E4808))))))</f>
        <v> </v>
      </c>
      <c r="K4809" s="25" t="str">
        <f>IF(OR(E4809="",E4809="!!!",F4809="NEW"),"",INDEX(J$1:J4808,SUMPRODUCT(MAX(ROW(E$1:E4808)*(E4809=E$1:E4808)))))</f>
        <v> </v>
      </c>
      <c r="L4809" s="26"/>
    </row>
    <row r="4810" spans="1:12">
      <c r="A4810" s="20" t="s">
        <v>2037</v>
      </c>
      <c r="E4810" s="21">
        <f>IF(D4810="?OLD","!!!","")</f>
        <v/>
      </c>
      <c r="F4810" s="22" t="str">
        <f>IF(OR(E4810="",E4810="!!!"),"",IF(NOT(ISNA(VLOOKUP(E4810,E$1:E4809,1,FALSE()))),"OLD",IF(AND(E4810&lt;&gt;"",E4810&lt;&gt;"!!!"),"NEW","")))</f>
        <v> </v>
      </c>
      <c r="G4810" s="23" t="str">
        <f>IF(OR(E4810="",E4810="!!!"),"",IF(OR(J4810=0,AND(J4810=1,K4810=1),AND(J4810=1,I4810="SBJ"),AND(J4810=1,I4810=0)),"?IN_FOCUS",IF(J4810&lt;=2,"?ACTIVATED",IF(J4810&lt;&gt;"","?FAMILIAR",IF(F4810="NEW",IF(ISNA(VLOOKUP(E4810,#REF!,1,FALSE())),"?TYPE_IDENTIFIABLE","?REFERENTIAL"),"_")))))</f>
        <v> </v>
      </c>
      <c r="H4810" s="24" t="str">
        <f>IF(J4810&lt;&gt;1,"",IF(I4810="SBJ","CB","?"))</f>
        <v> </v>
      </c>
      <c r="I4810" s="25" t="str">
        <f>IF(OR(E4810="",E4810="!!!",F4810="NEW"),"",INDEX(B4809:B$2,-1+SUMPRODUCT(MAX(ROW(E4809:E$2)*(E4810=E4809:E$2)))))</f>
        <v> </v>
      </c>
      <c r="J4810" s="25" t="str">
        <f>IF(OR(E4810="",E4810="!!!",F4810="NEW"),"",COUNTBLANK(OFFSET(A$1,,,SUMPRODUCT(MAX(ROW(E$2:E4810)*(E4810=E$2:E4810)))))-COUNTBLANK(OFFSET(A$1,,,SUMPRODUCT(MAX(ROW(E$1:E4809)*(E2=E$1:E4809))))))</f>
        <v> </v>
      </c>
      <c r="K4810" s="25" t="str">
        <f>IF(OR(E4810="",E4810="!!!",F4810="NEW"),"",INDEX(J$1:J4809,SUMPRODUCT(MAX(ROW(E$1:E4809)*(E4810=E$1:E4809)))))</f>
        <v> </v>
      </c>
      <c r="L4810" s="26"/>
    </row>
    <row r="4811" spans="1:12">
      <c r="A4811" s="20" t="s">
        <v>774</v>
      </c>
      <c r="E4811" s="21">
        <f>IF(D4811="?OLD","!!!","")</f>
        <v/>
      </c>
      <c r="F4811" s="22" t="str">
        <f>IF(OR(E4811="",E4811="!!!"),"",IF(NOT(ISNA(VLOOKUP(E4811,E$1:E4810,1,FALSE()))),"OLD",IF(AND(E4811&lt;&gt;"",E4811&lt;&gt;"!!!"),"NEW","")))</f>
        <v> </v>
      </c>
      <c r="G4811" s="23" t="str">
        <f>IF(OR(E4811="",E4811="!!!"),"",IF(OR(J4811=0,AND(J4811=1,K4811=1),AND(J4811=1,I4811="SBJ"),AND(J4811=1,I4811=0)),"?IN_FOCUS",IF(J4811&lt;=2,"?ACTIVATED",IF(J4811&lt;&gt;"","?FAMILIAR",IF(F4811="NEW",IF(ISNA(VLOOKUP(E4811,#REF!,1,FALSE())),"?TYPE_IDENTIFIABLE","?REFERENTIAL"),"_")))))</f>
        <v> </v>
      </c>
      <c r="H4811" s="24" t="str">
        <f>IF(J4811&lt;&gt;1,"",IF(I4811="SBJ","CB","?"))</f>
        <v> </v>
      </c>
      <c r="I4811" s="25" t="str">
        <f>IF(OR(E4811="",E4811="!!!",F4811="NEW"),"",INDEX(B4810:B$2,-1+SUMPRODUCT(MAX(ROW(E4810:E$2)*(E4811=E4810:E$2)))))</f>
        <v> </v>
      </c>
      <c r="J4811" s="25" t="str">
        <f>IF(OR(E4811="",E4811="!!!",F4811="NEW"),"",COUNTBLANK(OFFSET(A$1,,,SUMPRODUCT(MAX(ROW(E$2:E4811)*(E4811=E$2:E4811)))))-COUNTBLANK(OFFSET(A$1,,,SUMPRODUCT(MAX(ROW(E$1:E4810)*(E2=E$1:E4810))))))</f>
        <v> </v>
      </c>
      <c r="K4811" s="25" t="str">
        <f>IF(OR(E4811="",E4811="!!!",F4811="NEW"),"",INDEX(J$1:J4810,SUMPRODUCT(MAX(ROW(E$1:E4810)*(E4811=E$1:E4810)))))</f>
        <v> </v>
      </c>
      <c r="L4811" s="26"/>
    </row>
    <row r="4812" spans="1:12">
      <c r="A4812" s="20"/>
    </row>
    <row r="4813" spans="1:12">
      <c r="A4813" s="20" t="s">
        <v>2038</v>
      </c>
    </row>
    <row r="4814" spans="1:12">
      <c r="A4814" s="20" t="s">
        <v>1065</v>
      </c>
      <c r="B4814" s="27" t="s">
        <v>753</v>
      </c>
      <c r="C4814" s="27" t="s">
        <v>797</v>
      </c>
      <c r="D4814" s="27" t="s">
        <v>762</v>
      </c>
      <c r="E4814" s="21">
        <f>IF(D4814="?OLD","!!!","")</f>
        <v/>
      </c>
      <c r="F4814" s="22" t="str">
        <f>IF(OR(E4814="",E4814="!!!"),"",IF(NOT(ISNA(VLOOKUP(E4814,E$1:E4813,1,FALSE()))),"OLD",IF(AND(E4814&lt;&gt;"",E4814&lt;&gt;"!!!"),"NEW","")))</f>
        <v> </v>
      </c>
      <c r="G4814" s="23" t="str">
        <f>IF(OR(E4814="",E4814="!!!"),"",IF(OR(J4814=0,AND(J4814=1,K4814=1),AND(J4814=1,I4814="SBJ"),AND(J4814=1,I4814=0)),"?IN_FOCUS",IF(J4814&lt;=2,"?ACTIVATED",IF(J4814&lt;&gt;"","?FAMILIAR",IF(F4814="NEW",IF(ISNA(VLOOKUP(E4814,#REF!,1,FALSE())),"?TYPE_IDENTIFIABLE","?REFERENTIAL"),"_")))))</f>
        <v> </v>
      </c>
      <c r="H4814" s="24" t="str">
        <f>IF(J4814&lt;&gt;1,"",IF(I4814="SBJ","CB","?"))</f>
        <v> </v>
      </c>
      <c r="I4814" s="25" t="str">
        <f>IF(OR(E4814="",E4814="!!!",F4814="NEW"),"",INDEX(B4813:B$2,-1+SUMPRODUCT(MAX(ROW(E4813:E$2)*(E4814=E4813:E$2)))))</f>
        <v> </v>
      </c>
      <c r="J4814" s="25" t="str">
        <f>IF(OR(E4814="",E4814="!!!",F4814="NEW"),"",COUNTBLANK(OFFSET(A$1,,,SUMPRODUCT(MAX(ROW(E$2:E4814)*(E4814=E$2:E4814)))))-COUNTBLANK(OFFSET(A$1,,,SUMPRODUCT(MAX(ROW(E$1:E4813)*(E2=E$1:E4813))))))</f>
        <v> </v>
      </c>
      <c r="K4814" s="25" t="str">
        <f>IF(OR(E4814="",E4814="!!!",F4814="NEW"),"",INDEX(J$1:J4813,SUMPRODUCT(MAX(ROW(E$1:E4813)*(E4814=E$1:E4813)))))</f>
        <v> </v>
      </c>
      <c r="L4814" s="26"/>
    </row>
    <row r="4815" spans="1:12">
      <c r="A4815" s="20" t="s">
        <v>2039</v>
      </c>
      <c r="E4815" s="21">
        <f>IF(D4815="?OLD","!!!","")</f>
        <v/>
      </c>
      <c r="F4815" s="22" t="str">
        <f>IF(OR(E4815="",E4815="!!!"),"",IF(NOT(ISNA(VLOOKUP(E4815,E$1:E4814,1,FALSE()))),"OLD",IF(AND(E4815&lt;&gt;"",E4815&lt;&gt;"!!!"),"NEW","")))</f>
        <v> </v>
      </c>
      <c r="G4815" s="23" t="str">
        <f>IF(OR(E4815="",E4815="!!!"),"",IF(OR(J4815=0,AND(J4815=1,K4815=1),AND(J4815=1,I4815="SBJ"),AND(J4815=1,I4815=0)),"?IN_FOCUS",IF(J4815&lt;=2,"?ACTIVATED",IF(J4815&lt;&gt;"","?FAMILIAR",IF(F4815="NEW",IF(ISNA(VLOOKUP(E4815,#REF!,1,FALSE())),"?TYPE_IDENTIFIABLE","?REFERENTIAL"),"_")))))</f>
        <v> </v>
      </c>
      <c r="H4815" s="24" t="str">
        <f>IF(J4815&lt;&gt;1,"",IF(I4815="SBJ","CB","?"))</f>
        <v> </v>
      </c>
      <c r="I4815" s="25" t="str">
        <f>IF(OR(E4815="",E4815="!!!",F4815="NEW"),"",INDEX(B4814:B$2,-1+SUMPRODUCT(MAX(ROW(E4814:E$2)*(E4815=E4814:E$2)))))</f>
        <v> </v>
      </c>
      <c r="J4815" s="25" t="str">
        <f>IF(OR(E4815="",E4815="!!!",F4815="NEW"),"",COUNTBLANK(OFFSET(A$1,,,SUMPRODUCT(MAX(ROW(E$2:E4815)*(E4815=E$2:E4815)))))-COUNTBLANK(OFFSET(A$1,,,SUMPRODUCT(MAX(ROW(E$1:E4814)*(E2=E$1:E4814))))))</f>
        <v> </v>
      </c>
      <c r="K4815" s="25" t="str">
        <f>IF(OR(E4815="",E4815="!!!",F4815="NEW"),"",INDEX(J$1:J4814,SUMPRODUCT(MAX(ROW(E$1:E4814)*(E4815=E$1:E4814)))))</f>
        <v> </v>
      </c>
      <c r="L4815" s="26"/>
    </row>
    <row r="4816" spans="1:12">
      <c r="A4816" s="20" t="s">
        <v>2040</v>
      </c>
      <c r="B4816" s="27" t="s">
        <v>753</v>
      </c>
      <c r="C4816" s="27" t="s">
        <v>754</v>
      </c>
      <c r="E4816" s="21">
        <f>IF(D4816="?OLD","!!!","")</f>
        <v/>
      </c>
      <c r="F4816" s="22" t="str">
        <f>IF(OR(E4816="",E4816="!!!"),"",IF(NOT(ISNA(VLOOKUP(E4816,E$1:E4815,1,FALSE()))),"OLD",IF(AND(E4816&lt;&gt;"",E4816&lt;&gt;"!!!"),"NEW","")))</f>
        <v> </v>
      </c>
      <c r="G4816" s="23" t="str">
        <f>IF(OR(E4816="",E4816="!!!"),"",IF(OR(J4816=0,AND(J4816=1,K4816=1),AND(J4816=1,I4816="SBJ"),AND(J4816=1,I4816=0)),"?IN_FOCUS",IF(J4816&lt;=2,"?ACTIVATED",IF(J4816&lt;&gt;"","?FAMILIAR",IF(F4816="NEW",IF(ISNA(VLOOKUP(E4816,#REF!,1,FALSE())),"?TYPE_IDENTIFIABLE","?REFERENTIAL"),"_")))))</f>
        <v> </v>
      </c>
      <c r="H4816" s="24" t="str">
        <f>IF(J4816&lt;&gt;1,"",IF(I4816="SBJ","CB","?"))</f>
        <v> </v>
      </c>
      <c r="I4816" s="25" t="str">
        <f>IF(OR(E4816="",E4816="!!!",F4816="NEW"),"",INDEX(B4815:B$2,-1+SUMPRODUCT(MAX(ROW(E4815:E$2)*(E4816=E4815:E$2)))))</f>
        <v> </v>
      </c>
      <c r="J4816" s="25" t="str">
        <f>IF(OR(E4816="",E4816="!!!",F4816="NEW"),"",COUNTBLANK(OFFSET(A$1,,,SUMPRODUCT(MAX(ROW(E$2:E4816)*(E4816=E$2:E4816)))))-COUNTBLANK(OFFSET(A$1,,,SUMPRODUCT(MAX(ROW(E$1:E4815)*(E2=E$1:E4815))))))</f>
        <v> </v>
      </c>
      <c r="K4816" s="25" t="str">
        <f>IF(OR(E4816="",E4816="!!!",F4816="NEW"),"",INDEX(J$1:J4815,SUMPRODUCT(MAX(ROW(E$1:E4815)*(E4816=E$1:E4815)))))</f>
        <v> </v>
      </c>
      <c r="L4816" s="26"/>
    </row>
    <row r="4817" spans="1:12">
      <c r="A4817" s="20" t="s">
        <v>2041</v>
      </c>
      <c r="E4817" s="21">
        <f>IF(D4817="?OLD","!!!","")</f>
        <v/>
      </c>
      <c r="F4817" s="22" t="str">
        <f>IF(OR(E4817="",E4817="!!!"),"",IF(NOT(ISNA(VLOOKUP(E4817,E$1:E4816,1,FALSE()))),"OLD",IF(AND(E4817&lt;&gt;"",E4817&lt;&gt;"!!!"),"NEW","")))</f>
        <v> </v>
      </c>
      <c r="G4817" s="23" t="str">
        <f>IF(OR(E4817="",E4817="!!!"),"",IF(OR(J4817=0,AND(J4817=1,K4817=1),AND(J4817=1,I4817="SBJ"),AND(J4817=1,I4817=0)),"?IN_FOCUS",IF(J4817&lt;=2,"?ACTIVATED",IF(J4817&lt;&gt;"","?FAMILIAR",IF(F4817="NEW",IF(ISNA(VLOOKUP(E4817,#REF!,1,FALSE())),"?TYPE_IDENTIFIABLE","?REFERENTIAL"),"_")))))</f>
        <v> </v>
      </c>
      <c r="H4817" s="24" t="str">
        <f>IF(J4817&lt;&gt;1,"",IF(I4817="SBJ","CB","?"))</f>
        <v> </v>
      </c>
      <c r="I4817" s="25" t="str">
        <f>IF(OR(E4817="",E4817="!!!",F4817="NEW"),"",INDEX(B4816:B$2,-1+SUMPRODUCT(MAX(ROW(E4816:E$2)*(E4817=E4816:E$2)))))</f>
        <v> </v>
      </c>
      <c r="J4817" s="25" t="str">
        <f>IF(OR(E4817="",E4817="!!!",F4817="NEW"),"",COUNTBLANK(OFFSET(A$1,,,SUMPRODUCT(MAX(ROW(E$2:E4817)*(E4817=E$2:E4817)))))-COUNTBLANK(OFFSET(A$1,,,SUMPRODUCT(MAX(ROW(E$1:E4816)*(E2=E$1:E4816))))))</f>
        <v> </v>
      </c>
      <c r="K4817" s="25" t="str">
        <f>IF(OR(E4817="",E4817="!!!",F4817="NEW"),"",INDEX(J$1:J4816,SUMPRODUCT(MAX(ROW(E$1:E4816)*(E4817=E$1:E4816)))))</f>
        <v> </v>
      </c>
      <c r="L4817" s="26"/>
    </row>
    <row r="4818" spans="1:12">
      <c r="A4818" s="20" t="s">
        <v>774</v>
      </c>
      <c r="E4818" s="21">
        <f>IF(D4818="?OLD","!!!","")</f>
        <v/>
      </c>
      <c r="F4818" s="22" t="str">
        <f>IF(OR(E4818="",E4818="!!!"),"",IF(NOT(ISNA(VLOOKUP(E4818,E$1:E4817,1,FALSE()))),"OLD",IF(AND(E4818&lt;&gt;"",E4818&lt;&gt;"!!!"),"NEW","")))</f>
        <v> </v>
      </c>
      <c r="G4818" s="23" t="str">
        <f>IF(OR(E4818="",E4818="!!!"),"",IF(OR(J4818=0,AND(J4818=1,K4818=1),AND(J4818=1,I4818="SBJ"),AND(J4818=1,I4818=0)),"?IN_FOCUS",IF(J4818&lt;=2,"?ACTIVATED",IF(J4818&lt;&gt;"","?FAMILIAR",IF(F4818="NEW",IF(ISNA(VLOOKUP(E4818,#REF!,1,FALSE())),"?TYPE_IDENTIFIABLE","?REFERENTIAL"),"_")))))</f>
        <v> </v>
      </c>
      <c r="H4818" s="24" t="str">
        <f>IF(J4818&lt;&gt;1,"",IF(I4818="SBJ","CB","?"))</f>
        <v> </v>
      </c>
      <c r="I4818" s="25" t="str">
        <f>IF(OR(E4818="",E4818="!!!",F4818="NEW"),"",INDEX(B4817:B$2,-1+SUMPRODUCT(MAX(ROW(E4817:E$2)*(E4818=E4817:E$2)))))</f>
        <v> </v>
      </c>
      <c r="J4818" s="25" t="str">
        <f>IF(OR(E4818="",E4818="!!!",F4818="NEW"),"",COUNTBLANK(OFFSET(A$1,,,SUMPRODUCT(MAX(ROW(E$2:E4818)*(E4818=E$2:E4818)))))-COUNTBLANK(OFFSET(A$1,,,SUMPRODUCT(MAX(ROW(E$1:E4817)*(E2=E$1:E4817))))))</f>
        <v> </v>
      </c>
      <c r="K4818" s="25" t="str">
        <f>IF(OR(E4818="",E4818="!!!",F4818="NEW"),"",INDEX(J$1:J4817,SUMPRODUCT(MAX(ROW(E$1:E4817)*(E4818=E$1:E4817)))))</f>
        <v> </v>
      </c>
      <c r="L4818" s="26"/>
    </row>
    <row r="4819" spans="1:12">
      <c r="A4819" s="20"/>
    </row>
    <row r="4820" spans="1:12">
      <c r="A4820" s="20" t="s">
        <v>2042</v>
      </c>
    </row>
    <row r="4821" spans="1:12">
      <c r="A4821" s="20" t="s">
        <v>1531</v>
      </c>
      <c r="E4821" s="21">
        <f>IF(D4821="?OLD","!!!","")</f>
        <v/>
      </c>
      <c r="F4821" s="22" t="str">
        <f>IF(OR(E4821="",E4821="!!!"),"",IF(NOT(ISNA(VLOOKUP(E4821,E$1:E4820,1,FALSE()))),"OLD",IF(AND(E4821&lt;&gt;"",E4821&lt;&gt;"!!!"),"NEW","")))</f>
        <v> </v>
      </c>
      <c r="G4821" s="23" t="str">
        <f>IF(OR(E4821="",E4821="!!!"),"",IF(OR(J4821=0,AND(J4821=1,K4821=1),AND(J4821=1,I4821="SBJ"),AND(J4821=1,I4821=0)),"?IN_FOCUS",IF(J4821&lt;=2,"?ACTIVATED",IF(J4821&lt;&gt;"","?FAMILIAR",IF(F4821="NEW",IF(ISNA(VLOOKUP(E4821,#REF!,1,FALSE())),"?TYPE_IDENTIFIABLE","?REFERENTIAL"),"_")))))</f>
        <v> </v>
      </c>
      <c r="H4821" s="24" t="str">
        <f>IF(J4821&lt;&gt;1,"",IF(I4821="SBJ","CB","?"))</f>
        <v> </v>
      </c>
      <c r="I4821" s="25" t="str">
        <f>IF(OR(E4821="",E4821="!!!",F4821="NEW"),"",INDEX(B4820:B$2,-1+SUMPRODUCT(MAX(ROW(E4820:E$2)*(E4821=E4820:E$2)))))</f>
        <v> </v>
      </c>
      <c r="J4821" s="25" t="str">
        <f>IF(OR(E4821="",E4821="!!!",F4821="NEW"),"",COUNTBLANK(OFFSET(A$1,,,SUMPRODUCT(MAX(ROW(E$2:E4821)*(E4821=E$2:E4821)))))-COUNTBLANK(OFFSET(A$1,,,SUMPRODUCT(MAX(ROW(E$1:E4820)*(E2=E$1:E4820))))))</f>
        <v> </v>
      </c>
      <c r="K4821" s="25" t="str">
        <f>IF(OR(E4821="",E4821="!!!",F4821="NEW"),"",INDEX(J$1:J4820,SUMPRODUCT(MAX(ROW(E$1:E4820)*(E4821=E$1:E4820)))))</f>
        <v> </v>
      </c>
      <c r="L4821" s="26"/>
    </row>
    <row r="4822" spans="1:12">
      <c r="A4822" s="20" t="s">
        <v>822</v>
      </c>
      <c r="E4822" s="21">
        <f>IF(D4822="?OLD","!!!","")</f>
        <v/>
      </c>
      <c r="F4822" s="22" t="str">
        <f>IF(OR(E4822="",E4822="!!!"),"",IF(NOT(ISNA(VLOOKUP(E4822,E$1:E4821,1,FALSE()))),"OLD",IF(AND(E4822&lt;&gt;"",E4822&lt;&gt;"!!!"),"NEW","")))</f>
        <v> </v>
      </c>
      <c r="G4822" s="23" t="str">
        <f>IF(OR(E4822="",E4822="!!!"),"",IF(OR(J4822=0,AND(J4822=1,K4822=1),AND(J4822=1,I4822="SBJ"),AND(J4822=1,I4822=0)),"?IN_FOCUS",IF(J4822&lt;=2,"?ACTIVATED",IF(J4822&lt;&gt;"","?FAMILIAR",IF(F4822="NEW",IF(ISNA(VLOOKUP(E4822,#REF!,1,FALSE())),"?TYPE_IDENTIFIABLE","?REFERENTIAL"),"_")))))</f>
        <v> </v>
      </c>
      <c r="H4822" s="24" t="str">
        <f>IF(J4822&lt;&gt;1,"",IF(I4822="SBJ","CB","?"))</f>
        <v> </v>
      </c>
      <c r="I4822" s="25" t="str">
        <f>IF(OR(E4822="",E4822="!!!",F4822="NEW"),"",INDEX(B4821:B$2,-1+SUMPRODUCT(MAX(ROW(E4821:E$2)*(E4822=E4821:E$2)))))</f>
        <v> </v>
      </c>
      <c r="J4822" s="25" t="str">
        <f>IF(OR(E4822="",E4822="!!!",F4822="NEW"),"",COUNTBLANK(OFFSET(A$1,,,SUMPRODUCT(MAX(ROW(E$2:E4822)*(E4822=E$2:E4822)))))-COUNTBLANK(OFFSET(A$1,,,SUMPRODUCT(MAX(ROW(E$1:E4821)*(E2=E$1:E4821))))))</f>
        <v> </v>
      </c>
      <c r="K4822" s="25" t="str">
        <f>IF(OR(E4822="",E4822="!!!",F4822="NEW"),"",INDEX(J$1:J4821,SUMPRODUCT(MAX(ROW(E$1:E4821)*(E4822=E$1:E4821)))))</f>
        <v> </v>
      </c>
      <c r="L4822" s="26"/>
    </row>
    <row r="4823" spans="1:12">
      <c r="A4823" s="20" t="s">
        <v>2043</v>
      </c>
      <c r="B4823" s="27" t="s">
        <v>753</v>
      </c>
      <c r="C4823" s="27" t="s">
        <v>761</v>
      </c>
      <c r="D4823" s="27" t="s">
        <v>762</v>
      </c>
      <c r="E4823" s="21">
        <f>IF(D4823="?OLD","!!!","")</f>
        <v/>
      </c>
      <c r="F4823" s="22" t="str">
        <f>IF(OR(E4823="",E4823="!!!"),"",IF(NOT(ISNA(VLOOKUP(E4823,E$1:E4822,1,FALSE()))),"OLD",IF(AND(E4823&lt;&gt;"",E4823&lt;&gt;"!!!"),"NEW","")))</f>
        <v> </v>
      </c>
      <c r="G4823" s="23" t="str">
        <f>IF(OR(E4823="",E4823="!!!"),"",IF(OR(J4823=0,AND(J4823=1,K4823=1),AND(J4823=1,I4823="SBJ"),AND(J4823=1,I4823=0)),"?IN_FOCUS",IF(J4823&lt;=2,"?ACTIVATED",IF(J4823&lt;&gt;"","?FAMILIAR",IF(F4823="NEW",IF(ISNA(VLOOKUP(E4823,#REF!,1,FALSE())),"?TYPE_IDENTIFIABLE","?REFERENTIAL"),"_")))))</f>
        <v> </v>
      </c>
      <c r="H4823" s="24" t="str">
        <f>IF(J4823&lt;&gt;1,"",IF(I4823="SBJ","CB","?"))</f>
        <v> </v>
      </c>
      <c r="I4823" s="25" t="str">
        <f>IF(OR(E4823="",E4823="!!!",F4823="NEW"),"",INDEX(B4822:B$2,-1+SUMPRODUCT(MAX(ROW(E4822:E$2)*(E4823=E4822:E$2)))))</f>
        <v> </v>
      </c>
      <c r="J4823" s="25" t="str">
        <f>IF(OR(E4823="",E4823="!!!",F4823="NEW"),"",COUNTBLANK(OFFSET(A$1,,,SUMPRODUCT(MAX(ROW(E$2:E4823)*(E4823=E$2:E4823)))))-COUNTBLANK(OFFSET(A$1,,,SUMPRODUCT(MAX(ROW(E$1:E4822)*(E2=E$1:E4822))))))</f>
        <v> </v>
      </c>
      <c r="K4823" s="25" t="str">
        <f>IF(OR(E4823="",E4823="!!!",F4823="NEW"),"",INDEX(J$1:J4822,SUMPRODUCT(MAX(ROW(E$1:E4822)*(E4823=E$1:E4822)))))</f>
        <v> </v>
      </c>
      <c r="L4823" s="26"/>
    </row>
    <row r="4824" spans="1:12">
      <c r="A4824" s="20" t="s">
        <v>769</v>
      </c>
      <c r="E4824" s="21">
        <f>IF(D4824="?OLD","!!!","")</f>
        <v/>
      </c>
      <c r="F4824" s="22" t="str">
        <f>IF(OR(E4824="",E4824="!!!"),"",IF(NOT(ISNA(VLOOKUP(E4824,E$1:E4823,1,FALSE()))),"OLD",IF(AND(E4824&lt;&gt;"",E4824&lt;&gt;"!!!"),"NEW","")))</f>
        <v> </v>
      </c>
      <c r="G4824" s="23" t="str">
        <f>IF(OR(E4824="",E4824="!!!"),"",IF(OR(J4824=0,AND(J4824=1,K4824=1),AND(J4824=1,I4824="SBJ"),AND(J4824=1,I4824=0)),"?IN_FOCUS",IF(J4824&lt;=2,"?ACTIVATED",IF(J4824&lt;&gt;"","?FAMILIAR",IF(F4824="NEW",IF(ISNA(VLOOKUP(E4824,#REF!,1,FALSE())),"?TYPE_IDENTIFIABLE","?REFERENTIAL"),"_")))))</f>
        <v> </v>
      </c>
      <c r="H4824" s="24" t="str">
        <f>IF(J4824&lt;&gt;1,"",IF(I4824="SBJ","CB","?"))</f>
        <v> </v>
      </c>
      <c r="I4824" s="25" t="str">
        <f>IF(OR(E4824="",E4824="!!!",F4824="NEW"),"",INDEX(B4823:B$2,-1+SUMPRODUCT(MAX(ROW(E4823:E$2)*(E4824=E4823:E$2)))))</f>
        <v> </v>
      </c>
      <c r="J4824" s="25" t="str">
        <f>IF(OR(E4824="",E4824="!!!",F4824="NEW"),"",COUNTBLANK(OFFSET(A$1,,,SUMPRODUCT(MAX(ROW(E$2:E4824)*(E4824=E$2:E4824)))))-COUNTBLANK(OFFSET(A$1,,,SUMPRODUCT(MAX(ROW(E$1:E4823)*(E2=E$1:E4823))))))</f>
        <v> </v>
      </c>
      <c r="K4824" s="25" t="str">
        <f>IF(OR(E4824="",E4824="!!!",F4824="NEW"),"",INDEX(J$1:J4823,SUMPRODUCT(MAX(ROW(E$1:E4823)*(E4824=E$1:E4823)))))</f>
        <v> </v>
      </c>
      <c r="L4824" s="26"/>
    </row>
    <row r="4825" spans="1:12">
      <c r="A4825" s="20" t="s">
        <v>2044</v>
      </c>
      <c r="E4825" s="21">
        <f>IF(D4825="?OLD","!!!","")</f>
        <v/>
      </c>
      <c r="F4825" s="22" t="str">
        <f>IF(OR(E4825="",E4825="!!!"),"",IF(NOT(ISNA(VLOOKUP(E4825,E$1:E4824,1,FALSE()))),"OLD",IF(AND(E4825&lt;&gt;"",E4825&lt;&gt;"!!!"),"NEW","")))</f>
        <v> </v>
      </c>
      <c r="G4825" s="23" t="str">
        <f>IF(OR(E4825="",E4825="!!!"),"",IF(OR(J4825=0,AND(J4825=1,K4825=1),AND(J4825=1,I4825="SBJ"),AND(J4825=1,I4825=0)),"?IN_FOCUS",IF(J4825&lt;=2,"?ACTIVATED",IF(J4825&lt;&gt;"","?FAMILIAR",IF(F4825="NEW",IF(ISNA(VLOOKUP(E4825,#REF!,1,FALSE())),"?TYPE_IDENTIFIABLE","?REFERENTIAL"),"_")))))</f>
        <v> </v>
      </c>
      <c r="H4825" s="24" t="str">
        <f>IF(J4825&lt;&gt;1,"",IF(I4825="SBJ","CB","?"))</f>
        <v> </v>
      </c>
      <c r="I4825" s="25" t="str">
        <f>IF(OR(E4825="",E4825="!!!",F4825="NEW"),"",INDEX(B4824:B$2,-1+SUMPRODUCT(MAX(ROW(E4824:E$2)*(E4825=E4824:E$2)))))</f>
        <v> </v>
      </c>
      <c r="J4825" s="25" t="str">
        <f>IF(OR(E4825="",E4825="!!!",F4825="NEW"),"",COUNTBLANK(OFFSET(A$1,,,SUMPRODUCT(MAX(ROW(E$2:E4825)*(E4825=E$2:E4825)))))-COUNTBLANK(OFFSET(A$1,,,SUMPRODUCT(MAX(ROW(E$1:E4824)*(E2=E$1:E4824))))))</f>
        <v> </v>
      </c>
      <c r="K4825" s="25" t="str">
        <f>IF(OR(E4825="",E4825="!!!",F4825="NEW"),"",INDEX(J$1:J4824,SUMPRODUCT(MAX(ROW(E$1:E4824)*(E4825=E$1:E4824)))))</f>
        <v> </v>
      </c>
      <c r="L4825" s="26"/>
    </row>
    <row r="4826" spans="1:12">
      <c r="A4826" s="20" t="s">
        <v>1761</v>
      </c>
      <c r="B4826" s="27" t="s">
        <v>772</v>
      </c>
      <c r="C4826" s="27" t="s">
        <v>831</v>
      </c>
      <c r="E4826" s="21">
        <f>IF(D4826="?OLD","!!!","")</f>
        <v/>
      </c>
      <c r="F4826" s="22" t="str">
        <f>IF(OR(E4826="",E4826="!!!"),"",IF(NOT(ISNA(VLOOKUP(E4826,E$1:E4825,1,FALSE()))),"OLD",IF(AND(E4826&lt;&gt;"",E4826&lt;&gt;"!!!"),"NEW","")))</f>
        <v> </v>
      </c>
      <c r="G4826" s="23" t="str">
        <f>IF(OR(E4826="",E4826="!!!"),"",IF(OR(J4826=0,AND(J4826=1,K4826=1),AND(J4826=1,I4826="SBJ"),AND(J4826=1,I4826=0)),"?IN_FOCUS",IF(J4826&lt;=2,"?ACTIVATED",IF(J4826&lt;&gt;"","?FAMILIAR",IF(F4826="NEW",IF(ISNA(VLOOKUP(E4826,#REF!,1,FALSE())),"?TYPE_IDENTIFIABLE","?REFERENTIAL"),"_")))))</f>
        <v> </v>
      </c>
      <c r="H4826" s="24" t="str">
        <f>IF(J4826&lt;&gt;1,"",IF(I4826="SBJ","CB","?"))</f>
        <v> </v>
      </c>
      <c r="I4826" s="25" t="str">
        <f>IF(OR(E4826="",E4826="!!!",F4826="NEW"),"",INDEX(B4825:B$2,-1+SUMPRODUCT(MAX(ROW(E4825:E$2)*(E4826=E4825:E$2)))))</f>
        <v> </v>
      </c>
      <c r="J4826" s="25" t="str">
        <f>IF(OR(E4826="",E4826="!!!",F4826="NEW"),"",COUNTBLANK(OFFSET(A$1,,,SUMPRODUCT(MAX(ROW(E$2:E4826)*(E4826=E$2:E4826)))))-COUNTBLANK(OFFSET(A$1,,,SUMPRODUCT(MAX(ROW(E$1:E4825)*(E2=E$1:E4825))))))</f>
        <v> </v>
      </c>
      <c r="K4826" s="25" t="str">
        <f>IF(OR(E4826="",E4826="!!!",F4826="NEW"),"",INDEX(J$1:J4825,SUMPRODUCT(MAX(ROW(E$1:E4825)*(E4826=E$1:E4825)))))</f>
        <v> </v>
      </c>
      <c r="L4826" s="26"/>
    </row>
    <row r="4827" spans="1:12">
      <c r="A4827" s="20" t="s">
        <v>757</v>
      </c>
      <c r="E4827" s="21">
        <f>IF(D4827="?OLD","!!!","")</f>
        <v/>
      </c>
      <c r="F4827" s="22" t="str">
        <f>IF(OR(E4827="",E4827="!!!"),"",IF(NOT(ISNA(VLOOKUP(E4827,E$1:E4826,1,FALSE()))),"OLD",IF(AND(E4827&lt;&gt;"",E4827&lt;&gt;"!!!"),"NEW","")))</f>
        <v> </v>
      </c>
      <c r="G4827" s="23" t="str">
        <f>IF(OR(E4827="",E4827="!!!"),"",IF(OR(J4827=0,AND(J4827=1,K4827=1),AND(J4827=1,I4827="SBJ"),AND(J4827=1,I4827=0)),"?IN_FOCUS",IF(J4827&lt;=2,"?ACTIVATED",IF(J4827&lt;&gt;"","?FAMILIAR",IF(F4827="NEW",IF(ISNA(VLOOKUP(E4827,#REF!,1,FALSE())),"?TYPE_IDENTIFIABLE","?REFERENTIAL"),"_")))))</f>
        <v> </v>
      </c>
      <c r="H4827" s="24" t="str">
        <f>IF(J4827&lt;&gt;1,"",IF(I4827="SBJ","CB","?"))</f>
        <v> </v>
      </c>
      <c r="I4827" s="25" t="str">
        <f>IF(OR(E4827="",E4827="!!!",F4827="NEW"),"",INDEX(B4826:B$2,-1+SUMPRODUCT(MAX(ROW(E4826:E$2)*(E4827=E4826:E$2)))))</f>
        <v> </v>
      </c>
      <c r="J4827" s="25" t="str">
        <f>IF(OR(E4827="",E4827="!!!",F4827="NEW"),"",COUNTBLANK(OFFSET(A$1,,,SUMPRODUCT(MAX(ROW(E$2:E4827)*(E4827=E$2:E4827)))))-COUNTBLANK(OFFSET(A$1,,,SUMPRODUCT(MAX(ROW(E$1:E4826)*(E2=E$1:E4826))))))</f>
        <v> </v>
      </c>
      <c r="K4827" s="25" t="str">
        <f>IF(OR(E4827="",E4827="!!!",F4827="NEW"),"",INDEX(J$1:J4826,SUMPRODUCT(MAX(ROW(E$1:E4826)*(E4827=E$1:E4826)))))</f>
        <v> </v>
      </c>
      <c r="L4827" s="26"/>
    </row>
    <row r="4828" spans="1:12">
      <c r="A4828" s="20" t="s">
        <v>1155</v>
      </c>
      <c r="B4828" s="27" t="s">
        <v>760</v>
      </c>
      <c r="C4828" s="27" t="s">
        <v>797</v>
      </c>
      <c r="D4828" s="27" t="s">
        <v>762</v>
      </c>
      <c r="E4828" s="21">
        <f>IF(D4828="?OLD","!!!","")</f>
        <v/>
      </c>
      <c r="F4828" s="22" t="str">
        <f>IF(OR(E4828="",E4828="!!!"),"",IF(NOT(ISNA(VLOOKUP(E4828,E$1:E4827,1,FALSE()))),"OLD",IF(AND(E4828&lt;&gt;"",E4828&lt;&gt;"!!!"),"NEW","")))</f>
        <v> </v>
      </c>
      <c r="G4828" s="23" t="str">
        <f>IF(OR(E4828="",E4828="!!!"),"",IF(OR(J4828=0,AND(J4828=1,K4828=1),AND(J4828=1,I4828="SBJ"),AND(J4828=1,I4828=0)),"?IN_FOCUS",IF(J4828&lt;=2,"?ACTIVATED",IF(J4828&lt;&gt;"","?FAMILIAR",IF(F4828="NEW",IF(ISNA(VLOOKUP(E4828,#REF!,1,FALSE())),"?TYPE_IDENTIFIABLE","?REFERENTIAL"),"_")))))</f>
        <v> </v>
      </c>
      <c r="H4828" s="24" t="str">
        <f>IF(J4828&lt;&gt;1,"",IF(I4828="SBJ","CB","?"))</f>
        <v> </v>
      </c>
      <c r="I4828" s="25" t="str">
        <f>IF(OR(E4828="",E4828="!!!",F4828="NEW"),"",INDEX(B4827:B$2,-1+SUMPRODUCT(MAX(ROW(E4827:E$2)*(E4828=E4827:E$2)))))</f>
        <v> </v>
      </c>
      <c r="J4828" s="25" t="str">
        <f>IF(OR(E4828="",E4828="!!!",F4828="NEW"),"",COUNTBLANK(OFFSET(A$1,,,SUMPRODUCT(MAX(ROW(E$2:E4828)*(E4828=E$2:E4828)))))-COUNTBLANK(OFFSET(A$1,,,SUMPRODUCT(MAX(ROW(E$1:E4827)*(E2=E$1:E4827))))))</f>
        <v> </v>
      </c>
      <c r="K4828" s="25" t="str">
        <f>IF(OR(E4828="",E4828="!!!",F4828="NEW"),"",INDEX(J$1:J4827,SUMPRODUCT(MAX(ROW(E$1:E4827)*(E4828=E$1:E4827)))))</f>
        <v> </v>
      </c>
      <c r="L4828" s="26"/>
    </row>
    <row r="4829" spans="1:12">
      <c r="A4829" s="20" t="s">
        <v>1004</v>
      </c>
      <c r="E4829" s="21">
        <f>IF(D4829="?OLD","!!!","")</f>
        <v/>
      </c>
      <c r="F4829" s="22" t="str">
        <f>IF(OR(E4829="",E4829="!!!"),"",IF(NOT(ISNA(VLOOKUP(E4829,E$1:E4828,1,FALSE()))),"OLD",IF(AND(E4829&lt;&gt;"",E4829&lt;&gt;"!!!"),"NEW","")))</f>
        <v> </v>
      </c>
      <c r="G4829" s="23" t="str">
        <f>IF(OR(E4829="",E4829="!!!"),"",IF(OR(J4829=0,AND(J4829=1,K4829=1),AND(J4829=1,I4829="SBJ"),AND(J4829=1,I4829=0)),"?IN_FOCUS",IF(J4829&lt;=2,"?ACTIVATED",IF(J4829&lt;&gt;"","?FAMILIAR",IF(F4829="NEW",IF(ISNA(VLOOKUP(E4829,#REF!,1,FALSE())),"?TYPE_IDENTIFIABLE","?REFERENTIAL"),"_")))))</f>
        <v> </v>
      </c>
      <c r="H4829" s="24" t="str">
        <f>IF(J4829&lt;&gt;1,"",IF(I4829="SBJ","CB","?"))</f>
        <v> </v>
      </c>
      <c r="I4829" s="25" t="str">
        <f>IF(OR(E4829="",E4829="!!!",F4829="NEW"),"",INDEX(B4828:B$2,-1+SUMPRODUCT(MAX(ROW(E4828:E$2)*(E4829=E4828:E$2)))))</f>
        <v> </v>
      </c>
      <c r="J4829" s="25" t="str">
        <f>IF(OR(E4829="",E4829="!!!",F4829="NEW"),"",COUNTBLANK(OFFSET(A$1,,,SUMPRODUCT(MAX(ROW(E$2:E4829)*(E4829=E$2:E4829)))))-COUNTBLANK(OFFSET(A$1,,,SUMPRODUCT(MAX(ROW(E$1:E4828)*(E2=E$1:E4828))))))</f>
        <v> </v>
      </c>
      <c r="K4829" s="25" t="str">
        <f>IF(OR(E4829="",E4829="!!!",F4829="NEW"),"",INDEX(J$1:J4828,SUMPRODUCT(MAX(ROW(E$1:E4828)*(E4829=E$1:E4828)))))</f>
        <v> </v>
      </c>
      <c r="L4829" s="26"/>
    </row>
    <row r="4830" spans="1:12">
      <c r="A4830" s="20" t="s">
        <v>888</v>
      </c>
      <c r="E4830" s="21">
        <f>IF(D4830="?OLD","!!!","")</f>
        <v/>
      </c>
      <c r="F4830" s="22" t="str">
        <f>IF(OR(E4830="",E4830="!!!"),"",IF(NOT(ISNA(VLOOKUP(E4830,E$1:E4829,1,FALSE()))),"OLD",IF(AND(E4830&lt;&gt;"",E4830&lt;&gt;"!!!"),"NEW","")))</f>
        <v> </v>
      </c>
      <c r="G4830" s="23" t="str">
        <f>IF(OR(E4830="",E4830="!!!"),"",IF(OR(J4830=0,AND(J4830=1,K4830=1),AND(J4830=1,I4830="SBJ"),AND(J4830=1,I4830=0)),"?IN_FOCUS",IF(J4830&lt;=2,"?ACTIVATED",IF(J4830&lt;&gt;"","?FAMILIAR",IF(F4830="NEW",IF(ISNA(VLOOKUP(E4830,#REF!,1,FALSE())),"?TYPE_IDENTIFIABLE","?REFERENTIAL"),"_")))))</f>
        <v> </v>
      </c>
      <c r="H4830" s="24" t="str">
        <f>IF(J4830&lt;&gt;1,"",IF(I4830="SBJ","CB","?"))</f>
        <v> </v>
      </c>
      <c r="I4830" s="25" t="str">
        <f>IF(OR(E4830="",E4830="!!!",F4830="NEW"),"",INDEX(B4829:B$2,-1+SUMPRODUCT(MAX(ROW(E4829:E$2)*(E4830=E4829:E$2)))))</f>
        <v> </v>
      </c>
      <c r="J4830" s="25" t="str">
        <f>IF(OR(E4830="",E4830="!!!",F4830="NEW"),"",COUNTBLANK(OFFSET(A$1,,,SUMPRODUCT(MAX(ROW(E$2:E4830)*(E4830=E$2:E4830)))))-COUNTBLANK(OFFSET(A$1,,,SUMPRODUCT(MAX(ROW(E$1:E4829)*(E2=E$1:E4829))))))</f>
        <v> </v>
      </c>
      <c r="K4830" s="25" t="str">
        <f>IF(OR(E4830="",E4830="!!!",F4830="NEW"),"",INDEX(J$1:J4829,SUMPRODUCT(MAX(ROW(E$1:E4829)*(E4830=E$1:E4829)))))</f>
        <v> </v>
      </c>
      <c r="L4830" s="26"/>
    </row>
    <row r="4831" spans="1:12">
      <c r="A4831" s="20" t="s">
        <v>793</v>
      </c>
      <c r="E4831" s="21">
        <f>IF(D4831="?OLD","!!!","")</f>
        <v/>
      </c>
      <c r="F4831" s="22" t="str">
        <f>IF(OR(E4831="",E4831="!!!"),"",IF(NOT(ISNA(VLOOKUP(E4831,E$1:E4830,1,FALSE()))),"OLD",IF(AND(E4831&lt;&gt;"",E4831&lt;&gt;"!!!"),"NEW","")))</f>
        <v> </v>
      </c>
      <c r="G4831" s="23" t="str">
        <f>IF(OR(E4831="",E4831="!!!"),"",IF(OR(J4831=0,AND(J4831=1,K4831=1),AND(J4831=1,I4831="SBJ"),AND(J4831=1,I4831=0)),"?IN_FOCUS",IF(J4831&lt;=2,"?ACTIVATED",IF(J4831&lt;&gt;"","?FAMILIAR",IF(F4831="NEW",IF(ISNA(VLOOKUP(E4831,#REF!,1,FALSE())),"?TYPE_IDENTIFIABLE","?REFERENTIAL"),"_")))))</f>
        <v> </v>
      </c>
      <c r="H4831" s="24" t="str">
        <f>IF(J4831&lt;&gt;1,"",IF(I4831="SBJ","CB","?"))</f>
        <v> </v>
      </c>
      <c r="I4831" s="25" t="str">
        <f>IF(OR(E4831="",E4831="!!!",F4831="NEW"),"",INDEX(B4830:B$2,-1+SUMPRODUCT(MAX(ROW(E4830:E$2)*(E4831=E4830:E$2)))))</f>
        <v> </v>
      </c>
      <c r="J4831" s="25" t="str">
        <f>IF(OR(E4831="",E4831="!!!",F4831="NEW"),"",COUNTBLANK(OFFSET(A$1,,,SUMPRODUCT(MAX(ROW(E$2:E4831)*(E4831=E$2:E4831)))))-COUNTBLANK(OFFSET(A$1,,,SUMPRODUCT(MAX(ROW(E$1:E4830)*(E2=E$1:E4830))))))</f>
        <v> </v>
      </c>
      <c r="K4831" s="25" t="str">
        <f>IF(OR(E4831="",E4831="!!!",F4831="NEW"),"",INDEX(J$1:J4830,SUMPRODUCT(MAX(ROW(E$1:E4830)*(E4831=E$1:E4830)))))</f>
        <v> </v>
      </c>
      <c r="L4831" s="26"/>
    </row>
    <row r="4832" spans="1:12">
      <c r="A4832" s="20" t="s">
        <v>1319</v>
      </c>
      <c r="B4832" s="27" t="s">
        <v>879</v>
      </c>
      <c r="C4832" s="27" t="s">
        <v>851</v>
      </c>
      <c r="D4832" s="27" t="s">
        <v>762</v>
      </c>
      <c r="E4832" s="21">
        <f>IF(D4832="?OLD","!!!","")</f>
        <v/>
      </c>
      <c r="F4832" s="22" t="str">
        <f>IF(OR(E4832="",E4832="!!!"),"",IF(NOT(ISNA(VLOOKUP(E4832,E$1:E4831,1,FALSE()))),"OLD",IF(AND(E4832&lt;&gt;"",E4832&lt;&gt;"!!!"),"NEW","")))</f>
        <v> </v>
      </c>
      <c r="G4832" s="23" t="str">
        <f>IF(OR(E4832="",E4832="!!!"),"",IF(OR(J4832=0,AND(J4832=1,K4832=1),AND(J4832=1,I4832="SBJ"),AND(J4832=1,I4832=0)),"?IN_FOCUS",IF(J4832&lt;=2,"?ACTIVATED",IF(J4832&lt;&gt;"","?FAMILIAR",IF(F4832="NEW",IF(ISNA(VLOOKUP(E4832,#REF!,1,FALSE())),"?TYPE_IDENTIFIABLE","?REFERENTIAL"),"_")))))</f>
        <v> </v>
      </c>
      <c r="H4832" s="24" t="str">
        <f>IF(J4832&lt;&gt;1,"",IF(I4832="SBJ","CB","?"))</f>
        <v> </v>
      </c>
      <c r="I4832" s="25" t="str">
        <f>IF(OR(E4832="",E4832="!!!",F4832="NEW"),"",INDEX(B4831:B$2,-1+SUMPRODUCT(MAX(ROW(E4831:E$2)*(E4832=E4831:E$2)))))</f>
        <v> </v>
      </c>
      <c r="J4832" s="25" t="str">
        <f>IF(OR(E4832="",E4832="!!!",F4832="NEW"),"",COUNTBLANK(OFFSET(A$1,,,SUMPRODUCT(MAX(ROW(E$2:E4832)*(E4832=E$2:E4832)))))-COUNTBLANK(OFFSET(A$1,,,SUMPRODUCT(MAX(ROW(E$1:E4831)*(E2=E$1:E4831))))))</f>
        <v> </v>
      </c>
      <c r="K4832" s="25" t="str">
        <f>IF(OR(E4832="",E4832="!!!",F4832="NEW"),"",INDEX(J$1:J4831,SUMPRODUCT(MAX(ROW(E$1:E4831)*(E4832=E$1:E4831)))))</f>
        <v> </v>
      </c>
      <c r="L4832" s="26"/>
    </row>
    <row r="4833" spans="1:12">
      <c r="A4833" s="20" t="s">
        <v>1617</v>
      </c>
      <c r="B4833" s="27" t="s">
        <v>796</v>
      </c>
      <c r="C4833" s="27" t="s">
        <v>837</v>
      </c>
      <c r="D4833" s="27" t="s">
        <v>762</v>
      </c>
      <c r="E4833" s="21">
        <f>IF(D4833="?OLD","!!!","")</f>
        <v/>
      </c>
      <c r="F4833" s="22" t="str">
        <f>IF(OR(E4833="",E4833="!!!"),"",IF(NOT(ISNA(VLOOKUP(E4833,E$1:E4832,1,FALSE()))),"OLD",IF(AND(E4833&lt;&gt;"",E4833&lt;&gt;"!!!"),"NEW","")))</f>
        <v> </v>
      </c>
      <c r="G4833" s="23" t="str">
        <f>IF(OR(E4833="",E4833="!!!"),"",IF(OR(J4833=0,AND(J4833=1,K4833=1),AND(J4833=1,I4833="SBJ"),AND(J4833=1,I4833=0)),"?IN_FOCUS",IF(J4833&lt;=2,"?ACTIVATED",IF(J4833&lt;&gt;"","?FAMILIAR",IF(F4833="NEW",IF(ISNA(VLOOKUP(E4833,#REF!,1,FALSE())),"?TYPE_IDENTIFIABLE","?REFERENTIAL"),"_")))))</f>
        <v> </v>
      </c>
      <c r="H4833" s="24" t="str">
        <f>IF(J4833&lt;&gt;1,"",IF(I4833="SBJ","CB","?"))</f>
        <v> </v>
      </c>
      <c r="I4833" s="25" t="str">
        <f>IF(OR(E4833="",E4833="!!!",F4833="NEW"),"",INDEX(B4832:B$2,-1+SUMPRODUCT(MAX(ROW(E4832:E$2)*(E4833=E4832:E$2)))))</f>
        <v> </v>
      </c>
      <c r="J4833" s="25" t="str">
        <f>IF(OR(E4833="",E4833="!!!",F4833="NEW"),"",COUNTBLANK(OFFSET(A$1,,,SUMPRODUCT(MAX(ROW(E$2:E4833)*(E4833=E$2:E4833)))))-COUNTBLANK(OFFSET(A$1,,,SUMPRODUCT(MAX(ROW(E$1:E4832)*(E2=E$1:E4832))))))</f>
        <v> </v>
      </c>
      <c r="K4833" s="25" t="str">
        <f>IF(OR(E4833="",E4833="!!!",F4833="NEW"),"",INDEX(J$1:J4832,SUMPRODUCT(MAX(ROW(E$1:E4832)*(E4833=E$1:E4832)))))</f>
        <v> </v>
      </c>
      <c r="L4833" s="26"/>
    </row>
    <row r="4834" spans="1:12">
      <c r="A4834" s="20" t="s">
        <v>915</v>
      </c>
      <c r="E4834" s="21">
        <f>IF(D4834="?OLD","!!!","")</f>
        <v/>
      </c>
      <c r="F4834" s="22" t="str">
        <f>IF(OR(E4834="",E4834="!!!"),"",IF(NOT(ISNA(VLOOKUP(E4834,E$1:E4833,1,FALSE()))),"OLD",IF(AND(E4834&lt;&gt;"",E4834&lt;&gt;"!!!"),"NEW","")))</f>
        <v> </v>
      </c>
      <c r="G4834" s="23" t="str">
        <f>IF(OR(E4834="",E4834="!!!"),"",IF(OR(J4834=0,AND(J4834=1,K4834=1),AND(J4834=1,I4834="SBJ"),AND(J4834=1,I4834=0)),"?IN_FOCUS",IF(J4834&lt;=2,"?ACTIVATED",IF(J4834&lt;&gt;"","?FAMILIAR",IF(F4834="NEW",IF(ISNA(VLOOKUP(E4834,#REF!,1,FALSE())),"?TYPE_IDENTIFIABLE","?REFERENTIAL"),"_")))))</f>
        <v> </v>
      </c>
      <c r="H4834" s="24" t="str">
        <f>IF(J4834&lt;&gt;1,"",IF(I4834="SBJ","CB","?"))</f>
        <v> </v>
      </c>
      <c r="I4834" s="25" t="str">
        <f>IF(OR(E4834="",E4834="!!!",F4834="NEW"),"",INDEX(B4833:B$2,-1+SUMPRODUCT(MAX(ROW(E4833:E$2)*(E4834=E4833:E$2)))))</f>
        <v> </v>
      </c>
      <c r="J4834" s="25" t="str">
        <f>IF(OR(E4834="",E4834="!!!",F4834="NEW"),"",COUNTBLANK(OFFSET(A$1,,,SUMPRODUCT(MAX(ROW(E$2:E4834)*(E4834=E$2:E4834)))))-COUNTBLANK(OFFSET(A$1,,,SUMPRODUCT(MAX(ROW(E$1:E4833)*(E2=E$1:E4833))))))</f>
        <v> </v>
      </c>
      <c r="K4834" s="25" t="str">
        <f>IF(OR(E4834="",E4834="!!!",F4834="NEW"),"",INDEX(J$1:J4833,SUMPRODUCT(MAX(ROW(E$1:E4833)*(E4834=E$1:E4833)))))</f>
        <v> </v>
      </c>
      <c r="L4834" s="26"/>
    </row>
    <row r="4835" spans="1:12">
      <c r="A4835" s="20" t="s">
        <v>2045</v>
      </c>
      <c r="E4835" s="21">
        <f>IF(D4835="?OLD","!!!","")</f>
        <v/>
      </c>
      <c r="F4835" s="22" t="str">
        <f>IF(OR(E4835="",E4835="!!!"),"",IF(NOT(ISNA(VLOOKUP(E4835,E$1:E4834,1,FALSE()))),"OLD",IF(AND(E4835&lt;&gt;"",E4835&lt;&gt;"!!!"),"NEW","")))</f>
        <v> </v>
      </c>
      <c r="G4835" s="23" t="str">
        <f>IF(OR(E4835="",E4835="!!!"),"",IF(OR(J4835=0,AND(J4835=1,K4835=1),AND(J4835=1,I4835="SBJ"),AND(J4835=1,I4835=0)),"?IN_FOCUS",IF(J4835&lt;=2,"?ACTIVATED",IF(J4835&lt;&gt;"","?FAMILIAR",IF(F4835="NEW",IF(ISNA(VLOOKUP(E4835,#REF!,1,FALSE())),"?TYPE_IDENTIFIABLE","?REFERENTIAL"),"_")))))</f>
        <v> </v>
      </c>
      <c r="H4835" s="24" t="str">
        <f>IF(J4835&lt;&gt;1,"",IF(I4835="SBJ","CB","?"))</f>
        <v> </v>
      </c>
      <c r="I4835" s="25" t="str">
        <f>IF(OR(E4835="",E4835="!!!",F4835="NEW"),"",INDEX(B4834:B$2,-1+SUMPRODUCT(MAX(ROW(E4834:E$2)*(E4835=E4834:E$2)))))</f>
        <v> </v>
      </c>
      <c r="J4835" s="25" t="str">
        <f>IF(OR(E4835="",E4835="!!!",F4835="NEW"),"",COUNTBLANK(OFFSET(A$1,,,SUMPRODUCT(MAX(ROW(E$2:E4835)*(E4835=E$2:E4835)))))-COUNTBLANK(OFFSET(A$1,,,SUMPRODUCT(MAX(ROW(E$1:E4834)*(E2=E$1:E4834))))))</f>
        <v> </v>
      </c>
      <c r="K4835" s="25" t="str">
        <f>IF(OR(E4835="",E4835="!!!",F4835="NEW"),"",INDEX(J$1:J4834,SUMPRODUCT(MAX(ROW(E$1:E4834)*(E4835=E$1:E4834)))))</f>
        <v> </v>
      </c>
      <c r="L4835" s="26"/>
    </row>
    <row r="4836" spans="1:12">
      <c r="A4836" s="20" t="s">
        <v>2046</v>
      </c>
      <c r="E4836" s="21">
        <f>IF(D4836="?OLD","!!!","")</f>
        <v/>
      </c>
      <c r="F4836" s="22" t="str">
        <f>IF(OR(E4836="",E4836="!!!"),"",IF(NOT(ISNA(VLOOKUP(E4836,E$1:E4835,1,FALSE()))),"OLD",IF(AND(E4836&lt;&gt;"",E4836&lt;&gt;"!!!"),"NEW","")))</f>
        <v> </v>
      </c>
      <c r="G4836" s="23" t="str">
        <f>IF(OR(E4836="",E4836="!!!"),"",IF(OR(J4836=0,AND(J4836=1,K4836=1),AND(J4836=1,I4836="SBJ"),AND(J4836=1,I4836=0)),"?IN_FOCUS",IF(J4836&lt;=2,"?ACTIVATED",IF(J4836&lt;&gt;"","?FAMILIAR",IF(F4836="NEW",IF(ISNA(VLOOKUP(E4836,#REF!,1,FALSE())),"?TYPE_IDENTIFIABLE","?REFERENTIAL"),"_")))))</f>
        <v> </v>
      </c>
      <c r="H4836" s="24" t="str">
        <f>IF(J4836&lt;&gt;1,"",IF(I4836="SBJ","CB","?"))</f>
        <v> </v>
      </c>
      <c r="I4836" s="25" t="str">
        <f>IF(OR(E4836="",E4836="!!!",F4836="NEW"),"",INDEX(B4835:B$2,-1+SUMPRODUCT(MAX(ROW(E4835:E$2)*(E4836=E4835:E$2)))))</f>
        <v> </v>
      </c>
      <c r="J4836" s="25" t="str">
        <f>IF(OR(E4836="",E4836="!!!",F4836="NEW"),"",COUNTBLANK(OFFSET(A$1,,,SUMPRODUCT(MAX(ROW(E$2:E4836)*(E4836=E$2:E4836)))))-COUNTBLANK(OFFSET(A$1,,,SUMPRODUCT(MAX(ROW(E$1:E4835)*(E2=E$1:E4835))))))</f>
        <v> </v>
      </c>
      <c r="K4836" s="25" t="str">
        <f>IF(OR(E4836="",E4836="!!!",F4836="NEW"),"",INDEX(J$1:J4835,SUMPRODUCT(MAX(ROW(E$1:E4835)*(E4836=E$1:E4835)))))</f>
        <v> </v>
      </c>
      <c r="L4836" s="26"/>
    </row>
    <row r="4837" spans="1:12">
      <c r="A4837" s="20" t="s">
        <v>810</v>
      </c>
      <c r="E4837" s="21">
        <f>IF(D4837="?OLD","!!!","")</f>
        <v/>
      </c>
      <c r="F4837" s="22" t="str">
        <f>IF(OR(E4837="",E4837="!!!"),"",IF(NOT(ISNA(VLOOKUP(E4837,E$1:E4836,1,FALSE()))),"OLD",IF(AND(E4837&lt;&gt;"",E4837&lt;&gt;"!!!"),"NEW","")))</f>
        <v> </v>
      </c>
      <c r="G4837" s="23" t="str">
        <f>IF(OR(E4837="",E4837="!!!"),"",IF(OR(J4837=0,AND(J4837=1,K4837=1),AND(J4837=1,I4837="SBJ"),AND(J4837=1,I4837=0)),"?IN_FOCUS",IF(J4837&lt;=2,"?ACTIVATED",IF(J4837&lt;&gt;"","?FAMILIAR",IF(F4837="NEW",IF(ISNA(VLOOKUP(E4837,#REF!,1,FALSE())),"?TYPE_IDENTIFIABLE","?REFERENTIAL"),"_")))))</f>
        <v> </v>
      </c>
      <c r="H4837" s="24" t="str">
        <f>IF(J4837&lt;&gt;1,"",IF(I4837="SBJ","CB","?"))</f>
        <v> </v>
      </c>
      <c r="I4837" s="25" t="str">
        <f>IF(OR(E4837="",E4837="!!!",F4837="NEW"),"",INDEX(B4836:B$2,-1+SUMPRODUCT(MAX(ROW(E4836:E$2)*(E4837=E4836:E$2)))))</f>
        <v> </v>
      </c>
      <c r="J4837" s="25" t="str">
        <f>IF(OR(E4837="",E4837="!!!",F4837="NEW"),"",COUNTBLANK(OFFSET(A$1,,,SUMPRODUCT(MAX(ROW(E$2:E4837)*(E4837=E$2:E4837)))))-COUNTBLANK(OFFSET(A$1,,,SUMPRODUCT(MAX(ROW(E$1:E4836)*(E2=E$1:E4836))))))</f>
        <v> </v>
      </c>
      <c r="K4837" s="25" t="str">
        <f>IF(OR(E4837="",E4837="!!!",F4837="NEW"),"",INDEX(J$1:J4836,SUMPRODUCT(MAX(ROW(E$1:E4836)*(E4837=E$1:E4836)))))</f>
        <v> </v>
      </c>
      <c r="L4837" s="26"/>
    </row>
    <row r="4838" spans="1:12">
      <c r="A4838" s="20" t="s">
        <v>793</v>
      </c>
      <c r="E4838" s="21">
        <f>IF(D4838="?OLD","!!!","")</f>
        <v/>
      </c>
      <c r="F4838" s="22" t="str">
        <f>IF(OR(E4838="",E4838="!!!"),"",IF(NOT(ISNA(VLOOKUP(E4838,E$1:E4837,1,FALSE()))),"OLD",IF(AND(E4838&lt;&gt;"",E4838&lt;&gt;"!!!"),"NEW","")))</f>
        <v> </v>
      </c>
      <c r="G4838" s="23" t="str">
        <f>IF(OR(E4838="",E4838="!!!"),"",IF(OR(J4838=0,AND(J4838=1,K4838=1),AND(J4838=1,I4838="SBJ"),AND(J4838=1,I4838=0)),"?IN_FOCUS",IF(J4838&lt;=2,"?ACTIVATED",IF(J4838&lt;&gt;"","?FAMILIAR",IF(F4838="NEW",IF(ISNA(VLOOKUP(E4838,#REF!,1,FALSE())),"?TYPE_IDENTIFIABLE","?REFERENTIAL"),"_")))))</f>
        <v> </v>
      </c>
      <c r="H4838" s="24" t="str">
        <f>IF(J4838&lt;&gt;1,"",IF(I4838="SBJ","CB","?"))</f>
        <v> </v>
      </c>
      <c r="I4838" s="25" t="str">
        <f>IF(OR(E4838="",E4838="!!!",F4838="NEW"),"",INDEX(B4837:B$2,-1+SUMPRODUCT(MAX(ROW(E4837:E$2)*(E4838=E4837:E$2)))))</f>
        <v> </v>
      </c>
      <c r="J4838" s="25" t="str">
        <f>IF(OR(E4838="",E4838="!!!",F4838="NEW"),"",COUNTBLANK(OFFSET(A$1,,,SUMPRODUCT(MAX(ROW(E$2:E4838)*(E4838=E$2:E4838)))))-COUNTBLANK(OFFSET(A$1,,,SUMPRODUCT(MAX(ROW(E$1:E4837)*(E2=E$1:E4837))))))</f>
        <v> </v>
      </c>
      <c r="K4838" s="25" t="str">
        <f>IF(OR(E4838="",E4838="!!!",F4838="NEW"),"",INDEX(J$1:J4837,SUMPRODUCT(MAX(ROW(E$1:E4837)*(E4838=E$1:E4837)))))</f>
        <v> </v>
      </c>
      <c r="L4838" s="26"/>
    </row>
    <row r="4839" spans="1:12">
      <c r="A4839" s="20" t="s">
        <v>757</v>
      </c>
      <c r="E4839" s="21">
        <f>IF(D4839="?OLD","!!!","")</f>
        <v/>
      </c>
      <c r="F4839" s="22" t="str">
        <f>IF(OR(E4839="",E4839="!!!"),"",IF(NOT(ISNA(VLOOKUP(E4839,E$1:E4838,1,FALSE()))),"OLD",IF(AND(E4839&lt;&gt;"",E4839&lt;&gt;"!!!"),"NEW","")))</f>
        <v> </v>
      </c>
      <c r="G4839" s="23" t="str">
        <f>IF(OR(E4839="",E4839="!!!"),"",IF(OR(J4839=0,AND(J4839=1,K4839=1),AND(J4839=1,I4839="SBJ"),AND(J4839=1,I4839=0)),"?IN_FOCUS",IF(J4839&lt;=2,"?ACTIVATED",IF(J4839&lt;&gt;"","?FAMILIAR",IF(F4839="NEW",IF(ISNA(VLOOKUP(E4839,#REF!,1,FALSE())),"?TYPE_IDENTIFIABLE","?REFERENTIAL"),"_")))))</f>
        <v> </v>
      </c>
      <c r="H4839" s="24" t="str">
        <f>IF(J4839&lt;&gt;1,"",IF(I4839="SBJ","CB","?"))</f>
        <v> </v>
      </c>
      <c r="I4839" s="25" t="str">
        <f>IF(OR(E4839="",E4839="!!!",F4839="NEW"),"",INDEX(B4838:B$2,-1+SUMPRODUCT(MAX(ROW(E4838:E$2)*(E4839=E4838:E$2)))))</f>
        <v> </v>
      </c>
      <c r="J4839" s="25" t="str">
        <f>IF(OR(E4839="",E4839="!!!",F4839="NEW"),"",COUNTBLANK(OFFSET(A$1,,,SUMPRODUCT(MAX(ROW(E$2:E4839)*(E4839=E$2:E4839)))))-COUNTBLANK(OFFSET(A$1,,,SUMPRODUCT(MAX(ROW(E$1:E4838)*(E2=E$1:E4838))))))</f>
        <v> </v>
      </c>
      <c r="K4839" s="25" t="str">
        <f>IF(OR(E4839="",E4839="!!!",F4839="NEW"),"",INDEX(J$1:J4838,SUMPRODUCT(MAX(ROW(E$1:E4838)*(E4839=E$1:E4838)))))</f>
        <v> </v>
      </c>
      <c r="L4839" s="26"/>
    </row>
    <row r="4840" spans="1:12">
      <c r="A4840" s="20" t="s">
        <v>2019</v>
      </c>
      <c r="E4840" s="21">
        <f>IF(D4840="?OLD","!!!","")</f>
        <v/>
      </c>
      <c r="F4840" s="22" t="str">
        <f>IF(OR(E4840="",E4840="!!!"),"",IF(NOT(ISNA(VLOOKUP(E4840,E$1:E4839,1,FALSE()))),"OLD",IF(AND(E4840&lt;&gt;"",E4840&lt;&gt;"!!!"),"NEW","")))</f>
        <v> </v>
      </c>
      <c r="G4840" s="23" t="str">
        <f>IF(OR(E4840="",E4840="!!!"),"",IF(OR(J4840=0,AND(J4840=1,K4840=1),AND(J4840=1,I4840="SBJ"),AND(J4840=1,I4840=0)),"?IN_FOCUS",IF(J4840&lt;=2,"?ACTIVATED",IF(J4840&lt;&gt;"","?FAMILIAR",IF(F4840="NEW",IF(ISNA(VLOOKUP(E4840,#REF!,1,FALSE())),"?TYPE_IDENTIFIABLE","?REFERENTIAL"),"_")))))</f>
        <v> </v>
      </c>
      <c r="H4840" s="24" t="str">
        <f>IF(J4840&lt;&gt;1,"",IF(I4840="SBJ","CB","?"))</f>
        <v> </v>
      </c>
      <c r="I4840" s="25" t="str">
        <f>IF(OR(E4840="",E4840="!!!",F4840="NEW"),"",INDEX(B4839:B$2,-1+SUMPRODUCT(MAX(ROW(E4839:E$2)*(E4840=E4839:E$2)))))</f>
        <v> </v>
      </c>
      <c r="J4840" s="25" t="str">
        <f>IF(OR(E4840="",E4840="!!!",F4840="NEW"),"",COUNTBLANK(OFFSET(A$1,,,SUMPRODUCT(MAX(ROW(E$2:E4840)*(E4840=E$2:E4840)))))-COUNTBLANK(OFFSET(A$1,,,SUMPRODUCT(MAX(ROW(E$1:E4839)*(E2=E$1:E4839))))))</f>
        <v> </v>
      </c>
      <c r="K4840" s="25" t="str">
        <f>IF(OR(E4840="",E4840="!!!",F4840="NEW"),"",INDEX(J$1:J4839,SUMPRODUCT(MAX(ROW(E$1:E4839)*(E4840=E$1:E4839)))))</f>
        <v> </v>
      </c>
      <c r="L4840" s="26"/>
    </row>
    <row r="4841" spans="1:12">
      <c r="A4841" s="20" t="s">
        <v>757</v>
      </c>
      <c r="E4841" s="21">
        <f>IF(D4841="?OLD","!!!","")</f>
        <v/>
      </c>
      <c r="F4841" s="22" t="str">
        <f>IF(OR(E4841="",E4841="!!!"),"",IF(NOT(ISNA(VLOOKUP(E4841,E$1:E4840,1,FALSE()))),"OLD",IF(AND(E4841&lt;&gt;"",E4841&lt;&gt;"!!!"),"NEW","")))</f>
        <v> </v>
      </c>
      <c r="G4841" s="23" t="str">
        <f>IF(OR(E4841="",E4841="!!!"),"",IF(OR(J4841=0,AND(J4841=1,K4841=1),AND(J4841=1,I4841="SBJ"),AND(J4841=1,I4841=0)),"?IN_FOCUS",IF(J4841&lt;=2,"?ACTIVATED",IF(J4841&lt;&gt;"","?FAMILIAR",IF(F4841="NEW",IF(ISNA(VLOOKUP(E4841,#REF!,1,FALSE())),"?TYPE_IDENTIFIABLE","?REFERENTIAL"),"_")))))</f>
        <v> </v>
      </c>
      <c r="H4841" s="24" t="str">
        <f>IF(J4841&lt;&gt;1,"",IF(I4841="SBJ","CB","?"))</f>
        <v> </v>
      </c>
      <c r="I4841" s="25" t="str">
        <f>IF(OR(E4841="",E4841="!!!",F4841="NEW"),"",INDEX(B4840:B$2,-1+SUMPRODUCT(MAX(ROW(E4840:E$2)*(E4841=E4840:E$2)))))</f>
        <v> </v>
      </c>
      <c r="J4841" s="25" t="str">
        <f>IF(OR(E4841="",E4841="!!!",F4841="NEW"),"",COUNTBLANK(OFFSET(A$1,,,SUMPRODUCT(MAX(ROW(E$2:E4841)*(E4841=E$2:E4841)))))-COUNTBLANK(OFFSET(A$1,,,SUMPRODUCT(MAX(ROW(E$1:E4840)*(E2=E$1:E4840))))))</f>
        <v> </v>
      </c>
      <c r="K4841" s="25" t="str">
        <f>IF(OR(E4841="",E4841="!!!",F4841="NEW"),"",INDEX(J$1:J4840,SUMPRODUCT(MAX(ROW(E$1:E4840)*(E4841=E$1:E4840)))))</f>
        <v> </v>
      </c>
      <c r="L4841" s="26"/>
    </row>
    <row r="4842" spans="1:12">
      <c r="A4842" s="20" t="s">
        <v>697</v>
      </c>
      <c r="B4842" s="27" t="s">
        <v>956</v>
      </c>
      <c r="C4842" s="27" t="s">
        <v>797</v>
      </c>
      <c r="D4842" s="27" t="s">
        <v>762</v>
      </c>
      <c r="E4842" s="21">
        <f>IF(D4842="?OLD","!!!","")</f>
        <v/>
      </c>
      <c r="F4842" s="22" t="str">
        <f>IF(OR(E4842="",E4842="!!!"),"",IF(NOT(ISNA(VLOOKUP(E4842,E$1:E4841,1,FALSE()))),"OLD",IF(AND(E4842&lt;&gt;"",E4842&lt;&gt;"!!!"),"NEW","")))</f>
        <v> </v>
      </c>
      <c r="G4842" s="23" t="str">
        <f>IF(OR(E4842="",E4842="!!!"),"",IF(OR(J4842=0,AND(J4842=1,K4842=1),AND(J4842=1,I4842="SBJ"),AND(J4842=1,I4842=0)),"?IN_FOCUS",IF(J4842&lt;=2,"?ACTIVATED",IF(J4842&lt;&gt;"","?FAMILIAR",IF(F4842="NEW",IF(ISNA(VLOOKUP(E4842,#REF!,1,FALSE())),"?TYPE_IDENTIFIABLE","?REFERENTIAL"),"_")))))</f>
        <v> </v>
      </c>
      <c r="H4842" s="24" t="str">
        <f>IF(J4842&lt;&gt;1,"",IF(I4842="SBJ","CB","?"))</f>
        <v> </v>
      </c>
      <c r="I4842" s="25" t="str">
        <f>IF(OR(E4842="",E4842="!!!",F4842="NEW"),"",INDEX(B4841:B$2,-1+SUMPRODUCT(MAX(ROW(E4841:E$2)*(E4842=E4841:E$2)))))</f>
        <v> </v>
      </c>
      <c r="J4842" s="25" t="str">
        <f>IF(OR(E4842="",E4842="!!!",F4842="NEW"),"",COUNTBLANK(OFFSET(A$1,,,SUMPRODUCT(MAX(ROW(E$2:E4842)*(E4842=E$2:E4842)))))-COUNTBLANK(OFFSET(A$1,,,SUMPRODUCT(MAX(ROW(E$1:E4841)*(E2=E$1:E4841))))))</f>
        <v> </v>
      </c>
      <c r="K4842" s="25" t="str">
        <f>IF(OR(E4842="",E4842="!!!",F4842="NEW"),"",INDEX(J$1:J4841,SUMPRODUCT(MAX(ROW(E$1:E4841)*(E4842=E$1:E4841)))))</f>
        <v> </v>
      </c>
      <c r="L4842" s="26"/>
    </row>
    <row r="4843" spans="1:12">
      <c r="A4843" s="20" t="s">
        <v>2029</v>
      </c>
      <c r="E4843" s="21">
        <f>IF(D4843="?OLD","!!!","")</f>
        <v/>
      </c>
      <c r="F4843" s="22" t="str">
        <f>IF(OR(E4843="",E4843="!!!"),"",IF(NOT(ISNA(VLOOKUP(E4843,E$1:E4842,1,FALSE()))),"OLD",IF(AND(E4843&lt;&gt;"",E4843&lt;&gt;"!!!"),"NEW","")))</f>
        <v> </v>
      </c>
      <c r="G4843" s="23" t="str">
        <f>IF(OR(E4843="",E4843="!!!"),"",IF(OR(J4843=0,AND(J4843=1,K4843=1),AND(J4843=1,I4843="SBJ"),AND(J4843=1,I4843=0)),"?IN_FOCUS",IF(J4843&lt;=2,"?ACTIVATED",IF(J4843&lt;&gt;"","?FAMILIAR",IF(F4843="NEW",IF(ISNA(VLOOKUP(E4843,#REF!,1,FALSE())),"?TYPE_IDENTIFIABLE","?REFERENTIAL"),"_")))))</f>
        <v> </v>
      </c>
      <c r="H4843" s="24" t="str">
        <f>IF(J4843&lt;&gt;1,"",IF(I4843="SBJ","CB","?"))</f>
        <v> </v>
      </c>
      <c r="I4843" s="25" t="str">
        <f>IF(OR(E4843="",E4843="!!!",F4843="NEW"),"",INDEX(B4842:B$2,-1+SUMPRODUCT(MAX(ROW(E4842:E$2)*(E4843=E4842:E$2)))))</f>
        <v> </v>
      </c>
      <c r="J4843" s="25" t="str">
        <f>IF(OR(E4843="",E4843="!!!",F4843="NEW"),"",COUNTBLANK(OFFSET(A$1,,,SUMPRODUCT(MAX(ROW(E$2:E4843)*(E4843=E$2:E4843)))))-COUNTBLANK(OFFSET(A$1,,,SUMPRODUCT(MAX(ROW(E$1:E4842)*(E2=E$1:E4842))))))</f>
        <v> </v>
      </c>
      <c r="K4843" s="25" t="str">
        <f>IF(OR(E4843="",E4843="!!!",F4843="NEW"),"",INDEX(J$1:J4842,SUMPRODUCT(MAX(ROW(E$1:E4842)*(E4843=E$1:E4842)))))</f>
        <v> </v>
      </c>
      <c r="L4843" s="26"/>
    </row>
    <row r="4844" spans="1:12">
      <c r="A4844" s="20" t="s">
        <v>931</v>
      </c>
      <c r="B4844" s="27" t="s">
        <v>901</v>
      </c>
      <c r="C4844" s="27" t="s">
        <v>851</v>
      </c>
      <c r="D4844" s="27" t="s">
        <v>762</v>
      </c>
      <c r="E4844" s="21">
        <f>IF(D4844="?OLD","!!!","")</f>
        <v/>
      </c>
      <c r="F4844" s="22" t="str">
        <f>IF(OR(E4844="",E4844="!!!"),"",IF(NOT(ISNA(VLOOKUP(E4844,E$1:E4843,1,FALSE()))),"OLD",IF(AND(E4844&lt;&gt;"",E4844&lt;&gt;"!!!"),"NEW","")))</f>
        <v> </v>
      </c>
      <c r="G4844" s="23" t="str">
        <f>IF(OR(E4844="",E4844="!!!"),"",IF(OR(J4844=0,AND(J4844=1,K4844=1),AND(J4844=1,I4844="SBJ"),AND(J4844=1,I4844=0)),"?IN_FOCUS",IF(J4844&lt;=2,"?ACTIVATED",IF(J4844&lt;&gt;"","?FAMILIAR",IF(F4844="NEW",IF(ISNA(VLOOKUP(E4844,#REF!,1,FALSE())),"?TYPE_IDENTIFIABLE","?REFERENTIAL"),"_")))))</f>
        <v> </v>
      </c>
      <c r="H4844" s="24" t="str">
        <f>IF(J4844&lt;&gt;1,"",IF(I4844="SBJ","CB","?"))</f>
        <v> </v>
      </c>
      <c r="I4844" s="25" t="str">
        <f>IF(OR(E4844="",E4844="!!!",F4844="NEW"),"",INDEX(B4843:B$2,-1+SUMPRODUCT(MAX(ROW(E4843:E$2)*(E4844=E4843:E$2)))))</f>
        <v> </v>
      </c>
      <c r="J4844" s="25" t="str">
        <f>IF(OR(E4844="",E4844="!!!",F4844="NEW"),"",COUNTBLANK(OFFSET(A$1,,,SUMPRODUCT(MAX(ROW(E$2:E4844)*(E4844=E$2:E4844)))))-COUNTBLANK(OFFSET(A$1,,,SUMPRODUCT(MAX(ROW(E$1:E4843)*(E2=E$1:E4843))))))</f>
        <v> </v>
      </c>
      <c r="K4844" s="25" t="str">
        <f>IF(OR(E4844="",E4844="!!!",F4844="NEW"),"",INDEX(J$1:J4843,SUMPRODUCT(MAX(ROW(E$1:E4843)*(E4844=E$1:E4843)))))</f>
        <v> </v>
      </c>
      <c r="L4844" s="26"/>
    </row>
    <row r="4845" spans="1:12">
      <c r="A4845" s="20" t="s">
        <v>1989</v>
      </c>
      <c r="B4845" s="27" t="s">
        <v>894</v>
      </c>
      <c r="C4845" s="27" t="s">
        <v>837</v>
      </c>
      <c r="D4845" s="27" t="s">
        <v>762</v>
      </c>
      <c r="E4845" s="21">
        <f>IF(D4845="?OLD","!!!","")</f>
        <v/>
      </c>
      <c r="F4845" s="22" t="str">
        <f>IF(OR(E4845="",E4845="!!!"),"",IF(NOT(ISNA(VLOOKUP(E4845,E$1:E4844,1,FALSE()))),"OLD",IF(AND(E4845&lt;&gt;"",E4845&lt;&gt;"!!!"),"NEW","")))</f>
        <v> </v>
      </c>
      <c r="G4845" s="23" t="str">
        <f>IF(OR(E4845="",E4845="!!!"),"",IF(OR(J4845=0,AND(J4845=1,K4845=1),AND(J4845=1,I4845="SBJ"),AND(J4845=1,I4845=0)),"?IN_FOCUS",IF(J4845&lt;=2,"?ACTIVATED",IF(J4845&lt;&gt;"","?FAMILIAR",IF(F4845="NEW",IF(ISNA(VLOOKUP(E4845,#REF!,1,FALSE())),"?TYPE_IDENTIFIABLE","?REFERENTIAL"),"_")))))</f>
        <v> </v>
      </c>
      <c r="H4845" s="24" t="str">
        <f>IF(J4845&lt;&gt;1,"",IF(I4845="SBJ","CB","?"))</f>
        <v> </v>
      </c>
      <c r="I4845" s="25" t="str">
        <f>IF(OR(E4845="",E4845="!!!",F4845="NEW"),"",INDEX(B4844:B$2,-1+SUMPRODUCT(MAX(ROW(E4844:E$2)*(E4845=E4844:E$2)))))</f>
        <v> </v>
      </c>
      <c r="J4845" s="25" t="str">
        <f>IF(OR(E4845="",E4845="!!!",F4845="NEW"),"",COUNTBLANK(OFFSET(A$1,,,SUMPRODUCT(MAX(ROW(E$2:E4845)*(E4845=E$2:E4845)))))-COUNTBLANK(OFFSET(A$1,,,SUMPRODUCT(MAX(ROW(E$1:E4844)*(E2=E$1:E4844))))))</f>
        <v> </v>
      </c>
      <c r="K4845" s="25" t="str">
        <f>IF(OR(E4845="",E4845="!!!",F4845="NEW"),"",INDEX(J$1:J4844,SUMPRODUCT(MAX(ROW(E$1:E4844)*(E4845=E$1:E4844)))))</f>
        <v> </v>
      </c>
      <c r="L4845" s="26"/>
    </row>
    <row r="4846" spans="1:12">
      <c r="A4846" s="20" t="s">
        <v>1990</v>
      </c>
      <c r="E4846" s="21">
        <f>IF(D4846="?OLD","!!!","")</f>
        <v/>
      </c>
      <c r="F4846" s="22" t="str">
        <f>IF(OR(E4846="",E4846="!!!"),"",IF(NOT(ISNA(VLOOKUP(E4846,E$1:E4845,1,FALSE()))),"OLD",IF(AND(E4846&lt;&gt;"",E4846&lt;&gt;"!!!"),"NEW","")))</f>
        <v> </v>
      </c>
      <c r="G4846" s="23" t="str">
        <f>IF(OR(E4846="",E4846="!!!"),"",IF(OR(J4846=0,AND(J4846=1,K4846=1),AND(J4846=1,I4846="SBJ"),AND(J4846=1,I4846=0)),"?IN_FOCUS",IF(J4846&lt;=2,"?ACTIVATED",IF(J4846&lt;&gt;"","?FAMILIAR",IF(F4846="NEW",IF(ISNA(VLOOKUP(E4846,#REF!,1,FALSE())),"?TYPE_IDENTIFIABLE","?REFERENTIAL"),"_")))))</f>
        <v> </v>
      </c>
      <c r="H4846" s="24" t="str">
        <f>IF(J4846&lt;&gt;1,"",IF(I4846="SBJ","CB","?"))</f>
        <v> </v>
      </c>
      <c r="I4846" s="25" t="str">
        <f>IF(OR(E4846="",E4846="!!!",F4846="NEW"),"",INDEX(B4845:B$2,-1+SUMPRODUCT(MAX(ROW(E4845:E$2)*(E4846=E4845:E$2)))))</f>
        <v> </v>
      </c>
      <c r="J4846" s="25" t="str">
        <f>IF(OR(E4846="",E4846="!!!",F4846="NEW"),"",COUNTBLANK(OFFSET(A$1,,,SUMPRODUCT(MAX(ROW(E$2:E4846)*(E4846=E$2:E4846)))))-COUNTBLANK(OFFSET(A$1,,,SUMPRODUCT(MAX(ROW(E$1:E4845)*(E2=E$1:E4845))))))</f>
        <v> </v>
      </c>
      <c r="K4846" s="25" t="str">
        <f>IF(OR(E4846="",E4846="!!!",F4846="NEW"),"",INDEX(J$1:J4845,SUMPRODUCT(MAX(ROW(E$1:E4845)*(E4846=E$1:E4845)))))</f>
        <v> </v>
      </c>
      <c r="L4846" s="26"/>
    </row>
    <row r="4847" spans="1:12">
      <c r="A4847" s="20" t="s">
        <v>774</v>
      </c>
      <c r="E4847" s="21">
        <f>IF(D4847="?OLD","!!!","")</f>
        <v/>
      </c>
      <c r="F4847" s="22" t="str">
        <f>IF(OR(E4847="",E4847="!!!"),"",IF(NOT(ISNA(VLOOKUP(E4847,E$1:E4846,1,FALSE()))),"OLD",IF(AND(E4847&lt;&gt;"",E4847&lt;&gt;"!!!"),"NEW","")))</f>
        <v> </v>
      </c>
      <c r="G4847" s="23" t="str">
        <f>IF(OR(E4847="",E4847="!!!"),"",IF(OR(J4847=0,AND(J4847=1,K4847=1),AND(J4847=1,I4847="SBJ"),AND(J4847=1,I4847=0)),"?IN_FOCUS",IF(J4847&lt;=2,"?ACTIVATED",IF(J4847&lt;&gt;"","?FAMILIAR",IF(F4847="NEW",IF(ISNA(VLOOKUP(E4847,#REF!,1,FALSE())),"?TYPE_IDENTIFIABLE","?REFERENTIAL"),"_")))))</f>
        <v> </v>
      </c>
      <c r="H4847" s="24" t="str">
        <f>IF(J4847&lt;&gt;1,"",IF(I4847="SBJ","CB","?"))</f>
        <v> </v>
      </c>
      <c r="I4847" s="25" t="str">
        <f>IF(OR(E4847="",E4847="!!!",F4847="NEW"),"",INDEX(B4846:B$2,-1+SUMPRODUCT(MAX(ROW(E4846:E$2)*(E4847=E4846:E$2)))))</f>
        <v> </v>
      </c>
      <c r="J4847" s="25" t="str">
        <f>IF(OR(E4847="",E4847="!!!",F4847="NEW"),"",COUNTBLANK(OFFSET(A$1,,,SUMPRODUCT(MAX(ROW(E$2:E4847)*(E4847=E$2:E4847)))))-COUNTBLANK(OFFSET(A$1,,,SUMPRODUCT(MAX(ROW(E$1:E4846)*(E2=E$1:E4846))))))</f>
        <v> </v>
      </c>
      <c r="K4847" s="25" t="str">
        <f>IF(OR(E4847="",E4847="!!!",F4847="NEW"),"",INDEX(J$1:J4846,SUMPRODUCT(MAX(ROW(E$1:E4846)*(E4847=E$1:E4846)))))</f>
        <v> </v>
      </c>
      <c r="L4847" s="26"/>
    </row>
    <row r="4848" spans="1:12">
      <c r="A4848" s="20"/>
    </row>
    <row r="4849" spans="1:12">
      <c r="A4849" s="20" t="s">
        <v>2047</v>
      </c>
    </row>
    <row r="4850" spans="1:12">
      <c r="A4850" s="20" t="s">
        <v>866</v>
      </c>
      <c r="E4850" s="21">
        <f>IF(D4850="?OLD","!!!","")</f>
        <v/>
      </c>
      <c r="F4850" s="22" t="str">
        <f>IF(OR(E4850="",E4850="!!!"),"",IF(NOT(ISNA(VLOOKUP(E4850,E$1:E4849,1,FALSE()))),"OLD",IF(AND(E4850&lt;&gt;"",E4850&lt;&gt;"!!!"),"NEW","")))</f>
        <v> </v>
      </c>
      <c r="G4850" s="23" t="str">
        <f>IF(OR(E4850="",E4850="!!!"),"",IF(OR(J4850=0,AND(J4850=1,K4850=1),AND(J4850=1,I4850="SBJ"),AND(J4850=1,I4850=0)),"?IN_FOCUS",IF(J4850&lt;=2,"?ACTIVATED",IF(J4850&lt;&gt;"","?FAMILIAR",IF(F4850="NEW",IF(ISNA(VLOOKUP(E4850,#REF!,1,FALSE())),"?TYPE_IDENTIFIABLE","?REFERENTIAL"),"_")))))</f>
        <v> </v>
      </c>
      <c r="H4850" s="24" t="str">
        <f>IF(J4850&lt;&gt;1,"",IF(I4850="SBJ","CB","?"))</f>
        <v> </v>
      </c>
      <c r="I4850" s="25" t="str">
        <f>IF(OR(E4850="",E4850="!!!",F4850="NEW"),"",INDEX(B4849:B$2,-1+SUMPRODUCT(MAX(ROW(E4849:E$2)*(E4850=E4849:E$2)))))</f>
        <v> </v>
      </c>
      <c r="J4850" s="25" t="str">
        <f>IF(OR(E4850="",E4850="!!!",F4850="NEW"),"",COUNTBLANK(OFFSET(A$1,,,SUMPRODUCT(MAX(ROW(E$2:E4850)*(E4850=E$2:E4850)))))-COUNTBLANK(OFFSET(A$1,,,SUMPRODUCT(MAX(ROW(E$1:E4849)*(E2=E$1:E4849))))))</f>
        <v> </v>
      </c>
      <c r="K4850" s="25" t="str">
        <f>IF(OR(E4850="",E4850="!!!",F4850="NEW"),"",INDEX(J$1:J4849,SUMPRODUCT(MAX(ROW(E$1:E4849)*(E4850=E$1:E4849)))))</f>
        <v> </v>
      </c>
      <c r="L4850" s="26"/>
    </row>
    <row r="4851" spans="1:12">
      <c r="A4851" s="20" t="s">
        <v>827</v>
      </c>
      <c r="B4851" s="27" t="s">
        <v>796</v>
      </c>
      <c r="C4851" s="27" t="s">
        <v>797</v>
      </c>
      <c r="D4851" s="27" t="s">
        <v>762</v>
      </c>
      <c r="E4851" s="21">
        <f>IF(D4851="?OLD","!!!","")</f>
        <v/>
      </c>
      <c r="F4851" s="22" t="str">
        <f>IF(OR(E4851="",E4851="!!!"),"",IF(NOT(ISNA(VLOOKUP(E4851,E$1:E4850,1,FALSE()))),"OLD",IF(AND(E4851&lt;&gt;"",E4851&lt;&gt;"!!!"),"NEW","")))</f>
        <v> </v>
      </c>
      <c r="G4851" s="23" t="str">
        <f>IF(OR(E4851="",E4851="!!!"),"",IF(OR(J4851=0,AND(J4851=1,K4851=1),AND(J4851=1,I4851="SBJ"),AND(J4851=1,I4851=0)),"?IN_FOCUS",IF(J4851&lt;=2,"?ACTIVATED",IF(J4851&lt;&gt;"","?FAMILIAR",IF(F4851="NEW",IF(ISNA(VLOOKUP(E4851,#REF!,1,FALSE())),"?TYPE_IDENTIFIABLE","?REFERENTIAL"),"_")))))</f>
        <v> </v>
      </c>
      <c r="H4851" s="24" t="str">
        <f>IF(J4851&lt;&gt;1,"",IF(I4851="SBJ","CB","?"))</f>
        <v> </v>
      </c>
      <c r="I4851" s="25" t="str">
        <f>IF(OR(E4851="",E4851="!!!",F4851="NEW"),"",INDEX(B4850:B$2,-1+SUMPRODUCT(MAX(ROW(E4850:E$2)*(E4851=E4850:E$2)))))</f>
        <v> </v>
      </c>
      <c r="J4851" s="25" t="str">
        <f>IF(OR(E4851="",E4851="!!!",F4851="NEW"),"",COUNTBLANK(OFFSET(A$1,,,SUMPRODUCT(MAX(ROW(E$2:E4851)*(E4851=E$2:E4851)))))-COUNTBLANK(OFFSET(A$1,,,SUMPRODUCT(MAX(ROW(E$1:E4850)*(E2=E$1:E4850))))))</f>
        <v> </v>
      </c>
      <c r="K4851" s="25" t="str">
        <f>IF(OR(E4851="",E4851="!!!",F4851="NEW"),"",INDEX(J$1:J4850,SUMPRODUCT(MAX(ROW(E$1:E4850)*(E4851=E$1:E4850)))))</f>
        <v> </v>
      </c>
      <c r="L4851" s="26"/>
    </row>
    <row r="4852" spans="1:12">
      <c r="A4852" s="20" t="s">
        <v>909</v>
      </c>
      <c r="E4852" s="21">
        <f>IF(D4852="?OLD","!!!","")</f>
        <v/>
      </c>
      <c r="F4852" s="22" t="str">
        <f>IF(OR(E4852="",E4852="!!!"),"",IF(NOT(ISNA(VLOOKUP(E4852,E$1:E4851,1,FALSE()))),"OLD",IF(AND(E4852&lt;&gt;"",E4852&lt;&gt;"!!!"),"NEW","")))</f>
        <v> </v>
      </c>
      <c r="G4852" s="23" t="str">
        <f>IF(OR(E4852="",E4852="!!!"),"",IF(OR(J4852=0,AND(J4852=1,K4852=1),AND(J4852=1,I4852="SBJ"),AND(J4852=1,I4852=0)),"?IN_FOCUS",IF(J4852&lt;=2,"?ACTIVATED",IF(J4852&lt;&gt;"","?FAMILIAR",IF(F4852="NEW",IF(ISNA(VLOOKUP(E4852,#REF!,1,FALSE())),"?TYPE_IDENTIFIABLE","?REFERENTIAL"),"_")))))</f>
        <v> </v>
      </c>
      <c r="H4852" s="24" t="str">
        <f>IF(J4852&lt;&gt;1,"",IF(I4852="SBJ","CB","?"))</f>
        <v> </v>
      </c>
      <c r="I4852" s="25" t="str">
        <f>IF(OR(E4852="",E4852="!!!",F4852="NEW"),"",INDEX(B4851:B$2,-1+SUMPRODUCT(MAX(ROW(E4851:E$2)*(E4852=E4851:E$2)))))</f>
        <v> </v>
      </c>
      <c r="J4852" s="25" t="str">
        <f>IF(OR(E4852="",E4852="!!!",F4852="NEW"),"",COUNTBLANK(OFFSET(A$1,,,SUMPRODUCT(MAX(ROW(E$2:E4852)*(E4852=E$2:E4852)))))-COUNTBLANK(OFFSET(A$1,,,SUMPRODUCT(MAX(ROW(E$1:E4851)*(E2=E$1:E4851))))))</f>
        <v> </v>
      </c>
      <c r="K4852" s="25" t="str">
        <f>IF(OR(E4852="",E4852="!!!",F4852="NEW"),"",INDEX(J$1:J4851,SUMPRODUCT(MAX(ROW(E$1:E4851)*(E4852=E$1:E4851)))))</f>
        <v> </v>
      </c>
      <c r="L4852" s="26"/>
    </row>
    <row r="4853" spans="1:12">
      <c r="A4853" s="20" t="s">
        <v>1005</v>
      </c>
      <c r="E4853" s="21">
        <f>IF(D4853="?OLD","!!!","")</f>
        <v/>
      </c>
      <c r="F4853" s="22" t="str">
        <f>IF(OR(E4853="",E4853="!!!"),"",IF(NOT(ISNA(VLOOKUP(E4853,E$1:E4852,1,FALSE()))),"OLD",IF(AND(E4853&lt;&gt;"",E4853&lt;&gt;"!!!"),"NEW","")))</f>
        <v> </v>
      </c>
      <c r="G4853" s="23" t="str">
        <f>IF(OR(E4853="",E4853="!!!"),"",IF(OR(J4853=0,AND(J4853=1,K4853=1),AND(J4853=1,I4853="SBJ"),AND(J4853=1,I4853=0)),"?IN_FOCUS",IF(J4853&lt;=2,"?ACTIVATED",IF(J4853&lt;&gt;"","?FAMILIAR",IF(F4853="NEW",IF(ISNA(VLOOKUP(E4853,#REF!,1,FALSE())),"?TYPE_IDENTIFIABLE","?REFERENTIAL"),"_")))))</f>
        <v> </v>
      </c>
      <c r="H4853" s="24" t="str">
        <f>IF(J4853&lt;&gt;1,"",IF(I4853="SBJ","CB","?"))</f>
        <v> </v>
      </c>
      <c r="I4853" s="25" t="str">
        <f>IF(OR(E4853="",E4853="!!!",F4853="NEW"),"",INDEX(B4852:B$2,-1+SUMPRODUCT(MAX(ROW(E4852:E$2)*(E4853=E4852:E$2)))))</f>
        <v> </v>
      </c>
      <c r="J4853" s="25" t="str">
        <f>IF(OR(E4853="",E4853="!!!",F4853="NEW"),"",COUNTBLANK(OFFSET(A$1,,,SUMPRODUCT(MAX(ROW(E$2:E4853)*(E4853=E$2:E4853)))))-COUNTBLANK(OFFSET(A$1,,,SUMPRODUCT(MAX(ROW(E$1:E4852)*(E2=E$1:E4852))))))</f>
        <v> </v>
      </c>
      <c r="K4853" s="25" t="str">
        <f>IF(OR(E4853="",E4853="!!!",F4853="NEW"),"",INDEX(J$1:J4852,SUMPRODUCT(MAX(ROW(E$1:E4852)*(E4853=E$1:E4852)))))</f>
        <v> </v>
      </c>
      <c r="L4853" s="26"/>
    </row>
    <row r="4854" spans="1:12">
      <c r="A4854" s="20" t="s">
        <v>785</v>
      </c>
      <c r="E4854" s="21">
        <f>IF(D4854="?OLD","!!!","")</f>
        <v/>
      </c>
      <c r="F4854" s="22" t="str">
        <f>IF(OR(E4854="",E4854="!!!"),"",IF(NOT(ISNA(VLOOKUP(E4854,E$1:E4853,1,FALSE()))),"OLD",IF(AND(E4854&lt;&gt;"",E4854&lt;&gt;"!!!"),"NEW","")))</f>
        <v> </v>
      </c>
      <c r="G4854" s="23" t="str">
        <f>IF(OR(E4854="",E4854="!!!"),"",IF(OR(J4854=0,AND(J4854=1,K4854=1),AND(J4854=1,I4854="SBJ"),AND(J4854=1,I4854=0)),"?IN_FOCUS",IF(J4854&lt;=2,"?ACTIVATED",IF(J4854&lt;&gt;"","?FAMILIAR",IF(F4854="NEW",IF(ISNA(VLOOKUP(E4854,#REF!,1,FALSE())),"?TYPE_IDENTIFIABLE","?REFERENTIAL"),"_")))))</f>
        <v> </v>
      </c>
      <c r="H4854" s="24" t="str">
        <f>IF(J4854&lt;&gt;1,"",IF(I4854="SBJ","CB","?"))</f>
        <v> </v>
      </c>
      <c r="I4854" s="25" t="str">
        <f>IF(OR(E4854="",E4854="!!!",F4854="NEW"),"",INDEX(B4853:B$2,-1+SUMPRODUCT(MAX(ROW(E4853:E$2)*(E4854=E4853:E$2)))))</f>
        <v> </v>
      </c>
      <c r="J4854" s="25" t="str">
        <f>IF(OR(E4854="",E4854="!!!",F4854="NEW"),"",COUNTBLANK(OFFSET(A$1,,,SUMPRODUCT(MAX(ROW(E$2:E4854)*(E4854=E$2:E4854)))))-COUNTBLANK(OFFSET(A$1,,,SUMPRODUCT(MAX(ROW(E$1:E4853)*(E2=E$1:E4853))))))</f>
        <v> </v>
      </c>
      <c r="K4854" s="25" t="str">
        <f>IF(OR(E4854="",E4854="!!!",F4854="NEW"),"",INDEX(J$1:J4853,SUMPRODUCT(MAX(ROW(E$1:E4853)*(E4854=E$1:E4853)))))</f>
        <v> </v>
      </c>
      <c r="L4854" s="26"/>
    </row>
    <row r="4855" spans="1:12">
      <c r="A4855" s="20" t="s">
        <v>770</v>
      </c>
      <c r="E4855" s="21">
        <f>IF(D4855="?OLD","!!!","")</f>
        <v/>
      </c>
      <c r="F4855" s="22" t="str">
        <f>IF(OR(E4855="",E4855="!!!"),"",IF(NOT(ISNA(VLOOKUP(E4855,E$1:E4854,1,FALSE()))),"OLD",IF(AND(E4855&lt;&gt;"",E4855&lt;&gt;"!!!"),"NEW","")))</f>
        <v> </v>
      </c>
      <c r="G4855" s="23" t="str">
        <f>IF(OR(E4855="",E4855="!!!"),"",IF(OR(J4855=0,AND(J4855=1,K4855=1),AND(J4855=1,I4855="SBJ"),AND(J4855=1,I4855=0)),"?IN_FOCUS",IF(J4855&lt;=2,"?ACTIVATED",IF(J4855&lt;&gt;"","?FAMILIAR",IF(F4855="NEW",IF(ISNA(VLOOKUP(E4855,#REF!,1,FALSE())),"?TYPE_IDENTIFIABLE","?REFERENTIAL"),"_")))))</f>
        <v> </v>
      </c>
      <c r="H4855" s="24" t="str">
        <f>IF(J4855&lt;&gt;1,"",IF(I4855="SBJ","CB","?"))</f>
        <v> </v>
      </c>
      <c r="I4855" s="25" t="str">
        <f>IF(OR(E4855="",E4855="!!!",F4855="NEW"),"",INDEX(B4854:B$2,-1+SUMPRODUCT(MAX(ROW(E4854:E$2)*(E4855=E4854:E$2)))))</f>
        <v> </v>
      </c>
      <c r="J4855" s="25" t="str">
        <f>IF(OR(E4855="",E4855="!!!",F4855="NEW"),"",COUNTBLANK(OFFSET(A$1,,,SUMPRODUCT(MAX(ROW(E$2:E4855)*(E4855=E$2:E4855)))))-COUNTBLANK(OFFSET(A$1,,,SUMPRODUCT(MAX(ROW(E$1:E4854)*(E2=E$1:E4854))))))</f>
        <v> </v>
      </c>
      <c r="K4855" s="25" t="str">
        <f>IF(OR(E4855="",E4855="!!!",F4855="NEW"),"",INDEX(J$1:J4854,SUMPRODUCT(MAX(ROW(E$1:E4854)*(E4855=E$1:E4854)))))</f>
        <v> </v>
      </c>
      <c r="L4855" s="26"/>
    </row>
    <row r="4856" spans="1:12">
      <c r="A4856" s="20" t="s">
        <v>1982</v>
      </c>
      <c r="E4856" s="21">
        <f>IF(D4856="?OLD","!!!","")</f>
        <v/>
      </c>
      <c r="F4856" s="22" t="str">
        <f>IF(OR(E4856="",E4856="!!!"),"",IF(NOT(ISNA(VLOOKUP(E4856,E$1:E4855,1,FALSE()))),"OLD",IF(AND(E4856&lt;&gt;"",E4856&lt;&gt;"!!!"),"NEW","")))</f>
        <v> </v>
      </c>
      <c r="G4856" s="23" t="str">
        <f>IF(OR(E4856="",E4856="!!!"),"",IF(OR(J4856=0,AND(J4856=1,K4856=1),AND(J4856=1,I4856="SBJ"),AND(J4856=1,I4856=0)),"?IN_FOCUS",IF(J4856&lt;=2,"?ACTIVATED",IF(J4856&lt;&gt;"","?FAMILIAR",IF(F4856="NEW",IF(ISNA(VLOOKUP(E4856,#REF!,1,FALSE())),"?TYPE_IDENTIFIABLE","?REFERENTIAL"),"_")))))</f>
        <v> </v>
      </c>
      <c r="H4856" s="24" t="str">
        <f>IF(J4856&lt;&gt;1,"",IF(I4856="SBJ","CB","?"))</f>
        <v> </v>
      </c>
      <c r="I4856" s="25" t="str">
        <f>IF(OR(E4856="",E4856="!!!",F4856="NEW"),"",INDEX(B4855:B$2,-1+SUMPRODUCT(MAX(ROW(E4855:E$2)*(E4856=E4855:E$2)))))</f>
        <v> </v>
      </c>
      <c r="J4856" s="25" t="str">
        <f>IF(OR(E4856="",E4856="!!!",F4856="NEW"),"",COUNTBLANK(OFFSET(A$1,,,SUMPRODUCT(MAX(ROW(E$2:E4856)*(E4856=E$2:E4856)))))-COUNTBLANK(OFFSET(A$1,,,SUMPRODUCT(MAX(ROW(E$1:E4855)*(E2=E$1:E4855))))))</f>
        <v> </v>
      </c>
      <c r="K4856" s="25" t="str">
        <f>IF(OR(E4856="",E4856="!!!",F4856="NEW"),"",INDEX(J$1:J4855,SUMPRODUCT(MAX(ROW(E$1:E4855)*(E4856=E$1:E4855)))))</f>
        <v> </v>
      </c>
      <c r="L4856" s="26"/>
    </row>
    <row r="4857" spans="1:12">
      <c r="A4857" s="20" t="s">
        <v>954</v>
      </c>
      <c r="B4857" s="27" t="s">
        <v>802</v>
      </c>
      <c r="C4857" s="27" t="s">
        <v>777</v>
      </c>
      <c r="D4857" s="27" t="s">
        <v>762</v>
      </c>
      <c r="E4857" s="21">
        <f>IF(D4857="?OLD","!!!","")</f>
        <v/>
      </c>
      <c r="F4857" s="22" t="str">
        <f>IF(OR(E4857="",E4857="!!!"),"",IF(NOT(ISNA(VLOOKUP(E4857,E$1:E4856,1,FALSE()))),"OLD",IF(AND(E4857&lt;&gt;"",E4857&lt;&gt;"!!!"),"NEW","")))</f>
        <v> </v>
      </c>
      <c r="G4857" s="23" t="str">
        <f>IF(OR(E4857="",E4857="!!!"),"",IF(OR(J4857=0,AND(J4857=1,K4857=1),AND(J4857=1,I4857="SBJ"),AND(J4857=1,I4857=0)),"?IN_FOCUS",IF(J4857&lt;=2,"?ACTIVATED",IF(J4857&lt;&gt;"","?FAMILIAR",IF(F4857="NEW",IF(ISNA(VLOOKUP(E4857,#REF!,1,FALSE())),"?TYPE_IDENTIFIABLE","?REFERENTIAL"),"_")))))</f>
        <v> </v>
      </c>
      <c r="H4857" s="24" t="str">
        <f>IF(J4857&lt;&gt;1,"",IF(I4857="SBJ","CB","?"))</f>
        <v> </v>
      </c>
      <c r="I4857" s="25" t="str">
        <f>IF(OR(E4857="",E4857="!!!",F4857="NEW"),"",INDEX(B4856:B$2,-1+SUMPRODUCT(MAX(ROW(E4856:E$2)*(E4857=E4856:E$2)))))</f>
        <v> </v>
      </c>
      <c r="J4857" s="25" t="str">
        <f>IF(OR(E4857="",E4857="!!!",F4857="NEW"),"",COUNTBLANK(OFFSET(A$1,,,SUMPRODUCT(MAX(ROW(E$2:E4857)*(E4857=E$2:E4857)))))-COUNTBLANK(OFFSET(A$1,,,SUMPRODUCT(MAX(ROW(E$1:E4856)*(E2=E$1:E4856))))))</f>
        <v> </v>
      </c>
      <c r="K4857" s="25" t="str">
        <f>IF(OR(E4857="",E4857="!!!",F4857="NEW"),"",INDEX(J$1:J4856,SUMPRODUCT(MAX(ROW(E$1:E4856)*(E4857=E$1:E4856)))))</f>
        <v> </v>
      </c>
      <c r="L4857" s="26"/>
    </row>
    <row r="4858" spans="1:12">
      <c r="A4858" s="20" t="s">
        <v>1020</v>
      </c>
      <c r="B4858" s="27" t="s">
        <v>941</v>
      </c>
      <c r="E4858" s="21">
        <f>IF(D4858="?OLD","!!!","")</f>
        <v/>
      </c>
      <c r="F4858" s="22" t="str">
        <f>IF(OR(E4858="",E4858="!!!"),"",IF(NOT(ISNA(VLOOKUP(E4858,E$1:E4857,1,FALSE()))),"OLD",IF(AND(E4858&lt;&gt;"",E4858&lt;&gt;"!!!"),"NEW","")))</f>
        <v> </v>
      </c>
      <c r="G4858" s="23" t="str">
        <f>IF(OR(E4858="",E4858="!!!"),"",IF(OR(J4858=0,AND(J4858=1,K4858=1),AND(J4858=1,I4858="SBJ"),AND(J4858=1,I4858=0)),"?IN_FOCUS",IF(J4858&lt;=2,"?ACTIVATED",IF(J4858&lt;&gt;"","?FAMILIAR",IF(F4858="NEW",IF(ISNA(VLOOKUP(E4858,#REF!,1,FALSE())),"?TYPE_IDENTIFIABLE","?REFERENTIAL"),"_")))))</f>
        <v> </v>
      </c>
      <c r="H4858" s="24" t="str">
        <f>IF(J4858&lt;&gt;1,"",IF(I4858="SBJ","CB","?"))</f>
        <v> </v>
      </c>
      <c r="I4858" s="25" t="str">
        <f>IF(OR(E4858="",E4858="!!!",F4858="NEW"),"",INDEX(B4857:B$2,-1+SUMPRODUCT(MAX(ROW(E4857:E$2)*(E4858=E4857:E$2)))))</f>
        <v> </v>
      </c>
      <c r="J4858" s="25" t="str">
        <f>IF(OR(E4858="",E4858="!!!",F4858="NEW"),"",COUNTBLANK(OFFSET(A$1,,,SUMPRODUCT(MAX(ROW(E$2:E4858)*(E4858=E$2:E4858)))))-COUNTBLANK(OFFSET(A$1,,,SUMPRODUCT(MAX(ROW(E$1:E4857)*(E2=E$1:E4857))))))</f>
        <v> </v>
      </c>
      <c r="K4858" s="25" t="str">
        <f>IF(OR(E4858="",E4858="!!!",F4858="NEW"),"",INDEX(J$1:J4857,SUMPRODUCT(MAX(ROW(E$1:E4857)*(E4858=E$1:E4857)))))</f>
        <v> </v>
      </c>
      <c r="L4858" s="26"/>
    </row>
    <row r="4859" spans="1:12">
      <c r="A4859" s="20" t="s">
        <v>840</v>
      </c>
      <c r="E4859" s="21">
        <f>IF(D4859="?OLD","!!!","")</f>
        <v/>
      </c>
      <c r="F4859" s="22" t="str">
        <f>IF(OR(E4859="",E4859="!!!"),"",IF(NOT(ISNA(VLOOKUP(E4859,E$1:E4858,1,FALSE()))),"OLD",IF(AND(E4859&lt;&gt;"",E4859&lt;&gt;"!!!"),"NEW","")))</f>
        <v> </v>
      </c>
      <c r="G4859" s="23" t="str">
        <f>IF(OR(E4859="",E4859="!!!"),"",IF(OR(J4859=0,AND(J4859=1,K4859=1),AND(J4859=1,I4859="SBJ"),AND(J4859=1,I4859=0)),"?IN_FOCUS",IF(J4859&lt;=2,"?ACTIVATED",IF(J4859&lt;&gt;"","?FAMILIAR",IF(F4859="NEW",IF(ISNA(VLOOKUP(E4859,#REF!,1,FALSE())),"?TYPE_IDENTIFIABLE","?REFERENTIAL"),"_")))))</f>
        <v> </v>
      </c>
      <c r="H4859" s="24" t="str">
        <f>IF(J4859&lt;&gt;1,"",IF(I4859="SBJ","CB","?"))</f>
        <v> </v>
      </c>
      <c r="I4859" s="25" t="str">
        <f>IF(OR(E4859="",E4859="!!!",F4859="NEW"),"",INDEX(B4858:B$2,-1+SUMPRODUCT(MAX(ROW(E4858:E$2)*(E4859=E4858:E$2)))))</f>
        <v> </v>
      </c>
      <c r="J4859" s="25" t="str">
        <f>IF(OR(E4859="",E4859="!!!",F4859="NEW"),"",COUNTBLANK(OFFSET(A$1,,,SUMPRODUCT(MAX(ROW(E$2:E4859)*(E4859=E$2:E4859)))))-COUNTBLANK(OFFSET(A$1,,,SUMPRODUCT(MAX(ROW(E$1:E4858)*(E2=E$1:E4858))))))</f>
        <v> </v>
      </c>
      <c r="K4859" s="25" t="str">
        <f>IF(OR(E4859="",E4859="!!!",F4859="NEW"),"",INDEX(J$1:J4858,SUMPRODUCT(MAX(ROW(E$1:E4858)*(E4859=E$1:E4858)))))</f>
        <v> </v>
      </c>
      <c r="L4859" s="26"/>
    </row>
    <row r="4860" spans="1:12">
      <c r="A4860" s="20" t="s">
        <v>915</v>
      </c>
      <c r="E4860" s="21">
        <f>IF(D4860="?OLD","!!!","")</f>
        <v/>
      </c>
      <c r="F4860" s="22" t="str">
        <f>IF(OR(E4860="",E4860="!!!"),"",IF(NOT(ISNA(VLOOKUP(E4860,E$1:E4859,1,FALSE()))),"OLD",IF(AND(E4860&lt;&gt;"",E4860&lt;&gt;"!!!"),"NEW","")))</f>
        <v> </v>
      </c>
      <c r="G4860" s="23" t="str">
        <f>IF(OR(E4860="",E4860="!!!"),"",IF(OR(J4860=0,AND(J4860=1,K4860=1),AND(J4860=1,I4860="SBJ"),AND(J4860=1,I4860=0)),"?IN_FOCUS",IF(J4860&lt;=2,"?ACTIVATED",IF(J4860&lt;&gt;"","?FAMILIAR",IF(F4860="NEW",IF(ISNA(VLOOKUP(E4860,#REF!,1,FALSE())),"?TYPE_IDENTIFIABLE","?REFERENTIAL"),"_")))))</f>
        <v> </v>
      </c>
      <c r="H4860" s="24" t="str">
        <f>IF(J4860&lt;&gt;1,"",IF(I4860="SBJ","CB","?"))</f>
        <v> </v>
      </c>
      <c r="I4860" s="25" t="str">
        <f>IF(OR(E4860="",E4860="!!!",F4860="NEW"),"",INDEX(B4859:B$2,-1+SUMPRODUCT(MAX(ROW(E4859:E$2)*(E4860=E4859:E$2)))))</f>
        <v> </v>
      </c>
      <c r="J4860" s="25" t="str">
        <f>IF(OR(E4860="",E4860="!!!",F4860="NEW"),"",COUNTBLANK(OFFSET(A$1,,,SUMPRODUCT(MAX(ROW(E$2:E4860)*(E4860=E$2:E4860)))))-COUNTBLANK(OFFSET(A$1,,,SUMPRODUCT(MAX(ROW(E$1:E4859)*(E2=E$1:E4859))))))</f>
        <v> </v>
      </c>
      <c r="K4860" s="25" t="str">
        <f>IF(OR(E4860="",E4860="!!!",F4860="NEW"),"",INDEX(J$1:J4859,SUMPRODUCT(MAX(ROW(E$1:E4859)*(E4860=E$1:E4859)))))</f>
        <v> </v>
      </c>
      <c r="L4860" s="26"/>
    </row>
    <row r="4861" spans="1:12">
      <c r="A4861" s="20" t="s">
        <v>1342</v>
      </c>
      <c r="E4861" s="21">
        <f>IF(D4861="?OLD","!!!","")</f>
        <v/>
      </c>
      <c r="F4861" s="22" t="str">
        <f>IF(OR(E4861="",E4861="!!!"),"",IF(NOT(ISNA(VLOOKUP(E4861,E$1:E4860,1,FALSE()))),"OLD",IF(AND(E4861&lt;&gt;"",E4861&lt;&gt;"!!!"),"NEW","")))</f>
        <v> </v>
      </c>
      <c r="G4861" s="23" t="str">
        <f>IF(OR(E4861="",E4861="!!!"),"",IF(OR(J4861=0,AND(J4861=1,K4861=1),AND(J4861=1,I4861="SBJ"),AND(J4861=1,I4861=0)),"?IN_FOCUS",IF(J4861&lt;=2,"?ACTIVATED",IF(J4861&lt;&gt;"","?FAMILIAR",IF(F4861="NEW",IF(ISNA(VLOOKUP(E4861,#REF!,1,FALSE())),"?TYPE_IDENTIFIABLE","?REFERENTIAL"),"_")))))</f>
        <v> </v>
      </c>
      <c r="H4861" s="24" t="str">
        <f>IF(J4861&lt;&gt;1,"",IF(I4861="SBJ","CB","?"))</f>
        <v> </v>
      </c>
      <c r="I4861" s="25" t="str">
        <f>IF(OR(E4861="",E4861="!!!",F4861="NEW"),"",INDEX(B4860:B$2,-1+SUMPRODUCT(MAX(ROW(E4860:E$2)*(E4861=E4860:E$2)))))</f>
        <v> </v>
      </c>
      <c r="J4861" s="25" t="str">
        <f>IF(OR(E4861="",E4861="!!!",F4861="NEW"),"",COUNTBLANK(OFFSET(A$1,,,SUMPRODUCT(MAX(ROW(E$2:E4861)*(E4861=E$2:E4861)))))-COUNTBLANK(OFFSET(A$1,,,SUMPRODUCT(MAX(ROW(E$1:E4860)*(E2=E$1:E4860))))))</f>
        <v> </v>
      </c>
      <c r="K4861" s="25" t="str">
        <f>IF(OR(E4861="",E4861="!!!",F4861="NEW"),"",INDEX(J$1:J4860,SUMPRODUCT(MAX(ROW(E$1:E4860)*(E4861=E$1:E4860)))))</f>
        <v> </v>
      </c>
      <c r="L4861" s="26"/>
    </row>
    <row r="4862" spans="1:12">
      <c r="A4862" s="20" t="s">
        <v>757</v>
      </c>
      <c r="E4862" s="21">
        <f>IF(D4862="?OLD","!!!","")</f>
        <v/>
      </c>
      <c r="F4862" s="22" t="str">
        <f>IF(OR(E4862="",E4862="!!!"),"",IF(NOT(ISNA(VLOOKUP(E4862,E$1:E4861,1,FALSE()))),"OLD",IF(AND(E4862&lt;&gt;"",E4862&lt;&gt;"!!!"),"NEW","")))</f>
        <v> </v>
      </c>
      <c r="G4862" s="23" t="str">
        <f>IF(OR(E4862="",E4862="!!!"),"",IF(OR(J4862=0,AND(J4862=1,K4862=1),AND(J4862=1,I4862="SBJ"),AND(J4862=1,I4862=0)),"?IN_FOCUS",IF(J4862&lt;=2,"?ACTIVATED",IF(J4862&lt;&gt;"","?FAMILIAR",IF(F4862="NEW",IF(ISNA(VLOOKUP(E4862,#REF!,1,FALSE())),"?TYPE_IDENTIFIABLE","?REFERENTIAL"),"_")))))</f>
        <v> </v>
      </c>
      <c r="H4862" s="24" t="str">
        <f>IF(J4862&lt;&gt;1,"",IF(I4862="SBJ","CB","?"))</f>
        <v> </v>
      </c>
      <c r="I4862" s="25" t="str">
        <f>IF(OR(E4862="",E4862="!!!",F4862="NEW"),"",INDEX(B4861:B$2,-1+SUMPRODUCT(MAX(ROW(E4861:E$2)*(E4862=E4861:E$2)))))</f>
        <v> </v>
      </c>
      <c r="J4862" s="25" t="str">
        <f>IF(OR(E4862="",E4862="!!!",F4862="NEW"),"",COUNTBLANK(OFFSET(A$1,,,SUMPRODUCT(MAX(ROW(E$2:E4862)*(E4862=E$2:E4862)))))-COUNTBLANK(OFFSET(A$1,,,SUMPRODUCT(MAX(ROW(E$1:E4861)*(E2=E$1:E4861))))))</f>
        <v> </v>
      </c>
      <c r="K4862" s="25" t="str">
        <f>IF(OR(E4862="",E4862="!!!",F4862="NEW"),"",INDEX(J$1:J4861,SUMPRODUCT(MAX(ROW(E$1:E4861)*(E4862=E$1:E4861)))))</f>
        <v> </v>
      </c>
      <c r="L4862" s="26"/>
    </row>
    <row r="4863" spans="1:12">
      <c r="A4863" s="20" t="s">
        <v>795</v>
      </c>
      <c r="B4863" s="27" t="s">
        <v>760</v>
      </c>
      <c r="C4863" s="27" t="s">
        <v>797</v>
      </c>
      <c r="D4863" s="27" t="s">
        <v>762</v>
      </c>
      <c r="E4863" s="21">
        <f>IF(D4863="?OLD","!!!","")</f>
        <v/>
      </c>
      <c r="F4863" s="22" t="str">
        <f>IF(OR(E4863="",E4863="!!!"),"",IF(NOT(ISNA(VLOOKUP(E4863,E$1:E4862,1,FALSE()))),"OLD",IF(AND(E4863&lt;&gt;"",E4863&lt;&gt;"!!!"),"NEW","")))</f>
        <v> </v>
      </c>
      <c r="G4863" s="23" t="str">
        <f>IF(OR(E4863="",E4863="!!!"),"",IF(OR(J4863=0,AND(J4863=1,K4863=1),AND(J4863=1,I4863="SBJ"),AND(J4863=1,I4863=0)),"?IN_FOCUS",IF(J4863&lt;=2,"?ACTIVATED",IF(J4863&lt;&gt;"","?FAMILIAR",IF(F4863="NEW",IF(ISNA(VLOOKUP(E4863,#REF!,1,FALSE())),"?TYPE_IDENTIFIABLE","?REFERENTIAL"),"_")))))</f>
        <v> </v>
      </c>
      <c r="H4863" s="24" t="str">
        <f>IF(J4863&lt;&gt;1,"",IF(I4863="SBJ","CB","?"))</f>
        <v> </v>
      </c>
      <c r="I4863" s="25" t="str">
        <f>IF(OR(E4863="",E4863="!!!",F4863="NEW"),"",INDEX(B4862:B$2,-1+SUMPRODUCT(MAX(ROW(E4862:E$2)*(E4863=E4862:E$2)))))</f>
        <v> </v>
      </c>
      <c r="J4863" s="25" t="str">
        <f>IF(OR(E4863="",E4863="!!!",F4863="NEW"),"",COUNTBLANK(OFFSET(A$1,,,SUMPRODUCT(MAX(ROW(E$2:E4863)*(E4863=E$2:E4863)))))-COUNTBLANK(OFFSET(A$1,,,SUMPRODUCT(MAX(ROW(E$1:E4862)*(E2=E$1:E4862))))))</f>
        <v> </v>
      </c>
      <c r="K4863" s="25" t="str">
        <f>IF(OR(E4863="",E4863="!!!",F4863="NEW"),"",INDEX(J$1:J4862,SUMPRODUCT(MAX(ROW(E$1:E4862)*(E4863=E$1:E4862)))))</f>
        <v> </v>
      </c>
      <c r="L4863" s="26"/>
    </row>
    <row r="4864" spans="1:12">
      <c r="A4864" s="20" t="s">
        <v>887</v>
      </c>
      <c r="E4864" s="21">
        <f>IF(D4864="?OLD","!!!","")</f>
        <v/>
      </c>
      <c r="F4864" s="22" t="str">
        <f>IF(OR(E4864="",E4864="!!!"),"",IF(NOT(ISNA(VLOOKUP(E4864,E$1:E4863,1,FALSE()))),"OLD",IF(AND(E4864&lt;&gt;"",E4864&lt;&gt;"!!!"),"NEW","")))</f>
        <v> </v>
      </c>
      <c r="G4864" s="23" t="str">
        <f>IF(OR(E4864="",E4864="!!!"),"",IF(OR(J4864=0,AND(J4864=1,K4864=1),AND(J4864=1,I4864="SBJ"),AND(J4864=1,I4864=0)),"?IN_FOCUS",IF(J4864&lt;=2,"?ACTIVATED",IF(J4864&lt;&gt;"","?FAMILIAR",IF(F4864="NEW",IF(ISNA(VLOOKUP(E4864,#REF!,1,FALSE())),"?TYPE_IDENTIFIABLE","?REFERENTIAL"),"_")))))</f>
        <v> </v>
      </c>
      <c r="H4864" s="24" t="str">
        <f>IF(J4864&lt;&gt;1,"",IF(I4864="SBJ","CB","?"))</f>
        <v> </v>
      </c>
      <c r="I4864" s="25" t="str">
        <f>IF(OR(E4864="",E4864="!!!",F4864="NEW"),"",INDEX(B4863:B$2,-1+SUMPRODUCT(MAX(ROW(E4863:E$2)*(E4864=E4863:E$2)))))</f>
        <v> </v>
      </c>
      <c r="J4864" s="25" t="str">
        <f>IF(OR(E4864="",E4864="!!!",F4864="NEW"),"",COUNTBLANK(OFFSET(A$1,,,SUMPRODUCT(MAX(ROW(E$2:E4864)*(E4864=E$2:E4864)))))-COUNTBLANK(OFFSET(A$1,,,SUMPRODUCT(MAX(ROW(E$1:E4863)*(E2=E$1:E4863))))))</f>
        <v> </v>
      </c>
      <c r="K4864" s="25" t="str">
        <f>IF(OR(E4864="",E4864="!!!",F4864="NEW"),"",INDEX(J$1:J4863,SUMPRODUCT(MAX(ROW(E$1:E4863)*(E4864=E$1:E4863)))))</f>
        <v> </v>
      </c>
      <c r="L4864" s="26"/>
    </row>
    <row r="4865" spans="1:12">
      <c r="A4865" s="20" t="s">
        <v>888</v>
      </c>
      <c r="E4865" s="21">
        <f>IF(D4865="?OLD","!!!","")</f>
        <v/>
      </c>
      <c r="F4865" s="22" t="str">
        <f>IF(OR(E4865="",E4865="!!!"),"",IF(NOT(ISNA(VLOOKUP(E4865,E$1:E4864,1,FALSE()))),"OLD",IF(AND(E4865&lt;&gt;"",E4865&lt;&gt;"!!!"),"NEW","")))</f>
        <v> </v>
      </c>
      <c r="G4865" s="23" t="str">
        <f>IF(OR(E4865="",E4865="!!!"),"",IF(OR(J4865=0,AND(J4865=1,K4865=1),AND(J4865=1,I4865="SBJ"),AND(J4865=1,I4865=0)),"?IN_FOCUS",IF(J4865&lt;=2,"?ACTIVATED",IF(J4865&lt;&gt;"","?FAMILIAR",IF(F4865="NEW",IF(ISNA(VLOOKUP(E4865,#REF!,1,FALSE())),"?TYPE_IDENTIFIABLE","?REFERENTIAL"),"_")))))</f>
        <v> </v>
      </c>
      <c r="H4865" s="24" t="str">
        <f>IF(J4865&lt;&gt;1,"",IF(I4865="SBJ","CB","?"))</f>
        <v> </v>
      </c>
      <c r="I4865" s="25" t="str">
        <f>IF(OR(E4865="",E4865="!!!",F4865="NEW"),"",INDEX(B4864:B$2,-1+SUMPRODUCT(MAX(ROW(E4864:E$2)*(E4865=E4864:E$2)))))</f>
        <v> </v>
      </c>
      <c r="J4865" s="25" t="str">
        <f>IF(OR(E4865="",E4865="!!!",F4865="NEW"),"",COUNTBLANK(OFFSET(A$1,,,SUMPRODUCT(MAX(ROW(E$2:E4865)*(E4865=E$2:E4865)))))-COUNTBLANK(OFFSET(A$1,,,SUMPRODUCT(MAX(ROW(E$1:E4864)*(E2=E$1:E4864))))))</f>
        <v> </v>
      </c>
      <c r="K4865" s="25" t="str">
        <f>IF(OR(E4865="",E4865="!!!",F4865="NEW"),"",INDEX(J$1:J4864,SUMPRODUCT(MAX(ROW(E$1:E4864)*(E4865=E$1:E4864)))))</f>
        <v> </v>
      </c>
      <c r="L4865" s="26"/>
    </row>
    <row r="4866" spans="1:12">
      <c r="A4866" s="20" t="s">
        <v>889</v>
      </c>
      <c r="E4866" s="21">
        <f>IF(D4866="?OLD","!!!","")</f>
        <v/>
      </c>
      <c r="F4866" s="22" t="str">
        <f>IF(OR(E4866="",E4866="!!!"),"",IF(NOT(ISNA(VLOOKUP(E4866,E$1:E4865,1,FALSE()))),"OLD",IF(AND(E4866&lt;&gt;"",E4866&lt;&gt;"!!!"),"NEW","")))</f>
        <v> </v>
      </c>
      <c r="G4866" s="23" t="str">
        <f>IF(OR(E4866="",E4866="!!!"),"",IF(OR(J4866=0,AND(J4866=1,K4866=1),AND(J4866=1,I4866="SBJ"),AND(J4866=1,I4866=0)),"?IN_FOCUS",IF(J4866&lt;=2,"?ACTIVATED",IF(J4866&lt;&gt;"","?FAMILIAR",IF(F4866="NEW",IF(ISNA(VLOOKUP(E4866,#REF!,1,FALSE())),"?TYPE_IDENTIFIABLE","?REFERENTIAL"),"_")))))</f>
        <v> </v>
      </c>
      <c r="H4866" s="24" t="str">
        <f>IF(J4866&lt;&gt;1,"",IF(I4866="SBJ","CB","?"))</f>
        <v> </v>
      </c>
      <c r="I4866" s="25" t="str">
        <f>IF(OR(E4866="",E4866="!!!",F4866="NEW"),"",INDEX(B4865:B$2,-1+SUMPRODUCT(MAX(ROW(E4865:E$2)*(E4866=E4865:E$2)))))</f>
        <v> </v>
      </c>
      <c r="J4866" s="25" t="str">
        <f>IF(OR(E4866="",E4866="!!!",F4866="NEW"),"",COUNTBLANK(OFFSET(A$1,,,SUMPRODUCT(MAX(ROW(E$2:E4866)*(E4866=E$2:E4866)))))-COUNTBLANK(OFFSET(A$1,,,SUMPRODUCT(MAX(ROW(E$1:E4865)*(E2=E$1:E4865))))))</f>
        <v> </v>
      </c>
      <c r="K4866" s="25" t="str">
        <f>IF(OR(E4866="",E4866="!!!",F4866="NEW"),"",INDEX(J$1:J4865,SUMPRODUCT(MAX(ROW(E$1:E4865)*(E4866=E$1:E4865)))))</f>
        <v> </v>
      </c>
      <c r="L4866" s="26"/>
    </row>
    <row r="4867" spans="1:12">
      <c r="A4867" s="20" t="s">
        <v>795</v>
      </c>
      <c r="B4867" s="27" t="s">
        <v>796</v>
      </c>
      <c r="C4867" s="27" t="s">
        <v>797</v>
      </c>
      <c r="D4867" s="27" t="s">
        <v>762</v>
      </c>
      <c r="E4867" s="21">
        <f>IF(D4867="?OLD","!!!","")</f>
        <v/>
      </c>
      <c r="F4867" s="22" t="str">
        <f>IF(OR(E4867="",E4867="!!!"),"",IF(NOT(ISNA(VLOOKUP(E4867,E$1:E4866,1,FALSE()))),"OLD",IF(AND(E4867&lt;&gt;"",E4867&lt;&gt;"!!!"),"NEW","")))</f>
        <v> </v>
      </c>
      <c r="G4867" s="23" t="str">
        <f>IF(OR(E4867="",E4867="!!!"),"",IF(OR(J4867=0,AND(J4867=1,K4867=1),AND(J4867=1,I4867="SBJ"),AND(J4867=1,I4867=0)),"?IN_FOCUS",IF(J4867&lt;=2,"?ACTIVATED",IF(J4867&lt;&gt;"","?FAMILIAR",IF(F4867="NEW",IF(ISNA(VLOOKUP(E4867,#REF!,1,FALSE())),"?TYPE_IDENTIFIABLE","?REFERENTIAL"),"_")))))</f>
        <v> </v>
      </c>
      <c r="H4867" s="24" t="str">
        <f>IF(J4867&lt;&gt;1,"",IF(I4867="SBJ","CB","?"))</f>
        <v> </v>
      </c>
      <c r="I4867" s="25" t="str">
        <f>IF(OR(E4867="",E4867="!!!",F4867="NEW"),"",INDEX(B4866:B$2,-1+SUMPRODUCT(MAX(ROW(E4866:E$2)*(E4867=E4866:E$2)))))</f>
        <v> </v>
      </c>
      <c r="J4867" s="25" t="str">
        <f>IF(OR(E4867="",E4867="!!!",F4867="NEW"),"",COUNTBLANK(OFFSET(A$1,,,SUMPRODUCT(MAX(ROW(E$2:E4867)*(E4867=E$2:E4867)))))-COUNTBLANK(OFFSET(A$1,,,SUMPRODUCT(MAX(ROW(E$1:E4866)*(E2=E$1:E4866))))))</f>
        <v> </v>
      </c>
      <c r="K4867" s="25" t="str">
        <f>IF(OR(E4867="",E4867="!!!",F4867="NEW"),"",INDEX(J$1:J4866,SUMPRODUCT(MAX(ROW(E$1:E4866)*(E4867=E$1:E4866)))))</f>
        <v> </v>
      </c>
      <c r="L4867" s="26"/>
    </row>
    <row r="4868" spans="1:12">
      <c r="A4868" s="20" t="s">
        <v>1783</v>
      </c>
      <c r="E4868" s="21">
        <f>IF(D4868="?OLD","!!!","")</f>
        <v/>
      </c>
      <c r="F4868" s="22" t="str">
        <f>IF(OR(E4868="",E4868="!!!"),"",IF(NOT(ISNA(VLOOKUP(E4868,E$1:E4867,1,FALSE()))),"OLD",IF(AND(E4868&lt;&gt;"",E4868&lt;&gt;"!!!"),"NEW","")))</f>
        <v> </v>
      </c>
      <c r="G4868" s="23" t="str">
        <f>IF(OR(E4868="",E4868="!!!"),"",IF(OR(J4868=0,AND(J4868=1,K4868=1),AND(J4868=1,I4868="SBJ"),AND(J4868=1,I4868=0)),"?IN_FOCUS",IF(J4868&lt;=2,"?ACTIVATED",IF(J4868&lt;&gt;"","?FAMILIAR",IF(F4868="NEW",IF(ISNA(VLOOKUP(E4868,#REF!,1,FALSE())),"?TYPE_IDENTIFIABLE","?REFERENTIAL"),"_")))))</f>
        <v> </v>
      </c>
      <c r="H4868" s="24" t="str">
        <f>IF(J4868&lt;&gt;1,"",IF(I4868="SBJ","CB","?"))</f>
        <v> </v>
      </c>
      <c r="I4868" s="25" t="str">
        <f>IF(OR(E4868="",E4868="!!!",F4868="NEW"),"",INDEX(B4867:B$2,-1+SUMPRODUCT(MAX(ROW(E4867:E$2)*(E4868=E4867:E$2)))))</f>
        <v> </v>
      </c>
      <c r="J4868" s="25" t="str">
        <f>IF(OR(E4868="",E4868="!!!",F4868="NEW"),"",COUNTBLANK(OFFSET(A$1,,,SUMPRODUCT(MAX(ROW(E$2:E4868)*(E4868=E$2:E4868)))))-COUNTBLANK(OFFSET(A$1,,,SUMPRODUCT(MAX(ROW(E$1:E4867)*(E2=E$1:E4867))))))</f>
        <v> </v>
      </c>
      <c r="K4868" s="25" t="str">
        <f>IF(OR(E4868="",E4868="!!!",F4868="NEW"),"",INDEX(J$1:J4867,SUMPRODUCT(MAX(ROW(E$1:E4867)*(E4868=E$1:E4867)))))</f>
        <v> </v>
      </c>
      <c r="L4868" s="26"/>
    </row>
    <row r="4869" spans="1:12">
      <c r="A4869" s="20" t="s">
        <v>889</v>
      </c>
      <c r="E4869" s="21">
        <f>IF(D4869="?OLD","!!!","")</f>
        <v/>
      </c>
      <c r="F4869" s="22" t="str">
        <f>IF(OR(E4869="",E4869="!!!"),"",IF(NOT(ISNA(VLOOKUP(E4869,E$1:E4868,1,FALSE()))),"OLD",IF(AND(E4869&lt;&gt;"",E4869&lt;&gt;"!!!"),"NEW","")))</f>
        <v> </v>
      </c>
      <c r="G4869" s="23" t="str">
        <f>IF(OR(E4869="",E4869="!!!"),"",IF(OR(J4869=0,AND(J4869=1,K4869=1),AND(J4869=1,I4869="SBJ"),AND(J4869=1,I4869=0)),"?IN_FOCUS",IF(J4869&lt;=2,"?ACTIVATED",IF(J4869&lt;&gt;"","?FAMILIAR",IF(F4869="NEW",IF(ISNA(VLOOKUP(E4869,#REF!,1,FALSE())),"?TYPE_IDENTIFIABLE","?REFERENTIAL"),"_")))))</f>
        <v> </v>
      </c>
      <c r="H4869" s="24" t="str">
        <f>IF(J4869&lt;&gt;1,"",IF(I4869="SBJ","CB","?"))</f>
        <v> </v>
      </c>
      <c r="I4869" s="25" t="str">
        <f>IF(OR(E4869="",E4869="!!!",F4869="NEW"),"",INDEX(B4868:B$2,-1+SUMPRODUCT(MAX(ROW(E4868:E$2)*(E4869=E4868:E$2)))))</f>
        <v> </v>
      </c>
      <c r="J4869" s="25" t="str">
        <f>IF(OR(E4869="",E4869="!!!",F4869="NEW"),"",COUNTBLANK(OFFSET(A$1,,,SUMPRODUCT(MAX(ROW(E$2:E4869)*(E4869=E$2:E4869)))))-COUNTBLANK(OFFSET(A$1,,,SUMPRODUCT(MAX(ROW(E$1:E4868)*(E2=E$1:E4868))))))</f>
        <v> </v>
      </c>
      <c r="K4869" s="25" t="str">
        <f>IF(OR(E4869="",E4869="!!!",F4869="NEW"),"",INDEX(J$1:J4868,SUMPRODUCT(MAX(ROW(E$1:E4868)*(E4869=E$1:E4868)))))</f>
        <v> </v>
      </c>
      <c r="L4869" s="26"/>
    </row>
    <row r="4870" spans="1:12">
      <c r="A4870" s="20" t="s">
        <v>697</v>
      </c>
      <c r="B4870" s="27" t="s">
        <v>956</v>
      </c>
      <c r="C4870" s="27" t="s">
        <v>797</v>
      </c>
      <c r="D4870" s="27" t="s">
        <v>762</v>
      </c>
      <c r="E4870" s="21">
        <f>IF(D4870="?OLD","!!!","")</f>
        <v/>
      </c>
      <c r="F4870" s="22" t="str">
        <f>IF(OR(E4870="",E4870="!!!"),"",IF(NOT(ISNA(VLOOKUP(E4870,E$1:E4869,1,FALSE()))),"OLD",IF(AND(E4870&lt;&gt;"",E4870&lt;&gt;"!!!"),"NEW","")))</f>
        <v> </v>
      </c>
      <c r="G4870" s="23" t="str">
        <f>IF(OR(E4870="",E4870="!!!"),"",IF(OR(J4870=0,AND(J4870=1,K4870=1),AND(J4870=1,I4870="SBJ"),AND(J4870=1,I4870=0)),"?IN_FOCUS",IF(J4870&lt;=2,"?ACTIVATED",IF(J4870&lt;&gt;"","?FAMILIAR",IF(F4870="NEW",IF(ISNA(VLOOKUP(E4870,#REF!,1,FALSE())),"?TYPE_IDENTIFIABLE","?REFERENTIAL"),"_")))))</f>
        <v> </v>
      </c>
      <c r="H4870" s="24" t="str">
        <f>IF(J4870&lt;&gt;1,"",IF(I4870="SBJ","CB","?"))</f>
        <v> </v>
      </c>
      <c r="I4870" s="25" t="str">
        <f>IF(OR(E4870="",E4870="!!!",F4870="NEW"),"",INDEX(B4869:B$2,-1+SUMPRODUCT(MAX(ROW(E4869:E$2)*(E4870=E4869:E$2)))))</f>
        <v> </v>
      </c>
      <c r="J4870" s="25" t="str">
        <f>IF(OR(E4870="",E4870="!!!",F4870="NEW"),"",COUNTBLANK(OFFSET(A$1,,,SUMPRODUCT(MAX(ROW(E$2:E4870)*(E4870=E$2:E4870)))))-COUNTBLANK(OFFSET(A$1,,,SUMPRODUCT(MAX(ROW(E$1:E4869)*(E2=E$1:E4869))))))</f>
        <v> </v>
      </c>
      <c r="K4870" s="25" t="str">
        <f>IF(OR(E4870="",E4870="!!!",F4870="NEW"),"",INDEX(J$1:J4869,SUMPRODUCT(MAX(ROW(E$1:E4869)*(E4870=E$1:E4869)))))</f>
        <v> </v>
      </c>
      <c r="L4870" s="26"/>
    </row>
    <row r="4871" spans="1:12">
      <c r="A4871" s="20" t="s">
        <v>1164</v>
      </c>
      <c r="E4871" s="21">
        <f>IF(D4871="?OLD","!!!","")</f>
        <v/>
      </c>
      <c r="F4871" s="22" t="str">
        <f>IF(OR(E4871="",E4871="!!!"),"",IF(NOT(ISNA(VLOOKUP(E4871,E$1:E4870,1,FALSE()))),"OLD",IF(AND(E4871&lt;&gt;"",E4871&lt;&gt;"!!!"),"NEW","")))</f>
        <v> </v>
      </c>
      <c r="G4871" s="23" t="str">
        <f>IF(OR(E4871="",E4871="!!!"),"",IF(OR(J4871=0,AND(J4871=1,K4871=1),AND(J4871=1,I4871="SBJ"),AND(J4871=1,I4871=0)),"?IN_FOCUS",IF(J4871&lt;=2,"?ACTIVATED",IF(J4871&lt;&gt;"","?FAMILIAR",IF(F4871="NEW",IF(ISNA(VLOOKUP(E4871,#REF!,1,FALSE())),"?TYPE_IDENTIFIABLE","?REFERENTIAL"),"_")))))</f>
        <v> </v>
      </c>
      <c r="H4871" s="24" t="str">
        <f>IF(J4871&lt;&gt;1,"",IF(I4871="SBJ","CB","?"))</f>
        <v> </v>
      </c>
      <c r="I4871" s="25" t="str">
        <f>IF(OR(E4871="",E4871="!!!",F4871="NEW"),"",INDEX(B4870:B$2,-1+SUMPRODUCT(MAX(ROW(E4870:E$2)*(E4871=E4870:E$2)))))</f>
        <v> </v>
      </c>
      <c r="J4871" s="25" t="str">
        <f>IF(OR(E4871="",E4871="!!!",F4871="NEW"),"",COUNTBLANK(OFFSET(A$1,,,SUMPRODUCT(MAX(ROW(E$2:E4871)*(E4871=E$2:E4871)))))-COUNTBLANK(OFFSET(A$1,,,SUMPRODUCT(MAX(ROW(E$1:E4870)*(E2=E$1:E4870))))))</f>
        <v> </v>
      </c>
      <c r="K4871" s="25" t="str">
        <f>IF(OR(E4871="",E4871="!!!",F4871="NEW"),"",INDEX(J$1:J4870,SUMPRODUCT(MAX(ROW(E$1:E4870)*(E4871=E$1:E4870)))))</f>
        <v> </v>
      </c>
      <c r="L4871" s="26"/>
    </row>
    <row r="4872" spans="1:12">
      <c r="A4872" s="20" t="s">
        <v>971</v>
      </c>
      <c r="E4872" s="21">
        <f>IF(D4872="?OLD","!!!","")</f>
        <v/>
      </c>
      <c r="F4872" s="22" t="str">
        <f>IF(OR(E4872="",E4872="!!!"),"",IF(NOT(ISNA(VLOOKUP(E4872,E$1:E4871,1,FALSE()))),"OLD",IF(AND(E4872&lt;&gt;"",E4872&lt;&gt;"!!!"),"NEW","")))</f>
        <v> </v>
      </c>
      <c r="G4872" s="23" t="str">
        <f>IF(OR(E4872="",E4872="!!!"),"",IF(OR(J4872=0,AND(J4872=1,K4872=1),AND(J4872=1,I4872="SBJ"),AND(J4872=1,I4872=0)),"?IN_FOCUS",IF(J4872&lt;=2,"?ACTIVATED",IF(J4872&lt;&gt;"","?FAMILIAR",IF(F4872="NEW",IF(ISNA(VLOOKUP(E4872,#REF!,1,FALSE())),"?TYPE_IDENTIFIABLE","?REFERENTIAL"),"_")))))</f>
        <v> </v>
      </c>
      <c r="H4872" s="24" t="str">
        <f>IF(J4872&lt;&gt;1,"",IF(I4872="SBJ","CB","?"))</f>
        <v> </v>
      </c>
      <c r="I4872" s="25" t="str">
        <f>IF(OR(E4872="",E4872="!!!",F4872="NEW"),"",INDEX(B4871:B$2,-1+SUMPRODUCT(MAX(ROW(E4871:E$2)*(E4872=E4871:E$2)))))</f>
        <v> </v>
      </c>
      <c r="J4872" s="25" t="str">
        <f>IF(OR(E4872="",E4872="!!!",F4872="NEW"),"",COUNTBLANK(OFFSET(A$1,,,SUMPRODUCT(MAX(ROW(E$2:E4872)*(E4872=E$2:E4872)))))-COUNTBLANK(OFFSET(A$1,,,SUMPRODUCT(MAX(ROW(E$1:E4871)*(E2=E$1:E4871))))))</f>
        <v> </v>
      </c>
      <c r="K4872" s="25" t="str">
        <f>IF(OR(E4872="",E4872="!!!",F4872="NEW"),"",INDEX(J$1:J4871,SUMPRODUCT(MAX(ROW(E$1:E4871)*(E4872=E$1:E4871)))))</f>
        <v> </v>
      </c>
      <c r="L4872" s="26"/>
    </row>
    <row r="4873" spans="1:12">
      <c r="A4873" s="20" t="s">
        <v>1095</v>
      </c>
      <c r="E4873" s="21">
        <f>IF(D4873="?OLD","!!!","")</f>
        <v/>
      </c>
      <c r="F4873" s="22" t="str">
        <f>IF(OR(E4873="",E4873="!!!"),"",IF(NOT(ISNA(VLOOKUP(E4873,E$1:E4872,1,FALSE()))),"OLD",IF(AND(E4873&lt;&gt;"",E4873&lt;&gt;"!!!"),"NEW","")))</f>
        <v> </v>
      </c>
      <c r="G4873" s="23" t="str">
        <f>IF(OR(E4873="",E4873="!!!"),"",IF(OR(J4873=0,AND(J4873=1,K4873=1),AND(J4873=1,I4873="SBJ"),AND(J4873=1,I4873=0)),"?IN_FOCUS",IF(J4873&lt;=2,"?ACTIVATED",IF(J4873&lt;&gt;"","?FAMILIAR",IF(F4873="NEW",IF(ISNA(VLOOKUP(E4873,#REF!,1,FALSE())),"?TYPE_IDENTIFIABLE","?REFERENTIAL"),"_")))))</f>
        <v> </v>
      </c>
      <c r="H4873" s="24" t="str">
        <f>IF(J4873&lt;&gt;1,"",IF(I4873="SBJ","CB","?"))</f>
        <v> </v>
      </c>
      <c r="I4873" s="25" t="str">
        <f>IF(OR(E4873="",E4873="!!!",F4873="NEW"),"",INDEX(B4872:B$2,-1+SUMPRODUCT(MAX(ROW(E4872:E$2)*(E4873=E4872:E$2)))))</f>
        <v> </v>
      </c>
      <c r="J4873" s="25" t="str">
        <f>IF(OR(E4873="",E4873="!!!",F4873="NEW"),"",COUNTBLANK(OFFSET(A$1,,,SUMPRODUCT(MAX(ROW(E$2:E4873)*(E4873=E$2:E4873)))))-COUNTBLANK(OFFSET(A$1,,,SUMPRODUCT(MAX(ROW(E$1:E4872)*(E2=E$1:E4872))))))</f>
        <v> </v>
      </c>
      <c r="K4873" s="25" t="str">
        <f>IF(OR(E4873="",E4873="!!!",F4873="NEW"),"",INDEX(J$1:J4872,SUMPRODUCT(MAX(ROW(E$1:E4872)*(E4873=E$1:E4872)))))</f>
        <v> </v>
      </c>
      <c r="L4873" s="26"/>
    </row>
    <row r="4874" spans="1:12">
      <c r="A4874" s="20" t="s">
        <v>764</v>
      </c>
      <c r="E4874" s="21">
        <f>IF(D4874="?OLD","!!!","")</f>
        <v/>
      </c>
      <c r="F4874" s="22" t="str">
        <f>IF(OR(E4874="",E4874="!!!"),"",IF(NOT(ISNA(VLOOKUP(E4874,E$1:E4873,1,FALSE()))),"OLD",IF(AND(E4874&lt;&gt;"",E4874&lt;&gt;"!!!"),"NEW","")))</f>
        <v> </v>
      </c>
      <c r="G4874" s="23" t="str">
        <f>IF(OR(E4874="",E4874="!!!"),"",IF(OR(J4874=0,AND(J4874=1,K4874=1),AND(J4874=1,I4874="SBJ"),AND(J4874=1,I4874=0)),"?IN_FOCUS",IF(J4874&lt;=2,"?ACTIVATED",IF(J4874&lt;&gt;"","?FAMILIAR",IF(F4874="NEW",IF(ISNA(VLOOKUP(E4874,#REF!,1,FALSE())),"?TYPE_IDENTIFIABLE","?REFERENTIAL"),"_")))))</f>
        <v> </v>
      </c>
      <c r="H4874" s="24" t="str">
        <f>IF(J4874&lt;&gt;1,"",IF(I4874="SBJ","CB","?"))</f>
        <v> </v>
      </c>
      <c r="I4874" s="25" t="str">
        <f>IF(OR(E4874="",E4874="!!!",F4874="NEW"),"",INDEX(B4873:B$2,-1+SUMPRODUCT(MAX(ROW(E4873:E$2)*(E4874=E4873:E$2)))))</f>
        <v> </v>
      </c>
      <c r="J4874" s="25" t="str">
        <f>IF(OR(E4874="",E4874="!!!",F4874="NEW"),"",COUNTBLANK(OFFSET(A$1,,,SUMPRODUCT(MAX(ROW(E$2:E4874)*(E4874=E$2:E4874)))))-COUNTBLANK(OFFSET(A$1,,,SUMPRODUCT(MAX(ROW(E$1:E4873)*(E2=E$1:E4873))))))</f>
        <v> </v>
      </c>
      <c r="K4874" s="25" t="str">
        <f>IF(OR(E4874="",E4874="!!!",F4874="NEW"),"",INDEX(J$1:J4873,SUMPRODUCT(MAX(ROW(E$1:E4873)*(E4874=E$1:E4873)))))</f>
        <v> </v>
      </c>
      <c r="L4874" s="26"/>
    </row>
    <row r="4875" spans="1:12">
      <c r="A4875" s="20" t="s">
        <v>2048</v>
      </c>
      <c r="B4875" s="27" t="s">
        <v>894</v>
      </c>
      <c r="C4875" s="27" t="s">
        <v>768</v>
      </c>
      <c r="E4875" s="21">
        <f>IF(D4875="?OLD","!!!","")</f>
        <v/>
      </c>
      <c r="F4875" s="22" t="str">
        <f>IF(OR(E4875="",E4875="!!!"),"",IF(NOT(ISNA(VLOOKUP(E4875,E$1:E4874,1,FALSE()))),"OLD",IF(AND(E4875&lt;&gt;"",E4875&lt;&gt;"!!!"),"NEW","")))</f>
        <v> </v>
      </c>
      <c r="G4875" s="23" t="str">
        <f>IF(OR(E4875="",E4875="!!!"),"",IF(OR(J4875=0,AND(J4875=1,K4875=1),AND(J4875=1,I4875="SBJ"),AND(J4875=1,I4875=0)),"?IN_FOCUS",IF(J4875&lt;=2,"?ACTIVATED",IF(J4875&lt;&gt;"","?FAMILIAR",IF(F4875="NEW",IF(ISNA(VLOOKUP(E4875,#REF!,1,FALSE())),"?TYPE_IDENTIFIABLE","?REFERENTIAL"),"_")))))</f>
        <v> </v>
      </c>
      <c r="H4875" s="24" t="str">
        <f>IF(J4875&lt;&gt;1,"",IF(I4875="SBJ","CB","?"))</f>
        <v> </v>
      </c>
      <c r="I4875" s="25" t="str">
        <f>IF(OR(E4875="",E4875="!!!",F4875="NEW"),"",INDEX(B4874:B$2,-1+SUMPRODUCT(MAX(ROW(E4874:E$2)*(E4875=E4874:E$2)))))</f>
        <v> </v>
      </c>
      <c r="J4875" s="25" t="str">
        <f>IF(OR(E4875="",E4875="!!!",F4875="NEW"),"",COUNTBLANK(OFFSET(A$1,,,SUMPRODUCT(MAX(ROW(E$2:E4875)*(E4875=E$2:E4875)))))-COUNTBLANK(OFFSET(A$1,,,SUMPRODUCT(MAX(ROW(E$1:E4874)*(E2=E$1:E4874))))))</f>
        <v> </v>
      </c>
      <c r="K4875" s="25" t="str">
        <f>IF(OR(E4875="",E4875="!!!",F4875="NEW"),"",INDEX(J$1:J4874,SUMPRODUCT(MAX(ROW(E$1:E4874)*(E4875=E$1:E4874)))))</f>
        <v> </v>
      </c>
      <c r="L4875" s="26"/>
    </row>
    <row r="4876" spans="1:12">
      <c r="A4876" s="20" t="s">
        <v>954</v>
      </c>
      <c r="E4876" s="21">
        <f>IF(D4876="?OLD","!!!","")</f>
        <v/>
      </c>
      <c r="F4876" s="22" t="str">
        <f>IF(OR(E4876="",E4876="!!!"),"",IF(NOT(ISNA(VLOOKUP(E4876,E$1:E4875,1,FALSE()))),"OLD",IF(AND(E4876&lt;&gt;"",E4876&lt;&gt;"!!!"),"NEW","")))</f>
        <v> </v>
      </c>
      <c r="G4876" s="23" t="str">
        <f>IF(OR(E4876="",E4876="!!!"),"",IF(OR(J4876=0,AND(J4876=1,K4876=1),AND(J4876=1,I4876="SBJ"),AND(J4876=1,I4876=0)),"?IN_FOCUS",IF(J4876&lt;=2,"?ACTIVATED",IF(J4876&lt;&gt;"","?FAMILIAR",IF(F4876="NEW",IF(ISNA(VLOOKUP(E4876,#REF!,1,FALSE())),"?TYPE_IDENTIFIABLE","?REFERENTIAL"),"_")))))</f>
        <v> </v>
      </c>
      <c r="H4876" s="24" t="str">
        <f>IF(J4876&lt;&gt;1,"",IF(I4876="SBJ","CB","?"))</f>
        <v> </v>
      </c>
      <c r="I4876" s="25" t="str">
        <f>IF(OR(E4876="",E4876="!!!",F4876="NEW"),"",INDEX(B4875:B$2,-1+SUMPRODUCT(MAX(ROW(E4875:E$2)*(E4876=E4875:E$2)))))</f>
        <v> </v>
      </c>
      <c r="J4876" s="25" t="str">
        <f>IF(OR(E4876="",E4876="!!!",F4876="NEW"),"",COUNTBLANK(OFFSET(A$1,,,SUMPRODUCT(MAX(ROW(E$2:E4876)*(E4876=E$2:E4876)))))-COUNTBLANK(OFFSET(A$1,,,SUMPRODUCT(MAX(ROW(E$1:E4875)*(E2=E$1:E4875))))))</f>
        <v> </v>
      </c>
      <c r="K4876" s="25" t="str">
        <f>IF(OR(E4876="",E4876="!!!",F4876="NEW"),"",INDEX(J$1:J4875,SUMPRODUCT(MAX(ROW(E$1:E4875)*(E4876=E$1:E4875)))))</f>
        <v> </v>
      </c>
      <c r="L4876" s="26"/>
    </row>
    <row r="4877" spans="1:12">
      <c r="A4877" s="20" t="s">
        <v>2049</v>
      </c>
      <c r="B4877" s="27" t="s">
        <v>879</v>
      </c>
      <c r="C4877" s="27" t="s">
        <v>1019</v>
      </c>
      <c r="D4877" s="27" t="s">
        <v>762</v>
      </c>
      <c r="E4877" s="21">
        <f>IF(D4877="?OLD","!!!","")</f>
        <v/>
      </c>
      <c r="F4877" s="22" t="str">
        <f>IF(OR(E4877="",E4877="!!!"),"",IF(NOT(ISNA(VLOOKUP(E4877,E$1:E4876,1,FALSE()))),"OLD",IF(AND(E4877&lt;&gt;"",E4877&lt;&gt;"!!!"),"NEW","")))</f>
        <v> </v>
      </c>
      <c r="G4877" s="23" t="str">
        <f>IF(OR(E4877="",E4877="!!!"),"",IF(OR(J4877=0,AND(J4877=1,K4877=1),AND(J4877=1,I4877="SBJ"),AND(J4877=1,I4877=0)),"?IN_FOCUS",IF(J4877&lt;=2,"?ACTIVATED",IF(J4877&lt;&gt;"","?FAMILIAR",IF(F4877="NEW",IF(ISNA(VLOOKUP(E4877,#REF!,1,FALSE())),"?TYPE_IDENTIFIABLE","?REFERENTIAL"),"_")))))</f>
        <v> </v>
      </c>
      <c r="H4877" s="24" t="str">
        <f>IF(J4877&lt;&gt;1,"",IF(I4877="SBJ","CB","?"))</f>
        <v> </v>
      </c>
      <c r="I4877" s="25" t="str">
        <f>IF(OR(E4877="",E4877="!!!",F4877="NEW"),"",INDEX(B4876:B$2,-1+SUMPRODUCT(MAX(ROW(E4876:E$2)*(E4877=E4876:E$2)))))</f>
        <v> </v>
      </c>
      <c r="J4877" s="25" t="str">
        <f>IF(OR(E4877="",E4877="!!!",F4877="NEW"),"",COUNTBLANK(OFFSET(A$1,,,SUMPRODUCT(MAX(ROW(E$2:E4877)*(E4877=E$2:E4877)))))-COUNTBLANK(OFFSET(A$1,,,SUMPRODUCT(MAX(ROW(E$1:E4876)*(E2=E$1:E4876))))))</f>
        <v> </v>
      </c>
      <c r="K4877" s="25" t="str">
        <f>IF(OR(E4877="",E4877="!!!",F4877="NEW"),"",INDEX(J$1:J4876,SUMPRODUCT(MAX(ROW(E$1:E4876)*(E4877=E$1:E4876)))))</f>
        <v> </v>
      </c>
      <c r="L4877" s="26"/>
    </row>
    <row r="4878" spans="1:12">
      <c r="A4878" s="20" t="s">
        <v>774</v>
      </c>
      <c r="E4878" s="21">
        <f>IF(D4878="?OLD","!!!","")</f>
        <v/>
      </c>
      <c r="F4878" s="22" t="str">
        <f>IF(OR(E4878="",E4878="!!!"),"",IF(NOT(ISNA(VLOOKUP(E4878,E$1:E4877,1,FALSE()))),"OLD",IF(AND(E4878&lt;&gt;"",E4878&lt;&gt;"!!!"),"NEW","")))</f>
        <v> </v>
      </c>
      <c r="G4878" s="23" t="str">
        <f>IF(OR(E4878="",E4878="!!!"),"",IF(OR(J4878=0,AND(J4878=1,K4878=1),AND(J4878=1,I4878="SBJ"),AND(J4878=1,I4878=0)),"?IN_FOCUS",IF(J4878&lt;=2,"?ACTIVATED",IF(J4878&lt;&gt;"","?FAMILIAR",IF(F4878="NEW",IF(ISNA(VLOOKUP(E4878,#REF!,1,FALSE())),"?TYPE_IDENTIFIABLE","?REFERENTIAL"),"_")))))</f>
        <v> </v>
      </c>
      <c r="H4878" s="24" t="str">
        <f>IF(J4878&lt;&gt;1,"",IF(I4878="SBJ","CB","?"))</f>
        <v> </v>
      </c>
      <c r="I4878" s="25" t="str">
        <f>IF(OR(E4878="",E4878="!!!",F4878="NEW"),"",INDEX(B4877:B$2,-1+SUMPRODUCT(MAX(ROW(E4877:E$2)*(E4878=E4877:E$2)))))</f>
        <v> </v>
      </c>
      <c r="J4878" s="25" t="str">
        <f>IF(OR(E4878="",E4878="!!!",F4878="NEW"),"",COUNTBLANK(OFFSET(A$1,,,SUMPRODUCT(MAX(ROW(E$2:E4878)*(E4878=E$2:E4878)))))-COUNTBLANK(OFFSET(A$1,,,SUMPRODUCT(MAX(ROW(E$1:E4877)*(E2=E$1:E4877))))))</f>
        <v> </v>
      </c>
      <c r="K4878" s="25" t="str">
        <f>IF(OR(E4878="",E4878="!!!",F4878="NEW"),"",INDEX(J$1:J4877,SUMPRODUCT(MAX(ROW(E$1:E4877)*(E4878=E$1:E4877)))))</f>
        <v> </v>
      </c>
      <c r="L4878" s="26"/>
    </row>
    <row r="4879" spans="1:12">
      <c r="A4879" s="20"/>
    </row>
    <row r="4880" spans="1:12">
      <c r="A4880" s="20" t="s">
        <v>2050</v>
      </c>
    </row>
    <row r="4881" spans="1:12">
      <c r="A4881" s="20" t="s">
        <v>908</v>
      </c>
      <c r="E4881" s="21">
        <f>IF(D4881="?OLD","!!!","")</f>
        <v/>
      </c>
      <c r="F4881" s="22" t="str">
        <f>IF(OR(E4881="",E4881="!!!"),"",IF(NOT(ISNA(VLOOKUP(E4881,E$1:E4880,1,FALSE()))),"OLD",IF(AND(E4881&lt;&gt;"",E4881&lt;&gt;"!!!"),"NEW","")))</f>
        <v> </v>
      </c>
      <c r="G4881" s="23" t="str">
        <f>IF(OR(E4881="",E4881="!!!"),"",IF(OR(J4881=0,AND(J4881=1,K4881=1),AND(J4881=1,I4881="SBJ"),AND(J4881=1,I4881=0)),"?IN_FOCUS",IF(J4881&lt;=2,"?ACTIVATED",IF(J4881&lt;&gt;"","?FAMILIAR",IF(F4881="NEW",IF(ISNA(VLOOKUP(E4881,#REF!,1,FALSE())),"?TYPE_IDENTIFIABLE","?REFERENTIAL"),"_")))))</f>
        <v> </v>
      </c>
      <c r="H4881" s="24" t="str">
        <f>IF(J4881&lt;&gt;1,"",IF(I4881="SBJ","CB","?"))</f>
        <v> </v>
      </c>
      <c r="I4881" s="25" t="str">
        <f>IF(OR(E4881="",E4881="!!!",F4881="NEW"),"",INDEX(B4880:B$2,-1+SUMPRODUCT(MAX(ROW(E4880:E$2)*(E4881=E4880:E$2)))))</f>
        <v> </v>
      </c>
      <c r="J4881" s="25" t="str">
        <f>IF(OR(E4881="",E4881="!!!",F4881="NEW"),"",COUNTBLANK(OFFSET(A$1,,,SUMPRODUCT(MAX(ROW(E$2:E4881)*(E4881=E$2:E4881)))))-COUNTBLANK(OFFSET(A$1,,,SUMPRODUCT(MAX(ROW(E$1:E4880)*(E2=E$1:E4880))))))</f>
        <v> </v>
      </c>
      <c r="K4881" s="25" t="str">
        <f>IF(OR(E4881="",E4881="!!!",F4881="NEW"),"",INDEX(J$1:J4880,SUMPRODUCT(MAX(ROW(E$1:E4880)*(E4881=E$1:E4880)))))</f>
        <v> </v>
      </c>
      <c r="L4881" s="26"/>
    </row>
    <row r="4882" spans="1:12">
      <c r="A4882" s="20" t="s">
        <v>827</v>
      </c>
      <c r="B4882" s="27" t="s">
        <v>760</v>
      </c>
      <c r="C4882" s="27" t="s">
        <v>797</v>
      </c>
      <c r="D4882" s="27" t="s">
        <v>762</v>
      </c>
      <c r="E4882" s="21">
        <f>IF(D4882="?OLD","!!!","")</f>
        <v/>
      </c>
      <c r="F4882" s="22" t="str">
        <f>IF(OR(E4882="",E4882="!!!"),"",IF(NOT(ISNA(VLOOKUP(E4882,E$1:E4881,1,FALSE()))),"OLD",IF(AND(E4882&lt;&gt;"",E4882&lt;&gt;"!!!"),"NEW","")))</f>
        <v> </v>
      </c>
      <c r="G4882" s="23" t="str">
        <f>IF(OR(E4882="",E4882="!!!"),"",IF(OR(J4882=0,AND(J4882=1,K4882=1),AND(J4882=1,I4882="SBJ"),AND(J4882=1,I4882=0)),"?IN_FOCUS",IF(J4882&lt;=2,"?ACTIVATED",IF(J4882&lt;&gt;"","?FAMILIAR",IF(F4882="NEW",IF(ISNA(VLOOKUP(E4882,#REF!,1,FALSE())),"?TYPE_IDENTIFIABLE","?REFERENTIAL"),"_")))))</f>
        <v> </v>
      </c>
      <c r="H4882" s="24" t="str">
        <f>IF(J4882&lt;&gt;1,"",IF(I4882="SBJ","CB","?"))</f>
        <v> </v>
      </c>
      <c r="I4882" s="25" t="str">
        <f>IF(OR(E4882="",E4882="!!!",F4882="NEW"),"",INDEX(B4881:B$2,-1+SUMPRODUCT(MAX(ROW(E4881:E$2)*(E4882=E4881:E$2)))))</f>
        <v> </v>
      </c>
      <c r="J4882" s="25" t="str">
        <f>IF(OR(E4882="",E4882="!!!",F4882="NEW"),"",COUNTBLANK(OFFSET(A$1,,,SUMPRODUCT(MAX(ROW(E$2:E4882)*(E4882=E$2:E4882)))))-COUNTBLANK(OFFSET(A$1,,,SUMPRODUCT(MAX(ROW(E$1:E4881)*(E2=E$1:E4881))))))</f>
        <v> </v>
      </c>
      <c r="K4882" s="25" t="str">
        <f>IF(OR(E4882="",E4882="!!!",F4882="NEW"),"",INDEX(J$1:J4881,SUMPRODUCT(MAX(ROW(E$1:E4881)*(E4882=E$1:E4881)))))</f>
        <v> </v>
      </c>
      <c r="L4882" s="26"/>
    </row>
    <row r="4883" spans="1:12">
      <c r="A4883" s="20" t="s">
        <v>909</v>
      </c>
      <c r="E4883" s="21">
        <f>IF(D4883="?OLD","!!!","")</f>
        <v/>
      </c>
      <c r="F4883" s="22" t="str">
        <f>IF(OR(E4883="",E4883="!!!"),"",IF(NOT(ISNA(VLOOKUP(E4883,E$1:E4882,1,FALSE()))),"OLD",IF(AND(E4883&lt;&gt;"",E4883&lt;&gt;"!!!"),"NEW","")))</f>
        <v> </v>
      </c>
      <c r="G4883" s="23" t="str">
        <f>IF(OR(E4883="",E4883="!!!"),"",IF(OR(J4883=0,AND(J4883=1,K4883=1),AND(J4883=1,I4883="SBJ"),AND(J4883=1,I4883=0)),"?IN_FOCUS",IF(J4883&lt;=2,"?ACTIVATED",IF(J4883&lt;&gt;"","?FAMILIAR",IF(F4883="NEW",IF(ISNA(VLOOKUP(E4883,#REF!,1,FALSE())),"?TYPE_IDENTIFIABLE","?REFERENTIAL"),"_")))))</f>
        <v> </v>
      </c>
      <c r="H4883" s="24" t="str">
        <f>IF(J4883&lt;&gt;1,"",IF(I4883="SBJ","CB","?"))</f>
        <v> </v>
      </c>
      <c r="I4883" s="25" t="str">
        <f>IF(OR(E4883="",E4883="!!!",F4883="NEW"),"",INDEX(B4882:B$2,-1+SUMPRODUCT(MAX(ROW(E4882:E$2)*(E4883=E4882:E$2)))))</f>
        <v> </v>
      </c>
      <c r="J4883" s="25" t="str">
        <f>IF(OR(E4883="",E4883="!!!",F4883="NEW"),"",COUNTBLANK(OFFSET(A$1,,,SUMPRODUCT(MAX(ROW(E$2:E4883)*(E4883=E$2:E4883)))))-COUNTBLANK(OFFSET(A$1,,,SUMPRODUCT(MAX(ROW(E$1:E4882)*(E2=E$1:E4882))))))</f>
        <v> </v>
      </c>
      <c r="K4883" s="25" t="str">
        <f>IF(OR(E4883="",E4883="!!!",F4883="NEW"),"",INDEX(J$1:J4882,SUMPRODUCT(MAX(ROW(E$1:E4882)*(E4883=E$1:E4882)))))</f>
        <v> </v>
      </c>
      <c r="L4883" s="26"/>
    </row>
    <row r="4884" spans="1:12">
      <c r="A4884" s="20" t="s">
        <v>1014</v>
      </c>
      <c r="E4884" s="21">
        <f>IF(D4884="?OLD","!!!","")</f>
        <v/>
      </c>
      <c r="F4884" s="22" t="str">
        <f>IF(OR(E4884="",E4884="!!!"),"",IF(NOT(ISNA(VLOOKUP(E4884,E$1:E4883,1,FALSE()))),"OLD",IF(AND(E4884&lt;&gt;"",E4884&lt;&gt;"!!!"),"NEW","")))</f>
        <v> </v>
      </c>
      <c r="G4884" s="23" t="str">
        <f>IF(OR(E4884="",E4884="!!!"),"",IF(OR(J4884=0,AND(J4884=1,K4884=1),AND(J4884=1,I4884="SBJ"),AND(J4884=1,I4884=0)),"?IN_FOCUS",IF(J4884&lt;=2,"?ACTIVATED",IF(J4884&lt;&gt;"","?FAMILIAR",IF(F4884="NEW",IF(ISNA(VLOOKUP(E4884,#REF!,1,FALSE())),"?TYPE_IDENTIFIABLE","?REFERENTIAL"),"_")))))</f>
        <v> </v>
      </c>
      <c r="H4884" s="24" t="str">
        <f>IF(J4884&lt;&gt;1,"",IF(I4884="SBJ","CB","?"))</f>
        <v> </v>
      </c>
      <c r="I4884" s="25" t="str">
        <f>IF(OR(E4884="",E4884="!!!",F4884="NEW"),"",INDEX(B4883:B$2,-1+SUMPRODUCT(MAX(ROW(E4883:E$2)*(E4884=E4883:E$2)))))</f>
        <v> </v>
      </c>
      <c r="J4884" s="25" t="str">
        <f>IF(OR(E4884="",E4884="!!!",F4884="NEW"),"",COUNTBLANK(OFFSET(A$1,,,SUMPRODUCT(MAX(ROW(E$2:E4884)*(E4884=E$2:E4884)))))-COUNTBLANK(OFFSET(A$1,,,SUMPRODUCT(MAX(ROW(E$1:E4883)*(E2=E$1:E4883))))))</f>
        <v> </v>
      </c>
      <c r="K4884" s="25" t="str">
        <f>IF(OR(E4884="",E4884="!!!",F4884="NEW"),"",INDEX(J$1:J4883,SUMPRODUCT(MAX(ROW(E$1:E4883)*(E4884=E$1:E4883)))))</f>
        <v> </v>
      </c>
      <c r="L4884" s="26"/>
    </row>
    <row r="4885" spans="1:12">
      <c r="A4885" s="20" t="s">
        <v>785</v>
      </c>
      <c r="E4885" s="21">
        <f>IF(D4885="?OLD","!!!","")</f>
        <v/>
      </c>
      <c r="F4885" s="22" t="str">
        <f>IF(OR(E4885="",E4885="!!!"),"",IF(NOT(ISNA(VLOOKUP(E4885,E$1:E4884,1,FALSE()))),"OLD",IF(AND(E4885&lt;&gt;"",E4885&lt;&gt;"!!!"),"NEW","")))</f>
        <v> </v>
      </c>
      <c r="G4885" s="23" t="str">
        <f>IF(OR(E4885="",E4885="!!!"),"",IF(OR(J4885=0,AND(J4885=1,K4885=1),AND(J4885=1,I4885="SBJ"),AND(J4885=1,I4885=0)),"?IN_FOCUS",IF(J4885&lt;=2,"?ACTIVATED",IF(J4885&lt;&gt;"","?FAMILIAR",IF(F4885="NEW",IF(ISNA(VLOOKUP(E4885,#REF!,1,FALSE())),"?TYPE_IDENTIFIABLE","?REFERENTIAL"),"_")))))</f>
        <v> </v>
      </c>
      <c r="H4885" s="24" t="str">
        <f>IF(J4885&lt;&gt;1,"",IF(I4885="SBJ","CB","?"))</f>
        <v> </v>
      </c>
      <c r="I4885" s="25" t="str">
        <f>IF(OR(E4885="",E4885="!!!",F4885="NEW"),"",INDEX(B4884:B$2,-1+SUMPRODUCT(MAX(ROW(E4884:E$2)*(E4885=E4884:E$2)))))</f>
        <v> </v>
      </c>
      <c r="J4885" s="25" t="str">
        <f>IF(OR(E4885="",E4885="!!!",F4885="NEW"),"",COUNTBLANK(OFFSET(A$1,,,SUMPRODUCT(MAX(ROW(E$2:E4885)*(E4885=E$2:E4885)))))-COUNTBLANK(OFFSET(A$1,,,SUMPRODUCT(MAX(ROW(E$1:E4884)*(E2=E$1:E4884))))))</f>
        <v> </v>
      </c>
      <c r="K4885" s="25" t="str">
        <f>IF(OR(E4885="",E4885="!!!",F4885="NEW"),"",INDEX(J$1:J4884,SUMPRODUCT(MAX(ROW(E$1:E4884)*(E4885=E$1:E4884)))))</f>
        <v> </v>
      </c>
      <c r="L4885" s="26"/>
    </row>
    <row r="4886" spans="1:12">
      <c r="A4886" s="20" t="s">
        <v>1244</v>
      </c>
      <c r="E4886" s="21">
        <f>IF(D4886="?OLD","!!!","")</f>
        <v/>
      </c>
      <c r="F4886" s="22" t="str">
        <f>IF(OR(E4886="",E4886="!!!"),"",IF(NOT(ISNA(VLOOKUP(E4886,E$1:E4885,1,FALSE()))),"OLD",IF(AND(E4886&lt;&gt;"",E4886&lt;&gt;"!!!"),"NEW","")))</f>
        <v> </v>
      </c>
      <c r="G4886" s="23" t="str">
        <f>IF(OR(E4886="",E4886="!!!"),"",IF(OR(J4886=0,AND(J4886=1,K4886=1),AND(J4886=1,I4886="SBJ"),AND(J4886=1,I4886=0)),"?IN_FOCUS",IF(J4886&lt;=2,"?ACTIVATED",IF(J4886&lt;&gt;"","?FAMILIAR",IF(F4886="NEW",IF(ISNA(VLOOKUP(E4886,#REF!,1,FALSE())),"?TYPE_IDENTIFIABLE","?REFERENTIAL"),"_")))))</f>
        <v> </v>
      </c>
      <c r="H4886" s="24" t="str">
        <f>IF(J4886&lt;&gt;1,"",IF(I4886="SBJ","CB","?"))</f>
        <v> </v>
      </c>
      <c r="I4886" s="25" t="str">
        <f>IF(OR(E4886="",E4886="!!!",F4886="NEW"),"",INDEX(B4885:B$2,-1+SUMPRODUCT(MAX(ROW(E4885:E$2)*(E4886=E4885:E$2)))))</f>
        <v> </v>
      </c>
      <c r="J4886" s="25" t="str">
        <f>IF(OR(E4886="",E4886="!!!",F4886="NEW"),"",COUNTBLANK(OFFSET(A$1,,,SUMPRODUCT(MAX(ROW(E$2:E4886)*(E4886=E$2:E4886)))))-COUNTBLANK(OFFSET(A$1,,,SUMPRODUCT(MAX(ROW(E$1:E4885)*(E2=E$1:E4885))))))</f>
        <v> </v>
      </c>
      <c r="K4886" s="25" t="str">
        <f>IF(OR(E4886="",E4886="!!!",F4886="NEW"),"",INDEX(J$1:J4885,SUMPRODUCT(MAX(ROW(E$1:E4885)*(E4886=E$1:E4885)))))</f>
        <v> </v>
      </c>
      <c r="L4886" s="26"/>
    </row>
    <row r="4887" spans="1:12">
      <c r="A4887" s="20" t="s">
        <v>1497</v>
      </c>
      <c r="B4887" s="27" t="s">
        <v>753</v>
      </c>
      <c r="C4887" s="27" t="s">
        <v>803</v>
      </c>
      <c r="E4887" s="21">
        <f>IF(D4887="?OLD","!!!","")</f>
        <v/>
      </c>
      <c r="F4887" s="22" t="str">
        <f>IF(OR(E4887="",E4887="!!!"),"",IF(NOT(ISNA(VLOOKUP(E4887,E$1:E4886,1,FALSE()))),"OLD",IF(AND(E4887&lt;&gt;"",E4887&lt;&gt;"!!!"),"NEW","")))</f>
        <v> </v>
      </c>
      <c r="G4887" s="23" t="str">
        <f>IF(OR(E4887="",E4887="!!!"),"",IF(OR(J4887=0,AND(J4887=1,K4887=1),AND(J4887=1,I4887="SBJ"),AND(J4887=1,I4887=0)),"?IN_FOCUS",IF(J4887&lt;=2,"?ACTIVATED",IF(J4887&lt;&gt;"","?FAMILIAR",IF(F4887="NEW",IF(ISNA(VLOOKUP(E4887,#REF!,1,FALSE())),"?TYPE_IDENTIFIABLE","?REFERENTIAL"),"_")))))</f>
        <v> </v>
      </c>
      <c r="H4887" s="24" t="str">
        <f>IF(J4887&lt;&gt;1,"",IF(I4887="SBJ","CB","?"))</f>
        <v> </v>
      </c>
      <c r="I4887" s="25" t="str">
        <f>IF(OR(E4887="",E4887="!!!",F4887="NEW"),"",INDEX(B4886:B$2,-1+SUMPRODUCT(MAX(ROW(E4886:E$2)*(E4887=E4886:E$2)))))</f>
        <v> </v>
      </c>
      <c r="J4887" s="25" t="str">
        <f>IF(OR(E4887="",E4887="!!!",F4887="NEW"),"",COUNTBLANK(OFFSET(A$1,,,SUMPRODUCT(MAX(ROW(E$2:E4887)*(E4887=E$2:E4887)))))-COUNTBLANK(OFFSET(A$1,,,SUMPRODUCT(MAX(ROW(E$1:E4886)*(E2=E$1:E4886))))))</f>
        <v> </v>
      </c>
      <c r="K4887" s="25" t="str">
        <f>IF(OR(E4887="",E4887="!!!",F4887="NEW"),"",INDEX(J$1:J4886,SUMPRODUCT(MAX(ROW(E$1:E4886)*(E4887=E$1:E4886)))))</f>
        <v> </v>
      </c>
      <c r="L4887" s="26"/>
    </row>
    <row r="4888" spans="1:12">
      <c r="A4888" s="20" t="s">
        <v>876</v>
      </c>
      <c r="B4888" s="27" t="s">
        <v>879</v>
      </c>
      <c r="C4888" s="27" t="s">
        <v>851</v>
      </c>
      <c r="D4888" s="27" t="s">
        <v>762</v>
      </c>
      <c r="E4888" s="21">
        <f>IF(D4888="?OLD","!!!","")</f>
        <v/>
      </c>
      <c r="F4888" s="22" t="str">
        <f>IF(OR(E4888="",E4888="!!!"),"",IF(NOT(ISNA(VLOOKUP(E4888,E$1:E4887,1,FALSE()))),"OLD",IF(AND(E4888&lt;&gt;"",E4888&lt;&gt;"!!!"),"NEW","")))</f>
        <v> </v>
      </c>
      <c r="G4888" s="23" t="str">
        <f>IF(OR(E4888="",E4888="!!!"),"",IF(OR(J4888=0,AND(J4888=1,K4888=1),AND(J4888=1,I4888="SBJ"),AND(J4888=1,I4888=0)),"?IN_FOCUS",IF(J4888&lt;=2,"?ACTIVATED",IF(J4888&lt;&gt;"","?FAMILIAR",IF(F4888="NEW",IF(ISNA(VLOOKUP(E4888,#REF!,1,FALSE())),"?TYPE_IDENTIFIABLE","?REFERENTIAL"),"_")))))</f>
        <v> </v>
      </c>
      <c r="H4888" s="24" t="str">
        <f>IF(J4888&lt;&gt;1,"",IF(I4888="SBJ","CB","?"))</f>
        <v> </v>
      </c>
      <c r="I4888" s="25" t="str">
        <f>IF(OR(E4888="",E4888="!!!",F4888="NEW"),"",INDEX(B4887:B$2,-1+SUMPRODUCT(MAX(ROW(E4887:E$2)*(E4888=E4887:E$2)))))</f>
        <v> </v>
      </c>
      <c r="J4888" s="25" t="str">
        <f>IF(OR(E4888="",E4888="!!!",F4888="NEW"),"",COUNTBLANK(OFFSET(A$1,,,SUMPRODUCT(MAX(ROW(E$2:E4888)*(E4888=E$2:E4888)))))-COUNTBLANK(OFFSET(A$1,,,SUMPRODUCT(MAX(ROW(E$1:E4887)*(E2=E$1:E4887))))))</f>
        <v> </v>
      </c>
      <c r="K4888" s="25" t="str">
        <f>IF(OR(E4888="",E4888="!!!",F4888="NEW"),"",INDEX(J$1:J4887,SUMPRODUCT(MAX(ROW(E$1:E4887)*(E4888=E$1:E4887)))))</f>
        <v> </v>
      </c>
      <c r="L4888" s="26"/>
    </row>
    <row r="4889" spans="1:12">
      <c r="A4889" s="20" t="s">
        <v>877</v>
      </c>
      <c r="B4889" s="27" t="s">
        <v>796</v>
      </c>
      <c r="C4889" s="27" t="s">
        <v>837</v>
      </c>
      <c r="D4889" s="27" t="s">
        <v>762</v>
      </c>
      <c r="E4889" s="21">
        <f>IF(D4889="?OLD","!!!","")</f>
        <v/>
      </c>
      <c r="F4889" s="22" t="str">
        <f>IF(OR(E4889="",E4889="!!!"),"",IF(NOT(ISNA(VLOOKUP(E4889,E$1:E4888,1,FALSE()))),"OLD",IF(AND(E4889&lt;&gt;"",E4889&lt;&gt;"!!!"),"NEW","")))</f>
        <v> </v>
      </c>
      <c r="G4889" s="23" t="str">
        <f>IF(OR(E4889="",E4889="!!!"),"",IF(OR(J4889=0,AND(J4889=1,K4889=1),AND(J4889=1,I4889="SBJ"),AND(J4889=1,I4889=0)),"?IN_FOCUS",IF(J4889&lt;=2,"?ACTIVATED",IF(J4889&lt;&gt;"","?FAMILIAR",IF(F4889="NEW",IF(ISNA(VLOOKUP(E4889,#REF!,1,FALSE())),"?TYPE_IDENTIFIABLE","?REFERENTIAL"),"_")))))</f>
        <v> </v>
      </c>
      <c r="H4889" s="24" t="str">
        <f>IF(J4889&lt;&gt;1,"",IF(I4889="SBJ","CB","?"))</f>
        <v> </v>
      </c>
      <c r="I4889" s="25" t="str">
        <f>IF(OR(E4889="",E4889="!!!",F4889="NEW"),"",INDEX(B4888:B$2,-1+SUMPRODUCT(MAX(ROW(E4888:E$2)*(E4889=E4888:E$2)))))</f>
        <v> </v>
      </c>
      <c r="J4889" s="25" t="str">
        <f>IF(OR(E4889="",E4889="!!!",F4889="NEW"),"",COUNTBLANK(OFFSET(A$1,,,SUMPRODUCT(MAX(ROW(E$2:E4889)*(E4889=E$2:E4889)))))-COUNTBLANK(OFFSET(A$1,,,SUMPRODUCT(MAX(ROW(E$1:E4888)*(E2=E$1:E4888))))))</f>
        <v> </v>
      </c>
      <c r="K4889" s="25" t="str">
        <f>IF(OR(E4889="",E4889="!!!",F4889="NEW"),"",INDEX(J$1:J4888,SUMPRODUCT(MAX(ROW(E$1:E4888)*(E4889=E$1:E4888)))))</f>
        <v> </v>
      </c>
      <c r="L4889" s="26"/>
    </row>
    <row r="4890" spans="1:12">
      <c r="A4890" s="20" t="s">
        <v>1164</v>
      </c>
      <c r="E4890" s="21">
        <f>IF(D4890="?OLD","!!!","")</f>
        <v/>
      </c>
      <c r="F4890" s="22" t="str">
        <f>IF(OR(E4890="",E4890="!!!"),"",IF(NOT(ISNA(VLOOKUP(E4890,E$1:E4889,1,FALSE()))),"OLD",IF(AND(E4890&lt;&gt;"",E4890&lt;&gt;"!!!"),"NEW","")))</f>
        <v> </v>
      </c>
      <c r="G4890" s="23" t="str">
        <f>IF(OR(E4890="",E4890="!!!"),"",IF(OR(J4890=0,AND(J4890=1,K4890=1),AND(J4890=1,I4890="SBJ"),AND(J4890=1,I4890=0)),"?IN_FOCUS",IF(J4890&lt;=2,"?ACTIVATED",IF(J4890&lt;&gt;"","?FAMILIAR",IF(F4890="NEW",IF(ISNA(VLOOKUP(E4890,#REF!,1,FALSE())),"?TYPE_IDENTIFIABLE","?REFERENTIAL"),"_")))))</f>
        <v> </v>
      </c>
      <c r="H4890" s="24" t="str">
        <f>IF(J4890&lt;&gt;1,"",IF(I4890="SBJ","CB","?"))</f>
        <v> </v>
      </c>
      <c r="I4890" s="25" t="str">
        <f>IF(OR(E4890="",E4890="!!!",F4890="NEW"),"",INDEX(B4889:B$2,-1+SUMPRODUCT(MAX(ROW(E4889:E$2)*(E4890=E4889:E$2)))))</f>
        <v> </v>
      </c>
      <c r="J4890" s="25" t="str">
        <f>IF(OR(E4890="",E4890="!!!",F4890="NEW"),"",COUNTBLANK(OFFSET(A$1,,,SUMPRODUCT(MAX(ROW(E$2:E4890)*(E4890=E$2:E4890)))))-COUNTBLANK(OFFSET(A$1,,,SUMPRODUCT(MAX(ROW(E$1:E4889)*(E2=E$1:E4889))))))</f>
        <v> </v>
      </c>
      <c r="K4890" s="25" t="str">
        <f>IF(OR(E4890="",E4890="!!!",F4890="NEW"),"",INDEX(J$1:J4889,SUMPRODUCT(MAX(ROW(E$1:E4889)*(E4890=E$1:E4889)))))</f>
        <v> </v>
      </c>
      <c r="L4890" s="26"/>
    </row>
    <row r="4891" spans="1:12">
      <c r="A4891" s="20" t="s">
        <v>1457</v>
      </c>
      <c r="B4891" s="27" t="s">
        <v>802</v>
      </c>
      <c r="C4891" s="27" t="s">
        <v>754</v>
      </c>
      <c r="E4891" s="21">
        <f>IF(D4891="?OLD","!!!","")</f>
        <v/>
      </c>
      <c r="F4891" s="22" t="str">
        <f>IF(OR(E4891="",E4891="!!!"),"",IF(NOT(ISNA(VLOOKUP(E4891,E$1:E4890,1,FALSE()))),"OLD",IF(AND(E4891&lt;&gt;"",E4891&lt;&gt;"!!!"),"NEW","")))</f>
        <v> </v>
      </c>
      <c r="G4891" s="23" t="str">
        <f>IF(OR(E4891="",E4891="!!!"),"",IF(OR(J4891=0,AND(J4891=1,K4891=1),AND(J4891=1,I4891="SBJ"),AND(J4891=1,I4891=0)),"?IN_FOCUS",IF(J4891&lt;=2,"?ACTIVATED",IF(J4891&lt;&gt;"","?FAMILIAR",IF(F4891="NEW",IF(ISNA(VLOOKUP(E4891,#REF!,1,FALSE())),"?TYPE_IDENTIFIABLE","?REFERENTIAL"),"_")))))</f>
        <v> </v>
      </c>
      <c r="H4891" s="24" t="str">
        <f>IF(J4891&lt;&gt;1,"",IF(I4891="SBJ","CB","?"))</f>
        <v> </v>
      </c>
      <c r="I4891" s="25" t="str">
        <f>IF(OR(E4891="",E4891="!!!",F4891="NEW"),"",INDEX(B4890:B$2,-1+SUMPRODUCT(MAX(ROW(E4890:E$2)*(E4891=E4890:E$2)))))</f>
        <v> </v>
      </c>
      <c r="J4891" s="25" t="str">
        <f>IF(OR(E4891="",E4891="!!!",F4891="NEW"),"",COUNTBLANK(OFFSET(A$1,,,SUMPRODUCT(MAX(ROW(E$2:E4891)*(E4891=E$2:E4891)))))-COUNTBLANK(OFFSET(A$1,,,SUMPRODUCT(MAX(ROW(E$1:E4890)*(E2=E$1:E4890))))))</f>
        <v> </v>
      </c>
      <c r="K4891" s="25" t="str">
        <f>IF(OR(E4891="",E4891="!!!",F4891="NEW"),"",INDEX(J$1:J4890,SUMPRODUCT(MAX(ROW(E$1:E4890)*(E4891=E$1:E4890)))))</f>
        <v> </v>
      </c>
      <c r="L4891" s="26"/>
    </row>
    <row r="4892" spans="1:12">
      <c r="A4892" s="20" t="s">
        <v>774</v>
      </c>
      <c r="E4892" s="21">
        <f>IF(D4892="?OLD","!!!","")</f>
        <v/>
      </c>
      <c r="F4892" s="22" t="str">
        <f>IF(OR(E4892="",E4892="!!!"),"",IF(NOT(ISNA(VLOOKUP(E4892,E$1:E4891,1,FALSE()))),"OLD",IF(AND(E4892&lt;&gt;"",E4892&lt;&gt;"!!!"),"NEW","")))</f>
        <v> </v>
      </c>
      <c r="G4892" s="23" t="str">
        <f>IF(OR(E4892="",E4892="!!!"),"",IF(OR(J4892=0,AND(J4892=1,K4892=1),AND(J4892=1,I4892="SBJ"),AND(J4892=1,I4892=0)),"?IN_FOCUS",IF(J4892&lt;=2,"?ACTIVATED",IF(J4892&lt;&gt;"","?FAMILIAR",IF(F4892="NEW",IF(ISNA(VLOOKUP(E4892,#REF!,1,FALSE())),"?TYPE_IDENTIFIABLE","?REFERENTIAL"),"_")))))</f>
        <v> </v>
      </c>
      <c r="H4892" s="24" t="str">
        <f>IF(J4892&lt;&gt;1,"",IF(I4892="SBJ","CB","?"))</f>
        <v> </v>
      </c>
      <c r="I4892" s="25" t="str">
        <f>IF(OR(E4892="",E4892="!!!",F4892="NEW"),"",INDEX(B4891:B$2,-1+SUMPRODUCT(MAX(ROW(E4891:E$2)*(E4892=E4891:E$2)))))</f>
        <v> </v>
      </c>
      <c r="J4892" s="25" t="str">
        <f>IF(OR(E4892="",E4892="!!!",F4892="NEW"),"",COUNTBLANK(OFFSET(A$1,,,SUMPRODUCT(MAX(ROW(E$2:E4892)*(E4892=E$2:E4892)))))-COUNTBLANK(OFFSET(A$1,,,SUMPRODUCT(MAX(ROW(E$1:E4891)*(E2=E$1:E4891))))))</f>
        <v> </v>
      </c>
      <c r="K4892" s="25" t="str">
        <f>IF(OR(E4892="",E4892="!!!",F4892="NEW"),"",INDEX(J$1:J4891,SUMPRODUCT(MAX(ROW(E$1:E4891)*(E4892=E$1:E4891)))))</f>
        <v> </v>
      </c>
      <c r="L4892" s="26"/>
    </row>
    <row r="4893" spans="1:12">
      <c r="A4893" s="20"/>
    </row>
    <row r="4894" spans="1:12">
      <c r="A4894" s="20" t="s">
        <v>2051</v>
      </c>
    </row>
    <row r="4895" spans="1:12">
      <c r="A4895" s="20" t="s">
        <v>1037</v>
      </c>
      <c r="B4895" s="27" t="s">
        <v>760</v>
      </c>
      <c r="C4895" s="27" t="s">
        <v>797</v>
      </c>
      <c r="D4895" s="27" t="s">
        <v>762</v>
      </c>
      <c r="E4895" s="21">
        <f>IF(D4895="?OLD","!!!","")</f>
        <v/>
      </c>
      <c r="F4895" s="22" t="str">
        <f>IF(OR(E4895="",E4895="!!!"),"",IF(NOT(ISNA(VLOOKUP(E4895,E$1:E4894,1,FALSE()))),"OLD",IF(AND(E4895&lt;&gt;"",E4895&lt;&gt;"!!!"),"NEW","")))</f>
        <v> </v>
      </c>
      <c r="G4895" s="23" t="str">
        <f>IF(OR(E4895="",E4895="!!!"),"",IF(OR(J4895=0,AND(J4895=1,K4895=1),AND(J4895=1,I4895="SBJ"),AND(J4895=1,I4895=0)),"?IN_FOCUS",IF(J4895&lt;=2,"?ACTIVATED",IF(J4895&lt;&gt;"","?FAMILIAR",IF(F4895="NEW",IF(ISNA(VLOOKUP(E4895,#REF!,1,FALSE())),"?TYPE_IDENTIFIABLE","?REFERENTIAL"),"_")))))</f>
        <v> </v>
      </c>
      <c r="H4895" s="24" t="str">
        <f>IF(J4895&lt;&gt;1,"",IF(I4895="SBJ","CB","?"))</f>
        <v> </v>
      </c>
      <c r="I4895" s="25" t="str">
        <f>IF(OR(E4895="",E4895="!!!",F4895="NEW"),"",INDEX(B4894:B$2,-1+SUMPRODUCT(MAX(ROW(E4894:E$2)*(E4895=E4894:E$2)))))</f>
        <v> </v>
      </c>
      <c r="J4895" s="25" t="str">
        <f>IF(OR(E4895="",E4895="!!!",F4895="NEW"),"",COUNTBLANK(OFFSET(A$1,,,SUMPRODUCT(MAX(ROW(E$2:E4895)*(E4895=E$2:E4895)))))-COUNTBLANK(OFFSET(A$1,,,SUMPRODUCT(MAX(ROW(E$1:E4894)*(E2=E$1:E4894))))))</f>
        <v> </v>
      </c>
      <c r="K4895" s="25" t="str">
        <f>IF(OR(E4895="",E4895="!!!",F4895="NEW"),"",INDEX(J$1:J4894,SUMPRODUCT(MAX(ROW(E$1:E4894)*(E4895=E$1:E4894)))))</f>
        <v> </v>
      </c>
      <c r="L4895" s="26"/>
    </row>
    <row r="4896" spans="1:12">
      <c r="A4896" s="20" t="s">
        <v>909</v>
      </c>
      <c r="E4896" s="21">
        <f>IF(D4896="?OLD","!!!","")</f>
        <v/>
      </c>
      <c r="F4896" s="22" t="str">
        <f>IF(OR(E4896="",E4896="!!!"),"",IF(NOT(ISNA(VLOOKUP(E4896,E$1:E4895,1,FALSE()))),"OLD",IF(AND(E4896&lt;&gt;"",E4896&lt;&gt;"!!!"),"NEW","")))</f>
        <v> </v>
      </c>
      <c r="G4896" s="23" t="str">
        <f>IF(OR(E4896="",E4896="!!!"),"",IF(OR(J4896=0,AND(J4896=1,K4896=1),AND(J4896=1,I4896="SBJ"),AND(J4896=1,I4896=0)),"?IN_FOCUS",IF(J4896&lt;=2,"?ACTIVATED",IF(J4896&lt;&gt;"","?FAMILIAR",IF(F4896="NEW",IF(ISNA(VLOOKUP(E4896,#REF!,1,FALSE())),"?TYPE_IDENTIFIABLE","?REFERENTIAL"),"_")))))</f>
        <v> </v>
      </c>
      <c r="H4896" s="24" t="str">
        <f>IF(J4896&lt;&gt;1,"",IF(I4896="SBJ","CB","?"))</f>
        <v> </v>
      </c>
      <c r="I4896" s="25" t="str">
        <f>IF(OR(E4896="",E4896="!!!",F4896="NEW"),"",INDEX(B4895:B$2,-1+SUMPRODUCT(MAX(ROW(E4895:E$2)*(E4896=E4895:E$2)))))</f>
        <v> </v>
      </c>
      <c r="J4896" s="25" t="str">
        <f>IF(OR(E4896="",E4896="!!!",F4896="NEW"),"",COUNTBLANK(OFFSET(A$1,,,SUMPRODUCT(MAX(ROW(E$2:E4896)*(E4896=E$2:E4896)))))-COUNTBLANK(OFFSET(A$1,,,SUMPRODUCT(MAX(ROW(E$1:E4895)*(E2=E$1:E4895))))))</f>
        <v> </v>
      </c>
      <c r="K4896" s="25" t="str">
        <f>IF(OR(E4896="",E4896="!!!",F4896="NEW"),"",INDEX(J$1:J4895,SUMPRODUCT(MAX(ROW(E$1:E4895)*(E4896=E$1:E4895)))))</f>
        <v> </v>
      </c>
      <c r="L4896" s="26"/>
    </row>
    <row r="4897" spans="1:12">
      <c r="A4897" s="20" t="s">
        <v>1014</v>
      </c>
      <c r="E4897" s="21">
        <f>IF(D4897="?OLD","!!!","")</f>
        <v/>
      </c>
      <c r="F4897" s="22" t="str">
        <f>IF(OR(E4897="",E4897="!!!"),"",IF(NOT(ISNA(VLOOKUP(E4897,E$1:E4896,1,FALSE()))),"OLD",IF(AND(E4897&lt;&gt;"",E4897&lt;&gt;"!!!"),"NEW","")))</f>
        <v> </v>
      </c>
      <c r="G4897" s="23" t="str">
        <f>IF(OR(E4897="",E4897="!!!"),"",IF(OR(J4897=0,AND(J4897=1,K4897=1),AND(J4897=1,I4897="SBJ"),AND(J4897=1,I4897=0)),"?IN_FOCUS",IF(J4897&lt;=2,"?ACTIVATED",IF(J4897&lt;&gt;"","?FAMILIAR",IF(F4897="NEW",IF(ISNA(VLOOKUP(E4897,#REF!,1,FALSE())),"?TYPE_IDENTIFIABLE","?REFERENTIAL"),"_")))))</f>
        <v> </v>
      </c>
      <c r="H4897" s="24" t="str">
        <f>IF(J4897&lt;&gt;1,"",IF(I4897="SBJ","CB","?"))</f>
        <v> </v>
      </c>
      <c r="I4897" s="25" t="str">
        <f>IF(OR(E4897="",E4897="!!!",F4897="NEW"),"",INDEX(B4896:B$2,-1+SUMPRODUCT(MAX(ROW(E4896:E$2)*(E4897=E4896:E$2)))))</f>
        <v> </v>
      </c>
      <c r="J4897" s="25" t="str">
        <f>IF(OR(E4897="",E4897="!!!",F4897="NEW"),"",COUNTBLANK(OFFSET(A$1,,,SUMPRODUCT(MAX(ROW(E$2:E4897)*(E4897=E$2:E4897)))))-COUNTBLANK(OFFSET(A$1,,,SUMPRODUCT(MAX(ROW(E$1:E4896)*(E2=E$1:E4896))))))</f>
        <v> </v>
      </c>
      <c r="K4897" s="25" t="str">
        <f>IF(OR(E4897="",E4897="!!!",F4897="NEW"),"",INDEX(J$1:J4896,SUMPRODUCT(MAX(ROW(E$1:E4896)*(E4897=E$1:E4896)))))</f>
        <v> </v>
      </c>
      <c r="L4897" s="26"/>
    </row>
    <row r="4898" spans="1:12">
      <c r="A4898" s="20" t="s">
        <v>757</v>
      </c>
      <c r="E4898" s="21">
        <f>IF(D4898="?OLD","!!!","")</f>
        <v/>
      </c>
      <c r="F4898" s="22" t="str">
        <f>IF(OR(E4898="",E4898="!!!"),"",IF(NOT(ISNA(VLOOKUP(E4898,E$1:E4897,1,FALSE()))),"OLD",IF(AND(E4898&lt;&gt;"",E4898&lt;&gt;"!!!"),"NEW","")))</f>
        <v> </v>
      </c>
      <c r="G4898" s="23" t="str">
        <f>IF(OR(E4898="",E4898="!!!"),"",IF(OR(J4898=0,AND(J4898=1,K4898=1),AND(J4898=1,I4898="SBJ"),AND(J4898=1,I4898=0)),"?IN_FOCUS",IF(J4898&lt;=2,"?ACTIVATED",IF(J4898&lt;&gt;"","?FAMILIAR",IF(F4898="NEW",IF(ISNA(VLOOKUP(E4898,#REF!,1,FALSE())),"?TYPE_IDENTIFIABLE","?REFERENTIAL"),"_")))))</f>
        <v> </v>
      </c>
      <c r="H4898" s="24" t="str">
        <f>IF(J4898&lt;&gt;1,"",IF(I4898="SBJ","CB","?"))</f>
        <v> </v>
      </c>
      <c r="I4898" s="25" t="str">
        <f>IF(OR(E4898="",E4898="!!!",F4898="NEW"),"",INDEX(B4897:B$2,-1+SUMPRODUCT(MAX(ROW(E4897:E$2)*(E4898=E4897:E$2)))))</f>
        <v> </v>
      </c>
      <c r="J4898" s="25" t="str">
        <f>IF(OR(E4898="",E4898="!!!",F4898="NEW"),"",COUNTBLANK(OFFSET(A$1,,,SUMPRODUCT(MAX(ROW(E$2:E4898)*(E4898=E$2:E4898)))))-COUNTBLANK(OFFSET(A$1,,,SUMPRODUCT(MAX(ROW(E$1:E4897)*(E2=E$1:E4897))))))</f>
        <v> </v>
      </c>
      <c r="K4898" s="25" t="str">
        <f>IF(OR(E4898="",E4898="!!!",F4898="NEW"),"",INDEX(J$1:J4897,SUMPRODUCT(MAX(ROW(E$1:E4897)*(E4898=E$1:E4897)))))</f>
        <v> </v>
      </c>
      <c r="L4898" s="26"/>
    </row>
    <row r="4899" spans="1:12">
      <c r="A4899" s="20" t="s">
        <v>758</v>
      </c>
      <c r="E4899" s="21">
        <f>IF(D4899="?OLD","!!!","")</f>
        <v/>
      </c>
      <c r="F4899" s="22" t="str">
        <f>IF(OR(E4899="",E4899="!!!"),"",IF(NOT(ISNA(VLOOKUP(E4899,E$1:E4898,1,FALSE()))),"OLD",IF(AND(E4899&lt;&gt;"",E4899&lt;&gt;"!!!"),"NEW","")))</f>
        <v> </v>
      </c>
      <c r="G4899" s="23" t="str">
        <f>IF(OR(E4899="",E4899="!!!"),"",IF(OR(J4899=0,AND(J4899=1,K4899=1),AND(J4899=1,I4899="SBJ"),AND(J4899=1,I4899=0)),"?IN_FOCUS",IF(J4899&lt;=2,"?ACTIVATED",IF(J4899&lt;&gt;"","?FAMILIAR",IF(F4899="NEW",IF(ISNA(VLOOKUP(E4899,#REF!,1,FALSE())),"?TYPE_IDENTIFIABLE","?REFERENTIAL"),"_")))))</f>
        <v> </v>
      </c>
      <c r="H4899" s="24" t="str">
        <f>IF(J4899&lt;&gt;1,"",IF(I4899="SBJ","CB","?"))</f>
        <v> </v>
      </c>
      <c r="I4899" s="25" t="str">
        <f>IF(OR(E4899="",E4899="!!!",F4899="NEW"),"",INDEX(B4898:B$2,-1+SUMPRODUCT(MAX(ROW(E4898:E$2)*(E4899=E4898:E$2)))))</f>
        <v> </v>
      </c>
      <c r="J4899" s="25" t="str">
        <f>IF(OR(E4899="",E4899="!!!",F4899="NEW"),"",COUNTBLANK(OFFSET(A$1,,,SUMPRODUCT(MAX(ROW(E$2:E4899)*(E4899=E$2:E4899)))))-COUNTBLANK(OFFSET(A$1,,,SUMPRODUCT(MAX(ROW(E$1:E4898)*(E2=E$1:E4898))))))</f>
        <v> </v>
      </c>
      <c r="K4899" s="25" t="str">
        <f>IF(OR(E4899="",E4899="!!!",F4899="NEW"),"",INDEX(J$1:J4898,SUMPRODUCT(MAX(ROW(E$1:E4898)*(E4899=E$1:E4898)))))</f>
        <v> </v>
      </c>
      <c r="L4899" s="26"/>
    </row>
    <row r="4900" spans="1:12">
      <c r="A4900" s="20" t="s">
        <v>939</v>
      </c>
      <c r="B4900" s="27" t="s">
        <v>767</v>
      </c>
      <c r="C4900" s="27" t="s">
        <v>761</v>
      </c>
      <c r="D4900" s="27" t="s">
        <v>762</v>
      </c>
      <c r="E4900" s="21">
        <f>IF(D4900="?OLD","!!!","")</f>
        <v/>
      </c>
      <c r="F4900" s="22" t="str">
        <f>IF(OR(E4900="",E4900="!!!"),"",IF(NOT(ISNA(VLOOKUP(E4900,E$1:E4899,1,FALSE()))),"OLD",IF(AND(E4900&lt;&gt;"",E4900&lt;&gt;"!!!"),"NEW","")))</f>
        <v> </v>
      </c>
      <c r="G4900" s="23" t="str">
        <f>IF(OR(E4900="",E4900="!!!"),"",IF(OR(J4900=0,AND(J4900=1,K4900=1),AND(J4900=1,I4900="SBJ"),AND(J4900=1,I4900=0)),"?IN_FOCUS",IF(J4900&lt;=2,"?ACTIVATED",IF(J4900&lt;&gt;"","?FAMILIAR",IF(F4900="NEW",IF(ISNA(VLOOKUP(E4900,#REF!,1,FALSE())),"?TYPE_IDENTIFIABLE","?REFERENTIAL"),"_")))))</f>
        <v> </v>
      </c>
      <c r="H4900" s="24" t="str">
        <f>IF(J4900&lt;&gt;1,"",IF(I4900="SBJ","CB","?"))</f>
        <v> </v>
      </c>
      <c r="I4900" s="25" t="str">
        <f>IF(OR(E4900="",E4900="!!!",F4900="NEW"),"",INDEX(B4899:B$2,-1+SUMPRODUCT(MAX(ROW(E4899:E$2)*(E4900=E4899:E$2)))))</f>
        <v> </v>
      </c>
      <c r="J4900" s="25" t="str">
        <f>IF(OR(E4900="",E4900="!!!",F4900="NEW"),"",COUNTBLANK(OFFSET(A$1,,,SUMPRODUCT(MAX(ROW(E$2:E4900)*(E4900=E$2:E4900)))))-COUNTBLANK(OFFSET(A$1,,,SUMPRODUCT(MAX(ROW(E$1:E4899)*(E2=E$1:E4899))))))</f>
        <v> </v>
      </c>
      <c r="K4900" s="25" t="str">
        <f>IF(OR(E4900="",E4900="!!!",F4900="NEW"),"",INDEX(J$1:J4899,SUMPRODUCT(MAX(ROW(E$1:E4899)*(E4900=E$1:E4899)))))</f>
        <v> </v>
      </c>
      <c r="L4900" s="26"/>
    </row>
    <row r="4901" spans="1:12">
      <c r="A4901" s="20" t="s">
        <v>793</v>
      </c>
      <c r="B4901" s="27" t="s">
        <v>894</v>
      </c>
      <c r="E4901" s="21">
        <f>IF(D4901="?OLD","!!!","")</f>
        <v/>
      </c>
      <c r="F4901" s="22" t="str">
        <f>IF(OR(E4901="",E4901="!!!"),"",IF(NOT(ISNA(VLOOKUP(E4901,E$1:E4900,1,FALSE()))),"OLD",IF(AND(E4901&lt;&gt;"",E4901&lt;&gt;"!!!"),"NEW","")))</f>
        <v> </v>
      </c>
      <c r="G4901" s="23" t="str">
        <f>IF(OR(E4901="",E4901="!!!"),"",IF(OR(J4901=0,AND(J4901=1,K4901=1),AND(J4901=1,I4901="SBJ"),AND(J4901=1,I4901=0)),"?IN_FOCUS",IF(J4901&lt;=2,"?ACTIVATED",IF(J4901&lt;&gt;"","?FAMILIAR",IF(F4901="NEW",IF(ISNA(VLOOKUP(E4901,#REF!,1,FALSE())),"?TYPE_IDENTIFIABLE","?REFERENTIAL"),"_")))))</f>
        <v> </v>
      </c>
      <c r="H4901" s="24" t="str">
        <f>IF(J4901&lt;&gt;1,"",IF(I4901="SBJ","CB","?"))</f>
        <v> </v>
      </c>
      <c r="I4901" s="25" t="str">
        <f>IF(OR(E4901="",E4901="!!!",F4901="NEW"),"",INDEX(B4900:B$2,-1+SUMPRODUCT(MAX(ROW(E4900:E$2)*(E4901=E4900:E$2)))))</f>
        <v> </v>
      </c>
      <c r="J4901" s="25" t="str">
        <f>IF(OR(E4901="",E4901="!!!",F4901="NEW"),"",COUNTBLANK(OFFSET(A$1,,,SUMPRODUCT(MAX(ROW(E$2:E4901)*(E4901=E$2:E4901)))))-COUNTBLANK(OFFSET(A$1,,,SUMPRODUCT(MAX(ROW(E$1:E4900)*(E2=E$1:E4900))))))</f>
        <v> </v>
      </c>
      <c r="K4901" s="25" t="str">
        <f>IF(OR(E4901="",E4901="!!!",F4901="NEW"),"",INDEX(J$1:J4900,SUMPRODUCT(MAX(ROW(E$1:E4900)*(E4901=E$1:E4900)))))</f>
        <v> </v>
      </c>
      <c r="L4901" s="26"/>
    </row>
    <row r="4902" spans="1:12">
      <c r="A4902" s="20" t="s">
        <v>758</v>
      </c>
      <c r="B4902" s="27" t="s">
        <v>956</v>
      </c>
      <c r="E4902" s="21">
        <f>IF(D4902="?OLD","!!!","")</f>
        <v/>
      </c>
      <c r="F4902" s="22" t="str">
        <f>IF(OR(E4902="",E4902="!!!"),"",IF(NOT(ISNA(VLOOKUP(E4902,E$1:E4901,1,FALSE()))),"OLD",IF(AND(E4902&lt;&gt;"",E4902&lt;&gt;"!!!"),"NEW","")))</f>
        <v> </v>
      </c>
      <c r="G4902" s="23" t="str">
        <f>IF(OR(E4902="",E4902="!!!"),"",IF(OR(J4902=0,AND(J4902=1,K4902=1),AND(J4902=1,I4902="SBJ"),AND(J4902=1,I4902=0)),"?IN_FOCUS",IF(J4902&lt;=2,"?ACTIVATED",IF(J4902&lt;&gt;"","?FAMILIAR",IF(F4902="NEW",IF(ISNA(VLOOKUP(E4902,#REF!,1,FALSE())),"?TYPE_IDENTIFIABLE","?REFERENTIAL"),"_")))))</f>
        <v> </v>
      </c>
      <c r="H4902" s="24" t="str">
        <f>IF(J4902&lt;&gt;1,"",IF(I4902="SBJ","CB","?"))</f>
        <v> </v>
      </c>
      <c r="I4902" s="25" t="str">
        <f>IF(OR(E4902="",E4902="!!!",F4902="NEW"),"",INDEX(B4901:B$2,-1+SUMPRODUCT(MAX(ROW(E4901:E$2)*(E4902=E4901:E$2)))))</f>
        <v> </v>
      </c>
      <c r="J4902" s="25" t="str">
        <f>IF(OR(E4902="",E4902="!!!",F4902="NEW"),"",COUNTBLANK(OFFSET(A$1,,,SUMPRODUCT(MAX(ROW(E$2:E4902)*(E4902=E$2:E4902)))))-COUNTBLANK(OFFSET(A$1,,,SUMPRODUCT(MAX(ROW(E$1:E4901)*(E2=E$1:E4901))))))</f>
        <v> </v>
      </c>
      <c r="K4902" s="25" t="str">
        <f>IF(OR(E4902="",E4902="!!!",F4902="NEW"),"",INDEX(J$1:J4901,SUMPRODUCT(MAX(ROW(E$1:E4901)*(E4902=E$1:E4901)))))</f>
        <v> </v>
      </c>
      <c r="L4902" s="26"/>
    </row>
    <row r="4903" spans="1:12">
      <c r="A4903" s="20" t="s">
        <v>890</v>
      </c>
      <c r="B4903" s="27" t="s">
        <v>901</v>
      </c>
      <c r="C4903" s="27" t="s">
        <v>820</v>
      </c>
      <c r="D4903" s="27" t="s">
        <v>762</v>
      </c>
      <c r="E4903" s="21">
        <f>IF(D4903="?OLD","!!!","")</f>
        <v/>
      </c>
      <c r="F4903" s="22" t="str">
        <f>IF(OR(E4903="",E4903="!!!"),"",IF(NOT(ISNA(VLOOKUP(E4903,E$1:E4902,1,FALSE()))),"OLD",IF(AND(E4903&lt;&gt;"",E4903&lt;&gt;"!!!"),"NEW","")))</f>
        <v> </v>
      </c>
      <c r="G4903" s="23" t="str">
        <f>IF(OR(E4903="",E4903="!!!"),"",IF(OR(J4903=0,AND(J4903=1,K4903=1),AND(J4903=1,I4903="SBJ"),AND(J4903=1,I4903=0)),"?IN_FOCUS",IF(J4903&lt;=2,"?ACTIVATED",IF(J4903&lt;&gt;"","?FAMILIAR",IF(F4903="NEW",IF(ISNA(VLOOKUP(E4903,#REF!,1,FALSE())),"?TYPE_IDENTIFIABLE","?REFERENTIAL"),"_")))))</f>
        <v> </v>
      </c>
      <c r="H4903" s="24" t="str">
        <f>IF(J4903&lt;&gt;1,"",IF(I4903="SBJ","CB","?"))</f>
        <v> </v>
      </c>
      <c r="I4903" s="25" t="str">
        <f>IF(OR(E4903="",E4903="!!!",F4903="NEW"),"",INDEX(B4902:B$2,-1+SUMPRODUCT(MAX(ROW(E4902:E$2)*(E4903=E4902:E$2)))))</f>
        <v> </v>
      </c>
      <c r="J4903" s="25" t="str">
        <f>IF(OR(E4903="",E4903="!!!",F4903="NEW"),"",COUNTBLANK(OFFSET(A$1,,,SUMPRODUCT(MAX(ROW(E$2:E4903)*(E4903=E$2:E4903)))))-COUNTBLANK(OFFSET(A$1,,,SUMPRODUCT(MAX(ROW(E$1:E4902)*(E2=E$1:E4902))))))</f>
        <v> </v>
      </c>
      <c r="K4903" s="25" t="str">
        <f>IF(OR(E4903="",E4903="!!!",F4903="NEW"),"",INDEX(J$1:J4902,SUMPRODUCT(MAX(ROW(E$1:E4902)*(E4903=E$1:E4902)))))</f>
        <v> </v>
      </c>
      <c r="L4903" s="26"/>
    </row>
    <row r="4904" spans="1:12">
      <c r="A4904" s="20" t="s">
        <v>2052</v>
      </c>
      <c r="E4904" s="21">
        <f>IF(D4904="?OLD","!!!","")</f>
        <v/>
      </c>
      <c r="F4904" s="22" t="str">
        <f>IF(OR(E4904="",E4904="!!!"),"",IF(NOT(ISNA(VLOOKUP(E4904,E$1:E4903,1,FALSE()))),"OLD",IF(AND(E4904&lt;&gt;"",E4904&lt;&gt;"!!!"),"NEW","")))</f>
        <v> </v>
      </c>
      <c r="G4904" s="23" t="str">
        <f>IF(OR(E4904="",E4904="!!!"),"",IF(OR(J4904=0,AND(J4904=1,K4904=1),AND(J4904=1,I4904="SBJ"),AND(J4904=1,I4904=0)),"?IN_FOCUS",IF(J4904&lt;=2,"?ACTIVATED",IF(J4904&lt;&gt;"","?FAMILIAR",IF(F4904="NEW",IF(ISNA(VLOOKUP(E4904,#REF!,1,FALSE())),"?TYPE_IDENTIFIABLE","?REFERENTIAL"),"_")))))</f>
        <v> </v>
      </c>
      <c r="H4904" s="24" t="str">
        <f>IF(J4904&lt;&gt;1,"",IF(I4904="SBJ","CB","?"))</f>
        <v> </v>
      </c>
      <c r="I4904" s="25" t="str">
        <f>IF(OR(E4904="",E4904="!!!",F4904="NEW"),"",INDEX(B4903:B$2,-1+SUMPRODUCT(MAX(ROW(E4903:E$2)*(E4904=E4903:E$2)))))</f>
        <v> </v>
      </c>
      <c r="J4904" s="25" t="str">
        <f>IF(OR(E4904="",E4904="!!!",F4904="NEW"),"",COUNTBLANK(OFFSET(A$1,,,SUMPRODUCT(MAX(ROW(E$2:E4904)*(E4904=E$2:E4904)))))-COUNTBLANK(OFFSET(A$1,,,SUMPRODUCT(MAX(ROW(E$1:E4903)*(E2=E$1:E4903))))))</f>
        <v> </v>
      </c>
      <c r="K4904" s="25" t="str">
        <f>IF(OR(E4904="",E4904="!!!",F4904="NEW"),"",INDEX(J$1:J4903,SUMPRODUCT(MAX(ROW(E$1:E4903)*(E4904=E$1:E4903)))))</f>
        <v> </v>
      </c>
      <c r="L4904" s="26"/>
    </row>
    <row r="4905" spans="1:12">
      <c r="A4905" s="20" t="s">
        <v>785</v>
      </c>
      <c r="E4905" s="21">
        <f>IF(D4905="?OLD","!!!","")</f>
        <v/>
      </c>
      <c r="F4905" s="22" t="str">
        <f>IF(OR(E4905="",E4905="!!!"),"",IF(NOT(ISNA(VLOOKUP(E4905,E$1:E4904,1,FALSE()))),"OLD",IF(AND(E4905&lt;&gt;"",E4905&lt;&gt;"!!!"),"NEW","")))</f>
        <v> </v>
      </c>
      <c r="G4905" s="23" t="str">
        <f>IF(OR(E4905="",E4905="!!!"),"",IF(OR(J4905=0,AND(J4905=1,K4905=1),AND(J4905=1,I4905="SBJ"),AND(J4905=1,I4905=0)),"?IN_FOCUS",IF(J4905&lt;=2,"?ACTIVATED",IF(J4905&lt;&gt;"","?FAMILIAR",IF(F4905="NEW",IF(ISNA(VLOOKUP(E4905,#REF!,1,FALSE())),"?TYPE_IDENTIFIABLE","?REFERENTIAL"),"_")))))</f>
        <v> </v>
      </c>
      <c r="H4905" s="24" t="str">
        <f>IF(J4905&lt;&gt;1,"",IF(I4905="SBJ","CB","?"))</f>
        <v> </v>
      </c>
      <c r="I4905" s="25" t="str">
        <f>IF(OR(E4905="",E4905="!!!",F4905="NEW"),"",INDEX(B4904:B$2,-1+SUMPRODUCT(MAX(ROW(E4904:E$2)*(E4905=E4904:E$2)))))</f>
        <v> </v>
      </c>
      <c r="J4905" s="25" t="str">
        <f>IF(OR(E4905="",E4905="!!!",F4905="NEW"),"",COUNTBLANK(OFFSET(A$1,,,SUMPRODUCT(MAX(ROW(E$2:E4905)*(E4905=E$2:E4905)))))-COUNTBLANK(OFFSET(A$1,,,SUMPRODUCT(MAX(ROW(E$1:E4904)*(E2=E$1:E4904))))))</f>
        <v> </v>
      </c>
      <c r="K4905" s="25" t="str">
        <f>IF(OR(E4905="",E4905="!!!",F4905="NEW"),"",INDEX(J$1:J4904,SUMPRODUCT(MAX(ROW(E$1:E4904)*(E4905=E$1:E4904)))))</f>
        <v> </v>
      </c>
      <c r="L4905" s="26"/>
    </row>
    <row r="4906" spans="1:12">
      <c r="A4906" s="20" t="s">
        <v>931</v>
      </c>
      <c r="B4906" s="27" t="s">
        <v>901</v>
      </c>
      <c r="C4906" s="27" t="s">
        <v>851</v>
      </c>
      <c r="D4906" s="27" t="s">
        <v>762</v>
      </c>
      <c r="E4906" s="21">
        <f>IF(D4906="?OLD","!!!","")</f>
        <v/>
      </c>
      <c r="F4906" s="22" t="str">
        <f>IF(OR(E4906="",E4906="!!!"),"",IF(NOT(ISNA(VLOOKUP(E4906,E$1:E4905,1,FALSE()))),"OLD",IF(AND(E4906&lt;&gt;"",E4906&lt;&gt;"!!!"),"NEW","")))</f>
        <v> </v>
      </c>
      <c r="G4906" s="23" t="str">
        <f>IF(OR(E4906="",E4906="!!!"),"",IF(OR(J4906=0,AND(J4906=1,K4906=1),AND(J4906=1,I4906="SBJ"),AND(J4906=1,I4906=0)),"?IN_FOCUS",IF(J4906&lt;=2,"?ACTIVATED",IF(J4906&lt;&gt;"","?FAMILIAR",IF(F4906="NEW",IF(ISNA(VLOOKUP(E4906,#REF!,1,FALSE())),"?TYPE_IDENTIFIABLE","?REFERENTIAL"),"_")))))</f>
        <v> </v>
      </c>
      <c r="H4906" s="24" t="str">
        <f>IF(J4906&lt;&gt;1,"",IF(I4906="SBJ","CB","?"))</f>
        <v> </v>
      </c>
      <c r="I4906" s="25" t="str">
        <f>IF(OR(E4906="",E4906="!!!",F4906="NEW"),"",INDEX(B4905:B$2,-1+SUMPRODUCT(MAX(ROW(E4905:E$2)*(E4906=E4905:E$2)))))</f>
        <v> </v>
      </c>
      <c r="J4906" s="25" t="str">
        <f>IF(OR(E4906="",E4906="!!!",F4906="NEW"),"",COUNTBLANK(OFFSET(A$1,,,SUMPRODUCT(MAX(ROW(E$2:E4906)*(E4906=E$2:E4906)))))-COUNTBLANK(OFFSET(A$1,,,SUMPRODUCT(MAX(ROW(E$1:E4905)*(E2=E$1:E4905))))))</f>
        <v> </v>
      </c>
      <c r="K4906" s="25" t="str">
        <f>IF(OR(E4906="",E4906="!!!",F4906="NEW"),"",INDEX(J$1:J4905,SUMPRODUCT(MAX(ROW(E$1:E4905)*(E4906=E$1:E4905)))))</f>
        <v> </v>
      </c>
      <c r="L4906" s="26"/>
    </row>
    <row r="4907" spans="1:12">
      <c r="A4907" s="20" t="s">
        <v>943</v>
      </c>
      <c r="B4907" s="27" t="s">
        <v>879</v>
      </c>
      <c r="C4907" s="27" t="s">
        <v>837</v>
      </c>
      <c r="D4907" s="27" t="s">
        <v>762</v>
      </c>
      <c r="E4907" s="21">
        <f>IF(D4907="?OLD","!!!","")</f>
        <v/>
      </c>
      <c r="F4907" s="22" t="str">
        <f>IF(OR(E4907="",E4907="!!!"),"",IF(NOT(ISNA(VLOOKUP(E4907,E$1:E4906,1,FALSE()))),"OLD",IF(AND(E4907&lt;&gt;"",E4907&lt;&gt;"!!!"),"NEW","")))</f>
        <v> </v>
      </c>
      <c r="G4907" s="23" t="str">
        <f>IF(OR(E4907="",E4907="!!!"),"",IF(OR(J4907=0,AND(J4907=1,K4907=1),AND(J4907=1,I4907="SBJ"),AND(J4907=1,I4907=0)),"?IN_FOCUS",IF(J4907&lt;=2,"?ACTIVATED",IF(J4907&lt;&gt;"","?FAMILIAR",IF(F4907="NEW",IF(ISNA(VLOOKUP(E4907,#REF!,1,FALSE())),"?TYPE_IDENTIFIABLE","?REFERENTIAL"),"_")))))</f>
        <v> </v>
      </c>
      <c r="H4907" s="24" t="str">
        <f>IF(J4907&lt;&gt;1,"",IF(I4907="SBJ","CB","?"))</f>
        <v> </v>
      </c>
      <c r="I4907" s="25" t="str">
        <f>IF(OR(E4907="",E4907="!!!",F4907="NEW"),"",INDEX(B4906:B$2,-1+SUMPRODUCT(MAX(ROW(E4906:E$2)*(E4907=E4906:E$2)))))</f>
        <v> </v>
      </c>
      <c r="J4907" s="25" t="str">
        <f>IF(OR(E4907="",E4907="!!!",F4907="NEW"),"",COUNTBLANK(OFFSET(A$1,,,SUMPRODUCT(MAX(ROW(E$2:E4907)*(E4907=E$2:E4907)))))-COUNTBLANK(OFFSET(A$1,,,SUMPRODUCT(MAX(ROW(E$1:E4906)*(E2=E$1:E4906))))))</f>
        <v> </v>
      </c>
      <c r="K4907" s="25" t="str">
        <f>IF(OR(E4907="",E4907="!!!",F4907="NEW"),"",INDEX(J$1:J4906,SUMPRODUCT(MAX(ROW(E$1:E4906)*(E4907=E$1:E4906)))))</f>
        <v> </v>
      </c>
      <c r="L4907" s="26"/>
    </row>
    <row r="4908" spans="1:12">
      <c r="A4908" s="20" t="s">
        <v>798</v>
      </c>
      <c r="E4908" s="21">
        <f>IF(D4908="?OLD","!!!","")</f>
        <v/>
      </c>
      <c r="F4908" s="22" t="str">
        <f>IF(OR(E4908="",E4908="!!!"),"",IF(NOT(ISNA(VLOOKUP(E4908,E$1:E4907,1,FALSE()))),"OLD",IF(AND(E4908&lt;&gt;"",E4908&lt;&gt;"!!!"),"NEW","")))</f>
        <v> </v>
      </c>
      <c r="G4908" s="23" t="str">
        <f>IF(OR(E4908="",E4908="!!!"),"",IF(OR(J4908=0,AND(J4908=1,K4908=1),AND(J4908=1,I4908="SBJ"),AND(J4908=1,I4908=0)),"?IN_FOCUS",IF(J4908&lt;=2,"?ACTIVATED",IF(J4908&lt;&gt;"","?FAMILIAR",IF(F4908="NEW",IF(ISNA(VLOOKUP(E4908,#REF!,1,FALSE())),"?TYPE_IDENTIFIABLE","?REFERENTIAL"),"_")))))</f>
        <v> </v>
      </c>
      <c r="H4908" s="24" t="str">
        <f>IF(J4908&lt;&gt;1,"",IF(I4908="SBJ","CB","?"))</f>
        <v> </v>
      </c>
      <c r="I4908" s="25" t="str">
        <f>IF(OR(E4908="",E4908="!!!",F4908="NEW"),"",INDEX(B4907:B$2,-1+SUMPRODUCT(MAX(ROW(E4907:E$2)*(E4908=E4907:E$2)))))</f>
        <v> </v>
      </c>
      <c r="J4908" s="25" t="str">
        <f>IF(OR(E4908="",E4908="!!!",F4908="NEW"),"",COUNTBLANK(OFFSET(A$1,,,SUMPRODUCT(MAX(ROW(E$2:E4908)*(E4908=E$2:E4908)))))-COUNTBLANK(OFFSET(A$1,,,SUMPRODUCT(MAX(ROW(E$1:E4907)*(E2=E$1:E4907))))))</f>
        <v> </v>
      </c>
      <c r="K4908" s="25" t="str">
        <f>IF(OR(E4908="",E4908="!!!",F4908="NEW"),"",INDEX(J$1:J4907,SUMPRODUCT(MAX(ROW(E$1:E4907)*(E4908=E$1:E4907)))))</f>
        <v> </v>
      </c>
      <c r="L4908" s="26"/>
    </row>
    <row r="4909" spans="1:12">
      <c r="A4909" s="20" t="s">
        <v>944</v>
      </c>
      <c r="E4909" s="21">
        <f>IF(D4909="?OLD","!!!","")</f>
        <v/>
      </c>
      <c r="F4909" s="22" t="str">
        <f>IF(OR(E4909="",E4909="!!!"),"",IF(NOT(ISNA(VLOOKUP(E4909,E$1:E4908,1,FALSE()))),"OLD",IF(AND(E4909&lt;&gt;"",E4909&lt;&gt;"!!!"),"NEW","")))</f>
        <v> </v>
      </c>
      <c r="G4909" s="23" t="str">
        <f>IF(OR(E4909="",E4909="!!!"),"",IF(OR(J4909=0,AND(J4909=1,K4909=1),AND(J4909=1,I4909="SBJ"),AND(J4909=1,I4909=0)),"?IN_FOCUS",IF(J4909&lt;=2,"?ACTIVATED",IF(J4909&lt;&gt;"","?FAMILIAR",IF(F4909="NEW",IF(ISNA(VLOOKUP(E4909,#REF!,1,FALSE())),"?TYPE_IDENTIFIABLE","?REFERENTIAL"),"_")))))</f>
        <v> </v>
      </c>
      <c r="H4909" s="24" t="str">
        <f>IF(J4909&lt;&gt;1,"",IF(I4909="SBJ","CB","?"))</f>
        <v> </v>
      </c>
      <c r="I4909" s="25" t="str">
        <f>IF(OR(E4909="",E4909="!!!",F4909="NEW"),"",INDEX(B4908:B$2,-1+SUMPRODUCT(MAX(ROW(E4908:E$2)*(E4909=E4908:E$2)))))</f>
        <v> </v>
      </c>
      <c r="J4909" s="25" t="str">
        <f>IF(OR(E4909="",E4909="!!!",F4909="NEW"),"",COUNTBLANK(OFFSET(A$1,,,SUMPRODUCT(MAX(ROW(E$2:E4909)*(E4909=E$2:E4909)))))-COUNTBLANK(OFFSET(A$1,,,SUMPRODUCT(MAX(ROW(E$1:E4908)*(E2=E$1:E4908))))))</f>
        <v> </v>
      </c>
      <c r="K4909" s="25" t="str">
        <f>IF(OR(E4909="",E4909="!!!",F4909="NEW"),"",INDEX(J$1:J4908,SUMPRODUCT(MAX(ROW(E$1:E4908)*(E4909=E$1:E4908)))))</f>
        <v> </v>
      </c>
      <c r="L4909" s="26"/>
    </row>
    <row r="4910" spans="1:12">
      <c r="A4910" s="20" t="s">
        <v>785</v>
      </c>
      <c r="E4910" s="21">
        <f>IF(D4910="?OLD","!!!","")</f>
        <v/>
      </c>
      <c r="F4910" s="22" t="str">
        <f>IF(OR(E4910="",E4910="!!!"),"",IF(NOT(ISNA(VLOOKUP(E4910,E$1:E4909,1,FALSE()))),"OLD",IF(AND(E4910&lt;&gt;"",E4910&lt;&gt;"!!!"),"NEW","")))</f>
        <v> </v>
      </c>
      <c r="G4910" s="23" t="str">
        <f>IF(OR(E4910="",E4910="!!!"),"",IF(OR(J4910=0,AND(J4910=1,K4910=1),AND(J4910=1,I4910="SBJ"),AND(J4910=1,I4910=0)),"?IN_FOCUS",IF(J4910&lt;=2,"?ACTIVATED",IF(J4910&lt;&gt;"","?FAMILIAR",IF(F4910="NEW",IF(ISNA(VLOOKUP(E4910,#REF!,1,FALSE())),"?TYPE_IDENTIFIABLE","?REFERENTIAL"),"_")))))</f>
        <v> </v>
      </c>
      <c r="H4910" s="24" t="str">
        <f>IF(J4910&lt;&gt;1,"",IF(I4910="SBJ","CB","?"))</f>
        <v> </v>
      </c>
      <c r="I4910" s="25" t="str">
        <f>IF(OR(E4910="",E4910="!!!",F4910="NEW"),"",INDEX(B4909:B$2,-1+SUMPRODUCT(MAX(ROW(E4909:E$2)*(E4910=E4909:E$2)))))</f>
        <v> </v>
      </c>
      <c r="J4910" s="25" t="str">
        <f>IF(OR(E4910="",E4910="!!!",F4910="NEW"),"",COUNTBLANK(OFFSET(A$1,,,SUMPRODUCT(MAX(ROW(E$2:E4910)*(E4910=E$2:E4910)))))-COUNTBLANK(OFFSET(A$1,,,SUMPRODUCT(MAX(ROW(E$1:E4909)*(E2=E$1:E4909))))))</f>
        <v> </v>
      </c>
      <c r="K4910" s="25" t="str">
        <f>IF(OR(E4910="",E4910="!!!",F4910="NEW"),"",INDEX(J$1:J4909,SUMPRODUCT(MAX(ROW(E$1:E4909)*(E4910=E$1:E4909)))))</f>
        <v> </v>
      </c>
      <c r="L4910" s="26"/>
    </row>
    <row r="4911" spans="1:12">
      <c r="A4911" s="20" t="s">
        <v>945</v>
      </c>
      <c r="E4911" s="21">
        <f>IF(D4911="?OLD","!!!","")</f>
        <v/>
      </c>
      <c r="F4911" s="22" t="str">
        <f>IF(OR(E4911="",E4911="!!!"),"",IF(NOT(ISNA(VLOOKUP(E4911,E$1:E4910,1,FALSE()))),"OLD",IF(AND(E4911&lt;&gt;"",E4911&lt;&gt;"!!!"),"NEW","")))</f>
        <v> </v>
      </c>
      <c r="G4911" s="23" t="str">
        <f>IF(OR(E4911="",E4911="!!!"),"",IF(OR(J4911=0,AND(J4911=1,K4911=1),AND(J4911=1,I4911="SBJ"),AND(J4911=1,I4911=0)),"?IN_FOCUS",IF(J4911&lt;=2,"?ACTIVATED",IF(J4911&lt;&gt;"","?FAMILIAR",IF(F4911="NEW",IF(ISNA(VLOOKUP(E4911,#REF!,1,FALSE())),"?TYPE_IDENTIFIABLE","?REFERENTIAL"),"_")))))</f>
        <v> </v>
      </c>
      <c r="H4911" s="24" t="str">
        <f>IF(J4911&lt;&gt;1,"",IF(I4911="SBJ","CB","?"))</f>
        <v> </v>
      </c>
      <c r="I4911" s="25" t="str">
        <f>IF(OR(E4911="",E4911="!!!",F4911="NEW"),"",INDEX(B4910:B$2,-1+SUMPRODUCT(MAX(ROW(E4910:E$2)*(E4911=E4910:E$2)))))</f>
        <v> </v>
      </c>
      <c r="J4911" s="25" t="str">
        <f>IF(OR(E4911="",E4911="!!!",F4911="NEW"),"",COUNTBLANK(OFFSET(A$1,,,SUMPRODUCT(MAX(ROW(E$2:E4911)*(E4911=E$2:E4911)))))-COUNTBLANK(OFFSET(A$1,,,SUMPRODUCT(MAX(ROW(E$1:E4910)*(E2=E$1:E4910))))))</f>
        <v> </v>
      </c>
      <c r="K4911" s="25" t="str">
        <f>IF(OR(E4911="",E4911="!!!",F4911="NEW"),"",INDEX(J$1:J4910,SUMPRODUCT(MAX(ROW(E$1:E4910)*(E4911=E$1:E4910)))))</f>
        <v> </v>
      </c>
      <c r="L4911" s="26"/>
    </row>
    <row r="4912" spans="1:12">
      <c r="A4912" s="20" t="s">
        <v>946</v>
      </c>
      <c r="E4912" s="21">
        <f>IF(D4912="?OLD","!!!","")</f>
        <v/>
      </c>
      <c r="F4912" s="22" t="str">
        <f>IF(OR(E4912="",E4912="!!!"),"",IF(NOT(ISNA(VLOOKUP(E4912,E$1:E4911,1,FALSE()))),"OLD",IF(AND(E4912&lt;&gt;"",E4912&lt;&gt;"!!!"),"NEW","")))</f>
        <v> </v>
      </c>
      <c r="G4912" s="23" t="str">
        <f>IF(OR(E4912="",E4912="!!!"),"",IF(OR(J4912=0,AND(J4912=1,K4912=1),AND(J4912=1,I4912="SBJ"),AND(J4912=1,I4912=0)),"?IN_FOCUS",IF(J4912&lt;=2,"?ACTIVATED",IF(J4912&lt;&gt;"","?FAMILIAR",IF(F4912="NEW",IF(ISNA(VLOOKUP(E4912,#REF!,1,FALSE())),"?TYPE_IDENTIFIABLE","?REFERENTIAL"),"_")))))</f>
        <v> </v>
      </c>
      <c r="H4912" s="24" t="str">
        <f>IF(J4912&lt;&gt;1,"",IF(I4912="SBJ","CB","?"))</f>
        <v> </v>
      </c>
      <c r="I4912" s="25" t="str">
        <f>IF(OR(E4912="",E4912="!!!",F4912="NEW"),"",INDEX(B4911:B$2,-1+SUMPRODUCT(MAX(ROW(E4911:E$2)*(E4912=E4911:E$2)))))</f>
        <v> </v>
      </c>
      <c r="J4912" s="25" t="str">
        <f>IF(OR(E4912="",E4912="!!!",F4912="NEW"),"",COUNTBLANK(OFFSET(A$1,,,SUMPRODUCT(MAX(ROW(E$2:E4912)*(E4912=E$2:E4912)))))-COUNTBLANK(OFFSET(A$1,,,SUMPRODUCT(MAX(ROW(E$1:E4911)*(E2=E$1:E4911))))))</f>
        <v> </v>
      </c>
      <c r="K4912" s="25" t="str">
        <f>IF(OR(E4912="",E4912="!!!",F4912="NEW"),"",INDEX(J$1:J4911,SUMPRODUCT(MAX(ROW(E$1:E4911)*(E4912=E$1:E4911)))))</f>
        <v> </v>
      </c>
      <c r="L4912" s="26"/>
    </row>
    <row r="4913" spans="1:12">
      <c r="A4913" s="20" t="s">
        <v>947</v>
      </c>
      <c r="B4913" s="27" t="s">
        <v>772</v>
      </c>
      <c r="C4913" s="27" t="s">
        <v>803</v>
      </c>
      <c r="E4913" s="21">
        <f>IF(D4913="?OLD","!!!","")</f>
        <v/>
      </c>
      <c r="F4913" s="22" t="str">
        <f>IF(OR(E4913="",E4913="!!!"),"",IF(NOT(ISNA(VLOOKUP(E4913,E$1:E4912,1,FALSE()))),"OLD",IF(AND(E4913&lt;&gt;"",E4913&lt;&gt;"!!!"),"NEW","")))</f>
        <v> </v>
      </c>
      <c r="G4913" s="23" t="str">
        <f>IF(OR(E4913="",E4913="!!!"),"",IF(OR(J4913=0,AND(J4913=1,K4913=1),AND(J4913=1,I4913="SBJ"),AND(J4913=1,I4913=0)),"?IN_FOCUS",IF(J4913&lt;=2,"?ACTIVATED",IF(J4913&lt;&gt;"","?FAMILIAR",IF(F4913="NEW",IF(ISNA(VLOOKUP(E4913,#REF!,1,FALSE())),"?TYPE_IDENTIFIABLE","?REFERENTIAL"),"_")))))</f>
        <v> </v>
      </c>
      <c r="H4913" s="24" t="str">
        <f>IF(J4913&lt;&gt;1,"",IF(I4913="SBJ","CB","?"))</f>
        <v> </v>
      </c>
      <c r="I4913" s="25" t="str">
        <f>IF(OR(E4913="",E4913="!!!",F4913="NEW"),"",INDEX(B4912:B$2,-1+SUMPRODUCT(MAX(ROW(E4912:E$2)*(E4913=E4912:E$2)))))</f>
        <v> </v>
      </c>
      <c r="J4913" s="25" t="str">
        <f>IF(OR(E4913="",E4913="!!!",F4913="NEW"),"",COUNTBLANK(OFFSET(A$1,,,SUMPRODUCT(MAX(ROW(E$2:E4913)*(E4913=E$2:E4913)))))-COUNTBLANK(OFFSET(A$1,,,SUMPRODUCT(MAX(ROW(E$1:E4912)*(E2=E$1:E4912))))))</f>
        <v> </v>
      </c>
      <c r="K4913" s="25" t="str">
        <f>IF(OR(E4913="",E4913="!!!",F4913="NEW"),"",INDEX(J$1:J4912,SUMPRODUCT(MAX(ROW(E$1:E4912)*(E4913=E$1:E4912)))))</f>
        <v> </v>
      </c>
      <c r="L4913" s="26"/>
    </row>
    <row r="4914" spans="1:12">
      <c r="A4914" s="20" t="s">
        <v>785</v>
      </c>
      <c r="E4914" s="21">
        <f>IF(D4914="?OLD","!!!","")</f>
        <v/>
      </c>
      <c r="F4914" s="22" t="str">
        <f>IF(OR(E4914="",E4914="!!!"),"",IF(NOT(ISNA(VLOOKUP(E4914,E$1:E4913,1,FALSE()))),"OLD",IF(AND(E4914&lt;&gt;"",E4914&lt;&gt;"!!!"),"NEW","")))</f>
        <v> </v>
      </c>
      <c r="G4914" s="23" t="str">
        <f>IF(OR(E4914="",E4914="!!!"),"",IF(OR(J4914=0,AND(J4914=1,K4914=1),AND(J4914=1,I4914="SBJ"),AND(J4914=1,I4914=0)),"?IN_FOCUS",IF(J4914&lt;=2,"?ACTIVATED",IF(J4914&lt;&gt;"","?FAMILIAR",IF(F4914="NEW",IF(ISNA(VLOOKUP(E4914,#REF!,1,FALSE())),"?TYPE_IDENTIFIABLE","?REFERENTIAL"),"_")))))</f>
        <v> </v>
      </c>
      <c r="H4914" s="24" t="str">
        <f>IF(J4914&lt;&gt;1,"",IF(I4914="SBJ","CB","?"))</f>
        <v> </v>
      </c>
      <c r="I4914" s="25" t="str">
        <f>IF(OR(E4914="",E4914="!!!",F4914="NEW"),"",INDEX(B4913:B$2,-1+SUMPRODUCT(MAX(ROW(E4913:E$2)*(E4914=E4913:E$2)))))</f>
        <v> </v>
      </c>
      <c r="J4914" s="25" t="str">
        <f>IF(OR(E4914="",E4914="!!!",F4914="NEW"),"",COUNTBLANK(OFFSET(A$1,,,SUMPRODUCT(MAX(ROW(E$2:E4914)*(E4914=E$2:E4914)))))-COUNTBLANK(OFFSET(A$1,,,SUMPRODUCT(MAX(ROW(E$1:E4913)*(E2=E$1:E4913))))))</f>
        <v> </v>
      </c>
      <c r="K4914" s="25" t="str">
        <f>IF(OR(E4914="",E4914="!!!",F4914="NEW"),"",INDEX(J$1:J4913,SUMPRODUCT(MAX(ROW(E$1:E4913)*(E4914=E$1:E4913)))))</f>
        <v> </v>
      </c>
      <c r="L4914" s="26"/>
    </row>
    <row r="4915" spans="1:12">
      <c r="A4915" s="20" t="s">
        <v>822</v>
      </c>
      <c r="E4915" s="21">
        <f>IF(D4915="?OLD","!!!","")</f>
        <v/>
      </c>
      <c r="F4915" s="22" t="str">
        <f>IF(OR(E4915="",E4915="!!!"),"",IF(NOT(ISNA(VLOOKUP(E4915,E$1:E4914,1,FALSE()))),"OLD",IF(AND(E4915&lt;&gt;"",E4915&lt;&gt;"!!!"),"NEW","")))</f>
        <v> </v>
      </c>
      <c r="G4915" s="23" t="str">
        <f>IF(OR(E4915="",E4915="!!!"),"",IF(OR(J4915=0,AND(J4915=1,K4915=1),AND(J4915=1,I4915="SBJ"),AND(J4915=1,I4915=0)),"?IN_FOCUS",IF(J4915&lt;=2,"?ACTIVATED",IF(J4915&lt;&gt;"","?FAMILIAR",IF(F4915="NEW",IF(ISNA(VLOOKUP(E4915,#REF!,1,FALSE())),"?TYPE_IDENTIFIABLE","?REFERENTIAL"),"_")))))</f>
        <v> </v>
      </c>
      <c r="H4915" s="24" t="str">
        <f>IF(J4915&lt;&gt;1,"",IF(I4915="SBJ","CB","?"))</f>
        <v> </v>
      </c>
      <c r="I4915" s="25" t="str">
        <f>IF(OR(E4915="",E4915="!!!",F4915="NEW"),"",INDEX(B4914:B$2,-1+SUMPRODUCT(MAX(ROW(E4914:E$2)*(E4915=E4914:E$2)))))</f>
        <v> </v>
      </c>
      <c r="J4915" s="25" t="str">
        <f>IF(OR(E4915="",E4915="!!!",F4915="NEW"),"",COUNTBLANK(OFFSET(A$1,,,SUMPRODUCT(MAX(ROW(E$2:E4915)*(E4915=E$2:E4915)))))-COUNTBLANK(OFFSET(A$1,,,SUMPRODUCT(MAX(ROW(E$1:E4914)*(E2=E$1:E4914))))))</f>
        <v> </v>
      </c>
      <c r="K4915" s="25" t="str">
        <f>IF(OR(E4915="",E4915="!!!",F4915="NEW"),"",INDEX(J$1:J4914,SUMPRODUCT(MAX(ROW(E$1:E4914)*(E4915=E$1:E4914)))))</f>
        <v> </v>
      </c>
      <c r="L4915" s="26"/>
    </row>
    <row r="4916" spans="1:12">
      <c r="A4916" s="20" t="s">
        <v>948</v>
      </c>
      <c r="B4916" s="27" t="s">
        <v>772</v>
      </c>
      <c r="C4916" s="27" t="s">
        <v>761</v>
      </c>
      <c r="D4916" s="27" t="s">
        <v>762</v>
      </c>
      <c r="E4916" s="21">
        <f>IF(D4916="?OLD","!!!","")</f>
        <v/>
      </c>
      <c r="F4916" s="22" t="str">
        <f>IF(OR(E4916="",E4916="!!!"),"",IF(NOT(ISNA(VLOOKUP(E4916,E$1:E4915,1,FALSE()))),"OLD",IF(AND(E4916&lt;&gt;"",E4916&lt;&gt;"!!!"),"NEW","")))</f>
        <v> </v>
      </c>
      <c r="G4916" s="23" t="str">
        <f>IF(OR(E4916="",E4916="!!!"),"",IF(OR(J4916=0,AND(J4916=1,K4916=1),AND(J4916=1,I4916="SBJ"),AND(J4916=1,I4916=0)),"?IN_FOCUS",IF(J4916&lt;=2,"?ACTIVATED",IF(J4916&lt;&gt;"","?FAMILIAR",IF(F4916="NEW",IF(ISNA(VLOOKUP(E4916,#REF!,1,FALSE())),"?TYPE_IDENTIFIABLE","?REFERENTIAL"),"_")))))</f>
        <v> </v>
      </c>
      <c r="H4916" s="24" t="str">
        <f>IF(J4916&lt;&gt;1,"",IF(I4916="SBJ","CB","?"))</f>
        <v> </v>
      </c>
      <c r="I4916" s="25" t="str">
        <f>IF(OR(E4916="",E4916="!!!",F4916="NEW"),"",INDEX(B4915:B$2,-1+SUMPRODUCT(MAX(ROW(E4915:E$2)*(E4916=E4915:E$2)))))</f>
        <v> </v>
      </c>
      <c r="J4916" s="25" t="str">
        <f>IF(OR(E4916="",E4916="!!!",F4916="NEW"),"",COUNTBLANK(OFFSET(A$1,,,SUMPRODUCT(MAX(ROW(E$2:E4916)*(E4916=E$2:E4916)))))-COUNTBLANK(OFFSET(A$1,,,SUMPRODUCT(MAX(ROW(E$1:E4915)*(E2=E$1:E4915))))))</f>
        <v> </v>
      </c>
      <c r="K4916" s="25" t="str">
        <f>IF(OR(E4916="",E4916="!!!",F4916="NEW"),"",INDEX(J$1:J4915,SUMPRODUCT(MAX(ROW(E$1:E4915)*(E4916=E$1:E4915)))))</f>
        <v> </v>
      </c>
      <c r="L4916" s="26"/>
    </row>
    <row r="4917" spans="1:12">
      <c r="A4917" s="20" t="s">
        <v>757</v>
      </c>
      <c r="E4917" s="21">
        <f>IF(D4917="?OLD","!!!","")</f>
        <v/>
      </c>
      <c r="F4917" s="22" t="str">
        <f>IF(OR(E4917="",E4917="!!!"),"",IF(NOT(ISNA(VLOOKUP(E4917,E$1:E4916,1,FALSE()))),"OLD",IF(AND(E4917&lt;&gt;"",E4917&lt;&gt;"!!!"),"NEW","")))</f>
        <v> </v>
      </c>
      <c r="G4917" s="23" t="str">
        <f>IF(OR(E4917="",E4917="!!!"),"",IF(OR(J4917=0,AND(J4917=1,K4917=1),AND(J4917=1,I4917="SBJ"),AND(J4917=1,I4917=0)),"?IN_FOCUS",IF(J4917&lt;=2,"?ACTIVATED",IF(J4917&lt;&gt;"","?FAMILIAR",IF(F4917="NEW",IF(ISNA(VLOOKUP(E4917,#REF!,1,FALSE())),"?TYPE_IDENTIFIABLE","?REFERENTIAL"),"_")))))</f>
        <v> </v>
      </c>
      <c r="H4917" s="24" t="str">
        <f>IF(J4917&lt;&gt;1,"",IF(I4917="SBJ","CB","?"))</f>
        <v> </v>
      </c>
      <c r="I4917" s="25" t="str">
        <f>IF(OR(E4917="",E4917="!!!",F4917="NEW"),"",INDEX(B4916:B$2,-1+SUMPRODUCT(MAX(ROW(E4916:E$2)*(E4917=E4916:E$2)))))</f>
        <v> </v>
      </c>
      <c r="J4917" s="25" t="str">
        <f>IF(OR(E4917="",E4917="!!!",F4917="NEW"),"",COUNTBLANK(OFFSET(A$1,,,SUMPRODUCT(MAX(ROW(E$2:E4917)*(E4917=E$2:E4917)))))-COUNTBLANK(OFFSET(A$1,,,SUMPRODUCT(MAX(ROW(E$1:E4916)*(E2=E$1:E4916))))))</f>
        <v> </v>
      </c>
      <c r="K4917" s="25" t="str">
        <f>IF(OR(E4917="",E4917="!!!",F4917="NEW"),"",INDEX(J$1:J4916,SUMPRODUCT(MAX(ROW(E$1:E4916)*(E4917=E$1:E4916)))))</f>
        <v> </v>
      </c>
      <c r="L4917" s="26"/>
    </row>
    <row r="4918" spans="1:12">
      <c r="A4918" s="20" t="s">
        <v>810</v>
      </c>
      <c r="E4918" s="21">
        <f>IF(D4918="?OLD","!!!","")</f>
        <v/>
      </c>
      <c r="F4918" s="22" t="str">
        <f>IF(OR(E4918="",E4918="!!!"),"",IF(NOT(ISNA(VLOOKUP(E4918,E$1:E4917,1,FALSE()))),"OLD",IF(AND(E4918&lt;&gt;"",E4918&lt;&gt;"!!!"),"NEW","")))</f>
        <v> </v>
      </c>
      <c r="G4918" s="23" t="str">
        <f>IF(OR(E4918="",E4918="!!!"),"",IF(OR(J4918=0,AND(J4918=1,K4918=1),AND(J4918=1,I4918="SBJ"),AND(J4918=1,I4918=0)),"?IN_FOCUS",IF(J4918&lt;=2,"?ACTIVATED",IF(J4918&lt;&gt;"","?FAMILIAR",IF(F4918="NEW",IF(ISNA(VLOOKUP(E4918,#REF!,1,FALSE())),"?TYPE_IDENTIFIABLE","?REFERENTIAL"),"_")))))</f>
        <v> </v>
      </c>
      <c r="H4918" s="24" t="str">
        <f>IF(J4918&lt;&gt;1,"",IF(I4918="SBJ","CB","?"))</f>
        <v> </v>
      </c>
      <c r="I4918" s="25" t="str">
        <f>IF(OR(E4918="",E4918="!!!",F4918="NEW"),"",INDEX(B4917:B$2,-1+SUMPRODUCT(MAX(ROW(E4917:E$2)*(E4918=E4917:E$2)))))</f>
        <v> </v>
      </c>
      <c r="J4918" s="25" t="str">
        <f>IF(OR(E4918="",E4918="!!!",F4918="NEW"),"",COUNTBLANK(OFFSET(A$1,,,SUMPRODUCT(MAX(ROW(E$2:E4918)*(E4918=E$2:E4918)))))-COUNTBLANK(OFFSET(A$1,,,SUMPRODUCT(MAX(ROW(E$1:E4917)*(E2=E$1:E4917))))))</f>
        <v> </v>
      </c>
      <c r="K4918" s="25" t="str">
        <f>IF(OR(E4918="",E4918="!!!",F4918="NEW"),"",INDEX(J$1:J4917,SUMPRODUCT(MAX(ROW(E$1:E4917)*(E4918=E$1:E4917)))))</f>
        <v> </v>
      </c>
      <c r="L4918" s="26"/>
    </row>
    <row r="4919" spans="1:12">
      <c r="A4919" s="20" t="s">
        <v>1643</v>
      </c>
      <c r="E4919" s="21">
        <f>IF(D4919="?OLD","!!!","")</f>
        <v/>
      </c>
      <c r="F4919" s="22" t="str">
        <f>IF(OR(E4919="",E4919="!!!"),"",IF(NOT(ISNA(VLOOKUP(E4919,E$1:E4918,1,FALSE()))),"OLD",IF(AND(E4919&lt;&gt;"",E4919&lt;&gt;"!!!"),"NEW","")))</f>
        <v> </v>
      </c>
      <c r="G4919" s="23" t="str">
        <f>IF(OR(E4919="",E4919="!!!"),"",IF(OR(J4919=0,AND(J4919=1,K4919=1),AND(J4919=1,I4919="SBJ"),AND(J4919=1,I4919=0)),"?IN_FOCUS",IF(J4919&lt;=2,"?ACTIVATED",IF(J4919&lt;&gt;"","?FAMILIAR",IF(F4919="NEW",IF(ISNA(VLOOKUP(E4919,#REF!,1,FALSE())),"?TYPE_IDENTIFIABLE","?REFERENTIAL"),"_")))))</f>
        <v> </v>
      </c>
      <c r="H4919" s="24" t="str">
        <f>IF(J4919&lt;&gt;1,"",IF(I4919="SBJ","CB","?"))</f>
        <v> </v>
      </c>
      <c r="I4919" s="25" t="str">
        <f>IF(OR(E4919="",E4919="!!!",F4919="NEW"),"",INDEX(B4918:B$2,-1+SUMPRODUCT(MAX(ROW(E4918:E$2)*(E4919=E4918:E$2)))))</f>
        <v> </v>
      </c>
      <c r="J4919" s="25" t="str">
        <f>IF(OR(E4919="",E4919="!!!",F4919="NEW"),"",COUNTBLANK(OFFSET(A$1,,,SUMPRODUCT(MAX(ROW(E$2:E4919)*(E4919=E$2:E4919)))))-COUNTBLANK(OFFSET(A$1,,,SUMPRODUCT(MAX(ROW(E$1:E4918)*(E2=E$1:E4918))))))</f>
        <v> </v>
      </c>
      <c r="K4919" s="25" t="str">
        <f>IF(OR(E4919="",E4919="!!!",F4919="NEW"),"",INDEX(J$1:J4918,SUMPRODUCT(MAX(ROW(E$1:E4918)*(E4919=E$1:E4918)))))</f>
        <v> </v>
      </c>
      <c r="L4919" s="26"/>
    </row>
    <row r="4920" spans="1:12">
      <c r="A4920" s="20" t="s">
        <v>785</v>
      </c>
      <c r="E4920" s="21">
        <f>IF(D4920="?OLD","!!!","")</f>
        <v/>
      </c>
      <c r="F4920" s="22" t="str">
        <f>IF(OR(E4920="",E4920="!!!"),"",IF(NOT(ISNA(VLOOKUP(E4920,E$1:E4919,1,FALSE()))),"OLD",IF(AND(E4920&lt;&gt;"",E4920&lt;&gt;"!!!"),"NEW","")))</f>
        <v> </v>
      </c>
      <c r="G4920" s="23" t="str">
        <f>IF(OR(E4920="",E4920="!!!"),"",IF(OR(J4920=0,AND(J4920=1,K4920=1),AND(J4920=1,I4920="SBJ"),AND(J4920=1,I4920=0)),"?IN_FOCUS",IF(J4920&lt;=2,"?ACTIVATED",IF(J4920&lt;&gt;"","?FAMILIAR",IF(F4920="NEW",IF(ISNA(VLOOKUP(E4920,#REF!,1,FALSE())),"?TYPE_IDENTIFIABLE","?REFERENTIAL"),"_")))))</f>
        <v> </v>
      </c>
      <c r="H4920" s="24" t="str">
        <f>IF(J4920&lt;&gt;1,"",IF(I4920="SBJ","CB","?"))</f>
        <v> </v>
      </c>
      <c r="I4920" s="25" t="str">
        <f>IF(OR(E4920="",E4920="!!!",F4920="NEW"),"",INDEX(B4919:B$2,-1+SUMPRODUCT(MAX(ROW(E4919:E$2)*(E4920=E4919:E$2)))))</f>
        <v> </v>
      </c>
      <c r="J4920" s="25" t="str">
        <f>IF(OR(E4920="",E4920="!!!",F4920="NEW"),"",COUNTBLANK(OFFSET(A$1,,,SUMPRODUCT(MAX(ROW(E$2:E4920)*(E4920=E$2:E4920)))))-COUNTBLANK(OFFSET(A$1,,,SUMPRODUCT(MAX(ROW(E$1:E4919)*(E2=E$1:E4919))))))</f>
        <v> </v>
      </c>
      <c r="K4920" s="25" t="str">
        <f>IF(OR(E4920="",E4920="!!!",F4920="NEW"),"",INDEX(J$1:J4919,SUMPRODUCT(MAX(ROW(E$1:E4919)*(E4920=E$1:E4919)))))</f>
        <v> </v>
      </c>
      <c r="L4920" s="26"/>
    </row>
    <row r="4921" spans="1:12">
      <c r="A4921" s="20" t="s">
        <v>954</v>
      </c>
      <c r="B4921" s="27" t="s">
        <v>772</v>
      </c>
      <c r="C4921" s="27" t="s">
        <v>777</v>
      </c>
      <c r="D4921" s="27" t="s">
        <v>762</v>
      </c>
      <c r="E4921" s="21">
        <f>IF(D4921="?OLD","!!!","")</f>
        <v/>
      </c>
      <c r="F4921" s="22" t="str">
        <f>IF(OR(E4921="",E4921="!!!"),"",IF(NOT(ISNA(VLOOKUP(E4921,E$1:E4920,1,FALSE()))),"OLD",IF(AND(E4921&lt;&gt;"",E4921&lt;&gt;"!!!"),"NEW","")))</f>
        <v> </v>
      </c>
      <c r="G4921" s="23" t="str">
        <f>IF(OR(E4921="",E4921="!!!"),"",IF(OR(J4921=0,AND(J4921=1,K4921=1),AND(J4921=1,I4921="SBJ"),AND(J4921=1,I4921=0)),"?IN_FOCUS",IF(J4921&lt;=2,"?ACTIVATED",IF(J4921&lt;&gt;"","?FAMILIAR",IF(F4921="NEW",IF(ISNA(VLOOKUP(E4921,#REF!,1,FALSE())),"?TYPE_IDENTIFIABLE","?REFERENTIAL"),"_")))))</f>
        <v> </v>
      </c>
      <c r="H4921" s="24" t="str">
        <f>IF(J4921&lt;&gt;1,"",IF(I4921="SBJ","CB","?"))</f>
        <v> </v>
      </c>
      <c r="I4921" s="25" t="str">
        <f>IF(OR(E4921="",E4921="!!!",F4921="NEW"),"",INDEX(B4920:B$2,-1+SUMPRODUCT(MAX(ROW(E4920:E$2)*(E4921=E4920:E$2)))))</f>
        <v> </v>
      </c>
      <c r="J4921" s="25" t="str">
        <f>IF(OR(E4921="",E4921="!!!",F4921="NEW"),"",COUNTBLANK(OFFSET(A$1,,,SUMPRODUCT(MAX(ROW(E$2:E4921)*(E4921=E$2:E4921)))))-COUNTBLANK(OFFSET(A$1,,,SUMPRODUCT(MAX(ROW(E$1:E4920)*(E2=E$1:E4920))))))</f>
        <v> </v>
      </c>
      <c r="K4921" s="25" t="str">
        <f>IF(OR(E4921="",E4921="!!!",F4921="NEW"),"",INDEX(J$1:J4920,SUMPRODUCT(MAX(ROW(E$1:E4920)*(E4921=E$1:E4920)))))</f>
        <v> </v>
      </c>
      <c r="L4921" s="26"/>
    </row>
    <row r="4922" spans="1:12">
      <c r="A4922" s="20" t="s">
        <v>889</v>
      </c>
      <c r="E4922" s="21">
        <f>IF(D4922="?OLD","!!!","")</f>
        <v/>
      </c>
      <c r="F4922" s="22" t="str">
        <f>IF(OR(E4922="",E4922="!!!"),"",IF(NOT(ISNA(VLOOKUP(E4922,E$1:E4921,1,FALSE()))),"OLD",IF(AND(E4922&lt;&gt;"",E4922&lt;&gt;"!!!"),"NEW","")))</f>
        <v> </v>
      </c>
      <c r="G4922" s="23" t="str">
        <f>IF(OR(E4922="",E4922="!!!"),"",IF(OR(J4922=0,AND(J4922=1,K4922=1),AND(J4922=1,I4922="SBJ"),AND(J4922=1,I4922=0)),"?IN_FOCUS",IF(J4922&lt;=2,"?ACTIVATED",IF(J4922&lt;&gt;"","?FAMILIAR",IF(F4922="NEW",IF(ISNA(VLOOKUP(E4922,#REF!,1,FALSE())),"?TYPE_IDENTIFIABLE","?REFERENTIAL"),"_")))))</f>
        <v> </v>
      </c>
      <c r="H4922" s="24" t="str">
        <f>IF(J4922&lt;&gt;1,"",IF(I4922="SBJ","CB","?"))</f>
        <v> </v>
      </c>
      <c r="I4922" s="25" t="str">
        <f>IF(OR(E4922="",E4922="!!!",F4922="NEW"),"",INDEX(B4921:B$2,-1+SUMPRODUCT(MAX(ROW(E4921:E$2)*(E4922=E4921:E$2)))))</f>
        <v> </v>
      </c>
      <c r="J4922" s="25" t="str">
        <f>IF(OR(E4922="",E4922="!!!",F4922="NEW"),"",COUNTBLANK(OFFSET(A$1,,,SUMPRODUCT(MAX(ROW(E$2:E4922)*(E4922=E$2:E4922)))))-COUNTBLANK(OFFSET(A$1,,,SUMPRODUCT(MAX(ROW(E$1:E4921)*(E2=E$1:E4921))))))</f>
        <v> </v>
      </c>
      <c r="K4922" s="25" t="str">
        <f>IF(OR(E4922="",E4922="!!!",F4922="NEW"),"",INDEX(J$1:J4921,SUMPRODUCT(MAX(ROW(E$1:E4921)*(E4922=E$1:E4921)))))</f>
        <v> </v>
      </c>
      <c r="L4922" s="26"/>
    </row>
    <row r="4923" spans="1:12">
      <c r="A4923" s="20" t="s">
        <v>890</v>
      </c>
      <c r="B4923" s="27" t="s">
        <v>941</v>
      </c>
      <c r="C4923" s="27" t="s">
        <v>820</v>
      </c>
      <c r="D4923" s="27" t="s">
        <v>762</v>
      </c>
      <c r="E4923" s="21">
        <f>IF(D4923="?OLD","!!!","")</f>
        <v/>
      </c>
      <c r="F4923" s="22" t="str">
        <f>IF(OR(E4923="",E4923="!!!"),"",IF(NOT(ISNA(VLOOKUP(E4923,E$1:E4922,1,FALSE()))),"OLD",IF(AND(E4923&lt;&gt;"",E4923&lt;&gt;"!!!"),"NEW","")))</f>
        <v> </v>
      </c>
      <c r="G4923" s="23" t="str">
        <f>IF(OR(E4923="",E4923="!!!"),"",IF(OR(J4923=0,AND(J4923=1,K4923=1),AND(J4923=1,I4923="SBJ"),AND(J4923=1,I4923=0)),"?IN_FOCUS",IF(J4923&lt;=2,"?ACTIVATED",IF(J4923&lt;&gt;"","?FAMILIAR",IF(F4923="NEW",IF(ISNA(VLOOKUP(E4923,#REF!,1,FALSE())),"?TYPE_IDENTIFIABLE","?REFERENTIAL"),"_")))))</f>
        <v> </v>
      </c>
      <c r="H4923" s="24" t="str">
        <f>IF(J4923&lt;&gt;1,"",IF(I4923="SBJ","CB","?"))</f>
        <v> </v>
      </c>
      <c r="I4923" s="25" t="str">
        <f>IF(OR(E4923="",E4923="!!!",F4923="NEW"),"",INDEX(B4922:B$2,-1+SUMPRODUCT(MAX(ROW(E4922:E$2)*(E4923=E4922:E$2)))))</f>
        <v> </v>
      </c>
      <c r="J4923" s="25" t="str">
        <f>IF(OR(E4923="",E4923="!!!",F4923="NEW"),"",COUNTBLANK(OFFSET(A$1,,,SUMPRODUCT(MAX(ROW(E$2:E4923)*(E4923=E$2:E4923)))))-COUNTBLANK(OFFSET(A$1,,,SUMPRODUCT(MAX(ROW(E$1:E4922)*(E2=E$1:E4922))))))</f>
        <v> </v>
      </c>
      <c r="K4923" s="25" t="str">
        <f>IF(OR(E4923="",E4923="!!!",F4923="NEW"),"",INDEX(J$1:J4922,SUMPRODUCT(MAX(ROW(E$1:E4922)*(E4923=E$1:E4922)))))</f>
        <v> </v>
      </c>
      <c r="L4923" s="26"/>
    </row>
    <row r="4924" spans="1:12">
      <c r="A4924" s="20" t="s">
        <v>1487</v>
      </c>
      <c r="E4924" s="21">
        <f>IF(D4924="?OLD","!!!","")</f>
        <v/>
      </c>
      <c r="F4924" s="22" t="str">
        <f>IF(OR(E4924="",E4924="!!!"),"",IF(NOT(ISNA(VLOOKUP(E4924,E$1:E4923,1,FALSE()))),"OLD",IF(AND(E4924&lt;&gt;"",E4924&lt;&gt;"!!!"),"NEW","")))</f>
        <v> </v>
      </c>
      <c r="G4924" s="23" t="str">
        <f>IF(OR(E4924="",E4924="!!!"),"",IF(OR(J4924=0,AND(J4924=1,K4924=1),AND(J4924=1,I4924="SBJ"),AND(J4924=1,I4924=0)),"?IN_FOCUS",IF(J4924&lt;=2,"?ACTIVATED",IF(J4924&lt;&gt;"","?FAMILIAR",IF(F4924="NEW",IF(ISNA(VLOOKUP(E4924,#REF!,1,FALSE())),"?TYPE_IDENTIFIABLE","?REFERENTIAL"),"_")))))</f>
        <v> </v>
      </c>
      <c r="H4924" s="24" t="str">
        <f>IF(J4924&lt;&gt;1,"",IF(I4924="SBJ","CB","?"))</f>
        <v> </v>
      </c>
      <c r="I4924" s="25" t="str">
        <f>IF(OR(E4924="",E4924="!!!",F4924="NEW"),"",INDEX(B4923:B$2,-1+SUMPRODUCT(MAX(ROW(E4923:E$2)*(E4924=E4923:E$2)))))</f>
        <v> </v>
      </c>
      <c r="J4924" s="25" t="str">
        <f>IF(OR(E4924="",E4924="!!!",F4924="NEW"),"",COUNTBLANK(OFFSET(A$1,,,SUMPRODUCT(MAX(ROW(E$2:E4924)*(E4924=E$2:E4924)))))-COUNTBLANK(OFFSET(A$1,,,SUMPRODUCT(MAX(ROW(E$1:E4923)*(E2=E$1:E4923))))))</f>
        <v> </v>
      </c>
      <c r="K4924" s="25" t="str">
        <f>IF(OR(E4924="",E4924="!!!",F4924="NEW"),"",INDEX(J$1:J4923,SUMPRODUCT(MAX(ROW(E$1:E4923)*(E4924=E$1:E4923)))))</f>
        <v> </v>
      </c>
      <c r="L4924" s="26"/>
    </row>
    <row r="4925" spans="1:12">
      <c r="A4925" s="20" t="s">
        <v>769</v>
      </c>
      <c r="E4925" s="21">
        <f>IF(D4925="?OLD","!!!","")</f>
        <v/>
      </c>
      <c r="F4925" s="22" t="str">
        <f>IF(OR(E4925="",E4925="!!!"),"",IF(NOT(ISNA(VLOOKUP(E4925,E$1:E4924,1,FALSE()))),"OLD",IF(AND(E4925&lt;&gt;"",E4925&lt;&gt;"!!!"),"NEW","")))</f>
        <v> </v>
      </c>
      <c r="G4925" s="23" t="str">
        <f>IF(OR(E4925="",E4925="!!!"),"",IF(OR(J4925=0,AND(J4925=1,K4925=1),AND(J4925=1,I4925="SBJ"),AND(J4925=1,I4925=0)),"?IN_FOCUS",IF(J4925&lt;=2,"?ACTIVATED",IF(J4925&lt;&gt;"","?FAMILIAR",IF(F4925="NEW",IF(ISNA(VLOOKUP(E4925,#REF!,1,FALSE())),"?TYPE_IDENTIFIABLE","?REFERENTIAL"),"_")))))</f>
        <v> </v>
      </c>
      <c r="H4925" s="24" t="str">
        <f>IF(J4925&lt;&gt;1,"",IF(I4925="SBJ","CB","?"))</f>
        <v> </v>
      </c>
      <c r="I4925" s="25" t="str">
        <f>IF(OR(E4925="",E4925="!!!",F4925="NEW"),"",INDEX(B4924:B$2,-1+SUMPRODUCT(MAX(ROW(E4924:E$2)*(E4925=E4924:E$2)))))</f>
        <v> </v>
      </c>
      <c r="J4925" s="25" t="str">
        <f>IF(OR(E4925="",E4925="!!!",F4925="NEW"),"",COUNTBLANK(OFFSET(A$1,,,SUMPRODUCT(MAX(ROW(E$2:E4925)*(E4925=E$2:E4925)))))-COUNTBLANK(OFFSET(A$1,,,SUMPRODUCT(MAX(ROW(E$1:E4924)*(E2=E$1:E4924))))))</f>
        <v> </v>
      </c>
      <c r="K4925" s="25" t="str">
        <f>IF(OR(E4925="",E4925="!!!",F4925="NEW"),"",INDEX(J$1:J4924,SUMPRODUCT(MAX(ROW(E$1:E4924)*(E4925=E$1:E4924)))))</f>
        <v> </v>
      </c>
      <c r="L4925" s="26"/>
    </row>
    <row r="4926" spans="1:12">
      <c r="A4926" s="20" t="s">
        <v>838</v>
      </c>
      <c r="E4926" s="21">
        <f>IF(D4926="?OLD","!!!","")</f>
        <v/>
      </c>
      <c r="F4926" s="22" t="str">
        <f>IF(OR(E4926="",E4926="!!!"),"",IF(NOT(ISNA(VLOOKUP(E4926,E$1:E4925,1,FALSE()))),"OLD",IF(AND(E4926&lt;&gt;"",E4926&lt;&gt;"!!!"),"NEW","")))</f>
        <v> </v>
      </c>
      <c r="G4926" s="23" t="str">
        <f>IF(OR(E4926="",E4926="!!!"),"",IF(OR(J4926=0,AND(J4926=1,K4926=1),AND(J4926=1,I4926="SBJ"),AND(J4926=1,I4926=0)),"?IN_FOCUS",IF(J4926&lt;=2,"?ACTIVATED",IF(J4926&lt;&gt;"","?FAMILIAR",IF(F4926="NEW",IF(ISNA(VLOOKUP(E4926,#REF!,1,FALSE())),"?TYPE_IDENTIFIABLE","?REFERENTIAL"),"_")))))</f>
        <v> </v>
      </c>
      <c r="H4926" s="24" t="str">
        <f>IF(J4926&lt;&gt;1,"",IF(I4926="SBJ","CB","?"))</f>
        <v> </v>
      </c>
      <c r="I4926" s="25" t="str">
        <f>IF(OR(E4926="",E4926="!!!",F4926="NEW"),"",INDEX(B4925:B$2,-1+SUMPRODUCT(MAX(ROW(E4925:E$2)*(E4926=E4925:E$2)))))</f>
        <v> </v>
      </c>
      <c r="J4926" s="25" t="str">
        <f>IF(OR(E4926="",E4926="!!!",F4926="NEW"),"",COUNTBLANK(OFFSET(A$1,,,SUMPRODUCT(MAX(ROW(E$2:E4926)*(E4926=E$2:E4926)))))-COUNTBLANK(OFFSET(A$1,,,SUMPRODUCT(MAX(ROW(E$1:E4925)*(E2=E$1:E4925))))))</f>
        <v> </v>
      </c>
      <c r="K4926" s="25" t="str">
        <f>IF(OR(E4926="",E4926="!!!",F4926="NEW"),"",INDEX(J$1:J4925,SUMPRODUCT(MAX(ROW(E$1:E4925)*(E4926=E$1:E4925)))))</f>
        <v> </v>
      </c>
      <c r="L4926" s="26"/>
    </row>
    <row r="4927" spans="1:12">
      <c r="A4927" s="20" t="s">
        <v>943</v>
      </c>
      <c r="B4927" s="27" t="s">
        <v>901</v>
      </c>
      <c r="C4927" s="27" t="s">
        <v>761</v>
      </c>
      <c r="D4927" s="27" t="s">
        <v>762</v>
      </c>
      <c r="E4927" s="21">
        <f>IF(D4927="?OLD","!!!","")</f>
        <v/>
      </c>
      <c r="F4927" s="22" t="str">
        <f>IF(OR(E4927="",E4927="!!!"),"",IF(NOT(ISNA(VLOOKUP(E4927,E$1:E4926,1,FALSE()))),"OLD",IF(AND(E4927&lt;&gt;"",E4927&lt;&gt;"!!!"),"NEW","")))</f>
        <v> </v>
      </c>
      <c r="G4927" s="23" t="str">
        <f>IF(OR(E4927="",E4927="!!!"),"",IF(OR(J4927=0,AND(J4927=1,K4927=1),AND(J4927=1,I4927="SBJ"),AND(J4927=1,I4927=0)),"?IN_FOCUS",IF(J4927&lt;=2,"?ACTIVATED",IF(J4927&lt;&gt;"","?FAMILIAR",IF(F4927="NEW",IF(ISNA(VLOOKUP(E4927,#REF!,1,FALSE())),"?TYPE_IDENTIFIABLE","?REFERENTIAL"),"_")))))</f>
        <v> </v>
      </c>
      <c r="H4927" s="24" t="str">
        <f>IF(J4927&lt;&gt;1,"",IF(I4927="SBJ","CB","?"))</f>
        <v> </v>
      </c>
      <c r="I4927" s="25" t="str">
        <f>IF(OR(E4927="",E4927="!!!",F4927="NEW"),"",INDEX(B4926:B$2,-1+SUMPRODUCT(MAX(ROW(E4926:E$2)*(E4927=E4926:E$2)))))</f>
        <v> </v>
      </c>
      <c r="J4927" s="25" t="str">
        <f>IF(OR(E4927="",E4927="!!!",F4927="NEW"),"",COUNTBLANK(OFFSET(A$1,,,SUMPRODUCT(MAX(ROW(E$2:E4927)*(E4927=E$2:E4927)))))-COUNTBLANK(OFFSET(A$1,,,SUMPRODUCT(MAX(ROW(E$1:E4926)*(E2=E$1:E4926))))))</f>
        <v> </v>
      </c>
      <c r="K4927" s="25" t="str">
        <f>IF(OR(E4927="",E4927="!!!",F4927="NEW"),"",INDEX(J$1:J4926,SUMPRODUCT(MAX(ROW(E$1:E4926)*(E4927=E$1:E4926)))))</f>
        <v> </v>
      </c>
      <c r="L4927" s="26"/>
    </row>
    <row r="4928" spans="1:12">
      <c r="A4928" s="20" t="s">
        <v>757</v>
      </c>
      <c r="E4928" s="21">
        <f>IF(D4928="?OLD","!!!","")</f>
        <v/>
      </c>
      <c r="F4928" s="22" t="str">
        <f>IF(OR(E4928="",E4928="!!!"),"",IF(NOT(ISNA(VLOOKUP(E4928,E$1:E4927,1,FALSE()))),"OLD",IF(AND(E4928&lt;&gt;"",E4928&lt;&gt;"!!!"),"NEW","")))</f>
        <v> </v>
      </c>
      <c r="G4928" s="23" t="str">
        <f>IF(OR(E4928="",E4928="!!!"),"",IF(OR(J4928=0,AND(J4928=1,K4928=1),AND(J4928=1,I4928="SBJ"),AND(J4928=1,I4928=0)),"?IN_FOCUS",IF(J4928&lt;=2,"?ACTIVATED",IF(J4928&lt;&gt;"","?FAMILIAR",IF(F4928="NEW",IF(ISNA(VLOOKUP(E4928,#REF!,1,FALSE())),"?TYPE_IDENTIFIABLE","?REFERENTIAL"),"_")))))</f>
        <v> </v>
      </c>
      <c r="H4928" s="24" t="str">
        <f>IF(J4928&lt;&gt;1,"",IF(I4928="SBJ","CB","?"))</f>
        <v> </v>
      </c>
      <c r="I4928" s="25" t="str">
        <f>IF(OR(E4928="",E4928="!!!",F4928="NEW"),"",INDEX(B4927:B$2,-1+SUMPRODUCT(MAX(ROW(E4927:E$2)*(E4928=E4927:E$2)))))</f>
        <v> </v>
      </c>
      <c r="J4928" s="25" t="str">
        <f>IF(OR(E4928="",E4928="!!!",F4928="NEW"),"",COUNTBLANK(OFFSET(A$1,,,SUMPRODUCT(MAX(ROW(E$2:E4928)*(E4928=E$2:E4928)))))-COUNTBLANK(OFFSET(A$1,,,SUMPRODUCT(MAX(ROW(E$1:E4927)*(E2=E$1:E4927))))))</f>
        <v> </v>
      </c>
      <c r="K4928" s="25" t="str">
        <f>IF(OR(E4928="",E4928="!!!",F4928="NEW"),"",INDEX(J$1:J4927,SUMPRODUCT(MAX(ROW(E$1:E4927)*(E4928=E$1:E4927)))))</f>
        <v> </v>
      </c>
      <c r="L4928" s="26"/>
    </row>
    <row r="4929" spans="1:12">
      <c r="A4929" s="20" t="s">
        <v>890</v>
      </c>
      <c r="B4929" s="27" t="s">
        <v>1272</v>
      </c>
      <c r="C4929" s="27" t="s">
        <v>820</v>
      </c>
      <c r="D4929" s="27" t="s">
        <v>762</v>
      </c>
      <c r="E4929" s="21">
        <f>IF(D4929="?OLD","!!!","")</f>
        <v/>
      </c>
      <c r="F4929" s="22" t="str">
        <f>IF(OR(E4929="",E4929="!!!"),"",IF(NOT(ISNA(VLOOKUP(E4929,E$1:E4928,1,FALSE()))),"OLD",IF(AND(E4929&lt;&gt;"",E4929&lt;&gt;"!!!"),"NEW","")))</f>
        <v> </v>
      </c>
      <c r="G4929" s="23" t="str">
        <f>IF(OR(E4929="",E4929="!!!"),"",IF(OR(J4929=0,AND(J4929=1,K4929=1),AND(J4929=1,I4929="SBJ"),AND(J4929=1,I4929=0)),"?IN_FOCUS",IF(J4929&lt;=2,"?ACTIVATED",IF(J4929&lt;&gt;"","?FAMILIAR",IF(F4929="NEW",IF(ISNA(VLOOKUP(E4929,#REF!,1,FALSE())),"?TYPE_IDENTIFIABLE","?REFERENTIAL"),"_")))))</f>
        <v> </v>
      </c>
      <c r="H4929" s="24" t="str">
        <f>IF(J4929&lt;&gt;1,"",IF(I4929="SBJ","CB","?"))</f>
        <v> </v>
      </c>
      <c r="I4929" s="25" t="str">
        <f>IF(OR(E4929="",E4929="!!!",F4929="NEW"),"",INDEX(B4928:B$2,-1+SUMPRODUCT(MAX(ROW(E4928:E$2)*(E4929=E4928:E$2)))))</f>
        <v> </v>
      </c>
      <c r="J4929" s="25" t="str">
        <f>IF(OR(E4929="",E4929="!!!",F4929="NEW"),"",COUNTBLANK(OFFSET(A$1,,,SUMPRODUCT(MAX(ROW(E$2:E4929)*(E4929=E$2:E4929)))))-COUNTBLANK(OFFSET(A$1,,,SUMPRODUCT(MAX(ROW(E$1:E4928)*(E2=E$1:E4928))))))</f>
        <v> </v>
      </c>
      <c r="K4929" s="25" t="str">
        <f>IF(OR(E4929="",E4929="!!!",F4929="NEW"),"",INDEX(J$1:J4928,SUMPRODUCT(MAX(ROW(E$1:E4928)*(E4929=E$1:E4928)))))</f>
        <v> </v>
      </c>
      <c r="L4929" s="26"/>
    </row>
    <row r="4930" spans="1:12">
      <c r="A4930" s="20" t="s">
        <v>798</v>
      </c>
      <c r="E4930" s="21">
        <f>IF(D4930="?OLD","!!!","")</f>
        <v/>
      </c>
      <c r="F4930" s="22" t="str">
        <f>IF(OR(E4930="",E4930="!!!"),"",IF(NOT(ISNA(VLOOKUP(E4930,E$1:E4929,1,FALSE()))),"OLD",IF(AND(E4930&lt;&gt;"",E4930&lt;&gt;"!!!"),"NEW","")))</f>
        <v> </v>
      </c>
      <c r="G4930" s="23" t="str">
        <f>IF(OR(E4930="",E4930="!!!"),"",IF(OR(J4930=0,AND(J4930=1,K4930=1),AND(J4930=1,I4930="SBJ"),AND(J4930=1,I4930=0)),"?IN_FOCUS",IF(J4930&lt;=2,"?ACTIVATED",IF(J4930&lt;&gt;"","?FAMILIAR",IF(F4930="NEW",IF(ISNA(VLOOKUP(E4930,#REF!,1,FALSE())),"?TYPE_IDENTIFIABLE","?REFERENTIAL"),"_")))))</f>
        <v> </v>
      </c>
      <c r="H4930" s="24" t="str">
        <f>IF(J4930&lt;&gt;1,"",IF(I4930="SBJ","CB","?"))</f>
        <v> </v>
      </c>
      <c r="I4930" s="25" t="str">
        <f>IF(OR(E4930="",E4930="!!!",F4930="NEW"),"",INDEX(B4929:B$2,-1+SUMPRODUCT(MAX(ROW(E4929:E$2)*(E4930=E4929:E$2)))))</f>
        <v> </v>
      </c>
      <c r="J4930" s="25" t="str">
        <f>IF(OR(E4930="",E4930="!!!",F4930="NEW"),"",COUNTBLANK(OFFSET(A$1,,,SUMPRODUCT(MAX(ROW(E$2:E4930)*(E4930=E$2:E4930)))))-COUNTBLANK(OFFSET(A$1,,,SUMPRODUCT(MAX(ROW(E$1:E4929)*(E2=E$1:E4929))))))</f>
        <v> </v>
      </c>
      <c r="K4930" s="25" t="str">
        <f>IF(OR(E4930="",E4930="!!!",F4930="NEW"),"",INDEX(J$1:J4929,SUMPRODUCT(MAX(ROW(E$1:E4929)*(E4930=E$1:E4929)))))</f>
        <v> </v>
      </c>
      <c r="L4930" s="26"/>
    </row>
    <row r="4931" spans="1:12">
      <c r="A4931" s="20" t="s">
        <v>2053</v>
      </c>
      <c r="E4931" s="21">
        <f>IF(D4931="?OLD","!!!","")</f>
        <v/>
      </c>
      <c r="F4931" s="22" t="str">
        <f>IF(OR(E4931="",E4931="!!!"),"",IF(NOT(ISNA(VLOOKUP(E4931,E$1:E4930,1,FALSE()))),"OLD",IF(AND(E4931&lt;&gt;"",E4931&lt;&gt;"!!!"),"NEW","")))</f>
        <v> </v>
      </c>
      <c r="G4931" s="23" t="str">
        <f>IF(OR(E4931="",E4931="!!!"),"",IF(OR(J4931=0,AND(J4931=1,K4931=1),AND(J4931=1,I4931="SBJ"),AND(J4931=1,I4931=0)),"?IN_FOCUS",IF(J4931&lt;=2,"?ACTIVATED",IF(J4931&lt;&gt;"","?FAMILIAR",IF(F4931="NEW",IF(ISNA(VLOOKUP(E4931,#REF!,1,FALSE())),"?TYPE_IDENTIFIABLE","?REFERENTIAL"),"_")))))</f>
        <v> </v>
      </c>
      <c r="H4931" s="24" t="str">
        <f>IF(J4931&lt;&gt;1,"",IF(I4931="SBJ","CB","?"))</f>
        <v> </v>
      </c>
      <c r="I4931" s="25" t="str">
        <f>IF(OR(E4931="",E4931="!!!",F4931="NEW"),"",INDEX(B4930:B$2,-1+SUMPRODUCT(MAX(ROW(E4930:E$2)*(E4931=E4930:E$2)))))</f>
        <v> </v>
      </c>
      <c r="J4931" s="25" t="str">
        <f>IF(OR(E4931="",E4931="!!!",F4931="NEW"),"",COUNTBLANK(OFFSET(A$1,,,SUMPRODUCT(MAX(ROW(E$2:E4931)*(E4931=E$2:E4931)))))-COUNTBLANK(OFFSET(A$1,,,SUMPRODUCT(MAX(ROW(E$1:E4930)*(E2=E$1:E4930))))))</f>
        <v> </v>
      </c>
      <c r="K4931" s="25" t="str">
        <f>IF(OR(E4931="",E4931="!!!",F4931="NEW"),"",INDEX(J$1:J4930,SUMPRODUCT(MAX(ROW(E$1:E4930)*(E4931=E$1:E4930)))))</f>
        <v> </v>
      </c>
      <c r="L4931" s="26"/>
    </row>
    <row r="4932" spans="1:12">
      <c r="A4932" s="20" t="s">
        <v>804</v>
      </c>
      <c r="E4932" s="21">
        <f>IF(D4932="?OLD","!!!","")</f>
        <v/>
      </c>
      <c r="F4932" s="22" t="str">
        <f>IF(OR(E4932="",E4932="!!!"),"",IF(NOT(ISNA(VLOOKUP(E4932,E$1:E4931,1,FALSE()))),"OLD",IF(AND(E4932&lt;&gt;"",E4932&lt;&gt;"!!!"),"NEW","")))</f>
        <v> </v>
      </c>
      <c r="G4932" s="23" t="str">
        <f>IF(OR(E4932="",E4932="!!!"),"",IF(OR(J4932=0,AND(J4932=1,K4932=1),AND(J4932=1,I4932="SBJ"),AND(J4932=1,I4932=0)),"?IN_FOCUS",IF(J4932&lt;=2,"?ACTIVATED",IF(J4932&lt;&gt;"","?FAMILIAR",IF(F4932="NEW",IF(ISNA(VLOOKUP(E4932,#REF!,1,FALSE())),"?TYPE_IDENTIFIABLE","?REFERENTIAL"),"_")))))</f>
        <v> </v>
      </c>
      <c r="H4932" s="24" t="str">
        <f>IF(J4932&lt;&gt;1,"",IF(I4932="SBJ","CB","?"))</f>
        <v> </v>
      </c>
      <c r="I4932" s="25" t="str">
        <f>IF(OR(E4932="",E4932="!!!",F4932="NEW"),"",INDEX(B4931:B$2,-1+SUMPRODUCT(MAX(ROW(E4931:E$2)*(E4932=E4931:E$2)))))</f>
        <v> </v>
      </c>
      <c r="J4932" s="25" t="str">
        <f>IF(OR(E4932="",E4932="!!!",F4932="NEW"),"",COUNTBLANK(OFFSET(A$1,,,SUMPRODUCT(MAX(ROW(E$2:E4932)*(E4932=E$2:E4932)))))-COUNTBLANK(OFFSET(A$1,,,SUMPRODUCT(MAX(ROW(E$1:E4931)*(E2=E$1:E4931))))))</f>
        <v> </v>
      </c>
      <c r="K4932" s="25" t="str">
        <f>IF(OR(E4932="",E4932="!!!",F4932="NEW"),"",INDEX(J$1:J4931,SUMPRODUCT(MAX(ROW(E$1:E4931)*(E4932=E$1:E4931)))))</f>
        <v> </v>
      </c>
      <c r="L4932" s="26"/>
    </row>
    <row r="4933" spans="1:12">
      <c r="A4933" s="20" t="s">
        <v>954</v>
      </c>
      <c r="B4933" s="27" t="s">
        <v>1076</v>
      </c>
      <c r="C4933" s="27" t="s">
        <v>777</v>
      </c>
      <c r="D4933" s="27" t="s">
        <v>762</v>
      </c>
      <c r="E4933" s="21">
        <f>IF(D4933="?OLD","!!!","")</f>
        <v/>
      </c>
      <c r="F4933" s="22" t="str">
        <f>IF(OR(E4933="",E4933="!!!"),"",IF(NOT(ISNA(VLOOKUP(E4933,E$1:E4932,1,FALSE()))),"OLD",IF(AND(E4933&lt;&gt;"",E4933&lt;&gt;"!!!"),"NEW","")))</f>
        <v> </v>
      </c>
      <c r="G4933" s="23" t="str">
        <f>IF(OR(E4933="",E4933="!!!"),"",IF(OR(J4933=0,AND(J4933=1,K4933=1),AND(J4933=1,I4933="SBJ"),AND(J4933=1,I4933=0)),"?IN_FOCUS",IF(J4933&lt;=2,"?ACTIVATED",IF(J4933&lt;&gt;"","?FAMILIAR",IF(F4933="NEW",IF(ISNA(VLOOKUP(E4933,#REF!,1,FALSE())),"?TYPE_IDENTIFIABLE","?REFERENTIAL"),"_")))))</f>
        <v> </v>
      </c>
      <c r="H4933" s="24" t="str">
        <f>IF(J4933&lt;&gt;1,"",IF(I4933="SBJ","CB","?"))</f>
        <v> </v>
      </c>
      <c r="I4933" s="25" t="str">
        <f>IF(OR(E4933="",E4933="!!!",F4933="NEW"),"",INDEX(B4932:B$2,-1+SUMPRODUCT(MAX(ROW(E4932:E$2)*(E4933=E4932:E$2)))))</f>
        <v> </v>
      </c>
      <c r="J4933" s="25" t="str">
        <f>IF(OR(E4933="",E4933="!!!",F4933="NEW"),"",COUNTBLANK(OFFSET(A$1,,,SUMPRODUCT(MAX(ROW(E$2:E4933)*(E4933=E$2:E4933)))))-COUNTBLANK(OFFSET(A$1,,,SUMPRODUCT(MAX(ROW(E$1:E4932)*(E2=E$1:E4932))))))</f>
        <v> </v>
      </c>
      <c r="K4933" s="25" t="str">
        <f>IF(OR(E4933="",E4933="!!!",F4933="NEW"),"",INDEX(J$1:J4932,SUMPRODUCT(MAX(ROW(E$1:E4932)*(E4933=E$1:E4932)))))</f>
        <v> </v>
      </c>
      <c r="L4933" s="26"/>
    </row>
    <row r="4934" spans="1:12">
      <c r="A4934" s="20" t="s">
        <v>793</v>
      </c>
      <c r="B4934" s="27" t="s">
        <v>1131</v>
      </c>
      <c r="E4934" s="21">
        <f>IF(D4934="?OLD","!!!","")</f>
        <v/>
      </c>
      <c r="F4934" s="22" t="str">
        <f>IF(OR(E4934="",E4934="!!!"),"",IF(NOT(ISNA(VLOOKUP(E4934,E$1:E4933,1,FALSE()))),"OLD",IF(AND(E4934&lt;&gt;"",E4934&lt;&gt;"!!!"),"NEW","")))</f>
        <v> </v>
      </c>
      <c r="G4934" s="23" t="str">
        <f>IF(OR(E4934="",E4934="!!!"),"",IF(OR(J4934=0,AND(J4934=1,K4934=1),AND(J4934=1,I4934="SBJ"),AND(J4934=1,I4934=0)),"?IN_FOCUS",IF(J4934&lt;=2,"?ACTIVATED",IF(J4934&lt;&gt;"","?FAMILIAR",IF(F4934="NEW",IF(ISNA(VLOOKUP(E4934,#REF!,1,FALSE())),"?TYPE_IDENTIFIABLE","?REFERENTIAL"),"_")))))</f>
        <v> </v>
      </c>
      <c r="H4934" s="24" t="str">
        <f>IF(J4934&lt;&gt;1,"",IF(I4934="SBJ","CB","?"))</f>
        <v> </v>
      </c>
      <c r="I4934" s="25" t="str">
        <f>IF(OR(E4934="",E4934="!!!",F4934="NEW"),"",INDEX(B4933:B$2,-1+SUMPRODUCT(MAX(ROW(E4933:E$2)*(E4934=E4933:E$2)))))</f>
        <v> </v>
      </c>
      <c r="J4934" s="25" t="str">
        <f>IF(OR(E4934="",E4934="!!!",F4934="NEW"),"",COUNTBLANK(OFFSET(A$1,,,SUMPRODUCT(MAX(ROW(E$2:E4934)*(E4934=E$2:E4934)))))-COUNTBLANK(OFFSET(A$1,,,SUMPRODUCT(MAX(ROW(E$1:E4933)*(E2=E$1:E4933))))))</f>
        <v> </v>
      </c>
      <c r="K4934" s="25" t="str">
        <f>IF(OR(E4934="",E4934="!!!",F4934="NEW"),"",INDEX(J$1:J4933,SUMPRODUCT(MAX(ROW(E$1:E4933)*(E4934=E$1:E4933)))))</f>
        <v> </v>
      </c>
      <c r="L4934" s="26"/>
    </row>
    <row r="4935" spans="1:12">
      <c r="A4935" s="20" t="s">
        <v>959</v>
      </c>
      <c r="B4935" s="27" t="s">
        <v>1172</v>
      </c>
      <c r="C4935" s="27" t="s">
        <v>777</v>
      </c>
      <c r="D4935" s="27" t="s">
        <v>762</v>
      </c>
      <c r="E4935" s="21">
        <f>IF(D4935="?OLD","!!!","")</f>
        <v/>
      </c>
      <c r="F4935" s="22" t="str">
        <f>IF(OR(E4935="",E4935="!!!"),"",IF(NOT(ISNA(VLOOKUP(E4935,E$1:E4934,1,FALSE()))),"OLD",IF(AND(E4935&lt;&gt;"",E4935&lt;&gt;"!!!"),"NEW","")))</f>
        <v> </v>
      </c>
      <c r="G4935" s="23" t="str">
        <f>IF(OR(E4935="",E4935="!!!"),"",IF(OR(J4935=0,AND(J4935=1,K4935=1),AND(J4935=1,I4935="SBJ"),AND(J4935=1,I4935=0)),"?IN_FOCUS",IF(J4935&lt;=2,"?ACTIVATED",IF(J4935&lt;&gt;"","?FAMILIAR",IF(F4935="NEW",IF(ISNA(VLOOKUP(E4935,#REF!,1,FALSE())),"?TYPE_IDENTIFIABLE","?REFERENTIAL"),"_")))))</f>
        <v> </v>
      </c>
      <c r="H4935" s="24" t="str">
        <f>IF(J4935&lt;&gt;1,"",IF(I4935="SBJ","CB","?"))</f>
        <v> </v>
      </c>
      <c r="I4935" s="25" t="str">
        <f>IF(OR(E4935="",E4935="!!!",F4935="NEW"),"",INDEX(B4934:B$2,-1+SUMPRODUCT(MAX(ROW(E4934:E$2)*(E4935=E4934:E$2)))))</f>
        <v> </v>
      </c>
      <c r="J4935" s="25" t="str">
        <f>IF(OR(E4935="",E4935="!!!",F4935="NEW"),"",COUNTBLANK(OFFSET(A$1,,,SUMPRODUCT(MAX(ROW(E$2:E4935)*(E4935=E$2:E4935)))))-COUNTBLANK(OFFSET(A$1,,,SUMPRODUCT(MAX(ROW(E$1:E4934)*(E2=E$1:E4934))))))</f>
        <v> </v>
      </c>
      <c r="K4935" s="25" t="str">
        <f>IF(OR(E4935="",E4935="!!!",F4935="NEW"),"",INDEX(J$1:J4934,SUMPRODUCT(MAX(ROW(E$1:E4934)*(E4935=E$1:E4934)))))</f>
        <v> </v>
      </c>
      <c r="L4935" s="26"/>
    </row>
    <row r="4936" spans="1:12">
      <c r="A4936" s="20" t="s">
        <v>918</v>
      </c>
      <c r="E4936" s="21">
        <f>IF(D4936="?OLD","!!!","")</f>
        <v/>
      </c>
      <c r="F4936" s="22" t="str">
        <f>IF(OR(E4936="",E4936="!!!"),"",IF(NOT(ISNA(VLOOKUP(E4936,E$1:E4935,1,FALSE()))),"OLD",IF(AND(E4936&lt;&gt;"",E4936&lt;&gt;"!!!"),"NEW","")))</f>
        <v> </v>
      </c>
      <c r="G4936" s="23" t="str">
        <f>IF(OR(E4936="",E4936="!!!"),"",IF(OR(J4936=0,AND(J4936=1,K4936=1),AND(J4936=1,I4936="SBJ"),AND(J4936=1,I4936=0)),"?IN_FOCUS",IF(J4936&lt;=2,"?ACTIVATED",IF(J4936&lt;&gt;"","?FAMILIAR",IF(F4936="NEW",IF(ISNA(VLOOKUP(E4936,#REF!,1,FALSE())),"?TYPE_IDENTIFIABLE","?REFERENTIAL"),"_")))))</f>
        <v> </v>
      </c>
      <c r="H4936" s="24" t="str">
        <f>IF(J4936&lt;&gt;1,"",IF(I4936="SBJ","CB","?"))</f>
        <v> </v>
      </c>
      <c r="I4936" s="25" t="str">
        <f>IF(OR(E4936="",E4936="!!!",F4936="NEW"),"",INDEX(B4935:B$2,-1+SUMPRODUCT(MAX(ROW(E4935:E$2)*(E4936=E4935:E$2)))))</f>
        <v> </v>
      </c>
      <c r="J4936" s="25" t="str">
        <f>IF(OR(E4936="",E4936="!!!",F4936="NEW"),"",COUNTBLANK(OFFSET(A$1,,,SUMPRODUCT(MAX(ROW(E$2:E4936)*(E4936=E$2:E4936)))))-COUNTBLANK(OFFSET(A$1,,,SUMPRODUCT(MAX(ROW(E$1:E4935)*(E2=E$1:E4935))))))</f>
        <v> </v>
      </c>
      <c r="K4936" s="25" t="str">
        <f>IF(OR(E4936="",E4936="!!!",F4936="NEW"),"",INDEX(J$1:J4935,SUMPRODUCT(MAX(ROW(E$1:E4935)*(E4936=E$1:E4935)))))</f>
        <v> </v>
      </c>
      <c r="L4936" s="26"/>
    </row>
    <row r="4937" spans="1:12">
      <c r="A4937" s="20" t="s">
        <v>774</v>
      </c>
      <c r="E4937" s="21">
        <f>IF(D4937="?OLD","!!!","")</f>
        <v/>
      </c>
      <c r="F4937" s="22" t="str">
        <f>IF(OR(E4937="",E4937="!!!"),"",IF(NOT(ISNA(VLOOKUP(E4937,E$1:E4936,1,FALSE()))),"OLD",IF(AND(E4937&lt;&gt;"",E4937&lt;&gt;"!!!"),"NEW","")))</f>
        <v> </v>
      </c>
      <c r="G4937" s="23" t="str">
        <f>IF(OR(E4937="",E4937="!!!"),"",IF(OR(J4937=0,AND(J4937=1,K4937=1),AND(J4937=1,I4937="SBJ"),AND(J4937=1,I4937=0)),"?IN_FOCUS",IF(J4937&lt;=2,"?ACTIVATED",IF(J4937&lt;&gt;"","?FAMILIAR",IF(F4937="NEW",IF(ISNA(VLOOKUP(E4937,#REF!,1,FALSE())),"?TYPE_IDENTIFIABLE","?REFERENTIAL"),"_")))))</f>
        <v> </v>
      </c>
      <c r="H4937" s="24" t="str">
        <f>IF(J4937&lt;&gt;1,"",IF(I4937="SBJ","CB","?"))</f>
        <v> </v>
      </c>
      <c r="I4937" s="25" t="str">
        <f>IF(OR(E4937="",E4937="!!!",F4937="NEW"),"",INDEX(B4936:B$2,-1+SUMPRODUCT(MAX(ROW(E4936:E$2)*(E4937=E4936:E$2)))))</f>
        <v> </v>
      </c>
      <c r="J4937" s="25" t="str">
        <f>IF(OR(E4937="",E4937="!!!",F4937="NEW"),"",COUNTBLANK(OFFSET(A$1,,,SUMPRODUCT(MAX(ROW(E$2:E4937)*(E4937=E$2:E4937)))))-COUNTBLANK(OFFSET(A$1,,,SUMPRODUCT(MAX(ROW(E$1:E4936)*(E2=E$1:E4936))))))</f>
        <v> </v>
      </c>
      <c r="K4937" s="25" t="str">
        <f>IF(OR(E4937="",E4937="!!!",F4937="NEW"),"",INDEX(J$1:J4936,SUMPRODUCT(MAX(ROW(E$1:E4936)*(E4937=E$1:E4936)))))</f>
        <v> </v>
      </c>
      <c r="L4937" s="26"/>
    </row>
    <row r="4938" spans="1:12">
      <c r="A4938" s="20"/>
    </row>
    <row r="4939" spans="1:12">
      <c r="A4939" s="20" t="s">
        <v>2054</v>
      </c>
    </row>
    <row r="4940" spans="1:12">
      <c r="A4940" s="20" t="s">
        <v>983</v>
      </c>
      <c r="B4940" s="27" t="s">
        <v>760</v>
      </c>
      <c r="C4940" s="27" t="s">
        <v>797</v>
      </c>
      <c r="D4940" s="27" t="s">
        <v>762</v>
      </c>
      <c r="E4940" s="21">
        <f>IF(D4940="?OLD","!!!","")</f>
        <v/>
      </c>
      <c r="F4940" s="22" t="str">
        <f>IF(OR(E4940="",E4940="!!!"),"",IF(NOT(ISNA(VLOOKUP(E4940,E$1:E4939,1,FALSE()))),"OLD",IF(AND(E4940&lt;&gt;"",E4940&lt;&gt;"!!!"),"NEW","")))</f>
        <v> </v>
      </c>
      <c r="G4940" s="23" t="str">
        <f>IF(OR(E4940="",E4940="!!!"),"",IF(OR(J4940=0,AND(J4940=1,K4940=1),AND(J4940=1,I4940="SBJ"),AND(J4940=1,I4940=0)),"?IN_FOCUS",IF(J4940&lt;=2,"?ACTIVATED",IF(J4940&lt;&gt;"","?FAMILIAR",IF(F4940="NEW",IF(ISNA(VLOOKUP(E4940,#REF!,1,FALSE())),"?TYPE_IDENTIFIABLE","?REFERENTIAL"),"_")))))</f>
        <v> </v>
      </c>
      <c r="H4940" s="24" t="str">
        <f>IF(J4940&lt;&gt;1,"",IF(I4940="SBJ","CB","?"))</f>
        <v> </v>
      </c>
      <c r="I4940" s="25" t="str">
        <f>IF(OR(E4940="",E4940="!!!",F4940="NEW"),"",INDEX(B4939:B$2,-1+SUMPRODUCT(MAX(ROW(E4939:E$2)*(E4940=E4939:E$2)))))</f>
        <v> </v>
      </c>
      <c r="J4940" s="25" t="str">
        <f>IF(OR(E4940="",E4940="!!!",F4940="NEW"),"",COUNTBLANK(OFFSET(A$1,,,SUMPRODUCT(MAX(ROW(E$2:E4940)*(E4940=E$2:E4940)))))-COUNTBLANK(OFFSET(A$1,,,SUMPRODUCT(MAX(ROW(E$1:E4939)*(E2=E$1:E4939))))))</f>
        <v> </v>
      </c>
      <c r="K4940" s="25" t="str">
        <f>IF(OR(E4940="",E4940="!!!",F4940="NEW"),"",INDEX(J$1:J4939,SUMPRODUCT(MAX(ROW(E$1:E4939)*(E4940=E$1:E4939)))))</f>
        <v> </v>
      </c>
      <c r="L4940" s="26"/>
    </row>
    <row r="4941" spans="1:12">
      <c r="A4941" s="20" t="s">
        <v>1576</v>
      </c>
      <c r="E4941" s="21">
        <f>IF(D4941="?OLD","!!!","")</f>
        <v/>
      </c>
      <c r="F4941" s="22" t="str">
        <f>IF(OR(E4941="",E4941="!!!"),"",IF(NOT(ISNA(VLOOKUP(E4941,E$1:E4940,1,FALSE()))),"OLD",IF(AND(E4941&lt;&gt;"",E4941&lt;&gt;"!!!"),"NEW","")))</f>
        <v> </v>
      </c>
      <c r="G4941" s="23" t="str">
        <f>IF(OR(E4941="",E4941="!!!"),"",IF(OR(J4941=0,AND(J4941=1,K4941=1),AND(J4941=1,I4941="SBJ"),AND(J4941=1,I4941=0)),"?IN_FOCUS",IF(J4941&lt;=2,"?ACTIVATED",IF(J4941&lt;&gt;"","?FAMILIAR",IF(F4941="NEW",IF(ISNA(VLOOKUP(E4941,#REF!,1,FALSE())),"?TYPE_IDENTIFIABLE","?REFERENTIAL"),"_")))))</f>
        <v> </v>
      </c>
      <c r="H4941" s="24" t="str">
        <f>IF(J4941&lt;&gt;1,"",IF(I4941="SBJ","CB","?"))</f>
        <v> </v>
      </c>
      <c r="I4941" s="25" t="str">
        <f>IF(OR(E4941="",E4941="!!!",F4941="NEW"),"",INDEX(B4940:B$2,-1+SUMPRODUCT(MAX(ROW(E4940:E$2)*(E4941=E4940:E$2)))))</f>
        <v> </v>
      </c>
      <c r="J4941" s="25" t="str">
        <f>IF(OR(E4941="",E4941="!!!",F4941="NEW"),"",COUNTBLANK(OFFSET(A$1,,,SUMPRODUCT(MAX(ROW(E$2:E4941)*(E4941=E$2:E4941)))))-COUNTBLANK(OFFSET(A$1,,,SUMPRODUCT(MAX(ROW(E$1:E4940)*(E2=E$1:E4940))))))</f>
        <v> </v>
      </c>
      <c r="K4941" s="25" t="str">
        <f>IF(OR(E4941="",E4941="!!!",F4941="NEW"),"",INDEX(J$1:J4940,SUMPRODUCT(MAX(ROW(E$1:E4940)*(E4941=E$1:E4940)))))</f>
        <v> </v>
      </c>
      <c r="L4941" s="26"/>
    </row>
    <row r="4942" spans="1:12">
      <c r="A4942" s="20" t="s">
        <v>793</v>
      </c>
      <c r="E4942" s="21">
        <f>IF(D4942="?OLD","!!!","")</f>
        <v/>
      </c>
      <c r="F4942" s="22" t="str">
        <f>IF(OR(E4942="",E4942="!!!"),"",IF(NOT(ISNA(VLOOKUP(E4942,E$1:E4941,1,FALSE()))),"OLD",IF(AND(E4942&lt;&gt;"",E4942&lt;&gt;"!!!"),"NEW","")))</f>
        <v> </v>
      </c>
      <c r="G4942" s="23" t="str">
        <f>IF(OR(E4942="",E4942="!!!"),"",IF(OR(J4942=0,AND(J4942=1,K4942=1),AND(J4942=1,I4942="SBJ"),AND(J4942=1,I4942=0)),"?IN_FOCUS",IF(J4942&lt;=2,"?ACTIVATED",IF(J4942&lt;&gt;"","?FAMILIAR",IF(F4942="NEW",IF(ISNA(VLOOKUP(E4942,#REF!,1,FALSE())),"?TYPE_IDENTIFIABLE","?REFERENTIAL"),"_")))))</f>
        <v> </v>
      </c>
      <c r="H4942" s="24" t="str">
        <f>IF(J4942&lt;&gt;1,"",IF(I4942="SBJ","CB","?"))</f>
        <v> </v>
      </c>
      <c r="I4942" s="25" t="str">
        <f>IF(OR(E4942="",E4942="!!!",F4942="NEW"),"",INDEX(B4941:B$2,-1+SUMPRODUCT(MAX(ROW(E4941:E$2)*(E4942=E4941:E$2)))))</f>
        <v> </v>
      </c>
      <c r="J4942" s="25" t="str">
        <f>IF(OR(E4942="",E4942="!!!",F4942="NEW"),"",COUNTBLANK(OFFSET(A$1,,,SUMPRODUCT(MAX(ROW(E$2:E4942)*(E4942=E$2:E4942)))))-COUNTBLANK(OFFSET(A$1,,,SUMPRODUCT(MAX(ROW(E$1:E4941)*(E2=E$1:E4941))))))</f>
        <v> </v>
      </c>
      <c r="K4942" s="25" t="str">
        <f>IF(OR(E4942="",E4942="!!!",F4942="NEW"),"",INDEX(J$1:J4941,SUMPRODUCT(MAX(ROW(E$1:E4941)*(E4942=E$1:E4941)))))</f>
        <v> </v>
      </c>
      <c r="L4942" s="26"/>
    </row>
    <row r="4943" spans="1:12">
      <c r="A4943" s="20" t="s">
        <v>838</v>
      </c>
      <c r="E4943" s="21">
        <f>IF(D4943="?OLD","!!!","")</f>
        <v/>
      </c>
      <c r="F4943" s="22" t="str">
        <f>IF(OR(E4943="",E4943="!!!"),"",IF(NOT(ISNA(VLOOKUP(E4943,E$1:E4942,1,FALSE()))),"OLD",IF(AND(E4943&lt;&gt;"",E4943&lt;&gt;"!!!"),"NEW","")))</f>
        <v> </v>
      </c>
      <c r="G4943" s="23" t="str">
        <f>IF(OR(E4943="",E4943="!!!"),"",IF(OR(J4943=0,AND(J4943=1,K4943=1),AND(J4943=1,I4943="SBJ"),AND(J4943=1,I4943=0)),"?IN_FOCUS",IF(J4943&lt;=2,"?ACTIVATED",IF(J4943&lt;&gt;"","?FAMILIAR",IF(F4943="NEW",IF(ISNA(VLOOKUP(E4943,#REF!,1,FALSE())),"?TYPE_IDENTIFIABLE","?REFERENTIAL"),"_")))))</f>
        <v> </v>
      </c>
      <c r="H4943" s="24" t="str">
        <f>IF(J4943&lt;&gt;1,"",IF(I4943="SBJ","CB","?"))</f>
        <v> </v>
      </c>
      <c r="I4943" s="25" t="str">
        <f>IF(OR(E4943="",E4943="!!!",F4943="NEW"),"",INDEX(B4942:B$2,-1+SUMPRODUCT(MAX(ROW(E4942:E$2)*(E4943=E4942:E$2)))))</f>
        <v> </v>
      </c>
      <c r="J4943" s="25" t="str">
        <f>IF(OR(E4943="",E4943="!!!",F4943="NEW"),"",COUNTBLANK(OFFSET(A$1,,,SUMPRODUCT(MAX(ROW(E$2:E4943)*(E4943=E$2:E4943)))))-COUNTBLANK(OFFSET(A$1,,,SUMPRODUCT(MAX(ROW(E$1:E4942)*(E2=E$1:E4942))))))</f>
        <v> </v>
      </c>
      <c r="K4943" s="25" t="str">
        <f>IF(OR(E4943="",E4943="!!!",F4943="NEW"),"",INDEX(J$1:J4942,SUMPRODUCT(MAX(ROW(E$1:E4942)*(E4943=E$1:E4942)))))</f>
        <v> </v>
      </c>
      <c r="L4943" s="26"/>
    </row>
    <row r="4944" spans="1:12">
      <c r="A4944" s="20" t="s">
        <v>943</v>
      </c>
      <c r="B4944" s="27" t="s">
        <v>796</v>
      </c>
      <c r="C4944" s="27" t="s">
        <v>761</v>
      </c>
      <c r="D4944" s="27" t="s">
        <v>762</v>
      </c>
      <c r="E4944" s="21">
        <f>IF(D4944="?OLD","!!!","")</f>
        <v/>
      </c>
      <c r="F4944" s="22" t="str">
        <f>IF(OR(E4944="",E4944="!!!"),"",IF(NOT(ISNA(VLOOKUP(E4944,E$1:E4943,1,FALSE()))),"OLD",IF(AND(E4944&lt;&gt;"",E4944&lt;&gt;"!!!"),"NEW","")))</f>
        <v> </v>
      </c>
      <c r="G4944" s="23" t="str">
        <f>IF(OR(E4944="",E4944="!!!"),"",IF(OR(J4944=0,AND(J4944=1,K4944=1),AND(J4944=1,I4944="SBJ"),AND(J4944=1,I4944=0)),"?IN_FOCUS",IF(J4944&lt;=2,"?ACTIVATED",IF(J4944&lt;&gt;"","?FAMILIAR",IF(F4944="NEW",IF(ISNA(VLOOKUP(E4944,#REF!,1,FALSE())),"?TYPE_IDENTIFIABLE","?REFERENTIAL"),"_")))))</f>
        <v> </v>
      </c>
      <c r="H4944" s="24" t="str">
        <f>IF(J4944&lt;&gt;1,"",IF(I4944="SBJ","CB","?"))</f>
        <v> </v>
      </c>
      <c r="I4944" s="25" t="str">
        <f>IF(OR(E4944="",E4944="!!!",F4944="NEW"),"",INDEX(B4943:B$2,-1+SUMPRODUCT(MAX(ROW(E4943:E$2)*(E4944=E4943:E$2)))))</f>
        <v> </v>
      </c>
      <c r="J4944" s="25" t="str">
        <f>IF(OR(E4944="",E4944="!!!",F4944="NEW"),"",COUNTBLANK(OFFSET(A$1,,,SUMPRODUCT(MAX(ROW(E$2:E4944)*(E4944=E$2:E4944)))))-COUNTBLANK(OFFSET(A$1,,,SUMPRODUCT(MAX(ROW(E$1:E4943)*(E2=E$1:E4943))))))</f>
        <v> </v>
      </c>
      <c r="K4944" s="25" t="str">
        <f>IF(OR(E4944="",E4944="!!!",F4944="NEW"),"",INDEX(J$1:J4943,SUMPRODUCT(MAX(ROW(E$1:E4943)*(E4944=E$1:E4943)))))</f>
        <v> </v>
      </c>
      <c r="L4944" s="26"/>
    </row>
    <row r="4945" spans="1:12">
      <c r="A4945" s="20" t="s">
        <v>903</v>
      </c>
      <c r="B4945" s="27" t="s">
        <v>802</v>
      </c>
      <c r="C4945" s="27" t="s">
        <v>797</v>
      </c>
      <c r="D4945" s="27" t="s">
        <v>762</v>
      </c>
      <c r="E4945" s="21">
        <f>IF(D4945="?OLD","!!!","")</f>
        <v/>
      </c>
      <c r="F4945" s="22" t="str">
        <f>IF(OR(E4945="",E4945="!!!"),"",IF(NOT(ISNA(VLOOKUP(E4945,E$1:E4944,1,FALSE()))),"OLD",IF(AND(E4945&lt;&gt;"",E4945&lt;&gt;"!!!"),"NEW","")))</f>
        <v> </v>
      </c>
      <c r="G4945" s="23" t="str">
        <f>IF(OR(E4945="",E4945="!!!"),"",IF(OR(J4945=0,AND(J4945=1,K4945=1),AND(J4945=1,I4945="SBJ"),AND(J4945=1,I4945=0)),"?IN_FOCUS",IF(J4945&lt;=2,"?ACTIVATED",IF(J4945&lt;&gt;"","?FAMILIAR",IF(F4945="NEW",IF(ISNA(VLOOKUP(E4945,#REF!,1,FALSE())),"?TYPE_IDENTIFIABLE","?REFERENTIAL"),"_")))))</f>
        <v> </v>
      </c>
      <c r="H4945" s="24" t="str">
        <f>IF(J4945&lt;&gt;1,"",IF(I4945="SBJ","CB","?"))</f>
        <v> </v>
      </c>
      <c r="I4945" s="25" t="str">
        <f>IF(OR(E4945="",E4945="!!!",F4945="NEW"),"",INDEX(B4944:B$2,-1+SUMPRODUCT(MAX(ROW(E4944:E$2)*(E4945=E4944:E$2)))))</f>
        <v> </v>
      </c>
      <c r="J4945" s="25" t="str">
        <f>IF(OR(E4945="",E4945="!!!",F4945="NEW"),"",COUNTBLANK(OFFSET(A$1,,,SUMPRODUCT(MAX(ROW(E$2:E4945)*(E4945=E$2:E4945)))))-COUNTBLANK(OFFSET(A$1,,,SUMPRODUCT(MAX(ROW(E$1:E4944)*(E2=E$1:E4944))))))</f>
        <v> </v>
      </c>
      <c r="K4945" s="25" t="str">
        <f>IF(OR(E4945="",E4945="!!!",F4945="NEW"),"",INDEX(J$1:J4944,SUMPRODUCT(MAX(ROW(E$1:E4944)*(E4945=E$1:E4944)))))</f>
        <v> </v>
      </c>
      <c r="L4945" s="26"/>
    </row>
    <row r="4946" spans="1:12">
      <c r="A4946" s="20" t="s">
        <v>1004</v>
      </c>
      <c r="E4946" s="21">
        <f>IF(D4946="?OLD","!!!","")</f>
        <v/>
      </c>
      <c r="F4946" s="22" t="str">
        <f>IF(OR(E4946="",E4946="!!!"),"",IF(NOT(ISNA(VLOOKUP(E4946,E$1:E4945,1,FALSE()))),"OLD",IF(AND(E4946&lt;&gt;"",E4946&lt;&gt;"!!!"),"NEW","")))</f>
        <v> </v>
      </c>
      <c r="G4946" s="23" t="str">
        <f>IF(OR(E4946="",E4946="!!!"),"",IF(OR(J4946=0,AND(J4946=1,K4946=1),AND(J4946=1,I4946="SBJ"),AND(J4946=1,I4946=0)),"?IN_FOCUS",IF(J4946&lt;=2,"?ACTIVATED",IF(J4946&lt;&gt;"","?FAMILIAR",IF(F4946="NEW",IF(ISNA(VLOOKUP(E4946,#REF!,1,FALSE())),"?TYPE_IDENTIFIABLE","?REFERENTIAL"),"_")))))</f>
        <v> </v>
      </c>
      <c r="H4946" s="24" t="str">
        <f>IF(J4946&lt;&gt;1,"",IF(I4946="SBJ","CB","?"))</f>
        <v> </v>
      </c>
      <c r="I4946" s="25" t="str">
        <f>IF(OR(E4946="",E4946="!!!",F4946="NEW"),"",INDEX(B4945:B$2,-1+SUMPRODUCT(MAX(ROW(E4945:E$2)*(E4946=E4945:E$2)))))</f>
        <v> </v>
      </c>
      <c r="J4946" s="25" t="str">
        <f>IF(OR(E4946="",E4946="!!!",F4946="NEW"),"",COUNTBLANK(OFFSET(A$1,,,SUMPRODUCT(MAX(ROW(E$2:E4946)*(E4946=E$2:E4946)))))-COUNTBLANK(OFFSET(A$1,,,SUMPRODUCT(MAX(ROW(E$1:E4945)*(E2=E$1:E4945))))))</f>
        <v> </v>
      </c>
      <c r="K4946" s="25" t="str">
        <f>IF(OR(E4946="",E4946="!!!",F4946="NEW"),"",INDEX(J$1:J4945,SUMPRODUCT(MAX(ROW(E$1:E4945)*(E4946=E$1:E4945)))))</f>
        <v> </v>
      </c>
      <c r="L4946" s="26"/>
    </row>
    <row r="4947" spans="1:12">
      <c r="A4947" s="20" t="s">
        <v>1752</v>
      </c>
      <c r="E4947" s="21">
        <f>IF(D4947="?OLD","!!!","")</f>
        <v/>
      </c>
      <c r="F4947" s="22" t="str">
        <f>IF(OR(E4947="",E4947="!!!"),"",IF(NOT(ISNA(VLOOKUP(E4947,E$1:E4946,1,FALSE()))),"OLD",IF(AND(E4947&lt;&gt;"",E4947&lt;&gt;"!!!"),"NEW","")))</f>
        <v> </v>
      </c>
      <c r="G4947" s="23" t="str">
        <f>IF(OR(E4947="",E4947="!!!"),"",IF(OR(J4947=0,AND(J4947=1,K4947=1),AND(J4947=1,I4947="SBJ"),AND(J4947=1,I4947=0)),"?IN_FOCUS",IF(J4947&lt;=2,"?ACTIVATED",IF(J4947&lt;&gt;"","?FAMILIAR",IF(F4947="NEW",IF(ISNA(VLOOKUP(E4947,#REF!,1,FALSE())),"?TYPE_IDENTIFIABLE","?REFERENTIAL"),"_")))))</f>
        <v> </v>
      </c>
      <c r="H4947" s="24" t="str">
        <f>IF(J4947&lt;&gt;1,"",IF(I4947="SBJ","CB","?"))</f>
        <v> </v>
      </c>
      <c r="I4947" s="25" t="str">
        <f>IF(OR(E4947="",E4947="!!!",F4947="NEW"),"",INDEX(B4946:B$2,-1+SUMPRODUCT(MAX(ROW(E4946:E$2)*(E4947=E4946:E$2)))))</f>
        <v> </v>
      </c>
      <c r="J4947" s="25" t="str">
        <f>IF(OR(E4947="",E4947="!!!",F4947="NEW"),"",COUNTBLANK(OFFSET(A$1,,,SUMPRODUCT(MAX(ROW(E$2:E4947)*(E4947=E$2:E4947)))))-COUNTBLANK(OFFSET(A$1,,,SUMPRODUCT(MAX(ROW(E$1:E4946)*(E2=E$1:E4946))))))</f>
        <v> </v>
      </c>
      <c r="K4947" s="25" t="str">
        <f>IF(OR(E4947="",E4947="!!!",F4947="NEW"),"",INDEX(J$1:J4946,SUMPRODUCT(MAX(ROW(E$1:E4946)*(E4947=E$1:E4946)))))</f>
        <v> </v>
      </c>
      <c r="L4947" s="26"/>
    </row>
    <row r="4948" spans="1:12">
      <c r="A4948" s="20" t="s">
        <v>785</v>
      </c>
      <c r="E4948" s="21">
        <f>IF(D4948="?OLD","!!!","")</f>
        <v/>
      </c>
      <c r="F4948" s="22" t="str">
        <f>IF(OR(E4948="",E4948="!!!"),"",IF(NOT(ISNA(VLOOKUP(E4948,E$1:E4947,1,FALSE()))),"OLD",IF(AND(E4948&lt;&gt;"",E4948&lt;&gt;"!!!"),"NEW","")))</f>
        <v> </v>
      </c>
      <c r="G4948" s="23" t="str">
        <f>IF(OR(E4948="",E4948="!!!"),"",IF(OR(J4948=0,AND(J4948=1,K4948=1),AND(J4948=1,I4948="SBJ"),AND(J4948=1,I4948=0)),"?IN_FOCUS",IF(J4948&lt;=2,"?ACTIVATED",IF(J4948&lt;&gt;"","?FAMILIAR",IF(F4948="NEW",IF(ISNA(VLOOKUP(E4948,#REF!,1,FALSE())),"?TYPE_IDENTIFIABLE","?REFERENTIAL"),"_")))))</f>
        <v> </v>
      </c>
      <c r="H4948" s="24" t="str">
        <f>IF(J4948&lt;&gt;1,"",IF(I4948="SBJ","CB","?"))</f>
        <v> </v>
      </c>
      <c r="I4948" s="25" t="str">
        <f>IF(OR(E4948="",E4948="!!!",F4948="NEW"),"",INDEX(B4947:B$2,-1+SUMPRODUCT(MAX(ROW(E4947:E$2)*(E4948=E4947:E$2)))))</f>
        <v> </v>
      </c>
      <c r="J4948" s="25" t="str">
        <f>IF(OR(E4948="",E4948="!!!",F4948="NEW"),"",COUNTBLANK(OFFSET(A$1,,,SUMPRODUCT(MAX(ROW(E$2:E4948)*(E4948=E$2:E4948)))))-COUNTBLANK(OFFSET(A$1,,,SUMPRODUCT(MAX(ROW(E$1:E4947)*(E2=E$1:E4947))))))</f>
        <v> </v>
      </c>
      <c r="K4948" s="25" t="str">
        <f>IF(OR(E4948="",E4948="!!!",F4948="NEW"),"",INDEX(J$1:J4947,SUMPRODUCT(MAX(ROW(E$1:E4947)*(E4948=E$1:E4947)))))</f>
        <v> </v>
      </c>
      <c r="L4948" s="26"/>
    </row>
    <row r="4949" spans="1:12">
      <c r="A4949" s="20" t="s">
        <v>822</v>
      </c>
      <c r="E4949" s="21">
        <f>IF(D4949="?OLD","!!!","")</f>
        <v/>
      </c>
      <c r="F4949" s="22" t="str">
        <f>IF(OR(E4949="",E4949="!!!"),"",IF(NOT(ISNA(VLOOKUP(E4949,E$1:E4948,1,FALSE()))),"OLD",IF(AND(E4949&lt;&gt;"",E4949&lt;&gt;"!!!"),"NEW","")))</f>
        <v> </v>
      </c>
      <c r="G4949" s="23" t="str">
        <f>IF(OR(E4949="",E4949="!!!"),"",IF(OR(J4949=0,AND(J4949=1,K4949=1),AND(J4949=1,I4949="SBJ"),AND(J4949=1,I4949=0)),"?IN_FOCUS",IF(J4949&lt;=2,"?ACTIVATED",IF(J4949&lt;&gt;"","?FAMILIAR",IF(F4949="NEW",IF(ISNA(VLOOKUP(E4949,#REF!,1,FALSE())),"?TYPE_IDENTIFIABLE","?REFERENTIAL"),"_")))))</f>
        <v> </v>
      </c>
      <c r="H4949" s="24" t="str">
        <f>IF(J4949&lt;&gt;1,"",IF(I4949="SBJ","CB","?"))</f>
        <v> </v>
      </c>
      <c r="I4949" s="25" t="str">
        <f>IF(OR(E4949="",E4949="!!!",F4949="NEW"),"",INDEX(B4948:B$2,-1+SUMPRODUCT(MAX(ROW(E4948:E$2)*(E4949=E4948:E$2)))))</f>
        <v> </v>
      </c>
      <c r="J4949" s="25" t="str">
        <f>IF(OR(E4949="",E4949="!!!",F4949="NEW"),"",COUNTBLANK(OFFSET(A$1,,,SUMPRODUCT(MAX(ROW(E$2:E4949)*(E4949=E$2:E4949)))))-COUNTBLANK(OFFSET(A$1,,,SUMPRODUCT(MAX(ROW(E$1:E4948)*(E2=E$1:E4948))))))</f>
        <v> </v>
      </c>
      <c r="K4949" s="25" t="str">
        <f>IF(OR(E4949="",E4949="!!!",F4949="NEW"),"",INDEX(J$1:J4948,SUMPRODUCT(MAX(ROW(E$1:E4948)*(E4949=E$1:E4948)))))</f>
        <v> </v>
      </c>
      <c r="L4949" s="26"/>
    </row>
    <row r="4950" spans="1:12">
      <c r="A4950" s="20" t="s">
        <v>2055</v>
      </c>
      <c r="B4950" s="27" t="s">
        <v>772</v>
      </c>
      <c r="C4950" s="27" t="s">
        <v>761</v>
      </c>
      <c r="D4950" s="27" t="s">
        <v>762</v>
      </c>
      <c r="E4950" s="21">
        <f>IF(D4950="?OLD","!!!","")</f>
        <v/>
      </c>
      <c r="F4950" s="22" t="str">
        <f>IF(OR(E4950="",E4950="!!!"),"",IF(NOT(ISNA(VLOOKUP(E4950,E$1:E4949,1,FALSE()))),"OLD",IF(AND(E4950&lt;&gt;"",E4950&lt;&gt;"!!!"),"NEW","")))</f>
        <v> </v>
      </c>
      <c r="G4950" s="23" t="str">
        <f>IF(OR(E4950="",E4950="!!!"),"",IF(OR(J4950=0,AND(J4950=1,K4950=1),AND(J4950=1,I4950="SBJ"),AND(J4950=1,I4950=0)),"?IN_FOCUS",IF(J4950&lt;=2,"?ACTIVATED",IF(J4950&lt;&gt;"","?FAMILIAR",IF(F4950="NEW",IF(ISNA(VLOOKUP(E4950,#REF!,1,FALSE())),"?TYPE_IDENTIFIABLE","?REFERENTIAL"),"_")))))</f>
        <v> </v>
      </c>
      <c r="H4950" s="24" t="str">
        <f>IF(J4950&lt;&gt;1,"",IF(I4950="SBJ","CB","?"))</f>
        <v> </v>
      </c>
      <c r="I4950" s="25" t="str">
        <f>IF(OR(E4950="",E4950="!!!",F4950="NEW"),"",INDEX(B4949:B$2,-1+SUMPRODUCT(MAX(ROW(E4949:E$2)*(E4950=E4949:E$2)))))</f>
        <v> </v>
      </c>
      <c r="J4950" s="25" t="str">
        <f>IF(OR(E4950="",E4950="!!!",F4950="NEW"),"",COUNTBLANK(OFFSET(A$1,,,SUMPRODUCT(MAX(ROW(E$2:E4950)*(E4950=E$2:E4950)))))-COUNTBLANK(OFFSET(A$1,,,SUMPRODUCT(MAX(ROW(E$1:E4949)*(E2=E$1:E4949))))))</f>
        <v> </v>
      </c>
      <c r="K4950" s="25" t="str">
        <f>IF(OR(E4950="",E4950="!!!",F4950="NEW"),"",INDEX(J$1:J4949,SUMPRODUCT(MAX(ROW(E$1:E4949)*(E4950=E$1:E4949)))))</f>
        <v> </v>
      </c>
      <c r="L4950" s="26"/>
    </row>
    <row r="4951" spans="1:12">
      <c r="A4951" s="20" t="s">
        <v>785</v>
      </c>
      <c r="E4951" s="21">
        <f>IF(D4951="?OLD","!!!","")</f>
        <v/>
      </c>
      <c r="F4951" s="22" t="str">
        <f>IF(OR(E4951="",E4951="!!!"),"",IF(NOT(ISNA(VLOOKUP(E4951,E$1:E4950,1,FALSE()))),"OLD",IF(AND(E4951&lt;&gt;"",E4951&lt;&gt;"!!!"),"NEW","")))</f>
        <v> </v>
      </c>
      <c r="G4951" s="23" t="str">
        <f>IF(OR(E4951="",E4951="!!!"),"",IF(OR(J4951=0,AND(J4951=1,K4951=1),AND(J4951=1,I4951="SBJ"),AND(J4951=1,I4951=0)),"?IN_FOCUS",IF(J4951&lt;=2,"?ACTIVATED",IF(J4951&lt;&gt;"","?FAMILIAR",IF(F4951="NEW",IF(ISNA(VLOOKUP(E4951,#REF!,1,FALSE())),"?TYPE_IDENTIFIABLE","?REFERENTIAL"),"_")))))</f>
        <v> </v>
      </c>
      <c r="H4951" s="24" t="str">
        <f>IF(J4951&lt;&gt;1,"",IF(I4951="SBJ","CB","?"))</f>
        <v> </v>
      </c>
      <c r="I4951" s="25" t="str">
        <f>IF(OR(E4951="",E4951="!!!",F4951="NEW"),"",INDEX(B4950:B$2,-1+SUMPRODUCT(MAX(ROW(E4950:E$2)*(E4951=E4950:E$2)))))</f>
        <v> </v>
      </c>
      <c r="J4951" s="25" t="str">
        <f>IF(OR(E4951="",E4951="!!!",F4951="NEW"),"",COUNTBLANK(OFFSET(A$1,,,SUMPRODUCT(MAX(ROW(E$2:E4951)*(E4951=E$2:E4951)))))-COUNTBLANK(OFFSET(A$1,,,SUMPRODUCT(MAX(ROW(E$1:E4950)*(E2=E$1:E4950))))))</f>
        <v> </v>
      </c>
      <c r="K4951" s="25" t="str">
        <f>IF(OR(E4951="",E4951="!!!",F4951="NEW"),"",INDEX(J$1:J4950,SUMPRODUCT(MAX(ROW(E$1:E4950)*(E4951=E$1:E4950)))))</f>
        <v> </v>
      </c>
      <c r="L4951" s="26"/>
    </row>
    <row r="4952" spans="1:12">
      <c r="A4952" s="20" t="s">
        <v>822</v>
      </c>
      <c r="E4952" s="21">
        <f>IF(D4952="?OLD","!!!","")</f>
        <v/>
      </c>
      <c r="F4952" s="22" t="str">
        <f>IF(OR(E4952="",E4952="!!!"),"",IF(NOT(ISNA(VLOOKUP(E4952,E$1:E4951,1,FALSE()))),"OLD",IF(AND(E4952&lt;&gt;"",E4952&lt;&gt;"!!!"),"NEW","")))</f>
        <v> </v>
      </c>
      <c r="G4952" s="23" t="str">
        <f>IF(OR(E4952="",E4952="!!!"),"",IF(OR(J4952=0,AND(J4952=1,K4952=1),AND(J4952=1,I4952="SBJ"),AND(J4952=1,I4952=0)),"?IN_FOCUS",IF(J4952&lt;=2,"?ACTIVATED",IF(J4952&lt;&gt;"","?FAMILIAR",IF(F4952="NEW",IF(ISNA(VLOOKUP(E4952,#REF!,1,FALSE())),"?TYPE_IDENTIFIABLE","?REFERENTIAL"),"_")))))</f>
        <v> </v>
      </c>
      <c r="H4952" s="24" t="str">
        <f>IF(J4952&lt;&gt;1,"",IF(I4952="SBJ","CB","?"))</f>
        <v> </v>
      </c>
      <c r="I4952" s="25" t="str">
        <f>IF(OR(E4952="",E4952="!!!",F4952="NEW"),"",INDEX(B4951:B$2,-1+SUMPRODUCT(MAX(ROW(E4951:E$2)*(E4952=E4951:E$2)))))</f>
        <v> </v>
      </c>
      <c r="J4952" s="25" t="str">
        <f>IF(OR(E4952="",E4952="!!!",F4952="NEW"),"",COUNTBLANK(OFFSET(A$1,,,SUMPRODUCT(MAX(ROW(E$2:E4952)*(E4952=E$2:E4952)))))-COUNTBLANK(OFFSET(A$1,,,SUMPRODUCT(MAX(ROW(E$1:E4951)*(E2=E$1:E4951))))))</f>
        <v> </v>
      </c>
      <c r="K4952" s="25" t="str">
        <f>IF(OR(E4952="",E4952="!!!",F4952="NEW"),"",INDEX(J$1:J4951,SUMPRODUCT(MAX(ROW(E$1:E4951)*(E4952=E$1:E4951)))))</f>
        <v> </v>
      </c>
      <c r="L4952" s="26"/>
    </row>
    <row r="4953" spans="1:12">
      <c r="A4953" s="20" t="s">
        <v>1600</v>
      </c>
      <c r="B4953" s="27" t="s">
        <v>772</v>
      </c>
      <c r="C4953" s="27" t="s">
        <v>761</v>
      </c>
      <c r="D4953" s="27" t="s">
        <v>762</v>
      </c>
      <c r="E4953" s="21">
        <f>IF(D4953="?OLD","!!!","")</f>
        <v/>
      </c>
      <c r="F4953" s="22" t="str">
        <f>IF(OR(E4953="",E4953="!!!"),"",IF(NOT(ISNA(VLOOKUP(E4953,E$1:E4952,1,FALSE()))),"OLD",IF(AND(E4953&lt;&gt;"",E4953&lt;&gt;"!!!"),"NEW","")))</f>
        <v> </v>
      </c>
      <c r="G4953" s="23" t="str">
        <f>IF(OR(E4953="",E4953="!!!"),"",IF(OR(J4953=0,AND(J4953=1,K4953=1),AND(J4953=1,I4953="SBJ"),AND(J4953=1,I4953=0)),"?IN_FOCUS",IF(J4953&lt;=2,"?ACTIVATED",IF(J4953&lt;&gt;"","?FAMILIAR",IF(F4953="NEW",IF(ISNA(VLOOKUP(E4953,#REF!,1,FALSE())),"?TYPE_IDENTIFIABLE","?REFERENTIAL"),"_")))))</f>
        <v> </v>
      </c>
      <c r="H4953" s="24" t="str">
        <f>IF(J4953&lt;&gt;1,"",IF(I4953="SBJ","CB","?"))</f>
        <v> </v>
      </c>
      <c r="I4953" s="25" t="str">
        <f>IF(OR(E4953="",E4953="!!!",F4953="NEW"),"",INDEX(B4952:B$2,-1+SUMPRODUCT(MAX(ROW(E4952:E$2)*(E4953=E4952:E$2)))))</f>
        <v> </v>
      </c>
      <c r="J4953" s="25" t="str">
        <f>IF(OR(E4953="",E4953="!!!",F4953="NEW"),"",COUNTBLANK(OFFSET(A$1,,,SUMPRODUCT(MAX(ROW(E$2:E4953)*(E4953=E$2:E4953)))))-COUNTBLANK(OFFSET(A$1,,,SUMPRODUCT(MAX(ROW(E$1:E4952)*(E2=E$1:E4952))))))</f>
        <v> </v>
      </c>
      <c r="K4953" s="25" t="str">
        <f>IF(OR(E4953="",E4953="!!!",F4953="NEW"),"",INDEX(J$1:J4952,SUMPRODUCT(MAX(ROW(E$1:E4952)*(E4953=E$1:E4952)))))</f>
        <v> </v>
      </c>
      <c r="L4953" s="26"/>
    </row>
    <row r="4954" spans="1:12">
      <c r="A4954" s="20" t="s">
        <v>1050</v>
      </c>
      <c r="E4954" s="21">
        <f>IF(D4954="?OLD","!!!","")</f>
        <v/>
      </c>
      <c r="F4954" s="22" t="str">
        <f>IF(OR(E4954="",E4954="!!!"),"",IF(NOT(ISNA(VLOOKUP(E4954,E$1:E4953,1,FALSE()))),"OLD",IF(AND(E4954&lt;&gt;"",E4954&lt;&gt;"!!!"),"NEW","")))</f>
        <v> </v>
      </c>
      <c r="G4954" s="23" t="str">
        <f>IF(OR(E4954="",E4954="!!!"),"",IF(OR(J4954=0,AND(J4954=1,K4954=1),AND(J4954=1,I4954="SBJ"),AND(J4954=1,I4954=0)),"?IN_FOCUS",IF(J4954&lt;=2,"?ACTIVATED",IF(J4954&lt;&gt;"","?FAMILIAR",IF(F4954="NEW",IF(ISNA(VLOOKUP(E4954,#REF!,1,FALSE())),"?TYPE_IDENTIFIABLE","?REFERENTIAL"),"_")))))</f>
        <v> </v>
      </c>
      <c r="H4954" s="24" t="str">
        <f>IF(J4954&lt;&gt;1,"",IF(I4954="SBJ","CB","?"))</f>
        <v> </v>
      </c>
      <c r="I4954" s="25" t="str">
        <f>IF(OR(E4954="",E4954="!!!",F4954="NEW"),"",INDEX(B4953:B$2,-1+SUMPRODUCT(MAX(ROW(E4953:E$2)*(E4954=E4953:E$2)))))</f>
        <v> </v>
      </c>
      <c r="J4954" s="25" t="str">
        <f>IF(OR(E4954="",E4954="!!!",F4954="NEW"),"",COUNTBLANK(OFFSET(A$1,,,SUMPRODUCT(MAX(ROW(E$2:E4954)*(E4954=E$2:E4954)))))-COUNTBLANK(OFFSET(A$1,,,SUMPRODUCT(MAX(ROW(E$1:E4953)*(E2=E$1:E4953))))))</f>
        <v> </v>
      </c>
      <c r="K4954" s="25" t="str">
        <f>IF(OR(E4954="",E4954="!!!",F4954="NEW"),"",INDEX(J$1:J4953,SUMPRODUCT(MAX(ROW(E$1:E4953)*(E4954=E$1:E4953)))))</f>
        <v> </v>
      </c>
      <c r="L4954" s="26"/>
    </row>
    <row r="4955" spans="1:12">
      <c r="A4955" s="20" t="s">
        <v>827</v>
      </c>
      <c r="B4955" s="27" t="s">
        <v>941</v>
      </c>
      <c r="C4955" s="27" t="s">
        <v>797</v>
      </c>
      <c r="D4955" s="27" t="s">
        <v>762</v>
      </c>
      <c r="E4955" s="21">
        <f>IF(D4955="?OLD","!!!","")</f>
        <v/>
      </c>
      <c r="F4955" s="22" t="str">
        <f>IF(OR(E4955="",E4955="!!!"),"",IF(NOT(ISNA(VLOOKUP(E4955,E$1:E4954,1,FALSE()))),"OLD",IF(AND(E4955&lt;&gt;"",E4955&lt;&gt;"!!!"),"NEW","")))</f>
        <v> </v>
      </c>
      <c r="G4955" s="23" t="str">
        <f>IF(OR(E4955="",E4955="!!!"),"",IF(OR(J4955=0,AND(J4955=1,K4955=1),AND(J4955=1,I4955="SBJ"),AND(J4955=1,I4955=0)),"?IN_FOCUS",IF(J4955&lt;=2,"?ACTIVATED",IF(J4955&lt;&gt;"","?FAMILIAR",IF(F4955="NEW",IF(ISNA(VLOOKUP(E4955,#REF!,1,FALSE())),"?TYPE_IDENTIFIABLE","?REFERENTIAL"),"_")))))</f>
        <v> </v>
      </c>
      <c r="H4955" s="24" t="str">
        <f>IF(J4955&lt;&gt;1,"",IF(I4955="SBJ","CB","?"))</f>
        <v> </v>
      </c>
      <c r="I4955" s="25" t="str">
        <f>IF(OR(E4955="",E4955="!!!",F4955="NEW"),"",INDEX(B4954:B$2,-1+SUMPRODUCT(MAX(ROW(E4954:E$2)*(E4955=E4954:E$2)))))</f>
        <v> </v>
      </c>
      <c r="J4955" s="25" t="str">
        <f>IF(OR(E4955="",E4955="!!!",F4955="NEW"),"",COUNTBLANK(OFFSET(A$1,,,SUMPRODUCT(MAX(ROW(E$2:E4955)*(E4955=E$2:E4955)))))-COUNTBLANK(OFFSET(A$1,,,SUMPRODUCT(MAX(ROW(E$1:E4954)*(E2=E$1:E4954))))))</f>
        <v> </v>
      </c>
      <c r="K4955" s="25" t="str">
        <f>IF(OR(E4955="",E4955="!!!",F4955="NEW"),"",INDEX(J$1:J4954,SUMPRODUCT(MAX(ROW(E$1:E4954)*(E4955=E$1:E4954)))))</f>
        <v> </v>
      </c>
      <c r="L4955" s="26"/>
    </row>
    <row r="4956" spans="1:12">
      <c r="A4956" s="20" t="s">
        <v>909</v>
      </c>
      <c r="E4956" s="21">
        <f>IF(D4956="?OLD","!!!","")</f>
        <v/>
      </c>
      <c r="F4956" s="22" t="str">
        <f>IF(OR(E4956="",E4956="!!!"),"",IF(NOT(ISNA(VLOOKUP(E4956,E$1:E4955,1,FALSE()))),"OLD",IF(AND(E4956&lt;&gt;"",E4956&lt;&gt;"!!!"),"NEW","")))</f>
        <v> </v>
      </c>
      <c r="G4956" s="23" t="str">
        <f>IF(OR(E4956="",E4956="!!!"),"",IF(OR(J4956=0,AND(J4956=1,K4956=1),AND(J4956=1,I4956="SBJ"),AND(J4956=1,I4956=0)),"?IN_FOCUS",IF(J4956&lt;=2,"?ACTIVATED",IF(J4956&lt;&gt;"","?FAMILIAR",IF(F4956="NEW",IF(ISNA(VLOOKUP(E4956,#REF!,1,FALSE())),"?TYPE_IDENTIFIABLE","?REFERENTIAL"),"_")))))</f>
        <v> </v>
      </c>
      <c r="H4956" s="24" t="str">
        <f>IF(J4956&lt;&gt;1,"",IF(I4956="SBJ","CB","?"))</f>
        <v> </v>
      </c>
      <c r="I4956" s="25" t="str">
        <f>IF(OR(E4956="",E4956="!!!",F4956="NEW"),"",INDEX(B4955:B$2,-1+SUMPRODUCT(MAX(ROW(E4955:E$2)*(E4956=E4955:E$2)))))</f>
        <v> </v>
      </c>
      <c r="J4956" s="25" t="str">
        <f>IF(OR(E4956="",E4956="!!!",F4956="NEW"),"",COUNTBLANK(OFFSET(A$1,,,SUMPRODUCT(MAX(ROW(E$2:E4956)*(E4956=E$2:E4956)))))-COUNTBLANK(OFFSET(A$1,,,SUMPRODUCT(MAX(ROW(E$1:E4955)*(E2=E$1:E4955))))))</f>
        <v> </v>
      </c>
      <c r="K4956" s="25" t="str">
        <f>IF(OR(E4956="",E4956="!!!",F4956="NEW"),"",INDEX(J$1:J4955,SUMPRODUCT(MAX(ROW(E$1:E4955)*(E4956=E$1:E4955)))))</f>
        <v> </v>
      </c>
      <c r="L4956" s="26"/>
    </row>
    <row r="4957" spans="1:12">
      <c r="A4957" s="20" t="s">
        <v>2056</v>
      </c>
      <c r="E4957" s="21">
        <f>IF(D4957="?OLD","!!!","")</f>
        <v/>
      </c>
      <c r="F4957" s="22" t="str">
        <f>IF(OR(E4957="",E4957="!!!"),"",IF(NOT(ISNA(VLOOKUP(E4957,E$1:E4956,1,FALSE()))),"OLD",IF(AND(E4957&lt;&gt;"",E4957&lt;&gt;"!!!"),"NEW","")))</f>
        <v> </v>
      </c>
      <c r="G4957" s="23" t="str">
        <f>IF(OR(E4957="",E4957="!!!"),"",IF(OR(J4957=0,AND(J4957=1,K4957=1),AND(J4957=1,I4957="SBJ"),AND(J4957=1,I4957=0)),"?IN_FOCUS",IF(J4957&lt;=2,"?ACTIVATED",IF(J4957&lt;&gt;"","?FAMILIAR",IF(F4957="NEW",IF(ISNA(VLOOKUP(E4957,#REF!,1,FALSE())),"?TYPE_IDENTIFIABLE","?REFERENTIAL"),"_")))))</f>
        <v> </v>
      </c>
      <c r="H4957" s="24" t="str">
        <f>IF(J4957&lt;&gt;1,"",IF(I4957="SBJ","CB","?"))</f>
        <v> </v>
      </c>
      <c r="I4957" s="25" t="str">
        <f>IF(OR(E4957="",E4957="!!!",F4957="NEW"),"",INDEX(B4956:B$2,-1+SUMPRODUCT(MAX(ROW(E4956:E$2)*(E4957=E4956:E$2)))))</f>
        <v> </v>
      </c>
      <c r="J4957" s="25" t="str">
        <f>IF(OR(E4957="",E4957="!!!",F4957="NEW"),"",COUNTBLANK(OFFSET(A$1,,,SUMPRODUCT(MAX(ROW(E$2:E4957)*(E4957=E$2:E4957)))))-COUNTBLANK(OFFSET(A$1,,,SUMPRODUCT(MAX(ROW(E$1:E4956)*(E2=E$1:E4956))))))</f>
        <v> </v>
      </c>
      <c r="K4957" s="25" t="str">
        <f>IF(OR(E4957="",E4957="!!!",F4957="NEW"),"",INDEX(J$1:J4956,SUMPRODUCT(MAX(ROW(E$1:E4956)*(E4957=E$1:E4956)))))</f>
        <v> </v>
      </c>
      <c r="L4957" s="26"/>
    </row>
    <row r="4958" spans="1:12">
      <c r="A4958" s="20" t="s">
        <v>770</v>
      </c>
      <c r="E4958" s="21">
        <f>IF(D4958="?OLD","!!!","")</f>
        <v/>
      </c>
      <c r="F4958" s="22" t="str">
        <f>IF(OR(E4958="",E4958="!!!"),"",IF(NOT(ISNA(VLOOKUP(E4958,E$1:E4957,1,FALSE()))),"OLD",IF(AND(E4958&lt;&gt;"",E4958&lt;&gt;"!!!"),"NEW","")))</f>
        <v> </v>
      </c>
      <c r="G4958" s="23" t="str">
        <f>IF(OR(E4958="",E4958="!!!"),"",IF(OR(J4958=0,AND(J4958=1,K4958=1),AND(J4958=1,I4958="SBJ"),AND(J4958=1,I4958=0)),"?IN_FOCUS",IF(J4958&lt;=2,"?ACTIVATED",IF(J4958&lt;&gt;"","?FAMILIAR",IF(F4958="NEW",IF(ISNA(VLOOKUP(E4958,#REF!,1,FALSE())),"?TYPE_IDENTIFIABLE","?REFERENTIAL"),"_")))))</f>
        <v> </v>
      </c>
      <c r="H4958" s="24" t="str">
        <f>IF(J4958&lt;&gt;1,"",IF(I4958="SBJ","CB","?"))</f>
        <v> </v>
      </c>
      <c r="I4958" s="25" t="str">
        <f>IF(OR(E4958="",E4958="!!!",F4958="NEW"),"",INDEX(B4957:B$2,-1+SUMPRODUCT(MAX(ROW(E4957:E$2)*(E4958=E4957:E$2)))))</f>
        <v> </v>
      </c>
      <c r="J4958" s="25" t="str">
        <f>IF(OR(E4958="",E4958="!!!",F4958="NEW"),"",COUNTBLANK(OFFSET(A$1,,,SUMPRODUCT(MAX(ROW(E$2:E4958)*(E4958=E$2:E4958)))))-COUNTBLANK(OFFSET(A$1,,,SUMPRODUCT(MAX(ROW(E$1:E4957)*(E2=E$1:E4957))))))</f>
        <v> </v>
      </c>
      <c r="K4958" s="25" t="str">
        <f>IF(OR(E4958="",E4958="!!!",F4958="NEW"),"",INDEX(J$1:J4957,SUMPRODUCT(MAX(ROW(E$1:E4957)*(E4958=E$1:E4957)))))</f>
        <v> </v>
      </c>
      <c r="L4958" s="26"/>
    </row>
    <row r="4959" spans="1:12">
      <c r="A4959" s="20" t="s">
        <v>2057</v>
      </c>
      <c r="B4959" s="27" t="s">
        <v>940</v>
      </c>
      <c r="C4959" s="27" t="s">
        <v>761</v>
      </c>
      <c r="D4959" s="27" t="s">
        <v>762</v>
      </c>
      <c r="E4959" s="21">
        <f>IF(D4959="?OLD","!!!","")</f>
        <v/>
      </c>
      <c r="F4959" s="22" t="str">
        <f>IF(OR(E4959="",E4959="!!!"),"",IF(NOT(ISNA(VLOOKUP(E4959,E$1:E4958,1,FALSE()))),"OLD",IF(AND(E4959&lt;&gt;"",E4959&lt;&gt;"!!!"),"NEW","")))</f>
        <v> </v>
      </c>
      <c r="G4959" s="23" t="str">
        <f>IF(OR(E4959="",E4959="!!!"),"",IF(OR(J4959=0,AND(J4959=1,K4959=1),AND(J4959=1,I4959="SBJ"),AND(J4959=1,I4959=0)),"?IN_FOCUS",IF(J4959&lt;=2,"?ACTIVATED",IF(J4959&lt;&gt;"","?FAMILIAR",IF(F4959="NEW",IF(ISNA(VLOOKUP(E4959,#REF!,1,FALSE())),"?TYPE_IDENTIFIABLE","?REFERENTIAL"),"_")))))</f>
        <v> </v>
      </c>
      <c r="H4959" s="24" t="str">
        <f>IF(J4959&lt;&gt;1,"",IF(I4959="SBJ","CB","?"))</f>
        <v> </v>
      </c>
      <c r="I4959" s="25" t="str">
        <f>IF(OR(E4959="",E4959="!!!",F4959="NEW"),"",INDEX(B4958:B$2,-1+SUMPRODUCT(MAX(ROW(E4958:E$2)*(E4959=E4958:E$2)))))</f>
        <v> </v>
      </c>
      <c r="J4959" s="25" t="str">
        <f>IF(OR(E4959="",E4959="!!!",F4959="NEW"),"",COUNTBLANK(OFFSET(A$1,,,SUMPRODUCT(MAX(ROW(E$2:E4959)*(E4959=E$2:E4959)))))-COUNTBLANK(OFFSET(A$1,,,SUMPRODUCT(MAX(ROW(E$1:E4958)*(E2=E$1:E4958))))))</f>
        <v> </v>
      </c>
      <c r="K4959" s="25" t="str">
        <f>IF(OR(E4959="",E4959="!!!",F4959="NEW"),"",INDEX(J$1:J4958,SUMPRODUCT(MAX(ROW(E$1:E4958)*(E4959=E$1:E4958)))))</f>
        <v> </v>
      </c>
      <c r="L4959" s="26"/>
    </row>
    <row r="4960" spans="1:12">
      <c r="A4960" s="20" t="s">
        <v>875</v>
      </c>
      <c r="E4960" s="21">
        <f>IF(D4960="?OLD","!!!","")</f>
        <v/>
      </c>
      <c r="F4960" s="22" t="str">
        <f>IF(OR(E4960="",E4960="!!!"),"",IF(NOT(ISNA(VLOOKUP(E4960,E$1:E4959,1,FALSE()))),"OLD",IF(AND(E4960&lt;&gt;"",E4960&lt;&gt;"!!!"),"NEW","")))</f>
        <v> </v>
      </c>
      <c r="G4960" s="23" t="str">
        <f>IF(OR(E4960="",E4960="!!!"),"",IF(OR(J4960=0,AND(J4960=1,K4960=1),AND(J4960=1,I4960="SBJ"),AND(J4960=1,I4960=0)),"?IN_FOCUS",IF(J4960&lt;=2,"?ACTIVATED",IF(J4960&lt;&gt;"","?FAMILIAR",IF(F4960="NEW",IF(ISNA(VLOOKUP(E4960,#REF!,1,FALSE())),"?TYPE_IDENTIFIABLE","?REFERENTIAL"),"_")))))</f>
        <v> </v>
      </c>
      <c r="H4960" s="24" t="str">
        <f>IF(J4960&lt;&gt;1,"",IF(I4960="SBJ","CB","?"))</f>
        <v> </v>
      </c>
      <c r="I4960" s="25" t="str">
        <f>IF(OR(E4960="",E4960="!!!",F4960="NEW"),"",INDEX(B4959:B$2,-1+SUMPRODUCT(MAX(ROW(E4959:E$2)*(E4960=E4959:E$2)))))</f>
        <v> </v>
      </c>
      <c r="J4960" s="25" t="str">
        <f>IF(OR(E4960="",E4960="!!!",F4960="NEW"),"",COUNTBLANK(OFFSET(A$1,,,SUMPRODUCT(MAX(ROW(E$2:E4960)*(E4960=E$2:E4960)))))-COUNTBLANK(OFFSET(A$1,,,SUMPRODUCT(MAX(ROW(E$1:E4959)*(E2=E$1:E4959))))))</f>
        <v> </v>
      </c>
      <c r="K4960" s="25" t="str">
        <f>IF(OR(E4960="",E4960="!!!",F4960="NEW"),"",INDEX(J$1:J4959,SUMPRODUCT(MAX(ROW(E$1:E4959)*(E4960=E$1:E4959)))))</f>
        <v> </v>
      </c>
      <c r="L4960" s="26"/>
    </row>
    <row r="4961" spans="1:12">
      <c r="A4961" s="20" t="s">
        <v>770</v>
      </c>
      <c r="E4961" s="21">
        <f>IF(D4961="?OLD","!!!","")</f>
        <v/>
      </c>
      <c r="F4961" s="22" t="str">
        <f>IF(OR(E4961="",E4961="!!!"),"",IF(NOT(ISNA(VLOOKUP(E4961,E$1:E4960,1,FALSE()))),"OLD",IF(AND(E4961&lt;&gt;"",E4961&lt;&gt;"!!!"),"NEW","")))</f>
        <v> </v>
      </c>
      <c r="G4961" s="23" t="str">
        <f>IF(OR(E4961="",E4961="!!!"),"",IF(OR(J4961=0,AND(J4961=1,K4961=1),AND(J4961=1,I4961="SBJ"),AND(J4961=1,I4961=0)),"?IN_FOCUS",IF(J4961&lt;=2,"?ACTIVATED",IF(J4961&lt;&gt;"","?FAMILIAR",IF(F4961="NEW",IF(ISNA(VLOOKUP(E4961,#REF!,1,FALSE())),"?TYPE_IDENTIFIABLE","?REFERENTIAL"),"_")))))</f>
        <v> </v>
      </c>
      <c r="H4961" s="24" t="str">
        <f>IF(J4961&lt;&gt;1,"",IF(I4961="SBJ","CB","?"))</f>
        <v> </v>
      </c>
      <c r="I4961" s="25" t="str">
        <f>IF(OR(E4961="",E4961="!!!",F4961="NEW"),"",INDEX(B4960:B$2,-1+SUMPRODUCT(MAX(ROW(E4960:E$2)*(E4961=E4960:E$2)))))</f>
        <v> </v>
      </c>
      <c r="J4961" s="25" t="str">
        <f>IF(OR(E4961="",E4961="!!!",F4961="NEW"),"",COUNTBLANK(OFFSET(A$1,,,SUMPRODUCT(MAX(ROW(E$2:E4961)*(E4961=E$2:E4961)))))-COUNTBLANK(OFFSET(A$1,,,SUMPRODUCT(MAX(ROW(E$1:E4960)*(E2=E$1:E4960))))))</f>
        <v> </v>
      </c>
      <c r="K4961" s="25" t="str">
        <f>IF(OR(E4961="",E4961="!!!",F4961="NEW"),"",INDEX(J$1:J4960,SUMPRODUCT(MAX(ROW(E$1:E4960)*(E4961=E$1:E4960)))))</f>
        <v> </v>
      </c>
      <c r="L4961" s="26"/>
    </row>
    <row r="4962" spans="1:12">
      <c r="A4962" s="20" t="s">
        <v>1578</v>
      </c>
      <c r="B4962" s="27" t="s">
        <v>901</v>
      </c>
      <c r="C4962" s="27" t="s">
        <v>761</v>
      </c>
      <c r="D4962" s="27" t="s">
        <v>762</v>
      </c>
      <c r="E4962" s="21">
        <f>IF(D4962="?OLD","!!!","")</f>
        <v/>
      </c>
      <c r="F4962" s="22" t="str">
        <f>IF(OR(E4962="",E4962="!!!"),"",IF(NOT(ISNA(VLOOKUP(E4962,E$1:E4961,1,FALSE()))),"OLD",IF(AND(E4962&lt;&gt;"",E4962&lt;&gt;"!!!"),"NEW","")))</f>
        <v> </v>
      </c>
      <c r="G4962" s="23" t="str">
        <f>IF(OR(E4962="",E4962="!!!"),"",IF(OR(J4962=0,AND(J4962=1,K4962=1),AND(J4962=1,I4962="SBJ"),AND(J4962=1,I4962=0)),"?IN_FOCUS",IF(J4962&lt;=2,"?ACTIVATED",IF(J4962&lt;&gt;"","?FAMILIAR",IF(F4962="NEW",IF(ISNA(VLOOKUP(E4962,#REF!,1,FALSE())),"?TYPE_IDENTIFIABLE","?REFERENTIAL"),"_")))))</f>
        <v> </v>
      </c>
      <c r="H4962" s="24" t="str">
        <f>IF(J4962&lt;&gt;1,"",IF(I4962="SBJ","CB","?"))</f>
        <v> </v>
      </c>
      <c r="I4962" s="25" t="str">
        <f>IF(OR(E4962="",E4962="!!!",F4962="NEW"),"",INDEX(B4961:B$2,-1+SUMPRODUCT(MAX(ROW(E4961:E$2)*(E4962=E4961:E$2)))))</f>
        <v> </v>
      </c>
      <c r="J4962" s="25" t="str">
        <f>IF(OR(E4962="",E4962="!!!",F4962="NEW"),"",COUNTBLANK(OFFSET(A$1,,,SUMPRODUCT(MAX(ROW(E$2:E4962)*(E4962=E$2:E4962)))))-COUNTBLANK(OFFSET(A$1,,,SUMPRODUCT(MAX(ROW(E$1:E4961)*(E2=E$1:E4961))))))</f>
        <v> </v>
      </c>
      <c r="K4962" s="25" t="str">
        <f>IF(OR(E4962="",E4962="!!!",F4962="NEW"),"",INDEX(J$1:J4961,SUMPRODUCT(MAX(ROW(E$1:E4961)*(E4962=E$1:E4961)))))</f>
        <v> </v>
      </c>
      <c r="L4962" s="26"/>
    </row>
    <row r="4963" spans="1:12">
      <c r="A4963" s="20" t="s">
        <v>774</v>
      </c>
      <c r="E4963" s="21">
        <f>IF(D4963="?OLD","!!!","")</f>
        <v/>
      </c>
      <c r="F4963" s="22" t="str">
        <f>IF(OR(E4963="",E4963="!!!"),"",IF(NOT(ISNA(VLOOKUP(E4963,E$1:E4962,1,FALSE()))),"OLD",IF(AND(E4963&lt;&gt;"",E4963&lt;&gt;"!!!"),"NEW","")))</f>
        <v> </v>
      </c>
      <c r="G4963" s="23" t="str">
        <f>IF(OR(E4963="",E4963="!!!"),"",IF(OR(J4963=0,AND(J4963=1,K4963=1),AND(J4963=1,I4963="SBJ"),AND(J4963=1,I4963=0)),"?IN_FOCUS",IF(J4963&lt;=2,"?ACTIVATED",IF(J4963&lt;&gt;"","?FAMILIAR",IF(F4963="NEW",IF(ISNA(VLOOKUP(E4963,#REF!,1,FALSE())),"?TYPE_IDENTIFIABLE","?REFERENTIAL"),"_")))))</f>
        <v> </v>
      </c>
      <c r="H4963" s="24" t="str">
        <f>IF(J4963&lt;&gt;1,"",IF(I4963="SBJ","CB","?"))</f>
        <v> </v>
      </c>
      <c r="I4963" s="25" t="str">
        <f>IF(OR(E4963="",E4963="!!!",F4963="NEW"),"",INDEX(B4962:B$2,-1+SUMPRODUCT(MAX(ROW(E4962:E$2)*(E4963=E4962:E$2)))))</f>
        <v> </v>
      </c>
      <c r="J4963" s="25" t="str">
        <f>IF(OR(E4963="",E4963="!!!",F4963="NEW"),"",COUNTBLANK(OFFSET(A$1,,,SUMPRODUCT(MAX(ROW(E$2:E4963)*(E4963=E$2:E4963)))))-COUNTBLANK(OFFSET(A$1,,,SUMPRODUCT(MAX(ROW(E$1:E4962)*(E2=E$1:E4962))))))</f>
        <v> </v>
      </c>
      <c r="K4963" s="25" t="str">
        <f>IF(OR(E4963="",E4963="!!!",F4963="NEW"),"",INDEX(J$1:J4962,SUMPRODUCT(MAX(ROW(E$1:E4962)*(E4963=E$1:E4962)))))</f>
        <v> </v>
      </c>
      <c r="L4963" s="26"/>
    </row>
    <row r="4964" spans="1:12">
      <c r="A4964" s="20"/>
    </row>
    <row r="4965" spans="1:12">
      <c r="A4965" s="20" t="s">
        <v>2058</v>
      </c>
    </row>
    <row r="4966" spans="1:12">
      <c r="A4966" s="20" t="s">
        <v>908</v>
      </c>
      <c r="E4966" s="21">
        <f>IF(D4966="?OLD","!!!","")</f>
        <v/>
      </c>
      <c r="F4966" s="22" t="str">
        <f>IF(OR(E4966="",E4966="!!!"),"",IF(NOT(ISNA(VLOOKUP(E4966,E$1:E4965,1,FALSE()))),"OLD",IF(AND(E4966&lt;&gt;"",E4966&lt;&gt;"!!!"),"NEW","")))</f>
        <v> </v>
      </c>
      <c r="G4966" s="23" t="str">
        <f>IF(OR(E4966="",E4966="!!!"),"",IF(OR(J4966=0,AND(J4966=1,K4966=1),AND(J4966=1,I4966="SBJ"),AND(J4966=1,I4966=0)),"?IN_FOCUS",IF(J4966&lt;=2,"?ACTIVATED",IF(J4966&lt;&gt;"","?FAMILIAR",IF(F4966="NEW",IF(ISNA(VLOOKUP(E4966,#REF!,1,FALSE())),"?TYPE_IDENTIFIABLE","?REFERENTIAL"),"_")))))</f>
        <v> </v>
      </c>
      <c r="H4966" s="24" t="str">
        <f>IF(J4966&lt;&gt;1,"",IF(I4966="SBJ","CB","?"))</f>
        <v> </v>
      </c>
      <c r="I4966" s="25" t="str">
        <f>IF(OR(E4966="",E4966="!!!",F4966="NEW"),"",INDEX(B4965:B$2,-1+SUMPRODUCT(MAX(ROW(E4965:E$2)*(E4966=E4965:E$2)))))</f>
        <v> </v>
      </c>
      <c r="J4966" s="25" t="str">
        <f>IF(OR(E4966="",E4966="!!!",F4966="NEW"),"",COUNTBLANK(OFFSET(A$1,,,SUMPRODUCT(MAX(ROW(E$2:E4966)*(E4966=E$2:E4966)))))-COUNTBLANK(OFFSET(A$1,,,SUMPRODUCT(MAX(ROW(E$1:E4965)*(E2=E$1:E4965))))))</f>
        <v> </v>
      </c>
      <c r="K4966" s="25" t="str">
        <f>IF(OR(E4966="",E4966="!!!",F4966="NEW"),"",INDEX(J$1:J4965,SUMPRODUCT(MAX(ROW(E$1:E4965)*(E4966=E$1:E4965)))))</f>
        <v> </v>
      </c>
      <c r="L4966" s="26"/>
    </row>
    <row r="4967" spans="1:12">
      <c r="A4967" s="20" t="s">
        <v>869</v>
      </c>
      <c r="B4967" s="27" t="s">
        <v>760</v>
      </c>
      <c r="C4967" s="27" t="s">
        <v>797</v>
      </c>
      <c r="D4967" s="27" t="s">
        <v>762</v>
      </c>
      <c r="E4967" s="21">
        <f>IF(D4967="?OLD","!!!","")</f>
        <v/>
      </c>
      <c r="F4967" s="22" t="str">
        <f>IF(OR(E4967="",E4967="!!!"),"",IF(NOT(ISNA(VLOOKUP(E4967,E$1:E4966,1,FALSE()))),"OLD",IF(AND(E4967&lt;&gt;"",E4967&lt;&gt;"!!!"),"NEW","")))</f>
        <v> </v>
      </c>
      <c r="G4967" s="23" t="str">
        <f>IF(OR(E4967="",E4967="!!!"),"",IF(OR(J4967=0,AND(J4967=1,K4967=1),AND(J4967=1,I4967="SBJ"),AND(J4967=1,I4967=0)),"?IN_FOCUS",IF(J4967&lt;=2,"?ACTIVATED",IF(J4967&lt;&gt;"","?FAMILIAR",IF(F4967="NEW",IF(ISNA(VLOOKUP(E4967,#REF!,1,FALSE())),"?TYPE_IDENTIFIABLE","?REFERENTIAL"),"_")))))</f>
        <v> </v>
      </c>
      <c r="H4967" s="24" t="str">
        <f>IF(J4967&lt;&gt;1,"",IF(I4967="SBJ","CB","?"))</f>
        <v> </v>
      </c>
      <c r="I4967" s="25" t="str">
        <f>IF(OR(E4967="",E4967="!!!",F4967="NEW"),"",INDEX(B4966:B$2,-1+SUMPRODUCT(MAX(ROW(E4966:E$2)*(E4967=E4966:E$2)))))</f>
        <v> </v>
      </c>
      <c r="J4967" s="25" t="str">
        <f>IF(OR(E4967="",E4967="!!!",F4967="NEW"),"",COUNTBLANK(OFFSET(A$1,,,SUMPRODUCT(MAX(ROW(E$2:E4967)*(E4967=E$2:E4967)))))-COUNTBLANK(OFFSET(A$1,,,SUMPRODUCT(MAX(ROW(E$1:E4966)*(E2=E$1:E4966))))))</f>
        <v> </v>
      </c>
      <c r="K4967" s="25" t="str">
        <f>IF(OR(E4967="",E4967="!!!",F4967="NEW"),"",INDEX(J$1:J4966,SUMPRODUCT(MAX(ROW(E$1:E4966)*(E4967=E$1:E4966)))))</f>
        <v> </v>
      </c>
      <c r="L4967" s="26"/>
    </row>
    <row r="4968" spans="1:12">
      <c r="A4968" s="20" t="s">
        <v>798</v>
      </c>
      <c r="E4968" s="21">
        <f>IF(D4968="?OLD","!!!","")</f>
        <v/>
      </c>
      <c r="F4968" s="22" t="str">
        <f>IF(OR(E4968="",E4968="!!!"),"",IF(NOT(ISNA(VLOOKUP(E4968,E$1:E4967,1,FALSE()))),"OLD",IF(AND(E4968&lt;&gt;"",E4968&lt;&gt;"!!!"),"NEW","")))</f>
        <v> </v>
      </c>
      <c r="G4968" s="23" t="str">
        <f>IF(OR(E4968="",E4968="!!!"),"",IF(OR(J4968=0,AND(J4968=1,K4968=1),AND(J4968=1,I4968="SBJ"),AND(J4968=1,I4968=0)),"?IN_FOCUS",IF(J4968&lt;=2,"?ACTIVATED",IF(J4968&lt;&gt;"","?FAMILIAR",IF(F4968="NEW",IF(ISNA(VLOOKUP(E4968,#REF!,1,FALSE())),"?TYPE_IDENTIFIABLE","?REFERENTIAL"),"_")))))</f>
        <v> </v>
      </c>
      <c r="H4968" s="24" t="str">
        <f>IF(J4968&lt;&gt;1,"",IF(I4968="SBJ","CB","?"))</f>
        <v> </v>
      </c>
      <c r="I4968" s="25" t="str">
        <f>IF(OR(E4968="",E4968="!!!",F4968="NEW"),"",INDEX(B4967:B$2,-1+SUMPRODUCT(MAX(ROW(E4967:E$2)*(E4968=E4967:E$2)))))</f>
        <v> </v>
      </c>
      <c r="J4968" s="25" t="str">
        <f>IF(OR(E4968="",E4968="!!!",F4968="NEW"),"",COUNTBLANK(OFFSET(A$1,,,SUMPRODUCT(MAX(ROW(E$2:E4968)*(E4968=E$2:E4968)))))-COUNTBLANK(OFFSET(A$1,,,SUMPRODUCT(MAX(ROW(E$1:E4967)*(E2=E$1:E4967))))))</f>
        <v> </v>
      </c>
      <c r="K4968" s="25" t="str">
        <f>IF(OR(E4968="",E4968="!!!",F4968="NEW"),"",INDEX(J$1:J4967,SUMPRODUCT(MAX(ROW(E$1:E4967)*(E4968=E$1:E4967)))))</f>
        <v> </v>
      </c>
      <c r="L4968" s="26"/>
    </row>
    <row r="4969" spans="1:12">
      <c r="A4969" s="20" t="s">
        <v>870</v>
      </c>
      <c r="E4969" s="21">
        <f>IF(D4969="?OLD","!!!","")</f>
        <v/>
      </c>
      <c r="F4969" s="22" t="str">
        <f>IF(OR(E4969="",E4969="!!!"),"",IF(NOT(ISNA(VLOOKUP(E4969,E$1:E4968,1,FALSE()))),"OLD",IF(AND(E4969&lt;&gt;"",E4969&lt;&gt;"!!!"),"NEW","")))</f>
        <v> </v>
      </c>
      <c r="G4969" s="23" t="str">
        <f>IF(OR(E4969="",E4969="!!!"),"",IF(OR(J4969=0,AND(J4969=1,K4969=1),AND(J4969=1,I4969="SBJ"),AND(J4969=1,I4969=0)),"?IN_FOCUS",IF(J4969&lt;=2,"?ACTIVATED",IF(J4969&lt;&gt;"","?FAMILIAR",IF(F4969="NEW",IF(ISNA(VLOOKUP(E4969,#REF!,1,FALSE())),"?TYPE_IDENTIFIABLE","?REFERENTIAL"),"_")))))</f>
        <v> </v>
      </c>
      <c r="H4969" s="24" t="str">
        <f>IF(J4969&lt;&gt;1,"",IF(I4969="SBJ","CB","?"))</f>
        <v> </v>
      </c>
      <c r="I4969" s="25" t="str">
        <f>IF(OR(E4969="",E4969="!!!",F4969="NEW"),"",INDEX(B4968:B$2,-1+SUMPRODUCT(MAX(ROW(E4968:E$2)*(E4969=E4968:E$2)))))</f>
        <v> </v>
      </c>
      <c r="J4969" s="25" t="str">
        <f>IF(OR(E4969="",E4969="!!!",F4969="NEW"),"",COUNTBLANK(OFFSET(A$1,,,SUMPRODUCT(MAX(ROW(E$2:E4969)*(E4969=E$2:E4969)))))-COUNTBLANK(OFFSET(A$1,,,SUMPRODUCT(MAX(ROW(E$1:E4968)*(E2=E$1:E4968))))))</f>
        <v> </v>
      </c>
      <c r="K4969" s="25" t="str">
        <f>IF(OR(E4969="",E4969="!!!",F4969="NEW"),"",INDEX(J$1:J4968,SUMPRODUCT(MAX(ROW(E$1:E4968)*(E4969=E$1:E4968)))))</f>
        <v> </v>
      </c>
      <c r="L4969" s="26"/>
    </row>
    <row r="4970" spans="1:12">
      <c r="A4970" s="20" t="s">
        <v>804</v>
      </c>
      <c r="E4970" s="21">
        <f>IF(D4970="?OLD","!!!","")</f>
        <v/>
      </c>
      <c r="F4970" s="22" t="str">
        <f>IF(OR(E4970="",E4970="!!!"),"",IF(NOT(ISNA(VLOOKUP(E4970,E$1:E4969,1,FALSE()))),"OLD",IF(AND(E4970&lt;&gt;"",E4970&lt;&gt;"!!!"),"NEW","")))</f>
        <v> </v>
      </c>
      <c r="G4970" s="23" t="str">
        <f>IF(OR(E4970="",E4970="!!!"),"",IF(OR(J4970=0,AND(J4970=1,K4970=1),AND(J4970=1,I4970="SBJ"),AND(J4970=1,I4970=0)),"?IN_FOCUS",IF(J4970&lt;=2,"?ACTIVATED",IF(J4970&lt;&gt;"","?FAMILIAR",IF(F4970="NEW",IF(ISNA(VLOOKUP(E4970,#REF!,1,FALSE())),"?TYPE_IDENTIFIABLE","?REFERENTIAL"),"_")))))</f>
        <v> </v>
      </c>
      <c r="H4970" s="24" t="str">
        <f>IF(J4970&lt;&gt;1,"",IF(I4970="SBJ","CB","?"))</f>
        <v> </v>
      </c>
      <c r="I4970" s="25" t="str">
        <f>IF(OR(E4970="",E4970="!!!",F4970="NEW"),"",INDEX(B4969:B$2,-1+SUMPRODUCT(MAX(ROW(E4969:E$2)*(E4970=E4969:E$2)))))</f>
        <v> </v>
      </c>
      <c r="J4970" s="25" t="str">
        <f>IF(OR(E4970="",E4970="!!!",F4970="NEW"),"",COUNTBLANK(OFFSET(A$1,,,SUMPRODUCT(MAX(ROW(E$2:E4970)*(E4970=E$2:E4970)))))-COUNTBLANK(OFFSET(A$1,,,SUMPRODUCT(MAX(ROW(E$1:E4969)*(E2=E$1:E4969))))))</f>
        <v> </v>
      </c>
      <c r="K4970" s="25" t="str">
        <f>IF(OR(E4970="",E4970="!!!",F4970="NEW"),"",INDEX(J$1:J4969,SUMPRODUCT(MAX(ROW(E$1:E4969)*(E4970=E$1:E4969)))))</f>
        <v> </v>
      </c>
      <c r="L4970" s="26"/>
    </row>
    <row r="4971" spans="1:12">
      <c r="A4971" s="20" t="s">
        <v>2059</v>
      </c>
      <c r="E4971" s="21">
        <f>IF(D4971="?OLD","!!!","")</f>
        <v/>
      </c>
      <c r="F4971" s="22" t="str">
        <f>IF(OR(E4971="",E4971="!!!"),"",IF(NOT(ISNA(VLOOKUP(E4971,E$1:E4970,1,FALSE()))),"OLD",IF(AND(E4971&lt;&gt;"",E4971&lt;&gt;"!!!"),"NEW","")))</f>
        <v> </v>
      </c>
      <c r="G4971" s="23" t="str">
        <f>IF(OR(E4971="",E4971="!!!"),"",IF(OR(J4971=0,AND(J4971=1,K4971=1),AND(J4971=1,I4971="SBJ"),AND(J4971=1,I4971=0)),"?IN_FOCUS",IF(J4971&lt;=2,"?ACTIVATED",IF(J4971&lt;&gt;"","?FAMILIAR",IF(F4971="NEW",IF(ISNA(VLOOKUP(E4971,#REF!,1,FALSE())),"?TYPE_IDENTIFIABLE","?REFERENTIAL"),"_")))))</f>
        <v> </v>
      </c>
      <c r="H4971" s="24" t="str">
        <f>IF(J4971&lt;&gt;1,"",IF(I4971="SBJ","CB","?"))</f>
        <v> </v>
      </c>
      <c r="I4971" s="25" t="str">
        <f>IF(OR(E4971="",E4971="!!!",F4971="NEW"),"",INDEX(B4970:B$2,-1+SUMPRODUCT(MAX(ROW(E4970:E$2)*(E4971=E4970:E$2)))))</f>
        <v> </v>
      </c>
      <c r="J4971" s="25" t="str">
        <f>IF(OR(E4971="",E4971="!!!",F4971="NEW"),"",COUNTBLANK(OFFSET(A$1,,,SUMPRODUCT(MAX(ROW(E$2:E4971)*(E4971=E$2:E4971)))))-COUNTBLANK(OFFSET(A$1,,,SUMPRODUCT(MAX(ROW(E$1:E4970)*(E2=E$1:E4970))))))</f>
        <v> </v>
      </c>
      <c r="K4971" s="25" t="str">
        <f>IF(OR(E4971="",E4971="!!!",F4971="NEW"),"",INDEX(J$1:J4970,SUMPRODUCT(MAX(ROW(E$1:E4970)*(E4971=E$1:E4970)))))</f>
        <v> </v>
      </c>
      <c r="L4971" s="26"/>
    </row>
    <row r="4972" spans="1:12">
      <c r="A4972" s="20" t="s">
        <v>793</v>
      </c>
      <c r="E4972" s="21">
        <f>IF(D4972="?OLD","!!!","")</f>
        <v/>
      </c>
      <c r="F4972" s="22" t="str">
        <f>IF(OR(E4972="",E4972="!!!"),"",IF(NOT(ISNA(VLOOKUP(E4972,E$1:E4971,1,FALSE()))),"OLD",IF(AND(E4972&lt;&gt;"",E4972&lt;&gt;"!!!"),"NEW","")))</f>
        <v> </v>
      </c>
      <c r="G4972" s="23" t="str">
        <f>IF(OR(E4972="",E4972="!!!"),"",IF(OR(J4972=0,AND(J4972=1,K4972=1),AND(J4972=1,I4972="SBJ"),AND(J4972=1,I4972=0)),"?IN_FOCUS",IF(J4972&lt;=2,"?ACTIVATED",IF(J4972&lt;&gt;"","?FAMILIAR",IF(F4972="NEW",IF(ISNA(VLOOKUP(E4972,#REF!,1,FALSE())),"?TYPE_IDENTIFIABLE","?REFERENTIAL"),"_")))))</f>
        <v> </v>
      </c>
      <c r="H4972" s="24" t="str">
        <f>IF(J4972&lt;&gt;1,"",IF(I4972="SBJ","CB","?"))</f>
        <v> </v>
      </c>
      <c r="I4972" s="25" t="str">
        <f>IF(OR(E4972="",E4972="!!!",F4972="NEW"),"",INDEX(B4971:B$2,-1+SUMPRODUCT(MAX(ROW(E4971:E$2)*(E4972=E4971:E$2)))))</f>
        <v> </v>
      </c>
      <c r="J4972" s="25" t="str">
        <f>IF(OR(E4972="",E4972="!!!",F4972="NEW"),"",COUNTBLANK(OFFSET(A$1,,,SUMPRODUCT(MAX(ROW(E$2:E4972)*(E4972=E$2:E4972)))))-COUNTBLANK(OFFSET(A$1,,,SUMPRODUCT(MAX(ROW(E$1:E4971)*(E2=E$1:E4971))))))</f>
        <v> </v>
      </c>
      <c r="K4972" s="25" t="str">
        <f>IF(OR(E4972="",E4972="!!!",F4972="NEW"),"",INDEX(J$1:J4971,SUMPRODUCT(MAX(ROW(E$1:E4971)*(E4972=E$1:E4971)))))</f>
        <v> </v>
      </c>
      <c r="L4972" s="26"/>
    </row>
    <row r="4973" spans="1:12">
      <c r="A4973" s="20" t="s">
        <v>827</v>
      </c>
      <c r="B4973" s="27" t="s">
        <v>796</v>
      </c>
      <c r="C4973" s="27" t="s">
        <v>797</v>
      </c>
      <c r="D4973" s="27" t="s">
        <v>762</v>
      </c>
      <c r="E4973" s="21">
        <f>IF(D4973="?OLD","!!!","")</f>
        <v/>
      </c>
      <c r="F4973" s="22" t="str">
        <f>IF(OR(E4973="",E4973="!!!"),"",IF(NOT(ISNA(VLOOKUP(E4973,E$1:E4972,1,FALSE()))),"OLD",IF(AND(E4973&lt;&gt;"",E4973&lt;&gt;"!!!"),"NEW","")))</f>
        <v> </v>
      </c>
      <c r="G4973" s="23" t="str">
        <f>IF(OR(E4973="",E4973="!!!"),"",IF(OR(J4973=0,AND(J4973=1,K4973=1),AND(J4973=1,I4973="SBJ"),AND(J4973=1,I4973=0)),"?IN_FOCUS",IF(J4973&lt;=2,"?ACTIVATED",IF(J4973&lt;&gt;"","?FAMILIAR",IF(F4973="NEW",IF(ISNA(VLOOKUP(E4973,#REF!,1,FALSE())),"?TYPE_IDENTIFIABLE","?REFERENTIAL"),"_")))))</f>
        <v> </v>
      </c>
      <c r="H4973" s="24" t="str">
        <f>IF(J4973&lt;&gt;1,"",IF(I4973="SBJ","CB","?"))</f>
        <v> </v>
      </c>
      <c r="I4973" s="25" t="str">
        <f>IF(OR(E4973="",E4973="!!!",F4973="NEW"),"",INDEX(B4972:B$2,-1+SUMPRODUCT(MAX(ROW(E4972:E$2)*(E4973=E4972:E$2)))))</f>
        <v> </v>
      </c>
      <c r="J4973" s="25" t="str">
        <f>IF(OR(E4973="",E4973="!!!",F4973="NEW"),"",COUNTBLANK(OFFSET(A$1,,,SUMPRODUCT(MAX(ROW(E$2:E4973)*(E4973=E$2:E4973)))))-COUNTBLANK(OFFSET(A$1,,,SUMPRODUCT(MAX(ROW(E$1:E4972)*(E2=E$1:E4972))))))</f>
        <v> </v>
      </c>
      <c r="K4973" s="25" t="str">
        <f>IF(OR(E4973="",E4973="!!!",F4973="NEW"),"",INDEX(J$1:J4972,SUMPRODUCT(MAX(ROW(E$1:E4972)*(E4973=E$1:E4972)))))</f>
        <v> </v>
      </c>
      <c r="L4973" s="26"/>
    </row>
    <row r="4974" spans="1:12">
      <c r="A4974" s="20" t="s">
        <v>1588</v>
      </c>
      <c r="E4974" s="21">
        <f>IF(D4974="?OLD","!!!","")</f>
        <v/>
      </c>
      <c r="F4974" s="22" t="str">
        <f>IF(OR(E4974="",E4974="!!!"),"",IF(NOT(ISNA(VLOOKUP(E4974,E$1:E4973,1,FALSE()))),"OLD",IF(AND(E4974&lt;&gt;"",E4974&lt;&gt;"!!!"),"NEW","")))</f>
        <v> </v>
      </c>
      <c r="G4974" s="23" t="str">
        <f>IF(OR(E4974="",E4974="!!!"),"",IF(OR(J4974=0,AND(J4974=1,K4974=1),AND(J4974=1,I4974="SBJ"),AND(J4974=1,I4974=0)),"?IN_FOCUS",IF(J4974&lt;=2,"?ACTIVATED",IF(J4974&lt;&gt;"","?FAMILIAR",IF(F4974="NEW",IF(ISNA(VLOOKUP(E4974,#REF!,1,FALSE())),"?TYPE_IDENTIFIABLE","?REFERENTIAL"),"_")))))</f>
        <v> </v>
      </c>
      <c r="H4974" s="24" t="str">
        <f>IF(J4974&lt;&gt;1,"",IF(I4974="SBJ","CB","?"))</f>
        <v> </v>
      </c>
      <c r="I4974" s="25" t="str">
        <f>IF(OR(E4974="",E4974="!!!",F4974="NEW"),"",INDEX(B4973:B$2,-1+SUMPRODUCT(MAX(ROW(E4973:E$2)*(E4974=E4973:E$2)))))</f>
        <v> </v>
      </c>
      <c r="J4974" s="25" t="str">
        <f>IF(OR(E4974="",E4974="!!!",F4974="NEW"),"",COUNTBLANK(OFFSET(A$1,,,SUMPRODUCT(MAX(ROW(E$2:E4974)*(E4974=E$2:E4974)))))-COUNTBLANK(OFFSET(A$1,,,SUMPRODUCT(MAX(ROW(E$1:E4973)*(E2=E$1:E4973))))))</f>
        <v> </v>
      </c>
      <c r="K4974" s="25" t="str">
        <f>IF(OR(E4974="",E4974="!!!",F4974="NEW"),"",INDEX(J$1:J4973,SUMPRODUCT(MAX(ROW(E$1:E4973)*(E4974=E$1:E4973)))))</f>
        <v> </v>
      </c>
      <c r="L4974" s="26"/>
    </row>
    <row r="4975" spans="1:12">
      <c r="A4975" s="20" t="s">
        <v>2060</v>
      </c>
      <c r="E4975" s="21">
        <f>IF(D4975="?OLD","!!!","")</f>
        <v/>
      </c>
      <c r="F4975" s="22" t="str">
        <f>IF(OR(E4975="",E4975="!!!"),"",IF(NOT(ISNA(VLOOKUP(E4975,E$1:E4974,1,FALSE()))),"OLD",IF(AND(E4975&lt;&gt;"",E4975&lt;&gt;"!!!"),"NEW","")))</f>
        <v> </v>
      </c>
      <c r="G4975" s="23" t="str">
        <f>IF(OR(E4975="",E4975="!!!"),"",IF(OR(J4975=0,AND(J4975=1,K4975=1),AND(J4975=1,I4975="SBJ"),AND(J4975=1,I4975=0)),"?IN_FOCUS",IF(J4975&lt;=2,"?ACTIVATED",IF(J4975&lt;&gt;"","?FAMILIAR",IF(F4975="NEW",IF(ISNA(VLOOKUP(E4975,#REF!,1,FALSE())),"?TYPE_IDENTIFIABLE","?REFERENTIAL"),"_")))))</f>
        <v> </v>
      </c>
      <c r="H4975" s="24" t="str">
        <f>IF(J4975&lt;&gt;1,"",IF(I4975="SBJ","CB","?"))</f>
        <v> </v>
      </c>
      <c r="I4975" s="25" t="str">
        <f>IF(OR(E4975="",E4975="!!!",F4975="NEW"),"",INDEX(B4974:B$2,-1+SUMPRODUCT(MAX(ROW(E4974:E$2)*(E4975=E4974:E$2)))))</f>
        <v> </v>
      </c>
      <c r="J4975" s="25" t="str">
        <f>IF(OR(E4975="",E4975="!!!",F4975="NEW"),"",COUNTBLANK(OFFSET(A$1,,,SUMPRODUCT(MAX(ROW(E$2:E4975)*(E4975=E$2:E4975)))))-COUNTBLANK(OFFSET(A$1,,,SUMPRODUCT(MAX(ROW(E$1:E4974)*(E2=E$1:E4974))))))</f>
        <v> </v>
      </c>
      <c r="K4975" s="25" t="str">
        <f>IF(OR(E4975="",E4975="!!!",F4975="NEW"),"",INDEX(J$1:J4974,SUMPRODUCT(MAX(ROW(E$1:E4974)*(E4975=E$1:E4974)))))</f>
        <v> </v>
      </c>
      <c r="L4975" s="26"/>
    </row>
    <row r="4976" spans="1:12">
      <c r="A4976" s="20" t="s">
        <v>959</v>
      </c>
      <c r="B4976" s="27" t="s">
        <v>802</v>
      </c>
      <c r="C4976" s="27" t="s">
        <v>777</v>
      </c>
      <c r="D4976" s="27" t="s">
        <v>762</v>
      </c>
      <c r="E4976" s="21">
        <f>IF(D4976="?OLD","!!!","")</f>
        <v/>
      </c>
      <c r="F4976" s="22" t="str">
        <f>IF(OR(E4976="",E4976="!!!"),"",IF(NOT(ISNA(VLOOKUP(E4976,E$1:E4975,1,FALSE()))),"OLD",IF(AND(E4976&lt;&gt;"",E4976&lt;&gt;"!!!"),"NEW","")))</f>
        <v> </v>
      </c>
      <c r="G4976" s="23" t="str">
        <f>IF(OR(E4976="",E4976="!!!"),"",IF(OR(J4976=0,AND(J4976=1,K4976=1),AND(J4976=1,I4976="SBJ"),AND(J4976=1,I4976=0)),"?IN_FOCUS",IF(J4976&lt;=2,"?ACTIVATED",IF(J4976&lt;&gt;"","?FAMILIAR",IF(F4976="NEW",IF(ISNA(VLOOKUP(E4976,#REF!,1,FALSE())),"?TYPE_IDENTIFIABLE","?REFERENTIAL"),"_")))))</f>
        <v> </v>
      </c>
      <c r="H4976" s="24" t="str">
        <f>IF(J4976&lt;&gt;1,"",IF(I4976="SBJ","CB","?"))</f>
        <v> </v>
      </c>
      <c r="I4976" s="25" t="str">
        <f>IF(OR(E4976="",E4976="!!!",F4976="NEW"),"",INDEX(B4975:B$2,-1+SUMPRODUCT(MAX(ROW(E4975:E$2)*(E4976=E4975:E$2)))))</f>
        <v> </v>
      </c>
      <c r="J4976" s="25" t="str">
        <f>IF(OR(E4976="",E4976="!!!",F4976="NEW"),"",COUNTBLANK(OFFSET(A$1,,,SUMPRODUCT(MAX(ROW(E$2:E4976)*(E4976=E$2:E4976)))))-COUNTBLANK(OFFSET(A$1,,,SUMPRODUCT(MAX(ROW(E$1:E4975)*(E2=E$1:E4975))))))</f>
        <v> </v>
      </c>
      <c r="K4976" s="25" t="str">
        <f>IF(OR(E4976="",E4976="!!!",F4976="NEW"),"",INDEX(J$1:J4975,SUMPRODUCT(MAX(ROW(E$1:E4975)*(E4976=E$1:E4975)))))</f>
        <v> </v>
      </c>
      <c r="L4976" s="26"/>
    </row>
    <row r="4977" spans="1:12">
      <c r="A4977" s="20" t="s">
        <v>1322</v>
      </c>
      <c r="E4977" s="21">
        <f>IF(D4977="?OLD","!!!","")</f>
        <v/>
      </c>
      <c r="F4977" s="22" t="str">
        <f>IF(OR(E4977="",E4977="!!!"),"",IF(NOT(ISNA(VLOOKUP(E4977,E$1:E4976,1,FALSE()))),"OLD",IF(AND(E4977&lt;&gt;"",E4977&lt;&gt;"!!!"),"NEW","")))</f>
        <v> </v>
      </c>
      <c r="G4977" s="23" t="str">
        <f>IF(OR(E4977="",E4977="!!!"),"",IF(OR(J4977=0,AND(J4977=1,K4977=1),AND(J4977=1,I4977="SBJ"),AND(J4977=1,I4977=0)),"?IN_FOCUS",IF(J4977&lt;=2,"?ACTIVATED",IF(J4977&lt;&gt;"","?FAMILIAR",IF(F4977="NEW",IF(ISNA(VLOOKUP(E4977,#REF!,1,FALSE())),"?TYPE_IDENTIFIABLE","?REFERENTIAL"),"_")))))</f>
        <v> </v>
      </c>
      <c r="H4977" s="24" t="str">
        <f>IF(J4977&lt;&gt;1,"",IF(I4977="SBJ","CB","?"))</f>
        <v> </v>
      </c>
      <c r="I4977" s="25" t="str">
        <f>IF(OR(E4977="",E4977="!!!",F4977="NEW"),"",INDEX(B4976:B$2,-1+SUMPRODUCT(MAX(ROW(E4976:E$2)*(E4977=E4976:E$2)))))</f>
        <v> </v>
      </c>
      <c r="J4977" s="25" t="str">
        <f>IF(OR(E4977="",E4977="!!!",F4977="NEW"),"",COUNTBLANK(OFFSET(A$1,,,SUMPRODUCT(MAX(ROW(E$2:E4977)*(E4977=E$2:E4977)))))-COUNTBLANK(OFFSET(A$1,,,SUMPRODUCT(MAX(ROW(E$1:E4976)*(E2=E$1:E4976))))))</f>
        <v> </v>
      </c>
      <c r="K4977" s="25" t="str">
        <f>IF(OR(E4977="",E4977="!!!",F4977="NEW"),"",INDEX(J$1:J4976,SUMPRODUCT(MAX(ROW(E$1:E4976)*(E4977=E$1:E4976)))))</f>
        <v> </v>
      </c>
      <c r="L4977" s="26"/>
    </row>
    <row r="4978" spans="1:12">
      <c r="A4978" s="20" t="s">
        <v>869</v>
      </c>
      <c r="B4978" s="27" t="s">
        <v>956</v>
      </c>
      <c r="C4978" s="27" t="s">
        <v>797</v>
      </c>
      <c r="D4978" s="27" t="s">
        <v>762</v>
      </c>
      <c r="E4978" s="21">
        <f>IF(D4978="?OLD","!!!","")</f>
        <v/>
      </c>
      <c r="F4978" s="22" t="str">
        <f>IF(OR(E4978="",E4978="!!!"),"",IF(NOT(ISNA(VLOOKUP(E4978,E$1:E4977,1,FALSE()))),"OLD",IF(AND(E4978&lt;&gt;"",E4978&lt;&gt;"!!!"),"NEW","")))</f>
        <v> </v>
      </c>
      <c r="G4978" s="23" t="str">
        <f>IF(OR(E4978="",E4978="!!!"),"",IF(OR(J4978=0,AND(J4978=1,K4978=1),AND(J4978=1,I4978="SBJ"),AND(J4978=1,I4978=0)),"?IN_FOCUS",IF(J4978&lt;=2,"?ACTIVATED",IF(J4978&lt;&gt;"","?FAMILIAR",IF(F4978="NEW",IF(ISNA(VLOOKUP(E4978,#REF!,1,FALSE())),"?TYPE_IDENTIFIABLE","?REFERENTIAL"),"_")))))</f>
        <v> </v>
      </c>
      <c r="H4978" s="24" t="str">
        <f>IF(J4978&lt;&gt;1,"",IF(I4978="SBJ","CB","?"))</f>
        <v> </v>
      </c>
      <c r="I4978" s="25" t="str">
        <f>IF(OR(E4978="",E4978="!!!",F4978="NEW"),"",INDEX(B4977:B$2,-1+SUMPRODUCT(MAX(ROW(E4977:E$2)*(E4978=E4977:E$2)))))</f>
        <v> </v>
      </c>
      <c r="J4978" s="25" t="str">
        <f>IF(OR(E4978="",E4978="!!!",F4978="NEW"),"",COUNTBLANK(OFFSET(A$1,,,SUMPRODUCT(MAX(ROW(E$2:E4978)*(E4978=E$2:E4978)))))-COUNTBLANK(OFFSET(A$1,,,SUMPRODUCT(MAX(ROW(E$1:E4977)*(E2=E$1:E4977))))))</f>
        <v> </v>
      </c>
      <c r="K4978" s="25" t="str">
        <f>IF(OR(E4978="",E4978="!!!",F4978="NEW"),"",INDEX(J$1:J4977,SUMPRODUCT(MAX(ROW(E$1:E4977)*(E4978=E$1:E4977)))))</f>
        <v> </v>
      </c>
      <c r="L4978" s="26"/>
    </row>
    <row r="4979" spans="1:12">
      <c r="A4979" s="20" t="s">
        <v>811</v>
      </c>
      <c r="E4979" s="21">
        <f>IF(D4979="?OLD","!!!","")</f>
        <v/>
      </c>
      <c r="F4979" s="22" t="str">
        <f>IF(OR(E4979="",E4979="!!!"),"",IF(NOT(ISNA(VLOOKUP(E4979,E$1:E4978,1,FALSE()))),"OLD",IF(AND(E4979&lt;&gt;"",E4979&lt;&gt;"!!!"),"NEW","")))</f>
        <v> </v>
      </c>
      <c r="G4979" s="23" t="str">
        <f>IF(OR(E4979="",E4979="!!!"),"",IF(OR(J4979=0,AND(J4979=1,K4979=1),AND(J4979=1,I4979="SBJ"),AND(J4979=1,I4979=0)),"?IN_FOCUS",IF(J4979&lt;=2,"?ACTIVATED",IF(J4979&lt;&gt;"","?FAMILIAR",IF(F4979="NEW",IF(ISNA(VLOOKUP(E4979,#REF!,1,FALSE())),"?TYPE_IDENTIFIABLE","?REFERENTIAL"),"_")))))</f>
        <v> </v>
      </c>
      <c r="H4979" s="24" t="str">
        <f>IF(J4979&lt;&gt;1,"",IF(I4979="SBJ","CB","?"))</f>
        <v> </v>
      </c>
      <c r="I4979" s="25" t="str">
        <f>IF(OR(E4979="",E4979="!!!",F4979="NEW"),"",INDEX(B4978:B$2,-1+SUMPRODUCT(MAX(ROW(E4978:E$2)*(E4979=E4978:E$2)))))</f>
        <v> </v>
      </c>
      <c r="J4979" s="25" t="str">
        <f>IF(OR(E4979="",E4979="!!!",F4979="NEW"),"",COUNTBLANK(OFFSET(A$1,,,SUMPRODUCT(MAX(ROW(E$2:E4979)*(E4979=E$2:E4979)))))-COUNTBLANK(OFFSET(A$1,,,SUMPRODUCT(MAX(ROW(E$1:E4978)*(E2=E$1:E4978))))))</f>
        <v> </v>
      </c>
      <c r="K4979" s="25" t="str">
        <f>IF(OR(E4979="",E4979="!!!",F4979="NEW"),"",INDEX(J$1:J4978,SUMPRODUCT(MAX(ROW(E$1:E4978)*(E4979=E$1:E4978)))))</f>
        <v> </v>
      </c>
      <c r="L4979" s="26"/>
    </row>
    <row r="4980" spans="1:12">
      <c r="A4980" s="20" t="s">
        <v>828</v>
      </c>
      <c r="E4980" s="21">
        <f>IF(D4980="?OLD","!!!","")</f>
        <v/>
      </c>
      <c r="F4980" s="22" t="str">
        <f>IF(OR(E4980="",E4980="!!!"),"",IF(NOT(ISNA(VLOOKUP(E4980,E$1:E4979,1,FALSE()))),"OLD",IF(AND(E4980&lt;&gt;"",E4980&lt;&gt;"!!!"),"NEW","")))</f>
        <v> </v>
      </c>
      <c r="G4980" s="23" t="str">
        <f>IF(OR(E4980="",E4980="!!!"),"",IF(OR(J4980=0,AND(J4980=1,K4980=1),AND(J4980=1,I4980="SBJ"),AND(J4980=1,I4980=0)),"?IN_FOCUS",IF(J4980&lt;=2,"?ACTIVATED",IF(J4980&lt;&gt;"","?FAMILIAR",IF(F4980="NEW",IF(ISNA(VLOOKUP(E4980,#REF!,1,FALSE())),"?TYPE_IDENTIFIABLE","?REFERENTIAL"),"_")))))</f>
        <v> </v>
      </c>
      <c r="H4980" s="24" t="str">
        <f>IF(J4980&lt;&gt;1,"",IF(I4980="SBJ","CB","?"))</f>
        <v> </v>
      </c>
      <c r="I4980" s="25" t="str">
        <f>IF(OR(E4980="",E4980="!!!",F4980="NEW"),"",INDEX(B4979:B$2,-1+SUMPRODUCT(MAX(ROW(E4979:E$2)*(E4980=E4979:E$2)))))</f>
        <v> </v>
      </c>
      <c r="J4980" s="25" t="str">
        <f>IF(OR(E4980="",E4980="!!!",F4980="NEW"),"",COUNTBLANK(OFFSET(A$1,,,SUMPRODUCT(MAX(ROW(E$2:E4980)*(E4980=E$2:E4980)))))-COUNTBLANK(OFFSET(A$1,,,SUMPRODUCT(MAX(ROW(E$1:E4979)*(E2=E$1:E4979))))))</f>
        <v> </v>
      </c>
      <c r="K4980" s="25" t="str">
        <f>IF(OR(E4980="",E4980="!!!",F4980="NEW"),"",INDEX(J$1:J4979,SUMPRODUCT(MAX(ROW(E$1:E4979)*(E4980=E$1:E4979)))))</f>
        <v> </v>
      </c>
      <c r="L4980" s="26"/>
    </row>
    <row r="4981" spans="1:12">
      <c r="A4981" s="20" t="s">
        <v>804</v>
      </c>
      <c r="E4981" s="21">
        <f>IF(D4981="?OLD","!!!","")</f>
        <v/>
      </c>
      <c r="F4981" s="22" t="str">
        <f>IF(OR(E4981="",E4981="!!!"),"",IF(NOT(ISNA(VLOOKUP(E4981,E$1:E4980,1,FALSE()))),"OLD",IF(AND(E4981&lt;&gt;"",E4981&lt;&gt;"!!!"),"NEW","")))</f>
        <v> </v>
      </c>
      <c r="G4981" s="23" t="str">
        <f>IF(OR(E4981="",E4981="!!!"),"",IF(OR(J4981=0,AND(J4981=1,K4981=1),AND(J4981=1,I4981="SBJ"),AND(J4981=1,I4981=0)),"?IN_FOCUS",IF(J4981&lt;=2,"?ACTIVATED",IF(J4981&lt;&gt;"","?FAMILIAR",IF(F4981="NEW",IF(ISNA(VLOOKUP(E4981,#REF!,1,FALSE())),"?TYPE_IDENTIFIABLE","?REFERENTIAL"),"_")))))</f>
        <v> </v>
      </c>
      <c r="H4981" s="24" t="str">
        <f>IF(J4981&lt;&gt;1,"",IF(I4981="SBJ","CB","?"))</f>
        <v> </v>
      </c>
      <c r="I4981" s="25" t="str">
        <f>IF(OR(E4981="",E4981="!!!",F4981="NEW"),"",INDEX(B4980:B$2,-1+SUMPRODUCT(MAX(ROW(E4980:E$2)*(E4981=E4980:E$2)))))</f>
        <v> </v>
      </c>
      <c r="J4981" s="25" t="str">
        <f>IF(OR(E4981="",E4981="!!!",F4981="NEW"),"",COUNTBLANK(OFFSET(A$1,,,SUMPRODUCT(MAX(ROW(E$2:E4981)*(E4981=E$2:E4981)))))-COUNTBLANK(OFFSET(A$1,,,SUMPRODUCT(MAX(ROW(E$1:E4980)*(E2=E$1:E4980))))))</f>
        <v> </v>
      </c>
      <c r="K4981" s="25" t="str">
        <f>IF(OR(E4981="",E4981="!!!",F4981="NEW"),"",INDEX(J$1:J4980,SUMPRODUCT(MAX(ROW(E$1:E4980)*(E4981=E$1:E4980)))))</f>
        <v> </v>
      </c>
      <c r="L4981" s="26"/>
    </row>
    <row r="4982" spans="1:12">
      <c r="A4982" s="20" t="s">
        <v>1364</v>
      </c>
      <c r="E4982" s="21">
        <f>IF(D4982="?OLD","!!!","")</f>
        <v/>
      </c>
      <c r="F4982" s="22" t="str">
        <f>IF(OR(E4982="",E4982="!!!"),"",IF(NOT(ISNA(VLOOKUP(E4982,E$1:E4981,1,FALSE()))),"OLD",IF(AND(E4982&lt;&gt;"",E4982&lt;&gt;"!!!"),"NEW","")))</f>
        <v> </v>
      </c>
      <c r="G4982" s="23" t="str">
        <f>IF(OR(E4982="",E4982="!!!"),"",IF(OR(J4982=0,AND(J4982=1,K4982=1),AND(J4982=1,I4982="SBJ"),AND(J4982=1,I4982=0)),"?IN_FOCUS",IF(J4982&lt;=2,"?ACTIVATED",IF(J4982&lt;&gt;"","?FAMILIAR",IF(F4982="NEW",IF(ISNA(VLOOKUP(E4982,#REF!,1,FALSE())),"?TYPE_IDENTIFIABLE","?REFERENTIAL"),"_")))))</f>
        <v> </v>
      </c>
      <c r="H4982" s="24" t="str">
        <f>IF(J4982&lt;&gt;1,"",IF(I4982="SBJ","CB","?"))</f>
        <v> </v>
      </c>
      <c r="I4982" s="25" t="str">
        <f>IF(OR(E4982="",E4982="!!!",F4982="NEW"),"",INDEX(B4981:B$2,-1+SUMPRODUCT(MAX(ROW(E4981:E$2)*(E4982=E4981:E$2)))))</f>
        <v> </v>
      </c>
      <c r="J4982" s="25" t="str">
        <f>IF(OR(E4982="",E4982="!!!",F4982="NEW"),"",COUNTBLANK(OFFSET(A$1,,,SUMPRODUCT(MAX(ROW(E$2:E4982)*(E4982=E$2:E4982)))))-COUNTBLANK(OFFSET(A$1,,,SUMPRODUCT(MAX(ROW(E$1:E4981)*(E2=E$1:E4981))))))</f>
        <v> </v>
      </c>
      <c r="K4982" s="25" t="str">
        <f>IF(OR(E4982="",E4982="!!!",F4982="NEW"),"",INDEX(J$1:J4981,SUMPRODUCT(MAX(ROW(E$1:E4981)*(E4982=E$1:E4981)))))</f>
        <v> </v>
      </c>
      <c r="L4982" s="26"/>
    </row>
    <row r="4983" spans="1:12">
      <c r="A4983" s="20" t="s">
        <v>1322</v>
      </c>
      <c r="E4983" s="21">
        <f>IF(D4983="?OLD","!!!","")</f>
        <v/>
      </c>
      <c r="F4983" s="22" t="str">
        <f>IF(OR(E4983="",E4983="!!!"),"",IF(NOT(ISNA(VLOOKUP(E4983,E$1:E4982,1,FALSE()))),"OLD",IF(AND(E4983&lt;&gt;"",E4983&lt;&gt;"!!!"),"NEW","")))</f>
        <v> </v>
      </c>
      <c r="G4983" s="23" t="str">
        <f>IF(OR(E4983="",E4983="!!!"),"",IF(OR(J4983=0,AND(J4983=1,K4983=1),AND(J4983=1,I4983="SBJ"),AND(J4983=1,I4983=0)),"?IN_FOCUS",IF(J4983&lt;=2,"?ACTIVATED",IF(J4983&lt;&gt;"","?FAMILIAR",IF(F4983="NEW",IF(ISNA(VLOOKUP(E4983,#REF!,1,FALSE())),"?TYPE_IDENTIFIABLE","?REFERENTIAL"),"_")))))</f>
        <v> </v>
      </c>
      <c r="H4983" s="24" t="str">
        <f>IF(J4983&lt;&gt;1,"",IF(I4983="SBJ","CB","?"))</f>
        <v> </v>
      </c>
      <c r="I4983" s="25" t="str">
        <f>IF(OR(E4983="",E4983="!!!",F4983="NEW"),"",INDEX(B4982:B$2,-1+SUMPRODUCT(MAX(ROW(E4982:E$2)*(E4983=E4982:E$2)))))</f>
        <v> </v>
      </c>
      <c r="J4983" s="25" t="str">
        <f>IF(OR(E4983="",E4983="!!!",F4983="NEW"),"",COUNTBLANK(OFFSET(A$1,,,SUMPRODUCT(MAX(ROW(E$2:E4983)*(E4983=E$2:E4983)))))-COUNTBLANK(OFFSET(A$1,,,SUMPRODUCT(MAX(ROW(E$1:E4982)*(E2=E$1:E4982))))))</f>
        <v> </v>
      </c>
      <c r="K4983" s="25" t="str">
        <f>IF(OR(E4983="",E4983="!!!",F4983="NEW"),"",INDEX(J$1:J4982,SUMPRODUCT(MAX(ROW(E$1:E4982)*(E4983=E$1:E4982)))))</f>
        <v> </v>
      </c>
      <c r="L4983" s="26"/>
    </row>
    <row r="4984" spans="1:12">
      <c r="A4984" s="20" t="s">
        <v>2061</v>
      </c>
      <c r="E4984" s="21">
        <f>IF(D4984="?OLD","!!!","")</f>
        <v/>
      </c>
      <c r="F4984" s="22" t="str">
        <f>IF(OR(E4984="",E4984="!!!"),"",IF(NOT(ISNA(VLOOKUP(E4984,E$1:E4983,1,FALSE()))),"OLD",IF(AND(E4984&lt;&gt;"",E4984&lt;&gt;"!!!"),"NEW","")))</f>
        <v> </v>
      </c>
      <c r="G4984" s="23" t="str">
        <f>IF(OR(E4984="",E4984="!!!"),"",IF(OR(J4984=0,AND(J4984=1,K4984=1),AND(J4984=1,I4984="SBJ"),AND(J4984=1,I4984=0)),"?IN_FOCUS",IF(J4984&lt;=2,"?ACTIVATED",IF(J4984&lt;&gt;"","?FAMILIAR",IF(F4984="NEW",IF(ISNA(VLOOKUP(E4984,#REF!,1,FALSE())),"?TYPE_IDENTIFIABLE","?REFERENTIAL"),"_")))))</f>
        <v> </v>
      </c>
      <c r="H4984" s="24" t="str">
        <f>IF(J4984&lt;&gt;1,"",IF(I4984="SBJ","CB","?"))</f>
        <v> </v>
      </c>
      <c r="I4984" s="25" t="str">
        <f>IF(OR(E4984="",E4984="!!!",F4984="NEW"),"",INDEX(B4983:B$2,-1+SUMPRODUCT(MAX(ROW(E4983:E$2)*(E4984=E4983:E$2)))))</f>
        <v> </v>
      </c>
      <c r="J4984" s="25" t="str">
        <f>IF(OR(E4984="",E4984="!!!",F4984="NEW"),"",COUNTBLANK(OFFSET(A$1,,,SUMPRODUCT(MAX(ROW(E$2:E4984)*(E4984=E$2:E4984)))))-COUNTBLANK(OFFSET(A$1,,,SUMPRODUCT(MAX(ROW(E$1:E4983)*(E2=E$1:E4983))))))</f>
        <v> </v>
      </c>
      <c r="K4984" s="25" t="str">
        <f>IF(OR(E4984="",E4984="!!!",F4984="NEW"),"",INDEX(J$1:J4983,SUMPRODUCT(MAX(ROW(E$1:E4983)*(E4984=E$1:E4983)))))</f>
        <v> </v>
      </c>
      <c r="L4984" s="26"/>
    </row>
    <row r="4985" spans="1:12">
      <c r="A4985" s="20" t="s">
        <v>872</v>
      </c>
      <c r="E4985" s="21">
        <f>IF(D4985="?OLD","!!!","")</f>
        <v/>
      </c>
      <c r="F4985" s="22" t="str">
        <f>IF(OR(E4985="",E4985="!!!"),"",IF(NOT(ISNA(VLOOKUP(E4985,E$1:E4984,1,FALSE()))),"OLD",IF(AND(E4985&lt;&gt;"",E4985&lt;&gt;"!!!"),"NEW","")))</f>
        <v> </v>
      </c>
      <c r="G4985" s="23" t="str">
        <f>IF(OR(E4985="",E4985="!!!"),"",IF(OR(J4985=0,AND(J4985=1,K4985=1),AND(J4985=1,I4985="SBJ"),AND(J4985=1,I4985=0)),"?IN_FOCUS",IF(J4985&lt;=2,"?ACTIVATED",IF(J4985&lt;&gt;"","?FAMILIAR",IF(F4985="NEW",IF(ISNA(VLOOKUP(E4985,#REF!,1,FALSE())),"?TYPE_IDENTIFIABLE","?REFERENTIAL"),"_")))))</f>
        <v> </v>
      </c>
      <c r="H4985" s="24" t="str">
        <f>IF(J4985&lt;&gt;1,"",IF(I4985="SBJ","CB","?"))</f>
        <v> </v>
      </c>
      <c r="I4985" s="25" t="str">
        <f>IF(OR(E4985="",E4985="!!!",F4985="NEW"),"",INDEX(B4984:B$2,-1+SUMPRODUCT(MAX(ROW(E4984:E$2)*(E4985=E4984:E$2)))))</f>
        <v> </v>
      </c>
      <c r="J4985" s="25" t="str">
        <f>IF(OR(E4985="",E4985="!!!",F4985="NEW"),"",COUNTBLANK(OFFSET(A$1,,,SUMPRODUCT(MAX(ROW(E$2:E4985)*(E4985=E$2:E4985)))))-COUNTBLANK(OFFSET(A$1,,,SUMPRODUCT(MAX(ROW(E$1:E4984)*(E2=E$1:E4984))))))</f>
        <v> </v>
      </c>
      <c r="K4985" s="25" t="str">
        <f>IF(OR(E4985="",E4985="!!!",F4985="NEW"),"",INDEX(J$1:J4984,SUMPRODUCT(MAX(ROW(E$1:E4984)*(E4985=E$1:E4984)))))</f>
        <v> </v>
      </c>
      <c r="L4985" s="26"/>
    </row>
    <row r="4986" spans="1:12">
      <c r="A4986" s="20" t="s">
        <v>878</v>
      </c>
      <c r="B4986" s="27" t="s">
        <v>901</v>
      </c>
      <c r="C4986" s="27" t="s">
        <v>851</v>
      </c>
      <c r="D4986" s="27" t="s">
        <v>762</v>
      </c>
      <c r="E4986" s="21">
        <f>IF(D4986="?OLD","!!!","")</f>
        <v/>
      </c>
      <c r="F4986" s="22" t="str">
        <f>IF(OR(E4986="",E4986="!!!"),"",IF(NOT(ISNA(VLOOKUP(E4986,E$1:E4985,1,FALSE()))),"OLD",IF(AND(E4986&lt;&gt;"",E4986&lt;&gt;"!!!"),"NEW","")))</f>
        <v> </v>
      </c>
      <c r="G4986" s="23" t="str">
        <f>IF(OR(E4986="",E4986="!!!"),"",IF(OR(J4986=0,AND(J4986=1,K4986=1),AND(J4986=1,I4986="SBJ"),AND(J4986=1,I4986=0)),"?IN_FOCUS",IF(J4986&lt;=2,"?ACTIVATED",IF(J4986&lt;&gt;"","?FAMILIAR",IF(F4986="NEW",IF(ISNA(VLOOKUP(E4986,#REF!,1,FALSE())),"?TYPE_IDENTIFIABLE","?REFERENTIAL"),"_")))))</f>
        <v> </v>
      </c>
      <c r="H4986" s="24" t="str">
        <f>IF(J4986&lt;&gt;1,"",IF(I4986="SBJ","CB","?"))</f>
        <v> </v>
      </c>
      <c r="I4986" s="25" t="str">
        <f>IF(OR(E4986="",E4986="!!!",F4986="NEW"),"",INDEX(B4985:B$2,-1+SUMPRODUCT(MAX(ROW(E4985:E$2)*(E4986=E4985:E$2)))))</f>
        <v> </v>
      </c>
      <c r="J4986" s="25" t="str">
        <f>IF(OR(E4986="",E4986="!!!",F4986="NEW"),"",COUNTBLANK(OFFSET(A$1,,,SUMPRODUCT(MAX(ROW(E$2:E4986)*(E4986=E$2:E4986)))))-COUNTBLANK(OFFSET(A$1,,,SUMPRODUCT(MAX(ROW(E$1:E4985)*(E2=E$1:E4985))))))</f>
        <v> </v>
      </c>
      <c r="K4986" s="25" t="str">
        <f>IF(OR(E4986="",E4986="!!!",F4986="NEW"),"",INDEX(J$1:J4985,SUMPRODUCT(MAX(ROW(E$1:E4985)*(E4986=E$1:E4985)))))</f>
        <v> </v>
      </c>
      <c r="L4986" s="26"/>
    </row>
    <row r="4987" spans="1:12">
      <c r="A4987" s="20" t="s">
        <v>1744</v>
      </c>
      <c r="B4987" s="27" t="s">
        <v>879</v>
      </c>
      <c r="C4987" s="27" t="s">
        <v>837</v>
      </c>
      <c r="D4987" s="27" t="s">
        <v>762</v>
      </c>
      <c r="E4987" s="21">
        <f>IF(D4987="?OLD","!!!","")</f>
        <v/>
      </c>
      <c r="F4987" s="22" t="str">
        <f>IF(OR(E4987="",E4987="!!!"),"",IF(NOT(ISNA(VLOOKUP(E4987,E$1:E4986,1,FALSE()))),"OLD",IF(AND(E4987&lt;&gt;"",E4987&lt;&gt;"!!!"),"NEW","")))</f>
        <v> </v>
      </c>
      <c r="G4987" s="23" t="str">
        <f>IF(OR(E4987="",E4987="!!!"),"",IF(OR(J4987=0,AND(J4987=1,K4987=1),AND(J4987=1,I4987="SBJ"),AND(J4987=1,I4987=0)),"?IN_FOCUS",IF(J4987&lt;=2,"?ACTIVATED",IF(J4987&lt;&gt;"","?FAMILIAR",IF(F4987="NEW",IF(ISNA(VLOOKUP(E4987,#REF!,1,FALSE())),"?TYPE_IDENTIFIABLE","?REFERENTIAL"),"_")))))</f>
        <v> </v>
      </c>
      <c r="H4987" s="24" t="str">
        <f>IF(J4987&lt;&gt;1,"",IF(I4987="SBJ","CB","?"))</f>
        <v> </v>
      </c>
      <c r="I4987" s="25" t="str">
        <f>IF(OR(E4987="",E4987="!!!",F4987="NEW"),"",INDEX(B4986:B$2,-1+SUMPRODUCT(MAX(ROW(E4986:E$2)*(E4987=E4986:E$2)))))</f>
        <v> </v>
      </c>
      <c r="J4987" s="25" t="str">
        <f>IF(OR(E4987="",E4987="!!!",F4987="NEW"),"",COUNTBLANK(OFFSET(A$1,,,SUMPRODUCT(MAX(ROW(E$2:E4987)*(E4987=E$2:E4987)))))-COUNTBLANK(OFFSET(A$1,,,SUMPRODUCT(MAX(ROW(E$1:E4986)*(E2=E$1:E4986))))))</f>
        <v> </v>
      </c>
      <c r="K4987" s="25" t="str">
        <f>IF(OR(E4987="",E4987="!!!",F4987="NEW"),"",INDEX(J$1:J4986,SUMPRODUCT(MAX(ROW(E$1:E4986)*(E4987=E$1:E4986)))))</f>
        <v> </v>
      </c>
      <c r="L4987" s="26"/>
    </row>
    <row r="4988" spans="1:12">
      <c r="A4988" s="20" t="s">
        <v>769</v>
      </c>
      <c r="E4988" s="21">
        <f>IF(D4988="?OLD","!!!","")</f>
        <v/>
      </c>
      <c r="F4988" s="22" t="str">
        <f>IF(OR(E4988="",E4988="!!!"),"",IF(NOT(ISNA(VLOOKUP(E4988,E$1:E4987,1,FALSE()))),"OLD",IF(AND(E4988&lt;&gt;"",E4988&lt;&gt;"!!!"),"NEW","")))</f>
        <v> </v>
      </c>
      <c r="G4988" s="23" t="str">
        <f>IF(OR(E4988="",E4988="!!!"),"",IF(OR(J4988=0,AND(J4988=1,K4988=1),AND(J4988=1,I4988="SBJ"),AND(J4988=1,I4988=0)),"?IN_FOCUS",IF(J4988&lt;=2,"?ACTIVATED",IF(J4988&lt;&gt;"","?FAMILIAR",IF(F4988="NEW",IF(ISNA(VLOOKUP(E4988,#REF!,1,FALSE())),"?TYPE_IDENTIFIABLE","?REFERENTIAL"),"_")))))</f>
        <v> </v>
      </c>
      <c r="H4988" s="24" t="str">
        <f>IF(J4988&lt;&gt;1,"",IF(I4988="SBJ","CB","?"))</f>
        <v> </v>
      </c>
      <c r="I4988" s="25" t="str">
        <f>IF(OR(E4988="",E4988="!!!",F4988="NEW"),"",INDEX(B4987:B$2,-1+SUMPRODUCT(MAX(ROW(E4987:E$2)*(E4988=E4987:E$2)))))</f>
        <v> </v>
      </c>
      <c r="J4988" s="25" t="str">
        <f>IF(OR(E4988="",E4988="!!!",F4988="NEW"),"",COUNTBLANK(OFFSET(A$1,,,SUMPRODUCT(MAX(ROW(E$2:E4988)*(E4988=E$2:E4988)))))-COUNTBLANK(OFFSET(A$1,,,SUMPRODUCT(MAX(ROW(E$1:E4987)*(E2=E$1:E4987))))))</f>
        <v> </v>
      </c>
      <c r="K4988" s="25" t="str">
        <f>IF(OR(E4988="",E4988="!!!",F4988="NEW"),"",INDEX(J$1:J4987,SUMPRODUCT(MAX(ROW(E$1:E4987)*(E4988=E$1:E4987)))))</f>
        <v> </v>
      </c>
      <c r="L4988" s="26"/>
    </row>
    <row r="4989" spans="1:12">
      <c r="A4989" s="20" t="s">
        <v>2062</v>
      </c>
      <c r="B4989" s="27" t="s">
        <v>901</v>
      </c>
      <c r="C4989" s="27" t="s">
        <v>754</v>
      </c>
      <c r="E4989" s="21">
        <f>IF(D4989="?OLD","!!!","")</f>
        <v/>
      </c>
      <c r="F4989" s="22" t="str">
        <f>IF(OR(E4989="",E4989="!!!"),"",IF(NOT(ISNA(VLOOKUP(E4989,E$1:E4988,1,FALSE()))),"OLD",IF(AND(E4989&lt;&gt;"",E4989&lt;&gt;"!!!"),"NEW","")))</f>
        <v> </v>
      </c>
      <c r="G4989" s="23" t="str">
        <f>IF(OR(E4989="",E4989="!!!"),"",IF(OR(J4989=0,AND(J4989=1,K4989=1),AND(J4989=1,I4989="SBJ"),AND(J4989=1,I4989=0)),"?IN_FOCUS",IF(J4989&lt;=2,"?ACTIVATED",IF(J4989&lt;&gt;"","?FAMILIAR",IF(F4989="NEW",IF(ISNA(VLOOKUP(E4989,#REF!,1,FALSE())),"?TYPE_IDENTIFIABLE","?REFERENTIAL"),"_")))))</f>
        <v> </v>
      </c>
      <c r="H4989" s="24" t="str">
        <f>IF(J4989&lt;&gt;1,"",IF(I4989="SBJ","CB","?"))</f>
        <v> </v>
      </c>
      <c r="I4989" s="25" t="str">
        <f>IF(OR(E4989="",E4989="!!!",F4989="NEW"),"",INDEX(B4988:B$2,-1+SUMPRODUCT(MAX(ROW(E4988:E$2)*(E4989=E4988:E$2)))))</f>
        <v> </v>
      </c>
      <c r="J4989" s="25" t="str">
        <f>IF(OR(E4989="",E4989="!!!",F4989="NEW"),"",COUNTBLANK(OFFSET(A$1,,,SUMPRODUCT(MAX(ROW(E$2:E4989)*(E4989=E$2:E4989)))))-COUNTBLANK(OFFSET(A$1,,,SUMPRODUCT(MAX(ROW(E$1:E4988)*(E2=E$1:E4988))))))</f>
        <v> </v>
      </c>
      <c r="K4989" s="25" t="str">
        <f>IF(OR(E4989="",E4989="!!!",F4989="NEW"),"",INDEX(J$1:J4988,SUMPRODUCT(MAX(ROW(E$1:E4988)*(E4989=E$1:E4988)))))</f>
        <v> </v>
      </c>
      <c r="L4989" s="26"/>
    </row>
    <row r="4990" spans="1:12">
      <c r="A4990" s="20" t="s">
        <v>774</v>
      </c>
      <c r="E4990" s="21">
        <f>IF(D4990="?OLD","!!!","")</f>
        <v/>
      </c>
      <c r="F4990" s="22" t="str">
        <f>IF(OR(E4990="",E4990="!!!"),"",IF(NOT(ISNA(VLOOKUP(E4990,E$1:E4989,1,FALSE()))),"OLD",IF(AND(E4990&lt;&gt;"",E4990&lt;&gt;"!!!"),"NEW","")))</f>
        <v> </v>
      </c>
      <c r="G4990" s="23" t="str">
        <f>IF(OR(E4990="",E4990="!!!"),"",IF(OR(J4990=0,AND(J4990=1,K4990=1),AND(J4990=1,I4990="SBJ"),AND(J4990=1,I4990=0)),"?IN_FOCUS",IF(J4990&lt;=2,"?ACTIVATED",IF(J4990&lt;&gt;"","?FAMILIAR",IF(F4990="NEW",IF(ISNA(VLOOKUP(E4990,#REF!,1,FALSE())),"?TYPE_IDENTIFIABLE","?REFERENTIAL"),"_")))))</f>
        <v> </v>
      </c>
      <c r="H4990" s="24" t="str">
        <f>IF(J4990&lt;&gt;1,"",IF(I4990="SBJ","CB","?"))</f>
        <v> </v>
      </c>
      <c r="I4990" s="25" t="str">
        <f>IF(OR(E4990="",E4990="!!!",F4990="NEW"),"",INDEX(B4989:B$2,-1+SUMPRODUCT(MAX(ROW(E4989:E$2)*(E4990=E4989:E$2)))))</f>
        <v> </v>
      </c>
      <c r="J4990" s="25" t="str">
        <f>IF(OR(E4990="",E4990="!!!",F4990="NEW"),"",COUNTBLANK(OFFSET(A$1,,,SUMPRODUCT(MAX(ROW(E$2:E4990)*(E4990=E$2:E4990)))))-COUNTBLANK(OFFSET(A$1,,,SUMPRODUCT(MAX(ROW(E$1:E4989)*(E2=E$1:E4989))))))</f>
        <v> </v>
      </c>
      <c r="K4990" s="25" t="str">
        <f>IF(OR(E4990="",E4990="!!!",F4990="NEW"),"",INDEX(J$1:J4989,SUMPRODUCT(MAX(ROW(E$1:E4989)*(E4990=E$1:E4989)))))</f>
        <v> </v>
      </c>
      <c r="L4990" s="26"/>
    </row>
    <row r="4991" spans="1:12">
      <c r="A4991" s="20"/>
    </row>
    <row r="4992" spans="1:12">
      <c r="A4992" s="20" t="s">
        <v>2063</v>
      </c>
    </row>
    <row r="4993" spans="1:12">
      <c r="A4993" s="20" t="s">
        <v>1037</v>
      </c>
      <c r="B4993" s="27" t="s">
        <v>760</v>
      </c>
      <c r="C4993" s="27" t="s">
        <v>797</v>
      </c>
      <c r="D4993" s="27" t="s">
        <v>762</v>
      </c>
      <c r="E4993" s="21">
        <f>IF(D4993="?OLD","!!!","")</f>
        <v/>
      </c>
      <c r="F4993" s="22" t="str">
        <f>IF(OR(E4993="",E4993="!!!"),"",IF(NOT(ISNA(VLOOKUP(E4993,E$1:E4992,1,FALSE()))),"OLD",IF(AND(E4993&lt;&gt;"",E4993&lt;&gt;"!!!"),"NEW","")))</f>
        <v> </v>
      </c>
      <c r="G4993" s="23" t="str">
        <f>IF(OR(E4993="",E4993="!!!"),"",IF(OR(J4993=0,AND(J4993=1,K4993=1),AND(J4993=1,I4993="SBJ"),AND(J4993=1,I4993=0)),"?IN_FOCUS",IF(J4993&lt;=2,"?ACTIVATED",IF(J4993&lt;&gt;"","?FAMILIAR",IF(F4993="NEW",IF(ISNA(VLOOKUP(E4993,#REF!,1,FALSE())),"?TYPE_IDENTIFIABLE","?REFERENTIAL"),"_")))))</f>
        <v> </v>
      </c>
      <c r="H4993" s="24" t="str">
        <f>IF(J4993&lt;&gt;1,"",IF(I4993="SBJ","CB","?"))</f>
        <v> </v>
      </c>
      <c r="I4993" s="25" t="str">
        <f>IF(OR(E4993="",E4993="!!!",F4993="NEW"),"",INDEX(B4992:B$2,-1+SUMPRODUCT(MAX(ROW(E4992:E$2)*(E4993=E4992:E$2)))))</f>
        <v> </v>
      </c>
      <c r="J4993" s="25" t="str">
        <f>IF(OR(E4993="",E4993="!!!",F4993="NEW"),"",COUNTBLANK(OFFSET(A$1,,,SUMPRODUCT(MAX(ROW(E$2:E4993)*(E4993=E$2:E4993)))))-COUNTBLANK(OFFSET(A$1,,,SUMPRODUCT(MAX(ROW(E$1:E4992)*(E2=E$1:E4992))))))</f>
        <v> </v>
      </c>
      <c r="K4993" s="25" t="str">
        <f>IF(OR(E4993="",E4993="!!!",F4993="NEW"),"",INDEX(J$1:J4992,SUMPRODUCT(MAX(ROW(E$1:E4992)*(E4993=E$1:E4992)))))</f>
        <v> </v>
      </c>
      <c r="L4993" s="26"/>
    </row>
    <row r="4994" spans="1:12">
      <c r="A4994" s="20" t="s">
        <v>909</v>
      </c>
      <c r="E4994" s="21">
        <f>IF(D4994="?OLD","!!!","")</f>
        <v/>
      </c>
      <c r="F4994" s="22" t="str">
        <f>IF(OR(E4994="",E4994="!!!"),"",IF(NOT(ISNA(VLOOKUP(E4994,E$1:E4993,1,FALSE()))),"OLD",IF(AND(E4994&lt;&gt;"",E4994&lt;&gt;"!!!"),"NEW","")))</f>
        <v> </v>
      </c>
      <c r="G4994" s="23" t="str">
        <f>IF(OR(E4994="",E4994="!!!"),"",IF(OR(J4994=0,AND(J4994=1,K4994=1),AND(J4994=1,I4994="SBJ"),AND(J4994=1,I4994=0)),"?IN_FOCUS",IF(J4994&lt;=2,"?ACTIVATED",IF(J4994&lt;&gt;"","?FAMILIAR",IF(F4994="NEW",IF(ISNA(VLOOKUP(E4994,#REF!,1,FALSE())),"?TYPE_IDENTIFIABLE","?REFERENTIAL"),"_")))))</f>
        <v> </v>
      </c>
      <c r="H4994" s="24" t="str">
        <f>IF(J4994&lt;&gt;1,"",IF(I4994="SBJ","CB","?"))</f>
        <v> </v>
      </c>
      <c r="I4994" s="25" t="str">
        <f>IF(OR(E4994="",E4994="!!!",F4994="NEW"),"",INDEX(B4993:B$2,-1+SUMPRODUCT(MAX(ROW(E4993:E$2)*(E4994=E4993:E$2)))))</f>
        <v> </v>
      </c>
      <c r="J4994" s="25" t="str">
        <f>IF(OR(E4994="",E4994="!!!",F4994="NEW"),"",COUNTBLANK(OFFSET(A$1,,,SUMPRODUCT(MAX(ROW(E$2:E4994)*(E4994=E$2:E4994)))))-COUNTBLANK(OFFSET(A$1,,,SUMPRODUCT(MAX(ROW(E$1:E4993)*(E2=E$1:E4993))))))</f>
        <v> </v>
      </c>
      <c r="K4994" s="25" t="str">
        <f>IF(OR(E4994="",E4994="!!!",F4994="NEW"),"",INDEX(J$1:J4993,SUMPRODUCT(MAX(ROW(E$1:E4993)*(E4994=E$1:E4993)))))</f>
        <v> </v>
      </c>
      <c r="L4994" s="26"/>
    </row>
    <row r="4995" spans="1:12">
      <c r="A4995" s="20" t="s">
        <v>2064</v>
      </c>
      <c r="E4995" s="21">
        <f>IF(D4995="?OLD","!!!","")</f>
        <v/>
      </c>
      <c r="F4995" s="22" t="str">
        <f>IF(OR(E4995="",E4995="!!!"),"",IF(NOT(ISNA(VLOOKUP(E4995,E$1:E4994,1,FALSE()))),"OLD",IF(AND(E4995&lt;&gt;"",E4995&lt;&gt;"!!!"),"NEW","")))</f>
        <v> </v>
      </c>
      <c r="G4995" s="23" t="str">
        <f>IF(OR(E4995="",E4995="!!!"),"",IF(OR(J4995=0,AND(J4995=1,K4995=1),AND(J4995=1,I4995="SBJ"),AND(J4995=1,I4995=0)),"?IN_FOCUS",IF(J4995&lt;=2,"?ACTIVATED",IF(J4995&lt;&gt;"","?FAMILIAR",IF(F4995="NEW",IF(ISNA(VLOOKUP(E4995,#REF!,1,FALSE())),"?TYPE_IDENTIFIABLE","?REFERENTIAL"),"_")))))</f>
        <v> </v>
      </c>
      <c r="H4995" s="24" t="str">
        <f>IF(J4995&lt;&gt;1,"",IF(I4995="SBJ","CB","?"))</f>
        <v> </v>
      </c>
      <c r="I4995" s="25" t="str">
        <f>IF(OR(E4995="",E4995="!!!",F4995="NEW"),"",INDEX(B4994:B$2,-1+SUMPRODUCT(MAX(ROW(E4994:E$2)*(E4995=E4994:E$2)))))</f>
        <v> </v>
      </c>
      <c r="J4995" s="25" t="str">
        <f>IF(OR(E4995="",E4995="!!!",F4995="NEW"),"",COUNTBLANK(OFFSET(A$1,,,SUMPRODUCT(MAX(ROW(E$2:E4995)*(E4995=E$2:E4995)))))-COUNTBLANK(OFFSET(A$1,,,SUMPRODUCT(MAX(ROW(E$1:E4994)*(E2=E$1:E4994))))))</f>
        <v> </v>
      </c>
      <c r="K4995" s="25" t="str">
        <f>IF(OR(E4995="",E4995="!!!",F4995="NEW"),"",INDEX(J$1:J4994,SUMPRODUCT(MAX(ROW(E$1:E4994)*(E4995=E$1:E4994)))))</f>
        <v> </v>
      </c>
      <c r="L4995" s="26"/>
    </row>
    <row r="4996" spans="1:12">
      <c r="A4996" s="20" t="s">
        <v>792</v>
      </c>
      <c r="B4996" s="27" t="s">
        <v>767</v>
      </c>
      <c r="E4996" s="21">
        <f>IF(D4996="?OLD","!!!","")</f>
        <v/>
      </c>
      <c r="F4996" s="22" t="str">
        <f>IF(OR(E4996="",E4996="!!!"),"",IF(NOT(ISNA(VLOOKUP(E4996,E$1:E4995,1,FALSE()))),"OLD",IF(AND(E4996&lt;&gt;"",E4996&lt;&gt;"!!!"),"NEW","")))</f>
        <v> </v>
      </c>
      <c r="G4996" s="23" t="str">
        <f>IF(OR(E4996="",E4996="!!!"),"",IF(OR(J4996=0,AND(J4996=1,K4996=1),AND(J4996=1,I4996="SBJ"),AND(J4996=1,I4996=0)),"?IN_FOCUS",IF(J4996&lt;=2,"?ACTIVATED",IF(J4996&lt;&gt;"","?FAMILIAR",IF(F4996="NEW",IF(ISNA(VLOOKUP(E4996,#REF!,1,FALSE())),"?TYPE_IDENTIFIABLE","?REFERENTIAL"),"_")))))</f>
        <v> </v>
      </c>
      <c r="H4996" s="24" t="str">
        <f>IF(J4996&lt;&gt;1,"",IF(I4996="SBJ","CB","?"))</f>
        <v> </v>
      </c>
      <c r="I4996" s="25" t="str">
        <f>IF(OR(E4996="",E4996="!!!",F4996="NEW"),"",INDEX(B4995:B$2,-1+SUMPRODUCT(MAX(ROW(E4995:E$2)*(E4996=E4995:E$2)))))</f>
        <v> </v>
      </c>
      <c r="J4996" s="25" t="str">
        <f>IF(OR(E4996="",E4996="!!!",F4996="NEW"),"",COUNTBLANK(OFFSET(A$1,,,SUMPRODUCT(MAX(ROW(E$2:E4996)*(E4996=E$2:E4996)))))-COUNTBLANK(OFFSET(A$1,,,SUMPRODUCT(MAX(ROW(E$1:E4995)*(E2=E$1:E4995))))))</f>
        <v> </v>
      </c>
      <c r="K4996" s="25" t="str">
        <f>IF(OR(E4996="",E4996="!!!",F4996="NEW"),"",INDEX(J$1:J4995,SUMPRODUCT(MAX(ROW(E$1:E4995)*(E4996=E$1:E4995)))))</f>
        <v> </v>
      </c>
      <c r="L4996" s="26"/>
    </row>
    <row r="4997" spans="1:12">
      <c r="A4997" s="20" t="s">
        <v>805</v>
      </c>
      <c r="E4997" s="21">
        <f>IF(D4997="?OLD","!!!","")</f>
        <v/>
      </c>
      <c r="F4997" s="22" t="str">
        <f>IF(OR(E4997="",E4997="!!!"),"",IF(NOT(ISNA(VLOOKUP(E4997,E$1:E4996,1,FALSE()))),"OLD",IF(AND(E4997&lt;&gt;"",E4997&lt;&gt;"!!!"),"NEW","")))</f>
        <v> </v>
      </c>
      <c r="G4997" s="23" t="str">
        <f>IF(OR(E4997="",E4997="!!!"),"",IF(OR(J4997=0,AND(J4997=1,K4997=1),AND(J4997=1,I4997="SBJ"),AND(J4997=1,I4997=0)),"?IN_FOCUS",IF(J4997&lt;=2,"?ACTIVATED",IF(J4997&lt;&gt;"","?FAMILIAR",IF(F4997="NEW",IF(ISNA(VLOOKUP(E4997,#REF!,1,FALSE())),"?TYPE_IDENTIFIABLE","?REFERENTIAL"),"_")))))</f>
        <v> </v>
      </c>
      <c r="H4997" s="24" t="str">
        <f>IF(J4997&lt;&gt;1,"",IF(I4997="SBJ","CB","?"))</f>
        <v> </v>
      </c>
      <c r="I4997" s="25" t="str">
        <f>IF(OR(E4997="",E4997="!!!",F4997="NEW"),"",INDEX(B4996:B$2,-1+SUMPRODUCT(MAX(ROW(E4996:E$2)*(E4997=E4996:E$2)))))</f>
        <v> </v>
      </c>
      <c r="J4997" s="25" t="str">
        <f>IF(OR(E4997="",E4997="!!!",F4997="NEW"),"",COUNTBLANK(OFFSET(A$1,,,SUMPRODUCT(MAX(ROW(E$2:E4997)*(E4997=E$2:E4997)))))-COUNTBLANK(OFFSET(A$1,,,SUMPRODUCT(MAX(ROW(E$1:E4996)*(E2=E$1:E4996))))))</f>
        <v> </v>
      </c>
      <c r="K4997" s="25" t="str">
        <f>IF(OR(E4997="",E4997="!!!",F4997="NEW"),"",INDEX(J$1:J4996,SUMPRODUCT(MAX(ROW(E$1:E4996)*(E4997=E$1:E4996)))))</f>
        <v> </v>
      </c>
      <c r="L4997" s="26"/>
    </row>
    <row r="4998" spans="1:12">
      <c r="A4998" s="20" t="s">
        <v>939</v>
      </c>
      <c r="B4998" s="27" t="s">
        <v>772</v>
      </c>
      <c r="C4998" s="27" t="s">
        <v>754</v>
      </c>
      <c r="E4998" s="21">
        <f>IF(D4998="?OLD","!!!","")</f>
        <v/>
      </c>
      <c r="F4998" s="22" t="str">
        <f>IF(OR(E4998="",E4998="!!!"),"",IF(NOT(ISNA(VLOOKUP(E4998,E$1:E4997,1,FALSE()))),"OLD",IF(AND(E4998&lt;&gt;"",E4998&lt;&gt;"!!!"),"NEW","")))</f>
        <v> </v>
      </c>
      <c r="G4998" s="23" t="str">
        <f>IF(OR(E4998="",E4998="!!!"),"",IF(OR(J4998=0,AND(J4998=1,K4998=1),AND(J4998=1,I4998="SBJ"),AND(J4998=1,I4998=0)),"?IN_FOCUS",IF(J4998&lt;=2,"?ACTIVATED",IF(J4998&lt;&gt;"","?FAMILIAR",IF(F4998="NEW",IF(ISNA(VLOOKUP(E4998,#REF!,1,FALSE())),"?TYPE_IDENTIFIABLE","?REFERENTIAL"),"_")))))</f>
        <v> </v>
      </c>
      <c r="H4998" s="24" t="str">
        <f>IF(J4998&lt;&gt;1,"",IF(I4998="SBJ","CB","?"))</f>
        <v> </v>
      </c>
      <c r="I4998" s="25" t="str">
        <f>IF(OR(E4998="",E4998="!!!",F4998="NEW"),"",INDEX(B4997:B$2,-1+SUMPRODUCT(MAX(ROW(E4997:E$2)*(E4998=E4997:E$2)))))</f>
        <v> </v>
      </c>
      <c r="J4998" s="25" t="str">
        <f>IF(OR(E4998="",E4998="!!!",F4998="NEW"),"",COUNTBLANK(OFFSET(A$1,,,SUMPRODUCT(MAX(ROW(E$2:E4998)*(E4998=E$2:E4998)))))-COUNTBLANK(OFFSET(A$1,,,SUMPRODUCT(MAX(ROW(E$1:E4997)*(E2=E$1:E4997))))))</f>
        <v> </v>
      </c>
      <c r="K4998" s="25" t="str">
        <f>IF(OR(E4998="",E4998="!!!",F4998="NEW"),"",INDEX(J$1:J4997,SUMPRODUCT(MAX(ROW(E$1:E4997)*(E4998=E$1:E4997)))))</f>
        <v> </v>
      </c>
      <c r="L4998" s="26"/>
    </row>
    <row r="4999" spans="1:12">
      <c r="A4999" s="20" t="s">
        <v>2065</v>
      </c>
      <c r="E4999" s="21">
        <f>IF(D4999="?OLD","!!!","")</f>
        <v/>
      </c>
      <c r="F4999" s="22" t="str">
        <f>IF(OR(E4999="",E4999="!!!"),"",IF(NOT(ISNA(VLOOKUP(E4999,E$1:E4998,1,FALSE()))),"OLD",IF(AND(E4999&lt;&gt;"",E4999&lt;&gt;"!!!"),"NEW","")))</f>
        <v> </v>
      </c>
      <c r="G4999" s="23" t="str">
        <f>IF(OR(E4999="",E4999="!!!"),"",IF(OR(J4999=0,AND(J4999=1,K4999=1),AND(J4999=1,I4999="SBJ"),AND(J4999=1,I4999=0)),"?IN_FOCUS",IF(J4999&lt;=2,"?ACTIVATED",IF(J4999&lt;&gt;"","?FAMILIAR",IF(F4999="NEW",IF(ISNA(VLOOKUP(E4999,#REF!,1,FALSE())),"?TYPE_IDENTIFIABLE","?REFERENTIAL"),"_")))))</f>
        <v> </v>
      </c>
      <c r="H4999" s="24" t="str">
        <f>IF(J4999&lt;&gt;1,"",IF(I4999="SBJ","CB","?"))</f>
        <v> </v>
      </c>
      <c r="I4999" s="25" t="str">
        <f>IF(OR(E4999="",E4999="!!!",F4999="NEW"),"",INDEX(B4998:B$2,-1+SUMPRODUCT(MAX(ROW(E4998:E$2)*(E4999=E4998:E$2)))))</f>
        <v> </v>
      </c>
      <c r="J4999" s="25" t="str">
        <f>IF(OR(E4999="",E4999="!!!",F4999="NEW"),"",COUNTBLANK(OFFSET(A$1,,,SUMPRODUCT(MAX(ROW(E$2:E4999)*(E4999=E$2:E4999)))))-COUNTBLANK(OFFSET(A$1,,,SUMPRODUCT(MAX(ROW(E$1:E4998)*(E2=E$1:E4998))))))</f>
        <v> </v>
      </c>
      <c r="K4999" s="25" t="str">
        <f>IF(OR(E4999="",E4999="!!!",F4999="NEW"),"",INDEX(J$1:J4998,SUMPRODUCT(MAX(ROW(E$1:E4998)*(E4999=E$1:E4998)))))</f>
        <v> </v>
      </c>
      <c r="L4999" s="26"/>
    </row>
    <row r="5000" spans="1:12">
      <c r="A5000" s="20" t="s">
        <v>757</v>
      </c>
      <c r="E5000" s="21">
        <f>IF(D5000="?OLD","!!!","")</f>
        <v/>
      </c>
      <c r="F5000" s="22" t="str">
        <f>IF(OR(E5000="",E5000="!!!"),"",IF(NOT(ISNA(VLOOKUP(E5000,E$1:E4999,1,FALSE()))),"OLD",IF(AND(E5000&lt;&gt;"",E5000&lt;&gt;"!!!"),"NEW","")))</f>
        <v> </v>
      </c>
      <c r="G5000" s="23" t="str">
        <f>IF(OR(E5000="",E5000="!!!"),"",IF(OR(J5000=0,AND(J5000=1,K5000=1),AND(J5000=1,I5000="SBJ"),AND(J5000=1,I5000=0)),"?IN_FOCUS",IF(J5000&lt;=2,"?ACTIVATED",IF(J5000&lt;&gt;"","?FAMILIAR",IF(F5000="NEW",IF(ISNA(VLOOKUP(E5000,#REF!,1,FALSE())),"?TYPE_IDENTIFIABLE","?REFERENTIAL"),"_")))))</f>
        <v> </v>
      </c>
      <c r="H5000" s="24" t="str">
        <f>IF(J5000&lt;&gt;1,"",IF(I5000="SBJ","CB","?"))</f>
        <v> </v>
      </c>
      <c r="I5000" s="25" t="str">
        <f>IF(OR(E5000="",E5000="!!!",F5000="NEW"),"",INDEX(B4999:B$2,-1+SUMPRODUCT(MAX(ROW(E4999:E$2)*(E5000=E4999:E$2)))))</f>
        <v> </v>
      </c>
      <c r="J5000" s="25" t="str">
        <f>IF(OR(E5000="",E5000="!!!",F5000="NEW"),"",COUNTBLANK(OFFSET(A$1,,,SUMPRODUCT(MAX(ROW(E$2:E5000)*(E5000=E$2:E5000)))))-COUNTBLANK(OFFSET(A$1,,,SUMPRODUCT(MAX(ROW(E$1:E4999)*(E2=E$1:E4999))))))</f>
        <v> </v>
      </c>
      <c r="K5000" s="25" t="str">
        <f>IF(OR(E5000="",E5000="!!!",F5000="NEW"),"",INDEX(J$1:J4999,SUMPRODUCT(MAX(ROW(E$1:E4999)*(E5000=E$1:E4999)))))</f>
        <v> </v>
      </c>
      <c r="L5000" s="26"/>
    </row>
    <row r="5001" spans="1:12">
      <c r="A5001" s="20" t="s">
        <v>793</v>
      </c>
      <c r="E5001" s="21">
        <f>IF(D5001="?OLD","!!!","")</f>
        <v/>
      </c>
      <c r="F5001" s="22" t="str">
        <f>IF(OR(E5001="",E5001="!!!"),"",IF(NOT(ISNA(VLOOKUP(E5001,E$1:E5000,1,FALSE()))),"OLD",IF(AND(E5001&lt;&gt;"",E5001&lt;&gt;"!!!"),"NEW","")))</f>
        <v> </v>
      </c>
      <c r="G5001" s="23" t="str">
        <f>IF(OR(E5001="",E5001="!!!"),"",IF(OR(J5001=0,AND(J5001=1,K5001=1),AND(J5001=1,I5001="SBJ"),AND(J5001=1,I5001=0)),"?IN_FOCUS",IF(J5001&lt;=2,"?ACTIVATED",IF(J5001&lt;&gt;"","?FAMILIAR",IF(F5001="NEW",IF(ISNA(VLOOKUP(E5001,#REF!,1,FALSE())),"?TYPE_IDENTIFIABLE","?REFERENTIAL"),"_")))))</f>
        <v> </v>
      </c>
      <c r="H5001" s="24" t="str">
        <f>IF(J5001&lt;&gt;1,"",IF(I5001="SBJ","CB","?"))</f>
        <v> </v>
      </c>
      <c r="I5001" s="25" t="str">
        <f>IF(OR(E5001="",E5001="!!!",F5001="NEW"),"",INDEX(B5000:B$2,-1+SUMPRODUCT(MAX(ROW(E5000:E$2)*(E5001=E5000:E$2)))))</f>
        <v> </v>
      </c>
      <c r="J5001" s="25" t="str">
        <f>IF(OR(E5001="",E5001="!!!",F5001="NEW"),"",COUNTBLANK(OFFSET(A$1,,,SUMPRODUCT(MAX(ROW(E$2:E5001)*(E5001=E$2:E5001)))))-COUNTBLANK(OFFSET(A$1,,,SUMPRODUCT(MAX(ROW(E$1:E5000)*(E2=E$1:E5000))))))</f>
        <v> </v>
      </c>
      <c r="K5001" s="25" t="str">
        <f>IF(OR(E5001="",E5001="!!!",F5001="NEW"),"",INDEX(J$1:J5000,SUMPRODUCT(MAX(ROW(E$1:E5000)*(E5001=E$1:E5000)))))</f>
        <v> </v>
      </c>
      <c r="L5001" s="26"/>
    </row>
    <row r="5002" spans="1:12">
      <c r="A5002" s="20" t="s">
        <v>869</v>
      </c>
      <c r="B5002" s="27" t="s">
        <v>796</v>
      </c>
      <c r="C5002" s="27" t="s">
        <v>797</v>
      </c>
      <c r="D5002" s="27" t="s">
        <v>762</v>
      </c>
      <c r="E5002" s="21">
        <f>IF(D5002="?OLD","!!!","")</f>
        <v/>
      </c>
      <c r="F5002" s="22" t="str">
        <f>IF(OR(E5002="",E5002="!!!"),"",IF(NOT(ISNA(VLOOKUP(E5002,E$1:E5001,1,FALSE()))),"OLD",IF(AND(E5002&lt;&gt;"",E5002&lt;&gt;"!!!"),"NEW","")))</f>
        <v> </v>
      </c>
      <c r="G5002" s="23" t="str">
        <f>IF(OR(E5002="",E5002="!!!"),"",IF(OR(J5002=0,AND(J5002=1,K5002=1),AND(J5002=1,I5002="SBJ"),AND(J5002=1,I5002=0)),"?IN_FOCUS",IF(J5002&lt;=2,"?ACTIVATED",IF(J5002&lt;&gt;"","?FAMILIAR",IF(F5002="NEW",IF(ISNA(VLOOKUP(E5002,#REF!,1,FALSE())),"?TYPE_IDENTIFIABLE","?REFERENTIAL"),"_")))))</f>
        <v> </v>
      </c>
      <c r="H5002" s="24" t="str">
        <f>IF(J5002&lt;&gt;1,"",IF(I5002="SBJ","CB","?"))</f>
        <v> </v>
      </c>
      <c r="I5002" s="25" t="str">
        <f>IF(OR(E5002="",E5002="!!!",F5002="NEW"),"",INDEX(B5001:B$2,-1+SUMPRODUCT(MAX(ROW(E5001:E$2)*(E5002=E5001:E$2)))))</f>
        <v> </v>
      </c>
      <c r="J5002" s="25" t="str">
        <f>IF(OR(E5002="",E5002="!!!",F5002="NEW"),"",COUNTBLANK(OFFSET(A$1,,,SUMPRODUCT(MAX(ROW(E$2:E5002)*(E5002=E$2:E5002)))))-COUNTBLANK(OFFSET(A$1,,,SUMPRODUCT(MAX(ROW(E$1:E5001)*(E2=E$1:E5001))))))</f>
        <v> </v>
      </c>
      <c r="K5002" s="25" t="str">
        <f>IF(OR(E5002="",E5002="!!!",F5002="NEW"),"",INDEX(J$1:J5001,SUMPRODUCT(MAX(ROW(E$1:E5001)*(E5002=E$1:E5001)))))</f>
        <v> </v>
      </c>
      <c r="L5002" s="26"/>
    </row>
    <row r="5003" spans="1:12">
      <c r="A5003" s="20" t="s">
        <v>870</v>
      </c>
      <c r="E5003" s="21">
        <f>IF(D5003="?OLD","!!!","")</f>
        <v/>
      </c>
      <c r="F5003" s="22" t="str">
        <f>IF(OR(E5003="",E5003="!!!"),"",IF(NOT(ISNA(VLOOKUP(E5003,E$1:E5002,1,FALSE()))),"OLD",IF(AND(E5003&lt;&gt;"",E5003&lt;&gt;"!!!"),"NEW","")))</f>
        <v> </v>
      </c>
      <c r="G5003" s="23" t="str">
        <f>IF(OR(E5003="",E5003="!!!"),"",IF(OR(J5003=0,AND(J5003=1,K5003=1),AND(J5003=1,I5003="SBJ"),AND(J5003=1,I5003=0)),"?IN_FOCUS",IF(J5003&lt;=2,"?ACTIVATED",IF(J5003&lt;&gt;"","?FAMILIAR",IF(F5003="NEW",IF(ISNA(VLOOKUP(E5003,#REF!,1,FALSE())),"?TYPE_IDENTIFIABLE","?REFERENTIAL"),"_")))))</f>
        <v> </v>
      </c>
      <c r="H5003" s="24" t="str">
        <f>IF(J5003&lt;&gt;1,"",IF(I5003="SBJ","CB","?"))</f>
        <v> </v>
      </c>
      <c r="I5003" s="25" t="str">
        <f>IF(OR(E5003="",E5003="!!!",F5003="NEW"),"",INDEX(B5002:B$2,-1+SUMPRODUCT(MAX(ROW(E5002:E$2)*(E5003=E5002:E$2)))))</f>
        <v> </v>
      </c>
      <c r="J5003" s="25" t="str">
        <f>IF(OR(E5003="",E5003="!!!",F5003="NEW"),"",COUNTBLANK(OFFSET(A$1,,,SUMPRODUCT(MAX(ROW(E$2:E5003)*(E5003=E$2:E5003)))))-COUNTBLANK(OFFSET(A$1,,,SUMPRODUCT(MAX(ROW(E$1:E5002)*(E2=E$1:E5002))))))</f>
        <v> </v>
      </c>
      <c r="K5003" s="25" t="str">
        <f>IF(OR(E5003="",E5003="!!!",F5003="NEW"),"",INDEX(J$1:J5002,SUMPRODUCT(MAX(ROW(E$1:E5002)*(E5003=E$1:E5002)))))</f>
        <v> </v>
      </c>
      <c r="L5003" s="26"/>
    </row>
    <row r="5004" spans="1:12">
      <c r="A5004" s="20" t="s">
        <v>2066</v>
      </c>
      <c r="E5004" s="21">
        <f>IF(D5004="?OLD","!!!","")</f>
        <v/>
      </c>
      <c r="F5004" s="22" t="str">
        <f>IF(OR(E5004="",E5004="!!!"),"",IF(NOT(ISNA(VLOOKUP(E5004,E$1:E5003,1,FALSE()))),"OLD",IF(AND(E5004&lt;&gt;"",E5004&lt;&gt;"!!!"),"NEW","")))</f>
        <v> </v>
      </c>
      <c r="G5004" s="23" t="str">
        <f>IF(OR(E5004="",E5004="!!!"),"",IF(OR(J5004=0,AND(J5004=1,K5004=1),AND(J5004=1,I5004="SBJ"),AND(J5004=1,I5004=0)),"?IN_FOCUS",IF(J5004&lt;=2,"?ACTIVATED",IF(J5004&lt;&gt;"","?FAMILIAR",IF(F5004="NEW",IF(ISNA(VLOOKUP(E5004,#REF!,1,FALSE())),"?TYPE_IDENTIFIABLE","?REFERENTIAL"),"_")))))</f>
        <v> </v>
      </c>
      <c r="H5004" s="24" t="str">
        <f>IF(J5004&lt;&gt;1,"",IF(I5004="SBJ","CB","?"))</f>
        <v> </v>
      </c>
      <c r="I5004" s="25" t="str">
        <f>IF(OR(E5004="",E5004="!!!",F5004="NEW"),"",INDEX(B5003:B$2,-1+SUMPRODUCT(MAX(ROW(E5003:E$2)*(E5004=E5003:E$2)))))</f>
        <v> </v>
      </c>
      <c r="J5004" s="25" t="str">
        <f>IF(OR(E5004="",E5004="!!!",F5004="NEW"),"",COUNTBLANK(OFFSET(A$1,,,SUMPRODUCT(MAX(ROW(E$2:E5004)*(E5004=E$2:E5004)))))-COUNTBLANK(OFFSET(A$1,,,SUMPRODUCT(MAX(ROW(E$1:E5003)*(E2=E$1:E5003))))))</f>
        <v> </v>
      </c>
      <c r="K5004" s="25" t="str">
        <f>IF(OR(E5004="",E5004="!!!",F5004="NEW"),"",INDEX(J$1:J5003,SUMPRODUCT(MAX(ROW(E$1:E5003)*(E5004=E$1:E5003)))))</f>
        <v> </v>
      </c>
      <c r="L5004" s="26"/>
    </row>
    <row r="5005" spans="1:12">
      <c r="A5005" s="20" t="s">
        <v>2067</v>
      </c>
      <c r="E5005" s="21">
        <f>IF(D5005="?OLD","!!!","")</f>
        <v/>
      </c>
      <c r="F5005" s="22" t="str">
        <f>IF(OR(E5005="",E5005="!!!"),"",IF(NOT(ISNA(VLOOKUP(E5005,E$1:E5004,1,FALSE()))),"OLD",IF(AND(E5005&lt;&gt;"",E5005&lt;&gt;"!!!"),"NEW","")))</f>
        <v> </v>
      </c>
      <c r="G5005" s="23" t="str">
        <f>IF(OR(E5005="",E5005="!!!"),"",IF(OR(J5005=0,AND(J5005=1,K5005=1),AND(J5005=1,I5005="SBJ"),AND(J5005=1,I5005=0)),"?IN_FOCUS",IF(J5005&lt;=2,"?ACTIVATED",IF(J5005&lt;&gt;"","?FAMILIAR",IF(F5005="NEW",IF(ISNA(VLOOKUP(E5005,#REF!,1,FALSE())),"?TYPE_IDENTIFIABLE","?REFERENTIAL"),"_")))))</f>
        <v> </v>
      </c>
      <c r="H5005" s="24" t="str">
        <f>IF(J5005&lt;&gt;1,"",IF(I5005="SBJ","CB","?"))</f>
        <v> </v>
      </c>
      <c r="I5005" s="25" t="str">
        <f>IF(OR(E5005="",E5005="!!!",F5005="NEW"),"",INDEX(B5004:B$2,-1+SUMPRODUCT(MAX(ROW(E5004:E$2)*(E5005=E5004:E$2)))))</f>
        <v> </v>
      </c>
      <c r="J5005" s="25" t="str">
        <f>IF(OR(E5005="",E5005="!!!",F5005="NEW"),"",COUNTBLANK(OFFSET(A$1,,,SUMPRODUCT(MAX(ROW(E$2:E5005)*(E5005=E$2:E5005)))))-COUNTBLANK(OFFSET(A$1,,,SUMPRODUCT(MAX(ROW(E$1:E5004)*(E2=E$1:E5004))))))</f>
        <v> </v>
      </c>
      <c r="K5005" s="25" t="str">
        <f>IF(OR(E5005="",E5005="!!!",F5005="NEW"),"",INDEX(J$1:J5004,SUMPRODUCT(MAX(ROW(E$1:E5004)*(E5005=E$1:E5004)))))</f>
        <v> </v>
      </c>
      <c r="L5005" s="26"/>
    </row>
    <row r="5006" spans="1:12">
      <c r="A5006" s="20" t="s">
        <v>872</v>
      </c>
      <c r="E5006" s="21">
        <f>IF(D5006="?OLD","!!!","")</f>
        <v/>
      </c>
      <c r="F5006" s="22" t="str">
        <f>IF(OR(E5006="",E5006="!!!"),"",IF(NOT(ISNA(VLOOKUP(E5006,E$1:E5005,1,FALSE()))),"OLD",IF(AND(E5006&lt;&gt;"",E5006&lt;&gt;"!!!"),"NEW","")))</f>
        <v> </v>
      </c>
      <c r="G5006" s="23" t="str">
        <f>IF(OR(E5006="",E5006="!!!"),"",IF(OR(J5006=0,AND(J5006=1,K5006=1),AND(J5006=1,I5006="SBJ"),AND(J5006=1,I5006=0)),"?IN_FOCUS",IF(J5006&lt;=2,"?ACTIVATED",IF(J5006&lt;&gt;"","?FAMILIAR",IF(F5006="NEW",IF(ISNA(VLOOKUP(E5006,#REF!,1,FALSE())),"?TYPE_IDENTIFIABLE","?REFERENTIAL"),"_")))))</f>
        <v> </v>
      </c>
      <c r="H5006" s="24" t="str">
        <f>IF(J5006&lt;&gt;1,"",IF(I5006="SBJ","CB","?"))</f>
        <v> </v>
      </c>
      <c r="I5006" s="25" t="str">
        <f>IF(OR(E5006="",E5006="!!!",F5006="NEW"),"",INDEX(B5005:B$2,-1+SUMPRODUCT(MAX(ROW(E5005:E$2)*(E5006=E5005:E$2)))))</f>
        <v> </v>
      </c>
      <c r="J5006" s="25" t="str">
        <f>IF(OR(E5006="",E5006="!!!",F5006="NEW"),"",COUNTBLANK(OFFSET(A$1,,,SUMPRODUCT(MAX(ROW(E$2:E5006)*(E5006=E$2:E5006)))))-COUNTBLANK(OFFSET(A$1,,,SUMPRODUCT(MAX(ROW(E$1:E5005)*(E2=E$1:E5005))))))</f>
        <v> </v>
      </c>
      <c r="K5006" s="25" t="str">
        <f>IF(OR(E5006="",E5006="!!!",F5006="NEW"),"",INDEX(J$1:J5005,SUMPRODUCT(MAX(ROW(E$1:E5005)*(E5006=E$1:E5005)))))</f>
        <v> </v>
      </c>
      <c r="L5006" s="26"/>
    </row>
    <row r="5007" spans="1:12">
      <c r="A5007" s="20" t="s">
        <v>931</v>
      </c>
      <c r="B5007" s="27" t="s">
        <v>879</v>
      </c>
      <c r="C5007" s="27" t="s">
        <v>851</v>
      </c>
      <c r="D5007" s="27" t="s">
        <v>762</v>
      </c>
      <c r="E5007" s="21">
        <f>IF(D5007="?OLD","!!!","")</f>
        <v/>
      </c>
      <c r="F5007" s="22" t="str">
        <f>IF(OR(E5007="",E5007="!!!"),"",IF(NOT(ISNA(VLOOKUP(E5007,E$1:E5006,1,FALSE()))),"OLD",IF(AND(E5007&lt;&gt;"",E5007&lt;&gt;"!!!"),"NEW","")))</f>
        <v> </v>
      </c>
      <c r="G5007" s="23" t="str">
        <f>IF(OR(E5007="",E5007="!!!"),"",IF(OR(J5007=0,AND(J5007=1,K5007=1),AND(J5007=1,I5007="SBJ"),AND(J5007=1,I5007=0)),"?IN_FOCUS",IF(J5007&lt;=2,"?ACTIVATED",IF(J5007&lt;&gt;"","?FAMILIAR",IF(F5007="NEW",IF(ISNA(VLOOKUP(E5007,#REF!,1,FALSE())),"?TYPE_IDENTIFIABLE","?REFERENTIAL"),"_")))))</f>
        <v> </v>
      </c>
      <c r="H5007" s="24" t="str">
        <f>IF(J5007&lt;&gt;1,"",IF(I5007="SBJ","CB","?"))</f>
        <v> </v>
      </c>
      <c r="I5007" s="25" t="str">
        <f>IF(OR(E5007="",E5007="!!!",F5007="NEW"),"",INDEX(B5006:B$2,-1+SUMPRODUCT(MAX(ROW(E5006:E$2)*(E5007=E5006:E$2)))))</f>
        <v> </v>
      </c>
      <c r="J5007" s="25" t="str">
        <f>IF(OR(E5007="",E5007="!!!",F5007="NEW"),"",COUNTBLANK(OFFSET(A$1,,,SUMPRODUCT(MAX(ROW(E$2:E5007)*(E5007=E$2:E5007)))))-COUNTBLANK(OFFSET(A$1,,,SUMPRODUCT(MAX(ROW(E$1:E5006)*(E2=E$1:E5006))))))</f>
        <v> </v>
      </c>
      <c r="K5007" s="25" t="str">
        <f>IF(OR(E5007="",E5007="!!!",F5007="NEW"),"",INDEX(J$1:J5006,SUMPRODUCT(MAX(ROW(E$1:E5006)*(E5007=E$1:E5006)))))</f>
        <v> </v>
      </c>
      <c r="L5007" s="26"/>
    </row>
    <row r="5008" spans="1:12">
      <c r="A5008" s="20" t="s">
        <v>2068</v>
      </c>
      <c r="B5008" s="27" t="s">
        <v>772</v>
      </c>
      <c r="C5008" s="27" t="s">
        <v>837</v>
      </c>
      <c r="D5008" s="27" t="s">
        <v>762</v>
      </c>
      <c r="E5008" s="21">
        <f>IF(D5008="?OLD","!!!","")</f>
        <v/>
      </c>
      <c r="F5008" s="22" t="str">
        <f>IF(OR(E5008="",E5008="!!!"),"",IF(NOT(ISNA(VLOOKUP(E5008,E$1:E5007,1,FALSE()))),"OLD",IF(AND(E5008&lt;&gt;"",E5008&lt;&gt;"!!!"),"NEW","")))</f>
        <v> </v>
      </c>
      <c r="G5008" s="23" t="str">
        <f>IF(OR(E5008="",E5008="!!!"),"",IF(OR(J5008=0,AND(J5008=1,K5008=1),AND(J5008=1,I5008="SBJ"),AND(J5008=1,I5008=0)),"?IN_FOCUS",IF(J5008&lt;=2,"?ACTIVATED",IF(J5008&lt;&gt;"","?FAMILIAR",IF(F5008="NEW",IF(ISNA(VLOOKUP(E5008,#REF!,1,FALSE())),"?TYPE_IDENTIFIABLE","?REFERENTIAL"),"_")))))</f>
        <v> </v>
      </c>
      <c r="H5008" s="24" t="str">
        <f>IF(J5008&lt;&gt;1,"",IF(I5008="SBJ","CB","?"))</f>
        <v> </v>
      </c>
      <c r="I5008" s="25" t="str">
        <f>IF(OR(E5008="",E5008="!!!",F5008="NEW"),"",INDEX(B5007:B$2,-1+SUMPRODUCT(MAX(ROW(E5007:E$2)*(E5008=E5007:E$2)))))</f>
        <v> </v>
      </c>
      <c r="J5008" s="25" t="str">
        <f>IF(OR(E5008="",E5008="!!!",F5008="NEW"),"",COUNTBLANK(OFFSET(A$1,,,SUMPRODUCT(MAX(ROW(E$2:E5008)*(E5008=E$2:E5008)))))-COUNTBLANK(OFFSET(A$1,,,SUMPRODUCT(MAX(ROW(E$1:E5007)*(E2=E$1:E5007))))))</f>
        <v> </v>
      </c>
      <c r="K5008" s="25" t="str">
        <f>IF(OR(E5008="",E5008="!!!",F5008="NEW"),"",INDEX(J$1:J5007,SUMPRODUCT(MAX(ROW(E$1:E5007)*(E5008=E$1:E5007)))))</f>
        <v> </v>
      </c>
      <c r="L5008" s="26"/>
    </row>
    <row r="5009" spans="1:12">
      <c r="A5009" s="20" t="s">
        <v>2069</v>
      </c>
      <c r="E5009" s="21">
        <f>IF(D5009="?OLD","!!!","")</f>
        <v/>
      </c>
      <c r="F5009" s="22" t="str">
        <f>IF(OR(E5009="",E5009="!!!"),"",IF(NOT(ISNA(VLOOKUP(E5009,E$1:E5008,1,FALSE()))),"OLD",IF(AND(E5009&lt;&gt;"",E5009&lt;&gt;"!!!"),"NEW","")))</f>
        <v> </v>
      </c>
      <c r="G5009" s="23" t="str">
        <f>IF(OR(E5009="",E5009="!!!"),"",IF(OR(J5009=0,AND(J5009=1,K5009=1),AND(J5009=1,I5009="SBJ"),AND(J5009=1,I5009=0)),"?IN_FOCUS",IF(J5009&lt;=2,"?ACTIVATED",IF(J5009&lt;&gt;"","?FAMILIAR",IF(F5009="NEW",IF(ISNA(VLOOKUP(E5009,#REF!,1,FALSE())),"?TYPE_IDENTIFIABLE","?REFERENTIAL"),"_")))))</f>
        <v> </v>
      </c>
      <c r="H5009" s="24" t="str">
        <f>IF(J5009&lt;&gt;1,"",IF(I5009="SBJ","CB","?"))</f>
        <v> </v>
      </c>
      <c r="I5009" s="25" t="str">
        <f>IF(OR(E5009="",E5009="!!!",F5009="NEW"),"",INDEX(B5008:B$2,-1+SUMPRODUCT(MAX(ROW(E5008:E$2)*(E5009=E5008:E$2)))))</f>
        <v> </v>
      </c>
      <c r="J5009" s="25" t="str">
        <f>IF(OR(E5009="",E5009="!!!",F5009="NEW"),"",COUNTBLANK(OFFSET(A$1,,,SUMPRODUCT(MAX(ROW(E$2:E5009)*(E5009=E$2:E5009)))))-COUNTBLANK(OFFSET(A$1,,,SUMPRODUCT(MAX(ROW(E$1:E5008)*(E2=E$1:E5008))))))</f>
        <v> </v>
      </c>
      <c r="K5009" s="25" t="str">
        <f>IF(OR(E5009="",E5009="!!!",F5009="NEW"),"",INDEX(J$1:J5008,SUMPRODUCT(MAX(ROW(E$1:E5008)*(E5009=E$1:E5008)))))</f>
        <v> </v>
      </c>
      <c r="L5009" s="26"/>
    </row>
    <row r="5010" spans="1:12">
      <c r="A5010" s="20" t="s">
        <v>774</v>
      </c>
      <c r="E5010" s="21">
        <f>IF(D5010="?OLD","!!!","")</f>
        <v/>
      </c>
      <c r="F5010" s="22" t="str">
        <f>IF(OR(E5010="",E5010="!!!"),"",IF(NOT(ISNA(VLOOKUP(E5010,E$1:E5009,1,FALSE()))),"OLD",IF(AND(E5010&lt;&gt;"",E5010&lt;&gt;"!!!"),"NEW","")))</f>
        <v> </v>
      </c>
      <c r="G5010" s="23" t="str">
        <f>IF(OR(E5010="",E5010="!!!"),"",IF(OR(J5010=0,AND(J5010=1,K5010=1),AND(J5010=1,I5010="SBJ"),AND(J5010=1,I5010=0)),"?IN_FOCUS",IF(J5010&lt;=2,"?ACTIVATED",IF(J5010&lt;&gt;"","?FAMILIAR",IF(F5010="NEW",IF(ISNA(VLOOKUP(E5010,#REF!,1,FALSE())),"?TYPE_IDENTIFIABLE","?REFERENTIAL"),"_")))))</f>
        <v> </v>
      </c>
      <c r="H5010" s="24" t="str">
        <f>IF(J5010&lt;&gt;1,"",IF(I5010="SBJ","CB","?"))</f>
        <v> </v>
      </c>
      <c r="I5010" s="25" t="str">
        <f>IF(OR(E5010="",E5010="!!!",F5010="NEW"),"",INDEX(B5009:B$2,-1+SUMPRODUCT(MAX(ROW(E5009:E$2)*(E5010=E5009:E$2)))))</f>
        <v> </v>
      </c>
      <c r="J5010" s="25" t="str">
        <f>IF(OR(E5010="",E5010="!!!",F5010="NEW"),"",COUNTBLANK(OFFSET(A$1,,,SUMPRODUCT(MAX(ROW(E$2:E5010)*(E5010=E$2:E5010)))))-COUNTBLANK(OFFSET(A$1,,,SUMPRODUCT(MAX(ROW(E$1:E5009)*(E2=E$1:E5009))))))</f>
        <v> </v>
      </c>
      <c r="K5010" s="25" t="str">
        <f>IF(OR(E5010="",E5010="!!!",F5010="NEW"),"",INDEX(J$1:J5009,SUMPRODUCT(MAX(ROW(E$1:E5009)*(E5010=E$1:E5009)))))</f>
        <v> </v>
      </c>
      <c r="L5010" s="26"/>
    </row>
    <row r="5011" spans="1:12">
      <c r="A5011" s="20"/>
    </row>
    <row r="5012" spans="1:12">
      <c r="A5012" s="20" t="s">
        <v>2070</v>
      </c>
    </row>
    <row r="5013" spans="1:12">
      <c r="A5013" s="20" t="s">
        <v>1037</v>
      </c>
      <c r="B5013" s="27" t="s">
        <v>760</v>
      </c>
      <c r="C5013" s="27" t="s">
        <v>797</v>
      </c>
      <c r="D5013" s="27" t="s">
        <v>762</v>
      </c>
      <c r="E5013" s="21">
        <f>IF(D5013="?OLD","!!!","")</f>
        <v/>
      </c>
      <c r="F5013" s="22" t="str">
        <f>IF(OR(E5013="",E5013="!!!"),"",IF(NOT(ISNA(VLOOKUP(E5013,E$1:E5012,1,FALSE()))),"OLD",IF(AND(E5013&lt;&gt;"",E5013&lt;&gt;"!!!"),"NEW","")))</f>
        <v> </v>
      </c>
      <c r="G5013" s="23" t="str">
        <f>IF(OR(E5013="",E5013="!!!"),"",IF(OR(J5013=0,AND(J5013=1,K5013=1),AND(J5013=1,I5013="SBJ"),AND(J5013=1,I5013=0)),"?IN_FOCUS",IF(J5013&lt;=2,"?ACTIVATED",IF(J5013&lt;&gt;"","?FAMILIAR",IF(F5013="NEW",IF(ISNA(VLOOKUP(E5013,#REF!,1,FALSE())),"?TYPE_IDENTIFIABLE","?REFERENTIAL"),"_")))))</f>
        <v> </v>
      </c>
      <c r="H5013" s="24" t="str">
        <f>IF(J5013&lt;&gt;1,"",IF(I5013="SBJ","CB","?"))</f>
        <v> </v>
      </c>
      <c r="I5013" s="25" t="str">
        <f>IF(OR(E5013="",E5013="!!!",F5013="NEW"),"",INDEX(B5012:B$2,-1+SUMPRODUCT(MAX(ROW(E5012:E$2)*(E5013=E5012:E$2)))))</f>
        <v> </v>
      </c>
      <c r="J5013" s="25" t="str">
        <f>IF(OR(E5013="",E5013="!!!",F5013="NEW"),"",COUNTBLANK(OFFSET(A$1,,,SUMPRODUCT(MAX(ROW(E$2:E5013)*(E5013=E$2:E5013)))))-COUNTBLANK(OFFSET(A$1,,,SUMPRODUCT(MAX(ROW(E$1:E5012)*(E2=E$1:E5012))))))</f>
        <v> </v>
      </c>
      <c r="K5013" s="25" t="str">
        <f>IF(OR(E5013="",E5013="!!!",F5013="NEW"),"",INDEX(J$1:J5012,SUMPRODUCT(MAX(ROW(E$1:E5012)*(E5013=E$1:E5012)))))</f>
        <v> </v>
      </c>
      <c r="L5013" s="26"/>
    </row>
    <row r="5014" spans="1:12">
      <c r="A5014" s="20" t="s">
        <v>909</v>
      </c>
      <c r="E5014" s="21">
        <f>IF(D5014="?OLD","!!!","")</f>
        <v/>
      </c>
      <c r="F5014" s="22" t="str">
        <f>IF(OR(E5014="",E5014="!!!"),"",IF(NOT(ISNA(VLOOKUP(E5014,E$1:E5013,1,FALSE()))),"OLD",IF(AND(E5014&lt;&gt;"",E5014&lt;&gt;"!!!"),"NEW","")))</f>
        <v> </v>
      </c>
      <c r="G5014" s="23" t="str">
        <f>IF(OR(E5014="",E5014="!!!"),"",IF(OR(J5014=0,AND(J5014=1,K5014=1),AND(J5014=1,I5014="SBJ"),AND(J5014=1,I5014=0)),"?IN_FOCUS",IF(J5014&lt;=2,"?ACTIVATED",IF(J5014&lt;&gt;"","?FAMILIAR",IF(F5014="NEW",IF(ISNA(VLOOKUP(E5014,#REF!,1,FALSE())),"?TYPE_IDENTIFIABLE","?REFERENTIAL"),"_")))))</f>
        <v> </v>
      </c>
      <c r="H5014" s="24" t="str">
        <f>IF(J5014&lt;&gt;1,"",IF(I5014="SBJ","CB","?"))</f>
        <v> </v>
      </c>
      <c r="I5014" s="25" t="str">
        <f>IF(OR(E5014="",E5014="!!!",F5014="NEW"),"",INDEX(B5013:B$2,-1+SUMPRODUCT(MAX(ROW(E5013:E$2)*(E5014=E5013:E$2)))))</f>
        <v> </v>
      </c>
      <c r="J5014" s="25" t="str">
        <f>IF(OR(E5014="",E5014="!!!",F5014="NEW"),"",COUNTBLANK(OFFSET(A$1,,,SUMPRODUCT(MAX(ROW(E$2:E5014)*(E5014=E$2:E5014)))))-COUNTBLANK(OFFSET(A$1,,,SUMPRODUCT(MAX(ROW(E$1:E5013)*(E2=E$1:E5013))))))</f>
        <v> </v>
      </c>
      <c r="K5014" s="25" t="str">
        <f>IF(OR(E5014="",E5014="!!!",F5014="NEW"),"",INDEX(J$1:J5013,SUMPRODUCT(MAX(ROW(E$1:E5013)*(E5014=E$1:E5013)))))</f>
        <v> </v>
      </c>
      <c r="L5014" s="26"/>
    </row>
    <row r="5015" spans="1:12">
      <c r="A5015" s="20" t="s">
        <v>1386</v>
      </c>
      <c r="E5015" s="21">
        <f>IF(D5015="?OLD","!!!","")</f>
        <v/>
      </c>
      <c r="F5015" s="22" t="str">
        <f>IF(OR(E5015="",E5015="!!!"),"",IF(NOT(ISNA(VLOOKUP(E5015,E$1:E5014,1,FALSE()))),"OLD",IF(AND(E5015&lt;&gt;"",E5015&lt;&gt;"!!!"),"NEW","")))</f>
        <v> </v>
      </c>
      <c r="G5015" s="23" t="str">
        <f>IF(OR(E5015="",E5015="!!!"),"",IF(OR(J5015=0,AND(J5015=1,K5015=1),AND(J5015=1,I5015="SBJ"),AND(J5015=1,I5015=0)),"?IN_FOCUS",IF(J5015&lt;=2,"?ACTIVATED",IF(J5015&lt;&gt;"","?FAMILIAR",IF(F5015="NEW",IF(ISNA(VLOOKUP(E5015,#REF!,1,FALSE())),"?TYPE_IDENTIFIABLE","?REFERENTIAL"),"_")))))</f>
        <v> </v>
      </c>
      <c r="H5015" s="24" t="str">
        <f>IF(J5015&lt;&gt;1,"",IF(I5015="SBJ","CB","?"))</f>
        <v> </v>
      </c>
      <c r="I5015" s="25" t="str">
        <f>IF(OR(E5015="",E5015="!!!",F5015="NEW"),"",INDEX(B5014:B$2,-1+SUMPRODUCT(MAX(ROW(E5014:E$2)*(E5015=E5014:E$2)))))</f>
        <v> </v>
      </c>
      <c r="J5015" s="25" t="str">
        <f>IF(OR(E5015="",E5015="!!!",F5015="NEW"),"",COUNTBLANK(OFFSET(A$1,,,SUMPRODUCT(MAX(ROW(E$2:E5015)*(E5015=E$2:E5015)))))-COUNTBLANK(OFFSET(A$1,,,SUMPRODUCT(MAX(ROW(E$1:E5014)*(E2=E$1:E5014))))))</f>
        <v> </v>
      </c>
      <c r="K5015" s="25" t="str">
        <f>IF(OR(E5015="",E5015="!!!",F5015="NEW"),"",INDEX(J$1:J5014,SUMPRODUCT(MAX(ROW(E$1:E5014)*(E5015=E$1:E5014)))))</f>
        <v> </v>
      </c>
      <c r="L5015" s="26"/>
    </row>
    <row r="5016" spans="1:12">
      <c r="A5016" s="20" t="s">
        <v>855</v>
      </c>
      <c r="E5016" s="21">
        <f>IF(D5016="?OLD","!!!","")</f>
        <v/>
      </c>
      <c r="F5016" s="22" t="str">
        <f>IF(OR(E5016="",E5016="!!!"),"",IF(NOT(ISNA(VLOOKUP(E5016,E$1:E5015,1,FALSE()))),"OLD",IF(AND(E5016&lt;&gt;"",E5016&lt;&gt;"!!!"),"NEW","")))</f>
        <v> </v>
      </c>
      <c r="G5016" s="23" t="str">
        <f>IF(OR(E5016="",E5016="!!!"),"",IF(OR(J5016=0,AND(J5016=1,K5016=1),AND(J5016=1,I5016="SBJ"),AND(J5016=1,I5016=0)),"?IN_FOCUS",IF(J5016&lt;=2,"?ACTIVATED",IF(J5016&lt;&gt;"","?FAMILIAR",IF(F5016="NEW",IF(ISNA(VLOOKUP(E5016,#REF!,1,FALSE())),"?TYPE_IDENTIFIABLE","?REFERENTIAL"),"_")))))</f>
        <v> </v>
      </c>
      <c r="H5016" s="24" t="str">
        <f>IF(J5016&lt;&gt;1,"",IF(I5016="SBJ","CB","?"))</f>
        <v> </v>
      </c>
      <c r="I5016" s="25" t="str">
        <f>IF(OR(E5016="",E5016="!!!",F5016="NEW"),"",INDEX(B5015:B$2,-1+SUMPRODUCT(MAX(ROW(E5015:E$2)*(E5016=E5015:E$2)))))</f>
        <v> </v>
      </c>
      <c r="J5016" s="25" t="str">
        <f>IF(OR(E5016="",E5016="!!!",F5016="NEW"),"",COUNTBLANK(OFFSET(A$1,,,SUMPRODUCT(MAX(ROW(E$2:E5016)*(E5016=E$2:E5016)))))-COUNTBLANK(OFFSET(A$1,,,SUMPRODUCT(MAX(ROW(E$1:E5015)*(E2=E$1:E5015))))))</f>
        <v> </v>
      </c>
      <c r="K5016" s="25" t="str">
        <f>IF(OR(E5016="",E5016="!!!",F5016="NEW"),"",INDEX(J$1:J5015,SUMPRODUCT(MAX(ROW(E$1:E5015)*(E5016=E$1:E5015)))))</f>
        <v> </v>
      </c>
      <c r="L5016" s="26"/>
    </row>
    <row r="5017" spans="1:12">
      <c r="A5017" s="20" t="s">
        <v>770</v>
      </c>
      <c r="E5017" s="21">
        <f>IF(D5017="?OLD","!!!","")</f>
        <v/>
      </c>
      <c r="F5017" s="22" t="str">
        <f>IF(OR(E5017="",E5017="!!!"),"",IF(NOT(ISNA(VLOOKUP(E5017,E$1:E5016,1,FALSE()))),"OLD",IF(AND(E5017&lt;&gt;"",E5017&lt;&gt;"!!!"),"NEW","")))</f>
        <v> </v>
      </c>
      <c r="G5017" s="23" t="str">
        <f>IF(OR(E5017="",E5017="!!!"),"",IF(OR(J5017=0,AND(J5017=1,K5017=1),AND(J5017=1,I5017="SBJ"),AND(J5017=1,I5017=0)),"?IN_FOCUS",IF(J5017&lt;=2,"?ACTIVATED",IF(J5017&lt;&gt;"","?FAMILIAR",IF(F5017="NEW",IF(ISNA(VLOOKUP(E5017,#REF!,1,FALSE())),"?TYPE_IDENTIFIABLE","?REFERENTIAL"),"_")))))</f>
        <v> </v>
      </c>
      <c r="H5017" s="24" t="str">
        <f>IF(J5017&lt;&gt;1,"",IF(I5017="SBJ","CB","?"))</f>
        <v> </v>
      </c>
      <c r="I5017" s="25" t="str">
        <f>IF(OR(E5017="",E5017="!!!",F5017="NEW"),"",INDEX(B5016:B$2,-1+SUMPRODUCT(MAX(ROW(E5016:E$2)*(E5017=E5016:E$2)))))</f>
        <v> </v>
      </c>
      <c r="J5017" s="25" t="str">
        <f>IF(OR(E5017="",E5017="!!!",F5017="NEW"),"",COUNTBLANK(OFFSET(A$1,,,SUMPRODUCT(MAX(ROW(E$2:E5017)*(E5017=E$2:E5017)))))-COUNTBLANK(OFFSET(A$1,,,SUMPRODUCT(MAX(ROW(E$1:E5016)*(E2=E$1:E5016))))))</f>
        <v> </v>
      </c>
      <c r="K5017" s="25" t="str">
        <f>IF(OR(E5017="",E5017="!!!",F5017="NEW"),"",INDEX(J$1:J5016,SUMPRODUCT(MAX(ROW(E$1:E5016)*(E5017=E$1:E5016)))))</f>
        <v> </v>
      </c>
      <c r="L5017" s="26"/>
    </row>
    <row r="5018" spans="1:12">
      <c r="A5018" s="20" t="s">
        <v>2071</v>
      </c>
      <c r="B5018" s="27" t="s">
        <v>796</v>
      </c>
      <c r="C5018" s="27" t="s">
        <v>761</v>
      </c>
      <c r="D5018" s="27" t="s">
        <v>762</v>
      </c>
      <c r="E5018" s="21">
        <f>IF(D5018="?OLD","!!!","")</f>
        <v/>
      </c>
      <c r="F5018" s="22" t="str">
        <f>IF(OR(E5018="",E5018="!!!"),"",IF(NOT(ISNA(VLOOKUP(E5018,E$1:E5017,1,FALSE()))),"OLD",IF(AND(E5018&lt;&gt;"",E5018&lt;&gt;"!!!"),"NEW","")))</f>
        <v> </v>
      </c>
      <c r="G5018" s="23" t="str">
        <f>IF(OR(E5018="",E5018="!!!"),"",IF(OR(J5018=0,AND(J5018=1,K5018=1),AND(J5018=1,I5018="SBJ"),AND(J5018=1,I5018=0)),"?IN_FOCUS",IF(J5018&lt;=2,"?ACTIVATED",IF(J5018&lt;&gt;"","?FAMILIAR",IF(F5018="NEW",IF(ISNA(VLOOKUP(E5018,#REF!,1,FALSE())),"?TYPE_IDENTIFIABLE","?REFERENTIAL"),"_")))))</f>
        <v> </v>
      </c>
      <c r="H5018" s="24" t="str">
        <f>IF(J5018&lt;&gt;1,"",IF(I5018="SBJ","CB","?"))</f>
        <v> </v>
      </c>
      <c r="I5018" s="25" t="str">
        <f>IF(OR(E5018="",E5018="!!!",F5018="NEW"),"",INDEX(B5017:B$2,-1+SUMPRODUCT(MAX(ROW(E5017:E$2)*(E5018=E5017:E$2)))))</f>
        <v> </v>
      </c>
      <c r="J5018" s="25" t="str">
        <f>IF(OR(E5018="",E5018="!!!",F5018="NEW"),"",COUNTBLANK(OFFSET(A$1,,,SUMPRODUCT(MAX(ROW(E$2:E5018)*(E5018=E$2:E5018)))))-COUNTBLANK(OFFSET(A$1,,,SUMPRODUCT(MAX(ROW(E$1:E5017)*(E2=E$1:E5017))))))</f>
        <v> </v>
      </c>
      <c r="K5018" s="25" t="str">
        <f>IF(OR(E5018="",E5018="!!!",F5018="NEW"),"",INDEX(J$1:J5017,SUMPRODUCT(MAX(ROW(E$1:E5017)*(E5018=E$1:E5017)))))</f>
        <v> </v>
      </c>
      <c r="L5018" s="26"/>
    </row>
    <row r="5019" spans="1:12">
      <c r="A5019" s="20" t="s">
        <v>1202</v>
      </c>
      <c r="E5019" s="21">
        <f>IF(D5019="?OLD","!!!","")</f>
        <v/>
      </c>
      <c r="F5019" s="22" t="str">
        <f>IF(OR(E5019="",E5019="!!!"),"",IF(NOT(ISNA(VLOOKUP(E5019,E$1:E5018,1,FALSE()))),"OLD",IF(AND(E5019&lt;&gt;"",E5019&lt;&gt;"!!!"),"NEW","")))</f>
        <v> </v>
      </c>
      <c r="G5019" s="23" t="str">
        <f>IF(OR(E5019="",E5019="!!!"),"",IF(OR(J5019=0,AND(J5019=1,K5019=1),AND(J5019=1,I5019="SBJ"),AND(J5019=1,I5019=0)),"?IN_FOCUS",IF(J5019&lt;=2,"?ACTIVATED",IF(J5019&lt;&gt;"","?FAMILIAR",IF(F5019="NEW",IF(ISNA(VLOOKUP(E5019,#REF!,1,FALSE())),"?TYPE_IDENTIFIABLE","?REFERENTIAL"),"_")))))</f>
        <v> </v>
      </c>
      <c r="H5019" s="24" t="str">
        <f>IF(J5019&lt;&gt;1,"",IF(I5019="SBJ","CB","?"))</f>
        <v> </v>
      </c>
      <c r="I5019" s="25" t="str">
        <f>IF(OR(E5019="",E5019="!!!",F5019="NEW"),"",INDEX(B5018:B$2,-1+SUMPRODUCT(MAX(ROW(E5018:E$2)*(E5019=E5018:E$2)))))</f>
        <v> </v>
      </c>
      <c r="J5019" s="25" t="str">
        <f>IF(OR(E5019="",E5019="!!!",F5019="NEW"),"",COUNTBLANK(OFFSET(A$1,,,SUMPRODUCT(MAX(ROW(E$2:E5019)*(E5019=E$2:E5019)))))-COUNTBLANK(OFFSET(A$1,,,SUMPRODUCT(MAX(ROW(E$1:E5018)*(E2=E$1:E5018))))))</f>
        <v> </v>
      </c>
      <c r="K5019" s="25" t="str">
        <f>IF(OR(E5019="",E5019="!!!",F5019="NEW"),"",INDEX(J$1:J5018,SUMPRODUCT(MAX(ROW(E$1:E5018)*(E5019=E$1:E5018)))))</f>
        <v> </v>
      </c>
      <c r="L5019" s="26"/>
    </row>
    <row r="5020" spans="1:12">
      <c r="A5020" s="20" t="s">
        <v>2072</v>
      </c>
      <c r="E5020" s="21">
        <f>IF(D5020="?OLD","!!!","")</f>
        <v/>
      </c>
      <c r="F5020" s="22" t="str">
        <f>IF(OR(E5020="",E5020="!!!"),"",IF(NOT(ISNA(VLOOKUP(E5020,E$1:E5019,1,FALSE()))),"OLD",IF(AND(E5020&lt;&gt;"",E5020&lt;&gt;"!!!"),"NEW","")))</f>
        <v> </v>
      </c>
      <c r="G5020" s="23" t="str">
        <f>IF(OR(E5020="",E5020="!!!"),"",IF(OR(J5020=0,AND(J5020=1,K5020=1),AND(J5020=1,I5020="SBJ"),AND(J5020=1,I5020=0)),"?IN_FOCUS",IF(J5020&lt;=2,"?ACTIVATED",IF(J5020&lt;&gt;"","?FAMILIAR",IF(F5020="NEW",IF(ISNA(VLOOKUP(E5020,#REF!,1,FALSE())),"?TYPE_IDENTIFIABLE","?REFERENTIAL"),"_")))))</f>
        <v> </v>
      </c>
      <c r="H5020" s="24" t="str">
        <f>IF(J5020&lt;&gt;1,"",IF(I5020="SBJ","CB","?"))</f>
        <v> </v>
      </c>
      <c r="I5020" s="25" t="str">
        <f>IF(OR(E5020="",E5020="!!!",F5020="NEW"),"",INDEX(B5019:B$2,-1+SUMPRODUCT(MAX(ROW(E5019:E$2)*(E5020=E5019:E$2)))))</f>
        <v> </v>
      </c>
      <c r="J5020" s="25" t="str">
        <f>IF(OR(E5020="",E5020="!!!",F5020="NEW"),"",COUNTBLANK(OFFSET(A$1,,,SUMPRODUCT(MAX(ROW(E$2:E5020)*(E5020=E$2:E5020)))))-COUNTBLANK(OFFSET(A$1,,,SUMPRODUCT(MAX(ROW(E$1:E5019)*(E2=E$1:E5019))))))</f>
        <v> </v>
      </c>
      <c r="K5020" s="25" t="str">
        <f>IF(OR(E5020="",E5020="!!!",F5020="NEW"),"",INDEX(J$1:J5019,SUMPRODUCT(MAX(ROW(E$1:E5019)*(E5020=E$1:E5019)))))</f>
        <v> </v>
      </c>
      <c r="L5020" s="26"/>
    </row>
    <row r="5021" spans="1:12">
      <c r="A5021" s="20" t="s">
        <v>770</v>
      </c>
      <c r="E5021" s="21">
        <f>IF(D5021="?OLD","!!!","")</f>
        <v/>
      </c>
      <c r="F5021" s="22" t="str">
        <f>IF(OR(E5021="",E5021="!!!"),"",IF(NOT(ISNA(VLOOKUP(E5021,E$1:E5020,1,FALSE()))),"OLD",IF(AND(E5021&lt;&gt;"",E5021&lt;&gt;"!!!"),"NEW","")))</f>
        <v> </v>
      </c>
      <c r="G5021" s="23" t="str">
        <f>IF(OR(E5021="",E5021="!!!"),"",IF(OR(J5021=0,AND(J5021=1,K5021=1),AND(J5021=1,I5021="SBJ"),AND(J5021=1,I5021=0)),"?IN_FOCUS",IF(J5021&lt;=2,"?ACTIVATED",IF(J5021&lt;&gt;"","?FAMILIAR",IF(F5021="NEW",IF(ISNA(VLOOKUP(E5021,#REF!,1,FALSE())),"?TYPE_IDENTIFIABLE","?REFERENTIAL"),"_")))))</f>
        <v> </v>
      </c>
      <c r="H5021" s="24" t="str">
        <f>IF(J5021&lt;&gt;1,"",IF(I5021="SBJ","CB","?"))</f>
        <v> </v>
      </c>
      <c r="I5021" s="25" t="str">
        <f>IF(OR(E5021="",E5021="!!!",F5021="NEW"),"",INDEX(B5020:B$2,-1+SUMPRODUCT(MAX(ROW(E5020:E$2)*(E5021=E5020:E$2)))))</f>
        <v> </v>
      </c>
      <c r="J5021" s="25" t="str">
        <f>IF(OR(E5021="",E5021="!!!",F5021="NEW"),"",COUNTBLANK(OFFSET(A$1,,,SUMPRODUCT(MAX(ROW(E$2:E5021)*(E5021=E$2:E5021)))))-COUNTBLANK(OFFSET(A$1,,,SUMPRODUCT(MAX(ROW(E$1:E5020)*(E2=E$1:E5020))))))</f>
        <v> </v>
      </c>
      <c r="K5021" s="25" t="str">
        <f>IF(OR(E5021="",E5021="!!!",F5021="NEW"),"",INDEX(J$1:J5020,SUMPRODUCT(MAX(ROW(E$1:E5020)*(E5021=E$1:E5020)))))</f>
        <v> </v>
      </c>
      <c r="L5021" s="26"/>
    </row>
    <row r="5022" spans="1:12">
      <c r="A5022" s="20" t="s">
        <v>960</v>
      </c>
      <c r="E5022" s="21">
        <f>IF(D5022="?OLD","!!!","")</f>
        <v/>
      </c>
      <c r="F5022" s="22" t="str">
        <f>IF(OR(E5022="",E5022="!!!"),"",IF(NOT(ISNA(VLOOKUP(E5022,E$1:E5021,1,FALSE()))),"OLD",IF(AND(E5022&lt;&gt;"",E5022&lt;&gt;"!!!"),"NEW","")))</f>
        <v> </v>
      </c>
      <c r="G5022" s="23" t="str">
        <f>IF(OR(E5022="",E5022="!!!"),"",IF(OR(J5022=0,AND(J5022=1,K5022=1),AND(J5022=1,I5022="SBJ"),AND(J5022=1,I5022=0)),"?IN_FOCUS",IF(J5022&lt;=2,"?ACTIVATED",IF(J5022&lt;&gt;"","?FAMILIAR",IF(F5022="NEW",IF(ISNA(VLOOKUP(E5022,#REF!,1,FALSE())),"?TYPE_IDENTIFIABLE","?REFERENTIAL"),"_")))))</f>
        <v> </v>
      </c>
      <c r="H5022" s="24" t="str">
        <f>IF(J5022&lt;&gt;1,"",IF(I5022="SBJ","CB","?"))</f>
        <v> </v>
      </c>
      <c r="I5022" s="25" t="str">
        <f>IF(OR(E5022="",E5022="!!!",F5022="NEW"),"",INDEX(B5021:B$2,-1+SUMPRODUCT(MAX(ROW(E5021:E$2)*(E5022=E5021:E$2)))))</f>
        <v> </v>
      </c>
      <c r="J5022" s="25" t="str">
        <f>IF(OR(E5022="",E5022="!!!",F5022="NEW"),"",COUNTBLANK(OFFSET(A$1,,,SUMPRODUCT(MAX(ROW(E$2:E5022)*(E5022=E$2:E5022)))))-COUNTBLANK(OFFSET(A$1,,,SUMPRODUCT(MAX(ROW(E$1:E5021)*(E2=E$1:E5021))))))</f>
        <v> </v>
      </c>
      <c r="K5022" s="25" t="str">
        <f>IF(OR(E5022="",E5022="!!!",F5022="NEW"),"",INDEX(J$1:J5021,SUMPRODUCT(MAX(ROW(E$1:E5021)*(E5022=E$1:E5021)))))</f>
        <v> </v>
      </c>
      <c r="L5022" s="26"/>
    </row>
    <row r="5023" spans="1:12">
      <c r="A5023" s="20" t="s">
        <v>2073</v>
      </c>
      <c r="B5023" s="27" t="s">
        <v>894</v>
      </c>
      <c r="E5023" s="21">
        <f>IF(D5023="?OLD","!!!","")</f>
        <v/>
      </c>
      <c r="F5023" s="22" t="str">
        <f>IF(OR(E5023="",E5023="!!!"),"",IF(NOT(ISNA(VLOOKUP(E5023,E$1:E5022,1,FALSE()))),"OLD",IF(AND(E5023&lt;&gt;"",E5023&lt;&gt;"!!!"),"NEW","")))</f>
        <v> </v>
      </c>
      <c r="G5023" s="23" t="str">
        <f>IF(OR(E5023="",E5023="!!!"),"",IF(OR(J5023=0,AND(J5023=1,K5023=1),AND(J5023=1,I5023="SBJ"),AND(J5023=1,I5023=0)),"?IN_FOCUS",IF(J5023&lt;=2,"?ACTIVATED",IF(J5023&lt;&gt;"","?FAMILIAR",IF(F5023="NEW",IF(ISNA(VLOOKUP(E5023,#REF!,1,FALSE())),"?TYPE_IDENTIFIABLE","?REFERENTIAL"),"_")))))</f>
        <v> </v>
      </c>
      <c r="H5023" s="24" t="str">
        <f>IF(J5023&lt;&gt;1,"",IF(I5023="SBJ","CB","?"))</f>
        <v> </v>
      </c>
      <c r="I5023" s="25" t="str">
        <f>IF(OR(E5023="",E5023="!!!",F5023="NEW"),"",INDEX(B5022:B$2,-1+SUMPRODUCT(MAX(ROW(E5022:E$2)*(E5023=E5022:E$2)))))</f>
        <v> </v>
      </c>
      <c r="J5023" s="25" t="str">
        <f>IF(OR(E5023="",E5023="!!!",F5023="NEW"),"",COUNTBLANK(OFFSET(A$1,,,SUMPRODUCT(MAX(ROW(E$2:E5023)*(E5023=E$2:E5023)))))-COUNTBLANK(OFFSET(A$1,,,SUMPRODUCT(MAX(ROW(E$1:E5022)*(E2=E$1:E5022))))))</f>
        <v> </v>
      </c>
      <c r="K5023" s="25" t="str">
        <f>IF(OR(E5023="",E5023="!!!",F5023="NEW"),"",INDEX(J$1:J5022,SUMPRODUCT(MAX(ROW(E$1:E5022)*(E5023=E$1:E5022)))))</f>
        <v> </v>
      </c>
      <c r="L5023" s="26"/>
    </row>
    <row r="5024" spans="1:12">
      <c r="A5024" s="20" t="s">
        <v>769</v>
      </c>
      <c r="E5024" s="21">
        <f>IF(D5024="?OLD","!!!","")</f>
        <v/>
      </c>
      <c r="F5024" s="22" t="str">
        <f>IF(OR(E5024="",E5024="!!!"),"",IF(NOT(ISNA(VLOOKUP(E5024,E$1:E5023,1,FALSE()))),"OLD",IF(AND(E5024&lt;&gt;"",E5024&lt;&gt;"!!!"),"NEW","")))</f>
        <v> </v>
      </c>
      <c r="G5024" s="23" t="str">
        <f>IF(OR(E5024="",E5024="!!!"),"",IF(OR(J5024=0,AND(J5024=1,K5024=1),AND(J5024=1,I5024="SBJ"),AND(J5024=1,I5024=0)),"?IN_FOCUS",IF(J5024&lt;=2,"?ACTIVATED",IF(J5024&lt;&gt;"","?FAMILIAR",IF(F5024="NEW",IF(ISNA(VLOOKUP(E5024,#REF!,1,FALSE())),"?TYPE_IDENTIFIABLE","?REFERENTIAL"),"_")))))</f>
        <v> </v>
      </c>
      <c r="H5024" s="24" t="str">
        <f>IF(J5024&lt;&gt;1,"",IF(I5024="SBJ","CB","?"))</f>
        <v> </v>
      </c>
      <c r="I5024" s="25" t="str">
        <f>IF(OR(E5024="",E5024="!!!",F5024="NEW"),"",INDEX(B5023:B$2,-1+SUMPRODUCT(MAX(ROW(E5023:E$2)*(E5024=E5023:E$2)))))</f>
        <v> </v>
      </c>
      <c r="J5024" s="25" t="str">
        <f>IF(OR(E5024="",E5024="!!!",F5024="NEW"),"",COUNTBLANK(OFFSET(A$1,,,SUMPRODUCT(MAX(ROW(E$2:E5024)*(E5024=E$2:E5024)))))-COUNTBLANK(OFFSET(A$1,,,SUMPRODUCT(MAX(ROW(E$1:E5023)*(E2=E$1:E5023))))))</f>
        <v> </v>
      </c>
      <c r="K5024" s="25" t="str">
        <f>IF(OR(E5024="",E5024="!!!",F5024="NEW"),"",INDEX(J$1:J5023,SUMPRODUCT(MAX(ROW(E$1:E5023)*(E5024=E$1:E5023)))))</f>
        <v> </v>
      </c>
      <c r="L5024" s="26"/>
    </row>
    <row r="5025" spans="1:12">
      <c r="A5025" s="20" t="s">
        <v>838</v>
      </c>
      <c r="E5025" s="21">
        <f>IF(D5025="?OLD","!!!","")</f>
        <v/>
      </c>
      <c r="F5025" s="22" t="str">
        <f>IF(OR(E5025="",E5025="!!!"),"",IF(NOT(ISNA(VLOOKUP(E5025,E$1:E5024,1,FALSE()))),"OLD",IF(AND(E5025&lt;&gt;"",E5025&lt;&gt;"!!!"),"NEW","")))</f>
        <v> </v>
      </c>
      <c r="G5025" s="23" t="str">
        <f>IF(OR(E5025="",E5025="!!!"),"",IF(OR(J5025=0,AND(J5025=1,K5025=1),AND(J5025=1,I5025="SBJ"),AND(J5025=1,I5025=0)),"?IN_FOCUS",IF(J5025&lt;=2,"?ACTIVATED",IF(J5025&lt;&gt;"","?FAMILIAR",IF(F5025="NEW",IF(ISNA(VLOOKUP(E5025,#REF!,1,FALSE())),"?TYPE_IDENTIFIABLE","?REFERENTIAL"),"_")))))</f>
        <v> </v>
      </c>
      <c r="H5025" s="24" t="str">
        <f>IF(J5025&lt;&gt;1,"",IF(I5025="SBJ","CB","?"))</f>
        <v> </v>
      </c>
      <c r="I5025" s="25" t="str">
        <f>IF(OR(E5025="",E5025="!!!",F5025="NEW"),"",INDEX(B5024:B$2,-1+SUMPRODUCT(MAX(ROW(E5024:E$2)*(E5025=E5024:E$2)))))</f>
        <v> </v>
      </c>
      <c r="J5025" s="25" t="str">
        <f>IF(OR(E5025="",E5025="!!!",F5025="NEW"),"",COUNTBLANK(OFFSET(A$1,,,SUMPRODUCT(MAX(ROW(E$2:E5025)*(E5025=E$2:E5025)))))-COUNTBLANK(OFFSET(A$1,,,SUMPRODUCT(MAX(ROW(E$1:E5024)*(E2=E$1:E5024))))))</f>
        <v> </v>
      </c>
      <c r="K5025" s="25" t="str">
        <f>IF(OR(E5025="",E5025="!!!",F5025="NEW"),"",INDEX(J$1:J5024,SUMPRODUCT(MAX(ROW(E$1:E5024)*(E5025=E$1:E5024)))))</f>
        <v> </v>
      </c>
      <c r="L5025" s="26"/>
    </row>
    <row r="5026" spans="1:12">
      <c r="A5026" s="20" t="s">
        <v>2074</v>
      </c>
      <c r="B5026" s="27" t="s">
        <v>901</v>
      </c>
      <c r="C5026" s="27" t="s">
        <v>761</v>
      </c>
      <c r="D5026" s="27" t="s">
        <v>762</v>
      </c>
      <c r="E5026" s="21">
        <f>IF(D5026="?OLD","!!!","")</f>
        <v/>
      </c>
      <c r="F5026" s="22" t="str">
        <f>IF(OR(E5026="",E5026="!!!"),"",IF(NOT(ISNA(VLOOKUP(E5026,E$1:E5025,1,FALSE()))),"OLD",IF(AND(E5026&lt;&gt;"",E5026&lt;&gt;"!!!"),"NEW","")))</f>
        <v> </v>
      </c>
      <c r="G5026" s="23" t="str">
        <f>IF(OR(E5026="",E5026="!!!"),"",IF(OR(J5026=0,AND(J5026=1,K5026=1),AND(J5026=1,I5026="SBJ"),AND(J5026=1,I5026=0)),"?IN_FOCUS",IF(J5026&lt;=2,"?ACTIVATED",IF(J5026&lt;&gt;"","?FAMILIAR",IF(F5026="NEW",IF(ISNA(VLOOKUP(E5026,#REF!,1,FALSE())),"?TYPE_IDENTIFIABLE","?REFERENTIAL"),"_")))))</f>
        <v> </v>
      </c>
      <c r="H5026" s="24" t="str">
        <f>IF(J5026&lt;&gt;1,"",IF(I5026="SBJ","CB","?"))</f>
        <v> </v>
      </c>
      <c r="I5026" s="25" t="str">
        <f>IF(OR(E5026="",E5026="!!!",F5026="NEW"),"",INDEX(B5025:B$2,-1+SUMPRODUCT(MAX(ROW(E5025:E$2)*(E5026=E5025:E$2)))))</f>
        <v> </v>
      </c>
      <c r="J5026" s="25" t="str">
        <f>IF(OR(E5026="",E5026="!!!",F5026="NEW"),"",COUNTBLANK(OFFSET(A$1,,,SUMPRODUCT(MAX(ROW(E$2:E5026)*(E5026=E$2:E5026)))))-COUNTBLANK(OFFSET(A$1,,,SUMPRODUCT(MAX(ROW(E$1:E5025)*(E2=E$1:E5025))))))</f>
        <v> </v>
      </c>
      <c r="K5026" s="25" t="str">
        <f>IF(OR(E5026="",E5026="!!!",F5026="NEW"),"",INDEX(J$1:J5025,SUMPRODUCT(MAX(ROW(E$1:E5025)*(E5026=E$1:E5025)))))</f>
        <v> </v>
      </c>
      <c r="L5026" s="26"/>
    </row>
    <row r="5027" spans="1:12">
      <c r="A5027" s="20" t="s">
        <v>774</v>
      </c>
      <c r="E5027" s="21">
        <f>IF(D5027="?OLD","!!!","")</f>
        <v/>
      </c>
      <c r="F5027" s="22" t="str">
        <f>IF(OR(E5027="",E5027="!!!"),"",IF(NOT(ISNA(VLOOKUP(E5027,E$1:E5026,1,FALSE()))),"OLD",IF(AND(E5027&lt;&gt;"",E5027&lt;&gt;"!!!"),"NEW","")))</f>
        <v> </v>
      </c>
      <c r="G5027" s="23" t="str">
        <f>IF(OR(E5027="",E5027="!!!"),"",IF(OR(J5027=0,AND(J5027=1,K5027=1),AND(J5027=1,I5027="SBJ"),AND(J5027=1,I5027=0)),"?IN_FOCUS",IF(J5027&lt;=2,"?ACTIVATED",IF(J5027&lt;&gt;"","?FAMILIAR",IF(F5027="NEW",IF(ISNA(VLOOKUP(E5027,#REF!,1,FALSE())),"?TYPE_IDENTIFIABLE","?REFERENTIAL"),"_")))))</f>
        <v> </v>
      </c>
      <c r="H5027" s="24" t="str">
        <f>IF(J5027&lt;&gt;1,"",IF(I5027="SBJ","CB","?"))</f>
        <v> </v>
      </c>
      <c r="I5027" s="25" t="str">
        <f>IF(OR(E5027="",E5027="!!!",F5027="NEW"),"",INDEX(B5026:B$2,-1+SUMPRODUCT(MAX(ROW(E5026:E$2)*(E5027=E5026:E$2)))))</f>
        <v> </v>
      </c>
      <c r="J5027" s="25" t="str">
        <f>IF(OR(E5027="",E5027="!!!",F5027="NEW"),"",COUNTBLANK(OFFSET(A$1,,,SUMPRODUCT(MAX(ROW(E$2:E5027)*(E5027=E$2:E5027)))))-COUNTBLANK(OFFSET(A$1,,,SUMPRODUCT(MAX(ROW(E$1:E5026)*(E2=E$1:E5026))))))</f>
        <v> </v>
      </c>
      <c r="K5027" s="25" t="str">
        <f>IF(OR(E5027="",E5027="!!!",F5027="NEW"),"",INDEX(J$1:J5026,SUMPRODUCT(MAX(ROW(E$1:E5026)*(E5027=E$1:E5026)))))</f>
        <v> </v>
      </c>
      <c r="L5027" s="26"/>
    </row>
    <row r="5028" spans="1:12">
      <c r="A5028" s="20"/>
    </row>
    <row r="5029" spans="1:12">
      <c r="A5029" s="20" t="s">
        <v>2075</v>
      </c>
    </row>
    <row r="5030" spans="1:12">
      <c r="A5030" s="20" t="s">
        <v>1350</v>
      </c>
      <c r="E5030" s="21">
        <f>IF(D5030="?OLD","!!!","")</f>
        <v/>
      </c>
      <c r="F5030" s="22" t="str">
        <f>IF(OR(E5030="",E5030="!!!"),"",IF(NOT(ISNA(VLOOKUP(E5030,E$1:E5029,1,FALSE()))),"OLD",IF(AND(E5030&lt;&gt;"",E5030&lt;&gt;"!!!"),"NEW","")))</f>
        <v> </v>
      </c>
      <c r="G5030" s="23" t="str">
        <f>IF(OR(E5030="",E5030="!!!"),"",IF(OR(J5030=0,AND(J5030=1,K5030=1),AND(J5030=1,I5030="SBJ"),AND(J5030=1,I5030=0)),"?IN_FOCUS",IF(J5030&lt;=2,"?ACTIVATED",IF(J5030&lt;&gt;"","?FAMILIAR",IF(F5030="NEW",IF(ISNA(VLOOKUP(E5030,#REF!,1,FALSE())),"?TYPE_IDENTIFIABLE","?REFERENTIAL"),"_")))))</f>
        <v> </v>
      </c>
      <c r="H5030" s="24" t="str">
        <f>IF(J5030&lt;&gt;1,"",IF(I5030="SBJ","CB","?"))</f>
        <v> </v>
      </c>
      <c r="I5030" s="25" t="str">
        <f>IF(OR(E5030="",E5030="!!!",F5030="NEW"),"",INDEX(B5029:B$2,-1+SUMPRODUCT(MAX(ROW(E5029:E$2)*(E5030=E5029:E$2)))))</f>
        <v> </v>
      </c>
      <c r="J5030" s="25" t="str">
        <f>IF(OR(E5030="",E5030="!!!",F5030="NEW"),"",COUNTBLANK(OFFSET(A$1,,,SUMPRODUCT(MAX(ROW(E$2:E5030)*(E5030=E$2:E5030)))))-COUNTBLANK(OFFSET(A$1,,,SUMPRODUCT(MAX(ROW(E$1:E5029)*(E2=E$1:E5029))))))</f>
        <v> </v>
      </c>
      <c r="K5030" s="25" t="str">
        <f>IF(OR(E5030="",E5030="!!!",F5030="NEW"),"",INDEX(J$1:J5029,SUMPRODUCT(MAX(ROW(E$1:E5029)*(E5030=E$1:E5029)))))</f>
        <v> </v>
      </c>
      <c r="L5030" s="26"/>
    </row>
    <row r="5031" spans="1:12">
      <c r="A5031" s="20" t="s">
        <v>1159</v>
      </c>
      <c r="E5031" s="21">
        <f>IF(D5031="?OLD","!!!","")</f>
        <v/>
      </c>
      <c r="F5031" s="22" t="str">
        <f>IF(OR(E5031="",E5031="!!!"),"",IF(NOT(ISNA(VLOOKUP(E5031,E$1:E5030,1,FALSE()))),"OLD",IF(AND(E5031&lt;&gt;"",E5031&lt;&gt;"!!!"),"NEW","")))</f>
        <v> </v>
      </c>
      <c r="G5031" s="23" t="str">
        <f>IF(OR(E5031="",E5031="!!!"),"",IF(OR(J5031=0,AND(J5031=1,K5031=1),AND(J5031=1,I5031="SBJ"),AND(J5031=1,I5031=0)),"?IN_FOCUS",IF(J5031&lt;=2,"?ACTIVATED",IF(J5031&lt;&gt;"","?FAMILIAR",IF(F5031="NEW",IF(ISNA(VLOOKUP(E5031,#REF!,1,FALSE())),"?TYPE_IDENTIFIABLE","?REFERENTIAL"),"_")))))</f>
        <v> </v>
      </c>
      <c r="H5031" s="24" t="str">
        <f>IF(J5031&lt;&gt;1,"",IF(I5031="SBJ","CB","?"))</f>
        <v> </v>
      </c>
      <c r="I5031" s="25" t="str">
        <f>IF(OR(E5031="",E5031="!!!",F5031="NEW"),"",INDEX(B5030:B$2,-1+SUMPRODUCT(MAX(ROW(E5030:E$2)*(E5031=E5030:E$2)))))</f>
        <v> </v>
      </c>
      <c r="J5031" s="25" t="str">
        <f>IF(OR(E5031="",E5031="!!!",F5031="NEW"),"",COUNTBLANK(OFFSET(A$1,,,SUMPRODUCT(MAX(ROW(E$2:E5031)*(E5031=E$2:E5031)))))-COUNTBLANK(OFFSET(A$1,,,SUMPRODUCT(MAX(ROW(E$1:E5030)*(E2=E$1:E5030))))))</f>
        <v> </v>
      </c>
      <c r="K5031" s="25" t="str">
        <f>IF(OR(E5031="",E5031="!!!",F5031="NEW"),"",INDEX(J$1:J5030,SUMPRODUCT(MAX(ROW(E$1:E5030)*(E5031=E$1:E5030)))))</f>
        <v> </v>
      </c>
      <c r="L5031" s="26"/>
    </row>
    <row r="5032" spans="1:12">
      <c r="A5032" s="20" t="s">
        <v>11</v>
      </c>
      <c r="E5032" s="21">
        <f>IF(D5032="?OLD","!!!","")</f>
        <v/>
      </c>
      <c r="F5032" s="22" t="str">
        <f>IF(OR(E5032="",E5032="!!!"),"",IF(NOT(ISNA(VLOOKUP(E5032,E$1:E5031,1,FALSE()))),"OLD",IF(AND(E5032&lt;&gt;"",E5032&lt;&gt;"!!!"),"NEW","")))</f>
        <v> </v>
      </c>
      <c r="G5032" s="23" t="str">
        <f>IF(OR(E5032="",E5032="!!!"),"",IF(OR(J5032=0,AND(J5032=1,K5032=1),AND(J5032=1,I5032="SBJ"),AND(J5032=1,I5032=0)),"?IN_FOCUS",IF(J5032&lt;=2,"?ACTIVATED",IF(J5032&lt;&gt;"","?FAMILIAR",IF(F5032="NEW",IF(ISNA(VLOOKUP(E5032,#REF!,1,FALSE())),"?TYPE_IDENTIFIABLE","?REFERENTIAL"),"_")))))</f>
        <v> </v>
      </c>
      <c r="H5032" s="24" t="str">
        <f>IF(J5032&lt;&gt;1,"",IF(I5032="SBJ","CB","?"))</f>
        <v> </v>
      </c>
      <c r="I5032" s="25" t="str">
        <f>IF(OR(E5032="",E5032="!!!",F5032="NEW"),"",INDEX(B5031:B$2,-1+SUMPRODUCT(MAX(ROW(E5031:E$2)*(E5032=E5031:E$2)))))</f>
        <v> </v>
      </c>
      <c r="J5032" s="25" t="str">
        <f>IF(OR(E5032="",E5032="!!!",F5032="NEW"),"",COUNTBLANK(OFFSET(A$1,,,SUMPRODUCT(MAX(ROW(E$2:E5032)*(E5032=E$2:E5032)))))-COUNTBLANK(OFFSET(A$1,,,SUMPRODUCT(MAX(ROW(E$1:E5031)*(E2=E$1:E5031))))))</f>
        <v> </v>
      </c>
      <c r="K5032" s="25" t="str">
        <f>IF(OR(E5032="",E5032="!!!",F5032="NEW"),"",INDEX(J$1:J5031,SUMPRODUCT(MAX(ROW(E$1:E5031)*(E5032=E$1:E5031)))))</f>
        <v> </v>
      </c>
      <c r="L5032" s="26"/>
    </row>
    <row r="5033" spans="1:12">
      <c r="A5033" s="20" t="s">
        <v>1444</v>
      </c>
      <c r="B5033" s="27" t="s">
        <v>753</v>
      </c>
      <c r="C5033" s="27" t="s">
        <v>1019</v>
      </c>
      <c r="D5033" s="27" t="s">
        <v>762</v>
      </c>
      <c r="E5033" s="21">
        <f>IF(D5033="?OLD","!!!","")</f>
        <v/>
      </c>
      <c r="F5033" s="22" t="str">
        <f>IF(OR(E5033="",E5033="!!!"),"",IF(NOT(ISNA(VLOOKUP(E5033,E$1:E5032,1,FALSE()))),"OLD",IF(AND(E5033&lt;&gt;"",E5033&lt;&gt;"!!!"),"NEW","")))</f>
        <v> </v>
      </c>
      <c r="G5033" s="23" t="str">
        <f>IF(OR(E5033="",E5033="!!!"),"",IF(OR(J5033=0,AND(J5033=1,K5033=1),AND(J5033=1,I5033="SBJ"),AND(J5033=1,I5033=0)),"?IN_FOCUS",IF(J5033&lt;=2,"?ACTIVATED",IF(J5033&lt;&gt;"","?FAMILIAR",IF(F5033="NEW",IF(ISNA(VLOOKUP(E5033,#REF!,1,FALSE())),"?TYPE_IDENTIFIABLE","?REFERENTIAL"),"_")))))</f>
        <v> </v>
      </c>
      <c r="H5033" s="24" t="str">
        <f>IF(J5033&lt;&gt;1,"",IF(I5033="SBJ","CB","?"))</f>
        <v> </v>
      </c>
      <c r="I5033" s="25" t="str">
        <f>IF(OR(E5033="",E5033="!!!",F5033="NEW"),"",INDEX(B5032:B$2,-1+SUMPRODUCT(MAX(ROW(E5032:E$2)*(E5033=E5032:E$2)))))</f>
        <v> </v>
      </c>
      <c r="J5033" s="25" t="str">
        <f>IF(OR(E5033="",E5033="!!!",F5033="NEW"),"",COUNTBLANK(OFFSET(A$1,,,SUMPRODUCT(MAX(ROW(E$2:E5033)*(E5033=E$2:E5033)))))-COUNTBLANK(OFFSET(A$1,,,SUMPRODUCT(MAX(ROW(E$1:E5032)*(E2=E$1:E5032))))))</f>
        <v> </v>
      </c>
      <c r="K5033" s="25" t="str">
        <f>IF(OR(E5033="",E5033="!!!",F5033="NEW"),"",INDEX(J$1:J5032,SUMPRODUCT(MAX(ROW(E$1:E5032)*(E5033=E$1:E5032)))))</f>
        <v> </v>
      </c>
      <c r="L5033" s="26"/>
    </row>
    <row r="5034" spans="1:12">
      <c r="A5034" s="20" t="s">
        <v>757</v>
      </c>
      <c r="E5034" s="21">
        <f>IF(D5034="?OLD","!!!","")</f>
        <v/>
      </c>
      <c r="F5034" s="22" t="str">
        <f>IF(OR(E5034="",E5034="!!!"),"",IF(NOT(ISNA(VLOOKUP(E5034,E$1:E5033,1,FALSE()))),"OLD",IF(AND(E5034&lt;&gt;"",E5034&lt;&gt;"!!!"),"NEW","")))</f>
        <v> </v>
      </c>
      <c r="G5034" s="23" t="str">
        <f>IF(OR(E5034="",E5034="!!!"),"",IF(OR(J5034=0,AND(J5034=1,K5034=1),AND(J5034=1,I5034="SBJ"),AND(J5034=1,I5034=0)),"?IN_FOCUS",IF(J5034&lt;=2,"?ACTIVATED",IF(J5034&lt;&gt;"","?FAMILIAR",IF(F5034="NEW",IF(ISNA(VLOOKUP(E5034,#REF!,1,FALSE())),"?TYPE_IDENTIFIABLE","?REFERENTIAL"),"_")))))</f>
        <v> </v>
      </c>
      <c r="H5034" s="24" t="str">
        <f>IF(J5034&lt;&gt;1,"",IF(I5034="SBJ","CB","?"))</f>
        <v> </v>
      </c>
      <c r="I5034" s="25" t="str">
        <f>IF(OR(E5034="",E5034="!!!",F5034="NEW"),"",INDEX(B5033:B$2,-1+SUMPRODUCT(MAX(ROW(E5033:E$2)*(E5034=E5033:E$2)))))</f>
        <v> </v>
      </c>
      <c r="J5034" s="25" t="str">
        <f>IF(OR(E5034="",E5034="!!!",F5034="NEW"),"",COUNTBLANK(OFFSET(A$1,,,SUMPRODUCT(MAX(ROW(E$2:E5034)*(E5034=E$2:E5034)))))-COUNTBLANK(OFFSET(A$1,,,SUMPRODUCT(MAX(ROW(E$1:E5033)*(E2=E$1:E5033))))))</f>
        <v> </v>
      </c>
      <c r="K5034" s="25" t="str">
        <f>IF(OR(E5034="",E5034="!!!",F5034="NEW"),"",INDEX(J$1:J5033,SUMPRODUCT(MAX(ROW(E$1:E5033)*(E5034=E$1:E5033)))))</f>
        <v> </v>
      </c>
      <c r="L5034" s="26"/>
    </row>
    <row r="5035" spans="1:12">
      <c r="A5035" s="20" t="s">
        <v>827</v>
      </c>
      <c r="B5035" s="27" t="s">
        <v>760</v>
      </c>
      <c r="C5035" s="27" t="s">
        <v>797</v>
      </c>
      <c r="D5035" s="27" t="s">
        <v>762</v>
      </c>
      <c r="E5035" s="21">
        <f>IF(D5035="?OLD","!!!","")</f>
        <v/>
      </c>
      <c r="F5035" s="22" t="str">
        <f>IF(OR(E5035="",E5035="!!!"),"",IF(NOT(ISNA(VLOOKUP(E5035,E$1:E5034,1,FALSE()))),"OLD",IF(AND(E5035&lt;&gt;"",E5035&lt;&gt;"!!!"),"NEW","")))</f>
        <v> </v>
      </c>
      <c r="G5035" s="23" t="str">
        <f>IF(OR(E5035="",E5035="!!!"),"",IF(OR(J5035=0,AND(J5035=1,K5035=1),AND(J5035=1,I5035="SBJ"),AND(J5035=1,I5035=0)),"?IN_FOCUS",IF(J5035&lt;=2,"?ACTIVATED",IF(J5035&lt;&gt;"","?FAMILIAR",IF(F5035="NEW",IF(ISNA(VLOOKUP(E5035,#REF!,1,FALSE())),"?TYPE_IDENTIFIABLE","?REFERENTIAL"),"_")))))</f>
        <v> </v>
      </c>
      <c r="H5035" s="24" t="str">
        <f>IF(J5035&lt;&gt;1,"",IF(I5035="SBJ","CB","?"))</f>
        <v> </v>
      </c>
      <c r="I5035" s="25" t="str">
        <f>IF(OR(E5035="",E5035="!!!",F5035="NEW"),"",INDEX(B5034:B$2,-1+SUMPRODUCT(MAX(ROW(E5034:E$2)*(E5035=E5034:E$2)))))</f>
        <v> </v>
      </c>
      <c r="J5035" s="25" t="str">
        <f>IF(OR(E5035="",E5035="!!!",F5035="NEW"),"",COUNTBLANK(OFFSET(A$1,,,SUMPRODUCT(MAX(ROW(E$2:E5035)*(E5035=E$2:E5035)))))-COUNTBLANK(OFFSET(A$1,,,SUMPRODUCT(MAX(ROW(E$1:E5034)*(E2=E$1:E5034))))))</f>
        <v> </v>
      </c>
      <c r="K5035" s="25" t="str">
        <f>IF(OR(E5035="",E5035="!!!",F5035="NEW"),"",INDEX(J$1:J5034,SUMPRODUCT(MAX(ROW(E$1:E5034)*(E5035=E$1:E5034)))))</f>
        <v> </v>
      </c>
      <c r="L5035" s="26"/>
    </row>
    <row r="5036" spans="1:12">
      <c r="A5036" s="20" t="s">
        <v>909</v>
      </c>
      <c r="E5036" s="21">
        <f>IF(D5036="?OLD","!!!","")</f>
        <v/>
      </c>
      <c r="F5036" s="22" t="str">
        <f>IF(OR(E5036="",E5036="!!!"),"",IF(NOT(ISNA(VLOOKUP(E5036,E$1:E5035,1,FALSE()))),"OLD",IF(AND(E5036&lt;&gt;"",E5036&lt;&gt;"!!!"),"NEW","")))</f>
        <v> </v>
      </c>
      <c r="G5036" s="23" t="str">
        <f>IF(OR(E5036="",E5036="!!!"),"",IF(OR(J5036=0,AND(J5036=1,K5036=1),AND(J5036=1,I5036="SBJ"),AND(J5036=1,I5036=0)),"?IN_FOCUS",IF(J5036&lt;=2,"?ACTIVATED",IF(J5036&lt;&gt;"","?FAMILIAR",IF(F5036="NEW",IF(ISNA(VLOOKUP(E5036,#REF!,1,FALSE())),"?TYPE_IDENTIFIABLE","?REFERENTIAL"),"_")))))</f>
        <v> </v>
      </c>
      <c r="H5036" s="24" t="str">
        <f>IF(J5036&lt;&gt;1,"",IF(I5036="SBJ","CB","?"))</f>
        <v> </v>
      </c>
      <c r="I5036" s="25" t="str">
        <f>IF(OR(E5036="",E5036="!!!",F5036="NEW"),"",INDEX(B5035:B$2,-1+SUMPRODUCT(MAX(ROW(E5035:E$2)*(E5036=E5035:E$2)))))</f>
        <v> </v>
      </c>
      <c r="J5036" s="25" t="str">
        <f>IF(OR(E5036="",E5036="!!!",F5036="NEW"),"",COUNTBLANK(OFFSET(A$1,,,SUMPRODUCT(MAX(ROW(E$2:E5036)*(E5036=E$2:E5036)))))-COUNTBLANK(OFFSET(A$1,,,SUMPRODUCT(MAX(ROW(E$1:E5035)*(E2=E$1:E5035))))))</f>
        <v> </v>
      </c>
      <c r="K5036" s="25" t="str">
        <f>IF(OR(E5036="",E5036="!!!",F5036="NEW"),"",INDEX(J$1:J5035,SUMPRODUCT(MAX(ROW(E$1:E5035)*(E5036=E$1:E5035)))))</f>
        <v> </v>
      </c>
      <c r="L5036" s="26"/>
    </row>
    <row r="5037" spans="1:12">
      <c r="A5037" s="20" t="s">
        <v>2076</v>
      </c>
      <c r="E5037" s="21">
        <f>IF(D5037="?OLD","!!!","")</f>
        <v/>
      </c>
      <c r="F5037" s="22" t="str">
        <f>IF(OR(E5037="",E5037="!!!"),"",IF(NOT(ISNA(VLOOKUP(E5037,E$1:E5036,1,FALSE()))),"OLD",IF(AND(E5037&lt;&gt;"",E5037&lt;&gt;"!!!"),"NEW","")))</f>
        <v> </v>
      </c>
      <c r="G5037" s="23" t="str">
        <f>IF(OR(E5037="",E5037="!!!"),"",IF(OR(J5037=0,AND(J5037=1,K5037=1),AND(J5037=1,I5037="SBJ"),AND(J5037=1,I5037=0)),"?IN_FOCUS",IF(J5037&lt;=2,"?ACTIVATED",IF(J5037&lt;&gt;"","?FAMILIAR",IF(F5037="NEW",IF(ISNA(VLOOKUP(E5037,#REF!,1,FALSE())),"?TYPE_IDENTIFIABLE","?REFERENTIAL"),"_")))))</f>
        <v> </v>
      </c>
      <c r="H5037" s="24" t="str">
        <f>IF(J5037&lt;&gt;1,"",IF(I5037="SBJ","CB","?"))</f>
        <v> </v>
      </c>
      <c r="I5037" s="25" t="str">
        <f>IF(OR(E5037="",E5037="!!!",F5037="NEW"),"",INDEX(B5036:B$2,-1+SUMPRODUCT(MAX(ROW(E5036:E$2)*(E5037=E5036:E$2)))))</f>
        <v> </v>
      </c>
      <c r="J5037" s="25" t="str">
        <f>IF(OR(E5037="",E5037="!!!",F5037="NEW"),"",COUNTBLANK(OFFSET(A$1,,,SUMPRODUCT(MAX(ROW(E$2:E5037)*(E5037=E$2:E5037)))))-COUNTBLANK(OFFSET(A$1,,,SUMPRODUCT(MAX(ROW(E$1:E5036)*(E2=E$1:E5036))))))</f>
        <v> </v>
      </c>
      <c r="K5037" s="25" t="str">
        <f>IF(OR(E5037="",E5037="!!!",F5037="NEW"),"",INDEX(J$1:J5036,SUMPRODUCT(MAX(ROW(E$1:E5036)*(E5037=E$1:E5036)))))</f>
        <v> </v>
      </c>
      <c r="L5037" s="26"/>
    </row>
    <row r="5038" spans="1:12">
      <c r="A5038" s="20" t="s">
        <v>810</v>
      </c>
      <c r="E5038" s="21">
        <f>IF(D5038="?OLD","!!!","")</f>
        <v/>
      </c>
      <c r="F5038" s="22" t="str">
        <f>IF(OR(E5038="",E5038="!!!"),"",IF(NOT(ISNA(VLOOKUP(E5038,E$1:E5037,1,FALSE()))),"OLD",IF(AND(E5038&lt;&gt;"",E5038&lt;&gt;"!!!"),"NEW","")))</f>
        <v> </v>
      </c>
      <c r="G5038" s="23" t="str">
        <f>IF(OR(E5038="",E5038="!!!"),"",IF(OR(J5038=0,AND(J5038=1,K5038=1),AND(J5038=1,I5038="SBJ"),AND(J5038=1,I5038=0)),"?IN_FOCUS",IF(J5038&lt;=2,"?ACTIVATED",IF(J5038&lt;&gt;"","?FAMILIAR",IF(F5038="NEW",IF(ISNA(VLOOKUP(E5038,#REF!,1,FALSE())),"?TYPE_IDENTIFIABLE","?REFERENTIAL"),"_")))))</f>
        <v> </v>
      </c>
      <c r="H5038" s="24" t="str">
        <f>IF(J5038&lt;&gt;1,"",IF(I5038="SBJ","CB","?"))</f>
        <v> </v>
      </c>
      <c r="I5038" s="25" t="str">
        <f>IF(OR(E5038="",E5038="!!!",F5038="NEW"),"",INDEX(B5037:B$2,-1+SUMPRODUCT(MAX(ROW(E5037:E$2)*(E5038=E5037:E$2)))))</f>
        <v> </v>
      </c>
      <c r="J5038" s="25" t="str">
        <f>IF(OR(E5038="",E5038="!!!",F5038="NEW"),"",COUNTBLANK(OFFSET(A$1,,,SUMPRODUCT(MAX(ROW(E$2:E5038)*(E5038=E$2:E5038)))))-COUNTBLANK(OFFSET(A$1,,,SUMPRODUCT(MAX(ROW(E$1:E5037)*(E2=E$1:E5037))))))</f>
        <v> </v>
      </c>
      <c r="K5038" s="25" t="str">
        <f>IF(OR(E5038="",E5038="!!!",F5038="NEW"),"",INDEX(J$1:J5037,SUMPRODUCT(MAX(ROW(E$1:E5037)*(E5038=E$1:E5037)))))</f>
        <v> </v>
      </c>
      <c r="L5038" s="26"/>
    </row>
    <row r="5039" spans="1:12">
      <c r="A5039" s="20" t="s">
        <v>827</v>
      </c>
      <c r="B5039" s="27" t="s">
        <v>796</v>
      </c>
      <c r="C5039" s="27" t="s">
        <v>797</v>
      </c>
      <c r="D5039" s="27" t="s">
        <v>762</v>
      </c>
      <c r="E5039" s="21">
        <f>IF(D5039="?OLD","!!!","")</f>
        <v/>
      </c>
      <c r="F5039" s="22" t="str">
        <f>IF(OR(E5039="",E5039="!!!"),"",IF(NOT(ISNA(VLOOKUP(E5039,E$1:E5038,1,FALSE()))),"OLD",IF(AND(E5039&lt;&gt;"",E5039&lt;&gt;"!!!"),"NEW","")))</f>
        <v> </v>
      </c>
      <c r="G5039" s="23" t="str">
        <f>IF(OR(E5039="",E5039="!!!"),"",IF(OR(J5039=0,AND(J5039=1,K5039=1),AND(J5039=1,I5039="SBJ"),AND(J5039=1,I5039=0)),"?IN_FOCUS",IF(J5039&lt;=2,"?ACTIVATED",IF(J5039&lt;&gt;"","?FAMILIAR",IF(F5039="NEW",IF(ISNA(VLOOKUP(E5039,#REF!,1,FALSE())),"?TYPE_IDENTIFIABLE","?REFERENTIAL"),"_")))))</f>
        <v> </v>
      </c>
      <c r="H5039" s="24" t="str">
        <f>IF(J5039&lt;&gt;1,"",IF(I5039="SBJ","CB","?"))</f>
        <v> </v>
      </c>
      <c r="I5039" s="25" t="str">
        <f>IF(OR(E5039="",E5039="!!!",F5039="NEW"),"",INDEX(B5038:B$2,-1+SUMPRODUCT(MAX(ROW(E5038:E$2)*(E5039=E5038:E$2)))))</f>
        <v> </v>
      </c>
      <c r="J5039" s="25" t="str">
        <f>IF(OR(E5039="",E5039="!!!",F5039="NEW"),"",COUNTBLANK(OFFSET(A$1,,,SUMPRODUCT(MAX(ROW(E$2:E5039)*(E5039=E$2:E5039)))))-COUNTBLANK(OFFSET(A$1,,,SUMPRODUCT(MAX(ROW(E$1:E5038)*(E2=E$1:E5038))))))</f>
        <v> </v>
      </c>
      <c r="K5039" s="25" t="str">
        <f>IF(OR(E5039="",E5039="!!!",F5039="NEW"),"",INDEX(J$1:J5038,SUMPRODUCT(MAX(ROW(E$1:E5038)*(E5039=E$1:E5038)))))</f>
        <v> </v>
      </c>
      <c r="L5039" s="26"/>
    </row>
    <row r="5040" spans="1:12">
      <c r="A5040" s="20" t="s">
        <v>909</v>
      </c>
      <c r="E5040" s="21">
        <f>IF(D5040="?OLD","!!!","")</f>
        <v/>
      </c>
      <c r="F5040" s="22" t="str">
        <f>IF(OR(E5040="",E5040="!!!"),"",IF(NOT(ISNA(VLOOKUP(E5040,E$1:E5039,1,FALSE()))),"OLD",IF(AND(E5040&lt;&gt;"",E5040&lt;&gt;"!!!"),"NEW","")))</f>
        <v> </v>
      </c>
      <c r="G5040" s="23" t="str">
        <f>IF(OR(E5040="",E5040="!!!"),"",IF(OR(J5040=0,AND(J5040=1,K5040=1),AND(J5040=1,I5040="SBJ"),AND(J5040=1,I5040=0)),"?IN_FOCUS",IF(J5040&lt;=2,"?ACTIVATED",IF(J5040&lt;&gt;"","?FAMILIAR",IF(F5040="NEW",IF(ISNA(VLOOKUP(E5040,#REF!,1,FALSE())),"?TYPE_IDENTIFIABLE","?REFERENTIAL"),"_")))))</f>
        <v> </v>
      </c>
      <c r="H5040" s="24" t="str">
        <f>IF(J5040&lt;&gt;1,"",IF(I5040="SBJ","CB","?"))</f>
        <v> </v>
      </c>
      <c r="I5040" s="25" t="str">
        <f>IF(OR(E5040="",E5040="!!!",F5040="NEW"),"",INDEX(B5039:B$2,-1+SUMPRODUCT(MAX(ROW(E5039:E$2)*(E5040=E5039:E$2)))))</f>
        <v> </v>
      </c>
      <c r="J5040" s="25" t="str">
        <f>IF(OR(E5040="",E5040="!!!",F5040="NEW"),"",COUNTBLANK(OFFSET(A$1,,,SUMPRODUCT(MAX(ROW(E$2:E5040)*(E5040=E$2:E5040)))))-COUNTBLANK(OFFSET(A$1,,,SUMPRODUCT(MAX(ROW(E$1:E5039)*(E2=E$1:E5039))))))</f>
        <v> </v>
      </c>
      <c r="K5040" s="25" t="str">
        <f>IF(OR(E5040="",E5040="!!!",F5040="NEW"),"",INDEX(J$1:J5039,SUMPRODUCT(MAX(ROW(E$1:E5039)*(E5040=E$1:E5039)))))</f>
        <v> </v>
      </c>
      <c r="L5040" s="26"/>
    </row>
    <row r="5041" spans="1:12">
      <c r="A5041" s="20" t="s">
        <v>1364</v>
      </c>
      <c r="E5041" s="21">
        <f>IF(D5041="?OLD","!!!","")</f>
        <v/>
      </c>
      <c r="F5041" s="22" t="str">
        <f>IF(OR(E5041="",E5041="!!!"),"",IF(NOT(ISNA(VLOOKUP(E5041,E$1:E5040,1,FALSE()))),"OLD",IF(AND(E5041&lt;&gt;"",E5041&lt;&gt;"!!!"),"NEW","")))</f>
        <v> </v>
      </c>
      <c r="G5041" s="23" t="str">
        <f>IF(OR(E5041="",E5041="!!!"),"",IF(OR(J5041=0,AND(J5041=1,K5041=1),AND(J5041=1,I5041="SBJ"),AND(J5041=1,I5041=0)),"?IN_FOCUS",IF(J5041&lt;=2,"?ACTIVATED",IF(J5041&lt;&gt;"","?FAMILIAR",IF(F5041="NEW",IF(ISNA(VLOOKUP(E5041,#REF!,1,FALSE())),"?TYPE_IDENTIFIABLE","?REFERENTIAL"),"_")))))</f>
        <v> </v>
      </c>
      <c r="H5041" s="24" t="str">
        <f>IF(J5041&lt;&gt;1,"",IF(I5041="SBJ","CB","?"))</f>
        <v> </v>
      </c>
      <c r="I5041" s="25" t="str">
        <f>IF(OR(E5041="",E5041="!!!",F5041="NEW"),"",INDEX(B5040:B$2,-1+SUMPRODUCT(MAX(ROW(E5040:E$2)*(E5041=E5040:E$2)))))</f>
        <v> </v>
      </c>
      <c r="J5041" s="25" t="str">
        <f>IF(OR(E5041="",E5041="!!!",F5041="NEW"),"",COUNTBLANK(OFFSET(A$1,,,SUMPRODUCT(MAX(ROW(E$2:E5041)*(E5041=E$2:E5041)))))-COUNTBLANK(OFFSET(A$1,,,SUMPRODUCT(MAX(ROW(E$1:E5040)*(E2=E$1:E5040))))))</f>
        <v> </v>
      </c>
      <c r="K5041" s="25" t="str">
        <f>IF(OR(E5041="",E5041="!!!",F5041="NEW"),"",INDEX(J$1:J5040,SUMPRODUCT(MAX(ROW(E$1:E5040)*(E5041=E$1:E5040)))))</f>
        <v> </v>
      </c>
      <c r="L5041" s="26"/>
    </row>
    <row r="5042" spans="1:12">
      <c r="A5042" s="20" t="s">
        <v>2077</v>
      </c>
      <c r="B5042" s="27" t="s">
        <v>753</v>
      </c>
      <c r="C5042" s="27" t="s">
        <v>754</v>
      </c>
      <c r="E5042" s="21">
        <f>IF(D5042="?OLD","!!!","")</f>
        <v/>
      </c>
      <c r="F5042" s="22" t="str">
        <f>IF(OR(E5042="",E5042="!!!"),"",IF(NOT(ISNA(VLOOKUP(E5042,E$1:E5041,1,FALSE()))),"OLD",IF(AND(E5042&lt;&gt;"",E5042&lt;&gt;"!!!"),"NEW","")))</f>
        <v> </v>
      </c>
      <c r="G5042" s="23" t="str">
        <f>IF(OR(E5042="",E5042="!!!"),"",IF(OR(J5042=0,AND(J5042=1,K5042=1),AND(J5042=1,I5042="SBJ"),AND(J5042=1,I5042=0)),"?IN_FOCUS",IF(J5042&lt;=2,"?ACTIVATED",IF(J5042&lt;&gt;"","?FAMILIAR",IF(F5042="NEW",IF(ISNA(VLOOKUP(E5042,#REF!,1,FALSE())),"?TYPE_IDENTIFIABLE","?REFERENTIAL"),"_")))))</f>
        <v> </v>
      </c>
      <c r="H5042" s="24" t="str">
        <f>IF(J5042&lt;&gt;1,"",IF(I5042="SBJ","CB","?"))</f>
        <v> </v>
      </c>
      <c r="I5042" s="25" t="str">
        <f>IF(OR(E5042="",E5042="!!!",F5042="NEW"),"",INDEX(B5041:B$2,-1+SUMPRODUCT(MAX(ROW(E5041:E$2)*(E5042=E5041:E$2)))))</f>
        <v> </v>
      </c>
      <c r="J5042" s="25" t="str">
        <f>IF(OR(E5042="",E5042="!!!",F5042="NEW"),"",COUNTBLANK(OFFSET(A$1,,,SUMPRODUCT(MAX(ROW(E$2:E5042)*(E5042=E$2:E5042)))))-COUNTBLANK(OFFSET(A$1,,,SUMPRODUCT(MAX(ROW(E$1:E5041)*(E2=E$1:E5041))))))</f>
        <v> </v>
      </c>
      <c r="K5042" s="25" t="str">
        <f>IF(OR(E5042="",E5042="!!!",F5042="NEW"),"",INDEX(J$1:J5041,SUMPRODUCT(MAX(ROW(E$1:E5041)*(E5042=E$1:E5041)))))</f>
        <v> </v>
      </c>
      <c r="L5042" s="26"/>
    </row>
    <row r="5043" spans="1:12">
      <c r="A5043" s="20" t="s">
        <v>769</v>
      </c>
      <c r="E5043" s="21">
        <f>IF(D5043="?OLD","!!!","")</f>
        <v/>
      </c>
      <c r="F5043" s="22" t="str">
        <f>IF(OR(E5043="",E5043="!!!"),"",IF(NOT(ISNA(VLOOKUP(E5043,E$1:E5042,1,FALSE()))),"OLD",IF(AND(E5043&lt;&gt;"",E5043&lt;&gt;"!!!"),"NEW","")))</f>
        <v> </v>
      </c>
      <c r="G5043" s="23" t="str">
        <f>IF(OR(E5043="",E5043="!!!"),"",IF(OR(J5043=0,AND(J5043=1,K5043=1),AND(J5043=1,I5043="SBJ"),AND(J5043=1,I5043=0)),"?IN_FOCUS",IF(J5043&lt;=2,"?ACTIVATED",IF(J5043&lt;&gt;"","?FAMILIAR",IF(F5043="NEW",IF(ISNA(VLOOKUP(E5043,#REF!,1,FALSE())),"?TYPE_IDENTIFIABLE","?REFERENTIAL"),"_")))))</f>
        <v> </v>
      </c>
      <c r="H5043" s="24" t="str">
        <f>IF(J5043&lt;&gt;1,"",IF(I5043="SBJ","CB","?"))</f>
        <v> </v>
      </c>
      <c r="I5043" s="25" t="str">
        <f>IF(OR(E5043="",E5043="!!!",F5043="NEW"),"",INDEX(B5042:B$2,-1+SUMPRODUCT(MAX(ROW(E5042:E$2)*(E5043=E5042:E$2)))))</f>
        <v> </v>
      </c>
      <c r="J5043" s="25" t="str">
        <f>IF(OR(E5043="",E5043="!!!",F5043="NEW"),"",COUNTBLANK(OFFSET(A$1,,,SUMPRODUCT(MAX(ROW(E$2:E5043)*(E5043=E$2:E5043)))))-COUNTBLANK(OFFSET(A$1,,,SUMPRODUCT(MAX(ROW(E$1:E5042)*(E2=E$1:E5042))))))</f>
        <v> </v>
      </c>
      <c r="K5043" s="25" t="str">
        <f>IF(OR(E5043="",E5043="!!!",F5043="NEW"),"",INDEX(J$1:J5042,SUMPRODUCT(MAX(ROW(E$1:E5042)*(E5043=E$1:E5042)))))</f>
        <v> </v>
      </c>
      <c r="L5043" s="26"/>
    </row>
    <row r="5044" spans="1:12">
      <c r="A5044" s="20" t="s">
        <v>770</v>
      </c>
      <c r="E5044" s="21">
        <f>IF(D5044="?OLD","!!!","")</f>
        <v/>
      </c>
      <c r="F5044" s="22" t="str">
        <f>IF(OR(E5044="",E5044="!!!"),"",IF(NOT(ISNA(VLOOKUP(E5044,E$1:E5043,1,FALSE()))),"OLD",IF(AND(E5044&lt;&gt;"",E5044&lt;&gt;"!!!"),"NEW","")))</f>
        <v> </v>
      </c>
      <c r="G5044" s="23" t="str">
        <f>IF(OR(E5044="",E5044="!!!"),"",IF(OR(J5044=0,AND(J5044=1,K5044=1),AND(J5044=1,I5044="SBJ"),AND(J5044=1,I5044=0)),"?IN_FOCUS",IF(J5044&lt;=2,"?ACTIVATED",IF(J5044&lt;&gt;"","?FAMILIAR",IF(F5044="NEW",IF(ISNA(VLOOKUP(E5044,#REF!,1,FALSE())),"?TYPE_IDENTIFIABLE","?REFERENTIAL"),"_")))))</f>
        <v> </v>
      </c>
      <c r="H5044" s="24" t="str">
        <f>IF(J5044&lt;&gt;1,"",IF(I5044="SBJ","CB","?"))</f>
        <v> </v>
      </c>
      <c r="I5044" s="25" t="str">
        <f>IF(OR(E5044="",E5044="!!!",F5044="NEW"),"",INDEX(B5043:B$2,-1+SUMPRODUCT(MAX(ROW(E5043:E$2)*(E5044=E5043:E$2)))))</f>
        <v> </v>
      </c>
      <c r="J5044" s="25" t="str">
        <f>IF(OR(E5044="",E5044="!!!",F5044="NEW"),"",COUNTBLANK(OFFSET(A$1,,,SUMPRODUCT(MAX(ROW(E$2:E5044)*(E5044=E$2:E5044)))))-COUNTBLANK(OFFSET(A$1,,,SUMPRODUCT(MAX(ROW(E$1:E5043)*(E2=E$1:E5043))))))</f>
        <v> </v>
      </c>
      <c r="K5044" s="25" t="str">
        <f>IF(OR(E5044="",E5044="!!!",F5044="NEW"),"",INDEX(J$1:J5043,SUMPRODUCT(MAX(ROW(E$1:E5043)*(E5044=E$1:E5043)))))</f>
        <v> </v>
      </c>
      <c r="L5044" s="26"/>
    </row>
    <row r="5045" spans="1:12">
      <c r="A5045" s="20" t="s">
        <v>2078</v>
      </c>
      <c r="B5045" s="27" t="s">
        <v>772</v>
      </c>
      <c r="C5045" s="27" t="s">
        <v>837</v>
      </c>
      <c r="D5045" s="27" t="s">
        <v>762</v>
      </c>
      <c r="E5045" s="21">
        <f>IF(D5045="?OLD","!!!","")</f>
        <v/>
      </c>
      <c r="F5045" s="22" t="str">
        <f>IF(OR(E5045="",E5045="!!!"),"",IF(NOT(ISNA(VLOOKUP(E5045,E$1:E5044,1,FALSE()))),"OLD",IF(AND(E5045&lt;&gt;"",E5045&lt;&gt;"!!!"),"NEW","")))</f>
        <v> </v>
      </c>
      <c r="G5045" s="23" t="str">
        <f>IF(OR(E5045="",E5045="!!!"),"",IF(OR(J5045=0,AND(J5045=1,K5045=1),AND(J5045=1,I5045="SBJ"),AND(J5045=1,I5045=0)),"?IN_FOCUS",IF(J5045&lt;=2,"?ACTIVATED",IF(J5045&lt;&gt;"","?FAMILIAR",IF(F5045="NEW",IF(ISNA(VLOOKUP(E5045,#REF!,1,FALSE())),"?TYPE_IDENTIFIABLE","?REFERENTIAL"),"_")))))</f>
        <v> </v>
      </c>
      <c r="H5045" s="24" t="str">
        <f>IF(J5045&lt;&gt;1,"",IF(I5045="SBJ","CB","?"))</f>
        <v> </v>
      </c>
      <c r="I5045" s="25" t="str">
        <f>IF(OR(E5045="",E5045="!!!",F5045="NEW"),"",INDEX(B5044:B$2,-1+SUMPRODUCT(MAX(ROW(E5044:E$2)*(E5045=E5044:E$2)))))</f>
        <v> </v>
      </c>
      <c r="J5045" s="25" t="str">
        <f>IF(OR(E5045="",E5045="!!!",F5045="NEW"),"",COUNTBLANK(OFFSET(A$1,,,SUMPRODUCT(MAX(ROW(E$2:E5045)*(E5045=E$2:E5045)))))-COUNTBLANK(OFFSET(A$1,,,SUMPRODUCT(MAX(ROW(E$1:E5044)*(E2=E$1:E5044))))))</f>
        <v> </v>
      </c>
      <c r="K5045" s="25" t="str">
        <f>IF(OR(E5045="",E5045="!!!",F5045="NEW"),"",INDEX(J$1:J5044,SUMPRODUCT(MAX(ROW(E$1:E5044)*(E5045=E$1:E5044)))))</f>
        <v> </v>
      </c>
      <c r="L5045" s="26"/>
    </row>
    <row r="5046" spans="1:12">
      <c r="A5046" s="20" t="s">
        <v>2079</v>
      </c>
      <c r="E5046" s="21">
        <f>IF(D5046="?OLD","!!!","")</f>
        <v/>
      </c>
      <c r="F5046" s="22" t="str">
        <f>IF(OR(E5046="",E5046="!!!"),"",IF(NOT(ISNA(VLOOKUP(E5046,E$1:E5045,1,FALSE()))),"OLD",IF(AND(E5046&lt;&gt;"",E5046&lt;&gt;"!!!"),"NEW","")))</f>
        <v> </v>
      </c>
      <c r="G5046" s="23" t="str">
        <f>IF(OR(E5046="",E5046="!!!"),"",IF(OR(J5046=0,AND(J5046=1,K5046=1),AND(J5046=1,I5046="SBJ"),AND(J5046=1,I5046=0)),"?IN_FOCUS",IF(J5046&lt;=2,"?ACTIVATED",IF(J5046&lt;&gt;"","?FAMILIAR",IF(F5046="NEW",IF(ISNA(VLOOKUP(E5046,#REF!,1,FALSE())),"?TYPE_IDENTIFIABLE","?REFERENTIAL"),"_")))))</f>
        <v> </v>
      </c>
      <c r="H5046" s="24" t="str">
        <f>IF(J5046&lt;&gt;1,"",IF(I5046="SBJ","CB","?"))</f>
        <v> </v>
      </c>
      <c r="I5046" s="25" t="str">
        <f>IF(OR(E5046="",E5046="!!!",F5046="NEW"),"",INDEX(B5045:B$2,-1+SUMPRODUCT(MAX(ROW(E5045:E$2)*(E5046=E5045:E$2)))))</f>
        <v> </v>
      </c>
      <c r="J5046" s="25" t="str">
        <f>IF(OR(E5046="",E5046="!!!",F5046="NEW"),"",COUNTBLANK(OFFSET(A$1,,,SUMPRODUCT(MAX(ROW(E$2:E5046)*(E5046=E$2:E5046)))))-COUNTBLANK(OFFSET(A$1,,,SUMPRODUCT(MAX(ROW(E$1:E5045)*(E2=E$1:E5045))))))</f>
        <v> </v>
      </c>
      <c r="K5046" s="25" t="str">
        <f>IF(OR(E5046="",E5046="!!!",F5046="NEW"),"",INDEX(J$1:J5045,SUMPRODUCT(MAX(ROW(E$1:E5045)*(E5046=E$1:E5045)))))</f>
        <v> </v>
      </c>
      <c r="L5046" s="26"/>
    </row>
    <row r="5047" spans="1:12">
      <c r="A5047" s="20" t="s">
        <v>769</v>
      </c>
      <c r="E5047" s="21">
        <f>IF(D5047="?OLD","!!!","")</f>
        <v/>
      </c>
      <c r="F5047" s="22" t="str">
        <f>IF(OR(E5047="",E5047="!!!"),"",IF(NOT(ISNA(VLOOKUP(E5047,E$1:E5046,1,FALSE()))),"OLD",IF(AND(E5047&lt;&gt;"",E5047&lt;&gt;"!!!"),"NEW","")))</f>
        <v> </v>
      </c>
      <c r="G5047" s="23" t="str">
        <f>IF(OR(E5047="",E5047="!!!"),"",IF(OR(J5047=0,AND(J5047=1,K5047=1),AND(J5047=1,I5047="SBJ"),AND(J5047=1,I5047=0)),"?IN_FOCUS",IF(J5047&lt;=2,"?ACTIVATED",IF(J5047&lt;&gt;"","?FAMILIAR",IF(F5047="NEW",IF(ISNA(VLOOKUP(E5047,#REF!,1,FALSE())),"?TYPE_IDENTIFIABLE","?REFERENTIAL"),"_")))))</f>
        <v> </v>
      </c>
      <c r="H5047" s="24" t="str">
        <f>IF(J5047&lt;&gt;1,"",IF(I5047="SBJ","CB","?"))</f>
        <v> </v>
      </c>
      <c r="I5047" s="25" t="str">
        <f>IF(OR(E5047="",E5047="!!!",F5047="NEW"),"",INDEX(B5046:B$2,-1+SUMPRODUCT(MAX(ROW(E5046:E$2)*(E5047=E5046:E$2)))))</f>
        <v> </v>
      </c>
      <c r="J5047" s="25" t="str">
        <f>IF(OR(E5047="",E5047="!!!",F5047="NEW"),"",COUNTBLANK(OFFSET(A$1,,,SUMPRODUCT(MAX(ROW(E$2:E5047)*(E5047=E$2:E5047)))))-COUNTBLANK(OFFSET(A$1,,,SUMPRODUCT(MAX(ROW(E$1:E5046)*(E2=E$1:E5046))))))</f>
        <v> </v>
      </c>
      <c r="K5047" s="25" t="str">
        <f>IF(OR(E5047="",E5047="!!!",F5047="NEW"),"",INDEX(J$1:J5046,SUMPRODUCT(MAX(ROW(E$1:E5046)*(E5047=E$1:E5046)))))</f>
        <v> </v>
      </c>
      <c r="L5047" s="26"/>
    </row>
    <row r="5048" spans="1:12">
      <c r="A5048" s="20" t="s">
        <v>1026</v>
      </c>
      <c r="E5048" s="21">
        <f>IF(D5048="?OLD","!!!","")</f>
        <v/>
      </c>
      <c r="F5048" s="22" t="str">
        <f>IF(OR(E5048="",E5048="!!!"),"",IF(NOT(ISNA(VLOOKUP(E5048,E$1:E5047,1,FALSE()))),"OLD",IF(AND(E5048&lt;&gt;"",E5048&lt;&gt;"!!!"),"NEW","")))</f>
        <v> </v>
      </c>
      <c r="G5048" s="23" t="str">
        <f>IF(OR(E5048="",E5048="!!!"),"",IF(OR(J5048=0,AND(J5048=1,K5048=1),AND(J5048=1,I5048="SBJ"),AND(J5048=1,I5048=0)),"?IN_FOCUS",IF(J5048&lt;=2,"?ACTIVATED",IF(J5048&lt;&gt;"","?FAMILIAR",IF(F5048="NEW",IF(ISNA(VLOOKUP(E5048,#REF!,1,FALSE())),"?TYPE_IDENTIFIABLE","?REFERENTIAL"),"_")))))</f>
        <v> </v>
      </c>
      <c r="H5048" s="24" t="str">
        <f>IF(J5048&lt;&gt;1,"",IF(I5048="SBJ","CB","?"))</f>
        <v> </v>
      </c>
      <c r="I5048" s="25" t="str">
        <f>IF(OR(E5048="",E5048="!!!",F5048="NEW"),"",INDEX(B5047:B$2,-1+SUMPRODUCT(MAX(ROW(E5047:E$2)*(E5048=E5047:E$2)))))</f>
        <v> </v>
      </c>
      <c r="J5048" s="25" t="str">
        <f>IF(OR(E5048="",E5048="!!!",F5048="NEW"),"",COUNTBLANK(OFFSET(A$1,,,SUMPRODUCT(MAX(ROW(E$2:E5048)*(E5048=E$2:E5048)))))-COUNTBLANK(OFFSET(A$1,,,SUMPRODUCT(MAX(ROW(E$1:E5047)*(E2=E$1:E5047))))))</f>
        <v> </v>
      </c>
      <c r="K5048" s="25" t="str">
        <f>IF(OR(E5048="",E5048="!!!",F5048="NEW"),"",INDEX(J$1:J5047,SUMPRODUCT(MAX(ROW(E$1:E5047)*(E5048=E$1:E5047)))))</f>
        <v> </v>
      </c>
      <c r="L5048" s="26"/>
    </row>
    <row r="5049" spans="1:12">
      <c r="A5049" s="20" t="s">
        <v>2080</v>
      </c>
      <c r="E5049" s="21">
        <f>IF(D5049="?OLD","!!!","")</f>
        <v/>
      </c>
      <c r="F5049" s="22" t="str">
        <f>IF(OR(E5049="",E5049="!!!"),"",IF(NOT(ISNA(VLOOKUP(E5049,E$1:E5048,1,FALSE()))),"OLD",IF(AND(E5049&lt;&gt;"",E5049&lt;&gt;"!!!"),"NEW","")))</f>
        <v> </v>
      </c>
      <c r="G5049" s="23" t="str">
        <f>IF(OR(E5049="",E5049="!!!"),"",IF(OR(J5049=0,AND(J5049=1,K5049=1),AND(J5049=1,I5049="SBJ"),AND(J5049=1,I5049=0)),"?IN_FOCUS",IF(J5049&lt;=2,"?ACTIVATED",IF(J5049&lt;&gt;"","?FAMILIAR",IF(F5049="NEW",IF(ISNA(VLOOKUP(E5049,#REF!,1,FALSE())),"?TYPE_IDENTIFIABLE","?REFERENTIAL"),"_")))))</f>
        <v> </v>
      </c>
      <c r="H5049" s="24" t="str">
        <f>IF(J5049&lt;&gt;1,"",IF(I5049="SBJ","CB","?"))</f>
        <v> </v>
      </c>
      <c r="I5049" s="25" t="str">
        <f>IF(OR(E5049="",E5049="!!!",F5049="NEW"),"",INDEX(B5048:B$2,-1+SUMPRODUCT(MAX(ROW(E5048:E$2)*(E5049=E5048:E$2)))))</f>
        <v> </v>
      </c>
      <c r="J5049" s="25" t="str">
        <f>IF(OR(E5049="",E5049="!!!",F5049="NEW"),"",COUNTBLANK(OFFSET(A$1,,,SUMPRODUCT(MAX(ROW(E$2:E5049)*(E5049=E$2:E5049)))))-COUNTBLANK(OFFSET(A$1,,,SUMPRODUCT(MAX(ROW(E$1:E5048)*(E2=E$1:E5048))))))</f>
        <v> </v>
      </c>
      <c r="K5049" s="25" t="str">
        <f>IF(OR(E5049="",E5049="!!!",F5049="NEW"),"",INDEX(J$1:J5048,SUMPRODUCT(MAX(ROW(E$1:E5048)*(E5049=E$1:E5048)))))</f>
        <v> </v>
      </c>
      <c r="L5049" s="26"/>
    </row>
    <row r="5050" spans="1:12">
      <c r="A5050" s="20" t="s">
        <v>2081</v>
      </c>
      <c r="B5050" s="27" t="s">
        <v>879</v>
      </c>
      <c r="C5050" s="27" t="s">
        <v>1019</v>
      </c>
      <c r="D5050" s="27" t="s">
        <v>762</v>
      </c>
      <c r="E5050" s="21">
        <f>IF(D5050="?OLD","!!!","")</f>
        <v/>
      </c>
      <c r="F5050" s="22" t="str">
        <f>IF(OR(E5050="",E5050="!!!"),"",IF(NOT(ISNA(VLOOKUP(E5050,E$1:E5049,1,FALSE()))),"OLD",IF(AND(E5050&lt;&gt;"",E5050&lt;&gt;"!!!"),"NEW","")))</f>
        <v> </v>
      </c>
      <c r="G5050" s="23" t="str">
        <f>IF(OR(E5050="",E5050="!!!"),"",IF(OR(J5050=0,AND(J5050=1,K5050=1),AND(J5050=1,I5050="SBJ"),AND(J5050=1,I5050=0)),"?IN_FOCUS",IF(J5050&lt;=2,"?ACTIVATED",IF(J5050&lt;&gt;"","?FAMILIAR",IF(F5050="NEW",IF(ISNA(VLOOKUP(E5050,#REF!,1,FALSE())),"?TYPE_IDENTIFIABLE","?REFERENTIAL"),"_")))))</f>
        <v> </v>
      </c>
      <c r="H5050" s="24" t="str">
        <f>IF(J5050&lt;&gt;1,"",IF(I5050="SBJ","CB","?"))</f>
        <v> </v>
      </c>
      <c r="I5050" s="25" t="str">
        <f>IF(OR(E5050="",E5050="!!!",F5050="NEW"),"",INDEX(B5049:B$2,-1+SUMPRODUCT(MAX(ROW(E5049:E$2)*(E5050=E5049:E$2)))))</f>
        <v> </v>
      </c>
      <c r="J5050" s="25" t="str">
        <f>IF(OR(E5050="",E5050="!!!",F5050="NEW"),"",COUNTBLANK(OFFSET(A$1,,,SUMPRODUCT(MAX(ROW(E$2:E5050)*(E5050=E$2:E5050)))))-COUNTBLANK(OFFSET(A$1,,,SUMPRODUCT(MAX(ROW(E$1:E5049)*(E2=E$1:E5049))))))</f>
        <v> </v>
      </c>
      <c r="K5050" s="25" t="str">
        <f>IF(OR(E5050="",E5050="!!!",F5050="NEW"),"",INDEX(J$1:J5049,SUMPRODUCT(MAX(ROW(E$1:E5049)*(E5050=E$1:E5049)))))</f>
        <v> </v>
      </c>
      <c r="L5050" s="26"/>
    </row>
    <row r="5051" spans="1:12">
      <c r="A5051" s="20" t="s">
        <v>757</v>
      </c>
      <c r="E5051" s="21">
        <f>IF(D5051="?OLD","!!!","")</f>
        <v/>
      </c>
      <c r="F5051" s="22" t="str">
        <f>IF(OR(E5051="",E5051="!!!"),"",IF(NOT(ISNA(VLOOKUP(E5051,E$1:E5050,1,FALSE()))),"OLD",IF(AND(E5051&lt;&gt;"",E5051&lt;&gt;"!!!"),"NEW","")))</f>
        <v> </v>
      </c>
      <c r="G5051" s="23" t="str">
        <f>IF(OR(E5051="",E5051="!!!"),"",IF(OR(J5051=0,AND(J5051=1,K5051=1),AND(J5051=1,I5051="SBJ"),AND(J5051=1,I5051=0)),"?IN_FOCUS",IF(J5051&lt;=2,"?ACTIVATED",IF(J5051&lt;&gt;"","?FAMILIAR",IF(F5051="NEW",IF(ISNA(VLOOKUP(E5051,#REF!,1,FALSE())),"?TYPE_IDENTIFIABLE","?REFERENTIAL"),"_")))))</f>
        <v> </v>
      </c>
      <c r="H5051" s="24" t="str">
        <f>IF(J5051&lt;&gt;1,"",IF(I5051="SBJ","CB","?"))</f>
        <v> </v>
      </c>
      <c r="I5051" s="25" t="str">
        <f>IF(OR(E5051="",E5051="!!!",F5051="NEW"),"",INDEX(B5050:B$2,-1+SUMPRODUCT(MAX(ROW(E5050:E$2)*(E5051=E5050:E$2)))))</f>
        <v> </v>
      </c>
      <c r="J5051" s="25" t="str">
        <f>IF(OR(E5051="",E5051="!!!",F5051="NEW"),"",COUNTBLANK(OFFSET(A$1,,,SUMPRODUCT(MAX(ROW(E$2:E5051)*(E5051=E$2:E5051)))))-COUNTBLANK(OFFSET(A$1,,,SUMPRODUCT(MAX(ROW(E$1:E5050)*(E2=E$1:E5050))))))</f>
        <v> </v>
      </c>
      <c r="K5051" s="25" t="str">
        <f>IF(OR(E5051="",E5051="!!!",F5051="NEW"),"",INDEX(J$1:J5050,SUMPRODUCT(MAX(ROW(E$1:E5050)*(E5051=E$1:E5050)))))</f>
        <v> </v>
      </c>
      <c r="L5051" s="26"/>
    </row>
    <row r="5052" spans="1:12">
      <c r="A5052" s="20" t="s">
        <v>869</v>
      </c>
      <c r="B5052" s="27" t="s">
        <v>796</v>
      </c>
      <c r="C5052" s="27" t="s">
        <v>797</v>
      </c>
      <c r="D5052" s="27" t="s">
        <v>762</v>
      </c>
      <c r="E5052" s="21">
        <f>IF(D5052="?OLD","!!!","")</f>
        <v/>
      </c>
      <c r="F5052" s="22" t="str">
        <f>IF(OR(E5052="",E5052="!!!"),"",IF(NOT(ISNA(VLOOKUP(E5052,E$1:E5051,1,FALSE()))),"OLD",IF(AND(E5052&lt;&gt;"",E5052&lt;&gt;"!!!"),"NEW","")))</f>
        <v> </v>
      </c>
      <c r="G5052" s="23" t="str">
        <f>IF(OR(E5052="",E5052="!!!"),"",IF(OR(J5052=0,AND(J5052=1,K5052=1),AND(J5052=1,I5052="SBJ"),AND(J5052=1,I5052=0)),"?IN_FOCUS",IF(J5052&lt;=2,"?ACTIVATED",IF(J5052&lt;&gt;"","?FAMILIAR",IF(F5052="NEW",IF(ISNA(VLOOKUP(E5052,#REF!,1,FALSE())),"?TYPE_IDENTIFIABLE","?REFERENTIAL"),"_")))))</f>
        <v> </v>
      </c>
      <c r="H5052" s="24" t="str">
        <f>IF(J5052&lt;&gt;1,"",IF(I5052="SBJ","CB","?"))</f>
        <v> </v>
      </c>
      <c r="I5052" s="25" t="str">
        <f>IF(OR(E5052="",E5052="!!!",F5052="NEW"),"",INDEX(B5051:B$2,-1+SUMPRODUCT(MAX(ROW(E5051:E$2)*(E5052=E5051:E$2)))))</f>
        <v> </v>
      </c>
      <c r="J5052" s="25" t="str">
        <f>IF(OR(E5052="",E5052="!!!",F5052="NEW"),"",COUNTBLANK(OFFSET(A$1,,,SUMPRODUCT(MAX(ROW(E$2:E5052)*(E5052=E$2:E5052)))))-COUNTBLANK(OFFSET(A$1,,,SUMPRODUCT(MAX(ROW(E$1:E5051)*(E2=E$1:E5051))))))</f>
        <v> </v>
      </c>
      <c r="K5052" s="25" t="str">
        <f>IF(OR(E5052="",E5052="!!!",F5052="NEW"),"",INDEX(J$1:J5051,SUMPRODUCT(MAX(ROW(E$1:E5051)*(E5052=E$1:E5051)))))</f>
        <v> </v>
      </c>
      <c r="L5052" s="26"/>
    </row>
    <row r="5053" spans="1:12">
      <c r="A5053" s="20" t="s">
        <v>2082</v>
      </c>
      <c r="E5053" s="21">
        <f>IF(D5053="?OLD","!!!","")</f>
        <v/>
      </c>
      <c r="F5053" s="22" t="str">
        <f>IF(OR(E5053="",E5053="!!!"),"",IF(NOT(ISNA(VLOOKUP(E5053,E$1:E5052,1,FALSE()))),"OLD",IF(AND(E5053&lt;&gt;"",E5053&lt;&gt;"!!!"),"NEW","")))</f>
        <v> </v>
      </c>
      <c r="G5053" s="23" t="str">
        <f>IF(OR(E5053="",E5053="!!!"),"",IF(OR(J5053=0,AND(J5053=1,K5053=1),AND(J5053=1,I5053="SBJ"),AND(J5053=1,I5053=0)),"?IN_FOCUS",IF(J5053&lt;=2,"?ACTIVATED",IF(J5053&lt;&gt;"","?FAMILIAR",IF(F5053="NEW",IF(ISNA(VLOOKUP(E5053,#REF!,1,FALSE())),"?TYPE_IDENTIFIABLE","?REFERENTIAL"),"_")))))</f>
        <v> </v>
      </c>
      <c r="H5053" s="24" t="str">
        <f>IF(J5053&lt;&gt;1,"",IF(I5053="SBJ","CB","?"))</f>
        <v> </v>
      </c>
      <c r="I5053" s="25" t="str">
        <f>IF(OR(E5053="",E5053="!!!",F5053="NEW"),"",INDEX(B5052:B$2,-1+SUMPRODUCT(MAX(ROW(E5052:E$2)*(E5053=E5052:E$2)))))</f>
        <v> </v>
      </c>
      <c r="J5053" s="25" t="str">
        <f>IF(OR(E5053="",E5053="!!!",F5053="NEW"),"",COUNTBLANK(OFFSET(A$1,,,SUMPRODUCT(MAX(ROW(E$2:E5053)*(E5053=E$2:E5053)))))-COUNTBLANK(OFFSET(A$1,,,SUMPRODUCT(MAX(ROW(E$1:E5052)*(E2=E$1:E5052))))))</f>
        <v> </v>
      </c>
      <c r="K5053" s="25" t="str">
        <f>IF(OR(E5053="",E5053="!!!",F5053="NEW"),"",INDEX(J$1:J5052,SUMPRODUCT(MAX(ROW(E$1:E5052)*(E5053=E$1:E5052)))))</f>
        <v> </v>
      </c>
      <c r="L5053" s="26"/>
    </row>
    <row r="5054" spans="1:12">
      <c r="A5054" s="20" t="s">
        <v>903</v>
      </c>
      <c r="B5054" s="27" t="s">
        <v>894</v>
      </c>
      <c r="C5054" s="27" t="s">
        <v>797</v>
      </c>
      <c r="D5054" s="27" t="s">
        <v>762</v>
      </c>
      <c r="E5054" s="21">
        <f>IF(D5054="?OLD","!!!","")</f>
        <v/>
      </c>
      <c r="F5054" s="22" t="str">
        <f>IF(OR(E5054="",E5054="!!!"),"",IF(NOT(ISNA(VLOOKUP(E5054,E$1:E5053,1,FALSE()))),"OLD",IF(AND(E5054&lt;&gt;"",E5054&lt;&gt;"!!!"),"NEW","")))</f>
        <v> </v>
      </c>
      <c r="G5054" s="23" t="str">
        <f>IF(OR(E5054="",E5054="!!!"),"",IF(OR(J5054=0,AND(J5054=1,K5054=1),AND(J5054=1,I5054="SBJ"),AND(J5054=1,I5054=0)),"?IN_FOCUS",IF(J5054&lt;=2,"?ACTIVATED",IF(J5054&lt;&gt;"","?FAMILIAR",IF(F5054="NEW",IF(ISNA(VLOOKUP(E5054,#REF!,1,FALSE())),"?TYPE_IDENTIFIABLE","?REFERENTIAL"),"_")))))</f>
        <v> </v>
      </c>
      <c r="H5054" s="24" t="str">
        <f>IF(J5054&lt;&gt;1,"",IF(I5054="SBJ","CB","?"))</f>
        <v> </v>
      </c>
      <c r="I5054" s="25" t="str">
        <f>IF(OR(E5054="",E5054="!!!",F5054="NEW"),"",INDEX(B5053:B$2,-1+SUMPRODUCT(MAX(ROW(E5053:E$2)*(E5054=E5053:E$2)))))</f>
        <v> </v>
      </c>
      <c r="J5054" s="25" t="str">
        <f>IF(OR(E5054="",E5054="!!!",F5054="NEW"),"",COUNTBLANK(OFFSET(A$1,,,SUMPRODUCT(MAX(ROW(E$2:E5054)*(E5054=E$2:E5054)))))-COUNTBLANK(OFFSET(A$1,,,SUMPRODUCT(MAX(ROW(E$1:E5053)*(E2=E$1:E5053))))))</f>
        <v> </v>
      </c>
      <c r="K5054" s="25" t="str">
        <f>IF(OR(E5054="",E5054="!!!",F5054="NEW"),"",INDEX(J$1:J5053,SUMPRODUCT(MAX(ROW(E$1:E5053)*(E5054=E$1:E5053)))))</f>
        <v> </v>
      </c>
      <c r="L5054" s="26"/>
    </row>
    <row r="5055" spans="1:12">
      <c r="A5055" s="20" t="s">
        <v>996</v>
      </c>
      <c r="B5055" s="27" t="s">
        <v>894</v>
      </c>
      <c r="C5055" s="27" t="s">
        <v>820</v>
      </c>
      <c r="D5055" s="27" t="s">
        <v>762</v>
      </c>
      <c r="E5055" s="21">
        <f>IF(D5055="?OLD","!!!","")</f>
        <v/>
      </c>
      <c r="F5055" s="22" t="str">
        <f>IF(OR(E5055="",E5055="!!!"),"",IF(NOT(ISNA(VLOOKUP(E5055,E$1:E5054,1,FALSE()))),"OLD",IF(AND(E5055&lt;&gt;"",E5055&lt;&gt;"!!!"),"NEW","")))</f>
        <v> </v>
      </c>
      <c r="G5055" s="23" t="str">
        <f>IF(OR(E5055="",E5055="!!!"),"",IF(OR(J5055=0,AND(J5055=1,K5055=1),AND(J5055=1,I5055="SBJ"),AND(J5055=1,I5055=0)),"?IN_FOCUS",IF(J5055&lt;=2,"?ACTIVATED",IF(J5055&lt;&gt;"","?FAMILIAR",IF(F5055="NEW",IF(ISNA(VLOOKUP(E5055,#REF!,1,FALSE())),"?TYPE_IDENTIFIABLE","?REFERENTIAL"),"_")))))</f>
        <v> </v>
      </c>
      <c r="H5055" s="24" t="str">
        <f>IF(J5055&lt;&gt;1,"",IF(I5055="SBJ","CB","?"))</f>
        <v> </v>
      </c>
      <c r="I5055" s="25" t="str">
        <f>IF(OR(E5055="",E5055="!!!",F5055="NEW"),"",INDEX(B5054:B$2,-1+SUMPRODUCT(MAX(ROW(E5054:E$2)*(E5055=E5054:E$2)))))</f>
        <v> </v>
      </c>
      <c r="J5055" s="25" t="str">
        <f>IF(OR(E5055="",E5055="!!!",F5055="NEW"),"",COUNTBLANK(OFFSET(A$1,,,SUMPRODUCT(MAX(ROW(E$2:E5055)*(E5055=E$2:E5055)))))-COUNTBLANK(OFFSET(A$1,,,SUMPRODUCT(MAX(ROW(E$1:E5054)*(E2=E$1:E5054))))))</f>
        <v> </v>
      </c>
      <c r="K5055" s="25" t="str">
        <f>IF(OR(E5055="",E5055="!!!",F5055="NEW"),"",INDEX(J$1:J5054,SUMPRODUCT(MAX(ROW(E$1:E5054)*(E5055=E$1:E5054)))))</f>
        <v> </v>
      </c>
      <c r="L5055" s="26"/>
    </row>
    <row r="5056" spans="1:12">
      <c r="A5056" s="20" t="s">
        <v>2083</v>
      </c>
      <c r="E5056" s="21">
        <f>IF(D5056="?OLD","!!!","")</f>
        <v/>
      </c>
      <c r="F5056" s="22" t="str">
        <f>IF(OR(E5056="",E5056="!!!"),"",IF(NOT(ISNA(VLOOKUP(E5056,E$1:E5055,1,FALSE()))),"OLD",IF(AND(E5056&lt;&gt;"",E5056&lt;&gt;"!!!"),"NEW","")))</f>
        <v> </v>
      </c>
      <c r="G5056" s="23" t="str">
        <f>IF(OR(E5056="",E5056="!!!"),"",IF(OR(J5056=0,AND(J5056=1,K5056=1),AND(J5056=1,I5056="SBJ"),AND(J5056=1,I5056=0)),"?IN_FOCUS",IF(J5056&lt;=2,"?ACTIVATED",IF(J5056&lt;&gt;"","?FAMILIAR",IF(F5056="NEW",IF(ISNA(VLOOKUP(E5056,#REF!,1,FALSE())),"?TYPE_IDENTIFIABLE","?REFERENTIAL"),"_")))))</f>
        <v> </v>
      </c>
      <c r="H5056" s="24" t="str">
        <f>IF(J5056&lt;&gt;1,"",IF(I5056="SBJ","CB","?"))</f>
        <v> </v>
      </c>
      <c r="I5056" s="25" t="str">
        <f>IF(OR(E5056="",E5056="!!!",F5056="NEW"),"",INDEX(B5055:B$2,-1+SUMPRODUCT(MAX(ROW(E5055:E$2)*(E5056=E5055:E$2)))))</f>
        <v> </v>
      </c>
      <c r="J5056" s="25" t="str">
        <f>IF(OR(E5056="",E5056="!!!",F5056="NEW"),"",COUNTBLANK(OFFSET(A$1,,,SUMPRODUCT(MAX(ROW(E$2:E5056)*(E5056=E$2:E5056)))))-COUNTBLANK(OFFSET(A$1,,,SUMPRODUCT(MAX(ROW(E$1:E5055)*(E2=E$1:E5055))))))</f>
        <v> </v>
      </c>
      <c r="K5056" s="25" t="str">
        <f>IF(OR(E5056="",E5056="!!!",F5056="NEW"),"",INDEX(J$1:J5055,SUMPRODUCT(MAX(ROW(E$1:E5055)*(E5056=E$1:E5055)))))</f>
        <v> </v>
      </c>
      <c r="L5056" s="26"/>
    </row>
    <row r="5057" spans="1:12">
      <c r="A5057" s="20" t="s">
        <v>810</v>
      </c>
      <c r="E5057" s="21">
        <f>IF(D5057="?OLD","!!!","")</f>
        <v/>
      </c>
      <c r="F5057" s="22" t="str">
        <f>IF(OR(E5057="",E5057="!!!"),"",IF(NOT(ISNA(VLOOKUP(E5057,E$1:E5056,1,FALSE()))),"OLD",IF(AND(E5057&lt;&gt;"",E5057&lt;&gt;"!!!"),"NEW","")))</f>
        <v> </v>
      </c>
      <c r="G5057" s="23" t="str">
        <f>IF(OR(E5057="",E5057="!!!"),"",IF(OR(J5057=0,AND(J5057=1,K5057=1),AND(J5057=1,I5057="SBJ"),AND(J5057=1,I5057=0)),"?IN_FOCUS",IF(J5057&lt;=2,"?ACTIVATED",IF(J5057&lt;&gt;"","?FAMILIAR",IF(F5057="NEW",IF(ISNA(VLOOKUP(E5057,#REF!,1,FALSE())),"?TYPE_IDENTIFIABLE","?REFERENTIAL"),"_")))))</f>
        <v> </v>
      </c>
      <c r="H5057" s="24" t="str">
        <f>IF(J5057&lt;&gt;1,"",IF(I5057="SBJ","CB","?"))</f>
        <v> </v>
      </c>
      <c r="I5057" s="25" t="str">
        <f>IF(OR(E5057="",E5057="!!!",F5057="NEW"),"",INDEX(B5056:B$2,-1+SUMPRODUCT(MAX(ROW(E5056:E$2)*(E5057=E5056:E$2)))))</f>
        <v> </v>
      </c>
      <c r="J5057" s="25" t="str">
        <f>IF(OR(E5057="",E5057="!!!",F5057="NEW"),"",COUNTBLANK(OFFSET(A$1,,,SUMPRODUCT(MAX(ROW(E$2:E5057)*(E5057=E$2:E5057)))))-COUNTBLANK(OFFSET(A$1,,,SUMPRODUCT(MAX(ROW(E$1:E5056)*(E2=E$1:E5056))))))</f>
        <v> </v>
      </c>
      <c r="K5057" s="25" t="str">
        <f>IF(OR(E5057="",E5057="!!!",F5057="NEW"),"",INDEX(J$1:J5056,SUMPRODUCT(MAX(ROW(E$1:E5056)*(E5057=E$1:E5056)))))</f>
        <v> </v>
      </c>
      <c r="L5057" s="26"/>
    </row>
    <row r="5058" spans="1:12">
      <c r="A5058" s="20" t="s">
        <v>722</v>
      </c>
      <c r="E5058" s="21">
        <f>IF(D5058="?OLD","!!!","")</f>
        <v/>
      </c>
      <c r="F5058" s="22" t="str">
        <f>IF(OR(E5058="",E5058="!!!"),"",IF(NOT(ISNA(VLOOKUP(E5058,E$1:E5057,1,FALSE()))),"OLD",IF(AND(E5058&lt;&gt;"",E5058&lt;&gt;"!!!"),"NEW","")))</f>
        <v> </v>
      </c>
      <c r="G5058" s="23" t="str">
        <f>IF(OR(E5058="",E5058="!!!"),"",IF(OR(J5058=0,AND(J5058=1,K5058=1),AND(J5058=1,I5058="SBJ"),AND(J5058=1,I5058=0)),"?IN_FOCUS",IF(J5058&lt;=2,"?ACTIVATED",IF(J5058&lt;&gt;"","?FAMILIAR",IF(F5058="NEW",IF(ISNA(VLOOKUP(E5058,#REF!,1,FALSE())),"?TYPE_IDENTIFIABLE","?REFERENTIAL"),"_")))))</f>
        <v> </v>
      </c>
      <c r="H5058" s="24" t="str">
        <f>IF(J5058&lt;&gt;1,"",IF(I5058="SBJ","CB","?"))</f>
        <v> </v>
      </c>
      <c r="I5058" s="25" t="str">
        <f>IF(OR(E5058="",E5058="!!!",F5058="NEW"),"",INDEX(B5057:B$2,-1+SUMPRODUCT(MAX(ROW(E5057:E$2)*(E5058=E5057:E$2)))))</f>
        <v> </v>
      </c>
      <c r="J5058" s="25" t="str">
        <f>IF(OR(E5058="",E5058="!!!",F5058="NEW"),"",COUNTBLANK(OFFSET(A$1,,,SUMPRODUCT(MAX(ROW(E$2:E5058)*(E5058=E$2:E5058)))))-COUNTBLANK(OFFSET(A$1,,,SUMPRODUCT(MAX(ROW(E$1:E5057)*(E2=E$1:E5057))))))</f>
        <v> </v>
      </c>
      <c r="K5058" s="25" t="str">
        <f>IF(OR(E5058="",E5058="!!!",F5058="NEW"),"",INDEX(J$1:J5057,SUMPRODUCT(MAX(ROW(E$1:E5057)*(E5058=E$1:E5057)))))</f>
        <v> </v>
      </c>
      <c r="L5058" s="26"/>
    </row>
    <row r="5059" spans="1:12">
      <c r="A5059" s="20" t="s">
        <v>855</v>
      </c>
      <c r="E5059" s="21">
        <f>IF(D5059="?OLD","!!!","")</f>
        <v/>
      </c>
      <c r="F5059" s="22" t="str">
        <f>IF(OR(E5059="",E5059="!!!"),"",IF(NOT(ISNA(VLOOKUP(E5059,E$1:E5058,1,FALSE()))),"OLD",IF(AND(E5059&lt;&gt;"",E5059&lt;&gt;"!!!"),"NEW","")))</f>
        <v> </v>
      </c>
      <c r="G5059" s="23" t="str">
        <f>IF(OR(E5059="",E5059="!!!"),"",IF(OR(J5059=0,AND(J5059=1,K5059=1),AND(J5059=1,I5059="SBJ"),AND(J5059=1,I5059=0)),"?IN_FOCUS",IF(J5059&lt;=2,"?ACTIVATED",IF(J5059&lt;&gt;"","?FAMILIAR",IF(F5059="NEW",IF(ISNA(VLOOKUP(E5059,#REF!,1,FALSE())),"?TYPE_IDENTIFIABLE","?REFERENTIAL"),"_")))))</f>
        <v> </v>
      </c>
      <c r="H5059" s="24" t="str">
        <f>IF(J5059&lt;&gt;1,"",IF(I5059="SBJ","CB","?"))</f>
        <v> </v>
      </c>
      <c r="I5059" s="25" t="str">
        <f>IF(OR(E5059="",E5059="!!!",F5059="NEW"),"",INDEX(B5058:B$2,-1+SUMPRODUCT(MAX(ROW(E5058:E$2)*(E5059=E5058:E$2)))))</f>
        <v> </v>
      </c>
      <c r="J5059" s="25" t="str">
        <f>IF(OR(E5059="",E5059="!!!",F5059="NEW"),"",COUNTBLANK(OFFSET(A$1,,,SUMPRODUCT(MAX(ROW(E$2:E5059)*(E5059=E$2:E5059)))))-COUNTBLANK(OFFSET(A$1,,,SUMPRODUCT(MAX(ROW(E$1:E5058)*(E2=E$1:E5058))))))</f>
        <v> </v>
      </c>
      <c r="K5059" s="25" t="str">
        <f>IF(OR(E5059="",E5059="!!!",F5059="NEW"),"",INDEX(J$1:J5058,SUMPRODUCT(MAX(ROW(E$1:E5058)*(E5059=E$1:E5058)))))</f>
        <v> </v>
      </c>
      <c r="L5059" s="26"/>
    </row>
    <row r="5060" spans="1:12">
      <c r="A5060" s="20" t="s">
        <v>959</v>
      </c>
      <c r="B5060" s="27" t="s">
        <v>941</v>
      </c>
      <c r="C5060" s="27" t="s">
        <v>777</v>
      </c>
      <c r="D5060" s="27" t="s">
        <v>762</v>
      </c>
      <c r="E5060" s="21">
        <f>IF(D5060="?OLD","!!!","")</f>
        <v/>
      </c>
      <c r="F5060" s="22" t="str">
        <f>IF(OR(E5060="",E5060="!!!"),"",IF(NOT(ISNA(VLOOKUP(E5060,E$1:E5059,1,FALSE()))),"OLD",IF(AND(E5060&lt;&gt;"",E5060&lt;&gt;"!!!"),"NEW","")))</f>
        <v> </v>
      </c>
      <c r="G5060" s="23" t="str">
        <f>IF(OR(E5060="",E5060="!!!"),"",IF(OR(J5060=0,AND(J5060=1,K5060=1),AND(J5060=1,I5060="SBJ"),AND(J5060=1,I5060=0)),"?IN_FOCUS",IF(J5060&lt;=2,"?ACTIVATED",IF(J5060&lt;&gt;"","?FAMILIAR",IF(F5060="NEW",IF(ISNA(VLOOKUP(E5060,#REF!,1,FALSE())),"?TYPE_IDENTIFIABLE","?REFERENTIAL"),"_")))))</f>
        <v> </v>
      </c>
      <c r="H5060" s="24" t="str">
        <f>IF(J5060&lt;&gt;1,"",IF(I5060="SBJ","CB","?"))</f>
        <v> </v>
      </c>
      <c r="I5060" s="25" t="str">
        <f>IF(OR(E5060="",E5060="!!!",F5060="NEW"),"",INDEX(B5059:B$2,-1+SUMPRODUCT(MAX(ROW(E5059:E$2)*(E5060=E5059:E$2)))))</f>
        <v> </v>
      </c>
      <c r="J5060" s="25" t="str">
        <f>IF(OR(E5060="",E5060="!!!",F5060="NEW"),"",COUNTBLANK(OFFSET(A$1,,,SUMPRODUCT(MAX(ROW(E$2:E5060)*(E5060=E$2:E5060)))))-COUNTBLANK(OFFSET(A$1,,,SUMPRODUCT(MAX(ROW(E$1:E5059)*(E2=E$1:E5059))))))</f>
        <v> </v>
      </c>
      <c r="K5060" s="25" t="str">
        <f>IF(OR(E5060="",E5060="!!!",F5060="NEW"),"",INDEX(J$1:J5059,SUMPRODUCT(MAX(ROW(E$1:E5059)*(E5060=E$1:E5059)))))</f>
        <v> </v>
      </c>
      <c r="L5060" s="26"/>
    </row>
    <row r="5061" spans="1:12">
      <c r="A5061" s="20" t="s">
        <v>1202</v>
      </c>
      <c r="E5061" s="21">
        <f>IF(D5061="?OLD","!!!","")</f>
        <v/>
      </c>
      <c r="F5061" s="22" t="str">
        <f>IF(OR(E5061="",E5061="!!!"),"",IF(NOT(ISNA(VLOOKUP(E5061,E$1:E5060,1,FALSE()))),"OLD",IF(AND(E5061&lt;&gt;"",E5061&lt;&gt;"!!!"),"NEW","")))</f>
        <v> </v>
      </c>
      <c r="G5061" s="23" t="str">
        <f>IF(OR(E5061="",E5061="!!!"),"",IF(OR(J5061=0,AND(J5061=1,K5061=1),AND(J5061=1,I5061="SBJ"),AND(J5061=1,I5061=0)),"?IN_FOCUS",IF(J5061&lt;=2,"?ACTIVATED",IF(J5061&lt;&gt;"","?FAMILIAR",IF(F5061="NEW",IF(ISNA(VLOOKUP(E5061,#REF!,1,FALSE())),"?TYPE_IDENTIFIABLE","?REFERENTIAL"),"_")))))</f>
        <v> </v>
      </c>
      <c r="H5061" s="24" t="str">
        <f>IF(J5061&lt;&gt;1,"",IF(I5061="SBJ","CB","?"))</f>
        <v> </v>
      </c>
      <c r="I5061" s="25" t="str">
        <f>IF(OR(E5061="",E5061="!!!",F5061="NEW"),"",INDEX(B5060:B$2,-1+SUMPRODUCT(MAX(ROW(E5060:E$2)*(E5061=E5060:E$2)))))</f>
        <v> </v>
      </c>
      <c r="J5061" s="25" t="str">
        <f>IF(OR(E5061="",E5061="!!!",F5061="NEW"),"",COUNTBLANK(OFFSET(A$1,,,SUMPRODUCT(MAX(ROW(E$2:E5061)*(E5061=E$2:E5061)))))-COUNTBLANK(OFFSET(A$1,,,SUMPRODUCT(MAX(ROW(E$1:E5060)*(E2=E$1:E5060))))))</f>
        <v> </v>
      </c>
      <c r="K5061" s="25" t="str">
        <f>IF(OR(E5061="",E5061="!!!",F5061="NEW"),"",INDEX(J$1:J5060,SUMPRODUCT(MAX(ROW(E$1:E5060)*(E5061=E$1:E5060)))))</f>
        <v> </v>
      </c>
      <c r="L5061" s="26"/>
    </row>
    <row r="5062" spans="1:12">
      <c r="A5062" s="20" t="s">
        <v>2084</v>
      </c>
      <c r="E5062" s="21">
        <f>IF(D5062="?OLD","!!!","")</f>
        <v/>
      </c>
      <c r="F5062" s="22" t="str">
        <f>IF(OR(E5062="",E5062="!!!"),"",IF(NOT(ISNA(VLOOKUP(E5062,E$1:E5061,1,FALSE()))),"OLD",IF(AND(E5062&lt;&gt;"",E5062&lt;&gt;"!!!"),"NEW","")))</f>
        <v> </v>
      </c>
      <c r="G5062" s="23" t="str">
        <f>IF(OR(E5062="",E5062="!!!"),"",IF(OR(J5062=0,AND(J5062=1,K5062=1),AND(J5062=1,I5062="SBJ"),AND(J5062=1,I5062=0)),"?IN_FOCUS",IF(J5062&lt;=2,"?ACTIVATED",IF(J5062&lt;&gt;"","?FAMILIAR",IF(F5062="NEW",IF(ISNA(VLOOKUP(E5062,#REF!,1,FALSE())),"?TYPE_IDENTIFIABLE","?REFERENTIAL"),"_")))))</f>
        <v> </v>
      </c>
      <c r="H5062" s="24" t="str">
        <f>IF(J5062&lt;&gt;1,"",IF(I5062="SBJ","CB","?"))</f>
        <v> </v>
      </c>
      <c r="I5062" s="25" t="str">
        <f>IF(OR(E5062="",E5062="!!!",F5062="NEW"),"",INDEX(B5061:B$2,-1+SUMPRODUCT(MAX(ROW(E5061:E$2)*(E5062=E5061:E$2)))))</f>
        <v> </v>
      </c>
      <c r="J5062" s="25" t="str">
        <f>IF(OR(E5062="",E5062="!!!",F5062="NEW"),"",COUNTBLANK(OFFSET(A$1,,,SUMPRODUCT(MAX(ROW(E$2:E5062)*(E5062=E$2:E5062)))))-COUNTBLANK(OFFSET(A$1,,,SUMPRODUCT(MAX(ROW(E$1:E5061)*(E2=E$1:E5061))))))</f>
        <v> </v>
      </c>
      <c r="K5062" s="25" t="str">
        <f>IF(OR(E5062="",E5062="!!!",F5062="NEW"),"",INDEX(J$1:J5061,SUMPRODUCT(MAX(ROW(E$1:E5061)*(E5062=E$1:E5061)))))</f>
        <v> </v>
      </c>
      <c r="L5062" s="26"/>
    </row>
    <row r="5063" spans="1:12">
      <c r="A5063" s="20" t="s">
        <v>1115</v>
      </c>
      <c r="E5063" s="21">
        <f>IF(D5063="?OLD","!!!","")</f>
        <v/>
      </c>
      <c r="F5063" s="22" t="str">
        <f>IF(OR(E5063="",E5063="!!!"),"",IF(NOT(ISNA(VLOOKUP(E5063,E$1:E5062,1,FALSE()))),"OLD",IF(AND(E5063&lt;&gt;"",E5063&lt;&gt;"!!!"),"NEW","")))</f>
        <v> </v>
      </c>
      <c r="G5063" s="23" t="str">
        <f>IF(OR(E5063="",E5063="!!!"),"",IF(OR(J5063=0,AND(J5063=1,K5063=1),AND(J5063=1,I5063="SBJ"),AND(J5063=1,I5063=0)),"?IN_FOCUS",IF(J5063&lt;=2,"?ACTIVATED",IF(J5063&lt;&gt;"","?FAMILIAR",IF(F5063="NEW",IF(ISNA(VLOOKUP(E5063,#REF!,1,FALSE())),"?TYPE_IDENTIFIABLE","?REFERENTIAL"),"_")))))</f>
        <v> </v>
      </c>
      <c r="H5063" s="24" t="str">
        <f>IF(J5063&lt;&gt;1,"",IF(I5063="SBJ","CB","?"))</f>
        <v> </v>
      </c>
      <c r="I5063" s="25" t="str">
        <f>IF(OR(E5063="",E5063="!!!",F5063="NEW"),"",INDEX(B5062:B$2,-1+SUMPRODUCT(MAX(ROW(E5062:E$2)*(E5063=E5062:E$2)))))</f>
        <v> </v>
      </c>
      <c r="J5063" s="25" t="str">
        <f>IF(OR(E5063="",E5063="!!!",F5063="NEW"),"",COUNTBLANK(OFFSET(A$1,,,SUMPRODUCT(MAX(ROW(E$2:E5063)*(E5063=E$2:E5063)))))-COUNTBLANK(OFFSET(A$1,,,SUMPRODUCT(MAX(ROW(E$1:E5062)*(E2=E$1:E5062))))))</f>
        <v> </v>
      </c>
      <c r="K5063" s="25" t="str">
        <f>IF(OR(E5063="",E5063="!!!",F5063="NEW"),"",INDEX(J$1:J5062,SUMPRODUCT(MAX(ROW(E$1:E5062)*(E5063=E$1:E5062)))))</f>
        <v> </v>
      </c>
      <c r="L5063" s="26"/>
    </row>
    <row r="5064" spans="1:12">
      <c r="A5064" s="20" t="s">
        <v>822</v>
      </c>
      <c r="E5064" s="21">
        <f>IF(D5064="?OLD","!!!","")</f>
        <v/>
      </c>
      <c r="F5064" s="22" t="str">
        <f>IF(OR(E5064="",E5064="!!!"),"",IF(NOT(ISNA(VLOOKUP(E5064,E$1:E5063,1,FALSE()))),"OLD",IF(AND(E5064&lt;&gt;"",E5064&lt;&gt;"!!!"),"NEW","")))</f>
        <v> </v>
      </c>
      <c r="G5064" s="23" t="str">
        <f>IF(OR(E5064="",E5064="!!!"),"",IF(OR(J5064=0,AND(J5064=1,K5064=1),AND(J5064=1,I5064="SBJ"),AND(J5064=1,I5064=0)),"?IN_FOCUS",IF(J5064&lt;=2,"?ACTIVATED",IF(J5064&lt;&gt;"","?FAMILIAR",IF(F5064="NEW",IF(ISNA(VLOOKUP(E5064,#REF!,1,FALSE())),"?TYPE_IDENTIFIABLE","?REFERENTIAL"),"_")))))</f>
        <v> </v>
      </c>
      <c r="H5064" s="24" t="str">
        <f>IF(J5064&lt;&gt;1,"",IF(I5064="SBJ","CB","?"))</f>
        <v> </v>
      </c>
      <c r="I5064" s="25" t="str">
        <f>IF(OR(E5064="",E5064="!!!",F5064="NEW"),"",INDEX(B5063:B$2,-1+SUMPRODUCT(MAX(ROW(E5063:E$2)*(E5064=E5063:E$2)))))</f>
        <v> </v>
      </c>
      <c r="J5064" s="25" t="str">
        <f>IF(OR(E5064="",E5064="!!!",F5064="NEW"),"",COUNTBLANK(OFFSET(A$1,,,SUMPRODUCT(MAX(ROW(E$2:E5064)*(E5064=E$2:E5064)))))-COUNTBLANK(OFFSET(A$1,,,SUMPRODUCT(MAX(ROW(E$1:E5063)*(E2=E$1:E5063))))))</f>
        <v> </v>
      </c>
      <c r="K5064" s="25" t="str">
        <f>IF(OR(E5064="",E5064="!!!",F5064="NEW"),"",INDEX(J$1:J5063,SUMPRODUCT(MAX(ROW(E$1:E5063)*(E5064=E$1:E5063)))))</f>
        <v> </v>
      </c>
      <c r="L5064" s="26"/>
    </row>
    <row r="5065" spans="1:12">
      <c r="A5065" s="20" t="s">
        <v>2085</v>
      </c>
      <c r="B5065" s="27" t="s">
        <v>1076</v>
      </c>
      <c r="C5065" s="27" t="s">
        <v>761</v>
      </c>
      <c r="D5065" s="27" t="s">
        <v>762</v>
      </c>
      <c r="E5065" s="21">
        <f>IF(D5065="?OLD","!!!","")</f>
        <v/>
      </c>
      <c r="F5065" s="22" t="str">
        <f>IF(OR(E5065="",E5065="!!!"),"",IF(NOT(ISNA(VLOOKUP(E5065,E$1:E5064,1,FALSE()))),"OLD",IF(AND(E5065&lt;&gt;"",E5065&lt;&gt;"!!!"),"NEW","")))</f>
        <v> </v>
      </c>
      <c r="G5065" s="23" t="str">
        <f>IF(OR(E5065="",E5065="!!!"),"",IF(OR(J5065=0,AND(J5065=1,K5065=1),AND(J5065=1,I5065="SBJ"),AND(J5065=1,I5065=0)),"?IN_FOCUS",IF(J5065&lt;=2,"?ACTIVATED",IF(J5065&lt;&gt;"","?FAMILIAR",IF(F5065="NEW",IF(ISNA(VLOOKUP(E5065,#REF!,1,FALSE())),"?TYPE_IDENTIFIABLE","?REFERENTIAL"),"_")))))</f>
        <v> </v>
      </c>
      <c r="H5065" s="24" t="str">
        <f>IF(J5065&lt;&gt;1,"",IF(I5065="SBJ","CB","?"))</f>
        <v> </v>
      </c>
      <c r="I5065" s="25" t="str">
        <f>IF(OR(E5065="",E5065="!!!",F5065="NEW"),"",INDEX(B5064:B$2,-1+SUMPRODUCT(MAX(ROW(E5064:E$2)*(E5065=E5064:E$2)))))</f>
        <v> </v>
      </c>
      <c r="J5065" s="25" t="str">
        <f>IF(OR(E5065="",E5065="!!!",F5065="NEW"),"",COUNTBLANK(OFFSET(A$1,,,SUMPRODUCT(MAX(ROW(E$2:E5065)*(E5065=E$2:E5065)))))-COUNTBLANK(OFFSET(A$1,,,SUMPRODUCT(MAX(ROW(E$1:E5064)*(E2=E$1:E5064))))))</f>
        <v> </v>
      </c>
      <c r="K5065" s="25" t="str">
        <f>IF(OR(E5065="",E5065="!!!",F5065="NEW"),"",INDEX(J$1:J5064,SUMPRODUCT(MAX(ROW(E$1:E5064)*(E5065=E$1:E5064)))))</f>
        <v> </v>
      </c>
      <c r="L5065" s="26"/>
    </row>
    <row r="5066" spans="1:12">
      <c r="A5066" s="20" t="s">
        <v>774</v>
      </c>
      <c r="E5066" s="21">
        <f>IF(D5066="?OLD","!!!","")</f>
        <v/>
      </c>
      <c r="F5066" s="22" t="str">
        <f>IF(OR(E5066="",E5066="!!!"),"",IF(NOT(ISNA(VLOOKUP(E5066,E$1:E5065,1,FALSE()))),"OLD",IF(AND(E5066&lt;&gt;"",E5066&lt;&gt;"!!!"),"NEW","")))</f>
        <v> </v>
      </c>
      <c r="G5066" s="23" t="str">
        <f>IF(OR(E5066="",E5066="!!!"),"",IF(OR(J5066=0,AND(J5066=1,K5066=1),AND(J5066=1,I5066="SBJ"),AND(J5066=1,I5066=0)),"?IN_FOCUS",IF(J5066&lt;=2,"?ACTIVATED",IF(J5066&lt;&gt;"","?FAMILIAR",IF(F5066="NEW",IF(ISNA(VLOOKUP(E5066,#REF!,1,FALSE())),"?TYPE_IDENTIFIABLE","?REFERENTIAL"),"_")))))</f>
        <v> </v>
      </c>
      <c r="H5066" s="24" t="str">
        <f>IF(J5066&lt;&gt;1,"",IF(I5066="SBJ","CB","?"))</f>
        <v> </v>
      </c>
      <c r="I5066" s="25" t="str">
        <f>IF(OR(E5066="",E5066="!!!",F5066="NEW"),"",INDEX(B5065:B$2,-1+SUMPRODUCT(MAX(ROW(E5065:E$2)*(E5066=E5065:E$2)))))</f>
        <v> </v>
      </c>
      <c r="J5066" s="25" t="str">
        <f>IF(OR(E5066="",E5066="!!!",F5066="NEW"),"",COUNTBLANK(OFFSET(A$1,,,SUMPRODUCT(MAX(ROW(E$2:E5066)*(E5066=E$2:E5066)))))-COUNTBLANK(OFFSET(A$1,,,SUMPRODUCT(MAX(ROW(E$1:E5065)*(E2=E$1:E5065))))))</f>
        <v> </v>
      </c>
      <c r="K5066" s="25" t="str">
        <f>IF(OR(E5066="",E5066="!!!",F5066="NEW"),"",INDEX(J$1:J5065,SUMPRODUCT(MAX(ROW(E$1:E5065)*(E5066=E$1:E5065)))))</f>
        <v> </v>
      </c>
      <c r="L5066" s="26"/>
    </row>
    <row r="5067" spans="1:12">
      <c r="A5067" s="20"/>
    </row>
    <row r="5068" spans="1:12">
      <c r="A5068" s="20" t="s">
        <v>2086</v>
      </c>
    </row>
    <row r="5069" spans="1:12">
      <c r="A5069" s="20" t="s">
        <v>1058</v>
      </c>
      <c r="E5069" s="21">
        <f>IF(D5069="?OLD","!!!","")</f>
        <v/>
      </c>
      <c r="F5069" s="22" t="str">
        <f>IF(OR(E5069="",E5069="!!!"),"",IF(NOT(ISNA(VLOOKUP(E5069,E$1:E5068,1,FALSE()))),"OLD",IF(AND(E5069&lt;&gt;"",E5069&lt;&gt;"!!!"),"NEW","")))</f>
        <v> </v>
      </c>
      <c r="G5069" s="23" t="str">
        <f>IF(OR(E5069="",E5069="!!!"),"",IF(OR(J5069=0,AND(J5069=1,K5069=1),AND(J5069=1,I5069="SBJ"),AND(J5069=1,I5069=0)),"?IN_FOCUS",IF(J5069&lt;=2,"?ACTIVATED",IF(J5069&lt;&gt;"","?FAMILIAR",IF(F5069="NEW",IF(ISNA(VLOOKUP(E5069,#REF!,1,FALSE())),"?TYPE_IDENTIFIABLE","?REFERENTIAL"),"_")))))</f>
        <v> </v>
      </c>
      <c r="H5069" s="24" t="str">
        <f>IF(J5069&lt;&gt;1,"",IF(I5069="SBJ","CB","?"))</f>
        <v> </v>
      </c>
      <c r="I5069" s="25" t="str">
        <f>IF(OR(E5069="",E5069="!!!",F5069="NEW"),"",INDEX(B5068:B$2,-1+SUMPRODUCT(MAX(ROW(E5068:E$2)*(E5069=E5068:E$2)))))</f>
        <v> </v>
      </c>
      <c r="J5069" s="25" t="str">
        <f>IF(OR(E5069="",E5069="!!!",F5069="NEW"),"",COUNTBLANK(OFFSET(A$1,,,SUMPRODUCT(MAX(ROW(E$2:E5069)*(E5069=E$2:E5069)))))-COUNTBLANK(OFFSET(A$1,,,SUMPRODUCT(MAX(ROW(E$1:E5068)*(E2=E$1:E5068))))))</f>
        <v> </v>
      </c>
      <c r="K5069" s="25" t="str">
        <f>IF(OR(E5069="",E5069="!!!",F5069="NEW"),"",INDEX(J$1:J5068,SUMPRODUCT(MAX(ROW(E$1:E5068)*(E5069=E$1:E5068)))))</f>
        <v> </v>
      </c>
      <c r="L5069" s="26"/>
    </row>
    <row r="5070" spans="1:12">
      <c r="A5070" s="20" t="s">
        <v>793</v>
      </c>
      <c r="E5070" s="21">
        <f>IF(D5070="?OLD","!!!","")</f>
        <v/>
      </c>
      <c r="F5070" s="22" t="str">
        <f>IF(OR(E5070="",E5070="!!!"),"",IF(NOT(ISNA(VLOOKUP(E5070,E$1:E5069,1,FALSE()))),"OLD",IF(AND(E5070&lt;&gt;"",E5070&lt;&gt;"!!!"),"NEW","")))</f>
        <v> </v>
      </c>
      <c r="G5070" s="23" t="str">
        <f>IF(OR(E5070="",E5070="!!!"),"",IF(OR(J5070=0,AND(J5070=1,K5070=1),AND(J5070=1,I5070="SBJ"),AND(J5070=1,I5070=0)),"?IN_FOCUS",IF(J5070&lt;=2,"?ACTIVATED",IF(J5070&lt;&gt;"","?FAMILIAR",IF(F5070="NEW",IF(ISNA(VLOOKUP(E5070,#REF!,1,FALSE())),"?TYPE_IDENTIFIABLE","?REFERENTIAL"),"_")))))</f>
        <v> </v>
      </c>
      <c r="H5070" s="24" t="str">
        <f>IF(J5070&lt;&gt;1,"",IF(I5070="SBJ","CB","?"))</f>
        <v> </v>
      </c>
      <c r="I5070" s="25" t="str">
        <f>IF(OR(E5070="",E5070="!!!",F5070="NEW"),"",INDEX(B5069:B$2,-1+SUMPRODUCT(MAX(ROW(E5069:E$2)*(E5070=E5069:E$2)))))</f>
        <v> </v>
      </c>
      <c r="J5070" s="25" t="str">
        <f>IF(OR(E5070="",E5070="!!!",F5070="NEW"),"",COUNTBLANK(OFFSET(A$1,,,SUMPRODUCT(MAX(ROW(E$2:E5070)*(E5070=E$2:E5070)))))-COUNTBLANK(OFFSET(A$1,,,SUMPRODUCT(MAX(ROW(E$1:E5069)*(E2=E$1:E5069))))))</f>
        <v> </v>
      </c>
      <c r="K5070" s="25" t="str">
        <f>IF(OR(E5070="",E5070="!!!",F5070="NEW"),"",INDEX(J$1:J5069,SUMPRODUCT(MAX(ROW(E$1:E5069)*(E5070=E$1:E5069)))))</f>
        <v> </v>
      </c>
      <c r="L5070" s="26"/>
    </row>
    <row r="5071" spans="1:12">
      <c r="A5071" s="20" t="s">
        <v>757</v>
      </c>
      <c r="E5071" s="21">
        <f>IF(D5071="?OLD","!!!","")</f>
        <v/>
      </c>
      <c r="F5071" s="22" t="str">
        <f>IF(OR(E5071="",E5071="!!!"),"",IF(NOT(ISNA(VLOOKUP(E5071,E$1:E5070,1,FALSE()))),"OLD",IF(AND(E5071&lt;&gt;"",E5071&lt;&gt;"!!!"),"NEW","")))</f>
        <v> </v>
      </c>
      <c r="G5071" s="23" t="str">
        <f>IF(OR(E5071="",E5071="!!!"),"",IF(OR(J5071=0,AND(J5071=1,K5071=1),AND(J5071=1,I5071="SBJ"),AND(J5071=1,I5071=0)),"?IN_FOCUS",IF(J5071&lt;=2,"?ACTIVATED",IF(J5071&lt;&gt;"","?FAMILIAR",IF(F5071="NEW",IF(ISNA(VLOOKUP(E5071,#REF!,1,FALSE())),"?TYPE_IDENTIFIABLE","?REFERENTIAL"),"_")))))</f>
        <v> </v>
      </c>
      <c r="H5071" s="24" t="str">
        <f>IF(J5071&lt;&gt;1,"",IF(I5071="SBJ","CB","?"))</f>
        <v> </v>
      </c>
      <c r="I5071" s="25" t="str">
        <f>IF(OR(E5071="",E5071="!!!",F5071="NEW"),"",INDEX(B5070:B$2,-1+SUMPRODUCT(MAX(ROW(E5070:E$2)*(E5071=E5070:E$2)))))</f>
        <v> </v>
      </c>
      <c r="J5071" s="25" t="str">
        <f>IF(OR(E5071="",E5071="!!!",F5071="NEW"),"",COUNTBLANK(OFFSET(A$1,,,SUMPRODUCT(MAX(ROW(E$2:E5071)*(E5071=E$2:E5071)))))-COUNTBLANK(OFFSET(A$1,,,SUMPRODUCT(MAX(ROW(E$1:E5070)*(E2=E$1:E5070))))))</f>
        <v> </v>
      </c>
      <c r="K5071" s="25" t="str">
        <f>IF(OR(E5071="",E5071="!!!",F5071="NEW"),"",INDEX(J$1:J5070,SUMPRODUCT(MAX(ROW(E$1:E5070)*(E5071=E$1:E5070)))))</f>
        <v> </v>
      </c>
      <c r="L5071" s="26"/>
    </row>
    <row r="5072" spans="1:12">
      <c r="A5072" s="20" t="s">
        <v>1679</v>
      </c>
      <c r="E5072" s="21">
        <f>IF(D5072="?OLD","!!!","")</f>
        <v/>
      </c>
      <c r="F5072" s="22" t="str">
        <f>IF(OR(E5072="",E5072="!!!"),"",IF(NOT(ISNA(VLOOKUP(E5072,E$1:E5071,1,FALSE()))),"OLD",IF(AND(E5072&lt;&gt;"",E5072&lt;&gt;"!!!"),"NEW","")))</f>
        <v> </v>
      </c>
      <c r="G5072" s="23" t="str">
        <f>IF(OR(E5072="",E5072="!!!"),"",IF(OR(J5072=0,AND(J5072=1,K5072=1),AND(J5072=1,I5072="SBJ"),AND(J5072=1,I5072=0)),"?IN_FOCUS",IF(J5072&lt;=2,"?ACTIVATED",IF(J5072&lt;&gt;"","?FAMILIAR",IF(F5072="NEW",IF(ISNA(VLOOKUP(E5072,#REF!,1,FALSE())),"?TYPE_IDENTIFIABLE","?REFERENTIAL"),"_")))))</f>
        <v> </v>
      </c>
      <c r="H5072" s="24" t="str">
        <f>IF(J5072&lt;&gt;1,"",IF(I5072="SBJ","CB","?"))</f>
        <v> </v>
      </c>
      <c r="I5072" s="25" t="str">
        <f>IF(OR(E5072="",E5072="!!!",F5072="NEW"),"",INDEX(B5071:B$2,-1+SUMPRODUCT(MAX(ROW(E5071:E$2)*(E5072=E5071:E$2)))))</f>
        <v> </v>
      </c>
      <c r="J5072" s="25" t="str">
        <f>IF(OR(E5072="",E5072="!!!",F5072="NEW"),"",COUNTBLANK(OFFSET(A$1,,,SUMPRODUCT(MAX(ROW(E$2:E5072)*(E5072=E$2:E5072)))))-COUNTBLANK(OFFSET(A$1,,,SUMPRODUCT(MAX(ROW(E$1:E5071)*(E2=E$1:E5071))))))</f>
        <v> </v>
      </c>
      <c r="K5072" s="25" t="str">
        <f>IF(OR(E5072="",E5072="!!!",F5072="NEW"),"",INDEX(J$1:J5071,SUMPRODUCT(MAX(ROW(E$1:E5071)*(E5072=E$1:E5071)))))</f>
        <v> </v>
      </c>
      <c r="L5072" s="26"/>
    </row>
    <row r="5073" spans="1:12">
      <c r="A5073" s="20" t="s">
        <v>757</v>
      </c>
      <c r="E5073" s="21">
        <f>IF(D5073="?OLD","!!!","")</f>
        <v/>
      </c>
      <c r="F5073" s="22" t="str">
        <f>IF(OR(E5073="",E5073="!!!"),"",IF(NOT(ISNA(VLOOKUP(E5073,E$1:E5072,1,FALSE()))),"OLD",IF(AND(E5073&lt;&gt;"",E5073&lt;&gt;"!!!"),"NEW","")))</f>
        <v> </v>
      </c>
      <c r="G5073" s="23" t="str">
        <f>IF(OR(E5073="",E5073="!!!"),"",IF(OR(J5073=0,AND(J5073=1,K5073=1),AND(J5073=1,I5073="SBJ"),AND(J5073=1,I5073=0)),"?IN_FOCUS",IF(J5073&lt;=2,"?ACTIVATED",IF(J5073&lt;&gt;"","?FAMILIAR",IF(F5073="NEW",IF(ISNA(VLOOKUP(E5073,#REF!,1,FALSE())),"?TYPE_IDENTIFIABLE","?REFERENTIAL"),"_")))))</f>
        <v> </v>
      </c>
      <c r="H5073" s="24" t="str">
        <f>IF(J5073&lt;&gt;1,"",IF(I5073="SBJ","CB","?"))</f>
        <v> </v>
      </c>
      <c r="I5073" s="25" t="str">
        <f>IF(OR(E5073="",E5073="!!!",F5073="NEW"),"",INDEX(B5072:B$2,-1+SUMPRODUCT(MAX(ROW(E5072:E$2)*(E5073=E5072:E$2)))))</f>
        <v> </v>
      </c>
      <c r="J5073" s="25" t="str">
        <f>IF(OR(E5073="",E5073="!!!",F5073="NEW"),"",COUNTBLANK(OFFSET(A$1,,,SUMPRODUCT(MAX(ROW(E$2:E5073)*(E5073=E$2:E5073)))))-COUNTBLANK(OFFSET(A$1,,,SUMPRODUCT(MAX(ROW(E$1:E5072)*(E2=E$1:E5072))))))</f>
        <v> </v>
      </c>
      <c r="K5073" s="25" t="str">
        <f>IF(OR(E5073="",E5073="!!!",F5073="NEW"),"",INDEX(J$1:J5072,SUMPRODUCT(MAX(ROW(E$1:E5072)*(E5073=E$1:E5072)))))</f>
        <v> </v>
      </c>
      <c r="L5073" s="26"/>
    </row>
    <row r="5074" spans="1:12">
      <c r="A5074" s="20" t="s">
        <v>869</v>
      </c>
      <c r="B5074" s="27" t="s">
        <v>796</v>
      </c>
      <c r="C5074" s="27" t="s">
        <v>797</v>
      </c>
      <c r="D5074" s="27" t="s">
        <v>762</v>
      </c>
      <c r="E5074" s="21">
        <f>IF(D5074="?OLD","!!!","")</f>
        <v/>
      </c>
      <c r="F5074" s="22" t="str">
        <f>IF(OR(E5074="",E5074="!!!"),"",IF(NOT(ISNA(VLOOKUP(E5074,E$1:E5073,1,FALSE()))),"OLD",IF(AND(E5074&lt;&gt;"",E5074&lt;&gt;"!!!"),"NEW","")))</f>
        <v> </v>
      </c>
      <c r="G5074" s="23" t="str">
        <f>IF(OR(E5074="",E5074="!!!"),"",IF(OR(J5074=0,AND(J5074=1,K5074=1),AND(J5074=1,I5074="SBJ"),AND(J5074=1,I5074=0)),"?IN_FOCUS",IF(J5074&lt;=2,"?ACTIVATED",IF(J5074&lt;&gt;"","?FAMILIAR",IF(F5074="NEW",IF(ISNA(VLOOKUP(E5074,#REF!,1,FALSE())),"?TYPE_IDENTIFIABLE","?REFERENTIAL"),"_")))))</f>
        <v> </v>
      </c>
      <c r="H5074" s="24" t="str">
        <f>IF(J5074&lt;&gt;1,"",IF(I5074="SBJ","CB","?"))</f>
        <v> </v>
      </c>
      <c r="I5074" s="25" t="str">
        <f>IF(OR(E5074="",E5074="!!!",F5074="NEW"),"",INDEX(B5073:B$2,-1+SUMPRODUCT(MAX(ROW(E5073:E$2)*(E5074=E5073:E$2)))))</f>
        <v> </v>
      </c>
      <c r="J5074" s="25" t="str">
        <f>IF(OR(E5074="",E5074="!!!",F5074="NEW"),"",COUNTBLANK(OFFSET(A$1,,,SUMPRODUCT(MAX(ROW(E$2:E5074)*(E5074=E$2:E5074)))))-COUNTBLANK(OFFSET(A$1,,,SUMPRODUCT(MAX(ROW(E$1:E5073)*(E2=E$1:E5073))))))</f>
        <v> </v>
      </c>
      <c r="K5074" s="25" t="str">
        <f>IF(OR(E5074="",E5074="!!!",F5074="NEW"),"",INDEX(J$1:J5073,SUMPRODUCT(MAX(ROW(E$1:E5073)*(E5074=E$1:E5073)))))</f>
        <v> </v>
      </c>
      <c r="L5074" s="26"/>
    </row>
    <row r="5075" spans="1:12">
      <c r="A5075" s="20" t="s">
        <v>968</v>
      </c>
      <c r="E5075" s="21">
        <f>IF(D5075="?OLD","!!!","")</f>
        <v/>
      </c>
      <c r="F5075" s="22" t="str">
        <f>IF(OR(E5075="",E5075="!!!"),"",IF(NOT(ISNA(VLOOKUP(E5075,E$1:E5074,1,FALSE()))),"OLD",IF(AND(E5075&lt;&gt;"",E5075&lt;&gt;"!!!"),"NEW","")))</f>
        <v> </v>
      </c>
      <c r="G5075" s="23" t="str">
        <f>IF(OR(E5075="",E5075="!!!"),"",IF(OR(J5075=0,AND(J5075=1,K5075=1),AND(J5075=1,I5075="SBJ"),AND(J5075=1,I5075=0)),"?IN_FOCUS",IF(J5075&lt;=2,"?ACTIVATED",IF(J5075&lt;&gt;"","?FAMILIAR",IF(F5075="NEW",IF(ISNA(VLOOKUP(E5075,#REF!,1,FALSE())),"?TYPE_IDENTIFIABLE","?REFERENTIAL"),"_")))))</f>
        <v> </v>
      </c>
      <c r="H5075" s="24" t="str">
        <f>IF(J5075&lt;&gt;1,"",IF(I5075="SBJ","CB","?"))</f>
        <v> </v>
      </c>
      <c r="I5075" s="25" t="str">
        <f>IF(OR(E5075="",E5075="!!!",F5075="NEW"),"",INDEX(B5074:B$2,-1+SUMPRODUCT(MAX(ROW(E5074:E$2)*(E5075=E5074:E$2)))))</f>
        <v> </v>
      </c>
      <c r="J5075" s="25" t="str">
        <f>IF(OR(E5075="",E5075="!!!",F5075="NEW"),"",COUNTBLANK(OFFSET(A$1,,,SUMPRODUCT(MAX(ROW(E$2:E5075)*(E5075=E$2:E5075)))))-COUNTBLANK(OFFSET(A$1,,,SUMPRODUCT(MAX(ROW(E$1:E5074)*(E2=E$1:E5074))))))</f>
        <v> </v>
      </c>
      <c r="K5075" s="25" t="str">
        <f>IF(OR(E5075="",E5075="!!!",F5075="NEW"),"",INDEX(J$1:J5074,SUMPRODUCT(MAX(ROW(E$1:E5074)*(E5075=E$1:E5074)))))</f>
        <v> </v>
      </c>
      <c r="L5075" s="26"/>
    </row>
    <row r="5076" spans="1:12">
      <c r="A5076" s="20" t="s">
        <v>793</v>
      </c>
      <c r="E5076" s="21">
        <f>IF(D5076="?OLD","!!!","")</f>
        <v/>
      </c>
      <c r="F5076" s="22" t="str">
        <f>IF(OR(E5076="",E5076="!!!"),"",IF(NOT(ISNA(VLOOKUP(E5076,E$1:E5075,1,FALSE()))),"OLD",IF(AND(E5076&lt;&gt;"",E5076&lt;&gt;"!!!"),"NEW","")))</f>
        <v> </v>
      </c>
      <c r="G5076" s="23" t="str">
        <f>IF(OR(E5076="",E5076="!!!"),"",IF(OR(J5076=0,AND(J5076=1,K5076=1),AND(J5076=1,I5076="SBJ"),AND(J5076=1,I5076=0)),"?IN_FOCUS",IF(J5076&lt;=2,"?ACTIVATED",IF(J5076&lt;&gt;"","?FAMILIAR",IF(F5076="NEW",IF(ISNA(VLOOKUP(E5076,#REF!,1,FALSE())),"?TYPE_IDENTIFIABLE","?REFERENTIAL"),"_")))))</f>
        <v> </v>
      </c>
      <c r="H5076" s="24" t="str">
        <f>IF(J5076&lt;&gt;1,"",IF(I5076="SBJ","CB","?"))</f>
        <v> </v>
      </c>
      <c r="I5076" s="25" t="str">
        <f>IF(OR(E5076="",E5076="!!!",F5076="NEW"),"",INDEX(B5075:B$2,-1+SUMPRODUCT(MAX(ROW(E5075:E$2)*(E5076=E5075:E$2)))))</f>
        <v> </v>
      </c>
      <c r="J5076" s="25" t="str">
        <f>IF(OR(E5076="",E5076="!!!",F5076="NEW"),"",COUNTBLANK(OFFSET(A$1,,,SUMPRODUCT(MAX(ROW(E$2:E5076)*(E5076=E$2:E5076)))))-COUNTBLANK(OFFSET(A$1,,,SUMPRODUCT(MAX(ROW(E$1:E5075)*(E2=E$1:E5075))))))</f>
        <v> </v>
      </c>
      <c r="K5076" s="25" t="str">
        <f>IF(OR(E5076="",E5076="!!!",F5076="NEW"),"",INDEX(J$1:J5075,SUMPRODUCT(MAX(ROW(E$1:E5075)*(E5076=E$1:E5075)))))</f>
        <v> </v>
      </c>
      <c r="L5076" s="26"/>
    </row>
    <row r="5077" spans="1:12">
      <c r="A5077" s="20" t="s">
        <v>838</v>
      </c>
      <c r="E5077" s="21">
        <f>IF(D5077="?OLD","!!!","")</f>
        <v/>
      </c>
      <c r="F5077" s="22" t="str">
        <f>IF(OR(E5077="",E5077="!!!"),"",IF(NOT(ISNA(VLOOKUP(E5077,E$1:E5076,1,FALSE()))),"OLD",IF(AND(E5077&lt;&gt;"",E5077&lt;&gt;"!!!"),"NEW","")))</f>
        <v> </v>
      </c>
      <c r="G5077" s="23" t="str">
        <f>IF(OR(E5077="",E5077="!!!"),"",IF(OR(J5077=0,AND(J5077=1,K5077=1),AND(J5077=1,I5077="SBJ"),AND(J5077=1,I5077=0)),"?IN_FOCUS",IF(J5077&lt;=2,"?ACTIVATED",IF(J5077&lt;&gt;"","?FAMILIAR",IF(F5077="NEW",IF(ISNA(VLOOKUP(E5077,#REF!,1,FALSE())),"?TYPE_IDENTIFIABLE","?REFERENTIAL"),"_")))))</f>
        <v> </v>
      </c>
      <c r="H5077" s="24" t="str">
        <f>IF(J5077&lt;&gt;1,"",IF(I5077="SBJ","CB","?"))</f>
        <v> </v>
      </c>
      <c r="I5077" s="25" t="str">
        <f>IF(OR(E5077="",E5077="!!!",F5077="NEW"),"",INDEX(B5076:B$2,-1+SUMPRODUCT(MAX(ROW(E5076:E$2)*(E5077=E5076:E$2)))))</f>
        <v> </v>
      </c>
      <c r="J5077" s="25" t="str">
        <f>IF(OR(E5077="",E5077="!!!",F5077="NEW"),"",COUNTBLANK(OFFSET(A$1,,,SUMPRODUCT(MAX(ROW(E$2:E5077)*(E5077=E$2:E5077)))))-COUNTBLANK(OFFSET(A$1,,,SUMPRODUCT(MAX(ROW(E$1:E5076)*(E2=E$1:E5076))))))</f>
        <v> </v>
      </c>
      <c r="K5077" s="25" t="str">
        <f>IF(OR(E5077="",E5077="!!!",F5077="NEW"),"",INDEX(J$1:J5076,SUMPRODUCT(MAX(ROW(E$1:E5076)*(E5077=E$1:E5076)))))</f>
        <v> </v>
      </c>
      <c r="L5077" s="26"/>
    </row>
    <row r="5078" spans="1:12">
      <c r="A5078" s="20" t="s">
        <v>1139</v>
      </c>
      <c r="B5078" s="27" t="s">
        <v>956</v>
      </c>
      <c r="C5078" s="27" t="s">
        <v>761</v>
      </c>
      <c r="D5078" s="27" t="s">
        <v>762</v>
      </c>
      <c r="E5078" s="21">
        <f>IF(D5078="?OLD","!!!","")</f>
        <v/>
      </c>
      <c r="F5078" s="22" t="str">
        <f>IF(OR(E5078="",E5078="!!!"),"",IF(NOT(ISNA(VLOOKUP(E5078,E$1:E5077,1,FALSE()))),"OLD",IF(AND(E5078&lt;&gt;"",E5078&lt;&gt;"!!!"),"NEW","")))</f>
        <v> </v>
      </c>
      <c r="G5078" s="23" t="str">
        <f>IF(OR(E5078="",E5078="!!!"),"",IF(OR(J5078=0,AND(J5078=1,K5078=1),AND(J5078=1,I5078="SBJ"),AND(J5078=1,I5078=0)),"?IN_FOCUS",IF(J5078&lt;=2,"?ACTIVATED",IF(J5078&lt;&gt;"","?FAMILIAR",IF(F5078="NEW",IF(ISNA(VLOOKUP(E5078,#REF!,1,FALSE())),"?TYPE_IDENTIFIABLE","?REFERENTIAL"),"_")))))</f>
        <v> </v>
      </c>
      <c r="H5078" s="24" t="str">
        <f>IF(J5078&lt;&gt;1,"",IF(I5078="SBJ","CB","?"))</f>
        <v> </v>
      </c>
      <c r="I5078" s="25" t="str">
        <f>IF(OR(E5078="",E5078="!!!",F5078="NEW"),"",INDEX(B5077:B$2,-1+SUMPRODUCT(MAX(ROW(E5077:E$2)*(E5078=E5077:E$2)))))</f>
        <v> </v>
      </c>
      <c r="J5078" s="25" t="str">
        <f>IF(OR(E5078="",E5078="!!!",F5078="NEW"),"",COUNTBLANK(OFFSET(A$1,,,SUMPRODUCT(MAX(ROW(E$2:E5078)*(E5078=E$2:E5078)))))-COUNTBLANK(OFFSET(A$1,,,SUMPRODUCT(MAX(ROW(E$1:E5077)*(E2=E$1:E5077))))))</f>
        <v> </v>
      </c>
      <c r="K5078" s="25" t="str">
        <f>IF(OR(E5078="",E5078="!!!",F5078="NEW"),"",INDEX(J$1:J5077,SUMPRODUCT(MAX(ROW(E$1:E5077)*(E5078=E$1:E5077)))))</f>
        <v> </v>
      </c>
      <c r="L5078" s="26"/>
    </row>
    <row r="5079" spans="1:12">
      <c r="A5079" s="20" t="s">
        <v>793</v>
      </c>
      <c r="E5079" s="21">
        <f>IF(D5079="?OLD","!!!","")</f>
        <v/>
      </c>
      <c r="F5079" s="22" t="str">
        <f>IF(OR(E5079="",E5079="!!!"),"",IF(NOT(ISNA(VLOOKUP(E5079,E$1:E5078,1,FALSE()))),"OLD",IF(AND(E5079&lt;&gt;"",E5079&lt;&gt;"!!!"),"NEW","")))</f>
        <v> </v>
      </c>
      <c r="G5079" s="23" t="str">
        <f>IF(OR(E5079="",E5079="!!!"),"",IF(OR(J5079=0,AND(J5079=1,K5079=1),AND(J5079=1,I5079="SBJ"),AND(J5079=1,I5079=0)),"?IN_FOCUS",IF(J5079&lt;=2,"?ACTIVATED",IF(J5079&lt;&gt;"","?FAMILIAR",IF(F5079="NEW",IF(ISNA(VLOOKUP(E5079,#REF!,1,FALSE())),"?TYPE_IDENTIFIABLE","?REFERENTIAL"),"_")))))</f>
        <v> </v>
      </c>
      <c r="H5079" s="24" t="str">
        <f>IF(J5079&lt;&gt;1,"",IF(I5079="SBJ","CB","?"))</f>
        <v> </v>
      </c>
      <c r="I5079" s="25" t="str">
        <f>IF(OR(E5079="",E5079="!!!",F5079="NEW"),"",INDEX(B5078:B$2,-1+SUMPRODUCT(MAX(ROW(E5078:E$2)*(E5079=E5078:E$2)))))</f>
        <v> </v>
      </c>
      <c r="J5079" s="25" t="str">
        <f>IF(OR(E5079="",E5079="!!!",F5079="NEW"),"",COUNTBLANK(OFFSET(A$1,,,SUMPRODUCT(MAX(ROW(E$2:E5079)*(E5079=E$2:E5079)))))-COUNTBLANK(OFFSET(A$1,,,SUMPRODUCT(MAX(ROW(E$1:E5078)*(E2=E$1:E5078))))))</f>
        <v> </v>
      </c>
      <c r="K5079" s="25" t="str">
        <f>IF(OR(E5079="",E5079="!!!",F5079="NEW"),"",INDEX(J$1:J5078,SUMPRODUCT(MAX(ROW(E$1:E5078)*(E5079=E$1:E5078)))))</f>
        <v> </v>
      </c>
      <c r="L5079" s="26"/>
    </row>
    <row r="5080" spans="1:12">
      <c r="A5080" s="20" t="s">
        <v>827</v>
      </c>
      <c r="B5080" s="27" t="s">
        <v>1272</v>
      </c>
      <c r="C5080" s="27" t="s">
        <v>797</v>
      </c>
      <c r="D5080" s="27" t="s">
        <v>762</v>
      </c>
      <c r="E5080" s="21">
        <f>IF(D5080="?OLD","!!!","")</f>
        <v/>
      </c>
      <c r="F5080" s="22" t="str">
        <f>IF(OR(E5080="",E5080="!!!"),"",IF(NOT(ISNA(VLOOKUP(E5080,E$1:E5079,1,FALSE()))),"OLD",IF(AND(E5080&lt;&gt;"",E5080&lt;&gt;"!!!"),"NEW","")))</f>
        <v> </v>
      </c>
      <c r="G5080" s="23" t="str">
        <f>IF(OR(E5080="",E5080="!!!"),"",IF(OR(J5080=0,AND(J5080=1,K5080=1),AND(J5080=1,I5080="SBJ"),AND(J5080=1,I5080=0)),"?IN_FOCUS",IF(J5080&lt;=2,"?ACTIVATED",IF(J5080&lt;&gt;"","?FAMILIAR",IF(F5080="NEW",IF(ISNA(VLOOKUP(E5080,#REF!,1,FALSE())),"?TYPE_IDENTIFIABLE","?REFERENTIAL"),"_")))))</f>
        <v> </v>
      </c>
      <c r="H5080" s="24" t="str">
        <f>IF(J5080&lt;&gt;1,"",IF(I5080="SBJ","CB","?"))</f>
        <v> </v>
      </c>
      <c r="I5080" s="25" t="str">
        <f>IF(OR(E5080="",E5080="!!!",F5080="NEW"),"",INDEX(B5079:B$2,-1+SUMPRODUCT(MAX(ROW(E5079:E$2)*(E5080=E5079:E$2)))))</f>
        <v> </v>
      </c>
      <c r="J5080" s="25" t="str">
        <f>IF(OR(E5080="",E5080="!!!",F5080="NEW"),"",COUNTBLANK(OFFSET(A$1,,,SUMPRODUCT(MAX(ROW(E$2:E5080)*(E5080=E$2:E5080)))))-COUNTBLANK(OFFSET(A$1,,,SUMPRODUCT(MAX(ROW(E$1:E5079)*(E2=E$1:E5079))))))</f>
        <v> </v>
      </c>
      <c r="K5080" s="25" t="str">
        <f>IF(OR(E5080="",E5080="!!!",F5080="NEW"),"",INDEX(J$1:J5079,SUMPRODUCT(MAX(ROW(E$1:E5079)*(E5080=E$1:E5079)))))</f>
        <v> </v>
      </c>
      <c r="L5080" s="26"/>
    </row>
    <row r="5081" spans="1:12">
      <c r="A5081" s="20" t="s">
        <v>828</v>
      </c>
      <c r="E5081" s="21">
        <f>IF(D5081="?OLD","!!!","")</f>
        <v/>
      </c>
      <c r="F5081" s="22" t="str">
        <f>IF(OR(E5081="",E5081="!!!"),"",IF(NOT(ISNA(VLOOKUP(E5081,E$1:E5080,1,FALSE()))),"OLD",IF(AND(E5081&lt;&gt;"",E5081&lt;&gt;"!!!"),"NEW","")))</f>
        <v> </v>
      </c>
      <c r="G5081" s="23" t="str">
        <f>IF(OR(E5081="",E5081="!!!"),"",IF(OR(J5081=0,AND(J5081=1,K5081=1),AND(J5081=1,I5081="SBJ"),AND(J5081=1,I5081=0)),"?IN_FOCUS",IF(J5081&lt;=2,"?ACTIVATED",IF(J5081&lt;&gt;"","?FAMILIAR",IF(F5081="NEW",IF(ISNA(VLOOKUP(E5081,#REF!,1,FALSE())),"?TYPE_IDENTIFIABLE","?REFERENTIAL"),"_")))))</f>
        <v> </v>
      </c>
      <c r="H5081" s="24" t="str">
        <f>IF(J5081&lt;&gt;1,"",IF(I5081="SBJ","CB","?"))</f>
        <v> </v>
      </c>
      <c r="I5081" s="25" t="str">
        <f>IF(OR(E5081="",E5081="!!!",F5081="NEW"),"",INDEX(B5080:B$2,-1+SUMPRODUCT(MAX(ROW(E5080:E$2)*(E5081=E5080:E$2)))))</f>
        <v> </v>
      </c>
      <c r="J5081" s="25" t="str">
        <f>IF(OR(E5081="",E5081="!!!",F5081="NEW"),"",COUNTBLANK(OFFSET(A$1,,,SUMPRODUCT(MAX(ROW(E$2:E5081)*(E5081=E$2:E5081)))))-COUNTBLANK(OFFSET(A$1,,,SUMPRODUCT(MAX(ROW(E$1:E5080)*(E2=E$1:E5080))))))</f>
        <v> </v>
      </c>
      <c r="K5081" s="25" t="str">
        <f>IF(OR(E5081="",E5081="!!!",F5081="NEW"),"",INDEX(J$1:J5080,SUMPRODUCT(MAX(ROW(E$1:E5080)*(E5081=E$1:E5080)))))</f>
        <v> </v>
      </c>
      <c r="L5081" s="26"/>
    </row>
    <row r="5082" spans="1:12">
      <c r="A5082" s="20" t="s">
        <v>2087</v>
      </c>
      <c r="E5082" s="21">
        <f>IF(D5082="?OLD","!!!","")</f>
        <v/>
      </c>
      <c r="F5082" s="22" t="str">
        <f>IF(OR(E5082="",E5082="!!!"),"",IF(NOT(ISNA(VLOOKUP(E5082,E$1:E5081,1,FALSE()))),"OLD",IF(AND(E5082&lt;&gt;"",E5082&lt;&gt;"!!!"),"NEW","")))</f>
        <v> </v>
      </c>
      <c r="G5082" s="23" t="str">
        <f>IF(OR(E5082="",E5082="!!!"),"",IF(OR(J5082=0,AND(J5082=1,K5082=1),AND(J5082=1,I5082="SBJ"),AND(J5082=1,I5082=0)),"?IN_FOCUS",IF(J5082&lt;=2,"?ACTIVATED",IF(J5082&lt;&gt;"","?FAMILIAR",IF(F5082="NEW",IF(ISNA(VLOOKUP(E5082,#REF!,1,FALSE())),"?TYPE_IDENTIFIABLE","?REFERENTIAL"),"_")))))</f>
        <v> </v>
      </c>
      <c r="H5082" s="24" t="str">
        <f>IF(J5082&lt;&gt;1,"",IF(I5082="SBJ","CB","?"))</f>
        <v> </v>
      </c>
      <c r="I5082" s="25" t="str">
        <f>IF(OR(E5082="",E5082="!!!",F5082="NEW"),"",INDEX(B5081:B$2,-1+SUMPRODUCT(MAX(ROW(E5081:E$2)*(E5082=E5081:E$2)))))</f>
        <v> </v>
      </c>
      <c r="J5082" s="25" t="str">
        <f>IF(OR(E5082="",E5082="!!!",F5082="NEW"),"",COUNTBLANK(OFFSET(A$1,,,SUMPRODUCT(MAX(ROW(E$2:E5082)*(E5082=E$2:E5082)))))-COUNTBLANK(OFFSET(A$1,,,SUMPRODUCT(MAX(ROW(E$1:E5081)*(E2=E$1:E5081))))))</f>
        <v> </v>
      </c>
      <c r="K5082" s="25" t="str">
        <f>IF(OR(E5082="",E5082="!!!",F5082="NEW"),"",INDEX(J$1:J5081,SUMPRODUCT(MAX(ROW(E$1:E5081)*(E5082=E$1:E5081)))))</f>
        <v> </v>
      </c>
      <c r="L5082" s="26"/>
    </row>
    <row r="5083" spans="1:12">
      <c r="A5083" s="20" t="s">
        <v>1081</v>
      </c>
      <c r="E5083" s="21">
        <f>IF(D5083="?OLD","!!!","")</f>
        <v/>
      </c>
      <c r="F5083" s="22" t="str">
        <f>IF(OR(E5083="",E5083="!!!"),"",IF(NOT(ISNA(VLOOKUP(E5083,E$1:E5082,1,FALSE()))),"OLD",IF(AND(E5083&lt;&gt;"",E5083&lt;&gt;"!!!"),"NEW","")))</f>
        <v> </v>
      </c>
      <c r="G5083" s="23" t="str">
        <f>IF(OR(E5083="",E5083="!!!"),"",IF(OR(J5083=0,AND(J5083=1,K5083=1),AND(J5083=1,I5083="SBJ"),AND(J5083=1,I5083=0)),"?IN_FOCUS",IF(J5083&lt;=2,"?ACTIVATED",IF(J5083&lt;&gt;"","?FAMILIAR",IF(F5083="NEW",IF(ISNA(VLOOKUP(E5083,#REF!,1,FALSE())),"?TYPE_IDENTIFIABLE","?REFERENTIAL"),"_")))))</f>
        <v> </v>
      </c>
      <c r="H5083" s="24" t="str">
        <f>IF(J5083&lt;&gt;1,"",IF(I5083="SBJ","CB","?"))</f>
        <v> </v>
      </c>
      <c r="I5083" s="25" t="str">
        <f>IF(OR(E5083="",E5083="!!!",F5083="NEW"),"",INDEX(B5082:B$2,-1+SUMPRODUCT(MAX(ROW(E5082:E$2)*(E5083=E5082:E$2)))))</f>
        <v> </v>
      </c>
      <c r="J5083" s="25" t="str">
        <f>IF(OR(E5083="",E5083="!!!",F5083="NEW"),"",COUNTBLANK(OFFSET(A$1,,,SUMPRODUCT(MAX(ROW(E$2:E5083)*(E5083=E$2:E5083)))))-COUNTBLANK(OFFSET(A$1,,,SUMPRODUCT(MAX(ROW(E$1:E5082)*(E2=E$1:E5082))))))</f>
        <v> </v>
      </c>
      <c r="K5083" s="25" t="str">
        <f>IF(OR(E5083="",E5083="!!!",F5083="NEW"),"",INDEX(J$1:J5082,SUMPRODUCT(MAX(ROW(E$1:E5082)*(E5083=E$1:E5082)))))</f>
        <v> </v>
      </c>
      <c r="L5083" s="26"/>
    </row>
    <row r="5084" spans="1:12">
      <c r="A5084" s="20" t="s">
        <v>769</v>
      </c>
      <c r="E5084" s="21">
        <f>IF(D5084="?OLD","!!!","")</f>
        <v/>
      </c>
      <c r="F5084" s="22" t="str">
        <f>IF(OR(E5084="",E5084="!!!"),"",IF(NOT(ISNA(VLOOKUP(E5084,E$1:E5083,1,FALSE()))),"OLD",IF(AND(E5084&lt;&gt;"",E5084&lt;&gt;"!!!"),"NEW","")))</f>
        <v> </v>
      </c>
      <c r="G5084" s="23" t="str">
        <f>IF(OR(E5084="",E5084="!!!"),"",IF(OR(J5084=0,AND(J5084=1,K5084=1),AND(J5084=1,I5084="SBJ"),AND(J5084=1,I5084=0)),"?IN_FOCUS",IF(J5084&lt;=2,"?ACTIVATED",IF(J5084&lt;&gt;"","?FAMILIAR",IF(F5084="NEW",IF(ISNA(VLOOKUP(E5084,#REF!,1,FALSE())),"?TYPE_IDENTIFIABLE","?REFERENTIAL"),"_")))))</f>
        <v> </v>
      </c>
      <c r="H5084" s="24" t="str">
        <f>IF(J5084&lt;&gt;1,"",IF(I5084="SBJ","CB","?"))</f>
        <v> </v>
      </c>
      <c r="I5084" s="25" t="str">
        <f>IF(OR(E5084="",E5084="!!!",F5084="NEW"),"",INDEX(B5083:B$2,-1+SUMPRODUCT(MAX(ROW(E5083:E$2)*(E5084=E5083:E$2)))))</f>
        <v> </v>
      </c>
      <c r="J5084" s="25" t="str">
        <f>IF(OR(E5084="",E5084="!!!",F5084="NEW"),"",COUNTBLANK(OFFSET(A$1,,,SUMPRODUCT(MAX(ROW(E$2:E5084)*(E5084=E$2:E5084)))))-COUNTBLANK(OFFSET(A$1,,,SUMPRODUCT(MAX(ROW(E$1:E5083)*(E2=E$1:E5083))))))</f>
        <v> </v>
      </c>
      <c r="K5084" s="25" t="str">
        <f>IF(OR(E5084="",E5084="!!!",F5084="NEW"),"",INDEX(J$1:J5083,SUMPRODUCT(MAX(ROW(E$1:E5083)*(E5084=E$1:E5083)))))</f>
        <v> </v>
      </c>
      <c r="L5084" s="26"/>
    </row>
    <row r="5085" spans="1:12">
      <c r="A5085" s="20" t="s">
        <v>838</v>
      </c>
      <c r="E5085" s="21">
        <f>IF(D5085="?OLD","!!!","")</f>
        <v/>
      </c>
      <c r="F5085" s="22" t="str">
        <f>IF(OR(E5085="",E5085="!!!"),"",IF(NOT(ISNA(VLOOKUP(E5085,E$1:E5084,1,FALSE()))),"OLD",IF(AND(E5085&lt;&gt;"",E5085&lt;&gt;"!!!"),"NEW","")))</f>
        <v> </v>
      </c>
      <c r="G5085" s="23" t="str">
        <f>IF(OR(E5085="",E5085="!!!"),"",IF(OR(J5085=0,AND(J5085=1,K5085=1),AND(J5085=1,I5085="SBJ"),AND(J5085=1,I5085=0)),"?IN_FOCUS",IF(J5085&lt;=2,"?ACTIVATED",IF(J5085&lt;&gt;"","?FAMILIAR",IF(F5085="NEW",IF(ISNA(VLOOKUP(E5085,#REF!,1,FALSE())),"?TYPE_IDENTIFIABLE","?REFERENTIAL"),"_")))))</f>
        <v> </v>
      </c>
      <c r="H5085" s="24" t="str">
        <f>IF(J5085&lt;&gt;1,"",IF(I5085="SBJ","CB","?"))</f>
        <v> </v>
      </c>
      <c r="I5085" s="25" t="str">
        <f>IF(OR(E5085="",E5085="!!!",F5085="NEW"),"",INDEX(B5084:B$2,-1+SUMPRODUCT(MAX(ROW(E5084:E$2)*(E5085=E5084:E$2)))))</f>
        <v> </v>
      </c>
      <c r="J5085" s="25" t="str">
        <f>IF(OR(E5085="",E5085="!!!",F5085="NEW"),"",COUNTBLANK(OFFSET(A$1,,,SUMPRODUCT(MAX(ROW(E$2:E5085)*(E5085=E$2:E5085)))))-COUNTBLANK(OFFSET(A$1,,,SUMPRODUCT(MAX(ROW(E$1:E5084)*(E2=E$1:E5084))))))</f>
        <v> </v>
      </c>
      <c r="K5085" s="25" t="str">
        <f>IF(OR(E5085="",E5085="!!!",F5085="NEW"),"",INDEX(J$1:J5084,SUMPRODUCT(MAX(ROW(E$1:E5084)*(E5085=E$1:E5084)))))</f>
        <v> </v>
      </c>
      <c r="L5085" s="26"/>
    </row>
    <row r="5086" spans="1:12">
      <c r="A5086" s="20" t="s">
        <v>2088</v>
      </c>
      <c r="B5086" s="27" t="s">
        <v>772</v>
      </c>
      <c r="C5086" s="27" t="s">
        <v>761</v>
      </c>
      <c r="D5086" s="27" t="s">
        <v>762</v>
      </c>
      <c r="E5086" s="21">
        <f>IF(D5086="?OLD","!!!","")</f>
        <v/>
      </c>
      <c r="F5086" s="22" t="str">
        <f>IF(OR(E5086="",E5086="!!!"),"",IF(NOT(ISNA(VLOOKUP(E5086,E$1:E5085,1,FALSE()))),"OLD",IF(AND(E5086&lt;&gt;"",E5086&lt;&gt;"!!!"),"NEW","")))</f>
        <v> </v>
      </c>
      <c r="G5086" s="23" t="str">
        <f>IF(OR(E5086="",E5086="!!!"),"",IF(OR(J5086=0,AND(J5086=1,K5086=1),AND(J5086=1,I5086="SBJ"),AND(J5086=1,I5086=0)),"?IN_FOCUS",IF(J5086&lt;=2,"?ACTIVATED",IF(J5086&lt;&gt;"","?FAMILIAR",IF(F5086="NEW",IF(ISNA(VLOOKUP(E5086,#REF!,1,FALSE())),"?TYPE_IDENTIFIABLE","?REFERENTIAL"),"_")))))</f>
        <v> </v>
      </c>
      <c r="H5086" s="24" t="str">
        <f>IF(J5086&lt;&gt;1,"",IF(I5086="SBJ","CB","?"))</f>
        <v> </v>
      </c>
      <c r="I5086" s="25" t="str">
        <f>IF(OR(E5086="",E5086="!!!",F5086="NEW"),"",INDEX(B5085:B$2,-1+SUMPRODUCT(MAX(ROW(E5085:E$2)*(E5086=E5085:E$2)))))</f>
        <v> </v>
      </c>
      <c r="J5086" s="25" t="str">
        <f>IF(OR(E5086="",E5086="!!!",F5086="NEW"),"",COUNTBLANK(OFFSET(A$1,,,SUMPRODUCT(MAX(ROW(E$2:E5086)*(E5086=E$2:E5086)))))-COUNTBLANK(OFFSET(A$1,,,SUMPRODUCT(MAX(ROW(E$1:E5085)*(E2=E$1:E5085))))))</f>
        <v> </v>
      </c>
      <c r="K5086" s="25" t="str">
        <f>IF(OR(E5086="",E5086="!!!",F5086="NEW"),"",INDEX(J$1:J5085,SUMPRODUCT(MAX(ROW(E$1:E5085)*(E5086=E$1:E5085)))))</f>
        <v> </v>
      </c>
      <c r="L5086" s="26"/>
    </row>
    <row r="5087" spans="1:12">
      <c r="A5087" s="20" t="s">
        <v>757</v>
      </c>
      <c r="E5087" s="21">
        <f>IF(D5087="?OLD","!!!","")</f>
        <v/>
      </c>
      <c r="F5087" s="22" t="str">
        <f>IF(OR(E5087="",E5087="!!!"),"",IF(NOT(ISNA(VLOOKUP(E5087,E$1:E5086,1,FALSE()))),"OLD",IF(AND(E5087&lt;&gt;"",E5087&lt;&gt;"!!!"),"NEW","")))</f>
        <v> </v>
      </c>
      <c r="G5087" s="23" t="str">
        <f>IF(OR(E5087="",E5087="!!!"),"",IF(OR(J5087=0,AND(J5087=1,K5087=1),AND(J5087=1,I5087="SBJ"),AND(J5087=1,I5087=0)),"?IN_FOCUS",IF(J5087&lt;=2,"?ACTIVATED",IF(J5087&lt;&gt;"","?FAMILIAR",IF(F5087="NEW",IF(ISNA(VLOOKUP(E5087,#REF!,1,FALSE())),"?TYPE_IDENTIFIABLE","?REFERENTIAL"),"_")))))</f>
        <v> </v>
      </c>
      <c r="H5087" s="24" t="str">
        <f>IF(J5087&lt;&gt;1,"",IF(I5087="SBJ","CB","?"))</f>
        <v> </v>
      </c>
      <c r="I5087" s="25" t="str">
        <f>IF(OR(E5087="",E5087="!!!",F5087="NEW"),"",INDEX(B5086:B$2,-1+SUMPRODUCT(MAX(ROW(E5086:E$2)*(E5087=E5086:E$2)))))</f>
        <v> </v>
      </c>
      <c r="J5087" s="25" t="str">
        <f>IF(OR(E5087="",E5087="!!!",F5087="NEW"),"",COUNTBLANK(OFFSET(A$1,,,SUMPRODUCT(MAX(ROW(E$2:E5087)*(E5087=E$2:E5087)))))-COUNTBLANK(OFFSET(A$1,,,SUMPRODUCT(MAX(ROW(E$1:E5086)*(E2=E$1:E5086))))))</f>
        <v> </v>
      </c>
      <c r="K5087" s="25" t="str">
        <f>IF(OR(E5087="",E5087="!!!",F5087="NEW"),"",INDEX(J$1:J5086,SUMPRODUCT(MAX(ROW(E$1:E5086)*(E5087=E$1:E5086)))))</f>
        <v> </v>
      </c>
      <c r="L5087" s="26"/>
    </row>
    <row r="5088" spans="1:12">
      <c r="A5088" s="20" t="s">
        <v>2089</v>
      </c>
      <c r="E5088" s="21">
        <f>IF(D5088="?OLD","!!!","")</f>
        <v/>
      </c>
      <c r="F5088" s="22" t="str">
        <f>IF(OR(E5088="",E5088="!!!"),"",IF(NOT(ISNA(VLOOKUP(E5088,E$1:E5087,1,FALSE()))),"OLD",IF(AND(E5088&lt;&gt;"",E5088&lt;&gt;"!!!"),"NEW","")))</f>
        <v> </v>
      </c>
      <c r="G5088" s="23" t="str">
        <f>IF(OR(E5088="",E5088="!!!"),"",IF(OR(J5088=0,AND(J5088=1,K5088=1),AND(J5088=1,I5088="SBJ"),AND(J5088=1,I5088=0)),"?IN_FOCUS",IF(J5088&lt;=2,"?ACTIVATED",IF(J5088&lt;&gt;"","?FAMILIAR",IF(F5088="NEW",IF(ISNA(VLOOKUP(E5088,#REF!,1,FALSE())),"?TYPE_IDENTIFIABLE","?REFERENTIAL"),"_")))))</f>
        <v> </v>
      </c>
      <c r="H5088" s="24" t="str">
        <f>IF(J5088&lt;&gt;1,"",IF(I5088="SBJ","CB","?"))</f>
        <v> </v>
      </c>
      <c r="I5088" s="25" t="str">
        <f>IF(OR(E5088="",E5088="!!!",F5088="NEW"),"",INDEX(B5087:B$2,-1+SUMPRODUCT(MAX(ROW(E5087:E$2)*(E5088=E5087:E$2)))))</f>
        <v> </v>
      </c>
      <c r="J5088" s="25" t="str">
        <f>IF(OR(E5088="",E5088="!!!",F5088="NEW"),"",COUNTBLANK(OFFSET(A$1,,,SUMPRODUCT(MAX(ROW(E$2:E5088)*(E5088=E$2:E5088)))))-COUNTBLANK(OFFSET(A$1,,,SUMPRODUCT(MAX(ROW(E$1:E5087)*(E2=E$1:E5087))))))</f>
        <v> </v>
      </c>
      <c r="K5088" s="25" t="str">
        <f>IF(OR(E5088="",E5088="!!!",F5088="NEW"),"",INDEX(J$1:J5087,SUMPRODUCT(MAX(ROW(E$1:E5087)*(E5088=E$1:E5087)))))</f>
        <v> </v>
      </c>
      <c r="L5088" s="26"/>
    </row>
    <row r="5089" spans="1:12">
      <c r="A5089" s="20" t="s">
        <v>769</v>
      </c>
      <c r="E5089" s="21">
        <f>IF(D5089="?OLD","!!!","")</f>
        <v/>
      </c>
      <c r="F5089" s="22" t="str">
        <f>IF(OR(E5089="",E5089="!!!"),"",IF(NOT(ISNA(VLOOKUP(E5089,E$1:E5088,1,FALSE()))),"OLD",IF(AND(E5089&lt;&gt;"",E5089&lt;&gt;"!!!"),"NEW","")))</f>
        <v> </v>
      </c>
      <c r="G5089" s="23" t="str">
        <f>IF(OR(E5089="",E5089="!!!"),"",IF(OR(J5089=0,AND(J5089=1,K5089=1),AND(J5089=1,I5089="SBJ"),AND(J5089=1,I5089=0)),"?IN_FOCUS",IF(J5089&lt;=2,"?ACTIVATED",IF(J5089&lt;&gt;"","?FAMILIAR",IF(F5089="NEW",IF(ISNA(VLOOKUP(E5089,#REF!,1,FALSE())),"?TYPE_IDENTIFIABLE","?REFERENTIAL"),"_")))))</f>
        <v> </v>
      </c>
      <c r="H5089" s="24" t="str">
        <f>IF(J5089&lt;&gt;1,"",IF(I5089="SBJ","CB","?"))</f>
        <v> </v>
      </c>
      <c r="I5089" s="25" t="str">
        <f>IF(OR(E5089="",E5089="!!!",F5089="NEW"),"",INDEX(B5088:B$2,-1+SUMPRODUCT(MAX(ROW(E5088:E$2)*(E5089=E5088:E$2)))))</f>
        <v> </v>
      </c>
      <c r="J5089" s="25" t="str">
        <f>IF(OR(E5089="",E5089="!!!",F5089="NEW"),"",COUNTBLANK(OFFSET(A$1,,,SUMPRODUCT(MAX(ROW(E$2:E5089)*(E5089=E$2:E5089)))))-COUNTBLANK(OFFSET(A$1,,,SUMPRODUCT(MAX(ROW(E$1:E5088)*(E2=E$1:E5088))))))</f>
        <v> </v>
      </c>
      <c r="K5089" s="25" t="str">
        <f>IF(OR(E5089="",E5089="!!!",F5089="NEW"),"",INDEX(J$1:J5088,SUMPRODUCT(MAX(ROW(E$1:E5088)*(E5089=E$1:E5088)))))</f>
        <v> </v>
      </c>
      <c r="L5089" s="26"/>
    </row>
    <row r="5090" spans="1:12">
      <c r="A5090" s="20" t="s">
        <v>838</v>
      </c>
      <c r="E5090" s="21">
        <f>IF(D5090="?OLD","!!!","")</f>
        <v/>
      </c>
      <c r="F5090" s="22" t="str">
        <f>IF(OR(E5090="",E5090="!!!"),"",IF(NOT(ISNA(VLOOKUP(E5090,E$1:E5089,1,FALSE()))),"OLD",IF(AND(E5090&lt;&gt;"",E5090&lt;&gt;"!!!"),"NEW","")))</f>
        <v> </v>
      </c>
      <c r="G5090" s="23" t="str">
        <f>IF(OR(E5090="",E5090="!!!"),"",IF(OR(J5090=0,AND(J5090=1,K5090=1),AND(J5090=1,I5090="SBJ"),AND(J5090=1,I5090=0)),"?IN_FOCUS",IF(J5090&lt;=2,"?ACTIVATED",IF(J5090&lt;&gt;"","?FAMILIAR",IF(F5090="NEW",IF(ISNA(VLOOKUP(E5090,#REF!,1,FALSE())),"?TYPE_IDENTIFIABLE","?REFERENTIAL"),"_")))))</f>
        <v> </v>
      </c>
      <c r="H5090" s="24" t="str">
        <f>IF(J5090&lt;&gt;1,"",IF(I5090="SBJ","CB","?"))</f>
        <v> </v>
      </c>
      <c r="I5090" s="25" t="str">
        <f>IF(OR(E5090="",E5090="!!!",F5090="NEW"),"",INDEX(B5089:B$2,-1+SUMPRODUCT(MAX(ROW(E5089:E$2)*(E5090=E5089:E$2)))))</f>
        <v> </v>
      </c>
      <c r="J5090" s="25" t="str">
        <f>IF(OR(E5090="",E5090="!!!",F5090="NEW"),"",COUNTBLANK(OFFSET(A$1,,,SUMPRODUCT(MAX(ROW(E$2:E5090)*(E5090=E$2:E5090)))))-COUNTBLANK(OFFSET(A$1,,,SUMPRODUCT(MAX(ROW(E$1:E5089)*(E2=E$1:E5089))))))</f>
        <v> </v>
      </c>
      <c r="K5090" s="25" t="str">
        <f>IF(OR(E5090="",E5090="!!!",F5090="NEW"),"",INDEX(J$1:J5089,SUMPRODUCT(MAX(ROW(E$1:E5089)*(E5090=E$1:E5089)))))</f>
        <v> </v>
      </c>
      <c r="L5090" s="26"/>
    </row>
    <row r="5091" spans="1:12">
      <c r="A5091" s="20" t="s">
        <v>2090</v>
      </c>
      <c r="B5091" s="27" t="s">
        <v>901</v>
      </c>
      <c r="C5091" s="27" t="s">
        <v>761</v>
      </c>
      <c r="D5091" s="27" t="s">
        <v>762</v>
      </c>
      <c r="E5091" s="21">
        <f>IF(D5091="?OLD","!!!","")</f>
        <v/>
      </c>
      <c r="F5091" s="22" t="str">
        <f>IF(OR(E5091="",E5091="!!!"),"",IF(NOT(ISNA(VLOOKUP(E5091,E$1:E5090,1,FALSE()))),"OLD",IF(AND(E5091&lt;&gt;"",E5091&lt;&gt;"!!!"),"NEW","")))</f>
        <v> </v>
      </c>
      <c r="G5091" s="23" t="str">
        <f>IF(OR(E5091="",E5091="!!!"),"",IF(OR(J5091=0,AND(J5091=1,K5091=1),AND(J5091=1,I5091="SBJ"),AND(J5091=1,I5091=0)),"?IN_FOCUS",IF(J5091&lt;=2,"?ACTIVATED",IF(J5091&lt;&gt;"","?FAMILIAR",IF(F5091="NEW",IF(ISNA(VLOOKUP(E5091,#REF!,1,FALSE())),"?TYPE_IDENTIFIABLE","?REFERENTIAL"),"_")))))</f>
        <v> </v>
      </c>
      <c r="H5091" s="24" t="str">
        <f>IF(J5091&lt;&gt;1,"",IF(I5091="SBJ","CB","?"))</f>
        <v> </v>
      </c>
      <c r="I5091" s="25" t="str">
        <f>IF(OR(E5091="",E5091="!!!",F5091="NEW"),"",INDEX(B5090:B$2,-1+SUMPRODUCT(MAX(ROW(E5090:E$2)*(E5091=E5090:E$2)))))</f>
        <v> </v>
      </c>
      <c r="J5091" s="25" t="str">
        <f>IF(OR(E5091="",E5091="!!!",F5091="NEW"),"",COUNTBLANK(OFFSET(A$1,,,SUMPRODUCT(MAX(ROW(E$2:E5091)*(E5091=E$2:E5091)))))-COUNTBLANK(OFFSET(A$1,,,SUMPRODUCT(MAX(ROW(E$1:E5090)*(E2=E$1:E5090))))))</f>
        <v> </v>
      </c>
      <c r="K5091" s="25" t="str">
        <f>IF(OR(E5091="",E5091="!!!",F5091="NEW"),"",INDEX(J$1:J5090,SUMPRODUCT(MAX(ROW(E$1:E5090)*(E5091=E$1:E5090)))))</f>
        <v> </v>
      </c>
      <c r="L5091" s="26"/>
    </row>
    <row r="5092" spans="1:12">
      <c r="A5092" s="20" t="s">
        <v>785</v>
      </c>
      <c r="E5092" s="21">
        <f>IF(D5092="?OLD","!!!","")</f>
        <v/>
      </c>
      <c r="F5092" s="22" t="str">
        <f>IF(OR(E5092="",E5092="!!!"),"",IF(NOT(ISNA(VLOOKUP(E5092,E$1:E5091,1,FALSE()))),"OLD",IF(AND(E5092&lt;&gt;"",E5092&lt;&gt;"!!!"),"NEW","")))</f>
        <v> </v>
      </c>
      <c r="G5092" s="23" t="str">
        <f>IF(OR(E5092="",E5092="!!!"),"",IF(OR(J5092=0,AND(J5092=1,K5092=1),AND(J5092=1,I5092="SBJ"),AND(J5092=1,I5092=0)),"?IN_FOCUS",IF(J5092&lt;=2,"?ACTIVATED",IF(J5092&lt;&gt;"","?FAMILIAR",IF(F5092="NEW",IF(ISNA(VLOOKUP(E5092,#REF!,1,FALSE())),"?TYPE_IDENTIFIABLE","?REFERENTIAL"),"_")))))</f>
        <v> </v>
      </c>
      <c r="H5092" s="24" t="str">
        <f>IF(J5092&lt;&gt;1,"",IF(I5092="SBJ","CB","?"))</f>
        <v> </v>
      </c>
      <c r="I5092" s="25" t="str">
        <f>IF(OR(E5092="",E5092="!!!",F5092="NEW"),"",INDEX(B5091:B$2,-1+SUMPRODUCT(MAX(ROW(E5091:E$2)*(E5092=E5091:E$2)))))</f>
        <v> </v>
      </c>
      <c r="J5092" s="25" t="str">
        <f>IF(OR(E5092="",E5092="!!!",F5092="NEW"),"",COUNTBLANK(OFFSET(A$1,,,SUMPRODUCT(MAX(ROW(E$2:E5092)*(E5092=E$2:E5092)))))-COUNTBLANK(OFFSET(A$1,,,SUMPRODUCT(MAX(ROW(E$1:E5091)*(E2=E$1:E5091))))))</f>
        <v> </v>
      </c>
      <c r="K5092" s="25" t="str">
        <f>IF(OR(E5092="",E5092="!!!",F5092="NEW"),"",INDEX(J$1:J5091,SUMPRODUCT(MAX(ROW(E$1:E5091)*(E5092=E$1:E5091)))))</f>
        <v> </v>
      </c>
      <c r="L5092" s="26"/>
    </row>
    <row r="5093" spans="1:12">
      <c r="A5093" s="20" t="s">
        <v>789</v>
      </c>
      <c r="B5093" s="27" t="s">
        <v>815</v>
      </c>
      <c r="C5093" s="27" t="s">
        <v>754</v>
      </c>
      <c r="E5093" s="21">
        <f>IF(D5093="?OLD","!!!","")</f>
        <v/>
      </c>
      <c r="F5093" s="22" t="str">
        <f>IF(OR(E5093="",E5093="!!!"),"",IF(NOT(ISNA(VLOOKUP(E5093,E$1:E5092,1,FALSE()))),"OLD",IF(AND(E5093&lt;&gt;"",E5093&lt;&gt;"!!!"),"NEW","")))</f>
        <v> </v>
      </c>
      <c r="G5093" s="23" t="str">
        <f>IF(OR(E5093="",E5093="!!!"),"",IF(OR(J5093=0,AND(J5093=1,K5093=1),AND(J5093=1,I5093="SBJ"),AND(J5093=1,I5093=0)),"?IN_FOCUS",IF(J5093&lt;=2,"?ACTIVATED",IF(J5093&lt;&gt;"","?FAMILIAR",IF(F5093="NEW",IF(ISNA(VLOOKUP(E5093,#REF!,1,FALSE())),"?TYPE_IDENTIFIABLE","?REFERENTIAL"),"_")))))</f>
        <v> </v>
      </c>
      <c r="H5093" s="24" t="str">
        <f>IF(J5093&lt;&gt;1,"",IF(I5093="SBJ","CB","?"))</f>
        <v> </v>
      </c>
      <c r="I5093" s="25" t="str">
        <f>IF(OR(E5093="",E5093="!!!",F5093="NEW"),"",INDEX(B5092:B$2,-1+SUMPRODUCT(MAX(ROW(E5092:E$2)*(E5093=E5092:E$2)))))</f>
        <v> </v>
      </c>
      <c r="J5093" s="25" t="str">
        <f>IF(OR(E5093="",E5093="!!!",F5093="NEW"),"",COUNTBLANK(OFFSET(A$1,,,SUMPRODUCT(MAX(ROW(E$2:E5093)*(E5093=E$2:E5093)))))-COUNTBLANK(OFFSET(A$1,,,SUMPRODUCT(MAX(ROW(E$1:E5092)*(E2=E$1:E5092))))))</f>
        <v> </v>
      </c>
      <c r="K5093" s="25" t="str">
        <f>IF(OR(E5093="",E5093="!!!",F5093="NEW"),"",INDEX(J$1:J5092,SUMPRODUCT(MAX(ROW(E$1:E5092)*(E5093=E$1:E5092)))))</f>
        <v> </v>
      </c>
      <c r="L5093" s="26"/>
    </row>
    <row r="5094" spans="1:12">
      <c r="A5094" s="20" t="s">
        <v>1333</v>
      </c>
      <c r="E5094" s="21">
        <f>IF(D5094="?OLD","!!!","")</f>
        <v/>
      </c>
      <c r="F5094" s="22" t="str">
        <f>IF(OR(E5094="",E5094="!!!"),"",IF(NOT(ISNA(VLOOKUP(E5094,E$1:E5093,1,FALSE()))),"OLD",IF(AND(E5094&lt;&gt;"",E5094&lt;&gt;"!!!"),"NEW","")))</f>
        <v> </v>
      </c>
      <c r="G5094" s="23" t="str">
        <f>IF(OR(E5094="",E5094="!!!"),"",IF(OR(J5094=0,AND(J5094=1,K5094=1),AND(J5094=1,I5094="SBJ"),AND(J5094=1,I5094=0)),"?IN_FOCUS",IF(J5094&lt;=2,"?ACTIVATED",IF(J5094&lt;&gt;"","?FAMILIAR",IF(F5094="NEW",IF(ISNA(VLOOKUP(E5094,#REF!,1,FALSE())),"?TYPE_IDENTIFIABLE","?REFERENTIAL"),"_")))))</f>
        <v> </v>
      </c>
      <c r="H5094" s="24" t="str">
        <f>IF(J5094&lt;&gt;1,"",IF(I5094="SBJ","CB","?"))</f>
        <v> </v>
      </c>
      <c r="I5094" s="25" t="str">
        <f>IF(OR(E5094="",E5094="!!!",F5094="NEW"),"",INDEX(B5093:B$2,-1+SUMPRODUCT(MAX(ROW(E5093:E$2)*(E5094=E5093:E$2)))))</f>
        <v> </v>
      </c>
      <c r="J5094" s="25" t="str">
        <f>IF(OR(E5094="",E5094="!!!",F5094="NEW"),"",COUNTBLANK(OFFSET(A$1,,,SUMPRODUCT(MAX(ROW(E$2:E5094)*(E5094=E$2:E5094)))))-COUNTBLANK(OFFSET(A$1,,,SUMPRODUCT(MAX(ROW(E$1:E5093)*(E2=E$1:E5093))))))</f>
        <v> </v>
      </c>
      <c r="K5094" s="25" t="str">
        <f>IF(OR(E5094="",E5094="!!!",F5094="NEW"),"",INDEX(J$1:J5093,SUMPRODUCT(MAX(ROW(E$1:E5093)*(E5094=E$1:E5093)))))</f>
        <v> </v>
      </c>
      <c r="L5094" s="26"/>
    </row>
    <row r="5095" spans="1:12">
      <c r="A5095" s="20" t="s">
        <v>769</v>
      </c>
      <c r="E5095" s="21">
        <f>IF(D5095="?OLD","!!!","")</f>
        <v/>
      </c>
      <c r="F5095" s="22" t="str">
        <f>IF(OR(E5095="",E5095="!!!"),"",IF(NOT(ISNA(VLOOKUP(E5095,E$1:E5094,1,FALSE()))),"OLD",IF(AND(E5095&lt;&gt;"",E5095&lt;&gt;"!!!"),"NEW","")))</f>
        <v> </v>
      </c>
      <c r="G5095" s="23" t="str">
        <f>IF(OR(E5095="",E5095="!!!"),"",IF(OR(J5095=0,AND(J5095=1,K5095=1),AND(J5095=1,I5095="SBJ"),AND(J5095=1,I5095=0)),"?IN_FOCUS",IF(J5095&lt;=2,"?ACTIVATED",IF(J5095&lt;&gt;"","?FAMILIAR",IF(F5095="NEW",IF(ISNA(VLOOKUP(E5095,#REF!,1,FALSE())),"?TYPE_IDENTIFIABLE","?REFERENTIAL"),"_")))))</f>
        <v> </v>
      </c>
      <c r="H5095" s="24" t="str">
        <f>IF(J5095&lt;&gt;1,"",IF(I5095="SBJ","CB","?"))</f>
        <v> </v>
      </c>
      <c r="I5095" s="25" t="str">
        <f>IF(OR(E5095="",E5095="!!!",F5095="NEW"),"",INDEX(B5094:B$2,-1+SUMPRODUCT(MAX(ROW(E5094:E$2)*(E5095=E5094:E$2)))))</f>
        <v> </v>
      </c>
      <c r="J5095" s="25" t="str">
        <f>IF(OR(E5095="",E5095="!!!",F5095="NEW"),"",COUNTBLANK(OFFSET(A$1,,,SUMPRODUCT(MAX(ROW(E$2:E5095)*(E5095=E$2:E5095)))))-COUNTBLANK(OFFSET(A$1,,,SUMPRODUCT(MAX(ROW(E$1:E5094)*(E2=E$1:E5094))))))</f>
        <v> </v>
      </c>
      <c r="K5095" s="25" t="str">
        <f>IF(OR(E5095="",E5095="!!!",F5095="NEW"),"",INDEX(J$1:J5094,SUMPRODUCT(MAX(ROW(E$1:E5094)*(E5095=E$1:E5094)))))</f>
        <v> </v>
      </c>
      <c r="L5095" s="26"/>
    </row>
    <row r="5096" spans="1:12">
      <c r="A5096" s="20" t="s">
        <v>1270</v>
      </c>
      <c r="B5096" s="27" t="s">
        <v>1127</v>
      </c>
      <c r="C5096" s="27" t="s">
        <v>851</v>
      </c>
      <c r="D5096" s="27" t="s">
        <v>762</v>
      </c>
      <c r="E5096" s="21">
        <f>IF(D5096="?OLD","!!!","")</f>
        <v/>
      </c>
      <c r="F5096" s="22" t="str">
        <f>IF(OR(E5096="",E5096="!!!"),"",IF(NOT(ISNA(VLOOKUP(E5096,E$1:E5095,1,FALSE()))),"OLD",IF(AND(E5096&lt;&gt;"",E5096&lt;&gt;"!!!"),"NEW","")))</f>
        <v> </v>
      </c>
      <c r="G5096" s="23" t="str">
        <f>IF(OR(E5096="",E5096="!!!"),"",IF(OR(J5096=0,AND(J5096=1,K5096=1),AND(J5096=1,I5096="SBJ"),AND(J5096=1,I5096=0)),"?IN_FOCUS",IF(J5096&lt;=2,"?ACTIVATED",IF(J5096&lt;&gt;"","?FAMILIAR",IF(F5096="NEW",IF(ISNA(VLOOKUP(E5096,#REF!,1,FALSE())),"?TYPE_IDENTIFIABLE","?REFERENTIAL"),"_")))))</f>
        <v> </v>
      </c>
      <c r="H5096" s="24" t="str">
        <f>IF(J5096&lt;&gt;1,"",IF(I5096="SBJ","CB","?"))</f>
        <v> </v>
      </c>
      <c r="I5096" s="25" t="str">
        <f>IF(OR(E5096="",E5096="!!!",F5096="NEW"),"",INDEX(B5095:B$2,-1+SUMPRODUCT(MAX(ROW(E5095:E$2)*(E5096=E5095:E$2)))))</f>
        <v> </v>
      </c>
      <c r="J5096" s="25" t="str">
        <f>IF(OR(E5096="",E5096="!!!",F5096="NEW"),"",COUNTBLANK(OFFSET(A$1,,,SUMPRODUCT(MAX(ROW(E$2:E5096)*(E5096=E$2:E5096)))))-COUNTBLANK(OFFSET(A$1,,,SUMPRODUCT(MAX(ROW(E$1:E5095)*(E2=E$1:E5095))))))</f>
        <v> </v>
      </c>
      <c r="K5096" s="25" t="str">
        <f>IF(OR(E5096="",E5096="!!!",F5096="NEW"),"",INDEX(J$1:J5095,SUMPRODUCT(MAX(ROW(E$1:E5095)*(E5096=E$1:E5095)))))</f>
        <v> </v>
      </c>
      <c r="L5096" s="26"/>
    </row>
    <row r="5097" spans="1:12">
      <c r="A5097" s="20" t="s">
        <v>943</v>
      </c>
      <c r="B5097" s="27" t="s">
        <v>1062</v>
      </c>
      <c r="C5097" s="27" t="s">
        <v>837</v>
      </c>
      <c r="D5097" s="27" t="s">
        <v>762</v>
      </c>
      <c r="E5097" s="21">
        <f>IF(D5097="?OLD","!!!","")</f>
        <v/>
      </c>
      <c r="F5097" s="22" t="str">
        <f>IF(OR(E5097="",E5097="!!!"),"",IF(NOT(ISNA(VLOOKUP(E5097,E$1:E5096,1,FALSE()))),"OLD",IF(AND(E5097&lt;&gt;"",E5097&lt;&gt;"!!!"),"NEW","")))</f>
        <v> </v>
      </c>
      <c r="G5097" s="23" t="str">
        <f>IF(OR(E5097="",E5097="!!!"),"",IF(OR(J5097=0,AND(J5097=1,K5097=1),AND(J5097=1,I5097="SBJ"),AND(J5097=1,I5097=0)),"?IN_FOCUS",IF(J5097&lt;=2,"?ACTIVATED",IF(J5097&lt;&gt;"","?FAMILIAR",IF(F5097="NEW",IF(ISNA(VLOOKUP(E5097,#REF!,1,FALSE())),"?TYPE_IDENTIFIABLE","?REFERENTIAL"),"_")))))</f>
        <v> </v>
      </c>
      <c r="H5097" s="24" t="str">
        <f>IF(J5097&lt;&gt;1,"",IF(I5097="SBJ","CB","?"))</f>
        <v> </v>
      </c>
      <c r="I5097" s="25" t="str">
        <f>IF(OR(E5097="",E5097="!!!",F5097="NEW"),"",INDEX(B5096:B$2,-1+SUMPRODUCT(MAX(ROW(E5096:E$2)*(E5097=E5096:E$2)))))</f>
        <v> </v>
      </c>
      <c r="J5097" s="25" t="str">
        <f>IF(OR(E5097="",E5097="!!!",F5097="NEW"),"",COUNTBLANK(OFFSET(A$1,,,SUMPRODUCT(MAX(ROW(E$2:E5097)*(E5097=E$2:E5097)))))-COUNTBLANK(OFFSET(A$1,,,SUMPRODUCT(MAX(ROW(E$1:E5096)*(E2=E$1:E5096))))))</f>
        <v> </v>
      </c>
      <c r="K5097" s="25" t="str">
        <f>IF(OR(E5097="",E5097="!!!",F5097="NEW"),"",INDEX(J$1:J5096,SUMPRODUCT(MAX(ROW(E$1:E5096)*(E5097=E$1:E5096)))))</f>
        <v> </v>
      </c>
      <c r="L5097" s="26"/>
    </row>
    <row r="5098" spans="1:12">
      <c r="A5098" s="20" t="s">
        <v>2091</v>
      </c>
      <c r="E5098" s="21">
        <f>IF(D5098="?OLD","!!!","")</f>
        <v/>
      </c>
      <c r="F5098" s="22" t="str">
        <f>IF(OR(E5098="",E5098="!!!"),"",IF(NOT(ISNA(VLOOKUP(E5098,E$1:E5097,1,FALSE()))),"OLD",IF(AND(E5098&lt;&gt;"",E5098&lt;&gt;"!!!"),"NEW","")))</f>
        <v> </v>
      </c>
      <c r="G5098" s="23" t="str">
        <f>IF(OR(E5098="",E5098="!!!"),"",IF(OR(J5098=0,AND(J5098=1,K5098=1),AND(J5098=1,I5098="SBJ"),AND(J5098=1,I5098=0)),"?IN_FOCUS",IF(J5098&lt;=2,"?ACTIVATED",IF(J5098&lt;&gt;"","?FAMILIAR",IF(F5098="NEW",IF(ISNA(VLOOKUP(E5098,#REF!,1,FALSE())),"?TYPE_IDENTIFIABLE","?REFERENTIAL"),"_")))))</f>
        <v> </v>
      </c>
      <c r="H5098" s="24" t="str">
        <f>IF(J5098&lt;&gt;1,"",IF(I5098="SBJ","CB","?"))</f>
        <v> </v>
      </c>
      <c r="I5098" s="25" t="str">
        <f>IF(OR(E5098="",E5098="!!!",F5098="NEW"),"",INDEX(B5097:B$2,-1+SUMPRODUCT(MAX(ROW(E5097:E$2)*(E5098=E5097:E$2)))))</f>
        <v> </v>
      </c>
      <c r="J5098" s="25" t="str">
        <f>IF(OR(E5098="",E5098="!!!",F5098="NEW"),"",COUNTBLANK(OFFSET(A$1,,,SUMPRODUCT(MAX(ROW(E$2:E5098)*(E5098=E$2:E5098)))))-COUNTBLANK(OFFSET(A$1,,,SUMPRODUCT(MAX(ROW(E$1:E5097)*(E2=E$1:E5097))))))</f>
        <v> </v>
      </c>
      <c r="K5098" s="25" t="str">
        <f>IF(OR(E5098="",E5098="!!!",F5098="NEW"),"",INDEX(J$1:J5097,SUMPRODUCT(MAX(ROW(E$1:E5097)*(E5098=E$1:E5097)))))</f>
        <v> </v>
      </c>
      <c r="L5098" s="26"/>
    </row>
    <row r="5099" spans="1:12">
      <c r="A5099" s="20" t="s">
        <v>757</v>
      </c>
      <c r="E5099" s="21">
        <f>IF(D5099="?OLD","!!!","")</f>
        <v/>
      </c>
      <c r="F5099" s="22" t="str">
        <f>IF(OR(E5099="",E5099="!!!"),"",IF(NOT(ISNA(VLOOKUP(E5099,E$1:E5098,1,FALSE()))),"OLD",IF(AND(E5099&lt;&gt;"",E5099&lt;&gt;"!!!"),"NEW","")))</f>
        <v> </v>
      </c>
      <c r="G5099" s="23" t="str">
        <f>IF(OR(E5099="",E5099="!!!"),"",IF(OR(J5099=0,AND(J5099=1,K5099=1),AND(J5099=1,I5099="SBJ"),AND(J5099=1,I5099=0)),"?IN_FOCUS",IF(J5099&lt;=2,"?ACTIVATED",IF(J5099&lt;&gt;"","?FAMILIAR",IF(F5099="NEW",IF(ISNA(VLOOKUP(E5099,#REF!,1,FALSE())),"?TYPE_IDENTIFIABLE","?REFERENTIAL"),"_")))))</f>
        <v> </v>
      </c>
      <c r="H5099" s="24" t="str">
        <f>IF(J5099&lt;&gt;1,"",IF(I5099="SBJ","CB","?"))</f>
        <v> </v>
      </c>
      <c r="I5099" s="25" t="str">
        <f>IF(OR(E5099="",E5099="!!!",F5099="NEW"),"",INDEX(B5098:B$2,-1+SUMPRODUCT(MAX(ROW(E5098:E$2)*(E5099=E5098:E$2)))))</f>
        <v> </v>
      </c>
      <c r="J5099" s="25" t="str">
        <f>IF(OR(E5099="",E5099="!!!",F5099="NEW"),"",COUNTBLANK(OFFSET(A$1,,,SUMPRODUCT(MAX(ROW(E$2:E5099)*(E5099=E$2:E5099)))))-COUNTBLANK(OFFSET(A$1,,,SUMPRODUCT(MAX(ROW(E$1:E5098)*(E2=E$1:E5098))))))</f>
        <v> </v>
      </c>
      <c r="K5099" s="25" t="str">
        <f>IF(OR(E5099="",E5099="!!!",F5099="NEW"),"",INDEX(J$1:J5098,SUMPRODUCT(MAX(ROW(E$1:E5098)*(E5099=E$1:E5098)))))</f>
        <v> </v>
      </c>
      <c r="L5099" s="26"/>
    </row>
    <row r="5100" spans="1:12">
      <c r="A5100" s="20" t="s">
        <v>2092</v>
      </c>
      <c r="E5100" s="21">
        <f>IF(D5100="?OLD","!!!","")</f>
        <v/>
      </c>
      <c r="F5100" s="22" t="str">
        <f>IF(OR(E5100="",E5100="!!!"),"",IF(NOT(ISNA(VLOOKUP(E5100,E$1:E5099,1,FALSE()))),"OLD",IF(AND(E5100&lt;&gt;"",E5100&lt;&gt;"!!!"),"NEW","")))</f>
        <v> </v>
      </c>
      <c r="G5100" s="23" t="str">
        <f>IF(OR(E5100="",E5100="!!!"),"",IF(OR(J5100=0,AND(J5100=1,K5100=1),AND(J5100=1,I5100="SBJ"),AND(J5100=1,I5100=0)),"?IN_FOCUS",IF(J5100&lt;=2,"?ACTIVATED",IF(J5100&lt;&gt;"","?FAMILIAR",IF(F5100="NEW",IF(ISNA(VLOOKUP(E5100,#REF!,1,FALSE())),"?TYPE_IDENTIFIABLE","?REFERENTIAL"),"_")))))</f>
        <v> </v>
      </c>
      <c r="H5100" s="24" t="str">
        <f>IF(J5100&lt;&gt;1,"",IF(I5100="SBJ","CB","?"))</f>
        <v> </v>
      </c>
      <c r="I5100" s="25" t="str">
        <f>IF(OR(E5100="",E5100="!!!",F5100="NEW"),"",INDEX(B5099:B$2,-1+SUMPRODUCT(MAX(ROW(E5099:E$2)*(E5100=E5099:E$2)))))</f>
        <v> </v>
      </c>
      <c r="J5100" s="25" t="str">
        <f>IF(OR(E5100="",E5100="!!!",F5100="NEW"),"",COUNTBLANK(OFFSET(A$1,,,SUMPRODUCT(MAX(ROW(E$2:E5100)*(E5100=E$2:E5100)))))-COUNTBLANK(OFFSET(A$1,,,SUMPRODUCT(MAX(ROW(E$1:E5099)*(E2=E$1:E5099))))))</f>
        <v> </v>
      </c>
      <c r="K5100" s="25" t="str">
        <f>IF(OR(E5100="",E5100="!!!",F5100="NEW"),"",INDEX(J$1:J5099,SUMPRODUCT(MAX(ROW(E$1:E5099)*(E5100=E$1:E5099)))))</f>
        <v> </v>
      </c>
      <c r="L5100" s="26"/>
    </row>
    <row r="5101" spans="1:12">
      <c r="A5101" s="20" t="s">
        <v>769</v>
      </c>
      <c r="E5101" s="21">
        <f>IF(D5101="?OLD","!!!","")</f>
        <v/>
      </c>
      <c r="F5101" s="22" t="str">
        <f>IF(OR(E5101="",E5101="!!!"),"",IF(NOT(ISNA(VLOOKUP(E5101,E$1:E5100,1,FALSE()))),"OLD",IF(AND(E5101&lt;&gt;"",E5101&lt;&gt;"!!!"),"NEW","")))</f>
        <v> </v>
      </c>
      <c r="G5101" s="23" t="str">
        <f>IF(OR(E5101="",E5101="!!!"),"",IF(OR(J5101=0,AND(J5101=1,K5101=1),AND(J5101=1,I5101="SBJ"),AND(J5101=1,I5101=0)),"?IN_FOCUS",IF(J5101&lt;=2,"?ACTIVATED",IF(J5101&lt;&gt;"","?FAMILIAR",IF(F5101="NEW",IF(ISNA(VLOOKUP(E5101,#REF!,1,FALSE())),"?TYPE_IDENTIFIABLE","?REFERENTIAL"),"_")))))</f>
        <v> </v>
      </c>
      <c r="H5101" s="24" t="str">
        <f>IF(J5101&lt;&gt;1,"",IF(I5101="SBJ","CB","?"))</f>
        <v> </v>
      </c>
      <c r="I5101" s="25" t="str">
        <f>IF(OR(E5101="",E5101="!!!",F5101="NEW"),"",INDEX(B5100:B$2,-1+SUMPRODUCT(MAX(ROW(E5100:E$2)*(E5101=E5100:E$2)))))</f>
        <v> </v>
      </c>
      <c r="J5101" s="25" t="str">
        <f>IF(OR(E5101="",E5101="!!!",F5101="NEW"),"",COUNTBLANK(OFFSET(A$1,,,SUMPRODUCT(MAX(ROW(E$2:E5101)*(E5101=E$2:E5101)))))-COUNTBLANK(OFFSET(A$1,,,SUMPRODUCT(MAX(ROW(E$1:E5100)*(E2=E$1:E5100))))))</f>
        <v> </v>
      </c>
      <c r="K5101" s="25" t="str">
        <f>IF(OR(E5101="",E5101="!!!",F5101="NEW"),"",INDEX(J$1:J5100,SUMPRODUCT(MAX(ROW(E$1:E5100)*(E5101=E$1:E5100)))))</f>
        <v> </v>
      </c>
      <c r="L5101" s="26"/>
    </row>
    <row r="5102" spans="1:12">
      <c r="A5102" s="20" t="s">
        <v>333</v>
      </c>
      <c r="E5102" s="21">
        <f>IF(D5102="?OLD","!!!","")</f>
        <v/>
      </c>
      <c r="F5102" s="22" t="str">
        <f>IF(OR(E5102="",E5102="!!!"),"",IF(NOT(ISNA(VLOOKUP(E5102,E$1:E5101,1,FALSE()))),"OLD",IF(AND(E5102&lt;&gt;"",E5102&lt;&gt;"!!!"),"NEW","")))</f>
        <v> </v>
      </c>
      <c r="G5102" s="23" t="str">
        <f>IF(OR(E5102="",E5102="!!!"),"",IF(OR(J5102=0,AND(J5102=1,K5102=1),AND(J5102=1,I5102="SBJ"),AND(J5102=1,I5102=0)),"?IN_FOCUS",IF(J5102&lt;=2,"?ACTIVATED",IF(J5102&lt;&gt;"","?FAMILIAR",IF(F5102="NEW",IF(ISNA(VLOOKUP(E5102,#REF!,1,FALSE())),"?TYPE_IDENTIFIABLE","?REFERENTIAL"),"_")))))</f>
        <v> </v>
      </c>
      <c r="H5102" s="24" t="str">
        <f>IF(J5102&lt;&gt;1,"",IF(I5102="SBJ","CB","?"))</f>
        <v> </v>
      </c>
      <c r="I5102" s="25" t="str">
        <f>IF(OR(E5102="",E5102="!!!",F5102="NEW"),"",INDEX(B5101:B$2,-1+SUMPRODUCT(MAX(ROW(E5101:E$2)*(E5102=E5101:E$2)))))</f>
        <v> </v>
      </c>
      <c r="J5102" s="25" t="str">
        <f>IF(OR(E5102="",E5102="!!!",F5102="NEW"),"",COUNTBLANK(OFFSET(A$1,,,SUMPRODUCT(MAX(ROW(E$2:E5102)*(E5102=E$2:E5102)))))-COUNTBLANK(OFFSET(A$1,,,SUMPRODUCT(MAX(ROW(E$1:E5101)*(E2=E$1:E5101))))))</f>
        <v> </v>
      </c>
      <c r="K5102" s="25" t="str">
        <f>IF(OR(E5102="",E5102="!!!",F5102="NEW"),"",INDEX(J$1:J5101,SUMPRODUCT(MAX(ROW(E$1:E5101)*(E5102=E$1:E5101)))))</f>
        <v> </v>
      </c>
      <c r="L5102" s="26"/>
    </row>
    <row r="5103" spans="1:12">
      <c r="A5103" s="20" t="s">
        <v>193</v>
      </c>
      <c r="E5103" s="21">
        <f>IF(D5103="?OLD","!!!","")</f>
        <v/>
      </c>
      <c r="F5103" s="22" t="str">
        <f>IF(OR(E5103="",E5103="!!!"),"",IF(NOT(ISNA(VLOOKUP(E5103,E$1:E5102,1,FALSE()))),"OLD",IF(AND(E5103&lt;&gt;"",E5103&lt;&gt;"!!!"),"NEW","")))</f>
        <v> </v>
      </c>
      <c r="G5103" s="23" t="str">
        <f>IF(OR(E5103="",E5103="!!!"),"",IF(OR(J5103=0,AND(J5103=1,K5103=1),AND(J5103=1,I5103="SBJ"),AND(J5103=1,I5103=0)),"?IN_FOCUS",IF(J5103&lt;=2,"?ACTIVATED",IF(J5103&lt;&gt;"","?FAMILIAR",IF(F5103="NEW",IF(ISNA(VLOOKUP(E5103,#REF!,1,FALSE())),"?TYPE_IDENTIFIABLE","?REFERENTIAL"),"_")))))</f>
        <v> </v>
      </c>
      <c r="H5103" s="24" t="str">
        <f>IF(J5103&lt;&gt;1,"",IF(I5103="SBJ","CB","?"))</f>
        <v> </v>
      </c>
      <c r="I5103" s="25" t="str">
        <f>IF(OR(E5103="",E5103="!!!",F5103="NEW"),"",INDEX(B5102:B$2,-1+SUMPRODUCT(MAX(ROW(E5102:E$2)*(E5103=E5102:E$2)))))</f>
        <v> </v>
      </c>
      <c r="J5103" s="25" t="str">
        <f>IF(OR(E5103="",E5103="!!!",F5103="NEW"),"",COUNTBLANK(OFFSET(A$1,,,SUMPRODUCT(MAX(ROW(E$2:E5103)*(E5103=E$2:E5103)))))-COUNTBLANK(OFFSET(A$1,,,SUMPRODUCT(MAX(ROW(E$1:E5102)*(E2=E$1:E5102))))))</f>
        <v> </v>
      </c>
      <c r="K5103" s="25" t="str">
        <f>IF(OR(E5103="",E5103="!!!",F5103="NEW"),"",INDEX(J$1:J5102,SUMPRODUCT(MAX(ROW(E$1:E5102)*(E5103=E$1:E5102)))))</f>
        <v> </v>
      </c>
      <c r="L5103" s="26"/>
    </row>
    <row r="5104" spans="1:12">
      <c r="A5104" s="20" t="s">
        <v>764</v>
      </c>
      <c r="E5104" s="21">
        <f>IF(D5104="?OLD","!!!","")</f>
        <v/>
      </c>
      <c r="F5104" s="22" t="str">
        <f>IF(OR(E5104="",E5104="!!!"),"",IF(NOT(ISNA(VLOOKUP(E5104,E$1:E5103,1,FALSE()))),"OLD",IF(AND(E5104&lt;&gt;"",E5104&lt;&gt;"!!!"),"NEW","")))</f>
        <v> </v>
      </c>
      <c r="G5104" s="23" t="str">
        <f>IF(OR(E5104="",E5104="!!!"),"",IF(OR(J5104=0,AND(J5104=1,K5104=1),AND(J5104=1,I5104="SBJ"),AND(J5104=1,I5104=0)),"?IN_FOCUS",IF(J5104&lt;=2,"?ACTIVATED",IF(J5104&lt;&gt;"","?FAMILIAR",IF(F5104="NEW",IF(ISNA(VLOOKUP(E5104,#REF!,1,FALSE())),"?TYPE_IDENTIFIABLE","?REFERENTIAL"),"_")))))</f>
        <v> </v>
      </c>
      <c r="H5104" s="24" t="str">
        <f>IF(J5104&lt;&gt;1,"",IF(I5104="SBJ","CB","?"))</f>
        <v> </v>
      </c>
      <c r="I5104" s="25" t="str">
        <f>IF(OR(E5104="",E5104="!!!",F5104="NEW"),"",INDEX(B5103:B$2,-1+SUMPRODUCT(MAX(ROW(E5103:E$2)*(E5104=E5103:E$2)))))</f>
        <v> </v>
      </c>
      <c r="J5104" s="25" t="str">
        <f>IF(OR(E5104="",E5104="!!!",F5104="NEW"),"",COUNTBLANK(OFFSET(A$1,,,SUMPRODUCT(MAX(ROW(E$2:E5104)*(E5104=E$2:E5104)))))-COUNTBLANK(OFFSET(A$1,,,SUMPRODUCT(MAX(ROW(E$1:E5103)*(E2=E$1:E5103))))))</f>
        <v> </v>
      </c>
      <c r="K5104" s="25" t="str">
        <f>IF(OR(E5104="",E5104="!!!",F5104="NEW"),"",INDEX(J$1:J5103,SUMPRODUCT(MAX(ROW(E$1:E5103)*(E5104=E$1:E5103)))))</f>
        <v> </v>
      </c>
      <c r="L5104" s="26"/>
    </row>
    <row r="5105" spans="1:12">
      <c r="A5105" s="20" t="s">
        <v>864</v>
      </c>
      <c r="B5105" s="27" t="s">
        <v>1076</v>
      </c>
      <c r="C5105" s="27" t="s">
        <v>768</v>
      </c>
      <c r="E5105" s="21">
        <f>IF(D5105="?OLD","!!!","")</f>
        <v/>
      </c>
      <c r="F5105" s="22" t="str">
        <f>IF(OR(E5105="",E5105="!!!"),"",IF(NOT(ISNA(VLOOKUP(E5105,E$1:E5104,1,FALSE()))),"OLD",IF(AND(E5105&lt;&gt;"",E5105&lt;&gt;"!!!"),"NEW","")))</f>
        <v> </v>
      </c>
      <c r="G5105" s="23" t="str">
        <f>IF(OR(E5105="",E5105="!!!"),"",IF(OR(J5105=0,AND(J5105=1,K5105=1),AND(J5105=1,I5105="SBJ"),AND(J5105=1,I5105=0)),"?IN_FOCUS",IF(J5105&lt;=2,"?ACTIVATED",IF(J5105&lt;&gt;"","?FAMILIAR",IF(F5105="NEW",IF(ISNA(VLOOKUP(E5105,#REF!,1,FALSE())),"?TYPE_IDENTIFIABLE","?REFERENTIAL"),"_")))))</f>
        <v> </v>
      </c>
      <c r="H5105" s="24" t="str">
        <f>IF(J5105&lt;&gt;1,"",IF(I5105="SBJ","CB","?"))</f>
        <v> </v>
      </c>
      <c r="I5105" s="25" t="str">
        <f>IF(OR(E5105="",E5105="!!!",F5105="NEW"),"",INDEX(B5104:B$2,-1+SUMPRODUCT(MAX(ROW(E5104:E$2)*(E5105=E5104:E$2)))))</f>
        <v> </v>
      </c>
      <c r="J5105" s="25" t="str">
        <f>IF(OR(E5105="",E5105="!!!",F5105="NEW"),"",COUNTBLANK(OFFSET(A$1,,,SUMPRODUCT(MAX(ROW(E$2:E5105)*(E5105=E$2:E5105)))))-COUNTBLANK(OFFSET(A$1,,,SUMPRODUCT(MAX(ROW(E$1:E5104)*(E2=E$1:E5104))))))</f>
        <v> </v>
      </c>
      <c r="K5105" s="25" t="str">
        <f>IF(OR(E5105="",E5105="!!!",F5105="NEW"),"",INDEX(J$1:J5104,SUMPRODUCT(MAX(ROW(E$1:E5104)*(E5105=E$1:E5104)))))</f>
        <v> </v>
      </c>
      <c r="L5105" s="26"/>
    </row>
    <row r="5106" spans="1:12">
      <c r="A5106" s="20" t="s">
        <v>872</v>
      </c>
      <c r="E5106" s="21">
        <f>IF(D5106="?OLD","!!!","")</f>
        <v/>
      </c>
      <c r="F5106" s="22" t="str">
        <f>IF(OR(E5106="",E5106="!!!"),"",IF(NOT(ISNA(VLOOKUP(E5106,E$1:E5105,1,FALSE()))),"OLD",IF(AND(E5106&lt;&gt;"",E5106&lt;&gt;"!!!"),"NEW","")))</f>
        <v> </v>
      </c>
      <c r="G5106" s="23" t="str">
        <f>IF(OR(E5106="",E5106="!!!"),"",IF(OR(J5106=0,AND(J5106=1,K5106=1),AND(J5106=1,I5106="SBJ"),AND(J5106=1,I5106=0)),"?IN_FOCUS",IF(J5106&lt;=2,"?ACTIVATED",IF(J5106&lt;&gt;"","?FAMILIAR",IF(F5106="NEW",IF(ISNA(VLOOKUP(E5106,#REF!,1,FALSE())),"?TYPE_IDENTIFIABLE","?REFERENTIAL"),"_")))))</f>
        <v> </v>
      </c>
      <c r="H5106" s="24" t="str">
        <f>IF(J5106&lt;&gt;1,"",IF(I5106="SBJ","CB","?"))</f>
        <v> </v>
      </c>
      <c r="I5106" s="25" t="str">
        <f>IF(OR(E5106="",E5106="!!!",F5106="NEW"),"",INDEX(B5105:B$2,-1+SUMPRODUCT(MAX(ROW(E5105:E$2)*(E5106=E5105:E$2)))))</f>
        <v> </v>
      </c>
      <c r="J5106" s="25" t="str">
        <f>IF(OR(E5106="",E5106="!!!",F5106="NEW"),"",COUNTBLANK(OFFSET(A$1,,,SUMPRODUCT(MAX(ROW(E$2:E5106)*(E5106=E$2:E5106)))))-COUNTBLANK(OFFSET(A$1,,,SUMPRODUCT(MAX(ROW(E$1:E5105)*(E2=E$1:E5105))))))</f>
        <v> </v>
      </c>
      <c r="K5106" s="25" t="str">
        <f>IF(OR(E5106="",E5106="!!!",F5106="NEW"),"",INDEX(J$1:J5105,SUMPRODUCT(MAX(ROW(E$1:E5105)*(E5106=E$1:E5105)))))</f>
        <v> </v>
      </c>
      <c r="L5106" s="26"/>
    </row>
    <row r="5107" spans="1:12">
      <c r="A5107" s="20" t="s">
        <v>770</v>
      </c>
      <c r="E5107" s="21">
        <f>IF(D5107="?OLD","!!!","")</f>
        <v/>
      </c>
      <c r="F5107" s="22" t="str">
        <f>IF(OR(E5107="",E5107="!!!"),"",IF(NOT(ISNA(VLOOKUP(E5107,E$1:E5106,1,FALSE()))),"OLD",IF(AND(E5107&lt;&gt;"",E5107&lt;&gt;"!!!"),"NEW","")))</f>
        <v> </v>
      </c>
      <c r="G5107" s="23" t="str">
        <f>IF(OR(E5107="",E5107="!!!"),"",IF(OR(J5107=0,AND(J5107=1,K5107=1),AND(J5107=1,I5107="SBJ"),AND(J5107=1,I5107=0)),"?IN_FOCUS",IF(J5107&lt;=2,"?ACTIVATED",IF(J5107&lt;&gt;"","?FAMILIAR",IF(F5107="NEW",IF(ISNA(VLOOKUP(E5107,#REF!,1,FALSE())),"?TYPE_IDENTIFIABLE","?REFERENTIAL"),"_")))))</f>
        <v> </v>
      </c>
      <c r="H5107" s="24" t="str">
        <f>IF(J5107&lt;&gt;1,"",IF(I5107="SBJ","CB","?"))</f>
        <v> </v>
      </c>
      <c r="I5107" s="25" t="str">
        <f>IF(OR(E5107="",E5107="!!!",F5107="NEW"),"",INDEX(B5106:B$2,-1+SUMPRODUCT(MAX(ROW(E5106:E$2)*(E5107=E5106:E$2)))))</f>
        <v> </v>
      </c>
      <c r="J5107" s="25" t="str">
        <f>IF(OR(E5107="",E5107="!!!",F5107="NEW"),"",COUNTBLANK(OFFSET(A$1,,,SUMPRODUCT(MAX(ROW(E$2:E5107)*(E5107=E$2:E5107)))))-COUNTBLANK(OFFSET(A$1,,,SUMPRODUCT(MAX(ROW(E$1:E5106)*(E2=E$1:E5106))))))</f>
        <v> </v>
      </c>
      <c r="K5107" s="25" t="str">
        <f>IF(OR(E5107="",E5107="!!!",F5107="NEW"),"",INDEX(J$1:J5106,SUMPRODUCT(MAX(ROW(E$1:E5106)*(E5107=E$1:E5106)))))</f>
        <v> </v>
      </c>
      <c r="L5107" s="26"/>
    </row>
    <row r="5108" spans="1:12">
      <c r="A5108" s="20" t="s">
        <v>1818</v>
      </c>
      <c r="B5108" s="27" t="s">
        <v>815</v>
      </c>
      <c r="C5108" s="27" t="s">
        <v>761</v>
      </c>
      <c r="D5108" s="27" t="s">
        <v>762</v>
      </c>
      <c r="E5108" s="21">
        <f>IF(D5108="?OLD","!!!","")</f>
        <v/>
      </c>
      <c r="F5108" s="22" t="str">
        <f>IF(OR(E5108="",E5108="!!!"),"",IF(NOT(ISNA(VLOOKUP(E5108,E$1:E5107,1,FALSE()))),"OLD",IF(AND(E5108&lt;&gt;"",E5108&lt;&gt;"!!!"),"NEW","")))</f>
        <v> </v>
      </c>
      <c r="G5108" s="23" t="str">
        <f>IF(OR(E5108="",E5108="!!!"),"",IF(OR(J5108=0,AND(J5108=1,K5108=1),AND(J5108=1,I5108="SBJ"),AND(J5108=1,I5108=0)),"?IN_FOCUS",IF(J5108&lt;=2,"?ACTIVATED",IF(J5108&lt;&gt;"","?FAMILIAR",IF(F5108="NEW",IF(ISNA(VLOOKUP(E5108,#REF!,1,FALSE())),"?TYPE_IDENTIFIABLE","?REFERENTIAL"),"_")))))</f>
        <v> </v>
      </c>
      <c r="H5108" s="24" t="str">
        <f>IF(J5108&lt;&gt;1,"",IF(I5108="SBJ","CB","?"))</f>
        <v> </v>
      </c>
      <c r="I5108" s="25" t="str">
        <f>IF(OR(E5108="",E5108="!!!",F5108="NEW"),"",INDEX(B5107:B$2,-1+SUMPRODUCT(MAX(ROW(E5107:E$2)*(E5108=E5107:E$2)))))</f>
        <v> </v>
      </c>
      <c r="J5108" s="25" t="str">
        <f>IF(OR(E5108="",E5108="!!!",F5108="NEW"),"",COUNTBLANK(OFFSET(A$1,,,SUMPRODUCT(MAX(ROW(E$2:E5108)*(E5108=E$2:E5108)))))-COUNTBLANK(OFFSET(A$1,,,SUMPRODUCT(MAX(ROW(E$1:E5107)*(E2=E$1:E5107))))))</f>
        <v> </v>
      </c>
      <c r="K5108" s="25" t="str">
        <f>IF(OR(E5108="",E5108="!!!",F5108="NEW"),"",INDEX(J$1:J5107,SUMPRODUCT(MAX(ROW(E$1:E5107)*(E5108=E$1:E5107)))))</f>
        <v> </v>
      </c>
      <c r="L5108" s="26"/>
    </row>
    <row r="5109" spans="1:12">
      <c r="A5109" s="20" t="s">
        <v>757</v>
      </c>
      <c r="E5109" s="21">
        <f>IF(D5109="?OLD","!!!","")</f>
        <v/>
      </c>
      <c r="F5109" s="22" t="str">
        <f>IF(OR(E5109="",E5109="!!!"),"",IF(NOT(ISNA(VLOOKUP(E5109,E$1:E5108,1,FALSE()))),"OLD",IF(AND(E5109&lt;&gt;"",E5109&lt;&gt;"!!!"),"NEW","")))</f>
        <v> </v>
      </c>
      <c r="G5109" s="23" t="str">
        <f>IF(OR(E5109="",E5109="!!!"),"",IF(OR(J5109=0,AND(J5109=1,K5109=1),AND(J5109=1,I5109="SBJ"),AND(J5109=1,I5109=0)),"?IN_FOCUS",IF(J5109&lt;=2,"?ACTIVATED",IF(J5109&lt;&gt;"","?FAMILIAR",IF(F5109="NEW",IF(ISNA(VLOOKUP(E5109,#REF!,1,FALSE())),"?TYPE_IDENTIFIABLE","?REFERENTIAL"),"_")))))</f>
        <v> </v>
      </c>
      <c r="H5109" s="24" t="str">
        <f>IF(J5109&lt;&gt;1,"",IF(I5109="SBJ","CB","?"))</f>
        <v> </v>
      </c>
      <c r="I5109" s="25" t="str">
        <f>IF(OR(E5109="",E5109="!!!",F5109="NEW"),"",INDEX(B5108:B$2,-1+SUMPRODUCT(MAX(ROW(E5108:E$2)*(E5109=E5108:E$2)))))</f>
        <v> </v>
      </c>
      <c r="J5109" s="25" t="str">
        <f>IF(OR(E5109="",E5109="!!!",F5109="NEW"),"",COUNTBLANK(OFFSET(A$1,,,SUMPRODUCT(MAX(ROW(E$2:E5109)*(E5109=E$2:E5109)))))-COUNTBLANK(OFFSET(A$1,,,SUMPRODUCT(MAX(ROW(E$1:E5108)*(E2=E$1:E5108))))))</f>
        <v> </v>
      </c>
      <c r="K5109" s="25" t="str">
        <f>IF(OR(E5109="",E5109="!!!",F5109="NEW"),"",INDEX(J$1:J5108,SUMPRODUCT(MAX(ROW(E$1:E5108)*(E5109=E$1:E5108)))))</f>
        <v> </v>
      </c>
      <c r="L5109" s="26"/>
    </row>
    <row r="5110" spans="1:12">
      <c r="A5110" s="20" t="s">
        <v>827</v>
      </c>
      <c r="B5110" s="27" t="s">
        <v>760</v>
      </c>
      <c r="C5110" s="27" t="s">
        <v>797</v>
      </c>
      <c r="D5110" s="27" t="s">
        <v>762</v>
      </c>
      <c r="E5110" s="21">
        <f>IF(D5110="?OLD","!!!","")</f>
        <v/>
      </c>
      <c r="F5110" s="22" t="str">
        <f>IF(OR(E5110="",E5110="!!!"),"",IF(NOT(ISNA(VLOOKUP(E5110,E$1:E5109,1,FALSE()))),"OLD",IF(AND(E5110&lt;&gt;"",E5110&lt;&gt;"!!!"),"NEW","")))</f>
        <v> </v>
      </c>
      <c r="G5110" s="23" t="str">
        <f>IF(OR(E5110="",E5110="!!!"),"",IF(OR(J5110=0,AND(J5110=1,K5110=1),AND(J5110=1,I5110="SBJ"),AND(J5110=1,I5110=0)),"?IN_FOCUS",IF(J5110&lt;=2,"?ACTIVATED",IF(J5110&lt;&gt;"","?FAMILIAR",IF(F5110="NEW",IF(ISNA(VLOOKUP(E5110,#REF!,1,FALSE())),"?TYPE_IDENTIFIABLE","?REFERENTIAL"),"_")))))</f>
        <v> </v>
      </c>
      <c r="H5110" s="24" t="str">
        <f>IF(J5110&lt;&gt;1,"",IF(I5110="SBJ","CB","?"))</f>
        <v> </v>
      </c>
      <c r="I5110" s="25" t="str">
        <f>IF(OR(E5110="",E5110="!!!",F5110="NEW"),"",INDEX(B5109:B$2,-1+SUMPRODUCT(MAX(ROW(E5109:E$2)*(E5110=E5109:E$2)))))</f>
        <v> </v>
      </c>
      <c r="J5110" s="25" t="str">
        <f>IF(OR(E5110="",E5110="!!!",F5110="NEW"),"",COUNTBLANK(OFFSET(A$1,,,SUMPRODUCT(MAX(ROW(E$2:E5110)*(E5110=E$2:E5110)))))-COUNTBLANK(OFFSET(A$1,,,SUMPRODUCT(MAX(ROW(E$1:E5109)*(E2=E$1:E5109))))))</f>
        <v> </v>
      </c>
      <c r="K5110" s="25" t="str">
        <f>IF(OR(E5110="",E5110="!!!",F5110="NEW"),"",INDEX(J$1:J5109,SUMPRODUCT(MAX(ROW(E$1:E5109)*(E5110=E$1:E5109)))))</f>
        <v> </v>
      </c>
      <c r="L5110" s="26"/>
    </row>
    <row r="5111" spans="1:12">
      <c r="A5111" s="20" t="s">
        <v>909</v>
      </c>
      <c r="E5111" s="21">
        <f>IF(D5111="?OLD","!!!","")</f>
        <v/>
      </c>
      <c r="F5111" s="22" t="str">
        <f>IF(OR(E5111="",E5111="!!!"),"",IF(NOT(ISNA(VLOOKUP(E5111,E$1:E5110,1,FALSE()))),"OLD",IF(AND(E5111&lt;&gt;"",E5111&lt;&gt;"!!!"),"NEW","")))</f>
        <v> </v>
      </c>
      <c r="G5111" s="23" t="str">
        <f>IF(OR(E5111="",E5111="!!!"),"",IF(OR(J5111=0,AND(J5111=1,K5111=1),AND(J5111=1,I5111="SBJ"),AND(J5111=1,I5111=0)),"?IN_FOCUS",IF(J5111&lt;=2,"?ACTIVATED",IF(J5111&lt;&gt;"","?FAMILIAR",IF(F5111="NEW",IF(ISNA(VLOOKUP(E5111,#REF!,1,FALSE())),"?TYPE_IDENTIFIABLE","?REFERENTIAL"),"_")))))</f>
        <v> </v>
      </c>
      <c r="H5111" s="24" t="str">
        <f>IF(J5111&lt;&gt;1,"",IF(I5111="SBJ","CB","?"))</f>
        <v> </v>
      </c>
      <c r="I5111" s="25" t="str">
        <f>IF(OR(E5111="",E5111="!!!",F5111="NEW"),"",INDEX(B5110:B$2,-1+SUMPRODUCT(MAX(ROW(E5110:E$2)*(E5111=E5110:E$2)))))</f>
        <v> </v>
      </c>
      <c r="J5111" s="25" t="str">
        <f>IF(OR(E5111="",E5111="!!!",F5111="NEW"),"",COUNTBLANK(OFFSET(A$1,,,SUMPRODUCT(MAX(ROW(E$2:E5111)*(E5111=E$2:E5111)))))-COUNTBLANK(OFFSET(A$1,,,SUMPRODUCT(MAX(ROW(E$1:E5110)*(E2=E$1:E5110))))))</f>
        <v> </v>
      </c>
      <c r="K5111" s="25" t="str">
        <f>IF(OR(E5111="",E5111="!!!",F5111="NEW"),"",INDEX(J$1:J5110,SUMPRODUCT(MAX(ROW(E$1:E5110)*(E5111=E$1:E5110)))))</f>
        <v> </v>
      </c>
      <c r="L5111" s="26"/>
    </row>
    <row r="5112" spans="1:12">
      <c r="A5112" s="20" t="s">
        <v>1931</v>
      </c>
      <c r="E5112" s="21">
        <f>IF(D5112="?OLD","!!!","")</f>
        <v/>
      </c>
      <c r="F5112" s="22" t="str">
        <f>IF(OR(E5112="",E5112="!!!"),"",IF(NOT(ISNA(VLOOKUP(E5112,E$1:E5111,1,FALSE()))),"OLD",IF(AND(E5112&lt;&gt;"",E5112&lt;&gt;"!!!"),"NEW","")))</f>
        <v> </v>
      </c>
      <c r="G5112" s="23" t="str">
        <f>IF(OR(E5112="",E5112="!!!"),"",IF(OR(J5112=0,AND(J5112=1,K5112=1),AND(J5112=1,I5112="SBJ"),AND(J5112=1,I5112=0)),"?IN_FOCUS",IF(J5112&lt;=2,"?ACTIVATED",IF(J5112&lt;&gt;"","?FAMILIAR",IF(F5112="NEW",IF(ISNA(VLOOKUP(E5112,#REF!,1,FALSE())),"?TYPE_IDENTIFIABLE","?REFERENTIAL"),"_")))))</f>
        <v> </v>
      </c>
      <c r="H5112" s="24" t="str">
        <f>IF(J5112&lt;&gt;1,"",IF(I5112="SBJ","CB","?"))</f>
        <v> </v>
      </c>
      <c r="I5112" s="25" t="str">
        <f>IF(OR(E5112="",E5112="!!!",F5112="NEW"),"",INDEX(B5111:B$2,-1+SUMPRODUCT(MAX(ROW(E5111:E$2)*(E5112=E5111:E$2)))))</f>
        <v> </v>
      </c>
      <c r="J5112" s="25" t="str">
        <f>IF(OR(E5112="",E5112="!!!",F5112="NEW"),"",COUNTBLANK(OFFSET(A$1,,,SUMPRODUCT(MAX(ROW(E$2:E5112)*(E5112=E$2:E5112)))))-COUNTBLANK(OFFSET(A$1,,,SUMPRODUCT(MAX(ROW(E$1:E5111)*(E2=E$1:E5111))))))</f>
        <v> </v>
      </c>
      <c r="K5112" s="25" t="str">
        <f>IF(OR(E5112="",E5112="!!!",F5112="NEW"),"",INDEX(J$1:J5111,SUMPRODUCT(MAX(ROW(E$1:E5111)*(E5112=E$1:E5111)))))</f>
        <v> </v>
      </c>
      <c r="L5112" s="26"/>
    </row>
    <row r="5113" spans="1:12">
      <c r="A5113" s="20" t="s">
        <v>954</v>
      </c>
      <c r="E5113" s="21">
        <f>IF(D5113="?OLD","!!!","")</f>
        <v/>
      </c>
      <c r="F5113" s="22" t="str">
        <f>IF(OR(E5113="",E5113="!!!"),"",IF(NOT(ISNA(VLOOKUP(E5113,E$1:E5112,1,FALSE()))),"OLD",IF(AND(E5113&lt;&gt;"",E5113&lt;&gt;"!!!"),"NEW","")))</f>
        <v> </v>
      </c>
      <c r="G5113" s="23" t="str">
        <f>IF(OR(E5113="",E5113="!!!"),"",IF(OR(J5113=0,AND(J5113=1,K5113=1),AND(J5113=1,I5113="SBJ"),AND(J5113=1,I5113=0)),"?IN_FOCUS",IF(J5113&lt;=2,"?ACTIVATED",IF(J5113&lt;&gt;"","?FAMILIAR",IF(F5113="NEW",IF(ISNA(VLOOKUP(E5113,#REF!,1,FALSE())),"?TYPE_IDENTIFIABLE","?REFERENTIAL"),"_")))))</f>
        <v> </v>
      </c>
      <c r="H5113" s="24" t="str">
        <f>IF(J5113&lt;&gt;1,"",IF(I5113="SBJ","CB","?"))</f>
        <v> </v>
      </c>
      <c r="I5113" s="25" t="str">
        <f>IF(OR(E5113="",E5113="!!!",F5113="NEW"),"",INDEX(B5112:B$2,-1+SUMPRODUCT(MAX(ROW(E5112:E$2)*(E5113=E5112:E$2)))))</f>
        <v> </v>
      </c>
      <c r="J5113" s="25" t="str">
        <f>IF(OR(E5113="",E5113="!!!",F5113="NEW"),"",COUNTBLANK(OFFSET(A$1,,,SUMPRODUCT(MAX(ROW(E$2:E5113)*(E5113=E$2:E5113)))))-COUNTBLANK(OFFSET(A$1,,,SUMPRODUCT(MAX(ROW(E$1:E5112)*(E2=E$1:E5112))))))</f>
        <v> </v>
      </c>
      <c r="K5113" s="25" t="str">
        <f>IF(OR(E5113="",E5113="!!!",F5113="NEW"),"",INDEX(J$1:J5112,SUMPRODUCT(MAX(ROW(E$1:E5112)*(E5113=E$1:E5112)))))</f>
        <v> </v>
      </c>
      <c r="L5113" s="26"/>
    </row>
    <row r="5114" spans="1:12">
      <c r="A5114" s="20" t="s">
        <v>1381</v>
      </c>
      <c r="B5114" s="27" t="s">
        <v>767</v>
      </c>
      <c r="C5114" s="27" t="s">
        <v>1019</v>
      </c>
      <c r="D5114" s="27" t="s">
        <v>762</v>
      </c>
      <c r="E5114" s="21">
        <f>IF(D5114="?OLD","!!!","")</f>
        <v/>
      </c>
      <c r="F5114" s="22" t="str">
        <f>IF(OR(E5114="",E5114="!!!"),"",IF(NOT(ISNA(VLOOKUP(E5114,E$1:E5113,1,FALSE()))),"OLD",IF(AND(E5114&lt;&gt;"",E5114&lt;&gt;"!!!"),"NEW","")))</f>
        <v> </v>
      </c>
      <c r="G5114" s="23" t="str">
        <f>IF(OR(E5114="",E5114="!!!"),"",IF(OR(J5114=0,AND(J5114=1,K5114=1),AND(J5114=1,I5114="SBJ"),AND(J5114=1,I5114=0)),"?IN_FOCUS",IF(J5114&lt;=2,"?ACTIVATED",IF(J5114&lt;&gt;"","?FAMILIAR",IF(F5114="NEW",IF(ISNA(VLOOKUP(E5114,#REF!,1,FALSE())),"?TYPE_IDENTIFIABLE","?REFERENTIAL"),"_")))))</f>
        <v> </v>
      </c>
      <c r="H5114" s="24" t="str">
        <f>IF(J5114&lt;&gt;1,"",IF(I5114="SBJ","CB","?"))</f>
        <v> </v>
      </c>
      <c r="I5114" s="25" t="str">
        <f>IF(OR(E5114="",E5114="!!!",F5114="NEW"),"",INDEX(B5113:B$2,-1+SUMPRODUCT(MAX(ROW(E5113:E$2)*(E5114=E5113:E$2)))))</f>
        <v> </v>
      </c>
      <c r="J5114" s="25" t="str">
        <f>IF(OR(E5114="",E5114="!!!",F5114="NEW"),"",COUNTBLANK(OFFSET(A$1,,,SUMPRODUCT(MAX(ROW(E$2:E5114)*(E5114=E$2:E5114)))))-COUNTBLANK(OFFSET(A$1,,,SUMPRODUCT(MAX(ROW(E$1:E5113)*(E2=E$1:E5113))))))</f>
        <v> </v>
      </c>
      <c r="K5114" s="25" t="str">
        <f>IF(OR(E5114="",E5114="!!!",F5114="NEW"),"",INDEX(J$1:J5113,SUMPRODUCT(MAX(ROW(E$1:E5113)*(E5114=E$1:E5113)))))</f>
        <v> </v>
      </c>
      <c r="L5114" s="26"/>
    </row>
    <row r="5115" spans="1:12">
      <c r="A5115" s="20" t="s">
        <v>2093</v>
      </c>
      <c r="E5115" s="21">
        <f>IF(D5115="?OLD","!!!","")</f>
        <v/>
      </c>
      <c r="F5115" s="22" t="str">
        <f>IF(OR(E5115="",E5115="!!!"),"",IF(NOT(ISNA(VLOOKUP(E5115,E$1:E5114,1,FALSE()))),"OLD",IF(AND(E5115&lt;&gt;"",E5115&lt;&gt;"!!!"),"NEW","")))</f>
        <v> </v>
      </c>
      <c r="G5115" s="23" t="str">
        <f>IF(OR(E5115="",E5115="!!!"),"",IF(OR(J5115=0,AND(J5115=1,K5115=1),AND(J5115=1,I5115="SBJ"),AND(J5115=1,I5115=0)),"?IN_FOCUS",IF(J5115&lt;=2,"?ACTIVATED",IF(J5115&lt;&gt;"","?FAMILIAR",IF(F5115="NEW",IF(ISNA(VLOOKUP(E5115,#REF!,1,FALSE())),"?TYPE_IDENTIFIABLE","?REFERENTIAL"),"_")))))</f>
        <v> </v>
      </c>
      <c r="H5115" s="24" t="str">
        <f>IF(J5115&lt;&gt;1,"",IF(I5115="SBJ","CB","?"))</f>
        <v> </v>
      </c>
      <c r="I5115" s="25" t="str">
        <f>IF(OR(E5115="",E5115="!!!",F5115="NEW"),"",INDEX(B5114:B$2,-1+SUMPRODUCT(MAX(ROW(E5114:E$2)*(E5115=E5114:E$2)))))</f>
        <v> </v>
      </c>
      <c r="J5115" s="25" t="str">
        <f>IF(OR(E5115="",E5115="!!!",F5115="NEW"),"",COUNTBLANK(OFFSET(A$1,,,SUMPRODUCT(MAX(ROW(E$2:E5115)*(E5115=E$2:E5115)))))-COUNTBLANK(OFFSET(A$1,,,SUMPRODUCT(MAX(ROW(E$1:E5114)*(E2=E$1:E5114))))))</f>
        <v> </v>
      </c>
      <c r="K5115" s="25" t="str">
        <f>IF(OR(E5115="",E5115="!!!",F5115="NEW"),"",INDEX(J$1:J5114,SUMPRODUCT(MAX(ROW(E$1:E5114)*(E5115=E$1:E5114)))))</f>
        <v> </v>
      </c>
      <c r="L5115" s="26"/>
    </row>
    <row r="5116" spans="1:12">
      <c r="A5116" s="20" t="s">
        <v>793</v>
      </c>
      <c r="E5116" s="21">
        <f>IF(D5116="?OLD","!!!","")</f>
        <v/>
      </c>
      <c r="F5116" s="22" t="str">
        <f>IF(OR(E5116="",E5116="!!!"),"",IF(NOT(ISNA(VLOOKUP(E5116,E$1:E5115,1,FALSE()))),"OLD",IF(AND(E5116&lt;&gt;"",E5116&lt;&gt;"!!!"),"NEW","")))</f>
        <v> </v>
      </c>
      <c r="G5116" s="23" t="str">
        <f>IF(OR(E5116="",E5116="!!!"),"",IF(OR(J5116=0,AND(J5116=1,K5116=1),AND(J5116=1,I5116="SBJ"),AND(J5116=1,I5116=0)),"?IN_FOCUS",IF(J5116&lt;=2,"?ACTIVATED",IF(J5116&lt;&gt;"","?FAMILIAR",IF(F5116="NEW",IF(ISNA(VLOOKUP(E5116,#REF!,1,FALSE())),"?TYPE_IDENTIFIABLE","?REFERENTIAL"),"_")))))</f>
        <v> </v>
      </c>
      <c r="H5116" s="24" t="str">
        <f>IF(J5116&lt;&gt;1,"",IF(I5116="SBJ","CB","?"))</f>
        <v> </v>
      </c>
      <c r="I5116" s="25" t="str">
        <f>IF(OR(E5116="",E5116="!!!",F5116="NEW"),"",INDEX(B5115:B$2,-1+SUMPRODUCT(MAX(ROW(E5115:E$2)*(E5116=E5115:E$2)))))</f>
        <v> </v>
      </c>
      <c r="J5116" s="25" t="str">
        <f>IF(OR(E5116="",E5116="!!!",F5116="NEW"),"",COUNTBLANK(OFFSET(A$1,,,SUMPRODUCT(MAX(ROW(E$2:E5116)*(E5116=E$2:E5116)))))-COUNTBLANK(OFFSET(A$1,,,SUMPRODUCT(MAX(ROW(E$1:E5115)*(E2=E$1:E5115))))))</f>
        <v> </v>
      </c>
      <c r="K5116" s="25" t="str">
        <f>IF(OR(E5116="",E5116="!!!",F5116="NEW"),"",INDEX(J$1:J5115,SUMPRODUCT(MAX(ROW(E$1:E5115)*(E5116=E$1:E5115)))))</f>
        <v> </v>
      </c>
      <c r="L5116" s="26"/>
    </row>
    <row r="5117" spans="1:12">
      <c r="A5117" s="20" t="s">
        <v>998</v>
      </c>
      <c r="B5117" s="27" t="s">
        <v>879</v>
      </c>
      <c r="C5117" s="27" t="s">
        <v>851</v>
      </c>
      <c r="D5117" s="27" t="s">
        <v>762</v>
      </c>
      <c r="E5117" s="21">
        <f>IF(D5117="?OLD","!!!","")</f>
        <v/>
      </c>
      <c r="F5117" s="22" t="str">
        <f>IF(OR(E5117="",E5117="!!!"),"",IF(NOT(ISNA(VLOOKUP(E5117,E$1:E5116,1,FALSE()))),"OLD",IF(AND(E5117&lt;&gt;"",E5117&lt;&gt;"!!!"),"NEW","")))</f>
        <v> </v>
      </c>
      <c r="G5117" s="23" t="str">
        <f>IF(OR(E5117="",E5117="!!!"),"",IF(OR(J5117=0,AND(J5117=1,K5117=1),AND(J5117=1,I5117="SBJ"),AND(J5117=1,I5117=0)),"?IN_FOCUS",IF(J5117&lt;=2,"?ACTIVATED",IF(J5117&lt;&gt;"","?FAMILIAR",IF(F5117="NEW",IF(ISNA(VLOOKUP(E5117,#REF!,1,FALSE())),"?TYPE_IDENTIFIABLE","?REFERENTIAL"),"_")))))</f>
        <v> </v>
      </c>
      <c r="H5117" s="24" t="str">
        <f>IF(J5117&lt;&gt;1,"",IF(I5117="SBJ","CB","?"))</f>
        <v> </v>
      </c>
      <c r="I5117" s="25" t="str">
        <f>IF(OR(E5117="",E5117="!!!",F5117="NEW"),"",INDEX(B5116:B$2,-1+SUMPRODUCT(MAX(ROW(E5116:E$2)*(E5117=E5116:E$2)))))</f>
        <v> </v>
      </c>
      <c r="J5117" s="25" t="str">
        <f>IF(OR(E5117="",E5117="!!!",F5117="NEW"),"",COUNTBLANK(OFFSET(A$1,,,SUMPRODUCT(MAX(ROW(E$2:E5117)*(E5117=E$2:E5117)))))-COUNTBLANK(OFFSET(A$1,,,SUMPRODUCT(MAX(ROW(E$1:E5116)*(E2=E$1:E5116))))))</f>
        <v> </v>
      </c>
      <c r="K5117" s="25" t="str">
        <f>IF(OR(E5117="",E5117="!!!",F5117="NEW"),"",INDEX(J$1:J5116,SUMPRODUCT(MAX(ROW(E$1:E5116)*(E5117=E$1:E5116)))))</f>
        <v> </v>
      </c>
      <c r="L5117" s="26"/>
    </row>
    <row r="5118" spans="1:12">
      <c r="A5118" s="20" t="s">
        <v>2094</v>
      </c>
      <c r="B5118" s="27" t="s">
        <v>796</v>
      </c>
      <c r="C5118" s="27" t="s">
        <v>837</v>
      </c>
      <c r="D5118" s="27" t="s">
        <v>762</v>
      </c>
      <c r="E5118" s="21">
        <f>IF(D5118="?OLD","!!!","")</f>
        <v/>
      </c>
      <c r="F5118" s="22" t="str">
        <f>IF(OR(E5118="",E5118="!!!"),"",IF(NOT(ISNA(VLOOKUP(E5118,E$1:E5117,1,FALSE()))),"OLD",IF(AND(E5118&lt;&gt;"",E5118&lt;&gt;"!!!"),"NEW","")))</f>
        <v> </v>
      </c>
      <c r="G5118" s="23" t="str">
        <f>IF(OR(E5118="",E5118="!!!"),"",IF(OR(J5118=0,AND(J5118=1,K5118=1),AND(J5118=1,I5118="SBJ"),AND(J5118=1,I5118=0)),"?IN_FOCUS",IF(J5118&lt;=2,"?ACTIVATED",IF(J5118&lt;&gt;"","?FAMILIAR",IF(F5118="NEW",IF(ISNA(VLOOKUP(E5118,#REF!,1,FALSE())),"?TYPE_IDENTIFIABLE","?REFERENTIAL"),"_")))))</f>
        <v> </v>
      </c>
      <c r="H5118" s="24" t="str">
        <f>IF(J5118&lt;&gt;1,"",IF(I5118="SBJ","CB","?"))</f>
        <v> </v>
      </c>
      <c r="I5118" s="25" t="str">
        <f>IF(OR(E5118="",E5118="!!!",F5118="NEW"),"",INDEX(B5117:B$2,-1+SUMPRODUCT(MAX(ROW(E5117:E$2)*(E5118=E5117:E$2)))))</f>
        <v> </v>
      </c>
      <c r="J5118" s="25" t="str">
        <f>IF(OR(E5118="",E5118="!!!",F5118="NEW"),"",COUNTBLANK(OFFSET(A$1,,,SUMPRODUCT(MAX(ROW(E$2:E5118)*(E5118=E$2:E5118)))))-COUNTBLANK(OFFSET(A$1,,,SUMPRODUCT(MAX(ROW(E$1:E5117)*(E2=E$1:E5117))))))</f>
        <v> </v>
      </c>
      <c r="K5118" s="25" t="str">
        <f>IF(OR(E5118="",E5118="!!!",F5118="NEW"),"",INDEX(J$1:J5117,SUMPRODUCT(MAX(ROW(E$1:E5117)*(E5118=E$1:E5117)))))</f>
        <v> </v>
      </c>
      <c r="L5118" s="26"/>
    </row>
    <row r="5119" spans="1:12">
      <c r="A5119" s="20" t="s">
        <v>903</v>
      </c>
      <c r="B5119" s="27" t="s">
        <v>802</v>
      </c>
      <c r="C5119" s="27" t="s">
        <v>797</v>
      </c>
      <c r="D5119" s="27" t="s">
        <v>762</v>
      </c>
      <c r="E5119" s="21">
        <f>IF(D5119="?OLD","!!!","")</f>
        <v/>
      </c>
      <c r="F5119" s="22" t="str">
        <f>IF(OR(E5119="",E5119="!!!"),"",IF(NOT(ISNA(VLOOKUP(E5119,E$1:E5118,1,FALSE()))),"OLD",IF(AND(E5119&lt;&gt;"",E5119&lt;&gt;"!!!"),"NEW","")))</f>
        <v> </v>
      </c>
      <c r="G5119" s="23" t="str">
        <f>IF(OR(E5119="",E5119="!!!"),"",IF(OR(J5119=0,AND(J5119=1,K5119=1),AND(J5119=1,I5119="SBJ"),AND(J5119=1,I5119=0)),"?IN_FOCUS",IF(J5119&lt;=2,"?ACTIVATED",IF(J5119&lt;&gt;"","?FAMILIAR",IF(F5119="NEW",IF(ISNA(VLOOKUP(E5119,#REF!,1,FALSE())),"?TYPE_IDENTIFIABLE","?REFERENTIAL"),"_")))))</f>
        <v> </v>
      </c>
      <c r="H5119" s="24" t="str">
        <f>IF(J5119&lt;&gt;1,"",IF(I5119="SBJ","CB","?"))</f>
        <v> </v>
      </c>
      <c r="I5119" s="25" t="str">
        <f>IF(OR(E5119="",E5119="!!!",F5119="NEW"),"",INDEX(B5118:B$2,-1+SUMPRODUCT(MAX(ROW(E5118:E$2)*(E5119=E5118:E$2)))))</f>
        <v> </v>
      </c>
      <c r="J5119" s="25" t="str">
        <f>IF(OR(E5119="",E5119="!!!",F5119="NEW"),"",COUNTBLANK(OFFSET(A$1,,,SUMPRODUCT(MAX(ROW(E$2:E5119)*(E5119=E$2:E5119)))))-COUNTBLANK(OFFSET(A$1,,,SUMPRODUCT(MAX(ROW(E$1:E5118)*(E2=E$1:E5118))))))</f>
        <v> </v>
      </c>
      <c r="K5119" s="25" t="str">
        <f>IF(OR(E5119="",E5119="!!!",F5119="NEW"),"",INDEX(J$1:J5118,SUMPRODUCT(MAX(ROW(E$1:E5118)*(E5119=E$1:E5118)))))</f>
        <v> </v>
      </c>
      <c r="L5119" s="26"/>
    </row>
    <row r="5120" spans="1:12">
      <c r="A5120" s="20" t="s">
        <v>1025</v>
      </c>
      <c r="E5120" s="21">
        <f>IF(D5120="?OLD","!!!","")</f>
        <v/>
      </c>
      <c r="F5120" s="22" t="str">
        <f>IF(OR(E5120="",E5120="!!!"),"",IF(NOT(ISNA(VLOOKUP(E5120,E$1:E5119,1,FALSE()))),"OLD",IF(AND(E5120&lt;&gt;"",E5120&lt;&gt;"!!!"),"NEW","")))</f>
        <v> </v>
      </c>
      <c r="G5120" s="23" t="str">
        <f>IF(OR(E5120="",E5120="!!!"),"",IF(OR(J5120=0,AND(J5120=1,K5120=1),AND(J5120=1,I5120="SBJ"),AND(J5120=1,I5120=0)),"?IN_FOCUS",IF(J5120&lt;=2,"?ACTIVATED",IF(J5120&lt;&gt;"","?FAMILIAR",IF(F5120="NEW",IF(ISNA(VLOOKUP(E5120,#REF!,1,FALSE())),"?TYPE_IDENTIFIABLE","?REFERENTIAL"),"_")))))</f>
        <v> </v>
      </c>
      <c r="H5120" s="24" t="str">
        <f>IF(J5120&lt;&gt;1,"",IF(I5120="SBJ","CB","?"))</f>
        <v> </v>
      </c>
      <c r="I5120" s="25" t="str">
        <f>IF(OR(E5120="",E5120="!!!",F5120="NEW"),"",INDEX(B5119:B$2,-1+SUMPRODUCT(MAX(ROW(E5119:E$2)*(E5120=E5119:E$2)))))</f>
        <v> </v>
      </c>
      <c r="J5120" s="25" t="str">
        <f>IF(OR(E5120="",E5120="!!!",F5120="NEW"),"",COUNTBLANK(OFFSET(A$1,,,SUMPRODUCT(MAX(ROW(E$2:E5120)*(E5120=E$2:E5120)))))-COUNTBLANK(OFFSET(A$1,,,SUMPRODUCT(MAX(ROW(E$1:E5119)*(E2=E$1:E5119))))))</f>
        <v> </v>
      </c>
      <c r="K5120" s="25" t="str">
        <f>IF(OR(E5120="",E5120="!!!",F5120="NEW"),"",INDEX(J$1:J5119,SUMPRODUCT(MAX(ROW(E$1:E5119)*(E5120=E$1:E5119)))))</f>
        <v> </v>
      </c>
      <c r="L5120" s="26"/>
    </row>
    <row r="5121" spans="1:12">
      <c r="A5121" s="20" t="s">
        <v>2095</v>
      </c>
      <c r="E5121" s="21">
        <f>IF(D5121="?OLD","!!!","")</f>
        <v/>
      </c>
      <c r="F5121" s="22" t="str">
        <f>IF(OR(E5121="",E5121="!!!"),"",IF(NOT(ISNA(VLOOKUP(E5121,E$1:E5120,1,FALSE()))),"OLD",IF(AND(E5121&lt;&gt;"",E5121&lt;&gt;"!!!"),"NEW","")))</f>
        <v> </v>
      </c>
      <c r="G5121" s="23" t="str">
        <f>IF(OR(E5121="",E5121="!!!"),"",IF(OR(J5121=0,AND(J5121=1,K5121=1),AND(J5121=1,I5121="SBJ"),AND(J5121=1,I5121=0)),"?IN_FOCUS",IF(J5121&lt;=2,"?ACTIVATED",IF(J5121&lt;&gt;"","?FAMILIAR",IF(F5121="NEW",IF(ISNA(VLOOKUP(E5121,#REF!,1,FALSE())),"?TYPE_IDENTIFIABLE","?REFERENTIAL"),"_")))))</f>
        <v> </v>
      </c>
      <c r="H5121" s="24" t="str">
        <f>IF(J5121&lt;&gt;1,"",IF(I5121="SBJ","CB","?"))</f>
        <v> </v>
      </c>
      <c r="I5121" s="25" t="str">
        <f>IF(OR(E5121="",E5121="!!!",F5121="NEW"),"",INDEX(B5120:B$2,-1+SUMPRODUCT(MAX(ROW(E5120:E$2)*(E5121=E5120:E$2)))))</f>
        <v> </v>
      </c>
      <c r="J5121" s="25" t="str">
        <f>IF(OR(E5121="",E5121="!!!",F5121="NEW"),"",COUNTBLANK(OFFSET(A$1,,,SUMPRODUCT(MAX(ROW(E$2:E5121)*(E5121=E$2:E5121)))))-COUNTBLANK(OFFSET(A$1,,,SUMPRODUCT(MAX(ROW(E$1:E5120)*(E2=E$1:E5120))))))</f>
        <v> </v>
      </c>
      <c r="K5121" s="25" t="str">
        <f>IF(OR(E5121="",E5121="!!!",F5121="NEW"),"",INDEX(J$1:J5120,SUMPRODUCT(MAX(ROW(E$1:E5120)*(E5121=E$1:E5120)))))</f>
        <v> </v>
      </c>
      <c r="L5121" s="26"/>
    </row>
    <row r="5122" spans="1:12">
      <c r="A5122" s="20" t="s">
        <v>764</v>
      </c>
      <c r="E5122" s="21">
        <f>IF(D5122="?OLD","!!!","")</f>
        <v/>
      </c>
      <c r="F5122" s="22" t="str">
        <f>IF(OR(E5122="",E5122="!!!"),"",IF(NOT(ISNA(VLOOKUP(E5122,E$1:E5121,1,FALSE()))),"OLD",IF(AND(E5122&lt;&gt;"",E5122&lt;&gt;"!!!"),"NEW","")))</f>
        <v> </v>
      </c>
      <c r="G5122" s="23" t="str">
        <f>IF(OR(E5122="",E5122="!!!"),"",IF(OR(J5122=0,AND(J5122=1,K5122=1),AND(J5122=1,I5122="SBJ"),AND(J5122=1,I5122=0)),"?IN_FOCUS",IF(J5122&lt;=2,"?ACTIVATED",IF(J5122&lt;&gt;"","?FAMILIAR",IF(F5122="NEW",IF(ISNA(VLOOKUP(E5122,#REF!,1,FALSE())),"?TYPE_IDENTIFIABLE","?REFERENTIAL"),"_")))))</f>
        <v> </v>
      </c>
      <c r="H5122" s="24" t="str">
        <f>IF(J5122&lt;&gt;1,"",IF(I5122="SBJ","CB","?"))</f>
        <v> </v>
      </c>
      <c r="I5122" s="25" t="str">
        <f>IF(OR(E5122="",E5122="!!!",F5122="NEW"),"",INDEX(B5121:B$2,-1+SUMPRODUCT(MAX(ROW(E5121:E$2)*(E5122=E5121:E$2)))))</f>
        <v> </v>
      </c>
      <c r="J5122" s="25" t="str">
        <f>IF(OR(E5122="",E5122="!!!",F5122="NEW"),"",COUNTBLANK(OFFSET(A$1,,,SUMPRODUCT(MAX(ROW(E$2:E5122)*(E5122=E$2:E5122)))))-COUNTBLANK(OFFSET(A$1,,,SUMPRODUCT(MAX(ROW(E$1:E5121)*(E2=E$1:E5121))))))</f>
        <v> </v>
      </c>
      <c r="K5122" s="25" t="str">
        <f>IF(OR(E5122="",E5122="!!!",F5122="NEW"),"",INDEX(J$1:J5121,SUMPRODUCT(MAX(ROW(E$1:E5121)*(E5122=E$1:E5121)))))</f>
        <v> </v>
      </c>
      <c r="L5122" s="26"/>
    </row>
    <row r="5123" spans="1:12">
      <c r="A5123" s="20" t="s">
        <v>2096</v>
      </c>
      <c r="B5123" s="27" t="s">
        <v>802</v>
      </c>
      <c r="C5123" s="27" t="s">
        <v>768</v>
      </c>
      <c r="E5123" s="21">
        <f>IF(D5123="?OLD","!!!","")</f>
        <v/>
      </c>
      <c r="F5123" s="22" t="str">
        <f>IF(OR(E5123="",E5123="!!!"),"",IF(NOT(ISNA(VLOOKUP(E5123,E$1:E5122,1,FALSE()))),"OLD",IF(AND(E5123&lt;&gt;"",E5123&lt;&gt;"!!!"),"NEW","")))</f>
        <v> </v>
      </c>
      <c r="G5123" s="23" t="str">
        <f>IF(OR(E5123="",E5123="!!!"),"",IF(OR(J5123=0,AND(J5123=1,K5123=1),AND(J5123=1,I5123="SBJ"),AND(J5123=1,I5123=0)),"?IN_FOCUS",IF(J5123&lt;=2,"?ACTIVATED",IF(J5123&lt;&gt;"","?FAMILIAR",IF(F5123="NEW",IF(ISNA(VLOOKUP(E5123,#REF!,1,FALSE())),"?TYPE_IDENTIFIABLE","?REFERENTIAL"),"_")))))</f>
        <v> </v>
      </c>
      <c r="H5123" s="24" t="str">
        <f>IF(J5123&lt;&gt;1,"",IF(I5123="SBJ","CB","?"))</f>
        <v> </v>
      </c>
      <c r="I5123" s="25" t="str">
        <f>IF(OR(E5123="",E5123="!!!",F5123="NEW"),"",INDEX(B5122:B$2,-1+SUMPRODUCT(MAX(ROW(E5122:E$2)*(E5123=E5122:E$2)))))</f>
        <v> </v>
      </c>
      <c r="J5123" s="25" t="str">
        <f>IF(OR(E5123="",E5123="!!!",F5123="NEW"),"",COUNTBLANK(OFFSET(A$1,,,SUMPRODUCT(MAX(ROW(E$2:E5123)*(E5123=E$2:E5123)))))-COUNTBLANK(OFFSET(A$1,,,SUMPRODUCT(MAX(ROW(E$1:E5122)*(E2=E$1:E5122))))))</f>
        <v> </v>
      </c>
      <c r="K5123" s="25" t="str">
        <f>IF(OR(E5123="",E5123="!!!",F5123="NEW"),"",INDEX(J$1:J5122,SUMPRODUCT(MAX(ROW(E$1:E5122)*(E5123=E$1:E5122)))))</f>
        <v> </v>
      </c>
      <c r="L5123" s="26"/>
    </row>
    <row r="5124" spans="1:12">
      <c r="A5124" s="20" t="s">
        <v>810</v>
      </c>
      <c r="E5124" s="21">
        <f>IF(D5124="?OLD","!!!","")</f>
        <v/>
      </c>
      <c r="F5124" s="22" t="str">
        <f>IF(OR(E5124="",E5124="!!!"),"",IF(NOT(ISNA(VLOOKUP(E5124,E$1:E5123,1,FALSE()))),"OLD",IF(AND(E5124&lt;&gt;"",E5124&lt;&gt;"!!!"),"NEW","")))</f>
        <v> </v>
      </c>
      <c r="G5124" s="23" t="str">
        <f>IF(OR(E5124="",E5124="!!!"),"",IF(OR(J5124=0,AND(J5124=1,K5124=1),AND(J5124=1,I5124="SBJ"),AND(J5124=1,I5124=0)),"?IN_FOCUS",IF(J5124&lt;=2,"?ACTIVATED",IF(J5124&lt;&gt;"","?FAMILIAR",IF(F5124="NEW",IF(ISNA(VLOOKUP(E5124,#REF!,1,FALSE())),"?TYPE_IDENTIFIABLE","?REFERENTIAL"),"_")))))</f>
        <v> </v>
      </c>
      <c r="H5124" s="24" t="str">
        <f>IF(J5124&lt;&gt;1,"",IF(I5124="SBJ","CB","?"))</f>
        <v> </v>
      </c>
      <c r="I5124" s="25" t="str">
        <f>IF(OR(E5124="",E5124="!!!",F5124="NEW"),"",INDEX(B5123:B$2,-1+SUMPRODUCT(MAX(ROW(E5123:E$2)*(E5124=E5123:E$2)))))</f>
        <v> </v>
      </c>
      <c r="J5124" s="25" t="str">
        <f>IF(OR(E5124="",E5124="!!!",F5124="NEW"),"",COUNTBLANK(OFFSET(A$1,,,SUMPRODUCT(MAX(ROW(E$2:E5124)*(E5124=E$2:E5124)))))-COUNTBLANK(OFFSET(A$1,,,SUMPRODUCT(MAX(ROW(E$1:E5123)*(E2=E$1:E5123))))))</f>
        <v> </v>
      </c>
      <c r="K5124" s="25" t="str">
        <f>IF(OR(E5124="",E5124="!!!",F5124="NEW"),"",INDEX(J$1:J5123,SUMPRODUCT(MAX(ROW(E$1:E5123)*(E5124=E$1:E5123)))))</f>
        <v> </v>
      </c>
      <c r="L5124" s="26"/>
    </row>
    <row r="5125" spans="1:12">
      <c r="A5125" s="20" t="s">
        <v>793</v>
      </c>
      <c r="E5125" s="21">
        <f>IF(D5125="?OLD","!!!","")</f>
        <v/>
      </c>
      <c r="F5125" s="22" t="str">
        <f>IF(OR(E5125="",E5125="!!!"),"",IF(NOT(ISNA(VLOOKUP(E5125,E$1:E5124,1,FALSE()))),"OLD",IF(AND(E5125&lt;&gt;"",E5125&lt;&gt;"!!!"),"NEW","")))</f>
        <v> </v>
      </c>
      <c r="G5125" s="23" t="str">
        <f>IF(OR(E5125="",E5125="!!!"),"",IF(OR(J5125=0,AND(J5125=1,K5125=1),AND(J5125=1,I5125="SBJ"),AND(J5125=1,I5125=0)),"?IN_FOCUS",IF(J5125&lt;=2,"?ACTIVATED",IF(J5125&lt;&gt;"","?FAMILIAR",IF(F5125="NEW",IF(ISNA(VLOOKUP(E5125,#REF!,1,FALSE())),"?TYPE_IDENTIFIABLE","?REFERENTIAL"),"_")))))</f>
        <v> </v>
      </c>
      <c r="H5125" s="24" t="str">
        <f>IF(J5125&lt;&gt;1,"",IF(I5125="SBJ","CB","?"))</f>
        <v> </v>
      </c>
      <c r="I5125" s="25" t="str">
        <f>IF(OR(E5125="",E5125="!!!",F5125="NEW"),"",INDEX(B5124:B$2,-1+SUMPRODUCT(MAX(ROW(E5124:E$2)*(E5125=E5124:E$2)))))</f>
        <v> </v>
      </c>
      <c r="J5125" s="25" t="str">
        <f>IF(OR(E5125="",E5125="!!!",F5125="NEW"),"",COUNTBLANK(OFFSET(A$1,,,SUMPRODUCT(MAX(ROW(E$2:E5125)*(E5125=E$2:E5125)))))-COUNTBLANK(OFFSET(A$1,,,SUMPRODUCT(MAX(ROW(E$1:E5124)*(E2=E$1:E5124))))))</f>
        <v> </v>
      </c>
      <c r="K5125" s="25" t="str">
        <f>IF(OR(E5125="",E5125="!!!",F5125="NEW"),"",INDEX(J$1:J5124,SUMPRODUCT(MAX(ROW(E$1:E5124)*(E5125=E$1:E5124)))))</f>
        <v> </v>
      </c>
      <c r="L5125" s="26"/>
    </row>
    <row r="5126" spans="1:12">
      <c r="A5126" s="20" t="s">
        <v>827</v>
      </c>
      <c r="B5126" s="27" t="s">
        <v>956</v>
      </c>
      <c r="C5126" s="27" t="s">
        <v>797</v>
      </c>
      <c r="D5126" s="27" t="s">
        <v>762</v>
      </c>
      <c r="E5126" s="21">
        <f>IF(D5126="?OLD","!!!","")</f>
        <v/>
      </c>
      <c r="F5126" s="22" t="str">
        <f>IF(OR(E5126="",E5126="!!!"),"",IF(NOT(ISNA(VLOOKUP(E5126,E$1:E5125,1,FALSE()))),"OLD",IF(AND(E5126&lt;&gt;"",E5126&lt;&gt;"!!!"),"NEW","")))</f>
        <v> </v>
      </c>
      <c r="G5126" s="23" t="str">
        <f>IF(OR(E5126="",E5126="!!!"),"",IF(OR(J5126=0,AND(J5126=1,K5126=1),AND(J5126=1,I5126="SBJ"),AND(J5126=1,I5126=0)),"?IN_FOCUS",IF(J5126&lt;=2,"?ACTIVATED",IF(J5126&lt;&gt;"","?FAMILIAR",IF(F5126="NEW",IF(ISNA(VLOOKUP(E5126,#REF!,1,FALSE())),"?TYPE_IDENTIFIABLE","?REFERENTIAL"),"_")))))</f>
        <v> </v>
      </c>
      <c r="H5126" s="24" t="str">
        <f>IF(J5126&lt;&gt;1,"",IF(I5126="SBJ","CB","?"))</f>
        <v> </v>
      </c>
      <c r="I5126" s="25" t="str">
        <f>IF(OR(E5126="",E5126="!!!",F5126="NEW"),"",INDEX(B5125:B$2,-1+SUMPRODUCT(MAX(ROW(E5125:E$2)*(E5126=E5125:E$2)))))</f>
        <v> </v>
      </c>
      <c r="J5126" s="25" t="str">
        <f>IF(OR(E5126="",E5126="!!!",F5126="NEW"),"",COUNTBLANK(OFFSET(A$1,,,SUMPRODUCT(MAX(ROW(E$2:E5126)*(E5126=E$2:E5126)))))-COUNTBLANK(OFFSET(A$1,,,SUMPRODUCT(MAX(ROW(E$1:E5125)*(E2=E$1:E5125))))))</f>
        <v> </v>
      </c>
      <c r="K5126" s="25" t="str">
        <f>IF(OR(E5126="",E5126="!!!",F5126="NEW"),"",INDEX(J$1:J5125,SUMPRODUCT(MAX(ROW(E$1:E5125)*(E5126=E$1:E5125)))))</f>
        <v> </v>
      </c>
      <c r="L5126" s="26"/>
    </row>
    <row r="5127" spans="1:12">
      <c r="A5127" s="20" t="s">
        <v>935</v>
      </c>
      <c r="E5127" s="21">
        <f>IF(D5127="?OLD","!!!","")</f>
        <v/>
      </c>
      <c r="F5127" s="22" t="str">
        <f>IF(OR(E5127="",E5127="!!!"),"",IF(NOT(ISNA(VLOOKUP(E5127,E$1:E5126,1,FALSE()))),"OLD",IF(AND(E5127&lt;&gt;"",E5127&lt;&gt;"!!!"),"NEW","")))</f>
        <v> </v>
      </c>
      <c r="G5127" s="23" t="str">
        <f>IF(OR(E5127="",E5127="!!!"),"",IF(OR(J5127=0,AND(J5127=1,K5127=1),AND(J5127=1,I5127="SBJ"),AND(J5127=1,I5127=0)),"?IN_FOCUS",IF(J5127&lt;=2,"?ACTIVATED",IF(J5127&lt;&gt;"","?FAMILIAR",IF(F5127="NEW",IF(ISNA(VLOOKUP(E5127,#REF!,1,FALSE())),"?TYPE_IDENTIFIABLE","?REFERENTIAL"),"_")))))</f>
        <v> </v>
      </c>
      <c r="H5127" s="24" t="str">
        <f>IF(J5127&lt;&gt;1,"",IF(I5127="SBJ","CB","?"))</f>
        <v> </v>
      </c>
      <c r="I5127" s="25" t="str">
        <f>IF(OR(E5127="",E5127="!!!",F5127="NEW"),"",INDEX(B5126:B$2,-1+SUMPRODUCT(MAX(ROW(E5126:E$2)*(E5127=E5126:E$2)))))</f>
        <v> </v>
      </c>
      <c r="J5127" s="25" t="str">
        <f>IF(OR(E5127="",E5127="!!!",F5127="NEW"),"",COUNTBLANK(OFFSET(A$1,,,SUMPRODUCT(MAX(ROW(E$2:E5127)*(E5127=E$2:E5127)))))-COUNTBLANK(OFFSET(A$1,,,SUMPRODUCT(MAX(ROW(E$1:E5126)*(E2=E$1:E5126))))))</f>
        <v> </v>
      </c>
      <c r="K5127" s="25" t="str">
        <f>IF(OR(E5127="",E5127="!!!",F5127="NEW"),"",INDEX(J$1:J5126,SUMPRODUCT(MAX(ROW(E$1:E5126)*(E5127=E$1:E5126)))))</f>
        <v> </v>
      </c>
      <c r="L5127" s="26"/>
    </row>
    <row r="5128" spans="1:12">
      <c r="A5128" s="20" t="s">
        <v>2097</v>
      </c>
      <c r="E5128" s="21">
        <f>IF(D5128="?OLD","!!!","")</f>
        <v/>
      </c>
      <c r="F5128" s="22" t="str">
        <f>IF(OR(E5128="",E5128="!!!"),"",IF(NOT(ISNA(VLOOKUP(E5128,E$1:E5127,1,FALSE()))),"OLD",IF(AND(E5128&lt;&gt;"",E5128&lt;&gt;"!!!"),"NEW","")))</f>
        <v> </v>
      </c>
      <c r="G5128" s="23" t="str">
        <f>IF(OR(E5128="",E5128="!!!"),"",IF(OR(J5128=0,AND(J5128=1,K5128=1),AND(J5128=1,I5128="SBJ"),AND(J5128=1,I5128=0)),"?IN_FOCUS",IF(J5128&lt;=2,"?ACTIVATED",IF(J5128&lt;&gt;"","?FAMILIAR",IF(F5128="NEW",IF(ISNA(VLOOKUP(E5128,#REF!,1,FALSE())),"?TYPE_IDENTIFIABLE","?REFERENTIAL"),"_")))))</f>
        <v> </v>
      </c>
      <c r="H5128" s="24" t="str">
        <f>IF(J5128&lt;&gt;1,"",IF(I5128="SBJ","CB","?"))</f>
        <v> </v>
      </c>
      <c r="I5128" s="25" t="str">
        <f>IF(OR(E5128="",E5128="!!!",F5128="NEW"),"",INDEX(B5127:B$2,-1+SUMPRODUCT(MAX(ROW(E5127:E$2)*(E5128=E5127:E$2)))))</f>
        <v> </v>
      </c>
      <c r="J5128" s="25" t="str">
        <f>IF(OR(E5128="",E5128="!!!",F5128="NEW"),"",COUNTBLANK(OFFSET(A$1,,,SUMPRODUCT(MAX(ROW(E$2:E5128)*(E5128=E$2:E5128)))))-COUNTBLANK(OFFSET(A$1,,,SUMPRODUCT(MAX(ROW(E$1:E5127)*(E2=E$1:E5127))))))</f>
        <v> </v>
      </c>
      <c r="K5128" s="25" t="str">
        <f>IF(OR(E5128="",E5128="!!!",F5128="NEW"),"",INDEX(J$1:J5127,SUMPRODUCT(MAX(ROW(E$1:E5127)*(E5128=E$1:E5127)))))</f>
        <v> </v>
      </c>
      <c r="L5128" s="26"/>
    </row>
    <row r="5129" spans="1:12">
      <c r="A5129" s="20" t="s">
        <v>785</v>
      </c>
      <c r="E5129" s="21">
        <f>IF(D5129="?OLD","!!!","")</f>
        <v/>
      </c>
      <c r="F5129" s="22" t="str">
        <f>IF(OR(E5129="",E5129="!!!"),"",IF(NOT(ISNA(VLOOKUP(E5129,E$1:E5128,1,FALSE()))),"OLD",IF(AND(E5129&lt;&gt;"",E5129&lt;&gt;"!!!"),"NEW","")))</f>
        <v> </v>
      </c>
      <c r="G5129" s="23" t="str">
        <f>IF(OR(E5129="",E5129="!!!"),"",IF(OR(J5129=0,AND(J5129=1,K5129=1),AND(J5129=1,I5129="SBJ"),AND(J5129=1,I5129=0)),"?IN_FOCUS",IF(J5129&lt;=2,"?ACTIVATED",IF(J5129&lt;&gt;"","?FAMILIAR",IF(F5129="NEW",IF(ISNA(VLOOKUP(E5129,#REF!,1,FALSE())),"?TYPE_IDENTIFIABLE","?REFERENTIAL"),"_")))))</f>
        <v> </v>
      </c>
      <c r="H5129" s="24" t="str">
        <f>IF(J5129&lt;&gt;1,"",IF(I5129="SBJ","CB","?"))</f>
        <v> </v>
      </c>
      <c r="I5129" s="25" t="str">
        <f>IF(OR(E5129="",E5129="!!!",F5129="NEW"),"",INDEX(B5128:B$2,-1+SUMPRODUCT(MAX(ROW(E5128:E$2)*(E5129=E5128:E$2)))))</f>
        <v> </v>
      </c>
      <c r="J5129" s="25" t="str">
        <f>IF(OR(E5129="",E5129="!!!",F5129="NEW"),"",COUNTBLANK(OFFSET(A$1,,,SUMPRODUCT(MAX(ROW(E$2:E5129)*(E5129=E$2:E5129)))))-COUNTBLANK(OFFSET(A$1,,,SUMPRODUCT(MAX(ROW(E$1:E5128)*(E2=E$1:E5128))))))</f>
        <v> </v>
      </c>
      <c r="K5129" s="25" t="str">
        <f>IF(OR(E5129="",E5129="!!!",F5129="NEW"),"",INDEX(J$1:J5128,SUMPRODUCT(MAX(ROW(E$1:E5128)*(E5129=E$1:E5128)))))</f>
        <v> </v>
      </c>
      <c r="L5129" s="26"/>
    </row>
    <row r="5130" spans="1:12">
      <c r="A5130" s="20" t="s">
        <v>838</v>
      </c>
      <c r="B5130" s="27" t="s">
        <v>940</v>
      </c>
      <c r="C5130" s="27" t="s">
        <v>797</v>
      </c>
      <c r="D5130" s="27" t="s">
        <v>762</v>
      </c>
      <c r="E5130" s="21">
        <f>IF(D5130="?OLD","!!!","")</f>
        <v/>
      </c>
      <c r="F5130" s="22" t="str">
        <f>IF(OR(E5130="",E5130="!!!"),"",IF(NOT(ISNA(VLOOKUP(E5130,E$1:E5129,1,FALSE()))),"OLD",IF(AND(E5130&lt;&gt;"",E5130&lt;&gt;"!!!"),"NEW","")))</f>
        <v> </v>
      </c>
      <c r="G5130" s="23" t="str">
        <f>IF(OR(E5130="",E5130="!!!"),"",IF(OR(J5130=0,AND(J5130=1,K5130=1),AND(J5130=1,I5130="SBJ"),AND(J5130=1,I5130=0)),"?IN_FOCUS",IF(J5130&lt;=2,"?ACTIVATED",IF(J5130&lt;&gt;"","?FAMILIAR",IF(F5130="NEW",IF(ISNA(VLOOKUP(E5130,#REF!,1,FALSE())),"?TYPE_IDENTIFIABLE","?REFERENTIAL"),"_")))))</f>
        <v> </v>
      </c>
      <c r="H5130" s="24" t="str">
        <f>IF(J5130&lt;&gt;1,"",IF(I5130="SBJ","CB","?"))</f>
        <v> </v>
      </c>
      <c r="I5130" s="25" t="str">
        <f>IF(OR(E5130="",E5130="!!!",F5130="NEW"),"",INDEX(B5129:B$2,-1+SUMPRODUCT(MAX(ROW(E5129:E$2)*(E5130=E5129:E$2)))))</f>
        <v> </v>
      </c>
      <c r="J5130" s="25" t="str">
        <f>IF(OR(E5130="",E5130="!!!",F5130="NEW"),"",COUNTBLANK(OFFSET(A$1,,,SUMPRODUCT(MAX(ROW(E$2:E5130)*(E5130=E$2:E5130)))))-COUNTBLANK(OFFSET(A$1,,,SUMPRODUCT(MAX(ROW(E$1:E5129)*(E2=E$1:E5129))))))</f>
        <v> </v>
      </c>
      <c r="K5130" s="25" t="str">
        <f>IF(OR(E5130="",E5130="!!!",F5130="NEW"),"",INDEX(J$1:J5129,SUMPRODUCT(MAX(ROW(E$1:E5129)*(E5130=E$1:E5129)))))</f>
        <v> </v>
      </c>
      <c r="L5130" s="26"/>
    </row>
    <row r="5131" spans="1:12">
      <c r="A5131" s="20" t="s">
        <v>1077</v>
      </c>
      <c r="E5131" s="21">
        <f>IF(D5131="?OLD","!!!","")</f>
        <v/>
      </c>
      <c r="F5131" s="22" t="str">
        <f>IF(OR(E5131="",E5131="!!!"),"",IF(NOT(ISNA(VLOOKUP(E5131,E$1:E5130,1,FALSE()))),"OLD",IF(AND(E5131&lt;&gt;"",E5131&lt;&gt;"!!!"),"NEW","")))</f>
        <v> </v>
      </c>
      <c r="G5131" s="23" t="str">
        <f>IF(OR(E5131="",E5131="!!!"),"",IF(OR(J5131=0,AND(J5131=1,K5131=1),AND(J5131=1,I5131="SBJ"),AND(J5131=1,I5131=0)),"?IN_FOCUS",IF(J5131&lt;=2,"?ACTIVATED",IF(J5131&lt;&gt;"","?FAMILIAR",IF(F5131="NEW",IF(ISNA(VLOOKUP(E5131,#REF!,1,FALSE())),"?TYPE_IDENTIFIABLE","?REFERENTIAL"),"_")))))</f>
        <v> </v>
      </c>
      <c r="H5131" s="24" t="str">
        <f>IF(J5131&lt;&gt;1,"",IF(I5131="SBJ","CB","?"))</f>
        <v> </v>
      </c>
      <c r="I5131" s="25" t="str">
        <f>IF(OR(E5131="",E5131="!!!",F5131="NEW"),"",INDEX(B5130:B$2,-1+SUMPRODUCT(MAX(ROW(E5130:E$2)*(E5131=E5130:E$2)))))</f>
        <v> </v>
      </c>
      <c r="J5131" s="25" t="str">
        <f>IF(OR(E5131="",E5131="!!!",F5131="NEW"),"",COUNTBLANK(OFFSET(A$1,,,SUMPRODUCT(MAX(ROW(E$2:E5131)*(E5131=E$2:E5131)))))-COUNTBLANK(OFFSET(A$1,,,SUMPRODUCT(MAX(ROW(E$1:E5130)*(E2=E$1:E5130))))))</f>
        <v> </v>
      </c>
      <c r="K5131" s="25" t="str">
        <f>IF(OR(E5131="",E5131="!!!",F5131="NEW"),"",INDEX(J$1:J5130,SUMPRODUCT(MAX(ROW(E$1:E5130)*(E5131=E$1:E5130)))))</f>
        <v> </v>
      </c>
      <c r="L5131" s="26"/>
    </row>
    <row r="5132" spans="1:12">
      <c r="A5132" s="20" t="s">
        <v>872</v>
      </c>
      <c r="E5132" s="21">
        <f>IF(D5132="?OLD","!!!","")</f>
        <v/>
      </c>
      <c r="F5132" s="22" t="str">
        <f>IF(OR(E5132="",E5132="!!!"),"",IF(NOT(ISNA(VLOOKUP(E5132,E$1:E5131,1,FALSE()))),"OLD",IF(AND(E5132&lt;&gt;"",E5132&lt;&gt;"!!!"),"NEW","")))</f>
        <v> </v>
      </c>
      <c r="G5132" s="23" t="str">
        <f>IF(OR(E5132="",E5132="!!!"),"",IF(OR(J5132=0,AND(J5132=1,K5132=1),AND(J5132=1,I5132="SBJ"),AND(J5132=1,I5132=0)),"?IN_FOCUS",IF(J5132&lt;=2,"?ACTIVATED",IF(J5132&lt;&gt;"","?FAMILIAR",IF(F5132="NEW",IF(ISNA(VLOOKUP(E5132,#REF!,1,FALSE())),"?TYPE_IDENTIFIABLE","?REFERENTIAL"),"_")))))</f>
        <v> </v>
      </c>
      <c r="H5132" s="24" t="str">
        <f>IF(J5132&lt;&gt;1,"",IF(I5132="SBJ","CB","?"))</f>
        <v> </v>
      </c>
      <c r="I5132" s="25" t="str">
        <f>IF(OR(E5132="",E5132="!!!",F5132="NEW"),"",INDEX(B5131:B$2,-1+SUMPRODUCT(MAX(ROW(E5131:E$2)*(E5132=E5131:E$2)))))</f>
        <v> </v>
      </c>
      <c r="J5132" s="25" t="str">
        <f>IF(OR(E5132="",E5132="!!!",F5132="NEW"),"",COUNTBLANK(OFFSET(A$1,,,SUMPRODUCT(MAX(ROW(E$2:E5132)*(E5132=E$2:E5132)))))-COUNTBLANK(OFFSET(A$1,,,SUMPRODUCT(MAX(ROW(E$1:E5131)*(E2=E$1:E5131))))))</f>
        <v> </v>
      </c>
      <c r="K5132" s="25" t="str">
        <f>IF(OR(E5132="",E5132="!!!",F5132="NEW"),"",INDEX(J$1:J5131,SUMPRODUCT(MAX(ROW(E$1:E5131)*(E5132=E$1:E5131)))))</f>
        <v> </v>
      </c>
      <c r="L5132" s="26"/>
    </row>
    <row r="5133" spans="1:12">
      <c r="A5133" s="20" t="s">
        <v>1161</v>
      </c>
      <c r="B5133" s="27" t="s">
        <v>815</v>
      </c>
      <c r="C5133" s="27" t="s">
        <v>851</v>
      </c>
      <c r="D5133" s="27" t="s">
        <v>762</v>
      </c>
      <c r="E5133" s="21">
        <f>IF(D5133="?OLD","!!!","")</f>
        <v/>
      </c>
      <c r="F5133" s="22" t="str">
        <f>IF(OR(E5133="",E5133="!!!"),"",IF(NOT(ISNA(VLOOKUP(E5133,E$1:E5132,1,FALSE()))),"OLD",IF(AND(E5133&lt;&gt;"",E5133&lt;&gt;"!!!"),"NEW","")))</f>
        <v> </v>
      </c>
      <c r="G5133" s="23" t="str">
        <f>IF(OR(E5133="",E5133="!!!"),"",IF(OR(J5133=0,AND(J5133=1,K5133=1),AND(J5133=1,I5133="SBJ"),AND(J5133=1,I5133=0)),"?IN_FOCUS",IF(J5133&lt;=2,"?ACTIVATED",IF(J5133&lt;&gt;"","?FAMILIAR",IF(F5133="NEW",IF(ISNA(VLOOKUP(E5133,#REF!,1,FALSE())),"?TYPE_IDENTIFIABLE","?REFERENTIAL"),"_")))))</f>
        <v> </v>
      </c>
      <c r="H5133" s="24" t="str">
        <f>IF(J5133&lt;&gt;1,"",IF(I5133="SBJ","CB","?"))</f>
        <v> </v>
      </c>
      <c r="I5133" s="25" t="str">
        <f>IF(OR(E5133="",E5133="!!!",F5133="NEW"),"",INDEX(B5132:B$2,-1+SUMPRODUCT(MAX(ROW(E5132:E$2)*(E5133=E5132:E$2)))))</f>
        <v> </v>
      </c>
      <c r="J5133" s="25" t="str">
        <f>IF(OR(E5133="",E5133="!!!",F5133="NEW"),"",COUNTBLANK(OFFSET(A$1,,,SUMPRODUCT(MAX(ROW(E$2:E5133)*(E5133=E$2:E5133)))))-COUNTBLANK(OFFSET(A$1,,,SUMPRODUCT(MAX(ROW(E$1:E5132)*(E2=E$1:E5132))))))</f>
        <v> </v>
      </c>
      <c r="K5133" s="25" t="str">
        <f>IF(OR(E5133="",E5133="!!!",F5133="NEW"),"",INDEX(J$1:J5132,SUMPRODUCT(MAX(ROW(E$1:E5132)*(E5133=E$1:E5132)))))</f>
        <v> </v>
      </c>
      <c r="L5133" s="26"/>
    </row>
    <row r="5134" spans="1:12">
      <c r="A5134" s="20" t="s">
        <v>2098</v>
      </c>
      <c r="B5134" s="27" t="s">
        <v>901</v>
      </c>
      <c r="C5134" s="27" t="s">
        <v>837</v>
      </c>
      <c r="D5134" s="27" t="s">
        <v>762</v>
      </c>
      <c r="E5134" s="21">
        <f>IF(D5134="?OLD","!!!","")</f>
        <v/>
      </c>
      <c r="F5134" s="22" t="str">
        <f>IF(OR(E5134="",E5134="!!!"),"",IF(NOT(ISNA(VLOOKUP(E5134,E$1:E5133,1,FALSE()))),"OLD",IF(AND(E5134&lt;&gt;"",E5134&lt;&gt;"!!!"),"NEW","")))</f>
        <v> </v>
      </c>
      <c r="G5134" s="23" t="str">
        <f>IF(OR(E5134="",E5134="!!!"),"",IF(OR(J5134=0,AND(J5134=1,K5134=1),AND(J5134=1,I5134="SBJ"),AND(J5134=1,I5134=0)),"?IN_FOCUS",IF(J5134&lt;=2,"?ACTIVATED",IF(J5134&lt;&gt;"","?FAMILIAR",IF(F5134="NEW",IF(ISNA(VLOOKUP(E5134,#REF!,1,FALSE())),"?TYPE_IDENTIFIABLE","?REFERENTIAL"),"_")))))</f>
        <v> </v>
      </c>
      <c r="H5134" s="24" t="str">
        <f>IF(J5134&lt;&gt;1,"",IF(I5134="SBJ","CB","?"))</f>
        <v> </v>
      </c>
      <c r="I5134" s="25" t="str">
        <f>IF(OR(E5134="",E5134="!!!",F5134="NEW"),"",INDEX(B5133:B$2,-1+SUMPRODUCT(MAX(ROW(E5133:E$2)*(E5134=E5133:E$2)))))</f>
        <v> </v>
      </c>
      <c r="J5134" s="25" t="str">
        <f>IF(OR(E5134="",E5134="!!!",F5134="NEW"),"",COUNTBLANK(OFFSET(A$1,,,SUMPRODUCT(MAX(ROW(E$2:E5134)*(E5134=E$2:E5134)))))-COUNTBLANK(OFFSET(A$1,,,SUMPRODUCT(MAX(ROW(E$1:E5133)*(E2=E$1:E5133))))))</f>
        <v> </v>
      </c>
      <c r="K5134" s="25" t="str">
        <f>IF(OR(E5134="",E5134="!!!",F5134="NEW"),"",INDEX(J$1:J5133,SUMPRODUCT(MAX(ROW(E$1:E5133)*(E5134=E$1:E5133)))))</f>
        <v> </v>
      </c>
      <c r="L5134" s="26"/>
    </row>
    <row r="5135" spans="1:12">
      <c r="A5135" s="20" t="s">
        <v>774</v>
      </c>
      <c r="E5135" s="21">
        <f>IF(D5135="?OLD","!!!","")</f>
        <v/>
      </c>
      <c r="F5135" s="22" t="str">
        <f>IF(OR(E5135="",E5135="!!!"),"",IF(NOT(ISNA(VLOOKUP(E5135,E$1:E5134,1,FALSE()))),"OLD",IF(AND(E5135&lt;&gt;"",E5135&lt;&gt;"!!!"),"NEW","")))</f>
        <v> </v>
      </c>
      <c r="G5135" s="23" t="str">
        <f>IF(OR(E5135="",E5135="!!!"),"",IF(OR(J5135=0,AND(J5135=1,K5135=1),AND(J5135=1,I5135="SBJ"),AND(J5135=1,I5135=0)),"?IN_FOCUS",IF(J5135&lt;=2,"?ACTIVATED",IF(J5135&lt;&gt;"","?FAMILIAR",IF(F5135="NEW",IF(ISNA(VLOOKUP(E5135,#REF!,1,FALSE())),"?TYPE_IDENTIFIABLE","?REFERENTIAL"),"_")))))</f>
        <v> </v>
      </c>
      <c r="H5135" s="24" t="str">
        <f>IF(J5135&lt;&gt;1,"",IF(I5135="SBJ","CB","?"))</f>
        <v> </v>
      </c>
      <c r="I5135" s="25" t="str">
        <f>IF(OR(E5135="",E5135="!!!",F5135="NEW"),"",INDEX(B5134:B$2,-1+SUMPRODUCT(MAX(ROW(E5134:E$2)*(E5135=E5134:E$2)))))</f>
        <v> </v>
      </c>
      <c r="J5135" s="25" t="str">
        <f>IF(OR(E5135="",E5135="!!!",F5135="NEW"),"",COUNTBLANK(OFFSET(A$1,,,SUMPRODUCT(MAX(ROW(E$2:E5135)*(E5135=E$2:E5135)))))-COUNTBLANK(OFFSET(A$1,,,SUMPRODUCT(MAX(ROW(E$1:E5134)*(E2=E$1:E5134))))))</f>
        <v> </v>
      </c>
      <c r="K5135" s="25" t="str">
        <f>IF(OR(E5135="",E5135="!!!",F5135="NEW"),"",INDEX(J$1:J5134,SUMPRODUCT(MAX(ROW(E$1:E5134)*(E5135=E$1:E5134)))))</f>
        <v> </v>
      </c>
      <c r="L5135" s="26"/>
    </row>
    <row r="5136" spans="1:12">
      <c r="A5136" s="20"/>
    </row>
    <row r="5137" spans="1:12">
      <c r="A5137" s="20" t="s">
        <v>2099</v>
      </c>
    </row>
    <row r="5138" spans="1:12">
      <c r="A5138" s="20" t="s">
        <v>2100</v>
      </c>
      <c r="E5138" s="21">
        <f>IF(D5138="?OLD","!!!","")</f>
        <v/>
      </c>
      <c r="F5138" s="22" t="str">
        <f>IF(OR(E5138="",E5138="!!!"),"",IF(NOT(ISNA(VLOOKUP(E5138,E$1:E5137,1,FALSE()))),"OLD",IF(AND(E5138&lt;&gt;"",E5138&lt;&gt;"!!!"),"NEW","")))</f>
        <v> </v>
      </c>
      <c r="G5138" s="23" t="str">
        <f>IF(OR(E5138="",E5138="!!!"),"",IF(OR(J5138=0,AND(J5138=1,K5138=1),AND(J5138=1,I5138="SBJ"),AND(J5138=1,I5138=0)),"?IN_FOCUS",IF(J5138&lt;=2,"?ACTIVATED",IF(J5138&lt;&gt;"","?FAMILIAR",IF(F5138="NEW",IF(ISNA(VLOOKUP(E5138,#REF!,1,FALSE())),"?TYPE_IDENTIFIABLE","?REFERENTIAL"),"_")))))</f>
        <v> </v>
      </c>
      <c r="H5138" s="24" t="str">
        <f>IF(J5138&lt;&gt;1,"",IF(I5138="SBJ","CB","?"))</f>
        <v> </v>
      </c>
      <c r="I5138" s="25" t="str">
        <f>IF(OR(E5138="",E5138="!!!",F5138="NEW"),"",INDEX(B5137:B$2,-1+SUMPRODUCT(MAX(ROW(E5137:E$2)*(E5138=E5137:E$2)))))</f>
        <v> </v>
      </c>
      <c r="J5138" s="25" t="str">
        <f>IF(OR(E5138="",E5138="!!!",F5138="NEW"),"",COUNTBLANK(OFFSET(A$1,,,SUMPRODUCT(MAX(ROW(E$2:E5138)*(E5138=E$2:E5138)))))-COUNTBLANK(OFFSET(A$1,,,SUMPRODUCT(MAX(ROW(E$1:E5137)*(E2=E$1:E5137))))))</f>
        <v> </v>
      </c>
      <c r="K5138" s="25" t="str">
        <f>IF(OR(E5138="",E5138="!!!",F5138="NEW"),"",INDEX(J$1:J5137,SUMPRODUCT(MAX(ROW(E$1:E5137)*(E5138=E$1:E5137)))))</f>
        <v> </v>
      </c>
      <c r="L5138" s="26"/>
    </row>
    <row r="5139" spans="1:12">
      <c r="A5139" s="20" t="s">
        <v>774</v>
      </c>
      <c r="E5139" s="21">
        <f>IF(D5139="?OLD","!!!","")</f>
        <v/>
      </c>
      <c r="F5139" s="22" t="str">
        <f>IF(OR(E5139="",E5139="!!!"),"",IF(NOT(ISNA(VLOOKUP(E5139,E$1:E5138,1,FALSE()))),"OLD",IF(AND(E5139&lt;&gt;"",E5139&lt;&gt;"!!!"),"NEW","")))</f>
        <v> </v>
      </c>
      <c r="G5139" s="23" t="str">
        <f>IF(OR(E5139="",E5139="!!!"),"",IF(OR(J5139=0,AND(J5139=1,K5139=1),AND(J5139=1,I5139="SBJ"),AND(J5139=1,I5139=0)),"?IN_FOCUS",IF(J5139&lt;=2,"?ACTIVATED",IF(J5139&lt;&gt;"","?FAMILIAR",IF(F5139="NEW",IF(ISNA(VLOOKUP(E5139,#REF!,1,FALSE())),"?TYPE_IDENTIFIABLE","?REFERENTIAL"),"_")))))</f>
        <v> </v>
      </c>
      <c r="H5139" s="24" t="str">
        <f>IF(J5139&lt;&gt;1,"",IF(I5139="SBJ","CB","?"))</f>
        <v> </v>
      </c>
      <c r="I5139" s="25" t="str">
        <f>IF(OR(E5139="",E5139="!!!",F5139="NEW"),"",INDEX(B5138:B$2,-1+SUMPRODUCT(MAX(ROW(E5138:E$2)*(E5139=E5138:E$2)))))</f>
        <v> </v>
      </c>
      <c r="J5139" s="25" t="str">
        <f>IF(OR(E5139="",E5139="!!!",F5139="NEW"),"",COUNTBLANK(OFFSET(A$1,,,SUMPRODUCT(MAX(ROW(E$2:E5139)*(E5139=E$2:E5139)))))-COUNTBLANK(OFFSET(A$1,,,SUMPRODUCT(MAX(ROW(E$1:E5138)*(E2=E$1:E5138))))))</f>
        <v> </v>
      </c>
      <c r="K5139" s="25" t="str">
        <f>IF(OR(E5139="",E5139="!!!",F5139="NEW"),"",INDEX(J$1:J5138,SUMPRODUCT(MAX(ROW(E$1:E5138)*(E5139=E$1:E5138)))))</f>
        <v> </v>
      </c>
      <c r="L5139" s="26"/>
    </row>
    <row r="5140" spans="1:12">
      <c r="A5140"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2024-07-05T08:21:56Z</dcterms:created>
  <dcterms:modified xsi:type="dcterms:W3CDTF">2024-07-05T08:21:56Z</dcterms:modified>
</cp:coreProperties>
</file>